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4" documentId="13_ncr:1_{59C3037E-4440-47F8-BEE7-123B2544DAB1}" xr6:coauthVersionLast="47" xr6:coauthVersionMax="47" xr10:uidLastSave="{B6207AEA-6321-43F4-AF57-B04CF0C93FEF}"/>
  <bookViews>
    <workbookView xWindow="-98" yWindow="-98" windowWidth="21795" windowHeight="12975" tabRatio="866" firstSheet="11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20" l="1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22" i="33"/>
  <c r="F22" i="33"/>
  <c r="H22" i="33"/>
  <c r="I22" i="33"/>
  <c r="E23" i="33"/>
  <c r="F23" i="33"/>
  <c r="H23" i="33"/>
  <c r="I23" i="33"/>
  <c r="E24" i="33"/>
  <c r="F24" i="33"/>
  <c r="H24" i="33"/>
  <c r="I24" i="33"/>
  <c r="E25" i="33"/>
  <c r="F25" i="33"/>
  <c r="H25" i="33"/>
  <c r="I25" i="33"/>
  <c r="E26" i="33"/>
  <c r="F26" i="33"/>
  <c r="H26" i="33"/>
  <c r="I26" i="33"/>
  <c r="E27" i="33"/>
  <c r="F27" i="33"/>
  <c r="H27" i="33"/>
  <c r="I27" i="33"/>
  <c r="E28" i="33"/>
  <c r="F28" i="33"/>
  <c r="H28" i="33"/>
  <c r="I28" i="33"/>
  <c r="E29" i="33"/>
  <c r="F29" i="33"/>
  <c r="H29" i="33"/>
  <c r="I29" i="33"/>
  <c r="E30" i="33"/>
  <c r="F30" i="33"/>
  <c r="H30" i="33"/>
  <c r="I30" i="33"/>
  <c r="E31" i="33"/>
  <c r="F31" i="33"/>
  <c r="H31" i="33"/>
  <c r="I31" i="33"/>
  <c r="E32" i="33"/>
  <c r="F32" i="33"/>
  <c r="H32" i="33"/>
  <c r="I32" i="33"/>
  <c r="E33" i="33"/>
  <c r="F33" i="33"/>
  <c r="H33" i="33"/>
  <c r="I33" i="33"/>
  <c r="E34" i="33"/>
  <c r="F34" i="33"/>
  <c r="H34" i="33"/>
  <c r="I34" i="33"/>
  <c r="E35" i="33"/>
  <c r="F35" i="33"/>
  <c r="H35" i="33"/>
  <c r="I35" i="33"/>
  <c r="E36" i="33"/>
  <c r="F36" i="33"/>
  <c r="H36" i="33"/>
  <c r="I36" i="33"/>
  <c r="E37" i="33"/>
  <c r="F37" i="33"/>
  <c r="H37" i="33"/>
  <c r="I37" i="33"/>
  <c r="E38" i="33"/>
  <c r="F38" i="33"/>
  <c r="H38" i="33"/>
  <c r="I38" i="33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22" i="32"/>
  <c r="F22" i="32"/>
  <c r="H22" i="32"/>
  <c r="I22" i="32"/>
  <c r="E23" i="32"/>
  <c r="F23" i="32"/>
  <c r="H23" i="32"/>
  <c r="I23" i="32"/>
  <c r="E24" i="32"/>
  <c r="F24" i="32"/>
  <c r="H24" i="32"/>
  <c r="I24" i="32"/>
  <c r="E25" i="32"/>
  <c r="F25" i="32"/>
  <c r="H25" i="32"/>
  <c r="I25" i="32"/>
  <c r="E26" i="32"/>
  <c r="F26" i="32"/>
  <c r="H26" i="32"/>
  <c r="I26" i="32"/>
  <c r="E27" i="32"/>
  <c r="F27" i="32"/>
  <c r="H27" i="32"/>
  <c r="I27" i="32"/>
  <c r="E28" i="32"/>
  <c r="F28" i="32"/>
  <c r="H28" i="32"/>
  <c r="I28" i="32"/>
  <c r="E29" i="32"/>
  <c r="F29" i="32"/>
  <c r="H29" i="32"/>
  <c r="I29" i="32"/>
  <c r="E30" i="32"/>
  <c r="F30" i="32"/>
  <c r="H30" i="32"/>
  <c r="I30" i="32"/>
  <c r="E31" i="32"/>
  <c r="F31" i="32"/>
  <c r="H31" i="32"/>
  <c r="I31" i="32"/>
  <c r="E32" i="32"/>
  <c r="F32" i="32"/>
  <c r="H32" i="32"/>
  <c r="I32" i="32"/>
  <c r="E33" i="32"/>
  <c r="F33" i="32"/>
  <c r="H33" i="32"/>
  <c r="I33" i="32"/>
  <c r="E34" i="32"/>
  <c r="F34" i="32"/>
  <c r="H34" i="32"/>
  <c r="I34" i="32"/>
  <c r="E35" i="32"/>
  <c r="F35" i="32"/>
  <c r="H35" i="32"/>
  <c r="I35" i="32"/>
  <c r="E36" i="32"/>
  <c r="F36" i="32"/>
  <c r="H36" i="32"/>
  <c r="I36" i="32"/>
  <c r="E37" i="32"/>
  <c r="F37" i="32"/>
  <c r="H37" i="32"/>
  <c r="I37" i="32"/>
  <c r="E38" i="32"/>
  <c r="F38" i="32"/>
  <c r="H38" i="32"/>
  <c r="I38" i="32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22" i="31"/>
  <c r="F22" i="31"/>
  <c r="H22" i="31"/>
  <c r="I22" i="31"/>
  <c r="E23" i="31"/>
  <c r="F23" i="31"/>
  <c r="H23" i="31"/>
  <c r="I23" i="31"/>
  <c r="E24" i="31"/>
  <c r="F24" i="31"/>
  <c r="H24" i="31"/>
  <c r="I24" i="31"/>
  <c r="E25" i="31"/>
  <c r="F25" i="31"/>
  <c r="H25" i="31"/>
  <c r="I25" i="31"/>
  <c r="E26" i="31"/>
  <c r="F26" i="31"/>
  <c r="H26" i="31"/>
  <c r="I26" i="31"/>
  <c r="E27" i="31"/>
  <c r="F27" i="31"/>
  <c r="H27" i="31"/>
  <c r="I27" i="31"/>
  <c r="E28" i="31"/>
  <c r="F28" i="31"/>
  <c r="H28" i="31"/>
  <c r="I28" i="31"/>
  <c r="E29" i="31"/>
  <c r="F29" i="31"/>
  <c r="H29" i="31"/>
  <c r="I29" i="31"/>
  <c r="E30" i="31"/>
  <c r="F30" i="31"/>
  <c r="H30" i="31"/>
  <c r="I30" i="31"/>
  <c r="E31" i="31"/>
  <c r="F31" i="31"/>
  <c r="H31" i="31"/>
  <c r="I31" i="31"/>
  <c r="E32" i="31"/>
  <c r="F32" i="31"/>
  <c r="H32" i="31"/>
  <c r="I32" i="31"/>
  <c r="E33" i="31"/>
  <c r="F33" i="31"/>
  <c r="H33" i="31"/>
  <c r="I33" i="31"/>
  <c r="E34" i="31"/>
  <c r="F34" i="31"/>
  <c r="H34" i="31"/>
  <c r="I34" i="31"/>
  <c r="E35" i="31"/>
  <c r="F35" i="31"/>
  <c r="H35" i="31"/>
  <c r="I35" i="31"/>
  <c r="E36" i="31"/>
  <c r="F36" i="31"/>
  <c r="H36" i="31"/>
  <c r="I36" i="31"/>
  <c r="E37" i="31"/>
  <c r="F37" i="31"/>
  <c r="H37" i="31"/>
  <c r="I37" i="31"/>
  <c r="E38" i="31"/>
  <c r="F38" i="31"/>
  <c r="H38" i="31"/>
  <c r="I38" i="31"/>
  <c r="E18" i="28"/>
  <c r="F18" i="28" s="1"/>
  <c r="H18" i="28"/>
  <c r="I18" i="28"/>
  <c r="E19" i="28"/>
  <c r="F19" i="28" s="1"/>
  <c r="H19" i="28"/>
  <c r="I19" i="28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/>
  <c r="E23" i="28"/>
  <c r="F23" i="28"/>
  <c r="H23" i="28"/>
  <c r="I23" i="28"/>
  <c r="E24" i="28"/>
  <c r="F24" i="28"/>
  <c r="H24" i="28"/>
  <c r="I24" i="28"/>
  <c r="E25" i="28"/>
  <c r="F25" i="28" s="1"/>
  <c r="H25" i="28"/>
  <c r="I25" i="28" s="1"/>
  <c r="E26" i="28"/>
  <c r="F26" i="28"/>
  <c r="H26" i="28"/>
  <c r="I26" i="28"/>
  <c r="E27" i="28"/>
  <c r="F27" i="28"/>
  <c r="H27" i="28"/>
  <c r="I27" i="28"/>
  <c r="E28" i="28"/>
  <c r="F28" i="28" s="1"/>
  <c r="H28" i="28"/>
  <c r="I28" i="28" s="1"/>
  <c r="E29" i="28"/>
  <c r="F29" i="28"/>
  <c r="H29" i="28"/>
  <c r="I29" i="28" s="1"/>
  <c r="E30" i="28"/>
  <c r="F30" i="28"/>
  <c r="H30" i="28"/>
  <c r="I30" i="28"/>
  <c r="E31" i="28"/>
  <c r="F31" i="28"/>
  <c r="H31" i="28"/>
  <c r="I31" i="28" s="1"/>
  <c r="E32" i="28"/>
  <c r="F32" i="28"/>
  <c r="H32" i="28"/>
  <c r="I32" i="28" s="1"/>
  <c r="E33" i="28"/>
  <c r="F33" i="28"/>
  <c r="H33" i="28"/>
  <c r="I33" i="28"/>
  <c r="E34" i="28"/>
  <c r="F34" i="28"/>
  <c r="H34" i="28"/>
  <c r="I34" i="28" s="1"/>
  <c r="E35" i="28"/>
  <c r="F35" i="28"/>
  <c r="H35" i="28"/>
  <c r="I35" i="28"/>
  <c r="E36" i="28"/>
  <c r="F36" i="28"/>
  <c r="H36" i="28"/>
  <c r="I36" i="28"/>
  <c r="E37" i="28"/>
  <c r="F37" i="28" s="1"/>
  <c r="H37" i="28"/>
  <c r="I37" i="28"/>
  <c r="E38" i="28"/>
  <c r="F38" i="28" s="1"/>
  <c r="H38" i="28"/>
  <c r="I38" i="28"/>
  <c r="E18" i="27"/>
  <c r="F18" i="27"/>
  <c r="H18" i="27"/>
  <c r="I18" i="27" s="1"/>
  <c r="E19" i="27"/>
  <c r="F19" i="27"/>
  <c r="H19" i="27"/>
  <c r="I19" i="27"/>
  <c r="E20" i="27"/>
  <c r="F20" i="27"/>
  <c r="H20" i="27"/>
  <c r="I20" i="27"/>
  <c r="E21" i="27"/>
  <c r="F21" i="27"/>
  <c r="H21" i="27"/>
  <c r="H21" i="29" s="1"/>
  <c r="I21" i="29" s="1"/>
  <c r="E22" i="27"/>
  <c r="F22" i="27"/>
  <c r="H22" i="27"/>
  <c r="H22" i="29" s="1"/>
  <c r="I22" i="29" s="1"/>
  <c r="I22" i="27"/>
  <c r="E23" i="27"/>
  <c r="F23" i="27"/>
  <c r="H23" i="27"/>
  <c r="I23" i="27"/>
  <c r="E24" i="27"/>
  <c r="F24" i="27"/>
  <c r="H24" i="27"/>
  <c r="I24" i="27" s="1"/>
  <c r="E25" i="27"/>
  <c r="F25" i="27"/>
  <c r="H25" i="27"/>
  <c r="I25" i="27"/>
  <c r="E26" i="27"/>
  <c r="F26" i="27"/>
  <c r="H26" i="27"/>
  <c r="I26" i="27"/>
  <c r="E27" i="27"/>
  <c r="F27" i="27"/>
  <c r="H27" i="27"/>
  <c r="I27" i="27" s="1"/>
  <c r="E28" i="27"/>
  <c r="F28" i="27"/>
  <c r="H28" i="27"/>
  <c r="I28" i="27"/>
  <c r="E29" i="27"/>
  <c r="F29" i="27"/>
  <c r="H29" i="27"/>
  <c r="I29" i="27"/>
  <c r="E30" i="27"/>
  <c r="F30" i="27"/>
  <c r="H30" i="27"/>
  <c r="I30" i="27" s="1"/>
  <c r="E31" i="27"/>
  <c r="F31" i="27"/>
  <c r="H31" i="27"/>
  <c r="I31" i="27"/>
  <c r="E32" i="27"/>
  <c r="F32" i="27"/>
  <c r="H32" i="27"/>
  <c r="I32" i="27"/>
  <c r="E33" i="27"/>
  <c r="F33" i="27"/>
  <c r="H33" i="27"/>
  <c r="I33" i="27" s="1"/>
  <c r="E34" i="27"/>
  <c r="F34" i="27"/>
  <c r="H34" i="27"/>
  <c r="I34" i="27"/>
  <c r="E35" i="27"/>
  <c r="F35" i="27"/>
  <c r="H35" i="27"/>
  <c r="I35" i="27"/>
  <c r="E36" i="27"/>
  <c r="F36" i="27"/>
  <c r="H36" i="27"/>
  <c r="I36" i="27" s="1"/>
  <c r="E37" i="27"/>
  <c r="F37" i="27" s="1"/>
  <c r="H37" i="27"/>
  <c r="I37" i="27" s="1"/>
  <c r="E38" i="27"/>
  <c r="F38" i="27"/>
  <c r="H38" i="27"/>
  <c r="I38" i="27"/>
  <c r="E18" i="26"/>
  <c r="F18" i="26" s="1"/>
  <c r="H18" i="26"/>
  <c r="I18" i="26" s="1"/>
  <c r="E19" i="26"/>
  <c r="F19" i="26"/>
  <c r="H19" i="26"/>
  <c r="H19" i="29" s="1"/>
  <c r="I19" i="29" s="1"/>
  <c r="I19" i="26"/>
  <c r="E20" i="26"/>
  <c r="F20" i="26"/>
  <c r="H20" i="26"/>
  <c r="I20" i="26"/>
  <c r="E21" i="26"/>
  <c r="F21" i="26" s="1"/>
  <c r="H21" i="26"/>
  <c r="I21" i="26" s="1"/>
  <c r="E22" i="26"/>
  <c r="F22" i="26"/>
  <c r="H22" i="26"/>
  <c r="I22" i="26"/>
  <c r="E23" i="26"/>
  <c r="F23" i="26"/>
  <c r="H23" i="26"/>
  <c r="I23" i="26"/>
  <c r="E24" i="26"/>
  <c r="F24" i="26" s="1"/>
  <c r="H24" i="26"/>
  <c r="I24" i="26" s="1"/>
  <c r="E25" i="26"/>
  <c r="F25" i="26"/>
  <c r="H25" i="26"/>
  <c r="I25" i="26" s="1"/>
  <c r="E26" i="26"/>
  <c r="F26" i="26"/>
  <c r="H26" i="26"/>
  <c r="I26" i="26"/>
  <c r="E27" i="26"/>
  <c r="F27" i="26" s="1"/>
  <c r="H27" i="26"/>
  <c r="I27" i="26"/>
  <c r="E28" i="26"/>
  <c r="F28" i="26"/>
  <c r="H28" i="26"/>
  <c r="I28" i="26"/>
  <c r="E29" i="26"/>
  <c r="F29" i="26"/>
  <c r="H29" i="26"/>
  <c r="I29" i="26"/>
  <c r="E30" i="26"/>
  <c r="F30" i="26" s="1"/>
  <c r="H30" i="26"/>
  <c r="I30" i="26"/>
  <c r="E31" i="26"/>
  <c r="F31" i="26"/>
  <c r="H31" i="26"/>
  <c r="I31" i="26"/>
  <c r="E32" i="26"/>
  <c r="F32" i="26" s="1"/>
  <c r="H32" i="26"/>
  <c r="E33" i="26"/>
  <c r="F33" i="26"/>
  <c r="H33" i="26"/>
  <c r="I33" i="26"/>
  <c r="E34" i="26"/>
  <c r="F34" i="26"/>
  <c r="H34" i="26"/>
  <c r="I34" i="26" s="1"/>
  <c r="E35" i="26"/>
  <c r="F35" i="26" s="1"/>
  <c r="H35" i="26"/>
  <c r="I35" i="26"/>
  <c r="E36" i="26"/>
  <c r="F36" i="26" s="1"/>
  <c r="H36" i="26"/>
  <c r="I36" i="26"/>
  <c r="E37" i="26"/>
  <c r="F37" i="26" s="1"/>
  <c r="H37" i="26"/>
  <c r="I37" i="26"/>
  <c r="E38" i="26"/>
  <c r="F38" i="26"/>
  <c r="H38" i="26"/>
  <c r="I38" i="26" s="1"/>
  <c r="E18" i="19"/>
  <c r="F18" i="19"/>
  <c r="H18" i="19"/>
  <c r="I18" i="19"/>
  <c r="E19" i="19"/>
  <c r="F19" i="19"/>
  <c r="H19" i="19"/>
  <c r="I19" i="19"/>
  <c r="E20" i="19"/>
  <c r="F20" i="19"/>
  <c r="H20" i="19"/>
  <c r="I20" i="19"/>
  <c r="E21" i="19"/>
  <c r="F21" i="19"/>
  <c r="H21" i="19"/>
  <c r="I21" i="19"/>
  <c r="E22" i="19"/>
  <c r="F22" i="19"/>
  <c r="H22" i="19"/>
  <c r="I22" i="19"/>
  <c r="E23" i="19"/>
  <c r="F23" i="19"/>
  <c r="H23" i="19"/>
  <c r="I23" i="19"/>
  <c r="E24" i="19"/>
  <c r="F24" i="19"/>
  <c r="H24" i="19"/>
  <c r="I24" i="19"/>
  <c r="E25" i="19"/>
  <c r="F25" i="19"/>
  <c r="H25" i="19"/>
  <c r="I25" i="19"/>
  <c r="E26" i="19"/>
  <c r="F26" i="19"/>
  <c r="H26" i="19"/>
  <c r="I26" i="19"/>
  <c r="E27" i="19"/>
  <c r="F27" i="19"/>
  <c r="H27" i="19"/>
  <c r="I27" i="19"/>
  <c r="E28" i="19"/>
  <c r="F28" i="19"/>
  <c r="H28" i="19"/>
  <c r="I28" i="19"/>
  <c r="E29" i="19"/>
  <c r="F29" i="19"/>
  <c r="H29" i="19"/>
  <c r="I29" i="19"/>
  <c r="E30" i="19"/>
  <c r="F30" i="19"/>
  <c r="H30" i="19"/>
  <c r="I30" i="19"/>
  <c r="E31" i="19"/>
  <c r="F31" i="19"/>
  <c r="H31" i="19"/>
  <c r="I31" i="19"/>
  <c r="E32" i="19"/>
  <c r="F32" i="19"/>
  <c r="H32" i="19"/>
  <c r="I32" i="19"/>
  <c r="E33" i="19"/>
  <c r="F33" i="19"/>
  <c r="H33" i="19"/>
  <c r="I33" i="19"/>
  <c r="E34" i="19"/>
  <c r="F34" i="19"/>
  <c r="H34" i="19"/>
  <c r="I34" i="19"/>
  <c r="E35" i="19"/>
  <c r="F35" i="19"/>
  <c r="H35" i="19"/>
  <c r="I35" i="19"/>
  <c r="E36" i="19"/>
  <c r="F36" i="19"/>
  <c r="H36" i="19"/>
  <c r="I36" i="19"/>
  <c r="E37" i="19"/>
  <c r="F37" i="19"/>
  <c r="H37" i="19"/>
  <c r="I37" i="19"/>
  <c r="E38" i="19"/>
  <c r="F38" i="19"/>
  <c r="H38" i="19"/>
  <c r="I38" i="19"/>
  <c r="E18" i="20"/>
  <c r="F18" i="20"/>
  <c r="H18" i="20"/>
  <c r="I18" i="20"/>
  <c r="E19" i="20"/>
  <c r="F19" i="20"/>
  <c r="H19" i="20"/>
  <c r="I19" i="20"/>
  <c r="E20" i="20"/>
  <c r="F20" i="20"/>
  <c r="H20" i="20"/>
  <c r="I20" i="20"/>
  <c r="E21" i="20"/>
  <c r="F21" i="20"/>
  <c r="H21" i="20"/>
  <c r="I21" i="20"/>
  <c r="E22" i="20"/>
  <c r="F22" i="20"/>
  <c r="H22" i="20"/>
  <c r="I22" i="20"/>
  <c r="E23" i="20"/>
  <c r="F23" i="20"/>
  <c r="H23" i="20"/>
  <c r="I23" i="20"/>
  <c r="E24" i="20"/>
  <c r="F24" i="20"/>
  <c r="H24" i="20"/>
  <c r="I24" i="20"/>
  <c r="E25" i="20"/>
  <c r="F25" i="20"/>
  <c r="H25" i="20"/>
  <c r="I25" i="20"/>
  <c r="E26" i="20"/>
  <c r="F26" i="20"/>
  <c r="H26" i="20"/>
  <c r="I26" i="20"/>
  <c r="E27" i="20"/>
  <c r="F27" i="20"/>
  <c r="H27" i="20"/>
  <c r="I27" i="20"/>
  <c r="E28" i="20"/>
  <c r="F28" i="20"/>
  <c r="H28" i="20"/>
  <c r="I28" i="20"/>
  <c r="F29" i="20"/>
  <c r="H29" i="20"/>
  <c r="I29" i="20"/>
  <c r="E30" i="20"/>
  <c r="F30" i="20"/>
  <c r="H30" i="20"/>
  <c r="I30" i="20"/>
  <c r="E31" i="20"/>
  <c r="F31" i="20"/>
  <c r="H31" i="20"/>
  <c r="I31" i="20"/>
  <c r="E32" i="20"/>
  <c r="F32" i="20"/>
  <c r="H32" i="20"/>
  <c r="I32" i="20"/>
  <c r="E33" i="20"/>
  <c r="F33" i="20"/>
  <c r="H33" i="20"/>
  <c r="I33" i="20"/>
  <c r="E34" i="20"/>
  <c r="F34" i="20"/>
  <c r="H34" i="20"/>
  <c r="I34" i="20"/>
  <c r="E35" i="20"/>
  <c r="F35" i="20"/>
  <c r="H35" i="20"/>
  <c r="I35" i="20"/>
  <c r="E36" i="20"/>
  <c r="F36" i="20"/>
  <c r="H36" i="20"/>
  <c r="I36" i="20"/>
  <c r="E37" i="20"/>
  <c r="F37" i="20"/>
  <c r="H37" i="20"/>
  <c r="I37" i="20"/>
  <c r="E38" i="20"/>
  <c r="F38" i="20"/>
  <c r="H38" i="20"/>
  <c r="I38" i="20"/>
  <c r="E18" i="21"/>
  <c r="F18" i="21"/>
  <c r="H18" i="21"/>
  <c r="I18" i="21"/>
  <c r="E19" i="21"/>
  <c r="F19" i="21"/>
  <c r="H19" i="21"/>
  <c r="I19" i="21"/>
  <c r="E20" i="21"/>
  <c r="F20" i="21"/>
  <c r="H20" i="21"/>
  <c r="I20" i="21"/>
  <c r="E21" i="21"/>
  <c r="F21" i="21"/>
  <c r="H21" i="21"/>
  <c r="I21" i="21"/>
  <c r="E22" i="21"/>
  <c r="F22" i="21"/>
  <c r="H22" i="21"/>
  <c r="I22" i="21"/>
  <c r="E23" i="21"/>
  <c r="F23" i="21"/>
  <c r="H23" i="21"/>
  <c r="I23" i="21"/>
  <c r="E24" i="21"/>
  <c r="F24" i="21"/>
  <c r="H24" i="21"/>
  <c r="I24" i="21"/>
  <c r="E25" i="21"/>
  <c r="F25" i="21"/>
  <c r="H25" i="21"/>
  <c r="I25" i="21"/>
  <c r="E26" i="21"/>
  <c r="F26" i="21"/>
  <c r="H26" i="21"/>
  <c r="I26" i="21"/>
  <c r="E27" i="21"/>
  <c r="F27" i="21"/>
  <c r="H27" i="21"/>
  <c r="H27" i="18" s="1"/>
  <c r="I27" i="18" s="1"/>
  <c r="I27" i="21"/>
  <c r="E28" i="21"/>
  <c r="F28" i="21" s="1"/>
  <c r="H28" i="21"/>
  <c r="I28" i="21" s="1"/>
  <c r="E29" i="21"/>
  <c r="F29" i="21"/>
  <c r="H29" i="21"/>
  <c r="I29" i="21"/>
  <c r="E30" i="21"/>
  <c r="F30" i="21"/>
  <c r="H30" i="21"/>
  <c r="I30" i="21"/>
  <c r="E31" i="21"/>
  <c r="F31" i="21"/>
  <c r="H31" i="21"/>
  <c r="I31" i="21"/>
  <c r="E32" i="21"/>
  <c r="F32" i="21"/>
  <c r="H32" i="21"/>
  <c r="I32" i="21"/>
  <c r="E33" i="21"/>
  <c r="F33" i="21"/>
  <c r="H33" i="21"/>
  <c r="I33" i="21"/>
  <c r="E34" i="21"/>
  <c r="F34" i="21"/>
  <c r="H34" i="21"/>
  <c r="I34" i="21"/>
  <c r="E35" i="21"/>
  <c r="F35" i="21"/>
  <c r="H35" i="21"/>
  <c r="H35" i="18" s="1"/>
  <c r="I35" i="18" s="1"/>
  <c r="I35" i="21"/>
  <c r="E36" i="21"/>
  <c r="F36" i="21"/>
  <c r="H36" i="21"/>
  <c r="I36" i="21"/>
  <c r="E37" i="21"/>
  <c r="F37" i="21"/>
  <c r="H37" i="21"/>
  <c r="I37" i="21"/>
  <c r="E38" i="21"/>
  <c r="F38" i="21"/>
  <c r="H38" i="21"/>
  <c r="I38" i="21"/>
  <c r="E18" i="4"/>
  <c r="F18" i="4"/>
  <c r="H18" i="4"/>
  <c r="I18" i="4"/>
  <c r="E19" i="4"/>
  <c r="F19" i="4"/>
  <c r="H19" i="4"/>
  <c r="I19" i="4"/>
  <c r="E20" i="4"/>
  <c r="F20" i="4"/>
  <c r="H20" i="4"/>
  <c r="I20" i="4"/>
  <c r="E21" i="4"/>
  <c r="F21" i="4"/>
  <c r="H21" i="4"/>
  <c r="I21" i="4"/>
  <c r="E22" i="4"/>
  <c r="F22" i="4"/>
  <c r="H22" i="4"/>
  <c r="I22" i="4"/>
  <c r="E23" i="4"/>
  <c r="F23" i="4"/>
  <c r="H23" i="4"/>
  <c r="I23" i="4"/>
  <c r="E24" i="4"/>
  <c r="F24" i="4"/>
  <c r="H24" i="4"/>
  <c r="I24" i="4"/>
  <c r="E25" i="4"/>
  <c r="F25" i="4"/>
  <c r="H25" i="4"/>
  <c r="I25" i="4"/>
  <c r="E26" i="4"/>
  <c r="F26" i="4"/>
  <c r="H26" i="4"/>
  <c r="I26" i="4"/>
  <c r="E27" i="4"/>
  <c r="F27" i="4"/>
  <c r="H27" i="4"/>
  <c r="I27" i="4"/>
  <c r="E28" i="4"/>
  <c r="F28" i="4"/>
  <c r="H28" i="4"/>
  <c r="I28" i="4"/>
  <c r="E29" i="4"/>
  <c r="F29" i="4"/>
  <c r="H29" i="4"/>
  <c r="I29" i="4"/>
  <c r="E30" i="4"/>
  <c r="F30" i="4"/>
  <c r="H30" i="4"/>
  <c r="I30" i="4"/>
  <c r="E31" i="4"/>
  <c r="F31" i="4"/>
  <c r="H31" i="4"/>
  <c r="I31" i="4"/>
  <c r="E32" i="4"/>
  <c r="F32" i="4"/>
  <c r="H32" i="4"/>
  <c r="I32" i="4"/>
  <c r="E33" i="4"/>
  <c r="F33" i="4"/>
  <c r="H33" i="4"/>
  <c r="I33" i="4"/>
  <c r="E34" i="4"/>
  <c r="F34" i="4"/>
  <c r="H34" i="4"/>
  <c r="I34" i="4"/>
  <c r="E35" i="4"/>
  <c r="F35" i="4"/>
  <c r="H35" i="4"/>
  <c r="I35" i="4"/>
  <c r="E36" i="4"/>
  <c r="F36" i="4"/>
  <c r="H36" i="4"/>
  <c r="I36" i="4"/>
  <c r="E37" i="4"/>
  <c r="F37" i="4"/>
  <c r="H37" i="4"/>
  <c r="I37" i="4"/>
  <c r="E38" i="4"/>
  <c r="F38" i="4"/>
  <c r="H38" i="4"/>
  <c r="I38" i="4"/>
  <c r="E18" i="3"/>
  <c r="F18" i="3"/>
  <c r="H18" i="3"/>
  <c r="I18" i="3"/>
  <c r="E19" i="3"/>
  <c r="F19" i="3"/>
  <c r="H19" i="3"/>
  <c r="I19" i="3"/>
  <c r="E20" i="3"/>
  <c r="F20" i="3"/>
  <c r="H20" i="3"/>
  <c r="I20" i="3"/>
  <c r="E21" i="3"/>
  <c r="F21" i="3"/>
  <c r="H21" i="3"/>
  <c r="I21" i="3"/>
  <c r="E22" i="3"/>
  <c r="F22" i="3"/>
  <c r="H22" i="3"/>
  <c r="I22" i="3"/>
  <c r="E23" i="3"/>
  <c r="F23" i="3"/>
  <c r="H23" i="3"/>
  <c r="I23" i="3"/>
  <c r="E24" i="3"/>
  <c r="F24" i="3"/>
  <c r="H24" i="3"/>
  <c r="I24" i="3"/>
  <c r="E25" i="3"/>
  <c r="F25" i="3"/>
  <c r="H25" i="3"/>
  <c r="I25" i="3"/>
  <c r="E26" i="3"/>
  <c r="F26" i="3"/>
  <c r="H26" i="3"/>
  <c r="I26" i="3"/>
  <c r="E27" i="3"/>
  <c r="F27" i="3"/>
  <c r="H27" i="3"/>
  <c r="I27" i="3"/>
  <c r="E28" i="3"/>
  <c r="F28" i="3"/>
  <c r="H28" i="3"/>
  <c r="I28" i="3"/>
  <c r="E29" i="3"/>
  <c r="F29" i="3"/>
  <c r="H29" i="3"/>
  <c r="I29" i="3"/>
  <c r="E30" i="3"/>
  <c r="F30" i="3"/>
  <c r="H30" i="3"/>
  <c r="I30" i="3"/>
  <c r="E31" i="3"/>
  <c r="F31" i="3"/>
  <c r="H31" i="3"/>
  <c r="I31" i="3"/>
  <c r="E32" i="3"/>
  <c r="F32" i="3"/>
  <c r="H32" i="3"/>
  <c r="I32" i="3"/>
  <c r="E33" i="3"/>
  <c r="F33" i="3"/>
  <c r="H33" i="3"/>
  <c r="I33" i="3"/>
  <c r="E34" i="3"/>
  <c r="F34" i="3"/>
  <c r="H34" i="3"/>
  <c r="I34" i="3"/>
  <c r="E35" i="3"/>
  <c r="F35" i="3"/>
  <c r="H35" i="3"/>
  <c r="I35" i="3"/>
  <c r="E36" i="3"/>
  <c r="F36" i="3"/>
  <c r="H36" i="3"/>
  <c r="I36" i="3"/>
  <c r="E37" i="3"/>
  <c r="F37" i="3"/>
  <c r="H37" i="3"/>
  <c r="I37" i="3"/>
  <c r="E38" i="3"/>
  <c r="F38" i="3"/>
  <c r="H38" i="3"/>
  <c r="I38" i="3"/>
  <c r="E18" i="72"/>
  <c r="F18" i="72"/>
  <c r="H18" i="72"/>
  <c r="I18" i="72"/>
  <c r="E19" i="72"/>
  <c r="F19" i="72"/>
  <c r="H19" i="72"/>
  <c r="I19" i="72"/>
  <c r="E20" i="72"/>
  <c r="F20" i="72"/>
  <c r="H20" i="72"/>
  <c r="I20" i="72"/>
  <c r="E21" i="72"/>
  <c r="F21" i="72"/>
  <c r="H21" i="72"/>
  <c r="I21" i="72"/>
  <c r="E22" i="72"/>
  <c r="F22" i="72"/>
  <c r="H22" i="72"/>
  <c r="I22" i="72"/>
  <c r="E23" i="72"/>
  <c r="F23" i="72"/>
  <c r="H23" i="72"/>
  <c r="I23" i="72"/>
  <c r="E24" i="72"/>
  <c r="F24" i="72"/>
  <c r="H24" i="72"/>
  <c r="I24" i="72"/>
  <c r="E25" i="72"/>
  <c r="F25" i="72"/>
  <c r="H25" i="72"/>
  <c r="I25" i="72"/>
  <c r="E26" i="72"/>
  <c r="F26" i="72"/>
  <c r="H26" i="72"/>
  <c r="I26" i="72"/>
  <c r="E27" i="72"/>
  <c r="F27" i="72"/>
  <c r="H27" i="72"/>
  <c r="I27" i="72"/>
  <c r="E28" i="72"/>
  <c r="F28" i="72"/>
  <c r="H28" i="72"/>
  <c r="I28" i="72"/>
  <c r="E29" i="72"/>
  <c r="F29" i="72"/>
  <c r="H29" i="72"/>
  <c r="I29" i="72"/>
  <c r="E30" i="72"/>
  <c r="F30" i="72"/>
  <c r="H30" i="72"/>
  <c r="I30" i="72"/>
  <c r="E31" i="72"/>
  <c r="F31" i="72"/>
  <c r="H31" i="72"/>
  <c r="I31" i="72"/>
  <c r="E32" i="72"/>
  <c r="F32" i="72"/>
  <c r="H32" i="72"/>
  <c r="I32" i="72"/>
  <c r="E33" i="72"/>
  <c r="F33" i="72"/>
  <c r="H33" i="72"/>
  <c r="I33" i="72"/>
  <c r="E34" i="72"/>
  <c r="F34" i="72"/>
  <c r="H34" i="72"/>
  <c r="I34" i="72"/>
  <c r="E35" i="72"/>
  <c r="F35" i="72"/>
  <c r="H35" i="72"/>
  <c r="I35" i="72"/>
  <c r="E36" i="72"/>
  <c r="F36" i="72"/>
  <c r="H36" i="72"/>
  <c r="I36" i="72"/>
  <c r="E37" i="72"/>
  <c r="F37" i="72"/>
  <c r="H37" i="72"/>
  <c r="I37" i="72"/>
  <c r="E38" i="72"/>
  <c r="F38" i="72"/>
  <c r="H38" i="72"/>
  <c r="I38" i="72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22" i="30"/>
  <c r="D22" i="30"/>
  <c r="E22" i="30"/>
  <c r="F22" i="30"/>
  <c r="H22" i="30"/>
  <c r="I22" i="30"/>
  <c r="C23" i="30"/>
  <c r="D23" i="30"/>
  <c r="E23" i="30"/>
  <c r="F23" i="30"/>
  <c r="H23" i="30"/>
  <c r="I23" i="30"/>
  <c r="C24" i="30"/>
  <c r="D24" i="30"/>
  <c r="E24" i="30"/>
  <c r="F24" i="30"/>
  <c r="H24" i="30"/>
  <c r="I24" i="30"/>
  <c r="C25" i="30"/>
  <c r="D25" i="30"/>
  <c r="E25" i="30"/>
  <c r="F25" i="30"/>
  <c r="H25" i="30"/>
  <c r="I25" i="30"/>
  <c r="C26" i="30"/>
  <c r="D26" i="30"/>
  <c r="E26" i="30"/>
  <c r="F26" i="30"/>
  <c r="H26" i="30"/>
  <c r="I26" i="30"/>
  <c r="C27" i="30"/>
  <c r="D27" i="30"/>
  <c r="E27" i="30"/>
  <c r="F27" i="30"/>
  <c r="H27" i="30"/>
  <c r="I27" i="30"/>
  <c r="C28" i="30"/>
  <c r="D28" i="30"/>
  <c r="E28" i="30"/>
  <c r="F28" i="30"/>
  <c r="H28" i="30"/>
  <c r="I28" i="30"/>
  <c r="C29" i="30"/>
  <c r="D29" i="30"/>
  <c r="E29" i="30"/>
  <c r="F29" i="30"/>
  <c r="H29" i="30"/>
  <c r="I29" i="30"/>
  <c r="C30" i="30"/>
  <c r="D30" i="30"/>
  <c r="E30" i="30"/>
  <c r="F30" i="30"/>
  <c r="H30" i="30"/>
  <c r="I30" i="30"/>
  <c r="C31" i="30"/>
  <c r="D31" i="30"/>
  <c r="E31" i="30"/>
  <c r="F31" i="30"/>
  <c r="H31" i="30"/>
  <c r="I31" i="30"/>
  <c r="C32" i="30"/>
  <c r="D32" i="30"/>
  <c r="E32" i="30"/>
  <c r="F32" i="30"/>
  <c r="H32" i="30"/>
  <c r="I32" i="30"/>
  <c r="C33" i="30"/>
  <c r="D33" i="30"/>
  <c r="E33" i="30"/>
  <c r="F33" i="30"/>
  <c r="H33" i="30"/>
  <c r="I33" i="30"/>
  <c r="C34" i="30"/>
  <c r="D34" i="30"/>
  <c r="E34" i="30"/>
  <c r="F34" i="30"/>
  <c r="H34" i="30"/>
  <c r="I34" i="30"/>
  <c r="C35" i="30"/>
  <c r="D35" i="30"/>
  <c r="E35" i="30"/>
  <c r="F35" i="30"/>
  <c r="H35" i="30"/>
  <c r="I35" i="30"/>
  <c r="C36" i="30"/>
  <c r="D36" i="30"/>
  <c r="E36" i="30"/>
  <c r="F36" i="30"/>
  <c r="H36" i="30"/>
  <c r="I36" i="30"/>
  <c r="C37" i="30"/>
  <c r="D37" i="30"/>
  <c r="E37" i="30"/>
  <c r="F37" i="30"/>
  <c r="H37" i="30"/>
  <c r="I37" i="30"/>
  <c r="C38" i="30"/>
  <c r="D38" i="30"/>
  <c r="E38" i="30"/>
  <c r="F38" i="30"/>
  <c r="H38" i="30"/>
  <c r="I38" i="30"/>
  <c r="C18" i="29"/>
  <c r="D18" i="29"/>
  <c r="E18" i="29" s="1"/>
  <c r="F18" i="29" s="1"/>
  <c r="C19" i="29"/>
  <c r="D19" i="29"/>
  <c r="C20" i="29"/>
  <c r="D20" i="29"/>
  <c r="C21" i="29"/>
  <c r="E21" i="29" s="1"/>
  <c r="F21" i="29" s="1"/>
  <c r="D21" i="29"/>
  <c r="C22" i="29"/>
  <c r="D22" i="29"/>
  <c r="C23" i="29"/>
  <c r="E23" i="29" s="1"/>
  <c r="F23" i="29" s="1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E27" i="29" s="1"/>
  <c r="F27" i="29" s="1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E38" i="29" s="1"/>
  <c r="F38" i="29" s="1"/>
  <c r="H38" i="29"/>
  <c r="I38" i="29" s="1"/>
  <c r="C18" i="18"/>
  <c r="D18" i="18"/>
  <c r="E18" i="18"/>
  <c r="F18" i="18"/>
  <c r="H18" i="18"/>
  <c r="I18" i="18"/>
  <c r="C19" i="18"/>
  <c r="D19" i="18"/>
  <c r="E19" i="18"/>
  <c r="F19" i="18"/>
  <c r="H19" i="18"/>
  <c r="I19" i="18"/>
  <c r="C20" i="18"/>
  <c r="D20" i="18"/>
  <c r="H20" i="18"/>
  <c r="I20" i="18"/>
  <c r="C21" i="18"/>
  <c r="D21" i="18"/>
  <c r="E21" i="18"/>
  <c r="F21" i="18"/>
  <c r="H21" i="18"/>
  <c r="I21" i="18"/>
  <c r="C22" i="18"/>
  <c r="D22" i="18"/>
  <c r="E22" i="18"/>
  <c r="F22" i="18"/>
  <c r="H22" i="18"/>
  <c r="I22" i="18"/>
  <c r="C23" i="18"/>
  <c r="D23" i="18"/>
  <c r="E23" i="18"/>
  <c r="F23" i="18"/>
  <c r="H23" i="18"/>
  <c r="I23" i="18"/>
  <c r="C24" i="18"/>
  <c r="D24" i="18"/>
  <c r="E24" i="18"/>
  <c r="F24" i="18"/>
  <c r="H24" i="18"/>
  <c r="I24" i="18"/>
  <c r="C25" i="18"/>
  <c r="D25" i="18"/>
  <c r="E25" i="18"/>
  <c r="F25" i="18"/>
  <c r="H25" i="18"/>
  <c r="I25" i="18"/>
  <c r="C26" i="18"/>
  <c r="D26" i="18"/>
  <c r="E26" i="18"/>
  <c r="F26" i="18"/>
  <c r="H26" i="18"/>
  <c r="I26" i="18"/>
  <c r="C27" i="18"/>
  <c r="D27" i="18"/>
  <c r="C28" i="18"/>
  <c r="D28" i="18"/>
  <c r="C29" i="18"/>
  <c r="D29" i="18"/>
  <c r="E29" i="18"/>
  <c r="F29" i="18"/>
  <c r="H29" i="18"/>
  <c r="I29" i="18"/>
  <c r="C30" i="18"/>
  <c r="D30" i="18"/>
  <c r="E30" i="18"/>
  <c r="F30" i="18"/>
  <c r="H30" i="18"/>
  <c r="I30" i="18"/>
  <c r="C31" i="18"/>
  <c r="D31" i="18"/>
  <c r="E31" i="18"/>
  <c r="F31" i="18"/>
  <c r="H31" i="18"/>
  <c r="I31" i="18"/>
  <c r="C32" i="18"/>
  <c r="D32" i="18"/>
  <c r="E32" i="18"/>
  <c r="F32" i="18"/>
  <c r="H32" i="18"/>
  <c r="I32" i="18"/>
  <c r="C33" i="18"/>
  <c r="D33" i="18"/>
  <c r="E33" i="18"/>
  <c r="F33" i="18"/>
  <c r="H33" i="18"/>
  <c r="I33" i="18"/>
  <c r="C34" i="18"/>
  <c r="D34" i="18"/>
  <c r="E34" i="18"/>
  <c r="F34" i="18"/>
  <c r="H34" i="18"/>
  <c r="I34" i="18"/>
  <c r="C35" i="18"/>
  <c r="D35" i="18"/>
  <c r="E35" i="18"/>
  <c r="F35" i="18"/>
  <c r="C36" i="18"/>
  <c r="D36" i="18"/>
  <c r="E36" i="18"/>
  <c r="F36" i="18"/>
  <c r="H36" i="18"/>
  <c r="I36" i="18"/>
  <c r="C37" i="18"/>
  <c r="D37" i="18"/>
  <c r="E37" i="18"/>
  <c r="F37" i="18"/>
  <c r="H37" i="18"/>
  <c r="I37" i="18"/>
  <c r="C38" i="18"/>
  <c r="D38" i="18"/>
  <c r="E38" i="18"/>
  <c r="F38" i="18"/>
  <c r="H38" i="18"/>
  <c r="I38" i="18"/>
  <c r="C17" i="34"/>
  <c r="D17" i="34"/>
  <c r="E17" i="34"/>
  <c r="F17" i="34"/>
  <c r="H17" i="34"/>
  <c r="I17" i="34"/>
  <c r="C18" i="34"/>
  <c r="D18" i="34"/>
  <c r="E18" i="34"/>
  <c r="F18" i="34"/>
  <c r="H18" i="34"/>
  <c r="I18" i="34"/>
  <c r="C19" i="34"/>
  <c r="D19" i="34"/>
  <c r="E19" i="34"/>
  <c r="F19" i="34"/>
  <c r="H19" i="34"/>
  <c r="I19" i="34"/>
  <c r="C20" i="34"/>
  <c r="D20" i="34"/>
  <c r="E20" i="34"/>
  <c r="F20" i="34"/>
  <c r="H20" i="34"/>
  <c r="I20" i="34"/>
  <c r="C21" i="34"/>
  <c r="D21" i="34"/>
  <c r="E21" i="34"/>
  <c r="F21" i="34"/>
  <c r="H21" i="34"/>
  <c r="I21" i="34"/>
  <c r="C22" i="34"/>
  <c r="D22" i="34"/>
  <c r="E22" i="34"/>
  <c r="F22" i="34"/>
  <c r="H22" i="34"/>
  <c r="I22" i="34"/>
  <c r="C23" i="34"/>
  <c r="D23" i="34"/>
  <c r="E23" i="34"/>
  <c r="F23" i="34"/>
  <c r="H23" i="34"/>
  <c r="I23" i="34"/>
  <c r="C24" i="34"/>
  <c r="D24" i="34"/>
  <c r="E24" i="34"/>
  <c r="F24" i="34"/>
  <c r="H24" i="34"/>
  <c r="I24" i="34"/>
  <c r="C25" i="34"/>
  <c r="D25" i="34"/>
  <c r="E25" i="34"/>
  <c r="F25" i="34"/>
  <c r="H25" i="34"/>
  <c r="I25" i="34"/>
  <c r="C26" i="34"/>
  <c r="D26" i="34"/>
  <c r="E26" i="34"/>
  <c r="F26" i="34"/>
  <c r="H26" i="34"/>
  <c r="I26" i="34"/>
  <c r="C27" i="34"/>
  <c r="D27" i="34"/>
  <c r="E27" i="34"/>
  <c r="F27" i="34"/>
  <c r="H27" i="34"/>
  <c r="I27" i="34"/>
  <c r="C28" i="34"/>
  <c r="D28" i="34"/>
  <c r="E28" i="34"/>
  <c r="F28" i="34"/>
  <c r="H28" i="34"/>
  <c r="I28" i="34"/>
  <c r="C29" i="34"/>
  <c r="D29" i="34"/>
  <c r="E29" i="34"/>
  <c r="F29" i="34"/>
  <c r="H29" i="34"/>
  <c r="I29" i="34"/>
  <c r="C30" i="34"/>
  <c r="D30" i="34"/>
  <c r="E30" i="34"/>
  <c r="F30" i="34"/>
  <c r="H30" i="34"/>
  <c r="I30" i="34"/>
  <c r="C31" i="34"/>
  <c r="D31" i="34"/>
  <c r="E31" i="34"/>
  <c r="F31" i="34"/>
  <c r="H31" i="34"/>
  <c r="I31" i="34"/>
  <c r="C32" i="34"/>
  <c r="D32" i="34"/>
  <c r="E32" i="34"/>
  <c r="F32" i="34"/>
  <c r="H32" i="34"/>
  <c r="I32" i="34"/>
  <c r="C33" i="34"/>
  <c r="D33" i="34"/>
  <c r="E33" i="34"/>
  <c r="F33" i="34"/>
  <c r="H33" i="34"/>
  <c r="I33" i="34"/>
  <c r="C34" i="34"/>
  <c r="D34" i="34"/>
  <c r="E34" i="34"/>
  <c r="F34" i="34"/>
  <c r="H34" i="34"/>
  <c r="I34" i="34"/>
  <c r="C35" i="34"/>
  <c r="D35" i="34"/>
  <c r="E35" i="34"/>
  <c r="F35" i="34"/>
  <c r="H35" i="34"/>
  <c r="I35" i="34"/>
  <c r="C36" i="34"/>
  <c r="D36" i="34"/>
  <c r="E36" i="34"/>
  <c r="F36" i="34"/>
  <c r="H36" i="34"/>
  <c r="I36" i="34"/>
  <c r="C37" i="34"/>
  <c r="D37" i="34"/>
  <c r="E37" i="34"/>
  <c r="F37" i="34"/>
  <c r="H37" i="34"/>
  <c r="I37" i="34"/>
  <c r="C38" i="34"/>
  <c r="D38" i="34"/>
  <c r="E38" i="34"/>
  <c r="F38" i="34"/>
  <c r="H38" i="34"/>
  <c r="I38" i="34"/>
  <c r="C18" i="1"/>
  <c r="D18" i="1"/>
  <c r="E18" i="1"/>
  <c r="F18" i="1"/>
  <c r="G18" i="1"/>
  <c r="H18" i="1"/>
  <c r="I18" i="1"/>
  <c r="C19" i="1"/>
  <c r="D19" i="1"/>
  <c r="E19" i="1"/>
  <c r="F19" i="1"/>
  <c r="G19" i="1"/>
  <c r="H19" i="1"/>
  <c r="I19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F23" i="1"/>
  <c r="G23" i="1"/>
  <c r="H23" i="1"/>
  <c r="I23" i="1"/>
  <c r="C24" i="1"/>
  <c r="D24" i="1"/>
  <c r="E24" i="1"/>
  <c r="F24" i="1"/>
  <c r="G24" i="1"/>
  <c r="H24" i="1"/>
  <c r="I24" i="1"/>
  <c r="C25" i="1"/>
  <c r="D25" i="1"/>
  <c r="E25" i="1"/>
  <c r="F25" i="1"/>
  <c r="G25" i="1"/>
  <c r="H25" i="1"/>
  <c r="I25" i="1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C28" i="1"/>
  <c r="D28" i="1"/>
  <c r="E28" i="1"/>
  <c r="F28" i="1"/>
  <c r="G28" i="1"/>
  <c r="H28" i="1"/>
  <c r="I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I30" i="1"/>
  <c r="C31" i="1"/>
  <c r="D31" i="1"/>
  <c r="E31" i="1"/>
  <c r="F31" i="1"/>
  <c r="G31" i="1"/>
  <c r="H31" i="1"/>
  <c r="I31" i="1"/>
  <c r="C32" i="1"/>
  <c r="D32" i="1"/>
  <c r="E32" i="1"/>
  <c r="F32" i="1"/>
  <c r="G32" i="1"/>
  <c r="H32" i="1"/>
  <c r="I32" i="1"/>
  <c r="C33" i="1"/>
  <c r="D33" i="1"/>
  <c r="E33" i="1"/>
  <c r="F33" i="1"/>
  <c r="G33" i="1"/>
  <c r="H33" i="1"/>
  <c r="I33" i="1"/>
  <c r="C34" i="1"/>
  <c r="D34" i="1"/>
  <c r="E34" i="1"/>
  <c r="F34" i="1"/>
  <c r="G34" i="1"/>
  <c r="H34" i="1"/>
  <c r="I34" i="1"/>
  <c r="C35" i="1"/>
  <c r="D35" i="1"/>
  <c r="E35" i="1"/>
  <c r="F35" i="1"/>
  <c r="G35" i="1"/>
  <c r="H35" i="1"/>
  <c r="I35" i="1"/>
  <c r="C36" i="1"/>
  <c r="D36" i="1"/>
  <c r="E36" i="1"/>
  <c r="F36" i="1"/>
  <c r="G36" i="1"/>
  <c r="H36" i="1"/>
  <c r="I36" i="1"/>
  <c r="C37" i="1"/>
  <c r="D37" i="1"/>
  <c r="E37" i="1"/>
  <c r="F37" i="1"/>
  <c r="G37" i="1"/>
  <c r="H37" i="1"/>
  <c r="I37" i="1"/>
  <c r="C38" i="1"/>
  <c r="D38" i="1"/>
  <c r="E38" i="1"/>
  <c r="F38" i="1"/>
  <c r="G38" i="1"/>
  <c r="H38" i="1"/>
  <c r="I38" i="1"/>
  <c r="C16" i="30"/>
  <c r="D16" i="30"/>
  <c r="E16" i="30"/>
  <c r="F16" i="30"/>
  <c r="H16" i="30"/>
  <c r="I16" i="30"/>
  <c r="C17" i="30"/>
  <c r="D17" i="30"/>
  <c r="E17" i="30"/>
  <c r="F17" i="30"/>
  <c r="H17" i="30"/>
  <c r="I17" i="30"/>
  <c r="C16" i="29"/>
  <c r="D16" i="29"/>
  <c r="E16" i="29" s="1"/>
  <c r="F16" i="29" s="1"/>
  <c r="C17" i="29"/>
  <c r="D17" i="29"/>
  <c r="C16" i="18"/>
  <c r="D16" i="18"/>
  <c r="E16" i="18"/>
  <c r="F16" i="18"/>
  <c r="C17" i="18"/>
  <c r="D17" i="18"/>
  <c r="E17" i="18"/>
  <c r="F17" i="18" s="1"/>
  <c r="C16" i="1"/>
  <c r="D16" i="1"/>
  <c r="E16" i="1"/>
  <c r="F16" i="1"/>
  <c r="G16" i="1"/>
  <c r="C17" i="1"/>
  <c r="D17" i="1"/>
  <c r="E17" i="1"/>
  <c r="F17" i="1"/>
  <c r="G17" i="1"/>
  <c r="C16" i="34"/>
  <c r="D16" i="34"/>
  <c r="E16" i="34"/>
  <c r="F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/>
  <c r="H17" i="3"/>
  <c r="I17" i="3"/>
  <c r="E16" i="72"/>
  <c r="F16" i="72"/>
  <c r="H16" i="72"/>
  <c r="I16" i="72"/>
  <c r="E17" i="72"/>
  <c r="F17" i="72"/>
  <c r="H17" i="72"/>
  <c r="I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30" i="29" l="1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I32" i="26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<sst xmlns="http://schemas.openxmlformats.org/spreadsheetml/2006/main" count="466" uniqueCount="178">
  <si>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</si>
  <si>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</si>
  <si>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</si>
  <si>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</si>
  <si>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</si>
  <si>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</si>
  <si>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</si>
  <si>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</si>
  <si>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</si>
  <si>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</si>
  <si>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</si>
  <si>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</si>
  <si>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</si>
  <si>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</si>
  <si>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</si>
  <si>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</si>
  <si>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</si>
  <si>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</si>
  <si>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</si>
  <si>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</si>
  <si>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</si>
  <si>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</si>
  <si>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</si>
  <si>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</si>
  <si>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</si>
  <si>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</si>
  <si>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</si>
  <si>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</si>
  <si>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 Site is underperforming. Peak performance is 7kW, but site capacity is 20kW.</t>
  </si>
  <si>
    <t>1.	SR084100</t>
  </si>
  <si>
    <t xml:space="preserve">1. microinverters are offline. BA.2, BA.3, BA.7, BA.8, BB.6, BB.7, BB.8, BC.5, BC.6, BC.7. </t>
  </si>
  <si>
    <t>1.SR084104</t>
  </si>
  <si>
    <t>1.Microinverter 202305090409 (B1.07) offline</t>
  </si>
  <si>
    <t>1.SR084072</t>
  </si>
  <si>
    <t xml:space="preserve">1.Microinverters 202305087223  (B1.2) offline from 04/19 and back online on 04/22  and  again offline on 04/27 and back on 04/28.
   Microinverter 202305087452 ( B1.7) offline 04/20 and back onlin on 04/21 and again offline from 04/27 and back online on 04/28
   Microinverter 202305092763 (B4.1) offline from 04/19 and back  online on 04/22 and again offline on 04/27 and back online on 04/28
    Microinverter  202305094910 (B5.1) offline from 04/19 and back  online on 04/22 and again offline on 04/27 and back online on 04/28
   Micoinverter 202305097717 ( B6.9) offline from 04/19 and back  online on 04/22     and again offline on 04/27 and back online on 04/28
</t>
  </si>
  <si>
    <t>1. SR085357</t>
  </si>
  <si>
    <t xml:space="preserve">1. 8 Microinverters are offline. </t>
  </si>
  <si>
    <r>
      <t>1.</t>
    </r>
    <r>
      <rPr>
        <b/>
        <sz val="12"/>
        <color theme="1"/>
        <rFont val="Calibri"/>
        <family val="2"/>
      </rPr>
      <t>SR084073</t>
    </r>
  </si>
  <si>
    <t>1. Microinverters B2.21, B3.24, and B3.26 are offline.</t>
  </si>
  <si>
    <t>1.SR084089</t>
  </si>
  <si>
    <t>1.Microinverters B3.20, B3.21, B3.22, and B3.25 are offline.</t>
  </si>
  <si>
    <t>1.SR084091</t>
  </si>
  <si>
    <t>1. Microinverter  202305087320 offline from 04/19 
    Micro inverter 202305090399 offline
    Microinverter 202305094444 offline from 04/18
2.  Gateway stopped communicating, cannot verify site production.</t>
  </si>
  <si>
    <t>1.	SR084093
2.SR085585</t>
  </si>
  <si>
    <t>1. Microinverter 202315097491 (B5:37) back online on 04/30.</t>
  </si>
  <si>
    <t>1.	SR084095</t>
  </si>
  <si>
    <t>1. Site was not communicating since 03/04.</t>
  </si>
  <si>
    <t>1. SR084096</t>
  </si>
  <si>
    <t>1. Site was not communicated for whole month.</t>
  </si>
  <si>
    <t>1. SR087220</t>
  </si>
  <si>
    <t>May Actual v. Expected</t>
  </si>
  <si>
    <t>May Actual v. Forecasted</t>
  </si>
  <si>
    <t>1. Site stopped communicating possibly offline from 05/08/2024</t>
  </si>
  <si>
    <t>1. SR084097</t>
  </si>
  <si>
    <t>1. Site is underperforming. Peak performance is 7kW, but site capacity is 20kW.</t>
  </si>
  <si>
    <t>1.SR084100</t>
  </si>
  <si>
    <t>1. 8 micro inverters are offline.</t>
  </si>
  <si>
    <t>1.SR084073</t>
  </si>
  <si>
    <t>1.Microinverters B2.21, B3.24, and B3.26 are offline.</t>
  </si>
  <si>
    <t>1.SR084093
2.SR085585</t>
  </si>
  <si>
    <t>1.Microinverters 202315097491 (B5:37) and 202315094282(B4.30) were offline since 05/01 and back online on 05/28</t>
  </si>
  <si>
    <t>1.SR084095</t>
  </si>
  <si>
    <t>1. Site was not communicated since 04/01 and regained comms on 05/29</t>
  </si>
  <si>
    <t>June Actual v. Expected</t>
  </si>
  <si>
    <t>June Actual v. Forecasted</t>
  </si>
  <si>
    <t>1. SR084100</t>
  </si>
  <si>
    <t xml:space="preserve">1. Microinverters are offline. BA.2, BA.3, BA.7, BA.8, BB.6, BB.7, BB.8, BC.5, BC.6, BC.7. </t>
  </si>
  <si>
    <t>1. Both microinverters stopped communicating, possibly offline from 06/06/2024 and back online on 06/12 &amp; also again offline from 06/15 and back online on 06/17.</t>
  </si>
  <si>
    <t>1.SR085742</t>
  </si>
  <si>
    <t>July Actual v. Expected</t>
  </si>
  <si>
    <t>July Actual v. Forecasted</t>
  </si>
  <si>
    <t>1. 4 Inverters down at the site 07/02.</t>
  </si>
  <si>
    <t>1.	SR087227</t>
  </si>
  <si>
    <t>1. AC voltage dropped to 0 on all packs on this site on 7/26 19:40 PDT</t>
  </si>
  <si>
    <t>1. SR088304</t>
  </si>
  <si>
    <t>1.SR084096</t>
  </si>
  <si>
    <t>August Actual v. Expected</t>
  </si>
  <si>
    <t>August Actual v. Forecasted</t>
  </si>
  <si>
    <t>1.Both microinverters offline from 8/15</t>
  </si>
  <si>
    <t>1.SR089116</t>
  </si>
  <si>
    <t>1.4 inverters down at the site</t>
  </si>
  <si>
    <t>1.Site offline from 8/28</t>
  </si>
  <si>
    <t>1.	SR089656</t>
  </si>
  <si>
    <t>September Actual v. Expected</t>
  </si>
  <si>
    <t>September Actual v. Forecasted</t>
  </si>
  <si>
    <t>1.Site stopped communicating from 9/4.</t>
  </si>
  <si>
    <t>1.SR084097</t>
  </si>
  <si>
    <t>1. 12 microinverters are not reporting from 9/28</t>
  </si>
  <si>
    <t>1.SR091352</t>
  </si>
  <si>
    <t>1. Gateway stopped communicating on 9/14. Possibly offline.</t>
  </si>
  <si>
    <t>1.SR090557</t>
  </si>
  <si>
    <t>1.Site back online on 9/20</t>
  </si>
  <si>
    <t>1.Microinverter 202305093039 offline</t>
  </si>
  <si>
    <t>1.SR090282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</si>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</sst>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b/>
      <sz val="12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4" activePane="bottomRight" state="frozen"/>
      <selection pane="bottomRight" activeCell="K28" sqref="K2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SUM('1st Qtr'!H4, '2nd Qtr'!H4, '3rd Qtr'!H4, '4th Qtr'!H4)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/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3" si="1">IFERROR(E6/D6, "")</f>
        <v/>
      </c>
      <c r="G6" s="15"/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/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/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/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/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/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/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/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>IF(AND(ISNUMBER(C14),ISNUMBER(D14)), C14-D14, "")</f>
        <v>0</v>
      </c>
      <c r="F14" s="14" t="str">
        <f>IFERROR(E14/D14, "")</f>
        <v/>
      </c>
      <c r="G14" s="15"/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>IF(AND(ISNUMBER(C15),ISNUMBER(D15)), C15-D15, "")</f>
        <v>0</v>
      </c>
      <c r="F15" s="19" t="str">
        <f>IFERROR(E15/D15, "")</f>
        <v/>
      </c>
      <c r="G15" s="20"/>
      <c r="H15" s="20">
        <f>SUM(Jan!H15, Feb!H15, Mar!H15)</f>
        <v>0</v>
      </c>
      <c r="I15" s="19" t="str">
        <f>IFERROR(H15/G15, "")</f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/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/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/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/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/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/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/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/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/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/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/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/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/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/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/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/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/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/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/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/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/>
      <c r="H38" s="15">
        <f>SUM(Jan!H38, Feb!H38, Mar!H38)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SUM(Jan!C26, Feb!C26, Mar!C26)</f>
        <v>0</v>
      </c>
      <c r="D26" s="13">
        <f>SUM(Jan!D26, Feb!D26, Mar!D26)</f>
        <v>0</v>
      </c>
      <c r="E26" s="13">
        <f t="shared" si="6"/>
        <v>0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SUM(Jan!C27, Feb!C27, Mar!C27)</f>
        <v>0</v>
      </c>
      <c r="D27" s="18">
        <f>SUM(Jan!D27, Feb!D27, Mar!D27)</f>
        <v>0</v>
      </c>
      <c r="E27" s="18">
        <f t="shared" si="6"/>
        <v>0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SUM(Jan!C28, Feb!C28, Mar!C28)</f>
        <v>0</v>
      </c>
      <c r="D28" s="13">
        <f>SUM(Jan!D28, Feb!D28, Mar!D28)</f>
        <v>0</v>
      </c>
      <c r="E28" s="13">
        <f t="shared" si="6"/>
        <v>0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SUM(Jan!C29, Feb!C29, Mar!C29)</f>
        <v>0</v>
      </c>
      <c r="D29" s="18">
        <f>SUM(Jan!D29, Feb!D29, Mar!D29)</f>
        <v>0</v>
      </c>
      <c r="E29" s="18">
        <f t="shared" si="6"/>
        <v>0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SUM(Jan!C30, Feb!C30, Mar!C30)</f>
        <v>0</v>
      </c>
      <c r="D30" s="13">
        <f>SUM(Jan!D30, Feb!D30, Mar!D30)</f>
        <v>0</v>
      </c>
      <c r="E30" s="13">
        <f t="shared" si="6"/>
        <v>0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SUM(Jan!C31, Feb!C31, Mar!C31)</f>
        <v>0</v>
      </c>
      <c r="D31" s="18">
        <f>SUM(Jan!D31, Feb!D31, Mar!D31)</f>
        <v>0</v>
      </c>
      <c r="E31" s="18">
        <f t="shared" si="6"/>
        <v>0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SUM(Jan!C32, Feb!C32, Mar!C32)</f>
        <v>0</v>
      </c>
      <c r="D32" s="13">
        <f>SUM(Jan!D32, Feb!D32, Mar!D32)</f>
        <v>0</v>
      </c>
      <c r="E32" s="13">
        <f t="shared" si="6"/>
        <v>0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SUM(Jan!C33, Feb!C33, Mar!C33)</f>
        <v>0</v>
      </c>
      <c r="D33" s="18">
        <f>SUM(Jan!D33, Feb!D33, Mar!D33)</f>
        <v>0</v>
      </c>
      <c r="E33" s="18">
        <f t="shared" si="6"/>
        <v>0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SUM(Jan!C34, Feb!C34, Mar!C34)</f>
        <v>0</v>
      </c>
      <c r="D34" s="13">
        <f>SUM(Jan!D34, Feb!D34, Mar!D34)</f>
        <v>0</v>
      </c>
      <c r="E34" s="13">
        <f t="shared" si="6"/>
        <v>0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SUM(Jan!C35, Feb!C35, Mar!C35)</f>
        <v>0</v>
      </c>
      <c r="D35" s="18">
        <f>SUM(Jan!D35, Feb!D35, Mar!D35)</f>
        <v>0</v>
      </c>
      <c r="E35" s="18">
        <f t="shared" si="6"/>
        <v>0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SUM(Jan!C37, Feb!C37, Mar!C37)</f>
        <v>0</v>
      </c>
      <c r="D37" s="18">
        <f>SUM(Jan!D37, Feb!D37, Mar!D37)</f>
        <v>0</v>
      </c>
      <c r="E37" s="18">
        <f t="shared" si="6"/>
        <v>0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SUM(Jan!C38, Feb!C38, Mar!C38)</f>
        <v>0</v>
      </c>
      <c r="D38" s="13">
        <f>SUM(Jan!D38, Feb!D38, Mar!D38)</f>
        <v>0</v>
      </c>
      <c r="E38" s="13">
        <f t="shared" si="6"/>
        <v>0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SUM(C4:C100)</f>
        <v>156152.399</v>
      </c>
      <c r="D2" s="5">
        <f>SUM(D4:D100)</f>
        <v>0</v>
      </c>
      <c r="E2" s="5">
        <f>C2-D2</f>
        <v>156152.399</v>
      </c>
      <c r="F2" s="6">
        <f>IFERROR(E2/D2, 0)</f>
        <v>0</v>
      </c>
      <c r="G2" s="5">
        <f>SUM(G4:G100)</f>
        <v>0</v>
      </c>
      <c r="H2" s="7">
        <f>C2-G2</f>
        <v>156152.399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SUM(Apr!C6, May!C6, Jun!C6)</f>
        <v>111.589</v>
      </c>
      <c r="D6" s="13">
        <f>SUM(Apr!D6, May!D6, Jun!D6)</f>
        <v>0</v>
      </c>
      <c r="E6" s="13">
        <f t="shared" si="0"/>
        <v>111.589</v>
      </c>
      <c r="F6" s="14" t="str">
        <f t="shared" ref="F6:F15" si="1">IFERROR(E6/D6, "")</f>
        <v/>
      </c>
      <c r="G6" s="15"/>
      <c r="H6" s="15">
        <f>SUM(Apr!H6, May!H6, Jun!H6)</f>
        <v>111.589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SUM(Apr!C7, May!C7, Jun!C7)</f>
        <v>3792.8730000000005</v>
      </c>
      <c r="D7" s="18">
        <f>SUM(Apr!D7, May!D7, Jun!D7)</f>
        <v>0</v>
      </c>
      <c r="E7" s="18">
        <f t="shared" si="0"/>
        <v>3792.8730000000005</v>
      </c>
      <c r="F7" s="19" t="str">
        <f t="shared" si="1"/>
        <v/>
      </c>
      <c r="G7" s="20"/>
      <c r="H7" s="20">
        <f>SUM(Apr!H7, May!H7, Jun!H7)</f>
        <v>3792.8730000000005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SUM(Apr!C8, May!C8, Jun!C8)</f>
        <v>4240.63</v>
      </c>
      <c r="D8" s="13">
        <f>SUM(Apr!D8, May!D8, Jun!D8)</f>
        <v>0</v>
      </c>
      <c r="E8" s="13">
        <f t="shared" si="0"/>
        <v>4240.63</v>
      </c>
      <c r="F8" s="14" t="str">
        <f t="shared" si="1"/>
        <v/>
      </c>
      <c r="G8" s="15"/>
      <c r="H8" s="15">
        <f>SUM(Apr!H8, May!H8, Jun!H8)</f>
        <v>4240.63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SUM(Apr!C9, May!C9, Jun!C9)</f>
        <v>0</v>
      </c>
      <c r="D9" s="18">
        <f>SUM(Apr!D9, May!D9, Jun!D9)</f>
        <v>0</v>
      </c>
      <c r="E9" s="18">
        <f t="shared" si="0"/>
        <v>0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SUM(Apr!C10, May!C10, Jun!C10)</f>
        <v>9432.9639999999999</v>
      </c>
      <c r="D10" s="13">
        <f>SUM(Apr!D10, May!D10, Jun!D10)</f>
        <v>0</v>
      </c>
      <c r="E10" s="13">
        <f t="shared" si="0"/>
        <v>9432.9639999999999</v>
      </c>
      <c r="F10" s="14" t="str">
        <f t="shared" si="1"/>
        <v/>
      </c>
      <c r="G10" s="15"/>
      <c r="H10" s="15">
        <f>SUM(Apr!H10, May!H10, Jun!H10)</f>
        <v>9432.9639999999999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SUM(Apr!C11, May!C11, Jun!C11)</f>
        <v>0</v>
      </c>
      <c r="D11" s="18">
        <f>SUM(Apr!D11, May!D11, Jun!D11)</f>
        <v>0</v>
      </c>
      <c r="E11" s="18">
        <f t="shared" si="0"/>
        <v>0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SUM(Apr!C12, May!C12, Jun!C12)</f>
        <v>14415.777</v>
      </c>
      <c r="D12" s="13">
        <f>SUM(Apr!D12, May!D12, Jun!D12)</f>
        <v>0</v>
      </c>
      <c r="E12" s="13">
        <f t="shared" si="0"/>
        <v>14415.777</v>
      </c>
      <c r="F12" s="14" t="str">
        <f t="shared" si="1"/>
        <v/>
      </c>
      <c r="G12" s="15"/>
      <c r="H12" s="15">
        <f>SUM(Apr!H12, May!H12, Jun!H12)</f>
        <v>14415.777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SUM(Apr!C14, May!C14, Jun!C14)</f>
        <v>26572.962</v>
      </c>
      <c r="D14" s="13">
        <f>SUM(Apr!D14, May!D14, Jun!D14)</f>
        <v>0</v>
      </c>
      <c r="E14" s="13">
        <f t="shared" si="0"/>
        <v>26572.962</v>
      </c>
      <c r="F14" s="14" t="str">
        <f t="shared" si="1"/>
        <v/>
      </c>
      <c r="G14" s="15"/>
      <c r="H14" s="15">
        <f>SUM(Apr!H14, May!H14, Jun!H14)</f>
        <v>26572.962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SUM(Apr!C15, May!C15, Jun!C15)</f>
        <v>345.64700000000005</v>
      </c>
      <c r="D15" s="18">
        <f>SUM(Apr!D15, May!D15, Jun!D15)</f>
        <v>0</v>
      </c>
      <c r="E15" s="18">
        <f t="shared" si="0"/>
        <v>345.64700000000005</v>
      </c>
      <c r="F15" s="19" t="str">
        <f t="shared" si="1"/>
        <v/>
      </c>
      <c r="G15" s="20"/>
      <c r="H15" s="20">
        <f>SUM(Apr!H15, May!H15, Jun!H15)</f>
        <v>345.64700000000005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SUM(Apr!C16, May!C16, Jun!C16)</f>
        <v>387.90500000000003</v>
      </c>
      <c r="D16" s="13">
        <f>SUM(Apr!D16, May!D16, Jun!D16)</f>
        <v>0</v>
      </c>
      <c r="E16" s="13">
        <f t="shared" ref="E16:E19" si="3">IF(AND(ISNUMBER(C16),ISNUMBER(D16)), C16-D16, "")</f>
        <v>387.90500000000003</v>
      </c>
      <c r="F16" s="14" t="str">
        <f t="shared" ref="F16:F19" si="4">IFERROR(E16/D16, "")</f>
        <v/>
      </c>
      <c r="G16" s="15"/>
      <c r="H16" s="15">
        <f>SUM(Apr!H16, May!H16, Jun!H16)</f>
        <v>387.90500000000003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SUM(Apr!C17, May!C17, Jun!C17)</f>
        <v>8459.8080000000009</v>
      </c>
      <c r="D17" s="18">
        <f>SUM(Apr!D17, May!D17, Jun!D17)</f>
        <v>0</v>
      </c>
      <c r="E17" s="18">
        <f t="shared" si="3"/>
        <v>8459.8080000000009</v>
      </c>
      <c r="F17" s="19" t="str">
        <f t="shared" si="4"/>
        <v/>
      </c>
      <c r="G17" s="20"/>
      <c r="H17" s="20">
        <f>SUM(Apr!H17, May!H17, Jun!H17)</f>
        <v>8459.8080000000009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SUM(Apr!C19, May!C19, Jun!C19)</f>
        <v>3984.4940000000001</v>
      </c>
      <c r="D19" s="18">
        <f>SUM(Apr!D19, May!D19, Jun!D19)</f>
        <v>0</v>
      </c>
      <c r="E19" s="18">
        <f t="shared" si="3"/>
        <v>3984.4940000000001</v>
      </c>
      <c r="F19" s="19" t="str">
        <f t="shared" si="4"/>
        <v/>
      </c>
      <c r="G19" s="20"/>
      <c r="H19" s="20">
        <f>SUM(Apr!H19, May!H19, Jun!H19)</f>
        <v>3984.4940000000001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SUM(Apr!C20, May!C20, Jun!C20)</f>
        <v>12024.476999999999</v>
      </c>
      <c r="D20" s="13">
        <f>SUM(Apr!D20, May!D20, Jun!D20)</f>
        <v>0</v>
      </c>
      <c r="E20" s="13">
        <f t="shared" ref="E20:E38" si="6">IF(AND(ISNUMBER(C20),ISNUMBER(D20)), C20-D20, "")</f>
        <v>12024.476999999999</v>
      </c>
      <c r="F20" s="14" t="str">
        <f t="shared" ref="F20:F38" si="7">IFERROR(E20/D20, "")</f>
        <v/>
      </c>
      <c r="G20" s="15"/>
      <c r="H20" s="15">
        <f>SUM(Apr!H20, May!H20, Jun!H20)</f>
        <v>12024.476999999999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SUM(Apr!C21, May!C21, Jun!C21)</f>
        <v>4541.1400000000003</v>
      </c>
      <c r="D21" s="18">
        <f>SUM(Apr!D21, May!D21, Jun!D21)</f>
        <v>0</v>
      </c>
      <c r="E21" s="18">
        <f t="shared" si="6"/>
        <v>4541.1400000000003</v>
      </c>
      <c r="F21" s="19" t="str">
        <f t="shared" si="7"/>
        <v/>
      </c>
      <c r="G21" s="20"/>
      <c r="H21" s="20">
        <f>SUM(Apr!H21, May!H21, Jun!H21)</f>
        <v>4541.1400000000003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SUM(Apr!C22, May!C22, Jun!C22)</f>
        <v>9230.4480000000003</v>
      </c>
      <c r="D22" s="13">
        <f>SUM(Apr!D22, May!D22, Jun!D22)</f>
        <v>0</v>
      </c>
      <c r="E22" s="13">
        <f t="shared" si="6"/>
        <v>9230.4480000000003</v>
      </c>
      <c r="F22" s="14" t="str">
        <f t="shared" si="7"/>
        <v/>
      </c>
      <c r="G22" s="15"/>
      <c r="H22" s="15">
        <f>SUM(Apr!H22, May!H22, Jun!H22)</f>
        <v>9230.4480000000003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SUM(Apr!C23, May!C23, Jun!C23)</f>
        <v>0</v>
      </c>
      <c r="D23" s="18">
        <f>SUM(Apr!D23, May!D23, Jun!D23)</f>
        <v>0</v>
      </c>
      <c r="E23" s="18">
        <f t="shared" si="6"/>
        <v>0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SUM(Apr!C24, May!C24, Jun!C24)</f>
        <v>8322.9240000000009</v>
      </c>
      <c r="D24" s="13">
        <f>SUM(Apr!D24, May!D24, Jun!D24)</f>
        <v>0</v>
      </c>
      <c r="E24" s="13">
        <f t="shared" si="6"/>
        <v>8322.9240000000009</v>
      </c>
      <c r="F24" s="14" t="str">
        <f t="shared" si="7"/>
        <v/>
      </c>
      <c r="G24" s="15"/>
      <c r="H24" s="15">
        <f>SUM(Apr!H24, May!H24, Jun!H24)</f>
        <v>8322.9240000000009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SUM(Apr!C25, May!C25, Jun!C25)</f>
        <v>4992.0209999999997</v>
      </c>
      <c r="D25" s="18">
        <f>SUM(Apr!D25, May!D25, Jun!D25)</f>
        <v>0</v>
      </c>
      <c r="E25" s="18">
        <f t="shared" si="6"/>
        <v>4992.0209999999997</v>
      </c>
      <c r="F25" s="19" t="str">
        <f t="shared" si="7"/>
        <v/>
      </c>
      <c r="G25" s="20"/>
      <c r="H25" s="20">
        <f>SUM(Apr!H25, May!H25, Jun!H25)</f>
        <v>4992.0209999999997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SUM(Apr!C26, May!C26, Jun!C26)</f>
        <v>5980.5859999999993</v>
      </c>
      <c r="D26" s="13">
        <f>SUM(Apr!D26, May!D26, Jun!D26)</f>
        <v>0</v>
      </c>
      <c r="E26" s="13">
        <f t="shared" si="6"/>
        <v>5980.5859999999993</v>
      </c>
      <c r="F26" s="14" t="str">
        <f t="shared" si="7"/>
        <v/>
      </c>
      <c r="G26" s="15"/>
      <c r="H26" s="15">
        <f>SUM(Apr!H26, May!H26, Jun!H26)</f>
        <v>5980.5859999999993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SUM(Apr!C27, May!C27, Jun!C27)</f>
        <v>3795.5860000000002</v>
      </c>
      <c r="D27" s="18">
        <f>SUM(Apr!D27, May!D27, Jun!D27)</f>
        <v>0</v>
      </c>
      <c r="E27" s="18">
        <f t="shared" si="6"/>
        <v>3795.5860000000002</v>
      </c>
      <c r="F27" s="19" t="str">
        <f t="shared" si="7"/>
        <v/>
      </c>
      <c r="G27" s="20"/>
      <c r="H27" s="20">
        <f>SUM(Apr!H27, May!H27, Jun!H27)</f>
        <v>3795.5860000000002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SUM(Apr!C28, May!C28, Jun!C28)</f>
        <v>4087.7749999999996</v>
      </c>
      <c r="D28" s="13">
        <f>SUM(Apr!D28, May!D28, Jun!D28)</f>
        <v>0</v>
      </c>
      <c r="E28" s="13">
        <f t="shared" si="6"/>
        <v>4087.7749999999996</v>
      </c>
      <c r="F28" s="14" t="str">
        <f t="shared" si="7"/>
        <v/>
      </c>
      <c r="G28" s="15"/>
      <c r="H28" s="15">
        <f>SUM(Apr!H28, May!H28, Jun!H28)</f>
        <v>4087.7749999999996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SUM(Apr!C29, May!C29, Jun!C29)</f>
        <v>2872.9949999999999</v>
      </c>
      <c r="D29" s="18">
        <f>SUM(Apr!D29, May!D29, Jun!D29)</f>
        <v>0</v>
      </c>
      <c r="E29" s="18">
        <f t="shared" si="6"/>
        <v>2872.9949999999999</v>
      </c>
      <c r="F29" s="19" t="str">
        <f t="shared" si="7"/>
        <v/>
      </c>
      <c r="G29" s="20"/>
      <c r="H29" s="20">
        <f>SUM(Apr!H29, May!H29, Jun!H29)</f>
        <v>2872.9949999999999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SUM(Apr!C30, May!C30, Jun!C30)</f>
        <v>3012.9719999999998</v>
      </c>
      <c r="D30" s="13">
        <f>SUM(Apr!D30, May!D30, Jun!D30)</f>
        <v>0</v>
      </c>
      <c r="E30" s="13">
        <f t="shared" si="6"/>
        <v>3012.9719999999998</v>
      </c>
      <c r="F30" s="14" t="str">
        <f t="shared" si="7"/>
        <v/>
      </c>
      <c r="G30" s="15"/>
      <c r="H30" s="15">
        <f>SUM(Apr!H30, May!H30, Jun!H30)</f>
        <v>3012.9719999999998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SUM(Apr!C31, May!C31, Jun!C31)</f>
        <v>7502.6049999999996</v>
      </c>
      <c r="D31" s="18">
        <f>SUM(Apr!D31, May!D31, Jun!D31)</f>
        <v>0</v>
      </c>
      <c r="E31" s="18">
        <f t="shared" si="6"/>
        <v>7502.6049999999996</v>
      </c>
      <c r="F31" s="19" t="str">
        <f t="shared" si="7"/>
        <v/>
      </c>
      <c r="G31" s="20"/>
      <c r="H31" s="20">
        <f>SUM(Apr!H31, May!H31, Jun!H31)</f>
        <v>7502.6049999999996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SUM(Apr!C32, May!C32, Jun!C32)</f>
        <v>0</v>
      </c>
      <c r="D32" s="13">
        <f>SUM(Apr!D32, May!D32, Jun!D32)</f>
        <v>0</v>
      </c>
      <c r="E32" s="13">
        <f t="shared" si="6"/>
        <v>0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SUM(Apr!C33, May!C33, Jun!C33)</f>
        <v>7567.2640000000001</v>
      </c>
      <c r="D33" s="18">
        <f>SUM(Apr!D33, May!D33, Jun!D33)</f>
        <v>0</v>
      </c>
      <c r="E33" s="18">
        <f t="shared" si="6"/>
        <v>7567.2640000000001</v>
      </c>
      <c r="F33" s="19" t="str">
        <f t="shared" si="7"/>
        <v/>
      </c>
      <c r="G33" s="20"/>
      <c r="H33" s="20">
        <f>SUM(Apr!H33, May!H33, Jun!H33)</f>
        <v>7567.2640000000001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SUM(Apr!C34, May!C34, Jun!C34)</f>
        <v>0</v>
      </c>
      <c r="D34" s="13">
        <f>SUM(Apr!D34, May!D34, Jun!D34)</f>
        <v>0</v>
      </c>
      <c r="E34" s="13">
        <f t="shared" si="6"/>
        <v>0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SUM(Apr!C35, May!C35, Jun!C35)</f>
        <v>183.61599999999999</v>
      </c>
      <c r="D35" s="18">
        <f>SUM(Apr!D35, May!D35, Jun!D35)</f>
        <v>0</v>
      </c>
      <c r="E35" s="18">
        <f t="shared" si="6"/>
        <v>183.61599999999999</v>
      </c>
      <c r="F35" s="19" t="str">
        <f t="shared" si="7"/>
        <v/>
      </c>
      <c r="G35" s="20"/>
      <c r="H35" s="20">
        <f>SUM(Apr!H35, May!H35, Jun!H35)</f>
        <v>21.916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SUM(Apr!C37, May!C37, Jun!C37)</f>
        <v>8576.0779999999995</v>
      </c>
      <c r="D37" s="18">
        <f>SUM(Apr!D37, May!D37, Jun!D37)</f>
        <v>0</v>
      </c>
      <c r="E37" s="18">
        <f t="shared" si="6"/>
        <v>8576.0779999999995</v>
      </c>
      <c r="F37" s="19" t="str">
        <f t="shared" si="7"/>
        <v/>
      </c>
      <c r="G37" s="20"/>
      <c r="H37" s="20">
        <f>SUM(Apr!H37, May!H37, Jun!H37)</f>
        <v>8576.0779999999995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SUM(Apr!C38, May!C38, Jun!C38)</f>
        <v>1717.2629999999999</v>
      </c>
      <c r="D38" s="13">
        <f>SUM(Apr!D38, May!D38, Jun!D38)</f>
        <v>0</v>
      </c>
      <c r="E38" s="13">
        <f t="shared" si="6"/>
        <v>1717.2629999999999</v>
      </c>
      <c r="F38" s="14" t="str">
        <f t="shared" si="7"/>
        <v/>
      </c>
      <c r="G38" s="15"/>
      <c r="H38" s="15">
        <f>SUM(Apr!H38, May!H38, Jun!H38)</f>
        <v>1717.2629999999999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4" activePane="bottomRight" state="frozen"/>
      <selection pane="bottomRight" activeCell="A14" sqref="A14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SUM(C4:C100)</f>
        <v>157905.37199999994</v>
      </c>
      <c r="D2" s="5">
        <f>SUM(D4:D100)</f>
        <v>0</v>
      </c>
      <c r="E2" s="5">
        <f>C2-D2</f>
        <v>157905.37199999994</v>
      </c>
      <c r="F2" s="6">
        <f>IFERROR(E2/D2, 0)</f>
        <v>0</v>
      </c>
      <c r="G2" s="5">
        <f>SUM(G4:G100)</f>
        <v>0</v>
      </c>
      <c r="H2" s="7">
        <f>C2-G2</f>
        <v>157905.37199999994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SUM(Jul!C6, Aug!C6, Sep!C6)</f>
        <v>221.3</v>
      </c>
      <c r="D6" s="13">
        <f>SUM(Jul!D6, Aug!D6, Sep!D6)</f>
        <v>0</v>
      </c>
      <c r="E6" s="13">
        <f t="shared" si="0"/>
        <v>221.3</v>
      </c>
      <c r="F6" s="14" t="str">
        <f t="shared" ref="F6:F15" si="1">IFERROR(E6/D6, "")</f>
        <v/>
      </c>
      <c r="G6" s="15"/>
      <c r="H6" s="15">
        <f>SUM(Jul!H6, Aug!H6, Sep!H6)</f>
        <v>221.3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SUM(Jul!C7, Aug!C7, Sep!C7)</f>
        <v>3417.5169999999998</v>
      </c>
      <c r="D7" s="18">
        <f>SUM(Jul!D7, Aug!D7, Sep!D7)</f>
        <v>0</v>
      </c>
      <c r="E7" s="18">
        <f t="shared" si="0"/>
        <v>3417.5169999999998</v>
      </c>
      <c r="F7" s="19" t="str">
        <f t="shared" si="1"/>
        <v/>
      </c>
      <c r="G7" s="20"/>
      <c r="H7" s="20">
        <f>SUM(Jul!H7, Aug!H7, Sep!H7)</f>
        <v>3417.5169999999998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SUM(Jul!C8, Aug!C8, Sep!C8)</f>
        <v>3990.7</v>
      </c>
      <c r="D8" s="13">
        <f>SUM(Jul!D8, Aug!D8, Sep!D8)</f>
        <v>0</v>
      </c>
      <c r="E8" s="13">
        <f t="shared" si="0"/>
        <v>3990.7</v>
      </c>
      <c r="F8" s="14" t="str">
        <f t="shared" si="1"/>
        <v/>
      </c>
      <c r="G8" s="15"/>
      <c r="H8" s="15">
        <f>SUM(Jul!H8, Aug!H8, Sep!H8)</f>
        <v>3990.7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SUM(Jul!C10, Aug!C10, Sep!C10)</f>
        <v>9385.5429999999997</v>
      </c>
      <c r="D10" s="13">
        <f>SUM(Jul!D10, Aug!D10, Sep!D10)</f>
        <v>0</v>
      </c>
      <c r="E10" s="13">
        <f t="shared" si="0"/>
        <v>9385.5429999999997</v>
      </c>
      <c r="F10" s="14" t="str">
        <f t="shared" si="1"/>
        <v/>
      </c>
      <c r="G10" s="15"/>
      <c r="H10" s="15">
        <f>SUM(Jul!H10, Aug!H10, Sep!H10)</f>
        <v>9385.5429999999997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SUM(Jul!C11, Aug!C11, Sep!C11)</f>
        <v>2400.1999999999998</v>
      </c>
      <c r="D11" s="18">
        <f>SUM(Jul!D11, Aug!D11, Sep!D11)</f>
        <v>0</v>
      </c>
      <c r="E11" s="18">
        <f t="shared" si="0"/>
        <v>2400.1999999999998</v>
      </c>
      <c r="F11" s="19" t="str">
        <f t="shared" si="1"/>
        <v/>
      </c>
      <c r="G11" s="20"/>
      <c r="H11" s="20">
        <f>SUM(Jul!H11, Aug!H11, Sep!H11)</f>
        <v>2400.1999999999998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SUM(Jul!C12, Aug!C12, Sep!C12)</f>
        <v>12571</v>
      </c>
      <c r="D12" s="13">
        <f>SUM(Jul!D12, Aug!D12, Sep!D12)</f>
        <v>0</v>
      </c>
      <c r="E12" s="13">
        <f t="shared" si="0"/>
        <v>12571</v>
      </c>
      <c r="F12" s="14" t="str">
        <f t="shared" si="1"/>
        <v/>
      </c>
      <c r="G12" s="15"/>
      <c r="H12" s="15">
        <f>SUM(Jul!H12, Aug!H12, Sep!H12)</f>
        <v>12571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SUM(Jul!C14, Aug!C14, Sep!C14)</f>
        <v>25193.82</v>
      </c>
      <c r="D14" s="13">
        <f>SUM(Jul!D14, Aug!D14, Sep!D14)</f>
        <v>0</v>
      </c>
      <c r="E14" s="13">
        <f t="shared" si="0"/>
        <v>25193.82</v>
      </c>
      <c r="F14" s="14" t="str">
        <f t="shared" si="1"/>
        <v/>
      </c>
      <c r="G14" s="15"/>
      <c r="H14" s="15">
        <f>SUM(Jul!H14, Aug!H14, Sep!H14)</f>
        <v>25193.82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SUM(Jul!C15, Aug!C15, Sep!C15)</f>
        <v>246.78899999999999</v>
      </c>
      <c r="D15" s="18">
        <f>SUM(Jul!D15, Aug!D15, Sep!D15)</f>
        <v>0</v>
      </c>
      <c r="E15" s="18">
        <f t="shared" si="0"/>
        <v>246.78899999999999</v>
      </c>
      <c r="F15" s="19" t="str">
        <f t="shared" si="1"/>
        <v/>
      </c>
      <c r="G15" s="20"/>
      <c r="H15" s="20">
        <f>SUM(Jul!H15, Aug!H15, Sep!H15)</f>
        <v>246.78899999999999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SUM(Jul!C16, Aug!C16, Sep!C16)</f>
        <v>370.64299999999997</v>
      </c>
      <c r="D16" s="13">
        <f>SUM(Jul!D16, Aug!D16, Sep!D16)</f>
        <v>0</v>
      </c>
      <c r="E16" s="13">
        <f t="shared" ref="E16:E19" si="3">IF(AND(ISNUMBER(C16),ISNUMBER(D16)), C16-D16, "")</f>
        <v>370.64299999999997</v>
      </c>
      <c r="F16" s="14" t="str">
        <f t="shared" ref="F16:F19" si="4">IFERROR(E16/D16, "")</f>
        <v/>
      </c>
      <c r="G16" s="15"/>
      <c r="H16" s="15">
        <f>SUM(Jul!H16, Aug!H16, Sep!H16)</f>
        <v>370.64299999999997</v>
      </c>
      <c r="I16" s="16" t="str">
        <f t="shared" ref="I16:I19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SUM(Jul!C17, Aug!C17, Sep!C17)</f>
        <v>6959.7</v>
      </c>
      <c r="D17" s="18">
        <f>SUM(Jul!D17, Aug!D17, Sep!D17)</f>
        <v>0</v>
      </c>
      <c r="E17" s="18">
        <f t="shared" si="3"/>
        <v>6959.7</v>
      </c>
      <c r="F17" s="19" t="str">
        <f t="shared" si="4"/>
        <v/>
      </c>
      <c r="G17" s="20"/>
      <c r="H17" s="20">
        <f>SUM(Jul!H17, Aug!H17, Sep!H17)</f>
        <v>6959.7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SUM(Jul!C19, Aug!C19, Sep!C19)</f>
        <v>4097</v>
      </c>
      <c r="D19" s="18">
        <f>SUM(Jul!D19, Aug!D19, Sep!D19)</f>
        <v>0</v>
      </c>
      <c r="E19" s="18">
        <f t="shared" si="3"/>
        <v>4097</v>
      </c>
      <c r="F19" s="19" t="str">
        <f t="shared" si="4"/>
        <v/>
      </c>
      <c r="G19" s="20"/>
      <c r="H19" s="20">
        <f>SUM(Jul!H19, Aug!H19, Sep!H19)</f>
        <v>4097</v>
      </c>
      <c r="I19" s="19" t="str">
        <f t="shared" si="5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SUM(Jul!C20, Aug!C20, Sep!C20)</f>
        <v>11971.1</v>
      </c>
      <c r="D20" s="13">
        <f>SUM(Jul!D20, Aug!D20, Sep!D20)</f>
        <v>0</v>
      </c>
      <c r="E20" s="13">
        <f t="shared" ref="E20:E38" si="6">IF(AND(ISNUMBER(C20),ISNUMBER(D20)), C20-D20, "")</f>
        <v>11971.1</v>
      </c>
      <c r="F20" s="14" t="str">
        <f t="shared" ref="F20:F38" si="7">IFERROR(E20/D20, "")</f>
        <v/>
      </c>
      <c r="G20" s="15"/>
      <c r="H20" s="15">
        <f>SUM(Jul!H20, Aug!H20, Sep!H20)</f>
        <v>11971.1</v>
      </c>
      <c r="I20" s="16" t="str">
        <f t="shared" ref="I20:I38" si="8">IFERROR(H20/G20, "")</f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SUM(Jul!C21, Aug!C21, Sep!C21)</f>
        <v>4450.7300000000005</v>
      </c>
      <c r="D21" s="18">
        <f>SUM(Jul!D21, Aug!D21, Sep!D21)</f>
        <v>0</v>
      </c>
      <c r="E21" s="18">
        <f t="shared" si="6"/>
        <v>4450.7300000000005</v>
      </c>
      <c r="F21" s="19" t="str">
        <f t="shared" si="7"/>
        <v/>
      </c>
      <c r="G21" s="20"/>
      <c r="H21" s="20">
        <f>SUM(Jul!H21, Aug!H21, Sep!H21)</f>
        <v>4450.7300000000005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SUM(Jul!C22, Aug!C22, Sep!C22)</f>
        <v>8990.9</v>
      </c>
      <c r="D22" s="13">
        <f>SUM(Jul!D22, Aug!D22, Sep!D22)</f>
        <v>0</v>
      </c>
      <c r="E22" s="13">
        <f t="shared" si="6"/>
        <v>8990.9</v>
      </c>
      <c r="F22" s="14" t="str">
        <f t="shared" si="7"/>
        <v/>
      </c>
      <c r="G22" s="15"/>
      <c r="H22" s="15">
        <f>SUM(Jul!H22, Aug!H22, Sep!H22)</f>
        <v>8990.9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SUM(Jul!C24, Aug!C24, Sep!C24)</f>
        <v>8200.2800000000007</v>
      </c>
      <c r="D24" s="13">
        <f>SUM(Jul!D24, Aug!D24, Sep!D24)</f>
        <v>0</v>
      </c>
      <c r="E24" s="13">
        <f t="shared" si="6"/>
        <v>8200.2800000000007</v>
      </c>
      <c r="F24" s="14" t="str">
        <f t="shared" si="7"/>
        <v/>
      </c>
      <c r="G24" s="15"/>
      <c r="H24" s="15">
        <f>SUM(Jul!H24, Aug!H24, Sep!H24)</f>
        <v>8200.2800000000007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SUM(Jul!C25, Aug!C25, Sep!C25)</f>
        <v>2198.6</v>
      </c>
      <c r="D25" s="18">
        <f>SUM(Jul!D25, Aug!D25, Sep!D25)</f>
        <v>0</v>
      </c>
      <c r="E25" s="18">
        <f t="shared" si="6"/>
        <v>2198.6</v>
      </c>
      <c r="F25" s="19" t="str">
        <f t="shared" si="7"/>
        <v/>
      </c>
      <c r="G25" s="20"/>
      <c r="H25" s="20">
        <f>SUM(Jul!H25, Aug!H25, Sep!H25)</f>
        <v>2198.6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SUM(Jul!C26, Aug!C26, Sep!C26)</f>
        <v>7771.4000000000005</v>
      </c>
      <c r="D26" s="13">
        <f>SUM(Jul!D26, Aug!D26, Sep!D26)</f>
        <v>0</v>
      </c>
      <c r="E26" s="13">
        <f t="shared" si="6"/>
        <v>7771.4000000000005</v>
      </c>
      <c r="F26" s="14" t="str">
        <f t="shared" si="7"/>
        <v/>
      </c>
      <c r="G26" s="15"/>
      <c r="H26" s="15">
        <f>SUM(Jul!H26, Aug!H26, Sep!H26)</f>
        <v>7771.4000000000005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SUM(Jul!C27, Aug!C27, Sep!C27)</f>
        <v>3811.9</v>
      </c>
      <c r="D27" s="18">
        <f>SUM(Jul!D27, Aug!D27, Sep!D27)</f>
        <v>0</v>
      </c>
      <c r="E27" s="18">
        <f t="shared" si="6"/>
        <v>3811.9</v>
      </c>
      <c r="F27" s="19" t="str">
        <f t="shared" si="7"/>
        <v/>
      </c>
      <c r="G27" s="20"/>
      <c r="H27" s="20">
        <f>SUM(Jul!H27, Aug!H27, Sep!H27)</f>
        <v>3811.9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SUM(Jul!C28, Aug!C28, Sep!C28)</f>
        <v>3942.0499999999997</v>
      </c>
      <c r="D28" s="13">
        <f>SUM(Jul!D28, Aug!D28, Sep!D28)</f>
        <v>0</v>
      </c>
      <c r="E28" s="13">
        <f t="shared" si="6"/>
        <v>3942.0499999999997</v>
      </c>
      <c r="F28" s="14" t="str">
        <f t="shared" si="7"/>
        <v/>
      </c>
      <c r="G28" s="15"/>
      <c r="H28" s="15">
        <f>SUM(Jul!H28, Aug!H28, Sep!H28)</f>
        <v>3942.0499999999997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SUM(Jul!C29, Aug!C29, Sep!C29)</f>
        <v>4402.7</v>
      </c>
      <c r="D29" s="18">
        <f>SUM(Jul!D29, Aug!D29, Sep!D29)</f>
        <v>0</v>
      </c>
      <c r="E29" s="18">
        <f t="shared" si="6"/>
        <v>4402.7</v>
      </c>
      <c r="F29" s="19" t="str">
        <f t="shared" si="7"/>
        <v/>
      </c>
      <c r="G29" s="20"/>
      <c r="H29" s="20">
        <f>SUM(Jul!H29, Aug!H29, Sep!H29)</f>
        <v>4402.7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SUM(Jul!C30, Aug!C30, Sep!C30)</f>
        <v>3661.1</v>
      </c>
      <c r="D30" s="13">
        <f>SUM(Jul!D30, Aug!D30, Sep!D30)</f>
        <v>0</v>
      </c>
      <c r="E30" s="13">
        <f t="shared" si="6"/>
        <v>3661.1</v>
      </c>
      <c r="F30" s="14" t="str">
        <f t="shared" si="7"/>
        <v/>
      </c>
      <c r="G30" s="15"/>
      <c r="H30" s="15">
        <f>SUM(Jul!H30, Aug!H30, Sep!H30)</f>
        <v>3661.1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SUM(Jul!C31, Aug!C31, Sep!C31)</f>
        <v>8958.6</v>
      </c>
      <c r="D31" s="18">
        <f>SUM(Jul!D31, Aug!D31, Sep!D31)</f>
        <v>0</v>
      </c>
      <c r="E31" s="18">
        <f t="shared" si="6"/>
        <v>8958.6</v>
      </c>
      <c r="F31" s="19" t="str">
        <f t="shared" si="7"/>
        <v/>
      </c>
      <c r="G31" s="20"/>
      <c r="H31" s="20">
        <f>SUM(Jul!H31, Aug!H31, Sep!H31)</f>
        <v>8958.6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SUM(Jul!C33, Aug!C33, Sep!C33)</f>
        <v>6878.2999999999993</v>
      </c>
      <c r="D33" s="18">
        <f>SUM(Jul!D33, Aug!D33, Sep!D33)</f>
        <v>0</v>
      </c>
      <c r="E33" s="18">
        <f t="shared" si="6"/>
        <v>6878.2999999999993</v>
      </c>
      <c r="F33" s="19" t="str">
        <f t="shared" si="7"/>
        <v/>
      </c>
      <c r="G33" s="20"/>
      <c r="H33" s="20">
        <f>SUM(Jul!H33, Aug!H33, Sep!H33)</f>
        <v>6878.2999999999993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SUM(Jul!C34, Aug!C34, Sep!C34)</f>
        <v>3590.3</v>
      </c>
      <c r="D34" s="13">
        <f>SUM(Jul!D34, Aug!D34, Sep!D34)</f>
        <v>0</v>
      </c>
      <c r="E34" s="13">
        <f t="shared" si="6"/>
        <v>3590.3</v>
      </c>
      <c r="F34" s="14" t="str">
        <f t="shared" si="7"/>
        <v/>
      </c>
      <c r="G34" s="15"/>
      <c r="H34" s="15">
        <f>SUM(Jul!H34, Aug!H34, Sep!H34)</f>
        <v>3590.3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SUM(Jul!C35, Aug!C35, Sep!C35)</f>
        <v>218.6</v>
      </c>
      <c r="D35" s="18">
        <f>SUM(Jul!D35, Aug!D35, Sep!D35)</f>
        <v>0</v>
      </c>
      <c r="E35" s="18">
        <f t="shared" si="6"/>
        <v>218.6</v>
      </c>
      <c r="F35" s="19" t="str">
        <f t="shared" si="7"/>
        <v/>
      </c>
      <c r="G35" s="20"/>
      <c r="H35" s="20">
        <f>SUM(Jul!H35, Aug!H35, Sep!H35)</f>
        <v>218.6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SUM(Jul!C37, Aug!C37, Sep!C37)</f>
        <v>8540.2999999999993</v>
      </c>
      <c r="D37" s="18">
        <f>SUM(Jul!D37, Aug!D37, Sep!D37)</f>
        <v>0</v>
      </c>
      <c r="E37" s="18">
        <f t="shared" si="6"/>
        <v>8540.2999999999993</v>
      </c>
      <c r="F37" s="19" t="str">
        <f t="shared" si="7"/>
        <v/>
      </c>
      <c r="G37" s="20"/>
      <c r="H37" s="20">
        <f>SUM(Jul!H37, Aug!H37, Sep!H37)</f>
        <v>8540.2999999999993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SUM(Jul!C38, Aug!C38, Sep!C38)</f>
        <v>1464.3</v>
      </c>
      <c r="D38" s="13">
        <f>SUM(Jul!D38, Aug!D38, Sep!D38)</f>
        <v>0</v>
      </c>
      <c r="E38" s="13">
        <f t="shared" si="6"/>
        <v>1464.3</v>
      </c>
      <c r="F38" s="14" t="str">
        <f t="shared" si="7"/>
        <v/>
      </c>
      <c r="G38" s="15"/>
      <c r="H38" s="15">
        <f>SUM(Jul!H38, Aug!H38, Sep!H38)</f>
        <v>1464.3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C4" activePane="bottomRight" state="frozen"/>
      <selection pane="bottomRight" activeCell="A16" sqref="A16:I38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Cushman &amp; Wakefield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7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75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75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75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75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75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75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75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7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75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75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75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75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75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75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75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75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75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75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75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75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75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75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75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75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75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75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75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7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75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75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15"/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10"/>
        <v/>
      </c>
      <c r="F26" s="14" t="str">
        <f t="shared" si="11"/>
        <v/>
      </c>
      <c r="G26" s="15"/>
      <c r="H26" s="15" t="str">
        <f t="shared" si="12"/>
        <v/>
      </c>
      <c r="I26" s="16" t="str">
        <f t="shared" si="13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10"/>
        <v/>
      </c>
      <c r="F27" s="19" t="str">
        <f t="shared" si="11"/>
        <v/>
      </c>
      <c r="G27" s="20"/>
      <c r="H27" s="20" t="str">
        <f t="shared" si="12"/>
        <v/>
      </c>
      <c r="I27" s="19" t="str">
        <f t="shared" si="13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10"/>
        <v/>
      </c>
      <c r="F28" s="14" t="str">
        <f t="shared" si="11"/>
        <v/>
      </c>
      <c r="G28" s="15"/>
      <c r="H28" s="15" t="str">
        <f t="shared" si="12"/>
        <v/>
      </c>
      <c r="I28" s="16" t="str">
        <f t="shared" si="13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10"/>
        <v/>
      </c>
      <c r="F29" s="19" t="str">
        <f t="shared" si="11"/>
        <v/>
      </c>
      <c r="G29" s="20"/>
      <c r="H29" s="20" t="str">
        <f t="shared" si="12"/>
        <v/>
      </c>
      <c r="I29" s="19" t="str">
        <f t="shared" si="13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10"/>
        <v/>
      </c>
      <c r="F30" s="14" t="str">
        <f t="shared" si="11"/>
        <v/>
      </c>
      <c r="G30" s="15"/>
      <c r="H30" s="15" t="str">
        <f t="shared" si="12"/>
        <v/>
      </c>
      <c r="I30" s="16" t="str">
        <f t="shared" si="13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10"/>
        <v/>
      </c>
      <c r="F31" s="19" t="str">
        <f t="shared" si="11"/>
        <v/>
      </c>
      <c r="G31" s="20"/>
      <c r="H31" s="20" t="str">
        <f t="shared" si="12"/>
        <v/>
      </c>
      <c r="I31" s="19" t="str">
        <f t="shared" si="13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10"/>
        <v/>
      </c>
      <c r="F32" s="14" t="str">
        <f t="shared" si="11"/>
        <v/>
      </c>
      <c r="G32" s="15"/>
      <c r="H32" s="15" t="str">
        <f t="shared" si="12"/>
        <v/>
      </c>
      <c r="I32" s="16" t="str">
        <f t="shared" si="13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10"/>
        <v/>
      </c>
      <c r="F33" s="19" t="str">
        <f t="shared" si="11"/>
        <v/>
      </c>
      <c r="G33" s="20"/>
      <c r="H33" s="20" t="str">
        <f t="shared" si="12"/>
        <v/>
      </c>
      <c r="I33" s="19" t="str">
        <f t="shared" si="13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10"/>
        <v/>
      </c>
      <c r="F34" s="14" t="str">
        <f t="shared" si="11"/>
        <v/>
      </c>
      <c r="G34" s="15"/>
      <c r="H34" s="15" t="str">
        <f t="shared" si="12"/>
        <v/>
      </c>
      <c r="I34" s="16" t="str">
        <f t="shared" si="13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10"/>
        <v/>
      </c>
      <c r="F35" s="19" t="str">
        <f t="shared" si="11"/>
        <v/>
      </c>
      <c r="G35" s="20"/>
      <c r="H35" s="20" t="str">
        <f t="shared" si="12"/>
        <v/>
      </c>
      <c r="I35" s="19" t="str">
        <f t="shared" si="13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10"/>
        <v/>
      </c>
      <c r="F36" s="14" t="str">
        <f t="shared" si="11"/>
        <v/>
      </c>
      <c r="G36" s="15"/>
      <c r="H36" s="15" t="str">
        <f t="shared" si="12"/>
        <v/>
      </c>
      <c r="I36" s="16" t="str">
        <f t="shared" si="13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10"/>
        <v/>
      </c>
      <c r="F37" s="19" t="str">
        <f t="shared" si="11"/>
        <v/>
      </c>
      <c r="G37" s="20"/>
      <c r="H37" s="20" t="str">
        <f t="shared" si="12"/>
        <v/>
      </c>
      <c r="I37" s="19" t="str">
        <f t="shared" si="13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10"/>
        <v/>
      </c>
      <c r="F38" s="14" t="str">
        <f t="shared" si="11"/>
        <v/>
      </c>
      <c r="G38" s="15"/>
      <c r="H38" s="15" t="str">
        <f t="shared" si="12"/>
        <v/>
      </c>
      <c r="I38" s="16" t="str">
        <f t="shared" si="13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15"/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8"/>
        <v/>
      </c>
      <c r="F26" s="14" t="str">
        <f t="shared" si="9"/>
        <v/>
      </c>
      <c r="G26" s="15"/>
      <c r="H26" s="15" t="str">
        <f t="shared" si="10"/>
        <v/>
      </c>
      <c r="I26" s="16" t="str">
        <f t="shared" si="11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8"/>
        <v/>
      </c>
      <c r="F27" s="19" t="str">
        <f t="shared" si="9"/>
        <v/>
      </c>
      <c r="G27" s="20"/>
      <c r="H27" s="20" t="str">
        <f t="shared" si="10"/>
        <v/>
      </c>
      <c r="I27" s="19" t="str">
        <f t="shared" si="11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8"/>
        <v/>
      </c>
      <c r="F28" s="14" t="str">
        <f t="shared" si="9"/>
        <v/>
      </c>
      <c r="G28" s="15"/>
      <c r="H28" s="15" t="str">
        <f t="shared" si="10"/>
        <v/>
      </c>
      <c r="I28" s="16" t="str">
        <f t="shared" si="11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8"/>
        <v/>
      </c>
      <c r="F29" s="19" t="str">
        <f t="shared" si="9"/>
        <v/>
      </c>
      <c r="G29" s="20"/>
      <c r="H29" s="20" t="str">
        <f t="shared" si="10"/>
        <v/>
      </c>
      <c r="I29" s="19" t="str">
        <f t="shared" si="11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8"/>
        <v/>
      </c>
      <c r="F30" s="14" t="str">
        <f t="shared" si="9"/>
        <v/>
      </c>
      <c r="G30" s="15"/>
      <c r="H30" s="15" t="str">
        <f t="shared" si="10"/>
        <v/>
      </c>
      <c r="I30" s="16" t="str">
        <f t="shared" si="11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8"/>
        <v/>
      </c>
      <c r="F31" s="19" t="str">
        <f t="shared" si="9"/>
        <v/>
      </c>
      <c r="G31" s="20"/>
      <c r="H31" s="20" t="str">
        <f t="shared" si="10"/>
        <v/>
      </c>
      <c r="I31" s="19" t="str">
        <f t="shared" si="11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8"/>
        <v/>
      </c>
      <c r="F32" s="14" t="str">
        <f t="shared" si="9"/>
        <v/>
      </c>
      <c r="G32" s="15"/>
      <c r="H32" s="15" t="str">
        <f t="shared" si="10"/>
        <v/>
      </c>
      <c r="I32" s="16" t="str">
        <f t="shared" si="11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8"/>
        <v/>
      </c>
      <c r="F33" s="19" t="str">
        <f t="shared" si="9"/>
        <v/>
      </c>
      <c r="G33" s="20"/>
      <c r="H33" s="20" t="str">
        <f t="shared" si="10"/>
        <v/>
      </c>
      <c r="I33" s="19" t="str">
        <f t="shared" si="11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8"/>
        <v/>
      </c>
      <c r="F34" s="14" t="str">
        <f t="shared" si="9"/>
        <v/>
      </c>
      <c r="G34" s="15"/>
      <c r="H34" s="15" t="str">
        <f t="shared" si="10"/>
        <v/>
      </c>
      <c r="I34" s="16" t="str">
        <f t="shared" si="11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8"/>
        <v/>
      </c>
      <c r="F35" s="19" t="str">
        <f t="shared" si="9"/>
        <v/>
      </c>
      <c r="G35" s="20"/>
      <c r="H35" s="20" t="str">
        <f t="shared" si="10"/>
        <v/>
      </c>
      <c r="I35" s="19" t="str">
        <f t="shared" si="11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8"/>
        <v/>
      </c>
      <c r="F36" s="14" t="str">
        <f t="shared" si="9"/>
        <v/>
      </c>
      <c r="G36" s="15"/>
      <c r="H36" s="15" t="str">
        <f t="shared" si="10"/>
        <v/>
      </c>
      <c r="I36" s="16" t="str">
        <f t="shared" si="11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8"/>
        <v/>
      </c>
      <c r="F37" s="19" t="str">
        <f t="shared" si="9"/>
        <v/>
      </c>
      <c r="G37" s="20"/>
      <c r="H37" s="20" t="str">
        <f t="shared" si="10"/>
        <v/>
      </c>
      <c r="I37" s="19" t="str">
        <f t="shared" si="11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8"/>
        <v/>
      </c>
      <c r="F38" s="14" t="str">
        <f t="shared" si="9"/>
        <v/>
      </c>
      <c r="G38" s="15"/>
      <c r="H38" s="15" t="str">
        <f t="shared" si="10"/>
        <v/>
      </c>
      <c r="I38" s="16" t="str">
        <f t="shared" si="11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xSplit="2" ySplit="3" topLeftCell="C16" activePane="bottomRight" state="frozen"/>
      <selection pane="bottomRight" activeCell="A16" sqref="A1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70" zoomScaleNormal="70" workbookViewId="0">
      <pane xSplit="2" ySplit="3" topLeftCell="C45" activePane="bottomRight" state="frozen"/>
      <selection pane="bottomRight" activeCell="L4" sqref="L4:L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46739.67</v>
      </c>
      <c r="D2" s="5">
        <f>SUM(D4:D98)</f>
        <v>0</v>
      </c>
      <c r="E2" s="5">
        <f>C2-D2</f>
        <v>46739.67</v>
      </c>
      <c r="F2" s="6">
        <f>IFERROR(E2/D2, 0)</f>
        <v>0</v>
      </c>
      <c r="G2" s="5">
        <f>SUM(G4:G98)</f>
        <v>0</v>
      </c>
      <c r="H2" s="7">
        <f>C2-G2</f>
        <v>46739.67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>
      <c r="A6" s="28" t="str">
        <v xml:space="preserve"> Arvin - Bank of America</v>
      </c>
      <c r="B6" s="29" t="str">
        <v>CA</v>
      </c>
      <c r="C6" s="24">
        <v>89.616</v>
      </c>
      <c r="D6" s="13">
        <v>0</v>
      </c>
      <c r="E6" s="13">
        <f t="shared" si="0"/>
        <v>89.616</v>
      </c>
      <c r="F6" s="14" t="str">
        <f t="shared" ref="F6:F17" si="3">IFERROR(E6/D6, "")</f>
        <v/>
      </c>
      <c r="G6" s="15">
        <v>0</v>
      </c>
      <c r="H6" s="15">
        <f t="shared" si="1"/>
        <v>89.616</v>
      </c>
      <c r="I6" s="16" t="str">
        <f t="shared" si="2"/>
        <v/>
      </c>
      <c r="J6" s="41"/>
      <c r="K6" s="41"/>
      <c r="L6" s="59"/>
    </row>
    <row r="7" spans="1:12" ht="15.75">
      <c r="A7" s="30" t="str">
        <v xml:space="preserve"> Bell - Bank of America</v>
      </c>
      <c r="B7" s="31" t="str">
        <v>CA</v>
      </c>
      <c r="C7" s="11">
        <v>1328.91</v>
      </c>
      <c r="D7" s="18">
        <v>0</v>
      </c>
      <c r="E7" s="18">
        <f t="shared" si="0"/>
        <v>1328.91</v>
      </c>
      <c r="F7" s="19" t="str">
        <f t="shared" si="3"/>
        <v/>
      </c>
      <c r="G7" s="20">
        <v>0</v>
      </c>
      <c r="H7" s="20">
        <f t="shared" si="1"/>
        <v>1328.91</v>
      </c>
      <c r="I7" s="19" t="str">
        <f t="shared" si="2"/>
        <v/>
      </c>
      <c r="J7" s="42" t="s">
        <v>28</v>
      </c>
      <c r="K7" s="43" t="s">
        <v>29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1406.354</v>
      </c>
      <c r="D8" s="13">
        <v>0</v>
      </c>
      <c r="E8" s="13">
        <f t="shared" si="0"/>
        <v>1406.354</v>
      </c>
      <c r="F8" s="14" t="str">
        <f t="shared" si="3"/>
        <v/>
      </c>
      <c r="G8" s="15">
        <v>0</v>
      </c>
      <c r="H8" s="15">
        <f t="shared" si="1"/>
        <v>1406.354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3093.107</v>
      </c>
      <c r="D10" s="13">
        <v>0</v>
      </c>
      <c r="E10" s="13">
        <f t="shared" si="0"/>
        <v>3093.107</v>
      </c>
      <c r="F10" s="14" t="str">
        <f t="shared" si="3"/>
        <v/>
      </c>
      <c r="G10" s="15">
        <v>0</v>
      </c>
      <c r="H10" s="15">
        <f t="shared" si="1"/>
        <v>3093.107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4725.482</v>
      </c>
      <c r="D12" s="13">
        <v>0</v>
      </c>
      <c r="E12" s="13">
        <f t="shared" si="0"/>
        <v>4725.482</v>
      </c>
      <c r="F12" s="14" t="str">
        <f t="shared" si="3"/>
        <v/>
      </c>
      <c r="G12" s="15">
        <v>0</v>
      </c>
      <c r="H12" s="15">
        <f t="shared" si="1"/>
        <v>4725.482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7831.8040000000001</v>
      </c>
      <c r="D14" s="13">
        <v>0</v>
      </c>
      <c r="E14" s="13">
        <f t="shared" si="0"/>
        <v>7831.8040000000001</v>
      </c>
      <c r="F14" s="14" t="str">
        <f t="shared" si="3"/>
        <v/>
      </c>
      <c r="G14" s="15">
        <v>0</v>
      </c>
      <c r="H14" s="15">
        <f t="shared" si="1"/>
        <v>7831.8040000000001</v>
      </c>
      <c r="I14" s="16" t="str">
        <f t="shared" si="2"/>
        <v/>
      </c>
      <c r="J14" s="41"/>
      <c r="K14" s="41"/>
      <c r="L14" s="59"/>
    </row>
    <row r="15" spans="1:12" ht="15.75">
      <c r="A15" s="30" t="str">
        <v xml:space="preserve"> San Bernardino - Bank of America</v>
      </c>
      <c r="B15" s="31" t="str">
        <v>CA</v>
      </c>
      <c r="C15" s="11">
        <v>123.486</v>
      </c>
      <c r="D15" s="18">
        <v>0</v>
      </c>
      <c r="E15" s="18">
        <f t="shared" si="0"/>
        <v>123.486</v>
      </c>
      <c r="F15" s="19" t="str">
        <f t="shared" si="3"/>
        <v/>
      </c>
      <c r="G15" s="20">
        <v>0</v>
      </c>
      <c r="H15" s="20">
        <f t="shared" si="1"/>
        <v>123.486</v>
      </c>
      <c r="I15" s="19" t="str">
        <f t="shared" si="2"/>
        <v/>
      </c>
      <c r="J15" s="42"/>
      <c r="K15" s="43"/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120.601</v>
      </c>
      <c r="D16" s="13">
        <v>0</v>
      </c>
      <c r="E16" s="13">
        <f t="shared" si="0"/>
        <v>120.601</v>
      </c>
      <c r="F16" s="14" t="str">
        <f t="shared" si="3"/>
        <v/>
      </c>
      <c r="G16" s="15">
        <v>0</v>
      </c>
      <c r="H16" s="15">
        <f t="shared" si="1"/>
        <v>120.601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2434.6759999999999</v>
      </c>
      <c r="D17" s="18">
        <v>0</v>
      </c>
      <c r="E17" s="18">
        <f t="shared" si="0"/>
        <v>2434.6759999999999</v>
      </c>
      <c r="F17" s="19" t="str">
        <f t="shared" si="3"/>
        <v/>
      </c>
      <c r="G17" s="20">
        <v>0</v>
      </c>
      <c r="H17" s="20">
        <f t="shared" si="1"/>
        <v>2434.6759999999999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1180.68</v>
      </c>
      <c r="D19" s="18">
        <v>0</v>
      </c>
      <c r="E19" s="18">
        <f t="shared" si="4"/>
        <v>1180.68</v>
      </c>
      <c r="F19" s="19" t="str">
        <f t="shared" si="5"/>
        <v/>
      </c>
      <c r="G19" s="20">
        <v>0</v>
      </c>
      <c r="H19" s="20">
        <f t="shared" si="6"/>
        <v>1180.68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71">
      <c r="A20" s="28" t="str">
        <v xml:space="preserve"> Aurora - BA - Parker Rd</v>
      </c>
      <c r="B20" s="29" t="str">
        <v>CO</v>
      </c>
      <c r="C20" s="24">
        <v>3520.819</v>
      </c>
      <c r="D20" s="13">
        <v>0</v>
      </c>
      <c r="E20" s="13">
        <f t="shared" si="4"/>
        <v>3520.819</v>
      </c>
      <c r="F20" s="14" t="str">
        <f t="shared" si="5"/>
        <v/>
      </c>
      <c r="G20" s="15">
        <v>0</v>
      </c>
      <c r="H20" s="15">
        <f t="shared" si="6"/>
        <v>3520.819</v>
      </c>
      <c r="I20" s="16" t="str">
        <f t="shared" si="7"/>
        <v/>
      </c>
      <c r="J20" s="57" t="s">
        <v>34</v>
      </c>
      <c r="K20" s="41" t="s">
        <v>35</v>
      </c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1441.335</v>
      </c>
      <c r="D21" s="18">
        <v>0</v>
      </c>
      <c r="E21" s="18">
        <f t="shared" si="4"/>
        <v>1441.335</v>
      </c>
      <c r="F21" s="19" t="str">
        <f t="shared" si="5"/>
        <v/>
      </c>
      <c r="G21" s="20">
        <v>0</v>
      </c>
      <c r="H21" s="20">
        <f t="shared" si="6"/>
        <v>1441.335</v>
      </c>
      <c r="I21" s="19" t="str">
        <f t="shared" si="7"/>
        <v/>
      </c>
      <c r="J21" s="42" t="s">
        <v>36</v>
      </c>
      <c r="K21" s="43" t="s">
        <v>37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2872.694</v>
      </c>
      <c r="D22" s="13">
        <v>0</v>
      </c>
      <c r="E22" s="13">
        <f t="shared" si="4"/>
        <v>2872.694</v>
      </c>
      <c r="F22" s="14" t="str">
        <f t="shared" si="5"/>
        <v/>
      </c>
      <c r="G22" s="15">
        <v>0</v>
      </c>
      <c r="H22" s="15">
        <f t="shared" si="6"/>
        <v>2872.694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2521.6770000000001</v>
      </c>
      <c r="D24" s="13">
        <v>0</v>
      </c>
      <c r="E24" s="13">
        <f t="shared" si="4"/>
        <v>2521.6770000000001</v>
      </c>
      <c r="F24" s="14" t="str">
        <f t="shared" si="5"/>
        <v/>
      </c>
      <c r="G24" s="15">
        <v>0</v>
      </c>
      <c r="H24" s="15">
        <f t="shared" si="6"/>
        <v>2521.6770000000001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1441.048</v>
      </c>
      <c r="D25" s="18">
        <v>0</v>
      </c>
      <c r="E25" s="18">
        <f t="shared" si="4"/>
        <v>1441.048</v>
      </c>
      <c r="F25" s="19" t="str">
        <f t="shared" si="5"/>
        <v/>
      </c>
      <c r="G25" s="20">
        <v>0</v>
      </c>
      <c r="H25" s="20">
        <f t="shared" si="6"/>
        <v>1441.048</v>
      </c>
      <c r="I25" s="19" t="str">
        <f t="shared" si="7"/>
        <v/>
      </c>
      <c r="J25" s="42" t="s">
        <v>38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1738.681</v>
      </c>
      <c r="D26" s="13">
        <v>0</v>
      </c>
      <c r="E26" s="13">
        <f t="shared" si="4"/>
        <v>1738.681</v>
      </c>
      <c r="F26" s="14" t="str">
        <f t="shared" si="5"/>
        <v/>
      </c>
      <c r="G26" s="15">
        <v>0</v>
      </c>
      <c r="H26" s="15">
        <f t="shared" si="6"/>
        <v>1738.681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1143.2739999999999</v>
      </c>
      <c r="D27" s="18">
        <v>0</v>
      </c>
      <c r="E27" s="18">
        <f t="shared" si="4"/>
        <v>1143.2739999999999</v>
      </c>
      <c r="F27" s="19" t="str">
        <f t="shared" si="5"/>
        <v/>
      </c>
      <c r="G27" s="20">
        <v>0</v>
      </c>
      <c r="H27" s="20">
        <f t="shared" si="6"/>
        <v>1143.2739999999999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1206.1759999999999</v>
      </c>
      <c r="D28" s="13">
        <v>0</v>
      </c>
      <c r="E28" s="13">
        <f t="shared" si="4"/>
        <v>1206.1759999999999</v>
      </c>
      <c r="F28" s="14" t="str">
        <f t="shared" si="5"/>
        <v/>
      </c>
      <c r="G28" s="15">
        <v>0</v>
      </c>
      <c r="H28" s="15">
        <f t="shared" si="6"/>
        <v>1206.1759999999999</v>
      </c>
      <c r="I28" s="16" t="str">
        <f t="shared" si="7"/>
        <v/>
      </c>
      <c r="J28" s="41"/>
      <c r="K28" s="41"/>
      <c r="L28" s="59"/>
    </row>
    <row r="29" spans="1:12" ht="57">
      <c r="A29" s="30" t="str">
        <v xml:space="preserve"> Thornton - Bank of America</v>
      </c>
      <c r="B29" s="31" t="str">
        <v>CO</v>
      </c>
      <c r="C29" s="11">
        <v>1282.6410000000001</v>
      </c>
      <c r="D29" s="18">
        <v>0</v>
      </c>
      <c r="E29" s="18">
        <f t="shared" si="4"/>
        <v>1282.6410000000001</v>
      </c>
      <c r="F29" s="19" t="str">
        <f t="shared" si="5"/>
        <v/>
      </c>
      <c r="G29" s="20">
        <v>0</v>
      </c>
      <c r="H29" s="20">
        <f t="shared" si="6"/>
        <v>1282.6410000000001</v>
      </c>
      <c r="I29" s="19" t="str">
        <f t="shared" si="7"/>
        <v/>
      </c>
      <c r="J29" s="42" t="s">
        <v>42</v>
      </c>
      <c r="K29" s="56" t="s">
        <v>43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839.46299999999997</v>
      </c>
      <c r="D30" s="13">
        <v>0</v>
      </c>
      <c r="E30" s="13">
        <f t="shared" si="4"/>
        <v>839.46299999999997</v>
      </c>
      <c r="F30" s="14" t="str">
        <f t="shared" si="5"/>
        <v/>
      </c>
      <c r="G30" s="15">
        <v>0</v>
      </c>
      <c r="H30" s="15">
        <f t="shared" si="6"/>
        <v>839.46299999999997</v>
      </c>
      <c r="I30" s="16" t="str">
        <f t="shared" si="7"/>
        <v/>
      </c>
      <c r="J30" s="41"/>
      <c r="K30" s="41"/>
      <c r="L30" s="59"/>
    </row>
    <row r="31" spans="1:12" ht="15.75">
      <c r="A31" s="30" t="str">
        <v xml:space="preserve"> Downers Grove - Bank of America</v>
      </c>
      <c r="B31" s="31" t="str">
        <v>IL</v>
      </c>
      <c r="C31" s="11">
        <v>1009.329</v>
      </c>
      <c r="D31" s="18">
        <v>0</v>
      </c>
      <c r="E31" s="18">
        <f t="shared" si="4"/>
        <v>1009.329</v>
      </c>
      <c r="F31" s="19" t="str">
        <f t="shared" si="5"/>
        <v/>
      </c>
      <c r="G31" s="20">
        <v>0</v>
      </c>
      <c r="H31" s="20">
        <f t="shared" si="6"/>
        <v>1009.329</v>
      </c>
      <c r="I31" s="19" t="str">
        <f t="shared" si="7"/>
        <v/>
      </c>
      <c r="J31" s="42" t="s">
        <v>44</v>
      </c>
      <c r="K31" s="43" t="s">
        <v>45</v>
      </c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2289.44</v>
      </c>
      <c r="D33" s="18">
        <v>0</v>
      </c>
      <c r="E33" s="18">
        <f t="shared" si="4"/>
        <v>2289.44</v>
      </c>
      <c r="F33" s="19" t="str">
        <f t="shared" si="5"/>
        <v/>
      </c>
      <c r="G33" s="20">
        <v>0</v>
      </c>
      <c r="H33" s="20">
        <f t="shared" si="6"/>
        <v>2289.44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0</v>
      </c>
      <c r="D35" s="18">
        <v>0</v>
      </c>
      <c r="E35" s="18">
        <f t="shared" si="4"/>
        <v>0</v>
      </c>
      <c r="F35" s="19" t="str">
        <f t="shared" si="5"/>
        <v/>
      </c>
      <c r="G35" s="20">
        <v>0</v>
      </c>
      <c r="H35" s="20">
        <f t="shared" si="6"/>
        <v>0</v>
      </c>
      <c r="I35" s="19" t="str">
        <f t="shared" si="7"/>
        <v/>
      </c>
      <c r="J35" s="42" t="s">
        <v>48</v>
      </c>
      <c r="K35" s="43" t="s">
        <v>49</v>
      </c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2585.596</v>
      </c>
      <c r="D37" s="18">
        <v>0</v>
      </c>
      <c r="E37" s="18">
        <f t="shared" si="4"/>
        <v>2585.596</v>
      </c>
      <c r="F37" s="19" t="str">
        <f t="shared" si="5"/>
        <v/>
      </c>
      <c r="G37" s="20">
        <v>0</v>
      </c>
      <c r="H37" s="20">
        <f t="shared" si="6"/>
        <v>2585.596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512.78099999999995</v>
      </c>
      <c r="D38" s="13">
        <v>0</v>
      </c>
      <c r="E38" s="13">
        <f t="shared" si="4"/>
        <v>512.78099999999995</v>
      </c>
      <c r="F38" s="14" t="str">
        <f t="shared" si="5"/>
        <v/>
      </c>
      <c r="G38" s="15">
        <v>0</v>
      </c>
      <c r="H38" s="15">
        <f t="shared" si="6"/>
        <v>512.78099999999995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0"/>
  <sheetViews>
    <sheetView zoomScale="80" zoomScaleNormal="80" workbookViewId="0">
      <pane xSplit="2" ySplit="3" topLeftCell="C28" activePane="bottomRight" state="frozen"/>
      <selection pane="bottomRight" activeCell="L4" sqref="L4:L4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54097.039000000004</v>
      </c>
      <c r="D2" s="5">
        <f>SUM(D4:D98)</f>
        <v>0</v>
      </c>
      <c r="E2" s="5">
        <f>C2-D2</f>
        <v>54097.039000000004</v>
      </c>
      <c r="F2" s="6">
        <f>IFERROR(E2/D2, 0)</f>
        <v>0</v>
      </c>
      <c r="G2" s="5">
        <f>SUM(G4:G98)</f>
        <v>0</v>
      </c>
      <c r="H2" s="7">
        <f>C2-G2</f>
        <v>54097.039000000004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75">
      <c r="A6" s="28" t="str">
        <v xml:space="preserve"> Arvin - Bank of America</v>
      </c>
      <c r="B6" s="29" t="str">
        <v>CA</v>
      </c>
      <c r="C6" s="24">
        <v>21.972999999999999</v>
      </c>
      <c r="D6" s="13">
        <v>0</v>
      </c>
      <c r="E6" s="13">
        <f t="shared" si="0"/>
        <v>21.972999999999999</v>
      </c>
      <c r="F6" s="14" t="str">
        <f t="shared" ref="F6:F17" si="3">IFERROR(E6/D6, "")</f>
        <v/>
      </c>
      <c r="G6" s="15">
        <v>0</v>
      </c>
      <c r="H6" s="15">
        <f t="shared" si="1"/>
        <v>21.972999999999999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15.75">
      <c r="A7" s="30" t="str">
        <v xml:space="preserve"> Bell - Bank of America</v>
      </c>
      <c r="B7" s="31" t="str">
        <v>CA</v>
      </c>
      <c r="C7" s="11">
        <v>1198.623</v>
      </c>
      <c r="D7" s="18">
        <v>0</v>
      </c>
      <c r="E7" s="18">
        <f t="shared" si="0"/>
        <v>1198.623</v>
      </c>
      <c r="F7" s="19" t="str">
        <f t="shared" si="3"/>
        <v/>
      </c>
      <c r="G7" s="20">
        <v>0</v>
      </c>
      <c r="H7" s="20">
        <f t="shared" si="1"/>
        <v>1198.623</v>
      </c>
      <c r="I7" s="19" t="str">
        <f t="shared" si="2"/>
        <v/>
      </c>
      <c r="J7" s="42" t="s">
        <v>54</v>
      </c>
      <c r="K7" s="43" t="s">
        <v>55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1452.3209999999999</v>
      </c>
      <c r="D8" s="13">
        <v>0</v>
      </c>
      <c r="E8" s="13">
        <f t="shared" si="0"/>
        <v>1452.3209999999999</v>
      </c>
      <c r="F8" s="14" t="str">
        <f t="shared" si="3"/>
        <v/>
      </c>
      <c r="G8" s="15">
        <v>0</v>
      </c>
      <c r="H8" s="15">
        <f t="shared" si="1"/>
        <v>1452.3209999999999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2941.9870000000001</v>
      </c>
      <c r="D10" s="13">
        <v>0</v>
      </c>
      <c r="E10" s="13">
        <f t="shared" si="0"/>
        <v>2941.9870000000001</v>
      </c>
      <c r="F10" s="14" t="str">
        <f t="shared" si="3"/>
        <v/>
      </c>
      <c r="G10" s="15">
        <v>0</v>
      </c>
      <c r="H10" s="15">
        <f t="shared" si="1"/>
        <v>2941.9870000000001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4958.2939999999999</v>
      </c>
      <c r="D12" s="13">
        <v>0</v>
      </c>
      <c r="E12" s="13">
        <f t="shared" si="0"/>
        <v>4958.2939999999999</v>
      </c>
      <c r="F12" s="14" t="str">
        <f t="shared" si="3"/>
        <v/>
      </c>
      <c r="G12" s="15">
        <v>0</v>
      </c>
      <c r="H12" s="15">
        <f t="shared" si="1"/>
        <v>4958.2939999999999</v>
      </c>
      <c r="I12" s="16" t="str">
        <f t="shared" si="2"/>
        <v/>
      </c>
      <c r="J12" s="41" t="s">
        <v>30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9427.4009999999998</v>
      </c>
      <c r="D14" s="13">
        <v>0</v>
      </c>
      <c r="E14" s="13">
        <f t="shared" si="0"/>
        <v>9427.4009999999998</v>
      </c>
      <c r="F14" s="14" t="str">
        <f t="shared" si="3"/>
        <v/>
      </c>
      <c r="G14" s="15">
        <v>0</v>
      </c>
      <c r="H14" s="15">
        <f t="shared" si="1"/>
        <v>9427.4009999999998</v>
      </c>
      <c r="I14" s="16" t="str">
        <f t="shared" si="2"/>
        <v/>
      </c>
      <c r="J14" s="41"/>
      <c r="K14" s="41"/>
      <c r="L14" s="59"/>
    </row>
    <row r="15" spans="1:12" ht="15.75">
      <c r="A15" s="30" t="str">
        <v xml:space="preserve"> San Bernardino - Bank of America</v>
      </c>
      <c r="B15" s="31" t="str">
        <v>CA</v>
      </c>
      <c r="C15" s="11">
        <v>133.09200000000001</v>
      </c>
      <c r="D15" s="18">
        <v>0</v>
      </c>
      <c r="E15" s="18">
        <f t="shared" si="0"/>
        <v>133.09200000000001</v>
      </c>
      <c r="F15" s="19" t="str">
        <f t="shared" si="3"/>
        <v/>
      </c>
      <c r="G15" s="20">
        <v>0</v>
      </c>
      <c r="H15" s="20">
        <f t="shared" si="1"/>
        <v>133.09200000000001</v>
      </c>
      <c r="I15" s="19" t="str">
        <f t="shared" si="2"/>
        <v/>
      </c>
      <c r="J15" s="42"/>
      <c r="K15" s="43"/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125.218</v>
      </c>
      <c r="D16" s="13">
        <v>0</v>
      </c>
      <c r="E16" s="13">
        <f t="shared" si="0"/>
        <v>125.218</v>
      </c>
      <c r="F16" s="14" t="str">
        <f t="shared" si="3"/>
        <v/>
      </c>
      <c r="G16" s="15">
        <v>0</v>
      </c>
      <c r="H16" s="15">
        <f t="shared" si="1"/>
        <v>125.218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3031.547</v>
      </c>
      <c r="D17" s="18">
        <v>0</v>
      </c>
      <c r="E17" s="18">
        <f t="shared" si="0"/>
        <v>3031.547</v>
      </c>
      <c r="F17" s="19" t="str">
        <f t="shared" si="3"/>
        <v/>
      </c>
      <c r="G17" s="20">
        <v>0</v>
      </c>
      <c r="H17" s="20">
        <f t="shared" si="1"/>
        <v>3031.547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1388.135</v>
      </c>
      <c r="D19" s="18">
        <v>0</v>
      </c>
      <c r="E19" s="18">
        <f t="shared" si="4"/>
        <v>1388.135</v>
      </c>
      <c r="F19" s="19" t="str">
        <f t="shared" si="5"/>
        <v/>
      </c>
      <c r="G19" s="20">
        <v>0</v>
      </c>
      <c r="H19" s="20">
        <f t="shared" si="6"/>
        <v>1388.135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75">
      <c r="A20" s="28" t="str">
        <v xml:space="preserve"> Aurora - BA - Parker Rd</v>
      </c>
      <c r="B20" s="29" t="str">
        <v>CO</v>
      </c>
      <c r="C20" s="24">
        <v>4257.4769999999999</v>
      </c>
      <c r="D20" s="13">
        <v>0</v>
      </c>
      <c r="E20" s="13">
        <f t="shared" si="4"/>
        <v>4257.4769999999999</v>
      </c>
      <c r="F20" s="14" t="str">
        <f t="shared" si="5"/>
        <v/>
      </c>
      <c r="G20" s="15">
        <v>0</v>
      </c>
      <c r="H20" s="15">
        <f t="shared" si="6"/>
        <v>4257.4769999999999</v>
      </c>
      <c r="I20" s="16" t="str">
        <f t="shared" si="7"/>
        <v/>
      </c>
      <c r="J20" s="41"/>
      <c r="K20" s="41"/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1731.8489999999999</v>
      </c>
      <c r="D21" s="18">
        <v>0</v>
      </c>
      <c r="E21" s="18">
        <f t="shared" si="4"/>
        <v>1731.8489999999999</v>
      </c>
      <c r="F21" s="19" t="str">
        <f t="shared" si="5"/>
        <v/>
      </c>
      <c r="G21" s="20">
        <v>0</v>
      </c>
      <c r="H21" s="20">
        <f t="shared" si="6"/>
        <v>1731.8489999999999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3258.2260000000001</v>
      </c>
      <c r="D22" s="13">
        <v>0</v>
      </c>
      <c r="E22" s="13">
        <f t="shared" si="4"/>
        <v>3258.2260000000001</v>
      </c>
      <c r="F22" s="14" t="str">
        <f t="shared" si="5"/>
        <v/>
      </c>
      <c r="G22" s="15">
        <v>0</v>
      </c>
      <c r="H22" s="15">
        <f t="shared" si="6"/>
        <v>3258.2260000000001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2897.3</v>
      </c>
      <c r="D24" s="13">
        <v>0</v>
      </c>
      <c r="E24" s="13">
        <f t="shared" si="4"/>
        <v>2897.3</v>
      </c>
      <c r="F24" s="14" t="str">
        <f t="shared" si="5"/>
        <v/>
      </c>
      <c r="G24" s="15">
        <v>0</v>
      </c>
      <c r="H24" s="15">
        <f t="shared" si="6"/>
        <v>2897.3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1800.01</v>
      </c>
      <c r="D25" s="18">
        <v>0</v>
      </c>
      <c r="E25" s="18">
        <f t="shared" si="4"/>
        <v>1800.01</v>
      </c>
      <c r="F25" s="19" t="str">
        <f t="shared" si="5"/>
        <v/>
      </c>
      <c r="G25" s="20">
        <v>0</v>
      </c>
      <c r="H25" s="20">
        <f t="shared" si="6"/>
        <v>1800.01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2171.0839999999998</v>
      </c>
      <c r="D26" s="13">
        <v>0</v>
      </c>
      <c r="E26" s="13">
        <f t="shared" si="4"/>
        <v>2171.0839999999998</v>
      </c>
      <c r="F26" s="14" t="str">
        <f t="shared" si="5"/>
        <v/>
      </c>
      <c r="G26" s="15">
        <v>0</v>
      </c>
      <c r="H26" s="15">
        <f t="shared" si="6"/>
        <v>2171.0839999999998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1328.74</v>
      </c>
      <c r="D27" s="18">
        <v>0</v>
      </c>
      <c r="E27" s="18">
        <f t="shared" si="4"/>
        <v>1328.74</v>
      </c>
      <c r="F27" s="19" t="str">
        <f t="shared" si="5"/>
        <v/>
      </c>
      <c r="G27" s="20">
        <v>0</v>
      </c>
      <c r="H27" s="20">
        <f t="shared" si="6"/>
        <v>1328.74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1464.895</v>
      </c>
      <c r="D28" s="13">
        <v>0</v>
      </c>
      <c r="E28" s="13">
        <f t="shared" si="4"/>
        <v>1464.895</v>
      </c>
      <c r="F28" s="14" t="str">
        <f t="shared" si="5"/>
        <v/>
      </c>
      <c r="G28" s="15">
        <v>0</v>
      </c>
      <c r="H28" s="15">
        <f t="shared" si="6"/>
        <v>1464.895</v>
      </c>
      <c r="I28" s="16" t="str">
        <f t="shared" si="7"/>
        <v/>
      </c>
      <c r="J28" s="41"/>
      <c r="K28" s="41"/>
      <c r="L28" s="59"/>
    </row>
    <row r="29" spans="1:12" ht="57">
      <c r="A29" s="30" t="str">
        <v xml:space="preserve"> Thornton - Bank of America</v>
      </c>
      <c r="B29" s="31" t="str">
        <v>CO</v>
      </c>
      <c r="C29" s="11">
        <v>146.17500000000001</v>
      </c>
      <c r="D29" s="18">
        <v>0</v>
      </c>
      <c r="E29" s="18">
        <f t="shared" si="4"/>
        <v>146.17500000000001</v>
      </c>
      <c r="F29" s="19" t="str">
        <f t="shared" si="5"/>
        <v/>
      </c>
      <c r="G29" s="20">
        <v>0</v>
      </c>
      <c r="H29" s="20">
        <f t="shared" si="6"/>
        <v>146.17500000000001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1093.383</v>
      </c>
      <c r="D30" s="13">
        <v>0</v>
      </c>
      <c r="E30" s="13">
        <f t="shared" si="4"/>
        <v>1093.383</v>
      </c>
      <c r="F30" s="14" t="str">
        <f t="shared" si="5"/>
        <v/>
      </c>
      <c r="G30" s="15">
        <v>0</v>
      </c>
      <c r="H30" s="15">
        <f t="shared" si="6"/>
        <v>1093.383</v>
      </c>
      <c r="I30" s="16" t="str">
        <f t="shared" si="7"/>
        <v/>
      </c>
      <c r="J30" s="41"/>
      <c r="K30" s="41"/>
      <c r="L30" s="59"/>
    </row>
    <row r="31" spans="1:12" ht="28.5">
      <c r="A31" s="30" t="str">
        <v xml:space="preserve"> Downers Grove - Bank of America</v>
      </c>
      <c r="B31" s="31" t="str">
        <v>IL</v>
      </c>
      <c r="C31" s="11">
        <v>3287.0729999999999</v>
      </c>
      <c r="D31" s="18">
        <v>0</v>
      </c>
      <c r="E31" s="18">
        <f t="shared" si="4"/>
        <v>3287.0729999999999</v>
      </c>
      <c r="F31" s="19" t="str">
        <f t="shared" si="5"/>
        <v/>
      </c>
      <c r="G31" s="20">
        <v>0</v>
      </c>
      <c r="H31" s="20">
        <f t="shared" si="6"/>
        <v>3287.0729999999999</v>
      </c>
      <c r="I31" s="19" t="str">
        <f t="shared" si="7"/>
        <v/>
      </c>
      <c r="J31" s="42" t="s">
        <v>60</v>
      </c>
      <c r="K31" s="43" t="s">
        <v>61</v>
      </c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2481.1179999999999</v>
      </c>
      <c r="D33" s="18">
        <v>0</v>
      </c>
      <c r="E33" s="18">
        <f t="shared" si="4"/>
        <v>2481.1179999999999</v>
      </c>
      <c r="F33" s="19" t="str">
        <f t="shared" si="5"/>
        <v/>
      </c>
      <c r="G33" s="20">
        <v>0</v>
      </c>
      <c r="H33" s="20">
        <f t="shared" si="6"/>
        <v>2481.1179999999999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21.916</v>
      </c>
      <c r="D35" s="18">
        <v>0</v>
      </c>
      <c r="E35" s="18">
        <f t="shared" si="4"/>
        <v>21.916</v>
      </c>
      <c r="F35" s="19" t="str">
        <f t="shared" si="5"/>
        <v/>
      </c>
      <c r="G35" s="20">
        <v>0</v>
      </c>
      <c r="H35" s="20">
        <f t="shared" si="6"/>
        <v>21.916</v>
      </c>
      <c r="I35" s="19" t="str">
        <f t="shared" si="7"/>
        <v/>
      </c>
      <c r="J35" s="42" t="s">
        <v>62</v>
      </c>
      <c r="K35" s="43" t="s">
        <v>49</v>
      </c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2912.8490000000002</v>
      </c>
      <c r="D37" s="18">
        <v>0</v>
      </c>
      <c r="E37" s="18">
        <f t="shared" si="4"/>
        <v>2912.8490000000002</v>
      </c>
      <c r="F37" s="19" t="str">
        <f t="shared" si="5"/>
        <v/>
      </c>
      <c r="G37" s="20">
        <v>0</v>
      </c>
      <c r="H37" s="20">
        <f t="shared" si="6"/>
        <v>2912.8490000000002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566.35299999999995</v>
      </c>
      <c r="D38" s="13">
        <v>0</v>
      </c>
      <c r="E38" s="13">
        <f t="shared" si="4"/>
        <v>566.35299999999995</v>
      </c>
      <c r="F38" s="14" t="str">
        <f t="shared" si="5"/>
        <v/>
      </c>
      <c r="G38" s="15">
        <v>0</v>
      </c>
      <c r="H38" s="15">
        <f t="shared" si="6"/>
        <v>566.35299999999995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70" zoomScaleNormal="70" workbookViewId="0">
      <pane xSplit="2" ySplit="3" topLeftCell="C8" activePane="bottomRight" state="frozen"/>
      <selection pane="bottomRight" activeCell="J34" sqref="J34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Cushman &amp; Wakefield</v>
      </c>
      <c r="B1" s="61"/>
      <c r="C1" s="61"/>
      <c r="D1" s="62" t="s">
        <v>63</v>
      </c>
      <c r="E1" s="62"/>
      <c r="F1" s="62"/>
      <c r="G1" s="60" t="s">
        <v>64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SUM(C4:C98)</f>
        <v>55315.689999999995</v>
      </c>
      <c r="D2" s="5">
        <f>SUM(D4:D98)</f>
        <v>0</v>
      </c>
      <c r="E2" s="5">
        <f>C2-D2</f>
        <v>55315.689999999995</v>
      </c>
      <c r="F2" s="6">
        <f>IFERROR(E2/D2, 0)</f>
        <v>0</v>
      </c>
      <c r="G2" s="5">
        <f>SUM(G4:G98)</f>
        <v>0</v>
      </c>
      <c r="H2" s="7">
        <f>C2-G2</f>
        <v>55315.689999999995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75">
      <c r="A5" s="30" t="str">
        <v xml:space="preserve"> Apple Valley - Bank of America</v>
      </c>
      <c r="B5" s="31" t="str">
        <v>CA</v>
      </c>
      <c r="C5" s="11">
        <v>0</v>
      </c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0</v>
      </c>
      <c r="D6" s="13">
        <v>0</v>
      </c>
      <c r="E6" s="13">
        <f t="shared" si="0"/>
        <v>0</v>
      </c>
      <c r="F6" s="14" t="str">
        <f t="shared" ref="F6:F17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41" t="s">
        <v>52</v>
      </c>
      <c r="K6" s="41" t="s">
        <v>53</v>
      </c>
      <c r="L6" s="59"/>
    </row>
    <row r="7" spans="1:12" ht="54" customHeight="1">
      <c r="A7" s="30" t="str">
        <v xml:space="preserve"> Bell - Bank of America</v>
      </c>
      <c r="B7" s="31" t="str">
        <v>CA</v>
      </c>
      <c r="C7" s="11">
        <v>1265.3399999999999</v>
      </c>
      <c r="D7" s="18">
        <v>0</v>
      </c>
      <c r="E7" s="18">
        <f t="shared" si="0"/>
        <v>1265.3399999999999</v>
      </c>
      <c r="F7" s="19" t="str">
        <f t="shared" si="3"/>
        <v/>
      </c>
      <c r="G7" s="20">
        <v>0</v>
      </c>
      <c r="H7" s="20">
        <f t="shared" si="1"/>
        <v>1265.3399999999999</v>
      </c>
      <c r="I7" s="19" t="str">
        <f t="shared" si="2"/>
        <v/>
      </c>
      <c r="J7" s="42" t="s">
        <v>54</v>
      </c>
      <c r="K7" s="43" t="s">
        <v>65</v>
      </c>
      <c r="L7" s="59"/>
    </row>
    <row r="8" spans="1:12" ht="15.75">
      <c r="A8" s="28" t="str">
        <v xml:space="preserve"> Chula Vista - Bank of America</v>
      </c>
      <c r="B8" s="29" t="str">
        <v>CA</v>
      </c>
      <c r="C8" s="24">
        <v>1381.9549999999999</v>
      </c>
      <c r="D8" s="13">
        <v>0</v>
      </c>
      <c r="E8" s="13">
        <f t="shared" si="0"/>
        <v>1381.9549999999999</v>
      </c>
      <c r="F8" s="14" t="str">
        <f t="shared" si="3"/>
        <v/>
      </c>
      <c r="G8" s="15">
        <v>0</v>
      </c>
      <c r="H8" s="15">
        <f t="shared" si="1"/>
        <v>1381.9549999999999</v>
      </c>
      <c r="I8" s="16" t="str">
        <f t="shared" si="2"/>
        <v/>
      </c>
      <c r="J8" s="41"/>
      <c r="K8" s="41"/>
      <c r="L8" s="59"/>
    </row>
    <row r="9" spans="1:12" ht="15.75">
      <c r="A9" s="30" t="str">
        <v xml:space="preserve"> Cupertino - Bank of America</v>
      </c>
      <c r="B9" s="31" t="str">
        <v>CA</v>
      </c>
      <c r="C9" s="11">
        <v>0</v>
      </c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75">
      <c r="A10" s="28" t="str">
        <v xml:space="preserve"> Diamond Bar - Bank of America</v>
      </c>
      <c r="B10" s="29" t="str">
        <v>CA</v>
      </c>
      <c r="C10" s="24">
        <v>3397.87</v>
      </c>
      <c r="D10" s="13">
        <v>0</v>
      </c>
      <c r="E10" s="13">
        <f t="shared" si="0"/>
        <v>3397.87</v>
      </c>
      <c r="F10" s="14" t="str">
        <f t="shared" si="3"/>
        <v/>
      </c>
      <c r="G10" s="15">
        <v>0</v>
      </c>
      <c r="H10" s="15">
        <f t="shared" si="1"/>
        <v>3397.87</v>
      </c>
      <c r="I10" s="16" t="str">
        <f t="shared" si="2"/>
        <v/>
      </c>
      <c r="J10" s="41"/>
      <c r="K10" s="41"/>
      <c r="L10" s="59"/>
    </row>
    <row r="11" spans="1:12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  <c r="L11" s="59"/>
    </row>
    <row r="12" spans="1:12" ht="15.75">
      <c r="A12" s="28" t="str">
        <v xml:space="preserve"> Moreno Valley - Bank of America</v>
      </c>
      <c r="B12" s="29" t="str">
        <v>CA</v>
      </c>
      <c r="C12" s="24">
        <v>4732.0010000000002</v>
      </c>
      <c r="D12" s="13">
        <v>0</v>
      </c>
      <c r="E12" s="13">
        <f t="shared" si="0"/>
        <v>4732.0010000000002</v>
      </c>
      <c r="F12" s="14" t="str">
        <f t="shared" si="3"/>
        <v/>
      </c>
      <c r="G12" s="15">
        <v>0</v>
      </c>
      <c r="H12" s="15">
        <f t="shared" si="1"/>
        <v>4732.0010000000002</v>
      </c>
      <c r="I12" s="16" t="str">
        <f t="shared" si="2"/>
        <v/>
      </c>
      <c r="J12" s="41" t="s">
        <v>66</v>
      </c>
      <c r="K12" s="41" t="s">
        <v>31</v>
      </c>
      <c r="L12" s="59"/>
    </row>
    <row r="13" spans="1:12" ht="15.75">
      <c r="A13" s="30" t="str">
        <v xml:space="preserve"> Redlands - Bank of America</v>
      </c>
      <c r="B13" s="31" t="str">
        <v>CA</v>
      </c>
      <c r="C13" s="11">
        <v>0</v>
      </c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75">
      <c r="A14" s="28" t="str">
        <v xml:space="preserve"> Roseville - Bank of America</v>
      </c>
      <c r="B14" s="29" t="str">
        <v>CA</v>
      </c>
      <c r="C14" s="24">
        <v>9313.7569999999996</v>
      </c>
      <c r="D14" s="13">
        <v>0</v>
      </c>
      <c r="E14" s="13">
        <f t="shared" si="0"/>
        <v>9313.7569999999996</v>
      </c>
      <c r="F14" s="14" t="str">
        <f t="shared" si="3"/>
        <v/>
      </c>
      <c r="G14" s="15">
        <v>0</v>
      </c>
      <c r="H14" s="15">
        <f t="shared" si="1"/>
        <v>9313.7569999999996</v>
      </c>
      <c r="I14" s="16" t="str">
        <f t="shared" si="2"/>
        <v/>
      </c>
      <c r="J14" s="41"/>
      <c r="K14" s="41"/>
      <c r="L14" s="59"/>
    </row>
    <row r="15" spans="1:12" ht="49.5" customHeight="1">
      <c r="A15" s="30" t="str">
        <v xml:space="preserve"> San Bernardino - Bank of America</v>
      </c>
      <c r="B15" s="31" t="str">
        <v>CA</v>
      </c>
      <c r="C15" s="11">
        <v>89.069000000000003</v>
      </c>
      <c r="D15" s="18">
        <v>0</v>
      </c>
      <c r="E15" s="18">
        <f t="shared" si="0"/>
        <v>89.069000000000003</v>
      </c>
      <c r="F15" s="19" t="str">
        <f t="shared" si="3"/>
        <v/>
      </c>
      <c r="G15" s="20">
        <v>0</v>
      </c>
      <c r="H15" s="20">
        <f t="shared" si="1"/>
        <v>89.069000000000003</v>
      </c>
      <c r="I15" s="19" t="str">
        <f t="shared" si="2"/>
        <v/>
      </c>
      <c r="J15" s="42" t="s">
        <v>67</v>
      </c>
      <c r="K15" s="43" t="s">
        <v>68</v>
      </c>
      <c r="L15" s="59"/>
    </row>
    <row r="16" spans="1:12" ht="15.75">
      <c r="A16" s="28" t="str">
        <v xml:space="preserve"> San Diego - Bank of America</v>
      </c>
      <c r="B16" s="29" t="str">
        <v>CA</v>
      </c>
      <c r="C16" s="24">
        <v>142.08600000000001</v>
      </c>
      <c r="D16" s="13">
        <v>0</v>
      </c>
      <c r="E16" s="13">
        <f t="shared" si="0"/>
        <v>142.08600000000001</v>
      </c>
      <c r="F16" s="14" t="str">
        <f t="shared" si="3"/>
        <v/>
      </c>
      <c r="G16" s="15">
        <v>0</v>
      </c>
      <c r="H16" s="15">
        <f t="shared" si="1"/>
        <v>142.08600000000001</v>
      </c>
      <c r="I16" s="16" t="str">
        <f t="shared" si="2"/>
        <v/>
      </c>
      <c r="J16" s="41"/>
      <c r="K16" s="41"/>
      <c r="L16" s="59"/>
    </row>
    <row r="17" spans="1:12" ht="15.75">
      <c r="A17" s="30" t="str">
        <v xml:space="preserve"> Stockton - Bank of America</v>
      </c>
      <c r="B17" s="31" t="str">
        <v>CA</v>
      </c>
      <c r="C17" s="11">
        <v>2993.585</v>
      </c>
      <c r="D17" s="18">
        <v>0</v>
      </c>
      <c r="E17" s="18">
        <f t="shared" si="0"/>
        <v>2993.585</v>
      </c>
      <c r="F17" s="19" t="str">
        <f t="shared" si="3"/>
        <v/>
      </c>
      <c r="G17" s="20">
        <v>0</v>
      </c>
      <c r="H17" s="20">
        <f t="shared" si="1"/>
        <v>2993.585</v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75">
      <c r="A19" s="30" t="str">
        <v xml:space="preserve"> Aurora - BA - Colfax Ave</v>
      </c>
      <c r="B19" s="31" t="str">
        <v>CO</v>
      </c>
      <c r="C19" s="11">
        <v>1415.6790000000001</v>
      </c>
      <c r="D19" s="18">
        <v>0</v>
      </c>
      <c r="E19" s="18">
        <f t="shared" si="4"/>
        <v>1415.6790000000001</v>
      </c>
      <c r="F19" s="19" t="str">
        <f t="shared" si="5"/>
        <v/>
      </c>
      <c r="G19" s="20">
        <v>0</v>
      </c>
      <c r="H19" s="20">
        <f t="shared" si="6"/>
        <v>1415.6790000000001</v>
      </c>
      <c r="I19" s="19" t="str">
        <f t="shared" si="7"/>
        <v/>
      </c>
      <c r="J19" s="42" t="s">
        <v>32</v>
      </c>
      <c r="K19" s="43" t="s">
        <v>33</v>
      </c>
      <c r="L19" s="59"/>
    </row>
    <row r="20" spans="1:12" ht="15.75">
      <c r="A20" s="28" t="str">
        <v xml:space="preserve"> Aurora - BA - Parker Rd</v>
      </c>
      <c r="B20" s="29" t="str">
        <v>CO</v>
      </c>
      <c r="C20" s="24">
        <v>4246.1809999999996</v>
      </c>
      <c r="D20" s="13">
        <v>0</v>
      </c>
      <c r="E20" s="13">
        <f t="shared" si="4"/>
        <v>4246.1809999999996</v>
      </c>
      <c r="F20" s="14" t="str">
        <f t="shared" si="5"/>
        <v/>
      </c>
      <c r="G20" s="15">
        <v>0</v>
      </c>
      <c r="H20" s="15">
        <f t="shared" si="6"/>
        <v>4246.1809999999996</v>
      </c>
      <c r="I20" s="16" t="str">
        <f t="shared" si="7"/>
        <v/>
      </c>
      <c r="J20" s="41"/>
      <c r="K20" s="41"/>
      <c r="L20" s="59"/>
    </row>
    <row r="21" spans="1:12" ht="15.75">
      <c r="A21" s="30" t="str">
        <v xml:space="preserve"> Broomfield - Bank of America</v>
      </c>
      <c r="B21" s="31" t="str">
        <v>CO</v>
      </c>
      <c r="C21" s="11">
        <v>1367.9559999999999</v>
      </c>
      <c r="D21" s="18">
        <v>0</v>
      </c>
      <c r="E21" s="18">
        <f t="shared" si="4"/>
        <v>1367.9559999999999</v>
      </c>
      <c r="F21" s="19" t="str">
        <f t="shared" si="5"/>
        <v/>
      </c>
      <c r="G21" s="20">
        <v>0</v>
      </c>
      <c r="H21" s="20">
        <f t="shared" si="6"/>
        <v>1367.9559999999999</v>
      </c>
      <c r="I21" s="19" t="str">
        <f t="shared" si="7"/>
        <v/>
      </c>
      <c r="J21" s="42" t="s">
        <v>56</v>
      </c>
      <c r="K21" s="43" t="s">
        <v>57</v>
      </c>
      <c r="L21" s="59"/>
    </row>
    <row r="22" spans="1:12" ht="15.75">
      <c r="A22" s="28" t="str">
        <v xml:space="preserve"> Colorado Springs - Bank of America</v>
      </c>
      <c r="B22" s="29" t="str">
        <v>CO</v>
      </c>
      <c r="C22" s="24">
        <v>3099.5279999999998</v>
      </c>
      <c r="D22" s="13">
        <v>0</v>
      </c>
      <c r="E22" s="13">
        <f t="shared" si="4"/>
        <v>3099.5279999999998</v>
      </c>
      <c r="F22" s="14" t="str">
        <f t="shared" si="5"/>
        <v/>
      </c>
      <c r="G22" s="15">
        <v>0</v>
      </c>
      <c r="H22" s="15">
        <f t="shared" si="6"/>
        <v>3099.5279999999998</v>
      </c>
      <c r="I22" s="16" t="str">
        <f t="shared" si="7"/>
        <v/>
      </c>
      <c r="J22" s="41"/>
      <c r="K22" s="41"/>
      <c r="L22" s="59"/>
    </row>
    <row r="23" spans="1:12" ht="15.75">
      <c r="A23" s="30" t="str">
        <v xml:space="preserve"> Denver - BA - 49th Ave</v>
      </c>
      <c r="B23" s="31" t="str">
        <v>CO</v>
      </c>
      <c r="C23" s="11">
        <v>0</v>
      </c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75">
      <c r="A24" s="28" t="str">
        <v xml:space="preserve"> Denver - BA Wadsworth Blvd</v>
      </c>
      <c r="B24" s="29" t="str">
        <v>CO</v>
      </c>
      <c r="C24" s="24">
        <v>2903.9470000000001</v>
      </c>
      <c r="D24" s="13">
        <v>0</v>
      </c>
      <c r="E24" s="13">
        <f t="shared" si="4"/>
        <v>2903.9470000000001</v>
      </c>
      <c r="F24" s="14" t="str">
        <f t="shared" si="5"/>
        <v/>
      </c>
      <c r="G24" s="15">
        <v>0</v>
      </c>
      <c r="H24" s="15">
        <f t="shared" si="6"/>
        <v>2903.9470000000001</v>
      </c>
      <c r="I24" s="16" t="str">
        <f t="shared" si="7"/>
        <v/>
      </c>
      <c r="J24" s="41"/>
      <c r="K24" s="41"/>
      <c r="L24" s="59"/>
    </row>
    <row r="25" spans="1:12" ht="15.75">
      <c r="A25" s="30" t="str">
        <v xml:space="preserve"> Fort Collins - Bank of America</v>
      </c>
      <c r="B25" s="31" t="str">
        <v>CO</v>
      </c>
      <c r="C25" s="11">
        <v>1750.963</v>
      </c>
      <c r="D25" s="18">
        <v>0</v>
      </c>
      <c r="E25" s="18">
        <f t="shared" si="4"/>
        <v>1750.963</v>
      </c>
      <c r="F25" s="19" t="str">
        <f t="shared" si="5"/>
        <v/>
      </c>
      <c r="G25" s="20">
        <v>0</v>
      </c>
      <c r="H25" s="20">
        <f t="shared" si="6"/>
        <v>1750.963</v>
      </c>
      <c r="I25" s="19" t="str">
        <f t="shared" si="7"/>
        <v/>
      </c>
      <c r="J25" s="42" t="s">
        <v>58</v>
      </c>
      <c r="K25" s="43" t="s">
        <v>39</v>
      </c>
      <c r="L25" s="59"/>
    </row>
    <row r="26" spans="1:12" ht="15.75">
      <c r="A26" s="28" t="str">
        <v xml:space="preserve"> Lafayette - Bank of America</v>
      </c>
      <c r="B26" s="29" t="str">
        <v>CO</v>
      </c>
      <c r="C26" s="24">
        <v>2070.8209999999999</v>
      </c>
      <c r="D26" s="13">
        <v>0</v>
      </c>
      <c r="E26" s="13">
        <f t="shared" si="4"/>
        <v>2070.8209999999999</v>
      </c>
      <c r="F26" s="14" t="str">
        <f t="shared" si="5"/>
        <v/>
      </c>
      <c r="G26" s="15">
        <v>0</v>
      </c>
      <c r="H26" s="15">
        <f t="shared" si="6"/>
        <v>2070.8209999999999</v>
      </c>
      <c r="I26" s="16" t="str">
        <f t="shared" si="7"/>
        <v/>
      </c>
      <c r="J26" s="41"/>
      <c r="K26" s="41"/>
      <c r="L26" s="59"/>
    </row>
    <row r="27" spans="1:12" ht="15.75">
      <c r="A27" s="30" t="str">
        <v xml:space="preserve"> Lakewood - Bank of America</v>
      </c>
      <c r="B27" s="31" t="str">
        <v>CO</v>
      </c>
      <c r="C27" s="11">
        <v>1323.5719999999999</v>
      </c>
      <c r="D27" s="18">
        <v>0</v>
      </c>
      <c r="E27" s="18">
        <f t="shared" si="4"/>
        <v>1323.5719999999999</v>
      </c>
      <c r="F27" s="19" t="str">
        <f t="shared" si="5"/>
        <v/>
      </c>
      <c r="G27" s="20">
        <v>0</v>
      </c>
      <c r="H27" s="20">
        <f t="shared" si="6"/>
        <v>1323.5719999999999</v>
      </c>
      <c r="I27" s="19" t="str">
        <f t="shared" si="7"/>
        <v/>
      </c>
      <c r="J27" s="42" t="s">
        <v>40</v>
      </c>
      <c r="K27" s="43" t="s">
        <v>41</v>
      </c>
      <c r="L27" s="59"/>
    </row>
    <row r="28" spans="1:12" ht="15.75">
      <c r="A28" s="28" t="str">
        <v xml:space="preserve"> Longmont - Bank of America</v>
      </c>
      <c r="B28" s="29" t="str">
        <v>CO</v>
      </c>
      <c r="C28" s="24">
        <v>1416.704</v>
      </c>
      <c r="D28" s="13">
        <v>0</v>
      </c>
      <c r="E28" s="13">
        <f t="shared" si="4"/>
        <v>1416.704</v>
      </c>
      <c r="F28" s="14" t="str">
        <f t="shared" si="5"/>
        <v/>
      </c>
      <c r="G28" s="15">
        <v>0</v>
      </c>
      <c r="H28" s="15">
        <f t="shared" si="6"/>
        <v>1416.704</v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1444.1790000000001</v>
      </c>
      <c r="D29" s="18">
        <v>0</v>
      </c>
      <c r="E29" s="18">
        <f t="shared" si="4"/>
        <v>1444.1790000000001</v>
      </c>
      <c r="F29" s="19" t="str">
        <f t="shared" si="5"/>
        <v/>
      </c>
      <c r="G29" s="20">
        <v>0</v>
      </c>
      <c r="H29" s="20">
        <f t="shared" si="6"/>
        <v>1444.1790000000001</v>
      </c>
      <c r="I29" s="19" t="str">
        <f t="shared" si="7"/>
        <v/>
      </c>
      <c r="J29" s="42" t="s">
        <v>42</v>
      </c>
      <c r="K29" s="56" t="s">
        <v>59</v>
      </c>
      <c r="L29" s="59"/>
    </row>
    <row r="30" spans="1:12" ht="15.75">
      <c r="A30" s="28" t="str">
        <v xml:space="preserve"> Calumet City - Bank of America</v>
      </c>
      <c r="B30" s="29" t="str">
        <v>IL</v>
      </c>
      <c r="C30" s="24">
        <v>1080.126</v>
      </c>
      <c r="D30" s="13">
        <v>0</v>
      </c>
      <c r="E30" s="13">
        <f t="shared" si="4"/>
        <v>1080.126</v>
      </c>
      <c r="F30" s="14" t="str">
        <f t="shared" si="5"/>
        <v/>
      </c>
      <c r="G30" s="15">
        <v>0</v>
      </c>
      <c r="H30" s="15">
        <f t="shared" si="6"/>
        <v>1080.126</v>
      </c>
      <c r="I30" s="16" t="str">
        <f t="shared" si="7"/>
        <v/>
      </c>
      <c r="J30" s="41"/>
      <c r="K30" s="41"/>
      <c r="L30" s="59"/>
    </row>
    <row r="31" spans="1:12" ht="15.75">
      <c r="A31" s="30" t="str">
        <v xml:space="preserve"> Downers Grove - Bank of America</v>
      </c>
      <c r="B31" s="31" t="str">
        <v>IL</v>
      </c>
      <c r="C31" s="11">
        <v>3206.203</v>
      </c>
      <c r="D31" s="18">
        <v>0</v>
      </c>
      <c r="E31" s="18">
        <f t="shared" si="4"/>
        <v>3206.203</v>
      </c>
      <c r="F31" s="19" t="str">
        <f t="shared" si="5"/>
        <v/>
      </c>
      <c r="G31" s="20">
        <v>0</v>
      </c>
      <c r="H31" s="20">
        <f t="shared" si="6"/>
        <v>3206.203</v>
      </c>
      <c r="I31" s="19" t="str">
        <f t="shared" si="7"/>
        <v/>
      </c>
      <c r="J31" s="42"/>
      <c r="K31" s="43"/>
      <c r="L31" s="59"/>
    </row>
    <row r="32" spans="1:12" ht="15.75">
      <c r="A32" s="28" t="str">
        <v xml:space="preserve"> Bloomington - Bank of America</v>
      </c>
      <c r="B32" s="29" t="str">
        <v>MN</v>
      </c>
      <c r="C32" s="24">
        <v>0</v>
      </c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75">
      <c r="A33" s="30" t="str">
        <v xml:space="preserve"> Clayton - Bank of America</v>
      </c>
      <c r="B33" s="31" t="str">
        <v>MO</v>
      </c>
      <c r="C33" s="11">
        <v>2796.7060000000001</v>
      </c>
      <c r="D33" s="18">
        <v>0</v>
      </c>
      <c r="E33" s="18">
        <f t="shared" si="4"/>
        <v>2796.7060000000001</v>
      </c>
      <c r="F33" s="19" t="str">
        <f t="shared" si="5"/>
        <v/>
      </c>
      <c r="G33" s="20">
        <v>0</v>
      </c>
      <c r="H33" s="20">
        <f t="shared" si="6"/>
        <v>2796.7060000000001</v>
      </c>
      <c r="I33" s="19" t="str">
        <f t="shared" si="7"/>
        <v/>
      </c>
      <c r="J33" s="42"/>
      <c r="K33" s="43"/>
      <c r="L33" s="59"/>
    </row>
    <row r="34" spans="1:12" ht="15.75">
      <c r="A34" s="28" t="str">
        <v xml:space="preserve"> Manchester - Bank of America</v>
      </c>
      <c r="B34" s="29" t="str">
        <v>MO</v>
      </c>
      <c r="C34" s="24">
        <v>0</v>
      </c>
      <c r="D34" s="13">
        <v>0</v>
      </c>
      <c r="E34" s="13">
        <f t="shared" si="4"/>
        <v>0</v>
      </c>
      <c r="F34" s="14" t="str">
        <f t="shared" si="5"/>
        <v/>
      </c>
      <c r="G34" s="15">
        <v>0</v>
      </c>
      <c r="H34" s="15">
        <f t="shared" si="6"/>
        <v>0</v>
      </c>
      <c r="I34" s="16" t="str">
        <f t="shared" si="7"/>
        <v/>
      </c>
      <c r="J34" s="41" t="s">
        <v>46</v>
      </c>
      <c r="K34" s="41" t="s">
        <v>47</v>
      </c>
      <c r="L34" s="59"/>
    </row>
    <row r="35" spans="1:12" ht="15.75">
      <c r="A35" s="30" t="str">
        <v xml:space="preserve"> Las Vegas - BA - Eastern Ave</v>
      </c>
      <c r="B35" s="31" t="str">
        <v>NV</v>
      </c>
      <c r="C35" s="11">
        <v>161.69999999999999</v>
      </c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75">
      <c r="A36" s="28" t="str">
        <v xml:space="preserve"> Las Vegas - BA - Town Ctr Dr</v>
      </c>
      <c r="B36" s="29" t="str">
        <v>NV</v>
      </c>
      <c r="C36" s="24">
        <v>0</v>
      </c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75">
      <c r="A37" s="30" t="str">
        <v xml:space="preserve"> Riverton - Bank of America</v>
      </c>
      <c r="B37" s="31" t="str">
        <v>UT</v>
      </c>
      <c r="C37" s="11">
        <v>3077.6329999999998</v>
      </c>
      <c r="D37" s="18">
        <v>0</v>
      </c>
      <c r="E37" s="18">
        <f t="shared" si="4"/>
        <v>3077.6329999999998</v>
      </c>
      <c r="F37" s="19" t="str">
        <f t="shared" si="5"/>
        <v/>
      </c>
      <c r="G37" s="20">
        <v>0</v>
      </c>
      <c r="H37" s="20">
        <f t="shared" si="6"/>
        <v>3077.6329999999998</v>
      </c>
      <c r="I37" s="19" t="str">
        <f t="shared" si="7"/>
        <v/>
      </c>
      <c r="J37" s="42"/>
      <c r="K37" s="43"/>
      <c r="L37" s="59"/>
    </row>
    <row r="38" spans="1:12" ht="15.75">
      <c r="A38" s="28" t="str">
        <v xml:space="preserve"> Salt Lake City - Bank of America</v>
      </c>
      <c r="B38" s="29" t="str">
        <v>UT</v>
      </c>
      <c r="C38" s="24">
        <v>638.12900000000002</v>
      </c>
      <c r="D38" s="13">
        <v>0</v>
      </c>
      <c r="E38" s="13">
        <f t="shared" si="4"/>
        <v>638.12900000000002</v>
      </c>
      <c r="F38" s="14" t="str">
        <f t="shared" si="5"/>
        <v/>
      </c>
      <c r="G38" s="15">
        <v>0</v>
      </c>
      <c r="H38" s="15">
        <f t="shared" si="6"/>
        <v>638.12900000000002</v>
      </c>
      <c r="I38" s="16" t="str">
        <f t="shared" si="7"/>
        <v/>
      </c>
      <c r="J38" s="41"/>
      <c r="K38" s="41"/>
      <c r="L38" s="59"/>
    </row>
    <row r="39" spans="1:12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2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2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2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2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2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2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2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2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2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3.9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18" activePane="bottomRight" state="frozen"/>
      <selection pane="bottomRight" activeCell="J18" sqref="J1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69</v>
      </c>
      <c r="E1" s="62"/>
      <c r="F1" s="62"/>
      <c r="G1" s="60" t="s">
        <v>70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58245.252</v>
      </c>
      <c r="D2" s="5">
        <f>SUM(D4:D100)</f>
        <v>0</v>
      </c>
      <c r="E2" s="5">
        <f>C2-D2</f>
        <v>58245.252</v>
      </c>
      <c r="F2" s="6">
        <f>IFERROR(E2/D2, 0)</f>
        <v>0</v>
      </c>
      <c r="G2" s="5">
        <f>SUM(G4:G100)</f>
        <v>0</v>
      </c>
      <c r="H2" s="7">
        <f>C2-G2</f>
        <v>58245.252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>
        <v>111.5</v>
      </c>
      <c r="D6" s="13">
        <v>0</v>
      </c>
      <c r="E6" s="13">
        <f t="shared" si="0"/>
        <v>111.5</v>
      </c>
      <c r="F6" s="14" t="str">
        <f t="shared" ref="F6:F17" si="3">IFERROR(E6/D6, "")</f>
        <v/>
      </c>
      <c r="G6" s="15">
        <v>0</v>
      </c>
      <c r="H6" s="15">
        <f t="shared" si="1"/>
        <v>111.5</v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>
        <v>1347.9</v>
      </c>
      <c r="D7" s="18">
        <v>0</v>
      </c>
      <c r="E7" s="18">
        <f t="shared" si="0"/>
        <v>1347.9</v>
      </c>
      <c r="F7" s="19" t="str">
        <f t="shared" si="3"/>
        <v/>
      </c>
      <c r="G7" s="20">
        <v>0</v>
      </c>
      <c r="H7" s="20">
        <f t="shared" si="1"/>
        <v>1347.9</v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>
        <v>1268</v>
      </c>
      <c r="D8" s="13">
        <v>0</v>
      </c>
      <c r="E8" s="13">
        <f t="shared" si="0"/>
        <v>1268</v>
      </c>
      <c r="F8" s="14" t="str">
        <f t="shared" si="3"/>
        <v/>
      </c>
      <c r="G8" s="15">
        <v>0</v>
      </c>
      <c r="H8" s="15">
        <f t="shared" si="1"/>
        <v>1268</v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3535.8</v>
      </c>
      <c r="D10" s="13">
        <v>0</v>
      </c>
      <c r="E10" s="13">
        <f t="shared" si="0"/>
        <v>3535.8</v>
      </c>
      <c r="F10" s="14" t="str">
        <f t="shared" si="3"/>
        <v/>
      </c>
      <c r="G10" s="15">
        <v>0</v>
      </c>
      <c r="H10" s="15">
        <f t="shared" si="1"/>
        <v>3535.8</v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>
        <v>4471.5</v>
      </c>
      <c r="D12" s="13">
        <v>0</v>
      </c>
      <c r="E12" s="13">
        <f t="shared" si="0"/>
        <v>4471.5</v>
      </c>
      <c r="F12" s="14" t="str">
        <f t="shared" si="3"/>
        <v/>
      </c>
      <c r="G12" s="15">
        <v>0</v>
      </c>
      <c r="H12" s="15">
        <f t="shared" si="1"/>
        <v>4471.5</v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>
        <v>9069.1200000000008</v>
      </c>
      <c r="D14" s="13">
        <v>0</v>
      </c>
      <c r="E14" s="13">
        <f t="shared" si="0"/>
        <v>9069.1200000000008</v>
      </c>
      <c r="F14" s="14" t="str">
        <f t="shared" si="3"/>
        <v/>
      </c>
      <c r="G14" s="15">
        <v>0</v>
      </c>
      <c r="H14" s="15">
        <f t="shared" si="1"/>
        <v>9069.1200000000008</v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>
        <v>116.389</v>
      </c>
      <c r="D15" s="18">
        <v>0</v>
      </c>
      <c r="E15" s="18">
        <f t="shared" si="0"/>
        <v>116.389</v>
      </c>
      <c r="F15" s="19" t="str">
        <f t="shared" si="3"/>
        <v/>
      </c>
      <c r="G15" s="20">
        <v>0</v>
      </c>
      <c r="H15" s="20">
        <f t="shared" si="1"/>
        <v>116.389</v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>
        <v>149.74299999999999</v>
      </c>
      <c r="D16" s="13">
        <v>0</v>
      </c>
      <c r="E16" s="13">
        <f t="shared" si="0"/>
        <v>149.74299999999999</v>
      </c>
      <c r="F16" s="14" t="str">
        <f t="shared" si="3"/>
        <v/>
      </c>
      <c r="G16" s="15">
        <v>0</v>
      </c>
      <c r="H16" s="15">
        <f t="shared" si="1"/>
        <v>149.74299999999999</v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>
        <v>2815.4</v>
      </c>
      <c r="D17" s="18">
        <v>0</v>
      </c>
      <c r="E17" s="18">
        <f t="shared" si="0"/>
        <v>2815.4</v>
      </c>
      <c r="F17" s="19" t="str">
        <f t="shared" si="3"/>
        <v/>
      </c>
      <c r="G17" s="20">
        <v>0</v>
      </c>
      <c r="H17" s="20">
        <f t="shared" si="1"/>
        <v>2815.4</v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>
        <v>0</v>
      </c>
      <c r="D18" s="13">
        <v>0</v>
      </c>
      <c r="E18" s="13">
        <f t="shared" ref="E18:E38" si="4">IF(AND(ISNUMBER(C18),ISNUMBER(D18)), C18-D18, "")</f>
        <v>0</v>
      </c>
      <c r="F18" s="14" t="str">
        <f t="shared" ref="F18:F38" si="5">IFERROR(E18/D18, "")</f>
        <v/>
      </c>
      <c r="G18" s="15">
        <v>0</v>
      </c>
      <c r="H18" s="15">
        <f t="shared" ref="H18:H38" si="6">IF(AND(ISNUMBER(C18),ISNUMBER(G18)), C18-G18, "")</f>
        <v>0</v>
      </c>
      <c r="I18" s="16" t="str">
        <f t="shared" ref="I18:I38" si="7">IFERROR(H18/G18, "")</f>
        <v/>
      </c>
      <c r="J18" s="41" t="s">
        <v>71</v>
      </c>
      <c r="K18" s="41" t="s">
        <v>72</v>
      </c>
    </row>
    <row r="19" spans="1:11" ht="15.75">
      <c r="A19" s="30" t="str">
        <v xml:space="preserve"> Aurora - BA - Colfax Ave</v>
      </c>
      <c r="B19" s="31" t="str">
        <v>CO</v>
      </c>
      <c r="C19" s="11">
        <v>1486.3</v>
      </c>
      <c r="D19" s="18">
        <v>0</v>
      </c>
      <c r="E19" s="18">
        <f t="shared" si="4"/>
        <v>1486.3</v>
      </c>
      <c r="F19" s="19" t="str">
        <f t="shared" si="5"/>
        <v/>
      </c>
      <c r="G19" s="20">
        <v>0</v>
      </c>
      <c r="H19" s="20">
        <f t="shared" si="6"/>
        <v>1486.3</v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>
        <v>4393.3999999999996</v>
      </c>
      <c r="D20" s="13">
        <v>0</v>
      </c>
      <c r="E20" s="13">
        <f t="shared" si="4"/>
        <v>4393.3999999999996</v>
      </c>
      <c r="F20" s="14" t="str">
        <f t="shared" si="5"/>
        <v/>
      </c>
      <c r="G20" s="15">
        <v>0</v>
      </c>
      <c r="H20" s="15">
        <f t="shared" si="6"/>
        <v>4393.3999999999996</v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>
        <v>1576.4</v>
      </c>
      <c r="D21" s="18">
        <v>0</v>
      </c>
      <c r="E21" s="18">
        <f t="shared" si="4"/>
        <v>1576.4</v>
      </c>
      <c r="F21" s="19" t="str">
        <f t="shared" si="5"/>
        <v/>
      </c>
      <c r="G21" s="20">
        <v>0</v>
      </c>
      <c r="H21" s="20">
        <f t="shared" si="6"/>
        <v>1576.4</v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>
        <v>3317.6</v>
      </c>
      <c r="D22" s="13">
        <v>0</v>
      </c>
      <c r="E22" s="13">
        <f t="shared" si="4"/>
        <v>3317.6</v>
      </c>
      <c r="F22" s="14" t="str">
        <f t="shared" si="5"/>
        <v/>
      </c>
      <c r="G22" s="15">
        <v>0</v>
      </c>
      <c r="H22" s="15">
        <f t="shared" si="6"/>
        <v>3317.6</v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>
        <v>3085.3</v>
      </c>
      <c r="D24" s="13">
        <v>0</v>
      </c>
      <c r="E24" s="13">
        <f t="shared" si="4"/>
        <v>3085.3</v>
      </c>
      <c r="F24" s="14" t="str">
        <f t="shared" si="5"/>
        <v/>
      </c>
      <c r="G24" s="15">
        <v>0</v>
      </c>
      <c r="H24" s="15">
        <f t="shared" si="6"/>
        <v>3085.3</v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>
        <v>1832.2</v>
      </c>
      <c r="D25" s="18">
        <v>0</v>
      </c>
      <c r="E25" s="18">
        <f t="shared" si="4"/>
        <v>1832.2</v>
      </c>
      <c r="F25" s="19" t="str">
        <f t="shared" si="5"/>
        <v/>
      </c>
      <c r="G25" s="20">
        <v>0</v>
      </c>
      <c r="H25" s="20">
        <f t="shared" si="6"/>
        <v>1832.2</v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>
        <v>2812.6</v>
      </c>
      <c r="D26" s="13">
        <v>0</v>
      </c>
      <c r="E26" s="13">
        <f t="shared" si="4"/>
        <v>2812.6</v>
      </c>
      <c r="F26" s="14" t="str">
        <f t="shared" si="5"/>
        <v/>
      </c>
      <c r="G26" s="15">
        <v>0</v>
      </c>
      <c r="H26" s="15">
        <f t="shared" si="6"/>
        <v>2812.6</v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>
        <v>1389.6</v>
      </c>
      <c r="D27" s="18">
        <v>0</v>
      </c>
      <c r="E27" s="18">
        <f t="shared" si="4"/>
        <v>1389.6</v>
      </c>
      <c r="F27" s="19" t="str">
        <f t="shared" si="5"/>
        <v/>
      </c>
      <c r="G27" s="20">
        <v>0</v>
      </c>
      <c r="H27" s="20">
        <f t="shared" si="6"/>
        <v>1389.6</v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>
        <v>1490.1</v>
      </c>
      <c r="D28" s="13">
        <v>0</v>
      </c>
      <c r="E28" s="13">
        <f t="shared" si="4"/>
        <v>1490.1</v>
      </c>
      <c r="F28" s="14" t="str">
        <f t="shared" si="5"/>
        <v/>
      </c>
      <c r="G28" s="15">
        <v>0</v>
      </c>
      <c r="H28" s="15">
        <f t="shared" si="6"/>
        <v>1490.1</v>
      </c>
      <c r="I28" s="16" t="str">
        <f t="shared" si="7"/>
        <v/>
      </c>
      <c r="J28" s="41" t="s">
        <v>73</v>
      </c>
      <c r="K28" s="41" t="s">
        <v>74</v>
      </c>
    </row>
    <row r="29" spans="1:11" ht="15.75">
      <c r="A29" s="30" t="str">
        <v xml:space="preserve"> Thornton - Bank of America</v>
      </c>
      <c r="B29" s="31" t="str">
        <v>CO</v>
      </c>
      <c r="C29" s="11">
        <v>1522</v>
      </c>
      <c r="D29" s="18">
        <v>0</v>
      </c>
      <c r="E29" s="18">
        <f t="shared" si="4"/>
        <v>1522</v>
      </c>
      <c r="F29" s="19" t="str">
        <f t="shared" si="5"/>
        <v/>
      </c>
      <c r="G29" s="20">
        <v>0</v>
      </c>
      <c r="H29" s="20">
        <f t="shared" si="6"/>
        <v>1522</v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>
        <v>1073.4000000000001</v>
      </c>
      <c r="D30" s="13">
        <v>0</v>
      </c>
      <c r="E30" s="13">
        <f t="shared" si="4"/>
        <v>1073.4000000000001</v>
      </c>
      <c r="F30" s="14" t="str">
        <f t="shared" si="5"/>
        <v/>
      </c>
      <c r="G30" s="15">
        <v>0</v>
      </c>
      <c r="H30" s="15">
        <f t="shared" si="6"/>
        <v>1073.4000000000001</v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>
        <v>3201.1</v>
      </c>
      <c r="D31" s="18">
        <v>0</v>
      </c>
      <c r="E31" s="18">
        <f t="shared" si="4"/>
        <v>3201.1</v>
      </c>
      <c r="F31" s="19" t="str">
        <f t="shared" si="5"/>
        <v/>
      </c>
      <c r="G31" s="20">
        <v>0</v>
      </c>
      <c r="H31" s="20">
        <f t="shared" si="6"/>
        <v>3201.1</v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2438.5</v>
      </c>
      <c r="D33" s="18">
        <v>0</v>
      </c>
      <c r="E33" s="18">
        <f t="shared" si="4"/>
        <v>2438.5</v>
      </c>
      <c r="F33" s="19" t="str">
        <f t="shared" si="5"/>
        <v/>
      </c>
      <c r="G33" s="20">
        <v>0</v>
      </c>
      <c r="H33" s="20">
        <f t="shared" si="6"/>
        <v>2438.5</v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>
        <v>1863.3</v>
      </c>
      <c r="D34" s="13">
        <v>0</v>
      </c>
      <c r="E34" s="13">
        <f t="shared" si="4"/>
        <v>1863.3</v>
      </c>
      <c r="F34" s="14" t="str">
        <f t="shared" si="5"/>
        <v/>
      </c>
      <c r="G34" s="15">
        <v>0</v>
      </c>
      <c r="H34" s="15">
        <f t="shared" si="6"/>
        <v>1863.3</v>
      </c>
      <c r="I34" s="16" t="str">
        <f t="shared" si="7"/>
        <v/>
      </c>
      <c r="J34" s="41" t="s">
        <v>46</v>
      </c>
      <c r="K34" s="41" t="s">
        <v>75</v>
      </c>
    </row>
    <row r="35" spans="1:11" ht="15.75">
      <c r="A35" s="30" t="str">
        <v xml:space="preserve"> Las Vegas - BA - Eastern Ave</v>
      </c>
      <c r="B35" s="31" t="str">
        <v>NV</v>
      </c>
      <c r="C35" s="11">
        <v>27.3</v>
      </c>
      <c r="D35" s="18">
        <v>0</v>
      </c>
      <c r="E35" s="18">
        <f t="shared" si="4"/>
        <v>27.3</v>
      </c>
      <c r="F35" s="19" t="str">
        <f t="shared" si="5"/>
        <v/>
      </c>
      <c r="G35" s="20">
        <v>0</v>
      </c>
      <c r="H35" s="20">
        <f t="shared" si="6"/>
        <v>27.3</v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>
        <v>3212.5</v>
      </c>
      <c r="D37" s="18">
        <v>0</v>
      </c>
      <c r="E37" s="18">
        <f t="shared" si="4"/>
        <v>3212.5</v>
      </c>
      <c r="F37" s="19" t="str">
        <f t="shared" si="5"/>
        <v/>
      </c>
      <c r="G37" s="20">
        <v>0</v>
      </c>
      <c r="H37" s="20">
        <f t="shared" si="6"/>
        <v>3212.5</v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>
        <v>638.29999999999995</v>
      </c>
      <c r="D38" s="13">
        <v>0</v>
      </c>
      <c r="E38" s="13">
        <f t="shared" si="4"/>
        <v>638.29999999999995</v>
      </c>
      <c r="F38" s="14" t="str">
        <f t="shared" si="5"/>
        <v/>
      </c>
      <c r="G38" s="15">
        <v>0</v>
      </c>
      <c r="H38" s="15">
        <f t="shared" si="6"/>
        <v>638.29999999999995</v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D16" activePane="bottomRight" state="frozen"/>
      <selection pane="bottomRight" activeCell="J35" sqref="J35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76</v>
      </c>
      <c r="E1" s="62"/>
      <c r="F1" s="62"/>
      <c r="G1" s="60" t="s">
        <v>77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51264.426999999989</v>
      </c>
      <c r="D2" s="5">
        <f>SUM(D4:D100)</f>
        <v>0</v>
      </c>
      <c r="E2" s="5">
        <f>C2-D2</f>
        <v>51264.426999999989</v>
      </c>
      <c r="F2" s="6">
        <f>IFERROR(E2/D2, 0)</f>
        <v>0</v>
      </c>
      <c r="G2" s="5">
        <f>SUM(G4:G100)</f>
        <v>0</v>
      </c>
      <c r="H2" s="7">
        <f>C2-G2</f>
        <v>51264.426999999989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>
        <v>99</v>
      </c>
      <c r="D6" s="13">
        <v>0</v>
      </c>
      <c r="E6" s="13">
        <f t="shared" si="0"/>
        <v>99</v>
      </c>
      <c r="F6" s="14" t="str">
        <f t="shared" ref="F6:F17" si="3">IFERROR(E6/D6, "")</f>
        <v/>
      </c>
      <c r="G6" s="15">
        <v>0</v>
      </c>
      <c r="H6" s="15">
        <f t="shared" si="1"/>
        <v>99</v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>
        <v>1163.317</v>
      </c>
      <c r="D7" s="18">
        <v>0</v>
      </c>
      <c r="E7" s="18">
        <f t="shared" si="0"/>
        <v>1163.317</v>
      </c>
      <c r="F7" s="19" t="str">
        <f t="shared" si="3"/>
        <v/>
      </c>
      <c r="G7" s="20">
        <v>0</v>
      </c>
      <c r="H7" s="20">
        <f t="shared" si="1"/>
        <v>1163.317</v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>
        <v>1480.9</v>
      </c>
      <c r="D8" s="13">
        <v>0</v>
      </c>
      <c r="E8" s="13">
        <f t="shared" si="0"/>
        <v>1480.9</v>
      </c>
      <c r="F8" s="14" t="str">
        <f t="shared" si="3"/>
        <v/>
      </c>
      <c r="G8" s="15">
        <v>0</v>
      </c>
      <c r="H8" s="15">
        <f t="shared" si="1"/>
        <v>1480.9</v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3222.5</v>
      </c>
      <c r="D10" s="13">
        <v>0</v>
      </c>
      <c r="E10" s="13">
        <f t="shared" si="0"/>
        <v>3222.5</v>
      </c>
      <c r="F10" s="14" t="str">
        <f t="shared" si="3"/>
        <v/>
      </c>
      <c r="G10" s="15">
        <v>0</v>
      </c>
      <c r="H10" s="15">
        <f t="shared" si="1"/>
        <v>3222.5</v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>
        <v>0</v>
      </c>
      <c r="D11" s="18">
        <v>0</v>
      </c>
      <c r="E11" s="18">
        <f t="shared" si="0"/>
        <v>0</v>
      </c>
      <c r="F11" s="19" t="str">
        <f t="shared" si="3"/>
        <v/>
      </c>
      <c r="G11" s="20">
        <v>0</v>
      </c>
      <c r="H11" s="20">
        <f t="shared" si="1"/>
        <v>0</v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>
        <v>4223.3</v>
      </c>
      <c r="D12" s="13">
        <v>0</v>
      </c>
      <c r="E12" s="13">
        <f t="shared" si="0"/>
        <v>4223.3</v>
      </c>
      <c r="F12" s="14" t="str">
        <f t="shared" si="3"/>
        <v/>
      </c>
      <c r="G12" s="15">
        <v>0</v>
      </c>
      <c r="H12" s="15">
        <f t="shared" si="1"/>
        <v>4223.3</v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>
        <v>8390.6</v>
      </c>
      <c r="D14" s="13">
        <v>0</v>
      </c>
      <c r="E14" s="13">
        <f t="shared" si="0"/>
        <v>8390.6</v>
      </c>
      <c r="F14" s="14" t="str">
        <f t="shared" si="3"/>
        <v/>
      </c>
      <c r="G14" s="15">
        <v>0</v>
      </c>
      <c r="H14" s="15">
        <f t="shared" si="1"/>
        <v>8390.6</v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>
        <v>55.2</v>
      </c>
      <c r="D15" s="18">
        <v>0</v>
      </c>
      <c r="E15" s="18">
        <f t="shared" si="0"/>
        <v>55.2</v>
      </c>
      <c r="F15" s="19" t="str">
        <f t="shared" si="3"/>
        <v/>
      </c>
      <c r="G15" s="20">
        <v>0</v>
      </c>
      <c r="H15" s="20">
        <f t="shared" si="1"/>
        <v>55.2</v>
      </c>
      <c r="I15" s="19" t="str">
        <f t="shared" si="2"/>
        <v/>
      </c>
      <c r="J15" s="42" t="s">
        <v>78</v>
      </c>
      <c r="K15" s="43" t="s">
        <v>79</v>
      </c>
    </row>
    <row r="16" spans="1:11" ht="15.75">
      <c r="A16" s="28" t="str">
        <v xml:space="preserve"> San Diego - Bank of America</v>
      </c>
      <c r="B16" s="29" t="str">
        <v>CA</v>
      </c>
      <c r="C16" s="24">
        <v>135.69999999999999</v>
      </c>
      <c r="D16" s="13">
        <v>0</v>
      </c>
      <c r="E16" s="13">
        <f t="shared" si="0"/>
        <v>135.69999999999999</v>
      </c>
      <c r="F16" s="14" t="str">
        <f t="shared" si="3"/>
        <v/>
      </c>
      <c r="G16" s="15">
        <v>0</v>
      </c>
      <c r="H16" s="15">
        <f t="shared" si="1"/>
        <v>135.69999999999999</v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>
        <v>2402</v>
      </c>
      <c r="D17" s="18">
        <v>0</v>
      </c>
      <c r="E17" s="18">
        <f t="shared" si="0"/>
        <v>2402</v>
      </c>
      <c r="F17" s="19" t="str">
        <f t="shared" si="3"/>
        <v/>
      </c>
      <c r="G17" s="20">
        <v>0</v>
      </c>
      <c r="H17" s="20">
        <f t="shared" si="1"/>
        <v>2402</v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>
        <v>0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>
        <v>0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80</v>
      </c>
      <c r="K18" s="41" t="s">
        <v>72</v>
      </c>
    </row>
    <row r="19" spans="1:11" ht="15.75">
      <c r="A19" s="30" t="str">
        <v xml:space="preserve"> Aurora - BA - Colfax Ave</v>
      </c>
      <c r="B19" s="31" t="str">
        <v>CO</v>
      </c>
      <c r="C19" s="11">
        <v>1355</v>
      </c>
      <c r="D19" s="18">
        <v>0</v>
      </c>
      <c r="E19" s="18">
        <f t="shared" si="4"/>
        <v>1355</v>
      </c>
      <c r="F19" s="19" t="str">
        <f t="shared" si="5"/>
        <v/>
      </c>
      <c r="G19" s="20">
        <v>0</v>
      </c>
      <c r="H19" s="20">
        <f t="shared" si="6"/>
        <v>1355</v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>
        <v>3888.1</v>
      </c>
      <c r="D20" s="13">
        <v>0</v>
      </c>
      <c r="E20" s="13">
        <f t="shared" si="4"/>
        <v>3888.1</v>
      </c>
      <c r="F20" s="14" t="str">
        <f t="shared" si="5"/>
        <v/>
      </c>
      <c r="G20" s="15">
        <v>0</v>
      </c>
      <c r="H20" s="15">
        <f t="shared" si="6"/>
        <v>3888.1</v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>
        <v>1328.53</v>
      </c>
      <c r="D21" s="18">
        <v>0</v>
      </c>
      <c r="E21" s="18">
        <f t="shared" si="4"/>
        <v>1328.53</v>
      </c>
      <c r="F21" s="19" t="str">
        <f t="shared" si="5"/>
        <v/>
      </c>
      <c r="G21" s="20">
        <v>0</v>
      </c>
      <c r="H21" s="20">
        <f t="shared" si="6"/>
        <v>1328.53</v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>
        <v>2823.9</v>
      </c>
      <c r="D22" s="13">
        <v>0</v>
      </c>
      <c r="E22" s="13">
        <f t="shared" si="4"/>
        <v>2823.9</v>
      </c>
      <c r="F22" s="14" t="str">
        <f t="shared" si="5"/>
        <v/>
      </c>
      <c r="G22" s="15">
        <v>0</v>
      </c>
      <c r="H22" s="15">
        <f t="shared" si="6"/>
        <v>2823.9</v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>
        <v>2597.58</v>
      </c>
      <c r="D24" s="13">
        <v>0</v>
      </c>
      <c r="E24" s="13">
        <f t="shared" si="4"/>
        <v>2597.58</v>
      </c>
      <c r="F24" s="14" t="str">
        <f t="shared" si="5"/>
        <v/>
      </c>
      <c r="G24" s="15">
        <v>0</v>
      </c>
      <c r="H24" s="15">
        <f t="shared" si="6"/>
        <v>2597.58</v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>
        <v>366.4</v>
      </c>
      <c r="D25" s="18">
        <v>0</v>
      </c>
      <c r="E25" s="18">
        <f t="shared" si="4"/>
        <v>366.4</v>
      </c>
      <c r="F25" s="19" t="str">
        <f t="shared" si="5"/>
        <v/>
      </c>
      <c r="G25" s="20">
        <v>0</v>
      </c>
      <c r="H25" s="20">
        <f t="shared" si="6"/>
        <v>366.4</v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>
        <v>2543.5</v>
      </c>
      <c r="D26" s="13">
        <v>0</v>
      </c>
      <c r="E26" s="13">
        <f t="shared" si="4"/>
        <v>2543.5</v>
      </c>
      <c r="F26" s="14" t="str">
        <f t="shared" si="5"/>
        <v/>
      </c>
      <c r="G26" s="15">
        <v>0</v>
      </c>
      <c r="H26" s="15">
        <f t="shared" si="6"/>
        <v>2543.5</v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>
        <v>1184.2</v>
      </c>
      <c r="D27" s="18">
        <v>0</v>
      </c>
      <c r="E27" s="18">
        <f t="shared" si="4"/>
        <v>1184.2</v>
      </c>
      <c r="F27" s="19" t="str">
        <f t="shared" si="5"/>
        <v/>
      </c>
      <c r="G27" s="20">
        <v>0</v>
      </c>
      <c r="H27" s="20">
        <f t="shared" si="6"/>
        <v>1184.2</v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>
        <v>1276.0999999999999</v>
      </c>
      <c r="D28" s="13">
        <v>0</v>
      </c>
      <c r="E28" s="13">
        <f t="shared" si="4"/>
        <v>1276.0999999999999</v>
      </c>
      <c r="F28" s="14" t="str">
        <f t="shared" si="5"/>
        <v/>
      </c>
      <c r="G28" s="15">
        <v>0</v>
      </c>
      <c r="H28" s="15">
        <f t="shared" si="6"/>
        <v>1276.0999999999999</v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>
        <v>1445.7</v>
      </c>
      <c r="D29" s="18">
        <v>0</v>
      </c>
      <c r="E29" s="18">
        <f t="shared" si="4"/>
        <v>1445.7</v>
      </c>
      <c r="F29" s="19" t="str">
        <f t="shared" si="5"/>
        <v/>
      </c>
      <c r="G29" s="20">
        <v>0</v>
      </c>
      <c r="H29" s="20">
        <f t="shared" si="6"/>
        <v>1445.7</v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>
        <v>2014.6</v>
      </c>
      <c r="D30" s="13">
        <v>0</v>
      </c>
      <c r="E30" s="13">
        <f t="shared" si="4"/>
        <v>2014.6</v>
      </c>
      <c r="F30" s="14" t="str">
        <f t="shared" si="5"/>
        <v/>
      </c>
      <c r="G30" s="15">
        <v>0</v>
      </c>
      <c r="H30" s="15">
        <f t="shared" si="6"/>
        <v>2014.6</v>
      </c>
      <c r="I30" s="16" t="str">
        <f t="shared" si="7"/>
        <v/>
      </c>
      <c r="J30" s="41" t="s">
        <v>81</v>
      </c>
      <c r="K30" s="41" t="s">
        <v>82</v>
      </c>
    </row>
    <row r="31" spans="1:11" ht="15.75">
      <c r="A31" s="30" t="str">
        <v xml:space="preserve"> Downers Grove - Bank of America</v>
      </c>
      <c r="B31" s="31" t="str">
        <v>IL</v>
      </c>
      <c r="C31" s="11">
        <v>3074.9</v>
      </c>
      <c r="D31" s="18">
        <v>0</v>
      </c>
      <c r="E31" s="18">
        <f t="shared" si="4"/>
        <v>3074.9</v>
      </c>
      <c r="F31" s="19" t="str">
        <f t="shared" si="5"/>
        <v/>
      </c>
      <c r="G31" s="20">
        <v>0</v>
      </c>
      <c r="H31" s="20">
        <f t="shared" si="6"/>
        <v>3074.9</v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2486.6999999999998</v>
      </c>
      <c r="D33" s="18">
        <v>0</v>
      </c>
      <c r="E33" s="18">
        <f t="shared" si="4"/>
        <v>2486.6999999999998</v>
      </c>
      <c r="F33" s="19" t="str">
        <f t="shared" si="5"/>
        <v/>
      </c>
      <c r="G33" s="20">
        <v>0</v>
      </c>
      <c r="H33" s="20">
        <f t="shared" si="6"/>
        <v>2486.6999999999998</v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>
        <v>307</v>
      </c>
      <c r="D34" s="13">
        <v>0</v>
      </c>
      <c r="E34" s="13">
        <f t="shared" si="4"/>
        <v>307</v>
      </c>
      <c r="F34" s="14" t="str">
        <f t="shared" si="5"/>
        <v/>
      </c>
      <c r="G34" s="15">
        <v>0</v>
      </c>
      <c r="H34" s="15">
        <f t="shared" si="6"/>
        <v>307</v>
      </c>
      <c r="I34" s="16" t="str">
        <f t="shared" si="7"/>
        <v/>
      </c>
      <c r="J34" s="41" t="s">
        <v>46</v>
      </c>
      <c r="K34" s="41" t="s">
        <v>75</v>
      </c>
    </row>
    <row r="35" spans="1:11" ht="15.75">
      <c r="A35" s="30" t="str">
        <v xml:space="preserve"> Las Vegas - BA - Eastern Ave</v>
      </c>
      <c r="B35" s="31" t="str">
        <v>NV</v>
      </c>
      <c r="C35" s="11">
        <v>80.7</v>
      </c>
      <c r="D35" s="18">
        <v>0</v>
      </c>
      <c r="E35" s="18">
        <f t="shared" si="4"/>
        <v>80.7</v>
      </c>
      <c r="F35" s="19" t="str">
        <f t="shared" si="5"/>
        <v/>
      </c>
      <c r="G35" s="20">
        <v>0</v>
      </c>
      <c r="H35" s="20">
        <f t="shared" si="6"/>
        <v>80.7</v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>
        <v>2821.2</v>
      </c>
      <c r="D37" s="18">
        <v>0</v>
      </c>
      <c r="E37" s="18">
        <f t="shared" si="4"/>
        <v>2821.2</v>
      </c>
      <c r="F37" s="19" t="str">
        <f t="shared" si="5"/>
        <v/>
      </c>
      <c r="G37" s="20">
        <v>0</v>
      </c>
      <c r="H37" s="20">
        <f t="shared" si="6"/>
        <v>2821.2</v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>
        <v>497.8</v>
      </c>
      <c r="D38" s="13">
        <v>0</v>
      </c>
      <c r="E38" s="13">
        <f t="shared" si="4"/>
        <v>497.8</v>
      </c>
      <c r="F38" s="14" t="str">
        <f t="shared" si="5"/>
        <v/>
      </c>
      <c r="G38" s="15">
        <v>0</v>
      </c>
      <c r="H38" s="15">
        <f t="shared" si="6"/>
        <v>497.8</v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tabSelected="1" zoomScale="80" zoomScaleNormal="80" workbookViewId="0">
      <pane xSplit="2" ySplit="3" topLeftCell="C4" activePane="bottomRight" state="frozen"/>
      <selection pane="bottomRight" activeCell="J41" sqref="J4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83</v>
      </c>
      <c r="E1" s="62"/>
      <c r="F1" s="62"/>
      <c r="G1" s="60" t="s">
        <v>84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48395.692999999992</v>
      </c>
      <c r="D2" s="5">
        <f>SUM(D4:D100)</f>
        <v>0</v>
      </c>
      <c r="E2" s="5">
        <f>C2-D2</f>
        <v>48395.692999999992</v>
      </c>
      <c r="F2" s="6">
        <f>IFERROR(E2/D2, 0)</f>
        <v>0</v>
      </c>
      <c r="G2" s="5">
        <f>SUM(G4:G100)</f>
        <v>0</v>
      </c>
      <c r="H2" s="7">
        <f>C2-G2</f>
        <v>48395.692999999992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>
        <v>0</v>
      </c>
      <c r="E4" s="13">
        <f>IF(AND(ISNUMBER(C4),ISNUMBER(D4)), C4-D4, "")</f>
        <v>0</v>
      </c>
      <c r="F4" s="14" t="str">
        <f>IFERROR(E4/D4, "")</f>
        <v/>
      </c>
      <c r="G4" s="15">
        <v>0</v>
      </c>
      <c r="H4" s="15">
        <f>IF(AND(ISNUMBER(C4),ISNUMBER(G4)), C4-G4, "")</f>
        <v>0</v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>
        <v>0</v>
      </c>
      <c r="D5" s="18">
        <v>0</v>
      </c>
      <c r="E5" s="18">
        <f t="shared" ref="E5:E17" si="0">IF(AND(ISNUMBER(C5),ISNUMBER(D5)), C5-D5, "")</f>
        <v>0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0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>
        <v>10.8</v>
      </c>
      <c r="D6" s="13">
        <v>0</v>
      </c>
      <c r="E6" s="13">
        <f t="shared" si="0"/>
        <v>10.8</v>
      </c>
      <c r="F6" s="14" t="str">
        <f t="shared" ref="F6:F17" si="3">IFERROR(E6/D6, "")</f>
        <v/>
      </c>
      <c r="G6" s="15">
        <v>0</v>
      </c>
      <c r="H6" s="15">
        <f t="shared" si="1"/>
        <v>10.8</v>
      </c>
      <c r="I6" s="16" t="str">
        <f t="shared" si="2"/>
        <v/>
      </c>
      <c r="J6" s="41" t="s">
        <v>85</v>
      </c>
      <c r="K6" s="41" t="s">
        <v>86</v>
      </c>
    </row>
    <row r="7" spans="1:11" ht="15.75">
      <c r="A7" s="30" t="str">
        <v xml:space="preserve"> Bell - Bank of America</v>
      </c>
      <c r="B7" s="31" t="str">
        <v>CA</v>
      </c>
      <c r="C7" s="11">
        <v>906.3</v>
      </c>
      <c r="D7" s="18">
        <v>0</v>
      </c>
      <c r="E7" s="18">
        <f t="shared" si="0"/>
        <v>906.3</v>
      </c>
      <c r="F7" s="19" t="str">
        <f t="shared" si="3"/>
        <v/>
      </c>
      <c r="G7" s="20">
        <v>0</v>
      </c>
      <c r="H7" s="20">
        <f t="shared" si="1"/>
        <v>906.3</v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>
        <v>1241.8</v>
      </c>
      <c r="D8" s="13">
        <v>0</v>
      </c>
      <c r="E8" s="13">
        <f t="shared" si="0"/>
        <v>1241.8</v>
      </c>
      <c r="F8" s="14" t="str">
        <f t="shared" si="3"/>
        <v/>
      </c>
      <c r="G8" s="15">
        <v>0</v>
      </c>
      <c r="H8" s="15">
        <f t="shared" si="1"/>
        <v>1241.8</v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>
        <v>0</v>
      </c>
      <c r="D9" s="18">
        <v>0</v>
      </c>
      <c r="E9" s="18">
        <f t="shared" si="0"/>
        <v>0</v>
      </c>
      <c r="F9" s="19" t="str">
        <f t="shared" si="3"/>
        <v/>
      </c>
      <c r="G9" s="20">
        <v>0</v>
      </c>
      <c r="H9" s="20">
        <f t="shared" si="1"/>
        <v>0</v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>
        <v>2627.2429999999999</v>
      </c>
      <c r="D10" s="13">
        <v>0</v>
      </c>
      <c r="E10" s="13">
        <f t="shared" si="0"/>
        <v>2627.2429999999999</v>
      </c>
      <c r="F10" s="14" t="str">
        <f t="shared" si="3"/>
        <v/>
      </c>
      <c r="G10" s="15">
        <v>0</v>
      </c>
      <c r="H10" s="15">
        <f t="shared" si="1"/>
        <v>2627.2429999999999</v>
      </c>
      <c r="I10" s="16" t="str">
        <f t="shared" si="2"/>
        <v/>
      </c>
      <c r="J10" s="41" t="s">
        <v>87</v>
      </c>
      <c r="K10" s="41" t="s">
        <v>88</v>
      </c>
    </row>
    <row r="11" spans="1:11" ht="15.75">
      <c r="A11" s="30" t="str">
        <v xml:space="preserve"> El Centro - Bank of America</v>
      </c>
      <c r="B11" s="31" t="str">
        <v>CA</v>
      </c>
      <c r="C11" s="11">
        <v>2400.1999999999998</v>
      </c>
      <c r="D11" s="18">
        <v>0</v>
      </c>
      <c r="E11" s="18">
        <f t="shared" si="0"/>
        <v>2400.1999999999998</v>
      </c>
      <c r="F11" s="19" t="str">
        <f t="shared" si="3"/>
        <v/>
      </c>
      <c r="G11" s="20">
        <v>0</v>
      </c>
      <c r="H11" s="20">
        <f t="shared" si="1"/>
        <v>2400.1999999999998</v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>
        <v>3876.2</v>
      </c>
      <c r="D12" s="13">
        <v>0</v>
      </c>
      <c r="E12" s="13">
        <f t="shared" si="0"/>
        <v>3876.2</v>
      </c>
      <c r="F12" s="14" t="str">
        <f t="shared" si="3"/>
        <v/>
      </c>
      <c r="G12" s="15">
        <v>0</v>
      </c>
      <c r="H12" s="15">
        <f t="shared" si="1"/>
        <v>3876.2</v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>
        <v>0</v>
      </c>
      <c r="D13" s="18">
        <v>0</v>
      </c>
      <c r="E13" s="18">
        <f t="shared" si="0"/>
        <v>0</v>
      </c>
      <c r="F13" s="19" t="str">
        <f t="shared" si="3"/>
        <v/>
      </c>
      <c r="G13" s="20">
        <v>0</v>
      </c>
      <c r="H13" s="20">
        <f t="shared" si="1"/>
        <v>0</v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>
        <v>7734.1</v>
      </c>
      <c r="D14" s="13">
        <v>0</v>
      </c>
      <c r="E14" s="13">
        <f t="shared" si="0"/>
        <v>7734.1</v>
      </c>
      <c r="F14" s="14" t="str">
        <f t="shared" si="3"/>
        <v/>
      </c>
      <c r="G14" s="15">
        <v>0</v>
      </c>
      <c r="H14" s="15">
        <f t="shared" si="1"/>
        <v>7734.1</v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>
        <v>75.2</v>
      </c>
      <c r="D15" s="18">
        <v>0</v>
      </c>
      <c r="E15" s="18">
        <f t="shared" si="0"/>
        <v>75.2</v>
      </c>
      <c r="F15" s="19" t="str">
        <f t="shared" si="3"/>
        <v/>
      </c>
      <c r="G15" s="20">
        <v>0</v>
      </c>
      <c r="H15" s="20">
        <f t="shared" si="1"/>
        <v>75.2</v>
      </c>
      <c r="I15" s="19" t="str">
        <f t="shared" si="2"/>
        <v/>
      </c>
      <c r="J15" s="42" t="s">
        <v>78</v>
      </c>
      <c r="K15" s="43" t="s">
        <v>79</v>
      </c>
    </row>
    <row r="16" spans="1:11" ht="15.75">
      <c r="A16" s="28" t="str">
        <v xml:space="preserve"> San Diego - Bank of America</v>
      </c>
      <c r="B16" s="29" t="str">
        <v>CA</v>
      </c>
      <c r="C16" s="24">
        <v>85.2</v>
      </c>
      <c r="D16" s="13">
        <v>0</v>
      </c>
      <c r="E16" s="13">
        <f t="shared" si="0"/>
        <v>85.2</v>
      </c>
      <c r="F16" s="14" t="str">
        <f t="shared" si="3"/>
        <v/>
      </c>
      <c r="G16" s="15">
        <v>0</v>
      </c>
      <c r="H16" s="15">
        <f t="shared" si="1"/>
        <v>85.2</v>
      </c>
      <c r="I16" s="16" t="str">
        <f t="shared" si="2"/>
        <v/>
      </c>
      <c r="J16" s="41" t="s">
        <v>89</v>
      </c>
      <c r="K16" s="41" t="s">
        <v>90</v>
      </c>
    </row>
    <row r="17" spans="1:11" ht="15.75">
      <c r="A17" s="30" t="str">
        <v xml:space="preserve"> Stockton - Bank of America</v>
      </c>
      <c r="B17" s="31" t="str">
        <v>CA</v>
      </c>
      <c r="C17" s="11">
        <v>1742.3</v>
      </c>
      <c r="D17" s="18">
        <v>0</v>
      </c>
      <c r="E17" s="18">
        <f t="shared" si="0"/>
        <v>1742.3</v>
      </c>
      <c r="F17" s="19" t="str">
        <f t="shared" si="3"/>
        <v/>
      </c>
      <c r="G17" s="20">
        <v>0</v>
      </c>
      <c r="H17" s="20">
        <f t="shared" si="1"/>
        <v>1742.3</v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>
        <v>0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>
        <v>0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>
        <v>1255.7</v>
      </c>
      <c r="D19" s="18">
        <v>0</v>
      </c>
      <c r="E19" s="18">
        <f t="shared" si="4"/>
        <v>1255.7</v>
      </c>
      <c r="F19" s="19" t="str">
        <f t="shared" si="5"/>
        <v/>
      </c>
      <c r="G19" s="20">
        <v>0</v>
      </c>
      <c r="H19" s="20">
        <f t="shared" si="6"/>
        <v>1255.7</v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>
        <v>3689.6</v>
      </c>
      <c r="D20" s="13">
        <v>0</v>
      </c>
      <c r="E20" s="13">
        <f t="shared" si="4"/>
        <v>3689.6</v>
      </c>
      <c r="F20" s="14" t="str">
        <f t="shared" si="5"/>
        <v/>
      </c>
      <c r="G20" s="15">
        <v>0</v>
      </c>
      <c r="H20" s="15">
        <f t="shared" si="6"/>
        <v>3689.6</v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>
        <v>1545.8</v>
      </c>
      <c r="D21" s="18">
        <v>0</v>
      </c>
      <c r="E21" s="18">
        <f t="shared" si="4"/>
        <v>1545.8</v>
      </c>
      <c r="F21" s="19" t="str">
        <f t="shared" si="5"/>
        <v/>
      </c>
      <c r="G21" s="20">
        <v>0</v>
      </c>
      <c r="H21" s="20">
        <f t="shared" si="6"/>
        <v>1545.8</v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>
        <v>2849.4</v>
      </c>
      <c r="D22" s="13">
        <v>0</v>
      </c>
      <c r="E22" s="13">
        <f t="shared" si="4"/>
        <v>2849.4</v>
      </c>
      <c r="F22" s="14" t="str">
        <f t="shared" si="5"/>
        <v/>
      </c>
      <c r="G22" s="15">
        <v>0</v>
      </c>
      <c r="H22" s="15">
        <f t="shared" si="6"/>
        <v>2849.4</v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>
        <v>0</v>
      </c>
      <c r="D23" s="18">
        <v>0</v>
      </c>
      <c r="E23" s="18">
        <f t="shared" si="4"/>
        <v>0</v>
      </c>
      <c r="F23" s="19" t="str">
        <f t="shared" si="5"/>
        <v/>
      </c>
      <c r="G23" s="20">
        <v>0</v>
      </c>
      <c r="H23" s="20">
        <f t="shared" si="6"/>
        <v>0</v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>
        <v>2517.4</v>
      </c>
      <c r="D24" s="13">
        <v>0</v>
      </c>
      <c r="E24" s="13">
        <f t="shared" si="4"/>
        <v>2517.4</v>
      </c>
      <c r="F24" s="14" t="str">
        <f t="shared" si="5"/>
        <v/>
      </c>
      <c r="G24" s="15">
        <v>0</v>
      </c>
      <c r="H24" s="15">
        <f t="shared" si="6"/>
        <v>2517.4</v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>
        <v>0</v>
      </c>
      <c r="D25" s="18">
        <v>0</v>
      </c>
      <c r="E25" s="18">
        <f t="shared" si="4"/>
        <v>0</v>
      </c>
      <c r="F25" s="19" t="str">
        <f t="shared" si="5"/>
        <v/>
      </c>
      <c r="G25" s="20">
        <v>0</v>
      </c>
      <c r="H25" s="20">
        <f t="shared" si="6"/>
        <v>0</v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>
        <v>2415.3000000000002</v>
      </c>
      <c r="D26" s="13">
        <v>0</v>
      </c>
      <c r="E26" s="13">
        <f t="shared" si="4"/>
        <v>2415.3000000000002</v>
      </c>
      <c r="F26" s="14" t="str">
        <f t="shared" si="5"/>
        <v/>
      </c>
      <c r="G26" s="15">
        <v>0</v>
      </c>
      <c r="H26" s="15">
        <f t="shared" si="6"/>
        <v>2415.3000000000002</v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>
        <v>1238.0999999999999</v>
      </c>
      <c r="D27" s="18">
        <v>0</v>
      </c>
      <c r="E27" s="18">
        <f t="shared" si="4"/>
        <v>1238.0999999999999</v>
      </c>
      <c r="F27" s="19" t="str">
        <f t="shared" si="5"/>
        <v/>
      </c>
      <c r="G27" s="20">
        <v>0</v>
      </c>
      <c r="H27" s="20">
        <f t="shared" si="6"/>
        <v>1238.0999999999999</v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>
        <v>1175.8499999999999</v>
      </c>
      <c r="D28" s="13">
        <v>0</v>
      </c>
      <c r="E28" s="13">
        <f t="shared" si="4"/>
        <v>1175.8499999999999</v>
      </c>
      <c r="F28" s="14" t="str">
        <f t="shared" si="5"/>
        <v/>
      </c>
      <c r="G28" s="15">
        <v>0</v>
      </c>
      <c r="H28" s="15">
        <f t="shared" si="6"/>
        <v>1175.8499999999999</v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>
        <v>1435</v>
      </c>
      <c r="D29" s="18">
        <v>0</v>
      </c>
      <c r="E29" s="18">
        <f t="shared" si="4"/>
        <v>1435</v>
      </c>
      <c r="F29" s="19" t="str">
        <f t="shared" si="5"/>
        <v/>
      </c>
      <c r="G29" s="20">
        <v>0</v>
      </c>
      <c r="H29" s="20">
        <f t="shared" si="6"/>
        <v>1435</v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>
        <v>573.1</v>
      </c>
      <c r="D30" s="13">
        <v>0</v>
      </c>
      <c r="E30" s="13">
        <f t="shared" si="4"/>
        <v>573.1</v>
      </c>
      <c r="F30" s="14" t="str">
        <f t="shared" si="5"/>
        <v/>
      </c>
      <c r="G30" s="15">
        <v>0</v>
      </c>
      <c r="H30" s="15">
        <f t="shared" si="6"/>
        <v>573.1</v>
      </c>
      <c r="I30" s="16" t="str">
        <f t="shared" si="7"/>
        <v/>
      </c>
      <c r="J30" s="41" t="s">
        <v>91</v>
      </c>
      <c r="K30" s="41" t="s">
        <v>82</v>
      </c>
    </row>
    <row r="31" spans="1:11" ht="15.75">
      <c r="A31" s="30" t="str">
        <v xml:space="preserve"> Downers Grove - Bank of America</v>
      </c>
      <c r="B31" s="31" t="str">
        <v>IL</v>
      </c>
      <c r="C31" s="11">
        <v>2682.6</v>
      </c>
      <c r="D31" s="18">
        <v>0</v>
      </c>
      <c r="E31" s="18">
        <f t="shared" si="4"/>
        <v>2682.6</v>
      </c>
      <c r="F31" s="19" t="str">
        <f t="shared" si="5"/>
        <v/>
      </c>
      <c r="G31" s="20">
        <v>0</v>
      </c>
      <c r="H31" s="20">
        <f t="shared" si="6"/>
        <v>2682.6</v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>
        <v>0</v>
      </c>
      <c r="D32" s="13">
        <v>0</v>
      </c>
      <c r="E32" s="13">
        <f t="shared" si="4"/>
        <v>0</v>
      </c>
      <c r="F32" s="14" t="str">
        <f t="shared" si="5"/>
        <v/>
      </c>
      <c r="G32" s="15">
        <v>0</v>
      </c>
      <c r="H32" s="15">
        <f t="shared" si="6"/>
        <v>0</v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>
        <v>1953.1</v>
      </c>
      <c r="D33" s="18">
        <v>0</v>
      </c>
      <c r="E33" s="18">
        <f t="shared" si="4"/>
        <v>1953.1</v>
      </c>
      <c r="F33" s="19" t="str">
        <f t="shared" si="5"/>
        <v/>
      </c>
      <c r="G33" s="20">
        <v>0</v>
      </c>
      <c r="H33" s="20">
        <f t="shared" si="6"/>
        <v>1953.1</v>
      </c>
      <c r="I33" s="19" t="str">
        <f t="shared" si="7"/>
        <v/>
      </c>
      <c r="J33" s="42" t="s">
        <v>92</v>
      </c>
      <c r="K33" s="43" t="s">
        <v>93</v>
      </c>
    </row>
    <row r="34" spans="1:11" ht="15.75">
      <c r="A34" s="28" t="str">
        <v xml:space="preserve"> Manchester - Bank of America</v>
      </c>
      <c r="B34" s="29" t="str">
        <v>MO</v>
      </c>
      <c r="C34" s="24">
        <v>1420</v>
      </c>
      <c r="D34" s="13">
        <v>0</v>
      </c>
      <c r="E34" s="13">
        <f t="shared" si="4"/>
        <v>1420</v>
      </c>
      <c r="F34" s="14" t="str">
        <f t="shared" si="5"/>
        <v/>
      </c>
      <c r="G34" s="15">
        <v>0</v>
      </c>
      <c r="H34" s="15">
        <f t="shared" si="6"/>
        <v>1420</v>
      </c>
      <c r="I34" s="16" t="str">
        <f t="shared" si="7"/>
        <v/>
      </c>
      <c r="J34" s="41" t="s">
        <v>46</v>
      </c>
      <c r="K34" s="41" t="s">
        <v>75</v>
      </c>
    </row>
    <row r="35" spans="1:11" ht="15.75">
      <c r="A35" s="30" t="str">
        <v xml:space="preserve"> Las Vegas - BA - Eastern Ave</v>
      </c>
      <c r="B35" s="31" t="str">
        <v>NV</v>
      </c>
      <c r="C35" s="11">
        <v>110.6</v>
      </c>
      <c r="D35" s="18">
        <v>0</v>
      </c>
      <c r="E35" s="18">
        <f t="shared" si="4"/>
        <v>110.6</v>
      </c>
      <c r="F35" s="19" t="str">
        <f t="shared" si="5"/>
        <v/>
      </c>
      <c r="G35" s="20">
        <v>0</v>
      </c>
      <c r="H35" s="20">
        <f t="shared" si="6"/>
        <v>110.6</v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>
        <v>0</v>
      </c>
      <c r="D36" s="13">
        <v>0</v>
      </c>
      <c r="E36" s="13">
        <f t="shared" si="4"/>
        <v>0</v>
      </c>
      <c r="F36" s="14" t="str">
        <f t="shared" si="5"/>
        <v/>
      </c>
      <c r="G36" s="15">
        <v>0</v>
      </c>
      <c r="H36" s="15">
        <f t="shared" si="6"/>
        <v>0</v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>
        <v>2506.6</v>
      </c>
      <c r="D37" s="18">
        <v>0</v>
      </c>
      <c r="E37" s="18">
        <f t="shared" si="4"/>
        <v>2506.6</v>
      </c>
      <c r="F37" s="19" t="str">
        <f t="shared" si="5"/>
        <v/>
      </c>
      <c r="G37" s="20">
        <v>0</v>
      </c>
      <c r="H37" s="20">
        <f t="shared" si="6"/>
        <v>2506.6</v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>
        <v>328.2</v>
      </c>
      <c r="D38" s="13">
        <v>0</v>
      </c>
      <c r="E38" s="13">
        <f t="shared" si="4"/>
        <v>328.2</v>
      </c>
      <c r="F38" s="14" t="str">
        <f t="shared" si="5"/>
        <v/>
      </c>
      <c r="G38" s="15">
        <v>0</v>
      </c>
      <c r="H38" s="15">
        <f t="shared" si="6"/>
        <v>328.2</v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B22" sqref="B22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94</v>
      </c>
      <c r="E1" s="62"/>
      <c r="F1" s="62"/>
      <c r="G1" s="60" t="s">
        <v>95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xSplit="2" ySplit="3" topLeftCell="C4" activePane="bottomRight" state="frozen"/>
      <selection pane="bottomRight" activeCell="A16" sqref="A16:K38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96</v>
      </c>
      <c r="E1" s="62"/>
      <c r="F1" s="62"/>
      <c r="G1" s="60" t="s">
        <v>97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xSplit="2" ySplit="3" topLeftCell="C4" activePane="bottomRight" state="frozen"/>
      <selection pane="bottomRight" activeCell="Q26" sqref="Q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Cushman &amp; Wakefield</v>
      </c>
      <c r="B1" s="61"/>
      <c r="C1" s="61"/>
      <c r="D1" s="62" t="s">
        <v>98</v>
      </c>
      <c r="E1" s="62"/>
      <c r="F1" s="62"/>
      <c r="G1" s="60" t="s">
        <v>99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7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7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7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7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7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7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7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7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7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7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7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7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7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2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2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2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2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2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2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2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2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2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2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2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2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2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3.9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="90" zoomScaleNormal="90" workbookViewId="0">
      <pane ySplit="3" topLeftCell="A4" activePane="bottomLeft" state="frozen"/>
      <selection pane="bottomLeft" activeCell="A37" sqref="A37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100</v>
      </c>
      <c r="B1" t="s">
        <v>101</v>
      </c>
    </row>
    <row r="3" spans="1:7">
      <c r="A3" t="s">
        <v>102</v>
      </c>
      <c r="B3" t="s">
        <v>3</v>
      </c>
      <c r="C3" t="s">
        <v>4</v>
      </c>
      <c r="D3" t="s">
        <v>103</v>
      </c>
      <c r="E3" s="2" t="s">
        <v>104</v>
      </c>
    </row>
    <row r="4" spans="1:7" ht="14.25">
      <c r="A4" s="44" t="s">
        <v>105</v>
      </c>
      <c r="B4" s="45" t="s">
        <v>106</v>
      </c>
      <c r="C4" s="45" t="s">
        <v>107</v>
      </c>
      <c r="D4" s="46"/>
      <c r="E4" s="47" t="s">
        <v>108</v>
      </c>
      <c r="G4" s="3"/>
    </row>
    <row r="5" spans="1:7" ht="14.25">
      <c r="A5" s="48" t="s">
        <v>105</v>
      </c>
      <c r="B5" s="49" t="s">
        <v>109</v>
      </c>
      <c r="C5" s="49" t="s">
        <v>107</v>
      </c>
      <c r="D5" s="50"/>
      <c r="E5" s="51" t="s">
        <v>108</v>
      </c>
      <c r="G5" s="3"/>
    </row>
    <row r="6" spans="1:7" ht="14.25">
      <c r="A6" s="44" t="s">
        <v>110</v>
      </c>
      <c r="B6" s="45" t="s">
        <v>111</v>
      </c>
      <c r="C6" s="45" t="s">
        <v>107</v>
      </c>
      <c r="D6" s="46"/>
      <c r="E6" s="47" t="s">
        <v>108</v>
      </c>
      <c r="G6" s="3"/>
    </row>
    <row r="7" spans="1:7" ht="12.75" customHeight="1">
      <c r="A7" s="48" t="s">
        <v>112</v>
      </c>
      <c r="B7" s="49" t="s">
        <v>113</v>
      </c>
      <c r="C7" s="49" t="s">
        <v>107</v>
      </c>
      <c r="D7" s="50"/>
      <c r="E7" s="51" t="s">
        <v>108</v>
      </c>
    </row>
    <row r="8" spans="1:7" ht="12.75" customHeight="1">
      <c r="A8" s="44" t="s">
        <v>114</v>
      </c>
      <c r="B8" s="45" t="s">
        <v>115</v>
      </c>
      <c r="C8" s="45" t="s">
        <v>107</v>
      </c>
      <c r="D8" s="46"/>
      <c r="E8" s="47" t="s">
        <v>108</v>
      </c>
    </row>
    <row r="9" spans="1:7" ht="12.75" customHeight="1">
      <c r="A9" s="48" t="s">
        <v>116</v>
      </c>
      <c r="B9" s="49" t="s">
        <v>117</v>
      </c>
      <c r="C9" s="49" t="s">
        <v>107</v>
      </c>
      <c r="D9" s="50"/>
      <c r="E9" s="51" t="s">
        <v>108</v>
      </c>
    </row>
    <row r="10" spans="1:7" ht="12.75" customHeight="1">
      <c r="A10" s="44" t="s">
        <v>118</v>
      </c>
      <c r="B10" s="45" t="s">
        <v>119</v>
      </c>
      <c r="C10" s="45" t="s">
        <v>107</v>
      </c>
      <c r="D10" s="46"/>
      <c r="E10" s="47" t="s">
        <v>108</v>
      </c>
    </row>
    <row r="11" spans="1:7" ht="12.75" customHeight="1">
      <c r="A11" s="48" t="s">
        <v>120</v>
      </c>
      <c r="B11" s="49" t="s">
        <v>121</v>
      </c>
      <c r="C11" s="49" t="s">
        <v>107</v>
      </c>
      <c r="D11" s="50"/>
      <c r="E11" s="51" t="s">
        <v>108</v>
      </c>
    </row>
    <row r="12" spans="1:7" ht="12.75" customHeight="1">
      <c r="A12" s="44" t="s">
        <v>122</v>
      </c>
      <c r="B12" s="45" t="s">
        <v>123</v>
      </c>
      <c r="C12" s="45" t="s">
        <v>107</v>
      </c>
      <c r="D12" s="46"/>
      <c r="E12" s="47" t="s">
        <v>108</v>
      </c>
    </row>
    <row r="13" spans="1:7" ht="12.75" customHeight="1">
      <c r="A13" s="48" t="s">
        <v>105</v>
      </c>
      <c r="B13" s="49" t="s">
        <v>124</v>
      </c>
      <c r="C13" s="49" t="s">
        <v>107</v>
      </c>
      <c r="D13" s="50"/>
      <c r="E13" s="51" t="s">
        <v>108</v>
      </c>
    </row>
    <row r="14" spans="1:7" ht="12.75" customHeight="1">
      <c r="A14" s="44" t="s">
        <v>125</v>
      </c>
      <c r="B14" s="45" t="s">
        <v>126</v>
      </c>
      <c r="C14" s="45" t="s">
        <v>107</v>
      </c>
      <c r="D14" s="46"/>
      <c r="E14" s="47" t="s">
        <v>108</v>
      </c>
    </row>
    <row r="15" spans="1:7" ht="12.75" customHeight="1">
      <c r="A15" s="48" t="s">
        <v>127</v>
      </c>
      <c r="B15" s="49" t="s">
        <v>128</v>
      </c>
      <c r="C15" s="49" t="s">
        <v>107</v>
      </c>
      <c r="D15" s="50"/>
      <c r="E15" s="51" t="s">
        <v>108</v>
      </c>
    </row>
    <row r="16" spans="1:7" ht="12.75" customHeight="1">
      <c r="A16" s="44" t="s">
        <v>129</v>
      </c>
      <c r="B16" s="45" t="s">
        <v>130</v>
      </c>
      <c r="C16" s="45" t="s">
        <v>107</v>
      </c>
      <c r="D16" s="46"/>
      <c r="E16" s="47" t="s">
        <v>108</v>
      </c>
    </row>
    <row r="17" spans="1:5" ht="12.75" customHeight="1">
      <c r="A17" s="48" t="s">
        <v>131</v>
      </c>
      <c r="B17" s="49" t="s">
        <v>132</v>
      </c>
      <c r="C17" s="49" t="s">
        <v>107</v>
      </c>
      <c r="D17" s="50"/>
      <c r="E17" s="51" t="s">
        <v>108</v>
      </c>
    </row>
    <row r="18" spans="1:5" ht="12.75" customHeight="1">
      <c r="A18" s="48"/>
      <c r="B18" s="49" t="s">
        <v>133</v>
      </c>
      <c r="C18" s="49" t="s">
        <v>107</v>
      </c>
      <c r="D18" s="46"/>
      <c r="E18" s="47" t="s">
        <v>108</v>
      </c>
    </row>
    <row r="19" spans="1:5" ht="12.75" customHeight="1">
      <c r="A19" s="48" t="s">
        <v>134</v>
      </c>
      <c r="B19" s="49" t="s">
        <v>135</v>
      </c>
      <c r="C19" s="49" t="s">
        <v>136</v>
      </c>
      <c r="D19" s="50"/>
      <c r="E19" s="51" t="s">
        <v>108</v>
      </c>
    </row>
    <row r="20" spans="1:5" ht="12.75" customHeight="1">
      <c r="A20" s="48" t="s">
        <v>137</v>
      </c>
      <c r="B20" s="49" t="s">
        <v>138</v>
      </c>
      <c r="C20" s="49" t="s">
        <v>136</v>
      </c>
      <c r="D20" s="46"/>
      <c r="E20" s="47" t="s">
        <v>108</v>
      </c>
    </row>
    <row r="21" spans="1:5" ht="12.75" customHeight="1">
      <c r="A21" s="48" t="s">
        <v>139</v>
      </c>
      <c r="B21" s="49" t="s">
        <v>140</v>
      </c>
      <c r="C21" s="49" t="s">
        <v>136</v>
      </c>
      <c r="D21" s="50"/>
      <c r="E21" s="51" t="s">
        <v>108</v>
      </c>
    </row>
    <row r="22" spans="1:5" ht="12.75" customHeight="1">
      <c r="A22" s="48" t="s">
        <v>141</v>
      </c>
      <c r="B22" s="49" t="s">
        <v>142</v>
      </c>
      <c r="C22" s="49" t="s">
        <v>136</v>
      </c>
      <c r="D22" s="46"/>
      <c r="E22" s="47" t="s">
        <v>108</v>
      </c>
    </row>
    <row r="23" spans="1:5" ht="12.75" customHeight="1">
      <c r="A23" s="48" t="s">
        <v>143</v>
      </c>
      <c r="B23" s="49" t="s">
        <v>144</v>
      </c>
      <c r="C23" s="49" t="s">
        <v>136</v>
      </c>
      <c r="D23" s="50"/>
      <c r="E23" s="51" t="s">
        <v>108</v>
      </c>
    </row>
    <row r="24" spans="1:5" ht="12.75" customHeight="1">
      <c r="A24" s="48" t="s">
        <v>145</v>
      </c>
      <c r="B24" s="49" t="s">
        <v>146</v>
      </c>
      <c r="C24" s="49" t="s">
        <v>136</v>
      </c>
      <c r="D24" s="46"/>
      <c r="E24" s="47" t="s">
        <v>108</v>
      </c>
    </row>
    <row r="25" spans="1:5" ht="12.75" customHeight="1">
      <c r="A25" s="48" t="s">
        <v>147</v>
      </c>
      <c r="B25" s="49" t="s">
        <v>148</v>
      </c>
      <c r="C25" s="49" t="s">
        <v>136</v>
      </c>
      <c r="D25" s="50"/>
      <c r="E25" s="51" t="s">
        <v>108</v>
      </c>
    </row>
    <row r="26" spans="1:5" ht="12.75" customHeight="1">
      <c r="A26" s="48" t="s">
        <v>149</v>
      </c>
      <c r="B26" s="49" t="s">
        <v>150</v>
      </c>
      <c r="C26" s="49" t="s">
        <v>136</v>
      </c>
      <c r="D26" s="46"/>
      <c r="E26" s="47" t="s">
        <v>108</v>
      </c>
    </row>
    <row r="27" spans="1:5" ht="12.75" customHeight="1">
      <c r="A27" s="48" t="s">
        <v>151</v>
      </c>
      <c r="B27" s="49" t="s">
        <v>152</v>
      </c>
      <c r="C27" s="49" t="s">
        <v>136</v>
      </c>
      <c r="D27" s="50"/>
      <c r="E27" s="51" t="s">
        <v>108</v>
      </c>
    </row>
    <row r="28" spans="1:5" ht="12.75" customHeight="1">
      <c r="A28" s="48" t="s">
        <v>153</v>
      </c>
      <c r="B28" s="49" t="s">
        <v>154</v>
      </c>
      <c r="C28" s="49" t="s">
        <v>136</v>
      </c>
      <c r="D28" s="46"/>
      <c r="E28" s="47" t="s">
        <v>108</v>
      </c>
    </row>
    <row r="29" spans="1:5" ht="12.75" customHeight="1">
      <c r="A29" s="48" t="s">
        <v>155</v>
      </c>
      <c r="B29" s="49" t="s">
        <v>156</v>
      </c>
      <c r="C29" s="49" t="s">
        <v>136</v>
      </c>
      <c r="D29" s="50"/>
      <c r="E29" s="51" t="s">
        <v>108</v>
      </c>
    </row>
    <row r="30" spans="1:5" ht="12.75" customHeight="1">
      <c r="A30" s="48" t="s">
        <v>157</v>
      </c>
      <c r="B30" s="49" t="s">
        <v>158</v>
      </c>
      <c r="C30" s="49" t="s">
        <v>159</v>
      </c>
      <c r="D30" s="46"/>
      <c r="E30" s="47" t="s">
        <v>108</v>
      </c>
    </row>
    <row r="31" spans="1:5" ht="12.75" customHeight="1">
      <c r="A31" s="48" t="s">
        <v>160</v>
      </c>
      <c r="B31" s="49" t="s">
        <v>161</v>
      </c>
      <c r="C31" s="49" t="s">
        <v>159</v>
      </c>
      <c r="D31" s="50"/>
      <c r="E31" s="51" t="s">
        <v>108</v>
      </c>
    </row>
    <row r="32" spans="1:5" ht="12.75" customHeight="1">
      <c r="A32" s="48" t="s">
        <v>105</v>
      </c>
      <c r="B32" s="49" t="s">
        <v>162</v>
      </c>
      <c r="C32" s="49" t="s">
        <v>163</v>
      </c>
      <c r="D32" s="46"/>
      <c r="E32" s="47" t="s">
        <v>108</v>
      </c>
    </row>
    <row r="33" spans="1:5" ht="12.75" customHeight="1">
      <c r="A33" s="48" t="s">
        <v>164</v>
      </c>
      <c r="B33" s="49" t="s">
        <v>165</v>
      </c>
      <c r="C33" s="49" t="s">
        <v>166</v>
      </c>
      <c r="D33" s="50"/>
      <c r="E33" s="51" t="s">
        <v>108</v>
      </c>
    </row>
    <row r="34" spans="1:5" ht="12.75" customHeight="1">
      <c r="A34" s="48" t="s">
        <v>167</v>
      </c>
      <c r="B34" s="49" t="s">
        <v>168</v>
      </c>
      <c r="C34" s="49" t="s">
        <v>166</v>
      </c>
      <c r="D34" s="46"/>
      <c r="E34" s="47" t="s">
        <v>108</v>
      </c>
    </row>
    <row r="35" spans="1:5" ht="12.75" customHeight="1">
      <c r="A35" s="48" t="s">
        <v>169</v>
      </c>
      <c r="B35" s="49" t="s">
        <v>170</v>
      </c>
      <c r="C35" s="49" t="s">
        <v>171</v>
      </c>
      <c r="D35" s="50"/>
      <c r="E35" s="51" t="s">
        <v>108</v>
      </c>
    </row>
    <row r="36" spans="1:5" ht="12.75" customHeight="1">
      <c r="A36" s="48" t="s">
        <v>105</v>
      </c>
      <c r="B36" s="49" t="s">
        <v>172</v>
      </c>
      <c r="C36" s="49" t="s">
        <v>171</v>
      </c>
      <c r="D36" s="46"/>
      <c r="E36" s="47" t="s">
        <v>108</v>
      </c>
    </row>
    <row r="37" spans="1:5" ht="12.75" customHeight="1">
      <c r="A37" s="48" t="s">
        <v>173</v>
      </c>
      <c r="B37" s="49" t="s">
        <v>174</v>
      </c>
      <c r="C37" s="49" t="s">
        <v>175</v>
      </c>
      <c r="D37" s="50"/>
      <c r="E37" s="51" t="s">
        <v>108</v>
      </c>
    </row>
    <row r="38" spans="1:5" ht="12.75" customHeight="1">
      <c r="A38" s="52" t="s">
        <v>176</v>
      </c>
      <c r="B38" s="53" t="s">
        <v>177</v>
      </c>
      <c r="C38" s="53" t="s">
        <v>175</v>
      </c>
      <c r="D38" s="54"/>
      <c r="E38" s="55" t="s">
        <v>108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6B2B1A1-1C4B-4AC9-9A7D-7A102DD1C942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Charishma Pillala [AGS]</cp:lastModifiedBy>
  <cp:revision/>
  <dcterms:created xsi:type="dcterms:W3CDTF">2021-01-01T16:39:53Z</dcterms:created>
  <dcterms:modified xsi:type="dcterms:W3CDTF">2024-10-17T12:05:42Z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