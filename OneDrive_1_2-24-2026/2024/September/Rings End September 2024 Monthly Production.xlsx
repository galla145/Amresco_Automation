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1" documentId="13_ncr:1_{8EACF4F3-720F-440E-BFC6-020AFD284029}" xr6:coauthVersionLast="47" xr6:coauthVersionMax="47" xr10:uidLastSave="{4F520C61-35ED-434A-9B7F-894B53F55B0B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6" i="29"/>
  <c r="C6" i="29"/>
  <c r="G5" i="18"/>
  <c r="G6" i="18"/>
  <c r="G4" i="18"/>
  <c r="E4" i="19"/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F4" i="19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H6" i="29" l="1"/>
  <c r="I6" i="29" s="1"/>
  <c r="D2" i="29"/>
  <c r="E4" i="18"/>
  <c r="F4" i="18" s="1"/>
  <c r="E5" i="18"/>
  <c r="F5" i="18" s="1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<sst xmlns="http://schemas.openxmlformats.org/spreadsheetml/2006/main" count="280" uniqueCount="82">
  <si>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</si>
  <si>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</si>
  <si>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</si>
  <si>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</si>
  <si>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</si>
  <si>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</si>
  <si>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</si>
  <si>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</si>
  <si>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</si>
  <si>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</si>
  <si>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</si>
  <si>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</si>
  <si>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</si>
  <si>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</si>
  <si>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</si>
  <si>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</si>
  <si>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</si>
  <si>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</si>
  <si>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</si>
  <si>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</si>
  <si>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</si>
  <si>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</si>
  <si>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was offline from 09/13/2023</t>
  </si>
  <si>
    <t>1. SR076020</t>
  </si>
  <si>
    <t>February Actual v. Expected</t>
  </si>
  <si>
    <t>February Actual v. Forecasted</t>
  </si>
  <si>
    <t>1. Inverter 1 is offline from 09/13/2023</t>
  </si>
  <si>
    <t>1. SR076020, SR074671</t>
  </si>
  <si>
    <t>March Actual v. Expected</t>
  </si>
  <si>
    <t>March Actual v. Forecasted</t>
  </si>
  <si>
    <t xml:space="preserve">1. Inverter 1 tripped offline on 03/09 and back online on 03/12 </t>
  </si>
  <si>
    <t>1. SR081724</t>
  </si>
  <si>
    <t>April Actual v. Expected</t>
  </si>
  <si>
    <t>April Actual v. Forecasted</t>
  </si>
  <si>
    <t>1.Inverter 1 is offline from 09/13/2023 and back online on 04/24</t>
  </si>
  <si>
    <t>1.SR076020</t>
  </si>
  <si>
    <t>1.Inverter 1 is tripping on and offline throuhout the month</t>
  </si>
  <si>
    <t>1.SR083449</t>
  </si>
  <si>
    <t>May Actual v. Expected</t>
  </si>
  <si>
    <t>May Actual v. Forecasted</t>
  </si>
  <si>
    <t>1. Inverter 2 down a string approximately 2kWon 7/22/23.</t>
  </si>
  <si>
    <t>1.SR085016</t>
  </si>
  <si>
    <t>June Actual v. Expected</t>
  </si>
  <si>
    <t>June Actual v. Forecasted</t>
  </si>
  <si>
    <t>1.Inverter 1 is underperforming by 9-10 kW since 6/4/24.</t>
  </si>
  <si>
    <t>1.SR085597</t>
  </si>
  <si>
    <t>1.Inverter 1 tripping on and off line throughout the month</t>
  </si>
  <si>
    <t>July Actual v. Expected</t>
  </si>
  <si>
    <t>July Actual v. Forecasted</t>
  </si>
  <si>
    <t>1. Inverter 2 tripped offline on 07/06 and offline throughtout the month.</t>
  </si>
  <si>
    <t>1. SR087414.</t>
  </si>
  <si>
    <t>August Actual v. Expected</t>
  </si>
  <si>
    <t>August Actual v. Forecasted</t>
  </si>
  <si>
    <t>1. Inverter 2 was offline since 07/06.</t>
  </si>
  <si>
    <t xml:space="preserve">1. Inverter 2 tripped offline at 10:30 on 08/11 and offline throughout the month.  </t>
  </si>
  <si>
    <t>1. SR088902.</t>
  </si>
  <si>
    <t>September Actual v. Expected</t>
  </si>
  <si>
    <t>September Actual v. Forecasted</t>
  </si>
  <si>
    <t>1. Inverter 2 was offline from 07/06 and back online on 09/09/2024.
2. Inverter 1 tripped offline on 09/06 and back online on 09/09/2024.
3. Inverter 1 was offline from 09/29.</t>
  </si>
  <si>
    <t>1. SR087414.
2. SR090056.
3. SR091401.</t>
  </si>
  <si>
    <t>1. Inverter 2 tripped offline at 10:30 on 08/11 and back online at 8:30 on 09/03/2024.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</si>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</sst>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5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9" fontId="1" fillId="38" borderId="12" xfId="2" applyFont="1" applyFill="1" applyBorder="1" applyAlignment="1">
      <alignment horizontal="left" vertical="top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B14" sqref="B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SUM(C4:C100)</f>
        <v>118773.83102319328</v>
      </c>
      <c r="D2" s="5">
        <f>SUM(D4:D100)</f>
        <v>0</v>
      </c>
      <c r="E2" s="5">
        <f>C2-D2</f>
        <v>118773.83102319328</v>
      </c>
      <c r="F2" s="6">
        <f>IFERROR(E2/D2, 0)</f>
        <v>0</v>
      </c>
      <c r="G2" s="5">
        <f>SUM(G4:G100)</f>
        <v>164569.95600000001</v>
      </c>
      <c r="H2" s="7">
        <f>C2-G2</f>
        <v>-45796.124976806721</v>
      </c>
      <c r="I2" s="6">
        <f>IFERROR(H2/G2, 0)</f>
        <v>-0.27827755496760731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88322.49102685551</v>
      </c>
      <c r="D4" s="13">
        <f>SUM('1st Qtr'!D4, '2nd Qtr'!D4, '3rd Qtr'!D4, '4th Qtr'!D4)</f>
        <v>0</v>
      </c>
      <c r="E4" s="13">
        <f>IF(AND(ISNUMBER(C4),ISNUMBER(D4)), C4-D4, "")</f>
        <v>88322.49102685551</v>
      </c>
      <c r="F4" s="14" t="str">
        <f>IFERROR(E4/D4, "")</f>
        <v/>
      </c>
      <c r="G4" s="15">
        <f>SUM('1st Qtr'!G4, '2nd Qtr'!G4, '3rd Qtr'!G4, '4th Qtr'!G4)</f>
        <v>106718.95599999999</v>
      </c>
      <c r="H4" s="15">
        <f>SUM('1st Qtr'!H4, '2nd Qtr'!H4, '3rd Qtr'!H4, '4th Qtr'!H4)</f>
        <v>-18396.464973144499</v>
      </c>
      <c r="I4" s="16">
        <f>IFERROR(H4/G4, "")</f>
        <v>-0.17238235513796163</v>
      </c>
    </row>
    <row r="5" spans="1:9" ht="15.6">
      <c r="A5" s="17" t="str">
        <v>Milford - Rings End</v>
      </c>
      <c r="B5" s="10" t="str">
        <v>CT</v>
      </c>
      <c r="C5" s="11">
        <f>SUM(Jan!C5, Feb!C5, Mar!C5)</f>
        <v>16892.285003661989</v>
      </c>
      <c r="D5" s="18">
        <f>SUM(Jan!D5, Feb!D5, Mar!D5)</f>
        <v>0</v>
      </c>
      <c r="E5" s="18">
        <f t="shared" ref="E5:E6" si="0">IF(AND(ISNUMBER(C5),ISNUMBER(D5)), C5-D5, "")</f>
        <v>16892.285003661989</v>
      </c>
      <c r="F5" s="19" t="str">
        <f>IFERROR(E5/D5, "")</f>
        <v/>
      </c>
      <c r="G5" s="20">
        <f>SUM('1st Qtr'!G5, '2nd Qtr'!G5, '3rd Qtr'!G5, '4th Qtr'!G5)</f>
        <v>57851</v>
      </c>
      <c r="H5" s="20">
        <f>SUM(Jan!H5, Feb!H5, Mar!H5)</f>
        <v>3270.2850036619898</v>
      </c>
      <c r="I5" s="19">
        <f>IFERROR(H5/G5, "")</f>
        <v>5.6529446399578048E-2</v>
      </c>
    </row>
    <row r="6" spans="1:9" ht="15.6">
      <c r="A6" s="12" t="str">
        <v>New Milford - Rings End</v>
      </c>
      <c r="B6" s="9" t="str">
        <v>CT</v>
      </c>
      <c r="C6" s="24">
        <f>SUM(Jan!C6, Feb!C6, Mar!C6)</f>
        <v>13559.054992675781</v>
      </c>
      <c r="D6" s="13">
        <f>SUM(Jan!D6, Feb!D6, Mar!D6)</f>
        <v>0</v>
      </c>
      <c r="E6" s="13">
        <f t="shared" si="0"/>
        <v>13559.054992675781</v>
      </c>
      <c r="F6" s="14" t="str">
        <f t="shared" ref="F6" si="1">IFERROR(E6/D6, "")</f>
        <v/>
      </c>
      <c r="G6" s="15">
        <f>SUM('1st Qtr'!G6, '2nd Qtr'!G6, '3rd Qtr'!G6, '4th Qtr'!G6)</f>
        <v>0</v>
      </c>
      <c r="H6" s="15">
        <f>SUM(Jan!H6, Feb!H6, Mar!H6)</f>
        <v>13559.054992675781</v>
      </c>
      <c r="I6" s="16" t="str">
        <f t="shared" ref="I6" si="2">IFERROR(H6/G6, "")</f>
        <v/>
      </c>
    </row>
    <row r="7" spans="1:9">
      <c r="F7"/>
      <c r="I7"/>
    </row>
    <row r="8" spans="1:9">
      <c r="F8"/>
      <c r="I8"/>
    </row>
    <row r="9" spans="1:9">
      <c r="F9"/>
      <c r="I9"/>
    </row>
    <row r="10" spans="1:9">
      <c r="F10"/>
      <c r="I10"/>
    </row>
    <row r="11" spans="1:9">
      <c r="F11"/>
      <c r="I11"/>
    </row>
    <row r="12" spans="1:9">
      <c r="F12"/>
      <c r="I12"/>
    </row>
    <row r="13" spans="1:9">
      <c r="F13"/>
      <c r="I13"/>
    </row>
    <row r="14" spans="1:9">
      <c r="F14"/>
      <c r="I14"/>
    </row>
    <row r="15" spans="1:9">
      <c r="F15"/>
      <c r="I15"/>
    </row>
    <row r="16" spans="1:9">
      <c r="F16"/>
      <c r="I16"/>
    </row>
    <row r="17" spans="1:9">
      <c r="F17"/>
      <c r="I17"/>
    </row>
    <row r="18" spans="1:9" ht="12.75" customHeight="1">
      <c r="F18"/>
      <c r="I18"/>
    </row>
    <row r="19" spans="1:9">
      <c r="F19"/>
      <c r="I19"/>
    </row>
    <row r="20" spans="1:9">
      <c r="F20"/>
      <c r="I20"/>
    </row>
    <row r="21" spans="1:9">
      <c r="F21"/>
      <c r="I21"/>
    </row>
    <row r="22" spans="1:9">
      <c r="F22"/>
      <c r="I22"/>
    </row>
    <row r="23" spans="1:9">
      <c r="F23"/>
      <c r="I23"/>
    </row>
    <row r="24" spans="1:9">
      <c r="F24"/>
      <c r="I24"/>
    </row>
    <row r="25" spans="1:9">
      <c r="F25"/>
      <c r="I25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9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F26:F100 I26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SUM(C4:C73)</f>
        <v>47309.029996337777</v>
      </c>
      <c r="D2" s="5">
        <f>SUM(D4:D73)</f>
        <v>0</v>
      </c>
      <c r="E2" s="5">
        <f>C2-D2</f>
        <v>47309.029996337777</v>
      </c>
      <c r="F2" s="6">
        <f>IFERROR(E2/D2, 0)</f>
        <v>0</v>
      </c>
      <c r="G2" s="5">
        <f>SUM(G4:G73)</f>
        <v>39533.952000000005</v>
      </c>
      <c r="H2" s="7">
        <f>C2-G2</f>
        <v>7775.0779963377718</v>
      </c>
      <c r="I2" s="6">
        <f>IFERROR(H2/G2, 0)</f>
        <v>0.1966683724495282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16857.690000000002</v>
      </c>
      <c r="D4" s="13">
        <f>SUM(Jan!D4, Feb!D4, Mar!D4)</f>
        <v>0</v>
      </c>
      <c r="E4" s="13">
        <f>IF(AND(ISNUMBER(C4),ISNUMBER(D4)), C4-D4, "")</f>
        <v>16857.690000000002</v>
      </c>
      <c r="F4" s="14" t="str">
        <f>IFERROR(E4/D4, "")</f>
        <v/>
      </c>
      <c r="G4" s="15">
        <f>SUM(Jan!G4, Feb!G4, Mar!G4)</f>
        <v>25911.952000000001</v>
      </c>
      <c r="H4" s="15">
        <f>SUM(Jan!H4, Feb!H4, Mar!H4)</f>
        <v>-9054.2620000000006</v>
      </c>
      <c r="I4" s="16">
        <f>IFERROR(H4/G4, "")</f>
        <v>-0.34942415762425</v>
      </c>
    </row>
    <row r="5" spans="1:9" ht="15.6">
      <c r="A5" s="47" t="str">
        <v>Milford - Rings End</v>
      </c>
      <c r="B5" s="10" t="str">
        <v>CT</v>
      </c>
      <c r="C5" s="11">
        <f>SUM(Jan!C5, Feb!C5, Mar!C5)</f>
        <v>16892.285003661989</v>
      </c>
      <c r="D5" s="18">
        <f>SUM(Jan!D5, Feb!D5, Mar!D5)</f>
        <v>0</v>
      </c>
      <c r="E5" s="18">
        <f t="shared" ref="E5:E6" si="0">IF(AND(ISNUMBER(C5),ISNUMBER(D5)), C5-D5, "")</f>
        <v>16892.285003661989</v>
      </c>
      <c r="F5" s="19" t="str">
        <f>IFERROR(E5/D5, "")</f>
        <v/>
      </c>
      <c r="G5" s="20">
        <f>SUM(Jan!G5, Feb!G5, Mar!G5)</f>
        <v>13622</v>
      </c>
      <c r="H5" s="20">
        <f>SUM(Jan!H5, Feb!H5, Mar!H5)</f>
        <v>3270.2850036619898</v>
      </c>
      <c r="I5" s="19">
        <f>IFERROR(H5/G5, "")</f>
        <v>0.24007377798135293</v>
      </c>
    </row>
    <row r="6" spans="1:9" ht="15.6">
      <c r="A6" s="46" t="str">
        <v>New Milford - Rings End</v>
      </c>
      <c r="B6" s="9" t="str">
        <v>CT</v>
      </c>
      <c r="C6" s="24">
        <f>SUM(Jan!C6, Feb!C6, Mar!C6)</f>
        <v>13559.054992675781</v>
      </c>
      <c r="D6" s="13">
        <f>SUM(Jan!D6, Feb!D6, Mar!D6)</f>
        <v>0</v>
      </c>
      <c r="E6" s="13">
        <f t="shared" si="0"/>
        <v>13559.054992675781</v>
      </c>
      <c r="F6" s="14" t="str">
        <f t="shared" ref="F6" si="1">IFERROR(E6/D6, "")</f>
        <v/>
      </c>
      <c r="G6" s="15">
        <f>SUM(Jan!G6, Feb!G6, Mar!G6)</f>
        <v>0</v>
      </c>
      <c r="H6" s="15">
        <f>SUM(Jan!H6, Feb!H6, Mar!H6)</f>
        <v>13559.054992675781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3 I4:I73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bottomRight" activeCell="G10" sqref="G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SUM(C4:C73)</f>
        <v>106000.55100000001</v>
      </c>
      <c r="D2" s="5">
        <f>SUM(D4:D73)</f>
        <v>0</v>
      </c>
      <c r="E2" s="5">
        <f>C2-D2</f>
        <v>106000.55100000001</v>
      </c>
      <c r="F2" s="6">
        <f>IFERROR(E2/D2, 0)</f>
        <v>0</v>
      </c>
      <c r="G2" s="5">
        <f>SUM(G4:G73)</f>
        <v>65047.523999999998</v>
      </c>
      <c r="H2" s="7">
        <f>C2-G2</f>
        <v>40953.027000000009</v>
      </c>
      <c r="I2" s="6">
        <f>IFERROR(H2/G2, 0)</f>
        <v>0.62958625450524464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37588.760999999999</v>
      </c>
      <c r="D4" s="13">
        <f>SUM(Apr!D4, May!D4, Jun!D4)</f>
        <v>0</v>
      </c>
      <c r="E4" s="13">
        <f>IF(AND(ISNUMBER(C4),ISNUMBER(D4)), C4-D4, "")</f>
        <v>37588.760999999999</v>
      </c>
      <c r="F4" s="14" t="str">
        <f>IFERROR(E4/D4, "")</f>
        <v/>
      </c>
      <c r="G4" s="15">
        <f>SUM(Apr!G4,May!G4,Jun!G4)</f>
        <v>42009.523999999998</v>
      </c>
      <c r="H4" s="15">
        <f>SUM(Apr!H4, May!H4, Jun!H4)</f>
        <v>-4420.762999999999</v>
      </c>
      <c r="I4" s="16">
        <f>IFERROR(H4/G4, "")</f>
        <v>-0.10523239920547539</v>
      </c>
    </row>
    <row r="5" spans="1:9" ht="15.6">
      <c r="A5" s="47" t="str">
        <v>Milford - Rings End</v>
      </c>
      <c r="B5" s="10" t="str">
        <v>CT</v>
      </c>
      <c r="C5" s="11">
        <f>SUM(Apr!C5, May!C5, Jun!C5)</f>
        <v>38953.89</v>
      </c>
      <c r="D5" s="18">
        <f>SUM(Apr!D5, May!D5, Jun!D5)</f>
        <v>0</v>
      </c>
      <c r="E5" s="18">
        <f t="shared" ref="E5:E6" si="0">IF(AND(ISNUMBER(C5),ISNUMBER(D5)), C5-D5, "")</f>
        <v>38953.89</v>
      </c>
      <c r="F5" s="19" t="str">
        <f>IFERROR(E5/D5, "")</f>
        <v/>
      </c>
      <c r="G5" s="18">
        <f>SUM(Apr!G5,May!G5,Jun!G5)</f>
        <v>23038</v>
      </c>
      <c r="H5" s="20">
        <f>SUM(Apr!H5, May!H5, Jun!H5)</f>
        <v>15915.890000000001</v>
      </c>
      <c r="I5" s="19">
        <f>IFERROR(H5/G5, "")</f>
        <v>0.69085380675405861</v>
      </c>
    </row>
    <row r="6" spans="1:9" ht="15.6">
      <c r="A6" s="46" t="str">
        <v>New Milford - Rings End</v>
      </c>
      <c r="B6" s="9" t="str">
        <v>CT</v>
      </c>
      <c r="C6" s="24">
        <f>SUM(Apr!C6, May!C6, Jun!C6)</f>
        <v>29457.9</v>
      </c>
      <c r="D6" s="13">
        <f>SUM(Apr!D6, May!D6, Jun!D6)</f>
        <v>0</v>
      </c>
      <c r="E6" s="13">
        <f t="shared" si="0"/>
        <v>29457.9</v>
      </c>
      <c r="F6" s="14" t="str">
        <f t="shared" ref="F6" si="1">IFERROR(E6/D6, "")</f>
        <v/>
      </c>
      <c r="G6" s="15">
        <f>SUM(Apr!G6,May!G6,Jun!G6)</f>
        <v>0</v>
      </c>
      <c r="H6" s="15">
        <f>SUM(Apr!H6, May!H6, Jun!H6)</f>
        <v>29457.9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3 I4:I73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tabSelected="1"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SUM(C4:C73)</f>
        <v>78651.780017089943</v>
      </c>
      <c r="D2" s="5">
        <f>SUM(D4:D73)</f>
        <v>0</v>
      </c>
      <c r="E2" s="5">
        <f>C2-D2</f>
        <v>78651.780017089943</v>
      </c>
      <c r="F2" s="6">
        <f>IFERROR(E2/D2, 0)</f>
        <v>0</v>
      </c>
      <c r="G2" s="5">
        <f>SUM(G4:G73)</f>
        <v>59988.479999999996</v>
      </c>
      <c r="H2" s="7">
        <f>C2-G2</f>
        <v>18663.300017089947</v>
      </c>
      <c r="I2" s="6">
        <f>IFERROR(H2/G2, 0)</f>
        <v>0.3111147343138207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SUM(Jul!C6, Aug!C4, Sep!C4)</f>
        <v>33876.040026855502</v>
      </c>
      <c r="D4" s="13">
        <f>SUM(Jul!D4, Aug!D4, Sep!D4)</f>
        <v>0</v>
      </c>
      <c r="E4" s="13">
        <f>IF(AND(ISNUMBER(C4),ISNUMBER(D4)), C4-D4, "")</f>
        <v>33876.040026855502</v>
      </c>
      <c r="F4" s="14" t="str">
        <f>IFERROR(E4/D4, "")</f>
        <v/>
      </c>
      <c r="G4" s="15">
        <f>SUM(Jul!G4,Aug!G4,Sep!G4)</f>
        <v>38797.479999999996</v>
      </c>
      <c r="H4" s="15">
        <f>SUM(Jul!H4, Aug!H4, Sep!H4)</f>
        <v>-4921.4399731444992</v>
      </c>
      <c r="I4" s="16">
        <f>IFERROR(H4/G4, "")</f>
        <v>-0.12684947509849867</v>
      </c>
    </row>
    <row r="5" spans="1:9" ht="15.6">
      <c r="A5" s="47" t="str">
        <v>Milford - Rings End</v>
      </c>
      <c r="B5" s="10" t="str">
        <v>CT</v>
      </c>
      <c r="C5" s="11">
        <f>SUM(Jul!C5, Aug!C5, Sep!C5)</f>
        <v>22753.95001220706</v>
      </c>
      <c r="D5" s="18">
        <f>SUM(Jul!D5, Aug!D5, Sep!D5)</f>
        <v>0</v>
      </c>
      <c r="E5" s="18">
        <f t="shared" ref="E5:E6" si="0">IF(AND(ISNUMBER(C5),ISNUMBER(D5)), C5-D5, "")</f>
        <v>22753.95001220706</v>
      </c>
      <c r="F5" s="19" t="str">
        <f>IFERROR(E5/D5, "")</f>
        <v/>
      </c>
      <c r="G5" s="18">
        <f>SUM(Jul!G5,Aug!G5,Sep!G5)</f>
        <v>21191</v>
      </c>
      <c r="H5" s="20">
        <f>SUM(Jul!H5, Aug!H5, Sep!H5)</f>
        <v>1562.9500122070604</v>
      </c>
      <c r="I5" s="19">
        <f>IFERROR(H5/G5, "")</f>
        <v>7.3755368420889075E-2</v>
      </c>
    </row>
    <row r="6" spans="1:9" ht="15.6">
      <c r="A6" s="46" t="str">
        <v>New Milford - Rings End</v>
      </c>
      <c r="B6" s="9" t="str">
        <v>CT</v>
      </c>
      <c r="C6" s="24">
        <f>SUM(Jul!C6, Aug!C6, Sep!C6)</f>
        <v>22021.789978027373</v>
      </c>
      <c r="D6" s="13">
        <f>SUM(Jul!D6, Aug!D6, Sep!D6)</f>
        <v>0</v>
      </c>
      <c r="E6" s="13">
        <f t="shared" si="0"/>
        <v>22021.789978027373</v>
      </c>
      <c r="F6" s="14" t="str">
        <f t="shared" ref="F6" si="1">IFERROR(E6/D6, "")</f>
        <v/>
      </c>
      <c r="G6" s="15">
        <f>SUM(Jul!G6,Aug!G6,Sep!G6)</f>
        <v>0</v>
      </c>
      <c r="H6" s="15">
        <f>SUM(Jul!H6, Aug!H6, Sep!H6)</f>
        <v>10953.949951171871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RINGS END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" si="1">IFERROR(E6/D6, "")</f>
        <v/>
      </c>
      <c r="G6" s="15"/>
      <c r="H6" s="15">
        <f>SUM(Oct!H6, Nov!H6, Dec!H6)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4"/>
  <sheetViews>
    <sheetView zoomScale="90" zoomScaleNormal="90" workbookViewId="0">
      <pane xSplit="2" ySplit="3" topLeftCell="D4" activePane="bottomRight" state="frozen"/>
      <selection pane="bottomRight" activeCell="H22" sqref="H2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SUM(C4:C72)</f>
        <v>7806.0299963377702</v>
      </c>
      <c r="D2" s="5">
        <f>SUM(D4:D72)</f>
        <v>0</v>
      </c>
      <c r="E2" s="5">
        <f>C2-D2</f>
        <v>7806.0299963377702</v>
      </c>
      <c r="F2" s="6">
        <f>IFERROR(E2/D2, 0)</f>
        <v>0</v>
      </c>
      <c r="G2" s="5">
        <f>SUM(G4:G72)</f>
        <v>9581.9520000000011</v>
      </c>
      <c r="H2" s="7">
        <f>C2-G2</f>
        <v>-1775.922003662231</v>
      </c>
      <c r="I2" s="6">
        <f>IFERROR(H2/G2, 0)</f>
        <v>-0.18534031517400951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3149.69</v>
      </c>
      <c r="D4" s="13">
        <v>0</v>
      </c>
      <c r="E4" s="13">
        <f>IF(AND(ISNUMBER(C4),ISNUMBER(D4)), C4-D4, "")</f>
        <v>3149.69</v>
      </c>
      <c r="F4" s="13" t="str">
        <f>IFERROR(E4/D4, "")</f>
        <v/>
      </c>
      <c r="G4" s="15">
        <v>6283.9520000000002</v>
      </c>
      <c r="H4" s="15">
        <f>IF(AND(ISNUMBER(C4),ISNUMBER(G4)), C4-G4, "")</f>
        <v>-3134.2620000000002</v>
      </c>
      <c r="I4" s="16">
        <f>IFERROR(H4/G4, "")</f>
        <v>-0.49877242856088017</v>
      </c>
      <c r="J4" s="51" t="s">
        <v>22</v>
      </c>
      <c r="K4" s="51" t="s">
        <v>23</v>
      </c>
    </row>
    <row r="5" spans="1:11" ht="15.6">
      <c r="A5" s="49" t="str">
        <v>Milford - Rings End</v>
      </c>
      <c r="B5" s="31" t="str">
        <v>CT</v>
      </c>
      <c r="C5" s="18">
        <v>2701.2850036619898</v>
      </c>
      <c r="D5" s="18">
        <v>0</v>
      </c>
      <c r="E5" s="18">
        <f t="shared" ref="E5:E6" si="0">IF(AND(ISNUMBER(C5),ISNUMBER(D5)), C5-D5, "")</f>
        <v>2701.2850036619898</v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-596.71499633801022</v>
      </c>
      <c r="I5" s="19">
        <f t="shared" ref="I5:I6" si="3">IFERROR(H5/G5, "")</f>
        <v>-0.18093238215221658</v>
      </c>
      <c r="J5" s="42"/>
      <c r="K5" s="42"/>
    </row>
    <row r="6" spans="1:11" ht="15.6">
      <c r="A6" s="50" t="str">
        <v>New Milford - Rings End</v>
      </c>
      <c r="B6" s="29" t="str">
        <v>CT</v>
      </c>
      <c r="C6" s="13">
        <v>1955.0549926757801</v>
      </c>
      <c r="D6" s="13">
        <v>0</v>
      </c>
      <c r="E6" s="13">
        <f t="shared" si="0"/>
        <v>1955.0549926757801</v>
      </c>
      <c r="F6" s="44" t="str">
        <f t="shared" si="1"/>
        <v/>
      </c>
      <c r="G6" s="15">
        <v>0</v>
      </c>
      <c r="H6" s="15">
        <f t="shared" si="2"/>
        <v>1955.0549926757801</v>
      </c>
      <c r="I6" s="16" t="str">
        <f t="shared" si="3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workbookViewId="0">
      <pane xSplit="2" ySplit="3" topLeftCell="C4" activePane="bottomRight" state="frozen"/>
      <selection pane="bottomRight" activeCell="J20" sqref="J2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13636</v>
      </c>
      <c r="D2" s="5">
        <f>SUM(D4:D73)</f>
        <v>0</v>
      </c>
      <c r="E2" s="5">
        <f>C2-D2</f>
        <v>13636</v>
      </c>
      <c r="F2" s="6">
        <f>IFERROR(E2/D2, 0)</f>
        <v>0</v>
      </c>
      <c r="G2" s="5">
        <f>SUM(G4:G73)</f>
        <v>12156</v>
      </c>
      <c r="H2" s="7">
        <f>C2-G2</f>
        <v>1480</v>
      </c>
      <c r="I2" s="6">
        <f>IFERROR(H2/G2, 0)</f>
        <v>0.1217505758473182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5190</v>
      </c>
      <c r="D4" s="13">
        <v>0</v>
      </c>
      <c r="E4" s="13">
        <f>IF(AND(ISNUMBER(C4),ISNUMBER(D4)), C4-D4, "")</f>
        <v>5190</v>
      </c>
      <c r="F4" s="14" t="str">
        <f>IFERROR(E4/D4, "")</f>
        <v/>
      </c>
      <c r="G4" s="15">
        <v>7951</v>
      </c>
      <c r="H4" s="15">
        <f>IF(AND(ISNUMBER(C4),ISNUMBER(G4)), C4-G4, "")</f>
        <v>-2761</v>
      </c>
      <c r="I4" s="16">
        <f>IFERROR(H4/G4, "")</f>
        <v>-0.34725191799773614</v>
      </c>
      <c r="J4" s="41" t="s">
        <v>26</v>
      </c>
      <c r="K4" s="41" t="s">
        <v>27</v>
      </c>
    </row>
    <row r="5" spans="1:11" ht="15.6">
      <c r="A5" s="49" t="str">
        <v>Milford - Rings End</v>
      </c>
      <c r="B5" s="31" t="str">
        <v>CT</v>
      </c>
      <c r="C5" s="11">
        <v>4570</v>
      </c>
      <c r="D5" s="18">
        <v>0</v>
      </c>
      <c r="E5" s="18">
        <f t="shared" ref="E5:E6" si="0">IF(AND(ISNUMBER(C5),ISNUMBER(D5)), C5-D5, "")</f>
        <v>4570</v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365</v>
      </c>
      <c r="I5" s="19">
        <f t="shared" ref="I5:I6" si="2">IFERROR(H5/G5, "")</f>
        <v>8.680142687277051E-2</v>
      </c>
      <c r="J5" s="42"/>
      <c r="K5" s="42"/>
    </row>
    <row r="6" spans="1:11" ht="15.6">
      <c r="A6" s="50" t="str">
        <v>New Milford - Rings End</v>
      </c>
      <c r="B6" s="29" t="str">
        <v>CT</v>
      </c>
      <c r="C6" s="24">
        <v>3876</v>
      </c>
      <c r="D6" s="13">
        <v>0</v>
      </c>
      <c r="E6" s="13">
        <f t="shared" si="0"/>
        <v>3876</v>
      </c>
      <c r="F6" s="14" t="str">
        <f t="shared" ref="F6" si="3">IFERROR(E6/D6, "")</f>
        <v/>
      </c>
      <c r="G6" s="15">
        <v>0</v>
      </c>
      <c r="H6" s="15">
        <f t="shared" si="1"/>
        <v>3876</v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F4:F73 I4:I73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5"/>
  <sheetViews>
    <sheetView workbookViewId="0">
      <pane xSplit="2" ySplit="3" topLeftCell="C4" activePane="bottomRight" state="frozen"/>
      <selection pane="bottomRight" activeCell="J19" sqref="J1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25867</v>
      </c>
      <c r="D2" s="5">
        <f>SUM(D4:D73)</f>
        <v>0</v>
      </c>
      <c r="E2" s="5">
        <f>C2-D2</f>
        <v>25867</v>
      </c>
      <c r="F2" s="6">
        <f>IFERROR(E2/D2, 0)</f>
        <v>0</v>
      </c>
      <c r="G2" s="5">
        <f>SUM(G4:G73)</f>
        <v>17796</v>
      </c>
      <c r="H2" s="7">
        <f>C2-G2</f>
        <v>8071</v>
      </c>
      <c r="I2" s="6">
        <f>IFERROR(H2/G2, 0)</f>
        <v>0.45352888289503257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8518</v>
      </c>
      <c r="D4" s="13">
        <v>0</v>
      </c>
      <c r="E4" s="13">
        <f>IF(AND(ISNUMBER(C4),ISNUMBER(D4)), C4-D4, "")</f>
        <v>8518</v>
      </c>
      <c r="F4" s="14" t="str">
        <f>IFERROR(E4/D4, "")</f>
        <v/>
      </c>
      <c r="G4" s="15">
        <v>11677</v>
      </c>
      <c r="H4" s="15">
        <f>IF(AND(ISNUMBER(C4),ISNUMBER(G4)), C4-G4, "")</f>
        <v>-3159</v>
      </c>
      <c r="I4" s="16">
        <f>IFERROR(H4/G4, "")</f>
        <v>-0.27053181467842768</v>
      </c>
      <c r="J4" s="41" t="s">
        <v>26</v>
      </c>
      <c r="K4" s="41" t="s">
        <v>23</v>
      </c>
    </row>
    <row r="5" spans="1:11" ht="15.6">
      <c r="A5" s="30" t="str">
        <v>Milford - Rings End</v>
      </c>
      <c r="B5" s="31" t="str">
        <v>CT</v>
      </c>
      <c r="C5" s="11">
        <v>9621</v>
      </c>
      <c r="D5" s="18">
        <v>0</v>
      </c>
      <c r="E5" s="18">
        <f t="shared" ref="E5:E6" si="0">IF(AND(ISNUMBER(C5),ISNUMBER(D5)), C5-D5, "")</f>
        <v>9621</v>
      </c>
      <c r="F5" s="19" t="str">
        <f>IFERROR(E5/D5, "")</f>
        <v/>
      </c>
      <c r="G5" s="20">
        <v>6119</v>
      </c>
      <c r="H5" s="20">
        <f t="shared" ref="H5:H6" si="1">IF(AND(ISNUMBER(C5),ISNUMBER(G5)), C5-G5, "")</f>
        <v>3502</v>
      </c>
      <c r="I5" s="19">
        <f t="shared" ref="I5:I6" si="2">IFERROR(H5/G5, "")</f>
        <v>0.57231573786566436</v>
      </c>
      <c r="J5" s="42" t="s">
        <v>30</v>
      </c>
      <c r="K5" s="42" t="s">
        <v>31</v>
      </c>
    </row>
    <row r="6" spans="1:11" ht="15.6">
      <c r="A6" s="28" t="str">
        <v>New Milford - Rings End</v>
      </c>
      <c r="B6" s="29" t="str">
        <v>CT</v>
      </c>
      <c r="C6" s="24">
        <v>7728</v>
      </c>
      <c r="D6" s="13">
        <v>0</v>
      </c>
      <c r="E6" s="13">
        <f t="shared" si="0"/>
        <v>7728</v>
      </c>
      <c r="F6" s="14" t="str">
        <f t="shared" ref="F6" si="3">IFERROR(E6/D6, "")</f>
        <v/>
      </c>
      <c r="G6" s="15">
        <v>0</v>
      </c>
      <c r="H6" s="15">
        <f t="shared" si="1"/>
        <v>7728</v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73 I4:I73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J4" activePane="bottomRight" state="frozen"/>
      <selection pane="bottomRight" activeCell="J20" sqref="J2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28343.118999999999</v>
      </c>
      <c r="D2" s="5">
        <f>SUM(D4:D73)</f>
        <v>0</v>
      </c>
      <c r="E2" s="5">
        <f>C2-D2</f>
        <v>28343.118999999999</v>
      </c>
      <c r="F2" s="6">
        <f>IFERROR(E2/D2, 0)</f>
        <v>0</v>
      </c>
      <c r="G2" s="5">
        <f>SUM(G4:G73)</f>
        <v>19973.222999999998</v>
      </c>
      <c r="H2" s="7">
        <f>C2-G2</f>
        <v>8369.8960000000006</v>
      </c>
      <c r="I2" s="6">
        <f>IFERROR(H2/G2, 0)</f>
        <v>0.41905585292869363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9545.5290000000005</v>
      </c>
      <c r="D4" s="13">
        <v>0</v>
      </c>
      <c r="E4" s="13"/>
      <c r="F4" s="14" t="str">
        <f>IFERROR(E4/D4, "")</f>
        <v/>
      </c>
      <c r="G4" s="15">
        <v>12750.223</v>
      </c>
      <c r="H4" s="15">
        <f>IF(AND(ISNUMBER(C4),ISNUMBER(G4)), C4-G4, "")</f>
        <v>-3204.6939999999995</v>
      </c>
      <c r="I4" s="16">
        <f>IFERROR(H4/G4, "")</f>
        <v>-0.25134415296108936</v>
      </c>
      <c r="J4" s="41" t="s">
        <v>34</v>
      </c>
      <c r="K4" s="41" t="s">
        <v>35</v>
      </c>
    </row>
    <row r="5" spans="1:11" ht="15.6">
      <c r="A5" s="30" t="str">
        <v>Milford - Rings End</v>
      </c>
      <c r="B5" s="31" t="str">
        <v>CT</v>
      </c>
      <c r="C5" s="11">
        <v>10925.69</v>
      </c>
      <c r="D5" s="18">
        <v>0</v>
      </c>
      <c r="E5" s="18">
        <f t="shared" ref="E5:E6" si="0">IF(AND(ISNUMBER(C5),ISNUMBER(D5)), C5-D5, "")</f>
        <v>10925.69</v>
      </c>
      <c r="F5" s="19" t="str">
        <f>IFERROR(E5/D5, "")</f>
        <v/>
      </c>
      <c r="G5" s="20">
        <v>7223</v>
      </c>
      <c r="H5" s="20">
        <f t="shared" ref="H5:H6" si="1">IF(AND(ISNUMBER(C5),ISNUMBER(G5)), C5-G5, "")</f>
        <v>3702.6900000000005</v>
      </c>
      <c r="I5" s="19">
        <f t="shared" ref="I5:I6" si="2">IFERROR(H5/G5, "")</f>
        <v>0.51262494808251424</v>
      </c>
      <c r="J5" s="42"/>
      <c r="K5" s="42"/>
    </row>
    <row r="6" spans="1:11" ht="15.6">
      <c r="A6" s="28" t="str">
        <v>New Milford - Rings End</v>
      </c>
      <c r="B6" s="29" t="str">
        <v>CT</v>
      </c>
      <c r="C6" s="24">
        <v>7871.9</v>
      </c>
      <c r="D6" s="13">
        <v>0</v>
      </c>
      <c r="E6" s="13">
        <f t="shared" si="0"/>
        <v>7871.9</v>
      </c>
      <c r="F6" s="14" t="str">
        <f t="shared" ref="F6" si="3">IFERROR(E6/D6, "")</f>
        <v/>
      </c>
      <c r="G6" s="15">
        <v>0</v>
      </c>
      <c r="H6" s="15">
        <f t="shared" si="1"/>
        <v>7871.9</v>
      </c>
      <c r="I6" s="16" t="str">
        <f t="shared" si="2"/>
        <v/>
      </c>
      <c r="J6" s="41" t="s">
        <v>36</v>
      </c>
      <c r="K6" s="41" t="s">
        <v>37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73 I4:I73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G4" activePane="bottomRight" state="frozen"/>
      <selection pane="bottomRight" activeCell="J21" sqref="J2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37382.084000000003</v>
      </c>
      <c r="D2" s="5">
        <f>SUM(D4:D73)</f>
        <v>0</v>
      </c>
      <c r="E2" s="5">
        <f>C2-D2</f>
        <v>37382.084000000003</v>
      </c>
      <c r="F2" s="6">
        <f>IFERROR(E2/D2, 0)</f>
        <v>0</v>
      </c>
      <c r="G2" s="5">
        <f>SUM(G4:G73)</f>
        <v>22307.201999999997</v>
      </c>
      <c r="H2" s="7">
        <f>C2-G2</f>
        <v>15074.882000000005</v>
      </c>
      <c r="I2" s="6">
        <f>IFERROR(H2/G2, 0)</f>
        <v>0.67578542571139166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14011.164000000001</v>
      </c>
      <c r="D4" s="13">
        <v>0</v>
      </c>
      <c r="E4" s="13">
        <f>IF(AND(ISNUMBER(C4),ISNUMBER(D4)), C4-D4, "")</f>
        <v>14011.164000000001</v>
      </c>
      <c r="F4" s="14" t="str">
        <f>IFERROR(E4/D4, "")</f>
        <v/>
      </c>
      <c r="G4" s="15">
        <v>14563.201999999999</v>
      </c>
      <c r="H4" s="15">
        <f>IF(AND(ISNUMBER(C4),ISNUMBER(G4)), C4-G4, "")</f>
        <v>-552.03799999999865</v>
      </c>
      <c r="I4" s="16">
        <f>IFERROR(H4/G4, "")</f>
        <v>-3.7906361526812489E-2</v>
      </c>
      <c r="J4" s="41" t="s">
        <v>40</v>
      </c>
      <c r="K4" s="41" t="s">
        <v>41</v>
      </c>
    </row>
    <row r="5" spans="1:11" ht="15.6">
      <c r="A5" s="30" t="str">
        <v>Milford - Rings End</v>
      </c>
      <c r="B5" s="31" t="str">
        <v>CT</v>
      </c>
      <c r="C5" s="11">
        <v>13003.42</v>
      </c>
      <c r="D5" s="18">
        <v>0</v>
      </c>
      <c r="E5" s="18">
        <f t="shared" ref="E5:E6" si="0">IF(AND(ISNUMBER(C5),ISNUMBER(D5)), C5-D5, "")</f>
        <v>13003.42</v>
      </c>
      <c r="F5" s="19" t="str">
        <f>IFERROR(E5/D5, "")</f>
        <v/>
      </c>
      <c r="G5" s="20">
        <v>7744</v>
      </c>
      <c r="H5" s="20">
        <f t="shared" ref="H5:H6" si="1">IF(AND(ISNUMBER(C5),ISNUMBER(G5)), C5-G5, "")</f>
        <v>5259.42</v>
      </c>
      <c r="I5" s="19">
        <f t="shared" ref="I5:I6" si="2">IFERROR(H5/G5, "")</f>
        <v>0.67916064049586777</v>
      </c>
      <c r="J5" s="42"/>
      <c r="K5" s="42"/>
    </row>
    <row r="6" spans="1:11" ht="15.6">
      <c r="A6" s="28" t="str">
        <v>New Milford - Rings End</v>
      </c>
      <c r="B6" s="29" t="str">
        <v>CT</v>
      </c>
      <c r="C6" s="24">
        <v>10367.5</v>
      </c>
      <c r="D6" s="13">
        <v>0</v>
      </c>
      <c r="E6" s="13">
        <f t="shared" si="0"/>
        <v>10367.5</v>
      </c>
      <c r="F6" s="14" t="str">
        <f t="shared" ref="F6" si="3">IFERROR(E6/D6, "")</f>
        <v/>
      </c>
      <c r="G6" s="15">
        <v>0</v>
      </c>
      <c r="H6" s="15">
        <f t="shared" si="1"/>
        <v>10367.5</v>
      </c>
      <c r="I6" s="16" t="str">
        <f t="shared" si="2"/>
        <v/>
      </c>
      <c r="J6" s="41" t="s">
        <v>36</v>
      </c>
      <c r="K6" s="41" t="s">
        <v>37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3 I4:I73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5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40275.347999999998</v>
      </c>
      <c r="D2" s="5">
        <f>SUM(D4:D73)</f>
        <v>0</v>
      </c>
      <c r="E2" s="5">
        <f>C2-D2</f>
        <v>40275.347999999998</v>
      </c>
      <c r="F2" s="6">
        <f>IFERROR(E2/D2, 0)</f>
        <v>0</v>
      </c>
      <c r="G2" s="5">
        <f>SUM(G4:G73)</f>
        <v>22767.099000000002</v>
      </c>
      <c r="H2" s="7">
        <f>C2-G2</f>
        <v>17508.248999999996</v>
      </c>
      <c r="I2" s="6">
        <f>IFERROR(H2/G2, 0)</f>
        <v>0.76901536730700715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14032.067999999999</v>
      </c>
      <c r="D4" s="13">
        <v>0</v>
      </c>
      <c r="E4" s="13">
        <f>IF(AND(ISNUMBER(C4),ISNUMBER(D4)), C4-D4, "")</f>
        <v>14032.067999999999</v>
      </c>
      <c r="F4" s="14" t="str">
        <f>IFERROR(E4/D4, "")</f>
        <v/>
      </c>
      <c r="G4" s="15">
        <v>14696.099</v>
      </c>
      <c r="H4" s="15">
        <f>IF(AND(ISNUMBER(C4),ISNUMBER(G4)), C4-G4, "")</f>
        <v>-664.03100000000086</v>
      </c>
      <c r="I4" s="16">
        <f>IFERROR(H4/G4, "")</f>
        <v>-4.5184167580798199E-2</v>
      </c>
      <c r="J4" s="41" t="s">
        <v>44</v>
      </c>
      <c r="K4" s="41" t="s">
        <v>45</v>
      </c>
    </row>
    <row r="5" spans="1:11" ht="15.6">
      <c r="A5" s="30" t="str">
        <v>Milford - Rings End</v>
      </c>
      <c r="B5" s="31" t="str">
        <v>CT</v>
      </c>
      <c r="C5" s="11">
        <v>15024.78</v>
      </c>
      <c r="D5" s="18">
        <v>0</v>
      </c>
      <c r="E5" s="18">
        <f t="shared" ref="E5:E6" si="0">IF(AND(ISNUMBER(C5),ISNUMBER(D5)), C5-D5, "")</f>
        <v>15024.78</v>
      </c>
      <c r="F5" s="19" t="str">
        <f>IFERROR(E5/D5, "")</f>
        <v/>
      </c>
      <c r="G5" s="20">
        <v>8071</v>
      </c>
      <c r="H5" s="20">
        <f t="shared" ref="H5:H6" si="1">IF(AND(ISNUMBER(C5),ISNUMBER(G5)), C5-G5, "")</f>
        <v>6953.7800000000007</v>
      </c>
      <c r="I5" s="19">
        <f t="shared" ref="I5:I6" si="2">IFERROR(H5/G5, "")</f>
        <v>0.86157601288564001</v>
      </c>
      <c r="J5" s="42"/>
      <c r="K5" s="42"/>
    </row>
    <row r="6" spans="1:11" ht="15.6">
      <c r="A6" s="28" t="str">
        <v>New Milford - Rings End</v>
      </c>
      <c r="B6" s="29" t="str">
        <v>CT</v>
      </c>
      <c r="C6" s="24">
        <v>11218.5</v>
      </c>
      <c r="D6" s="13">
        <v>0</v>
      </c>
      <c r="E6" s="13">
        <f t="shared" si="0"/>
        <v>11218.5</v>
      </c>
      <c r="F6" s="14" t="str">
        <f t="shared" ref="F6" si="3">IFERROR(E6/D6, "")</f>
        <v/>
      </c>
      <c r="G6" s="15">
        <v>0</v>
      </c>
      <c r="H6" s="15">
        <f t="shared" si="1"/>
        <v>11218.5</v>
      </c>
      <c r="I6" s="16" t="str">
        <f t="shared" si="2"/>
        <v/>
      </c>
      <c r="J6" s="41" t="s">
        <v>46</v>
      </c>
      <c r="K6" s="41" t="s">
        <v>37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73 I4:I7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5"/>
  <sheetViews>
    <sheetView workbookViewId="0">
      <pane xSplit="2" ySplit="3" topLeftCell="C4" activePane="bottomRight" state="frozen"/>
      <selection pane="bottomRight" activeCell="J5" sqref="J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47</v>
      </c>
      <c r="E1" s="56"/>
      <c r="F1" s="56"/>
      <c r="G1" s="54" t="s">
        <v>48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SUM(C5:C73)</f>
        <v>21232.390014648499</v>
      </c>
      <c r="D2" s="5">
        <f>SUM(D4:D73)</f>
        <v>0</v>
      </c>
      <c r="E2" s="5">
        <f>C2-D2</f>
        <v>21232.390014648499</v>
      </c>
      <c r="F2" s="6">
        <f>IFERROR(E2/D2, 0)</f>
        <v>0</v>
      </c>
      <c r="G2" s="5">
        <f>SUM(G4:G73)</f>
        <v>22150.138999999999</v>
      </c>
      <c r="H2" s="7">
        <f>C2-G2</f>
        <v>-917.74898535149987</v>
      </c>
      <c r="I2" s="6">
        <f>IFERROR(H2/G2, 0)</f>
        <v>-4.1433102760732109E-2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28" t="str" cm="1">
        <f t="array" ref="A4:A6">Sites[Site]</f>
        <v>Branford - Rings End</v>
      </c>
      <c r="B4" s="29" t="str" cm="1">
        <f t="array" ref="B4:B6">Sites[State]</f>
        <v>CT</v>
      </c>
      <c r="C4" s="24">
        <v>13360.81</v>
      </c>
      <c r="D4" s="13">
        <v>0</v>
      </c>
      <c r="E4" s="13">
        <f>IF(AND(ISNUMBER(C6),ISNUMBER(D4)), C6-D4, "")</f>
        <v>11067.8400268555</v>
      </c>
      <c r="F4" s="14" t="str">
        <f>IFERROR(E4/D4, "")</f>
        <v/>
      </c>
      <c r="G4" s="15">
        <v>14309.138999999999</v>
      </c>
      <c r="H4" s="15">
        <f>IF(AND(ISNUMBER(C6),ISNUMBER(G4)), C6-G4, "")</f>
        <v>-3241.2989731444995</v>
      </c>
      <c r="I4" s="16">
        <f>IFERROR(H4/G4, "")</f>
        <v>-0.22651949730479939</v>
      </c>
      <c r="J4" s="41"/>
      <c r="K4" s="41"/>
    </row>
    <row r="5" spans="1:11" ht="15.75">
      <c r="A5" s="30" t="str">
        <v>Milford - Rings End</v>
      </c>
      <c r="B5" s="31" t="str">
        <v>CT</v>
      </c>
      <c r="C5" s="11">
        <v>10164.549987793</v>
      </c>
      <c r="D5" s="18">
        <v>0</v>
      </c>
      <c r="E5" s="18">
        <f t="shared" ref="E5:E6" si="0">IF(AND(ISNUMBER(C5),ISNUMBER(D5)), C5-D5, "")</f>
        <v>10164.549987793</v>
      </c>
      <c r="F5" s="19" t="str">
        <f>IFERROR(E5/D5, "")</f>
        <v/>
      </c>
      <c r="G5" s="20">
        <v>7841</v>
      </c>
      <c r="H5" s="20">
        <f t="shared" ref="H5:H6" si="1">IF(AND(ISNUMBER(C5),ISNUMBER(G5)), C5-G5, "")</f>
        <v>2323.5499877929997</v>
      </c>
      <c r="I5" s="19">
        <f t="shared" ref="I5:I6" si="2">IFERROR(H5/G5, "")</f>
        <v>0.29633337428810097</v>
      </c>
      <c r="J5" s="42" t="s">
        <v>49</v>
      </c>
      <c r="K5" s="42" t="s">
        <v>50</v>
      </c>
    </row>
    <row r="6" spans="1:11" ht="15.6">
      <c r="A6" s="28" t="str">
        <v>New Milford - Rings End</v>
      </c>
      <c r="B6" s="29" t="str">
        <v>CT</v>
      </c>
      <c r="C6" s="24">
        <v>11067.8400268555</v>
      </c>
      <c r="D6" s="13">
        <v>0</v>
      </c>
      <c r="E6" s="13" t="str">
        <f>IF(AND(ISNUMBER(#REF!),ISNUMBER(D6)),#REF!- D6, "")</f>
        <v/>
      </c>
      <c r="F6" s="14" t="str">
        <f t="shared" ref="F6" si="3">IFERROR(E6/D6, "")</f>
        <v/>
      </c>
      <c r="G6" s="15">
        <v>0</v>
      </c>
      <c r="H6" s="15" t="str">
        <f>IF(AND(ISNUMBER(#REF!),ISNUMBER(G6)),#REF!- G6, "")</f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73 I4:I73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5"/>
  <sheetViews>
    <sheetView workbookViewId="0">
      <pane xSplit="2" ySplit="3" topLeftCell="C4" activePane="bottomRight" state="frozen"/>
      <selection pane="bottomRight" activeCell="J20" sqref="J2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51</v>
      </c>
      <c r="E1" s="56"/>
      <c r="F1" s="56"/>
      <c r="G1" s="54" t="s">
        <v>52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23365.18749023437</v>
      </c>
      <c r="D2" s="5">
        <f>SUM(D4:D73)</f>
        <v>0</v>
      </c>
      <c r="E2" s="5">
        <f>C2-D2</f>
        <v>23365.18749023437</v>
      </c>
      <c r="F2" s="6">
        <f>IFERROR(E2/D2, 0)</f>
        <v>0</v>
      </c>
      <c r="G2" s="5">
        <f>SUM(G4:G73)</f>
        <v>20547.025000000001</v>
      </c>
      <c r="H2" s="7">
        <f>C2-G2</f>
        <v>2818.1624902343683</v>
      </c>
      <c r="I2" s="6">
        <f>IFERROR(H2/G2, 0)</f>
        <v>0.13715671685970929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12385.51</v>
      </c>
      <c r="D4" s="13">
        <v>0</v>
      </c>
      <c r="E4" s="13">
        <f>IF(AND(ISNUMBER(C4),ISNUMBER(D4)), C4-D4, "")</f>
        <v>12385.51</v>
      </c>
      <c r="F4" s="14" t="str">
        <f>IFERROR(E4/D4, "")</f>
        <v/>
      </c>
      <c r="G4" s="15">
        <v>13265.025</v>
      </c>
      <c r="H4" s="15">
        <f>IF(AND(ISNUMBER(C4),ISNUMBER(G4)), C4-G4, "")</f>
        <v>-879.51499999999942</v>
      </c>
      <c r="I4" s="16">
        <f>IFERROR(H4/G4, "")</f>
        <v>-6.630330512004308E-2</v>
      </c>
      <c r="J4" s="41"/>
      <c r="K4" s="41"/>
    </row>
    <row r="5" spans="1:11" ht="15.75">
      <c r="A5" s="30" t="str">
        <v>Milford - Rings End</v>
      </c>
      <c r="B5" s="31" t="str">
        <v>CT</v>
      </c>
      <c r="C5" s="11">
        <v>4911.5125122070303</v>
      </c>
      <c r="D5" s="18">
        <v>0</v>
      </c>
      <c r="E5" s="18">
        <f t="shared" ref="E5:E6" si="0">IF(AND(ISNUMBER(C5),ISNUMBER(D5)), C5-D5, "")</f>
        <v>4911.5125122070303</v>
      </c>
      <c r="F5" s="19" t="str">
        <f>IFERROR(E5/D5, "")</f>
        <v/>
      </c>
      <c r="G5" s="20">
        <v>7282</v>
      </c>
      <c r="H5" s="20">
        <f t="shared" ref="H5:H6" si="1">IF(AND(ISNUMBER(C5),ISNUMBER(G5)), C5-G5, "")</f>
        <v>-2370.4874877929697</v>
      </c>
      <c r="I5" s="19">
        <f t="shared" ref="I5:I6" si="2">IFERROR(H5/G5, "")</f>
        <v>-0.32552698266863084</v>
      </c>
      <c r="J5" s="42" t="s">
        <v>53</v>
      </c>
      <c r="K5" s="42" t="s">
        <v>50</v>
      </c>
    </row>
    <row r="6" spans="1:11" ht="15.75">
      <c r="A6" s="28" t="str">
        <v>New Milford - Rings End</v>
      </c>
      <c r="B6" s="29" t="str">
        <v>CT</v>
      </c>
      <c r="C6" s="24">
        <v>6068.1649780273401</v>
      </c>
      <c r="D6" s="13">
        <v>0</v>
      </c>
      <c r="E6" s="13">
        <f t="shared" si="0"/>
        <v>6068.1649780273401</v>
      </c>
      <c r="F6" s="14" t="str">
        <f t="shared" ref="F6" si="3">IFERROR(E6/D6, "")</f>
        <v/>
      </c>
      <c r="G6" s="15">
        <v>0</v>
      </c>
      <c r="H6" s="15">
        <f t="shared" si="1"/>
        <v>6068.1649780273401</v>
      </c>
      <c r="I6" s="16" t="str">
        <f t="shared" si="2"/>
        <v/>
      </c>
      <c r="J6" s="41" t="s">
        <v>54</v>
      </c>
      <c r="K6" s="41" t="s">
        <v>55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73 I4:I73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5"/>
  <sheetViews>
    <sheetView workbookViewId="0">
      <pane xSplit="2" ySplit="3" topLeftCell="C4" activePane="bottomRight" state="frozen"/>
      <selection pane="bottomRight" activeCell="K6" sqref="K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56</v>
      </c>
      <c r="E1" s="56"/>
      <c r="F1" s="56"/>
      <c r="G1" s="54" t="s">
        <v>57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22986.362485351561</v>
      </c>
      <c r="D2" s="5">
        <f>SUM(D4:D73)</f>
        <v>0</v>
      </c>
      <c r="E2" s="5">
        <f>C2-D2</f>
        <v>22986.362485351561</v>
      </c>
      <c r="F2" s="6">
        <f>IFERROR(E2/D2, 0)</f>
        <v>0</v>
      </c>
      <c r="G2" s="5">
        <f>SUM(G4:G73)</f>
        <v>17291.315999999999</v>
      </c>
      <c r="H2" s="7">
        <f>C2-G2</f>
        <v>5695.0464853515623</v>
      </c>
      <c r="I2" s="6">
        <f>IFERROR(H2/G2, 0)</f>
        <v>0.32935876513687928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10422.69</v>
      </c>
      <c r="D4" s="13">
        <v>0</v>
      </c>
      <c r="E4" s="13">
        <f>IF(AND(ISNUMBER(C4),ISNUMBER(D4)), C4-D4, "")</f>
        <v>10422.69</v>
      </c>
      <c r="F4" s="14" t="str">
        <f>IFERROR(E4/D4, "")</f>
        <v/>
      </c>
      <c r="G4" s="15">
        <v>11223.316000000001</v>
      </c>
      <c r="H4" s="15">
        <f>IF(AND(ISNUMBER(C4),ISNUMBER(G4)), C4-G4, "")</f>
        <v>-800.6260000000002</v>
      </c>
      <c r="I4" s="16">
        <f>IFERROR(H4/G4, "")</f>
        <v>-7.1335958107211828E-2</v>
      </c>
      <c r="J4" s="41"/>
      <c r="K4" s="41"/>
    </row>
    <row r="5" spans="1:11" ht="45.75">
      <c r="A5" s="30" t="str">
        <v>Milford - Rings End</v>
      </c>
      <c r="B5" s="31" t="str">
        <v>CT</v>
      </c>
      <c r="C5" s="11">
        <v>7677.8875122070303</v>
      </c>
      <c r="D5" s="18">
        <v>0</v>
      </c>
      <c r="E5" s="18">
        <f t="shared" ref="E5:E6" si="0">IF(AND(ISNUMBER(C5),ISNUMBER(D5)), C5-D5, "")</f>
        <v>7677.8875122070303</v>
      </c>
      <c r="F5" s="19" t="str">
        <f>IFERROR(E5/D5, "")</f>
        <v/>
      </c>
      <c r="G5" s="20">
        <v>6068</v>
      </c>
      <c r="H5" s="20">
        <f t="shared" ref="H5:H6" si="1">IF(AND(ISNUMBER(C5),ISNUMBER(G5)), C5-G5, "")</f>
        <v>1609.8875122070303</v>
      </c>
      <c r="I5" s="19">
        <f t="shared" ref="I5:I6" si="2">IFERROR(H5/G5, "")</f>
        <v>0.26530776404202872</v>
      </c>
      <c r="J5" s="42" t="s">
        <v>58</v>
      </c>
      <c r="K5" s="42" t="s">
        <v>59</v>
      </c>
    </row>
    <row r="6" spans="1:11" ht="30.75">
      <c r="A6" s="28" t="str">
        <v>New Milford - Rings End</v>
      </c>
      <c r="B6" s="29" t="str">
        <v>CT</v>
      </c>
      <c r="C6" s="24">
        <v>4885.7849731445303</v>
      </c>
      <c r="D6" s="13">
        <v>0</v>
      </c>
      <c r="E6" s="13">
        <f t="shared" si="0"/>
        <v>4885.7849731445303</v>
      </c>
      <c r="F6" s="14" t="str">
        <f t="shared" ref="F6" si="3">IFERROR(E6/D6, "")</f>
        <v/>
      </c>
      <c r="G6" s="15">
        <v>0</v>
      </c>
      <c r="H6" s="15">
        <f t="shared" si="1"/>
        <v>4885.7849731445303</v>
      </c>
      <c r="I6" s="16" t="str">
        <f t="shared" si="2"/>
        <v/>
      </c>
      <c r="J6" s="41" t="s">
        <v>60</v>
      </c>
      <c r="K6" s="41" t="s">
        <v>55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73 I4:I73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5"/>
  <sheetViews>
    <sheetView workbookViewId="0">
      <pane xSplit="2" ySplit="3" topLeftCell="C10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61</v>
      </c>
      <c r="E1" s="56"/>
      <c r="F1" s="56"/>
      <c r="G1" s="54" t="s">
        <v>62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73 I4:I73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63</v>
      </c>
      <c r="E1" s="56"/>
      <c r="F1" s="56"/>
      <c r="G1" s="54" t="s">
        <v>64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73 I4:I73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5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RINGS END</v>
      </c>
      <c r="B1" s="55"/>
      <c r="C1" s="55"/>
      <c r="D1" s="56" t="s">
        <v>65</v>
      </c>
      <c r="E1" s="56"/>
      <c r="F1" s="56"/>
      <c r="G1" s="54" t="s">
        <v>66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/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73 I4:I73">
    <cfRule type="cellIs" dxfId="4" priority="3" stopIfTrue="1" operator="lessThanOrEqual">
      <formula>-0.1</formula>
    </cfRule>
    <cfRule type="expression" dxfId="3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67</v>
      </c>
      <c r="B1" t="s">
        <v>68</v>
      </c>
    </row>
    <row r="3" spans="1:12" ht="13.15">
      <c r="A3" t="s">
        <v>69</v>
      </c>
      <c r="B3" t="s">
        <v>3</v>
      </c>
      <c r="C3" t="s">
        <v>4</v>
      </c>
      <c r="D3" t="s">
        <v>70</v>
      </c>
      <c r="E3" s="2" t="s">
        <v>71</v>
      </c>
    </row>
    <row r="4" spans="1:12" ht="14.45">
      <c r="A4" s="53" t="s">
        <v>72</v>
      </c>
      <c r="B4" s="53" t="s">
        <v>73</v>
      </c>
      <c r="C4" s="2" t="s">
        <v>74</v>
      </c>
      <c r="D4" s="45" t="s">
        <v>75</v>
      </c>
      <c r="E4" s="52" t="s">
        <v>76</v>
      </c>
      <c r="G4" s="3"/>
    </row>
    <row r="5" spans="1:12" ht="14.45">
      <c r="A5" s="53" t="s">
        <v>77</v>
      </c>
      <c r="B5" s="53" t="s">
        <v>78</v>
      </c>
      <c r="C5" s="2" t="s">
        <v>74</v>
      </c>
      <c r="D5" s="45" t="s">
        <v>75</v>
      </c>
      <c r="E5" s="53" t="s">
        <v>76</v>
      </c>
      <c r="G5" s="3"/>
    </row>
    <row r="6" spans="1:12" ht="14.45">
      <c r="A6" s="53" t="s">
        <v>79</v>
      </c>
      <c r="B6" s="53" t="s">
        <v>80</v>
      </c>
      <c r="C6" s="2" t="s">
        <v>74</v>
      </c>
      <c r="D6" s="45" t="s">
        <v>81</v>
      </c>
      <c r="E6" s="52" t="s">
        <v>76</v>
      </c>
      <c r="G6" s="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  <row r="14" spans="1:12" ht="12.75" customHeight="1">
      <c r="K14" s="43"/>
      <c r="L14" s="43"/>
    </row>
    <row r="15" spans="1:12" ht="12.75" customHeight="1">
      <c r="K15" s="43"/>
      <c r="L15" s="43"/>
    </row>
    <row r="16" spans="1:12" ht="12.75" customHeight="1">
      <c r="K16" s="43"/>
      <c r="L16" s="43"/>
    </row>
    <row r="17" spans="11:12" ht="12.75" customHeight="1">
      <c r="K17" s="43"/>
      <c r="L17" s="43"/>
    </row>
    <row r="18" spans="11:12" ht="12.75" customHeight="1">
      <c r="K18" s="43"/>
      <c r="L18" s="43"/>
    </row>
    <row r="19" spans="11:12" ht="12.75" customHeight="1">
      <c r="K19" s="43"/>
      <c r="L19" s="43"/>
    </row>
    <row r="20" spans="11:12" ht="12.75" customHeight="1">
      <c r="K20" s="43"/>
      <c r="L20" s="43"/>
    </row>
    <row r="21" spans="11:12" ht="12.75" customHeight="1">
      <c r="K21" s="43"/>
      <c r="L21" s="43"/>
    </row>
    <row r="22" spans="11:12" ht="12.75" customHeight="1">
      <c r="K22" s="43"/>
      <c r="L22" s="43"/>
    </row>
    <row r="23" spans="11:12" ht="12.75" customHeight="1">
      <c r="K23" s="43"/>
      <c r="L23" s="43"/>
    </row>
    <row r="24" spans="11:12" ht="12.75" customHeight="1">
      <c r="K24" s="43"/>
      <c r="L24" s="43"/>
    </row>
    <row r="25" spans="11:12" ht="12.75" customHeight="1">
      <c r="K25" s="43"/>
      <c r="L25" s="43"/>
    </row>
    <row r="26" spans="11:12" ht="12.75" customHeight="1">
      <c r="K26" s="43"/>
      <c r="L26" s="43"/>
    </row>
    <row r="27" spans="11:12" ht="12.75" customHeight="1">
      <c r="K27" s="43"/>
      <c r="L27" s="43"/>
    </row>
    <row r="28" spans="11:12" ht="12.75" customHeight="1">
      <c r="K28" s="43"/>
      <c r="L28" s="43"/>
    </row>
    <row r="29" spans="11:12" ht="12.75" customHeight="1">
      <c r="K29" s="43"/>
      <c r="L29" s="43"/>
    </row>
    <row r="30" spans="11:12" ht="12.75" customHeight="1">
      <c r="K30" s="43"/>
      <c r="L30" s="43"/>
    </row>
    <row r="31" spans="11:12" ht="12.75" customHeight="1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2024-10-15T12:08:54Z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