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9" documentId="13_ncr:1_{BDD599E5-5A81-48ED-AD49-83F246AEC0F5}" xr6:coauthVersionLast="47" xr6:coauthVersionMax="47" xr10:uidLastSave="{1FB5352B-68ED-47CD-A757-A27026B9CC45}"/>
  <bookViews>
    <workbookView xWindow="-93" yWindow="-93" windowWidth="19386" windowHeight="1146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D7" i="34" s="1"/>
  <c r="C7" i="29"/>
  <c r="C7" i="34" s="1"/>
  <c r="D6" i="29"/>
  <c r="D6" i="34" s="1"/>
  <c r="C6" i="29"/>
  <c r="D5" i="29"/>
  <c r="D5" i="34" s="1"/>
  <c r="C5" i="29"/>
  <c r="C5" i="34" s="1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E6" i="29" l="1"/>
  <c r="F6" i="29" s="1"/>
  <c r="C6" i="34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<sst xmlns="http://schemas.openxmlformats.org/spreadsheetml/2006/main" count="311" uniqueCount="76">
  <si>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</si>
  <si>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</si>
  <si>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</si>
  <si>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</si>
  <si>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</si>
  <si>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</si>
  <si>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</si>
  <si>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</si>
  <si>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</si>
  <si>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</si>
  <si>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</si>
  <si>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</si>
  <si>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</si>
  <si>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</si>
  <si>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</si>
  <si>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</si>
  <si>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</si>
  <si>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</si>
  <si>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</si>
  <si>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</si>
  <si>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</si>
  <si>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</si>
  <si>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</si>
  <si>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</si>
  <si>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</si>
  <si>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</si>
  <si>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</si>
  <si>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</si>
  <si>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</si>
  <si>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</si>
  <si>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</si>
  <si>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</si>
  <si>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</si>
  <si>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</si>
  <si>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</si>
  <si>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</si>
  <si>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</si>
  <si>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</si>
  <si>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</si>
  <si>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</si>
  <si>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</si>
  <si>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</si>
  <si>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</si>
  <si>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</si>
  <si>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</si>
  <si>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</si>
  <si>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</si>
  <si>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</si>
  <si>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</si>
  <si>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</si>
  <si>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</si>
  <si>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</si>
  <si>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</si>
  <si>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1. Inverter 3 is offline</t>
  </si>
  <si>
    <t>1. SR081340</t>
  </si>
  <si>
    <t>September Actual v. Expected</t>
  </si>
  <si>
    <t>September Actual v. Forecasted</t>
  </si>
  <si>
    <t xml:space="preserve">1. Inverter 3 is offline </t>
  </si>
  <si>
    <t>1. SR081340, SR086335</t>
  </si>
  <si>
    <t>1. Weather station is reporting 0 irradiance. Weather station being RMA'd.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</si>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</sst>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SUM(C4:C92)</f>
        <v>1030037.96</v>
      </c>
      <c r="D2" s="6">
        <f>SUM(D4:D92)</f>
        <v>1357109.7802999998</v>
      </c>
      <c r="E2" s="6">
        <f>C2-D2</f>
        <v>-327071.82029999979</v>
      </c>
      <c r="F2" s="7">
        <f>IFERROR(E2/D2, 0)</f>
        <v>-0.24100616254323803</v>
      </c>
      <c r="G2" s="6">
        <f>SUM(G4:G92)</f>
        <v>0</v>
      </c>
      <c r="H2" s="8">
        <f>C2-G2</f>
        <v>1030037.96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370517.88</v>
      </c>
      <c r="D4" s="14">
        <f>SUM('1st Qtr'!D4, '2nd Qtr'!D4, '3rd Qtr'!D4, '4th Qtr'!D4)</f>
        <v>613977.79639999999</v>
      </c>
      <c r="E4" s="14">
        <f>IF(AND(ISNUMBER(C4),ISNUMBER(D4)), C4-D4, "")</f>
        <v>-243459.91639999999</v>
      </c>
      <c r="F4" s="15">
        <f>IFERROR(E4/D4, "")</f>
        <v>-0.3965288611860297</v>
      </c>
      <c r="G4" s="16">
        <f>SUM('1st Qtr'!G4, '2nd Qtr'!G4, '3rd Qtr'!G4, '4th Qtr'!G4)</f>
        <v>0</v>
      </c>
      <c r="H4" s="16">
        <f>SUM('1st Qtr'!H4, '2nd Qtr'!H4, '3rd Qtr'!H4, '4th Qtr'!H4)</f>
        <v>370517.88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SUM('1st Qtr'!C5, '2nd Qtr'!C5, '3rd Qtr'!C5, '4th Qtr'!C5)</f>
        <v>395266.5</v>
      </c>
      <c r="D5" s="20">
        <f>SUM('1st Qtr'!D5, '2nd Qtr'!D5, '3rd Qtr'!D5, '4th Qtr'!D5)</f>
        <v>520074.23779999994</v>
      </c>
      <c r="E5" s="20">
        <f t="shared" ref="E5:E7" si="0">IF(AND(ISNUMBER(C5),ISNUMBER(D5)), C5-D5, "")</f>
        <v>-124807.73779999994</v>
      </c>
      <c r="F5" s="21">
        <f>IFERROR(E5/D5, "")</f>
        <v>-0.23998061955146505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SUM('1st Qtr'!C6, '2nd Qtr'!C6, '3rd Qtr'!C6, '4th Qtr'!C6)</f>
        <v>166961.75</v>
      </c>
      <c r="D6" s="14">
        <f>SUM('1st Qtr'!D6, '2nd Qtr'!D6, '3rd Qtr'!D6, '4th Qtr'!D6)</f>
        <v>221179.30609999999</v>
      </c>
      <c r="E6" s="14">
        <f t="shared" si="0"/>
        <v>-54217.556099999987</v>
      </c>
      <c r="F6" s="15">
        <f t="shared" ref="F6:F7" si="1">IFERROR(E6/D6, "")</f>
        <v>-0.24512942488158024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SUM('1st Qtr'!C7, '2nd Qtr'!C7, '3rd Qtr'!C7, '4th Qtr'!C7)</f>
        <v>97291.829999999987</v>
      </c>
      <c r="D7" s="20">
        <f>SUM('1st Qtr'!D7, '2nd Qtr'!D7, '3rd Qtr'!D7, '4th Qtr'!D7)</f>
        <v>1878.44</v>
      </c>
      <c r="E7" s="20">
        <f t="shared" si="0"/>
        <v>95413.389999999985</v>
      </c>
      <c r="F7" s="21">
        <f t="shared" si="1"/>
        <v>50.79395136389769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/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/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/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/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4" sqref="G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6">
        <f>SUM(C4:C93)</f>
        <v>366467.22</v>
      </c>
      <c r="D2" s="6">
        <f>SUM(D4:D93)</f>
        <v>562529</v>
      </c>
      <c r="E2" s="6">
        <f>C2-D2</f>
        <v>-196061.78000000003</v>
      </c>
      <c r="F2" s="7">
        <f>IFERROR(E2/D2, 0)</f>
        <v>-0.34853630657263895</v>
      </c>
      <c r="G2" s="6">
        <f>SUM(G4:G93)</f>
        <v>0</v>
      </c>
      <c r="H2" s="8">
        <f>C2-G2</f>
        <v>366467.22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130588.75</v>
      </c>
      <c r="D4" s="14">
        <f>SUM(Jul!D4, Aug!D4, Sep!D4)</f>
        <v>256239</v>
      </c>
      <c r="E4" s="14">
        <f>IF(AND(ISNUMBER(C4),ISNUMBER(D4)), C4-D4, "")</f>
        <v>-125650.25</v>
      </c>
      <c r="F4" s="15">
        <f>IFERROR(E4/D4, "")</f>
        <v>-0.49036348877415226</v>
      </c>
      <c r="G4" s="16"/>
      <c r="H4" s="16">
        <f>SUM(Jul!H4, Aug!H4, Sep!H4)</f>
        <v>130588.75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148533</v>
      </c>
      <c r="D5" s="20">
        <f>SUM(Jul!D5, Aug!D5, Sep!D5)</f>
        <v>220141</v>
      </c>
      <c r="E5" s="20">
        <f t="shared" ref="E5:E8" si="0">IF(AND(ISNUMBER(C5),ISNUMBER(D5)), C5-D5, "")</f>
        <v>-71608</v>
      </c>
      <c r="F5" s="21">
        <f>IFERROR(E5/D5, "")</f>
        <v>-0.32528243262272816</v>
      </c>
      <c r="G5" s="22"/>
      <c r="H5" s="22">
        <f>SUM(Jul!H5, Aug!H5, Sep!H5)</f>
        <v>148533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53856.75</v>
      </c>
      <c r="D6" s="14">
        <f>SUM(Jul!D6, Aug!D6, Sep!D6)</f>
        <v>86148</v>
      </c>
      <c r="E6" s="14">
        <f t="shared" si="0"/>
        <v>-32291.25</v>
      </c>
      <c r="F6" s="15">
        <f t="shared" ref="F6:F8" si="1">IFERROR(E6/D6, "")</f>
        <v>-0.37483458698983146</v>
      </c>
      <c r="G6" s="16"/>
      <c r="H6" s="16">
        <f>SUM(Jul!H6, Aug!H6, Sep!H6)</f>
        <v>53856.75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33488.720000000001</v>
      </c>
      <c r="D7" s="20">
        <f>SUM(Jul!D7, Aug!D7, Sep!D7)</f>
        <v>1</v>
      </c>
      <c r="E7" s="20">
        <f t="shared" si="0"/>
        <v>33487.72</v>
      </c>
      <c r="F7" s="21">
        <f t="shared" si="1"/>
        <v>33487.72</v>
      </c>
      <c r="G7" s="22"/>
      <c r="H7" s="22">
        <f>SUM(Jul!H7, Aug!H7, Sep!H7)</f>
        <v>33488.720000000001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7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7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7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9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9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9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E4" sqref="E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7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7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C3" activePane="bottomLeft" state="frozen"/>
      <selection pane="bottomLeft" activeCell="J4" sqref="J4: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28.7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28.7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75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4" sqref="J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51</v>
      </c>
      <c r="E1" s="53"/>
      <c r="F1" s="53"/>
      <c r="G1" s="51" t="s">
        <v>52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122090</v>
      </c>
      <c r="D2" s="6">
        <f>SUM(D4:D93)</f>
        <v>183699</v>
      </c>
      <c r="E2" s="6">
        <f>C2-D2</f>
        <v>-61609</v>
      </c>
      <c r="F2" s="7">
        <f>IFERROR(E2/D2, 0)</f>
        <v>-0.33538015993554676</v>
      </c>
      <c r="G2" s="6">
        <f>SUM(G4:G93)</f>
        <v>0</v>
      </c>
      <c r="H2" s="8">
        <f>C2-G2</f>
        <v>122090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>
        <v>43768</v>
      </c>
      <c r="D4" s="14">
        <v>82274</v>
      </c>
      <c r="E4" s="14">
        <f>IF(AND(ISNUMBER(C4),ISNUMBER(D4)), C4-D4, "")</f>
        <v>-38506</v>
      </c>
      <c r="F4" s="15">
        <f>IFERROR(E4/D4, "")</f>
        <v>-0.46802148917033326</v>
      </c>
      <c r="G4" s="16">
        <v>0</v>
      </c>
      <c r="H4" s="16">
        <f>IF(AND(ISNUMBER(C4),ISNUMBER(G4)), C4-G4, "")</f>
        <v>43768</v>
      </c>
      <c r="I4" s="17" t="str">
        <f>IFERROR(H4/G4, "")</f>
        <v/>
      </c>
      <c r="J4" s="18" t="s">
        <v>53</v>
      </c>
      <c r="K4" s="18" t="s">
        <v>54</v>
      </c>
    </row>
    <row r="5" spans="1:11" ht="15.75">
      <c r="A5" s="32" t="str">
        <v>AZ: Lake Havasu City - Aquatic Center</v>
      </c>
      <c r="B5" s="33" t="str">
        <v>AZ</v>
      </c>
      <c r="C5" s="12">
        <v>49693</v>
      </c>
      <c r="D5" s="20">
        <v>70497</v>
      </c>
      <c r="E5" s="20">
        <f t="shared" ref="E5:E8" si="0">IF(AND(ISNUMBER(C5),ISNUMBER(D5)), C5-D5, "")</f>
        <v>-20804</v>
      </c>
      <c r="F5" s="21">
        <f>IFERROR(E5/D5, "")</f>
        <v>-0.2951047562307616</v>
      </c>
      <c r="G5" s="22">
        <v>0</v>
      </c>
      <c r="H5" s="22">
        <f t="shared" ref="H5:H8" si="1">IF(AND(ISNUMBER(C5),ISNUMBER(G5)), C5-G5, "")</f>
        <v>49693</v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>
        <v>17598</v>
      </c>
      <c r="D6" s="14">
        <v>30928</v>
      </c>
      <c r="E6" s="14">
        <f t="shared" si="0"/>
        <v>-13330</v>
      </c>
      <c r="F6" s="15">
        <f t="shared" ref="F6:F8" si="3">IFERROR(E6/D6, "")</f>
        <v>-0.43100103466114847</v>
      </c>
      <c r="G6" s="16">
        <v>0</v>
      </c>
      <c r="H6" s="16">
        <f t="shared" si="1"/>
        <v>17598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11031</v>
      </c>
      <c r="D7" s="20">
        <v>0</v>
      </c>
      <c r="E7" s="20">
        <f t="shared" si="0"/>
        <v>11031</v>
      </c>
      <c r="F7" s="21" t="str">
        <f t="shared" si="3"/>
        <v/>
      </c>
      <c r="G7" s="22">
        <v>0</v>
      </c>
      <c r="H7" s="22">
        <f t="shared" si="1"/>
        <v>11031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tabSelected="1"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55</v>
      </c>
      <c r="E1" s="53"/>
      <c r="F1" s="53"/>
      <c r="G1" s="51" t="s">
        <v>56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112707</v>
      </c>
      <c r="D2" s="6">
        <f>SUM(D4:D93)</f>
        <v>117695</v>
      </c>
      <c r="E2" s="6">
        <f>C2-D2</f>
        <v>-4988</v>
      </c>
      <c r="F2" s="7">
        <f>IFERROR(E2/D2, 0)</f>
        <v>-4.2380729852585071E-2</v>
      </c>
      <c r="G2" s="6">
        <f>SUM(G4:G93)</f>
        <v>0</v>
      </c>
      <c r="H2" s="8">
        <f>C2-G2</f>
        <v>112707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39971</v>
      </c>
      <c r="D4" s="14">
        <v>55148</v>
      </c>
      <c r="E4" s="14">
        <f>IF(AND(ISNUMBER(C4),ISNUMBER(D4)), C4-D4, "")</f>
        <v>-15177</v>
      </c>
      <c r="F4" s="15">
        <f>IFERROR(E4/D4, "")</f>
        <v>-0.27520490316965257</v>
      </c>
      <c r="G4" s="16">
        <v>0</v>
      </c>
      <c r="H4" s="16">
        <f>IF(AND(ISNUMBER(C4),ISNUMBER(G4)), C4-G4, "")</f>
        <v>39971</v>
      </c>
      <c r="I4" s="17" t="str">
        <f>IFERROR(H4/G4, "")</f>
        <v/>
      </c>
      <c r="J4" s="18" t="s">
        <v>57</v>
      </c>
      <c r="K4" s="18" t="s">
        <v>58</v>
      </c>
    </row>
    <row r="5" spans="1:11" ht="15.75">
      <c r="A5" s="32" t="str">
        <v>AZ: Lake Havasu City - Aquatic Center</v>
      </c>
      <c r="B5" s="33" t="str">
        <v>AZ</v>
      </c>
      <c r="C5" s="12">
        <v>45283</v>
      </c>
      <c r="D5" s="20">
        <v>46783</v>
      </c>
      <c r="E5" s="20">
        <f t="shared" ref="E5:E8" si="0">IF(AND(ISNUMBER(C5),ISNUMBER(D5)), C5-D5, "")</f>
        <v>-1500</v>
      </c>
      <c r="F5" s="21">
        <f>IFERROR(E5/D5, "")</f>
        <v>-3.2062928841673256E-2</v>
      </c>
      <c r="G5" s="22">
        <v>0</v>
      </c>
      <c r="H5" s="22">
        <f t="shared" ref="H5:H8" si="1">IF(AND(ISNUMBER(C5),ISNUMBER(G5)), C5-G5, "")</f>
        <v>45283</v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>
        <v>17198</v>
      </c>
      <c r="D6" s="14">
        <v>15763</v>
      </c>
      <c r="E6" s="14">
        <f t="shared" si="0"/>
        <v>1435</v>
      </c>
      <c r="F6" s="15">
        <f t="shared" ref="F6:F8" si="3">IFERROR(E6/D6, "")</f>
        <v>9.1035970310220135E-2</v>
      </c>
      <c r="G6" s="16">
        <v>0</v>
      </c>
      <c r="H6" s="16">
        <f t="shared" si="1"/>
        <v>17198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10255</v>
      </c>
      <c r="D7" s="20">
        <v>1</v>
      </c>
      <c r="E7" s="20">
        <f t="shared" si="0"/>
        <v>10254</v>
      </c>
      <c r="F7" s="21">
        <f t="shared" si="3"/>
        <v>10254</v>
      </c>
      <c r="G7" s="22">
        <v>0</v>
      </c>
      <c r="H7" s="22">
        <f t="shared" si="1"/>
        <v>10255</v>
      </c>
      <c r="I7" s="21" t="str">
        <f t="shared" si="2"/>
        <v/>
      </c>
      <c r="J7" s="47" t="s">
        <v>59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60</v>
      </c>
      <c r="E1" s="53"/>
      <c r="F1" s="53"/>
      <c r="G1" s="51" t="s">
        <v>61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62</v>
      </c>
      <c r="E1" s="53"/>
      <c r="F1" s="53"/>
      <c r="G1" s="51" t="s">
        <v>63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8" activePane="bottomLeft" state="frozen"/>
      <selection pane="bottomLeft" activeCell="F27" sqref="F27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64</v>
      </c>
      <c r="E1" s="53"/>
      <c r="F1" s="53"/>
      <c r="G1" s="51" t="s">
        <v>65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66</v>
      </c>
      <c r="B1" t="s">
        <v>67</v>
      </c>
    </row>
    <row r="3" spans="1:7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7" ht="14.45">
      <c r="A4" t="s">
        <v>71</v>
      </c>
      <c r="B4" t="s">
        <v>71</v>
      </c>
      <c r="C4" s="4" t="s">
        <v>72</v>
      </c>
      <c r="G4" s="3"/>
    </row>
    <row r="5" spans="1:7" ht="14.45">
      <c r="A5" t="s">
        <v>73</v>
      </c>
      <c r="B5" t="s">
        <v>73</v>
      </c>
      <c r="C5" s="4" t="s">
        <v>72</v>
      </c>
      <c r="G5" s="3"/>
    </row>
    <row r="6" spans="1:7" ht="14.45">
      <c r="A6" t="s">
        <v>74</v>
      </c>
      <c r="B6" t="s">
        <v>74</v>
      </c>
      <c r="C6" s="4" t="s">
        <v>72</v>
      </c>
      <c r="G6" s="3"/>
    </row>
    <row r="7" spans="1:7" ht="12.75" customHeight="1">
      <c r="A7" t="s">
        <v>75</v>
      </c>
      <c r="B7" t="s">
        <v>75</v>
      </c>
      <c r="C7" s="4" t="s">
        <v>72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66B09F59-6532-46F8-924A-9A02417E070D}"/>
</file>

<file path=customXml/itemProps4.xml><?xml version="1.0" encoding="utf-8"?>
<ds:datastoreItem xmlns:ds="http://schemas.openxmlformats.org/officeDocument/2006/customXml" ds:itemID="{E20E8303-6A67-485C-B6F4-303542CC295C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Iranossian, Lianna</cp:lastModifiedBy>
  <cp:revision/>
  <dcterms:created xsi:type="dcterms:W3CDTF">2021-01-01T16:39:53Z</dcterms:created>
  <dcterms:modified xsi:type="dcterms:W3CDTF">2024-10-03T15:40:48Z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