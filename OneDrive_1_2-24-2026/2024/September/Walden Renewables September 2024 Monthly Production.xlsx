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5" documentId="13_ncr:1_{BB75D086-5F27-426C-90B0-79E11ABF42BC}" xr6:coauthVersionLast="47" xr6:coauthVersionMax="47" xr10:uidLastSave="{EC491FE7-4D27-47F6-86C3-51E1FFC536E6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<sst xmlns="http://schemas.openxmlformats.org/spreadsheetml/2006/main" count="253" uniqueCount="62">
  <si>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</si>
  <si>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</si>
  <si>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</si>
  <si>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</si>
  <si>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</si>
  <si>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</si>
  <si>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</si>
  <si>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</si>
  <si>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</si>
  <si>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</si>
  <si>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</si>
  <si>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</si>
  <si>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</si>
  <si>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</si>
  <si>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</si>
  <si>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</si>
  <si>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</si>
  <si>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</si>
  <si>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</si>
  <si>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</si>
  <si>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</si>
  <si>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</si>
  <si>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</si>
  <si>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</si>
  <si>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</si>
  <si>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</si>
  <si>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</si>
  <si>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</si>
  <si>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</si>
  <si>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</si>
  <si>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</si>
  <si>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</si>
  <si>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</si>
  <si>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</si>
  <si>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</si>
  <si>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Inverter 1 derating approximately 225kW from 07/17</t>
  </si>
  <si>
    <t>1. SR087933</t>
  </si>
  <si>
    <t>August Actual v. Expected</t>
  </si>
  <si>
    <t>August Actual v. Forecasted</t>
  </si>
  <si>
    <t>1. Inverter 1 derating approximately 225kW from 07/17.
2. Inverter tripped offline at 12PM on 08/24 and back online on 08/25.</t>
  </si>
  <si>
    <t>1. SR087933
2. 	SR089494</t>
  </si>
  <si>
    <t>September Actual v. Expected</t>
  </si>
  <si>
    <t>September Actual v. Forecasted</t>
  </si>
  <si>
    <t>1. Inverter 1 derating approximately 225kW from 07/17.
2. Site tripped offline at 06:00PM on 09/15 and back online at 12PM on 09/16</t>
  </si>
  <si>
    <t>1. SR087933
2. SR090605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</si>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</sst>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Walden Liberty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685038</v>
      </c>
      <c r="D2" s="5">
        <f>SUM(D4:D77)</f>
        <v>0</v>
      </c>
      <c r="E2" s="5">
        <f>C2-D2</f>
        <v>685038</v>
      </c>
      <c r="F2" s="6">
        <f>IFERROR(E2/D2, 0)</f>
        <v>0</v>
      </c>
      <c r="G2" s="5">
        <f>SUM(G4:G77)</f>
        <v>0</v>
      </c>
      <c r="H2" s="7">
        <f>C2-G2</f>
        <v>685038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643693</v>
      </c>
      <c r="D4" s="12">
        <f>SUM('1st Qtr'!D4, '2nd Qtr'!D4, '3rd Qtr'!D4, '4th Qtr'!D4)</f>
        <v>0</v>
      </c>
      <c r="E4" s="12">
        <f>IF(AND(ISNUMBER(C4),ISNUMBER(D4)), C4-D4, "")</f>
        <v>643693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643693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Walden Liberty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Walden Liberty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334241</v>
      </c>
      <c r="D2" s="5">
        <f>SUM(D4:D77)</f>
        <v>0</v>
      </c>
      <c r="E2" s="5">
        <f>C2-D2</f>
        <v>334241</v>
      </c>
      <c r="F2" s="6">
        <f>IFERROR(E2/D2, 0)</f>
        <v>0</v>
      </c>
      <c r="G2" s="5">
        <f>SUM(G4:G77)</f>
        <v>0</v>
      </c>
      <c r="H2" s="7">
        <f>C2-G2</f>
        <v>334241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248784</v>
      </c>
      <c r="D4" s="12">
        <f>SUM(Apr!D4, May!D4, Jun!D4)</f>
        <v>0</v>
      </c>
      <c r="E4" s="12">
        <f>IF(AND(ISNUMBER(C4),ISNUMBER(D4)), C4-D4, "")</f>
        <v>248784</v>
      </c>
      <c r="F4" s="13" t="str">
        <f>IFERROR(E4/D4, "")</f>
        <v/>
      </c>
      <c r="G4" s="14">
        <f>SUM(Apr!G4, May!G4, Jun!G4)</f>
        <v>0</v>
      </c>
      <c r="H4" s="14">
        <f>SUM(Apr!H4, May!H4, Jun!H4)</f>
        <v>248784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85457</v>
      </c>
      <c r="D5" s="17">
        <f>SUM(Apr!D5, May!D5, Jun!D5)</f>
        <v>0</v>
      </c>
      <c r="E5" s="17">
        <f t="shared" ref="E5" si="0">IF(AND(ISNUMBER(C5),ISNUMBER(D5)), C5-D5, "")</f>
        <v>85457</v>
      </c>
      <c r="F5" s="18" t="str">
        <f>IFERROR(E5/D5, "")</f>
        <v/>
      </c>
      <c r="G5" s="19">
        <f>SUM(Apr!G5, May!G5, Jun!G5)</f>
        <v>0</v>
      </c>
      <c r="H5" s="19">
        <f>SUM(Apr!H5, May!H5, Jun!H5)</f>
        <v>85457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G4" sqref="G4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Walden Liberty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290872</v>
      </c>
      <c r="D2" s="5">
        <f>SUM(D4:D77)</f>
        <v>0</v>
      </c>
      <c r="E2" s="5">
        <f>C2-D2</f>
        <v>290872</v>
      </c>
      <c r="F2" s="6">
        <f>IFERROR(E2/D2, 0)</f>
        <v>0</v>
      </c>
      <c r="G2" s="5">
        <f>SUM(G4:G77)</f>
        <v>0</v>
      </c>
      <c r="H2" s="7">
        <f>C2-G2</f>
        <v>290872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242112</v>
      </c>
      <c r="D4" s="12">
        <f>SUM(Jul!D4, Aug!D4, Sep!D4)</f>
        <v>0</v>
      </c>
      <c r="E4" s="12">
        <f>IF(AND(ISNUMBER(C4),ISNUMBER(D4)), C4-D4, "")</f>
        <v>242112</v>
      </c>
      <c r="F4" s="13" t="str">
        <f>IFERROR(E4/D4, "")</f>
        <v/>
      </c>
      <c r="G4" s="14">
        <f>SUM(Jul!G4,Aug!G4,Sep!G4)</f>
        <v>0</v>
      </c>
      <c r="H4" s="14">
        <f>SUM(Jul!H4, Aug!H4, Sep!H4)</f>
        <v>242112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48760</v>
      </c>
      <c r="D5" s="17">
        <f>SUM(Jul!D5, Aug!D5, Sep!D5)</f>
        <v>0</v>
      </c>
      <c r="E5" s="17">
        <f t="shared" ref="E5" si="0">IF(AND(ISNUMBER(C5),ISNUMBER(D5)), C5-D5, "")</f>
        <v>48760</v>
      </c>
      <c r="F5" s="18" t="str">
        <f>IFERROR(E5/D5, "")</f>
        <v/>
      </c>
      <c r="G5" s="17">
        <f>SUM(Jul!G5,Aug!G5,Sep!G5)</f>
        <v>0</v>
      </c>
      <c r="H5" s="19">
        <f>SUM(Jul!H5, Aug!H5, Sep!H5)</f>
        <v>48760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3" sqref="A13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Walden Liberty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41" sqref="J4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23</v>
      </c>
      <c r="E1" s="54"/>
      <c r="F1" s="54"/>
      <c r="G1" s="52" t="s">
        <v>24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6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H23" sqref="H2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25</v>
      </c>
      <c r="E1" s="54"/>
      <c r="F1" s="54"/>
      <c r="G1" s="52" t="s">
        <v>26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G5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67078</v>
      </c>
      <c r="D4" s="12">
        <v>0</v>
      </c>
      <c r="E4" s="12">
        <f>IF(AND(ISNUMBER(C4),ISNUMBER(D4)), C4-D4, "")</f>
        <v>67078</v>
      </c>
      <c r="F4" s="13" t="str">
        <f>IFERROR(E4/D4, "")</f>
        <v/>
      </c>
      <c r="G4" s="14">
        <v>0</v>
      </c>
      <c r="H4" s="14">
        <f>IF(AND(ISNUMBER(C4),ISNUMBER(G4)), C4-G4, "")</f>
        <v>67078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24863</v>
      </c>
      <c r="D5" s="17"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24863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F18" sqref="F1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29</v>
      </c>
      <c r="E1" s="54"/>
      <c r="F1" s="54"/>
      <c r="G1" s="52" t="s">
        <v>30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114024</v>
      </c>
      <c r="D2" s="5">
        <f>SUM(D4:D77)</f>
        <v>0</v>
      </c>
      <c r="E2" s="5">
        <f>C2-D2</f>
        <v>114024</v>
      </c>
      <c r="F2" s="6">
        <f>IFERROR(E2/D2, 0)</f>
        <v>0</v>
      </c>
      <c r="G2" s="5">
        <f>SUM(G4:G77)</f>
        <v>0</v>
      </c>
      <c r="H2" s="7">
        <f>C2-G2</f>
        <v>114024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85060</v>
      </c>
      <c r="D4" s="12">
        <v>0</v>
      </c>
      <c r="E4" s="12">
        <f>IF(AND(ISNUMBER(C4),ISNUMBER(D4)), C4-D4, "")</f>
        <v>85060</v>
      </c>
      <c r="F4" s="13" t="str">
        <f>IFERROR(E4/D4, "")</f>
        <v/>
      </c>
      <c r="G4" s="14">
        <v>0</v>
      </c>
      <c r="H4" s="14">
        <f>IF(AND(ISNUMBER(C4),ISNUMBER(G4)), C4-G4, "")</f>
        <v>85060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28964</v>
      </c>
      <c r="D5" s="17">
        <v>0</v>
      </c>
      <c r="E5" s="17">
        <f t="shared" ref="E5" si="0">IF(AND(ISNUMBER(C5),ISNUMBER(D5)), C5-D5, "")</f>
        <v>28964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28964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F13" activePane="bottomRight" state="frozen"/>
      <selection pane="bottomRight" activeCell="G14" sqref="G1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128276</v>
      </c>
      <c r="D2" s="5">
        <f>SUM(D4:D77)</f>
        <v>0</v>
      </c>
      <c r="E2" s="5">
        <f>C2-D2</f>
        <v>128276</v>
      </c>
      <c r="F2" s="6">
        <f>IFERROR(E2/D2, 0)</f>
        <v>0</v>
      </c>
      <c r="G2" s="5">
        <f>SUM(G4:G77)</f>
        <v>0</v>
      </c>
      <c r="H2" s="7">
        <f>C2-G2</f>
        <v>128276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96646</v>
      </c>
      <c r="D4" s="12">
        <v>0</v>
      </c>
      <c r="E4" s="12">
        <f>IF(AND(ISNUMBER(C4),ISNUMBER(D4)), C4-D4, "")</f>
        <v>96646</v>
      </c>
      <c r="F4" s="13" t="str">
        <f>IFERROR(E4/D4, "")</f>
        <v/>
      </c>
      <c r="G4" s="14">
        <v>0</v>
      </c>
      <c r="H4" s="14">
        <f>IF(AND(ISNUMBER(C4),ISNUMBER(G4)), C4-G4, "")</f>
        <v>96646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31630</v>
      </c>
      <c r="D5" s="17">
        <v>0</v>
      </c>
      <c r="E5" s="17">
        <f t="shared" ref="E5" si="0">IF(AND(ISNUMBER(C5),ISNUMBER(D5)), C5-D5, "")</f>
        <v>31630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31630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F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33</v>
      </c>
      <c r="E1" s="54"/>
      <c r="F1" s="54"/>
      <c r="G1" s="52" t="s">
        <v>34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107263</v>
      </c>
      <c r="D2" s="5">
        <f>SUM(D4:D77)</f>
        <v>0</v>
      </c>
      <c r="E2" s="5">
        <f>C2-D2</f>
        <v>107263</v>
      </c>
      <c r="F2" s="6">
        <f>IFERROR(E2/D2, 0)</f>
        <v>0</v>
      </c>
      <c r="G2" s="5">
        <f>SUM(G4:G77)</f>
        <v>0</v>
      </c>
      <c r="H2" s="7">
        <f>C2-G2</f>
        <v>107263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84955</v>
      </c>
      <c r="D4" s="12">
        <v>0</v>
      </c>
      <c r="E4" s="12">
        <f>IF(AND(ISNUMBER(C4),ISNUMBER(D4)), C4-D4, "")</f>
        <v>84955</v>
      </c>
      <c r="F4" s="13" t="str">
        <f>IFERROR(E4/D4, "")</f>
        <v/>
      </c>
      <c r="G4" s="14">
        <v>0</v>
      </c>
      <c r="H4" s="14">
        <f>IF(AND(ISNUMBER(C4),ISNUMBER(G4)), C4-G4, "")</f>
        <v>84955</v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>
        <v>22308</v>
      </c>
      <c r="D5" s="17">
        <v>0</v>
      </c>
      <c r="E5" s="17">
        <f t="shared" ref="E5" si="0">IF(AND(ISNUMBER(C5),ISNUMBER(D5)), C5-D5, "")</f>
        <v>22308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22308</v>
      </c>
      <c r="I5" s="18" t="str">
        <f t="shared" ref="I5" si="2">IFERROR(H5/G5, "")</f>
        <v/>
      </c>
      <c r="J5" s="40" t="s">
        <v>35</v>
      </c>
      <c r="K5" s="40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37</v>
      </c>
      <c r="E1" s="54"/>
      <c r="F1" s="54"/>
      <c r="G1" s="52" t="s">
        <v>38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100113</v>
      </c>
      <c r="D2" s="5">
        <f>SUM(D4:D77)</f>
        <v>0</v>
      </c>
      <c r="E2" s="5">
        <f>C2-D2</f>
        <v>100113</v>
      </c>
      <c r="F2" s="6">
        <f>IFERROR(E2/D2, 0)</f>
        <v>0</v>
      </c>
      <c r="G2" s="5">
        <f>SUM(G4:G77)</f>
        <v>0</v>
      </c>
      <c r="H2" s="7">
        <f>C2-G2</f>
        <v>100113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85973</v>
      </c>
      <c r="D4" s="12">
        <v>0</v>
      </c>
      <c r="E4" s="12">
        <f>IF(AND(ISNUMBER(C4),ISNUMBER(D4)), C4-D4, "")</f>
        <v>85973</v>
      </c>
      <c r="F4" s="13" t="str">
        <f>IFERROR(E4/D4, "")</f>
        <v/>
      </c>
      <c r="G4" s="14">
        <v>0</v>
      </c>
      <c r="H4" s="14">
        <f>IF(AND(ISNUMBER(C4),ISNUMBER(G4)), C4-G4, "")</f>
        <v>85973</v>
      </c>
      <c r="I4" s="15" t="str">
        <f>IFERROR(H4/G4, "")</f>
        <v/>
      </c>
      <c r="J4" s="39"/>
      <c r="K4" s="39"/>
    </row>
    <row r="5" spans="1:11" ht="42.75" customHeight="1">
      <c r="A5" s="28" t="str">
        <v>Walden Liberty</v>
      </c>
      <c r="B5" s="29" t="str">
        <v>MA</v>
      </c>
      <c r="C5" s="11">
        <v>14140</v>
      </c>
      <c r="D5" s="17">
        <v>0</v>
      </c>
      <c r="E5" s="17">
        <f t="shared" ref="E5" si="0">IF(AND(ISNUMBER(C5),ISNUMBER(D5)), C5-D5, "")</f>
        <v>14140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14140</v>
      </c>
      <c r="I5" s="18" t="str">
        <f t="shared" ref="I5" si="2">IFERROR(H5/G5, "")</f>
        <v/>
      </c>
      <c r="J5" s="51" t="s">
        <v>39</v>
      </c>
      <c r="K5" s="51" t="s">
        <v>40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83496</v>
      </c>
      <c r="D2" s="5">
        <f>SUM(D4:D77)</f>
        <v>0</v>
      </c>
      <c r="E2" s="5">
        <f>C2-D2</f>
        <v>83496</v>
      </c>
      <c r="F2" s="6">
        <f>IFERROR(E2/D2, 0)</f>
        <v>0</v>
      </c>
      <c r="G2" s="5">
        <f>SUM(G4:G77)</f>
        <v>0</v>
      </c>
      <c r="H2" s="7">
        <f>C2-G2</f>
        <v>83496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71184</v>
      </c>
      <c r="D4" s="12">
        <v>0</v>
      </c>
      <c r="E4" s="12">
        <f>IF(AND(ISNUMBER(C4),ISNUMBER(D4)), C4-D4, "")</f>
        <v>71184</v>
      </c>
      <c r="F4" s="13" t="str">
        <f>IFERROR(E4/D4, "")</f>
        <v/>
      </c>
      <c r="G4" s="14">
        <v>0</v>
      </c>
      <c r="H4" s="14">
        <f>IF(AND(ISNUMBER(C4),ISNUMBER(G4)), C4-G4, "")</f>
        <v>71184</v>
      </c>
      <c r="I4" s="15" t="str">
        <f>IFERROR(H4/G4, "")</f>
        <v/>
      </c>
      <c r="J4" s="39"/>
      <c r="K4" s="39"/>
    </row>
    <row r="5" spans="1:11" ht="37.5" customHeight="1">
      <c r="A5" s="28" t="str">
        <v>Walden Liberty</v>
      </c>
      <c r="B5" s="29" t="str">
        <v>MA</v>
      </c>
      <c r="C5" s="11">
        <v>12312</v>
      </c>
      <c r="D5" s="17">
        <v>0</v>
      </c>
      <c r="E5" s="17">
        <f t="shared" ref="E5" si="0">IF(AND(ISNUMBER(C5),ISNUMBER(D5)), C5-D5, "")</f>
        <v>12312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12312</v>
      </c>
      <c r="I5" s="18" t="str">
        <f t="shared" ref="I5" si="2">IFERROR(H5/G5, "")</f>
        <v/>
      </c>
      <c r="J5" s="51" t="s">
        <v>43</v>
      </c>
      <c r="K5" s="51" t="s">
        <v>44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1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Walden Liberty</v>
      </c>
      <c r="B1" s="53"/>
      <c r="C1" s="53"/>
      <c r="D1" s="54" t="s">
        <v>49</v>
      </c>
      <c r="E1" s="54"/>
      <c r="F1" s="54"/>
      <c r="G1" s="52" t="s">
        <v>50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G19" sqref="G1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47" t="s">
        <v>56</v>
      </c>
      <c r="B4" s="47" t="s">
        <v>57</v>
      </c>
      <c r="C4" s="47" t="s">
        <v>58</v>
      </c>
      <c r="D4" s="49" t="s">
        <v>59</v>
      </c>
      <c r="E4" s="47" t="s">
        <v>60</v>
      </c>
      <c r="G4" s="3"/>
    </row>
    <row r="5" spans="1:12" ht="14.45">
      <c r="A5" s="48" t="s">
        <v>61</v>
      </c>
      <c r="B5" s="48" t="s">
        <v>52</v>
      </c>
      <c r="C5" s="48" t="s">
        <v>58</v>
      </c>
      <c r="D5" s="50" t="s">
        <v>59</v>
      </c>
      <c r="E5" s="48" t="s">
        <v>60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2024-12-26T08:36:26Z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