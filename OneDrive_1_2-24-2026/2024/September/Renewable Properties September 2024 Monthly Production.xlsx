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7" documentId="13_ncr:1_{F89A33AC-F8BE-4BB6-A234-065FD58AFC5A}" xr6:coauthVersionLast="47" xr6:coauthVersionMax="47" xr10:uidLastSave="{FD2924AF-5113-4440-8849-7090787DCF5C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3" l="1"/>
  <c r="F7" i="33" s="1"/>
  <c r="H7" i="33"/>
  <c r="I7" i="33" s="1"/>
  <c r="E7" i="32"/>
  <c r="F7" i="32" s="1"/>
  <c r="H7" i="32"/>
  <c r="I7" i="32" s="1"/>
  <c r="E7" i="31"/>
  <c r="F7" i="31"/>
  <c r="H7" i="31"/>
  <c r="I7" i="31" s="1"/>
  <c r="E7" i="28"/>
  <c r="F7" i="28" s="1"/>
  <c r="H7" i="28"/>
  <c r="I7" i="28" s="1"/>
  <c r="C7" i="30"/>
  <c r="D7" i="30"/>
  <c r="C7" i="29"/>
  <c r="C7" i="34" s="1"/>
  <c r="D7" i="29"/>
  <c r="D7" i="34" s="1"/>
  <c r="G7" i="29"/>
  <c r="G7" i="34" s="1"/>
  <c r="C7" i="1"/>
  <c r="D7" i="1"/>
  <c r="E7" i="1"/>
  <c r="F7" i="1" s="1"/>
  <c r="G7" i="1"/>
  <c r="H7" i="1"/>
  <c r="I7" i="1"/>
  <c r="G7" i="18"/>
  <c r="C7" i="18"/>
  <c r="D7" i="18"/>
  <c r="E7" i="18"/>
  <c r="F7" i="18" s="1"/>
  <c r="H7" i="18"/>
  <c r="I7" i="18"/>
  <c r="H7" i="27"/>
  <c r="I7" i="27" s="1"/>
  <c r="E7" i="27"/>
  <c r="F7" i="27" s="1"/>
  <c r="E7" i="21"/>
  <c r="F7" i="21" s="1"/>
  <c r="H7" i="21"/>
  <c r="I7" i="21" s="1"/>
  <c r="E7" i="4"/>
  <c r="F7" i="4" s="1"/>
  <c r="H7" i="4"/>
  <c r="I7" i="4" s="1"/>
  <c r="E7" i="3"/>
  <c r="F7" i="3" s="1"/>
  <c r="H7" i="3"/>
  <c r="I7" i="3" s="1"/>
  <c r="E7" i="72"/>
  <c r="F7" i="72" s="1"/>
  <c r="H7" i="72"/>
  <c r="I7" i="72" s="1"/>
  <c r="E7" i="20"/>
  <c r="F7" i="20" s="1"/>
  <c r="H7" i="20"/>
  <c r="I7" i="20" s="1"/>
  <c r="E7" i="19"/>
  <c r="F7" i="19" s="1"/>
  <c r="H7" i="19"/>
  <c r="I7" i="19"/>
  <c r="E7" i="26"/>
  <c r="F7" i="26" s="1"/>
  <c r="H7" i="26"/>
  <c r="G5" i="29"/>
  <c r="G6" i="29"/>
  <c r="G4" i="29"/>
  <c r="D4" i="29"/>
  <c r="G6" i="18"/>
  <c r="G5" i="18"/>
  <c r="G4" i="18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6" i="34" s="1"/>
  <c r="C6" i="29"/>
  <c r="C6" i="34" s="1"/>
  <c r="D5" i="29"/>
  <c r="D5" i="34" s="1"/>
  <c r="C5" i="29"/>
  <c r="C4" i="29"/>
  <c r="D6" i="18"/>
  <c r="C6" i="18"/>
  <c r="D5" i="18"/>
  <c r="C5" i="18"/>
  <c r="E5" i="18" s="1"/>
  <c r="F5" i="18" s="1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E7" i="34" l="1"/>
  <c r="F7" i="34" s="1"/>
  <c r="I7" i="26"/>
  <c r="H7" i="29"/>
  <c r="H7" i="30"/>
  <c r="I7" i="30" s="1"/>
  <c r="E7" i="30"/>
  <c r="F7" i="30" s="1"/>
  <c r="E7" i="29"/>
  <c r="F7" i="29" s="1"/>
  <c r="G2" i="29"/>
  <c r="H6" i="29"/>
  <c r="E5" i="29"/>
  <c r="F5" i="29" s="1"/>
  <c r="D2" i="29"/>
  <c r="C5" i="34"/>
  <c r="E6" i="18"/>
  <c r="F6" i="18" s="1"/>
  <c r="D2" i="18"/>
  <c r="G4" i="34"/>
  <c r="G5" i="34"/>
  <c r="G2" i="18"/>
  <c r="E4" i="18"/>
  <c r="F4" i="18" s="1"/>
  <c r="C4" i="34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H6" i="18"/>
  <c r="I6" i="18" s="1"/>
  <c r="H4" i="18"/>
  <c r="I4" i="18" s="1"/>
  <c r="H5" i="18"/>
  <c r="I5" i="18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7" i="29"/>
  <c r="H7" i="34"/>
  <c r="I7" i="34" s="1"/>
  <c r="I6" i="29"/>
  <c r="H6" i="34"/>
  <c r="I6" i="34" s="1"/>
  <c r="E2" i="29"/>
  <c r="F2" i="29" s="1"/>
  <c r="I5" i="34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<sst xmlns="http://schemas.openxmlformats.org/spreadsheetml/2006/main" count="289" uniqueCount="94">
  <si>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</si>
  <si>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</si>
  <si>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</si>
  <si>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</si>
  <si>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</si>
  <si>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</si>
  <si>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</si>
  <si>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</si>
  <si>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</si>
  <si>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</si>
  <si>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</si>
  <si>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</si>
  <si>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</si>
  <si>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</si>
  <si>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</si>
  <si>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</si>
  <si>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</si>
  <si>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</si>
  <si>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</si>
  <si>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</si>
  <si>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</si>
  <si>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</si>
  <si>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</si>
  <si>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</si>
  <si>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</si>
  <si>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</si>
  <si>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</si>
  <si>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</si>
  <si>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</si>
  <si>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</si>
  <si>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</si>
  <si>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</si>
  <si>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</si>
  <si>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</si>
  <si>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</si>
  <si>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</si>
  <si>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</si>
  <si>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</si>
  <si>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</si>
  <si>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</si>
  <si>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</si>
  <si>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</si>
  <si>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</si>
  <si>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</si>
  <si>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</si>
  <si>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</si>
  <si>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</si>
  <si>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</si>
  <si>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</si>
  <si>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</si>
  <si>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</si>
  <si>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</si>
  <si>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</si>
  <si>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</si>
  <si>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</si>
  <si>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</si>
  <si>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15:00PM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</si>
  <si>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</si>
  <si>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</si>
  <si>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</si>
  <si>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</si>
  <si>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</si>
  <si>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1. Site tripped offline at 15:30 on 08/17 and was re-energized at 09:00 on 08/18. Site was offline from morning and back online at 12:00PM on 08/19 
2. Inverters started late for production throughout the month. Technician updated the ISO parameters and resolved the issue on 08/28</t>
  </si>
  <si>
    <t>1. SR089200
2. SR089393</t>
  </si>
  <si>
    <t xml:space="preserve">1. Inverter 24 had tripping event on 08/12,08/15 and was offline from 08/17. Technician replaced connector and inverter is back online at 08:30 on 08/22 </t>
  </si>
  <si>
    <t>1. 	SR088921</t>
  </si>
  <si>
    <t>September Actual v. Expected</t>
  </si>
  <si>
    <t>September Actual v. Forecasted</t>
  </si>
  <si>
    <t>1.Inverters 1,5 are offline from 9/20 and back online on 9/21  and also inveretrs 3,4,6,7 are offline from 9/20 back online on 9/22</t>
  </si>
  <si>
    <t>1.SR090992</t>
  </si>
  <si>
    <t>1.Inverter 17 tripped offline at 07:30 on 9/7 and backonline at 12:30 on 9/20
2.Inverter 15 derating by 30 kW. 
   Inverter 16 derating by 40 kW.
   Inverter 19 derating by 25 kW. 
   Inverter 20 derating by 5 kW.</t>
  </si>
  <si>
    <t>1.SR090012
2. 	SR090011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</si>
  <si>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</si>
  <si>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</si>
  <si>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</si>
  <si>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</si>
  <si>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</si>
  <si>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</si>
  <si>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</si>
  <si>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</si>
  <si>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</si>
  <si>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</si>
  <si>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</si>
  <si>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</si>
  <si>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</si>
  <si>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</si>
  <si>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AEF</t>
  </si>
  <si>
    <t>PowerTrack</t>
  </si>
  <si>
    <t>Bullis</t>
  </si>
  <si>
    <t>NY</t>
  </si>
  <si>
    <t>Rock Island NY (Renew Prop)</t>
  </si>
  <si>
    <t>Rock Island</t>
  </si>
  <si>
    <t xml:space="preserve"> Lockport - Slayton A &amp; B</t>
  </si>
  <si>
    <t>Slayton A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</si>
</sst>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6" sqref="F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Renewable Properties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SUM(C4:C80)</f>
        <v>12223773.5</v>
      </c>
      <c r="D2" s="5">
        <f>SUM(D4:D80)</f>
        <v>12439480.713100001</v>
      </c>
      <c r="E2" s="5">
        <f>C2-D2</f>
        <v>-215707.21310000122</v>
      </c>
      <c r="F2" s="6">
        <f>IFERROR(E2/D2, 0)</f>
        <v>-1.734053197838397E-2</v>
      </c>
      <c r="G2" s="5">
        <f>SUM(G4:G80)</f>
        <v>14026318.114</v>
      </c>
      <c r="H2" s="7">
        <f>C2-G2</f>
        <v>-1802544.6140000001</v>
      </c>
      <c r="I2" s="6">
        <f>IFERROR(H2/G2, 0)</f>
        <v>-0.12851160221447122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31" t="str" cm="1">
        <f t="array" ref="A4:A7">Sites[Site]</f>
        <v>Cedar Swamp Rd</v>
      </c>
      <c r="B4" s="32" t="str" cm="1">
        <f t="array" ref="B4:B7">Sites[State]</f>
        <v>MA</v>
      </c>
      <c r="C4" s="33">
        <f>SUM('1st Qtr'!C4, '2nd Qtr'!C4, '3rd Qtr'!C4, '4th Qtr'!C4)</f>
        <v>1055939.5</v>
      </c>
      <c r="D4" s="34">
        <f>SUM('1st Qtr'!D4, '2nd Qtr'!D4, '3rd Qtr'!D4, '4th Qtr'!D4)</f>
        <v>956092.603</v>
      </c>
      <c r="E4" s="34">
        <f>IF(AND(ISNUMBER(C4),ISNUMBER(D4)), C4-D4, "")</f>
        <v>99846.896999999997</v>
      </c>
      <c r="F4" s="35">
        <f>IFERROR(E4/D4, "")</f>
        <v>0.10443224504269071</v>
      </c>
      <c r="G4" s="36">
        <f>SUM('1st Qtr'!G4, '2nd Qtr'!G4, '3rd Qtr'!G4, '4th Qtr'!G4)</f>
        <v>977274.68400000012</v>
      </c>
      <c r="H4" s="36">
        <f>SUM('1st Qtr'!H4, '2nd Qtr'!H4, '3rd Qtr'!H4, '4th Qtr'!H4)</f>
        <v>78664.816000000006</v>
      </c>
      <c r="I4" s="37">
        <f>IFERROR(H4/G4, "")</f>
        <v>8.0494069157735382E-2</v>
      </c>
    </row>
    <row r="5" spans="1:9" ht="15.75">
      <c r="A5" s="38" t="str">
        <v>Bullis</v>
      </c>
      <c r="B5" s="39" t="str">
        <v>NY</v>
      </c>
      <c r="C5" s="41">
        <f>SUM('1st Qtr'!C5, '2nd Qtr'!C5, '3rd Qtr'!C5, '4th Qtr'!C5)</f>
        <v>6193429</v>
      </c>
      <c r="D5" s="41">
        <f>SUM('1st Qtr'!D5, '2nd Qtr'!D5, '3rd Qtr'!D5, '4th Qtr'!D5)</f>
        <v>6122895.2489999998</v>
      </c>
      <c r="E5" s="41">
        <f t="shared" ref="E5:E6" si="0">IF(AND(ISNUMBER(C5),ISNUMBER(D5)), C5-D5, "")</f>
        <v>70533.751000000164</v>
      </c>
      <c r="F5" s="42">
        <f>IFERROR(E5/D5, "")</f>
        <v>1.1519672986651183E-2</v>
      </c>
      <c r="G5" s="43">
        <f>SUM('1st Qtr'!G5, '2nd Qtr'!G5, '3rd Qtr'!G5, '4th Qtr'!G5)</f>
        <v>7159539.9600000009</v>
      </c>
      <c r="H5" s="43">
        <f>SUM('1st Qtr'!H5, '2nd Qtr'!H5, '3rd Qtr'!H5, '4th Qtr'!H5)</f>
        <v>-966110.96</v>
      </c>
      <c r="I5" s="42">
        <f>IFERROR(H5/G5, "")</f>
        <v>-0.13494036843115823</v>
      </c>
    </row>
    <row r="6" spans="1:9" ht="15.75">
      <c r="A6" s="31" t="str">
        <v>Rock Island</v>
      </c>
      <c r="B6" s="32" t="str">
        <v>NY</v>
      </c>
      <c r="C6" s="33">
        <f>SUM('1st Qtr'!C6, '2nd Qtr'!C6, '3rd Qtr'!C6, '4th Qtr'!C6)</f>
        <v>4974405</v>
      </c>
      <c r="D6" s="34">
        <f>SUM('1st Qtr'!D6, '2nd Qtr'!D6, '3rd Qtr'!D6, '4th Qtr'!D6)</f>
        <v>5360492.8611000003</v>
      </c>
      <c r="E6" s="34">
        <f t="shared" si="0"/>
        <v>-386087.86110000033</v>
      </c>
      <c r="F6" s="35">
        <f t="shared" ref="F6" si="1">IFERROR(E6/D6, "")</f>
        <v>-7.2024694576456008E-2</v>
      </c>
      <c r="G6" s="36">
        <f>SUM('1st Qtr'!G6, '2nd Qtr'!G6, '3rd Qtr'!G6, '4th Qtr'!G6)</f>
        <v>5889503.4699999997</v>
      </c>
      <c r="H6" s="36">
        <f>SUM('1st Qtr'!H6, '2nd Qtr'!H6, '3rd Qtr'!H6, '4th Qtr'!H6)</f>
        <v>-915098.47</v>
      </c>
      <c r="I6" s="37">
        <f t="shared" ref="I6" si="2">IFERROR(H6/G6, "")</f>
        <v>-0.15537786413767068</v>
      </c>
    </row>
    <row r="7" spans="1:9" ht="15.75">
      <c r="A7" s="31" t="str">
        <v>Slayton A &amp; B</v>
      </c>
      <c r="B7" s="32" t="str">
        <v>NY</v>
      </c>
      <c r="C7" s="33">
        <f>SUM('1st Qtr'!C7, '2nd Qtr'!C7, '3rd Qtr'!C7, '4th Qtr'!C7)</f>
        <v>0</v>
      </c>
      <c r="D7" s="34">
        <f>SUM('1st Qtr'!D7, '2nd Qtr'!D7, '3rd Qtr'!D7, '4th Qtr'!D7)</f>
        <v>0</v>
      </c>
      <c r="E7" s="34">
        <f t="shared" ref="E7" si="3">IF(AND(ISNUMBER(C7),ISNUMBER(D7)), C7-D7, "")</f>
        <v>0</v>
      </c>
      <c r="F7" s="35" t="str">
        <f t="shared" ref="F7" si="4">IFERROR(E7/D7, "")</f>
        <v/>
      </c>
      <c r="G7" s="43">
        <f>SUM('1st Qtr'!G7, '2nd Qtr'!G7, '3rd Qtr'!G7, '4th Qtr'!G7)</f>
        <v>0</v>
      </c>
      <c r="H7" s="43">
        <f>SUM('1st Qtr'!H7, '2nd Qtr'!H7, '3rd Qtr'!H7, '4th Qtr'!H7)</f>
        <v>0</v>
      </c>
      <c r="I7" s="37" t="str">
        <f t="shared" ref="I7" si="5">IFERROR(H7/G7, "")</f>
        <v/>
      </c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E6" sqref="E6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Renewable Properties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SUM(Jan!C4, Feb!C4, Mar!C4)</f>
        <v>229797.5</v>
      </c>
      <c r="D4" s="34">
        <f>SUM(Jan!D4, Feb!D4, Mar!D4)</f>
        <v>205242.87599999999</v>
      </c>
      <c r="E4" s="34">
        <f>IF(AND(ISNUMBER(C4),ISNUMBER(D4)), C4-D4, "")</f>
        <v>24554.624000000011</v>
      </c>
      <c r="F4" s="35">
        <f>IFERROR(E4/D4, "")</f>
        <v>0.11963691251334839</v>
      </c>
      <c r="G4" s="36">
        <f>SUM(Jan!G4, Feb!G4, Mar!G4)</f>
        <v>205591.58000000002</v>
      </c>
      <c r="H4" s="36">
        <f>SUM(Jan!H4, Feb!H4, Mar!H4)</f>
        <v>24205.919999999998</v>
      </c>
      <c r="I4" s="37">
        <f>IFERROR(H4/G4, "")</f>
        <v>0.11773789568619492</v>
      </c>
    </row>
    <row r="5" spans="1:9" ht="15.75">
      <c r="A5" s="45" t="str">
        <v>Bullis</v>
      </c>
      <c r="B5" s="39" t="str">
        <v>NY</v>
      </c>
      <c r="C5" s="40">
        <f>SUM(Jan!C5, Feb!C5, Mar!C5)</f>
        <v>1076204</v>
      </c>
      <c r="D5" s="41">
        <f>SUM(Jan!D5, Feb!D5, Mar!D5)</f>
        <v>1128123.0819999999</v>
      </c>
      <c r="E5" s="41">
        <f t="shared" ref="E5:E6" si="0">IF(AND(ISNUMBER(C5),ISNUMBER(D5)), C5-D5, "")</f>
        <v>-51919.081999999937</v>
      </c>
      <c r="F5" s="42">
        <f>IFERROR(E5/D5, "")</f>
        <v>-4.6022533204404324E-2</v>
      </c>
      <c r="G5" s="43">
        <f>SUM(Jan!G5, Feb!G5, Mar!G5)</f>
        <v>1369235.95</v>
      </c>
      <c r="H5" s="43">
        <f>SUM(Jan!H5, Feb!H5, Mar!H5)</f>
        <v>-293031.94999999995</v>
      </c>
      <c r="I5" s="42">
        <f>IFERROR(H5/G5, "")</f>
        <v>-0.21401128855841095</v>
      </c>
    </row>
    <row r="6" spans="1:9" ht="15.75">
      <c r="A6" s="44" t="str">
        <v>Rock Island</v>
      </c>
      <c r="B6" s="32" t="str">
        <v>NY</v>
      </c>
      <c r="C6" s="33">
        <f>SUM(Jan!C6, Feb!C6, Mar!C6)</f>
        <v>550726.5</v>
      </c>
      <c r="D6" s="34">
        <f>SUM(Jan!D6, Feb!D6, Mar!D6)</f>
        <v>609800.54709999997</v>
      </c>
      <c r="E6" s="34">
        <f t="shared" si="0"/>
        <v>-59074.047099999967</v>
      </c>
      <c r="F6" s="35">
        <f t="shared" ref="F6" si="1">IFERROR(E6/D6, "")</f>
        <v>-9.6874375369021326E-2</v>
      </c>
      <c r="G6" s="36">
        <f>SUM(Jan!G6, Feb!G6, Mar!G6)</f>
        <v>990618.92</v>
      </c>
      <c r="H6" s="36">
        <f>SUM(Jan!H6, Feb!H6, Mar!H6)</f>
        <v>-439892.42000000004</v>
      </c>
      <c r="I6" s="37">
        <f t="shared" ref="I6" si="2">IFERROR(H6/G6, "")</f>
        <v>-0.44405816517213303</v>
      </c>
    </row>
    <row r="7" spans="1:9" ht="15.75">
      <c r="A7" s="45" t="str">
        <v>Slayton A &amp; B</v>
      </c>
      <c r="B7" s="39" t="str">
        <v>NY</v>
      </c>
      <c r="C7" s="40">
        <f>SUM(Jan!C7, Feb!C7, Mar!C7)</f>
        <v>0</v>
      </c>
      <c r="D7" s="41">
        <f>SUM(Jan!D7, Feb!D7, Mar!D7)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>
        <f>SUM(Jan!G7, Feb!G7, Mar!G7)</f>
        <v>0</v>
      </c>
      <c r="H7" s="43">
        <f>SUM(Jan!H7, Feb!H7, Mar!H7)</f>
        <v>0</v>
      </c>
      <c r="I7" s="42" t="str">
        <f t="shared" ref="I7" si="5">IFERROR(H7/G7, "")</f>
        <v/>
      </c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E7" sqref="E7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Renewable Properties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SUM(Apr!C4, May!C4, Jun!C4)</f>
        <v>418829</v>
      </c>
      <c r="D4" s="34">
        <f>SUM(Apr!D4, May!D4, Jun!D4)</f>
        <v>374872.33</v>
      </c>
      <c r="E4" s="34">
        <f>IF(AND(ISNUMBER(C4),ISNUMBER(D4)), C4-D4, "")</f>
        <v>43956.669999999984</v>
      </c>
      <c r="F4" s="35">
        <f>IFERROR(E4/D4, "")</f>
        <v>0.11725770744402496</v>
      </c>
      <c r="G4" s="36">
        <f>SUM(Apr!G4, May!G4, Jun!G4)</f>
        <v>324449.804</v>
      </c>
      <c r="H4" s="36">
        <f>SUM(Apr!H4, May!H4, Jun!H4)</f>
        <v>94379.195999999996</v>
      </c>
      <c r="I4" s="37">
        <f>IFERROR(H4/G4, "")</f>
        <v>0.29088997692844959</v>
      </c>
    </row>
    <row r="5" spans="1:9" ht="15.75">
      <c r="A5" s="45" t="str">
        <v>Bullis</v>
      </c>
      <c r="B5" s="39" t="str">
        <v>NY</v>
      </c>
      <c r="C5" s="40">
        <f>SUM(Apr!C5, May!C5, Jun!C5)</f>
        <v>2515514</v>
      </c>
      <c r="D5" s="41">
        <f>SUM(Apr!D5, May!D5, Jun!D5)</f>
        <v>2470642.6669999999</v>
      </c>
      <c r="E5" s="41">
        <f t="shared" ref="E5:E6" si="0">IF(AND(ISNUMBER(C5),ISNUMBER(D5)), C5-D5, "")</f>
        <v>44871.333000000101</v>
      </c>
      <c r="F5" s="42">
        <f>IFERROR(E5/D5, "")</f>
        <v>1.816180607553642E-2</v>
      </c>
      <c r="G5" s="14">
        <f>SUM(Apr!G5, May!G5, Jun!G5)</f>
        <v>2874886.41</v>
      </c>
      <c r="H5" s="43">
        <f>SUM(Apr!H5, May!H5, Jun!H5)</f>
        <v>-359372.41000000003</v>
      </c>
      <c r="I5" s="42">
        <f>IFERROR(H5/G5, "")</f>
        <v>-0.12500403798562601</v>
      </c>
    </row>
    <row r="6" spans="1:9" ht="15.75">
      <c r="A6" s="44" t="str">
        <v>Rock Island</v>
      </c>
      <c r="B6" s="32" t="str">
        <v>NY</v>
      </c>
      <c r="C6" s="33">
        <f>SUM(Apr!C6, May!C6, Jun!C6)</f>
        <v>2084275</v>
      </c>
      <c r="D6" s="34">
        <f>SUM(Apr!D6, May!D6, Jun!D6)</f>
        <v>2262393.1140000001</v>
      </c>
      <c r="E6" s="34">
        <f t="shared" si="0"/>
        <v>-178118.11400000006</v>
      </c>
      <c r="F6" s="35">
        <f t="shared" ref="F6" si="1">IFERROR(E6/D6, "")</f>
        <v>-7.8729957626630251E-2</v>
      </c>
      <c r="G6" s="36">
        <f>SUM(Apr!G6, May!G6, Jun!G6)</f>
        <v>2395233.3499999996</v>
      </c>
      <c r="H6" s="36">
        <f>SUM(Apr!H6, May!H6, Jun!H6)</f>
        <v>-310958.34999999998</v>
      </c>
      <c r="I6" s="37">
        <f t="shared" ref="I6" si="2">IFERROR(H6/G6, "")</f>
        <v>-0.12982382280206645</v>
      </c>
    </row>
    <row r="7" spans="1:9" ht="15.75">
      <c r="A7" s="45" t="str">
        <v>Slayton A &amp; B</v>
      </c>
      <c r="B7" s="39" t="str">
        <v>NY</v>
      </c>
      <c r="C7" s="40">
        <f>SUM(Apr!C7, May!C7, Jun!C7)</f>
        <v>0</v>
      </c>
      <c r="D7" s="41">
        <f>SUM(Apr!D7, May!D7, Jun!D7)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14">
        <f>G9</f>
        <v>0</v>
      </c>
      <c r="H7" s="43">
        <f>SUM(Apr!H7, May!H7, Jun!H7)</f>
        <v>0</v>
      </c>
      <c r="I7" s="42" t="str">
        <f t="shared" ref="I7" si="5">IFERROR(H7/G7, "")</f>
        <v/>
      </c>
    </row>
    <row r="8" spans="1:9" ht="13.15">
      <c r="A8" s="14"/>
      <c r="B8" s="14"/>
      <c r="C8" s="14"/>
      <c r="D8" s="14"/>
      <c r="E8" s="14"/>
      <c r="F8" s="14"/>
      <c r="G8" s="14"/>
      <c r="H8" s="14"/>
      <c r="I8" s="14"/>
    </row>
    <row r="9" spans="1:9" ht="13.15">
      <c r="A9" s="14"/>
      <c r="B9" s="14"/>
      <c r="C9" s="14"/>
      <c r="D9" s="14"/>
      <c r="E9" s="14"/>
      <c r="F9" s="14"/>
      <c r="G9" s="14"/>
      <c r="H9" s="14"/>
      <c r="I9" s="14"/>
    </row>
    <row r="10" spans="1:9" ht="13.15">
      <c r="A10" s="14"/>
      <c r="B10" s="14"/>
      <c r="C10" s="14"/>
      <c r="D10" s="14"/>
      <c r="E10" s="14"/>
      <c r="F10" s="14"/>
      <c r="G10" s="14"/>
      <c r="H10" s="14"/>
      <c r="I10" s="14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G13" sqref="G13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Renewable Properties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SUM(C4:C80)</f>
        <v>5348427.5</v>
      </c>
      <c r="D2" s="5">
        <f>SUM(D4:D80)</f>
        <v>5388406.0970000001</v>
      </c>
      <c r="E2" s="5">
        <f>C2-D2</f>
        <v>-39978.597000000067</v>
      </c>
      <c r="F2" s="6">
        <f>IFERROR(E2/D2, 0)</f>
        <v>-7.4193734251503775E-3</v>
      </c>
      <c r="G2" s="5">
        <f>SUM(G4:G80)</f>
        <v>5866302.0999999996</v>
      </c>
      <c r="H2" s="7">
        <f>C2-G2</f>
        <v>-517874.59999999963</v>
      </c>
      <c r="I2" s="6">
        <f>IFERROR(H2/G2, 0)</f>
        <v>-8.827956541822142E-2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SUM(Jul!C4, Aug!C4, Sep!C4)</f>
        <v>407313</v>
      </c>
      <c r="D4" s="34">
        <f>SUM(Jul!D4, Aug!D4, Sep!D4)</f>
        <v>375977.397</v>
      </c>
      <c r="E4" s="34">
        <f>IF(AND(ISNUMBER(C4),ISNUMBER(D4)), C4-D4, "")</f>
        <v>31335.603000000003</v>
      </c>
      <c r="F4" s="35">
        <f>IFERROR(E4/D4, "")</f>
        <v>8.3344379875048724E-2</v>
      </c>
      <c r="G4" s="36">
        <f>SUM(Jul!G4, Aug!G4, Sep!G4)</f>
        <v>447233.3</v>
      </c>
      <c r="H4" s="36">
        <f>SUM(Jul!H4, Aug!H4, Sep!H4)</f>
        <v>-39920.299999999988</v>
      </c>
      <c r="I4" s="37">
        <f>IFERROR(H4/G4, "")</f>
        <v>-8.9260571607704495E-2</v>
      </c>
    </row>
    <row r="5" spans="1:9" ht="15.75">
      <c r="A5" s="45" t="str">
        <v>Bullis</v>
      </c>
      <c r="B5" s="39" t="str">
        <v>NY</v>
      </c>
      <c r="C5" s="40">
        <f>SUM(Jul!C5, Aug!C5, Sep!C5)</f>
        <v>2601711</v>
      </c>
      <c r="D5" s="41">
        <f>SUM(Jul!D5, Aug!D5, Sep!D5)</f>
        <v>2524129.5</v>
      </c>
      <c r="E5" s="41">
        <f t="shared" ref="E5:E6" si="0">IF(AND(ISNUMBER(C5),ISNUMBER(D5)), C5-D5, "")</f>
        <v>77581.5</v>
      </c>
      <c r="F5" s="42">
        <f>IFERROR(E5/D5, "")</f>
        <v>3.0735942827022147E-2</v>
      </c>
      <c r="G5" s="14">
        <f>SUM(Jul!G5, Aug!G5, Sep!G5)</f>
        <v>2915417.6</v>
      </c>
      <c r="H5" s="43">
        <f>SUM(Jul!H5, Aug!H5, Sep!H5)</f>
        <v>-313706.59999999998</v>
      </c>
      <c r="I5" s="42">
        <f>IFERROR(H5/G5, "")</f>
        <v>-0.10760262955125192</v>
      </c>
    </row>
    <row r="6" spans="1:9" ht="15.75">
      <c r="A6" s="44" t="str">
        <v>Rock Island</v>
      </c>
      <c r="B6" s="32" t="str">
        <v>NY</v>
      </c>
      <c r="C6" s="33">
        <f>SUM(Jul!C6, Aug!C6, Sep!C6)</f>
        <v>2339403.5</v>
      </c>
      <c r="D6" s="34">
        <f>SUM(Jul!D6, Aug!D6, Sep!D6)</f>
        <v>2488299.2000000002</v>
      </c>
      <c r="E6" s="34">
        <f t="shared" si="0"/>
        <v>-148895.70000000019</v>
      </c>
      <c r="F6" s="35">
        <f t="shared" ref="F6" si="1">IFERROR(E6/D6, "")</f>
        <v>-5.9838342591598377E-2</v>
      </c>
      <c r="G6" s="36">
        <f>SUM(Jul!G6, Aug!G6, Sep!G6)</f>
        <v>2503651.2000000002</v>
      </c>
      <c r="H6" s="36">
        <f>SUM(Jul!H6, Aug!H6, Sep!H6)</f>
        <v>-164247.69999999995</v>
      </c>
      <c r="I6" s="37">
        <f t="shared" ref="I6" si="2">IFERROR(H6/G6, "")</f>
        <v>-6.5603267739531748E-2</v>
      </c>
    </row>
    <row r="7" spans="1:9" ht="15.75">
      <c r="A7" s="45" t="str">
        <v>Slayton A &amp; B</v>
      </c>
      <c r="B7" s="39" t="str">
        <v>NY</v>
      </c>
      <c r="C7" s="40">
        <f>SUM(Jul!C7, Aug!C7, Sep!C7)</f>
        <v>0</v>
      </c>
      <c r="D7" s="41">
        <f>SUM(Jul!D7, Aug!D7, Sep!D7)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14">
        <f>SUM(Jul!G7, Aug!G7, Sep!G7)</f>
        <v>0</v>
      </c>
      <c r="H7" s="43">
        <f>SUM(Jul!H7, Aug!H7, Sep!H7)</f>
        <v>0</v>
      </c>
      <c r="I7" s="42" t="str">
        <f t="shared" ref="I7" si="5">IFERROR(H7/G7, "")</f>
        <v/>
      </c>
    </row>
    <row r="8" spans="1:9" ht="15.75">
      <c r="A8" s="10"/>
      <c r="B8" s="14"/>
      <c r="C8" s="14"/>
      <c r="D8" s="14"/>
      <c r="E8" s="14"/>
      <c r="F8" s="14"/>
      <c r="G8" s="14"/>
      <c r="H8" s="14"/>
      <c r="I8" s="14"/>
    </row>
    <row r="9" spans="1:9" ht="15.75">
      <c r="A9" s="10"/>
      <c r="B9" s="14"/>
      <c r="C9" s="14"/>
      <c r="D9" s="14"/>
      <c r="E9" s="14"/>
      <c r="F9" s="14"/>
      <c r="G9" s="14"/>
      <c r="H9" s="14"/>
      <c r="I9" s="14"/>
    </row>
    <row r="10" spans="1:9" ht="15.75">
      <c r="A10" s="10"/>
      <c r="B10" s="14"/>
      <c r="C10" s="14"/>
      <c r="D10" s="14"/>
      <c r="E10" s="14"/>
      <c r="F10" s="14"/>
      <c r="G10" s="14"/>
      <c r="H10" s="14"/>
      <c r="I10" s="14"/>
    </row>
    <row r="11" spans="1:9" ht="15.75">
      <c r="A11" s="10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D11" sqref="D11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Renewable Properties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1" t="s">
        <v>6</v>
      </c>
      <c r="E3" s="21" t="s">
        <v>7</v>
      </c>
      <c r="F3" s="22" t="s">
        <v>8</v>
      </c>
      <c r="G3" s="23" t="s">
        <v>9</v>
      </c>
      <c r="H3" s="24" t="s">
        <v>7</v>
      </c>
      <c r="I3" s="25" t="s">
        <v>8</v>
      </c>
    </row>
    <row r="4" spans="1:9" ht="15.75">
      <c r="A4" s="44" t="str" cm="1">
        <f t="array" ref="A4:A7">Sites[Site]</f>
        <v>Cedar Swamp Rd</v>
      </c>
      <c r="B4" s="32" t="str" cm="1">
        <f t="array" ref="B4:B7">Sites[State]</f>
        <v>MA</v>
      </c>
      <c r="C4" s="33">
        <f>SUM(Oct!C4, Nov!C4, Dec!C4)</f>
        <v>0</v>
      </c>
      <c r="D4" s="34">
        <f>SUM(Oct!D4, Nov!D4, Dec!D4)</f>
        <v>0</v>
      </c>
      <c r="E4" s="34">
        <f>IF(AND(ISNUMBER(C4),ISNUMBER(D4)), C4-D4, "")</f>
        <v>0</v>
      </c>
      <c r="F4" s="35" t="str">
        <f>IFERROR(E4/D4, "")</f>
        <v/>
      </c>
      <c r="G4" s="36"/>
      <c r="H4" s="36">
        <f>SUM(Oct!H4, Nov!H4, Dec!H4)</f>
        <v>0</v>
      </c>
      <c r="I4" s="37" t="str">
        <f>IFERROR(H4/G4, "")</f>
        <v/>
      </c>
    </row>
    <row r="5" spans="1:9" ht="15.75">
      <c r="A5" s="45" t="str">
        <v>Bullis</v>
      </c>
      <c r="B5" s="39" t="str">
        <v>NY</v>
      </c>
      <c r="C5" s="40">
        <f>SUM(Oct!C5, Nov!C5, Dec!C5)</f>
        <v>0</v>
      </c>
      <c r="D5" s="41">
        <f>SUM(Oct!D5, Nov!D5, Dec!D5)</f>
        <v>0</v>
      </c>
      <c r="E5" s="41">
        <f t="shared" ref="E5:E6" si="0">IF(AND(ISNUMBER(C5),ISNUMBER(D5)), C5-D5, "")</f>
        <v>0</v>
      </c>
      <c r="F5" s="42" t="str">
        <f>IFERROR(E5/D5, "")</f>
        <v/>
      </c>
      <c r="G5" s="43"/>
      <c r="H5" s="43">
        <f>SUM(Oct!H5, Nov!H5, Dec!H5)</f>
        <v>0</v>
      </c>
      <c r="I5" s="42" t="str">
        <f>IFERROR(H5/G5, "")</f>
        <v/>
      </c>
    </row>
    <row r="6" spans="1:9" ht="15.75">
      <c r="A6" s="44" t="str">
        <v>Rock Island</v>
      </c>
      <c r="B6" s="32" t="str">
        <v>NY</v>
      </c>
      <c r="C6" s="33">
        <f>SUM(Oct!C6, Nov!C6, Dec!C6)</f>
        <v>0</v>
      </c>
      <c r="D6" s="34">
        <f>SUM(Oct!D6, Nov!D6, Dec!D6)</f>
        <v>0</v>
      </c>
      <c r="E6" s="34">
        <f t="shared" si="0"/>
        <v>0</v>
      </c>
      <c r="F6" s="35" t="str">
        <f t="shared" ref="F6" si="1">IFERROR(E6/D6, "")</f>
        <v/>
      </c>
      <c r="G6" s="36"/>
      <c r="H6" s="36">
        <f>SUM(Oct!H6, Nov!H6, Dec!H6)</f>
        <v>0</v>
      </c>
      <c r="I6" s="37" t="str">
        <f t="shared" ref="I6" si="2">IFERROR(H6/G6, "")</f>
        <v/>
      </c>
    </row>
    <row r="7" spans="1:9" ht="15.75">
      <c r="A7" s="45" t="str">
        <v>Slayton A &amp; B</v>
      </c>
      <c r="B7" s="39" t="str">
        <v>NY</v>
      </c>
      <c r="C7" s="40">
        <f>SUM(Oct!C7, Nov!C7, Dec!C7)</f>
        <v>0</v>
      </c>
      <c r="D7" s="41">
        <f>SUM(Oct!D7, Nov!D7, Dec!D7)</f>
        <v>0</v>
      </c>
      <c r="E7" s="41">
        <f t="shared" ref="E7" si="3">IF(AND(ISNUMBER(C7),ISNUMBER(D7)), C7-D7, "")</f>
        <v>0</v>
      </c>
      <c r="F7" s="42" t="str">
        <f t="shared" ref="F7" si="4">IFERROR(E7/D7, "")</f>
        <v/>
      </c>
      <c r="G7" s="43"/>
      <c r="H7" s="43">
        <f>SUM(Oct!H7, Nov!H7, Dec!H7)</f>
        <v>0</v>
      </c>
      <c r="I7" s="42" t="str">
        <f t="shared" ref="I7" si="5">IFERROR(H7/G7, "")</f>
        <v/>
      </c>
    </row>
    <row r="8" spans="1:9" ht="14.25">
      <c r="A8" s="14"/>
      <c r="B8" s="9"/>
      <c r="C8" s="27"/>
      <c r="D8" s="11"/>
      <c r="E8" s="11"/>
      <c r="F8" s="12"/>
      <c r="G8" s="13"/>
      <c r="H8" s="13"/>
      <c r="I8" s="12"/>
    </row>
    <row r="9" spans="1:9" ht="14.25">
      <c r="A9" s="14"/>
      <c r="B9" s="9"/>
      <c r="C9" s="27"/>
      <c r="D9" s="11"/>
      <c r="E9" s="11"/>
      <c r="F9" s="12"/>
      <c r="G9" s="13"/>
      <c r="H9" s="13"/>
      <c r="I9" s="12"/>
    </row>
    <row r="10" spans="1:9" ht="14.25">
      <c r="A10" s="14"/>
      <c r="B10" s="9"/>
      <c r="C10" s="27"/>
      <c r="D10" s="11"/>
      <c r="E10" s="11"/>
      <c r="F10" s="12"/>
      <c r="G10" s="13"/>
      <c r="H10" s="13"/>
      <c r="I10" s="12"/>
    </row>
    <row r="11" spans="1:9" ht="13.15">
      <c r="A11" s="14"/>
      <c r="B11" s="14"/>
      <c r="C11" s="14"/>
      <c r="D11" s="14"/>
      <c r="E11" s="14"/>
      <c r="F11" s="14"/>
      <c r="G11" s="14"/>
      <c r="H11" s="14"/>
      <c r="I11" s="14"/>
    </row>
    <row r="12" spans="1:9" ht="13.15">
      <c r="A12" s="14"/>
      <c r="B12" s="14"/>
      <c r="C12" s="14"/>
      <c r="D12" s="14"/>
      <c r="E12" s="14"/>
      <c r="F12" s="14"/>
      <c r="G12" s="14"/>
      <c r="H12" s="14"/>
      <c r="I12" s="14"/>
    </row>
    <row r="13" spans="1:9" ht="13.15">
      <c r="A13" s="14"/>
      <c r="B13" s="14"/>
      <c r="C13" s="14"/>
      <c r="D13" s="14"/>
      <c r="E13" s="14"/>
      <c r="F13" s="15"/>
      <c r="G13" s="14"/>
      <c r="H13" s="14"/>
      <c r="I13" s="15"/>
    </row>
    <row r="14" spans="1:9" ht="13.15">
      <c r="A14" s="14"/>
      <c r="B14" s="14"/>
      <c r="C14" s="14"/>
      <c r="D14" s="14"/>
      <c r="E14" s="14"/>
      <c r="F14" s="15"/>
      <c r="G14" s="14"/>
      <c r="H14" s="14"/>
      <c r="I14" s="15"/>
    </row>
    <row r="15" spans="1:9" ht="13.15">
      <c r="A15" s="14"/>
      <c r="B15" s="14"/>
      <c r="C15" s="14"/>
      <c r="D15" s="14"/>
      <c r="E15" s="14"/>
      <c r="F15" s="15"/>
      <c r="G15" s="14"/>
      <c r="H15" s="14"/>
      <c r="I15" s="15"/>
    </row>
    <row r="16" spans="1:9" ht="13.15">
      <c r="A16" s="14"/>
      <c r="B16" s="14"/>
      <c r="C16" s="14"/>
      <c r="D16" s="14"/>
      <c r="E16" s="14"/>
      <c r="F16" s="15"/>
      <c r="G16" s="14"/>
      <c r="H16" s="14"/>
      <c r="I16" s="15"/>
    </row>
    <row r="17" spans="1:9" ht="13.15">
      <c r="A17" s="14"/>
      <c r="B17" s="14"/>
      <c r="C17" s="14"/>
      <c r="D17" s="14"/>
      <c r="E17" s="14"/>
      <c r="F17" s="15"/>
      <c r="G17" s="14"/>
      <c r="H17" s="14"/>
      <c r="I17" s="15"/>
    </row>
    <row r="18" spans="1:9" ht="13.15">
      <c r="A18" s="14"/>
      <c r="B18" s="14"/>
      <c r="C18" s="14"/>
      <c r="D18" s="14"/>
      <c r="E18" s="14"/>
      <c r="F18" s="15"/>
      <c r="G18" s="14"/>
      <c r="H18" s="14"/>
      <c r="I18" s="15"/>
    </row>
    <row r="19" spans="1:9" ht="13.15">
      <c r="A19" s="14"/>
      <c r="B19" s="14"/>
      <c r="C19" s="14"/>
      <c r="D19" s="14"/>
      <c r="E19" s="14"/>
      <c r="F19" s="15"/>
      <c r="G19" s="14"/>
      <c r="H19" s="14"/>
      <c r="I19" s="15"/>
    </row>
    <row r="20" spans="1:9" ht="13.15">
      <c r="A20" s="14"/>
      <c r="B20" s="14"/>
      <c r="C20" s="14"/>
      <c r="D20" s="14"/>
      <c r="E20" s="14"/>
      <c r="F20" s="15"/>
      <c r="G20" s="14"/>
      <c r="H20" s="14"/>
      <c r="I20" s="15"/>
    </row>
    <row r="21" spans="1:9" ht="13.15">
      <c r="A21" s="14"/>
      <c r="B21" s="14"/>
      <c r="C21" s="14"/>
      <c r="D21" s="14"/>
      <c r="E21" s="14"/>
      <c r="F21" s="15"/>
      <c r="G21" s="14"/>
      <c r="H21" s="14"/>
      <c r="I21" s="15"/>
    </row>
    <row r="22" spans="1:9" ht="13.15">
      <c r="A22" s="14"/>
      <c r="B22" s="14"/>
      <c r="C22" s="14"/>
      <c r="D22" s="14"/>
      <c r="E22" s="14"/>
      <c r="F22" s="15"/>
      <c r="G22" s="14"/>
      <c r="H22" s="14"/>
      <c r="I22" s="15"/>
    </row>
    <row r="23" spans="1:9" ht="13.15">
      <c r="A23" s="14"/>
      <c r="B23" s="14"/>
      <c r="C23" s="14"/>
      <c r="D23" s="14"/>
      <c r="E23" s="14"/>
      <c r="F23" s="15"/>
      <c r="G23" s="14"/>
      <c r="H23" s="14"/>
      <c r="I23" s="15"/>
    </row>
    <row r="24" spans="1:9" ht="13.15">
      <c r="A24" s="14"/>
      <c r="B24" s="14"/>
      <c r="C24" s="14"/>
      <c r="D24" s="14"/>
      <c r="E24" s="14"/>
      <c r="F24" s="15"/>
      <c r="G24" s="14"/>
      <c r="H24" s="14"/>
      <c r="I24" s="15"/>
    </row>
    <row r="25" spans="1:9" ht="13.15">
      <c r="A25" s="14"/>
      <c r="B25" s="14"/>
      <c r="C25" s="14"/>
      <c r="D25" s="14"/>
      <c r="E25" s="14"/>
      <c r="F25" s="15"/>
      <c r="G25" s="14"/>
      <c r="H25" s="14"/>
      <c r="I25" s="15"/>
    </row>
    <row r="26" spans="1:9" ht="13.15">
      <c r="A26" s="14"/>
      <c r="B26" s="14"/>
      <c r="C26" s="14"/>
      <c r="D26" s="14"/>
      <c r="E26" s="14"/>
      <c r="F26" s="15"/>
      <c r="G26" s="14"/>
      <c r="H26" s="14"/>
      <c r="I26" s="15"/>
    </row>
    <row r="27" spans="1:9" ht="13.15">
      <c r="A27" s="14"/>
      <c r="B27" s="14"/>
      <c r="C27" s="14"/>
      <c r="D27" s="14"/>
      <c r="E27" s="14"/>
      <c r="F27" s="15"/>
      <c r="G27" s="14"/>
      <c r="H27" s="14"/>
      <c r="I27" s="15"/>
    </row>
    <row r="28" spans="1:9" ht="13.15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15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15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15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15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15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15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15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15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15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15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15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15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15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15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15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15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15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15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15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15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15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15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15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15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15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15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15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15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15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15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15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15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15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15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15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15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15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15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15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15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15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15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15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15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15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15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15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15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15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15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15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15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15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15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15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15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15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15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15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15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15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15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15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15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15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15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15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15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15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15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15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15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15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15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15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15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15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15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15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15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15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15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15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15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15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15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15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15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15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15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15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15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15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15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15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15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15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15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15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15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15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15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15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15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15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15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15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15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15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15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15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15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15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15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15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15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15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15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15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15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15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15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15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15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15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15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15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15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15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15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15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15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15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15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15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15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15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15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15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15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15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15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15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15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15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15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15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15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15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15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15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15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15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15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15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15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15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15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15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15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15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15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15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15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15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15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15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15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15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15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15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15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15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15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15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15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15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15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15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15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15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15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15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15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15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15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15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15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15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15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15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15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15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15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15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15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15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15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15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15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15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15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15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15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15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15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15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15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15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15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15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15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15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15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15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15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15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15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15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15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15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15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15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15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15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15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15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15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15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15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15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15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15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15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15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15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15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15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15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15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15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15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15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15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15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15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15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15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15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15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15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15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15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15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15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15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15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15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15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15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15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15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15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15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15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15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15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15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15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15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15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15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15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15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15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15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15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15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15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15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15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15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15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15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15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15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15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15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15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15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15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15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15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15">
      <c r="A322" s="14"/>
      <c r="B322" s="14"/>
      <c r="C322" s="14"/>
      <c r="D322" s="14"/>
      <c r="E322" s="14"/>
      <c r="F322" s="15"/>
      <c r="G322" s="14"/>
      <c r="H322" s="14"/>
      <c r="I322" s="15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49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54" t="str" cm="1">
        <f t="array" ref="A4:A7">Sites[Site]</f>
        <v>Cedar Swamp Rd</v>
      </c>
      <c r="B4" s="55" t="str" cm="1">
        <f t="array" ref="B4:B7">Sites[State]</f>
        <v>MA</v>
      </c>
      <c r="C4" s="34">
        <v>47147</v>
      </c>
      <c r="D4" s="34">
        <v>40450.07</v>
      </c>
      <c r="E4" s="34">
        <f>IF(AND(ISNUMBER(C4),ISNUMBER(D4)), C4-D4, "")</f>
        <v>6696.93</v>
      </c>
      <c r="F4" s="37">
        <f>IFERROR(E4/D4, "")</f>
        <v>0.16556040570510758</v>
      </c>
      <c r="G4" s="36">
        <v>41873.17</v>
      </c>
      <c r="H4" s="36">
        <f>IF(AND(ISNUMBER(C4),ISNUMBER(G4)), C4-G4, "")</f>
        <v>5273.8300000000017</v>
      </c>
      <c r="I4" s="37">
        <f>IFERROR(H4/G4, "")</f>
        <v>0.12594771305826624</v>
      </c>
      <c r="J4" s="56" t="s">
        <v>22</v>
      </c>
      <c r="K4" s="56" t="s">
        <v>23</v>
      </c>
    </row>
    <row r="5" spans="1:11" ht="28.5">
      <c r="A5" s="57" t="str">
        <v>Bullis</v>
      </c>
      <c r="B5" s="58" t="str">
        <v>NY</v>
      </c>
      <c r="C5" s="41">
        <v>101870</v>
      </c>
      <c r="D5" s="41">
        <v>146839.5</v>
      </c>
      <c r="E5" s="41">
        <f t="shared" ref="E5:E6" si="0">IF(AND(ISNUMBER(C5),ISNUMBER(D5)), C5-D5, "")</f>
        <v>-44969.5</v>
      </c>
      <c r="F5" s="42">
        <f t="shared" ref="F5:F6" si="1">IFERROR(E5/D5, "")</f>
        <v>-0.30624934026607281</v>
      </c>
      <c r="G5" s="43">
        <v>265386.5</v>
      </c>
      <c r="H5" s="43">
        <f t="shared" ref="H5:H6" si="2">IF(AND(ISNUMBER(C5),ISNUMBER(G5)), C5-G5, "")</f>
        <v>-163516.5</v>
      </c>
      <c r="I5" s="42">
        <f t="shared" ref="I5:I6" si="3">IFERROR(H5/G5, "")</f>
        <v>-0.61614475491405929</v>
      </c>
      <c r="J5" s="59" t="s">
        <v>24</v>
      </c>
      <c r="K5" s="59" t="s">
        <v>25</v>
      </c>
    </row>
    <row r="6" spans="1:11" ht="15.75">
      <c r="A6" s="60" t="str">
        <v>Rock Island</v>
      </c>
      <c r="B6" s="55" t="str">
        <v>NY</v>
      </c>
      <c r="C6" s="34">
        <v>0</v>
      </c>
      <c r="D6" s="34">
        <v>0</v>
      </c>
      <c r="E6" s="34">
        <f t="shared" si="0"/>
        <v>0</v>
      </c>
      <c r="F6" s="37" t="str">
        <f t="shared" si="1"/>
        <v/>
      </c>
      <c r="G6" s="36">
        <v>0</v>
      </c>
      <c r="H6" s="36">
        <f t="shared" si="2"/>
        <v>0</v>
      </c>
      <c r="I6" s="37" t="str">
        <f t="shared" si="3"/>
        <v/>
      </c>
      <c r="J6" s="56" t="s">
        <v>26</v>
      </c>
      <c r="K6" s="56" t="s">
        <v>27</v>
      </c>
    </row>
    <row r="7" spans="1:11" ht="15.75">
      <c r="A7" s="57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5"/>
      <c r="G12" s="14"/>
      <c r="H12" s="14"/>
      <c r="I12" s="15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</sheetData>
  <mergeCells count="4">
    <mergeCell ref="D1:F1"/>
    <mergeCell ref="A1:C1"/>
    <mergeCell ref="G1:I1"/>
    <mergeCell ref="A2:B2"/>
  </mergeCells>
  <phoneticPr fontId="4" type="noConversion"/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14" sqref="C14"/>
      <selection pane="bottomLeft" activeCell="B15" sqref="B15"/>
      <selection pane="topRight" activeCell="B15" sqref="B15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28</v>
      </c>
      <c r="E1" s="75"/>
      <c r="F1" s="75"/>
      <c r="G1" s="73" t="s">
        <v>29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28.5">
      <c r="A4" s="54" t="str" cm="1">
        <f t="array" ref="A4:A7">Sites[Site]</f>
        <v>Cedar Swamp Rd</v>
      </c>
      <c r="B4" s="55" t="str" cm="1">
        <f t="array" ref="B4:B7">Sites[State]</f>
        <v>MA</v>
      </c>
      <c r="C4" s="33">
        <v>73050.75</v>
      </c>
      <c r="D4" s="34">
        <v>73781.2</v>
      </c>
      <c r="E4" s="34">
        <f>IF(AND(ISNUMBER(C4),ISNUMBER(D4)), C4-D4, "")</f>
        <v>-730.44999999999709</v>
      </c>
      <c r="F4" s="35">
        <f>IFERROR(E4/D4, "")</f>
        <v>-9.9002184838413738E-3</v>
      </c>
      <c r="G4" s="36">
        <v>55312.41</v>
      </c>
      <c r="H4" s="36">
        <f>IF(AND(ISNUMBER(C4),ISNUMBER(G4)), C4-G4, "")</f>
        <v>17738.339999999997</v>
      </c>
      <c r="I4" s="37">
        <f>IFERROR(H4/G4, "")</f>
        <v>0.32069367434902935</v>
      </c>
      <c r="J4" s="56" t="s">
        <v>30</v>
      </c>
      <c r="K4" s="56" t="s">
        <v>31</v>
      </c>
    </row>
    <row r="5" spans="1:11" ht="15.75">
      <c r="A5" s="57" t="str">
        <v>Bullis</v>
      </c>
      <c r="B5" s="58" t="str">
        <v>NY</v>
      </c>
      <c r="C5" s="40">
        <v>398240</v>
      </c>
      <c r="D5" s="41">
        <v>396786.5</v>
      </c>
      <c r="E5" s="41">
        <f t="shared" ref="E5:E6" si="0">IF(AND(ISNUMBER(C5),ISNUMBER(D5)), C5-D5, "")</f>
        <v>1453.5</v>
      </c>
      <c r="F5" s="42">
        <f>IFERROR(E5/D5, "")</f>
        <v>3.6631790648119331E-3</v>
      </c>
      <c r="G5" s="43">
        <v>423644.5</v>
      </c>
      <c r="H5" s="43">
        <f t="shared" ref="H5:H6" si="1">IF(AND(ISNUMBER(C5),ISNUMBER(G5)), C5-G5, "")</f>
        <v>-25404.5</v>
      </c>
      <c r="I5" s="42">
        <f t="shared" ref="I5:I6" si="2">IFERROR(H5/G5, "")</f>
        <v>-5.9966552144545722E-2</v>
      </c>
      <c r="J5" s="59" t="s">
        <v>32</v>
      </c>
      <c r="K5" s="59" t="s">
        <v>31</v>
      </c>
    </row>
    <row r="6" spans="1:11" ht="15.75">
      <c r="A6" s="60" t="str">
        <v>Rock Island</v>
      </c>
      <c r="B6" s="55" t="str">
        <v>NY</v>
      </c>
      <c r="C6" s="33">
        <v>568.5</v>
      </c>
      <c r="D6" s="34">
        <v>811.29309999999998</v>
      </c>
      <c r="E6" s="34">
        <f t="shared" si="0"/>
        <v>-242.79309999999998</v>
      </c>
      <c r="F6" s="35">
        <f t="shared" ref="F6" si="3">IFERROR(E6/D6, "")</f>
        <v>-0.29926681245039555</v>
      </c>
      <c r="G6" s="36">
        <v>389755.4</v>
      </c>
      <c r="H6" s="36">
        <f t="shared" si="1"/>
        <v>-389186.9</v>
      </c>
      <c r="I6" s="37">
        <f t="shared" si="2"/>
        <v>-0.99854139288384458</v>
      </c>
      <c r="J6" s="56" t="s">
        <v>26</v>
      </c>
      <c r="K6" s="56" t="s">
        <v>33</v>
      </c>
    </row>
    <row r="7" spans="1:11" ht="15.75">
      <c r="A7" s="57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C12" sqref="C12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34</v>
      </c>
      <c r="E1" s="75"/>
      <c r="F1" s="75"/>
      <c r="G1" s="73" t="s">
        <v>35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109599.75</v>
      </c>
      <c r="D4" s="34">
        <v>91011.606</v>
      </c>
      <c r="E4" s="34">
        <f>IF(AND(ISNUMBER(C4),ISNUMBER(D4)), C4-D4, "")</f>
        <v>18588.144</v>
      </c>
      <c r="F4" s="35">
        <f>IFERROR(E4/D4, "")</f>
        <v>0.20423927031899647</v>
      </c>
      <c r="G4" s="36">
        <v>108406</v>
      </c>
      <c r="H4" s="36">
        <f>IF(AND(ISNUMBER(C4),ISNUMBER(G4)), C4-G4, "")</f>
        <v>1193.75</v>
      </c>
      <c r="I4" s="37">
        <f>IFERROR(H4/G4, "")</f>
        <v>1.1011844362858144E-2</v>
      </c>
      <c r="J4" s="56"/>
      <c r="K4" s="56"/>
    </row>
    <row r="5" spans="1:11" ht="28.5">
      <c r="A5" s="62" t="str">
        <v>Bullis</v>
      </c>
      <c r="B5" s="58" t="str">
        <v>NY</v>
      </c>
      <c r="C5" s="40">
        <v>576094</v>
      </c>
      <c r="D5" s="41">
        <v>584497.08200000005</v>
      </c>
      <c r="E5" s="41">
        <f t="shared" ref="E5:E6" si="0">IF(AND(ISNUMBER(C5),ISNUMBER(D5)), C5-D5, "")</f>
        <v>-8403.0820000000531</v>
      </c>
      <c r="F5" s="42">
        <f>IFERROR(E5/D5, "")</f>
        <v>-1.4376602140162698E-2</v>
      </c>
      <c r="G5" s="43">
        <v>680204.95</v>
      </c>
      <c r="H5" s="43">
        <f t="shared" ref="H5:H6" si="1">IF(AND(ISNUMBER(C5),ISNUMBER(G5)), C5-G5, "")</f>
        <v>-104110.94999999995</v>
      </c>
      <c r="I5" s="42">
        <f t="shared" ref="I5:I6" si="2">IFERROR(H5/G5, "")</f>
        <v>-0.15305820694189298</v>
      </c>
      <c r="J5" s="64" t="s">
        <v>36</v>
      </c>
      <c r="K5" s="64" t="s">
        <v>37</v>
      </c>
    </row>
    <row r="6" spans="1:11" ht="28.5">
      <c r="A6" s="63" t="str">
        <v>Rock Island</v>
      </c>
      <c r="B6" s="55" t="str">
        <v>NY</v>
      </c>
      <c r="C6" s="33">
        <v>550158</v>
      </c>
      <c r="D6" s="34">
        <v>608989.25399999996</v>
      </c>
      <c r="E6" s="34">
        <f t="shared" si="0"/>
        <v>-58831.253999999957</v>
      </c>
      <c r="F6" s="35">
        <f t="shared" ref="F6" si="3">IFERROR(E6/D6, "")</f>
        <v>-9.6604748956703207E-2</v>
      </c>
      <c r="G6" s="36">
        <v>600863.52</v>
      </c>
      <c r="H6" s="36">
        <f t="shared" si="1"/>
        <v>-50705.520000000019</v>
      </c>
      <c r="I6" s="37">
        <f t="shared" si="2"/>
        <v>-8.4387749151421304E-2</v>
      </c>
      <c r="J6" s="56" t="s">
        <v>38</v>
      </c>
      <c r="K6" s="56" t="s">
        <v>39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64"/>
      <c r="K7" s="64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E4" activePane="bottomRight" state="frozen"/>
      <selection pane="bottomRight" activeCell="E13" sqref="E13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40</v>
      </c>
      <c r="E1" s="75"/>
      <c r="F1" s="75"/>
      <c r="G1" s="73" t="s">
        <v>41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131405.25</v>
      </c>
      <c r="D4" s="34">
        <v>110454.16</v>
      </c>
      <c r="E4" s="34">
        <f>IF(AND(ISNUMBER(C4),ISNUMBER(D4)), C4-D4, "")</f>
        <v>20951.089999999997</v>
      </c>
      <c r="F4" s="35">
        <f>IFERROR(E4/D4, "")</f>
        <v>0.18968131213889994</v>
      </c>
      <c r="G4" s="36">
        <v>118284.372</v>
      </c>
      <c r="H4" s="36">
        <f>IF(AND(ISNUMBER(C4),ISNUMBER(G4)), C4-G4, "")</f>
        <v>13120.877999999997</v>
      </c>
      <c r="I4" s="37">
        <f>IFERROR(H4/G4, "")</f>
        <v>0.11092655587671377</v>
      </c>
      <c r="J4" s="56"/>
      <c r="K4" s="56"/>
    </row>
    <row r="5" spans="1:11" ht="15.75">
      <c r="A5" s="62" t="str">
        <v>Bullis</v>
      </c>
      <c r="B5" s="58" t="str">
        <v>NY</v>
      </c>
      <c r="C5" s="41">
        <v>644409</v>
      </c>
      <c r="D5" s="41">
        <v>637554.67700000003</v>
      </c>
      <c r="E5" s="41">
        <f t="shared" ref="E5:E6" si="0">IF(AND(ISNUMBER(C5),ISNUMBER(D5)), C5-D5, "")</f>
        <v>6854.3229999999749</v>
      </c>
      <c r="F5" s="42">
        <f>IFERROR(E5/D5, "")</f>
        <v>1.0750957129281594E-2</v>
      </c>
      <c r="G5" s="43">
        <v>825963.54</v>
      </c>
      <c r="H5" s="43">
        <f t="shared" ref="H5:H6" si="1">IF(AND(ISNUMBER(C5),ISNUMBER(G5)), C5-G5, "")</f>
        <v>-181554.54000000004</v>
      </c>
      <c r="I5" s="42">
        <f t="shared" ref="I5:I6" si="2">IFERROR(H5/G5, "")</f>
        <v>-0.21980938771219857</v>
      </c>
      <c r="J5" s="59"/>
      <c r="K5" s="59"/>
    </row>
    <row r="6" spans="1:11" ht="42.75">
      <c r="A6" s="63" t="str">
        <v>Rock Island</v>
      </c>
      <c r="B6" s="55" t="str">
        <v>NY</v>
      </c>
      <c r="C6" s="33">
        <v>604873.5</v>
      </c>
      <c r="D6" s="34">
        <v>671134.67200000002</v>
      </c>
      <c r="E6" s="34">
        <f t="shared" si="0"/>
        <v>-66261.17200000002</v>
      </c>
      <c r="F6" s="35">
        <f t="shared" ref="F6" si="3">IFERROR(E6/D6, "")</f>
        <v>-9.8730068292463391E-2</v>
      </c>
      <c r="G6" s="36">
        <v>661577.9</v>
      </c>
      <c r="H6" s="36">
        <f t="shared" si="1"/>
        <v>-56704.400000000023</v>
      </c>
      <c r="I6" s="37">
        <f t="shared" si="2"/>
        <v>-8.5710843726793204E-2</v>
      </c>
      <c r="J6" s="56" t="s">
        <v>42</v>
      </c>
      <c r="K6" s="56" t="s">
        <v>43</v>
      </c>
    </row>
    <row r="7" spans="1:11" ht="15.75">
      <c r="A7" s="62" t="str">
        <v>Slayton A &amp; B</v>
      </c>
      <c r="B7" s="58" t="str">
        <v>NY</v>
      </c>
      <c r="C7" s="41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C13" sqref="C13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44</v>
      </c>
      <c r="E1" s="75"/>
      <c r="F1" s="75"/>
      <c r="G1" s="73" t="s">
        <v>45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122900</v>
      </c>
      <c r="D4" s="34">
        <v>107134.67</v>
      </c>
      <c r="E4" s="34">
        <f>IF(AND(ISNUMBER(C4),ISNUMBER(D4)), C4-D4, "")</f>
        <v>15765.330000000002</v>
      </c>
      <c r="F4" s="35">
        <f>IFERROR(E4/D4, "")</f>
        <v>0.14715432455245347</v>
      </c>
      <c r="G4" s="36">
        <v>49888.031999999999</v>
      </c>
      <c r="H4" s="36">
        <f>IF(AND(ISNUMBER(C4),ISNUMBER(G4)), C4-G4, "")</f>
        <v>73011.967999999993</v>
      </c>
      <c r="I4" s="37">
        <f>IFERROR(H4/G4, "")</f>
        <v>1.4635167007590115</v>
      </c>
      <c r="J4" s="56"/>
      <c r="K4" s="56"/>
    </row>
    <row r="5" spans="1:11" ht="15.75">
      <c r="A5" s="62" t="str">
        <v>Bullis</v>
      </c>
      <c r="B5" s="58" t="str">
        <v>NY</v>
      </c>
      <c r="C5" s="40">
        <v>966814</v>
      </c>
      <c r="D5" s="41">
        <v>954212.39</v>
      </c>
      <c r="E5" s="41">
        <f t="shared" ref="E5:E6" si="0">IF(AND(ISNUMBER(C5),ISNUMBER(D5)), C5-D5, "")</f>
        <v>12601.609999999986</v>
      </c>
      <c r="F5" s="42">
        <f>IFERROR(E5/D5, "")</f>
        <v>1.3206294669889988E-2</v>
      </c>
      <c r="G5" s="43">
        <v>999785.87</v>
      </c>
      <c r="H5" s="43">
        <f t="shared" ref="H5:H6" si="1">IF(AND(ISNUMBER(C5),ISNUMBER(G5)), C5-G5, "")</f>
        <v>-32971.869999999995</v>
      </c>
      <c r="I5" s="42">
        <f t="shared" ref="I5:I6" si="2">IFERROR(H5/G5, "")</f>
        <v>-3.2978931778661763E-2</v>
      </c>
      <c r="J5" s="59"/>
      <c r="K5" s="59"/>
    </row>
    <row r="6" spans="1:11" ht="15.75">
      <c r="A6" s="63" t="str">
        <v>Rock Island</v>
      </c>
      <c r="B6" s="55" t="str">
        <v>NY</v>
      </c>
      <c r="C6" s="33">
        <v>726597.5</v>
      </c>
      <c r="D6" s="34">
        <v>790857.04200000002</v>
      </c>
      <c r="E6" s="34">
        <f t="shared" si="0"/>
        <v>-64259.542000000016</v>
      </c>
      <c r="F6" s="35">
        <f t="shared" ref="F6" si="3">IFERROR(E6/D6, "")</f>
        <v>-8.1253043960377372E-2</v>
      </c>
      <c r="G6" s="36">
        <v>859646.75</v>
      </c>
      <c r="H6" s="36">
        <f t="shared" si="1"/>
        <v>-133049.25</v>
      </c>
      <c r="I6" s="37">
        <f t="shared" si="2"/>
        <v>-0.15477200373292868</v>
      </c>
      <c r="J6" s="56" t="s">
        <v>46</v>
      </c>
      <c r="K6" s="56" t="s">
        <v>47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K15" sqref="K15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18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48</v>
      </c>
      <c r="E1" s="75"/>
      <c r="F1" s="75"/>
      <c r="G1" s="73" t="s">
        <v>49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164523.75</v>
      </c>
      <c r="D4" s="34">
        <v>157283.5</v>
      </c>
      <c r="E4" s="34">
        <f>IF(AND(ISNUMBER(C4),ISNUMBER(D4)), C4-D4, "")</f>
        <v>7240.25</v>
      </c>
      <c r="F4" s="35">
        <f>IFERROR(E4/D4, "")</f>
        <v>4.6033118540724234E-2</v>
      </c>
      <c r="G4" s="36">
        <v>156277.4</v>
      </c>
      <c r="H4" s="36">
        <f>IF(AND(ISNUMBER(C4),ISNUMBER(G4)), C4-G4, "")</f>
        <v>8246.3500000000058</v>
      </c>
      <c r="I4" s="37">
        <f>IFERROR(H4/G4, "")</f>
        <v>5.2767386711066386E-2</v>
      </c>
      <c r="J4" s="56"/>
      <c r="K4" s="56"/>
    </row>
    <row r="5" spans="1:11" ht="42.75">
      <c r="A5" s="62" t="str">
        <v>Bullis</v>
      </c>
      <c r="B5" s="58" t="str">
        <v>NY</v>
      </c>
      <c r="C5" s="40">
        <v>904291</v>
      </c>
      <c r="D5" s="41">
        <v>878875.6</v>
      </c>
      <c r="E5" s="41">
        <f t="shared" ref="E5:E6" si="0">IF(AND(ISNUMBER(C5),ISNUMBER(D5)), C5-D5, "")</f>
        <v>25415.400000000023</v>
      </c>
      <c r="F5" s="42">
        <f>IFERROR(E5/D5, "")</f>
        <v>2.8918085790526012E-2</v>
      </c>
      <c r="G5" s="43">
        <v>1049137</v>
      </c>
      <c r="H5" s="43">
        <f t="shared" ref="H5:H6" si="1">IF(AND(ISNUMBER(C5),ISNUMBER(G5)), C5-G5, "")</f>
        <v>-144846</v>
      </c>
      <c r="I5" s="42">
        <f t="shared" ref="I5:I6" si="2">IFERROR(H5/G5, "")</f>
        <v>-0.13806204528102622</v>
      </c>
      <c r="J5" s="59" t="s">
        <v>50</v>
      </c>
      <c r="K5" s="65" t="s">
        <v>51</v>
      </c>
    </row>
    <row r="6" spans="1:11" ht="58.5" customHeight="1">
      <c r="A6" s="63" t="str">
        <v>Rock Island</v>
      </c>
      <c r="B6" s="55" t="str">
        <v>NY</v>
      </c>
      <c r="C6" s="33">
        <v>752804</v>
      </c>
      <c r="D6" s="34">
        <v>800401.4</v>
      </c>
      <c r="E6" s="34">
        <f t="shared" si="0"/>
        <v>-47597.400000000023</v>
      </c>
      <c r="F6" s="35">
        <f t="shared" ref="F6" si="3">IFERROR(E6/D6, "")</f>
        <v>-5.9466912476664864E-2</v>
      </c>
      <c r="G6" s="36">
        <v>874008.7</v>
      </c>
      <c r="H6" s="36">
        <f t="shared" si="1"/>
        <v>-121204.69999999995</v>
      </c>
      <c r="I6" s="37">
        <f t="shared" si="2"/>
        <v>-0.13867676603219162</v>
      </c>
      <c r="J6" s="56" t="s">
        <v>52</v>
      </c>
      <c r="K6" s="56" t="s">
        <v>53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J9" sqref="J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54</v>
      </c>
      <c r="E1" s="75"/>
      <c r="F1" s="75"/>
      <c r="G1" s="73" t="s">
        <v>55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2077427</v>
      </c>
      <c r="D2" s="5">
        <f>SUM(D4:D80)</f>
        <v>2106041</v>
      </c>
      <c r="E2" s="5">
        <f>C2-D2</f>
        <v>-28614</v>
      </c>
      <c r="F2" s="6">
        <f>IFERROR(E2/D2, 0)</f>
        <v>-1.3586630079851248E-2</v>
      </c>
      <c r="G2" s="5">
        <f>SUM(G4:G80)</f>
        <v>2252977.2999999998</v>
      </c>
      <c r="H2" s="7">
        <f>C2-G2</f>
        <v>-175550.29999999981</v>
      </c>
      <c r="I2" s="6">
        <f>IFERROR(H2/G2, 0)</f>
        <v>-7.7919249341748723E-2</v>
      </c>
      <c r="J2" s="1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141198</v>
      </c>
      <c r="D4" s="34">
        <v>129239</v>
      </c>
      <c r="E4" s="34">
        <f>IF(AND(ISNUMBER(C4),ISNUMBER(D4)), C4-D4, "")</f>
        <v>11959</v>
      </c>
      <c r="F4" s="35">
        <f>IFERROR(E4/D4, "")</f>
        <v>9.2533987418658453E-2</v>
      </c>
      <c r="G4" s="36">
        <v>163816.29999999999</v>
      </c>
      <c r="H4" s="36">
        <f>IF(AND(ISNUMBER(C4),ISNUMBER(G4)), C4-G4, "")</f>
        <v>-22618.299999999988</v>
      </c>
      <c r="I4" s="37">
        <f>IFERROR(H4/G4, "")</f>
        <v>-0.13807111990687124</v>
      </c>
      <c r="J4" s="56"/>
      <c r="K4" s="56"/>
    </row>
    <row r="5" spans="1:11" ht="42.75">
      <c r="A5" s="62" t="str">
        <v>Bullis</v>
      </c>
      <c r="B5" s="58" t="str">
        <v>NY</v>
      </c>
      <c r="C5" s="40">
        <v>1063971.5</v>
      </c>
      <c r="D5" s="41">
        <v>1030113</v>
      </c>
      <c r="E5" s="41">
        <f t="shared" ref="E5:E6" si="0">IF(AND(ISNUMBER(C5),ISNUMBER(D5)), C5-D5, "")</f>
        <v>33858.5</v>
      </c>
      <c r="F5" s="42">
        <f>IFERROR(E5/D5, "")</f>
        <v>3.2868724110849977E-2</v>
      </c>
      <c r="G5" s="43">
        <v>1120156</v>
      </c>
      <c r="H5" s="43">
        <f t="shared" ref="H5:H6" si="1">IF(AND(ISNUMBER(C5),ISNUMBER(G5)), C5-G5, "")</f>
        <v>-56184.5</v>
      </c>
      <c r="I5" s="42">
        <f t="shared" ref="I5:I6" si="2">IFERROR(H5/G5, "")</f>
        <v>-5.0157745885394532E-2</v>
      </c>
      <c r="J5" s="59" t="s">
        <v>56</v>
      </c>
      <c r="K5" s="65" t="s">
        <v>57</v>
      </c>
    </row>
    <row r="6" spans="1:11" ht="15.75">
      <c r="A6" s="63" t="str">
        <v>Rock Island</v>
      </c>
      <c r="B6" s="55" t="str">
        <v>NY</v>
      </c>
      <c r="C6" s="33">
        <v>872257.5</v>
      </c>
      <c r="D6" s="34">
        <v>946689</v>
      </c>
      <c r="E6" s="34">
        <f t="shared" si="0"/>
        <v>-74431.5</v>
      </c>
      <c r="F6" s="35">
        <f t="shared" ref="F6" si="3">IFERROR(E6/D6, "")</f>
        <v>-7.8622969106010521E-2</v>
      </c>
      <c r="G6" s="43">
        <v>969005</v>
      </c>
      <c r="H6" s="36">
        <f t="shared" si="1"/>
        <v>-96747.5</v>
      </c>
      <c r="I6" s="37">
        <f t="shared" si="2"/>
        <v>-9.9842106077884019E-2</v>
      </c>
      <c r="J6" s="56" t="s">
        <v>58</v>
      </c>
      <c r="K6" s="56" t="s">
        <v>59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65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I12" sqref="I12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60</v>
      </c>
      <c r="E1" s="75"/>
      <c r="F1" s="75"/>
      <c r="G1" s="73" t="s">
        <v>61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1682098</v>
      </c>
      <c r="D2" s="5">
        <f>SUM(D4:D80)</f>
        <v>1676510.6969999999</v>
      </c>
      <c r="E2" s="5">
        <f>C2-D2</f>
        <v>5587.3030000000726</v>
      </c>
      <c r="F2" s="6">
        <f>IFERROR(E2/D2, 0)</f>
        <v>3.3326974948613007E-3</v>
      </c>
      <c r="G2" s="5">
        <f>SUM(G4:G80)</f>
        <v>1992699</v>
      </c>
      <c r="H2" s="7">
        <f>C2-G2</f>
        <v>-310601</v>
      </c>
      <c r="I2" s="6">
        <f>IFERROR(H2/G2, 0)</f>
        <v>-0.15586950161564792</v>
      </c>
      <c r="J2" s="1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145570</v>
      </c>
      <c r="D4" s="34">
        <v>134298.69699999999</v>
      </c>
      <c r="E4" s="34">
        <f>IF(AND(ISNUMBER(C4),ISNUMBER(D4)), C4-D4, "")</f>
        <v>11271.303000000014</v>
      </c>
      <c r="F4" s="35">
        <f>IFERROR(E4/D4, "")</f>
        <v>8.3927121050176801E-2</v>
      </c>
      <c r="G4" s="36">
        <v>152692</v>
      </c>
      <c r="H4" s="36">
        <f>IF(AND(ISNUMBER(C4),ISNUMBER(G4)), C4-G4, "")</f>
        <v>-7122</v>
      </c>
      <c r="I4" s="37">
        <f>IFERROR(H4/G4, "")</f>
        <v>-4.6642915149451181E-2</v>
      </c>
      <c r="J4" s="56"/>
      <c r="K4" s="56"/>
    </row>
    <row r="5" spans="1:11" ht="57">
      <c r="A5" s="62" t="str">
        <v>Bullis</v>
      </c>
      <c r="B5" s="58" t="str">
        <v>NY</v>
      </c>
      <c r="C5" s="40">
        <v>802772</v>
      </c>
      <c r="D5" s="41">
        <v>784268</v>
      </c>
      <c r="E5" s="41">
        <f t="shared" ref="E5:E7" si="0">IF(AND(ISNUMBER(C5),ISNUMBER(D5)), C5-D5, "")</f>
        <v>18504</v>
      </c>
      <c r="F5" s="42">
        <f>IFERROR(E5/D5, "")</f>
        <v>2.3593975528773327E-2</v>
      </c>
      <c r="G5" s="43">
        <v>997314</v>
      </c>
      <c r="H5" s="43">
        <f t="shared" ref="H5:H7" si="1">IF(AND(ISNUMBER(C5),ISNUMBER(G5)), C5-G5, "")</f>
        <v>-194542</v>
      </c>
      <c r="I5" s="42">
        <f t="shared" ref="I5:I7" si="2">IFERROR(H5/G5, "")</f>
        <v>-0.19506594713400194</v>
      </c>
      <c r="J5" s="59" t="s">
        <v>62</v>
      </c>
      <c r="K5" s="64" t="s">
        <v>63</v>
      </c>
    </row>
    <row r="6" spans="1:11" ht="28.5">
      <c r="A6" s="63" t="str">
        <v>Rock Island</v>
      </c>
      <c r="B6" s="55" t="str">
        <v>NY</v>
      </c>
      <c r="C6" s="33">
        <v>733756</v>
      </c>
      <c r="D6" s="34">
        <v>757944</v>
      </c>
      <c r="E6" s="34">
        <f t="shared" si="0"/>
        <v>-24188</v>
      </c>
      <c r="F6" s="67">
        <f t="shared" ref="F6:F7" si="3">IFERROR(E6/D6, "")</f>
        <v>-3.1912647900108712E-2</v>
      </c>
      <c r="G6" s="36">
        <v>842693</v>
      </c>
      <c r="H6" s="36">
        <f t="shared" si="1"/>
        <v>-108937</v>
      </c>
      <c r="I6" s="37">
        <f t="shared" si="2"/>
        <v>-0.1292724634000757</v>
      </c>
      <c r="J6" s="56" t="s">
        <v>64</v>
      </c>
      <c r="K6" s="56" t="s">
        <v>65</v>
      </c>
    </row>
    <row r="7" spans="1:11" ht="15.75">
      <c r="A7" s="70" t="str">
        <v>Slayton A &amp; B</v>
      </c>
      <c r="B7" s="71" t="str">
        <v>NY</v>
      </c>
      <c r="C7" s="68"/>
      <c r="D7" s="68"/>
      <c r="E7" s="68" t="str">
        <f t="shared" si="0"/>
        <v/>
      </c>
      <c r="F7" s="67" t="str">
        <f t="shared" si="3"/>
        <v/>
      </c>
      <c r="G7" s="68"/>
      <c r="H7" s="43" t="str">
        <f t="shared" si="1"/>
        <v/>
      </c>
      <c r="I7" s="37" t="str">
        <f t="shared" si="2"/>
        <v/>
      </c>
      <c r="J7" s="68"/>
      <c r="K7" s="68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conditionalFormatting sqref="F2 I2 F4:F9 I4:I80 F11:F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H11" sqref="H11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66</v>
      </c>
      <c r="E1" s="75"/>
      <c r="F1" s="75"/>
      <c r="G1" s="73" t="s">
        <v>67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1588902.5</v>
      </c>
      <c r="D2" s="5">
        <f>SUM(D4:D80)</f>
        <v>1605854.4</v>
      </c>
      <c r="E2" s="5">
        <f>C2-D2</f>
        <v>-16951.899999999907</v>
      </c>
      <c r="F2" s="6">
        <f>IFERROR(E2/D2, 0)</f>
        <v>-1.0556311954558214E-2</v>
      </c>
      <c r="G2" s="5">
        <f>SUM(G4:G80)</f>
        <v>1620625.7999999998</v>
      </c>
      <c r="H2" s="7">
        <f>C2-G2</f>
        <v>-31723.299999999814</v>
      </c>
      <c r="I2" s="6">
        <f>IFERROR(H2/G2, 0)</f>
        <v>-1.9574722307888606E-2</v>
      </c>
      <c r="J2" s="1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28.5">
      <c r="A4" s="61" t="str" cm="1">
        <f t="array" ref="A4:A7">Sites[Site]</f>
        <v>Cedar Swamp Rd</v>
      </c>
      <c r="B4" s="55" t="str" cm="1">
        <f t="array" ref="B4:B7">Sites[State]</f>
        <v>MA</v>
      </c>
      <c r="C4" s="33">
        <v>120545</v>
      </c>
      <c r="D4" s="34">
        <v>112439.7</v>
      </c>
      <c r="E4" s="34">
        <f>IF(AND(ISNUMBER(C4),ISNUMBER(D4)), C4-D4, "")</f>
        <v>8105.3000000000029</v>
      </c>
      <c r="F4" s="35">
        <f>IFERROR(E4/D4, "")</f>
        <v>7.2085749072614058E-2</v>
      </c>
      <c r="G4" s="36">
        <v>130725</v>
      </c>
      <c r="H4" s="36">
        <f>IF(AND(ISNUMBER(C4),ISNUMBER(G4)), C4-G4, "")</f>
        <v>-10180</v>
      </c>
      <c r="I4" s="37">
        <f>IFERROR(H4/G4, "")</f>
        <v>-7.7873398355326071E-2</v>
      </c>
      <c r="J4" s="56" t="s">
        <v>68</v>
      </c>
      <c r="K4" s="56" t="s">
        <v>69</v>
      </c>
    </row>
    <row r="5" spans="1:11" ht="15.75">
      <c r="A5" s="62" t="str">
        <v>Bullis</v>
      </c>
      <c r="B5" s="58" t="str">
        <v>NY</v>
      </c>
      <c r="C5" s="40">
        <v>734967.5</v>
      </c>
      <c r="D5" s="41">
        <v>709748.5</v>
      </c>
      <c r="E5" s="41">
        <f t="shared" ref="E5:E6" si="0">IF(AND(ISNUMBER(C5),ISNUMBER(D5)), C5-D5, "")</f>
        <v>25219</v>
      </c>
      <c r="F5" s="42">
        <f>IFERROR(E5/D5, "")</f>
        <v>3.5532304753021667E-2</v>
      </c>
      <c r="G5" s="43">
        <v>797947.6</v>
      </c>
      <c r="H5" s="43">
        <f t="shared" ref="H5:H6" si="1">IF(AND(ISNUMBER(C5),ISNUMBER(G5)), C5-G5, "")</f>
        <v>-62980.099999999977</v>
      </c>
      <c r="I5" s="42">
        <f t="shared" ref="I5:I6" si="2">IFERROR(H5/G5, "")</f>
        <v>-7.8927613793186399E-2</v>
      </c>
      <c r="J5" s="59"/>
      <c r="K5" s="59"/>
    </row>
    <row r="6" spans="1:11" ht="71.25">
      <c r="A6" s="63" t="str">
        <v>Rock Island</v>
      </c>
      <c r="B6" s="55" t="str">
        <v>NY</v>
      </c>
      <c r="C6" s="33">
        <v>733390</v>
      </c>
      <c r="D6" s="34">
        <v>783666.2</v>
      </c>
      <c r="E6" s="34">
        <f t="shared" si="0"/>
        <v>-50276.199999999953</v>
      </c>
      <c r="F6" s="35">
        <f t="shared" ref="F6" si="3">IFERROR(E6/D6, "")</f>
        <v>-6.4155121147243505E-2</v>
      </c>
      <c r="G6" s="36">
        <v>691953.2</v>
      </c>
      <c r="H6" s="36">
        <f t="shared" si="1"/>
        <v>41436.800000000047</v>
      </c>
      <c r="I6" s="37">
        <f t="shared" si="2"/>
        <v>5.9883818732249593E-2</v>
      </c>
      <c r="J6" s="72" t="s">
        <v>70</v>
      </c>
      <c r="K6" s="56" t="s">
        <v>71</v>
      </c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I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72</v>
      </c>
      <c r="E1" s="75"/>
      <c r="F1" s="75"/>
      <c r="G1" s="73" t="s">
        <v>73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75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75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F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74</v>
      </c>
      <c r="E1" s="75"/>
      <c r="F1" s="75"/>
      <c r="G1" s="73" t="s">
        <v>75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75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75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6" sqref="J6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2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Renewable Properties</v>
      </c>
      <c r="B1" s="74"/>
      <c r="C1" s="74"/>
      <c r="D1" s="75" t="s">
        <v>76</v>
      </c>
      <c r="E1" s="75"/>
      <c r="F1" s="75"/>
      <c r="G1" s="73" t="s">
        <v>77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8" t="s">
        <v>3</v>
      </c>
      <c r="B3" s="18" t="s">
        <v>4</v>
      </c>
      <c r="C3" s="46" t="s">
        <v>5</v>
      </c>
      <c r="D3" s="47" t="s">
        <v>6</v>
      </c>
      <c r="E3" s="47" t="s">
        <v>7</v>
      </c>
      <c r="F3" s="48" t="s">
        <v>8</v>
      </c>
      <c r="G3" s="53" t="s">
        <v>9</v>
      </c>
      <c r="H3" s="50" t="s">
        <v>7</v>
      </c>
      <c r="I3" s="51" t="s">
        <v>8</v>
      </c>
      <c r="J3" s="52" t="s">
        <v>20</v>
      </c>
      <c r="K3" s="52" t="s">
        <v>21</v>
      </c>
    </row>
    <row r="4" spans="1:11" ht="15.75">
      <c r="A4" s="61" t="str" cm="1">
        <f t="array" ref="A4:A7">Sites[Site]</f>
        <v>Cedar Swamp Rd</v>
      </c>
      <c r="B4" s="55" t="str" cm="1">
        <f t="array" ref="B4:B7">Sites[State]</f>
        <v>MA</v>
      </c>
      <c r="C4" s="33"/>
      <c r="D4" s="34"/>
      <c r="E4" s="34" t="str">
        <f>IF(AND(ISNUMBER(C4),ISNUMBER(D4)), C4-D4, "")</f>
        <v/>
      </c>
      <c r="F4" s="35" t="str">
        <f>IFERROR(E4/D4, "")</f>
        <v/>
      </c>
      <c r="G4" s="36"/>
      <c r="H4" s="36" t="str">
        <f>IF(AND(ISNUMBER(C4),ISNUMBER(G4)), C4-G4, "")</f>
        <v/>
      </c>
      <c r="I4" s="37" t="str">
        <f>IFERROR(H4/G4, "")</f>
        <v/>
      </c>
      <c r="J4" s="56"/>
      <c r="K4" s="56"/>
    </row>
    <row r="5" spans="1:11" ht="15.75">
      <c r="A5" s="62" t="str">
        <v>Bullis</v>
      </c>
      <c r="B5" s="58" t="str">
        <v>NY</v>
      </c>
      <c r="C5" s="40"/>
      <c r="D5" s="41"/>
      <c r="E5" s="41" t="str">
        <f t="shared" ref="E5:E6" si="0">IF(AND(ISNUMBER(C5),ISNUMBER(D5)), C5-D5, "")</f>
        <v/>
      </c>
      <c r="F5" s="42" t="str">
        <f>IFERROR(E5/D5, "")</f>
        <v/>
      </c>
      <c r="G5" s="43"/>
      <c r="H5" s="43" t="str">
        <f t="shared" ref="H5:H6" si="1">IF(AND(ISNUMBER(C5),ISNUMBER(G5)), C5-G5, "")</f>
        <v/>
      </c>
      <c r="I5" s="42" t="str">
        <f t="shared" ref="I5:I6" si="2">IFERROR(H5/G5, "")</f>
        <v/>
      </c>
      <c r="J5" s="59"/>
      <c r="K5" s="59"/>
    </row>
    <row r="6" spans="1:11" ht="15.75">
      <c r="A6" s="63" t="str">
        <v>Rock Island</v>
      </c>
      <c r="B6" s="55" t="str">
        <v>NY</v>
      </c>
      <c r="C6" s="33"/>
      <c r="D6" s="34"/>
      <c r="E6" s="34" t="str">
        <f t="shared" si="0"/>
        <v/>
      </c>
      <c r="F6" s="35" t="str">
        <f t="shared" ref="F6" si="3">IFERROR(E6/D6, "")</f>
        <v/>
      </c>
      <c r="G6" s="36"/>
      <c r="H6" s="36" t="str">
        <f t="shared" si="1"/>
        <v/>
      </c>
      <c r="I6" s="37" t="str">
        <f t="shared" si="2"/>
        <v/>
      </c>
      <c r="J6" s="56"/>
      <c r="K6" s="56"/>
    </row>
    <row r="7" spans="1:11" ht="15.75">
      <c r="A7" s="62" t="str">
        <v>Slayton A &amp; B</v>
      </c>
      <c r="B7" s="58" t="str">
        <v>NY</v>
      </c>
      <c r="C7" s="40"/>
      <c r="D7" s="41"/>
      <c r="E7" s="41" t="str">
        <f t="shared" ref="E7" si="4">IF(AND(ISNUMBER(C7),ISNUMBER(D7)), C7-D7, "")</f>
        <v/>
      </c>
      <c r="F7" s="42" t="str">
        <f t="shared" ref="F7" si="5">IFERROR(E7/D7, "")</f>
        <v/>
      </c>
      <c r="G7" s="43"/>
      <c r="H7" s="43" t="str">
        <f t="shared" ref="H7" si="6">IF(AND(ISNUMBER(C7),ISNUMBER(G7)), C7-G7, "")</f>
        <v/>
      </c>
      <c r="I7" s="42" t="str">
        <f t="shared" ref="I7" si="7">IFERROR(H7/G7, "")</f>
        <v/>
      </c>
      <c r="J7" s="59"/>
      <c r="K7" s="59"/>
    </row>
    <row r="8" spans="1:11" ht="14.25">
      <c r="A8" s="14"/>
      <c r="B8" s="19"/>
      <c r="C8" s="14"/>
      <c r="D8" s="14"/>
      <c r="E8" s="14"/>
      <c r="F8" s="14"/>
      <c r="G8" s="14"/>
      <c r="H8" s="14"/>
      <c r="I8" s="14"/>
      <c r="J8" s="14"/>
      <c r="K8" s="14"/>
    </row>
    <row r="9" spans="1:11" ht="14.25">
      <c r="A9" s="14"/>
      <c r="B9" s="19"/>
      <c r="C9" s="14"/>
      <c r="D9" s="14"/>
      <c r="E9" s="14"/>
      <c r="F9" s="14"/>
      <c r="G9" s="14"/>
      <c r="H9" s="14"/>
      <c r="I9" s="14"/>
      <c r="J9" s="14"/>
      <c r="K9" s="14"/>
    </row>
    <row r="10" spans="1:11" ht="14.25">
      <c r="A10" s="14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4.25">
      <c r="A11" s="14"/>
      <c r="B11" s="19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4.25">
      <c r="A12" s="14"/>
      <c r="B12" s="19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>
      <c r="A13" s="14"/>
      <c r="B13" s="19"/>
      <c r="C13" s="14"/>
      <c r="D13" s="14"/>
      <c r="E13" s="14"/>
      <c r="F13" s="15"/>
      <c r="G13" s="14"/>
      <c r="H13" s="14"/>
      <c r="I13" s="15"/>
      <c r="J13" s="14"/>
      <c r="K13" s="14"/>
    </row>
    <row r="14" spans="1:11" ht="14.25">
      <c r="A14" s="14"/>
      <c r="B14" s="19"/>
      <c r="C14" s="14"/>
      <c r="D14" s="14"/>
      <c r="E14" s="14"/>
      <c r="F14" s="15"/>
      <c r="G14" s="14"/>
      <c r="H14" s="14"/>
      <c r="I14" s="15"/>
      <c r="J14" s="14"/>
      <c r="K14" s="14"/>
    </row>
    <row r="15" spans="1:11" ht="14.25">
      <c r="A15" s="14"/>
      <c r="B15" s="19"/>
      <c r="C15" s="14"/>
      <c r="D15" s="14"/>
      <c r="E15" s="14"/>
      <c r="F15" s="15"/>
      <c r="G15" s="14"/>
      <c r="H15" s="14"/>
      <c r="I15" s="15"/>
      <c r="J15" s="14"/>
      <c r="K15" s="14"/>
    </row>
    <row r="16" spans="1:11" ht="14.25">
      <c r="A16" s="14"/>
      <c r="B16" s="19"/>
      <c r="C16" s="14"/>
      <c r="D16" s="14"/>
      <c r="E16" s="14"/>
      <c r="F16" s="15"/>
      <c r="G16" s="14"/>
      <c r="H16" s="14"/>
      <c r="I16" s="15"/>
      <c r="J16" s="14"/>
      <c r="K16" s="14"/>
    </row>
    <row r="17" spans="1:11" ht="14.25">
      <c r="A17" s="14"/>
      <c r="B17" s="19"/>
      <c r="C17" s="14"/>
      <c r="D17" s="14"/>
      <c r="E17" s="14"/>
      <c r="F17" s="15"/>
      <c r="G17" s="14"/>
      <c r="H17" s="14"/>
      <c r="I17" s="15"/>
      <c r="J17" s="14"/>
      <c r="K17" s="14"/>
    </row>
    <row r="18" spans="1:11" ht="14.25">
      <c r="A18" s="14"/>
      <c r="B18" s="19"/>
      <c r="C18" s="14"/>
      <c r="D18" s="14"/>
      <c r="E18" s="14"/>
      <c r="F18" s="15"/>
      <c r="G18" s="14"/>
      <c r="H18" s="14"/>
      <c r="I18" s="15"/>
      <c r="J18" s="14"/>
      <c r="K18" s="14"/>
    </row>
    <row r="19" spans="1:11" ht="14.25">
      <c r="A19" s="14"/>
      <c r="B19" s="19"/>
      <c r="C19" s="14"/>
      <c r="D19" s="14"/>
      <c r="E19" s="14"/>
      <c r="F19" s="15"/>
      <c r="G19" s="14"/>
      <c r="H19" s="14"/>
      <c r="I19" s="15"/>
      <c r="J19" s="14"/>
      <c r="K19" s="14"/>
    </row>
    <row r="20" spans="1:11" ht="14.25">
      <c r="A20" s="14"/>
      <c r="B20" s="19"/>
      <c r="C20" s="14"/>
      <c r="D20" s="14"/>
      <c r="E20" s="14"/>
      <c r="F20" s="15"/>
      <c r="G20" s="14"/>
      <c r="H20" s="14"/>
      <c r="I20" s="15"/>
      <c r="J20" s="14"/>
      <c r="K20" s="14"/>
    </row>
    <row r="21" spans="1:11" ht="14.25">
      <c r="A21" s="14"/>
      <c r="B21" s="19"/>
      <c r="C21" s="14"/>
      <c r="D21" s="14"/>
      <c r="E21" s="14"/>
      <c r="F21" s="15"/>
      <c r="G21" s="14"/>
      <c r="H21" s="14"/>
      <c r="I21" s="15"/>
      <c r="J21" s="14"/>
      <c r="K21" s="14"/>
    </row>
    <row r="22" spans="1:11" ht="14.25">
      <c r="A22" s="14"/>
      <c r="B22" s="19"/>
      <c r="C22" s="14"/>
      <c r="D22" s="14"/>
      <c r="E22" s="14"/>
      <c r="F22" s="15"/>
      <c r="G22" s="14"/>
      <c r="H22" s="14"/>
      <c r="I22" s="15"/>
      <c r="J22" s="14"/>
      <c r="K22" s="14"/>
    </row>
    <row r="23" spans="1:11" ht="14.25">
      <c r="A23" s="14"/>
      <c r="B23" s="19"/>
      <c r="C23" s="14"/>
      <c r="D23" s="14"/>
      <c r="E23" s="14"/>
      <c r="F23" s="15"/>
      <c r="G23" s="14"/>
      <c r="H23" s="14"/>
      <c r="I23" s="15"/>
      <c r="J23" s="14"/>
      <c r="K23" s="14"/>
    </row>
    <row r="24" spans="1:11" ht="14.25">
      <c r="A24" s="14"/>
      <c r="B24" s="19"/>
      <c r="C24" s="14"/>
      <c r="D24" s="14"/>
      <c r="E24" s="14"/>
      <c r="F24" s="15"/>
      <c r="G24" s="14"/>
      <c r="H24" s="14"/>
      <c r="I24" s="15"/>
      <c r="J24" s="14"/>
      <c r="K24" s="14"/>
    </row>
    <row r="25" spans="1:11" ht="14.25">
      <c r="A25" s="14"/>
      <c r="B25" s="19"/>
      <c r="C25" s="14"/>
      <c r="D25" s="14"/>
      <c r="E25" s="14"/>
      <c r="F25" s="15"/>
      <c r="G25" s="14"/>
      <c r="H25" s="14"/>
      <c r="I25" s="15"/>
      <c r="J25" s="14"/>
      <c r="K25" s="14"/>
    </row>
    <row r="26" spans="1:11" ht="14.25">
      <c r="A26" s="14"/>
      <c r="B26" s="19"/>
      <c r="C26" s="14"/>
      <c r="D26" s="14"/>
      <c r="E26" s="14"/>
      <c r="F26" s="15"/>
      <c r="G26" s="14"/>
      <c r="H26" s="14"/>
      <c r="I26" s="15"/>
      <c r="J26" s="14"/>
      <c r="K26" s="14"/>
    </row>
    <row r="27" spans="1:11" ht="14.25">
      <c r="A27" s="14"/>
      <c r="B27" s="19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25">
      <c r="A28" s="14"/>
      <c r="B28" s="19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25">
      <c r="A29" s="14"/>
      <c r="B29" s="19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25">
      <c r="A30" s="14"/>
      <c r="B30" s="19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25">
      <c r="A31" s="14"/>
      <c r="B31" s="19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25">
      <c r="A32" s="14"/>
      <c r="B32" s="19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25">
      <c r="A33" s="14"/>
      <c r="B33" s="19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25">
      <c r="A34" s="14"/>
      <c r="B34" s="19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25">
      <c r="A35" s="14"/>
      <c r="B35" s="19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25">
      <c r="A36" s="14"/>
      <c r="B36" s="19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25">
      <c r="A37" s="14"/>
      <c r="B37" s="19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25">
      <c r="A38" s="14"/>
      <c r="B38" s="19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25">
      <c r="A39" s="14"/>
      <c r="B39" s="19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25">
      <c r="A40" s="14"/>
      <c r="B40" s="19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25">
      <c r="A41" s="14"/>
      <c r="B41" s="19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25">
      <c r="A42" s="14"/>
      <c r="B42" s="19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25">
      <c r="A43" s="14"/>
      <c r="B43" s="19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25">
      <c r="A44" s="14"/>
      <c r="B44" s="19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25">
      <c r="A45" s="14"/>
      <c r="B45" s="19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25">
      <c r="A46" s="14"/>
      <c r="B46" s="19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25">
      <c r="A47" s="14"/>
      <c r="B47" s="19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25">
      <c r="A48" s="14"/>
      <c r="B48" s="19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25">
      <c r="A49" s="14"/>
      <c r="B49" s="19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25">
      <c r="A50" s="14"/>
      <c r="B50" s="19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25">
      <c r="A51" s="14"/>
      <c r="B51" s="19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25">
      <c r="A52" s="14"/>
      <c r="B52" s="19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25">
      <c r="A53" s="14"/>
      <c r="B53" s="19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25">
      <c r="A54" s="14"/>
      <c r="B54" s="19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25">
      <c r="A55" s="14"/>
      <c r="B55" s="19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25">
      <c r="A56" s="14"/>
      <c r="B56" s="19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25">
      <c r="A57" s="14"/>
      <c r="B57" s="19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25">
      <c r="A58" s="14"/>
      <c r="B58" s="19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25">
      <c r="A59" s="14"/>
      <c r="B59" s="19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25">
      <c r="A60" s="14"/>
      <c r="B60" s="19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25">
      <c r="A61" s="14"/>
      <c r="B61" s="19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25">
      <c r="A62" s="14"/>
      <c r="B62" s="19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25">
      <c r="A63" s="14"/>
      <c r="B63" s="19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25">
      <c r="A64" s="14"/>
      <c r="B64" s="19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25">
      <c r="A65" s="14"/>
      <c r="B65" s="19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25">
      <c r="A66" s="14"/>
      <c r="B66" s="19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25">
      <c r="A67" s="14"/>
      <c r="B67" s="19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25">
      <c r="A68" s="14"/>
      <c r="B68" s="19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25">
      <c r="A69" s="14"/>
      <c r="B69" s="19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25">
      <c r="A70" s="14"/>
      <c r="B70" s="19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25">
      <c r="A71" s="14"/>
      <c r="B71" s="19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25">
      <c r="A72" s="14"/>
      <c r="B72" s="19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25">
      <c r="A73" s="14"/>
      <c r="B73" s="19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25">
      <c r="A74" s="14"/>
      <c r="B74" s="19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25">
      <c r="A75" s="14"/>
      <c r="B75" s="19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25">
      <c r="A76" s="14"/>
      <c r="B76" s="19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25">
      <c r="A77" s="14"/>
      <c r="B77" s="19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25">
      <c r="A78" s="14"/>
      <c r="B78" s="19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25">
      <c r="A79" s="14"/>
      <c r="B79" s="19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25">
      <c r="A80" s="14"/>
      <c r="B80" s="19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25">
      <c r="A81" s="14"/>
      <c r="B81" s="19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25">
      <c r="A82" s="14"/>
      <c r="B82" s="19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25">
      <c r="A83" s="14"/>
      <c r="B83" s="19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25">
      <c r="A84" s="14"/>
      <c r="B84" s="19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25">
      <c r="A85" s="14"/>
      <c r="B85" s="19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25">
      <c r="A86" s="14"/>
      <c r="B86" s="19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25">
      <c r="A87" s="14"/>
      <c r="B87" s="19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25">
      <c r="A88" s="14"/>
      <c r="B88" s="19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25">
      <c r="A89" s="14"/>
      <c r="B89" s="19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25">
      <c r="A90" s="14"/>
      <c r="B90" s="19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25">
      <c r="A91" s="14"/>
      <c r="B91" s="19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25">
      <c r="A92" s="14"/>
      <c r="B92" s="19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25">
      <c r="A93" s="14"/>
      <c r="B93" s="19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25">
      <c r="A94" s="14"/>
      <c r="B94" s="19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25">
      <c r="A95" s="14"/>
      <c r="B95" s="19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25">
      <c r="A96" s="14"/>
      <c r="B96" s="19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25">
      <c r="A97" s="14"/>
      <c r="B97" s="19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25">
      <c r="A98" s="14"/>
      <c r="B98" s="19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25">
      <c r="A99" s="14"/>
      <c r="B99" s="19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25">
      <c r="A100" s="14"/>
      <c r="B100" s="19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25">
      <c r="A101" s="14"/>
      <c r="B101" s="19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25">
      <c r="A102" s="14"/>
      <c r="B102" s="19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25">
      <c r="A103" s="14"/>
      <c r="B103" s="19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25">
      <c r="A104" s="14"/>
      <c r="B104" s="19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25">
      <c r="A105" s="14"/>
      <c r="B105" s="19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25">
      <c r="A106" s="14"/>
      <c r="B106" s="19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25">
      <c r="A107" s="14"/>
      <c r="B107" s="19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25">
      <c r="A108" s="14"/>
      <c r="B108" s="19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25">
      <c r="A109" s="14"/>
      <c r="B109" s="19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25">
      <c r="A110" s="14"/>
      <c r="B110" s="19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25">
      <c r="A111" s="14"/>
      <c r="B111" s="19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25">
      <c r="A112" s="14"/>
      <c r="B112" s="19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25">
      <c r="A113" s="14"/>
      <c r="B113" s="19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25">
      <c r="A114" s="14"/>
      <c r="B114" s="19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25">
      <c r="A115" s="14"/>
      <c r="B115" s="19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25">
      <c r="A116" s="14"/>
      <c r="B116" s="19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25">
      <c r="A117" s="14"/>
      <c r="B117" s="19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25">
      <c r="A118" s="14"/>
      <c r="B118" s="19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25">
      <c r="A119" s="14"/>
      <c r="B119" s="19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25">
      <c r="A120" s="14"/>
      <c r="B120" s="19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25">
      <c r="A121" s="14"/>
      <c r="B121" s="19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25">
      <c r="A122" s="14"/>
      <c r="B122" s="19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25">
      <c r="A123" s="14"/>
      <c r="B123" s="19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25">
      <c r="A124" s="14"/>
      <c r="B124" s="19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25">
      <c r="A125" s="14"/>
      <c r="B125" s="19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25">
      <c r="A126" s="14"/>
      <c r="B126" s="19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25">
      <c r="A127" s="14"/>
      <c r="B127" s="19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25">
      <c r="A128" s="14"/>
      <c r="B128" s="19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25">
      <c r="A129" s="14"/>
      <c r="B129" s="19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25">
      <c r="A130" s="14"/>
      <c r="B130" s="19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25">
      <c r="A131" s="14"/>
      <c r="B131" s="19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25">
      <c r="A132" s="14"/>
      <c r="B132" s="19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25">
      <c r="A133" s="14"/>
      <c r="B133" s="19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25">
      <c r="A134" s="14"/>
      <c r="B134" s="19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25">
      <c r="A135" s="14"/>
      <c r="B135" s="19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25">
      <c r="A136" s="14"/>
      <c r="B136" s="19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25">
      <c r="A137" s="14"/>
      <c r="B137" s="19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25">
      <c r="A138" s="14"/>
      <c r="B138" s="19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25">
      <c r="A139" s="14"/>
      <c r="B139" s="19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25">
      <c r="A140" s="14"/>
      <c r="B140" s="19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25">
      <c r="A141" s="14"/>
      <c r="B141" s="19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25">
      <c r="A142" s="14"/>
      <c r="B142" s="19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25">
      <c r="A143" s="14"/>
      <c r="B143" s="19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25">
      <c r="A144" s="14"/>
      <c r="B144" s="19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25">
      <c r="A145" s="14"/>
      <c r="B145" s="19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25">
      <c r="A146" s="14"/>
      <c r="B146" s="19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25">
      <c r="A147" s="14"/>
      <c r="B147" s="19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25">
      <c r="A148" s="14"/>
      <c r="B148" s="19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25">
      <c r="A149" s="14"/>
      <c r="B149" s="19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25">
      <c r="A150" s="14"/>
      <c r="B150" s="19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25">
      <c r="A151" s="14"/>
      <c r="B151" s="19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25">
      <c r="A152" s="14"/>
      <c r="B152" s="19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25">
      <c r="A153" s="14"/>
      <c r="B153" s="19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25">
      <c r="A154" s="14"/>
      <c r="B154" s="19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25">
      <c r="A155" s="14"/>
      <c r="B155" s="19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25">
      <c r="A156" s="14"/>
      <c r="B156" s="19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25">
      <c r="A157" s="14"/>
      <c r="B157" s="19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25">
      <c r="A158" s="14"/>
      <c r="B158" s="19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25">
      <c r="A159" s="14"/>
      <c r="B159" s="19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25">
      <c r="A160" s="14"/>
      <c r="B160" s="19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25">
      <c r="A161" s="14"/>
      <c r="B161" s="19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25">
      <c r="A162" s="14"/>
      <c r="B162" s="19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25">
      <c r="A163" s="14"/>
      <c r="B163" s="19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25">
      <c r="A164" s="14"/>
      <c r="B164" s="19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25">
      <c r="A165" s="14"/>
      <c r="B165" s="19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25">
      <c r="A166" s="14"/>
      <c r="B166" s="19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25">
      <c r="A167" s="14"/>
      <c r="B167" s="19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25">
      <c r="A168" s="14"/>
      <c r="B168" s="19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25">
      <c r="A169" s="14"/>
      <c r="B169" s="19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25">
      <c r="A170" s="14"/>
      <c r="B170" s="19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25">
      <c r="A171" s="14"/>
      <c r="B171" s="19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25">
      <c r="A172" s="14"/>
      <c r="B172" s="19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25">
      <c r="A173" s="14"/>
      <c r="B173" s="19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25">
      <c r="A174" s="14"/>
      <c r="B174" s="19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25">
      <c r="A175" s="14"/>
      <c r="B175" s="19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25">
      <c r="A176" s="14"/>
      <c r="B176" s="19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25">
      <c r="A177" s="14"/>
      <c r="B177" s="19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25">
      <c r="A178" s="14"/>
      <c r="B178" s="19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25">
      <c r="A179" s="14"/>
      <c r="B179" s="19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25">
      <c r="A180" s="14"/>
      <c r="B180" s="19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25">
      <c r="A181" s="14"/>
      <c r="B181" s="19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25">
      <c r="A182" s="14"/>
      <c r="B182" s="19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25">
      <c r="A183" s="14"/>
      <c r="B183" s="19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25">
      <c r="A184" s="14"/>
      <c r="B184" s="19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25">
      <c r="A185" s="14"/>
      <c r="B185" s="19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25">
      <c r="A186" s="14"/>
      <c r="B186" s="19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25">
      <c r="A187" s="14"/>
      <c r="B187" s="19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25">
      <c r="A188" s="14"/>
      <c r="B188" s="19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25">
      <c r="A189" s="14"/>
      <c r="B189" s="19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25">
      <c r="A190" s="14"/>
      <c r="B190" s="19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25">
      <c r="A191" s="14"/>
      <c r="B191" s="19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25">
      <c r="A192" s="14"/>
      <c r="B192" s="19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25">
      <c r="A193" s="14"/>
      <c r="B193" s="19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25">
      <c r="A194" s="14"/>
      <c r="B194" s="19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25">
      <c r="A195" s="14"/>
      <c r="B195" s="19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25">
      <c r="A196" s="14"/>
      <c r="B196" s="19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25">
      <c r="A197" s="14"/>
      <c r="B197" s="19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25">
      <c r="A198" s="14"/>
      <c r="B198" s="19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25">
      <c r="A199" s="14"/>
      <c r="B199" s="19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25">
      <c r="A200" s="14"/>
      <c r="B200" s="19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25">
      <c r="A201" s="14"/>
      <c r="B201" s="19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25">
      <c r="A202" s="14"/>
      <c r="B202" s="19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25">
      <c r="A203" s="14"/>
      <c r="B203" s="19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25">
      <c r="A204" s="14"/>
      <c r="B204" s="19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25">
      <c r="A205" s="14"/>
      <c r="B205" s="19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25">
      <c r="A206" s="14"/>
      <c r="B206" s="19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25">
      <c r="A207" s="14"/>
      <c r="B207" s="19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25">
      <c r="A208" s="14"/>
      <c r="B208" s="19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25">
      <c r="A209" s="14"/>
      <c r="B209" s="19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25">
      <c r="A210" s="14"/>
      <c r="B210" s="19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25">
      <c r="A211" s="14"/>
      <c r="B211" s="19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25">
      <c r="A212" s="14"/>
      <c r="B212" s="19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25">
      <c r="A213" s="14"/>
      <c r="B213" s="19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25">
      <c r="A214" s="14"/>
      <c r="B214" s="19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25">
      <c r="A215" s="14"/>
      <c r="B215" s="19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25">
      <c r="A216" s="14"/>
      <c r="B216" s="19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25">
      <c r="A217" s="14"/>
      <c r="B217" s="19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25">
      <c r="A218" s="14"/>
      <c r="B218" s="19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25">
      <c r="A219" s="14"/>
      <c r="B219" s="19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25">
      <c r="A220" s="14"/>
      <c r="B220" s="19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25">
      <c r="A221" s="14"/>
      <c r="B221" s="19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25">
      <c r="A222" s="14"/>
      <c r="B222" s="19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25">
      <c r="A223" s="14"/>
      <c r="B223" s="19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25">
      <c r="A224" s="14"/>
      <c r="B224" s="19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25">
      <c r="A225" s="14"/>
      <c r="B225" s="19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25">
      <c r="A226" s="14"/>
      <c r="B226" s="19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25">
      <c r="A227" s="14"/>
      <c r="B227" s="19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25">
      <c r="A228" s="14"/>
      <c r="B228" s="19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25">
      <c r="A229" s="14"/>
      <c r="B229" s="19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25">
      <c r="A230" s="14"/>
      <c r="B230" s="19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25">
      <c r="A231" s="14"/>
      <c r="B231" s="19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25">
      <c r="A232" s="14"/>
      <c r="B232" s="19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25">
      <c r="A233" s="14"/>
      <c r="B233" s="19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25">
      <c r="A234" s="14"/>
      <c r="B234" s="19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25">
      <c r="A235" s="14"/>
      <c r="B235" s="19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25">
      <c r="A236" s="14"/>
      <c r="B236" s="19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25">
      <c r="A237" s="14"/>
      <c r="B237" s="19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25">
      <c r="A238" s="14"/>
      <c r="B238" s="19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25">
      <c r="A239" s="14"/>
      <c r="B239" s="19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25">
      <c r="A240" s="14"/>
      <c r="B240" s="19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25">
      <c r="A241" s="14"/>
      <c r="B241" s="19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25">
      <c r="A242" s="14"/>
      <c r="B242" s="19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25">
      <c r="A243" s="14"/>
      <c r="B243" s="19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25">
      <c r="A244" s="14"/>
      <c r="B244" s="19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25">
      <c r="A245" s="14"/>
      <c r="B245" s="19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25">
      <c r="A246" s="14"/>
      <c r="B246" s="19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25">
      <c r="A247" s="14"/>
      <c r="B247" s="19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25">
      <c r="A248" s="14"/>
      <c r="B248" s="19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25">
      <c r="A249" s="14"/>
      <c r="B249" s="19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25">
      <c r="A250" s="14"/>
      <c r="B250" s="19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25">
      <c r="A251" s="14"/>
      <c r="B251" s="19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25">
      <c r="A252" s="14"/>
      <c r="B252" s="19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25">
      <c r="A253" s="14"/>
      <c r="B253" s="19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25">
      <c r="A254" s="14"/>
      <c r="B254" s="19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25">
      <c r="A255" s="14"/>
      <c r="B255" s="19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25">
      <c r="A256" s="14"/>
      <c r="B256" s="19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25">
      <c r="A257" s="14"/>
      <c r="B257" s="19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25">
      <c r="A258" s="14"/>
      <c r="B258" s="19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25">
      <c r="A259" s="14"/>
      <c r="B259" s="19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25">
      <c r="A260" s="14"/>
      <c r="B260" s="19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25">
      <c r="A261" s="14"/>
      <c r="B261" s="19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25">
      <c r="A262" s="14"/>
      <c r="B262" s="19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25">
      <c r="A263" s="14"/>
      <c r="B263" s="19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25">
      <c r="A264" s="14"/>
      <c r="B264" s="19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25">
      <c r="A265" s="14"/>
      <c r="B265" s="19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25">
      <c r="A266" s="14"/>
      <c r="B266" s="19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25">
      <c r="A267" s="14"/>
      <c r="B267" s="19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25">
      <c r="A268" s="14"/>
      <c r="B268" s="19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25">
      <c r="A269" s="14"/>
      <c r="B269" s="19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25">
      <c r="A270" s="14"/>
      <c r="B270" s="19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25">
      <c r="A271" s="14"/>
      <c r="B271" s="19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25">
      <c r="A272" s="14"/>
      <c r="B272" s="19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25">
      <c r="A273" s="14"/>
      <c r="B273" s="19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25">
      <c r="A274" s="14"/>
      <c r="B274" s="19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25">
      <c r="A275" s="14"/>
      <c r="B275" s="19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25">
      <c r="A276" s="14"/>
      <c r="B276" s="19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25">
      <c r="A277" s="14"/>
      <c r="B277" s="19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25">
      <c r="A278" s="14"/>
      <c r="B278" s="19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25">
      <c r="A279" s="14"/>
      <c r="B279" s="19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25">
      <c r="A280" s="14"/>
      <c r="B280" s="19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25">
      <c r="A281" s="14"/>
      <c r="B281" s="19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25">
      <c r="A282" s="14"/>
      <c r="B282" s="19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25">
      <c r="A283" s="14"/>
      <c r="B283" s="19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25">
      <c r="A284" s="14"/>
      <c r="B284" s="19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25">
      <c r="A285" s="14"/>
      <c r="B285" s="19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25">
      <c r="A286" s="14"/>
      <c r="B286" s="19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25">
      <c r="A287" s="14"/>
      <c r="B287" s="19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25">
      <c r="A288" s="14"/>
      <c r="B288" s="19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25">
      <c r="A289" s="14"/>
      <c r="B289" s="19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25">
      <c r="A290" s="14"/>
      <c r="B290" s="19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25">
      <c r="A291" s="14"/>
      <c r="B291" s="19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25">
      <c r="A292" s="14"/>
      <c r="B292" s="19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25">
      <c r="A293" s="14"/>
      <c r="B293" s="19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25">
      <c r="A294" s="14"/>
      <c r="B294" s="19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25">
      <c r="A295" s="14"/>
      <c r="B295" s="19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25">
      <c r="A296" s="14"/>
      <c r="B296" s="19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25">
      <c r="A297" s="14"/>
      <c r="B297" s="19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25">
      <c r="A298" s="14"/>
      <c r="B298" s="19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25">
      <c r="A299" s="14"/>
      <c r="B299" s="19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25">
      <c r="A300" s="14"/>
      <c r="B300" s="19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25">
      <c r="A301" s="14"/>
      <c r="B301" s="19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25">
      <c r="A302" s="14"/>
      <c r="B302" s="19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25">
      <c r="A303" s="14"/>
      <c r="B303" s="19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25">
      <c r="A304" s="14"/>
      <c r="B304" s="19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25">
      <c r="A305" s="14"/>
      <c r="B305" s="19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25">
      <c r="A306" s="14"/>
      <c r="B306" s="19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25">
      <c r="A307" s="14"/>
      <c r="B307" s="19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25">
      <c r="A308" s="14"/>
      <c r="B308" s="19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25">
      <c r="A309" s="14"/>
      <c r="B309" s="19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25">
      <c r="A310" s="14"/>
      <c r="B310" s="19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25">
      <c r="A311" s="14"/>
      <c r="B311" s="19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25">
      <c r="A312" s="14"/>
      <c r="B312" s="19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25">
      <c r="A313" s="14"/>
      <c r="B313" s="19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25">
      <c r="A314" s="14"/>
      <c r="B314" s="19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25">
      <c r="A315" s="14"/>
      <c r="B315" s="19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25">
      <c r="A316" s="14"/>
      <c r="B316" s="19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25">
      <c r="A317" s="14"/>
      <c r="B317" s="19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25">
      <c r="A318" s="14"/>
      <c r="B318" s="19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25">
      <c r="A319" s="14"/>
      <c r="B319" s="19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25">
      <c r="A320" s="14"/>
      <c r="B320" s="19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25">
      <c r="A321" s="14"/>
      <c r="B321" s="19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3.9">
      <c r="C322" s="14"/>
      <c r="D322" s="14"/>
      <c r="E322" s="14"/>
      <c r="F322" s="15"/>
      <c r="G322" s="14"/>
      <c r="H322" s="14"/>
      <c r="I322" s="15"/>
      <c r="J322" s="14"/>
      <c r="K322" s="14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78</v>
      </c>
      <c r="B1" t="s">
        <v>79</v>
      </c>
    </row>
    <row r="3" spans="1:12">
      <c r="A3" t="s">
        <v>80</v>
      </c>
      <c r="B3" t="s">
        <v>3</v>
      </c>
      <c r="C3" t="s">
        <v>4</v>
      </c>
      <c r="D3" t="s">
        <v>81</v>
      </c>
      <c r="E3" s="2" t="s">
        <v>82</v>
      </c>
    </row>
    <row r="4" spans="1:12" ht="14.25">
      <c r="A4" s="30" t="s">
        <v>83</v>
      </c>
      <c r="B4" t="s">
        <v>84</v>
      </c>
      <c r="C4" s="29" t="s">
        <v>85</v>
      </c>
      <c r="D4" s="28" t="s">
        <v>86</v>
      </c>
      <c r="E4" t="s">
        <v>87</v>
      </c>
      <c r="G4" s="3"/>
    </row>
    <row r="5" spans="1:12" ht="14.25">
      <c r="A5" s="30" t="s">
        <v>88</v>
      </c>
      <c r="B5" t="s">
        <v>88</v>
      </c>
      <c r="C5" s="29" t="s">
        <v>89</v>
      </c>
      <c r="D5" s="28"/>
      <c r="E5" t="s">
        <v>87</v>
      </c>
      <c r="G5" s="3"/>
    </row>
    <row r="6" spans="1:12" ht="14.25">
      <c r="A6" s="30" t="s">
        <v>90</v>
      </c>
      <c r="B6" t="s">
        <v>91</v>
      </c>
      <c r="C6" s="29" t="s">
        <v>89</v>
      </c>
      <c r="D6" s="28" t="s">
        <v>86</v>
      </c>
      <c r="E6" t="s">
        <v>87</v>
      </c>
      <c r="G6" s="3"/>
    </row>
    <row r="7" spans="1:12" ht="12.75" customHeight="1">
      <c r="A7" s="69" t="s">
        <v>92</v>
      </c>
      <c r="B7" s="66" t="s">
        <v>93</v>
      </c>
      <c r="C7" s="29" t="s">
        <v>89</v>
      </c>
      <c r="E7" t="s">
        <v>87</v>
      </c>
      <c r="K7" s="26"/>
      <c r="L7" s="26"/>
    </row>
    <row r="8" spans="1:12" ht="12.75" customHeight="1">
      <c r="K8" s="26"/>
      <c r="L8" s="26"/>
    </row>
    <row r="9" spans="1:12" ht="12.75" customHeight="1">
      <c r="K9" s="26"/>
      <c r="L9" s="26"/>
    </row>
    <row r="10" spans="1:12" ht="12.75" customHeight="1">
      <c r="K10" s="26"/>
      <c r="L10" s="26"/>
    </row>
    <row r="11" spans="1:12" ht="12.75" customHeight="1">
      <c r="K11" s="26"/>
      <c r="L11" s="26"/>
    </row>
    <row r="12" spans="1:12" ht="12.75" customHeight="1">
      <c r="K12" s="26"/>
      <c r="L12" s="2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2024-10-17T19:44:41Z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