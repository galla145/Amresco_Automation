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7" documentId="13_ncr:1_{8CEF0BC1-58C2-4763-84AC-81A3FE43D14E}" xr6:coauthVersionLast="47" xr6:coauthVersionMax="47" xr10:uidLastSave="{CA82223A-3C07-4A23-8666-56A72E52C8C6}"/>
  <bookViews>
    <workbookView xWindow="28680" yWindow="-120" windowWidth="29040" windowHeight="15720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<sst xmlns="http://schemas.openxmlformats.org/spreadsheetml/2006/main" count="250" uniqueCount="63">
  <si>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</si>
  <si>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</si>
  <si>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</si>
  <si>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</si>
  <si>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</si>
  <si>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</si>
  <si>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</si>
  <si>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</si>
  <si>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</si>
  <si>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</si>
  <si>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</si>
  <si>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</si>
  <si>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</si>
  <si>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</si>
  <si>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</si>
  <si>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</si>
  <si>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</si>
  <si>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</si>
  <si>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</si>
  <si>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</si>
  <si>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</si>
  <si>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</si>
  <si>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</si>
  <si>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</si>
  <si>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</si>
  <si>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</si>
  <si>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South RCB CB 9-16, 2.13 SM-14 is tripped offline on 03/02
 and back online on 03/03</t>
  </si>
  <si>
    <t>1. SR081522</t>
  </si>
  <si>
    <t>April Actual v. Expected</t>
  </si>
  <si>
    <t>April Actual v. Forecasted</t>
  </si>
  <si>
    <t>May Actual v. Expected</t>
  </si>
  <si>
    <t>May Actual v. Forecasted</t>
  </si>
  <si>
    <t>1.  North RCB - CB 1-8, 1.4 ND-11 is tripped offline at 12:30pm on 05/09 and back online on 05/10.</t>
  </si>
  <si>
    <t>1. 	SR084519</t>
  </si>
  <si>
    <t>June Actual v. Expected</t>
  </si>
  <si>
    <t>June Actual v. Forecasted</t>
  </si>
  <si>
    <t>1. North RCB - CB 1-8, 1.4 ND-11 is tripped offline at 12:30pm 06/08 and back online on 06/10.
2. Inverter N offline at 06:00AM on 06/27 and back online at 14:15 on same day.</t>
  </si>
  <si>
    <t>1.SR085760
2.SR087025</t>
  </si>
  <si>
    <t>July Actual v. Expected</t>
  </si>
  <si>
    <t>July Actual v. Forecasted</t>
  </si>
  <si>
    <t>1. North RCB - CB 9-14 Combiner Box 1.10 tripped offline at 13:15 on 07/28 and back online on 07/29.</t>
  </si>
  <si>
    <t>1. SR088321</t>
  </si>
  <si>
    <t>August Actual v. Expected</t>
  </si>
  <si>
    <t>August Actual v. Forecasted</t>
  </si>
  <si>
    <t>September Actual v. Expected</t>
  </si>
  <si>
    <t>September Actual v. Forecasted</t>
  </si>
  <si>
    <t>1. North RCB - CB 9-14 Combiner Box 1.10 tripped offline at 14:00 on 09/03 and back online on 09/04.</t>
  </si>
  <si>
    <t>1. SR089826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</si>
  <si>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</si>
  <si>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</si>
  <si>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</si>
  <si>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</si>
  <si>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</si>
  <si>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</si>
  <si>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</si>
  <si>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Bolton - Paragon</t>
  </si>
  <si>
    <t>Site DAS Name</t>
  </si>
  <si>
    <t>Update</t>
  </si>
  <si>
    <t>DAS</t>
  </si>
  <si>
    <t>Paragon Communications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</si>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</sst>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Bolton - Paragon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1051524</v>
      </c>
      <c r="D2" s="5">
        <f>SUM(D4:D79)</f>
        <v>1326586.1099999999</v>
      </c>
      <c r="E2" s="5">
        <f>C2-D2</f>
        <v>-275062.10999999987</v>
      </c>
      <c r="F2" s="6">
        <f>IFERROR(E2/D2, 0)</f>
        <v>-0.2073458390122899</v>
      </c>
      <c r="G2" s="5">
        <f>SUM(G4:G79)</f>
        <v>0</v>
      </c>
      <c r="H2" s="7">
        <f>C2-G2</f>
        <v>1051524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Bolton - Paragon</v>
      </c>
      <c r="B4" s="9" t="str" cm="1">
        <f t="array" ref="B4">Sites[State]</f>
        <v>MA</v>
      </c>
      <c r="C4" s="23">
        <f>SUM('1st Qtr'!C4, '2nd Qtr'!C4, '3rd Qtr'!C4, '4th Qtr'!C4)</f>
        <v>1051524</v>
      </c>
      <c r="D4" s="12">
        <f>SUM('1st Qtr'!D4, '2nd Qtr'!D4, '3rd Qtr'!D4, '4th Qtr'!D4)</f>
        <v>1326586.1099999999</v>
      </c>
      <c r="E4" s="12">
        <f>IF(AND(ISNUMBER(C4),ISNUMBER(D4)), C4-D4, "")</f>
        <v>-275062.10999999987</v>
      </c>
      <c r="F4" s="13">
        <f>IFERROR(E4/D4, "")</f>
        <v>-0.2073458390122899</v>
      </c>
      <c r="G4" s="14">
        <f>SUM('1st Qtr'!G4, '2nd Qtr'!G4, '3rd Qtr'!G4, '4th Qtr'!G4)</f>
        <v>0</v>
      </c>
      <c r="H4" s="14">
        <f>SUM('1st Qtr'!H4, '2nd Qtr'!H4, '3rd Qtr'!H4, '4th Qtr'!H4)</f>
        <v>1051524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Bolton - Paragon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204971</v>
      </c>
      <c r="D2" s="5">
        <f>SUM(D4:D79)</f>
        <v>255235.71</v>
      </c>
      <c r="E2" s="5">
        <f>C2-D2</f>
        <v>-50264.709999999992</v>
      </c>
      <c r="F2" s="6">
        <f>IFERROR(E2/D2, 0)</f>
        <v>-0.19693447284472848</v>
      </c>
      <c r="G2" s="5">
        <f>SUM(G4:G79)</f>
        <v>0</v>
      </c>
      <c r="H2" s="7">
        <f>C2-G2</f>
        <v>204971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SUM(Jan!C4, Feb!C4, Mar!C4)</f>
        <v>204971</v>
      </c>
      <c r="D4" s="12">
        <f>SUM(Jan!D4, Feb!D4, Mar!D4)</f>
        <v>255235.71</v>
      </c>
      <c r="E4" s="12">
        <f>IF(AND(ISNUMBER(C4),ISNUMBER(D4)), C4-D4, "")</f>
        <v>-50264.709999999992</v>
      </c>
      <c r="F4" s="13">
        <f>IFERROR(E4/D4, "")</f>
        <v>-0.19693447284472848</v>
      </c>
      <c r="G4" s="14">
        <f>SUM(Jan!G4, Feb!G4, Mar!G4)</f>
        <v>0</v>
      </c>
      <c r="H4" s="14">
        <f>SUM(Jan!H4, Feb!H4, Mar!H4)</f>
        <v>204971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13" sqref="G13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Bolton - Paragon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439462</v>
      </c>
      <c r="D2" s="5">
        <f>SUM(D4:D79)</f>
        <v>551358.4</v>
      </c>
      <c r="E2" s="5">
        <f>C2-D2</f>
        <v>-111896.40000000002</v>
      </c>
      <c r="F2" s="6">
        <f>IFERROR(E2/D2, 0)</f>
        <v>-0.20294675840614748</v>
      </c>
      <c r="G2" s="5">
        <f>SUM(G4:G79)</f>
        <v>0</v>
      </c>
      <c r="H2" s="7">
        <f>C2-G2</f>
        <v>439462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SUM(Apr!C4, May!C4, Jun!C4)</f>
        <v>439462</v>
      </c>
      <c r="D4" s="12">
        <f>SUM(Apr!D4, May!D4, Jun!D4)</f>
        <v>551358.4</v>
      </c>
      <c r="E4" s="12">
        <f>IF(AND(ISNUMBER(C4),ISNUMBER(D4)), C4-D4, "")</f>
        <v>-111896.40000000002</v>
      </c>
      <c r="F4" s="13">
        <f>IFERROR(E4/D4, "")</f>
        <v>-0.20294675840614748</v>
      </c>
      <c r="G4" s="14">
        <f>SUM(Apr!G4,May!G4,Jun!G4)</f>
        <v>0</v>
      </c>
      <c r="H4" s="14">
        <f>SUM(Apr!H4, May!H4, Jun!H4)</f>
        <v>439462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Bolton - Paragon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407091</v>
      </c>
      <c r="D2" s="5">
        <f>SUM(D4:D79)</f>
        <v>519992</v>
      </c>
      <c r="E2" s="5">
        <f>C2-D2</f>
        <v>-112901</v>
      </c>
      <c r="F2" s="6">
        <f>IFERROR(E2/D2, 0)</f>
        <v>-0.21712064800996939</v>
      </c>
      <c r="G2" s="5">
        <f>SUM(G4:G79)</f>
        <v>0</v>
      </c>
      <c r="H2" s="7">
        <f>C2-G2</f>
        <v>407091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SUM(Jul!C4, Aug!C4, Sep!C4)</f>
        <v>407091</v>
      </c>
      <c r="D4" s="12">
        <f>SUM(Jul!D4, Aug!D4, Sep!D4)</f>
        <v>519992</v>
      </c>
      <c r="E4" s="12">
        <f>IF(AND(ISNUMBER(C4),ISNUMBER(D4)), C4-D4, "")</f>
        <v>-112901</v>
      </c>
      <c r="F4" s="13">
        <f>IFERROR(E4/D4, "")</f>
        <v>-0.21712064800996939</v>
      </c>
      <c r="G4" s="14">
        <f>SUM(Jul!G4,Aug!G4,Sep!G4)</f>
        <v>0</v>
      </c>
      <c r="H4" s="14">
        <f>SUM(Jul!H4, Aug!H4, Sep!H4)</f>
        <v>407091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Bolton - Paragon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Bolton - Paragon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7" sqref="G17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23676</v>
      </c>
      <c r="D2" s="5">
        <f>SUM(D4:D78)</f>
        <v>48430.71</v>
      </c>
      <c r="E2" s="5">
        <f>C2-D2</f>
        <v>-24754.71</v>
      </c>
      <c r="F2" s="6">
        <f>IFERROR(E2/D2, 0)</f>
        <v>-0.51113663210801574</v>
      </c>
      <c r="G2" s="5">
        <f>SUM(G4:G78)</f>
        <v>0</v>
      </c>
      <c r="H2" s="7">
        <f>C2-G2</f>
        <v>23676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Bolton - Paragon</v>
      </c>
      <c r="B4" s="27" t="str" cm="1">
        <f t="array" ref="B4">Sites[State]</f>
        <v>MA</v>
      </c>
      <c r="C4" s="50">
        <v>23676</v>
      </c>
      <c r="D4" s="51">
        <v>48430.71</v>
      </c>
      <c r="E4" s="12">
        <f>IF(AND(ISNUMBER(C4),ISNUMBER(D4)), C4-D4, "")</f>
        <v>-24754.71</v>
      </c>
      <c r="F4" s="40">
        <f>IFERROR(E4/D4, "")</f>
        <v>-0.51113663210801574</v>
      </c>
      <c r="G4" s="53">
        <v>0</v>
      </c>
      <c r="H4" s="14">
        <f>IF(AND(ISNUMBER(C4),ISNUMBER(G4)), C4-G4, "")</f>
        <v>23676</v>
      </c>
      <c r="I4" s="15" t="str">
        <f>IFERROR(H4/G4, "")</f>
        <v/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19" sqref="G1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69800</v>
      </c>
      <c r="D2" s="5">
        <f>SUM(D4:D79)</f>
        <v>84973</v>
      </c>
      <c r="E2" s="5">
        <f>C2-D2</f>
        <v>-15173</v>
      </c>
      <c r="F2" s="6">
        <f>IFERROR(E2/D2, 0)</f>
        <v>-0.17856260223835807</v>
      </c>
      <c r="G2" s="5">
        <f>SUM(G4:G79)</f>
        <v>0</v>
      </c>
      <c r="H2" s="7">
        <f>C2-G2</f>
        <v>69800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Bolton - Paragon</v>
      </c>
      <c r="B4" s="27" t="str" cm="1">
        <f t="array" ref="B4">Sites[State]</f>
        <v>MA</v>
      </c>
      <c r="C4" s="23">
        <v>69800</v>
      </c>
      <c r="D4" s="12">
        <v>84973</v>
      </c>
      <c r="E4" s="12">
        <f>IF(AND(ISNUMBER(C4),ISNUMBER(D4)), C4-D4, "")</f>
        <v>-15173</v>
      </c>
      <c r="F4" s="13">
        <f>IFERROR(E4/D4, "")</f>
        <v>-0.17856260223835807</v>
      </c>
      <c r="G4" s="14">
        <v>0</v>
      </c>
      <c r="H4" s="14">
        <f>IF(AND(ISNUMBER(C4),ISNUMBER(G4)), C4-G4, "")</f>
        <v>69800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G18" sqref="G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111495</v>
      </c>
      <c r="D2" s="5">
        <f>SUM(D4:D79)</f>
        <v>121832</v>
      </c>
      <c r="E2" s="5">
        <f>C2-D2</f>
        <v>-10337</v>
      </c>
      <c r="F2" s="6">
        <f>IFERROR(E2/D2, 0)</f>
        <v>-8.4846345787641997E-2</v>
      </c>
      <c r="G2" s="5">
        <f>SUM(G4:G79)</f>
        <v>0</v>
      </c>
      <c r="H2" s="7">
        <f>C2-G2</f>
        <v>111495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111495</v>
      </c>
      <c r="D4" s="12">
        <v>121832</v>
      </c>
      <c r="E4" s="12">
        <f>IF(AND(ISNUMBER(C4),ISNUMBER(D4)), C4-D4, "")</f>
        <v>-10337</v>
      </c>
      <c r="F4" s="13">
        <f>IFERROR(E4/D4, "")</f>
        <v>-8.4846345787641997E-2</v>
      </c>
      <c r="G4" s="14">
        <v>0</v>
      </c>
      <c r="H4" s="14">
        <f>IF(AND(ISNUMBER(C4),ISNUMBER(G4)), C4-G4, "")</f>
        <v>111495</v>
      </c>
      <c r="I4" s="15" t="str">
        <f>IFERROR(H4/G4, "")</f>
        <v/>
      </c>
      <c r="J4" s="36" t="s">
        <v>26</v>
      </c>
      <c r="K4" s="36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D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127761</v>
      </c>
      <c r="D2" s="5">
        <f>SUM(D4:D79)</f>
        <v>156141.6</v>
      </c>
      <c r="E2" s="5">
        <f>C2-D2</f>
        <v>-28380.600000000006</v>
      </c>
      <c r="F2" s="6">
        <f>IFERROR(E2/D2, 0)</f>
        <v>-0.18176193916291369</v>
      </c>
      <c r="G2" s="5">
        <f>SUM(G4:G79)</f>
        <v>0</v>
      </c>
      <c r="H2" s="7">
        <f>C2-G2</f>
        <v>127761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127761</v>
      </c>
      <c r="D4" s="12">
        <v>156141.6</v>
      </c>
      <c r="E4" s="12">
        <f>IF(AND(ISNUMBER(C4),ISNUMBER(D4)), C4-D4, "")</f>
        <v>-28380.600000000006</v>
      </c>
      <c r="F4" s="13">
        <f>IFERROR(E4/D4, "")</f>
        <v>-0.18176193916291369</v>
      </c>
      <c r="G4" s="14">
        <v>0</v>
      </c>
      <c r="H4" s="14">
        <f>IF(AND(ISNUMBER(C4),ISNUMBER(G4)), C4-G4, "")</f>
        <v>127761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H17" sqref="H17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149605</v>
      </c>
      <c r="D2" s="5">
        <f>SUM(D4:D79)</f>
        <v>188114.7</v>
      </c>
      <c r="E2" s="5">
        <f>C2-D2</f>
        <v>-38509.700000000012</v>
      </c>
      <c r="F2" s="6">
        <f>IFERROR(E2/D2, 0)</f>
        <v>-0.20471393251032488</v>
      </c>
      <c r="G2" s="5">
        <f>SUM(G4:G79)</f>
        <v>0</v>
      </c>
      <c r="H2" s="7">
        <f>C2-G2</f>
        <v>149605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149605</v>
      </c>
      <c r="D4" s="12">
        <v>188114.7</v>
      </c>
      <c r="E4" s="12">
        <f>IF(AND(ISNUMBER(C4),ISNUMBER(D4)), C4-D4, "")</f>
        <v>-38509.700000000012</v>
      </c>
      <c r="F4" s="13">
        <f>IFERROR(E4/D4, "")</f>
        <v>-0.20471393251032488</v>
      </c>
      <c r="G4" s="14">
        <v>0</v>
      </c>
      <c r="H4" s="14">
        <f>IF(AND(ISNUMBER(C4),ISNUMBER(G4)), C4-G4, "")</f>
        <v>149605</v>
      </c>
      <c r="I4" s="15" t="str">
        <f>IFERROR(H4/G4, "")</f>
        <v/>
      </c>
      <c r="J4" s="36" t="s">
        <v>32</v>
      </c>
      <c r="K4" s="36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J13" sqref="J1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162096</v>
      </c>
      <c r="D2" s="5">
        <f>SUM(D4:D79)</f>
        <v>207102.1</v>
      </c>
      <c r="E2" s="5">
        <f>C2-D2</f>
        <v>-45006.100000000006</v>
      </c>
      <c r="F2" s="6">
        <f>IFERROR(E2/D2, 0)</f>
        <v>-0.21731358590762723</v>
      </c>
      <c r="G2" s="5">
        <f>SUM(G4:G79)</f>
        <v>0</v>
      </c>
      <c r="H2" s="7">
        <f>C2-G2</f>
        <v>162096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162096</v>
      </c>
      <c r="D4" s="12">
        <v>207102.1</v>
      </c>
      <c r="E4" s="12">
        <f>IF(AND(ISNUMBER(C4),ISNUMBER(D4)), C4-D4, "")</f>
        <v>-45006.100000000006</v>
      </c>
      <c r="F4" s="13">
        <f>IFERROR(E4/D4, "")</f>
        <v>-0.21731358590762723</v>
      </c>
      <c r="G4" s="14">
        <v>0</v>
      </c>
      <c r="H4" s="14">
        <f>IF(AND(ISNUMBER(C4),ISNUMBER(G4)), C4-G4, "")</f>
        <v>162096</v>
      </c>
      <c r="I4" s="15" t="str">
        <f>IFERROR(H4/G4, "")</f>
        <v/>
      </c>
      <c r="J4" s="36" t="s">
        <v>36</v>
      </c>
      <c r="K4" s="36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154411</v>
      </c>
      <c r="D2" s="5">
        <f>SUM(D4:D79)</f>
        <v>196452.7</v>
      </c>
      <c r="E2" s="5">
        <f>C2-D2</f>
        <v>-42041.700000000012</v>
      </c>
      <c r="F2" s="6">
        <f>IFERROR(E2/D2, 0)</f>
        <v>-0.214004185231356</v>
      </c>
      <c r="G2" s="5">
        <f>SUM(G4:G79)</f>
        <v>0</v>
      </c>
      <c r="H2" s="7">
        <f>C2-G2</f>
        <v>154411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154411</v>
      </c>
      <c r="D4" s="12">
        <v>196452.7</v>
      </c>
      <c r="E4" s="12">
        <f>IF(AND(ISNUMBER(C4),ISNUMBER(D4)), C4-D4, "")</f>
        <v>-42041.700000000012</v>
      </c>
      <c r="F4" s="13">
        <f>IFERROR(E4/D4, "")</f>
        <v>-0.214004185231356</v>
      </c>
      <c r="G4" s="14">
        <v>0</v>
      </c>
      <c r="H4" s="14">
        <f>IF(AND(ISNUMBER(C4),ISNUMBER(G4)), C4-G4, "")</f>
        <v>154411</v>
      </c>
      <c r="I4" s="15" t="str">
        <f>IFERROR(H4/G4, "")</f>
        <v/>
      </c>
      <c r="J4" s="36" t="s">
        <v>40</v>
      </c>
      <c r="K4" s="36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12" sqref="G12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136841</v>
      </c>
      <c r="D2" s="5">
        <f>SUM(D4:D79)</f>
        <v>174521.5</v>
      </c>
      <c r="E2" s="5">
        <f>C2-D2</f>
        <v>-37680.5</v>
      </c>
      <c r="F2" s="6">
        <f>IFERROR(E2/D2, 0)</f>
        <v>-0.21590749563807324</v>
      </c>
      <c r="G2" s="5">
        <f>SUM(G4:G79)</f>
        <v>0</v>
      </c>
      <c r="H2" s="7">
        <f>C2-G2</f>
        <v>136841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136841</v>
      </c>
      <c r="D4" s="12">
        <v>174521.5</v>
      </c>
      <c r="E4" s="12">
        <f>IF(AND(ISNUMBER(C4),ISNUMBER(D4)), C4-D4, "")</f>
        <v>-37680.5</v>
      </c>
      <c r="F4" s="13">
        <f>IFERROR(E4/D4, "")</f>
        <v>-0.21590749563807324</v>
      </c>
      <c r="G4" s="14">
        <v>0</v>
      </c>
      <c r="H4" s="14">
        <f>IF(AND(ISNUMBER(C4),ISNUMBER(G4)), C4-G4, "")</f>
        <v>136841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K4" sqref="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115839</v>
      </c>
      <c r="D2" s="5">
        <f>SUM(D4:D79)</f>
        <v>149017.79999999999</v>
      </c>
      <c r="E2" s="5">
        <f>C2-D2</f>
        <v>-33178.799999999988</v>
      </c>
      <c r="F2" s="6">
        <f>IFERROR(E2/D2, 0)</f>
        <v>-0.22264991162129619</v>
      </c>
      <c r="G2" s="5">
        <f>SUM(G4:G79)</f>
        <v>0</v>
      </c>
      <c r="H2" s="7">
        <f>C2-G2</f>
        <v>115839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Bolton - Paragon</v>
      </c>
      <c r="B4" s="27" t="str" cm="1">
        <f t="array" ref="B4">Sites[State]</f>
        <v>MA</v>
      </c>
      <c r="C4" s="23">
        <v>115839</v>
      </c>
      <c r="D4" s="12">
        <v>149017.79999999999</v>
      </c>
      <c r="E4" s="12">
        <f>IF(AND(ISNUMBER(C4),ISNUMBER(D4)), C4-D4, "")</f>
        <v>-33178.799999999988</v>
      </c>
      <c r="F4" s="13">
        <f>IFERROR(E4/D4, "")</f>
        <v>-0.22264991162129619</v>
      </c>
      <c r="G4" s="14">
        <v>0</v>
      </c>
      <c r="H4" s="14">
        <f>IF(AND(ISNUMBER(C4),ISNUMBER(G4)), C4-G4, "")</f>
        <v>115839</v>
      </c>
      <c r="I4" s="15" t="str">
        <f>IFERROR(H4/G4, "")</f>
        <v/>
      </c>
      <c r="J4" s="36" t="s">
        <v>46</v>
      </c>
      <c r="K4" s="36" t="s">
        <v>47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50</v>
      </c>
      <c r="E1" s="56"/>
      <c r="F1" s="56"/>
      <c r="G1" s="54" t="s">
        <v>51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Bolton - Paragon</v>
      </c>
      <c r="B1" s="55"/>
      <c r="C1" s="55"/>
      <c r="D1" s="56" t="s">
        <v>52</v>
      </c>
      <c r="E1" s="56"/>
      <c r="F1" s="56"/>
      <c r="G1" s="54" t="s">
        <v>53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Bolton - Paragon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4" sqref="D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45" t="s">
        <v>59</v>
      </c>
      <c r="B4" t="s">
        <v>55</v>
      </c>
      <c r="C4" s="43" t="s">
        <v>60</v>
      </c>
      <c r="D4" s="42" t="s">
        <v>61</v>
      </c>
      <c r="E4" t="s">
        <v>62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2BC74AAC-D69B-4AF1-9649-B21EF3C1C463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BE26B669-A686-459C-A5E9-FEC3409C4C81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2024-10-15T11:55:36Z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