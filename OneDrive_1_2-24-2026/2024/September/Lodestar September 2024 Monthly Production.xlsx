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September/"/>
    </mc:Choice>
  </mc:AlternateContent>
  <xr:revisionPtr revIDLastSave="583" documentId="13_ncr:1_{6BCA925E-9923-43B0-A781-0436D24A5A4E}" xr6:coauthVersionLast="47" xr6:coauthVersionMax="47" xr10:uidLastSave="{1369AA9F-7139-44DD-8F5E-DED999D49BEC}"/>
  <bookViews>
    <workbookView xWindow="-110" yWindow="-110" windowWidth="24220" windowHeight="15500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3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9" l="1"/>
  <c r="I21" i="29"/>
  <c r="I22" i="29"/>
  <c r="I23" i="29"/>
  <c r="H20" i="29"/>
  <c r="H21" i="29"/>
  <c r="H22" i="29"/>
  <c r="F20" i="29"/>
  <c r="F21" i="29"/>
  <c r="F22" i="29"/>
  <c r="F23" i="29"/>
  <c r="E20" i="29"/>
  <c r="E21" i="29"/>
  <c r="E22" i="29"/>
  <c r="D20" i="29"/>
  <c r="D21" i="29"/>
  <c r="D22" i="29"/>
  <c r="D23" i="29"/>
  <c r="C20" i="29"/>
  <c r="C21" i="29"/>
  <c r="C22" i="29"/>
  <c r="A4" i="26" a="1"/>
  <c r="A4" i="26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4" i="29"/>
  <c r="I18" i="26"/>
  <c r="I19" i="26"/>
  <c r="I20" i="26"/>
  <c r="I21" i="26"/>
  <c r="I22" i="26"/>
  <c r="I24" i="26"/>
  <c r="I25" i="26"/>
  <c r="I26" i="26"/>
  <c r="I27" i="26"/>
  <c r="I28" i="26"/>
  <c r="H15" i="26"/>
  <c r="I15" i="26"/>
  <c r="H16" i="26"/>
  <c r="I16" i="26"/>
  <c r="H17" i="26"/>
  <c r="I17" i="26"/>
  <c r="H18" i="26"/>
  <c r="H19" i="26"/>
  <c r="H20" i="26"/>
  <c r="H21" i="26"/>
  <c r="H22" i="26"/>
  <c r="H23" i="26"/>
  <c r="I23" i="26"/>
  <c r="H24" i="26"/>
  <c r="H25" i="26"/>
  <c r="H26" i="26"/>
  <c r="H27" i="26"/>
  <c r="H28" i="26"/>
  <c r="F18" i="26"/>
  <c r="F19" i="26"/>
  <c r="F20" i="26"/>
  <c r="F21" i="26"/>
  <c r="F22" i="26"/>
  <c r="F24" i="26"/>
  <c r="F25" i="26"/>
  <c r="F26" i="26"/>
  <c r="F27" i="26"/>
  <c r="F28" i="26"/>
  <c r="E15" i="26"/>
  <c r="F15" i="26"/>
  <c r="E16" i="26"/>
  <c r="F16" i="26"/>
  <c r="E17" i="26"/>
  <c r="F17" i="26"/>
  <c r="E18" i="26"/>
  <c r="E19" i="26"/>
  <c r="E20" i="26"/>
  <c r="E21" i="26"/>
  <c r="E22" i="26"/>
  <c r="E23" i="26"/>
  <c r="F23" i="26"/>
  <c r="E24" i="26"/>
  <c r="E25" i="26"/>
  <c r="E26" i="26"/>
  <c r="E27" i="26"/>
  <c r="E28" i="26"/>
  <c r="I18" i="27"/>
  <c r="I19" i="27"/>
  <c r="I20" i="27"/>
  <c r="I21" i="27"/>
  <c r="I22" i="27"/>
  <c r="I24" i="27"/>
  <c r="I25" i="27"/>
  <c r="I26" i="27"/>
  <c r="I27" i="27"/>
  <c r="I28" i="27"/>
  <c r="H15" i="27"/>
  <c r="I15" i="27"/>
  <c r="H16" i="27"/>
  <c r="I16" i="27"/>
  <c r="H17" i="27"/>
  <c r="I17" i="27"/>
  <c r="H18" i="27"/>
  <c r="H19" i="27"/>
  <c r="H20" i="27"/>
  <c r="H21" i="27"/>
  <c r="H22" i="27"/>
  <c r="H23" i="27"/>
  <c r="I23" i="27"/>
  <c r="H24" i="27"/>
  <c r="H25" i="27"/>
  <c r="H26" i="27"/>
  <c r="H27" i="27"/>
  <c r="H28" i="27"/>
  <c r="F18" i="27"/>
  <c r="F19" i="27"/>
  <c r="F20" i="27"/>
  <c r="F21" i="27"/>
  <c r="F22" i="27"/>
  <c r="F24" i="27"/>
  <c r="F25" i="27"/>
  <c r="F26" i="27"/>
  <c r="F27" i="27"/>
  <c r="F28" i="27"/>
  <c r="E15" i="27"/>
  <c r="F15" i="27"/>
  <c r="E16" i="27"/>
  <c r="F16" i="27"/>
  <c r="E17" i="27"/>
  <c r="F17" i="27"/>
  <c r="E18" i="27"/>
  <c r="E19" i="27"/>
  <c r="E20" i="27"/>
  <c r="E21" i="27"/>
  <c r="E22" i="27"/>
  <c r="E23" i="27"/>
  <c r="F23" i="27"/>
  <c r="E24" i="27"/>
  <c r="E25" i="27"/>
  <c r="E26" i="27"/>
  <c r="E27" i="27"/>
  <c r="E28" i="27"/>
  <c r="I18" i="28"/>
  <c r="I19" i="28"/>
  <c r="I20" i="28"/>
  <c r="I21" i="28"/>
  <c r="I22" i="28"/>
  <c r="I24" i="28"/>
  <c r="I25" i="28"/>
  <c r="I26" i="28"/>
  <c r="I27" i="28"/>
  <c r="I28" i="28"/>
  <c r="H15" i="28"/>
  <c r="I15" i="28"/>
  <c r="H16" i="28"/>
  <c r="I16" i="28"/>
  <c r="H17" i="28"/>
  <c r="I17" i="28"/>
  <c r="H18" i="28"/>
  <c r="H19" i="28"/>
  <c r="H20" i="28"/>
  <c r="H21" i="28"/>
  <c r="H22" i="28"/>
  <c r="H23" i="28"/>
  <c r="I23" i="28"/>
  <c r="H24" i="28"/>
  <c r="H25" i="28"/>
  <c r="H26" i="28"/>
  <c r="H27" i="28"/>
  <c r="H28" i="28"/>
  <c r="F18" i="28"/>
  <c r="F19" i="28"/>
  <c r="F20" i="28"/>
  <c r="F21" i="28"/>
  <c r="F22" i="28"/>
  <c r="F24" i="28"/>
  <c r="F25" i="28"/>
  <c r="F26" i="28"/>
  <c r="F27" i="28"/>
  <c r="F28" i="28"/>
  <c r="E15" i="28"/>
  <c r="F15" i="28"/>
  <c r="E16" i="28"/>
  <c r="F16" i="28"/>
  <c r="E17" i="28"/>
  <c r="F17" i="28"/>
  <c r="E18" i="28"/>
  <c r="E19" i="28"/>
  <c r="E20" i="28"/>
  <c r="E21" i="28"/>
  <c r="E22" i="28"/>
  <c r="E23" i="28"/>
  <c r="F23" i="28"/>
  <c r="E24" i="28"/>
  <c r="E25" i="28"/>
  <c r="E26" i="28"/>
  <c r="E27" i="28"/>
  <c r="E28" i="28"/>
  <c r="I18" i="19"/>
  <c r="I19" i="19"/>
  <c r="I20" i="19"/>
  <c r="I21" i="19"/>
  <c r="I22" i="19"/>
  <c r="I24" i="19"/>
  <c r="I25" i="19"/>
  <c r="I26" i="19"/>
  <c r="I27" i="19"/>
  <c r="I28" i="19"/>
  <c r="H15" i="19"/>
  <c r="I15" i="19"/>
  <c r="H16" i="19"/>
  <c r="I16" i="19"/>
  <c r="H17" i="19"/>
  <c r="I17" i="19"/>
  <c r="H18" i="19"/>
  <c r="H19" i="19"/>
  <c r="H20" i="19"/>
  <c r="H21" i="19"/>
  <c r="H22" i="19"/>
  <c r="H23" i="19"/>
  <c r="I23" i="19"/>
  <c r="H24" i="19"/>
  <c r="H25" i="19"/>
  <c r="H26" i="19"/>
  <c r="H27" i="19"/>
  <c r="H28" i="19"/>
  <c r="F15" i="19"/>
  <c r="F18" i="19"/>
  <c r="F19" i="19"/>
  <c r="F20" i="19"/>
  <c r="F21" i="19"/>
  <c r="F22" i="19"/>
  <c r="F24" i="19"/>
  <c r="F25" i="19"/>
  <c r="F26" i="19"/>
  <c r="F27" i="19"/>
  <c r="F28" i="19"/>
  <c r="E15" i="19"/>
  <c r="E16" i="19"/>
  <c r="F16" i="19"/>
  <c r="E17" i="19"/>
  <c r="F17" i="19"/>
  <c r="E18" i="19"/>
  <c r="E19" i="19"/>
  <c r="E20" i="19"/>
  <c r="E21" i="19"/>
  <c r="E22" i="19"/>
  <c r="E23" i="19"/>
  <c r="F23" i="19"/>
  <c r="E24" i="19"/>
  <c r="E25" i="19"/>
  <c r="E26" i="19"/>
  <c r="E27" i="19"/>
  <c r="E28" i="19"/>
  <c r="H20" i="18"/>
  <c r="I20" i="18"/>
  <c r="H21" i="18"/>
  <c r="I21" i="18"/>
  <c r="H22" i="18"/>
  <c r="I22" i="18"/>
  <c r="F20" i="18"/>
  <c r="F21" i="18"/>
  <c r="F22" i="18"/>
  <c r="E20" i="18"/>
  <c r="E21" i="18"/>
  <c r="E22" i="18"/>
  <c r="D20" i="18"/>
  <c r="D21" i="18"/>
  <c r="D22" i="18"/>
  <c r="D23" i="18"/>
  <c r="C20" i="18"/>
  <c r="C21" i="18"/>
  <c r="C22" i="18"/>
  <c r="C23" i="18"/>
  <c r="E23" i="18"/>
  <c r="F23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4" i="18"/>
  <c r="I18" i="20"/>
  <c r="I19" i="20"/>
  <c r="I20" i="20"/>
  <c r="I21" i="20"/>
  <c r="I22" i="20"/>
  <c r="I24" i="20"/>
  <c r="I25" i="20"/>
  <c r="I26" i="20"/>
  <c r="I27" i="20"/>
  <c r="I28" i="20"/>
  <c r="H15" i="20"/>
  <c r="I15" i="20"/>
  <c r="H16" i="20"/>
  <c r="I16" i="20"/>
  <c r="H17" i="20"/>
  <c r="I17" i="20"/>
  <c r="H18" i="20"/>
  <c r="H18" i="18"/>
  <c r="I18" i="18"/>
  <c r="H19" i="20"/>
  <c r="H20" i="20"/>
  <c r="H21" i="20"/>
  <c r="H22" i="20"/>
  <c r="H23" i="20"/>
  <c r="I23" i="20"/>
  <c r="H24" i="20"/>
  <c r="H25" i="20"/>
  <c r="H26" i="20"/>
  <c r="H27" i="20"/>
  <c r="H27" i="18"/>
  <c r="I27" i="18"/>
  <c r="H28" i="20"/>
  <c r="H28" i="18"/>
  <c r="I28" i="18"/>
  <c r="F18" i="20"/>
  <c r="F19" i="20"/>
  <c r="F20" i="20"/>
  <c r="F21" i="20"/>
  <c r="F22" i="20"/>
  <c r="F24" i="20"/>
  <c r="F25" i="20"/>
  <c r="F26" i="20"/>
  <c r="F27" i="20"/>
  <c r="F28" i="20"/>
  <c r="E15" i="20"/>
  <c r="F15" i="20"/>
  <c r="E16" i="20"/>
  <c r="F16" i="20"/>
  <c r="E17" i="20"/>
  <c r="F17" i="20"/>
  <c r="E18" i="20"/>
  <c r="E19" i="20"/>
  <c r="E20" i="20"/>
  <c r="E21" i="20"/>
  <c r="E22" i="20"/>
  <c r="E23" i="20"/>
  <c r="F23" i="20"/>
  <c r="E24" i="20"/>
  <c r="E25" i="20"/>
  <c r="E26" i="20"/>
  <c r="E27" i="20"/>
  <c r="E28" i="20"/>
  <c r="I18" i="21"/>
  <c r="I19" i="21"/>
  <c r="I20" i="21"/>
  <c r="I21" i="21"/>
  <c r="I22" i="21"/>
  <c r="I24" i="21"/>
  <c r="I25" i="21"/>
  <c r="I26" i="21"/>
  <c r="I27" i="21"/>
  <c r="I28" i="21"/>
  <c r="H18" i="21"/>
  <c r="H19" i="21"/>
  <c r="H20" i="21"/>
  <c r="H21" i="21"/>
  <c r="H22" i="21"/>
  <c r="H23" i="21"/>
  <c r="H24" i="21"/>
  <c r="H24" i="18"/>
  <c r="I24" i="18"/>
  <c r="H25" i="21"/>
  <c r="H25" i="18"/>
  <c r="H26" i="21"/>
  <c r="H27" i="21"/>
  <c r="H28" i="21"/>
  <c r="H15" i="21"/>
  <c r="I15" i="21"/>
  <c r="H16" i="21"/>
  <c r="I16" i="21"/>
  <c r="H17" i="21"/>
  <c r="I17" i="21"/>
  <c r="F18" i="21"/>
  <c r="F19" i="21"/>
  <c r="F20" i="21"/>
  <c r="F21" i="21"/>
  <c r="F22" i="21"/>
  <c r="F24" i="21"/>
  <c r="F25" i="21"/>
  <c r="F26" i="21"/>
  <c r="F27" i="21"/>
  <c r="F28" i="21"/>
  <c r="E15" i="21"/>
  <c r="F15" i="21"/>
  <c r="E16" i="21"/>
  <c r="F16" i="21"/>
  <c r="E17" i="21"/>
  <c r="F17" i="21"/>
  <c r="E18" i="21"/>
  <c r="E19" i="21"/>
  <c r="E20" i="21"/>
  <c r="E21" i="21"/>
  <c r="E22" i="21"/>
  <c r="E23" i="21"/>
  <c r="F23" i="21"/>
  <c r="E24" i="21"/>
  <c r="E25" i="21"/>
  <c r="E26" i="21"/>
  <c r="E27" i="21"/>
  <c r="E28" i="21"/>
  <c r="H20" i="34"/>
  <c r="H21" i="34"/>
  <c r="H22" i="34"/>
  <c r="H5" i="1"/>
  <c r="H6" i="1"/>
  <c r="H7" i="1"/>
  <c r="H8" i="1"/>
  <c r="H9" i="1"/>
  <c r="H10" i="1"/>
  <c r="H11" i="1"/>
  <c r="H12" i="1"/>
  <c r="H13" i="1"/>
  <c r="H14" i="1"/>
  <c r="H15" i="1"/>
  <c r="H18" i="1"/>
  <c r="H19" i="1"/>
  <c r="H20" i="1"/>
  <c r="H21" i="1"/>
  <c r="H22" i="1"/>
  <c r="H23" i="1"/>
  <c r="H24" i="1"/>
  <c r="H25" i="1"/>
  <c r="H26" i="1"/>
  <c r="H27" i="1"/>
  <c r="H28" i="1"/>
  <c r="H4" i="1"/>
  <c r="D20" i="34"/>
  <c r="D21" i="34"/>
  <c r="D22" i="34"/>
  <c r="C20" i="34"/>
  <c r="C21" i="34"/>
  <c r="C22" i="34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1" i="34"/>
  <c r="G22" i="1"/>
  <c r="G23" i="1"/>
  <c r="G24" i="1"/>
  <c r="G25" i="1"/>
  <c r="G26" i="1"/>
  <c r="G27" i="1"/>
  <c r="G28" i="1"/>
  <c r="G20" i="34"/>
  <c r="G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E21" i="1"/>
  <c r="D22" i="1"/>
  <c r="D23" i="1"/>
  <c r="D24" i="1"/>
  <c r="D25" i="1"/>
  <c r="D26" i="1"/>
  <c r="D27" i="1"/>
  <c r="D28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E22" i="1"/>
  <c r="C4" i="1"/>
  <c r="H28" i="73"/>
  <c r="I28" i="73"/>
  <c r="E28" i="73"/>
  <c r="F28" i="73"/>
  <c r="H27" i="73"/>
  <c r="I27" i="73"/>
  <c r="E27" i="73"/>
  <c r="F27" i="73"/>
  <c r="H26" i="73"/>
  <c r="I26" i="73"/>
  <c r="E26" i="73"/>
  <c r="F26" i="73"/>
  <c r="H25" i="73"/>
  <c r="I25" i="73"/>
  <c r="E25" i="73"/>
  <c r="F25" i="73"/>
  <c r="H24" i="73"/>
  <c r="I24" i="73"/>
  <c r="E24" i="73"/>
  <c r="F24" i="73"/>
  <c r="H23" i="73"/>
  <c r="I23" i="73"/>
  <c r="E23" i="73"/>
  <c r="F23" i="73"/>
  <c r="H22" i="73"/>
  <c r="I22" i="73"/>
  <c r="E22" i="73"/>
  <c r="F22" i="73"/>
  <c r="H21" i="73"/>
  <c r="I21" i="73"/>
  <c r="E21" i="73"/>
  <c r="F21" i="73"/>
  <c r="H20" i="73"/>
  <c r="I20" i="73"/>
  <c r="E20" i="73"/>
  <c r="F20" i="73"/>
  <c r="H19" i="73"/>
  <c r="I19" i="73"/>
  <c r="E19" i="73"/>
  <c r="F19" i="73"/>
  <c r="H18" i="73"/>
  <c r="I18" i="73"/>
  <c r="E18" i="73"/>
  <c r="F18" i="73"/>
  <c r="H17" i="73"/>
  <c r="I17" i="73"/>
  <c r="E17" i="73"/>
  <c r="F17" i="73"/>
  <c r="H16" i="73"/>
  <c r="I16" i="73"/>
  <c r="E16" i="73"/>
  <c r="F16" i="73"/>
  <c r="H15" i="73"/>
  <c r="I15" i="73"/>
  <c r="E15" i="73"/>
  <c r="F15" i="73"/>
  <c r="H14" i="73"/>
  <c r="I14" i="73"/>
  <c r="E14" i="73"/>
  <c r="F14" i="73"/>
  <c r="H13" i="73"/>
  <c r="I13" i="73"/>
  <c r="E13" i="73"/>
  <c r="F13" i="73"/>
  <c r="H12" i="73"/>
  <c r="I12" i="73"/>
  <c r="E12" i="73"/>
  <c r="F12" i="73"/>
  <c r="H11" i="73"/>
  <c r="I11" i="73"/>
  <c r="E11" i="73"/>
  <c r="F11" i="73"/>
  <c r="H10" i="73"/>
  <c r="I10" i="73"/>
  <c r="E10" i="73"/>
  <c r="F10" i="73"/>
  <c r="H9" i="73"/>
  <c r="I9" i="73"/>
  <c r="E9" i="73"/>
  <c r="F9" i="73"/>
  <c r="H8" i="73"/>
  <c r="I8" i="73"/>
  <c r="E8" i="73"/>
  <c r="F8" i="73"/>
  <c r="H7" i="73"/>
  <c r="I7" i="73"/>
  <c r="E7" i="73"/>
  <c r="F7" i="73"/>
  <c r="H6" i="73"/>
  <c r="I6" i="73"/>
  <c r="E6" i="73"/>
  <c r="F6" i="73"/>
  <c r="H5" i="73"/>
  <c r="I5" i="73"/>
  <c r="E5" i="73"/>
  <c r="F5" i="73"/>
  <c r="H4" i="73"/>
  <c r="I4" i="73"/>
  <c r="E4" i="73"/>
  <c r="F4" i="73"/>
  <c r="B4" i="73" a="1"/>
  <c r="B4" i="73"/>
  <c r="A4" i="73" a="1"/>
  <c r="A4" i="73"/>
  <c r="G2" i="73"/>
  <c r="D2" i="73"/>
  <c r="C2" i="73"/>
  <c r="J2" i="73"/>
  <c r="A1" i="73" a="1"/>
  <c r="A1" i="73"/>
  <c r="G22" i="34"/>
  <c r="G23" i="34"/>
  <c r="H15" i="4"/>
  <c r="I15" i="4"/>
  <c r="H16" i="4"/>
  <c r="H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F18" i="4"/>
  <c r="F20" i="4"/>
  <c r="E15" i="4"/>
  <c r="F15" i="4"/>
  <c r="E16" i="4"/>
  <c r="F16" i="4"/>
  <c r="E17" i="4"/>
  <c r="F17" i="4"/>
  <c r="E18" i="4"/>
  <c r="E19" i="4"/>
  <c r="F19" i="4"/>
  <c r="E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F18" i="3"/>
  <c r="F19" i="3"/>
  <c r="F20" i="3"/>
  <c r="F21" i="3"/>
  <c r="F22" i="3"/>
  <c r="F23" i="3"/>
  <c r="F24" i="3"/>
  <c r="F25" i="3"/>
  <c r="F26" i="3"/>
  <c r="F27" i="3"/>
  <c r="F28" i="3"/>
  <c r="I18" i="3"/>
  <c r="I19" i="3"/>
  <c r="I20" i="3"/>
  <c r="I21" i="3"/>
  <c r="I22" i="3"/>
  <c r="I23" i="3"/>
  <c r="I24" i="3"/>
  <c r="I25" i="3"/>
  <c r="I26" i="3"/>
  <c r="I27" i="3"/>
  <c r="I28" i="3"/>
  <c r="H18" i="3"/>
  <c r="H19" i="3"/>
  <c r="H20" i="3"/>
  <c r="H21" i="3"/>
  <c r="H22" i="3"/>
  <c r="H23" i="3"/>
  <c r="H24" i="3"/>
  <c r="H25" i="3"/>
  <c r="H26" i="3"/>
  <c r="H27" i="3"/>
  <c r="H28" i="3"/>
  <c r="H15" i="3"/>
  <c r="I15" i="3"/>
  <c r="H16" i="3"/>
  <c r="I16" i="3"/>
  <c r="H17" i="3"/>
  <c r="I17" i="3"/>
  <c r="E15" i="3"/>
  <c r="F15" i="3"/>
  <c r="E16" i="3"/>
  <c r="F16" i="3"/>
  <c r="E17" i="3"/>
  <c r="F17" i="3"/>
  <c r="E18" i="3"/>
  <c r="E19" i="3"/>
  <c r="E20" i="3"/>
  <c r="E21" i="3"/>
  <c r="E22" i="3"/>
  <c r="E23" i="3"/>
  <c r="E24" i="3"/>
  <c r="E25" i="3"/>
  <c r="E26" i="3"/>
  <c r="E27" i="3"/>
  <c r="E28" i="3"/>
  <c r="C18" i="29"/>
  <c r="D18" i="29"/>
  <c r="H18" i="29"/>
  <c r="I18" i="29"/>
  <c r="C19" i="29"/>
  <c r="D19" i="29"/>
  <c r="H19" i="29"/>
  <c r="I19" i="29"/>
  <c r="C23" i="29"/>
  <c r="C23" i="34"/>
  <c r="D23" i="34"/>
  <c r="H23" i="29"/>
  <c r="C24" i="29"/>
  <c r="D24" i="29"/>
  <c r="H24" i="29"/>
  <c r="I24" i="29"/>
  <c r="C25" i="29"/>
  <c r="C25" i="34"/>
  <c r="D25" i="29"/>
  <c r="H25" i="29"/>
  <c r="I25" i="29"/>
  <c r="C26" i="29"/>
  <c r="D26" i="29"/>
  <c r="H26" i="29"/>
  <c r="I26" i="29"/>
  <c r="C27" i="29"/>
  <c r="D27" i="29"/>
  <c r="H27" i="29"/>
  <c r="I27" i="29"/>
  <c r="C28" i="29"/>
  <c r="D28" i="29"/>
  <c r="D28" i="34"/>
  <c r="H28" i="29"/>
  <c r="I28" i="29"/>
  <c r="C17" i="18"/>
  <c r="D17" i="18"/>
  <c r="C18" i="18"/>
  <c r="C18" i="34"/>
  <c r="D18" i="18"/>
  <c r="D18" i="34"/>
  <c r="C19" i="18"/>
  <c r="C19" i="34"/>
  <c r="D19" i="18"/>
  <c r="D19" i="34"/>
  <c r="H19" i="18"/>
  <c r="I19" i="18"/>
  <c r="C24" i="18"/>
  <c r="D24" i="18"/>
  <c r="C25" i="18"/>
  <c r="D25" i="18"/>
  <c r="C26" i="18"/>
  <c r="D26" i="18"/>
  <c r="H26" i="18"/>
  <c r="I26" i="18"/>
  <c r="C27" i="18"/>
  <c r="D27" i="18"/>
  <c r="C28" i="18"/>
  <c r="C28" i="34"/>
  <c r="D28" i="18"/>
  <c r="D27" i="34"/>
  <c r="C27" i="34"/>
  <c r="D25" i="34"/>
  <c r="D24" i="34"/>
  <c r="C24" i="34"/>
  <c r="E24" i="34"/>
  <c r="F24" i="34"/>
  <c r="D26" i="34"/>
  <c r="C26" i="34"/>
  <c r="H23" i="18"/>
  <c r="I23" i="18"/>
  <c r="I23" i="21"/>
  <c r="E17" i="18"/>
  <c r="F17" i="18"/>
  <c r="I16" i="4"/>
  <c r="H16" i="1"/>
  <c r="I17" i="4"/>
  <c r="H17" i="1"/>
  <c r="H28" i="34"/>
  <c r="H19" i="34"/>
  <c r="I25" i="18"/>
  <c r="H25" i="34"/>
  <c r="H23" i="34"/>
  <c r="H27" i="34"/>
  <c r="H26" i="34"/>
  <c r="H18" i="34"/>
  <c r="H24" i="34"/>
  <c r="I20" i="34"/>
  <c r="I21" i="34"/>
  <c r="I22" i="34"/>
  <c r="E20" i="1"/>
  <c r="E21" i="34"/>
  <c r="F21" i="34"/>
  <c r="E20" i="34"/>
  <c r="F20" i="34"/>
  <c r="E22" i="34"/>
  <c r="F22" i="34"/>
  <c r="E2" i="73"/>
  <c r="F2" i="73"/>
  <c r="H2" i="73"/>
  <c r="I2" i="73"/>
  <c r="E18" i="29"/>
  <c r="F18" i="29"/>
  <c r="E26" i="34"/>
  <c r="F26" i="34"/>
  <c r="E25" i="34"/>
  <c r="F25" i="34"/>
  <c r="E19" i="34"/>
  <c r="F19" i="34"/>
  <c r="E26" i="29"/>
  <c r="F26" i="29"/>
  <c r="E23" i="29"/>
  <c r="E28" i="29"/>
  <c r="F28" i="29"/>
  <c r="E25" i="29"/>
  <c r="F25" i="29"/>
  <c r="E27" i="29"/>
  <c r="F27" i="29"/>
  <c r="E24" i="29"/>
  <c r="F24" i="29"/>
  <c r="E19" i="29"/>
  <c r="F19" i="29"/>
  <c r="E27" i="18"/>
  <c r="F27" i="18"/>
  <c r="E25" i="18"/>
  <c r="F25" i="18"/>
  <c r="E19" i="18"/>
  <c r="F19" i="18"/>
  <c r="E18" i="18"/>
  <c r="F18" i="18"/>
  <c r="E28" i="18"/>
  <c r="F28" i="18"/>
  <c r="E26" i="18"/>
  <c r="F26" i="18"/>
  <c r="E24" i="18"/>
  <c r="F24" i="18"/>
  <c r="E18" i="34"/>
  <c r="F18" i="34"/>
  <c r="E28" i="34"/>
  <c r="F28" i="34"/>
  <c r="E23" i="34"/>
  <c r="F23" i="34"/>
  <c r="E27" i="34"/>
  <c r="F27" i="34"/>
  <c r="G18" i="34"/>
  <c r="G19" i="34"/>
  <c r="G24" i="34"/>
  <c r="G25" i="34"/>
  <c r="G27" i="34"/>
  <c r="G28" i="34"/>
  <c r="C28" i="30"/>
  <c r="D28" i="30"/>
  <c r="H28" i="30"/>
  <c r="I28" i="30"/>
  <c r="C18" i="30"/>
  <c r="D18" i="30"/>
  <c r="H18" i="30"/>
  <c r="I18" i="30"/>
  <c r="C19" i="30"/>
  <c r="D19" i="30"/>
  <c r="H19" i="30"/>
  <c r="I19" i="30"/>
  <c r="C23" i="30"/>
  <c r="D23" i="30"/>
  <c r="H23" i="30"/>
  <c r="I23" i="30"/>
  <c r="C24" i="30"/>
  <c r="D24" i="30"/>
  <c r="H24" i="30"/>
  <c r="I24" i="30"/>
  <c r="C25" i="30"/>
  <c r="D25" i="30"/>
  <c r="H25" i="30"/>
  <c r="I25" i="30"/>
  <c r="C26" i="30"/>
  <c r="D26" i="30"/>
  <c r="H26" i="30"/>
  <c r="I26" i="30"/>
  <c r="C27" i="30"/>
  <c r="D27" i="30"/>
  <c r="H27" i="30"/>
  <c r="I27" i="30"/>
  <c r="C16" i="30"/>
  <c r="D16" i="30"/>
  <c r="E16" i="30"/>
  <c r="F16" i="30"/>
  <c r="C17" i="30"/>
  <c r="D17" i="30"/>
  <c r="C16" i="29"/>
  <c r="D16" i="29"/>
  <c r="C17" i="29"/>
  <c r="C17" i="34"/>
  <c r="D17" i="29"/>
  <c r="D17" i="34"/>
  <c r="C16" i="18"/>
  <c r="D16" i="18"/>
  <c r="D16" i="34"/>
  <c r="G16" i="34"/>
  <c r="G17" i="34"/>
  <c r="H17" i="33"/>
  <c r="I17" i="33"/>
  <c r="E17" i="33"/>
  <c r="F17" i="33"/>
  <c r="H16" i="33"/>
  <c r="I16" i="33"/>
  <c r="E16" i="33"/>
  <c r="F16" i="33"/>
  <c r="H17" i="32"/>
  <c r="I17" i="32"/>
  <c r="E17" i="32"/>
  <c r="F17" i="32"/>
  <c r="H16" i="32"/>
  <c r="I16" i="32"/>
  <c r="E16" i="32"/>
  <c r="F16" i="32"/>
  <c r="H17" i="31"/>
  <c r="I17" i="31"/>
  <c r="E17" i="31"/>
  <c r="F17" i="31"/>
  <c r="H16" i="31"/>
  <c r="I16" i="31"/>
  <c r="E16" i="31"/>
  <c r="F16" i="3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30" a="1"/>
  <c r="A4" i="30"/>
  <c r="E4" i="3"/>
  <c r="F4" i="3"/>
  <c r="H4" i="3"/>
  <c r="I4" i="3"/>
  <c r="E5" i="3"/>
  <c r="F5" i="3"/>
  <c r="H5" i="3"/>
  <c r="I5" i="3"/>
  <c r="E6" i="3"/>
  <c r="F6" i="3"/>
  <c r="H6" i="3"/>
  <c r="I6" i="3"/>
  <c r="E7" i="3"/>
  <c r="F7" i="3"/>
  <c r="H7" i="3"/>
  <c r="I7" i="3"/>
  <c r="E8" i="3"/>
  <c r="F8" i="3"/>
  <c r="H8" i="3"/>
  <c r="I8" i="3"/>
  <c r="E9" i="3"/>
  <c r="F9" i="3"/>
  <c r="H9" i="3"/>
  <c r="I9" i="3"/>
  <c r="E10" i="3"/>
  <c r="F10" i="3"/>
  <c r="H10" i="3"/>
  <c r="I10" i="3"/>
  <c r="E11" i="3"/>
  <c r="F11" i="3"/>
  <c r="H11" i="3"/>
  <c r="I11" i="3"/>
  <c r="E12" i="3"/>
  <c r="F12" i="3"/>
  <c r="H12" i="3"/>
  <c r="I12" i="3"/>
  <c r="E13" i="3"/>
  <c r="F13" i="3"/>
  <c r="H13" i="3"/>
  <c r="I13" i="3"/>
  <c r="E14" i="3"/>
  <c r="F14" i="3"/>
  <c r="H14" i="3"/>
  <c r="I14" i="3"/>
  <c r="G6" i="34"/>
  <c r="G7" i="34"/>
  <c r="G8" i="34"/>
  <c r="G9" i="34"/>
  <c r="G10" i="34"/>
  <c r="G11" i="34"/>
  <c r="G12" i="34"/>
  <c r="G13" i="34"/>
  <c r="G14" i="34"/>
  <c r="G15" i="34"/>
  <c r="G5" i="34"/>
  <c r="G4" i="34"/>
  <c r="B4" i="34" a="1"/>
  <c r="B4" i="34"/>
  <c r="A4" i="34" a="1"/>
  <c r="A4" i="34"/>
  <c r="A1" i="34" a="1"/>
  <c r="A1" i="34"/>
  <c r="D15" i="30"/>
  <c r="C15" i="30"/>
  <c r="D14" i="30"/>
  <c r="C14" i="30"/>
  <c r="E14" i="30"/>
  <c r="F14" i="30"/>
  <c r="D13" i="30"/>
  <c r="C13" i="30"/>
  <c r="E13" i="30"/>
  <c r="F13" i="30"/>
  <c r="D12" i="30"/>
  <c r="C12" i="30"/>
  <c r="D11" i="30"/>
  <c r="C11" i="30"/>
  <c r="D10" i="30"/>
  <c r="C10" i="30"/>
  <c r="D9" i="30"/>
  <c r="C9" i="30"/>
  <c r="D8" i="30"/>
  <c r="C8" i="30"/>
  <c r="E8" i="30"/>
  <c r="F8" i="30"/>
  <c r="D7" i="30"/>
  <c r="C7" i="30"/>
  <c r="D6" i="30"/>
  <c r="C6" i="30"/>
  <c r="D5" i="30"/>
  <c r="C5" i="30"/>
  <c r="D4" i="30"/>
  <c r="C4" i="30"/>
  <c r="D15" i="29"/>
  <c r="C15" i="29"/>
  <c r="D14" i="29"/>
  <c r="C14" i="29"/>
  <c r="E14" i="29"/>
  <c r="F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/>
  <c r="F8" i="29"/>
  <c r="D7" i="29"/>
  <c r="C7" i="29"/>
  <c r="D6" i="29"/>
  <c r="C6" i="29"/>
  <c r="D5" i="29"/>
  <c r="C5" i="29"/>
  <c r="D4" i="29"/>
  <c r="C4" i="29"/>
  <c r="D15" i="18"/>
  <c r="D15" i="34"/>
  <c r="C15" i="18"/>
  <c r="C15" i="34"/>
  <c r="D14" i="18"/>
  <c r="C14" i="18"/>
  <c r="D13" i="18"/>
  <c r="C13" i="18"/>
  <c r="D12" i="18"/>
  <c r="C12" i="18"/>
  <c r="C12" i="34"/>
  <c r="D11" i="18"/>
  <c r="D11" i="34"/>
  <c r="C11" i="18"/>
  <c r="C11" i="34"/>
  <c r="D10" i="18"/>
  <c r="D10" i="34"/>
  <c r="C10" i="18"/>
  <c r="D9" i="18"/>
  <c r="C9" i="18"/>
  <c r="D8" i="18"/>
  <c r="C8" i="18"/>
  <c r="D7" i="18"/>
  <c r="D7" i="34"/>
  <c r="C7" i="18"/>
  <c r="D6" i="18"/>
  <c r="C6" i="18"/>
  <c r="D5" i="18"/>
  <c r="C5" i="18"/>
  <c r="C5" i="34"/>
  <c r="D4" i="18"/>
  <c r="C4" i="18"/>
  <c r="B4" i="30" a="1"/>
  <c r="B4" i="30"/>
  <c r="G2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G2" i="18"/>
  <c r="A1" i="18" a="1"/>
  <c r="A1" i="18"/>
  <c r="B4" i="1" a="1"/>
  <c r="B4" i="1"/>
  <c r="A4" i="1" a="1"/>
  <c r="A4" i="1"/>
  <c r="A1" i="1" a="1"/>
  <c r="A1" i="1"/>
  <c r="H15" i="33"/>
  <c r="I15" i="33"/>
  <c r="E15" i="33"/>
  <c r="F15" i="33"/>
  <c r="H14" i="33"/>
  <c r="I14" i="33"/>
  <c r="E14" i="33"/>
  <c r="F14" i="33"/>
  <c r="H13" i="33"/>
  <c r="I13" i="33"/>
  <c r="E13" i="33"/>
  <c r="F13" i="33"/>
  <c r="H12" i="33"/>
  <c r="I12" i="33"/>
  <c r="E12" i="33"/>
  <c r="F12" i="33"/>
  <c r="H11" i="33"/>
  <c r="I11" i="33"/>
  <c r="E11" i="33"/>
  <c r="F11" i="33"/>
  <c r="H10" i="33"/>
  <c r="I10" i="33"/>
  <c r="E10" i="33"/>
  <c r="F10" i="33"/>
  <c r="H9" i="33"/>
  <c r="I9" i="33"/>
  <c r="E9" i="33"/>
  <c r="F9" i="33"/>
  <c r="H8" i="33"/>
  <c r="I8" i="33"/>
  <c r="E8" i="33"/>
  <c r="F8" i="33"/>
  <c r="H7" i="33"/>
  <c r="I7" i="33"/>
  <c r="E7" i="33"/>
  <c r="F7" i="33"/>
  <c r="H6" i="33"/>
  <c r="I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/>
  <c r="H15" i="32"/>
  <c r="I15" i="32"/>
  <c r="E15" i="32"/>
  <c r="F15" i="32"/>
  <c r="H14" i="32"/>
  <c r="I14" i="32"/>
  <c r="E14" i="32"/>
  <c r="F14" i="32"/>
  <c r="H13" i="32"/>
  <c r="I13" i="32"/>
  <c r="E13" i="32"/>
  <c r="F13" i="32"/>
  <c r="H12" i="32"/>
  <c r="I12" i="32"/>
  <c r="E12" i="32"/>
  <c r="F12" i="32"/>
  <c r="H11" i="32"/>
  <c r="I11" i="32"/>
  <c r="E11" i="32"/>
  <c r="F11" i="32"/>
  <c r="H10" i="32"/>
  <c r="I10" i="32"/>
  <c r="E10" i="32"/>
  <c r="F10" i="32"/>
  <c r="H9" i="32"/>
  <c r="I9" i="32"/>
  <c r="E9" i="32"/>
  <c r="F9" i="32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14" i="28"/>
  <c r="I14" i="28"/>
  <c r="E14" i="28"/>
  <c r="F14" i="28"/>
  <c r="H13" i="28"/>
  <c r="I13" i="28"/>
  <c r="E13" i="28"/>
  <c r="F13" i="28"/>
  <c r="H12" i="28"/>
  <c r="I12" i="28"/>
  <c r="E12" i="28"/>
  <c r="F12" i="28"/>
  <c r="H11" i="28"/>
  <c r="I11" i="28"/>
  <c r="E11" i="28"/>
  <c r="F11" i="28"/>
  <c r="H10" i="28"/>
  <c r="I10" i="28"/>
  <c r="E10" i="28"/>
  <c r="F10" i="28"/>
  <c r="H9" i="28"/>
  <c r="I9" i="28"/>
  <c r="E9" i="28"/>
  <c r="F9" i="28"/>
  <c r="H8" i="28"/>
  <c r="I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14" i="27"/>
  <c r="I14" i="27"/>
  <c r="E14" i="27"/>
  <c r="F14" i="27"/>
  <c r="H13" i="27"/>
  <c r="E13" i="27"/>
  <c r="F13" i="27"/>
  <c r="H12" i="27"/>
  <c r="I12" i="27"/>
  <c r="E12" i="27"/>
  <c r="F12" i="27"/>
  <c r="H11" i="27"/>
  <c r="I11" i="27"/>
  <c r="E11" i="27"/>
  <c r="F11" i="27"/>
  <c r="H10" i="27"/>
  <c r="E10" i="27"/>
  <c r="F10" i="27"/>
  <c r="H9" i="27"/>
  <c r="I9" i="27"/>
  <c r="E9" i="27"/>
  <c r="F9" i="27"/>
  <c r="H8" i="27"/>
  <c r="I8" i="27"/>
  <c r="E8" i="27"/>
  <c r="F8" i="27"/>
  <c r="H7" i="27"/>
  <c r="I7" i="27"/>
  <c r="E7" i="27"/>
  <c r="F7" i="27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A1" i="27" a="1"/>
  <c r="A1" i="27"/>
  <c r="H14" i="26"/>
  <c r="I14" i="26"/>
  <c r="E14" i="26"/>
  <c r="F14" i="26"/>
  <c r="H13" i="26"/>
  <c r="I13" i="26"/>
  <c r="E13" i="26"/>
  <c r="F13" i="26"/>
  <c r="H12" i="26"/>
  <c r="E12" i="26"/>
  <c r="F12" i="26"/>
  <c r="H11" i="26"/>
  <c r="I11" i="26"/>
  <c r="E11" i="26"/>
  <c r="F11" i="26"/>
  <c r="H10" i="26"/>
  <c r="I10" i="26"/>
  <c r="E10" i="26"/>
  <c r="F10" i="26"/>
  <c r="H9" i="26"/>
  <c r="E9" i="26"/>
  <c r="F9" i="26"/>
  <c r="H8" i="26"/>
  <c r="I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14" i="21"/>
  <c r="I14" i="21"/>
  <c r="E14" i="21"/>
  <c r="F14" i="21"/>
  <c r="H13" i="21"/>
  <c r="I13" i="21"/>
  <c r="E13" i="21"/>
  <c r="F13" i="21"/>
  <c r="H12" i="21"/>
  <c r="I12" i="21"/>
  <c r="E12" i="21"/>
  <c r="F12" i="21"/>
  <c r="H11" i="21"/>
  <c r="I11" i="21"/>
  <c r="E11" i="21"/>
  <c r="F11" i="21"/>
  <c r="H10" i="21"/>
  <c r="I10" i="21"/>
  <c r="E10" i="21"/>
  <c r="F10" i="21"/>
  <c r="H9" i="21"/>
  <c r="I9" i="21"/>
  <c r="E9" i="21"/>
  <c r="F9" i="2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I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C10" i="34"/>
  <c r="D13" i="34"/>
  <c r="C13" i="34"/>
  <c r="D12" i="34"/>
  <c r="D9" i="34"/>
  <c r="C9" i="34"/>
  <c r="D8" i="34"/>
  <c r="C7" i="34"/>
  <c r="E7" i="34"/>
  <c r="F7" i="34"/>
  <c r="D14" i="34"/>
  <c r="D6" i="34"/>
  <c r="C6" i="34"/>
  <c r="E6" i="34"/>
  <c r="F6" i="34"/>
  <c r="D5" i="34"/>
  <c r="E16" i="18"/>
  <c r="F16" i="18"/>
  <c r="C16" i="34"/>
  <c r="E8" i="18"/>
  <c r="F8" i="18"/>
  <c r="C8" i="34"/>
  <c r="E14" i="18"/>
  <c r="F14" i="18"/>
  <c r="C14" i="34"/>
  <c r="I23" i="34"/>
  <c r="E6" i="18"/>
  <c r="F6" i="18"/>
  <c r="E12" i="18"/>
  <c r="F12" i="18"/>
  <c r="E6" i="29"/>
  <c r="F6" i="29"/>
  <c r="E12" i="29"/>
  <c r="F12" i="29"/>
  <c r="E6" i="30"/>
  <c r="F6" i="30"/>
  <c r="E12" i="30"/>
  <c r="F12" i="30"/>
  <c r="E23" i="30"/>
  <c r="F23" i="30"/>
  <c r="E16" i="29"/>
  <c r="F16" i="29"/>
  <c r="E11" i="30"/>
  <c r="F11" i="30"/>
  <c r="I17" i="1"/>
  <c r="E15" i="30"/>
  <c r="F15" i="30"/>
  <c r="E17" i="30"/>
  <c r="F17" i="30"/>
  <c r="I16" i="1"/>
  <c r="D4" i="34"/>
  <c r="E9" i="18"/>
  <c r="F9" i="18"/>
  <c r="E15" i="18"/>
  <c r="F15" i="18"/>
  <c r="E9" i="29"/>
  <c r="F9" i="29"/>
  <c r="E9" i="30"/>
  <c r="F9" i="30"/>
  <c r="E26" i="1"/>
  <c r="F26" i="1"/>
  <c r="E13" i="29"/>
  <c r="F13" i="29"/>
  <c r="E17" i="29"/>
  <c r="F17" i="29"/>
  <c r="H9" i="29"/>
  <c r="I9" i="29"/>
  <c r="H15" i="29"/>
  <c r="I15" i="29"/>
  <c r="D2" i="18"/>
  <c r="E4" i="18"/>
  <c r="F4" i="18"/>
  <c r="E10" i="18"/>
  <c r="F10" i="18"/>
  <c r="E10" i="29"/>
  <c r="F10" i="29"/>
  <c r="E4" i="30"/>
  <c r="F4" i="30"/>
  <c r="E10" i="30"/>
  <c r="F10" i="30"/>
  <c r="H6" i="29"/>
  <c r="I6" i="29"/>
  <c r="D2" i="29"/>
  <c r="H10" i="29"/>
  <c r="I10" i="29"/>
  <c r="H16" i="18"/>
  <c r="H13" i="29"/>
  <c r="I13" i="29"/>
  <c r="I10" i="27"/>
  <c r="E7" i="18"/>
  <c r="F7" i="18"/>
  <c r="E13" i="18"/>
  <c r="F13" i="18"/>
  <c r="H6" i="30"/>
  <c r="I6" i="30"/>
  <c r="E24" i="30"/>
  <c r="F24" i="30"/>
  <c r="E28" i="30"/>
  <c r="F28" i="30"/>
  <c r="E19" i="30"/>
  <c r="F19" i="30"/>
  <c r="E27" i="1"/>
  <c r="F27" i="1"/>
  <c r="I13" i="27"/>
  <c r="E5" i="18"/>
  <c r="F5" i="18"/>
  <c r="E11" i="18"/>
  <c r="F11" i="18"/>
  <c r="E5" i="29"/>
  <c r="F5" i="29"/>
  <c r="E11" i="29"/>
  <c r="F11" i="29"/>
  <c r="E5" i="30"/>
  <c r="F5" i="30"/>
  <c r="H17" i="18"/>
  <c r="H16" i="29"/>
  <c r="I16" i="29"/>
  <c r="H7" i="29"/>
  <c r="I7" i="29"/>
  <c r="H16" i="30"/>
  <c r="I16" i="30"/>
  <c r="H12" i="29"/>
  <c r="I12" i="29"/>
  <c r="H17" i="29"/>
  <c r="I17" i="29"/>
  <c r="H17" i="30"/>
  <c r="I17" i="30"/>
  <c r="E24" i="1"/>
  <c r="F24" i="1"/>
  <c r="I28" i="34"/>
  <c r="I27" i="34"/>
  <c r="I27" i="1"/>
  <c r="I25" i="34"/>
  <c r="I24" i="34"/>
  <c r="I28" i="1"/>
  <c r="I26" i="1"/>
  <c r="I24" i="1"/>
  <c r="I19" i="34"/>
  <c r="I18" i="34"/>
  <c r="E27" i="30"/>
  <c r="F27" i="30"/>
  <c r="E26" i="30"/>
  <c r="F26" i="30"/>
  <c r="E25" i="30"/>
  <c r="F25" i="30"/>
  <c r="E18" i="30"/>
  <c r="F18" i="30"/>
  <c r="I25" i="1"/>
  <c r="E19" i="1"/>
  <c r="F19" i="1"/>
  <c r="I18" i="1"/>
  <c r="E18" i="1"/>
  <c r="F18" i="1"/>
  <c r="I23" i="1"/>
  <c r="G26" i="34"/>
  <c r="E25" i="1"/>
  <c r="F25" i="1"/>
  <c r="E23" i="1"/>
  <c r="F23" i="1"/>
  <c r="E28" i="1"/>
  <c r="F28" i="1"/>
  <c r="I19" i="1"/>
  <c r="D2" i="30"/>
  <c r="E16" i="34"/>
  <c r="F16" i="34"/>
  <c r="E17" i="1"/>
  <c r="F17" i="1"/>
  <c r="E17" i="34"/>
  <c r="F17" i="34"/>
  <c r="E16" i="1"/>
  <c r="F16" i="1"/>
  <c r="H2" i="33"/>
  <c r="I2" i="33"/>
  <c r="J2" i="33"/>
  <c r="H2" i="32"/>
  <c r="I2" i="32"/>
  <c r="J2" i="32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E11" i="34"/>
  <c r="F11" i="34"/>
  <c r="E7" i="1"/>
  <c r="F7" i="1"/>
  <c r="E15" i="1"/>
  <c r="F15" i="1"/>
  <c r="E12" i="34"/>
  <c r="F12" i="34"/>
  <c r="E5" i="34"/>
  <c r="F5" i="34"/>
  <c r="E13" i="34"/>
  <c r="F13" i="34"/>
  <c r="G2" i="1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10" i="34"/>
  <c r="F10" i="34"/>
  <c r="E6" i="1"/>
  <c r="F6" i="1"/>
  <c r="E14" i="1"/>
  <c r="F14" i="1"/>
  <c r="H14" i="30"/>
  <c r="I14" i="30"/>
  <c r="H9" i="30"/>
  <c r="I9" i="30"/>
  <c r="H4" i="30"/>
  <c r="I4" i="30"/>
  <c r="E7" i="30"/>
  <c r="F7" i="30"/>
  <c r="H12" i="30"/>
  <c r="I12" i="30"/>
  <c r="H7" i="30"/>
  <c r="I7" i="30"/>
  <c r="H15" i="30"/>
  <c r="I15" i="30"/>
  <c r="H10" i="30"/>
  <c r="I10" i="30"/>
  <c r="H5" i="30"/>
  <c r="I5" i="30"/>
  <c r="H13" i="30"/>
  <c r="I13" i="30"/>
  <c r="H8" i="30"/>
  <c r="I8" i="30"/>
  <c r="H11" i="30"/>
  <c r="I11" i="30"/>
  <c r="E7" i="29"/>
  <c r="F7" i="29"/>
  <c r="H8" i="29"/>
  <c r="I8" i="29"/>
  <c r="H11" i="29"/>
  <c r="I11" i="29"/>
  <c r="I6" i="26"/>
  <c r="I9" i="26"/>
  <c r="I12" i="26"/>
  <c r="H14" i="29"/>
  <c r="I14" i="29"/>
  <c r="H4" i="29"/>
  <c r="I4" i="29"/>
  <c r="E15" i="29"/>
  <c r="F15" i="29"/>
  <c r="H5" i="29"/>
  <c r="I5" i="29"/>
  <c r="I7" i="26"/>
  <c r="H14" i="18"/>
  <c r="H9" i="18"/>
  <c r="H6" i="18"/>
  <c r="H4" i="18"/>
  <c r="I4" i="18"/>
  <c r="H12" i="18"/>
  <c r="H7" i="18"/>
  <c r="H15" i="18"/>
  <c r="H10" i="18"/>
  <c r="C4" i="34"/>
  <c r="H5" i="18"/>
  <c r="H13" i="18"/>
  <c r="H8" i="18"/>
  <c r="H11" i="18"/>
  <c r="E15" i="34"/>
  <c r="F15" i="34"/>
  <c r="C2" i="29"/>
  <c r="C2" i="30"/>
  <c r="E4" i="29"/>
  <c r="F4" i="29"/>
  <c r="C2" i="18"/>
  <c r="I7" i="1"/>
  <c r="I5" i="1"/>
  <c r="I15" i="1"/>
  <c r="I12" i="1"/>
  <c r="I11" i="1"/>
  <c r="I10" i="1"/>
  <c r="I6" i="1"/>
  <c r="C2" i="1"/>
  <c r="E2" i="3"/>
  <c r="F2" i="3"/>
  <c r="E4" i="1"/>
  <c r="F4" i="1"/>
  <c r="I14" i="1"/>
  <c r="I13" i="1"/>
  <c r="I9" i="1"/>
  <c r="I8" i="1"/>
  <c r="D2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2" i="4"/>
  <c r="F2" i="4"/>
  <c r="E8" i="34"/>
  <c r="F8" i="34"/>
  <c r="E14" i="34"/>
  <c r="F14" i="34"/>
  <c r="E9" i="34"/>
  <c r="F9" i="34"/>
  <c r="D2" i="34"/>
  <c r="I16" i="18"/>
  <c r="H16" i="34"/>
  <c r="I16" i="34"/>
  <c r="I15" i="18"/>
  <c r="H15" i="34"/>
  <c r="I15" i="34"/>
  <c r="I17" i="18"/>
  <c r="H17" i="34"/>
  <c r="I17" i="34"/>
  <c r="I11" i="18"/>
  <c r="H11" i="34"/>
  <c r="I11" i="34"/>
  <c r="I10" i="18"/>
  <c r="H10" i="34"/>
  <c r="I10" i="34"/>
  <c r="I9" i="18"/>
  <c r="H9" i="34"/>
  <c r="I9" i="34"/>
  <c r="I8" i="18"/>
  <c r="H8" i="34"/>
  <c r="I8" i="34"/>
  <c r="I7" i="18"/>
  <c r="H7" i="34"/>
  <c r="I7" i="34"/>
  <c r="I6" i="18"/>
  <c r="H6" i="34"/>
  <c r="I6" i="34"/>
  <c r="I5" i="18"/>
  <c r="H5" i="34"/>
  <c r="I5" i="34"/>
  <c r="I14" i="18"/>
  <c r="H14" i="34"/>
  <c r="I14" i="34"/>
  <c r="I13" i="18"/>
  <c r="H13" i="34"/>
  <c r="I13" i="34"/>
  <c r="I12" i="18"/>
  <c r="H12" i="34"/>
  <c r="I12" i="34"/>
  <c r="E4" i="34"/>
  <c r="F4" i="34"/>
  <c r="E2" i="29"/>
  <c r="F2" i="29"/>
  <c r="I26" i="34"/>
  <c r="G2" i="34"/>
  <c r="H2" i="1"/>
  <c r="I2" i="1"/>
  <c r="C2" i="34"/>
  <c r="I4" i="1"/>
  <c r="H4" i="34"/>
  <c r="I4" i="34"/>
  <c r="H2" i="29"/>
  <c r="I2" i="29"/>
  <c r="H2" i="30"/>
  <c r="I2" i="30"/>
  <c r="E2" i="30"/>
  <c r="F2" i="30"/>
  <c r="H2" i="18"/>
  <c r="I2" i="18"/>
  <c r="E2" i="18"/>
  <c r="F2" i="18"/>
  <c r="E2" i="1"/>
  <c r="F2" i="1"/>
  <c r="H2" i="34"/>
  <c r="I2" i="34"/>
  <c r="E2" i="34"/>
  <c r="F2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<sst xmlns="http://schemas.openxmlformats.org/spreadsheetml/2006/main" count="611" uniqueCount="319">
  <si>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</si>
  <si>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</si>
  <si>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</si>
  <si>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</si>
  <si>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</si>
  <si>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</si>
  <si>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</si>
  <si>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</si>
  <si>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</si>
  <si>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</si>
  <si>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</si>
  <si>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</si>
  <si>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</si>
  <si>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</si>
  <si>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</si>
  <si>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</si>
  <si>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</si>
  <si>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</si>
  <si>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March Actual v. Expected</t>
  </si>
  <si>
    <t>March Actual v. Forecasted</t>
  </si>
  <si>
    <t>Notes</t>
  </si>
  <si>
    <t>Service Requests</t>
  </si>
  <si>
    <t/>
  </si>
  <si>
    <t>1. Inverter 1 started at 14:00 on 01/05.
2. Inverter 1 offline on 01/07 and resolved on 01/10  and reporting Bus Differential High Fault - Fault 0110.
2.  inverter 4 is currently offline on 01/07 and resolved on 01/09 and reporting Bus Differential High Fault - Fault 0110.
3. Inverters 1, 4 and 11 are offline on 01/13 and resolved on 01/14 due to "Bus differential high fault".
4.  Inverter 11 is offline on 01/13 resolved on 01/19 due to Bus differential fault.
5. Inverter 11 is offline from 01/19  due to Bus differential fault.</t>
  </si>
  <si>
    <t>1. SR079979
2.  SR080049
3. SR080194
4. SR080314
5. SR080441</t>
  </si>
  <si>
    <t>1.Inverters 61 to 64 have tripped offline at 11:15am on 01/01 and resolved next day
2.Inverters 61 to 64 have tripped offline at 11:15am on 01/15 and resolved next day
3.Inverter 48 was offline due to "Bus sum high" fault on 01/27 and RMA'd</t>
  </si>
  <si>
    <t>1.SR079853
2.SR080230
3.SR080522</t>
  </si>
  <si>
    <t>1.Inverter 1 is offline and reporting "Excessive Leakage Current" from 01/01 to 01/15
2.Inverter 5 is offline and reporting "Internal hardware failure" on 01/22 and back online next day
3.Inverter 1 is offline and reporting "Excessive Leakage Current from 01/25 and still offline</t>
  </si>
  <si>
    <t>1.SR078505
2.SR080384	
3.SR080614</t>
  </si>
  <si>
    <t xml:space="preserve"> </t>
  </si>
  <si>
    <t>1.Site tripped offline on 01/16 at 19:15 and autoreclosed at 19:30
2. CB 1.8 on DAS, (CB 10 onsite) was offline from 01/23 to 02/01.</t>
  </si>
  <si>
    <t>1.SR080271	
2.SR080413</t>
  </si>
  <si>
    <t xml:space="preserve">1.Site was tripped offline from 12/22/2023 to 01/10/2024 and again tripped offline on the same day and still offline
</t>
  </si>
  <si>
    <t xml:space="preserve">1.SR080143
</t>
  </si>
  <si>
    <t>1.Inverters 20,24,25 and 26 came back online on 01/25</t>
  </si>
  <si>
    <t>1.SR077715</t>
  </si>
  <si>
    <t>1.Site was offline at around 6:30am and later back online at 19:15 due to planned outage
2.Site was offline from 01/12 till 01/26 due to planned outage.</t>
  </si>
  <si>
    <t xml:space="preserve">1.SR080613
2.SR080117	</t>
  </si>
  <si>
    <t>1.Site has a brief outage and later auto reclosed.</t>
  </si>
  <si>
    <t>1.SR080569</t>
  </si>
  <si>
    <t>1.Inverter 11 tripped offline on an arc fault on 01/31 at EOD and back online next day.</t>
  </si>
  <si>
    <t>1.SR080631</t>
  </si>
  <si>
    <t>1. Site tripped offline at 10:05 am on 01/05 and back online at 7:00 Am  on 01/06.
2. Inverter 29 started late for the production on 01/15, 01/17 and 01/20
3. Inverter was 25 tripped offline on 01/22  and back online 02/06.
4. Site has a brief outage and later self resolved on 01/29</t>
  </si>
  <si>
    <t>1.SR079976
2.SR080227
3.SR080394
4.SR080570</t>
  </si>
  <si>
    <t>February Actual v. Expected</t>
  </si>
  <si>
    <t>February Actual v. Forecasted</t>
  </si>
  <si>
    <t xml:space="preserve">1. Inverter 48 was offline from 01/27 &amp; back online on 02/07 after replacement of inverter. 
2. Inverter 36 is offline from 08:00 to 14:45 on 02/24, offline on 02/28 &amp; back online on 02/29. 
3. Inverter 49 is offline on 02/26 &amp; RMA'd. </t>
  </si>
  <si>
    <t>1.SR080522
2. SR081051
3.SR081326</t>
  </si>
  <si>
    <t>1. SEL relay tripped open due to drop in B phase Voltage. Battery mode activate from 02/15 at 13:15 and back online on 02/18 at 09:00
2.  After site came back online on 02/18, Inverter 2 Combiner boxes  2.15 and 2.16 offline and back onlline at 11:30</t>
  </si>
  <si>
    <t>1. 	SR081008
2.  SR081084</t>
  </si>
  <si>
    <t>1.Site was tripped offline from 12/22/2023 to 01/10/2024 and again tripped offline on the same day and still offline</t>
  </si>
  <si>
    <t>1. .SR080143</t>
  </si>
  <si>
    <t>1. Inverter 4 offline  due to isolation fault on 02/24  and back online at EOD</t>
  </si>
  <si>
    <t>1. SR081293</t>
  </si>
  <si>
    <t>1. Inverter 55 tripped offline 02/02 at 11:30 and back online on 022/03 and again offline from 02/14 and back online on 02/06
2.  Utility planned outage from 02/25 to 02/28</t>
  </si>
  <si>
    <t>1. SR080677
2. SR081010</t>
  </si>
  <si>
    <t>1. planned outage from 01/31 to 02/09
2. Planned outage on 2/29/24</t>
  </si>
  <si>
    <t>2. SR081024</t>
  </si>
  <si>
    <t>1. planned outage from 02/25 to 02/28</t>
  </si>
  <si>
    <t>1. SR081011</t>
  </si>
  <si>
    <t>1. SR081012</t>
  </si>
  <si>
    <t>1. Site tripped offline on 02/17/2024 at 10:45AM and later back online on 02/18/2024 at 07:45AM.
2. Inverters 2 to 6, 8, 10 to 19, 21 to 32 are tripped offline on 02/22/2024 at 12:15 and later back online on 02/22/2024 at 16:15
3. Inverters 2, 3, 5, 8, 15, 23, 27 and 28 are tripped offline 02/26/2024 at 13:30 and later back online on 02/26/2024 at 14:15</t>
  </si>
  <si>
    <t>1. 	SR081075
2. SR081200
3. 	SR081338</t>
  </si>
  <si>
    <t>1. Inverters 1, 2, 8, 9, 10, 14, 15, 22, 23, 24, 25, 27, and 30 having tripping events on 02/03/2024, 02/04/2024 and 02/05/2024.
2. Inverters 1, 4-6, 9, 11-13, 16, 17, 20, 22, 24, and 29 are offline on 02/22/2024 at 12:15 and later back online on 02/22/2024 at 16:15</t>
  </si>
  <si>
    <t>1. SR080710
2. 	SR081201</t>
  </si>
  <si>
    <t>1. Site tripped offline on 03/08 and back online on 03/09 and again the site is offline on 03/11 and back online on 03/12.</t>
  </si>
  <si>
    <t>1. SR081731</t>
  </si>
  <si>
    <t>1. Inverter 25 is offline on 03/06 and back online on 03/07
2. Inverter 16 is offline on 03/11 and back online on 03/21</t>
  </si>
  <si>
    <t>1. SR081597
2. SR081757</t>
  </si>
  <si>
    <t>1. Inverter 49 is offline from 03/01 to 03/21</t>
  </si>
  <si>
    <t>1. SR082215</t>
  </si>
  <si>
    <t>1. Site was offline from 10:05AM to 10:36AM on 03/19.
2. Inverter 6 tripped offline on 03/10 and back online on 03/21.</t>
  </si>
  <si>
    <t>1. SR082098
2. SR081729</t>
  </si>
  <si>
    <t>1. Site was offline for whole month.</t>
  </si>
  <si>
    <t>1. SR082823</t>
  </si>
  <si>
    <t>1. Inverter 5 was offline from 11/07 to 03/25. Inverter 3 is offline since 11/07</t>
  </si>
  <si>
    <t>1. SR078016</t>
  </si>
  <si>
    <t>1. Inverter 23 tripped offline on 03/30 and inverter 25 is offline on 03/31.</t>
  </si>
  <si>
    <t>1. SR082932</t>
  </si>
  <si>
    <t>1. Inverter 13 is underproducing 100kW down compared to its peers since 03/15</t>
  </si>
  <si>
    <t>1. SR081967</t>
  </si>
  <si>
    <t>1. Inverters 5, 23, and 27 tripped offline on 03817 at 13:15 and back online at 14:45  and again all inverters except inverter 7 tripped offline at 15:45 and back online at 17:15
2. inverters 2, 3, 5, 8, 15, 23, and 27 have tripped offline on 03/02 and back online on 03/03.</t>
  </si>
  <si>
    <t>1. SR081969
2. SR081519</t>
  </si>
  <si>
    <t>1. All the inverters have tripped offline on 03/17 at 15:45 and back online at 17:15 and inverters 1-6, 8,10 -13, 15- 17, 21, 23, 24,28 and 29 tripped offline on 03/24 at 11:00 and back online at 17:15 and again Inverters 1,2,8,9, 11-13,15,17,20,24,25,28,29 tripped offline on 03/30 at 8:45 and back online at 10:30</t>
  </si>
  <si>
    <t>1. 	SR081977</t>
  </si>
  <si>
    <t>April Actual v. Expected</t>
  </si>
  <si>
    <t>April Actual v. Forecasted</t>
  </si>
  <si>
    <t>1. Inverters 5 and 29 are underperforming approximately 4kW compared to its peers from 01/15/24.</t>
  </si>
  <si>
    <t>1. SR083869</t>
  </si>
  <si>
    <t>1. Inverters 48, 49. 50 and 51 tripped offline due to "Grid under frequency" at 15:00 on 04/09 and later back online at 09:00AM on 11:30AM and site was offline from 07:30AM to 09:00AM on 04/10.
2. Inverters 47, 50 and 53 are underperforming approximately 6kW compared to its peers from 12/21/23.</t>
  </si>
  <si>
    <t>1. SR083271
2. SR083868</t>
  </si>
  <si>
    <t>1. Inverter 2 was offline at 07:00AM on 04/11 and inverter was back at 07:00AM on 04/12.</t>
  </si>
  <si>
    <t>1. SR083323, SR083324</t>
  </si>
  <si>
    <t>1. Combiner box 1.3 underperforming 6kW compared to its peers combiner box since 7/3/21</t>
  </si>
  <si>
    <t>1. SR083968</t>
  </si>
  <si>
    <t>1. Inverter 31 was offline from 12:15PM to 14:30 on 04/04/2024.
2. Inverter 44 tripped offline at 07:00AM on 04/26 and inverter was back online at 13:30 on 04/30.</t>
  </si>
  <si>
    <t>1. SR083095
2. SR083848, SR083990</t>
  </si>
  <si>
    <t>1. Inverter 66 tripped offline 06:45AM to 15:45 on 04/08.
2. Inverter 5 was underperforming approximately 18kW compared to its peers.
3. Inverter 30 and 56 are offline on 04/12 , inverter 30 was back online at 08:30AM and inverter 56 was back online at 09:15AM on 04/13.
4. Inverter 66 tripped offline from 07:45AM to 14:00 on 04/15 
5. Weather station was not communicated from 04/15 to 05/08 due to that expected energy was low</t>
  </si>
  <si>
    <t>1. SR083192
2. SR083238, SR072698, SR084779
3. SR083364
4. SR083424</t>
  </si>
  <si>
    <t>1. Inverter was offline from 12:00PM to 17:15 on 04/16. 
2. Technician took site offline from 07:25AM to 11:30AM on 04/17 to work on relay.</t>
  </si>
  <si>
    <t>1. SR083488
2. SR083527</t>
  </si>
  <si>
    <t>1. Inverter 4 was offline at 07:00AM on 04/13 and inverter back online at 07:10AM on 04/14.</t>
  </si>
  <si>
    <t>1. SR083379</t>
  </si>
  <si>
    <t>1. Site tripped offline at 13:00 on 04/05 and back online at 11:00AM on 04/06.
2. Site was offline from 05:00AM to 07:15AM on 04/12.</t>
  </si>
  <si>
    <t>1. SR083124
2. SR083349</t>
  </si>
  <si>
    <t>1. Site tripped at 23:15 on 04/04 and back online at 09:00AM on 04/05
2. Expected energy values are low compared to actual and estimated, case created with Also Energy.</t>
  </si>
  <si>
    <t>1. SR083052
2. SR087370</t>
  </si>
  <si>
    <t>1. Inverters 1,12 and 26 are underperforming approximately 20kW compared to its peers from 04/24</t>
  </si>
  <si>
    <t>1. SR083822</t>
  </si>
  <si>
    <t>1. Inverters 24 was offline from 03/31, inverter 25 was offline from 04/01 and inverters are back online after replacing the AC panel board at 12:00 on 04/26.
Inverters 23 was offline from 03/31, inverter 22 was offline from 04/01.
2. Inverter 34 tripped offline at 12:00PM on 04/09 and back online at 12:45PM on 04/10.</t>
  </si>
  <si>
    <t>1. SR083067
2. SR083265</t>
  </si>
  <si>
    <t xml:space="preserve">478,696	</t>
  </si>
  <si>
    <t>1. Pad 4 was offline from 07:00AM to 10:30AM on 04/04.
2. Pads 3 and 4 are offline from 10:15AM to 11:15AM on 04/16</t>
  </si>
  <si>
    <t>1. SR083072
2. 	SR083480</t>
  </si>
  <si>
    <t>1. Site tripped offline at 13:00 on 04/05 and back online at 10:45AM on 04/06.
2. Site was offline from 05:00AM to 07:00AM on 04/12</t>
  </si>
  <si>
    <t>1. SR083125
2. SR083347</t>
  </si>
  <si>
    <t>1. Site was offline from 13:00 to 19:45 on 04/05.
2. Site was offline from 05:00PM to 07:15PM on 04/12.</t>
  </si>
  <si>
    <t>1. SR083123
2. SR083348</t>
  </si>
  <si>
    <t>1. Site was offline at 20:00 on 04/03 and back online at 02:00AM on 04/04.</t>
  </si>
  <si>
    <t>1. SR083051</t>
  </si>
  <si>
    <t>1. Inverter 2,3,4,5,6,8,10,14,15,16,17,18,19,22,23,25,27,28 and 29 are offline from 11:15AM to 13:30 on 04/21.</t>
  </si>
  <si>
    <t>1. SR083658</t>
  </si>
  <si>
    <t>1. Inverters 1 and 20 was offline from 14:45 to 15:30 on 04/01</t>
  </si>
  <si>
    <t>1. SR081977</t>
  </si>
  <si>
    <t>May Actual v. Expected</t>
  </si>
  <si>
    <t>May Actual v. Forecasted</t>
  </si>
  <si>
    <t>1.Combiner box 1.13 was offline from 05/13</t>
  </si>
  <si>
    <t>1. SR084617</t>
  </si>
  <si>
    <t>1. Site was offline from 09:45AM to 13:35 on 05/14.</t>
  </si>
  <si>
    <t>1. SR084667</t>
  </si>
  <si>
    <t>1. Inverter  29 was underperforming approximately 4kW compared to its peers from 01/15/24.</t>
  </si>
  <si>
    <t>1.SR083869</t>
  </si>
  <si>
    <t>1. Inverter 55 was offline at 07:00AM on 05/23 due to "Bus differential High Fault 0110" and later back online at 11:00AM on 05/24.
2. Inverter 55 was offline at 07:00AM on 05/25 due to "Bus differential High Fault 0110" and back online at 16:15 on 05/29.
3. Inverter 55 was offline from 07:00AM to 14:15 due to "Bus differential High Fault  05/29.</t>
  </si>
  <si>
    <t>1. SR085050
2. SR085150
3. SR085318</t>
  </si>
  <si>
    <t>1.Inverter 6 derating during high irradiance days since 5/24/24
2.Inverter 3 underperforming since 5/21/24</t>
  </si>
  <si>
    <t>1.SR085493
2.SR085494</t>
  </si>
  <si>
    <t>1. Site tripped offline at 08:45AM on 05/10 and later site back online at 13:15 on 05/12.</t>
  </si>
  <si>
    <t>1. SR084537</t>
  </si>
  <si>
    <t>1. Inverter 56 was offline from 07:00AM to 17:00 on 05/16.
2. Inverter 5 was underperforming approximately 3kW from 05/13 at 12:45 and back to its peers from 05/17 at 10:00
inverter 7  was underperforming approximately 10kW 05/10 and back to its peers from 05/17 at 10:00
inverter 26 was underperforming approximately 4kW from 06/09/21 and back to its peers from 05/17 at 10:00.
3. Inverter 56 was offline from 07:00AM to 12:00PM on 05/19.
4. Inverter 64 was offline from 10:00AM to 13:45 on 05/21.
5. Inverter 6 was offline at 13:30 on 05/23 and back online at 07:00AM on 05/24.
6. Inverter 51 was underperforming approximately 4kW compare to its peers from 05/21 at 14:15
7. Weather station was not communicated from 04/15 to 05/08</t>
  </si>
  <si>
    <t>1. SR084763
2. SR084779, SR083238, SR072698
3. SR084836
4. SR084939
5. SR085082
6. SR085277</t>
  </si>
  <si>
    <t>1. Inverter 3 was offline at 07:00AM on 05/25 and later back online at 14:50 on 05/28,  
2. Inverter 3 was offline from 07:00AM on 05/29 and Inverter 3 needs an arc board and will stay offline, inverter 5 tripped offline on 05/29 at 15:25 and back online on 05/31 at 16:00</t>
  </si>
  <si>
    <t>1. SR085151
2. SR085278</t>
  </si>
  <si>
    <t>1. Site offline from 12:50PM on 05/28 to month end</t>
  </si>
  <si>
    <t>1. SR085274</t>
  </si>
  <si>
    <t>1. Inverter 7 tripped offline at 10:15AM on 05/21 and later back online at 07:00AM on 05/22</t>
  </si>
  <si>
    <t>1. SR084969</t>
  </si>
  <si>
    <t>1. Planned outage from 05/28 to 06/01
2. Expected energy values are low compared to actual and estimated, case created with Also Energy.</t>
  </si>
  <si>
    <t>1. SR084791
2. SR087370</t>
  </si>
  <si>
    <t>1.Inverter 13 tripped offline on 05/28 at 08:15 till end of the month</t>
  </si>
  <si>
    <t>1.SR085230</t>
  </si>
  <si>
    <t>1. Inverters 17-21 were left offline on 05/10 for stripped lug for panel HP5 and back online on 05/31 at 13:00</t>
  </si>
  <si>
    <t>1.SR084525</t>
  </si>
  <si>
    <t>1.Pad 4 was offline from 08:00 to 09:45 on 05/31</t>
  </si>
  <si>
    <t>1.SR085345</t>
  </si>
  <si>
    <t>1.Inverter 13 tripped offline on 05/05 at 11:15 till end of the month
2.Inverter 25 started late at 16:00 on 05/10
3.Inverter 14 has a string down from 03/17 till end of the month and tripped offline on 06/27 at 09:30 and back online at 14:45.</t>
  </si>
  <si>
    <t>1.SR084274
2.SR084564
3.SR081968</t>
  </si>
  <si>
    <t>1.Inverters 1-6, 8, 10-19, 22-30 are tripped offline on 05/23 at 13:45 and back online at 15:00, site has a brief outage from 09:44 AM to 10:04AM on 05/27 and inverters back back online at 11:15 but inverter 27 was back online at 14:30 and inevrter 27 again tripped offline at 17:30 and resolved at the end of the day
2.Site tripped offline on 05/14 at 00:30 and back online at 03:00</t>
  </si>
  <si>
    <t xml:space="preserve">1.SR083658
2.SR084647
</t>
  </si>
  <si>
    <t>1.Site tripped offline on 05/14 at 00:30 and back online at 01:30
2.All Inverters except 10 &amp; 14 tripped offline at 18:30 on 05/26 and back online on 05/27 at 07:00, Site  has a brief outage from 09:43AM to 10:00AM and inverters started late at 11:00.</t>
  </si>
  <si>
    <t>1.SR084646
2.SR085174</t>
  </si>
  <si>
    <t>June Actual v. Expected</t>
  </si>
  <si>
    <t>June Actual v. Forecasted</t>
  </si>
  <si>
    <t xml:space="preserve">1.Site tripped offline on 06/21 at 19:00 and back online on 06/26 at 15:00
2.Combiner box 1.13 was offline from 05/13
3.Combiner box 1.1 was offline from 06/04 at 07:00
4.Site tripped offline on 06/30 at 14:30
5.The site was taken offline from 09:00 to 12:15 on 06/17 for safety inspect the AC switchgear. </t>
  </si>
  <si>
    <t>1.SR086618
2.SR084617
3.SR085539
4.SR087141
5.PM3268</t>
  </si>
  <si>
    <t>1.Inverter 7 tripped offline at 16:00 on 06/01 and back online on 06/13 at 09:45
2. Inverter 4 was offline from 06/05 at 07:00 and back online on 06/06
3.Inverter 4 was offline from 06/18 at 07:00 and back online on 06/19 and again offline on 06/23 at 07:00 and back online on 06/24
4.Inverter 25 was offline from 06/23 at 07:00 and back online on 06/24
5. Inverter  29 was underperforming approximately 4kW compared to its peers from 01/15/24.</t>
  </si>
  <si>
    <t>1.SR085410
2.SR085568
3.SR086136
4.SR086764
5. SR083869</t>
  </si>
  <si>
    <t xml:space="preserve">1.Inverter 55 was back online on 06/02 at 11:30
2.Inverter 55 was offline from 06/03 at 07:00 and back online on 06/13 at 10:00
3.Inverter 61 was offline from 06/17 at 06:15 </t>
  </si>
  <si>
    <t xml:space="preserve">1.SR085318
2.SR085761	
3.SR086313	</t>
  </si>
  <si>
    <t>1.Inverter 6 derating during high irradiance days since 5/24/24
2.Inverter 3 underperforming since 5/21/24 and back to peersfrom 06/12 at 15:15
3.Inverter 4 tripped offline on 06/20 at 06:45 and back online on 06/26 at 12:45
4.Inverter 6 tripped offline at 07:30 on 06/22 and back online on 06/26 at 09:30</t>
  </si>
  <si>
    <t>1.SR085493
2.SR085494
3.SR086487
4.SR086637</t>
  </si>
  <si>
    <t>1.Site tripped offline at 12:30 on 06/30</t>
  </si>
  <si>
    <t>1.SR087147</t>
  </si>
  <si>
    <t>1.Inverter 44 tripped offline on 06/24 at 10:30 and back online on 06/27 at 14:45</t>
  </si>
  <si>
    <t>1.SR086870</t>
  </si>
  <si>
    <t>1.Inverter 51 was producing with its peers from 06/21 at 11:00</t>
  </si>
  <si>
    <t>1.SR085277</t>
  </si>
  <si>
    <t>1.Inverter 3 was offline from 07:00AM on 05/29 through out the month
2.Inverter 5 tripped offline on 06/10 at 18:10</t>
  </si>
  <si>
    <t>1.SR085278
2.SR085862</t>
  </si>
  <si>
    <t>1.Site was back online from 06/06 at 09:15
2.Site was offline on 06/08 at 12:30 and back online on 06/09 at 10:35
3.Site was offline on 06/10 at 14:05 back online 06/13 at 09:40
4.Site was offline on 06/20 at 12:30 and back online on 06/21 at 08:15 and again offline from 10:20 and back online on 06/26 at 09:00</t>
  </si>
  <si>
    <t>1. SR085274
2.SR085758
3.SR085857
4.SR086514</t>
  </si>
  <si>
    <t>1.Site tripped offline on 06/24 at 20:30 and back online at 21:15</t>
  </si>
  <si>
    <t>1.SR086878</t>
  </si>
  <si>
    <t>1.Inverters 57-63 are tripped offline on 06/28 at 09:45 and back online at 16:00</t>
  </si>
  <si>
    <t>1.SR087087</t>
  </si>
  <si>
    <t>1.Site was back online on 06/01 at 12:00
2.Site was offline from 20:00 on 06/01 and back online on 11:45 on 06/02
3. Expected Gneration values are too low , reached out to AlsoEnergy for asswastance</t>
  </si>
  <si>
    <t>1. SR084791
2.SR085414
3. SR087370</t>
  </si>
  <si>
    <t>1.Inverter 13 was back online from 06/02 at 11:15 and offline from 06/03 and back online from 06/10 at 06:30</t>
  </si>
  <si>
    <t>1.Inverter 19 was derating about 17kW and external fan fault from 06/02 at 14:15 and back to normal on 06/07
2.Inverter 6 tripped offline on 06/04 at 09:15 and back online at 12:15 on 06/05 and again tripped offline 10:00 on 06/06 and back online on 06/07 and again tripped offline on 06/07 at 11 :15 and back online on 06/26 at 12:45
3.Inverter 22 has a multiple tripping and have a hwastory of self resolving and again tripping offline the next day
4. Weather station stopped communicating from 06/09 to 06/26 due to that expected generation was nearly half of the actual.</t>
  </si>
  <si>
    <t>1.SR085486	
2.SR085541
3.SR087059
4.SR085796</t>
  </si>
  <si>
    <t>1. Site was kept offline from 06/13 at 06:15 and tunedback online on 06/14 at 10:15
2.Site tripped offline on 06/23 at 21:15 and back online on 06/24 at 13:30
3.Inverter 8 was kept offline on 06/23 and back online on 06/26 at 09:30</t>
  </si>
  <si>
    <t>1.SR085727
2.SR086809
3.SR086848</t>
  </si>
  <si>
    <t>1.Inverter 13 tripped offline on 05/05 at 11:15 till end of the month
2.Inverter 14 has a string down from 03/17 till end of the month and tripped offline on 06/27 at 09:30 and back online at 14:45.</t>
  </si>
  <si>
    <t>1.SR084274
2.SR081968</t>
  </si>
  <si>
    <t>1.Inverters 2, 8, 13, 14, 15, 17, 18, 22, 26, 27, 28 are tripped offline on 06/05 at 18:30 and back online at 07:00 on 06/06, Inverters 2, 3, 5, 8, 14, 15, 19, 23 &amp; 27 at 17:15 on 06/06 and back online at 19:00, Inverters 2, 5, 8, 14, 23, 27 &amp; 28 are tripped offline on 06/17 at 14:45 and back online at 16:45
2.Site was offline on 06/20 at 17:15 and back online on 06/21 at 07:00
3.Site tripped offline on 06/30 at 08:30 and back online on 07/01</t>
  </si>
  <si>
    <t>1.SR085607
2.SR086524
3.SR087138</t>
  </si>
  <si>
    <t>1.Site was offline on 06/20 at 17:15 and back online on 06/21 at 07:00
2.Site has tripped offline on 06/30 at 08:30 and back online on 07/01</t>
  </si>
  <si>
    <t>1.SR086525
2.SR087137</t>
  </si>
  <si>
    <t>July Actual v. Expected</t>
  </si>
  <si>
    <t>July Actual v. Forecasted</t>
  </si>
  <si>
    <t>1. Combiner box 1.14 is producing double the amps compared to peers  from 06/03.
2. Combiner box 1.1 is offline from 06/04.
3. Site tripped offline at 14:30 on 06/30 and back online at 07:45AM on 07/01.</t>
  </si>
  <si>
    <t>1. 	SR085462, SR084617
2. SR085539
3. SR087141</t>
  </si>
  <si>
    <t xml:space="preserve">1. Inverter 25 is offline on 07/07 later back online on 07/08 and inverter 25 is again offline on 07/25 and back online on 07/26.
</t>
  </si>
  <si>
    <t>1. SR086764, SR088228</t>
  </si>
  <si>
    <t>1. Site offline from 07/01.</t>
  </si>
  <si>
    <t>1. SR087330</t>
  </si>
  <si>
    <t>1.Inverter 6 is offline on 07/06 and back online on 07/08 and Inverter 6 again offline from 07/17.</t>
  </si>
  <si>
    <t xml:space="preserve">1. SR087409,SR087575,SR087821,SR088376
</t>
  </si>
  <si>
    <t>1. Inverter 9  is offline from 07:00AM to 12:00PM on 07/15.
2. Again inverer 9 offline from 07:00AM to 17:15 on 07/24, inverter 9 offline from 07:00AM to 14:30 on 07/25 and inverter 9 offline from 07:00AM to 10:00AM on 07/26.</t>
  </si>
  <si>
    <t xml:space="preserve">1. SR087707
2. SR088101
</t>
  </si>
  <si>
    <t>1. Site tripped offline at 17:45 on 07/31 and back online at 13:$5 on 08/01.</t>
  </si>
  <si>
    <t>1.SR088485</t>
  </si>
  <si>
    <t xml:space="preserve">1. Inverters 29, 39 and 44 are offline at 07:00AM on 07/10 and back online at  11:45AM on 07/11.
</t>
  </si>
  <si>
    <t>1.SR087548</t>
  </si>
  <si>
    <t>1. Inverter 6 is from 07:00AM to 14:30 on 07/21.
2. Inverter 49 tripped offline at 16:15 on 07/28 and back online at 07:00AM on 07/29.</t>
  </si>
  <si>
    <t>1. SR087973
2. SR088322, SR088449</t>
  </si>
  <si>
    <t>1. Inverter 52 is offline from 07:00AM to 10:00AM on 07/27.</t>
  </si>
  <si>
    <t>1. SR088292</t>
  </si>
  <si>
    <t>1. Expected generation values are low compared to the Actual and Estimated values</t>
  </si>
  <si>
    <t>1. SR087370</t>
  </si>
  <si>
    <t>1. Site is offline from 16:00 on 07/17 and back online at 12:00PM on 07/19.</t>
  </si>
  <si>
    <t>1. SR087853</t>
  </si>
  <si>
    <t>1. Inverters 2,3,5,8,10, 14 and 15 are offline from 14:30 to 17:30 on 07/02.
2. Meter offline from 07//03 and back online at 19:00 on 07/05.
3. Inverters are offline from 15:30 to 18:45 on 07/04.
4. Site tripped offline at 11:15AM on 07/22 and back online at 14:30 on 07/23.
5. Inverters 1,2,3,4,6,5,8,10,14 and 15 are offline from 14:00 to 18:45 on 07/27.
6. Site tripped offline on 06/30 at 08:30AM and back online at 15:30 on 07/01</t>
  </si>
  <si>
    <t>1. SR087295
2. SR087367
3. SR087377
4. SR088004
5. SR088302
6. SR087138</t>
  </si>
  <si>
    <t>1. Inverters are offline from 15:30 to 18:45 on 07/04.
2. Inverter 15 offline from 11:30AM to 12:30PM on 07/10.
3.  Inverters 1, 2 &amp; 15 are offline from 15:14 to 18:20 on 07/27.
4. All inverter are offline from 08:15AM to 11:30AM on 07/31.
5. Site tripped offline on 06/30 at 08:30 and back online at 15:30 on 07/01</t>
  </si>
  <si>
    <t>1. SR087376
2. SR087551
3. SR088303
4. SR088452
5. SR087137</t>
  </si>
  <si>
    <t>August Actual v. Expected</t>
  </si>
  <si>
    <t>August Actual v. Forecasted</t>
  </si>
  <si>
    <t>1. Inverter module 1.3 derated due to multiple tripping events from 8/22 resolved on 8/28
2.Combiner box 1.13 was offline from 05/13
3. Inverter CTs in CB1.13 and 1.14, the inverter will be taken offline on 8/29</t>
  </si>
  <si>
    <t>1.SR089436
2.SR084617
3.SR089658</t>
  </si>
  <si>
    <t>1.Inverters 5,6,7 and 8 tripped offline and reporting " Grid under Frequency" from 8/10 at 14:15 and back online on 8/12 at 10:15
2.Inverter 31 is underperforming approximately 5kW and also derating during noon hours on high irradiance days.</t>
  </si>
  <si>
    <t>1.SR088878
2.SR089585</t>
  </si>
  <si>
    <t xml:space="preserve">1.Inverter 59 offline ffrom 8/8  through out the month and also Inverter 61 offline from 8/8 and back online on 8/9
2.Inverter 61 is derating, producing 39.8kW and reporting "External fan fault" from 8/10 </t>
  </si>
  <si>
    <t>1.SR088760,SR088920
2.SR088877</t>
  </si>
  <si>
    <t>1.Site offline through out the month</t>
  </si>
  <si>
    <t>1.SR087160,PM #4561</t>
  </si>
  <si>
    <t>1.Inverter 6 back online on 8/20
2. Inverter 1 production dropped and constantly producing 4kW from 8/5
3.Inverter 2 offline on 8/29 and back online on 8/30</t>
  </si>
  <si>
    <t>1.SR087409
2.	SR088659
3.	SR089699</t>
  </si>
  <si>
    <t>1.Site offline from 8/2 at 15:00 and back online at 08:15 on 8/3
2.Inverter 9 offfline from 8/2 and back online on 8/15 at 13:45</t>
  </si>
  <si>
    <t>1.	SR088551
2.	SR089048</t>
  </si>
  <si>
    <t>1.Site back online on 8/1 at 13:45
2. Inverter 2.1 is offline due to Phase A &amp; B voltages dropped down from 8/19 and back online 8/28 at 15:00</t>
  </si>
  <si>
    <t>1.SR088485
2.	SR089268</t>
  </si>
  <si>
    <t>1.Inverters 47 &amp; 59 are underperforming approximately 10kW</t>
  </si>
  <si>
    <t>1.SR089715</t>
  </si>
  <si>
    <t xml:space="preserve">1.Inverter 67 offline multiple days
2. Inverter 12 offline from 8/18 and back online on 8/19 and again offline on 8/28 back online on 8/29
3.inverters 3 and 26 are down 1 string each and inverter 5 is down 2 strings. The total kW down is about 20kW
4.Inverter  49 tripped offline every day from 8/22 at 12:45 </t>
  </si>
  <si>
    <t>1.	SR088450
2.SR089216
3.SR089351
4.SR088322</t>
  </si>
  <si>
    <t>1.Expected Gneration values are too low , reached out to AlsoEnergy for assistance</t>
  </si>
  <si>
    <t>1.	SR087370</t>
  </si>
  <si>
    <t>1.Inverter 13 tripped offline multiple days , inverter is under RMA'd process.
2.Site offline from 8/16 at 22:30 and back online on 8/19 at 09:45AM 
3.Site offline from 8/27 at 08:45 AM through out the month</t>
  </si>
  <si>
    <t>1.SR085853
2.	SR089183
3.SR089633</t>
  </si>
  <si>
    <t>1. Inverter 34 is underproducing.  DC current 3 dropped to zero at 1:15pm from 7/25.</t>
  </si>
  <si>
    <t>1.	SR088281</t>
  </si>
  <si>
    <t>1.Pad 4 tripped offline at 12:30 on 8/4
2. Pad 4 tripped offline at 12:47 on 8/11</t>
  </si>
  <si>
    <t>1.	SR088585
2.	SR088903</t>
  </si>
  <si>
    <t>1. Inverters 2,3,5,8,14,15 offline after brief outage on 8/15 and also again All inverters tripped offline, inverter and meter voltages are available. Inverter 4 tripped offline at 09:30Am from 8/25 and back online on 8/28 and again inverter 4 offline from 8/29</t>
  </si>
  <si>
    <t>1.	SR089133</t>
  </si>
  <si>
    <t>September Actual v. Expected</t>
  </si>
  <si>
    <t>September Actual v. Forecasted</t>
  </si>
  <si>
    <t>1. Production meter power has dropped from 380 kW to 209 kW, and approximately 6 inverters are offline. We can confirm that inverters 25, 28, and 29 are tripped offline at 12:30PM on 09/05 as they are communicating but remaining inverters are not communicating and issue resolved on 09/06.
2. Inverters from 25 to 32 tripped offline at 10:00AM on 09/11 and back online at 10:30AM on 09/12.
3. Inverter 24 is offline from 09/21 and back online at 08:45AM on 09/22.</t>
  </si>
  <si>
    <t>1. SR090026
2. SR090294
3. SR091025</t>
  </si>
  <si>
    <t>1. Battery 4 is offline from 09/24.
2. Expected generation values are low compared to the Actual and Estimated values</t>
  </si>
  <si>
    <t>1. SR091349
2. SR087370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</si>
  <si>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</si>
  <si>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</si>
  <si>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</si>
  <si>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</si>
  <si>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</si>
  <si>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</si>
  <si>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</si>
  <si>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Lodestar</t>
  </si>
  <si>
    <t>Site DAS Name</t>
  </si>
  <si>
    <t>Update</t>
  </si>
  <si>
    <t>DAS</t>
  </si>
  <si>
    <t>Barkhamsted Solar</t>
  </si>
  <si>
    <t>Barkhamsted</t>
  </si>
  <si>
    <t>CT</t>
  </si>
  <si>
    <t>AEF</t>
  </si>
  <si>
    <t>PowerTrack</t>
  </si>
  <si>
    <t>Bunce Solar</t>
  </si>
  <si>
    <t>Bunce</t>
  </si>
  <si>
    <t>Norcap North</t>
  </si>
  <si>
    <t>Norcap South</t>
  </si>
  <si>
    <t>Platt Hill</t>
  </si>
  <si>
    <t>Powder Hill</t>
  </si>
  <si>
    <t>Sand Road Solar</t>
  </si>
  <si>
    <t>Sand Road</t>
  </si>
  <si>
    <t>Suffield Solar</t>
  </si>
  <si>
    <t>Suffield</t>
  </si>
  <si>
    <t>Ashby-Duffy</t>
  </si>
  <si>
    <t>MA</t>
  </si>
  <si>
    <t>Ashland Solar</t>
  </si>
  <si>
    <t>Ashland</t>
  </si>
  <si>
    <t>Barrington Fairgrounds</t>
  </si>
  <si>
    <t>Barrington</t>
  </si>
  <si>
    <t>MA: Bedford - 205 Burlington Rd</t>
  </si>
  <si>
    <t>Bedford - 205 Burlington Rd</t>
  </si>
  <si>
    <t>GPM</t>
  </si>
  <si>
    <t>MA: Billerica: 6 Cook Street</t>
  </si>
  <si>
    <t>Billerica - 6 Cook Street</t>
  </si>
  <si>
    <t>MA: Billerica - 780 Boston Road</t>
  </si>
  <si>
    <t>Billerica - 780 Boston Road</t>
  </si>
  <si>
    <t>Cheshire Solar</t>
  </si>
  <si>
    <t>Cheshire</t>
  </si>
  <si>
    <t>Lilly Lane (N-4)</t>
  </si>
  <si>
    <t>Lilly Lane</t>
  </si>
  <si>
    <t>Monument Valley</t>
  </si>
  <si>
    <t>Nationwide</t>
  </si>
  <si>
    <t>Pulpit Hill</t>
  </si>
  <si>
    <t>MA: Sandwich - 9 Victory Drive Solar</t>
  </si>
  <si>
    <t>Sandwich</t>
  </si>
  <si>
    <t>Sturbridge Barn (N-3)</t>
  </si>
  <si>
    <t>Sturbridge Barn</t>
  </si>
  <si>
    <t>Sturbridge Garage (R-2)</t>
  </si>
  <si>
    <t>Sturbridge Garage</t>
  </si>
  <si>
    <t>Halsey Valley</t>
  </si>
  <si>
    <t>NY</t>
  </si>
  <si>
    <t>Hunt Creek Solar</t>
  </si>
  <si>
    <t>Hunt Creek</t>
  </si>
  <si>
    <t>Smith Creek Solar</t>
  </si>
  <si>
    <t>Smith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</si>
</sst>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" fillId="0" borderId="0" xfId="0" applyFont="1"/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3" fontId="30" fillId="4" borderId="0" xfId="1" applyNumberFormat="1" applyFont="1" applyFill="1" applyAlignment="1">
      <alignment vertical="center"/>
    </xf>
    <xf numFmtId="3" fontId="30" fillId="0" borderId="0" xfId="1" applyNumberFormat="1" applyFont="1" applyAlignment="1">
      <alignment vertical="center"/>
    </xf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8" totalsRowShown="0">
  <autoFilter ref="A3:E2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5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SUM(C4:C103)</f>
        <v>63309459.012343511</v>
      </c>
      <c r="D2" s="5">
        <f>SUM(D4:D103)</f>
        <v>56755190.700000003</v>
      </c>
      <c r="E2" s="5">
        <f>C2-D2</f>
        <v>6554268.312343508</v>
      </c>
      <c r="F2" s="6">
        <f>IFERROR(E2/D2, 0)</f>
        <v>0.11548315196381689</v>
      </c>
      <c r="G2" s="5">
        <f>SUM(G4:G103)</f>
        <v>56380545.989999995</v>
      </c>
      <c r="H2" s="7">
        <f>C2-G2</f>
        <v>6928913.0223435163</v>
      </c>
      <c r="I2" s="6">
        <f>IFERROR(H2/G2, 0)</f>
        <v>0.12289545801086196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:A28">Sites[Site]</f>
        <v>Barkhamsted</v>
      </c>
      <c r="B4" s="9" t="str" cm="1">
        <f t="array" ref="B4:B28">Sites[State]</f>
        <v>CT</v>
      </c>
      <c r="C4" s="24">
        <f>SUM('1st Qtr'!C4, '2nd Qtr'!C4, '3rd Qtr'!C4, '4th Qtr'!C4)</f>
        <v>1279860</v>
      </c>
      <c r="D4" s="13">
        <f>SUM('1st Qtr'!D4, '2nd Qtr'!D4, '3rd Qtr'!D4, '4th Qtr'!D4)</f>
        <v>1433951.01</v>
      </c>
      <c r="E4" s="13">
        <f>IF(AND(ISNUMBER(C4),ISNUMBER(D4)), C4-D4, "")</f>
        <v>-154091.01</v>
      </c>
      <c r="F4" s="14">
        <f>IFERROR(E4/D4, "")</f>
        <v>-0.10745904771181827</v>
      </c>
      <c r="G4" s="15">
        <f>SUM('1st Qtr'!G4, '2nd Qtr'!G4, '3rd Qtr'!G4, '4th Qtr'!G4)</f>
        <v>1479267.47</v>
      </c>
      <c r="H4" s="15">
        <f>SUM('1st Qtr'!H4, '2nd Qtr'!H4, '3rd Qtr'!H4, '4th Qtr'!H4)</f>
        <v>-199407.46999999997</v>
      </c>
      <c r="I4" s="16">
        <f>IFERROR(H4/G4, "")</f>
        <v>-0.13480149739248978</v>
      </c>
    </row>
    <row r="5" spans="1:9" ht="15.6">
      <c r="A5" s="17" t="str">
        <v>Bunce</v>
      </c>
      <c r="B5" s="10" t="str">
        <v>CT</v>
      </c>
      <c r="C5" s="11">
        <f>SUM('1st Qtr'!C5, '2nd Qtr'!C5, '3rd Qtr'!C5, '4th Qtr'!C5)</f>
        <v>2660952</v>
      </c>
      <c r="D5" s="18">
        <f>SUM('1st Qtr'!D5, '2nd Qtr'!D5, '3rd Qtr'!D5, '4th Qtr'!D5)</f>
        <v>2290504.2999999998</v>
      </c>
      <c r="E5" s="18">
        <f t="shared" ref="E5:E15" si="0">IF(AND(ISNUMBER(C5),ISNUMBER(D5)), C5-D5, "")</f>
        <v>370447.70000000019</v>
      </c>
      <c r="F5" s="19">
        <f>IFERROR(E5/D5, "")</f>
        <v>0.16173193824608853</v>
      </c>
      <c r="G5" s="20">
        <f>SUM('1st Qtr'!G5, '2nd Qtr'!G5, '3rd Qtr'!G5, '4th Qtr'!G5)</f>
        <v>0</v>
      </c>
      <c r="H5" s="20">
        <f>SUM('1st Qtr'!H5, '2nd Qtr'!H5, '3rd Qtr'!H5, '4th Qtr'!H5)</f>
        <v>2660952</v>
      </c>
      <c r="I5" s="19" t="str">
        <f>IFERROR(H5/G5, "")</f>
        <v/>
      </c>
    </row>
    <row r="6" spans="1:9" ht="15.6">
      <c r="A6" s="12" t="str">
        <v>Norcap North</v>
      </c>
      <c r="B6" s="9" t="str">
        <v>CT</v>
      </c>
      <c r="C6" s="24">
        <f>SUM('1st Qtr'!C6, '2nd Qtr'!C6, '3rd Qtr'!C6, '4th Qtr'!C6)</f>
        <v>2750615.5</v>
      </c>
      <c r="D6" s="13">
        <f>SUM('1st Qtr'!D6, '2nd Qtr'!D6, '3rd Qtr'!D6, '4th Qtr'!D6)</f>
        <v>2797073.5</v>
      </c>
      <c r="E6" s="13">
        <f t="shared" si="0"/>
        <v>-46458</v>
      </c>
      <c r="F6" s="14">
        <f t="shared" ref="F6:F15" si="1">IFERROR(E6/D6, "")</f>
        <v>-1.6609502753502901E-2</v>
      </c>
      <c r="G6" s="15">
        <f>SUM('1st Qtr'!G6, '2nd Qtr'!G6, '3rd Qtr'!G6, '4th Qtr'!G6)</f>
        <v>2826052.5</v>
      </c>
      <c r="H6" s="15">
        <f>SUM('1st Qtr'!H6, '2nd Qtr'!H6, '3rd Qtr'!H6, '4th Qtr'!H6)</f>
        <v>-75437.000000000058</v>
      </c>
      <c r="I6" s="16">
        <f t="shared" ref="I6:I15" si="2">IFERROR(H6/G6, "")</f>
        <v>-2.6693417762055041E-2</v>
      </c>
    </row>
    <row r="7" spans="1:9" ht="15.6">
      <c r="A7" s="17" t="str">
        <v>Norcap South</v>
      </c>
      <c r="B7" s="10" t="str">
        <v>CT</v>
      </c>
      <c r="C7" s="11">
        <f>SUM('1st Qtr'!C7, '2nd Qtr'!C7, '3rd Qtr'!C7, '4th Qtr'!C7)</f>
        <v>2795557</v>
      </c>
      <c r="D7" s="18">
        <f>SUM('1st Qtr'!D7, '2nd Qtr'!D7, '3rd Qtr'!D7, '4th Qtr'!D7)</f>
        <v>2987745.5</v>
      </c>
      <c r="E7" s="18">
        <f t="shared" si="0"/>
        <v>-192188.5</v>
      </c>
      <c r="F7" s="19">
        <f t="shared" si="1"/>
        <v>-6.4325592658410827E-2</v>
      </c>
      <c r="G7" s="20">
        <f>SUM('1st Qtr'!G7, '2nd Qtr'!G7, '3rd Qtr'!G7, '4th Qtr'!G7)</f>
        <v>2743993.9000000004</v>
      </c>
      <c r="H7" s="20">
        <f>SUM('1st Qtr'!H7, '2nd Qtr'!H7, '3rd Qtr'!H7, '4th Qtr'!H7)</f>
        <v>51563.100000000035</v>
      </c>
      <c r="I7" s="19">
        <f t="shared" si="2"/>
        <v>1.8791258974737528E-2</v>
      </c>
    </row>
    <row r="8" spans="1:9" ht="15.6">
      <c r="A8" s="12" t="str">
        <v>Platt Hill</v>
      </c>
      <c r="B8" s="9" t="str">
        <v>CT</v>
      </c>
      <c r="C8" s="24">
        <f>SUM('1st Qtr'!C8, '2nd Qtr'!C8, '3rd Qtr'!C8, '4th Qtr'!C8)</f>
        <v>1877624</v>
      </c>
      <c r="D8" s="13">
        <f>SUM('1st Qtr'!D8, '2nd Qtr'!D8, '3rd Qtr'!D8, '4th Qtr'!D8)</f>
        <v>2010381.23</v>
      </c>
      <c r="E8" s="13">
        <f t="shared" si="0"/>
        <v>-132757.22999999998</v>
      </c>
      <c r="F8" s="14">
        <f t="shared" si="1"/>
        <v>-6.6035848335094127E-2</v>
      </c>
      <c r="G8" s="15">
        <f>SUM('1st Qtr'!G8, '2nd Qtr'!G8, '3rd Qtr'!G8, '4th Qtr'!G8)</f>
        <v>2536665.9</v>
      </c>
      <c r="H8" s="15">
        <f>SUM('1st Qtr'!H8, '2nd Qtr'!H8, '3rd Qtr'!H8, '4th Qtr'!H8)</f>
        <v>-659041.9</v>
      </c>
      <c r="I8" s="16">
        <f t="shared" si="2"/>
        <v>-0.25980634659061724</v>
      </c>
    </row>
    <row r="9" spans="1:9" ht="15.6">
      <c r="A9" s="17" t="str">
        <v>Powder Hill</v>
      </c>
      <c r="B9" s="10" t="str">
        <v>CT</v>
      </c>
      <c r="C9" s="11">
        <f>SUM('1st Qtr'!C9, '2nd Qtr'!C9, '3rd Qtr'!C9, '4th Qtr'!C9)</f>
        <v>2654362</v>
      </c>
      <c r="D9" s="18">
        <f>SUM('1st Qtr'!D9, '2nd Qtr'!D9, '3rd Qtr'!D9, '4th Qtr'!D9)</f>
        <v>2789827.3</v>
      </c>
      <c r="E9" s="18">
        <f t="shared" si="0"/>
        <v>-135465.29999999981</v>
      </c>
      <c r="F9" s="19">
        <f t="shared" si="1"/>
        <v>-4.8556876621000812E-2</v>
      </c>
      <c r="G9" s="20">
        <f>SUM('1st Qtr'!G9, '2nd Qtr'!G9, '3rd Qtr'!G9, '4th Qtr'!G9)</f>
        <v>2242224</v>
      </c>
      <c r="H9" s="20">
        <f>SUM('1st Qtr'!H9, '2nd Qtr'!H9, '3rd Qtr'!H9, '4th Qtr'!H9)</f>
        <v>412138</v>
      </c>
      <c r="I9" s="19">
        <f t="shared" si="2"/>
        <v>0.18380768379965606</v>
      </c>
    </row>
    <row r="10" spans="1:9" ht="15.6">
      <c r="A10" s="12" t="str">
        <v>Sand Road</v>
      </c>
      <c r="B10" s="9" t="str">
        <v>CT</v>
      </c>
      <c r="C10" s="24">
        <f>SUM('1st Qtr'!C10, '2nd Qtr'!C10, '3rd Qtr'!C10, '4th Qtr'!C10)</f>
        <v>2841652.5</v>
      </c>
      <c r="D10" s="13">
        <f>SUM('1st Qtr'!D10, '2nd Qtr'!D10, '3rd Qtr'!D10, '4th Qtr'!D10)</f>
        <v>2574118.6</v>
      </c>
      <c r="E10" s="13">
        <f t="shared" si="0"/>
        <v>267533.89999999991</v>
      </c>
      <c r="F10" s="14">
        <f t="shared" si="1"/>
        <v>0.1039322352901688</v>
      </c>
      <c r="G10" s="15">
        <f>SUM('1st Qtr'!G10, '2nd Qtr'!G10, '3rd Qtr'!G10, '4th Qtr'!G10)</f>
        <v>2578185</v>
      </c>
      <c r="H10" s="15">
        <f>SUM('1st Qtr'!H10, '2nd Qtr'!H10, '3rd Qtr'!H10, '4th Qtr'!H10)</f>
        <v>263467.5</v>
      </c>
      <c r="I10" s="16">
        <f t="shared" si="2"/>
        <v>0.10219107628040656</v>
      </c>
    </row>
    <row r="11" spans="1:9" ht="15.6">
      <c r="A11" s="17" t="str">
        <v>Suffield</v>
      </c>
      <c r="B11" s="10" t="str">
        <v>CT</v>
      </c>
      <c r="C11" s="11">
        <f>SUM('1st Qtr'!C11, '2nd Qtr'!C11, '3rd Qtr'!C11, '4th Qtr'!C11)</f>
        <v>2801450</v>
      </c>
      <c r="D11" s="18">
        <f>SUM('1st Qtr'!D11, '2nd Qtr'!D11, '3rd Qtr'!D11, '4th Qtr'!D11)</f>
        <v>2780951.6</v>
      </c>
      <c r="E11" s="18">
        <f t="shared" si="0"/>
        <v>20498.399999999907</v>
      </c>
      <c r="F11" s="19">
        <f t="shared" si="1"/>
        <v>7.3710020699389034E-3</v>
      </c>
      <c r="G11" s="20">
        <f>SUM('1st Qtr'!G11, '2nd Qtr'!G11, '3rd Qtr'!G11, '4th Qtr'!G11)</f>
        <v>2900185.5</v>
      </c>
      <c r="H11" s="20">
        <f>SUM('1st Qtr'!H11, '2nd Qtr'!H11, '3rd Qtr'!H11, '4th Qtr'!H11)</f>
        <v>-98735.499999999942</v>
      </c>
      <c r="I11" s="19">
        <f t="shared" si="2"/>
        <v>-3.4044546460907398E-2</v>
      </c>
    </row>
    <row r="12" spans="1:9" ht="15.6">
      <c r="A12" s="12" t="str">
        <v>Ashby-Duffy</v>
      </c>
      <c r="B12" s="9" t="str">
        <v>MA</v>
      </c>
      <c r="C12" s="24">
        <f>SUM('1st Qtr'!C12, '2nd Qtr'!C12, '3rd Qtr'!C12, '4th Qtr'!C12)</f>
        <v>2547998</v>
      </c>
      <c r="D12" s="13">
        <f>SUM('1st Qtr'!D12, '2nd Qtr'!D12, '3rd Qtr'!D12, '4th Qtr'!D12)</f>
        <v>3170369.4</v>
      </c>
      <c r="E12" s="13">
        <f t="shared" si="0"/>
        <v>-622371.39999999991</v>
      </c>
      <c r="F12" s="14">
        <f t="shared" si="1"/>
        <v>-0.19630879606647728</v>
      </c>
      <c r="G12" s="15">
        <f>SUM('1st Qtr'!G12, '2nd Qtr'!G12, '3rd Qtr'!G12, '4th Qtr'!G12)</f>
        <v>2674263.7000000002</v>
      </c>
      <c r="H12" s="15">
        <f>SUM('1st Qtr'!H12, '2nd Qtr'!H12, '3rd Qtr'!H12, '4th Qtr'!H12)</f>
        <v>-126265.69999999998</v>
      </c>
      <c r="I12" s="16">
        <f t="shared" si="2"/>
        <v>-4.7215126915120587E-2</v>
      </c>
    </row>
    <row r="13" spans="1:9" ht="15.6">
      <c r="A13" s="17" t="str">
        <v>Ashland</v>
      </c>
      <c r="B13" s="10" t="str">
        <v>MA</v>
      </c>
      <c r="C13" s="11">
        <f>SUM('1st Qtr'!C13, '2nd Qtr'!C13, '3rd Qtr'!C13, '4th Qtr'!C13)</f>
        <v>2145681.380165291</v>
      </c>
      <c r="D13" s="18">
        <f>SUM('1st Qtr'!D13, '2nd Qtr'!D13, '3rd Qtr'!D13, '4th Qtr'!D13)</f>
        <v>1892494.39</v>
      </c>
      <c r="E13" s="18">
        <f t="shared" si="0"/>
        <v>253186.99016529112</v>
      </c>
      <c r="F13" s="19">
        <f t="shared" si="1"/>
        <v>0.13378480353925443</v>
      </c>
      <c r="G13" s="20">
        <f>SUM('1st Qtr'!G13, '2nd Qtr'!G13, '3rd Qtr'!G13, '4th Qtr'!G13)</f>
        <v>2639560.2999999998</v>
      </c>
      <c r="H13" s="20">
        <f>SUM('1st Qtr'!H13, '2nd Qtr'!H13, '3rd Qtr'!H13, '4th Qtr'!H13)</f>
        <v>-493878.91983470914</v>
      </c>
      <c r="I13" s="19">
        <f t="shared" si="2"/>
        <v>-0.1871065115787312</v>
      </c>
    </row>
    <row r="14" spans="1:9" ht="15.6">
      <c r="A14" s="12" t="str">
        <v>Barrington</v>
      </c>
      <c r="B14" s="9" t="str">
        <v>MA</v>
      </c>
      <c r="C14" s="24">
        <f>SUM('1st Qtr'!C14, '2nd Qtr'!C14, '3rd Qtr'!C14, '4th Qtr'!C14)</f>
        <v>603328</v>
      </c>
      <c r="D14" s="13">
        <f>SUM('1st Qtr'!D14, '2nd Qtr'!D14, '3rd Qtr'!D14, '4th Qtr'!D14)</f>
        <v>548444.75</v>
      </c>
      <c r="E14" s="13">
        <f t="shared" si="0"/>
        <v>54883.25</v>
      </c>
      <c r="F14" s="14">
        <f t="shared" si="1"/>
        <v>0.10007069992009222</v>
      </c>
      <c r="G14" s="15">
        <f>SUM('1st Qtr'!G14, '2nd Qtr'!G14, '3rd Qtr'!G14, '4th Qtr'!G14)</f>
        <v>661300</v>
      </c>
      <c r="H14" s="15">
        <f>SUM('1st Qtr'!H14, '2nd Qtr'!H14, '3rd Qtr'!H14, '4th Qtr'!H14)</f>
        <v>-57972</v>
      </c>
      <c r="I14" s="16">
        <f t="shared" si="2"/>
        <v>-8.7663692726447903E-2</v>
      </c>
    </row>
    <row r="15" spans="1:9" ht="15.6">
      <c r="A15" s="17" t="str">
        <v>Bedford - 205 Burlington Rd</v>
      </c>
      <c r="B15" s="10" t="str">
        <v>MA</v>
      </c>
      <c r="C15" s="11">
        <f>SUM('1st Qtr'!C15, '2nd Qtr'!C15, '3rd Qtr'!C15, '4th Qtr'!C15)</f>
        <v>287460</v>
      </c>
      <c r="D15" s="18">
        <f>SUM('1st Qtr'!D15, '2nd Qtr'!D15, '3rd Qtr'!D15, '4th Qtr'!D15)</f>
        <v>0</v>
      </c>
      <c r="E15" s="18">
        <f t="shared" si="0"/>
        <v>287460</v>
      </c>
      <c r="F15" s="19" t="str">
        <f t="shared" si="1"/>
        <v/>
      </c>
      <c r="G15" s="20">
        <f>SUM('1st Qtr'!G15, '2nd Qtr'!G15, '3rd Qtr'!G15, '4th Qtr'!G15)</f>
        <v>0</v>
      </c>
      <c r="H15" s="20">
        <f>SUM('1st Qtr'!H15, '2nd Qtr'!H15, '3rd Qtr'!H15, '4th Qtr'!H15)</f>
        <v>287460</v>
      </c>
      <c r="I15" s="19" t="str">
        <f t="shared" si="2"/>
        <v/>
      </c>
    </row>
    <row r="16" spans="1:9" ht="15.6">
      <c r="A16" s="12" t="str">
        <v>Billerica - 6 Cook Street</v>
      </c>
      <c r="B16" s="9" t="str">
        <v>MA</v>
      </c>
      <c r="C16" s="24">
        <f>SUM('1st Qtr'!C16, '2nd Qtr'!C16, '3rd Qtr'!C16, '4th Qtr'!C16)</f>
        <v>274055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274055</v>
      </c>
      <c r="F16" s="14" t="str">
        <f t="shared" ref="F16:F19" si="4">IFERROR(E16/D16, "")</f>
        <v/>
      </c>
      <c r="G16" s="15">
        <f>SUM('1st Qtr'!G16, '2nd Qtr'!G16, '3rd Qtr'!G16, '4th Qtr'!G16)</f>
        <v>0</v>
      </c>
      <c r="H16" s="15">
        <f>SUM('1st Qtr'!H16, '2nd Qtr'!H16, '3rd Qtr'!H16, '4th Qtr'!H16)</f>
        <v>274055</v>
      </c>
      <c r="I16" s="16" t="str">
        <f t="shared" ref="I16:I19" si="5">IFERROR(H16/G16, "")</f>
        <v/>
      </c>
    </row>
    <row r="17" spans="1:9" ht="15.6">
      <c r="A17" s="17" t="str">
        <v>Billerica - 780 Boston Road</v>
      </c>
      <c r="B17" s="10" t="str">
        <v>MA</v>
      </c>
      <c r="C17" s="11">
        <f>SUM('1st Qtr'!C17, '2nd Qtr'!C17, '3rd Qtr'!C17, '4th Qtr'!C17)</f>
        <v>332058</v>
      </c>
      <c r="D17" s="18">
        <f>SUM('1st Qtr'!D17, '2nd Qtr'!D17, '3rd Qtr'!D17, '4th Qtr'!D17)</f>
        <v>0</v>
      </c>
      <c r="E17" s="18">
        <f t="shared" si="3"/>
        <v>332058</v>
      </c>
      <c r="F17" s="19" t="str">
        <f t="shared" si="4"/>
        <v/>
      </c>
      <c r="G17" s="20">
        <f>SUM('1st Qtr'!G17, '2nd Qtr'!G17, '3rd Qtr'!G17, '4th Qtr'!G17)</f>
        <v>0</v>
      </c>
      <c r="H17" s="20">
        <f>SUM('1st Qtr'!H17, '2nd Qtr'!H17, '3rd Qtr'!H17, '4th Qtr'!H17)</f>
        <v>332058</v>
      </c>
      <c r="I17" s="19" t="str">
        <f t="shared" si="5"/>
        <v/>
      </c>
    </row>
    <row r="18" spans="1:9" ht="12.75" customHeight="1">
      <c r="A18" s="12" t="str">
        <v>Cheshire</v>
      </c>
      <c r="B18" s="9" t="str">
        <v>MA</v>
      </c>
      <c r="C18" s="24">
        <f>SUM('1st Qtr'!C18, '2nd Qtr'!C18, '3rd Qtr'!C18, '4th Qtr'!C18)</f>
        <v>612741.5</v>
      </c>
      <c r="D18" s="13">
        <f>SUM('1st Qtr'!D18, '2nd Qtr'!D18, '3rd Qtr'!D18, '4th Qtr'!D18)</f>
        <v>653501.12000000011</v>
      </c>
      <c r="E18" s="13">
        <f t="shared" si="3"/>
        <v>-40759.620000000112</v>
      </c>
      <c r="F18" s="14">
        <f t="shared" si="4"/>
        <v>-6.2371155538341091E-2</v>
      </c>
      <c r="G18" s="15">
        <f>SUM('1st Qtr'!G18, '2nd Qtr'!G18, '3rd Qtr'!G18, '4th Qtr'!G18)</f>
        <v>501192.87</v>
      </c>
      <c r="H18" s="15">
        <f>SUM('1st Qtr'!H18, '2nd Qtr'!H18, '3rd Qtr'!H18, '4th Qtr'!H18)</f>
        <v>111548.63</v>
      </c>
      <c r="I18" s="16">
        <f t="shared" si="5"/>
        <v>0.22256627473571203</v>
      </c>
    </row>
    <row r="19" spans="1:9" ht="15.6">
      <c r="A19" s="17" t="str">
        <v>Lilly Lane</v>
      </c>
      <c r="B19" s="10" t="str">
        <v>MA</v>
      </c>
      <c r="C19" s="11">
        <f>SUM('1st Qtr'!C19, '2nd Qtr'!C19, '3rd Qtr'!C19, '4th Qtr'!C19)</f>
        <v>1372919.5</v>
      </c>
      <c r="D19" s="18">
        <f>SUM('1st Qtr'!D19, '2nd Qtr'!D19, '3rd Qtr'!D19, '4th Qtr'!D19)</f>
        <v>1318112.21</v>
      </c>
      <c r="E19" s="18">
        <f t="shared" si="3"/>
        <v>54807.290000000037</v>
      </c>
      <c r="F19" s="19">
        <f t="shared" si="4"/>
        <v>4.1580139827397576E-2</v>
      </c>
      <c r="G19" s="20">
        <f>SUM('1st Qtr'!G19, '2nd Qtr'!G19, '3rd Qtr'!G19, '4th Qtr'!G19)</f>
        <v>1471365.2999999998</v>
      </c>
      <c r="H19" s="20">
        <f>SUM('1st Qtr'!H19, '2nd Qtr'!H19, '3rd Qtr'!H19, '4th Qtr'!H19)</f>
        <v>-98445.799999999959</v>
      </c>
      <c r="I19" s="19">
        <f t="shared" si="5"/>
        <v>-6.6907789656314429E-2</v>
      </c>
    </row>
    <row r="20" spans="1:9" ht="15.6">
      <c r="A20" s="12" t="str">
        <v>Monument Valley</v>
      </c>
      <c r="B20" s="9" t="str">
        <v>MA</v>
      </c>
      <c r="C20" s="24">
        <f>SUM('1st Qtr'!C20, '2nd Qtr'!C20, '3rd Qtr'!C20, '4th Qtr'!C20)</f>
        <v>2710603.282178218</v>
      </c>
      <c r="D20" s="13">
        <f>SUM('1st Qtr'!D20, '2nd Qtr'!D20, '3rd Qtr'!D20, '4th Qtr'!D20)</f>
        <v>549070.42999999993</v>
      </c>
      <c r="E20" s="13">
        <f t="shared" ref="E20:E22" si="6">IF(AND(ISNUMBER(C20),ISNUMBER(D20)), C20-D20, "")</f>
        <v>2161532.8521782178</v>
      </c>
      <c r="F20" s="19">
        <f t="shared" ref="F20:F23" si="7">IFERROR(E20/D20, "")</f>
        <v>3.9367132777086868</v>
      </c>
      <c r="G20" s="15">
        <f>SUM('1st Qtr'!G20, '2nd Qtr'!G20, '3rd Qtr'!G20, '4th Qtr'!G20)</f>
        <v>0</v>
      </c>
      <c r="H20" s="15">
        <f>SUM('1st Qtr'!H20, '2nd Qtr'!H20, '3rd Qtr'!H20, '4th Qtr'!H20)</f>
        <v>2710603.282178218</v>
      </c>
      <c r="I20" s="19" t="str">
        <f t="shared" ref="I20:I23" si="8">IFERROR(H20/G20, "")</f>
        <v/>
      </c>
    </row>
    <row r="21" spans="1:9" ht="15.6">
      <c r="A21" s="17" t="str">
        <v>Nationwide</v>
      </c>
      <c r="B21" s="10" t="str">
        <v>MA</v>
      </c>
      <c r="C21" s="11">
        <f>SUM('1st Qtr'!C21, '2nd Qtr'!C21, '3rd Qtr'!C21, '4th Qtr'!C21)</f>
        <v>4552277</v>
      </c>
      <c r="D21" s="18">
        <f>SUM('1st Qtr'!D21, '2nd Qtr'!D21, '3rd Qtr'!D21, '4th Qtr'!D21)</f>
        <v>3886624.8</v>
      </c>
      <c r="E21" s="18">
        <f t="shared" si="6"/>
        <v>665652.20000000019</v>
      </c>
      <c r="F21" s="19">
        <f t="shared" si="7"/>
        <v>0.17126741948438146</v>
      </c>
      <c r="G21" s="20">
        <f>SUM('1st Qtr'!G21, '2nd Qtr'!G21, '3rd Qtr'!G21, '4th Qtr'!G21)</f>
        <v>4316032.5999999996</v>
      </c>
      <c r="H21" s="20">
        <f>SUM('1st Qtr'!H21, '2nd Qtr'!H21, '3rd Qtr'!H21, '4th Qtr'!H21)</f>
        <v>236244.40000000002</v>
      </c>
      <c r="I21" s="19">
        <f t="shared" si="8"/>
        <v>5.473647256510529E-2</v>
      </c>
    </row>
    <row r="22" spans="1:9" ht="15.6">
      <c r="A22" s="12" t="str">
        <v>Pulpit Hill</v>
      </c>
      <c r="B22" s="9" t="str">
        <v>MA</v>
      </c>
      <c r="C22" s="24">
        <f>SUM('1st Qtr'!C22, '2nd Qtr'!C22, '3rd Qtr'!C22, '4th Qtr'!C22)</f>
        <v>5860580.4000000004</v>
      </c>
      <c r="D22" s="13">
        <f>SUM('1st Qtr'!D22, '2nd Qtr'!D22, '3rd Qtr'!D22, '4th Qtr'!D22)</f>
        <v>5528331.0999999996</v>
      </c>
      <c r="E22" s="13">
        <f t="shared" si="6"/>
        <v>332249.30000000075</v>
      </c>
      <c r="F22" s="19">
        <f t="shared" si="7"/>
        <v>6.0099385147174118E-2</v>
      </c>
      <c r="G22" s="15">
        <f>SUM('1st Qtr'!G22, '2nd Qtr'!G22, '3rd Qtr'!G22, '4th Qtr'!G22)</f>
        <v>6042991.7999999998</v>
      </c>
      <c r="H22" s="15">
        <f>SUM('1st Qtr'!H22, '2nd Qtr'!H22, '3rd Qtr'!H22, '4th Qtr'!H22)</f>
        <v>-182411.40000000008</v>
      </c>
      <c r="I22" s="19">
        <f t="shared" si="8"/>
        <v>-3.0185611041206459E-2</v>
      </c>
    </row>
    <row r="23" spans="1:9" ht="15.6">
      <c r="A23" s="17" t="str">
        <v>Sandwich</v>
      </c>
      <c r="B23" s="10" t="str">
        <v>MA</v>
      </c>
      <c r="C23" s="11">
        <f>SUM('1st Qtr'!C23, '2nd Qtr'!C23, '3rd Qtr'!C23, '4th Qtr'!C23)</f>
        <v>3862371</v>
      </c>
      <c r="D23" s="18">
        <f>SUM('1st Qtr'!D23, '2nd Qtr'!D23, '3rd Qtr'!D23, '4th Qtr'!D23)</f>
        <v>0</v>
      </c>
      <c r="E23" s="18">
        <f t="shared" ref="E23:E28" si="9">IF(AND(ISNUMBER(C23),ISNUMBER(D23)), C23-D23, "")</f>
        <v>3862371</v>
      </c>
      <c r="F23" s="19" t="str">
        <f t="shared" si="7"/>
        <v/>
      </c>
      <c r="G23" s="20">
        <f>SUM('1st Qtr'!G23, '2nd Qtr'!G23, '3rd Qtr'!G23, '4th Qtr'!G23)</f>
        <v>0</v>
      </c>
      <c r="H23" s="20">
        <f>SUM('1st Qtr'!H23, '2nd Qtr'!H23, '3rd Qtr'!H23, '4th Qtr'!H23)</f>
        <v>3862371</v>
      </c>
      <c r="I23" s="19" t="str">
        <f t="shared" si="8"/>
        <v/>
      </c>
    </row>
    <row r="24" spans="1:9" ht="15.6">
      <c r="A24" s="12" t="str">
        <v>Sturbridge Barn</v>
      </c>
      <c r="B24" s="9" t="str">
        <v>MA</v>
      </c>
      <c r="C24" s="24">
        <f>SUM('1st Qtr'!C24, '2nd Qtr'!C24, '3rd Qtr'!C24, '4th Qtr'!C24)</f>
        <v>1356025.5</v>
      </c>
      <c r="D24" s="13">
        <f>SUM('1st Qtr'!D24, '2nd Qtr'!D24, '3rd Qtr'!D24, '4th Qtr'!D24)</f>
        <v>1417570.76</v>
      </c>
      <c r="E24" s="13">
        <f t="shared" si="9"/>
        <v>-61545.260000000009</v>
      </c>
      <c r="F24" s="14">
        <f t="shared" ref="F24:F28" si="10">IFERROR(E24/D24, "")</f>
        <v>-4.3416005561514266E-2</v>
      </c>
      <c r="G24" s="15">
        <f>SUM('1st Qtr'!G24, '2nd Qtr'!G24, '3rd Qtr'!G24, '4th Qtr'!G24)</f>
        <v>1560960.4</v>
      </c>
      <c r="H24" s="15">
        <f>SUM('1st Qtr'!H24, '2nd Qtr'!H24, '3rd Qtr'!H24, '4th Qtr'!H24)</f>
        <v>-204934.90000000002</v>
      </c>
      <c r="I24" s="16">
        <f t="shared" ref="I24:I28" si="11">IFERROR(H24/G24, "")</f>
        <v>-0.13128769954702249</v>
      </c>
    </row>
    <row r="25" spans="1:9" ht="15.6">
      <c r="A25" s="17" t="str">
        <v>Sturbridge Garage</v>
      </c>
      <c r="B25" s="10" t="str">
        <v>MA</v>
      </c>
      <c r="C25" s="11">
        <f>SUM('1st Qtr'!C25, '2nd Qtr'!C25, '3rd Qtr'!C25, '4th Qtr'!C25)</f>
        <v>689780</v>
      </c>
      <c r="D25" s="18">
        <f>SUM('1st Qtr'!D25, '2nd Qtr'!D25, '3rd Qtr'!D25, '4th Qtr'!D25)</f>
        <v>678370.2</v>
      </c>
      <c r="E25" s="18">
        <f t="shared" si="9"/>
        <v>11409.800000000047</v>
      </c>
      <c r="F25" s="19">
        <f t="shared" si="10"/>
        <v>1.6819429862927421E-2</v>
      </c>
      <c r="G25" s="20">
        <f>SUM('1st Qtr'!G25, '2nd Qtr'!G25, '3rd Qtr'!G25, '4th Qtr'!G25)</f>
        <v>726819.05</v>
      </c>
      <c r="H25" s="20">
        <f>SUM('1st Qtr'!H25, '2nd Qtr'!H25, '3rd Qtr'!H25, '4th Qtr'!H25)</f>
        <v>-37039.050000000003</v>
      </c>
      <c r="I25" s="19">
        <f t="shared" si="11"/>
        <v>-5.0960483217934366E-2</v>
      </c>
    </row>
    <row r="26" spans="1:9" ht="15.6">
      <c r="A26" s="12" t="str">
        <v>Halsey Valley</v>
      </c>
      <c r="B26" s="9" t="str">
        <v>NY</v>
      </c>
      <c r="C26" s="24">
        <f>SUM('1st Qtr'!C26, '2nd Qtr'!C26, '3rd Qtr'!C26, '4th Qtr'!C26)</f>
        <v>6710986</v>
      </c>
      <c r="D26" s="13">
        <f>SUM('1st Qtr'!D26, '2nd Qtr'!D26, '3rd Qtr'!D26, '4th Qtr'!D26)</f>
        <v>6914945.8000000007</v>
      </c>
      <c r="E26" s="13">
        <f t="shared" si="9"/>
        <v>-203959.80000000075</v>
      </c>
      <c r="F26" s="14">
        <f t="shared" si="10"/>
        <v>-2.9495502336403089E-2</v>
      </c>
      <c r="G26" s="15">
        <f>SUM('1st Qtr'!G26, '2nd Qtr'!G26, '3rd Qtr'!G26, '4th Qtr'!G26)</f>
        <v>7404000</v>
      </c>
      <c r="H26" s="15">
        <f>SUM('1st Qtr'!H26, '2nd Qtr'!H26, '3rd Qtr'!H26, '4th Qtr'!H26)</f>
        <v>-693014</v>
      </c>
      <c r="I26" s="16">
        <f t="shared" si="11"/>
        <v>-9.3599945975148563E-2</v>
      </c>
    </row>
    <row r="27" spans="1:9" ht="15.6">
      <c r="A27" s="17" t="str">
        <v>Hunt Creek</v>
      </c>
      <c r="B27" s="10" t="str">
        <v>NY</v>
      </c>
      <c r="C27" s="11">
        <f>SUM('1st Qtr'!C27, '2nd Qtr'!C27, '3rd Qtr'!C27, '4th Qtr'!C27)</f>
        <v>4636666.45</v>
      </c>
      <c r="D27" s="18">
        <f>SUM('1st Qtr'!D27, '2nd Qtr'!D27, '3rd Qtr'!D27, '4th Qtr'!D27)</f>
        <v>5016335.7</v>
      </c>
      <c r="E27" s="18">
        <f t="shared" si="9"/>
        <v>-379669.25</v>
      </c>
      <c r="F27" s="19">
        <f t="shared" si="10"/>
        <v>-7.5686571375197229E-2</v>
      </c>
      <c r="G27" s="20">
        <f>SUM('1st Qtr'!G27, '2nd Qtr'!G27, '3rd Qtr'!G27, '4th Qtr'!G27)</f>
        <v>5227700</v>
      </c>
      <c r="H27" s="20">
        <f>SUM('1st Qtr'!H27, '2nd Qtr'!H27, '3rd Qtr'!H27, '4th Qtr'!H27)</f>
        <v>-591033.55000000005</v>
      </c>
      <c r="I27" s="19">
        <f t="shared" si="11"/>
        <v>-0.11305804655967253</v>
      </c>
    </row>
    <row r="28" spans="1:9" ht="15.6">
      <c r="A28" s="12" t="str">
        <v>Smith Creek</v>
      </c>
      <c r="B28" s="9" t="str">
        <v>NY</v>
      </c>
      <c r="C28" s="24">
        <f>SUM('1st Qtr'!C28, '2nd Qtr'!C28, '3rd Qtr'!C28, '4th Qtr'!C28)</f>
        <v>5091855</v>
      </c>
      <c r="D28" s="13">
        <f>SUM('1st Qtr'!D28, '2nd Qtr'!D28, '3rd Qtr'!D28, '4th Qtr'!D28)</f>
        <v>5516467</v>
      </c>
      <c r="E28" s="13">
        <f t="shared" si="9"/>
        <v>-424612</v>
      </c>
      <c r="F28" s="14">
        <f t="shared" si="10"/>
        <v>-7.6971728463163108E-2</v>
      </c>
      <c r="G28" s="15">
        <f>SUM('1st Qtr'!G28, '2nd Qtr'!G28, '3rd Qtr'!G28, '4th Qtr'!G28)</f>
        <v>5847785.7000000002</v>
      </c>
      <c r="H28" s="15">
        <f>SUM('1st Qtr'!H28, '2nd Qtr'!H28, '3rd Qtr'!H28, '4th Qtr'!H28)</f>
        <v>-755930.7</v>
      </c>
      <c r="I28" s="16">
        <f t="shared" si="11"/>
        <v>-0.12926785261641854</v>
      </c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3 I4:I103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5"/>
  <sheetViews>
    <sheetView workbookViewId="0">
      <pane xSplit="2" ySplit="3" topLeftCell="D11" activePane="bottomRight" state="frozen"/>
      <selection pane="bottomRight" activeCell="K20" sqref="K20"/>
      <selection pane="bottomLeft" activeCell="M14" sqref="M14"/>
      <selection pane="topRight" activeCell="M14" sqref="M14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SUM(C4:C103)</f>
        <v>14301791.444221105</v>
      </c>
      <c r="D2" s="5">
        <f>SUM(D4:D103)</f>
        <v>14622211.350000001</v>
      </c>
      <c r="E2" s="5">
        <f>C2-D2</f>
        <v>-320419.90577889606</v>
      </c>
      <c r="F2" s="6">
        <f>IFERROR(E2/D2, 0)</f>
        <v>-2.191323173419293E-2</v>
      </c>
      <c r="G2" s="5">
        <f>SUM(G4:G103)</f>
        <v>13577124.93</v>
      </c>
      <c r="H2" s="7">
        <f>C2-G2</f>
        <v>724666.51422110572</v>
      </c>
      <c r="I2" s="6">
        <f>IFERROR(H2/G2, 0)</f>
        <v>5.3374077203921386E-2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SUM(Jan!C4, Feb!C4, Mar!C4)</f>
        <v>331357</v>
      </c>
      <c r="D4" s="13">
        <f>SUM(Jan!D4, Feb!D4, Mar!D4)</f>
        <v>391097.81</v>
      </c>
      <c r="E4" s="13">
        <f>IF(AND(ISNUMBER(C4),ISNUMBER(D4)), C4-D4, "")</f>
        <v>-59740.81</v>
      </c>
      <c r="F4" s="14">
        <f>IFERROR(E4/D4, "")</f>
        <v>-0.1527515840602636</v>
      </c>
      <c r="G4" s="15">
        <f>SUM(Jan!G4, Feb!G4, Mar!G4)</f>
        <v>378859.37</v>
      </c>
      <c r="H4" s="15">
        <f>SUM(Jan!H4, Feb!H4, Mar!H4)</f>
        <v>-47502.37000000001</v>
      </c>
      <c r="I4" s="16">
        <f>IFERROR(H4/G4, "")</f>
        <v>-0.12538259249071762</v>
      </c>
    </row>
    <row r="5" spans="1:9" ht="15.6">
      <c r="A5" s="43" t="str">
        <v>Bunce</v>
      </c>
      <c r="B5" s="10" t="str">
        <v>CT</v>
      </c>
      <c r="C5" s="11">
        <f>SUM(Jan!C5, Feb!C5, Mar!C5)</f>
        <v>589639.25</v>
      </c>
      <c r="D5" s="18">
        <f>SUM(Jan!D5, Feb!D5, Mar!D5)</f>
        <v>643231.5</v>
      </c>
      <c r="E5" s="18">
        <f t="shared" ref="E5:E15" si="0">IF(AND(ISNUMBER(C5),ISNUMBER(D5)), C5-D5, "")</f>
        <v>-53592.25</v>
      </c>
      <c r="F5" s="19">
        <f>IFERROR(E5/D5, "")</f>
        <v>-8.3317203837187701E-2</v>
      </c>
      <c r="G5" s="20">
        <f>SUM(Jan!G5, Feb!G5, Mar!G5)</f>
        <v>0</v>
      </c>
      <c r="H5" s="20">
        <f>SUM(Jan!H5, Feb!H5, Mar!H5)</f>
        <v>589639.25</v>
      </c>
      <c r="I5" s="19" t="str">
        <f>IFERROR(H5/G5, "")</f>
        <v/>
      </c>
    </row>
    <row r="6" spans="1:9" ht="15.6">
      <c r="A6" s="42" t="str">
        <v>Norcap North</v>
      </c>
      <c r="B6" s="9" t="str">
        <v>CT</v>
      </c>
      <c r="C6" s="24">
        <f>SUM(Jan!C6, Feb!C6, Mar!C6)</f>
        <v>642155</v>
      </c>
      <c r="D6" s="13">
        <f>SUM(Jan!D6, Feb!D6, Mar!D6)</f>
        <v>816049.60000000009</v>
      </c>
      <c r="E6" s="13">
        <f t="shared" si="0"/>
        <v>-173894.60000000009</v>
      </c>
      <c r="F6" s="14">
        <f t="shared" ref="F6:F15" si="1">IFERROR(E6/D6, "")</f>
        <v>-0.21309317472859501</v>
      </c>
      <c r="G6" s="15">
        <f>SUM(Jan!G6, Feb!G6, Mar!G6)</f>
        <v>700223.8</v>
      </c>
      <c r="H6" s="15">
        <f>SUM(Jan!H6, Feb!H6, Mar!H6)</f>
        <v>-58068.799999999988</v>
      </c>
      <c r="I6" s="16">
        <f t="shared" ref="I6:I15" si="2">IFERROR(H6/G6, "")</f>
        <v>-8.2928915012600232E-2</v>
      </c>
    </row>
    <row r="7" spans="1:9" ht="15.6">
      <c r="A7" s="43" t="str">
        <v>Norcap South</v>
      </c>
      <c r="B7" s="10" t="str">
        <v>CT</v>
      </c>
      <c r="C7" s="11">
        <f>SUM(Jan!C7, Feb!C7, Mar!C7)</f>
        <v>665333.5</v>
      </c>
      <c r="D7" s="18">
        <f>SUM(Jan!D7, Feb!D7, Mar!D7)</f>
        <v>894303.9</v>
      </c>
      <c r="E7" s="18">
        <f t="shared" si="0"/>
        <v>-228970.40000000002</v>
      </c>
      <c r="F7" s="19">
        <f t="shared" si="1"/>
        <v>-0.25603198196944016</v>
      </c>
      <c r="G7" s="20">
        <f>SUM(Jan!G7, Feb!G7, Mar!G7)</f>
        <v>659879.89999999991</v>
      </c>
      <c r="H7" s="20">
        <f>SUM(Jan!H7, Feb!H7, Mar!H7)</f>
        <v>5453.6000000000349</v>
      </c>
      <c r="I7" s="19">
        <f t="shared" si="2"/>
        <v>8.2645341978139289E-3</v>
      </c>
    </row>
    <row r="8" spans="1:9" ht="15.6">
      <c r="A8" s="42" t="str">
        <v>Platt Hill</v>
      </c>
      <c r="B8" s="9" t="str">
        <v>CT</v>
      </c>
      <c r="C8" s="24">
        <f>SUM(Jan!C8, Feb!C8, Mar!C8)</f>
        <v>713579.34422110603</v>
      </c>
      <c r="D8" s="13">
        <f>SUM(Jan!D8, Feb!D8, Mar!D8)</f>
        <v>797244.8</v>
      </c>
      <c r="E8" s="13">
        <f t="shared" si="0"/>
        <v>-83665.455778894015</v>
      </c>
      <c r="F8" s="14">
        <f t="shared" si="1"/>
        <v>-0.10494324425683806</v>
      </c>
      <c r="G8" s="15">
        <f>SUM(Jan!G8, Feb!G8, Mar!G8)</f>
        <v>861464.79999999993</v>
      </c>
      <c r="H8" s="15">
        <f>SUM(Jan!H8, Feb!H8, Mar!H8)</f>
        <v>-147885.45577889401</v>
      </c>
      <c r="I8" s="16">
        <f t="shared" si="2"/>
        <v>-0.17166743873794266</v>
      </c>
    </row>
    <row r="9" spans="1:9" ht="15.6">
      <c r="A9" s="43" t="str">
        <v>Powder Hill</v>
      </c>
      <c r="B9" s="10" t="str">
        <v>CT</v>
      </c>
      <c r="C9" s="11">
        <f>SUM(Jan!C9, Feb!C9, Mar!C9)</f>
        <v>611028</v>
      </c>
      <c r="D9" s="18">
        <f>SUM(Jan!D9, Feb!D9, Mar!D9)</f>
        <v>714272.8</v>
      </c>
      <c r="E9" s="18">
        <f t="shared" si="0"/>
        <v>-103244.80000000005</v>
      </c>
      <c r="F9" s="19">
        <f t="shared" si="1"/>
        <v>-0.14454533337962755</v>
      </c>
      <c r="G9" s="20">
        <f>SUM(Jan!G9, Feb!G9, Mar!G9)</f>
        <v>566964</v>
      </c>
      <c r="H9" s="20">
        <f>SUM(Jan!H9, Feb!H9, Mar!H9)</f>
        <v>44064</v>
      </c>
      <c r="I9" s="19">
        <f t="shared" si="2"/>
        <v>7.7719220267953526E-2</v>
      </c>
    </row>
    <row r="10" spans="1:9" ht="15.6">
      <c r="A10" s="42" t="str">
        <v>Sand Road</v>
      </c>
      <c r="B10" s="9" t="str">
        <v>CT</v>
      </c>
      <c r="C10" s="24">
        <f>SUM(Jan!C10, Feb!C10, Mar!C10)</f>
        <v>639429</v>
      </c>
      <c r="D10" s="13">
        <f>SUM(Jan!D10, Feb!D10, Mar!D10)</f>
        <v>660829.69999999995</v>
      </c>
      <c r="E10" s="13">
        <f t="shared" si="0"/>
        <v>-21400.699999999953</v>
      </c>
      <c r="F10" s="14">
        <f t="shared" si="1"/>
        <v>-3.2384591673164743E-2</v>
      </c>
      <c r="G10" s="15">
        <f>SUM(Jan!G10, Feb!G10, Mar!G10)</f>
        <v>602989</v>
      </c>
      <c r="H10" s="15">
        <f>SUM(Jan!H10, Feb!H10, Mar!H10)</f>
        <v>36440</v>
      </c>
      <c r="I10" s="16">
        <f t="shared" si="2"/>
        <v>6.0432279859168242E-2</v>
      </c>
    </row>
    <row r="11" spans="1:9" ht="15.6">
      <c r="A11" s="43" t="str">
        <v>Suffield</v>
      </c>
      <c r="B11" s="10" t="str">
        <v>CT</v>
      </c>
      <c r="C11" s="11">
        <f>SUM(Jan!C11, Feb!C11, Mar!C11)</f>
        <v>645254</v>
      </c>
      <c r="D11" s="18">
        <f>SUM(Jan!D11, Feb!D11, Mar!D11)</f>
        <v>692965.8</v>
      </c>
      <c r="E11" s="18">
        <f t="shared" si="0"/>
        <v>-47711.800000000047</v>
      </c>
      <c r="F11" s="19">
        <f t="shared" si="1"/>
        <v>-6.8851594119074919E-2</v>
      </c>
      <c r="G11" s="20">
        <f>SUM(Jan!G11, Feb!G11, Mar!G11)</f>
        <v>732511.5</v>
      </c>
      <c r="H11" s="20">
        <f>SUM(Jan!H11, Feb!H11, Mar!H11)</f>
        <v>-87257.5</v>
      </c>
      <c r="I11" s="19">
        <f t="shared" si="2"/>
        <v>-0.11912099673520483</v>
      </c>
    </row>
    <row r="12" spans="1:9" ht="15.6">
      <c r="A12" s="42" t="str">
        <v>Ashby-Duffy</v>
      </c>
      <c r="B12" s="9" t="str">
        <v>MA</v>
      </c>
      <c r="C12" s="24">
        <f>SUM(Jan!C12, Feb!C12, Mar!C12)</f>
        <v>623058</v>
      </c>
      <c r="D12" s="13">
        <f>SUM(Jan!D12, Feb!D12, Mar!D12)</f>
        <v>1011075.2</v>
      </c>
      <c r="E12" s="13">
        <f t="shared" si="0"/>
        <v>-388017.19999999995</v>
      </c>
      <c r="F12" s="14">
        <f t="shared" si="1"/>
        <v>-0.38376690477622233</v>
      </c>
      <c r="G12" s="15">
        <f>SUM(Jan!G12, Feb!G12, Mar!G12)</f>
        <v>651654.5</v>
      </c>
      <c r="H12" s="15">
        <f>SUM(Jan!H12, Feb!H12, Mar!H12)</f>
        <v>-28596.499999999971</v>
      </c>
      <c r="I12" s="16">
        <f t="shared" si="2"/>
        <v>-4.3882916484118455E-2</v>
      </c>
    </row>
    <row r="13" spans="1:9" ht="15.6">
      <c r="A13" s="43" t="str">
        <v>Ashland</v>
      </c>
      <c r="B13" s="10" t="str">
        <v>MA</v>
      </c>
      <c r="C13" s="11">
        <f>SUM(Jan!C13, Feb!C13, Mar!C13)</f>
        <v>9993.5</v>
      </c>
      <c r="D13" s="18">
        <f>SUM(Jan!D13, Feb!D13, Mar!D13)</f>
        <v>38664.69</v>
      </c>
      <c r="E13" s="18">
        <f t="shared" si="0"/>
        <v>-28671.190000000002</v>
      </c>
      <c r="F13" s="19">
        <f t="shared" si="1"/>
        <v>-0.74153420084319832</v>
      </c>
      <c r="G13" s="20">
        <f>SUM(Jan!G13, Feb!G13, Mar!G13)</f>
        <v>361298.4</v>
      </c>
      <c r="H13" s="20">
        <f>SUM(Jan!H13, Feb!H13, Mar!H13)</f>
        <v>-351304.9</v>
      </c>
      <c r="I13" s="19">
        <f t="shared" si="2"/>
        <v>-0.97234003804057811</v>
      </c>
    </row>
    <row r="14" spans="1:9" ht="15.6">
      <c r="A14" s="42" t="str">
        <v>Barrington</v>
      </c>
      <c r="B14" s="9" t="str">
        <v>MA</v>
      </c>
      <c r="C14" s="24">
        <f>SUM(Jan!C14, Feb!C14, Mar!C14)</f>
        <v>133250</v>
      </c>
      <c r="D14" s="13">
        <f>SUM(Jan!D14, Feb!D14, Mar!D14)</f>
        <v>132357.65000000002</v>
      </c>
      <c r="E14" s="13">
        <f t="shared" si="0"/>
        <v>892.34999999997672</v>
      </c>
      <c r="F14" s="14">
        <f t="shared" si="1"/>
        <v>6.7419601360403161E-3</v>
      </c>
      <c r="G14" s="15">
        <f>SUM(Jan!G14, Feb!G14, Mar!G14)</f>
        <v>159190</v>
      </c>
      <c r="H14" s="15">
        <f>SUM(Jan!H14, Feb!H14, Mar!H14)</f>
        <v>-25940</v>
      </c>
      <c r="I14" s="16">
        <f t="shared" si="2"/>
        <v>-0.16294993404108299</v>
      </c>
    </row>
    <row r="15" spans="1:9" ht="15.6">
      <c r="A15" s="43" t="str">
        <v>Bedford - 205 Burlington Rd</v>
      </c>
      <c r="B15" s="10" t="str">
        <v>MA</v>
      </c>
      <c r="C15" s="11">
        <f>SUM(Jan!C15, Feb!C15, Mar!C15)</f>
        <v>68679</v>
      </c>
      <c r="D15" s="18">
        <f>SUM(Jan!D15, Feb!D15, Mar!D15)</f>
        <v>0</v>
      </c>
      <c r="E15" s="18">
        <f t="shared" si="0"/>
        <v>68679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68679</v>
      </c>
      <c r="I15" s="19" t="str">
        <f t="shared" si="2"/>
        <v/>
      </c>
    </row>
    <row r="16" spans="1:9" ht="15.6">
      <c r="A16" s="42" t="str">
        <v>Billerica - 6 Cook Street</v>
      </c>
      <c r="B16" s="9" t="str">
        <v>MA</v>
      </c>
      <c r="C16" s="24">
        <f>SUM(Jan!C16, Feb!C16, Mar!C16)</f>
        <v>60164</v>
      </c>
      <c r="D16" s="13">
        <f>SUM(Jan!D16, Feb!D16, Mar!D16)</f>
        <v>0</v>
      </c>
      <c r="E16" s="13">
        <f t="shared" ref="E16:E18" si="3">IF(AND(ISNUMBER(C16),ISNUMBER(D16)), C16-D16, "")</f>
        <v>60164</v>
      </c>
      <c r="F16" s="14" t="str">
        <f t="shared" ref="F16:F18" si="4">IFERROR(E16/D16, "")</f>
        <v/>
      </c>
      <c r="G16" s="15">
        <f>SUM(Jan!G16, Feb!G16, Mar!G16)</f>
        <v>0</v>
      </c>
      <c r="H16" s="15">
        <f>SUM(Jan!H16, Feb!H16, Mar!H16)</f>
        <v>60164</v>
      </c>
      <c r="I16" s="16" t="str">
        <f t="shared" ref="I16:I18" si="5">IFERROR(H16/G16, "")</f>
        <v/>
      </c>
    </row>
    <row r="17" spans="1:9" ht="15.6">
      <c r="A17" s="43" t="str">
        <v>Billerica - 780 Boston Road</v>
      </c>
      <c r="B17" s="10" t="str">
        <v>MA</v>
      </c>
      <c r="C17" s="11">
        <f>SUM(Jan!C17, Feb!C17, Mar!C17)</f>
        <v>67050</v>
      </c>
      <c r="D17" s="18">
        <f>SUM(Jan!D17, Feb!D17, Mar!D17)</f>
        <v>0</v>
      </c>
      <c r="E17" s="18">
        <f t="shared" si="3"/>
        <v>67050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67050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SUM(Jan!C18, Feb!C18, Mar!C18)</f>
        <v>136259.5</v>
      </c>
      <c r="D18" s="13">
        <f>SUM(Jan!D18, Feb!D18, Mar!D18)</f>
        <v>156576.82</v>
      </c>
      <c r="E18" s="13">
        <f t="shared" si="3"/>
        <v>-20317.320000000007</v>
      </c>
      <c r="F18" s="14">
        <f t="shared" si="4"/>
        <v>-0.12975943693325748</v>
      </c>
      <c r="G18" s="15">
        <f>SUM(Jan!G18, Feb!G18, Mar!G18)</f>
        <v>106349.84</v>
      </c>
      <c r="H18" s="15">
        <f>SUM(Jan!H18, Feb!H18, Mar!H18)</f>
        <v>29909.66</v>
      </c>
      <c r="I18" s="16">
        <f t="shared" si="5"/>
        <v>0.28123841088994589</v>
      </c>
    </row>
    <row r="19" spans="1:9" ht="15.6">
      <c r="A19" s="43" t="str">
        <v>Lilly Lane</v>
      </c>
      <c r="B19" s="10" t="str">
        <v>MA</v>
      </c>
      <c r="C19" s="11">
        <f>SUM(Jan!C19, Feb!C19, Mar!C19)</f>
        <v>293261</v>
      </c>
      <c r="D19" s="18">
        <f>SUM(Jan!D19, Feb!D19, Mar!D19)</f>
        <v>319905.81</v>
      </c>
      <c r="E19" s="18">
        <f t="shared" ref="E19:E28" si="6">IF(AND(ISNUMBER(C19),ISNUMBER(D19)), C19-D19, "")</f>
        <v>-26644.809999999998</v>
      </c>
      <c r="F19" s="19">
        <f t="shared" ref="F19:F28" si="7">IFERROR(E19/D19, "")</f>
        <v>-8.3289547007602008E-2</v>
      </c>
      <c r="G19" s="20">
        <f>SUM(Jan!G19, Feb!G19, Mar!G19)</f>
        <v>407685.3</v>
      </c>
      <c r="H19" s="20">
        <f>SUM(Jan!H19, Feb!H19, Mar!H19)</f>
        <v>-114424.29999999999</v>
      </c>
      <c r="I19" s="19">
        <f t="shared" ref="I19:I28" si="8">IFERROR(H19/G19, "")</f>
        <v>-0.28066820167418349</v>
      </c>
    </row>
    <row r="20" spans="1:9" ht="15.6">
      <c r="A20" s="42" t="str">
        <v>Monument Valley</v>
      </c>
      <c r="B20" s="9" t="str">
        <v>MA</v>
      </c>
      <c r="C20" s="24">
        <f>SUM(Jan!C20, Feb!C20, Mar!C20)</f>
        <v>597881</v>
      </c>
      <c r="D20" s="13">
        <f>SUM(Jan!D20, Feb!D20, Mar!D20)</f>
        <v>148824.21</v>
      </c>
      <c r="E20" s="13">
        <f t="shared" si="6"/>
        <v>449056.79000000004</v>
      </c>
      <c r="F20" s="14"/>
      <c r="G20" s="15">
        <f>SUM(Jan!G20, Feb!G20, Mar!G20)</f>
        <v>0</v>
      </c>
      <c r="H20" s="15">
        <f>SUM(Jan!H20, Feb!H20, Mar!H20)</f>
        <v>597881</v>
      </c>
      <c r="I20" s="16"/>
    </row>
    <row r="21" spans="1:9" ht="15.6">
      <c r="A21" s="43" t="str">
        <v>Nationwide</v>
      </c>
      <c r="B21" s="10" t="str">
        <v>MA</v>
      </c>
      <c r="C21" s="11">
        <f>SUM(Jan!C21, Feb!C21, Mar!C21)</f>
        <v>953320.5</v>
      </c>
      <c r="D21" s="18">
        <f>SUM(Jan!D21, Feb!D21, Mar!D21)</f>
        <v>1079498</v>
      </c>
      <c r="E21" s="18">
        <f t="shared" si="6"/>
        <v>-126177.5</v>
      </c>
      <c r="F21" s="19"/>
      <c r="G21" s="20">
        <f>SUM(Jan!G21, Feb!G21, Mar!G21)</f>
        <v>1097779</v>
      </c>
      <c r="H21" s="20">
        <f>SUM(Jan!H21, Feb!H21, Mar!H21)</f>
        <v>-144458.49999999994</v>
      </c>
      <c r="I21" s="19"/>
    </row>
    <row r="22" spans="1:9" ht="15.6">
      <c r="A22" s="42" t="str">
        <v>Pulpit Hill</v>
      </c>
      <c r="B22" s="9" t="str">
        <v>MA</v>
      </c>
      <c r="C22" s="24">
        <f>SUM(Jan!C22, Feb!C22, Mar!C22)</f>
        <v>1415998.4</v>
      </c>
      <c r="D22" s="13">
        <f>SUM(Jan!D22, Feb!D22, Mar!D22)</f>
        <v>1508555.5999999999</v>
      </c>
      <c r="E22" s="13">
        <f t="shared" si="6"/>
        <v>-92557.199999999953</v>
      </c>
      <c r="F22" s="14"/>
      <c r="G22" s="15">
        <f>SUM(Jan!G22, Feb!G22, Mar!G22)</f>
        <v>1513090.9</v>
      </c>
      <c r="H22" s="15">
        <f>SUM(Jan!H22, Feb!H22, Mar!H22)</f>
        <v>-97092.500000000058</v>
      </c>
      <c r="I22" s="16"/>
    </row>
    <row r="23" spans="1:9" ht="15.6">
      <c r="A23" s="43" t="str">
        <v>Sandwich</v>
      </c>
      <c r="B23" s="10" t="str">
        <v>MA</v>
      </c>
      <c r="C23" s="11">
        <f>SUM(Jan!C23, Feb!C23, Mar!C23)</f>
        <v>1215871</v>
      </c>
      <c r="D23" s="18">
        <f>SUM(Jan!D23, Feb!D23, Mar!D23)</f>
        <v>0</v>
      </c>
      <c r="E23" s="18">
        <f t="shared" si="6"/>
        <v>1215871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1215871</v>
      </c>
      <c r="I23" s="19" t="str">
        <f t="shared" si="8"/>
        <v/>
      </c>
    </row>
    <row r="24" spans="1:9" ht="15.6">
      <c r="A24" s="42" t="str">
        <v>Sturbridge Barn</v>
      </c>
      <c r="B24" s="9" t="str">
        <v>MA</v>
      </c>
      <c r="C24" s="24">
        <f>SUM(Jan!C24, Feb!C24, Mar!C24)</f>
        <v>300101</v>
      </c>
      <c r="D24" s="13">
        <f>SUM(Jan!D24, Feb!D24, Mar!D24)</f>
        <v>374920.06</v>
      </c>
      <c r="E24" s="13">
        <f t="shared" si="6"/>
        <v>-74819.06</v>
      </c>
      <c r="F24" s="14">
        <f t="shared" si="7"/>
        <v>-0.19956003421102619</v>
      </c>
      <c r="G24" s="15">
        <f>SUM(Jan!G24, Feb!G24, Mar!G24)</f>
        <v>417980.1</v>
      </c>
      <c r="H24" s="15">
        <f>SUM(Jan!H24, Feb!H24, Mar!H24)</f>
        <v>-117879.1</v>
      </c>
      <c r="I24" s="16">
        <f t="shared" si="8"/>
        <v>-0.28202084261906252</v>
      </c>
    </row>
    <row r="25" spans="1:9" ht="15.6">
      <c r="A25" s="43" t="str">
        <v>Sturbridge Garage</v>
      </c>
      <c r="B25" s="10" t="str">
        <v>MA</v>
      </c>
      <c r="C25" s="11">
        <f>SUM(Jan!C25, Feb!C25, Mar!C25)</f>
        <v>148743</v>
      </c>
      <c r="D25" s="18">
        <f>SUM(Jan!D25, Feb!D25, Mar!D25)</f>
        <v>179839.5</v>
      </c>
      <c r="E25" s="18">
        <f t="shared" si="6"/>
        <v>-31096.5</v>
      </c>
      <c r="F25" s="19">
        <f t="shared" si="7"/>
        <v>-0.17291251365801172</v>
      </c>
      <c r="G25" s="20">
        <f>SUM(Jan!G25, Feb!G25, Mar!G25)</f>
        <v>201387.32</v>
      </c>
      <c r="H25" s="20">
        <f>SUM(Jan!H25, Feb!H25, Mar!H25)</f>
        <v>-52644.319999999992</v>
      </c>
      <c r="I25" s="19">
        <f t="shared" si="8"/>
        <v>-0.26140831508160489</v>
      </c>
    </row>
    <row r="26" spans="1:9" ht="15.6">
      <c r="A26" s="42" t="str">
        <v>Halsey Valley</v>
      </c>
      <c r="B26" s="9" t="str">
        <v>NY</v>
      </c>
      <c r="C26" s="24">
        <f>SUM(Jan!C26, Feb!C26, Mar!C26)</f>
        <v>1416755</v>
      </c>
      <c r="D26" s="13">
        <f>SUM(Jan!D26, Feb!D26, Mar!D26)</f>
        <v>1627635.5</v>
      </c>
      <c r="E26" s="13">
        <f t="shared" si="6"/>
        <v>-210880.5</v>
      </c>
      <c r="F26" s="14">
        <f t="shared" si="7"/>
        <v>-0.1295624849666894</v>
      </c>
      <c r="G26" s="15">
        <f>SUM(Jan!G26, Feb!G26, Mar!G26)</f>
        <v>1609000</v>
      </c>
      <c r="H26" s="15">
        <f>SUM(Jan!H26, Feb!H26, Mar!H26)</f>
        <v>-192245</v>
      </c>
      <c r="I26" s="16">
        <f t="shared" si="8"/>
        <v>-0.11948104412678683</v>
      </c>
    </row>
    <row r="27" spans="1:9" ht="15.6">
      <c r="A27" s="43" t="str">
        <v>Hunt Creek</v>
      </c>
      <c r="B27" s="10" t="str">
        <v>NY</v>
      </c>
      <c r="C27" s="11">
        <f>SUM(Jan!C27, Feb!C27, Mar!C27)</f>
        <v>927108.45</v>
      </c>
      <c r="D27" s="18">
        <f>SUM(Jan!D27, Feb!D27, Mar!D27)</f>
        <v>1155381.6000000001</v>
      </c>
      <c r="E27" s="18">
        <f t="shared" si="6"/>
        <v>-228273.15000000014</v>
      </c>
      <c r="F27" s="19">
        <f t="shared" si="7"/>
        <v>-0.1975738145734709</v>
      </c>
      <c r="G27" s="20">
        <f>SUM(Jan!G27, Feb!G27, Mar!G27)</f>
        <v>1067900</v>
      </c>
      <c r="H27" s="20">
        <f>SUM(Jan!H27, Feb!H27, Mar!H27)</f>
        <v>-140791.54999999999</v>
      </c>
      <c r="I27" s="19">
        <f t="shared" si="8"/>
        <v>-0.13183963854293473</v>
      </c>
    </row>
    <row r="28" spans="1:9" ht="15.6">
      <c r="A28" s="42" t="str">
        <v>Smith Creek</v>
      </c>
      <c r="B28" s="9" t="str">
        <v>NY</v>
      </c>
      <c r="C28" s="24">
        <f>SUM(Jan!C28, Feb!C28, Mar!C28)</f>
        <v>1096523</v>
      </c>
      <c r="D28" s="13">
        <f>SUM(Jan!D28, Feb!D28, Mar!D28)</f>
        <v>1278980.7999999998</v>
      </c>
      <c r="E28" s="13">
        <f t="shared" si="6"/>
        <v>-182457.79999999981</v>
      </c>
      <c r="F28" s="14">
        <f t="shared" si="7"/>
        <v>-0.14265874827831648</v>
      </c>
      <c r="G28" s="15">
        <f>SUM(Jan!G28, Feb!G28, Mar!G28)</f>
        <v>1480917.2000000002</v>
      </c>
      <c r="H28" s="15">
        <f>SUM(Jan!H28, Feb!H28, Mar!H28)</f>
        <v>-384394.2</v>
      </c>
      <c r="I28" s="16">
        <f t="shared" si="8"/>
        <v>-0.25956495069406982</v>
      </c>
    </row>
    <row r="29" spans="1:9" ht="14.45">
      <c r="A29" s="21"/>
      <c r="B29" s="10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3 I4:I103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5"/>
  <sheetViews>
    <sheetView workbookViewId="0">
      <pane xSplit="2" ySplit="3" topLeftCell="C4" activePane="bottomRight" state="frozen"/>
      <selection pane="bottomRight" activeCell="G4" sqref="G4"/>
      <selection pane="bottomLeft" activeCell="M14" sqref="M14"/>
      <selection pane="topRight" activeCell="M14" sqref="M14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SUM(C4:C103)</f>
        <v>25207200.178076699</v>
      </c>
      <c r="D2" s="5">
        <f>SUM(D4:D103)</f>
        <v>21347716.989999995</v>
      </c>
      <c r="E2" s="5">
        <f>C2-D2</f>
        <v>3859483.1880767047</v>
      </c>
      <c r="F2" s="6">
        <f>IFERROR(E2/D2, 0)</f>
        <v>0.18079137876357548</v>
      </c>
      <c r="G2" s="5">
        <f>SUM(G4:G103)</f>
        <v>21798160.039999995</v>
      </c>
      <c r="H2" s="7">
        <f>C2-G2</f>
        <v>3409040.138076704</v>
      </c>
      <c r="I2" s="6">
        <f>IFERROR(H2/G2, 0)</f>
        <v>0.15639118768836716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SUM(Apr!C4, May!C4, Jun!C4)</f>
        <v>483902</v>
      </c>
      <c r="D4" s="13">
        <f>SUM(Apr!D4, May!D4, Jun!D4)</f>
        <v>506022.3</v>
      </c>
      <c r="E4" s="13">
        <f>IF(AND(ISNUMBER(C4),ISNUMBER(D4)), C4-D4, "")</f>
        <v>-22120.299999999988</v>
      </c>
      <c r="F4" s="14">
        <f>IFERROR(E4/D4, "")</f>
        <v>-4.371408137546505E-2</v>
      </c>
      <c r="G4" s="15">
        <f>SUM(Apr!G4,May!G4,Jun!G4)</f>
        <v>553076.9</v>
      </c>
      <c r="H4" s="15">
        <f>SUM(Apr!H4, May!H4, Jun!H4)</f>
        <v>-69174.899999999994</v>
      </c>
      <c r="I4" s="16">
        <f>IFERROR(H4/G4, "")</f>
        <v>-0.12507284249260817</v>
      </c>
    </row>
    <row r="5" spans="1:9" ht="15.6">
      <c r="A5" s="43" t="str">
        <v>Bunce</v>
      </c>
      <c r="B5" s="10" t="str">
        <v>CT</v>
      </c>
      <c r="C5" s="11">
        <f>SUM(Apr!C5, May!C5, Jun!C5)</f>
        <v>1041829.5</v>
      </c>
      <c r="D5" s="18">
        <f>SUM(Apr!D5, May!D5, Jun!D5)</f>
        <v>816525.60000000009</v>
      </c>
      <c r="E5" s="18">
        <f t="shared" ref="E5:E15" si="0">IF(AND(ISNUMBER(C5),ISNUMBER(D5)), C5-D5, "")</f>
        <v>225303.89999999991</v>
      </c>
      <c r="F5" s="19">
        <f>IFERROR(E5/D5, "")</f>
        <v>0.27592998921283041</v>
      </c>
      <c r="G5" s="51">
        <f>SUM(Apr!G5,May!G5,Jun!G5)</f>
        <v>0</v>
      </c>
      <c r="H5" s="20">
        <f>SUM(Apr!H5, May!H5, Jun!H5)</f>
        <v>1041829.5</v>
      </c>
      <c r="I5" s="19" t="str">
        <f>IFERROR(H5/G5, "")</f>
        <v/>
      </c>
    </row>
    <row r="6" spans="1:9" ht="15.6">
      <c r="A6" s="42" t="str">
        <v>Norcap North</v>
      </c>
      <c r="B6" s="9" t="str">
        <v>CT</v>
      </c>
      <c r="C6" s="24">
        <f>SUM(Apr!C6, May!C6, Jun!C6)</f>
        <v>1068839</v>
      </c>
      <c r="D6" s="13">
        <f>SUM(Apr!D6, May!D6, Jun!D6)</f>
        <v>983849.3</v>
      </c>
      <c r="E6" s="13">
        <f t="shared" si="0"/>
        <v>84989.699999999953</v>
      </c>
      <c r="F6" s="14">
        <f t="shared" ref="F6:F15" si="1">IFERROR(E6/D6, "")</f>
        <v>8.6384876220372317E-2</v>
      </c>
      <c r="G6" s="15">
        <f>SUM(Apr!G6,May!G6,Jun!G6)</f>
        <v>1061382.5</v>
      </c>
      <c r="H6" s="15">
        <f>SUM(Apr!H6, May!H6, Jun!H6)</f>
        <v>7456.4999999999418</v>
      </c>
      <c r="I6" s="16">
        <f t="shared" ref="I6:I15" si="2">IFERROR(H6/G6, "")</f>
        <v>7.0252712853282788E-3</v>
      </c>
    </row>
    <row r="7" spans="1:9" ht="15.6">
      <c r="A7" s="43" t="str">
        <v>Norcap South</v>
      </c>
      <c r="B7" s="10" t="str">
        <v>CT</v>
      </c>
      <c r="C7" s="11">
        <f>SUM(Apr!C7, May!C7, Jun!C7)</f>
        <v>1082382.5</v>
      </c>
      <c r="D7" s="18">
        <f>SUM(Apr!D7, May!D7, Jun!D7)</f>
        <v>1041942.3</v>
      </c>
      <c r="E7" s="18">
        <f t="shared" si="0"/>
        <v>40440.199999999953</v>
      </c>
      <c r="F7" s="19">
        <f t="shared" si="1"/>
        <v>3.8812321949113646E-2</v>
      </c>
      <c r="G7" s="51">
        <f>SUM(Apr!G7,May!G7,Jun!G7)</f>
        <v>1039883.7000000001</v>
      </c>
      <c r="H7" s="20">
        <f>SUM(Apr!H7, May!H7, Jun!H7)</f>
        <v>42498.799999999988</v>
      </c>
      <c r="I7" s="19">
        <f t="shared" si="2"/>
        <v>4.0868801001496598E-2</v>
      </c>
    </row>
    <row r="8" spans="1:9" ht="15.6">
      <c r="A8" s="42" t="str">
        <v>Platt Hill</v>
      </c>
      <c r="B8" s="9" t="str">
        <v>CT</v>
      </c>
      <c r="C8" s="24">
        <f>SUM(Apr!C8, May!C8, Jun!C8)</f>
        <v>1163399.655778894</v>
      </c>
      <c r="D8" s="13">
        <f>SUM(Apr!D8, May!D8, Jun!D8)</f>
        <v>1160344.2</v>
      </c>
      <c r="E8" s="13">
        <f t="shared" si="0"/>
        <v>3055.4557788940147</v>
      </c>
      <c r="F8" s="14">
        <f t="shared" si="1"/>
        <v>2.6332322589228394E-3</v>
      </c>
      <c r="G8" s="15">
        <f>SUM(Apr!G8,May!G8,Jun!G8)</f>
        <v>1214750.7</v>
      </c>
      <c r="H8" s="15">
        <f>SUM(Apr!H8, May!H8, Jun!H8)</f>
        <v>-51351.044221105985</v>
      </c>
      <c r="I8" s="16">
        <f t="shared" si="2"/>
        <v>-4.2272907701231197E-2</v>
      </c>
    </row>
    <row r="9" spans="1:9" ht="15.6">
      <c r="A9" s="43" t="str">
        <v>Powder Hill</v>
      </c>
      <c r="B9" s="10" t="str">
        <v>CT</v>
      </c>
      <c r="C9" s="11">
        <f>SUM(Apr!C9, May!C9, Jun!C9)</f>
        <v>1066609</v>
      </c>
      <c r="D9" s="18">
        <f>SUM(Apr!D9, May!D9, Jun!D9)</f>
        <v>1062212.8999999999</v>
      </c>
      <c r="E9" s="18">
        <f t="shared" si="0"/>
        <v>4396.1000000000931</v>
      </c>
      <c r="F9" s="19">
        <f t="shared" si="1"/>
        <v>4.1386241872981332E-3</v>
      </c>
      <c r="G9" s="51">
        <f>SUM(Apr!G9,May!G9,Jun!G9)</f>
        <v>838176</v>
      </c>
      <c r="H9" s="20">
        <f>SUM(Apr!H9, May!H9, Jun!H9)</f>
        <v>228433</v>
      </c>
      <c r="I9" s="19">
        <f t="shared" si="2"/>
        <v>0.27253583972817164</v>
      </c>
    </row>
    <row r="10" spans="1:9" ht="15.6">
      <c r="A10" s="42" t="str">
        <v>Sand Road</v>
      </c>
      <c r="B10" s="9" t="str">
        <v>CT</v>
      </c>
      <c r="C10" s="24">
        <f>SUM(Apr!C10, May!C10, Jun!C10)</f>
        <v>1123596.480212616</v>
      </c>
      <c r="D10" s="13">
        <f>SUM(Apr!D10, May!D10, Jun!D10)</f>
        <v>967197.3</v>
      </c>
      <c r="E10" s="13">
        <f t="shared" si="0"/>
        <v>156399.18021261599</v>
      </c>
      <c r="F10" s="14">
        <f t="shared" si="1"/>
        <v>0.16170349132758743</v>
      </c>
      <c r="G10" s="15">
        <f>SUM(Apr!G10,May!G10,Jun!G10)</f>
        <v>1002416</v>
      </c>
      <c r="H10" s="15">
        <f>SUM(Apr!H10, May!H10, Jun!H10)</f>
        <v>121180.48021261598</v>
      </c>
      <c r="I10" s="16">
        <f t="shared" si="2"/>
        <v>0.12088841380486343</v>
      </c>
    </row>
    <row r="11" spans="1:9" ht="15.6">
      <c r="A11" s="43" t="str">
        <v>Suffield</v>
      </c>
      <c r="B11" s="10" t="str">
        <v>CT</v>
      </c>
      <c r="C11" s="11">
        <f>SUM(Apr!C11, May!C11, Jun!C11)</f>
        <v>1106769</v>
      </c>
      <c r="D11" s="18">
        <f>SUM(Apr!D11, May!D11, Jun!D11)</f>
        <v>1053877.3</v>
      </c>
      <c r="E11" s="18">
        <f t="shared" si="0"/>
        <v>52891.699999999953</v>
      </c>
      <c r="F11" s="19">
        <f t="shared" si="1"/>
        <v>5.0187721094286736E-2</v>
      </c>
      <c r="G11" s="51">
        <f>SUM(Apr!G11,May!G11,Jun!G11)</f>
        <v>1094753</v>
      </c>
      <c r="H11" s="20">
        <f>SUM(Apr!H11, May!H11, Jun!H11)</f>
        <v>12016.000000000058</v>
      </c>
      <c r="I11" s="19">
        <f t="shared" si="2"/>
        <v>1.0975991844735807E-2</v>
      </c>
    </row>
    <row r="12" spans="1:9" ht="15.6">
      <c r="A12" s="42" t="str">
        <v>Ashby-Duffy</v>
      </c>
      <c r="B12" s="9" t="str">
        <v>MA</v>
      </c>
      <c r="C12" s="24">
        <f>SUM(Apr!C12, May!C12, Jun!C12)</f>
        <v>1001020</v>
      </c>
      <c r="D12" s="13">
        <f>SUM(Apr!D12, May!D12, Jun!D12)</f>
        <v>1084740.7</v>
      </c>
      <c r="E12" s="13">
        <f t="shared" si="0"/>
        <v>-83720.699999999953</v>
      </c>
      <c r="F12" s="14">
        <f t="shared" si="1"/>
        <v>-7.7180380527807207E-2</v>
      </c>
      <c r="G12" s="15">
        <f>SUM(Apr!G12,May!G12,Jun!G12)</f>
        <v>1001422.4</v>
      </c>
      <c r="H12" s="15">
        <f>SUM(Apr!H12, May!H12, Jun!H12)</f>
        <v>-402.40000000002328</v>
      </c>
      <c r="I12" s="16">
        <f t="shared" si="2"/>
        <v>-4.0182843922806528E-4</v>
      </c>
    </row>
    <row r="13" spans="1:9" ht="15.6">
      <c r="A13" s="43" t="str">
        <v>Ashland</v>
      </c>
      <c r="B13" s="10" t="str">
        <v>MA</v>
      </c>
      <c r="C13" s="11">
        <f>SUM(Apr!C13, May!C13, Jun!C13)</f>
        <v>1106492.047348486</v>
      </c>
      <c r="D13" s="18">
        <f>SUM(Apr!D13, May!D13, Jun!D13)</f>
        <v>808930.5</v>
      </c>
      <c r="E13" s="18">
        <f t="shared" si="0"/>
        <v>297561.54734848603</v>
      </c>
      <c r="F13" s="19">
        <f t="shared" si="1"/>
        <v>0.36784562746550664</v>
      </c>
      <c r="G13" s="51">
        <f>SUM(Apr!G13,May!G13,Jun!G13)</f>
        <v>1150840</v>
      </c>
      <c r="H13" s="20">
        <f>SUM(Apr!H13, May!H13, Jun!H13)</f>
        <v>-44347.952651514061</v>
      </c>
      <c r="I13" s="19">
        <f t="shared" si="2"/>
        <v>-3.8535289572411507E-2</v>
      </c>
    </row>
    <row r="14" spans="1:9" ht="15.6">
      <c r="A14" s="42" t="str">
        <v>Barrington</v>
      </c>
      <c r="B14" s="9" t="str">
        <v>MA</v>
      </c>
      <c r="C14" s="24">
        <f>SUM(Apr!C14, May!C14, Jun!C14)</f>
        <v>237104</v>
      </c>
      <c r="D14" s="13">
        <f>SUM(Apr!D14, May!D14, Jun!D14)</f>
        <v>216939.89</v>
      </c>
      <c r="E14" s="13">
        <f t="shared" si="0"/>
        <v>20164.109999999986</v>
      </c>
      <c r="F14" s="14">
        <f t="shared" si="1"/>
        <v>9.2947912898821816E-2</v>
      </c>
      <c r="G14" s="15">
        <f>SUM(Apr!G14,May!G14,Jun!G14)</f>
        <v>248210</v>
      </c>
      <c r="H14" s="15">
        <f>SUM(Apr!H14, May!H14, Jun!H14)</f>
        <v>-11106</v>
      </c>
      <c r="I14" s="16">
        <f t="shared" si="2"/>
        <v>-4.4744369686958621E-2</v>
      </c>
    </row>
    <row r="15" spans="1:9" ht="15.6">
      <c r="A15" s="43" t="str">
        <v>Bedford - 205 Burlington Rd</v>
      </c>
      <c r="B15" s="10" t="str">
        <v>MA</v>
      </c>
      <c r="C15" s="11">
        <f>SUM(Apr!C15, May!C15, Jun!C15)</f>
        <v>119081</v>
      </c>
      <c r="D15" s="18">
        <f>SUM(Apr!D15, May!D15, Jun!D15)</f>
        <v>0</v>
      </c>
      <c r="E15" s="18">
        <f t="shared" si="0"/>
        <v>119081</v>
      </c>
      <c r="F15" s="19" t="str">
        <f t="shared" si="1"/>
        <v/>
      </c>
      <c r="G15" s="51">
        <f>SUM(Apr!G15,May!G15,Jun!G15)</f>
        <v>0</v>
      </c>
      <c r="H15" s="20">
        <f>SUM(Apr!H15, May!H15, Jun!H15)</f>
        <v>119081</v>
      </c>
      <c r="I15" s="19" t="str">
        <f t="shared" si="2"/>
        <v/>
      </c>
    </row>
    <row r="16" spans="1:9" ht="15.6">
      <c r="A16" s="42" t="str">
        <v>Billerica - 6 Cook Street</v>
      </c>
      <c r="B16" s="9" t="str">
        <v>MA</v>
      </c>
      <c r="C16" s="24">
        <f>SUM(Apr!C16, May!C16, Jun!C16)</f>
        <v>101170</v>
      </c>
      <c r="D16" s="13">
        <f>SUM(Apr!D16, May!D16, Jun!D16)</f>
        <v>0</v>
      </c>
      <c r="E16" s="13">
        <f t="shared" ref="E16:E18" si="3">IF(AND(ISNUMBER(C16),ISNUMBER(D16)), C16-D16, "")</f>
        <v>101170</v>
      </c>
      <c r="F16" s="14" t="str">
        <f t="shared" ref="F16:F18" si="4">IFERROR(E16/D16, "")</f>
        <v/>
      </c>
      <c r="G16" s="15">
        <f>SUM(Apr!G16,May!G16,Jun!G16)</f>
        <v>0</v>
      </c>
      <c r="H16" s="15">
        <f>SUM(Apr!H16, May!H16, Jun!H16)</f>
        <v>101170</v>
      </c>
      <c r="I16" s="16" t="str">
        <f t="shared" ref="I16:I18" si="5">IFERROR(H16/G16, "")</f>
        <v/>
      </c>
    </row>
    <row r="17" spans="1:9" ht="15.6">
      <c r="A17" s="43" t="str">
        <v>Billerica - 780 Boston Road</v>
      </c>
      <c r="B17" s="10" t="str">
        <v>MA</v>
      </c>
      <c r="C17" s="11">
        <f>SUM(Apr!C17, May!C17, Jun!C17)</f>
        <v>136270</v>
      </c>
      <c r="D17" s="18">
        <f>SUM(Apr!D17, May!D17, Jun!D17)</f>
        <v>0</v>
      </c>
      <c r="E17" s="18">
        <f t="shared" si="3"/>
        <v>136270</v>
      </c>
      <c r="F17" s="19" t="str">
        <f t="shared" si="4"/>
        <v/>
      </c>
      <c r="G17" s="51">
        <f>SUM(Apr!G17,May!G17,Jun!G17)</f>
        <v>0</v>
      </c>
      <c r="H17" s="20">
        <f>SUM(Apr!H17, May!H17, Jun!H17)</f>
        <v>136270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SUM(Apr!C18, May!C18, Jun!C18)</f>
        <v>239853.25</v>
      </c>
      <c r="D18" s="13">
        <f>SUM(Apr!D18, May!D18, Jun!D18)</f>
        <v>250365.22</v>
      </c>
      <c r="E18" s="13">
        <f t="shared" si="3"/>
        <v>-10511.970000000001</v>
      </c>
      <c r="F18" s="14">
        <f t="shared" si="4"/>
        <v>-4.198654269950116E-2</v>
      </c>
      <c r="G18" s="15">
        <f>SUM(Apr!G18,May!G18,Jun!G18)</f>
        <v>203327.58</v>
      </c>
      <c r="H18" s="15">
        <f>SUM(Apr!H18, May!H18, Jun!H18)</f>
        <v>36525.67</v>
      </c>
      <c r="I18" s="16">
        <f t="shared" si="5"/>
        <v>0.17963952553805046</v>
      </c>
    </row>
    <row r="19" spans="1:9" ht="15.6">
      <c r="A19" s="43" t="str">
        <v>Lilly Lane</v>
      </c>
      <c r="B19" s="10" t="str">
        <v>MA</v>
      </c>
      <c r="C19" s="11">
        <f>SUM(Apr!C19, May!C19, Jun!C19)</f>
        <v>546575.5</v>
      </c>
      <c r="D19" s="18">
        <f>SUM(Apr!D19, May!D19, Jun!D19)</f>
        <v>505665.5</v>
      </c>
      <c r="E19" s="18">
        <f t="shared" ref="E19:E28" si="6">IF(AND(ISNUMBER(C19),ISNUMBER(D19)), C19-D19, "")</f>
        <v>40910</v>
      </c>
      <c r="F19" s="19">
        <f t="shared" ref="F19:F28" si="7">IFERROR(E19/D19, "")</f>
        <v>8.0903284879035642E-2</v>
      </c>
      <c r="G19" s="51">
        <f>SUM(Apr!G19,May!G19,Jun!G19)</f>
        <v>532788.1</v>
      </c>
      <c r="H19" s="20">
        <f>SUM(Apr!H19, May!H19, Jun!H19)</f>
        <v>13787.400000000023</v>
      </c>
      <c r="I19" s="19">
        <f t="shared" ref="I19:I28" si="8">IFERROR(H19/G19, "")</f>
        <v>2.5877830229316352E-2</v>
      </c>
    </row>
    <row r="20" spans="1:9" ht="15.6">
      <c r="A20" s="42" t="str">
        <v>Monument Valley</v>
      </c>
      <c r="B20" s="9" t="str">
        <v>MA</v>
      </c>
      <c r="C20" s="52">
        <f>SUM(Apr!C20, May!C20, Jun!C20)</f>
        <v>1043012.5000000009</v>
      </c>
      <c r="D20" s="13">
        <f>SUM(Apr!D20, May!D20, Jun!D20)</f>
        <v>191069.27</v>
      </c>
      <c r="E20" s="13">
        <f>IF(AND(ISNUMBER(C20),ISNUMBER(D20)), C20-D20, "")</f>
        <v>851943.23000000091</v>
      </c>
      <c r="F20" s="54">
        <f>IFERROR(E20/D20, "")</f>
        <v>4.4588186786917694</v>
      </c>
      <c r="G20" s="15">
        <f>SUM(Apr!G20,May!G20,Jun!G20)</f>
        <v>0</v>
      </c>
      <c r="H20" s="50">
        <f>SUM(Apr!H20, May!H20, Jun!H20)</f>
        <v>1043012.5000000009</v>
      </c>
      <c r="I20" s="55" t="str">
        <f>IFERROR(H20/G20, "")</f>
        <v/>
      </c>
    </row>
    <row r="21" spans="1:9" ht="15.6">
      <c r="A21" s="43" t="str">
        <v>Nationwide</v>
      </c>
      <c r="B21" s="10" t="str">
        <v>MA</v>
      </c>
      <c r="C21" s="11">
        <f>SUM(Apr!C21, May!C21, Jun!C21)</f>
        <v>2007063.5</v>
      </c>
      <c r="D21" s="18">
        <f>SUM(Apr!D21, May!D21, Jun!D21)</f>
        <v>1554853</v>
      </c>
      <c r="E21" s="18">
        <f>IF(AND(ISNUMBER(C21),ISNUMBER(D21)), C21-D21, "")</f>
        <v>452210.5</v>
      </c>
      <c r="F21" s="19">
        <f>IFERROR(E21/D21, "")</f>
        <v>0.29083810495268686</v>
      </c>
      <c r="G21" s="51">
        <f>SUM(Apr!G21,May!G21,Jun!G21)</f>
        <v>1614023.1</v>
      </c>
      <c r="H21" s="20">
        <f>SUM(Apr!H21, May!H21, Jun!H21)</f>
        <v>393040.4</v>
      </c>
      <c r="I21" s="19">
        <f>IFERROR(H21/G21, "")</f>
        <v>0.24351596950502133</v>
      </c>
    </row>
    <row r="22" spans="1:9" ht="15.6">
      <c r="A22" s="42" t="str">
        <v>Pulpit Hill</v>
      </c>
      <c r="B22" s="9" t="str">
        <v>MA</v>
      </c>
      <c r="C22" s="52">
        <f>SUM(Apr!C22, May!C22, Jun!C22)</f>
        <v>2150328.25</v>
      </c>
      <c r="D22" s="13">
        <f>SUM(Apr!D22, May!D22, Jun!D22)</f>
        <v>1791934.2</v>
      </c>
      <c r="E22" s="13">
        <f>IF(AND(ISNUMBER(C22),ISNUMBER(D22)), C22-D22, "")</f>
        <v>358394.05000000005</v>
      </c>
      <c r="F22" s="54">
        <f>IFERROR(E22/D22, "")</f>
        <v>0.20000402358524105</v>
      </c>
      <c r="G22" s="15">
        <f>SUM(Apr!G22,May!G22,Jun!G22)</f>
        <v>2275842.6</v>
      </c>
      <c r="H22" s="50">
        <f>SUM(Apr!H22, May!H22, Jun!H22)</f>
        <v>-125514.34999999998</v>
      </c>
      <c r="I22" s="55">
        <f>IFERROR(H22/G22, "")</f>
        <v>-5.5150716486280719E-2</v>
      </c>
    </row>
    <row r="23" spans="1:9" ht="15.6">
      <c r="A23" s="43" t="str">
        <v>Sandwich</v>
      </c>
      <c r="B23" s="10" t="str">
        <v>MA</v>
      </c>
      <c r="C23" s="11">
        <f>SUM(Apr!C23, May!C23, Jun!C23)</f>
        <v>1137172</v>
      </c>
      <c r="D23" s="18">
        <f>SUM(Apr!D23, May!D23, Jun!D23)</f>
        <v>0</v>
      </c>
      <c r="E23" s="18">
        <f>IF(AND(ISNUMBER(C23),ISNUMBER(D23)), C23-D23, "")</f>
        <v>1137172</v>
      </c>
      <c r="F23" s="19" t="str">
        <f>IFERROR(E23/D23, "")</f>
        <v/>
      </c>
      <c r="G23" s="51">
        <f>SUM(Apr!G23,May!G23,Jun!G23)</f>
        <v>0</v>
      </c>
      <c r="H23" s="20">
        <f>SUM(Apr!H23, May!H23, Jun!H23)</f>
        <v>1137172</v>
      </c>
      <c r="I23" s="19" t="str">
        <f>IFERROR(H23/G23, "")</f>
        <v/>
      </c>
    </row>
    <row r="24" spans="1:9" ht="15.6">
      <c r="A24" s="42" t="str">
        <v>Sturbridge Barn</v>
      </c>
      <c r="B24" s="9" t="str">
        <v>MA</v>
      </c>
      <c r="C24" s="24">
        <f>SUM(Apr!C24, May!C24, Jun!C24)</f>
        <v>536632</v>
      </c>
      <c r="D24" s="13">
        <f>SUM(Apr!D24, May!D24, Jun!D24)</f>
        <v>529378.69999999995</v>
      </c>
      <c r="E24" s="13">
        <f t="shared" si="6"/>
        <v>7253.3000000000466</v>
      </c>
      <c r="F24" s="14">
        <f t="shared" si="7"/>
        <v>1.3701533514665489E-2</v>
      </c>
      <c r="G24" s="15">
        <f>SUM(Apr!G24,May!G24,Jun!G24)</f>
        <v>575361.19999999995</v>
      </c>
      <c r="H24" s="15">
        <f>SUM(Apr!H24, May!H24, Jun!H24)</f>
        <v>-38729.200000000012</v>
      </c>
      <c r="I24" s="16">
        <f t="shared" si="8"/>
        <v>-6.7312846260748932E-2</v>
      </c>
    </row>
    <row r="25" spans="1:9" ht="15.6">
      <c r="A25" s="43" t="str">
        <v>Sturbridge Garage</v>
      </c>
      <c r="B25" s="10" t="str">
        <v>MA</v>
      </c>
      <c r="C25" s="11">
        <f>SUM(Apr!C25, May!C25, Jun!C25)</f>
        <v>274505.75</v>
      </c>
      <c r="D25" s="18">
        <f>SUM(Apr!D25, May!D25, Jun!D25)</f>
        <v>253072.31</v>
      </c>
      <c r="E25" s="18">
        <f t="shared" si="6"/>
        <v>21433.440000000002</v>
      </c>
      <c r="F25" s="19">
        <f t="shared" si="7"/>
        <v>8.4692948035286847E-2</v>
      </c>
      <c r="G25" s="51">
        <f>SUM(Apr!G25,May!G25,Jun!G25)</f>
        <v>263183.56</v>
      </c>
      <c r="H25" s="20">
        <f>SUM(Apr!H25, May!H25, Jun!H25)</f>
        <v>11322.190000000002</v>
      </c>
      <c r="I25" s="19">
        <f t="shared" si="8"/>
        <v>4.302012633311899E-2</v>
      </c>
    </row>
    <row r="26" spans="1:9" ht="15.6">
      <c r="A26" s="42" t="str">
        <v>Halsey Valley</v>
      </c>
      <c r="B26" s="9" t="str">
        <v>NY</v>
      </c>
      <c r="C26" s="24">
        <f>SUM(Apr!C26, May!C26, Jun!C26)</f>
        <v>2557880</v>
      </c>
      <c r="D26" s="13">
        <f>SUM(Apr!D26, May!D26, Jun!D26)</f>
        <v>2580465.4</v>
      </c>
      <c r="E26" s="13">
        <f t="shared" si="6"/>
        <v>-22585.399999999907</v>
      </c>
      <c r="F26" s="14">
        <f t="shared" si="7"/>
        <v>-8.7524521739372699E-3</v>
      </c>
      <c r="G26" s="15">
        <f>SUM(Apr!G26,May!G26,Jun!G26)</f>
        <v>2876000</v>
      </c>
      <c r="H26" s="15">
        <f>SUM(Apr!H26, May!H26, Jun!H26)</f>
        <v>-318120</v>
      </c>
      <c r="I26" s="16">
        <f t="shared" si="8"/>
        <v>-0.11061196105702364</v>
      </c>
    </row>
    <row r="27" spans="1:9" ht="15.6">
      <c r="A27" s="43" t="str">
        <v>Hunt Creek</v>
      </c>
      <c r="B27" s="10" t="str">
        <v>NY</v>
      </c>
      <c r="C27" s="11">
        <f>SUM(Apr!C27, May!C27, Jun!C27)</f>
        <v>1889993.4640279</v>
      </c>
      <c r="D27" s="18">
        <f>SUM(Apr!D27, May!D27, Jun!D27)</f>
        <v>1906453.7000000002</v>
      </c>
      <c r="E27" s="18">
        <f t="shared" si="6"/>
        <v>-16460.23597210017</v>
      </c>
      <c r="F27" s="19">
        <f t="shared" si="7"/>
        <v>-8.6339552710355191E-3</v>
      </c>
      <c r="G27" s="51">
        <f>SUM(Apr!G27,May!G27,Jun!G27)</f>
        <v>2078200</v>
      </c>
      <c r="H27" s="20">
        <f>SUM(Apr!H27, May!H27, Jun!H27)</f>
        <v>-188206.53597209998</v>
      </c>
      <c r="I27" s="19">
        <f t="shared" si="8"/>
        <v>-9.0562282731257812E-2</v>
      </c>
    </row>
    <row r="28" spans="1:9" ht="15.6">
      <c r="A28" s="42" t="str">
        <v>Smith Creek</v>
      </c>
      <c r="B28" s="9" t="str">
        <v>NY</v>
      </c>
      <c r="C28" s="24">
        <f>SUM(Apr!C28, May!C28, Jun!C28)</f>
        <v>1985719.7807087991</v>
      </c>
      <c r="D28" s="13">
        <f>SUM(Apr!D28, May!D28, Jun!D28)</f>
        <v>2081877.4</v>
      </c>
      <c r="E28" s="13">
        <f t="shared" si="6"/>
        <v>-96157.619291200768</v>
      </c>
      <c r="F28" s="14">
        <f t="shared" si="7"/>
        <v>-4.6187935606198889E-2</v>
      </c>
      <c r="G28" s="15">
        <f>SUM(Apr!G28,May!G28,Jun!G28)</f>
        <v>2174522.7000000002</v>
      </c>
      <c r="H28" s="15">
        <f>SUM(Apr!H28, May!H28, Jun!H28)</f>
        <v>-188802.91929120105</v>
      </c>
      <c r="I28" s="16">
        <f t="shared" si="8"/>
        <v>-8.6824993499125591E-2</v>
      </c>
    </row>
    <row r="29" spans="1:9" ht="12.9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2.9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2.9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2.9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2.95">
      <c r="A33" s="21"/>
      <c r="B33" s="21"/>
      <c r="C33" s="21"/>
      <c r="D33" s="21"/>
      <c r="E33" s="21"/>
      <c r="F33" s="21"/>
      <c r="G33" s="21"/>
      <c r="H33" s="21"/>
      <c r="I33" s="21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3 I4:I103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5"/>
  <sheetViews>
    <sheetView tabSelected="1" workbookViewId="0">
      <pane xSplit="2" ySplit="3" topLeftCell="C4" activePane="bottomRight" state="frozen"/>
      <selection pane="bottomRight" activeCell="I18" sqref="I18:I23"/>
      <selection pane="bottomLeft" activeCell="M12" sqref="M12"/>
      <selection pane="topRight" activeCell="M12" sqref="M12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SUM(C4:C103)</f>
        <v>23800467.39004571</v>
      </c>
      <c r="D2" s="5">
        <f>SUM(D4:D103)</f>
        <v>20785262.360000003</v>
      </c>
      <c r="E2" s="5">
        <f>C2-D2</f>
        <v>3015205.0300457068</v>
      </c>
      <c r="F2" s="6">
        <f>IFERROR(E2/D2, 0)</f>
        <v>0.14506456439290796</v>
      </c>
      <c r="G2" s="5">
        <f>SUM(G4:G103)</f>
        <v>21005261.02</v>
      </c>
      <c r="H2" s="7">
        <f>C2-G2</f>
        <v>2795206.3700457104</v>
      </c>
      <c r="I2" s="6">
        <f>IFERROR(H2/G2, 0)</f>
        <v>0.13307172747742937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SUM(Jul!C4, Aug!C4, Sep!C4)</f>
        <v>464601</v>
      </c>
      <c r="D4" s="13">
        <f>SUM(Jul!D4, Aug!D4, Sep!D4)</f>
        <v>536830.9</v>
      </c>
      <c r="E4" s="13">
        <f>IF(AND(ISNUMBER(C4),ISNUMBER(D4)), C4-D4, "")</f>
        <v>-72229.900000000023</v>
      </c>
      <c r="F4" s="14">
        <f>IFERROR(E4/D4, "")</f>
        <v>-0.13454870053121015</v>
      </c>
      <c r="G4" s="15">
        <f xml:space="preserve"> SUM(Jul!G4,Aug!G4,Sep!G4)</f>
        <v>547331.19999999995</v>
      </c>
      <c r="H4" s="15">
        <f>SUM(Jul!H4, Aug!H4, Sep!H4)</f>
        <v>-82730.199999999983</v>
      </c>
      <c r="I4" s="16">
        <f>IFERROR(H4/G4, "")</f>
        <v>-0.15115198987377293</v>
      </c>
    </row>
    <row r="5" spans="1:9" ht="15.6">
      <c r="A5" s="43" t="str">
        <v>Bunce</v>
      </c>
      <c r="B5" s="10" t="str">
        <v>CT</v>
      </c>
      <c r="C5" s="11">
        <f>SUM(Jul!C5, Aug!C5, Sep!C5)</f>
        <v>1029483.25</v>
      </c>
      <c r="D5" s="18">
        <f>SUM(Jul!D5, Aug!D5, Sep!D5)</f>
        <v>830747.2</v>
      </c>
      <c r="E5" s="18">
        <f t="shared" ref="E5:E15" si="0">IF(AND(ISNUMBER(C5),ISNUMBER(D5)), C5-D5, "")</f>
        <v>198736.05000000005</v>
      </c>
      <c r="F5" s="19">
        <f>IFERROR(E5/D5, "")</f>
        <v>0.23922566335462828</v>
      </c>
      <c r="G5" s="18">
        <f xml:space="preserve"> SUM(Jul!G5,Aug!G5,Sep!G5)</f>
        <v>0</v>
      </c>
      <c r="H5" s="20">
        <f>SUM(Jul!H5, Aug!H5, Sep!H5)</f>
        <v>1029483.25</v>
      </c>
      <c r="I5" s="19" t="str">
        <f>IFERROR(H5/G5, "")</f>
        <v/>
      </c>
    </row>
    <row r="6" spans="1:9" ht="15.6">
      <c r="A6" s="42" t="str">
        <v>Norcap North</v>
      </c>
      <c r="B6" s="9" t="str">
        <v>CT</v>
      </c>
      <c r="C6" s="24">
        <f>SUM(Jul!C6, Aug!C6, Sep!C6)</f>
        <v>1039621.5</v>
      </c>
      <c r="D6" s="13">
        <f>SUM(Jul!D6, Aug!D6, Sep!D6)</f>
        <v>997174.60000000009</v>
      </c>
      <c r="E6" s="13">
        <f t="shared" si="0"/>
        <v>42446.899999999907</v>
      </c>
      <c r="F6" s="14">
        <f t="shared" ref="F6:F15" si="1">IFERROR(E6/D6, "")</f>
        <v>4.2567169280083854E-2</v>
      </c>
      <c r="G6" s="15">
        <f xml:space="preserve"> SUM(Jul!G6,Aug!G6,Sep!G6)</f>
        <v>1064446.2</v>
      </c>
      <c r="H6" s="15">
        <f>SUM(Jul!H6, Aug!H6, Sep!H6)</f>
        <v>-24824.700000000012</v>
      </c>
      <c r="I6" s="16">
        <f t="shared" ref="I6:I15" si="2">IFERROR(H6/G6, "")</f>
        <v>-2.3321704751259401E-2</v>
      </c>
    </row>
    <row r="7" spans="1:9" ht="15.6">
      <c r="A7" s="43" t="str">
        <v>Norcap South</v>
      </c>
      <c r="B7" s="10" t="str">
        <v>CT</v>
      </c>
      <c r="C7" s="11">
        <f>SUM(Jul!C7, Aug!C7, Sep!C7)</f>
        <v>1047841</v>
      </c>
      <c r="D7" s="18">
        <f>SUM(Jul!D7, Aug!D7, Sep!D7)</f>
        <v>1051499.3</v>
      </c>
      <c r="E7" s="18">
        <f t="shared" si="0"/>
        <v>-3658.3000000000466</v>
      </c>
      <c r="F7" s="19">
        <f t="shared" si="1"/>
        <v>-3.4791273755484632E-3</v>
      </c>
      <c r="G7" s="18">
        <f xml:space="preserve"> SUM(Jul!G7,Aug!G7,Sep!G7)</f>
        <v>1044230.3</v>
      </c>
      <c r="H7" s="20">
        <f>SUM(Jul!H7, Aug!H7, Sep!H7)</f>
        <v>3610.7000000000116</v>
      </c>
      <c r="I7" s="19">
        <f t="shared" si="2"/>
        <v>3.4577621430828156E-3</v>
      </c>
    </row>
    <row r="8" spans="1:9" ht="15.6">
      <c r="A8" s="42" t="str">
        <v>Platt Hill</v>
      </c>
      <c r="B8" s="9" t="str">
        <v>CT</v>
      </c>
      <c r="C8" s="24">
        <f>SUM(Jul!C8, Aug!C8, Sep!C8)</f>
        <v>645</v>
      </c>
      <c r="D8" s="13">
        <f>SUM(Jul!D8, Aug!D8, Sep!D8)</f>
        <v>52792.23</v>
      </c>
      <c r="E8" s="13">
        <f t="shared" si="0"/>
        <v>-52147.23</v>
      </c>
      <c r="F8" s="14">
        <f t="shared" si="1"/>
        <v>-0.98778229296243025</v>
      </c>
      <c r="G8" s="15">
        <f xml:space="preserve"> SUM(Jul!G8,Aug!G8,Sep!G8)</f>
        <v>460450.4</v>
      </c>
      <c r="H8" s="15">
        <f>SUM(Jul!H8, Aug!H8, Sep!H8)</f>
        <v>-459805.4</v>
      </c>
      <c r="I8" s="16">
        <f t="shared" si="2"/>
        <v>-0.99859919765516547</v>
      </c>
    </row>
    <row r="9" spans="1:9" ht="15.6">
      <c r="A9" s="43" t="str">
        <v>Powder Hill</v>
      </c>
      <c r="B9" s="10" t="str">
        <v>CT</v>
      </c>
      <c r="C9" s="11">
        <f>SUM(Jul!C9, Aug!C9, Sep!C9)</f>
        <v>976725</v>
      </c>
      <c r="D9" s="18">
        <f>SUM(Jul!D9, Aug!D9, Sep!D9)</f>
        <v>1013341.6</v>
      </c>
      <c r="E9" s="18">
        <f t="shared" si="0"/>
        <v>-36616.599999999977</v>
      </c>
      <c r="F9" s="19">
        <f t="shared" si="1"/>
        <v>-3.613450785006752E-2</v>
      </c>
      <c r="G9" s="18">
        <f xml:space="preserve"> SUM(Jul!G9,Aug!G9,Sep!G9)</f>
        <v>837084</v>
      </c>
      <c r="H9" s="20">
        <f>SUM(Jul!H9, Aug!H9, Sep!H9)</f>
        <v>139641</v>
      </c>
      <c r="I9" s="19">
        <f t="shared" si="2"/>
        <v>0.16681838381811145</v>
      </c>
    </row>
    <row r="10" spans="1:9" ht="15.6">
      <c r="A10" s="42" t="str">
        <v>Sand Road</v>
      </c>
      <c r="B10" s="9" t="str">
        <v>CT</v>
      </c>
      <c r="C10" s="24">
        <f>SUM(Jul!C10, Aug!C10, Sep!C10)</f>
        <v>1078627.019787384</v>
      </c>
      <c r="D10" s="13">
        <f>SUM(Jul!D10, Aug!D10, Sep!D10)</f>
        <v>946091.60000000009</v>
      </c>
      <c r="E10" s="13">
        <f t="shared" si="0"/>
        <v>132535.41978738387</v>
      </c>
      <c r="F10" s="14">
        <f t="shared" si="1"/>
        <v>0.14008730210413436</v>
      </c>
      <c r="G10" s="15">
        <f xml:space="preserve"> SUM(Jul!G10,Aug!G10,Sep!G10)</f>
        <v>972780</v>
      </c>
      <c r="H10" s="15">
        <f>SUM(Jul!H10, Aug!H10, Sep!H10)</f>
        <v>105847.01978738402</v>
      </c>
      <c r="I10" s="16">
        <f t="shared" si="2"/>
        <v>0.10880879519252454</v>
      </c>
    </row>
    <row r="11" spans="1:9" ht="15.6">
      <c r="A11" s="43" t="str">
        <v>Suffield</v>
      </c>
      <c r="B11" s="10" t="str">
        <v>CT</v>
      </c>
      <c r="C11" s="11">
        <f>SUM(Jul!C11, Aug!C11, Sep!C11)</f>
        <v>1049427</v>
      </c>
      <c r="D11" s="18">
        <f>SUM(Jul!D11, Aug!D11, Sep!D11)</f>
        <v>1034108.5</v>
      </c>
      <c r="E11" s="18">
        <f t="shared" si="0"/>
        <v>15318.5</v>
      </c>
      <c r="F11" s="19">
        <f t="shared" si="1"/>
        <v>1.4813242517588822E-2</v>
      </c>
      <c r="G11" s="18">
        <f xml:space="preserve"> SUM(Jul!G11,Aug!G11,Sep!G11)</f>
        <v>1072921</v>
      </c>
      <c r="H11" s="20">
        <f>SUM(Jul!H11, Aug!H11, Sep!H11)</f>
        <v>-23494</v>
      </c>
      <c r="I11" s="19">
        <f t="shared" si="2"/>
        <v>-2.1897231949043777E-2</v>
      </c>
    </row>
    <row r="12" spans="1:9" ht="15.6">
      <c r="A12" s="42" t="str">
        <v>Ashby-Duffy</v>
      </c>
      <c r="B12" s="9" t="str">
        <v>MA</v>
      </c>
      <c r="C12" s="24">
        <f>SUM(Jul!C12, Aug!C12, Sep!C12)</f>
        <v>923920</v>
      </c>
      <c r="D12" s="13">
        <f>SUM(Jul!D12, Aug!D12, Sep!D12)</f>
        <v>1074553.5</v>
      </c>
      <c r="E12" s="13">
        <f t="shared" si="0"/>
        <v>-150633.5</v>
      </c>
      <c r="F12" s="14">
        <f t="shared" si="1"/>
        <v>-0.14018241064777137</v>
      </c>
      <c r="G12" s="15">
        <f xml:space="preserve"> SUM(Jul!G12,Aug!G12,Sep!G12)</f>
        <v>1021186.8</v>
      </c>
      <c r="H12" s="15">
        <f>SUM(Jul!H12, Aug!H12, Sep!H12)</f>
        <v>-97266.799999999988</v>
      </c>
      <c r="I12" s="16">
        <f t="shared" si="2"/>
        <v>-9.5248783082585858E-2</v>
      </c>
    </row>
    <row r="13" spans="1:9" ht="15.6">
      <c r="A13" s="43" t="str">
        <v>Ashland</v>
      </c>
      <c r="B13" s="10" t="str">
        <v>MA</v>
      </c>
      <c r="C13" s="11">
        <f>SUM(Jul!C13, Aug!C13, Sep!C13)</f>
        <v>1029195.832816805</v>
      </c>
      <c r="D13" s="18">
        <f>SUM(Jul!D13, Aug!D13, Sep!D13)</f>
        <v>1044899.2</v>
      </c>
      <c r="E13" s="18">
        <f t="shared" si="0"/>
        <v>-15703.367183194961</v>
      </c>
      <c r="F13" s="19">
        <f t="shared" si="1"/>
        <v>-1.5028595278085161E-2</v>
      </c>
      <c r="G13" s="18">
        <f xml:space="preserve"> SUM(Jul!G13,Aug!G13,Sep!G13)</f>
        <v>1127421.8999999999</v>
      </c>
      <c r="H13" s="20">
        <f>SUM(Jul!H13, Aug!H13, Sep!H13)</f>
        <v>-98226.067183195031</v>
      </c>
      <c r="I13" s="19">
        <f t="shared" si="2"/>
        <v>-8.7124498098888309E-2</v>
      </c>
    </row>
    <row r="14" spans="1:9" ht="15.6">
      <c r="A14" s="42" t="str">
        <v>Barrington</v>
      </c>
      <c r="B14" s="9" t="str">
        <v>MA</v>
      </c>
      <c r="C14" s="24">
        <f>SUM(Jul!C14, Aug!C14, Sep!C14)</f>
        <v>232974</v>
      </c>
      <c r="D14" s="13">
        <f>SUM(Jul!D14, Aug!D14, Sep!D14)</f>
        <v>199147.21000000002</v>
      </c>
      <c r="E14" s="13">
        <f t="shared" si="0"/>
        <v>33826.789999999979</v>
      </c>
      <c r="F14" s="14">
        <f t="shared" si="1"/>
        <v>0.16985821694413883</v>
      </c>
      <c r="G14" s="15">
        <f xml:space="preserve"> SUM(Jul!G14,Aug!G14,Sep!G14)</f>
        <v>253900</v>
      </c>
      <c r="H14" s="15">
        <f>SUM(Jul!H14, Aug!H14, Sep!H14)</f>
        <v>-20926</v>
      </c>
      <c r="I14" s="16">
        <f t="shared" si="2"/>
        <v>-8.2418274911382428E-2</v>
      </c>
    </row>
    <row r="15" spans="1:9" ht="15.6">
      <c r="A15" s="43" t="str">
        <v>Bedford - 205 Burlington Rd</v>
      </c>
      <c r="B15" s="10" t="str">
        <v>MA</v>
      </c>
      <c r="C15" s="11">
        <f>SUM(Jul!C15, Aug!C15, Sep!C15)</f>
        <v>99700</v>
      </c>
      <c r="D15" s="18">
        <f>SUM(Jul!D15, Aug!D15, Sep!D15)</f>
        <v>0</v>
      </c>
      <c r="E15" s="18">
        <f t="shared" si="0"/>
        <v>99700</v>
      </c>
      <c r="F15" s="19" t="str">
        <f t="shared" si="1"/>
        <v/>
      </c>
      <c r="G15" s="18">
        <f xml:space="preserve"> SUM(Jul!G15,Aug!G15,Sep!G15)</f>
        <v>0</v>
      </c>
      <c r="H15" s="20">
        <f>SUM(Jul!H15, Aug!H15, Sep!H15)</f>
        <v>99700</v>
      </c>
      <c r="I15" s="19" t="str">
        <f t="shared" si="2"/>
        <v/>
      </c>
    </row>
    <row r="16" spans="1:9" ht="15.6">
      <c r="A16" s="42" t="str">
        <v>Billerica - 6 Cook Street</v>
      </c>
      <c r="B16" s="9" t="str">
        <v>MA</v>
      </c>
      <c r="C16" s="24">
        <f>SUM(Jul!C16, Aug!C16, Sep!C16)</f>
        <v>112721</v>
      </c>
      <c r="D16" s="13">
        <f>SUM(Jul!D16, Aug!D16, Sep!D16)</f>
        <v>0</v>
      </c>
      <c r="E16" s="13">
        <f t="shared" ref="E16:E19" si="3">IF(AND(ISNUMBER(C16),ISNUMBER(D16)), C16-D16, "")</f>
        <v>112721</v>
      </c>
      <c r="F16" s="14" t="str">
        <f t="shared" ref="F16:F19" si="4">IFERROR(E16/D16, "")</f>
        <v/>
      </c>
      <c r="G16" s="15">
        <f xml:space="preserve"> SUM(Jul!G16,Aug!G16,Sep!G16)</f>
        <v>0</v>
      </c>
      <c r="H16" s="15">
        <f>SUM(Jul!H16, Aug!H16, Sep!H16)</f>
        <v>112721</v>
      </c>
      <c r="I16" s="16" t="str">
        <f t="shared" ref="I16:I23" si="5">IFERROR(H16/G16, "")</f>
        <v/>
      </c>
    </row>
    <row r="17" spans="1:9" ht="15.6">
      <c r="A17" s="43" t="str">
        <v>Billerica - 780 Boston Road</v>
      </c>
      <c r="B17" s="10" t="str">
        <v>MA</v>
      </c>
      <c r="C17" s="11">
        <f>SUM(Jul!C17, Aug!C17, Sep!C17)</f>
        <v>128738</v>
      </c>
      <c r="D17" s="18">
        <f>SUM(Jul!D17, Aug!D17, Sep!D17)</f>
        <v>0</v>
      </c>
      <c r="E17" s="18">
        <f t="shared" si="3"/>
        <v>128738</v>
      </c>
      <c r="F17" s="19" t="str">
        <f t="shared" si="4"/>
        <v/>
      </c>
      <c r="G17" s="18">
        <f xml:space="preserve"> SUM(Jul!G17,Aug!G17,Sep!G17)</f>
        <v>0</v>
      </c>
      <c r="H17" s="20">
        <f>SUM(Jul!H17, Aug!H17, Sep!H17)</f>
        <v>128738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SUM(Jul!C18, Aug!C18, Sep!C18)</f>
        <v>236628.75</v>
      </c>
      <c r="D18" s="13">
        <f>SUM(Jul!D18, Aug!D18, Sep!D18)</f>
        <v>246559.08000000002</v>
      </c>
      <c r="E18" s="13">
        <f t="shared" si="3"/>
        <v>-9930.3300000000163</v>
      </c>
      <c r="F18" s="14">
        <f t="shared" si="4"/>
        <v>-4.0275661314115932E-2</v>
      </c>
      <c r="G18" s="15">
        <f xml:space="preserve"> SUM(Jul!G18,Aug!G18,Sep!G18)</f>
        <v>191515.45</v>
      </c>
      <c r="H18" s="15">
        <f>SUM(Jul!H18, Aug!H18, Sep!H18)</f>
        <v>45113.3</v>
      </c>
      <c r="I18" s="16">
        <f t="shared" si="5"/>
        <v>0.23555958540159555</v>
      </c>
    </row>
    <row r="19" spans="1:9" ht="15.6">
      <c r="A19" s="43" t="str">
        <v>Lilly Lane</v>
      </c>
      <c r="B19" s="10" t="str">
        <v>MA</v>
      </c>
      <c r="C19" s="11">
        <f>SUM(Jul!C19, Aug!C19, Sep!C19)</f>
        <v>533083</v>
      </c>
      <c r="D19" s="18">
        <f>SUM(Jul!D19, Aug!D19, Sep!D19)</f>
        <v>492540.9</v>
      </c>
      <c r="E19" s="18">
        <f t="shared" si="3"/>
        <v>40542.099999999977</v>
      </c>
      <c r="F19" s="19">
        <f t="shared" si="4"/>
        <v>8.2312149102744508E-2</v>
      </c>
      <c r="G19" s="18">
        <f xml:space="preserve"> SUM(Jul!G19,Aug!G19,Sep!G19)</f>
        <v>530891.89999999991</v>
      </c>
      <c r="H19" s="20">
        <f>SUM(Jul!H19, Aug!H19, Sep!H19)</f>
        <v>2191.1000000000058</v>
      </c>
      <c r="I19" s="19">
        <f t="shared" si="5"/>
        <v>4.1272055572895462E-3</v>
      </c>
    </row>
    <row r="20" spans="1:9" ht="15.6">
      <c r="A20" s="42" t="str">
        <v>Monument Valley</v>
      </c>
      <c r="B20" s="9" t="str">
        <v>MA</v>
      </c>
      <c r="C20" s="52">
        <f>SUM(Jul!C20, Aug!C20, Sep!C20)</f>
        <v>1069709.7821782171</v>
      </c>
      <c r="D20" s="13">
        <f>SUM(Jul!D20, Aug!D20, Sep!D20)</f>
        <v>209176.95</v>
      </c>
      <c r="E20" s="13">
        <f>IF(AND(ISNUMBER(C20),ISNUMBER(D20)), C20-D20, "")</f>
        <v>860532.83217821713</v>
      </c>
      <c r="F20" s="54">
        <f>IFERROR(E20/D20, "")</f>
        <v>4.1138989366572991</v>
      </c>
      <c r="G20" s="15">
        <f xml:space="preserve"> SUM(Jul!G20,Aug!G20,Sep!G20)</f>
        <v>0</v>
      </c>
      <c r="H20" s="50">
        <f>SUM(Jul!H20, Aug!H20, Sep!H20)</f>
        <v>1069709.7821782171</v>
      </c>
      <c r="I20" s="16" t="str">
        <f t="shared" si="5"/>
        <v/>
      </c>
    </row>
    <row r="21" spans="1:9" ht="15.6">
      <c r="A21" s="43" t="str">
        <v>Nationwide</v>
      </c>
      <c r="B21" s="10" t="str">
        <v>MA</v>
      </c>
      <c r="C21" s="11">
        <f>SUM(Jul!C21, Aug!C21, Sep!C21)</f>
        <v>1591893</v>
      </c>
      <c r="D21" s="18">
        <f>SUM(Jul!D21, Aug!D21, Sep!D21)</f>
        <v>1252273.8</v>
      </c>
      <c r="E21" s="18">
        <f>IF(AND(ISNUMBER(C21),ISNUMBER(D21)), C21-D21, "")</f>
        <v>339619.19999999995</v>
      </c>
      <c r="F21" s="19">
        <f>IFERROR(E21/D21, "")</f>
        <v>0.27120203265452009</v>
      </c>
      <c r="G21" s="18">
        <f xml:space="preserve"> SUM(Jul!G21,Aug!G21,Sep!G21)</f>
        <v>1604230.5</v>
      </c>
      <c r="H21" s="20">
        <f>SUM(Jul!H21, Aug!H21, Sep!H21)</f>
        <v>-12337.500000000058</v>
      </c>
      <c r="I21" s="19">
        <f t="shared" si="5"/>
        <v>-7.6906030648339237E-3</v>
      </c>
    </row>
    <row r="22" spans="1:9" ht="15.6">
      <c r="A22" s="42" t="str">
        <v>Pulpit Hill</v>
      </c>
      <c r="B22" s="9" t="str">
        <v>MA</v>
      </c>
      <c r="C22" s="52">
        <f>SUM(Jul!C22, Aug!C22, Sep!C22)</f>
        <v>2294253.75</v>
      </c>
      <c r="D22" s="13">
        <f>SUM(Jul!D22, Aug!D22, Sep!D22)</f>
        <v>2227841.2999999998</v>
      </c>
      <c r="E22" s="13">
        <f>IF(AND(ISNUMBER(C22),ISNUMBER(D22)), C22-D22, "")</f>
        <v>66412.450000000186</v>
      </c>
      <c r="F22" s="54">
        <f>IFERROR(E22/D22, "")</f>
        <v>2.9810224812692087E-2</v>
      </c>
      <c r="G22" s="15">
        <f xml:space="preserve"> SUM(Jul!G22,Aug!G22,Sep!G22)</f>
        <v>2254058.2999999998</v>
      </c>
      <c r="H22" s="50">
        <f>SUM(Jul!H22, Aug!H22, Sep!H22)</f>
        <v>40195.449999999953</v>
      </c>
      <c r="I22" s="16">
        <f t="shared" si="5"/>
        <v>1.7832480198049873E-2</v>
      </c>
    </row>
    <row r="23" spans="1:9" ht="15.6">
      <c r="A23" s="43" t="str">
        <v>Sandwich</v>
      </c>
      <c r="B23" s="10" t="str">
        <v>MA</v>
      </c>
      <c r="C23" s="11">
        <f>SUM(Jul!C23, Aug!C23, Sep!C23)</f>
        <v>1509328</v>
      </c>
      <c r="D23" s="18">
        <f>SUM(Jul!D23, Aug!D23, Sep!D23)</f>
        <v>0</v>
      </c>
      <c r="E23" s="18">
        <f t="shared" ref="E23:E28" si="6">IF(AND(ISNUMBER(C23),ISNUMBER(D23)), C23-D23, "")</f>
        <v>1509328</v>
      </c>
      <c r="F23" s="19" t="str">
        <f>IFERROR(E23/D23, "")</f>
        <v/>
      </c>
      <c r="G23" s="18">
        <f xml:space="preserve"> SUM(Jul!G23,Aug!G23,Sep!G23)</f>
        <v>0</v>
      </c>
      <c r="H23" s="20">
        <f>SUM(Jul!H23, Aug!H23, Sep!H23)</f>
        <v>1509328</v>
      </c>
      <c r="I23" s="19" t="str">
        <f t="shared" si="5"/>
        <v/>
      </c>
    </row>
    <row r="24" spans="1:9" ht="15.6">
      <c r="A24" s="42" t="str">
        <v>Sturbridge Barn</v>
      </c>
      <c r="B24" s="9" t="str">
        <v>MA</v>
      </c>
      <c r="C24" s="24">
        <f>SUM(Jul!C24, Aug!C24, Sep!C24)</f>
        <v>519292.5</v>
      </c>
      <c r="D24" s="13">
        <f>SUM(Jul!D24, Aug!D24, Sep!D24)</f>
        <v>513272</v>
      </c>
      <c r="E24" s="13">
        <f t="shared" si="6"/>
        <v>6020.5</v>
      </c>
      <c r="F24" s="14">
        <f t="shared" ref="F24:F28" si="7">IFERROR(E24/D24, "")</f>
        <v>1.1729648217709129E-2</v>
      </c>
      <c r="G24" s="15">
        <f xml:space="preserve"> SUM(Jul!G24,Aug!G24,Sep!G24)</f>
        <v>567619.1</v>
      </c>
      <c r="H24" s="15">
        <f>SUM(Jul!H24, Aug!H24, Sep!H24)</f>
        <v>-48326.600000000006</v>
      </c>
      <c r="I24" s="16">
        <f t="shared" ref="I24:I28" si="8">IFERROR(H24/G24, "")</f>
        <v>-8.513913643850253E-2</v>
      </c>
    </row>
    <row r="25" spans="1:9" ht="15.6">
      <c r="A25" s="43" t="str">
        <v>Sturbridge Garage</v>
      </c>
      <c r="B25" s="10" t="str">
        <v>MA</v>
      </c>
      <c r="C25" s="11">
        <f>SUM(Jul!C25, Aug!C25, Sep!C25)</f>
        <v>266531.25</v>
      </c>
      <c r="D25" s="18">
        <f>SUM(Jul!D25, Aug!D25, Sep!D25)</f>
        <v>245458.38999999998</v>
      </c>
      <c r="E25" s="18">
        <f t="shared" si="6"/>
        <v>21072.860000000015</v>
      </c>
      <c r="F25" s="19">
        <f t="shared" si="7"/>
        <v>8.58510479108089E-2</v>
      </c>
      <c r="G25" s="18">
        <f xml:space="preserve"> SUM(Jul!G25,Aug!G25,Sep!G25)</f>
        <v>262248.17000000004</v>
      </c>
      <c r="H25" s="20">
        <f>SUM(Jul!H25, Aug!H25, Sep!H25)</f>
        <v>4283.0799999999872</v>
      </c>
      <c r="I25" s="19">
        <f t="shared" si="8"/>
        <v>1.6332163538071539E-2</v>
      </c>
    </row>
    <row r="26" spans="1:9" ht="15.6">
      <c r="A26" s="42" t="str">
        <v>Halsey Valley</v>
      </c>
      <c r="B26" s="9" t="str">
        <v>NY</v>
      </c>
      <c r="C26" s="24">
        <f>SUM(Jul!C26, Aug!C26, Sep!C26)</f>
        <v>2736351</v>
      </c>
      <c r="D26" s="13">
        <f>SUM(Jul!D26, Aug!D26, Sep!D26)</f>
        <v>2706844.9</v>
      </c>
      <c r="E26" s="13">
        <f t="shared" si="6"/>
        <v>29506.100000000093</v>
      </c>
      <c r="F26" s="14">
        <f t="shared" si="7"/>
        <v>1.0900550674329398E-2</v>
      </c>
      <c r="G26" s="15">
        <f xml:space="preserve"> SUM(Jul!G26,Aug!G26,Sep!G26)</f>
        <v>2919000</v>
      </c>
      <c r="H26" s="15">
        <f>SUM(Jul!H26, Aug!H26, Sep!H26)</f>
        <v>-182649</v>
      </c>
      <c r="I26" s="16">
        <f t="shared" si="8"/>
        <v>-6.2572456320657763E-2</v>
      </c>
    </row>
    <row r="27" spans="1:9" ht="15.6">
      <c r="A27" s="43" t="str">
        <v>Hunt Creek</v>
      </c>
      <c r="B27" s="10" t="str">
        <v>NY</v>
      </c>
      <c r="C27" s="11">
        <f>SUM(Jul!C27, Aug!C27, Sep!C27)</f>
        <v>1819564.5359721</v>
      </c>
      <c r="D27" s="18">
        <f>SUM(Jul!D27, Aug!D27, Sep!D27)</f>
        <v>1954500.4000000001</v>
      </c>
      <c r="E27" s="18">
        <f t="shared" si="6"/>
        <v>-134935.86402790016</v>
      </c>
      <c r="F27" s="19">
        <f t="shared" si="7"/>
        <v>-6.9038545107435206E-2</v>
      </c>
      <c r="G27" s="18">
        <f xml:space="preserve"> SUM(Jul!G27,Aug!G27,Sep!G27)</f>
        <v>2081600</v>
      </c>
      <c r="H27" s="20">
        <f>SUM(Jul!H27, Aug!H27, Sep!H27)</f>
        <v>-262035.46402790002</v>
      </c>
      <c r="I27" s="19">
        <f t="shared" si="8"/>
        <v>-0.1258817563546791</v>
      </c>
    </row>
    <row r="28" spans="1:9" ht="15.6">
      <c r="A28" s="42" t="str">
        <v>Smith Creek</v>
      </c>
      <c r="B28" s="9" t="str">
        <v>NY</v>
      </c>
      <c r="C28" s="24">
        <f>SUM(Jul!C28, Aug!C28, Sep!C28)</f>
        <v>2009612.2192912009</v>
      </c>
      <c r="D28" s="13">
        <f>SUM(Jul!D28, Aug!D28, Sep!D28)</f>
        <v>2155608.7999999998</v>
      </c>
      <c r="E28" s="13">
        <f t="shared" si="6"/>
        <v>-145996.58070879895</v>
      </c>
      <c r="F28" s="14">
        <f t="shared" si="7"/>
        <v>-6.7728699525071046E-2</v>
      </c>
      <c r="G28" s="15">
        <f xml:space="preserve"> SUM(Jul!G28,Aug!G28,Sep!G28)</f>
        <v>2192345.7999999998</v>
      </c>
      <c r="H28" s="15">
        <f>SUM(Jul!H28, Aug!H28, Sep!H28)</f>
        <v>-182733.58070879895</v>
      </c>
      <c r="I28" s="16">
        <f t="shared" si="8"/>
        <v>-8.3350710781482998E-2</v>
      </c>
    </row>
    <row r="29" spans="1:9" ht="15.6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6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6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5.6">
      <c r="A32" s="17"/>
      <c r="B32" s="21"/>
      <c r="C32" s="21"/>
      <c r="D32" s="21"/>
      <c r="E32" s="21"/>
      <c r="F32" s="21"/>
      <c r="G32" s="21"/>
      <c r="H32" s="21"/>
      <c r="I32" s="21"/>
    </row>
    <row r="33" spans="1:9" ht="15.6">
      <c r="A33" s="17"/>
      <c r="B33" s="21"/>
      <c r="C33" s="21"/>
      <c r="D33" s="21"/>
      <c r="E33" s="21"/>
      <c r="F33" s="21"/>
      <c r="G33" s="21"/>
      <c r="H33" s="21"/>
      <c r="I33" s="21"/>
    </row>
    <row r="34" spans="1:9" ht="15.6">
      <c r="A34" s="17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mergeCells count="4">
    <mergeCell ref="G1:I1"/>
    <mergeCell ref="A1:C1"/>
    <mergeCell ref="D1:F1"/>
    <mergeCell ref="A2:B2"/>
  </mergeCells>
  <conditionalFormatting sqref="F2 I2 F4:F103 I4:I103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5"/>
  <sheetViews>
    <sheetView workbookViewId="0">
      <pane xSplit="2" ySplit="3" topLeftCell="C4" activePane="bottomRight" state="frozen"/>
      <selection pane="bottomRight" activeCell="M12" sqref="M12"/>
      <selection pane="bottomLeft" activeCell="M12" sqref="M12"/>
      <selection pane="topRight" activeCell="M12" sqref="M12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Lodestar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2" t="str" cm="1">
        <f t="array" ref="A4:A28">Sites[Site]</f>
        <v>Barkhamsted</v>
      </c>
      <c r="B4" s="9" t="str" cm="1">
        <f t="array" ref="B4:B28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3" t="str">
        <v>Bunce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2" t="str">
        <v>Norcap North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43" t="str">
        <v>Norcap South</v>
      </c>
      <c r="B7" s="10" t="str">
        <v>CT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42" t="str">
        <v>Platt Hill</v>
      </c>
      <c r="B8" s="9" t="str">
        <v>CT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43" t="str">
        <v>Powder Hill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42" t="str">
        <v>Sand Road</v>
      </c>
      <c r="B10" s="9" t="str">
        <v>CT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43" t="str">
        <v>Suffield</v>
      </c>
      <c r="B11" s="10" t="str">
        <v>CT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42" t="str">
        <v>Ashby-Duffy</v>
      </c>
      <c r="B12" s="9" t="str">
        <v>MA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43" t="str">
        <v>Ashland</v>
      </c>
      <c r="B13" s="10" t="str">
        <v>MA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42" t="str">
        <v>Barrington</v>
      </c>
      <c r="B14" s="9" t="str">
        <v>MA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43" t="str">
        <v>Bedford - 205 Burlington Rd</v>
      </c>
      <c r="B15" s="10" t="str">
        <v>MA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42" t="str">
        <v>Billerica - 6 Cook Street</v>
      </c>
      <c r="B16" s="9" t="str">
        <v>MA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6">
      <c r="A17" s="43" t="str">
        <v>Billerica - 780 Boston Road</v>
      </c>
      <c r="B17" s="10" t="str">
        <v>MA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42" t="str">
        <v>Cheshire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/>
      <c r="H18" s="15">
        <f>SUM(Oct!H18, Nov!H18, Dec!H18)</f>
        <v>0</v>
      </c>
      <c r="I18" s="16" t="str">
        <f t="shared" si="5"/>
        <v/>
      </c>
    </row>
    <row r="19" spans="1:9" ht="15.6">
      <c r="A19" s="43" t="str">
        <v>Lilly Lane</v>
      </c>
      <c r="B19" s="10" t="str">
        <v>MA</v>
      </c>
      <c r="C19" s="11">
        <f>SUM(Oct!C19, Nov!C19, Dec!C19)</f>
        <v>0</v>
      </c>
      <c r="D19" s="18">
        <f>SUM(Oct!D19, Nov!D19, Dec!D19)</f>
        <v>0</v>
      </c>
      <c r="E19" s="18">
        <f t="shared" ref="E19:E28" si="6">IF(AND(ISNUMBER(C19),ISNUMBER(D19)), C19-D19, "")</f>
        <v>0</v>
      </c>
      <c r="F19" s="19" t="str">
        <f t="shared" ref="F19:F28" si="7">IFERROR(E19/D19, "")</f>
        <v/>
      </c>
      <c r="G19" s="20"/>
      <c r="H19" s="20">
        <f>SUM(Oct!H19, Nov!H19, Dec!H19)</f>
        <v>0</v>
      </c>
      <c r="I19" s="19" t="str">
        <f t="shared" ref="I19:I28" si="8">IFERROR(H19/G19, "")</f>
        <v/>
      </c>
    </row>
    <row r="20" spans="1:9" ht="15.6">
      <c r="A20" s="42" t="str">
        <v>Monument Valley</v>
      </c>
      <c r="B20" s="9" t="str">
        <v>MA</v>
      </c>
      <c r="C20" s="24"/>
      <c r="D20" s="13"/>
      <c r="E20" s="13"/>
      <c r="F20" s="14"/>
      <c r="G20" s="15"/>
      <c r="H20" s="15"/>
      <c r="I20" s="16"/>
    </row>
    <row r="21" spans="1:9" ht="15.6">
      <c r="A21" s="43" t="str">
        <v>Nationwide</v>
      </c>
      <c r="B21" s="10" t="str">
        <v>MA</v>
      </c>
      <c r="C21" s="11"/>
      <c r="D21" s="18"/>
      <c r="E21" s="18"/>
      <c r="F21" s="19"/>
      <c r="G21" s="20"/>
      <c r="H21" s="20"/>
      <c r="I21" s="19"/>
    </row>
    <row r="22" spans="1:9" ht="15.6">
      <c r="A22" s="42" t="str">
        <v>Pulpit Hill</v>
      </c>
      <c r="B22" s="9" t="str">
        <v>MA</v>
      </c>
      <c r="C22" s="24"/>
      <c r="D22" s="13"/>
      <c r="E22" s="13"/>
      <c r="F22" s="14"/>
      <c r="G22" s="15"/>
      <c r="H22" s="15"/>
      <c r="I22" s="16"/>
    </row>
    <row r="23" spans="1:9" ht="15.6">
      <c r="A23" s="43" t="str">
        <v>Sandwich</v>
      </c>
      <c r="B23" s="10" t="str">
        <v>MA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42" t="str">
        <v>Sturbridge Barn</v>
      </c>
      <c r="B24" s="9" t="str">
        <v>MA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43" t="str">
        <v>Sturbridge Garage</v>
      </c>
      <c r="B25" s="10" t="str">
        <v>MA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42" t="str">
        <v>Halsey Valley</v>
      </c>
      <c r="B26" s="9" t="str">
        <v>NY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43" t="str">
        <v>Hunt Creek</v>
      </c>
      <c r="B27" s="10" t="str">
        <v>NY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42" t="str">
        <v>Smith Creek</v>
      </c>
      <c r="B28" s="9" t="str">
        <v>NY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/>
      <c r="B29" s="10"/>
      <c r="C29" s="41"/>
      <c r="D29" s="18"/>
      <c r="E29" s="18"/>
      <c r="F29" s="19"/>
      <c r="G29" s="20"/>
      <c r="H29" s="20"/>
      <c r="I29" s="19"/>
    </row>
    <row r="30" spans="1:9" ht="14.45">
      <c r="A30" s="21"/>
      <c r="B30" s="10"/>
      <c r="C30" s="41"/>
      <c r="D30" s="18"/>
      <c r="E30" s="18"/>
      <c r="F30" s="19"/>
      <c r="G30" s="20"/>
      <c r="H30" s="20"/>
      <c r="I30" s="19"/>
    </row>
    <row r="31" spans="1:9" ht="14.45">
      <c r="A31" s="21"/>
      <c r="B31" s="10"/>
      <c r="C31" s="41"/>
      <c r="D31" s="18"/>
      <c r="E31" s="18"/>
      <c r="F31" s="19"/>
      <c r="G31" s="20"/>
      <c r="H31" s="20"/>
      <c r="I31" s="19"/>
    </row>
    <row r="32" spans="1:9" ht="14.45">
      <c r="A32" s="21"/>
      <c r="B32" s="10"/>
      <c r="C32" s="41"/>
      <c r="D32" s="18"/>
      <c r="E32" s="18"/>
      <c r="F32" s="19"/>
      <c r="G32" s="20"/>
      <c r="H32" s="20"/>
      <c r="I32" s="19"/>
    </row>
    <row r="33" spans="1:9" ht="14.45">
      <c r="A33" s="21"/>
      <c r="B33" s="10"/>
      <c r="C33" s="41"/>
      <c r="D33" s="18"/>
      <c r="E33" s="18"/>
      <c r="F33" s="19"/>
      <c r="G33" s="20"/>
      <c r="H33" s="20"/>
      <c r="I33" s="19"/>
    </row>
    <row r="34" spans="1:9" ht="12.95">
      <c r="A34" s="21"/>
      <c r="B34" s="21"/>
      <c r="C34" s="21"/>
      <c r="D34" s="21"/>
      <c r="E34" s="21"/>
      <c r="F34" s="21"/>
      <c r="G34" s="21"/>
      <c r="H34" s="21"/>
      <c r="I34" s="21"/>
    </row>
    <row r="35" spans="1:9" ht="12.95">
      <c r="A35" s="21"/>
      <c r="B35" s="21"/>
      <c r="C35" s="21"/>
      <c r="D35" s="21"/>
      <c r="E35" s="21"/>
      <c r="F35" s="21"/>
      <c r="G35" s="21"/>
      <c r="H35" s="21"/>
      <c r="I35" s="21"/>
    </row>
    <row r="36" spans="1:9" ht="12.9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2.9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2.9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2.9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2.9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2.9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2.9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2.9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2.9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2.9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2.9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2.9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2.9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2.9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2.9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2.9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2.9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2.9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2.9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2.9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2.9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2.9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2.9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2.9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2.9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2.9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2.9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2.9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2.9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2.9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2.9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2.9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2.9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2.9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2.9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2.9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2.9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2.9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2.9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2.9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2.9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2.9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2.9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2.9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2.9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2.9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2.9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2.9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2.9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2.9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2.9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2.9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2.9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2.9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2.9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2.9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2.9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2.9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2.9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2.9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2.9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2.9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2.9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2.9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2.9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2.9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2.9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2.9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2.9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2.9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2.9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2.9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2.9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2.9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2.9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2.9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2.9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2.9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2.9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2.9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2.9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2.9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2.9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2.9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2.9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2.9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2.9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2.9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2.9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2.9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2.9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2.9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2.9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2.9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2.9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2.9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2.9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2.9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2.9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2.9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2.9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2.9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2.9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2.9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2.9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2.9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2.9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2.9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2.9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2.9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2.9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2.9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2.9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2.9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2.9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2.9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2.9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2.9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2.9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2.9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2.9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2.9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2.9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2.9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2.9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2.9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2.9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2.9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2.9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2.9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2.9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2.9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2.9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2.9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2.9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2.9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2.9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2.9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2.9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2.9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2.9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2.9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2.9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2.9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2.9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2.9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2.9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2.9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2.9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2.9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2.9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2.9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2.9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2.9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2.9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2.9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2.9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2.9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2.9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2.9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2.9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2.9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2.9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2.9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2.9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2.9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2.9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2.9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2.9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2.9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2.9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2.9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2.9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2.9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2.9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2.9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2.9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2.9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2.9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2.9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2.9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2.9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2.9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2.9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2.9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2.9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2.9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2.9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2.9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2.9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2.9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2.9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2.9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2.9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2.9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2.9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2.9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2.9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2.9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2.9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2.9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2.9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2.9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2.9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2.9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2.9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2.9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2.9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2.9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2.9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2.9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2.9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2.9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2.9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2.9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2.9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2.9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2.9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2.9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2.9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2.9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2.9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2.9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2.9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2.9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2.9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2.9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2.9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2.9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2.9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2.9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2.9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2.9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2.9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2.9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2.9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2.9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2.9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2.9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2.9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2.9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2.9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2.9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2.9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2.9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2.9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2.9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2.9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2.9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2.9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2.9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2.9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2.9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2.9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2.9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2.9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2.9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2.9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2.9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2.9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2.9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2.9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2.9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2.9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2.9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2.9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2.9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2.9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2.9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2.9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2.9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2.9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2.9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2.9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2.9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9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2.9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2.9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2.9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2.9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2.9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2.9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2.9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2.9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2.9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2.9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2.9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2.9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2.9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2.9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2.9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2.9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2.9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2.9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2.9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2.9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2.9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2.9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2.9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2.9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2.9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2.9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2.9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2.9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2.9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2.9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2.95">
      <c r="A342" s="21"/>
      <c r="B342" s="21"/>
      <c r="C342" s="21"/>
      <c r="D342" s="21"/>
      <c r="E342" s="21"/>
      <c r="F342" s="22"/>
      <c r="G342" s="21"/>
      <c r="H342" s="21"/>
      <c r="I342" s="22"/>
    </row>
    <row r="343" spans="1:9" ht="12.95">
      <c r="A343" s="21"/>
      <c r="B343" s="21"/>
      <c r="C343" s="21"/>
      <c r="D343" s="21"/>
      <c r="E343" s="21"/>
      <c r="F343" s="22"/>
      <c r="G343" s="21"/>
      <c r="H343" s="21"/>
      <c r="I343" s="22"/>
    </row>
    <row r="344" spans="1:9" ht="12.95">
      <c r="A344" s="21"/>
      <c r="B344" s="21"/>
      <c r="C344" s="21"/>
      <c r="D344" s="21"/>
      <c r="E344" s="21"/>
      <c r="F344" s="22"/>
      <c r="G344" s="21"/>
      <c r="H344" s="21"/>
      <c r="I344" s="22"/>
    </row>
    <row r="345" spans="1:9" ht="12.95">
      <c r="A345" s="21"/>
      <c r="B345" s="21"/>
      <c r="C345" s="21"/>
      <c r="D345" s="21"/>
      <c r="E345" s="21"/>
      <c r="F345" s="22"/>
      <c r="G345" s="21"/>
      <c r="H345" s="21"/>
      <c r="I345" s="22"/>
    </row>
  </sheetData>
  <mergeCells count="4">
    <mergeCell ref="G1:I1"/>
    <mergeCell ref="A1:C1"/>
    <mergeCell ref="D1:F1"/>
    <mergeCell ref="A2:B2"/>
  </mergeCells>
  <conditionalFormatting sqref="F2 I2 F4:F103 I4:I103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A9DD-F147-4BDF-A82C-2EEB453BD23C}">
  <sheetPr codeName="Sheet6">
    <pageSetUpPr fitToPage="1"/>
  </sheetPr>
  <dimension ref="A1:K344"/>
  <sheetViews>
    <sheetView workbookViewId="0">
      <pane xSplit="2" ySplit="3" topLeftCell="C9" activePane="bottomRight" state="frozen"/>
      <selection pane="bottomRight" activeCell="F21" sqref="F21"/>
      <selection pane="bottomLeft" activeCell="B32" sqref="B32:C32"/>
      <selection pane="topRight" activeCell="B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SUM(C4:C102)</f>
        <v>1646953.443617021</v>
      </c>
      <c r="D2" s="5">
        <f>SUM(D4:D102)</f>
        <v>2934622.4099999997</v>
      </c>
      <c r="E2" s="5">
        <f>C2-D2</f>
        <v>-1287668.9663829787</v>
      </c>
      <c r="F2" s="6">
        <f>IFERROR(E2/D2, 0)</f>
        <v>-0.43878522906222162</v>
      </c>
      <c r="G2" s="5">
        <f>SUM(G4:G102)</f>
        <v>3459095.5300000003</v>
      </c>
      <c r="H2" s="7">
        <f>C2-G2</f>
        <v>-1812142.0863829793</v>
      </c>
      <c r="I2" s="6">
        <f>IFERROR(H2/G2, 0)</f>
        <v>-0.52387743289153366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40962</v>
      </c>
      <c r="D4" s="13">
        <v>81116.11</v>
      </c>
      <c r="E4" s="13">
        <f>IF(AND(ISNUMBER(C4),ISNUMBER(D4)), C4-D4, "")</f>
        <v>-40154.11</v>
      </c>
      <c r="F4" s="14">
        <f>IFERROR(E4/D4, "")</f>
        <v>-0.49502016307241559</v>
      </c>
      <c r="G4" s="15">
        <v>95666.17</v>
      </c>
      <c r="H4" s="15">
        <f>IF(AND(ISNUMBER(C4),ISNUMBER(G4)), C4-G4, "")</f>
        <v>-54704.17</v>
      </c>
      <c r="I4" s="16">
        <f>IFERROR(H4/G4, "")</f>
        <v>-0.57182356103521237</v>
      </c>
    </row>
    <row r="5" spans="1:11" ht="15.6">
      <c r="A5" s="28" t="str">
        <v>Bunce</v>
      </c>
      <c r="B5" s="29" t="str">
        <v>CT</v>
      </c>
      <c r="C5" s="11">
        <v>85317.75</v>
      </c>
      <c r="D5" s="18">
        <v>134339.20000000001</v>
      </c>
      <c r="E5" s="18">
        <f t="shared" ref="E5:E28" si="0">IF(AND(ISNUMBER(C5),ISNUMBER(D5)), C5-D5, "")</f>
        <v>-49021.450000000012</v>
      </c>
      <c r="F5" s="19">
        <f>IFERROR(E5/D5, "")</f>
        <v>-0.36490800898025305</v>
      </c>
      <c r="G5" s="20">
        <v>0</v>
      </c>
      <c r="H5" s="20">
        <f t="shared" ref="H5:H28" si="1">IF(AND(ISNUMBER(C5),ISNUMBER(G5)), C5-G5, "")</f>
        <v>85317.75</v>
      </c>
      <c r="I5" s="19" t="str">
        <f t="shared" ref="I5:I28" si="2">IFERROR(H5/G5, "")</f>
        <v/>
      </c>
      <c r="J5" s="38" t="s">
        <v>22</v>
      </c>
      <c r="K5" s="38" t="s">
        <v>22</v>
      </c>
    </row>
    <row r="6" spans="1:11" ht="15.6">
      <c r="A6" s="30" t="str">
        <v>Norcap North</v>
      </c>
      <c r="B6" s="27" t="str">
        <v>CT</v>
      </c>
      <c r="C6" s="24">
        <v>86946</v>
      </c>
      <c r="D6" s="13">
        <v>190151.4</v>
      </c>
      <c r="E6" s="13">
        <f t="shared" si="0"/>
        <v>-103205.4</v>
      </c>
      <c r="F6" s="14">
        <f t="shared" ref="F6:F28" si="3">IFERROR(E6/D6, "")</f>
        <v>-0.54275382668757632</v>
      </c>
      <c r="G6" s="15">
        <v>179846.6</v>
      </c>
      <c r="H6" s="15">
        <f t="shared" si="1"/>
        <v>-92900.6</v>
      </c>
      <c r="I6" s="16">
        <f t="shared" si="2"/>
        <v>-0.51655466380793413</v>
      </c>
      <c r="J6" s="39" t="s">
        <v>22</v>
      </c>
      <c r="K6" s="39" t="s">
        <v>22</v>
      </c>
    </row>
    <row r="7" spans="1:11" ht="130.5">
      <c r="A7" s="28" t="str">
        <v>Norcap South</v>
      </c>
      <c r="B7" s="29" t="str">
        <v>CT</v>
      </c>
      <c r="C7" s="11">
        <v>92879.5</v>
      </c>
      <c r="D7" s="18">
        <v>212284</v>
      </c>
      <c r="E7" s="18">
        <f t="shared" si="0"/>
        <v>-119404.5</v>
      </c>
      <c r="F7" s="19">
        <f t="shared" si="3"/>
        <v>-0.5624752689792919</v>
      </c>
      <c r="G7" s="20">
        <v>156565.5</v>
      </c>
      <c r="H7" s="20">
        <f t="shared" si="1"/>
        <v>-63686</v>
      </c>
      <c r="I7" s="19">
        <f t="shared" si="2"/>
        <v>-0.40676905193034224</v>
      </c>
      <c r="J7" s="38" t="s">
        <v>23</v>
      </c>
      <c r="K7" s="38" t="s">
        <v>24</v>
      </c>
    </row>
    <row r="8" spans="1:11" ht="43.5">
      <c r="A8" s="30" t="str">
        <v>Platt Hill</v>
      </c>
      <c r="B8" s="27" t="str">
        <v>CT</v>
      </c>
      <c r="C8" s="24">
        <v>104226.493617021</v>
      </c>
      <c r="D8" s="13">
        <v>164040.9</v>
      </c>
      <c r="E8" s="13">
        <f t="shared" si="0"/>
        <v>-59814.406382978996</v>
      </c>
      <c r="F8" s="14">
        <f t="shared" si="3"/>
        <v>-0.36463105471244672</v>
      </c>
      <c r="G8" s="15">
        <v>232504.1</v>
      </c>
      <c r="H8" s="15">
        <f t="shared" si="1"/>
        <v>-128277.60638297901</v>
      </c>
      <c r="I8" s="16">
        <f t="shared" si="2"/>
        <v>-0.55172191106728441</v>
      </c>
      <c r="J8" s="39" t="s">
        <v>25</v>
      </c>
      <c r="K8" s="39" t="s">
        <v>26</v>
      </c>
    </row>
    <row r="9" spans="1:11" ht="15.6">
      <c r="A9" s="28" t="str">
        <v>Powder Hill</v>
      </c>
      <c r="B9" s="29" t="str">
        <v>CT</v>
      </c>
      <c r="C9" s="11">
        <v>73609</v>
      </c>
      <c r="D9" s="18">
        <v>144364.9</v>
      </c>
      <c r="E9" s="18">
        <f t="shared" si="0"/>
        <v>-70755.899999999994</v>
      </c>
      <c r="F9" s="19">
        <f t="shared" si="3"/>
        <v>-0.49011844291791146</v>
      </c>
      <c r="G9" s="20">
        <v>155676</v>
      </c>
      <c r="H9" s="20">
        <f t="shared" si="1"/>
        <v>-82067</v>
      </c>
      <c r="I9" s="19">
        <f t="shared" si="2"/>
        <v>-0.52716539479431646</v>
      </c>
      <c r="J9" s="38" t="s">
        <v>22</v>
      </c>
      <c r="K9" s="38" t="s">
        <v>22</v>
      </c>
    </row>
    <row r="10" spans="1:11" ht="87">
      <c r="A10" s="30" t="str">
        <v>Sand Road</v>
      </c>
      <c r="B10" s="27" t="str">
        <v>CT</v>
      </c>
      <c r="C10" s="24">
        <v>78068.5</v>
      </c>
      <c r="D10" s="13">
        <v>124790</v>
      </c>
      <c r="E10" s="13">
        <f t="shared" si="0"/>
        <v>-46721.5</v>
      </c>
      <c r="F10" s="14">
        <f t="shared" si="3"/>
        <v>-0.37440099366936452</v>
      </c>
      <c r="G10" s="15">
        <v>145302</v>
      </c>
      <c r="H10" s="15">
        <f t="shared" si="1"/>
        <v>-67233.5</v>
      </c>
      <c r="I10" s="16">
        <f>IFERROR(H10/G10, "")</f>
        <v>-0.46271558547026193</v>
      </c>
      <c r="J10" s="39" t="s">
        <v>27</v>
      </c>
      <c r="K10" s="39" t="s">
        <v>28</v>
      </c>
    </row>
    <row r="11" spans="1:11" ht="15.6">
      <c r="A11" s="28" t="str">
        <v>Suffield</v>
      </c>
      <c r="B11" s="29" t="str">
        <v>CT</v>
      </c>
      <c r="C11" s="11">
        <v>86425</v>
      </c>
      <c r="D11" s="18">
        <v>139100</v>
      </c>
      <c r="E11" s="18">
        <f t="shared" si="0"/>
        <v>-52675</v>
      </c>
      <c r="F11" s="19">
        <f t="shared" si="3"/>
        <v>-0.37868439971243711</v>
      </c>
      <c r="G11" s="20">
        <v>191955.4</v>
      </c>
      <c r="H11" s="20">
        <f t="shared" si="1"/>
        <v>-105530.4</v>
      </c>
      <c r="I11" s="19">
        <f t="shared" si="2"/>
        <v>-0.54976520587594824</v>
      </c>
      <c r="J11" s="38" t="s">
        <v>22</v>
      </c>
      <c r="K11" s="38" t="s">
        <v>29</v>
      </c>
    </row>
    <row r="12" spans="1:11" ht="29.1">
      <c r="A12" s="30" t="str">
        <v>Ashby-Duffy</v>
      </c>
      <c r="B12" s="27" t="str">
        <v>MA</v>
      </c>
      <c r="C12" s="24">
        <v>83884</v>
      </c>
      <c r="D12" s="13">
        <v>228874</v>
      </c>
      <c r="E12" s="13">
        <f t="shared" si="0"/>
        <v>-144990</v>
      </c>
      <c r="F12" s="14">
        <f t="shared" si="3"/>
        <v>-0.63349266408591631</v>
      </c>
      <c r="G12" s="15">
        <v>158269.5</v>
      </c>
      <c r="H12" s="15">
        <f t="shared" si="1"/>
        <v>-74385.5</v>
      </c>
      <c r="I12" s="16">
        <f t="shared" si="2"/>
        <v>-0.46999263913767342</v>
      </c>
      <c r="J12" s="39" t="s">
        <v>30</v>
      </c>
      <c r="K12" s="39" t="s">
        <v>31</v>
      </c>
    </row>
    <row r="13" spans="1:11" ht="15.6">
      <c r="A13" s="28" t="str">
        <v>Ashland</v>
      </c>
      <c r="B13" s="29" t="str">
        <v>MA</v>
      </c>
      <c r="C13" s="11">
        <v>3053</v>
      </c>
      <c r="D13" s="18">
        <v>18082.05</v>
      </c>
      <c r="E13" s="18">
        <f t="shared" si="0"/>
        <v>-15029.05</v>
      </c>
      <c r="F13" s="19">
        <f t="shared" si="3"/>
        <v>-0.83115852461418915</v>
      </c>
      <c r="G13" s="20">
        <v>134293.1</v>
      </c>
      <c r="H13" s="20">
        <f t="shared" si="1"/>
        <v>-131240.1</v>
      </c>
      <c r="I13" s="19">
        <f t="shared" si="2"/>
        <v>-0.97726614397910239</v>
      </c>
      <c r="J13" s="38" t="s">
        <v>22</v>
      </c>
      <c r="K13" s="38" t="s">
        <v>22</v>
      </c>
    </row>
    <row r="14" spans="1:11" ht="43.5">
      <c r="A14" s="30" t="str">
        <v>Barrington</v>
      </c>
      <c r="B14" s="27" t="str">
        <v>MA</v>
      </c>
      <c r="C14" s="24">
        <v>15412</v>
      </c>
      <c r="D14" s="13">
        <v>23642.959999999999</v>
      </c>
      <c r="E14" s="13">
        <f t="shared" si="0"/>
        <v>-8230.9599999999991</v>
      </c>
      <c r="F14" s="14">
        <f t="shared" si="3"/>
        <v>-0.34813576641841798</v>
      </c>
      <c r="G14" s="15">
        <v>35820</v>
      </c>
      <c r="H14" s="15">
        <f t="shared" si="1"/>
        <v>-20408</v>
      </c>
      <c r="I14" s="16">
        <f t="shared" si="2"/>
        <v>-0.56973757677275261</v>
      </c>
      <c r="J14" s="39" t="s">
        <v>32</v>
      </c>
      <c r="K14" s="39" t="s">
        <v>33</v>
      </c>
    </row>
    <row r="15" spans="1:11" ht="15.6">
      <c r="A15" s="28" t="str">
        <v>Bedford - 205 Burlington Rd</v>
      </c>
      <c r="B15" s="29" t="str">
        <v>MA</v>
      </c>
      <c r="C15" s="11">
        <v>7938</v>
      </c>
      <c r="D15" s="18">
        <v>0</v>
      </c>
      <c r="E15" s="18">
        <f t="shared" si="0"/>
        <v>7938</v>
      </c>
      <c r="F15" s="19" t="str">
        <f t="shared" si="3"/>
        <v/>
      </c>
      <c r="G15" s="20">
        <v>0</v>
      </c>
      <c r="H15" s="20">
        <f t="shared" si="1"/>
        <v>7938</v>
      </c>
      <c r="I15" s="19" t="str">
        <f t="shared" si="2"/>
        <v/>
      </c>
      <c r="J15" s="38" t="s">
        <v>22</v>
      </c>
      <c r="K15" s="38" t="s">
        <v>22</v>
      </c>
    </row>
    <row r="16" spans="1:11" ht="15.6">
      <c r="A16" s="30" t="str">
        <v>Billerica - 6 Cook Street</v>
      </c>
      <c r="B16" s="27" t="str">
        <v>MA</v>
      </c>
      <c r="C16" s="24">
        <v>7069</v>
      </c>
      <c r="D16" s="13">
        <v>0</v>
      </c>
      <c r="E16" s="13">
        <f t="shared" si="0"/>
        <v>7069</v>
      </c>
      <c r="F16" s="14" t="str">
        <f t="shared" si="3"/>
        <v/>
      </c>
      <c r="G16" s="15">
        <v>0</v>
      </c>
      <c r="H16" s="15">
        <f t="shared" si="1"/>
        <v>7069</v>
      </c>
      <c r="I16" s="16" t="str">
        <f t="shared" si="2"/>
        <v/>
      </c>
      <c r="J16" s="39" t="s">
        <v>22</v>
      </c>
      <c r="K16" s="39" t="s">
        <v>22</v>
      </c>
    </row>
    <row r="17" spans="1:11" ht="15.6">
      <c r="A17" s="28" t="str">
        <v>Billerica - 780 Boston Road</v>
      </c>
      <c r="B17" s="29" t="str">
        <v>MA</v>
      </c>
      <c r="C17" s="11">
        <v>7922</v>
      </c>
      <c r="D17" s="18">
        <v>0</v>
      </c>
      <c r="E17" s="18">
        <f t="shared" si="0"/>
        <v>7922</v>
      </c>
      <c r="F17" s="19" t="str">
        <f t="shared" si="3"/>
        <v/>
      </c>
      <c r="G17" s="20">
        <v>0</v>
      </c>
      <c r="H17" s="20">
        <f t="shared" si="1"/>
        <v>7922</v>
      </c>
      <c r="I17" s="19" t="str">
        <f t="shared" si="2"/>
        <v/>
      </c>
      <c r="J17" s="38" t="s">
        <v>22</v>
      </c>
      <c r="K17" s="38" t="s">
        <v>22</v>
      </c>
    </row>
    <row r="18" spans="1:11" ht="15.6">
      <c r="A18" s="30" t="str">
        <v>Cheshire</v>
      </c>
      <c r="B18" s="27" t="str">
        <v>MA</v>
      </c>
      <c r="C18" s="24">
        <v>15272</v>
      </c>
      <c r="D18" s="13">
        <v>27330.66</v>
      </c>
      <c r="E18" s="13">
        <f t="shared" si="0"/>
        <v>-12058.66</v>
      </c>
      <c r="F18" s="14">
        <f t="shared" si="3"/>
        <v>-0.44121364065119539</v>
      </c>
      <c r="G18" s="15">
        <v>24314.38</v>
      </c>
      <c r="H18" s="15">
        <f t="shared" si="1"/>
        <v>-9042.380000000001</v>
      </c>
      <c r="I18" s="16">
        <f t="shared" si="2"/>
        <v>-0.37189432755431151</v>
      </c>
      <c r="J18" s="39" t="s">
        <v>22</v>
      </c>
      <c r="K18" s="39" t="s">
        <v>22</v>
      </c>
    </row>
    <row r="19" spans="1:11" ht="15.6">
      <c r="A19" s="28" t="str">
        <v>Lilly Lane</v>
      </c>
      <c r="B19" s="29" t="str">
        <v>MA</v>
      </c>
      <c r="C19" s="11">
        <v>37262</v>
      </c>
      <c r="D19" s="18">
        <v>61721.41</v>
      </c>
      <c r="E19" s="18">
        <f t="shared" si="0"/>
        <v>-24459.410000000003</v>
      </c>
      <c r="F19" s="19">
        <f t="shared" si="3"/>
        <v>-0.39628728507660471</v>
      </c>
      <c r="G19">
        <v>113135.5</v>
      </c>
      <c r="H19" s="20">
        <f t="shared" si="1"/>
        <v>-75873.5</v>
      </c>
      <c r="I19" s="19">
        <f t="shared" si="2"/>
        <v>-0.67064272487415533</v>
      </c>
      <c r="J19" s="38" t="s">
        <v>22</v>
      </c>
      <c r="K19" s="38" t="s">
        <v>22</v>
      </c>
    </row>
    <row r="20" spans="1:11" ht="15.6">
      <c r="A20" s="30" t="str">
        <v>Monument Valley</v>
      </c>
      <c r="B20" s="27" t="str">
        <v>MA</v>
      </c>
      <c r="C20" s="24">
        <v>68801</v>
      </c>
      <c r="D20" s="13">
        <v>28968.03</v>
      </c>
      <c r="E20" s="13">
        <f t="shared" si="0"/>
        <v>39832.97</v>
      </c>
      <c r="F20" s="14">
        <f t="shared" si="3"/>
        <v>1.3750665820216288</v>
      </c>
      <c r="G20" s="15">
        <v>0</v>
      </c>
      <c r="H20" s="15">
        <f t="shared" si="1"/>
        <v>68801</v>
      </c>
      <c r="I20" s="16" t="str">
        <f t="shared" si="2"/>
        <v/>
      </c>
      <c r="J20" s="39" t="s">
        <v>22</v>
      </c>
      <c r="K20" s="39" t="s">
        <v>22</v>
      </c>
    </row>
    <row r="21" spans="1:11" ht="15.6">
      <c r="A21" s="28" t="str">
        <v>Nationwide</v>
      </c>
      <c r="B21" s="29" t="str">
        <v>MA</v>
      </c>
      <c r="C21" s="11">
        <v>98960</v>
      </c>
      <c r="D21" s="18">
        <v>221313.9</v>
      </c>
      <c r="E21" s="18">
        <f t="shared" si="0"/>
        <v>-122353.9</v>
      </c>
      <c r="F21" s="19">
        <f t="shared" si="3"/>
        <v>-0.55285230615880876</v>
      </c>
      <c r="G21" s="20">
        <v>298977.59999999998</v>
      </c>
      <c r="H21" s="20">
        <f t="shared" si="1"/>
        <v>-200017.59999999998</v>
      </c>
      <c r="I21" s="19">
        <f t="shared" si="2"/>
        <v>-0.66900530340734554</v>
      </c>
      <c r="J21" s="38" t="s">
        <v>22</v>
      </c>
      <c r="K21" s="38" t="s">
        <v>22</v>
      </c>
    </row>
    <row r="22" spans="1:11" ht="15.6">
      <c r="A22" s="30" t="str">
        <v>Pulpit Hill</v>
      </c>
      <c r="B22" s="27" t="str">
        <v>MA</v>
      </c>
      <c r="C22" s="24">
        <v>147440</v>
      </c>
      <c r="D22" s="13">
        <v>286661.3</v>
      </c>
      <c r="E22" s="13">
        <f t="shared" si="0"/>
        <v>-139221.29999999999</v>
      </c>
      <c r="F22" s="14">
        <f t="shared" si="3"/>
        <v>-0.48566478977106431</v>
      </c>
      <c r="G22" s="15">
        <v>356965.5</v>
      </c>
      <c r="H22" s="15">
        <f t="shared" si="1"/>
        <v>-209525.5</v>
      </c>
      <c r="I22" s="16">
        <f t="shared" si="2"/>
        <v>-0.58696288576907296</v>
      </c>
      <c r="J22" s="39" t="s">
        <v>34</v>
      </c>
      <c r="K22" s="39" t="s">
        <v>35</v>
      </c>
    </row>
    <row r="23" spans="1:11" ht="15.6">
      <c r="A23" s="28" t="str">
        <v>Sandwich</v>
      </c>
      <c r="B23" s="29" t="str">
        <v>MA</v>
      </c>
      <c r="C23">
        <v>69116</v>
      </c>
      <c r="D23" s="18">
        <v>0</v>
      </c>
      <c r="E23" s="18">
        <f t="shared" si="0"/>
        <v>69116</v>
      </c>
      <c r="F23" s="19" t="str">
        <f t="shared" si="3"/>
        <v/>
      </c>
      <c r="G23" s="20">
        <v>0</v>
      </c>
      <c r="H23" s="20">
        <f t="shared" si="1"/>
        <v>69116</v>
      </c>
      <c r="I23" s="19" t="str">
        <f t="shared" si="2"/>
        <v/>
      </c>
      <c r="J23" s="38" t="s">
        <v>22</v>
      </c>
      <c r="K23" s="38" t="s">
        <v>22</v>
      </c>
    </row>
    <row r="24" spans="1:11" ht="43.5">
      <c r="A24" s="30" t="str">
        <v>Sturbridge Barn</v>
      </c>
      <c r="B24" s="27" t="str">
        <v>MA</v>
      </c>
      <c r="C24" s="24">
        <v>40594</v>
      </c>
      <c r="D24" s="13">
        <v>79345.86</v>
      </c>
      <c r="E24" s="13">
        <f t="shared" si="0"/>
        <v>-38751.86</v>
      </c>
      <c r="F24" s="14">
        <f t="shared" si="3"/>
        <v>-0.48839170688930716</v>
      </c>
      <c r="G24" s="15">
        <v>110612.6</v>
      </c>
      <c r="H24" s="15">
        <f t="shared" si="1"/>
        <v>-70018.600000000006</v>
      </c>
      <c r="I24" s="16">
        <f t="shared" si="2"/>
        <v>-0.63300745123069169</v>
      </c>
      <c r="J24" s="39" t="s">
        <v>36</v>
      </c>
      <c r="K24" s="39" t="s">
        <v>37</v>
      </c>
    </row>
    <row r="25" spans="1:11" ht="15.6">
      <c r="A25" s="28" t="str">
        <v>Sturbridge Garage</v>
      </c>
      <c r="B25" s="29" t="str">
        <v>MA</v>
      </c>
      <c r="C25" s="11">
        <v>20528.25</v>
      </c>
      <c r="D25" s="18">
        <v>36997.33</v>
      </c>
      <c r="E25" s="18">
        <f t="shared" si="0"/>
        <v>-16469.080000000002</v>
      </c>
      <c r="F25" s="19">
        <f t="shared" si="3"/>
        <v>-0.44514239270779815</v>
      </c>
      <c r="G25" s="20">
        <v>55886.080000000002</v>
      </c>
      <c r="H25" s="20">
        <f t="shared" si="1"/>
        <v>-35357.83</v>
      </c>
      <c r="I25" s="19">
        <f t="shared" si="2"/>
        <v>-0.63267686694074809</v>
      </c>
      <c r="J25" s="38" t="s">
        <v>38</v>
      </c>
      <c r="K25" s="38" t="s">
        <v>39</v>
      </c>
    </row>
    <row r="26" spans="1:11" ht="29.1">
      <c r="A26" s="30" t="str">
        <v>Halsey Valley</v>
      </c>
      <c r="B26" s="27" t="str">
        <v>NY</v>
      </c>
      <c r="C26" s="24">
        <v>147564</v>
      </c>
      <c r="D26" s="13">
        <v>292774.59999999998</v>
      </c>
      <c r="E26" s="13">
        <f t="shared" si="0"/>
        <v>-145210.59999999998</v>
      </c>
      <c r="F26" s="14">
        <f t="shared" si="3"/>
        <v>-0.49598086719271406</v>
      </c>
      <c r="G26" s="15">
        <v>384000</v>
      </c>
      <c r="H26" s="15">
        <f t="shared" si="1"/>
        <v>-236436</v>
      </c>
      <c r="I26" s="16">
        <f t="shared" si="2"/>
        <v>-0.61571874999999998</v>
      </c>
      <c r="J26" s="39" t="s">
        <v>40</v>
      </c>
      <c r="K26" s="39" t="s">
        <v>41</v>
      </c>
    </row>
    <row r="27" spans="1:11" ht="57.95">
      <c r="A27" s="28" t="str">
        <v>Hunt Creek</v>
      </c>
      <c r="B27" s="29" t="str">
        <v>NY</v>
      </c>
      <c r="C27" s="11">
        <v>87616.95</v>
      </c>
      <c r="D27" s="18">
        <v>201235.3</v>
      </c>
      <c r="E27" s="18">
        <f t="shared" si="0"/>
        <v>-113618.34999999999</v>
      </c>
      <c r="F27" s="19">
        <f t="shared" si="3"/>
        <v>-0.56460447048803064</v>
      </c>
      <c r="G27" s="20">
        <v>228700</v>
      </c>
      <c r="H27" s="20">
        <f t="shared" si="1"/>
        <v>-141083.04999999999</v>
      </c>
      <c r="I27" s="19">
        <f t="shared" si="2"/>
        <v>-0.61689134236991683</v>
      </c>
      <c r="J27" s="38" t="s">
        <v>42</v>
      </c>
      <c r="K27" s="38" t="s">
        <v>43</v>
      </c>
    </row>
    <row r="28" spans="1:11" ht="15.6">
      <c r="A28" s="30" t="str">
        <v>Smith Creek</v>
      </c>
      <c r="B28" s="27" t="str">
        <v>NY</v>
      </c>
      <c r="C28" s="24">
        <v>140087</v>
      </c>
      <c r="D28" s="13">
        <v>237488.5</v>
      </c>
      <c r="E28" s="13">
        <f t="shared" si="0"/>
        <v>-97401.5</v>
      </c>
      <c r="F28" s="14">
        <f t="shared" si="3"/>
        <v>-0.41013143794331092</v>
      </c>
      <c r="G28" s="15">
        <v>400605.5</v>
      </c>
      <c r="H28" s="15">
        <f t="shared" si="1"/>
        <v>-260518.5</v>
      </c>
      <c r="I28" s="16">
        <f t="shared" si="2"/>
        <v>-0.65031184045151647</v>
      </c>
      <c r="J28" s="39" t="s">
        <v>22</v>
      </c>
      <c r="K28" s="39" t="s">
        <v>22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39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>
      <c r="C344" s="21"/>
      <c r="D344" s="21"/>
      <c r="E344" s="21"/>
      <c r="F344" s="22"/>
      <c r="G344" s="21"/>
      <c r="H344" s="21"/>
      <c r="I344" s="22"/>
    </row>
  </sheetData>
  <mergeCells count="4">
    <mergeCell ref="A1:C1"/>
    <mergeCell ref="D1:F1"/>
    <mergeCell ref="G1:I1"/>
    <mergeCell ref="A2:B2"/>
  </mergeCells>
  <conditionalFormatting sqref="F2 I2 F4:F102 I4:I102">
    <cfRule type="cellIs" dxfId="47" priority="3" stopIfTrue="1" operator="lessThanOrEqual">
      <formula>-0.1</formula>
    </cfRule>
    <cfRule type="expression" dxfId="4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5"/>
  <sheetViews>
    <sheetView workbookViewId="0">
      <pane xSplit="2" ySplit="3" topLeftCell="C15" activePane="bottomRight" state="frozen"/>
      <selection pane="bottomRight" activeCell="J13" sqref="J13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5730613.6363829793</v>
      </c>
      <c r="D2" s="5">
        <f>SUM(D4:D103)</f>
        <v>5700189.2299999995</v>
      </c>
      <c r="E2" s="5">
        <f>C2-D2</f>
        <v>30424.406382979825</v>
      </c>
      <c r="F2" s="6">
        <f>IFERROR(E2/D2, 0)</f>
        <v>5.3374379613323518E-3</v>
      </c>
      <c r="G2" s="5">
        <f>SUM(G4:G103)</f>
        <v>4428387.1499999994</v>
      </c>
      <c r="H2" s="7">
        <f>C2-G2</f>
        <v>1302226.4863829799</v>
      </c>
      <c r="I2" s="6">
        <f>IFERROR(H2/G2, 0)</f>
        <v>0.29406337844309299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44" t="str" cm="1">
        <f t="array" ref="A4:A28">Sites[Site]</f>
        <v>Barkhamsted</v>
      </c>
      <c r="B4" s="27" t="str" cm="1">
        <f t="array" ref="B4:B28">Sites[State]</f>
        <v>CT</v>
      </c>
      <c r="C4" s="24">
        <v>137901</v>
      </c>
      <c r="D4" s="13">
        <v>155136.70000000001</v>
      </c>
      <c r="E4" s="13">
        <f>IF(AND(ISNUMBER(C4),ISNUMBER(D4)), C4-D4, "")</f>
        <v>-17235.700000000012</v>
      </c>
      <c r="F4" s="14">
        <f>IFERROR(E4/D4, "")</f>
        <v>-0.11110008141207084</v>
      </c>
      <c r="G4" s="15">
        <v>118880.1</v>
      </c>
      <c r="H4" s="15">
        <f>IF(AND(ISNUMBER(C4),ISNUMBER(G4)), C4-G4, "")</f>
        <v>19020.899999999994</v>
      </c>
      <c r="I4" s="16">
        <f>IFERROR(H4/G4, "")</f>
        <v>0.16000070659429116</v>
      </c>
      <c r="J4" s="38"/>
      <c r="K4" s="38"/>
    </row>
    <row r="5" spans="1:11" ht="15.6">
      <c r="A5" s="45" t="str">
        <v>Bunce</v>
      </c>
      <c r="B5" s="29" t="str">
        <v>CT</v>
      </c>
      <c r="C5" s="11">
        <v>255566.25</v>
      </c>
      <c r="D5" s="18">
        <v>264677.8</v>
      </c>
      <c r="E5" s="18">
        <f t="shared" ref="E5:E28" si="0">IF(AND(ISNUMBER(C5),ISNUMBER(D5)), C5-D5, "")</f>
        <v>-9111.5499999999884</v>
      </c>
      <c r="F5" s="19">
        <f>IFERROR(E5/D5, "")</f>
        <v>-3.4425063227818839E-2</v>
      </c>
      <c r="G5" s="20">
        <v>0</v>
      </c>
      <c r="H5" s="20">
        <f t="shared" ref="H5:H28" si="1">IF(AND(ISNUMBER(C5),ISNUMBER(G5)), C5-G5, "")</f>
        <v>255566.25</v>
      </c>
      <c r="I5" s="19" t="str">
        <f t="shared" ref="I5:I28" si="2">IFERROR(H5/G5, "")</f>
        <v/>
      </c>
      <c r="J5" s="39"/>
      <c r="K5" s="39"/>
    </row>
    <row r="6" spans="1:11" ht="15.6">
      <c r="A6" s="44" t="str">
        <v>Norcap North</v>
      </c>
      <c r="B6" s="27" t="str">
        <v>CT</v>
      </c>
      <c r="C6" s="24">
        <v>258225.5</v>
      </c>
      <c r="D6" s="13">
        <v>313527</v>
      </c>
      <c r="E6" s="13">
        <f t="shared" si="0"/>
        <v>-55301.5</v>
      </c>
      <c r="F6" s="14">
        <f t="shared" ref="F6:F28" si="3">IFERROR(E6/D6, "")</f>
        <v>-0.17638512791561811</v>
      </c>
      <c r="G6" s="15">
        <v>213416.4</v>
      </c>
      <c r="H6" s="15">
        <f t="shared" si="1"/>
        <v>44809.100000000006</v>
      </c>
      <c r="I6" s="16">
        <f t="shared" si="2"/>
        <v>0.20996090272350207</v>
      </c>
      <c r="J6" s="38"/>
      <c r="K6" s="38"/>
    </row>
    <row r="7" spans="1:11" ht="72.599999999999994">
      <c r="A7" s="45" t="str">
        <v>Norcap South</v>
      </c>
      <c r="B7" s="29" t="str">
        <v>CT</v>
      </c>
      <c r="C7" s="11">
        <v>270255</v>
      </c>
      <c r="D7" s="18">
        <v>346522.8</v>
      </c>
      <c r="E7" s="18">
        <f t="shared" si="0"/>
        <v>-76267.799999999988</v>
      </c>
      <c r="F7" s="19">
        <f t="shared" si="3"/>
        <v>-0.22009460849329393</v>
      </c>
      <c r="G7" s="20">
        <v>203138.3</v>
      </c>
      <c r="H7" s="20">
        <f t="shared" si="1"/>
        <v>67116.700000000012</v>
      </c>
      <c r="I7" s="19">
        <f t="shared" si="2"/>
        <v>0.33039904341032694</v>
      </c>
      <c r="J7" s="39" t="s">
        <v>46</v>
      </c>
      <c r="K7" s="48" t="s">
        <v>47</v>
      </c>
    </row>
    <row r="8" spans="1:11" ht="15.6">
      <c r="A8" s="44" t="str">
        <v>Platt Hill</v>
      </c>
      <c r="B8" s="27" t="str">
        <v>CT</v>
      </c>
      <c r="C8" s="24">
        <v>291036.50638297899</v>
      </c>
      <c r="D8" s="13">
        <v>311905.09999999998</v>
      </c>
      <c r="E8" s="13">
        <f t="shared" si="0"/>
        <v>-20868.59361702099</v>
      </c>
      <c r="F8" s="14">
        <f t="shared" si="3"/>
        <v>-6.6906868842545347E-2</v>
      </c>
      <c r="G8" s="15">
        <v>274974.59999999998</v>
      </c>
      <c r="H8" s="15">
        <f t="shared" si="1"/>
        <v>16061.90638297901</v>
      </c>
      <c r="I8" s="16">
        <f t="shared" si="2"/>
        <v>5.8412327476716076E-2</v>
      </c>
      <c r="J8" s="38"/>
      <c r="K8" s="38"/>
    </row>
    <row r="9" spans="1:11" ht="15.6">
      <c r="A9" s="45" t="str">
        <v>Powder Hill</v>
      </c>
      <c r="B9" s="29" t="str">
        <v>CT</v>
      </c>
      <c r="C9" s="11">
        <v>245989</v>
      </c>
      <c r="D9" s="18">
        <v>275345.2</v>
      </c>
      <c r="E9" s="18">
        <f t="shared" si="0"/>
        <v>-29356.200000000012</v>
      </c>
      <c r="F9" s="19">
        <f t="shared" si="3"/>
        <v>-0.10661598604224809</v>
      </c>
      <c r="G9" s="20">
        <v>178140</v>
      </c>
      <c r="H9" s="20">
        <f t="shared" si="1"/>
        <v>67849</v>
      </c>
      <c r="I9" s="19">
        <f t="shared" si="2"/>
        <v>0.38087459301672844</v>
      </c>
      <c r="J9" s="39"/>
      <c r="K9" s="39"/>
    </row>
    <row r="10" spans="1:11" ht="15.6">
      <c r="A10" s="44" t="str">
        <v>Sand Road</v>
      </c>
      <c r="B10" s="27" t="str">
        <v>CT</v>
      </c>
      <c r="C10" s="24">
        <v>267257</v>
      </c>
      <c r="D10" s="13">
        <v>262006</v>
      </c>
      <c r="E10" s="13">
        <f t="shared" si="0"/>
        <v>5251</v>
      </c>
      <c r="F10" s="14">
        <f t="shared" si="3"/>
        <v>2.0041525766585497E-2</v>
      </c>
      <c r="G10" s="15">
        <v>179737</v>
      </c>
      <c r="H10" s="15">
        <f t="shared" si="1"/>
        <v>87520</v>
      </c>
      <c r="I10" s="16">
        <f t="shared" si="2"/>
        <v>0.48693368644185669</v>
      </c>
      <c r="J10" s="38"/>
      <c r="K10" s="38"/>
    </row>
    <row r="11" spans="1:11" ht="57.95">
      <c r="A11" s="45" t="str">
        <v>Suffield</v>
      </c>
      <c r="B11" s="29" t="str">
        <v>CT</v>
      </c>
      <c r="C11" s="11">
        <v>246077</v>
      </c>
      <c r="D11" s="18">
        <v>257109</v>
      </c>
      <c r="E11" s="18">
        <f t="shared" si="0"/>
        <v>-11032</v>
      </c>
      <c r="F11" s="19">
        <f t="shared" si="3"/>
        <v>-4.2907871758670446E-2</v>
      </c>
      <c r="G11" s="20">
        <v>223048.4</v>
      </c>
      <c r="H11" s="20">
        <f t="shared" si="1"/>
        <v>23028.600000000006</v>
      </c>
      <c r="I11" s="19">
        <f t="shared" si="2"/>
        <v>0.10324485627334698</v>
      </c>
      <c r="J11" s="39" t="s">
        <v>48</v>
      </c>
      <c r="K11" s="49" t="s">
        <v>49</v>
      </c>
    </row>
    <row r="12" spans="1:11" ht="15.6">
      <c r="A12" s="44" t="str">
        <v>Ashby-Duffy</v>
      </c>
      <c r="B12" s="27" t="str">
        <v>MA</v>
      </c>
      <c r="C12" s="24">
        <v>261552</v>
      </c>
      <c r="D12" s="13">
        <v>374863.5</v>
      </c>
      <c r="E12" s="13">
        <f t="shared" si="0"/>
        <v>-113311.5</v>
      </c>
      <c r="F12" s="14">
        <f t="shared" si="3"/>
        <v>-0.30227402774609957</v>
      </c>
      <c r="G12" s="15">
        <v>210128.9</v>
      </c>
      <c r="H12" s="15">
        <f t="shared" si="1"/>
        <v>51423.100000000006</v>
      </c>
      <c r="I12" s="16">
        <f t="shared" si="2"/>
        <v>0.24472169225651497</v>
      </c>
      <c r="J12" s="38"/>
      <c r="K12" s="38"/>
    </row>
    <row r="13" spans="1:11" ht="29.1">
      <c r="A13" s="45" t="str">
        <v>Ashland</v>
      </c>
      <c r="B13" s="29" t="str">
        <v>MA</v>
      </c>
      <c r="C13" s="11">
        <v>6940.5</v>
      </c>
      <c r="D13" s="18">
        <v>20582.64</v>
      </c>
      <c r="E13" s="18">
        <f t="shared" si="0"/>
        <v>-13642.14</v>
      </c>
      <c r="F13" s="19">
        <f t="shared" si="3"/>
        <v>-0.66279835822809896</v>
      </c>
      <c r="G13" s="20">
        <v>227005.3</v>
      </c>
      <c r="H13" s="20">
        <f t="shared" si="1"/>
        <v>-220064.8</v>
      </c>
      <c r="I13" s="19">
        <f t="shared" si="2"/>
        <v>-0.96942582397855914</v>
      </c>
      <c r="J13" s="39" t="s">
        <v>50</v>
      </c>
      <c r="K13" s="39" t="s">
        <v>51</v>
      </c>
    </row>
    <row r="14" spans="1:11" ht="15.6">
      <c r="A14" s="44" t="str">
        <v>Barrington</v>
      </c>
      <c r="B14" s="27" t="str">
        <v>MA</v>
      </c>
      <c r="C14" s="24">
        <v>57373.5</v>
      </c>
      <c r="D14" s="13">
        <v>51584.33</v>
      </c>
      <c r="E14" s="13">
        <f t="shared" si="0"/>
        <v>5789.1699999999983</v>
      </c>
      <c r="F14" s="14">
        <f t="shared" si="3"/>
        <v>0.11222729848386125</v>
      </c>
      <c r="G14" s="15">
        <v>54460</v>
      </c>
      <c r="H14" s="15">
        <f t="shared" si="1"/>
        <v>2913.5</v>
      </c>
      <c r="I14" s="16">
        <f t="shared" si="2"/>
        <v>5.3497980168931328E-2</v>
      </c>
      <c r="J14" s="38"/>
      <c r="K14" s="38"/>
    </row>
    <row r="15" spans="1:11" ht="15.6">
      <c r="A15" s="45" t="str">
        <v>Bedford - 205 Burlington Rd</v>
      </c>
      <c r="B15" s="29" t="str">
        <v>MA</v>
      </c>
      <c r="C15" s="11">
        <v>27156</v>
      </c>
      <c r="D15" s="18">
        <v>0</v>
      </c>
      <c r="E15" s="18">
        <f t="shared" si="0"/>
        <v>27156</v>
      </c>
      <c r="F15" s="19" t="str">
        <f t="shared" si="3"/>
        <v/>
      </c>
      <c r="G15" s="20">
        <v>0</v>
      </c>
      <c r="H15" s="20">
        <f t="shared" si="1"/>
        <v>27156</v>
      </c>
      <c r="I15" s="19" t="str">
        <f t="shared" si="2"/>
        <v/>
      </c>
      <c r="J15" s="39"/>
      <c r="K15" s="39"/>
    </row>
    <row r="16" spans="1:11" ht="15.6">
      <c r="A16" s="44" t="str">
        <v>Billerica - 6 Cook Street</v>
      </c>
      <c r="B16" s="27" t="str">
        <v>MA</v>
      </c>
      <c r="C16" s="24">
        <v>23191</v>
      </c>
      <c r="D16" s="13">
        <v>0</v>
      </c>
      <c r="E16" s="13">
        <f t="shared" si="0"/>
        <v>23191</v>
      </c>
      <c r="F16" s="14" t="str">
        <f t="shared" si="3"/>
        <v/>
      </c>
      <c r="G16" s="15">
        <v>0</v>
      </c>
      <c r="H16" s="15">
        <f t="shared" si="1"/>
        <v>23191</v>
      </c>
      <c r="I16" s="16" t="str">
        <f t="shared" si="2"/>
        <v/>
      </c>
      <c r="J16" s="38"/>
      <c r="K16" s="38"/>
    </row>
    <row r="17" spans="1:11" ht="15.6">
      <c r="A17" s="45" t="str">
        <v>Billerica - 780 Boston Road</v>
      </c>
      <c r="B17" s="29" t="str">
        <v>MA</v>
      </c>
      <c r="C17" s="11">
        <v>25917</v>
      </c>
      <c r="D17" s="18">
        <v>0</v>
      </c>
      <c r="E17" s="18">
        <f t="shared" si="0"/>
        <v>25917</v>
      </c>
      <c r="F17" s="19" t="str">
        <f t="shared" si="3"/>
        <v/>
      </c>
      <c r="G17" s="20">
        <v>0</v>
      </c>
      <c r="H17" s="20">
        <f t="shared" si="1"/>
        <v>25917</v>
      </c>
      <c r="I17" s="19" t="str">
        <f t="shared" si="2"/>
        <v/>
      </c>
      <c r="J17" s="39" t="s">
        <v>52</v>
      </c>
      <c r="K17" s="39" t="s">
        <v>53</v>
      </c>
    </row>
    <row r="18" spans="1:11" ht="12.75" customHeight="1">
      <c r="A18" s="44" t="str">
        <v>Cheshire</v>
      </c>
      <c r="B18" s="27" t="str">
        <v>MA</v>
      </c>
      <c r="C18" s="24">
        <v>59648.75</v>
      </c>
      <c r="D18" s="13">
        <v>63568.84</v>
      </c>
      <c r="E18" s="13">
        <f t="shared" si="0"/>
        <v>-3920.0899999999965</v>
      </c>
      <c r="F18" s="14">
        <f t="shared" si="3"/>
        <v>-6.1666848097275281E-2</v>
      </c>
      <c r="G18" s="15">
        <v>34278.74</v>
      </c>
      <c r="H18" s="15">
        <f t="shared" si="1"/>
        <v>25370.010000000002</v>
      </c>
      <c r="I18" s="16">
        <f t="shared" si="2"/>
        <v>0.74010917554145816</v>
      </c>
      <c r="J18" s="38"/>
      <c r="K18" s="38"/>
    </row>
    <row r="19" spans="1:11" ht="43.5">
      <c r="A19" s="45" t="str">
        <v>Lilly Lane</v>
      </c>
      <c r="B19" s="29" t="str">
        <v>MA</v>
      </c>
      <c r="C19" s="11">
        <v>106235.5</v>
      </c>
      <c r="D19" s="18">
        <v>114676.2</v>
      </c>
      <c r="E19" s="18">
        <f t="shared" si="0"/>
        <v>-8440.6999999999971</v>
      </c>
      <c r="F19" s="19">
        <f t="shared" si="3"/>
        <v>-7.3604636358721318E-2</v>
      </c>
      <c r="G19" s="20">
        <v>134093</v>
      </c>
      <c r="H19" s="20">
        <f t="shared" si="1"/>
        <v>-27857.5</v>
      </c>
      <c r="I19" s="19">
        <f t="shared" si="2"/>
        <v>-0.20774760800340061</v>
      </c>
      <c r="J19" s="39" t="s">
        <v>54</v>
      </c>
      <c r="K19" s="39" t="s">
        <v>55</v>
      </c>
    </row>
    <row r="20" spans="1:11" ht="15.6">
      <c r="A20" s="44" t="str">
        <v>Monument Valley</v>
      </c>
      <c r="B20" s="27" t="str">
        <v>MA</v>
      </c>
      <c r="C20" s="24">
        <v>256982.68</v>
      </c>
      <c r="D20" s="13">
        <v>60936.71</v>
      </c>
      <c r="E20" s="13">
        <f t="shared" si="0"/>
        <v>196045.97</v>
      </c>
      <c r="F20" s="14">
        <f t="shared" si="3"/>
        <v>3.2172063440904508</v>
      </c>
      <c r="G20" s="15">
        <v>0</v>
      </c>
      <c r="H20" s="15">
        <f t="shared" si="1"/>
        <v>256982.68</v>
      </c>
      <c r="I20" s="16" t="str">
        <f t="shared" si="2"/>
        <v/>
      </c>
      <c r="J20" s="38"/>
      <c r="K20" s="38"/>
    </row>
    <row r="21" spans="1:11" ht="15.6">
      <c r="A21" s="45" t="str">
        <v>Nationwide</v>
      </c>
      <c r="B21" s="29" t="str">
        <v>MA</v>
      </c>
      <c r="C21" s="11">
        <v>335697.5</v>
      </c>
      <c r="D21" s="18">
        <v>411623.2</v>
      </c>
      <c r="E21" s="18">
        <f t="shared" si="0"/>
        <v>-75925.700000000012</v>
      </c>
      <c r="F21" s="19">
        <f t="shared" si="3"/>
        <v>-0.18445437477770935</v>
      </c>
      <c r="G21" s="20">
        <v>341058.3</v>
      </c>
      <c r="H21" s="20">
        <f t="shared" si="1"/>
        <v>-5360.7999999999884</v>
      </c>
      <c r="I21" s="19">
        <f t="shared" si="2"/>
        <v>-1.5718133820522732E-2</v>
      </c>
      <c r="J21" s="39"/>
      <c r="K21" s="39"/>
    </row>
    <row r="22" spans="1:11" ht="15.6">
      <c r="A22" s="44" t="str">
        <v>Pulpit Hill</v>
      </c>
      <c r="B22" s="27" t="str">
        <v>MA</v>
      </c>
      <c r="C22" s="24">
        <v>599611.19999999995</v>
      </c>
      <c r="D22" s="13">
        <v>582439.6</v>
      </c>
      <c r="E22" s="13">
        <f t="shared" si="0"/>
        <v>17171.599999999977</v>
      </c>
      <c r="F22" s="14">
        <f t="shared" si="3"/>
        <v>2.9482198669183855E-2</v>
      </c>
      <c r="G22" s="15">
        <v>492197.3</v>
      </c>
      <c r="H22" s="15">
        <f t="shared" si="1"/>
        <v>107413.89999999997</v>
      </c>
      <c r="I22" s="16">
        <f t="shared" si="2"/>
        <v>0.21823341980949504</v>
      </c>
      <c r="J22" s="38"/>
      <c r="K22" s="38"/>
    </row>
    <row r="23" spans="1:11" ht="29.1">
      <c r="A23" s="45" t="str">
        <v>Sandwich</v>
      </c>
      <c r="B23" s="29" t="str">
        <v>MA</v>
      </c>
      <c r="C23" s="11">
        <v>388044</v>
      </c>
      <c r="D23" s="18">
        <v>0</v>
      </c>
      <c r="E23" s="18">
        <f t="shared" si="0"/>
        <v>388044</v>
      </c>
      <c r="F23" s="19" t="str">
        <f t="shared" si="3"/>
        <v/>
      </c>
      <c r="G23" s="20">
        <v>0</v>
      </c>
      <c r="H23" s="20">
        <f t="shared" si="1"/>
        <v>388044</v>
      </c>
      <c r="I23" s="19" t="str">
        <f t="shared" si="2"/>
        <v/>
      </c>
      <c r="J23" s="39" t="s">
        <v>56</v>
      </c>
      <c r="K23" s="39" t="s">
        <v>57</v>
      </c>
    </row>
    <row r="24" spans="1:11" ht="15.6">
      <c r="A24" s="44" t="str">
        <v>Sturbridge Barn</v>
      </c>
      <c r="B24" s="27" t="str">
        <v>MA</v>
      </c>
      <c r="C24" s="24">
        <v>109399</v>
      </c>
      <c r="D24" s="13">
        <v>145433.5</v>
      </c>
      <c r="E24" s="13">
        <f t="shared" si="0"/>
        <v>-36034.5</v>
      </c>
      <c r="F24" s="14">
        <f t="shared" si="3"/>
        <v>-0.24777303716131427</v>
      </c>
      <c r="G24" s="15">
        <v>134159</v>
      </c>
      <c r="H24" s="15">
        <f t="shared" si="1"/>
        <v>-24760</v>
      </c>
      <c r="I24" s="16">
        <f t="shared" si="2"/>
        <v>-0.1845571299726444</v>
      </c>
      <c r="J24" s="38" t="s">
        <v>58</v>
      </c>
      <c r="K24" s="38" t="s">
        <v>59</v>
      </c>
    </row>
    <row r="25" spans="1:11" ht="15.6">
      <c r="A25" s="45" t="str">
        <v>Sturbridge Garage</v>
      </c>
      <c r="B25" s="29" t="str">
        <v>MA</v>
      </c>
      <c r="C25" s="11">
        <v>54338.25</v>
      </c>
      <c r="D25" s="18">
        <v>70059.81</v>
      </c>
      <c r="E25" s="18">
        <f t="shared" si="0"/>
        <v>-15721.559999999998</v>
      </c>
      <c r="F25" s="19">
        <f t="shared" si="3"/>
        <v>-0.22440197882352234</v>
      </c>
      <c r="G25" s="20">
        <v>66239.009999999995</v>
      </c>
      <c r="H25" s="20">
        <f t="shared" si="1"/>
        <v>-11900.759999999995</v>
      </c>
      <c r="I25" s="19">
        <f t="shared" si="2"/>
        <v>-0.17966391707847076</v>
      </c>
      <c r="J25" s="39" t="s">
        <v>58</v>
      </c>
      <c r="K25" s="39" t="s">
        <v>60</v>
      </c>
    </row>
    <row r="26" spans="1:11" ht="15.6">
      <c r="A26" s="44" t="str">
        <v>Halsey Valley</v>
      </c>
      <c r="B26" s="27" t="str">
        <v>NY</v>
      </c>
      <c r="C26" s="24">
        <v>605139</v>
      </c>
      <c r="D26" s="13">
        <v>647510</v>
      </c>
      <c r="E26" s="13">
        <f t="shared" si="0"/>
        <v>-42371</v>
      </c>
      <c r="F26" s="14">
        <f t="shared" si="3"/>
        <v>-6.5436827230467481E-2</v>
      </c>
      <c r="G26" s="15">
        <v>528000</v>
      </c>
      <c r="H26" s="15">
        <f t="shared" si="1"/>
        <v>77139</v>
      </c>
      <c r="I26" s="16">
        <f t="shared" si="2"/>
        <v>0.14609659090909091</v>
      </c>
      <c r="J26" s="38"/>
      <c r="K26" s="38"/>
    </row>
    <row r="27" spans="1:11" ht="91.5" customHeight="1">
      <c r="A27" s="45" t="str">
        <v>Hunt Creek</v>
      </c>
      <c r="B27" s="29" t="str">
        <v>NY</v>
      </c>
      <c r="C27" s="11">
        <v>375246.5</v>
      </c>
      <c r="D27" s="18">
        <v>461895.2</v>
      </c>
      <c r="E27" s="18">
        <f t="shared" si="0"/>
        <v>-86648.700000000012</v>
      </c>
      <c r="F27" s="19">
        <f t="shared" si="3"/>
        <v>-0.18759385245830659</v>
      </c>
      <c r="G27" s="20">
        <v>340300</v>
      </c>
      <c r="H27" s="20">
        <f t="shared" si="1"/>
        <v>34946.5</v>
      </c>
      <c r="I27" s="19">
        <f t="shared" si="2"/>
        <v>0.10269321187187776</v>
      </c>
      <c r="J27" s="48" t="s">
        <v>61</v>
      </c>
      <c r="K27" s="48" t="s">
        <v>62</v>
      </c>
    </row>
    <row r="28" spans="1:11" ht="66" customHeight="1">
      <c r="A28" s="44" t="str">
        <v>Smith Creek</v>
      </c>
      <c r="B28" s="27" t="str">
        <v>NY</v>
      </c>
      <c r="C28" s="24">
        <v>465834</v>
      </c>
      <c r="D28" s="13">
        <v>508786.1</v>
      </c>
      <c r="E28" s="13">
        <f t="shared" si="0"/>
        <v>-42952.099999999977</v>
      </c>
      <c r="F28" s="14">
        <f t="shared" si="3"/>
        <v>-8.4420741840234986E-2</v>
      </c>
      <c r="G28" s="15">
        <v>475132.8</v>
      </c>
      <c r="H28" s="15">
        <f t="shared" si="1"/>
        <v>-9298.7999999999884</v>
      </c>
      <c r="I28" s="16">
        <f t="shared" si="2"/>
        <v>-1.9570949427191699E-2</v>
      </c>
      <c r="J28" s="38" t="s">
        <v>63</v>
      </c>
      <c r="K28" s="38" t="s">
        <v>64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 F4:F103 I4:I103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5"/>
  <sheetViews>
    <sheetView workbookViewId="0">
      <pane xSplit="2" ySplit="3" topLeftCell="C9" activePane="bottomRight" state="frozen"/>
      <selection pane="bottomRight" activeCell="F21" sqref="F21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6924224.3642211054</v>
      </c>
      <c r="D2" s="5">
        <f>SUM(D4:D103)</f>
        <v>5987399.7100000009</v>
      </c>
      <c r="E2" s="5">
        <f>C2-D2</f>
        <v>936824.65422110446</v>
      </c>
      <c r="F2" s="6">
        <f>IFERROR(E2/D2, 0)</f>
        <v>0.15646602859275355</v>
      </c>
      <c r="G2" s="5">
        <f>SUM(G4:G103)</f>
        <v>5689642.25</v>
      </c>
      <c r="H2" s="7">
        <f>C2-G2</f>
        <v>1234582.1142211054</v>
      </c>
      <c r="I2" s="6">
        <f>IFERROR(H2/G2, 0)</f>
        <v>0.21698765229415001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152494</v>
      </c>
      <c r="D4" s="13">
        <v>154845</v>
      </c>
      <c r="E4" s="13">
        <f>IF(AND(ISNUMBER(C4),ISNUMBER(D4)), C4-D4, "")</f>
        <v>-2351</v>
      </c>
      <c r="F4" s="14">
        <f>IFERROR(E4/D4, "")</f>
        <v>-1.5182924860344215E-2</v>
      </c>
      <c r="G4" s="15">
        <v>164313.1</v>
      </c>
      <c r="H4" s="15">
        <f>IF(AND(ISNUMBER(C4),ISNUMBER(G4)), C4-G4, "")</f>
        <v>-11819.100000000006</v>
      </c>
      <c r="I4" s="16">
        <f>IFERROR(H4/G4, "")</f>
        <v>-7.1930357348257715E-2</v>
      </c>
      <c r="J4" s="38"/>
      <c r="K4" s="38"/>
    </row>
    <row r="5" spans="1:11" ht="29.1">
      <c r="A5" s="28" t="str">
        <v>Bunce</v>
      </c>
      <c r="B5" s="29" t="str">
        <v>CT</v>
      </c>
      <c r="C5" s="11">
        <v>248755.25</v>
      </c>
      <c r="D5" s="18">
        <v>244214.5</v>
      </c>
      <c r="E5" s="18">
        <f t="shared" ref="E5:E28" si="0">IF(AND(ISNUMBER(C5),ISNUMBER(D5)), C5-D5, "")</f>
        <v>4540.75</v>
      </c>
      <c r="F5" s="19">
        <f>IFERROR(E5/D5, "")</f>
        <v>1.8593285820457016E-2</v>
      </c>
      <c r="G5" s="20">
        <v>0</v>
      </c>
      <c r="H5" s="20">
        <f t="shared" ref="H5:H28" si="1">IF(AND(ISNUMBER(C5),ISNUMBER(G5)), C5-G5, "")</f>
        <v>248755.25</v>
      </c>
      <c r="I5" s="19" t="str">
        <f t="shared" ref="I5:I28" si="2">IFERROR(H5/G5, "")</f>
        <v/>
      </c>
      <c r="J5" s="49" t="s">
        <v>65</v>
      </c>
      <c r="K5" s="49" t="s">
        <v>66</v>
      </c>
    </row>
    <row r="6" spans="1:11" ht="29.1">
      <c r="A6" s="30" t="str">
        <v>Norcap North</v>
      </c>
      <c r="B6" s="27" t="str">
        <v>CT</v>
      </c>
      <c r="C6" s="24">
        <v>296983.5</v>
      </c>
      <c r="D6" s="13">
        <v>312371.20000000001</v>
      </c>
      <c r="E6" s="13">
        <f t="shared" si="0"/>
        <v>-15387.700000000012</v>
      </c>
      <c r="F6" s="14">
        <f t="shared" ref="F6:F28" si="3">IFERROR(E6/D6, "")</f>
        <v>-4.9260943390427837E-2</v>
      </c>
      <c r="G6" s="15">
        <v>306960.8</v>
      </c>
      <c r="H6" s="15">
        <f t="shared" si="1"/>
        <v>-9977.2999999999884</v>
      </c>
      <c r="I6" s="16">
        <f t="shared" si="2"/>
        <v>-3.2503498818090087E-2</v>
      </c>
      <c r="J6" s="38" t="s">
        <v>67</v>
      </c>
      <c r="K6" s="38" t="s">
        <v>68</v>
      </c>
    </row>
    <row r="7" spans="1:11" ht="15.6">
      <c r="A7" s="28" t="str">
        <v>Norcap South</v>
      </c>
      <c r="B7" s="29" t="str">
        <v>CT</v>
      </c>
      <c r="C7" s="11">
        <v>302199</v>
      </c>
      <c r="D7" s="18">
        <v>335497.09999999998</v>
      </c>
      <c r="E7" s="18">
        <f t="shared" si="0"/>
        <v>-33298.099999999977</v>
      </c>
      <c r="F7" s="19">
        <f t="shared" si="3"/>
        <v>-9.9250038226857934E-2</v>
      </c>
      <c r="G7" s="20">
        <v>300176.09999999998</v>
      </c>
      <c r="H7" s="20">
        <f t="shared" si="1"/>
        <v>2022.9000000000233</v>
      </c>
      <c r="I7" s="19">
        <f t="shared" si="2"/>
        <v>6.7390441810657922E-3</v>
      </c>
      <c r="J7" s="39" t="s">
        <v>69</v>
      </c>
      <c r="K7" s="39" t="s">
        <v>70</v>
      </c>
    </row>
    <row r="8" spans="1:11" ht="15.6">
      <c r="A8" s="30" t="str">
        <v>Platt Hill</v>
      </c>
      <c r="B8" s="27" t="str">
        <v>CT</v>
      </c>
      <c r="C8" s="24">
        <v>318316.34422110597</v>
      </c>
      <c r="D8" s="13">
        <v>321298.8</v>
      </c>
      <c r="E8" s="13">
        <f t="shared" si="0"/>
        <v>-2982.4557788940147</v>
      </c>
      <c r="F8" s="14">
        <f t="shared" si="3"/>
        <v>-9.2824989663640653E-3</v>
      </c>
      <c r="G8" s="15">
        <v>353986.1</v>
      </c>
      <c r="H8" s="15">
        <f t="shared" si="1"/>
        <v>-35669.755778894003</v>
      </c>
      <c r="I8" s="16">
        <f t="shared" si="2"/>
        <v>-0.1007659786045102</v>
      </c>
      <c r="J8" s="38"/>
      <c r="K8" s="38"/>
    </row>
    <row r="9" spans="1:11" ht="15.6">
      <c r="A9" s="28" t="str">
        <v>Powder Hill</v>
      </c>
      <c r="B9" s="29" t="str">
        <v>CT</v>
      </c>
      <c r="C9" s="11">
        <v>291430</v>
      </c>
      <c r="D9" s="18">
        <v>294562.7</v>
      </c>
      <c r="E9" s="18">
        <f t="shared" si="0"/>
        <v>-3132.7000000000116</v>
      </c>
      <c r="F9" s="19">
        <f t="shared" si="3"/>
        <v>-1.063508719875263E-2</v>
      </c>
      <c r="G9" s="20">
        <v>233148</v>
      </c>
      <c r="H9" s="20">
        <f t="shared" si="1"/>
        <v>58282</v>
      </c>
      <c r="I9" s="19">
        <f t="shared" si="2"/>
        <v>0.24997855439463346</v>
      </c>
      <c r="J9" s="39"/>
      <c r="K9" s="39"/>
    </row>
    <row r="10" spans="1:11" ht="15.6">
      <c r="A10" s="30" t="str">
        <v>Sand Road</v>
      </c>
      <c r="B10" s="27" t="str">
        <v>CT</v>
      </c>
      <c r="C10" s="24">
        <v>294103.5</v>
      </c>
      <c r="D10" s="13">
        <v>274033.7</v>
      </c>
      <c r="E10" s="13">
        <f t="shared" si="0"/>
        <v>20069.799999999988</v>
      </c>
      <c r="F10" s="14">
        <f t="shared" si="3"/>
        <v>7.3238437462253683E-2</v>
      </c>
      <c r="G10" s="15">
        <v>277950</v>
      </c>
      <c r="H10" s="15">
        <f t="shared" si="1"/>
        <v>16153.5</v>
      </c>
      <c r="I10" s="16">
        <f>IFERROR(H10/G10, "")</f>
        <v>5.8116567728008633E-2</v>
      </c>
      <c r="J10" s="38"/>
      <c r="K10" s="38"/>
    </row>
    <row r="11" spans="1:11" ht="15.6">
      <c r="A11" s="28" t="str">
        <v>Suffield</v>
      </c>
      <c r="B11" s="29" t="str">
        <v>CT</v>
      </c>
      <c r="C11" s="11">
        <v>312752</v>
      </c>
      <c r="D11" s="18">
        <v>296756.8</v>
      </c>
      <c r="E11" s="18">
        <f t="shared" si="0"/>
        <v>15995.200000000012</v>
      </c>
      <c r="F11" s="19">
        <f t="shared" si="3"/>
        <v>5.3900028575587865E-2</v>
      </c>
      <c r="G11" s="20">
        <v>317507.7</v>
      </c>
      <c r="H11" s="20">
        <f t="shared" si="1"/>
        <v>-4755.7000000000116</v>
      </c>
      <c r="I11" s="19">
        <f t="shared" si="2"/>
        <v>-1.497821942585963E-2</v>
      </c>
      <c r="J11" s="39"/>
      <c r="K11" s="39"/>
    </row>
    <row r="12" spans="1:11" ht="29.1">
      <c r="A12" s="30" t="str">
        <v>Ashby-Duffy</v>
      </c>
      <c r="B12" s="27" t="str">
        <v>MA</v>
      </c>
      <c r="C12" s="24">
        <v>277622</v>
      </c>
      <c r="D12" s="13">
        <v>407337.7</v>
      </c>
      <c r="E12" s="13">
        <f t="shared" si="0"/>
        <v>-129715.70000000001</v>
      </c>
      <c r="F12" s="14">
        <f t="shared" si="3"/>
        <v>-0.31844756819710035</v>
      </c>
      <c r="G12" s="15">
        <v>283256.09999999998</v>
      </c>
      <c r="H12" s="15">
        <f t="shared" si="1"/>
        <v>-5634.0999999999767</v>
      </c>
      <c r="I12" s="16">
        <f t="shared" si="2"/>
        <v>-1.9890480734571919E-2</v>
      </c>
      <c r="J12" s="38" t="s">
        <v>71</v>
      </c>
      <c r="K12" s="38" t="s">
        <v>72</v>
      </c>
    </row>
    <row r="13" spans="1:11" ht="15.6">
      <c r="A13" s="28" t="str">
        <v>Ashland</v>
      </c>
      <c r="B13" s="29" t="str">
        <v>MA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39" t="s">
        <v>73</v>
      </c>
      <c r="K13" s="39" t="s">
        <v>74</v>
      </c>
    </row>
    <row r="14" spans="1:11" ht="15.6">
      <c r="A14" s="30" t="str">
        <v>Barrington</v>
      </c>
      <c r="B14" s="27" t="str">
        <v>MA</v>
      </c>
      <c r="C14" s="24">
        <v>60464.5</v>
      </c>
      <c r="D14" s="13">
        <v>57130.36</v>
      </c>
      <c r="E14" s="13">
        <f t="shared" si="0"/>
        <v>3334.1399999999994</v>
      </c>
      <c r="F14" s="14">
        <f t="shared" si="3"/>
        <v>5.8360213378665905E-2</v>
      </c>
      <c r="G14" s="15">
        <v>68910</v>
      </c>
      <c r="H14" s="15">
        <f t="shared" si="1"/>
        <v>-8445.5</v>
      </c>
      <c r="I14" s="16">
        <f t="shared" si="2"/>
        <v>-0.12255840951966333</v>
      </c>
      <c r="J14" s="38"/>
      <c r="K14" s="38"/>
    </row>
    <row r="15" spans="1:11" ht="15.6">
      <c r="A15" s="28" t="str">
        <v>Bedford - 205 Burlington Rd</v>
      </c>
      <c r="B15" s="29" t="str">
        <v>MA</v>
      </c>
      <c r="C15" s="11">
        <v>33585</v>
      </c>
      <c r="D15" s="18">
        <v>0</v>
      </c>
      <c r="E15" s="18">
        <f t="shared" si="0"/>
        <v>33585</v>
      </c>
      <c r="F15" s="19" t="str">
        <f t="shared" si="3"/>
        <v/>
      </c>
      <c r="G15" s="20">
        <v>0</v>
      </c>
      <c r="H15" s="20">
        <f t="shared" si="1"/>
        <v>33585</v>
      </c>
      <c r="I15" s="19" t="str">
        <f t="shared" si="2"/>
        <v/>
      </c>
      <c r="J15" s="39"/>
      <c r="K15" s="39"/>
    </row>
    <row r="16" spans="1:11" ht="15.6">
      <c r="A16" s="30" t="str">
        <v>Billerica - 6 Cook Street</v>
      </c>
      <c r="B16" s="27" t="str">
        <v>MA</v>
      </c>
      <c r="C16" s="24">
        <v>29904</v>
      </c>
      <c r="D16" s="13">
        <v>0</v>
      </c>
      <c r="E16" s="13">
        <f t="shared" si="0"/>
        <v>29904</v>
      </c>
      <c r="F16" s="14" t="str">
        <f t="shared" si="3"/>
        <v/>
      </c>
      <c r="G16" s="15">
        <v>0</v>
      </c>
      <c r="H16" s="15">
        <f t="shared" si="1"/>
        <v>29904</v>
      </c>
      <c r="I16" s="16" t="str">
        <f t="shared" si="2"/>
        <v/>
      </c>
      <c r="J16" s="38"/>
      <c r="K16" s="38"/>
    </row>
    <row r="17" spans="1:11" ht="15.6">
      <c r="A17" s="28" t="str">
        <v>Billerica - 780 Boston Road</v>
      </c>
      <c r="B17" s="29" t="str">
        <v>MA</v>
      </c>
      <c r="C17" s="11">
        <v>33211</v>
      </c>
      <c r="D17" s="18">
        <v>0</v>
      </c>
      <c r="E17" s="18">
        <f t="shared" si="0"/>
        <v>33211</v>
      </c>
      <c r="F17" s="19" t="str">
        <f t="shared" si="3"/>
        <v/>
      </c>
      <c r="G17" s="20">
        <v>0</v>
      </c>
      <c r="H17" s="20">
        <f t="shared" si="1"/>
        <v>33211</v>
      </c>
      <c r="I17" s="19" t="str">
        <f t="shared" si="2"/>
        <v/>
      </c>
      <c r="J17" s="39" t="s">
        <v>75</v>
      </c>
      <c r="K17" s="39" t="s">
        <v>76</v>
      </c>
    </row>
    <row r="18" spans="1:11" ht="15.6">
      <c r="A18" s="30" t="str">
        <v>Cheshire</v>
      </c>
      <c r="B18" s="27" t="str">
        <v>MA</v>
      </c>
      <c r="C18" s="24">
        <v>61338.75</v>
      </c>
      <c r="D18" s="13">
        <v>65677.320000000007</v>
      </c>
      <c r="E18" s="13">
        <f t="shared" si="0"/>
        <v>-4338.570000000007</v>
      </c>
      <c r="F18" s="14">
        <f t="shared" si="3"/>
        <v>-6.6058876945648923E-2</v>
      </c>
      <c r="G18" s="15">
        <v>47756.72</v>
      </c>
      <c r="H18" s="15">
        <f t="shared" si="1"/>
        <v>13582.029999999999</v>
      </c>
      <c r="I18" s="16">
        <f t="shared" si="2"/>
        <v>0.28440039433193903</v>
      </c>
      <c r="J18" s="38"/>
      <c r="K18" s="38"/>
    </row>
    <row r="19" spans="1:11" ht="15.6">
      <c r="A19" s="28" t="str">
        <v>Lilly Lane</v>
      </c>
      <c r="B19" s="29" t="str">
        <v>MA</v>
      </c>
      <c r="C19" s="11">
        <v>149763.5</v>
      </c>
      <c r="D19" s="18">
        <v>143508.20000000001</v>
      </c>
      <c r="E19" s="18">
        <f t="shared" si="0"/>
        <v>6255.2999999999884</v>
      </c>
      <c r="F19" s="19">
        <f t="shared" si="3"/>
        <v>4.3588449997979124E-2</v>
      </c>
      <c r="G19">
        <v>160456.79999999999</v>
      </c>
      <c r="H19" s="20">
        <f t="shared" si="1"/>
        <v>-10693.299999999988</v>
      </c>
      <c r="I19" s="19">
        <f t="shared" si="2"/>
        <v>-6.664285963573989E-2</v>
      </c>
      <c r="J19" s="39"/>
      <c r="K19" s="39"/>
    </row>
    <row r="20" spans="1:11" ht="15.6">
      <c r="A20" s="30" t="str">
        <v>Monument Valley</v>
      </c>
      <c r="B20" s="27" t="str">
        <v>MA</v>
      </c>
      <c r="C20" s="24">
        <v>272097.32</v>
      </c>
      <c r="D20" s="13">
        <v>58919.47</v>
      </c>
      <c r="E20" s="13">
        <f t="shared" si="0"/>
        <v>213177.85</v>
      </c>
      <c r="F20" s="14">
        <f t="shared" si="3"/>
        <v>3.6181223286631736</v>
      </c>
      <c r="G20" s="15">
        <v>0</v>
      </c>
      <c r="H20" s="15">
        <f t="shared" si="1"/>
        <v>272097.32</v>
      </c>
      <c r="I20" s="16" t="str">
        <f t="shared" si="2"/>
        <v/>
      </c>
      <c r="J20" s="38"/>
      <c r="K20" s="38"/>
    </row>
    <row r="21" spans="1:11" ht="15.6">
      <c r="A21" s="28" t="str">
        <v>Nationwide</v>
      </c>
      <c r="B21" s="29" t="str">
        <v>MA</v>
      </c>
      <c r="C21" s="11">
        <v>518663</v>
      </c>
      <c r="D21" s="18">
        <v>446560.9</v>
      </c>
      <c r="E21" s="18">
        <f t="shared" si="0"/>
        <v>72102.099999999977</v>
      </c>
      <c r="F21" s="19">
        <f t="shared" si="3"/>
        <v>0.16146084442233966</v>
      </c>
      <c r="G21" s="20">
        <v>457743.1</v>
      </c>
      <c r="H21" s="20">
        <f t="shared" si="1"/>
        <v>60919.900000000023</v>
      </c>
      <c r="I21" s="19">
        <f t="shared" si="2"/>
        <v>0.1330875331599756</v>
      </c>
      <c r="J21" s="39"/>
      <c r="K21" s="39"/>
    </row>
    <row r="22" spans="1:11" ht="15.6">
      <c r="A22" s="30" t="str">
        <v>Pulpit Hill</v>
      </c>
      <c r="B22" s="27" t="str">
        <v>MA</v>
      </c>
      <c r="C22" s="24">
        <v>668947.19999999995</v>
      </c>
      <c r="D22" s="13">
        <v>639454.69999999995</v>
      </c>
      <c r="E22" s="13">
        <f t="shared" si="0"/>
        <v>29492.5</v>
      </c>
      <c r="F22" s="14">
        <f t="shared" si="3"/>
        <v>4.6121328062801011E-2</v>
      </c>
      <c r="G22" s="15">
        <v>663928.1</v>
      </c>
      <c r="H22" s="15">
        <f t="shared" si="1"/>
        <v>5019.0999999999767</v>
      </c>
      <c r="I22" s="16">
        <f t="shared" si="2"/>
        <v>7.5597041306129037E-3</v>
      </c>
      <c r="J22" s="38" t="s">
        <v>77</v>
      </c>
      <c r="K22" s="38" t="s">
        <v>78</v>
      </c>
    </row>
    <row r="23" spans="1:11" ht="15.6">
      <c r="A23" s="28" t="str">
        <v>Sandwich</v>
      </c>
      <c r="B23" s="29" t="str">
        <v>MA</v>
      </c>
      <c r="C23">
        <v>758711</v>
      </c>
      <c r="D23" s="18">
        <v>0</v>
      </c>
      <c r="E23" s="18">
        <f t="shared" si="0"/>
        <v>758711</v>
      </c>
      <c r="F23" s="19" t="str">
        <f t="shared" si="3"/>
        <v/>
      </c>
      <c r="G23" s="20">
        <v>0</v>
      </c>
      <c r="H23" s="20">
        <f t="shared" si="1"/>
        <v>758711</v>
      </c>
      <c r="I23" s="19" t="str">
        <f t="shared" si="2"/>
        <v/>
      </c>
      <c r="J23" s="39"/>
      <c r="K23" s="39"/>
    </row>
    <row r="24" spans="1:11" ht="15.6">
      <c r="A24" s="30" t="str">
        <v>Sturbridge Barn</v>
      </c>
      <c r="B24" s="27" t="str">
        <v>MA</v>
      </c>
      <c r="C24" s="24">
        <v>150108</v>
      </c>
      <c r="D24" s="13">
        <v>150140.70000000001</v>
      </c>
      <c r="E24" s="13">
        <f t="shared" si="0"/>
        <v>-32.700000000011642</v>
      </c>
      <c r="F24" s="14">
        <f t="shared" si="3"/>
        <v>-2.1779570762632411E-4</v>
      </c>
      <c r="G24" s="15">
        <v>173208.5</v>
      </c>
      <c r="H24" s="15">
        <f t="shared" si="1"/>
        <v>-23100.5</v>
      </c>
      <c r="I24" s="16">
        <f t="shared" si="2"/>
        <v>-0.13336816611194025</v>
      </c>
      <c r="J24" s="38"/>
      <c r="K24" s="38"/>
    </row>
    <row r="25" spans="1:11" ht="15.6">
      <c r="A25" s="28" t="str">
        <v>Sturbridge Garage</v>
      </c>
      <c r="B25" s="29" t="str">
        <v>MA</v>
      </c>
      <c r="C25" s="11">
        <v>73876.5</v>
      </c>
      <c r="D25" s="18">
        <v>72782.36</v>
      </c>
      <c r="E25" s="18">
        <f t="shared" si="0"/>
        <v>1094.1399999999994</v>
      </c>
      <c r="F25" s="19">
        <f t="shared" si="3"/>
        <v>1.5033038225196317E-2</v>
      </c>
      <c r="G25" s="20">
        <v>79262.23</v>
      </c>
      <c r="H25" s="20">
        <f t="shared" si="1"/>
        <v>-5385.7299999999959</v>
      </c>
      <c r="I25" s="19">
        <f t="shared" si="2"/>
        <v>-6.7948252276020957E-2</v>
      </c>
      <c r="J25" s="39"/>
      <c r="K25" s="39"/>
    </row>
    <row r="26" spans="1:11" ht="15.6">
      <c r="A26" s="30" t="str">
        <v>Halsey Valley</v>
      </c>
      <c r="B26" s="27" t="str">
        <v>NY</v>
      </c>
      <c r="C26" s="24">
        <v>664052</v>
      </c>
      <c r="D26" s="13">
        <v>687350.9</v>
      </c>
      <c r="E26" s="13">
        <f t="shared" si="0"/>
        <v>-23298.900000000023</v>
      </c>
      <c r="F26" s="14">
        <f t="shared" si="3"/>
        <v>-3.389666035208512E-2</v>
      </c>
      <c r="G26" s="15">
        <v>697000</v>
      </c>
      <c r="H26" s="15">
        <f t="shared" si="1"/>
        <v>-32948</v>
      </c>
      <c r="I26" s="16">
        <f t="shared" si="2"/>
        <v>-4.7271162123385939E-2</v>
      </c>
      <c r="J26" s="38" t="s">
        <v>79</v>
      </c>
      <c r="K26" s="38" t="s">
        <v>80</v>
      </c>
    </row>
    <row r="27" spans="1:11" ht="72.599999999999994">
      <c r="A27" s="28" t="str">
        <v>Hunt Creek</v>
      </c>
      <c r="B27" s="29" t="str">
        <v>NY</v>
      </c>
      <c r="C27" s="11">
        <v>464245</v>
      </c>
      <c r="D27" s="18">
        <v>492251.1</v>
      </c>
      <c r="E27" s="18">
        <f t="shared" si="0"/>
        <v>-28006.099999999977</v>
      </c>
      <c r="F27" s="19">
        <f t="shared" si="3"/>
        <v>-5.6893930760134367E-2</v>
      </c>
      <c r="G27" s="20">
        <v>498900</v>
      </c>
      <c r="H27" s="20">
        <f t="shared" si="1"/>
        <v>-34655</v>
      </c>
      <c r="I27" s="19">
        <f t="shared" si="2"/>
        <v>-6.9462818200040091E-2</v>
      </c>
      <c r="J27" s="49" t="s">
        <v>81</v>
      </c>
      <c r="K27" s="49" t="s">
        <v>82</v>
      </c>
    </row>
    <row r="28" spans="1:11" ht="57.95">
      <c r="A28" s="30" t="str">
        <v>Smith Creek</v>
      </c>
      <c r="B28" s="27" t="str">
        <v>NY</v>
      </c>
      <c r="C28" s="24">
        <v>490602</v>
      </c>
      <c r="D28" s="13">
        <v>532706.19999999995</v>
      </c>
      <c r="E28" s="13">
        <f t="shared" si="0"/>
        <v>-42104.199999999953</v>
      </c>
      <c r="F28" s="14">
        <f t="shared" si="3"/>
        <v>-7.9038314177683602E-2</v>
      </c>
      <c r="G28" s="15">
        <v>605178.9</v>
      </c>
      <c r="H28" s="15">
        <f t="shared" si="1"/>
        <v>-114576.90000000002</v>
      </c>
      <c r="I28" s="16">
        <f t="shared" si="2"/>
        <v>-0.18932732122683063</v>
      </c>
      <c r="J28" s="38" t="s">
        <v>83</v>
      </c>
      <c r="K28" s="38" t="s">
        <v>84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43" priority="3" stopIfTrue="1" operator="lessThanOrEqual">
      <formula>-0.1</formula>
    </cfRule>
    <cfRule type="expression" dxfId="42" priority="4">
      <formula>AND(ISNUMBER(F2), F2&gt;=0.1)</formula>
    </cfRule>
  </conditionalFormatting>
  <conditionalFormatting sqref="F4:F103 I4:I103">
    <cfRule type="cellIs" dxfId="41" priority="1" stopIfTrue="1" operator="lessThanOrEqual">
      <formula>-0.1</formula>
    </cfRule>
    <cfRule type="expression" dxfId="4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5"/>
  <sheetViews>
    <sheetView workbookViewId="0">
      <pane xSplit="2" ySplit="3" topLeftCell="C14" activePane="bottomRight" state="frozen"/>
      <selection pane="bottomRight" activeCell="J22" sqref="J22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85</v>
      </c>
      <c r="E1" s="59"/>
      <c r="F1" s="59"/>
      <c r="G1" s="57" t="s">
        <v>86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6808143.6945139468</v>
      </c>
      <c r="D2" s="5">
        <f>SUM(D4:D103)</f>
        <v>6153090.5700000003</v>
      </c>
      <c r="E2" s="5">
        <f>C2-D2</f>
        <v>655053.12451394647</v>
      </c>
      <c r="F2" s="6">
        <f>IFERROR(E2/D2, 0)</f>
        <v>0.10645920404742985</v>
      </c>
      <c r="G2" s="5">
        <f>SUM(G4:G103)</f>
        <v>6703815.2699999996</v>
      </c>
      <c r="H2" s="7">
        <f>C2-G2</f>
        <v>104328.42451394722</v>
      </c>
      <c r="I2" s="6">
        <f>IFERROR(H2/G2, 0)</f>
        <v>1.5562544657342151E-2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157884</v>
      </c>
      <c r="D4" s="13">
        <v>155450.79999999999</v>
      </c>
      <c r="E4" s="13">
        <f>IF(AND(ISNUMBER(C4),ISNUMBER(D4)), C4-D4, "")</f>
        <v>2433.2000000000116</v>
      </c>
      <c r="F4" s="14">
        <f>IFERROR(E4/D4, "")</f>
        <v>1.5652540868236201E-2</v>
      </c>
      <c r="G4" s="15">
        <v>171280.9</v>
      </c>
      <c r="H4" s="15">
        <f>IF(AND(ISNUMBER(C4),ISNUMBER(G4)), C4-G4, "")</f>
        <v>-13396.899999999994</v>
      </c>
      <c r="I4" s="16">
        <f>IFERROR(H4/G4, "")</f>
        <v>-7.821595986476014E-2</v>
      </c>
      <c r="J4" s="38"/>
      <c r="K4" s="38"/>
    </row>
    <row r="5" spans="1:11" ht="15.6">
      <c r="A5" s="28" t="str">
        <v>Bunce</v>
      </c>
      <c r="B5" s="29" t="str">
        <v>CT</v>
      </c>
      <c r="C5" s="11">
        <v>289452</v>
      </c>
      <c r="D5" s="18">
        <v>236881.7</v>
      </c>
      <c r="E5" s="18">
        <f t="shared" ref="E5:E28" si="0">IF(AND(ISNUMBER(C5),ISNUMBER(D5)), C5-D5, "")</f>
        <v>52570.299999999988</v>
      </c>
      <c r="F5" s="19">
        <f>IFERROR(E5/D5, "")</f>
        <v>0.22192638772855811</v>
      </c>
      <c r="G5" s="20">
        <v>0</v>
      </c>
      <c r="H5" s="20">
        <f t="shared" ref="H5:H28" si="1">IF(AND(ISNUMBER(C5),ISNUMBER(G5)), C5-G5, "")</f>
        <v>289452</v>
      </c>
      <c r="I5" s="19" t="str">
        <f t="shared" ref="I5:I28" si="2">IFERROR(H5/G5, "")</f>
        <v/>
      </c>
      <c r="J5" s="39"/>
      <c r="K5" s="39"/>
    </row>
    <row r="6" spans="1:11" ht="29.1">
      <c r="A6" s="30" t="str">
        <v>Norcap North</v>
      </c>
      <c r="B6" s="27" t="str">
        <v>CT</v>
      </c>
      <c r="C6" s="24">
        <v>307060</v>
      </c>
      <c r="D6" s="13">
        <v>292119.5</v>
      </c>
      <c r="E6" s="13">
        <f t="shared" si="0"/>
        <v>14940.5</v>
      </c>
      <c r="F6" s="14">
        <f t="shared" ref="F6:F28" si="3">IFERROR(E6/D6, "")</f>
        <v>5.1145164906827516E-2</v>
      </c>
      <c r="G6" s="15">
        <v>325819.40000000002</v>
      </c>
      <c r="H6" s="15">
        <f t="shared" si="1"/>
        <v>-18759.400000000023</v>
      </c>
      <c r="I6" s="16">
        <f t="shared" si="2"/>
        <v>-5.7576068214477166E-2</v>
      </c>
      <c r="J6" s="38" t="s">
        <v>87</v>
      </c>
      <c r="K6" s="38" t="s">
        <v>88</v>
      </c>
    </row>
    <row r="7" spans="1:11" ht="72.599999999999994">
      <c r="A7" s="28" t="str">
        <v>Norcap South</v>
      </c>
      <c r="B7" s="29" t="str">
        <v>CT</v>
      </c>
      <c r="C7" s="11">
        <v>313759.5</v>
      </c>
      <c r="D7" s="18">
        <v>311746.2</v>
      </c>
      <c r="E7" s="18">
        <f t="shared" si="0"/>
        <v>2013.2999999999884</v>
      </c>
      <c r="F7" s="19">
        <f t="shared" si="3"/>
        <v>6.4581380623083403E-3</v>
      </c>
      <c r="G7" s="20">
        <v>319425.09999999998</v>
      </c>
      <c r="H7" s="20">
        <f t="shared" si="1"/>
        <v>-5665.5999999999767</v>
      </c>
      <c r="I7" s="19">
        <f t="shared" si="2"/>
        <v>-1.7736865387222162E-2</v>
      </c>
      <c r="J7" s="39" t="s">
        <v>89</v>
      </c>
      <c r="K7" s="48" t="s">
        <v>90</v>
      </c>
    </row>
    <row r="8" spans="1:11" ht="15.6">
      <c r="A8" s="30" t="str">
        <v>Platt Hill</v>
      </c>
      <c r="B8" s="27" t="str">
        <v>CT</v>
      </c>
      <c r="C8" s="24">
        <v>331891.65577889403</v>
      </c>
      <c r="D8" s="13">
        <v>331208.90000000002</v>
      </c>
      <c r="E8" s="13">
        <f t="shared" si="0"/>
        <v>682.75577889400302</v>
      </c>
      <c r="F8" s="14">
        <f t="shared" si="3"/>
        <v>2.0614052910232876E-3</v>
      </c>
      <c r="G8" s="15">
        <v>384644.4</v>
      </c>
      <c r="H8" s="15">
        <f t="shared" si="1"/>
        <v>-52752.744221105997</v>
      </c>
      <c r="I8" s="16">
        <f t="shared" si="2"/>
        <v>-0.13714678862114202</v>
      </c>
      <c r="J8" s="38"/>
      <c r="K8" s="38"/>
    </row>
    <row r="9" spans="1:11" ht="48.75" customHeight="1">
      <c r="A9" s="28" t="str">
        <v>Powder Hill</v>
      </c>
      <c r="B9" s="29" t="str">
        <v>CT</v>
      </c>
      <c r="C9" s="11">
        <v>307749.00000000198</v>
      </c>
      <c r="D9" s="18">
        <v>304400.8</v>
      </c>
      <c r="E9" s="18">
        <f t="shared" si="0"/>
        <v>3348.2000000019907</v>
      </c>
      <c r="F9" s="19">
        <f t="shared" si="3"/>
        <v>1.0999314062256049E-2</v>
      </c>
      <c r="G9" s="20">
        <v>265344</v>
      </c>
      <c r="H9" s="20">
        <f t="shared" si="1"/>
        <v>42405.000000001979</v>
      </c>
      <c r="I9" s="19">
        <f t="shared" si="2"/>
        <v>0.15981141461650528</v>
      </c>
      <c r="J9" s="39" t="s">
        <v>91</v>
      </c>
      <c r="K9" s="48" t="s">
        <v>92</v>
      </c>
    </row>
    <row r="10" spans="1:11" ht="15.6">
      <c r="A10" s="30" t="str">
        <v>Sand Road</v>
      </c>
      <c r="B10" s="27" t="str">
        <v>CT</v>
      </c>
      <c r="C10" s="24">
        <v>309752.5</v>
      </c>
      <c r="D10" s="13">
        <v>274136.8</v>
      </c>
      <c r="E10" s="13">
        <f t="shared" si="0"/>
        <v>35615.700000000012</v>
      </c>
      <c r="F10" s="14">
        <f t="shared" si="3"/>
        <v>0.12991944168021227</v>
      </c>
      <c r="G10" s="15">
        <v>308583</v>
      </c>
      <c r="H10" s="15">
        <f t="shared" si="1"/>
        <v>1169.5</v>
      </c>
      <c r="I10" s="16">
        <f t="shared" si="2"/>
        <v>3.7899041748897379E-3</v>
      </c>
      <c r="J10" s="38"/>
      <c r="K10" s="38"/>
    </row>
    <row r="11" spans="1:11" ht="29.1">
      <c r="A11" s="28" t="str">
        <v>Suffield</v>
      </c>
      <c r="B11" s="29" t="str">
        <v>CT</v>
      </c>
      <c r="C11" s="11">
        <v>328549</v>
      </c>
      <c r="D11" s="18">
        <v>309402.90000000002</v>
      </c>
      <c r="E11" s="18">
        <f t="shared" si="0"/>
        <v>19146.099999999977</v>
      </c>
      <c r="F11" s="19">
        <f t="shared" si="3"/>
        <v>6.1880803315030257E-2</v>
      </c>
      <c r="G11" s="20">
        <v>336370.6</v>
      </c>
      <c r="H11" s="20">
        <f t="shared" si="1"/>
        <v>-7821.5999999999767</v>
      </c>
      <c r="I11" s="19">
        <f t="shared" si="2"/>
        <v>-2.325292400703265E-2</v>
      </c>
      <c r="J11" s="39" t="s">
        <v>93</v>
      </c>
      <c r="K11" s="39" t="s">
        <v>94</v>
      </c>
    </row>
    <row r="12" spans="1:11" ht="55.5" customHeight="1">
      <c r="A12" s="30" t="str">
        <v>Ashby-Duffy</v>
      </c>
      <c r="B12" s="27" t="str">
        <v>MA</v>
      </c>
      <c r="C12" s="24">
        <v>302085</v>
      </c>
      <c r="D12" s="13">
        <v>366955.6</v>
      </c>
      <c r="E12" s="13">
        <f t="shared" si="0"/>
        <v>-64870.599999999977</v>
      </c>
      <c r="F12" s="14">
        <f t="shared" si="3"/>
        <v>-0.17678051513589105</v>
      </c>
      <c r="G12" s="15">
        <v>296590.59999999998</v>
      </c>
      <c r="H12" s="15">
        <f t="shared" si="1"/>
        <v>5494.4000000000233</v>
      </c>
      <c r="I12" s="16">
        <f t="shared" si="2"/>
        <v>1.8525199382583346E-2</v>
      </c>
      <c r="J12" s="38" t="s">
        <v>95</v>
      </c>
      <c r="K12" s="38" t="s">
        <v>96</v>
      </c>
    </row>
    <row r="13" spans="1:11" ht="102" customHeight="1">
      <c r="A13" s="28" t="str">
        <v>Ashland</v>
      </c>
      <c r="B13" s="29" t="str">
        <v>MA</v>
      </c>
      <c r="C13" s="11">
        <v>245156.86072457899</v>
      </c>
      <c r="D13" s="18">
        <v>116306.1</v>
      </c>
      <c r="E13" s="18">
        <f t="shared" si="0"/>
        <v>128850.76072457898</v>
      </c>
      <c r="F13" s="19">
        <f t="shared" si="3"/>
        <v>1.1078590093260712</v>
      </c>
      <c r="G13" s="20">
        <v>351693.9</v>
      </c>
      <c r="H13" s="20">
        <f t="shared" si="1"/>
        <v>-106537.03927542103</v>
      </c>
      <c r="I13" s="19">
        <f t="shared" si="2"/>
        <v>-0.30292546807158449</v>
      </c>
      <c r="J13" s="48" t="s">
        <v>97</v>
      </c>
      <c r="K13" s="48" t="s">
        <v>98</v>
      </c>
    </row>
    <row r="14" spans="1:11" ht="57.75" customHeight="1">
      <c r="A14" s="56" t="str">
        <v>Barrington</v>
      </c>
      <c r="B14" s="27" t="str">
        <v>MA</v>
      </c>
      <c r="C14" s="24">
        <v>64661</v>
      </c>
      <c r="D14" s="13">
        <v>64127.95</v>
      </c>
      <c r="E14" s="13">
        <f t="shared" si="0"/>
        <v>533.05000000000291</v>
      </c>
      <c r="F14" s="14">
        <f t="shared" si="3"/>
        <v>8.3122881676398978E-3</v>
      </c>
      <c r="G14" s="15">
        <v>74480</v>
      </c>
      <c r="H14" s="15">
        <f t="shared" si="1"/>
        <v>-9819</v>
      </c>
      <c r="I14" s="16">
        <f t="shared" si="2"/>
        <v>-0.13183404940923737</v>
      </c>
      <c r="J14" s="38" t="s">
        <v>99</v>
      </c>
      <c r="K14" s="38" t="s">
        <v>100</v>
      </c>
    </row>
    <row r="15" spans="1:11" ht="15.6">
      <c r="A15" s="28" t="str">
        <v>Bedford - 205 Burlington Rd</v>
      </c>
      <c r="B15" s="29" t="str">
        <v>MA</v>
      </c>
      <c r="C15" s="11">
        <v>38794</v>
      </c>
      <c r="D15" s="18">
        <v>0</v>
      </c>
      <c r="E15" s="18">
        <f t="shared" si="0"/>
        <v>38794</v>
      </c>
      <c r="F15" s="18" t="str">
        <f t="shared" si="3"/>
        <v/>
      </c>
      <c r="G15" s="20">
        <v>0</v>
      </c>
      <c r="H15" s="20">
        <f t="shared" si="1"/>
        <v>38794</v>
      </c>
      <c r="I15" s="20" t="str">
        <f t="shared" si="2"/>
        <v/>
      </c>
      <c r="J15" s="39"/>
      <c r="K15" s="39"/>
    </row>
    <row r="16" spans="1:11" ht="15.6">
      <c r="A16" s="56" t="str">
        <v>Billerica - 6 Cook Street</v>
      </c>
      <c r="B16" s="27" t="str">
        <v>MA</v>
      </c>
      <c r="C16" s="24">
        <v>35642</v>
      </c>
      <c r="D16" s="13">
        <v>0</v>
      </c>
      <c r="E16" s="13">
        <f t="shared" si="0"/>
        <v>35642</v>
      </c>
      <c r="F16" s="14" t="str">
        <f t="shared" si="3"/>
        <v/>
      </c>
      <c r="G16" s="15">
        <v>0</v>
      </c>
      <c r="H16" s="15">
        <f t="shared" si="1"/>
        <v>35642</v>
      </c>
      <c r="I16" s="16" t="str">
        <f t="shared" si="2"/>
        <v/>
      </c>
      <c r="J16" s="38"/>
      <c r="K16" s="38"/>
    </row>
    <row r="17" spans="1:11" ht="29.1">
      <c r="A17" s="28" t="str">
        <v>Billerica - 780 Boston Road</v>
      </c>
      <c r="B17" s="29" t="str">
        <v>MA</v>
      </c>
      <c r="C17" s="11">
        <v>39610</v>
      </c>
      <c r="D17" s="18">
        <v>0</v>
      </c>
      <c r="E17" s="18">
        <f t="shared" si="0"/>
        <v>39610</v>
      </c>
      <c r="F17" s="18" t="str">
        <f t="shared" si="3"/>
        <v/>
      </c>
      <c r="G17" s="20">
        <v>0</v>
      </c>
      <c r="H17" s="20">
        <f t="shared" si="1"/>
        <v>39610</v>
      </c>
      <c r="I17" s="20" t="str">
        <f t="shared" si="2"/>
        <v/>
      </c>
      <c r="J17" s="39" t="s">
        <v>101</v>
      </c>
      <c r="K17" s="48" t="s">
        <v>102</v>
      </c>
    </row>
    <row r="18" spans="1:11" ht="15.6">
      <c r="A18" s="56" t="str">
        <v>Cheshire</v>
      </c>
      <c r="B18" s="27" t="str">
        <v>MA</v>
      </c>
      <c r="C18" s="24">
        <v>66969.75</v>
      </c>
      <c r="D18" s="13">
        <v>70639.95</v>
      </c>
      <c r="E18" s="13">
        <f t="shared" si="0"/>
        <v>-3670.1999999999971</v>
      </c>
      <c r="F18" s="14">
        <f t="shared" si="3"/>
        <v>-5.1956435416502945E-2</v>
      </c>
      <c r="G18" s="15">
        <v>59983.95</v>
      </c>
      <c r="H18" s="15">
        <f t="shared" si="1"/>
        <v>6985.8000000000029</v>
      </c>
      <c r="I18" s="16">
        <f t="shared" si="2"/>
        <v>0.11646115335852346</v>
      </c>
      <c r="J18" s="38"/>
      <c r="K18" s="38"/>
    </row>
    <row r="19" spans="1:11" ht="34.5" customHeight="1">
      <c r="A19" s="28" t="str">
        <v>Lilly Lane</v>
      </c>
      <c r="B19" s="29" t="str">
        <v>MA</v>
      </c>
      <c r="C19" s="11">
        <v>155710</v>
      </c>
      <c r="D19" s="18">
        <v>147625.5</v>
      </c>
      <c r="E19" s="18">
        <f t="shared" si="0"/>
        <v>8084.5</v>
      </c>
      <c r="F19" s="19">
        <f t="shared" si="3"/>
        <v>5.4763574043779698E-2</v>
      </c>
      <c r="G19" s="20">
        <v>179054.8</v>
      </c>
      <c r="H19" s="20">
        <f t="shared" si="1"/>
        <v>-23344.799999999988</v>
      </c>
      <c r="I19" s="19">
        <f t="shared" si="2"/>
        <v>-0.13037796250086561</v>
      </c>
      <c r="J19" s="48" t="s">
        <v>103</v>
      </c>
      <c r="K19" s="48" t="s">
        <v>104</v>
      </c>
    </row>
    <row r="20" spans="1:11" ht="43.5">
      <c r="A20" s="56" t="str">
        <v>Monument Valley</v>
      </c>
      <c r="B20" s="27" t="str">
        <v>MA</v>
      </c>
      <c r="C20" s="24">
        <v>305805.67801047099</v>
      </c>
      <c r="D20" s="13">
        <v>59124.94</v>
      </c>
      <c r="E20" s="13">
        <f t="shared" si="0"/>
        <v>246680.73801047099</v>
      </c>
      <c r="F20" s="14">
        <f t="shared" si="3"/>
        <v>4.1721943059979596</v>
      </c>
      <c r="G20" s="15">
        <v>0</v>
      </c>
      <c r="H20" s="15">
        <f t="shared" si="1"/>
        <v>305805.67801047099</v>
      </c>
      <c r="I20" s="16" t="str">
        <f t="shared" si="2"/>
        <v/>
      </c>
      <c r="J20" s="38" t="s">
        <v>105</v>
      </c>
      <c r="K20" s="38" t="s">
        <v>106</v>
      </c>
    </row>
    <row r="21" spans="1:11" ht="29.1">
      <c r="A21" s="28" t="str">
        <v>Nationwide</v>
      </c>
      <c r="B21" s="29" t="str">
        <v>MA</v>
      </c>
      <c r="C21" s="11">
        <v>573692.5</v>
      </c>
      <c r="D21" s="18">
        <v>473387.6</v>
      </c>
      <c r="E21" s="18">
        <f t="shared" si="0"/>
        <v>100304.90000000002</v>
      </c>
      <c r="F21" s="19">
        <f t="shared" si="3"/>
        <v>0.21188746811281078</v>
      </c>
      <c r="G21" s="20">
        <v>509562</v>
      </c>
      <c r="H21" s="20">
        <f t="shared" si="1"/>
        <v>64130.5</v>
      </c>
      <c r="I21" s="19">
        <f t="shared" si="2"/>
        <v>0.12585416494950566</v>
      </c>
      <c r="J21" s="39" t="s">
        <v>107</v>
      </c>
      <c r="K21" s="48" t="s">
        <v>108</v>
      </c>
    </row>
    <row r="22" spans="1:11" ht="60.75" customHeight="1">
      <c r="A22" s="56" t="str">
        <v>Pulpit Hill</v>
      </c>
      <c r="B22" s="27" t="str">
        <v>MA</v>
      </c>
      <c r="C22" s="24">
        <v>638849.75</v>
      </c>
      <c r="D22" s="13">
        <v>637225.19999999995</v>
      </c>
      <c r="E22" s="13">
        <f t="shared" si="0"/>
        <v>1624.5500000000466</v>
      </c>
      <c r="F22" s="14">
        <f t="shared" si="3"/>
        <v>2.5494126723174895E-3</v>
      </c>
      <c r="G22" s="15">
        <v>688685.2</v>
      </c>
      <c r="H22" s="15">
        <f t="shared" si="1"/>
        <v>-49835.449999999953</v>
      </c>
      <c r="I22" s="16">
        <f t="shared" si="2"/>
        <v>-7.2363178415914789E-2</v>
      </c>
      <c r="J22" s="38" t="s">
        <v>109</v>
      </c>
      <c r="K22" s="38" t="s">
        <v>110</v>
      </c>
    </row>
    <row r="23" spans="1:11" ht="29.1">
      <c r="A23" s="28" t="str">
        <v>Sandwich</v>
      </c>
      <c r="B23" s="29" t="str">
        <v>MA</v>
      </c>
      <c r="C23" s="11" t="s">
        <v>111</v>
      </c>
      <c r="D23" s="18">
        <v>0</v>
      </c>
      <c r="E23" s="18" t="str">
        <f t="shared" si="0"/>
        <v/>
      </c>
      <c r="F23" s="19" t="str">
        <f t="shared" si="3"/>
        <v/>
      </c>
      <c r="G23" s="20">
        <v>0</v>
      </c>
      <c r="H23" s="20" t="str">
        <f t="shared" si="1"/>
        <v/>
      </c>
      <c r="I23" s="19" t="str">
        <f t="shared" si="2"/>
        <v/>
      </c>
      <c r="J23" s="39" t="s">
        <v>112</v>
      </c>
      <c r="K23" s="48" t="s">
        <v>113</v>
      </c>
    </row>
    <row r="24" spans="1:11" ht="53.25" customHeight="1">
      <c r="A24" s="56" t="str">
        <v>Sturbridge Barn</v>
      </c>
      <c r="B24" s="27" t="str">
        <v>MA</v>
      </c>
      <c r="C24" s="24">
        <v>154149</v>
      </c>
      <c r="D24" s="13">
        <v>154864.9</v>
      </c>
      <c r="E24" s="13">
        <f t="shared" si="0"/>
        <v>-715.89999999999418</v>
      </c>
      <c r="F24" s="14">
        <f t="shared" si="3"/>
        <v>-4.622738916307015E-3</v>
      </c>
      <c r="G24" s="15">
        <v>177649.4</v>
      </c>
      <c r="H24" s="15">
        <f t="shared" si="1"/>
        <v>-23500.399999999994</v>
      </c>
      <c r="I24" s="16">
        <f t="shared" si="2"/>
        <v>-0.13228527650529637</v>
      </c>
      <c r="J24" s="38" t="s">
        <v>114</v>
      </c>
      <c r="K24" s="38" t="s">
        <v>115</v>
      </c>
    </row>
    <row r="25" spans="1:11" ht="29.1">
      <c r="A25" s="28" t="str">
        <v>Sturbridge Garage</v>
      </c>
      <c r="B25" s="29" t="str">
        <v>MA</v>
      </c>
      <c r="C25" s="11">
        <v>79604.5</v>
      </c>
      <c r="D25" s="18">
        <v>74429.429999999993</v>
      </c>
      <c r="E25" s="18">
        <f t="shared" si="0"/>
        <v>5175.070000000007</v>
      </c>
      <c r="F25" s="19">
        <f t="shared" si="3"/>
        <v>6.9529888916252711E-2</v>
      </c>
      <c r="G25" s="20">
        <v>88448.22</v>
      </c>
      <c r="H25" s="20">
        <f t="shared" si="1"/>
        <v>-8843.7200000000012</v>
      </c>
      <c r="I25" s="19">
        <f t="shared" si="2"/>
        <v>-9.9987540732871735E-2</v>
      </c>
      <c r="J25" s="39" t="s">
        <v>116</v>
      </c>
      <c r="K25" s="39" t="s">
        <v>117</v>
      </c>
    </row>
    <row r="26" spans="1:11" ht="15.6">
      <c r="A26" s="56" t="str">
        <v>Halsey Valley</v>
      </c>
      <c r="B26" s="27" t="str">
        <v>NY</v>
      </c>
      <c r="C26" s="24">
        <v>693683</v>
      </c>
      <c r="D26" s="13">
        <v>696330.8</v>
      </c>
      <c r="E26" s="13">
        <f t="shared" si="0"/>
        <v>-2647.8000000000466</v>
      </c>
      <c r="F26" s="14">
        <f t="shared" si="3"/>
        <v>-3.802503063199339E-3</v>
      </c>
      <c r="G26" s="15">
        <v>868000</v>
      </c>
      <c r="H26" s="15">
        <f t="shared" si="1"/>
        <v>-174317</v>
      </c>
      <c r="I26" s="16">
        <f t="shared" si="2"/>
        <v>-0.20082603686635944</v>
      </c>
      <c r="J26" s="38" t="s">
        <v>118</v>
      </c>
      <c r="K26" s="38" t="s">
        <v>119</v>
      </c>
    </row>
    <row r="27" spans="1:11" ht="29.1">
      <c r="A27" s="28" t="str">
        <v>Hunt Creek</v>
      </c>
      <c r="B27" s="29" t="str">
        <v>NY</v>
      </c>
      <c r="C27" s="11">
        <v>521834</v>
      </c>
      <c r="D27" s="18">
        <v>517166.8</v>
      </c>
      <c r="E27" s="18">
        <f t="shared" si="0"/>
        <v>4667.2000000000116</v>
      </c>
      <c r="F27" s="19">
        <f t="shared" si="3"/>
        <v>9.0245545537726152E-3</v>
      </c>
      <c r="G27" s="20">
        <v>629400</v>
      </c>
      <c r="H27" s="20">
        <f t="shared" si="1"/>
        <v>-107566</v>
      </c>
      <c r="I27" s="19">
        <f t="shared" si="2"/>
        <v>-0.17090244677470606</v>
      </c>
      <c r="J27" s="39" t="s">
        <v>120</v>
      </c>
      <c r="K27" s="39" t="s">
        <v>121</v>
      </c>
    </row>
    <row r="28" spans="1:11" ht="15.6">
      <c r="A28" s="56" t="str">
        <v>Smith Creek</v>
      </c>
      <c r="B28" s="27" t="str">
        <v>NY</v>
      </c>
      <c r="C28" s="24">
        <v>545799</v>
      </c>
      <c r="D28" s="13">
        <v>559558.19999999995</v>
      </c>
      <c r="E28" s="13">
        <f t="shared" si="0"/>
        <v>-13759.199999999953</v>
      </c>
      <c r="F28" s="14">
        <f t="shared" si="3"/>
        <v>-2.4589399279645898E-2</v>
      </c>
      <c r="G28" s="15">
        <v>668799.80000000005</v>
      </c>
      <c r="H28" s="15">
        <f t="shared" si="1"/>
        <v>-123000.80000000005</v>
      </c>
      <c r="I28" s="16">
        <f t="shared" si="2"/>
        <v>-0.18391273442366465</v>
      </c>
      <c r="J28" s="38" t="s">
        <v>122</v>
      </c>
      <c r="K28" s="38" t="s">
        <v>123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4 I4:I14 F16 I16 F18:F103 I18:I103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5"/>
  <sheetViews>
    <sheetView workbookViewId="0">
      <pane xSplit="2" ySplit="3" topLeftCell="C15" activePane="bottomRight" state="frozen"/>
      <selection pane="bottomRight" activeCell="K20" sqref="K20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124</v>
      </c>
      <c r="E1" s="59"/>
      <c r="F1" s="59"/>
      <c r="G1" s="57" t="s">
        <v>125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9079070.9147776701</v>
      </c>
      <c r="D2" s="5">
        <f>SUM(D4:D103)</f>
        <v>7601050.3899999997</v>
      </c>
      <c r="E2" s="5">
        <f>C2-D2</f>
        <v>1478020.5247776704</v>
      </c>
      <c r="F2" s="6">
        <f>IFERROR(E2/D2, 0)</f>
        <v>0.19444951012588543</v>
      </c>
      <c r="G2" s="5">
        <f>SUM(G4:G103)</f>
        <v>7556275.2300000004</v>
      </c>
      <c r="H2" s="7">
        <f>C2-G2</f>
        <v>1522795.6847776696</v>
      </c>
      <c r="I2" s="6">
        <f>IFERROR(H2/G2, 0)</f>
        <v>0.20152729200914371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56" t="str" cm="1">
        <f t="array" ref="A4:A28">Sites[Site]</f>
        <v>Barkhamsted</v>
      </c>
      <c r="B4" s="27" t="str" cm="1">
        <f t="array" ref="B4:B28">Sites[State]</f>
        <v>CT</v>
      </c>
      <c r="C4" s="24">
        <v>174396</v>
      </c>
      <c r="D4" s="13">
        <v>179679.3</v>
      </c>
      <c r="E4" s="13">
        <f>IF(AND(ISNUMBER(C4),ISNUMBER(D4)), C4-D4, "")</f>
        <v>-5283.2999999999884</v>
      </c>
      <c r="F4" s="14">
        <f>IFERROR(E4/D4, "")</f>
        <v>-2.940405489113097E-2</v>
      </c>
      <c r="G4" s="15">
        <v>187813.4</v>
      </c>
      <c r="H4" s="15">
        <f>IF(AND(ISNUMBER(C4),ISNUMBER(G4)), C4-G4, "")</f>
        <v>-13417.399999999994</v>
      </c>
      <c r="I4" s="16">
        <f>IFERROR(H4/G4, "")</f>
        <v>-7.1440056992738504E-2</v>
      </c>
      <c r="J4" s="38" t="s">
        <v>126</v>
      </c>
      <c r="K4" s="38" t="s">
        <v>127</v>
      </c>
    </row>
    <row r="5" spans="1:11" ht="15.6">
      <c r="A5" s="28" t="str">
        <v>Bunce</v>
      </c>
      <c r="B5" s="29" t="str">
        <v>CT</v>
      </c>
      <c r="C5" s="11">
        <v>374138.75</v>
      </c>
      <c r="D5" s="18">
        <v>294274.7</v>
      </c>
      <c r="E5" s="18">
        <f t="shared" ref="E5:E28" si="0">IF(AND(ISNUMBER(C5),ISNUMBER(D5)), C5-D5, "")</f>
        <v>79864.049999999988</v>
      </c>
      <c r="F5" s="19">
        <f>IFERROR(E5/D5, "")</f>
        <v>0.27139285164507854</v>
      </c>
      <c r="G5" s="20">
        <v>0</v>
      </c>
      <c r="H5" s="20">
        <f t="shared" ref="H5:H28" si="1">IF(AND(ISNUMBER(C5),ISNUMBER(G5)), C5-G5, "")</f>
        <v>374138.75</v>
      </c>
      <c r="I5" s="19" t="str">
        <f t="shared" ref="I5:I28" si="2">IFERROR(H5/G5, "")</f>
        <v/>
      </c>
      <c r="J5" s="39" t="s">
        <v>128</v>
      </c>
      <c r="K5" s="39" t="s">
        <v>129</v>
      </c>
    </row>
    <row r="6" spans="1:11" ht="29.1">
      <c r="A6" s="56" t="str">
        <v>Norcap North</v>
      </c>
      <c r="B6" s="27" t="str">
        <v>CT</v>
      </c>
      <c r="C6" s="24">
        <v>366441</v>
      </c>
      <c r="D6" s="13">
        <v>334709.09999999998</v>
      </c>
      <c r="E6" s="13">
        <f t="shared" si="0"/>
        <v>31731.900000000023</v>
      </c>
      <c r="F6" s="14">
        <f t="shared" ref="F6:F28" si="3">IFERROR(E6/D6, "")</f>
        <v>9.4804413743157942E-2</v>
      </c>
      <c r="G6" s="15">
        <v>363260.7</v>
      </c>
      <c r="H6" s="15">
        <f t="shared" si="1"/>
        <v>3180.2999999999884</v>
      </c>
      <c r="I6" s="16">
        <f t="shared" si="2"/>
        <v>8.7548694367433309E-3</v>
      </c>
      <c r="J6" s="38" t="s">
        <v>130</v>
      </c>
      <c r="K6" s="38" t="s">
        <v>131</v>
      </c>
    </row>
    <row r="7" spans="1:11" ht="87">
      <c r="A7" s="28" t="str">
        <v>Norcap South</v>
      </c>
      <c r="B7" s="29" t="str">
        <v>CT</v>
      </c>
      <c r="C7" s="11">
        <v>370295</v>
      </c>
      <c r="D7" s="18">
        <v>353336.4</v>
      </c>
      <c r="E7" s="18">
        <f t="shared" si="0"/>
        <v>16958.599999999977</v>
      </c>
      <c r="F7" s="19">
        <f t="shared" si="3"/>
        <v>4.7995621170080341E-2</v>
      </c>
      <c r="G7" s="20">
        <v>355513.2</v>
      </c>
      <c r="H7" s="20">
        <f t="shared" si="1"/>
        <v>14781.799999999988</v>
      </c>
      <c r="I7" s="19">
        <f t="shared" si="2"/>
        <v>4.1578765570448546E-2</v>
      </c>
      <c r="J7" s="39" t="s">
        <v>132</v>
      </c>
      <c r="K7" s="48" t="s">
        <v>133</v>
      </c>
    </row>
    <row r="8" spans="1:11" ht="15.6">
      <c r="A8" s="56" t="str">
        <v>Platt Hill</v>
      </c>
      <c r="B8" s="27" t="str">
        <v>CT</v>
      </c>
      <c r="C8" s="24">
        <v>396267</v>
      </c>
      <c r="D8" s="13">
        <v>396413</v>
      </c>
      <c r="E8" s="13">
        <f t="shared" si="0"/>
        <v>-146</v>
      </c>
      <c r="F8" s="14">
        <f t="shared" si="3"/>
        <v>-3.683027549550595E-4</v>
      </c>
      <c r="G8" s="15">
        <v>422036.3</v>
      </c>
      <c r="H8" s="15">
        <f t="shared" si="1"/>
        <v>-25769.299999999988</v>
      </c>
      <c r="I8" s="16">
        <f t="shared" si="2"/>
        <v>-6.1059439673791065E-2</v>
      </c>
      <c r="J8" s="38"/>
      <c r="K8" s="38"/>
    </row>
    <row r="9" spans="1:11" ht="29.1">
      <c r="A9" s="28" t="str">
        <v>Powder Hill</v>
      </c>
      <c r="B9" s="29" t="str">
        <v>CT</v>
      </c>
      <c r="C9" s="11">
        <v>371290.99999999802</v>
      </c>
      <c r="D9" s="18">
        <v>364769</v>
      </c>
      <c r="E9" s="18">
        <f t="shared" si="0"/>
        <v>6521.9999999980209</v>
      </c>
      <c r="F9" s="19">
        <f t="shared" si="3"/>
        <v>1.7879808865331265E-2</v>
      </c>
      <c r="G9" s="20">
        <v>285876</v>
      </c>
      <c r="H9" s="20">
        <f t="shared" si="1"/>
        <v>85414.999999998021</v>
      </c>
      <c r="I9" s="19">
        <f t="shared" si="2"/>
        <v>0.29878338860204434</v>
      </c>
      <c r="J9" s="39" t="s">
        <v>134</v>
      </c>
      <c r="K9" s="48" t="s">
        <v>135</v>
      </c>
    </row>
    <row r="10" spans="1:11" ht="15.6">
      <c r="A10" s="56" t="str">
        <v>Sand Road</v>
      </c>
      <c r="B10" s="27" t="str">
        <v>CT</v>
      </c>
      <c r="C10" s="24">
        <v>402004</v>
      </c>
      <c r="D10" s="13">
        <v>350805.7</v>
      </c>
      <c r="E10" s="13">
        <f t="shared" si="0"/>
        <v>51198.299999999988</v>
      </c>
      <c r="F10" s="14">
        <f t="shared" si="3"/>
        <v>0.14594489200146973</v>
      </c>
      <c r="G10" s="15">
        <v>345518</v>
      </c>
      <c r="H10" s="15">
        <f t="shared" si="1"/>
        <v>56486</v>
      </c>
      <c r="I10" s="16">
        <f t="shared" si="2"/>
        <v>0.16348207618705826</v>
      </c>
      <c r="J10" s="38"/>
      <c r="K10" s="38"/>
    </row>
    <row r="11" spans="1:11" ht="32.25" customHeight="1">
      <c r="A11" s="28" t="str">
        <v>Suffield</v>
      </c>
      <c r="B11" s="29" t="str">
        <v>CT</v>
      </c>
      <c r="C11" s="11">
        <v>369211</v>
      </c>
      <c r="D11" s="18">
        <v>346940.2</v>
      </c>
      <c r="E11" s="18">
        <f t="shared" si="0"/>
        <v>22270.799999999988</v>
      </c>
      <c r="F11" s="19">
        <f t="shared" si="3"/>
        <v>6.4192042317379155E-2</v>
      </c>
      <c r="G11" s="20">
        <v>372477.3</v>
      </c>
      <c r="H11" s="20">
        <f t="shared" si="1"/>
        <v>-3266.2999999999884</v>
      </c>
      <c r="I11" s="19">
        <f t="shared" si="2"/>
        <v>-8.7691249909725728E-3</v>
      </c>
      <c r="J11" s="39" t="s">
        <v>136</v>
      </c>
      <c r="K11" s="48" t="s">
        <v>137</v>
      </c>
    </row>
    <row r="12" spans="1:11" ht="15.6">
      <c r="A12" s="56" t="str">
        <v>Ashby-Duffy</v>
      </c>
      <c r="B12" s="27" t="str">
        <v>MA</v>
      </c>
      <c r="C12" s="24">
        <v>332695.5</v>
      </c>
      <c r="D12" s="13">
        <v>357298</v>
      </c>
      <c r="E12" s="13">
        <f t="shared" si="0"/>
        <v>-24602.5</v>
      </c>
      <c r="F12" s="14">
        <f t="shared" si="3"/>
        <v>-6.8857088480763953E-2</v>
      </c>
      <c r="G12" s="15">
        <v>348234.4</v>
      </c>
      <c r="H12" s="15">
        <f t="shared" si="1"/>
        <v>-15538.900000000023</v>
      </c>
      <c r="I12" s="16">
        <f t="shared" si="2"/>
        <v>-4.4621955786102757E-2</v>
      </c>
      <c r="J12" s="38"/>
      <c r="K12" s="38"/>
    </row>
    <row r="13" spans="1:11" ht="218.25" customHeight="1">
      <c r="A13" s="28" t="str">
        <v>Ashland</v>
      </c>
      <c r="B13" s="29" t="str">
        <v>MA</v>
      </c>
      <c r="C13" s="11">
        <v>452990.13927542203</v>
      </c>
      <c r="D13" s="18">
        <v>284266.8</v>
      </c>
      <c r="E13" s="18">
        <f t="shared" si="0"/>
        <v>168723.33927542204</v>
      </c>
      <c r="F13" s="19">
        <f t="shared" si="3"/>
        <v>0.59353867308958363</v>
      </c>
      <c r="G13" s="20">
        <v>397972.9</v>
      </c>
      <c r="H13" s="20">
        <f t="shared" si="1"/>
        <v>55017.239275422005</v>
      </c>
      <c r="I13" s="19">
        <f t="shared" si="2"/>
        <v>0.13824368261110745</v>
      </c>
      <c r="J13" s="48" t="s">
        <v>138</v>
      </c>
      <c r="K13" s="48" t="s">
        <v>139</v>
      </c>
    </row>
    <row r="14" spans="1:11" ht="15.6">
      <c r="A14" s="56" t="str">
        <v>Barrington</v>
      </c>
      <c r="B14" s="27" t="str">
        <v>MA</v>
      </c>
      <c r="C14" s="24">
        <v>86339.5</v>
      </c>
      <c r="D14" s="13">
        <v>77217.490000000005</v>
      </c>
      <c r="E14" s="13">
        <f t="shared" si="0"/>
        <v>9122.0099999999948</v>
      </c>
      <c r="F14" s="14">
        <f t="shared" si="3"/>
        <v>0.11813398752018479</v>
      </c>
      <c r="G14" s="15">
        <v>88630</v>
      </c>
      <c r="H14" s="15">
        <f t="shared" si="1"/>
        <v>-2290.5</v>
      </c>
      <c r="I14" s="16">
        <f t="shared" si="2"/>
        <v>-2.5843393884689158E-2</v>
      </c>
      <c r="J14" s="38"/>
      <c r="K14" s="38"/>
    </row>
    <row r="15" spans="1:11" ht="74.25" customHeight="1">
      <c r="A15" s="28" t="str">
        <v>Bedford - 205 Burlington Rd</v>
      </c>
      <c r="B15" s="29" t="str">
        <v>MA</v>
      </c>
      <c r="C15" s="11">
        <v>42474</v>
      </c>
      <c r="D15" s="18">
        <v>0</v>
      </c>
      <c r="E15" s="18">
        <f t="shared" si="0"/>
        <v>42474</v>
      </c>
      <c r="F15" s="19" t="str">
        <f t="shared" si="3"/>
        <v/>
      </c>
      <c r="G15" s="20">
        <v>0</v>
      </c>
      <c r="H15" s="20">
        <f t="shared" si="1"/>
        <v>42474</v>
      </c>
      <c r="I15" s="19" t="str">
        <f t="shared" si="2"/>
        <v/>
      </c>
      <c r="J15" s="39" t="s">
        <v>140</v>
      </c>
      <c r="K15" s="48" t="s">
        <v>141</v>
      </c>
    </row>
    <row r="16" spans="1:11" ht="15.6">
      <c r="A16" s="56" t="str">
        <v>Billerica - 6 Cook Street</v>
      </c>
      <c r="B16" s="27" t="str">
        <v>MA</v>
      </c>
      <c r="C16" s="24">
        <v>36051</v>
      </c>
      <c r="D16" s="13">
        <v>0</v>
      </c>
      <c r="E16" s="13">
        <f t="shared" si="0"/>
        <v>36051</v>
      </c>
      <c r="F16" s="14" t="str">
        <f t="shared" si="3"/>
        <v/>
      </c>
      <c r="G16" s="15">
        <v>0</v>
      </c>
      <c r="H16" s="15">
        <f t="shared" si="1"/>
        <v>36051</v>
      </c>
      <c r="I16" s="16" t="str">
        <f t="shared" si="2"/>
        <v/>
      </c>
      <c r="J16" s="38" t="s">
        <v>142</v>
      </c>
      <c r="K16" s="38" t="s">
        <v>143</v>
      </c>
    </row>
    <row r="17" spans="1:11" ht="29.1">
      <c r="A17" s="28" t="str">
        <v>Billerica - 780 Boston Road</v>
      </c>
      <c r="B17" s="29" t="str">
        <v>MA</v>
      </c>
      <c r="C17" s="11">
        <v>45941</v>
      </c>
      <c r="D17" s="18">
        <v>0</v>
      </c>
      <c r="E17" s="18">
        <f t="shared" si="0"/>
        <v>45941</v>
      </c>
      <c r="F17" s="19" t="str">
        <f t="shared" si="3"/>
        <v/>
      </c>
      <c r="G17" s="20">
        <v>0</v>
      </c>
      <c r="H17" s="20">
        <f t="shared" si="1"/>
        <v>45941</v>
      </c>
      <c r="I17" s="19" t="str">
        <f t="shared" si="2"/>
        <v/>
      </c>
      <c r="J17" s="39" t="s">
        <v>144</v>
      </c>
      <c r="K17" s="48" t="s">
        <v>145</v>
      </c>
    </row>
    <row r="18" spans="1:11" ht="12.75" customHeight="1">
      <c r="A18" s="56" t="str">
        <v>Cheshire</v>
      </c>
      <c r="B18" s="27" t="str">
        <v>MA</v>
      </c>
      <c r="C18" s="24">
        <v>86900</v>
      </c>
      <c r="D18" s="13">
        <v>90124.36</v>
      </c>
      <c r="E18" s="13">
        <f t="shared" si="0"/>
        <v>-3224.3600000000006</v>
      </c>
      <c r="F18" s="14">
        <f t="shared" si="3"/>
        <v>-3.5776786653464177E-2</v>
      </c>
      <c r="G18" s="15">
        <v>72538.91</v>
      </c>
      <c r="H18" s="15">
        <f t="shared" si="1"/>
        <v>14361.089999999997</v>
      </c>
      <c r="I18" s="16">
        <f t="shared" si="2"/>
        <v>0.19797774739102084</v>
      </c>
      <c r="J18" s="38"/>
      <c r="K18" s="38"/>
    </row>
    <row r="19" spans="1:11" ht="15.6">
      <c r="A19" s="28" t="str">
        <v>Lilly Lane</v>
      </c>
      <c r="B19" s="29" t="str">
        <v>MA</v>
      </c>
      <c r="C19" s="11">
        <v>187341</v>
      </c>
      <c r="D19" s="18">
        <v>170623</v>
      </c>
      <c r="E19" s="18">
        <f t="shared" si="0"/>
        <v>16718</v>
      </c>
      <c r="F19" s="19">
        <f t="shared" si="3"/>
        <v>9.7982100889094675E-2</v>
      </c>
      <c r="G19" s="20">
        <v>175820.9</v>
      </c>
      <c r="H19" s="20">
        <f t="shared" si="1"/>
        <v>11520.100000000006</v>
      </c>
      <c r="I19" s="19">
        <f t="shared" si="2"/>
        <v>6.552178950284071E-2</v>
      </c>
      <c r="J19" s="39"/>
      <c r="K19" s="39"/>
    </row>
    <row r="20" spans="1:11" ht="43.5">
      <c r="A20" s="56" t="str">
        <v>Monument Valley</v>
      </c>
      <c r="B20" s="27" t="str">
        <v>MA</v>
      </c>
      <c r="C20" s="24">
        <v>345191.52550225001</v>
      </c>
      <c r="D20" s="13">
        <v>62239.27</v>
      </c>
      <c r="E20" s="13">
        <f t="shared" si="0"/>
        <v>282952.25550224999</v>
      </c>
      <c r="F20" s="14">
        <f t="shared" si="3"/>
        <v>4.5462013854315773</v>
      </c>
      <c r="G20" s="15">
        <v>0</v>
      </c>
      <c r="H20" s="15">
        <f t="shared" si="1"/>
        <v>345191.52550225001</v>
      </c>
      <c r="I20" s="16" t="str">
        <f t="shared" si="2"/>
        <v/>
      </c>
      <c r="J20" s="38" t="s">
        <v>146</v>
      </c>
      <c r="K20" s="38" t="s">
        <v>147</v>
      </c>
    </row>
    <row r="21" spans="1:11" ht="15.6">
      <c r="A21" s="28" t="str">
        <v>Nationwide</v>
      </c>
      <c r="B21" s="29" t="str">
        <v>MA</v>
      </c>
      <c r="C21" s="11">
        <v>688778.5</v>
      </c>
      <c r="D21" s="18">
        <v>520436.9</v>
      </c>
      <c r="E21" s="18">
        <f t="shared" si="0"/>
        <v>168341.59999999998</v>
      </c>
      <c r="F21" s="19">
        <f t="shared" si="3"/>
        <v>0.32346207580592379</v>
      </c>
      <c r="G21" s="20">
        <v>551905.19999999995</v>
      </c>
      <c r="H21" s="20">
        <f t="shared" si="1"/>
        <v>136873.30000000005</v>
      </c>
      <c r="I21" s="19">
        <f t="shared" si="2"/>
        <v>0.2480014683681184</v>
      </c>
      <c r="J21" s="39" t="s">
        <v>148</v>
      </c>
      <c r="K21" s="39" t="s">
        <v>149</v>
      </c>
    </row>
    <row r="22" spans="1:11" ht="29.1">
      <c r="A22" s="56" t="str">
        <v>Pulpit Hill</v>
      </c>
      <c r="B22" s="27" t="str">
        <v>MA</v>
      </c>
      <c r="C22" s="24">
        <v>778918.25</v>
      </c>
      <c r="D22" s="13">
        <v>792881.8</v>
      </c>
      <c r="E22" s="13">
        <f t="shared" si="0"/>
        <v>-13963.550000000047</v>
      </c>
      <c r="F22" s="14">
        <f t="shared" si="3"/>
        <v>-1.7611136994190112E-2</v>
      </c>
      <c r="G22" s="15">
        <v>784998.9</v>
      </c>
      <c r="H22" s="15">
        <f t="shared" si="1"/>
        <v>-6080.6500000000233</v>
      </c>
      <c r="I22" s="16">
        <f t="shared" si="2"/>
        <v>-7.7460618097681703E-3</v>
      </c>
      <c r="J22" s="38" t="s">
        <v>150</v>
      </c>
      <c r="K22" s="38" t="s">
        <v>151</v>
      </c>
    </row>
    <row r="23" spans="1:11" ht="15.6">
      <c r="A23" s="28" t="str">
        <v>Sandwich</v>
      </c>
      <c r="B23" s="29" t="str">
        <v>MA</v>
      </c>
      <c r="C23" s="11">
        <v>554953</v>
      </c>
      <c r="D23" s="18">
        <v>0</v>
      </c>
      <c r="E23" s="18">
        <f t="shared" si="0"/>
        <v>554953</v>
      </c>
      <c r="F23" s="19" t="str">
        <f t="shared" si="3"/>
        <v/>
      </c>
      <c r="G23" s="20">
        <v>0</v>
      </c>
      <c r="H23" s="20">
        <f t="shared" si="1"/>
        <v>554953</v>
      </c>
      <c r="I23" s="19" t="str">
        <f t="shared" si="2"/>
        <v/>
      </c>
      <c r="J23" s="39" t="s">
        <v>152</v>
      </c>
      <c r="K23" s="39" t="s">
        <v>153</v>
      </c>
    </row>
    <row r="24" spans="1:11" ht="15.6">
      <c r="A24" s="56" t="str">
        <v>Sturbridge Barn</v>
      </c>
      <c r="B24" s="27" t="str">
        <v>MA</v>
      </c>
      <c r="C24" s="24">
        <v>183646</v>
      </c>
      <c r="D24" s="13">
        <v>179311.5</v>
      </c>
      <c r="E24" s="13">
        <f t="shared" si="0"/>
        <v>4334.5</v>
      </c>
      <c r="F24" s="14">
        <f t="shared" si="3"/>
        <v>2.4173017346907476E-2</v>
      </c>
      <c r="G24" s="15">
        <v>200705.7</v>
      </c>
      <c r="H24" s="15">
        <f t="shared" si="1"/>
        <v>-17059.700000000012</v>
      </c>
      <c r="I24" s="16">
        <f t="shared" si="2"/>
        <v>-8.4998582501643008E-2</v>
      </c>
      <c r="J24" s="38"/>
      <c r="K24" s="38"/>
    </row>
    <row r="25" spans="1:11" ht="15.6">
      <c r="A25" s="28" t="str">
        <v>Sturbridge Garage</v>
      </c>
      <c r="B25" s="29" t="str">
        <v>MA</v>
      </c>
      <c r="C25" s="11">
        <v>92582.75</v>
      </c>
      <c r="D25" s="18">
        <v>85768.17</v>
      </c>
      <c r="E25" s="18">
        <f t="shared" si="0"/>
        <v>6814.5800000000017</v>
      </c>
      <c r="F25" s="19">
        <f t="shared" si="3"/>
        <v>7.9453484900050941E-2</v>
      </c>
      <c r="G25" s="20">
        <v>86851.12</v>
      </c>
      <c r="H25" s="20">
        <f t="shared" si="1"/>
        <v>5731.6300000000047</v>
      </c>
      <c r="I25" s="19">
        <f t="shared" si="2"/>
        <v>6.5993737328891147E-2</v>
      </c>
      <c r="J25" s="39"/>
      <c r="K25" s="39"/>
    </row>
    <row r="26" spans="1:11" ht="57.95">
      <c r="A26" s="56" t="str">
        <v>Halsey Valley</v>
      </c>
      <c r="B26" s="27" t="str">
        <v>NY</v>
      </c>
      <c r="C26" s="24">
        <v>923966</v>
      </c>
      <c r="D26" s="13">
        <v>928661.1</v>
      </c>
      <c r="E26" s="13">
        <f t="shared" si="0"/>
        <v>-4695.0999999999767</v>
      </c>
      <c r="F26" s="14">
        <f t="shared" si="3"/>
        <v>-5.0557733063223784E-3</v>
      </c>
      <c r="G26" s="15">
        <v>1022000</v>
      </c>
      <c r="H26" s="15">
        <f t="shared" si="1"/>
        <v>-98034</v>
      </c>
      <c r="I26" s="16">
        <f t="shared" si="2"/>
        <v>-9.5923679060665359E-2</v>
      </c>
      <c r="J26" s="38" t="s">
        <v>154</v>
      </c>
      <c r="K26" s="38" t="s">
        <v>155</v>
      </c>
    </row>
    <row r="27" spans="1:11" ht="72.599999999999994">
      <c r="A27" s="28" t="str">
        <v>Hunt Creek</v>
      </c>
      <c r="B27" s="29" t="str">
        <v>NY</v>
      </c>
      <c r="C27" s="11">
        <v>691726</v>
      </c>
      <c r="D27" s="18">
        <v>684081.8</v>
      </c>
      <c r="E27" s="18">
        <f t="shared" si="0"/>
        <v>7644.1999999999534</v>
      </c>
      <c r="F27" s="19">
        <f t="shared" si="3"/>
        <v>1.1174394641108641E-2</v>
      </c>
      <c r="G27" s="20">
        <v>742100</v>
      </c>
      <c r="H27" s="20">
        <f t="shared" si="1"/>
        <v>-50374</v>
      </c>
      <c r="I27" s="19">
        <f t="shared" si="2"/>
        <v>-6.7880339576876433E-2</v>
      </c>
      <c r="J27" s="39" t="s">
        <v>156</v>
      </c>
      <c r="K27" s="48" t="s">
        <v>157</v>
      </c>
    </row>
    <row r="28" spans="1:11" ht="57.95">
      <c r="A28" s="56" t="str">
        <v>Smith Creek</v>
      </c>
      <c r="B28" s="27" t="str">
        <v>NY</v>
      </c>
      <c r="C28" s="24">
        <v>724533</v>
      </c>
      <c r="D28" s="13">
        <v>747212.80000000005</v>
      </c>
      <c r="E28" s="13">
        <f t="shared" si="0"/>
        <v>-22679.800000000047</v>
      </c>
      <c r="F28" s="14">
        <f t="shared" si="3"/>
        <v>-3.0352531434151082E-2</v>
      </c>
      <c r="G28" s="15">
        <v>752022.3</v>
      </c>
      <c r="H28" s="15">
        <f t="shared" si="1"/>
        <v>-27489.300000000047</v>
      </c>
      <c r="I28" s="16">
        <f t="shared" si="2"/>
        <v>-3.6553836235973379E-2</v>
      </c>
      <c r="J28" s="38" t="s">
        <v>158</v>
      </c>
      <c r="K28" s="38" t="s">
        <v>159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3 I4:I103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5"/>
  <sheetViews>
    <sheetView zoomScale="70" zoomScaleNormal="70" workbookViewId="0">
      <pane xSplit="2" ySplit="3" topLeftCell="C4" activePane="bottomRight" state="frozen"/>
      <selection pane="bottomRight" activeCell="A8" sqref="A8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160</v>
      </c>
      <c r="E1" s="59"/>
      <c r="F1" s="59"/>
      <c r="G1" s="57" t="s">
        <v>161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9319985.5687850788</v>
      </c>
      <c r="D2" s="5">
        <f>SUM(D4:D103)</f>
        <v>7593576.0300000003</v>
      </c>
      <c r="E2" s="5">
        <f>C2-D2</f>
        <v>1726409.5387850786</v>
      </c>
      <c r="F2" s="6">
        <f>IFERROR(E2/D2, 0)</f>
        <v>0.22735132063793645</v>
      </c>
      <c r="G2" s="5">
        <f>SUM(G4:G103)</f>
        <v>7538069.5399999991</v>
      </c>
      <c r="H2" s="7">
        <f>C2-G2</f>
        <v>1781916.0287850797</v>
      </c>
      <c r="I2" s="6">
        <f>IFERROR(H2/G2, 0)</f>
        <v>0.23638890823831268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87">
      <c r="A4" s="56" t="str" cm="1">
        <f t="array" ref="A4:A28">Sites[Site]</f>
        <v>Barkhamsted</v>
      </c>
      <c r="B4" s="27" t="str" cm="1">
        <f t="array" ref="B4:B28">Sites[State]</f>
        <v>CT</v>
      </c>
      <c r="C4" s="24">
        <v>151622</v>
      </c>
      <c r="D4" s="13">
        <v>170892.2</v>
      </c>
      <c r="E4" s="13">
        <f>IF(AND(ISNUMBER(C4),ISNUMBER(D4)), C4-D4, "")</f>
        <v>-19270.200000000012</v>
      </c>
      <c r="F4" s="14">
        <f>IFERROR(E4/D4, "")</f>
        <v>-0.11276231448831492</v>
      </c>
      <c r="G4" s="15">
        <v>193982.6</v>
      </c>
      <c r="H4" s="15">
        <f>IF(AND(ISNUMBER(C4),ISNUMBER(G4)), C4-G4, "")</f>
        <v>-42360.600000000006</v>
      </c>
      <c r="I4" s="16">
        <f>IFERROR(H4/G4, "")</f>
        <v>-0.2183731942968081</v>
      </c>
      <c r="J4" s="38" t="s">
        <v>162</v>
      </c>
      <c r="K4" s="38" t="s">
        <v>163</v>
      </c>
    </row>
    <row r="5" spans="1:11" ht="15.6">
      <c r="A5" s="28" t="str">
        <v>Bunce</v>
      </c>
      <c r="B5" s="29" t="str">
        <v>CT</v>
      </c>
      <c r="C5" s="11">
        <v>378238.75</v>
      </c>
      <c r="D5" s="18">
        <v>285369.2</v>
      </c>
      <c r="E5" s="18">
        <f t="shared" ref="E5:E14" si="0">IF(AND(ISNUMBER(C5),ISNUMBER(D5)), C5-D5, "")</f>
        <v>92869.549999999988</v>
      </c>
      <c r="F5" s="19">
        <f>IFERROR(E5/D5, "")</f>
        <v>0.32543648718922707</v>
      </c>
      <c r="G5" s="20">
        <v>0</v>
      </c>
      <c r="H5" s="20">
        <f t="shared" ref="H5:H14" si="1">IF(AND(ISNUMBER(C5),ISNUMBER(G5)), C5-G5, "")</f>
        <v>378238.75</v>
      </c>
      <c r="I5" s="19" t="str">
        <f t="shared" ref="I5:I14" si="2">IFERROR(H5/G5, "")</f>
        <v/>
      </c>
      <c r="J5" s="39"/>
      <c r="K5" s="39"/>
    </row>
    <row r="6" spans="1:11" ht="101.45">
      <c r="A6" s="56" t="str">
        <v>Norcap North</v>
      </c>
      <c r="B6" s="27" t="str">
        <v>CT</v>
      </c>
      <c r="C6" s="24">
        <v>395338</v>
      </c>
      <c r="D6" s="13">
        <v>357020.7</v>
      </c>
      <c r="E6" s="13">
        <f t="shared" si="0"/>
        <v>38317.299999999988</v>
      </c>
      <c r="F6" s="14">
        <f t="shared" ref="F6:F14" si="3">IFERROR(E6/D6, "")</f>
        <v>0.10732514949413294</v>
      </c>
      <c r="G6" s="15">
        <v>372302.4</v>
      </c>
      <c r="H6" s="15">
        <f t="shared" si="1"/>
        <v>23035.599999999977</v>
      </c>
      <c r="I6" s="16">
        <f t="shared" si="2"/>
        <v>6.1873358860968869E-2</v>
      </c>
      <c r="J6" s="38" t="s">
        <v>164</v>
      </c>
      <c r="K6" s="38" t="s">
        <v>165</v>
      </c>
    </row>
    <row r="7" spans="1:11" ht="43.5">
      <c r="A7" s="28" t="str">
        <v>Norcap South</v>
      </c>
      <c r="B7" s="29" t="str">
        <v>CT</v>
      </c>
      <c r="C7" s="11">
        <v>398328</v>
      </c>
      <c r="D7" s="18">
        <v>376859.7</v>
      </c>
      <c r="E7" s="18">
        <f t="shared" si="0"/>
        <v>21468.299999999988</v>
      </c>
      <c r="F7" s="19">
        <f t="shared" si="3"/>
        <v>5.6966292760939917E-2</v>
      </c>
      <c r="G7" s="20">
        <v>364945.4</v>
      </c>
      <c r="H7" s="20">
        <f t="shared" si="1"/>
        <v>33382.599999999977</v>
      </c>
      <c r="I7" s="19">
        <f t="shared" si="2"/>
        <v>9.1472861419817794E-2</v>
      </c>
      <c r="J7" s="39" t="s">
        <v>166</v>
      </c>
      <c r="K7" s="48" t="s">
        <v>167</v>
      </c>
    </row>
    <row r="8" spans="1:11" ht="15.6">
      <c r="A8" s="56" t="str">
        <v>Platt Hill</v>
      </c>
      <c r="B8" s="27" t="str">
        <v>CT</v>
      </c>
      <c r="C8" s="24">
        <v>435241</v>
      </c>
      <c r="D8" s="13">
        <v>432722.3</v>
      </c>
      <c r="E8" s="13">
        <f t="shared" si="0"/>
        <v>2518.7000000000116</v>
      </c>
      <c r="F8" s="14">
        <f t="shared" si="3"/>
        <v>5.8205920979806491E-3</v>
      </c>
      <c r="G8" s="15">
        <v>408070</v>
      </c>
      <c r="H8" s="15">
        <f t="shared" si="1"/>
        <v>27171</v>
      </c>
      <c r="I8" s="16">
        <f t="shared" si="2"/>
        <v>6.6584164481584038E-2</v>
      </c>
      <c r="J8" s="38"/>
      <c r="K8" s="38"/>
    </row>
    <row r="9" spans="1:11" ht="57.95">
      <c r="A9" s="28" t="str">
        <v>Powder Hill</v>
      </c>
      <c r="B9" s="29" t="str">
        <v>CT</v>
      </c>
      <c r="C9" s="11">
        <v>387569</v>
      </c>
      <c r="D9" s="18">
        <v>393043.1</v>
      </c>
      <c r="E9" s="18">
        <f t="shared" si="0"/>
        <v>-5474.0999999999767</v>
      </c>
      <c r="F9" s="19">
        <f t="shared" si="3"/>
        <v>-1.3927480217818292E-2</v>
      </c>
      <c r="G9" s="20">
        <v>286956</v>
      </c>
      <c r="H9" s="20">
        <f t="shared" si="1"/>
        <v>100613</v>
      </c>
      <c r="I9" s="19">
        <f t="shared" si="2"/>
        <v>0.35062169810005717</v>
      </c>
      <c r="J9" s="48" t="s">
        <v>168</v>
      </c>
      <c r="K9" s="48" t="s">
        <v>169</v>
      </c>
    </row>
    <row r="10" spans="1:11" ht="15.6">
      <c r="A10" s="56" t="str">
        <v>Sand Road</v>
      </c>
      <c r="B10" s="27" t="str">
        <v>CT</v>
      </c>
      <c r="C10" s="24">
        <v>411839.98021261598</v>
      </c>
      <c r="D10" s="13">
        <v>342254.8</v>
      </c>
      <c r="E10" s="13">
        <f t="shared" si="0"/>
        <v>69585.180212615989</v>
      </c>
      <c r="F10" s="14">
        <f t="shared" si="3"/>
        <v>0.2033139643698671</v>
      </c>
      <c r="G10" s="15">
        <v>348315</v>
      </c>
      <c r="H10" s="15">
        <f t="shared" si="1"/>
        <v>63524.980212615978</v>
      </c>
      <c r="I10" s="16">
        <f t="shared" si="2"/>
        <v>0.1823779630869069</v>
      </c>
      <c r="J10" s="38" t="s">
        <v>170</v>
      </c>
      <c r="K10" s="38" t="s">
        <v>171</v>
      </c>
    </row>
    <row r="11" spans="1:11" ht="15.6">
      <c r="A11" s="28" t="str">
        <v>Suffield</v>
      </c>
      <c r="B11" s="29" t="str">
        <v>CT</v>
      </c>
      <c r="C11" s="11">
        <v>409009</v>
      </c>
      <c r="D11" s="18">
        <v>397534.2</v>
      </c>
      <c r="E11" s="18">
        <f t="shared" si="0"/>
        <v>11474.799999999988</v>
      </c>
      <c r="F11" s="19">
        <f t="shared" si="3"/>
        <v>2.8864937909744589E-2</v>
      </c>
      <c r="G11" s="20">
        <v>385905.1</v>
      </c>
      <c r="H11" s="20">
        <f t="shared" si="1"/>
        <v>23103.900000000023</v>
      </c>
      <c r="I11" s="19">
        <f t="shared" si="2"/>
        <v>5.9869382394790907E-2</v>
      </c>
      <c r="J11" s="39"/>
      <c r="K11" s="39"/>
    </row>
    <row r="12" spans="1:11" ht="15.6">
      <c r="A12" s="56" t="str">
        <v>Ashby-Duffy</v>
      </c>
      <c r="B12" s="27" t="str">
        <v>MA</v>
      </c>
      <c r="C12" s="24">
        <v>366239.5</v>
      </c>
      <c r="D12" s="13">
        <v>360487.1</v>
      </c>
      <c r="E12" s="13">
        <f t="shared" si="0"/>
        <v>5752.4000000000233</v>
      </c>
      <c r="F12" s="14">
        <f t="shared" si="3"/>
        <v>1.5957297778478131E-2</v>
      </c>
      <c r="G12" s="15">
        <v>356597.4</v>
      </c>
      <c r="H12" s="15">
        <f t="shared" si="1"/>
        <v>9642.0999999999767</v>
      </c>
      <c r="I12" s="16">
        <f t="shared" si="2"/>
        <v>2.7039176393321925E-2</v>
      </c>
      <c r="J12" s="38" t="s">
        <v>172</v>
      </c>
      <c r="K12" s="38" t="s">
        <v>173</v>
      </c>
    </row>
    <row r="13" spans="1:11" ht="15.6">
      <c r="A13" s="28" t="str">
        <v>Ashland</v>
      </c>
      <c r="B13" s="29" t="str">
        <v>MA</v>
      </c>
      <c r="C13" s="11">
        <v>408345.04734848498</v>
      </c>
      <c r="D13" s="18">
        <v>408357.6</v>
      </c>
      <c r="E13" s="18">
        <f t="shared" si="0"/>
        <v>-12.552651514997706</v>
      </c>
      <c r="F13" s="19">
        <f t="shared" si="3"/>
        <v>-3.0739360587381519E-5</v>
      </c>
      <c r="G13" s="20">
        <v>401173.2</v>
      </c>
      <c r="H13" s="20">
        <f t="shared" si="1"/>
        <v>7171.8473484849674</v>
      </c>
      <c r="I13" s="19">
        <f t="shared" si="2"/>
        <v>1.7877184588813429E-2</v>
      </c>
      <c r="J13" s="39" t="s">
        <v>174</v>
      </c>
      <c r="K13" s="39" t="s">
        <v>175</v>
      </c>
    </row>
    <row r="14" spans="1:11" ht="15.6">
      <c r="A14" s="56" t="str">
        <v>Barrington</v>
      </c>
      <c r="B14" s="27" t="str">
        <v>MA</v>
      </c>
      <c r="C14" s="24">
        <v>86103.5</v>
      </c>
      <c r="D14" s="13">
        <v>75594.45</v>
      </c>
      <c r="E14" s="13">
        <f t="shared" si="0"/>
        <v>10509.050000000003</v>
      </c>
      <c r="F14" s="14">
        <f t="shared" si="3"/>
        <v>0.13901880362910243</v>
      </c>
      <c r="G14" s="15">
        <v>85100</v>
      </c>
      <c r="H14" s="15">
        <f t="shared" si="1"/>
        <v>1003.5</v>
      </c>
      <c r="I14" s="16">
        <f t="shared" si="2"/>
        <v>1.1792009400705053E-2</v>
      </c>
      <c r="J14" s="38"/>
      <c r="K14" s="38"/>
    </row>
    <row r="15" spans="1:11" ht="29.1">
      <c r="A15" s="28" t="str">
        <v>Bedford - 205 Burlington Rd</v>
      </c>
      <c r="B15" s="29" t="str">
        <v>MA</v>
      </c>
      <c r="C15" s="11">
        <v>37813</v>
      </c>
      <c r="D15" s="18">
        <v>0</v>
      </c>
      <c r="E15" s="18">
        <f t="shared" ref="E15:E28" si="4">IF(AND(ISNUMBER(C15),ISNUMBER(D15)), C15-D15, "")</f>
        <v>37813</v>
      </c>
      <c r="F15" s="53" t="str">
        <f t="shared" ref="F15:F28" si="5">IFERROR(E15/D15, "")</f>
        <v/>
      </c>
      <c r="G15" s="20">
        <v>0</v>
      </c>
      <c r="H15" s="51">
        <f t="shared" ref="H15:H28" si="6">IF(AND(ISNUMBER(C15),ISNUMBER(G15)), C15-G15, "")</f>
        <v>37813</v>
      </c>
      <c r="I15" s="53" t="str">
        <f t="shared" ref="I15:I28" si="7">IFERROR(H15/G15, "")</f>
        <v/>
      </c>
      <c r="J15" s="39" t="s">
        <v>176</v>
      </c>
      <c r="K15" s="48" t="s">
        <v>177</v>
      </c>
    </row>
    <row r="16" spans="1:11" ht="72.599999999999994">
      <c r="A16" s="56" t="str">
        <v>Billerica - 6 Cook Street</v>
      </c>
      <c r="B16" s="27" t="str">
        <v>MA</v>
      </c>
      <c r="C16" s="24">
        <v>29477</v>
      </c>
      <c r="D16" s="13">
        <v>0</v>
      </c>
      <c r="E16" s="13">
        <f t="shared" si="4"/>
        <v>29477</v>
      </c>
      <c r="F16" s="14" t="str">
        <f t="shared" si="5"/>
        <v/>
      </c>
      <c r="G16" s="15">
        <v>0</v>
      </c>
      <c r="H16" s="15">
        <f t="shared" si="6"/>
        <v>29477</v>
      </c>
      <c r="I16" s="16" t="str">
        <f t="shared" si="7"/>
        <v/>
      </c>
      <c r="J16" s="38" t="s">
        <v>178</v>
      </c>
      <c r="K16" s="38" t="s">
        <v>179</v>
      </c>
    </row>
    <row r="17" spans="1:11" ht="15.6">
      <c r="A17" s="28" t="str">
        <v>Billerica - 780 Boston Road</v>
      </c>
      <c r="B17" s="29" t="str">
        <v>MA</v>
      </c>
      <c r="C17" s="11">
        <v>50719</v>
      </c>
      <c r="D17" s="18">
        <v>0</v>
      </c>
      <c r="E17" s="18">
        <f t="shared" si="4"/>
        <v>50719</v>
      </c>
      <c r="F17" s="53" t="str">
        <f t="shared" si="5"/>
        <v/>
      </c>
      <c r="G17" s="20">
        <v>0</v>
      </c>
      <c r="H17" s="51">
        <f t="shared" si="6"/>
        <v>50719</v>
      </c>
      <c r="I17" s="53" t="str">
        <f t="shared" si="7"/>
        <v/>
      </c>
      <c r="J17" s="39"/>
      <c r="K17" s="39"/>
    </row>
    <row r="18" spans="1:11" ht="22.5" customHeight="1">
      <c r="A18" s="56" t="str">
        <v>Cheshire</v>
      </c>
      <c r="B18" s="27" t="str">
        <v>MA</v>
      </c>
      <c r="C18" s="24">
        <v>85983.5</v>
      </c>
      <c r="D18" s="13">
        <v>89600.91</v>
      </c>
      <c r="E18" s="13">
        <f t="shared" si="4"/>
        <v>-3617.4100000000035</v>
      </c>
      <c r="F18" s="14">
        <f t="shared" si="5"/>
        <v>-4.0372469431393089E-2</v>
      </c>
      <c r="G18" s="15">
        <v>70804.72</v>
      </c>
      <c r="H18" s="15">
        <f t="shared" si="6"/>
        <v>15178.779999999999</v>
      </c>
      <c r="I18" s="16">
        <f t="shared" si="7"/>
        <v>0.21437525633884294</v>
      </c>
      <c r="J18" s="38" t="s">
        <v>180</v>
      </c>
      <c r="K18" s="38" t="s">
        <v>181</v>
      </c>
    </row>
    <row r="19" spans="1:11" ht="15.6">
      <c r="A19" s="28" t="str">
        <v>Lilly Lane</v>
      </c>
      <c r="B19" s="29" t="str">
        <v>MA</v>
      </c>
      <c r="C19" s="11">
        <v>203524.5</v>
      </c>
      <c r="D19" s="18">
        <v>187417</v>
      </c>
      <c r="E19" s="18">
        <f t="shared" si="4"/>
        <v>16107.5</v>
      </c>
      <c r="F19" s="53">
        <f t="shared" si="5"/>
        <v>8.5944711525635348E-2</v>
      </c>
      <c r="G19" s="20">
        <v>177912.4</v>
      </c>
      <c r="H19" s="51">
        <f t="shared" si="6"/>
        <v>25612.100000000006</v>
      </c>
      <c r="I19" s="53">
        <f t="shared" si="7"/>
        <v>0.14395904950975877</v>
      </c>
      <c r="J19" s="39" t="s">
        <v>182</v>
      </c>
      <c r="K19" s="39" t="s">
        <v>183</v>
      </c>
    </row>
    <row r="20" spans="1:11" ht="57.95">
      <c r="A20" s="56" t="str">
        <v>Monument Valley</v>
      </c>
      <c r="B20" s="27" t="str">
        <v>MA</v>
      </c>
      <c r="C20" s="24">
        <v>392015.29648727999</v>
      </c>
      <c r="D20" s="13">
        <v>69705.06</v>
      </c>
      <c r="E20" s="13">
        <f t="shared" si="4"/>
        <v>322310.23648728</v>
      </c>
      <c r="F20" s="14">
        <f t="shared" si="5"/>
        <v>4.6239144832137011</v>
      </c>
      <c r="G20" s="15">
        <v>0</v>
      </c>
      <c r="H20" s="15">
        <f t="shared" si="6"/>
        <v>392015.29648727999</v>
      </c>
      <c r="I20" s="16" t="str">
        <f t="shared" si="7"/>
        <v/>
      </c>
      <c r="J20" s="38" t="s">
        <v>184</v>
      </c>
      <c r="K20" s="38" t="s">
        <v>185</v>
      </c>
    </row>
    <row r="21" spans="1:11" ht="29.1">
      <c r="A21" s="28" t="str">
        <v>Nationwide</v>
      </c>
      <c r="B21" s="29" t="str">
        <v>MA</v>
      </c>
      <c r="C21" s="11">
        <v>744592.5</v>
      </c>
      <c r="D21" s="18">
        <v>561028.5</v>
      </c>
      <c r="E21" s="18">
        <f t="shared" si="4"/>
        <v>183564</v>
      </c>
      <c r="F21" s="53">
        <f t="shared" si="5"/>
        <v>0.32719193409960456</v>
      </c>
      <c r="G21" s="20">
        <v>552555.9</v>
      </c>
      <c r="H21" s="51">
        <f t="shared" si="6"/>
        <v>192036.59999999998</v>
      </c>
      <c r="I21" s="53">
        <f t="shared" si="7"/>
        <v>0.34754239344833704</v>
      </c>
      <c r="J21" s="39" t="s">
        <v>186</v>
      </c>
      <c r="K21" s="39" t="s">
        <v>149</v>
      </c>
    </row>
    <row r="22" spans="1:11" ht="130.5">
      <c r="A22" s="56" t="str">
        <v>Pulpit Hill</v>
      </c>
      <c r="B22" s="27" t="str">
        <v>MA</v>
      </c>
      <c r="C22" s="24">
        <v>732560.25</v>
      </c>
      <c r="D22" s="13">
        <v>361827.2</v>
      </c>
      <c r="E22" s="13">
        <f t="shared" si="4"/>
        <v>370733.05</v>
      </c>
      <c r="F22" s="14">
        <f t="shared" si="5"/>
        <v>1.0246135448081293</v>
      </c>
      <c r="G22" s="15">
        <v>802158.5</v>
      </c>
      <c r="H22" s="15">
        <f t="shared" si="6"/>
        <v>-69598.25</v>
      </c>
      <c r="I22" s="16">
        <f t="shared" si="7"/>
        <v>-8.6763713156439784E-2</v>
      </c>
      <c r="J22" s="38" t="s">
        <v>187</v>
      </c>
      <c r="K22" s="38" t="s">
        <v>188</v>
      </c>
    </row>
    <row r="23" spans="1:11" ht="57.95">
      <c r="A23" s="28" t="str">
        <v>Sandwich</v>
      </c>
      <c r="B23" s="29" t="str">
        <v>MA</v>
      </c>
      <c r="C23" s="11">
        <v>582219</v>
      </c>
      <c r="D23" s="18">
        <v>0</v>
      </c>
      <c r="E23" s="18">
        <f t="shared" si="4"/>
        <v>582219</v>
      </c>
      <c r="F23" s="53" t="str">
        <f t="shared" si="5"/>
        <v/>
      </c>
      <c r="G23" s="20">
        <v>0</v>
      </c>
      <c r="H23" s="51">
        <f t="shared" si="6"/>
        <v>582219</v>
      </c>
      <c r="I23" s="53" t="str">
        <f t="shared" si="7"/>
        <v/>
      </c>
      <c r="J23" s="39" t="s">
        <v>189</v>
      </c>
      <c r="K23" s="48" t="s">
        <v>190</v>
      </c>
    </row>
    <row r="24" spans="1:11" ht="15.6">
      <c r="A24" s="56" t="str">
        <v>Sturbridge Barn</v>
      </c>
      <c r="B24" s="27" t="str">
        <v>MA</v>
      </c>
      <c r="C24" s="24">
        <v>198837</v>
      </c>
      <c r="D24" s="13">
        <v>195202.3</v>
      </c>
      <c r="E24" s="13">
        <f t="shared" si="4"/>
        <v>3634.7000000000116</v>
      </c>
      <c r="F24" s="14">
        <f t="shared" si="5"/>
        <v>1.8620169946768107E-2</v>
      </c>
      <c r="G24" s="15">
        <v>197006.1</v>
      </c>
      <c r="H24" s="15">
        <f t="shared" si="6"/>
        <v>1830.8999999999942</v>
      </c>
      <c r="I24" s="16">
        <f t="shared" si="7"/>
        <v>9.2936208574251975E-3</v>
      </c>
      <c r="J24" s="38"/>
      <c r="K24" s="38"/>
    </row>
    <row r="25" spans="1:11" ht="15.6">
      <c r="A25" s="28" t="str">
        <v>Sturbridge Garage</v>
      </c>
      <c r="B25" s="29" t="str">
        <v>MA</v>
      </c>
      <c r="C25" s="11">
        <v>102318.5</v>
      </c>
      <c r="D25" s="18">
        <v>92874.71</v>
      </c>
      <c r="E25" s="18">
        <f t="shared" si="4"/>
        <v>9443.7899999999936</v>
      </c>
      <c r="F25" s="53">
        <f t="shared" si="5"/>
        <v>0.10168311696477968</v>
      </c>
      <c r="G25" s="20">
        <v>87884.22</v>
      </c>
      <c r="H25" s="51">
        <f t="shared" si="6"/>
        <v>14434.279999999999</v>
      </c>
      <c r="I25" s="53">
        <f t="shared" si="7"/>
        <v>0.1642419993031741</v>
      </c>
      <c r="J25" s="39"/>
      <c r="K25" s="39"/>
    </row>
    <row r="26" spans="1:11" ht="43.5">
      <c r="A26" s="56" t="str">
        <v>Halsey Valley</v>
      </c>
      <c r="B26" s="27" t="str">
        <v>NY</v>
      </c>
      <c r="C26" s="24">
        <v>940231</v>
      </c>
      <c r="D26" s="13">
        <v>955473.5</v>
      </c>
      <c r="E26" s="13">
        <f t="shared" si="4"/>
        <v>-15242.5</v>
      </c>
      <c r="F26" s="14">
        <f t="shared" si="5"/>
        <v>-1.5952823390706285E-2</v>
      </c>
      <c r="G26" s="15">
        <v>986000</v>
      </c>
      <c r="H26" s="15">
        <f t="shared" si="6"/>
        <v>-45769</v>
      </c>
      <c r="I26" s="16">
        <f t="shared" si="7"/>
        <v>-4.641886409736308E-2</v>
      </c>
      <c r="J26" s="38" t="s">
        <v>191</v>
      </c>
      <c r="K26" s="38" t="s">
        <v>192</v>
      </c>
    </row>
    <row r="27" spans="1:11" ht="87">
      <c r="A27" s="28" t="str">
        <v>Hunt Creek</v>
      </c>
      <c r="B27" s="29" t="str">
        <v>NY</v>
      </c>
      <c r="C27" s="11">
        <v>676433.46402790002</v>
      </c>
      <c r="D27" s="18">
        <v>705205.1</v>
      </c>
      <c r="E27" s="18">
        <f t="shared" si="4"/>
        <v>-28771.635972099961</v>
      </c>
      <c r="F27" s="53">
        <f t="shared" si="5"/>
        <v>-4.0798961851098298E-2</v>
      </c>
      <c r="G27" s="20">
        <v>706700</v>
      </c>
      <c r="H27" s="51">
        <f t="shared" si="6"/>
        <v>-30266.535972099984</v>
      </c>
      <c r="I27" s="53">
        <f t="shared" si="7"/>
        <v>-4.2827983546200626E-2</v>
      </c>
      <c r="J27" s="39" t="s">
        <v>193</v>
      </c>
      <c r="K27" s="48" t="s">
        <v>194</v>
      </c>
    </row>
    <row r="28" spans="1:11" ht="29.1">
      <c r="A28" s="56" t="str">
        <v>Smith Creek</v>
      </c>
      <c r="B28" s="27" t="str">
        <v>NY</v>
      </c>
      <c r="C28" s="24">
        <v>715387.78070879902</v>
      </c>
      <c r="D28" s="13">
        <v>775106.4</v>
      </c>
      <c r="E28" s="13">
        <f t="shared" si="4"/>
        <v>-59718.619291201001</v>
      </c>
      <c r="F28" s="14">
        <f t="shared" si="5"/>
        <v>-7.7045705326650643E-2</v>
      </c>
      <c r="G28" s="15">
        <v>753700.6</v>
      </c>
      <c r="H28" s="15">
        <f t="shared" si="6"/>
        <v>-38312.819291200954</v>
      </c>
      <c r="I28" s="16">
        <f t="shared" si="7"/>
        <v>-5.0832942538722878E-2</v>
      </c>
      <c r="J28" s="38" t="s">
        <v>195</v>
      </c>
      <c r="K28" s="38" t="s">
        <v>196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3 I4:I103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5"/>
  <sheetViews>
    <sheetView zoomScale="70" zoomScaleNormal="70" workbookViewId="0">
      <pane xSplit="2" ySplit="3" topLeftCell="C4" activePane="bottomRight" state="frozen"/>
      <selection pane="bottomRight" activeCell="A11" sqref="A11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197</v>
      </c>
      <c r="E1" s="59"/>
      <c r="F1" s="59"/>
      <c r="G1" s="57" t="s">
        <v>198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9041351.3330589328</v>
      </c>
      <c r="D2" s="5">
        <f>SUM(D4:D103)</f>
        <v>7897048.5300000003</v>
      </c>
      <c r="E2" s="5">
        <f>C2-D2</f>
        <v>1144302.8030589325</v>
      </c>
      <c r="F2" s="6">
        <f>IFERROR(E2/D2, 0)</f>
        <v>0.14490259224213384</v>
      </c>
      <c r="G2" s="5">
        <f>SUM(G4:G103)</f>
        <v>7956157.9900000012</v>
      </c>
      <c r="H2" s="7">
        <f>C2-G2</f>
        <v>1085193.3430589316</v>
      </c>
      <c r="I2" s="6">
        <f>IFERROR(H2/G2, 0)</f>
        <v>0.13639665582595242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96" customHeight="1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159234</v>
      </c>
      <c r="D4" s="13">
        <v>191586</v>
      </c>
      <c r="E4" s="13">
        <f>IF(AND(ISNUMBER(C4),ISNUMBER(D4)), C4-D4, "")</f>
        <v>-32352</v>
      </c>
      <c r="F4" s="14">
        <f>IFERROR(E4/D4, "")</f>
        <v>-0.16886411324418277</v>
      </c>
      <c r="G4" s="15">
        <v>196465.3</v>
      </c>
      <c r="H4" s="15">
        <f>IF(AND(ISNUMBER(C4),ISNUMBER(G4)), C4-G4, "")</f>
        <v>-37231.299999999988</v>
      </c>
      <c r="I4" s="16">
        <f>IFERROR(H4/G4, "")</f>
        <v>-0.18950572951050385</v>
      </c>
      <c r="J4" s="38" t="s">
        <v>199</v>
      </c>
      <c r="K4" s="38" t="s">
        <v>200</v>
      </c>
    </row>
    <row r="5" spans="1:11" ht="15.6">
      <c r="A5" s="28" t="str">
        <v>Bunce</v>
      </c>
      <c r="B5" s="29" t="str">
        <v>CT</v>
      </c>
      <c r="C5" s="11">
        <v>390087.25</v>
      </c>
      <c r="D5" s="18">
        <v>296867.8</v>
      </c>
      <c r="E5" s="18">
        <f t="shared" ref="E5:E14" si="0">IF(AND(ISNUMBER(C5),ISNUMBER(D5)), C5-D5, "")</f>
        <v>93219.450000000012</v>
      </c>
      <c r="F5" s="19">
        <f>IFERROR(E5/D5, "")</f>
        <v>0.31400997346293541</v>
      </c>
      <c r="G5" s="20">
        <v>0</v>
      </c>
      <c r="H5" s="20">
        <f t="shared" ref="H5:H14" si="1">IF(AND(ISNUMBER(C5),ISNUMBER(G5)), C5-G5, "")</f>
        <v>390087.25</v>
      </c>
      <c r="I5" s="19" t="str">
        <f t="shared" ref="I5:I14" si="2">IFERROR(H5/G5, "")</f>
        <v/>
      </c>
      <c r="J5" s="39"/>
      <c r="K5" s="39"/>
    </row>
    <row r="6" spans="1:11" ht="43.5">
      <c r="A6" s="30" t="str">
        <v>Norcap North</v>
      </c>
      <c r="B6" s="27" t="str">
        <v>CT</v>
      </c>
      <c r="C6" s="24">
        <v>386328</v>
      </c>
      <c r="D6" s="13">
        <v>349481.2</v>
      </c>
      <c r="E6" s="13">
        <f t="shared" si="0"/>
        <v>36846.799999999988</v>
      </c>
      <c r="F6" s="14">
        <f t="shared" ref="F6:F14" si="3">IFERROR(E6/D6, "")</f>
        <v>0.10543285304044964</v>
      </c>
      <c r="G6" s="15">
        <v>381922.2</v>
      </c>
      <c r="H6" s="15">
        <f t="shared" si="1"/>
        <v>4405.7999999999884</v>
      </c>
      <c r="I6" s="16">
        <f t="shared" si="2"/>
        <v>1.1535857302874743E-2</v>
      </c>
      <c r="J6" s="38" t="s">
        <v>201</v>
      </c>
      <c r="K6" s="38" t="s">
        <v>202</v>
      </c>
    </row>
    <row r="7" spans="1:11" ht="15.6">
      <c r="A7" s="28" t="str">
        <v>Norcap South</v>
      </c>
      <c r="B7" s="29" t="str">
        <v>CT</v>
      </c>
      <c r="C7" s="11">
        <v>382575.5</v>
      </c>
      <c r="D7" s="18">
        <v>369441.1</v>
      </c>
      <c r="E7" s="18">
        <f t="shared" si="0"/>
        <v>13134.400000000023</v>
      </c>
      <c r="F7" s="19">
        <f t="shared" si="3"/>
        <v>3.555208123838962E-2</v>
      </c>
      <c r="G7" s="20">
        <v>373890.8</v>
      </c>
      <c r="H7" s="20">
        <f t="shared" si="1"/>
        <v>8684.7000000000116</v>
      </c>
      <c r="I7" s="19">
        <f t="shared" si="2"/>
        <v>2.3227905046072306E-2</v>
      </c>
      <c r="J7" s="39"/>
      <c r="K7" s="39"/>
    </row>
    <row r="8" spans="1:11" ht="15.6">
      <c r="A8" s="30" t="str">
        <v>Platt Hill</v>
      </c>
      <c r="B8" s="27" t="str">
        <v>CT</v>
      </c>
      <c r="C8" s="24">
        <v>645</v>
      </c>
      <c r="D8" s="13">
        <v>52792.23</v>
      </c>
      <c r="E8" s="13">
        <f t="shared" si="0"/>
        <v>-52147.23</v>
      </c>
      <c r="F8" s="14">
        <f t="shared" si="3"/>
        <v>-0.98778229296243025</v>
      </c>
      <c r="G8" s="15">
        <v>460450.4</v>
      </c>
      <c r="H8" s="15">
        <f t="shared" si="1"/>
        <v>-459805.4</v>
      </c>
      <c r="I8" s="16">
        <f t="shared" si="2"/>
        <v>-0.99859919765516547</v>
      </c>
      <c r="J8" s="38" t="s">
        <v>203</v>
      </c>
      <c r="K8" s="38" t="s">
        <v>204</v>
      </c>
    </row>
    <row r="9" spans="1:11" ht="57.95">
      <c r="A9" s="28" t="str">
        <v>Powder Hill</v>
      </c>
      <c r="B9" s="29" t="str">
        <v>CT</v>
      </c>
      <c r="C9" s="11">
        <v>374785</v>
      </c>
      <c r="D9" s="18">
        <v>377123.9</v>
      </c>
      <c r="E9" s="18">
        <f t="shared" si="0"/>
        <v>-2338.9000000000233</v>
      </c>
      <c r="F9" s="19">
        <f t="shared" si="3"/>
        <v>-6.2019405293592452E-3</v>
      </c>
      <c r="G9" s="20">
        <v>306552</v>
      </c>
      <c r="H9" s="20">
        <f t="shared" si="1"/>
        <v>68233</v>
      </c>
      <c r="I9" s="19">
        <f t="shared" si="2"/>
        <v>0.22258213940864846</v>
      </c>
      <c r="J9" s="48" t="s">
        <v>205</v>
      </c>
      <c r="K9" s="48" t="s">
        <v>206</v>
      </c>
    </row>
    <row r="10" spans="1:11" ht="57.95">
      <c r="A10" s="30" t="str">
        <v>Sand Road</v>
      </c>
      <c r="B10" s="27" t="str">
        <v>CT</v>
      </c>
      <c r="C10" s="24">
        <v>397883.01978738402</v>
      </c>
      <c r="D10" s="13">
        <v>338643.4</v>
      </c>
      <c r="E10" s="13">
        <f t="shared" si="0"/>
        <v>59239.619787383999</v>
      </c>
      <c r="F10" s="14">
        <f t="shared" si="3"/>
        <v>0.17493215514427268</v>
      </c>
      <c r="G10" s="15">
        <v>370289</v>
      </c>
      <c r="H10" s="15">
        <f t="shared" si="1"/>
        <v>27594.019787384022</v>
      </c>
      <c r="I10" s="16">
        <f t="shared" si="2"/>
        <v>7.4520225519483493E-2</v>
      </c>
      <c r="J10" s="38" t="s">
        <v>207</v>
      </c>
      <c r="K10" s="38" t="s">
        <v>208</v>
      </c>
    </row>
    <row r="11" spans="1:11" ht="15.6">
      <c r="A11" s="28" t="str">
        <v>Suffield</v>
      </c>
      <c r="B11" s="29" t="str">
        <v>CT</v>
      </c>
      <c r="C11" s="11">
        <v>391495.073159764</v>
      </c>
      <c r="D11" s="18">
        <v>388561.7</v>
      </c>
      <c r="E11" s="18">
        <f t="shared" si="0"/>
        <v>2933.3731597639853</v>
      </c>
      <c r="F11" s="19">
        <f t="shared" si="3"/>
        <v>7.5493111126598046E-3</v>
      </c>
      <c r="G11" s="20">
        <v>389406.2</v>
      </c>
      <c r="H11" s="20">
        <f t="shared" si="1"/>
        <v>2088.8731597639853</v>
      </c>
      <c r="I11" s="19">
        <f t="shared" si="2"/>
        <v>5.3642524432430333E-3</v>
      </c>
      <c r="J11" s="39" t="s">
        <v>209</v>
      </c>
      <c r="K11" s="39" t="s">
        <v>210</v>
      </c>
    </row>
    <row r="12" spans="1:11" ht="63" customHeight="1">
      <c r="A12" s="30" t="str">
        <v>Ashby-Duffy</v>
      </c>
      <c r="B12" s="27" t="str">
        <v>MA</v>
      </c>
      <c r="C12" s="24">
        <v>351673</v>
      </c>
      <c r="D12" s="13">
        <v>374124.3</v>
      </c>
      <c r="E12" s="13">
        <f t="shared" si="0"/>
        <v>-22451.299999999988</v>
      </c>
      <c r="F12" s="14">
        <f t="shared" si="3"/>
        <v>-6.0010269314235906E-2</v>
      </c>
      <c r="G12" s="15">
        <v>364281.59999999998</v>
      </c>
      <c r="H12" s="15">
        <f t="shared" si="1"/>
        <v>-12608.599999999977</v>
      </c>
      <c r="I12" s="16">
        <f t="shared" si="2"/>
        <v>-3.4612234051898248E-2</v>
      </c>
      <c r="J12" s="38" t="s">
        <v>211</v>
      </c>
      <c r="K12" s="38" t="s">
        <v>212</v>
      </c>
    </row>
    <row r="13" spans="1:11" ht="57" customHeight="1">
      <c r="A13" s="28" t="str">
        <v>Ashland</v>
      </c>
      <c r="B13" s="29" t="str">
        <v>MA</v>
      </c>
      <c r="C13" s="11">
        <v>380110.45265151502</v>
      </c>
      <c r="D13" s="18">
        <v>376119.1</v>
      </c>
      <c r="E13" s="18">
        <f t="shared" si="0"/>
        <v>3991.3526515150443</v>
      </c>
      <c r="F13" s="19">
        <f t="shared" si="3"/>
        <v>1.061193821721642E-2</v>
      </c>
      <c r="G13" s="20">
        <v>412652.5</v>
      </c>
      <c r="H13" s="20">
        <f t="shared" si="1"/>
        <v>-32542.047348484979</v>
      </c>
      <c r="I13" s="19">
        <f t="shared" si="2"/>
        <v>-7.8860657207904902E-2</v>
      </c>
      <c r="J13" s="48" t="s">
        <v>213</v>
      </c>
      <c r="K13" s="48" t="s">
        <v>214</v>
      </c>
    </row>
    <row r="14" spans="1:11" ht="15.6">
      <c r="A14" s="30" t="str">
        <v>Barrington</v>
      </c>
      <c r="B14" s="27" t="str">
        <v>MA</v>
      </c>
      <c r="C14" s="24">
        <v>87936</v>
      </c>
      <c r="D14" s="13">
        <v>74920.89</v>
      </c>
      <c r="E14" s="13">
        <f t="shared" si="0"/>
        <v>13015.11</v>
      </c>
      <c r="F14" s="14">
        <f t="shared" si="3"/>
        <v>0.17371803778625694</v>
      </c>
      <c r="G14" s="15">
        <v>92730</v>
      </c>
      <c r="H14" s="15">
        <f t="shared" si="1"/>
        <v>-4794</v>
      </c>
      <c r="I14" s="16">
        <f t="shared" si="2"/>
        <v>-5.1698479456486576E-2</v>
      </c>
      <c r="J14" s="38"/>
      <c r="K14" s="38"/>
    </row>
    <row r="15" spans="1:11" ht="15.6">
      <c r="A15" s="28" t="str">
        <v>Bedford - 205 Burlington Rd</v>
      </c>
      <c r="B15" s="29" t="str">
        <v>MA</v>
      </c>
      <c r="C15" s="11">
        <v>34743</v>
      </c>
      <c r="D15" s="18">
        <v>0</v>
      </c>
      <c r="E15" s="18">
        <f t="shared" ref="E15:E28" si="4">IF(AND(ISNUMBER(C15),ISNUMBER(D15)), C15-D15, "")</f>
        <v>34743</v>
      </c>
      <c r="F15" s="53" t="str">
        <f t="shared" ref="F15:F28" si="5">IFERROR(E15/D15, "")</f>
        <v/>
      </c>
      <c r="G15" s="20">
        <v>0</v>
      </c>
      <c r="H15" s="51">
        <f t="shared" ref="H15:H28" si="6">IF(AND(ISNUMBER(C15),ISNUMBER(G15)), C15-G15, "")</f>
        <v>34743</v>
      </c>
      <c r="I15" s="53" t="str">
        <f t="shared" ref="I15:I28" si="7">IFERROR(H15/G15, "")</f>
        <v/>
      </c>
      <c r="J15" s="39"/>
      <c r="K15" s="39"/>
    </row>
    <row r="16" spans="1:11" ht="15.6">
      <c r="A16" s="30" t="str">
        <v>Billerica - 6 Cook Street</v>
      </c>
      <c r="B16" s="27" t="str">
        <v>MA</v>
      </c>
      <c r="C16" s="24">
        <v>42913</v>
      </c>
      <c r="D16" s="13">
        <v>0</v>
      </c>
      <c r="E16" s="13">
        <f t="shared" si="4"/>
        <v>42913</v>
      </c>
      <c r="F16" s="14" t="str">
        <f t="shared" si="5"/>
        <v/>
      </c>
      <c r="G16" s="15">
        <v>0</v>
      </c>
      <c r="H16" s="15">
        <f t="shared" si="6"/>
        <v>42913</v>
      </c>
      <c r="I16" s="16" t="str">
        <f t="shared" si="7"/>
        <v/>
      </c>
      <c r="J16" s="38"/>
      <c r="K16" s="38"/>
    </row>
    <row r="17" spans="1:11" ht="15.6">
      <c r="A17" s="28" t="str">
        <v>Billerica - 780 Boston Road</v>
      </c>
      <c r="B17" s="29" t="str">
        <v>MA</v>
      </c>
      <c r="C17" s="11">
        <v>48929</v>
      </c>
      <c r="D17" s="18">
        <v>0</v>
      </c>
      <c r="E17" s="18">
        <f t="shared" si="4"/>
        <v>48929</v>
      </c>
      <c r="F17" s="53" t="str">
        <f t="shared" si="5"/>
        <v/>
      </c>
      <c r="G17" s="20">
        <v>0</v>
      </c>
      <c r="H17" s="51">
        <f t="shared" si="6"/>
        <v>48929</v>
      </c>
      <c r="I17" s="53" t="str">
        <f t="shared" si="7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>
        <v>88670.032196969696</v>
      </c>
      <c r="D18" s="13">
        <v>92482.17</v>
      </c>
      <c r="E18" s="13">
        <f t="shared" si="4"/>
        <v>-3812.1378030303022</v>
      </c>
      <c r="F18" s="14">
        <f t="shared" si="5"/>
        <v>-4.1220246054242696E-2</v>
      </c>
      <c r="G18" s="15">
        <v>74385.87</v>
      </c>
      <c r="H18" s="15">
        <f t="shared" si="6"/>
        <v>14284.162196969701</v>
      </c>
      <c r="I18" s="16">
        <f t="shared" si="7"/>
        <v>0.19202789719297095</v>
      </c>
      <c r="J18" s="38"/>
      <c r="K18" s="38"/>
    </row>
    <row r="19" spans="1:11" ht="15.6">
      <c r="A19" s="28" t="str">
        <v>Lilly Lane</v>
      </c>
      <c r="B19" s="29" t="str">
        <v>MA</v>
      </c>
      <c r="C19" s="11">
        <v>192601.5</v>
      </c>
      <c r="D19" s="18">
        <v>175565.6</v>
      </c>
      <c r="E19" s="18">
        <f t="shared" si="4"/>
        <v>17035.899999999994</v>
      </c>
      <c r="F19" s="53">
        <f t="shared" si="5"/>
        <v>9.7034384868106241E-2</v>
      </c>
      <c r="G19" s="20">
        <v>188370.5</v>
      </c>
      <c r="H19" s="51">
        <f t="shared" si="6"/>
        <v>4231</v>
      </c>
      <c r="I19" s="53">
        <f t="shared" si="7"/>
        <v>2.2461054145951728E-2</v>
      </c>
      <c r="J19" s="39" t="s">
        <v>215</v>
      </c>
      <c r="K19" s="39" t="s">
        <v>216</v>
      </c>
    </row>
    <row r="20" spans="1:11" ht="29.1">
      <c r="A20" s="30" t="str">
        <v>Monument Valley</v>
      </c>
      <c r="B20" s="27" t="str">
        <v>MA</v>
      </c>
      <c r="C20" s="24">
        <v>410603.99999999901</v>
      </c>
      <c r="D20" s="13">
        <v>75065.2</v>
      </c>
      <c r="E20" s="13">
        <f t="shared" si="4"/>
        <v>335538.799999999</v>
      </c>
      <c r="F20" s="14">
        <f t="shared" si="5"/>
        <v>4.4699647772869318</v>
      </c>
      <c r="G20" s="15">
        <v>0</v>
      </c>
      <c r="H20" s="15">
        <f t="shared" si="6"/>
        <v>410603.99999999901</v>
      </c>
      <c r="I20" s="16" t="str">
        <f t="shared" si="7"/>
        <v/>
      </c>
      <c r="J20" s="38" t="s">
        <v>217</v>
      </c>
      <c r="K20" s="38" t="s">
        <v>218</v>
      </c>
    </row>
    <row r="21" spans="1:11" ht="15.6">
      <c r="A21" s="28" t="str">
        <v>Nationwide</v>
      </c>
      <c r="B21" s="29" t="str">
        <v>MA</v>
      </c>
      <c r="C21" s="11">
        <v>702416</v>
      </c>
      <c r="D21" s="18">
        <v>525495.5</v>
      </c>
      <c r="E21" s="18">
        <f t="shared" si="4"/>
        <v>176920.5</v>
      </c>
      <c r="F21" s="53">
        <f t="shared" si="5"/>
        <v>0.33667367275266868</v>
      </c>
      <c r="G21" s="20">
        <v>601743.9</v>
      </c>
      <c r="H21" s="51">
        <f t="shared" si="6"/>
        <v>100672.09999999998</v>
      </c>
      <c r="I21" s="53">
        <f t="shared" si="7"/>
        <v>0.16730057421437919</v>
      </c>
      <c r="J21" s="39" t="s">
        <v>219</v>
      </c>
      <c r="K21" s="39" t="s">
        <v>220</v>
      </c>
    </row>
    <row r="22" spans="1:11" ht="15.6">
      <c r="A22" s="30" t="str">
        <v>Pulpit Hill</v>
      </c>
      <c r="B22" s="27" t="str">
        <v>MA</v>
      </c>
      <c r="C22" s="24">
        <v>869048.75</v>
      </c>
      <c r="D22" s="13">
        <v>840772.6</v>
      </c>
      <c r="E22" s="13">
        <f t="shared" si="4"/>
        <v>28276.150000000023</v>
      </c>
      <c r="F22" s="14">
        <f t="shared" si="5"/>
        <v>3.3631150682122642E-2</v>
      </c>
      <c r="G22" s="15">
        <v>811987.9</v>
      </c>
      <c r="H22" s="15">
        <f t="shared" si="6"/>
        <v>57060.849999999977</v>
      </c>
      <c r="I22" s="16">
        <f t="shared" si="7"/>
        <v>7.0273029930618389E-2</v>
      </c>
      <c r="J22" s="38"/>
      <c r="K22" s="38"/>
    </row>
    <row r="23" spans="1:11" ht="15.6">
      <c r="A23" s="28" t="str">
        <v>Sandwich</v>
      </c>
      <c r="B23" s="29" t="str">
        <v>MA</v>
      </c>
      <c r="C23" s="11">
        <v>521868</v>
      </c>
      <c r="D23" s="18">
        <v>0</v>
      </c>
      <c r="E23" s="18">
        <f t="shared" si="4"/>
        <v>521868</v>
      </c>
      <c r="F23" s="53" t="str">
        <f t="shared" si="5"/>
        <v/>
      </c>
      <c r="G23" s="20">
        <v>0</v>
      </c>
      <c r="H23" s="51">
        <f t="shared" si="6"/>
        <v>521868</v>
      </c>
      <c r="I23" s="53" t="str">
        <f t="shared" si="7"/>
        <v/>
      </c>
      <c r="J23" s="39"/>
      <c r="K23" s="39"/>
    </row>
    <row r="24" spans="1:11" ht="15.6">
      <c r="A24" s="30" t="str">
        <v>Sturbridge Barn</v>
      </c>
      <c r="B24" s="27" t="str">
        <v>MA</v>
      </c>
      <c r="C24" s="24">
        <v>186423</v>
      </c>
      <c r="D24" s="13">
        <v>183255.5</v>
      </c>
      <c r="E24" s="13">
        <f t="shared" si="4"/>
        <v>3167.5</v>
      </c>
      <c r="F24" s="14">
        <f t="shared" si="5"/>
        <v>1.728461083023429E-2</v>
      </c>
      <c r="G24" s="15">
        <v>210258.8</v>
      </c>
      <c r="H24" s="15">
        <f t="shared" si="6"/>
        <v>-23835.799999999988</v>
      </c>
      <c r="I24" s="16">
        <f t="shared" si="7"/>
        <v>-0.1133641017641116</v>
      </c>
      <c r="J24" s="38"/>
      <c r="K24" s="38"/>
    </row>
    <row r="25" spans="1:11" ht="15.6">
      <c r="A25" s="28" t="str">
        <v>Sturbridge Garage</v>
      </c>
      <c r="B25" s="29" t="str">
        <v>MA</v>
      </c>
      <c r="C25" s="11">
        <v>95677</v>
      </c>
      <c r="D25" s="18">
        <v>87732.34</v>
      </c>
      <c r="E25" s="18">
        <f t="shared" si="4"/>
        <v>7944.6600000000035</v>
      </c>
      <c r="F25" s="53">
        <f t="shared" si="5"/>
        <v>9.0555660546612612E-2</v>
      </c>
      <c r="G25" s="20">
        <v>93050.82</v>
      </c>
      <c r="H25" s="51">
        <f t="shared" si="6"/>
        <v>2626.179999999993</v>
      </c>
      <c r="I25" s="53">
        <f t="shared" si="7"/>
        <v>2.8223072080396421E-2</v>
      </c>
      <c r="J25" s="39"/>
      <c r="K25" s="39"/>
    </row>
    <row r="26" spans="1:11" ht="15.6">
      <c r="A26" s="30" t="str">
        <v>Halsey Valley</v>
      </c>
      <c r="B26" s="27" t="str">
        <v>NY</v>
      </c>
      <c r="C26" s="24">
        <v>1091705</v>
      </c>
      <c r="D26" s="13">
        <v>1081012</v>
      </c>
      <c r="E26" s="13">
        <f t="shared" si="4"/>
        <v>10693</v>
      </c>
      <c r="F26" s="14">
        <f t="shared" si="5"/>
        <v>9.8916570768872135E-3</v>
      </c>
      <c r="G26" s="15">
        <v>1064000</v>
      </c>
      <c r="H26" s="15">
        <f t="shared" si="6"/>
        <v>27705</v>
      </c>
      <c r="I26" s="16">
        <f t="shared" si="7"/>
        <v>2.6038533834586465E-2</v>
      </c>
      <c r="J26" s="38"/>
      <c r="K26" s="38"/>
    </row>
    <row r="27" spans="1:11" ht="95.25" customHeight="1">
      <c r="A27" s="28" t="str">
        <v>Hunt Creek</v>
      </c>
      <c r="B27" s="29" t="str">
        <v>NY</v>
      </c>
      <c r="C27" s="11">
        <v>687118.53597209998</v>
      </c>
      <c r="D27" s="18">
        <v>783948.80000000005</v>
      </c>
      <c r="E27" s="18">
        <f t="shared" si="4"/>
        <v>-96830.264027900063</v>
      </c>
      <c r="F27" s="53">
        <f t="shared" si="5"/>
        <v>-0.12351605618619489</v>
      </c>
      <c r="G27" s="20">
        <v>755800</v>
      </c>
      <c r="H27" s="51">
        <f t="shared" si="6"/>
        <v>-68681.464027900016</v>
      </c>
      <c r="I27" s="53">
        <f t="shared" si="7"/>
        <v>-9.0872537745303017E-2</v>
      </c>
      <c r="J27" s="48" t="s">
        <v>221</v>
      </c>
      <c r="K27" s="48" t="s">
        <v>222</v>
      </c>
    </row>
    <row r="28" spans="1:11" ht="78" customHeight="1">
      <c r="A28" s="30" t="str">
        <v>Smith Creek</v>
      </c>
      <c r="B28" s="27" t="str">
        <v>NY</v>
      </c>
      <c r="C28" s="24">
        <v>765882.21929120098</v>
      </c>
      <c r="D28" s="13">
        <v>862057.2</v>
      </c>
      <c r="E28" s="13">
        <f t="shared" si="4"/>
        <v>-96174.980708798976</v>
      </c>
      <c r="F28" s="14">
        <f t="shared" si="5"/>
        <v>-0.11156450025450629</v>
      </c>
      <c r="G28" s="15">
        <v>807920.2</v>
      </c>
      <c r="H28" s="15">
        <f t="shared" si="6"/>
        <v>-42037.980708798976</v>
      </c>
      <c r="I28" s="16">
        <f t="shared" si="7"/>
        <v>-5.2032342685328303E-2</v>
      </c>
      <c r="J28" s="38" t="s">
        <v>223</v>
      </c>
      <c r="K28" s="38" t="s">
        <v>224</v>
      </c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3 I4:I103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5"/>
  <sheetViews>
    <sheetView zoomScale="80" zoomScaleNormal="80" workbookViewId="0">
      <pane xSplit="2" ySplit="3" topLeftCell="C7" activePane="bottomRight" state="frozen"/>
      <selection pane="bottomRight" activeCell="J10" sqref="J10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225</v>
      </c>
      <c r="E1" s="59"/>
      <c r="F1" s="59"/>
      <c r="G1" s="57" t="s">
        <v>226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7571185.2085664477</v>
      </c>
      <c r="D2" s="5">
        <f>SUM(D4:D103)</f>
        <v>6533264.3800000008</v>
      </c>
      <c r="E2" s="5">
        <f>C2-D2</f>
        <v>1037920.8285664469</v>
      </c>
      <c r="F2" s="6">
        <f>IFERROR(E2/D2, 0)</f>
        <v>0.15886710964028777</v>
      </c>
      <c r="G2" s="5">
        <f>SUM(G4:G103)</f>
        <v>7068513.54</v>
      </c>
      <c r="H2" s="7">
        <f>C2-G2</f>
        <v>502671.66856644768</v>
      </c>
      <c r="I2" s="6">
        <f>IFERROR(H2/G2, 0)</f>
        <v>7.1114197592164155E-2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70.5" customHeight="1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138052</v>
      </c>
      <c r="D4" s="13">
        <v>172615.7</v>
      </c>
      <c r="E4" s="13">
        <f>IF(AND(ISNUMBER(C4),ISNUMBER(D4)), C4-D4, "")</f>
        <v>-34563.700000000012</v>
      </c>
      <c r="F4" s="14">
        <f>IFERROR(E4/D4, "")</f>
        <v>-0.20023497283271458</v>
      </c>
      <c r="G4" s="15">
        <v>185797.3</v>
      </c>
      <c r="H4" s="15">
        <f>IF(AND(ISNUMBER(C4),ISNUMBER(G4)), C4-G4, "")</f>
        <v>-47745.299999999988</v>
      </c>
      <c r="I4" s="16">
        <f>IFERROR(H4/G4, "")</f>
        <v>-0.25697520900465182</v>
      </c>
      <c r="J4" s="38" t="s">
        <v>227</v>
      </c>
      <c r="K4" s="38" t="s">
        <v>228</v>
      </c>
    </row>
    <row r="5" spans="1:11" ht="15.6">
      <c r="A5" s="28" t="str">
        <v>Bunce</v>
      </c>
      <c r="B5" s="29" t="str">
        <v>CT</v>
      </c>
      <c r="C5" s="11">
        <v>326056.5</v>
      </c>
      <c r="D5" s="18">
        <v>261052.1</v>
      </c>
      <c r="E5" s="18">
        <f t="shared" ref="E5:E14" si="0">IF(AND(ISNUMBER(C5),ISNUMBER(D5)), C5-D5, "")</f>
        <v>65004.399999999994</v>
      </c>
      <c r="F5" s="19">
        <f>IFERROR(E5/D5, "")</f>
        <v>0.24900929737780311</v>
      </c>
      <c r="G5" s="20">
        <v>0</v>
      </c>
      <c r="H5" s="20">
        <f t="shared" ref="H5:H14" si="1">IF(AND(ISNUMBER(C5),ISNUMBER(G5)), C5-G5, "")</f>
        <v>326056.5</v>
      </c>
      <c r="I5" s="19" t="str">
        <f t="shared" ref="I5:I14" si="2">IFERROR(H5/G5, "")</f>
        <v/>
      </c>
      <c r="J5" s="39"/>
      <c r="K5" s="39"/>
    </row>
    <row r="6" spans="1:11" ht="73.5" customHeight="1">
      <c r="A6" s="30" t="str">
        <v>Norcap North</v>
      </c>
      <c r="B6" s="27" t="str">
        <v>CT</v>
      </c>
      <c r="C6" s="24">
        <v>338439.5</v>
      </c>
      <c r="D6" s="13">
        <v>327032.40000000002</v>
      </c>
      <c r="E6" s="13">
        <f t="shared" si="0"/>
        <v>11407.099999999977</v>
      </c>
      <c r="F6" s="14">
        <f t="shared" ref="F6:F14" si="3">IFERROR(E6/D6, "")</f>
        <v>3.4880641795736377E-2</v>
      </c>
      <c r="G6" s="15">
        <v>362318.7</v>
      </c>
      <c r="H6" s="15">
        <f t="shared" si="1"/>
        <v>-23879.200000000012</v>
      </c>
      <c r="I6" s="16">
        <f t="shared" si="2"/>
        <v>-6.5906617571767648E-2</v>
      </c>
      <c r="J6" s="38" t="s">
        <v>229</v>
      </c>
      <c r="K6" s="38" t="s">
        <v>230</v>
      </c>
    </row>
    <row r="7" spans="1:11" ht="67.5" customHeight="1">
      <c r="A7" s="28" t="str">
        <v>Norcap South</v>
      </c>
      <c r="B7" s="29" t="str">
        <v>CT</v>
      </c>
      <c r="C7" s="11">
        <v>341863</v>
      </c>
      <c r="D7" s="18">
        <v>341992.9</v>
      </c>
      <c r="E7" s="18">
        <f t="shared" si="0"/>
        <v>-129.90000000002328</v>
      </c>
      <c r="F7" s="19">
        <f t="shared" si="3"/>
        <v>-3.7983244681402239E-4</v>
      </c>
      <c r="G7" s="20">
        <v>355838.3</v>
      </c>
      <c r="H7" s="20">
        <f t="shared" si="1"/>
        <v>-13975.299999999988</v>
      </c>
      <c r="I7" s="19">
        <f t="shared" si="2"/>
        <v>-3.927429959057243E-2</v>
      </c>
      <c r="J7" s="39" t="s">
        <v>231</v>
      </c>
      <c r="K7" s="48" t="s">
        <v>232</v>
      </c>
    </row>
    <row r="8" spans="1:11" ht="15.6">
      <c r="A8" s="30" t="str">
        <v>Platt Hill</v>
      </c>
      <c r="B8" s="27" t="str">
        <v>CT</v>
      </c>
      <c r="C8" s="24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38" t="s">
        <v>233</v>
      </c>
      <c r="K8" s="38" t="s">
        <v>234</v>
      </c>
    </row>
    <row r="9" spans="1:11" ht="50.25" customHeight="1">
      <c r="A9" s="28" t="str">
        <v>Powder Hill</v>
      </c>
      <c r="B9" s="29" t="str">
        <v>CT</v>
      </c>
      <c r="C9" s="11">
        <v>307436</v>
      </c>
      <c r="D9" s="18">
        <v>331328.59999999998</v>
      </c>
      <c r="E9" s="18">
        <f t="shared" si="0"/>
        <v>-23892.599999999977</v>
      </c>
      <c r="F9" s="19">
        <f t="shared" si="3"/>
        <v>-7.2111492940844762E-2</v>
      </c>
      <c r="G9" s="20">
        <v>284916</v>
      </c>
      <c r="H9" s="20">
        <f t="shared" si="1"/>
        <v>22520</v>
      </c>
      <c r="I9" s="19">
        <f t="shared" si="2"/>
        <v>7.9040840107259688E-2</v>
      </c>
      <c r="J9" s="39" t="s">
        <v>235</v>
      </c>
      <c r="K9" s="39" t="s">
        <v>236</v>
      </c>
    </row>
    <row r="10" spans="1:11" ht="46.5" customHeight="1">
      <c r="A10" s="30" t="str">
        <v>Sand Road</v>
      </c>
      <c r="B10" s="27" t="str">
        <v>CT</v>
      </c>
      <c r="C10" s="24">
        <v>335026</v>
      </c>
      <c r="D10" s="13">
        <v>298161.40000000002</v>
      </c>
      <c r="E10" s="13">
        <f t="shared" si="0"/>
        <v>36864.599999999977</v>
      </c>
      <c r="F10" s="14">
        <f t="shared" si="3"/>
        <v>0.12363974679485666</v>
      </c>
      <c r="G10" s="15">
        <v>328508</v>
      </c>
      <c r="H10" s="15">
        <f t="shared" si="1"/>
        <v>6518</v>
      </c>
      <c r="I10" s="16">
        <f t="shared" si="2"/>
        <v>1.9841221522763526E-2</v>
      </c>
      <c r="J10" s="38" t="s">
        <v>237</v>
      </c>
      <c r="K10" s="38" t="s">
        <v>238</v>
      </c>
    </row>
    <row r="11" spans="1:11" ht="43.5">
      <c r="A11" s="28" t="str">
        <v>Suffield</v>
      </c>
      <c r="B11" s="29" t="str">
        <v>CT</v>
      </c>
      <c r="C11" s="11">
        <v>331521.926840236</v>
      </c>
      <c r="D11" s="18">
        <v>329855</v>
      </c>
      <c r="E11" s="18">
        <f t="shared" si="0"/>
        <v>1666.926840236003</v>
      </c>
      <c r="F11" s="19">
        <f t="shared" si="3"/>
        <v>5.0535139386579039E-3</v>
      </c>
      <c r="G11" s="20">
        <v>365268.1</v>
      </c>
      <c r="H11" s="20">
        <f t="shared" si="1"/>
        <v>-33746.173159763974</v>
      </c>
      <c r="I11" s="19">
        <f t="shared" si="2"/>
        <v>-9.238740848095954E-2</v>
      </c>
      <c r="J11" s="39" t="s">
        <v>239</v>
      </c>
      <c r="K11" s="39" t="s">
        <v>240</v>
      </c>
    </row>
    <row r="12" spans="1:11" ht="15.6">
      <c r="A12" s="30" t="str">
        <v>Ashby-Duffy</v>
      </c>
      <c r="B12" s="27" t="str">
        <v>MA</v>
      </c>
      <c r="C12" s="24">
        <v>282285</v>
      </c>
      <c r="D12" s="13">
        <v>340050.7</v>
      </c>
      <c r="E12" s="13">
        <f t="shared" si="0"/>
        <v>-57765.700000000012</v>
      </c>
      <c r="F12" s="14">
        <f t="shared" si="3"/>
        <v>-0.1698737864677238</v>
      </c>
      <c r="G12" s="15">
        <v>358908.2</v>
      </c>
      <c r="H12" s="15">
        <f t="shared" si="1"/>
        <v>-76623.200000000012</v>
      </c>
      <c r="I12" s="16">
        <f t="shared" si="2"/>
        <v>-0.21348968900682683</v>
      </c>
      <c r="J12" s="38" t="s">
        <v>241</v>
      </c>
      <c r="K12" s="38" t="s">
        <v>242</v>
      </c>
    </row>
    <row r="13" spans="1:11" ht="87">
      <c r="A13" s="28" t="str">
        <v>Ashland</v>
      </c>
      <c r="B13" s="29" t="str">
        <v>MA</v>
      </c>
      <c r="C13" s="11">
        <v>348630.5</v>
      </c>
      <c r="D13" s="18">
        <v>354266.8</v>
      </c>
      <c r="E13" s="18">
        <f t="shared" si="0"/>
        <v>-5636.2999999999884</v>
      </c>
      <c r="F13" s="19">
        <f t="shared" si="3"/>
        <v>-1.5909760666254893E-2</v>
      </c>
      <c r="G13" s="20">
        <v>387370.5</v>
      </c>
      <c r="H13" s="20">
        <f t="shared" si="1"/>
        <v>-38740</v>
      </c>
      <c r="I13" s="19">
        <f t="shared" si="2"/>
        <v>-0.10000761544825948</v>
      </c>
      <c r="J13" s="39" t="s">
        <v>243</v>
      </c>
      <c r="K13" s="48" t="s">
        <v>244</v>
      </c>
    </row>
    <row r="14" spans="1:11" ht="15.6">
      <c r="A14" s="30" t="str">
        <v>Barrington</v>
      </c>
      <c r="B14" s="27" t="str">
        <v>MA</v>
      </c>
      <c r="C14" s="24">
        <v>73571.5</v>
      </c>
      <c r="D14" s="13">
        <v>63238.5</v>
      </c>
      <c r="E14" s="13">
        <f t="shared" si="0"/>
        <v>10333</v>
      </c>
      <c r="F14" s="14">
        <f t="shared" si="3"/>
        <v>0.16339729753235765</v>
      </c>
      <c r="G14" s="15">
        <v>87310</v>
      </c>
      <c r="H14" s="15">
        <f t="shared" si="1"/>
        <v>-13738.5</v>
      </c>
      <c r="I14" s="16">
        <f t="shared" si="2"/>
        <v>-0.15735310960943763</v>
      </c>
      <c r="J14" s="38"/>
      <c r="K14" s="38"/>
    </row>
    <row r="15" spans="1:11" ht="15.6">
      <c r="A15" s="28" t="str">
        <v>Bedford - 205 Burlington Rd</v>
      </c>
      <c r="B15" s="29" t="str">
        <v>MA</v>
      </c>
      <c r="C15" s="11">
        <v>30957</v>
      </c>
      <c r="D15" s="18">
        <v>0</v>
      </c>
      <c r="E15" s="18">
        <f t="shared" ref="E15:E28" si="4">IF(AND(ISNUMBER(C15),ISNUMBER(D15)), C15-D15, "")</f>
        <v>30957</v>
      </c>
      <c r="F15" s="53" t="str">
        <f t="shared" ref="F15:F28" si="5">IFERROR(E15/D15, "")</f>
        <v/>
      </c>
      <c r="G15" s="20">
        <v>0</v>
      </c>
      <c r="H15" s="51">
        <f t="shared" ref="H15:H28" si="6">IF(AND(ISNUMBER(C15),ISNUMBER(G15)), C15-G15, "")</f>
        <v>30957</v>
      </c>
      <c r="I15" s="53" t="str">
        <f t="shared" ref="I15:I28" si="7">IFERROR(H15/G15, "")</f>
        <v/>
      </c>
      <c r="J15" s="39"/>
      <c r="K15" s="39"/>
    </row>
    <row r="16" spans="1:11" ht="15.6">
      <c r="A16" s="30" t="str">
        <v>Billerica - 6 Cook Street</v>
      </c>
      <c r="B16" s="27" t="str">
        <v>MA</v>
      </c>
      <c r="C16" s="24">
        <v>38002</v>
      </c>
      <c r="D16" s="13">
        <v>0</v>
      </c>
      <c r="E16" s="13">
        <f t="shared" si="4"/>
        <v>38002</v>
      </c>
      <c r="F16" s="14" t="str">
        <f t="shared" si="5"/>
        <v/>
      </c>
      <c r="G16" s="15">
        <v>0</v>
      </c>
      <c r="H16" s="15">
        <f t="shared" si="6"/>
        <v>38002</v>
      </c>
      <c r="I16" s="16" t="str">
        <f t="shared" si="7"/>
        <v/>
      </c>
      <c r="J16" s="38"/>
      <c r="K16" s="38"/>
    </row>
    <row r="17" spans="1:11" ht="15.6">
      <c r="A17" s="28" t="str">
        <v>Billerica - 780 Boston Road</v>
      </c>
      <c r="B17" s="29" t="str">
        <v>MA</v>
      </c>
      <c r="C17" s="11">
        <v>43311</v>
      </c>
      <c r="D17" s="18">
        <v>0</v>
      </c>
      <c r="E17" s="18">
        <f t="shared" si="4"/>
        <v>43311</v>
      </c>
      <c r="F17" s="53" t="str">
        <f t="shared" si="5"/>
        <v/>
      </c>
      <c r="G17" s="20">
        <v>0</v>
      </c>
      <c r="H17" s="51">
        <f t="shared" si="6"/>
        <v>43311</v>
      </c>
      <c r="I17" s="53" t="str">
        <f t="shared" si="7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>
        <v>71721.467803030304</v>
      </c>
      <c r="D18" s="13">
        <v>74948.66</v>
      </c>
      <c r="E18" s="13">
        <f t="shared" si="4"/>
        <v>-3227.1921969696996</v>
      </c>
      <c r="F18" s="14">
        <f t="shared" si="5"/>
        <v>-4.3058704411389072E-2</v>
      </c>
      <c r="G18" s="15">
        <v>66027.44</v>
      </c>
      <c r="H18" s="15">
        <f t="shared" si="6"/>
        <v>5694.0278030303016</v>
      </c>
      <c r="I18" s="16">
        <f t="shared" si="7"/>
        <v>8.6237294722168567E-2</v>
      </c>
      <c r="J18" s="38"/>
      <c r="K18" s="38"/>
    </row>
    <row r="19" spans="1:11" ht="15.6">
      <c r="A19" s="28" t="str">
        <v>Lilly Lane</v>
      </c>
      <c r="B19" s="29" t="str">
        <v>MA</v>
      </c>
      <c r="C19" s="11">
        <v>176695.5</v>
      </c>
      <c r="D19" s="18">
        <v>162968.20000000001</v>
      </c>
      <c r="E19" s="18">
        <f t="shared" si="4"/>
        <v>13727.299999999988</v>
      </c>
      <c r="F19" s="53">
        <f t="shared" si="5"/>
        <v>8.4232997603213317E-2</v>
      </c>
      <c r="G19" s="20">
        <v>179222.6</v>
      </c>
      <c r="H19" s="51">
        <f t="shared" si="6"/>
        <v>-2527.1000000000058</v>
      </c>
      <c r="I19" s="53">
        <f t="shared" si="7"/>
        <v>-1.4100342255943201E-2</v>
      </c>
      <c r="J19" s="39"/>
      <c r="K19" s="39"/>
    </row>
    <row r="20" spans="1:11" ht="15.6">
      <c r="A20" s="30" t="str">
        <v>Monument Valley</v>
      </c>
      <c r="B20" s="27" t="str">
        <v>MA</v>
      </c>
      <c r="C20" s="24">
        <v>333003</v>
      </c>
      <c r="D20" s="13">
        <v>64015.77</v>
      </c>
      <c r="E20" s="13">
        <f t="shared" si="4"/>
        <v>268987.23</v>
      </c>
      <c r="F20" s="14">
        <f t="shared" si="5"/>
        <v>4.2018900967683432</v>
      </c>
      <c r="G20" s="15">
        <v>0</v>
      </c>
      <c r="H20" s="15">
        <f t="shared" si="6"/>
        <v>333003</v>
      </c>
      <c r="I20" s="16" t="str">
        <f t="shared" si="7"/>
        <v/>
      </c>
      <c r="J20" s="38" t="s">
        <v>245</v>
      </c>
      <c r="K20" s="38" t="s">
        <v>246</v>
      </c>
    </row>
    <row r="21" spans="1:11" ht="43.5">
      <c r="A21" s="28" t="str">
        <v>Nationwide</v>
      </c>
      <c r="B21" s="29" t="str">
        <v>MA</v>
      </c>
      <c r="C21" s="11">
        <v>500263.57636099297</v>
      </c>
      <c r="D21" s="18">
        <v>390885.6</v>
      </c>
      <c r="E21" s="18">
        <f t="shared" si="4"/>
        <v>109377.97636099299</v>
      </c>
      <c r="F21" s="53">
        <f t="shared" si="5"/>
        <v>0.27982094086093989</v>
      </c>
      <c r="G21" s="20">
        <v>540286.6</v>
      </c>
      <c r="H21" s="51">
        <f t="shared" si="6"/>
        <v>-40023.023639007006</v>
      </c>
      <c r="I21" s="53">
        <f t="shared" si="7"/>
        <v>-7.4077394551349249E-2</v>
      </c>
      <c r="J21" s="39" t="s">
        <v>247</v>
      </c>
      <c r="K21" s="39" t="s">
        <v>248</v>
      </c>
    </row>
    <row r="22" spans="1:11" ht="29.1">
      <c r="A22" s="30" t="str">
        <v>Pulpit Hill</v>
      </c>
      <c r="B22" s="27" t="str">
        <v>MA</v>
      </c>
      <c r="C22" s="24">
        <v>729427</v>
      </c>
      <c r="D22" s="13">
        <v>713098.9</v>
      </c>
      <c r="E22" s="13">
        <f t="shared" si="4"/>
        <v>16328.099999999977</v>
      </c>
      <c r="F22" s="14">
        <f t="shared" si="5"/>
        <v>2.2897384920941507E-2</v>
      </c>
      <c r="G22" s="15">
        <v>796702.5</v>
      </c>
      <c r="H22" s="15">
        <f t="shared" si="6"/>
        <v>-67275.5</v>
      </c>
      <c r="I22" s="16">
        <f t="shared" si="7"/>
        <v>-8.4442436166574097E-2</v>
      </c>
      <c r="J22" s="38" t="s">
        <v>249</v>
      </c>
      <c r="K22" s="38" t="s">
        <v>250</v>
      </c>
    </row>
    <row r="23" spans="1:11" ht="29.1">
      <c r="A23" s="28" t="str">
        <v>Sandwich</v>
      </c>
      <c r="B23" s="29" t="str">
        <v>MA</v>
      </c>
      <c r="C23" s="11">
        <v>548939</v>
      </c>
      <c r="D23" s="18">
        <v>0</v>
      </c>
      <c r="E23" s="18">
        <f t="shared" si="4"/>
        <v>548939</v>
      </c>
      <c r="F23" s="53" t="str">
        <f t="shared" si="5"/>
        <v/>
      </c>
      <c r="G23" s="20">
        <v>0</v>
      </c>
      <c r="H23" s="51">
        <f t="shared" si="6"/>
        <v>548939</v>
      </c>
      <c r="I23" s="53" t="str">
        <f t="shared" si="7"/>
        <v/>
      </c>
      <c r="J23" s="39" t="s">
        <v>251</v>
      </c>
      <c r="K23" s="39" t="s">
        <v>252</v>
      </c>
    </row>
    <row r="24" spans="1:11" ht="15.6">
      <c r="A24" s="30" t="str">
        <v>Sturbridge Barn</v>
      </c>
      <c r="B24" s="27" t="str">
        <v>MA</v>
      </c>
      <c r="C24" s="24">
        <v>171571.5</v>
      </c>
      <c r="D24" s="13">
        <v>168397.9</v>
      </c>
      <c r="E24" s="13">
        <f t="shared" si="4"/>
        <v>3173.6000000000058</v>
      </c>
      <c r="F24" s="14">
        <f t="shared" si="5"/>
        <v>1.8845840714165712E-2</v>
      </c>
      <c r="G24" s="15">
        <v>192414.7</v>
      </c>
      <c r="H24" s="15">
        <f t="shared" si="6"/>
        <v>-20843.200000000012</v>
      </c>
      <c r="I24" s="16">
        <f t="shared" si="7"/>
        <v>-0.10832436399090095</v>
      </c>
      <c r="J24" s="38"/>
      <c r="K24" s="38"/>
    </row>
    <row r="25" spans="1:11" ht="15.6">
      <c r="A25" s="28" t="str">
        <v>Sturbridge Garage</v>
      </c>
      <c r="B25" s="29" t="str">
        <v>MA</v>
      </c>
      <c r="C25" s="11">
        <v>88858.75</v>
      </c>
      <c r="D25" s="18">
        <v>80597.649999999994</v>
      </c>
      <c r="E25" s="18">
        <f t="shared" si="4"/>
        <v>8261.1000000000058</v>
      </c>
      <c r="F25" s="53">
        <f t="shared" si="5"/>
        <v>0.10249802568685323</v>
      </c>
      <c r="G25" s="20">
        <v>88531.5</v>
      </c>
      <c r="H25" s="51">
        <f t="shared" si="6"/>
        <v>327.25</v>
      </c>
      <c r="I25" s="53">
        <f t="shared" si="7"/>
        <v>3.6964244365000026E-3</v>
      </c>
      <c r="J25" s="39"/>
      <c r="K25" s="39"/>
    </row>
    <row r="26" spans="1:11" ht="15.6">
      <c r="A26" s="30" t="str">
        <v>Halsey Valley</v>
      </c>
      <c r="B26" s="27" t="str">
        <v>NY</v>
      </c>
      <c r="C26" s="24">
        <v>818929</v>
      </c>
      <c r="D26" s="13">
        <v>813284.3</v>
      </c>
      <c r="E26" s="13">
        <f t="shared" si="4"/>
        <v>5644.6999999999534</v>
      </c>
      <c r="F26" s="14">
        <f t="shared" si="5"/>
        <v>6.9406233465959602E-3</v>
      </c>
      <c r="G26" s="15">
        <v>1015000</v>
      </c>
      <c r="H26" s="15">
        <f t="shared" si="6"/>
        <v>-196071</v>
      </c>
      <c r="I26" s="16">
        <f t="shared" si="7"/>
        <v>-0.19317339901477831</v>
      </c>
      <c r="J26" s="38"/>
      <c r="K26" s="38"/>
    </row>
    <row r="27" spans="1:11" ht="57.95">
      <c r="A27" s="28" t="str">
        <v>Hunt Creek</v>
      </c>
      <c r="B27" s="29" t="str">
        <v>NY</v>
      </c>
      <c r="C27" s="11">
        <v>574787</v>
      </c>
      <c r="D27" s="18">
        <v>591162.30000000005</v>
      </c>
      <c r="E27" s="18">
        <f t="shared" si="4"/>
        <v>-16375.300000000047</v>
      </c>
      <c r="F27" s="53">
        <f t="shared" si="5"/>
        <v>-2.7700176415174048E-2</v>
      </c>
      <c r="G27" s="20">
        <v>723000</v>
      </c>
      <c r="H27" s="51">
        <f t="shared" si="6"/>
        <v>-148213</v>
      </c>
      <c r="I27" s="53">
        <f t="shared" si="7"/>
        <v>-0.20499723374827108</v>
      </c>
      <c r="J27" s="39" t="s">
        <v>253</v>
      </c>
      <c r="K27" s="48" t="s">
        <v>254</v>
      </c>
    </row>
    <row r="28" spans="1:11" ht="15.6">
      <c r="A28" s="30" t="str">
        <v>Smith Creek</v>
      </c>
      <c r="B28" s="27" t="str">
        <v>NY</v>
      </c>
      <c r="C28" s="24">
        <v>621837.487562189</v>
      </c>
      <c r="D28" s="13">
        <v>654311</v>
      </c>
      <c r="E28" s="13">
        <f t="shared" si="4"/>
        <v>-32473.512437811005</v>
      </c>
      <c r="F28" s="14">
        <f t="shared" si="5"/>
        <v>-4.9630087890637643E-2</v>
      </c>
      <c r="G28" s="15">
        <v>751093.1</v>
      </c>
      <c r="H28" s="15">
        <f t="shared" si="6"/>
        <v>-129255.61243781098</v>
      </c>
      <c r="I28" s="16">
        <f t="shared" si="7"/>
        <v>-0.17209000114341483</v>
      </c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3 I4:I103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5"/>
  <sheetViews>
    <sheetView zoomScale="80" zoomScaleNormal="80" workbookViewId="0">
      <pane xSplit="2" ySplit="3" topLeftCell="C4" activePane="bottomRight" state="frozen"/>
      <selection pane="bottomRight" activeCell="F10" sqref="F10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255</v>
      </c>
      <c r="E1" s="59"/>
      <c r="F1" s="59"/>
      <c r="G1" s="57" t="s">
        <v>256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7187930.8484203257</v>
      </c>
      <c r="D2" s="5">
        <f>SUM(D4:D103)</f>
        <v>6354949.4499999993</v>
      </c>
      <c r="E2" s="5">
        <f>C2-D2</f>
        <v>832981.39842032641</v>
      </c>
      <c r="F2" s="6">
        <f>IFERROR(E2/D2, 0)</f>
        <v>0.13107600697285271</v>
      </c>
      <c r="G2" s="5">
        <f>SUM(G4:G103)</f>
        <v>5980589.4900000002</v>
      </c>
      <c r="H2" s="7">
        <f>C2-G2</f>
        <v>1207341.3584203254</v>
      </c>
      <c r="I2" s="6">
        <f>IFERROR(H2/G2, 0)</f>
        <v>0.20187664785203729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30" t="str" cm="1">
        <f t="array" ref="A4:A28">Sites[Site]</f>
        <v>Barkhamsted</v>
      </c>
      <c r="B4" s="27" t="str" cm="1">
        <f t="array" ref="B4:B28">Sites[State]</f>
        <v>CT</v>
      </c>
      <c r="C4" s="24">
        <v>167315</v>
      </c>
      <c r="D4" s="13">
        <v>172629.2</v>
      </c>
      <c r="E4" s="13">
        <f>IF(AND(ISNUMBER(C4),ISNUMBER(D4)), C4-D4, "")</f>
        <v>-5314.2000000000116</v>
      </c>
      <c r="F4" s="14">
        <f>IFERROR(E4/D4, "")</f>
        <v>-3.0783899826912313E-2</v>
      </c>
      <c r="G4" s="15">
        <v>165068.6</v>
      </c>
      <c r="H4" s="15">
        <f>IF(AND(ISNUMBER(C4),ISNUMBER(G4)), C4-G4, "")</f>
        <v>2246.3999999999942</v>
      </c>
      <c r="I4" s="16">
        <f>IFERROR(H4/G4, "")</f>
        <v>1.3608887456487752E-2</v>
      </c>
      <c r="J4" s="38"/>
      <c r="K4" s="38"/>
    </row>
    <row r="5" spans="1:11" ht="15.6">
      <c r="A5" s="28" t="str">
        <v>Bunce</v>
      </c>
      <c r="B5" s="29" t="str">
        <v>CT</v>
      </c>
      <c r="C5" s="11">
        <v>313339.5</v>
      </c>
      <c r="D5" s="18">
        <v>272827.3</v>
      </c>
      <c r="E5" s="18">
        <f t="shared" ref="E5:E14" si="0">IF(AND(ISNUMBER(C5),ISNUMBER(D5)), C5-D5, "")</f>
        <v>40512.200000000012</v>
      </c>
      <c r="F5" s="19">
        <f>IFERROR(E5/D5, "")</f>
        <v>0.14849027205122073</v>
      </c>
      <c r="G5" s="20">
        <v>0</v>
      </c>
      <c r="H5" s="20">
        <f t="shared" ref="H5:H14" si="1">IF(AND(ISNUMBER(C5),ISNUMBER(G5)), C5-G5, "")</f>
        <v>313339.5</v>
      </c>
      <c r="I5" s="19" t="str">
        <f t="shared" ref="I5:I14" si="2">IFERROR(H5/G5, "")</f>
        <v/>
      </c>
      <c r="J5" s="39"/>
      <c r="K5" s="39"/>
    </row>
    <row r="6" spans="1:11" ht="15.6">
      <c r="A6" s="30" t="str">
        <v>Norcap North</v>
      </c>
      <c r="B6" s="27" t="str">
        <v>CT</v>
      </c>
      <c r="C6" s="24">
        <v>314854</v>
      </c>
      <c r="D6" s="13">
        <v>320661</v>
      </c>
      <c r="E6" s="13">
        <f t="shared" si="0"/>
        <v>-5807</v>
      </c>
      <c r="F6" s="14">
        <f t="shared" ref="F6:F14" si="3">IFERROR(E6/D6, "")</f>
        <v>-1.8109467630924872E-2</v>
      </c>
      <c r="G6" s="15">
        <v>320205.3</v>
      </c>
      <c r="H6" s="15">
        <f t="shared" si="1"/>
        <v>-5351.2999999999884</v>
      </c>
      <c r="I6" s="16">
        <f t="shared" si="2"/>
        <v>-1.6712090649342745E-2</v>
      </c>
      <c r="J6" s="38"/>
      <c r="K6" s="38"/>
    </row>
    <row r="7" spans="1:11" ht="15.6">
      <c r="A7" s="28" t="str">
        <v>Norcap South</v>
      </c>
      <c r="B7" s="29" t="str">
        <v>CT</v>
      </c>
      <c r="C7" s="11">
        <v>323402.5</v>
      </c>
      <c r="D7" s="18">
        <v>340065.3</v>
      </c>
      <c r="E7" s="18">
        <f t="shared" si="0"/>
        <v>-16662.799999999988</v>
      </c>
      <c r="F7" s="19">
        <f t="shared" si="3"/>
        <v>-4.8998824637503414E-2</v>
      </c>
      <c r="G7" s="20">
        <v>314501.2</v>
      </c>
      <c r="H7" s="20">
        <f t="shared" si="1"/>
        <v>8901.2999999999884</v>
      </c>
      <c r="I7" s="19">
        <f t="shared" si="2"/>
        <v>2.8302912675690864E-2</v>
      </c>
      <c r="J7" s="39"/>
      <c r="K7" s="39"/>
    </row>
    <row r="8" spans="1:11" ht="15.6">
      <c r="A8" s="30" t="str">
        <v>Platt Hill</v>
      </c>
      <c r="B8" s="27" t="str">
        <v>CT</v>
      </c>
      <c r="C8" s="24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38" t="s">
        <v>203</v>
      </c>
      <c r="K8" s="38" t="s">
        <v>204</v>
      </c>
    </row>
    <row r="9" spans="1:11" ht="15.6">
      <c r="A9" s="28" t="str">
        <v>Powder Hill</v>
      </c>
      <c r="B9" s="29" t="str">
        <v>CT</v>
      </c>
      <c r="C9" s="11">
        <v>294504</v>
      </c>
      <c r="D9" s="18">
        <v>304889.09999999998</v>
      </c>
      <c r="E9" s="18">
        <f t="shared" si="0"/>
        <v>-10385.099999999977</v>
      </c>
      <c r="F9" s="19">
        <f t="shared" si="3"/>
        <v>-3.4061893324490701E-2</v>
      </c>
      <c r="G9" s="20">
        <v>245616</v>
      </c>
      <c r="H9" s="20">
        <f t="shared" si="1"/>
        <v>48888</v>
      </c>
      <c r="I9" s="19">
        <f t="shared" si="2"/>
        <v>0.19904240766073872</v>
      </c>
      <c r="J9" s="39"/>
      <c r="K9" s="39"/>
    </row>
    <row r="10" spans="1:11" ht="15.6">
      <c r="A10" s="30" t="str">
        <v>Sand Road</v>
      </c>
      <c r="B10" s="27" t="str">
        <v>CT</v>
      </c>
      <c r="C10" s="24">
        <v>345718</v>
      </c>
      <c r="D10" s="13">
        <v>309286.8</v>
      </c>
      <c r="E10" s="13">
        <f t="shared" si="0"/>
        <v>36431.200000000012</v>
      </c>
      <c r="F10" s="14">
        <f t="shared" si="3"/>
        <v>0.11779099528334223</v>
      </c>
      <c r="G10" s="15">
        <v>273983</v>
      </c>
      <c r="H10" s="15">
        <f t="shared" si="1"/>
        <v>71735</v>
      </c>
      <c r="I10" s="16">
        <f t="shared" si="2"/>
        <v>0.26182281382421535</v>
      </c>
      <c r="J10" s="38"/>
      <c r="K10" s="38"/>
    </row>
    <row r="11" spans="1:11" ht="15.6">
      <c r="A11" s="28" t="str">
        <v>Suffield</v>
      </c>
      <c r="B11" s="29" t="str">
        <v>CT</v>
      </c>
      <c r="C11" s="11">
        <v>326410</v>
      </c>
      <c r="D11" s="18">
        <v>315691.8</v>
      </c>
      <c r="E11" s="18">
        <f t="shared" si="0"/>
        <v>10718.200000000012</v>
      </c>
      <c r="F11" s="19">
        <f t="shared" si="3"/>
        <v>3.3951467855674468E-2</v>
      </c>
      <c r="G11" s="20">
        <v>318246.7</v>
      </c>
      <c r="H11" s="20">
        <f t="shared" si="1"/>
        <v>8163.2999999999884</v>
      </c>
      <c r="I11" s="19">
        <f t="shared" si="2"/>
        <v>2.5650855138482153E-2</v>
      </c>
      <c r="J11" s="39"/>
      <c r="K11" s="39"/>
    </row>
    <row r="12" spans="1:11" ht="120" customHeight="1">
      <c r="A12" s="30" t="str">
        <v>Ashby-Duffy</v>
      </c>
      <c r="B12" s="27" t="str">
        <v>MA</v>
      </c>
      <c r="C12" s="24">
        <v>289962</v>
      </c>
      <c r="D12" s="13">
        <v>360378.5</v>
      </c>
      <c r="E12" s="13">
        <f t="shared" si="0"/>
        <v>-70416.5</v>
      </c>
      <c r="F12" s="14">
        <f t="shared" si="3"/>
        <v>-0.19539595175627847</v>
      </c>
      <c r="G12" s="15">
        <v>297997</v>
      </c>
      <c r="H12" s="15">
        <f t="shared" si="1"/>
        <v>-8035</v>
      </c>
      <c r="I12" s="16">
        <f t="shared" si="2"/>
        <v>-2.6963358691530451E-2</v>
      </c>
      <c r="J12" s="38" t="s">
        <v>257</v>
      </c>
      <c r="K12" s="38" t="s">
        <v>258</v>
      </c>
    </row>
    <row r="13" spans="1:11" ht="15.6">
      <c r="A13" s="28" t="str">
        <v>Ashland</v>
      </c>
      <c r="B13" s="29" t="str">
        <v>MA</v>
      </c>
      <c r="C13" s="11">
        <v>300454.88016528997</v>
      </c>
      <c r="D13" s="18">
        <v>314513.3</v>
      </c>
      <c r="E13" s="18">
        <f t="shared" si="0"/>
        <v>-14058.419834710017</v>
      </c>
      <c r="F13" s="19">
        <f t="shared" si="3"/>
        <v>-4.4698967689792507E-2</v>
      </c>
      <c r="G13" s="20">
        <v>327398.90000000002</v>
      </c>
      <c r="H13" s="20">
        <f t="shared" si="1"/>
        <v>-26944.019834710052</v>
      </c>
      <c r="I13" s="19">
        <f t="shared" si="2"/>
        <v>-8.229722162997509E-2</v>
      </c>
      <c r="J13" s="39"/>
      <c r="K13" s="39"/>
    </row>
    <row r="14" spans="1:11" ht="15.6">
      <c r="A14" s="30" t="str">
        <v>Barrington</v>
      </c>
      <c r="B14" s="27" t="str">
        <v>MA</v>
      </c>
      <c r="C14" s="24">
        <v>71466.5</v>
      </c>
      <c r="D14" s="13">
        <v>60987.82</v>
      </c>
      <c r="E14" s="13">
        <f t="shared" si="0"/>
        <v>10478.68</v>
      </c>
      <c r="F14" s="14">
        <f t="shared" si="3"/>
        <v>0.17181594620040527</v>
      </c>
      <c r="G14" s="15">
        <v>73860</v>
      </c>
      <c r="H14" s="15">
        <f t="shared" si="1"/>
        <v>-2393.5</v>
      </c>
      <c r="I14" s="16">
        <f t="shared" si="2"/>
        <v>-3.2405903059842943E-2</v>
      </c>
      <c r="J14" s="38"/>
      <c r="K14" s="38"/>
    </row>
    <row r="15" spans="1:11" ht="15.6">
      <c r="A15" s="28" t="str">
        <v>Bedford - 205 Burlington Rd</v>
      </c>
      <c r="B15" s="29" t="str">
        <v>MA</v>
      </c>
      <c r="C15" s="11">
        <v>34000</v>
      </c>
      <c r="D15" s="18">
        <v>0</v>
      </c>
      <c r="E15" s="18">
        <f t="shared" ref="E15:E28" si="4">IF(AND(ISNUMBER(C15),ISNUMBER(D15)), C15-D15, "")</f>
        <v>34000</v>
      </c>
      <c r="F15" s="53" t="str">
        <f t="shared" ref="F15:F28" si="5">IFERROR(E15/D15, "")</f>
        <v/>
      </c>
      <c r="G15" s="20">
        <v>0</v>
      </c>
      <c r="H15" s="51">
        <f t="shared" ref="H15:H28" si="6">IF(AND(ISNUMBER(C15),ISNUMBER(G15)), C15-G15, "")</f>
        <v>34000</v>
      </c>
      <c r="I15" s="53" t="str">
        <f t="shared" ref="I15:I28" si="7">IFERROR(H15/G15, "")</f>
        <v/>
      </c>
      <c r="J15" s="39"/>
      <c r="K15" s="39"/>
    </row>
    <row r="16" spans="1:11" ht="15.6">
      <c r="A16" s="30" t="str">
        <v>Billerica - 6 Cook Street</v>
      </c>
      <c r="B16" s="27" t="str">
        <v>MA</v>
      </c>
      <c r="C16" s="24">
        <v>31806</v>
      </c>
      <c r="D16" s="13">
        <v>0</v>
      </c>
      <c r="E16" s="13">
        <f t="shared" si="4"/>
        <v>31806</v>
      </c>
      <c r="F16" s="14" t="str">
        <f t="shared" si="5"/>
        <v/>
      </c>
      <c r="G16" s="15">
        <v>0</v>
      </c>
      <c r="H16" s="15">
        <f t="shared" si="6"/>
        <v>31806</v>
      </c>
      <c r="I16" s="16" t="str">
        <f t="shared" si="7"/>
        <v/>
      </c>
      <c r="J16" s="38"/>
      <c r="K16" s="38"/>
    </row>
    <row r="17" spans="1:11" ht="15.6">
      <c r="A17" s="28" t="str">
        <v>Billerica - 780 Boston Road</v>
      </c>
      <c r="B17" s="29" t="str">
        <v>MA</v>
      </c>
      <c r="C17" s="11">
        <v>36498</v>
      </c>
      <c r="D17" s="18">
        <v>0</v>
      </c>
      <c r="E17" s="18">
        <f t="shared" si="4"/>
        <v>36498</v>
      </c>
      <c r="F17" s="53" t="str">
        <f t="shared" si="5"/>
        <v/>
      </c>
      <c r="G17" s="20">
        <v>0</v>
      </c>
      <c r="H17" s="51">
        <f t="shared" si="6"/>
        <v>36498</v>
      </c>
      <c r="I17" s="53" t="str">
        <f t="shared" si="7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>
        <v>76237.25</v>
      </c>
      <c r="D18" s="13">
        <v>79128.25</v>
      </c>
      <c r="E18" s="13">
        <f t="shared" si="4"/>
        <v>-2891</v>
      </c>
      <c r="F18" s="14">
        <f t="shared" si="5"/>
        <v>-3.6535624129182688E-2</v>
      </c>
      <c r="G18" s="15">
        <v>51102.14</v>
      </c>
      <c r="H18" s="15">
        <f t="shared" si="6"/>
        <v>25135.11</v>
      </c>
      <c r="I18" s="16">
        <f t="shared" si="7"/>
        <v>0.49186022346617969</v>
      </c>
      <c r="J18" s="38"/>
      <c r="K18" s="38"/>
    </row>
    <row r="19" spans="1:11" ht="15.6">
      <c r="A19" s="28" t="str">
        <v>Lilly Lane</v>
      </c>
      <c r="B19" s="29" t="str">
        <v>MA</v>
      </c>
      <c r="C19" s="11">
        <v>163786</v>
      </c>
      <c r="D19" s="18">
        <v>154007.1</v>
      </c>
      <c r="E19" s="18">
        <f t="shared" si="4"/>
        <v>9778.8999999999942</v>
      </c>
      <c r="F19" s="53">
        <f t="shared" si="5"/>
        <v>6.3496423216851644E-2</v>
      </c>
      <c r="G19" s="20">
        <v>163298.79999999999</v>
      </c>
      <c r="H19" s="51">
        <f t="shared" si="6"/>
        <v>487.20000000001164</v>
      </c>
      <c r="I19" s="53">
        <f t="shared" si="7"/>
        <v>2.9834879374497037E-3</v>
      </c>
      <c r="J19" s="39"/>
      <c r="K19" s="39"/>
    </row>
    <row r="20" spans="1:11" ht="52.5" customHeight="1">
      <c r="A20" s="30" t="str">
        <v>Monument Valley</v>
      </c>
      <c r="B20" s="27" t="str">
        <v>MA</v>
      </c>
      <c r="C20" s="24">
        <v>326102.78217821801</v>
      </c>
      <c r="D20" s="13">
        <v>70095.98</v>
      </c>
      <c r="E20" s="13">
        <f t="shared" si="4"/>
        <v>256006.80217821803</v>
      </c>
      <c r="F20" s="14">
        <f t="shared" si="5"/>
        <v>3.6522322988881535</v>
      </c>
      <c r="G20" s="15">
        <v>0</v>
      </c>
      <c r="H20" s="15">
        <f t="shared" si="6"/>
        <v>326102.78217821801</v>
      </c>
      <c r="I20" s="16" t="str">
        <f t="shared" si="7"/>
        <v/>
      </c>
      <c r="J20" s="38" t="s">
        <v>259</v>
      </c>
      <c r="K20" s="38" t="s">
        <v>260</v>
      </c>
    </row>
    <row r="21" spans="1:11" ht="15.6">
      <c r="A21" s="28" t="str">
        <v>Nationwide</v>
      </c>
      <c r="B21" s="29" t="str">
        <v>MA</v>
      </c>
      <c r="C21" s="11">
        <v>389213.42363900697</v>
      </c>
      <c r="D21" s="18">
        <v>335892.7</v>
      </c>
      <c r="E21" s="18">
        <f t="shared" si="4"/>
        <v>53320.723639006959</v>
      </c>
      <c r="F21" s="53">
        <f t="shared" si="5"/>
        <v>0.15874332380253264</v>
      </c>
      <c r="G21" s="20">
        <v>462200</v>
      </c>
      <c r="H21" s="51">
        <f t="shared" si="6"/>
        <v>-72986.576360993029</v>
      </c>
      <c r="I21" s="53">
        <f t="shared" si="7"/>
        <v>-0.15791124266766124</v>
      </c>
      <c r="J21" s="39"/>
      <c r="K21" s="39"/>
    </row>
    <row r="22" spans="1:11" ht="15.6">
      <c r="A22" s="30" t="str">
        <v>Pulpit Hill</v>
      </c>
      <c r="B22" s="27" t="str">
        <v>MA</v>
      </c>
      <c r="C22" s="24">
        <v>695778</v>
      </c>
      <c r="D22" s="13">
        <v>673969.8</v>
      </c>
      <c r="E22" s="13">
        <f t="shared" si="4"/>
        <v>21808.199999999953</v>
      </c>
      <c r="F22" s="14">
        <f t="shared" si="5"/>
        <v>3.2357829683169706E-2</v>
      </c>
      <c r="G22" s="15">
        <v>645367.9</v>
      </c>
      <c r="H22" s="15">
        <f t="shared" si="6"/>
        <v>50410.099999999977</v>
      </c>
      <c r="I22" s="16">
        <f t="shared" si="7"/>
        <v>7.8110640457946509E-2</v>
      </c>
      <c r="J22" s="38"/>
      <c r="K22" s="38"/>
    </row>
    <row r="23" spans="1:11" ht="15.6">
      <c r="A23" s="28" t="str">
        <v>Sandwich</v>
      </c>
      <c r="B23" s="29" t="str">
        <v>MA</v>
      </c>
      <c r="C23" s="11">
        <v>438521</v>
      </c>
      <c r="D23" s="18">
        <v>0</v>
      </c>
      <c r="E23" s="18">
        <f t="shared" si="4"/>
        <v>438521</v>
      </c>
      <c r="F23" s="53" t="str">
        <f t="shared" si="5"/>
        <v/>
      </c>
      <c r="G23" s="20">
        <v>0</v>
      </c>
      <c r="H23" s="51">
        <f t="shared" si="6"/>
        <v>438521</v>
      </c>
      <c r="I23" s="53" t="str">
        <f t="shared" si="7"/>
        <v/>
      </c>
      <c r="J23" s="39"/>
      <c r="K23" s="39"/>
    </row>
    <row r="24" spans="1:11" ht="15.6">
      <c r="A24" s="30" t="str">
        <v>Sturbridge Barn</v>
      </c>
      <c r="B24" s="27" t="str">
        <v>MA</v>
      </c>
      <c r="C24" s="24">
        <v>161298</v>
      </c>
      <c r="D24" s="13">
        <v>161618.6</v>
      </c>
      <c r="E24" s="13">
        <f t="shared" si="4"/>
        <v>-320.60000000000582</v>
      </c>
      <c r="F24" s="14">
        <f t="shared" si="5"/>
        <v>-1.9836825711892431E-3</v>
      </c>
      <c r="G24" s="15">
        <v>164945.60000000001</v>
      </c>
      <c r="H24" s="15">
        <f t="shared" si="6"/>
        <v>-3647.6000000000058</v>
      </c>
      <c r="I24" s="16">
        <f t="shared" si="7"/>
        <v>-2.211395757146602E-2</v>
      </c>
      <c r="J24" s="38"/>
      <c r="K24" s="38"/>
    </row>
    <row r="25" spans="1:11" ht="15.6">
      <c r="A25" s="28" t="str">
        <v>Sturbridge Garage</v>
      </c>
      <c r="B25" s="29" t="str">
        <v>MA</v>
      </c>
      <c r="C25" s="11">
        <v>81995.5</v>
      </c>
      <c r="D25" s="18">
        <v>77128.399999999994</v>
      </c>
      <c r="E25" s="18">
        <f t="shared" si="4"/>
        <v>4867.1000000000058</v>
      </c>
      <c r="F25" s="53">
        <f t="shared" si="5"/>
        <v>6.3103863168430904E-2</v>
      </c>
      <c r="G25" s="20">
        <v>80665.850000000006</v>
      </c>
      <c r="H25" s="51">
        <f t="shared" si="6"/>
        <v>1329.6499999999942</v>
      </c>
      <c r="I25" s="53">
        <f t="shared" si="7"/>
        <v>1.6483431340523828E-2</v>
      </c>
      <c r="J25" s="39"/>
      <c r="K25" s="39"/>
    </row>
    <row r="26" spans="1:11" ht="15.6">
      <c r="A26" s="30" t="str">
        <v>Halsey Valley</v>
      </c>
      <c r="B26" s="27" t="str">
        <v>NY</v>
      </c>
      <c r="C26" s="24">
        <v>825717</v>
      </c>
      <c r="D26" s="13">
        <v>812548.6</v>
      </c>
      <c r="E26" s="13">
        <f t="shared" si="4"/>
        <v>13168.400000000023</v>
      </c>
      <c r="F26" s="14">
        <f t="shared" si="5"/>
        <v>1.6206292152863254E-2</v>
      </c>
      <c r="G26" s="15">
        <v>840000</v>
      </c>
      <c r="H26" s="15">
        <f t="shared" si="6"/>
        <v>-14283</v>
      </c>
      <c r="I26" s="16">
        <f t="shared" si="7"/>
        <v>-1.7003571428571427E-2</v>
      </c>
      <c r="J26" s="38"/>
      <c r="K26" s="38"/>
    </row>
    <row r="27" spans="1:11" ht="15.6">
      <c r="A27" s="28" t="str">
        <v>Hunt Creek</v>
      </c>
      <c r="B27" s="29" t="str">
        <v>NY</v>
      </c>
      <c r="C27" s="11">
        <v>557659</v>
      </c>
      <c r="D27" s="18">
        <v>579389.30000000005</v>
      </c>
      <c r="E27" s="18">
        <f t="shared" si="4"/>
        <v>-21730.300000000047</v>
      </c>
      <c r="F27" s="53">
        <f t="shared" si="5"/>
        <v>-3.7505525214221326E-2</v>
      </c>
      <c r="G27" s="20">
        <v>602800</v>
      </c>
      <c r="H27" s="51">
        <f t="shared" si="6"/>
        <v>-45141</v>
      </c>
      <c r="I27" s="53">
        <f t="shared" si="7"/>
        <v>-7.4885534173855337E-2</v>
      </c>
      <c r="J27" s="39"/>
      <c r="K27" s="39"/>
    </row>
    <row r="28" spans="1:11" ht="15.6">
      <c r="A28" s="30" t="str">
        <v>Smith Creek</v>
      </c>
      <c r="B28" s="27" t="str">
        <v>NY</v>
      </c>
      <c r="C28" s="24">
        <v>621892.512437811</v>
      </c>
      <c r="D28" s="13">
        <v>639240.6</v>
      </c>
      <c r="E28" s="13">
        <f t="shared" si="4"/>
        <v>-17348.087562188972</v>
      </c>
      <c r="F28" s="14">
        <f t="shared" si="5"/>
        <v>-2.713858844727474E-2</v>
      </c>
      <c r="G28" s="15">
        <v>633332.5</v>
      </c>
      <c r="H28" s="15">
        <f t="shared" si="6"/>
        <v>-11439.987562188995</v>
      </c>
      <c r="I28" s="16">
        <f t="shared" si="7"/>
        <v>-1.806316202340634E-2</v>
      </c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3 I4:I103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261</v>
      </c>
      <c r="E1" s="59"/>
      <c r="F1" s="59"/>
      <c r="G1" s="57" t="s">
        <v>262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6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6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6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6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6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6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6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6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6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6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6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6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6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6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6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6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6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6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6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6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6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6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6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3 I4:I103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C32" sqref="B32:C32"/>
      <selection pane="topRight" activeCell="C32" sqref="B32:C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263</v>
      </c>
      <c r="E1" s="59"/>
      <c r="F1" s="59"/>
      <c r="G1" s="57" t="s">
        <v>264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6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6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6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6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6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6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6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6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6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6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6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6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6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6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6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6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6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6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6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6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6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6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6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3 I4:I103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5"/>
  <sheetViews>
    <sheetView workbookViewId="0">
      <pane xSplit="2" ySplit="3" topLeftCell="C4" activePane="bottomRight" state="frozen"/>
      <selection pane="bottomRight" activeCell="C32" sqref="B32:C32"/>
      <selection pane="bottomLeft" activeCell="H32" sqref="H32"/>
      <selection pane="topRight" activeCell="H32" sqref="H32"/>
    </sheetView>
  </sheetViews>
  <sheetFormatPr defaultRowHeight="14.1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Lodestar</v>
      </c>
      <c r="B1" s="58"/>
      <c r="C1" s="58"/>
      <c r="D1" s="59" t="s">
        <v>265</v>
      </c>
      <c r="E1" s="59"/>
      <c r="F1" s="59"/>
      <c r="G1" s="57" t="s">
        <v>266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SUM(C4:C103)</f>
        <v>0</v>
      </c>
      <c r="D2" s="5">
        <f>SUM(D4:D103)</f>
        <v>0</v>
      </c>
      <c r="E2" s="5">
        <f>C2-D2</f>
        <v>0</v>
      </c>
      <c r="F2" s="6">
        <f>IFERROR(E2/D2, 0)</f>
        <v>0</v>
      </c>
      <c r="G2" s="5">
        <f>SUM(G4:G103)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5" t="s">
        <v>20</v>
      </c>
      <c r="K3" s="25" t="s">
        <v>21</v>
      </c>
    </row>
    <row r="4" spans="1:11" ht="15.6">
      <c r="A4" s="30" t="str" cm="1">
        <f t="array" ref="A4:A28">Sites[Site]</f>
        <v>Barkhamsted</v>
      </c>
      <c r="B4" s="27" t="str" cm="1">
        <f t="array" ref="B4:B2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8"/>
      <c r="K4" s="38"/>
    </row>
    <row r="5" spans="1:11" ht="15.6">
      <c r="A5" s="28" t="str">
        <v>Bunce</v>
      </c>
      <c r="B5" s="29" t="str">
        <v>CT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39"/>
      <c r="K5" s="39"/>
    </row>
    <row r="6" spans="1:11" ht="15.6">
      <c r="A6" s="30" t="str">
        <v>Norcap North</v>
      </c>
      <c r="B6" s="27" t="str">
        <v>CT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38"/>
      <c r="K6" s="38"/>
    </row>
    <row r="7" spans="1:11" ht="15.6">
      <c r="A7" s="28" t="str">
        <v>Norcap South</v>
      </c>
      <c r="B7" s="29" t="str">
        <v>CT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39"/>
      <c r="K7" s="39"/>
    </row>
    <row r="8" spans="1:11" ht="15.6">
      <c r="A8" s="30" t="str">
        <v>Platt Hill</v>
      </c>
      <c r="B8" s="27" t="str">
        <v>CT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38"/>
      <c r="K8" s="38"/>
    </row>
    <row r="9" spans="1:11" ht="15.6">
      <c r="A9" s="28" t="str">
        <v>Powder Hill</v>
      </c>
      <c r="B9" s="29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39"/>
      <c r="K9" s="39"/>
    </row>
    <row r="10" spans="1:11" ht="15.6">
      <c r="A10" s="30" t="str">
        <v>Sand Road</v>
      </c>
      <c r="B10" s="27" t="str">
        <v>CT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38"/>
      <c r="K10" s="38"/>
    </row>
    <row r="11" spans="1:11" ht="15.6">
      <c r="A11" s="28" t="str">
        <v>Suffield</v>
      </c>
      <c r="B11" s="29" t="str">
        <v>CT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39"/>
      <c r="K11" s="39"/>
    </row>
    <row r="12" spans="1:11" ht="15.6">
      <c r="A12" s="30" t="str">
        <v>Ashby-Duffy</v>
      </c>
      <c r="B12" s="27" t="str">
        <v>MA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38"/>
      <c r="K12" s="38"/>
    </row>
    <row r="13" spans="1:11" ht="15.6">
      <c r="A13" s="28" t="str">
        <v>Ashland</v>
      </c>
      <c r="B13" s="29" t="str">
        <v>MA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39"/>
      <c r="K13" s="39"/>
    </row>
    <row r="14" spans="1:11" ht="15.6">
      <c r="A14" s="30" t="str">
        <v>Barrington</v>
      </c>
      <c r="B14" s="27" t="str">
        <v>MA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38"/>
      <c r="K14" s="38"/>
    </row>
    <row r="15" spans="1:11" ht="15.6">
      <c r="A15" s="28" t="str">
        <v>Bedford - 205 Burlington Rd</v>
      </c>
      <c r="B15" s="29" t="str">
        <v>MA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39"/>
      <c r="K15" s="39"/>
    </row>
    <row r="16" spans="1:11" ht="15.6">
      <c r="A16" s="30" t="str">
        <v>Billerica - 6 Cook Street</v>
      </c>
      <c r="B16" s="27" t="str">
        <v>MA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38"/>
      <c r="K16" s="38"/>
    </row>
    <row r="17" spans="1:11" ht="15.6">
      <c r="A17" s="28" t="str">
        <v>Billerica - 780 Boston Road</v>
      </c>
      <c r="B17" s="29" t="str">
        <v>MA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39"/>
      <c r="K17" s="39"/>
    </row>
    <row r="18" spans="1:11" ht="12.75" customHeight="1">
      <c r="A18" s="30" t="str">
        <v>Cheshire</v>
      </c>
      <c r="B18" s="27" t="str">
        <v>MA</v>
      </c>
      <c r="C18" s="24"/>
      <c r="D18" s="13"/>
      <c r="E18" s="13"/>
      <c r="F18" s="14"/>
      <c r="G18" s="15"/>
      <c r="H18" s="15"/>
      <c r="I18" s="16"/>
      <c r="J18" s="38"/>
      <c r="K18" s="38"/>
    </row>
    <row r="19" spans="1:11" ht="15.6">
      <c r="A19" s="28" t="str">
        <v>Lilly Lane</v>
      </c>
      <c r="B19" s="29" t="str">
        <v>MA</v>
      </c>
      <c r="C19" s="11"/>
      <c r="D19" s="18"/>
      <c r="E19" s="18"/>
      <c r="F19" s="19"/>
      <c r="G19" s="20"/>
      <c r="H19" s="20"/>
      <c r="I19" s="19"/>
      <c r="J19" s="39"/>
      <c r="K19" s="39"/>
    </row>
    <row r="20" spans="1:11" ht="15.6">
      <c r="A20" s="30" t="str">
        <v>Monument Valley</v>
      </c>
      <c r="B20" s="27" t="str">
        <v>MA</v>
      </c>
      <c r="C20" s="24"/>
      <c r="D20" s="13"/>
      <c r="E20" s="13"/>
      <c r="F20" s="14"/>
      <c r="G20" s="15"/>
      <c r="H20" s="15"/>
      <c r="I20" s="16"/>
      <c r="J20" s="38"/>
      <c r="K20" s="38"/>
    </row>
    <row r="21" spans="1:11" ht="15.6">
      <c r="A21" s="28" t="str">
        <v>Nationwide</v>
      </c>
      <c r="B21" s="29" t="str">
        <v>MA</v>
      </c>
      <c r="C21" s="11"/>
      <c r="D21" s="18"/>
      <c r="E21" s="18"/>
      <c r="F21" s="19"/>
      <c r="G21" s="20"/>
      <c r="H21" s="20"/>
      <c r="I21" s="19"/>
      <c r="J21" s="39"/>
      <c r="K21" s="39"/>
    </row>
    <row r="22" spans="1:11" ht="15.6">
      <c r="A22" s="30" t="str">
        <v>Pulpit Hill</v>
      </c>
      <c r="B22" s="27" t="str">
        <v>MA</v>
      </c>
      <c r="C22" s="24"/>
      <c r="D22" s="13"/>
      <c r="E22" s="13"/>
      <c r="F22" s="14"/>
      <c r="G22" s="15"/>
      <c r="H22" s="15"/>
      <c r="I22" s="16"/>
      <c r="J22" s="38"/>
      <c r="K22" s="38"/>
    </row>
    <row r="23" spans="1:11" ht="15.6">
      <c r="A23" s="28" t="str">
        <v>Sandwich</v>
      </c>
      <c r="B23" s="29" t="str">
        <v>MA</v>
      </c>
      <c r="C23" s="11"/>
      <c r="D23" s="18"/>
      <c r="E23" s="18"/>
      <c r="F23" s="19"/>
      <c r="G23" s="20"/>
      <c r="H23" s="20"/>
      <c r="I23" s="19"/>
      <c r="J23" s="39"/>
      <c r="K23" s="39"/>
    </row>
    <row r="24" spans="1:11" ht="15.6">
      <c r="A24" s="30" t="str">
        <v>Sturbridge Barn</v>
      </c>
      <c r="B24" s="27" t="str">
        <v>MA</v>
      </c>
      <c r="C24" s="24"/>
      <c r="D24" s="13"/>
      <c r="E24" s="13"/>
      <c r="F24" s="14"/>
      <c r="G24" s="15"/>
      <c r="H24" s="15"/>
      <c r="I24" s="16"/>
      <c r="J24" s="38"/>
      <c r="K24" s="38"/>
    </row>
    <row r="25" spans="1:11" ht="15.6">
      <c r="A25" s="28" t="str">
        <v>Sturbridge Garage</v>
      </c>
      <c r="B25" s="29" t="str">
        <v>MA</v>
      </c>
      <c r="C25" s="11"/>
      <c r="D25" s="18"/>
      <c r="E25" s="18"/>
      <c r="F25" s="19"/>
      <c r="G25" s="20"/>
      <c r="H25" s="20"/>
      <c r="I25" s="19"/>
      <c r="J25" s="39"/>
      <c r="K25" s="39"/>
    </row>
    <row r="26" spans="1:11" ht="15.6">
      <c r="A26" s="30" t="str">
        <v>Halsey Valley</v>
      </c>
      <c r="B26" s="27" t="str">
        <v>NY</v>
      </c>
      <c r="C26" s="24"/>
      <c r="D26" s="13"/>
      <c r="E26" s="13"/>
      <c r="F26" s="14"/>
      <c r="G26" s="15"/>
      <c r="H26" s="15"/>
      <c r="I26" s="16"/>
      <c r="J26" s="38"/>
      <c r="K26" s="38"/>
    </row>
    <row r="27" spans="1:11" ht="15.6">
      <c r="A27" s="28" t="str">
        <v>Hunt Creek</v>
      </c>
      <c r="B27" s="29" t="str">
        <v>NY</v>
      </c>
      <c r="C27" s="11"/>
      <c r="D27" s="18"/>
      <c r="E27" s="18"/>
      <c r="F27" s="19"/>
      <c r="G27" s="20"/>
      <c r="H27" s="20"/>
      <c r="I27" s="19"/>
      <c r="J27" s="39"/>
      <c r="K27" s="39"/>
    </row>
    <row r="28" spans="1:11" ht="15.6">
      <c r="A28" s="30" t="str">
        <v>Smith Creek</v>
      </c>
      <c r="B28" s="27" t="str">
        <v>NY</v>
      </c>
      <c r="C28" s="24"/>
      <c r="D28" s="13"/>
      <c r="E28" s="13"/>
      <c r="F28" s="14"/>
      <c r="G28" s="15"/>
      <c r="H28" s="15"/>
      <c r="I28" s="16"/>
      <c r="J28" s="38"/>
      <c r="K28" s="38"/>
    </row>
    <row r="29" spans="1:11" ht="14.45">
      <c r="A29" s="21"/>
      <c r="B29" s="3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45">
      <c r="A30" s="21"/>
      <c r="B30" s="3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45">
      <c r="A31" s="21"/>
      <c r="B31" s="3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45">
      <c r="A32" s="21"/>
      <c r="B32" s="3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45">
      <c r="A33" s="21"/>
      <c r="B33" s="3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4.45">
      <c r="A34" s="21"/>
      <c r="B34" s="3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4.45">
      <c r="A35" s="21"/>
      <c r="B35" s="3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4.45">
      <c r="A36" s="21"/>
      <c r="B36" s="31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1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1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1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1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1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1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1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1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1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1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1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1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1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1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1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1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1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1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1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1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1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1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1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1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1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1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1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1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1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1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1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1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1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1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1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1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1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1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1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1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1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1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1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1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1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1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1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1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1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1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1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1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1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1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1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1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1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1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1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1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1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1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1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1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1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1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1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1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1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1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1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1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1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1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1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1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1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1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1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1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1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1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1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1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1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1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1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1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1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1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1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1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1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1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1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1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1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1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1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1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1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1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1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1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1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1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1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1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1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1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1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1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1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1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1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1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1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1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1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1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1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1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1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1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1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1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1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1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1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1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1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1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1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1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1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1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1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1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1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1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1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1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1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1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1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1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1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1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1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1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1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1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1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1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1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1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1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1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1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1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1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1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1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1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1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1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1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1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1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1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1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1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1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1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1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1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1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1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1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1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1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1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1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1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1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1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1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1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1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1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1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1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1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1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1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1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1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1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1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1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1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1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1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1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1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1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1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1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1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1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1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1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1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1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1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1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1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1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1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1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1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1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1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1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1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1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1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1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1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1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1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1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1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1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1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1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1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1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1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1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1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1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1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1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1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1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1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1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1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1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1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1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1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1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1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1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1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1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1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1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1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1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1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1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1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1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1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1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1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1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1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1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1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1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1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1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1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1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1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1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1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1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1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1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1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1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1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1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1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1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1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1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1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1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1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1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1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1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1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1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1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1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1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1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1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1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A343" s="21"/>
      <c r="B343" s="31"/>
      <c r="C343" s="21"/>
      <c r="D343" s="21"/>
      <c r="E343" s="21"/>
      <c r="F343" s="22"/>
      <c r="G343" s="21"/>
      <c r="H343" s="21"/>
      <c r="I343" s="22"/>
      <c r="J343" s="21"/>
      <c r="K343" s="21"/>
    </row>
    <row r="344" spans="1:11" ht="14.45">
      <c r="A344" s="21"/>
      <c r="B344" s="31"/>
      <c r="C344" s="21"/>
      <c r="D344" s="21"/>
      <c r="E344" s="21"/>
      <c r="F344" s="22"/>
      <c r="G344" s="21"/>
      <c r="H344" s="21"/>
      <c r="I344" s="22"/>
      <c r="J344" s="21"/>
      <c r="K344" s="21"/>
    </row>
    <row r="345" spans="1:11">
      <c r="C345" s="21"/>
      <c r="D345" s="21"/>
      <c r="E345" s="21"/>
      <c r="F345" s="22"/>
      <c r="G345" s="21"/>
      <c r="H345" s="21"/>
      <c r="I345" s="22"/>
      <c r="J345" s="21"/>
      <c r="K345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3 I4:I103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34" sqref="E3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267</v>
      </c>
      <c r="B1" s="46" t="s">
        <v>268</v>
      </c>
    </row>
    <row r="3" spans="1:12" ht="12.6">
      <c r="A3" t="s">
        <v>269</v>
      </c>
      <c r="B3" t="s">
        <v>3</v>
      </c>
      <c r="C3" t="s">
        <v>4</v>
      </c>
      <c r="D3" t="s">
        <v>270</v>
      </c>
      <c r="E3" s="2" t="s">
        <v>271</v>
      </c>
    </row>
    <row r="4" spans="1:12" ht="14.45">
      <c r="A4" s="47" t="s">
        <v>272</v>
      </c>
      <c r="B4" s="47" t="s">
        <v>273</v>
      </c>
      <c r="C4" s="47" t="s">
        <v>274</v>
      </c>
      <c r="D4" t="s">
        <v>275</v>
      </c>
      <c r="E4" s="47" t="s">
        <v>276</v>
      </c>
      <c r="G4" s="3"/>
    </row>
    <row r="5" spans="1:12" ht="14.45">
      <c r="A5" s="47" t="s">
        <v>277</v>
      </c>
      <c r="B5" s="47" t="s">
        <v>278</v>
      </c>
      <c r="C5" s="47" t="s">
        <v>274</v>
      </c>
      <c r="D5" t="s">
        <v>275</v>
      </c>
      <c r="E5" s="47" t="s">
        <v>276</v>
      </c>
      <c r="G5" s="3"/>
    </row>
    <row r="6" spans="1:12" ht="14.45">
      <c r="A6" s="47" t="s">
        <v>279</v>
      </c>
      <c r="B6" s="47" t="s">
        <v>279</v>
      </c>
      <c r="C6" s="47" t="s">
        <v>274</v>
      </c>
      <c r="D6" t="s">
        <v>275</v>
      </c>
      <c r="E6" s="47" t="s">
        <v>276</v>
      </c>
      <c r="G6" s="3"/>
    </row>
    <row r="7" spans="1:12" ht="12.75" customHeight="1">
      <c r="A7" s="47" t="s">
        <v>280</v>
      </c>
      <c r="B7" s="47" t="s">
        <v>280</v>
      </c>
      <c r="C7" s="47" t="s">
        <v>274</v>
      </c>
      <c r="D7" t="s">
        <v>275</v>
      </c>
      <c r="E7" s="47" t="s">
        <v>276</v>
      </c>
    </row>
    <row r="8" spans="1:12" ht="12.75" customHeight="1">
      <c r="A8" s="47" t="s">
        <v>281</v>
      </c>
      <c r="B8" s="47" t="s">
        <v>281</v>
      </c>
      <c r="C8" s="47" t="s">
        <v>274</v>
      </c>
      <c r="D8" t="s">
        <v>275</v>
      </c>
      <c r="E8" s="47" t="s">
        <v>276</v>
      </c>
    </row>
    <row r="9" spans="1:12" ht="12.75" customHeight="1">
      <c r="A9" s="47" t="s">
        <v>282</v>
      </c>
      <c r="B9" s="47" t="s">
        <v>282</v>
      </c>
      <c r="C9" s="47" t="s">
        <v>274</v>
      </c>
      <c r="D9" t="s">
        <v>275</v>
      </c>
      <c r="E9" s="47" t="s">
        <v>276</v>
      </c>
    </row>
    <row r="10" spans="1:12" ht="12.75" customHeight="1">
      <c r="A10" s="47" t="s">
        <v>283</v>
      </c>
      <c r="B10" s="47" t="s">
        <v>284</v>
      </c>
      <c r="C10" s="47" t="s">
        <v>274</v>
      </c>
      <c r="D10" t="s">
        <v>275</v>
      </c>
      <c r="E10" s="47" t="s">
        <v>276</v>
      </c>
      <c r="K10" s="40"/>
      <c r="L10" s="40"/>
    </row>
    <row r="11" spans="1:12" ht="12.75" customHeight="1">
      <c r="A11" s="47" t="s">
        <v>285</v>
      </c>
      <c r="B11" s="47" t="s">
        <v>286</v>
      </c>
      <c r="C11" s="47" t="s">
        <v>274</v>
      </c>
      <c r="D11" t="s">
        <v>275</v>
      </c>
      <c r="E11" s="47" t="s">
        <v>276</v>
      </c>
      <c r="K11" s="40"/>
      <c r="L11" s="40"/>
    </row>
    <row r="12" spans="1:12" ht="12.75" customHeight="1">
      <c r="A12" s="47" t="s">
        <v>287</v>
      </c>
      <c r="B12" s="47" t="s">
        <v>287</v>
      </c>
      <c r="C12" s="47" t="s">
        <v>288</v>
      </c>
      <c r="D12" t="s">
        <v>275</v>
      </c>
      <c r="E12" s="47" t="s">
        <v>276</v>
      </c>
      <c r="K12" s="40"/>
      <c r="L12" s="40"/>
    </row>
    <row r="13" spans="1:12" ht="12.75" customHeight="1">
      <c r="A13" s="47" t="s">
        <v>289</v>
      </c>
      <c r="B13" s="47" t="s">
        <v>290</v>
      </c>
      <c r="C13" s="47" t="s">
        <v>288</v>
      </c>
      <c r="D13" t="s">
        <v>275</v>
      </c>
      <c r="E13" s="47" t="s">
        <v>276</v>
      </c>
      <c r="K13" s="40"/>
      <c r="L13" s="40"/>
    </row>
    <row r="14" spans="1:12" ht="12.75" customHeight="1">
      <c r="A14" s="47" t="s">
        <v>291</v>
      </c>
      <c r="B14" s="47" t="s">
        <v>292</v>
      </c>
      <c r="C14" s="47" t="s">
        <v>288</v>
      </c>
      <c r="D14" t="s">
        <v>275</v>
      </c>
      <c r="E14" s="47" t="s">
        <v>276</v>
      </c>
      <c r="K14" s="40"/>
      <c r="L14" s="40"/>
    </row>
    <row r="15" spans="1:12" ht="12.75" customHeight="1">
      <c r="A15" s="47" t="s">
        <v>293</v>
      </c>
      <c r="B15" t="s">
        <v>294</v>
      </c>
      <c r="C15" s="47" t="s">
        <v>288</v>
      </c>
      <c r="E15" t="s">
        <v>295</v>
      </c>
      <c r="K15" s="40"/>
      <c r="L15" s="40"/>
    </row>
    <row r="16" spans="1:12" ht="12.75" customHeight="1">
      <c r="A16" s="47" t="s">
        <v>296</v>
      </c>
      <c r="B16" t="s">
        <v>297</v>
      </c>
      <c r="C16" s="47" t="s">
        <v>288</v>
      </c>
      <c r="E16" t="s">
        <v>295</v>
      </c>
      <c r="K16" s="40"/>
      <c r="L16" s="40"/>
    </row>
    <row r="17" spans="1:12" ht="12.75" customHeight="1">
      <c r="A17" s="47" t="s">
        <v>298</v>
      </c>
      <c r="B17" t="s">
        <v>299</v>
      </c>
      <c r="C17" s="47" t="s">
        <v>288</v>
      </c>
      <c r="E17" t="s">
        <v>295</v>
      </c>
      <c r="K17" s="40"/>
      <c r="L17" s="40"/>
    </row>
    <row r="18" spans="1:12" ht="12.75" customHeight="1">
      <c r="A18" s="47" t="s">
        <v>300</v>
      </c>
      <c r="B18" s="47" t="s">
        <v>301</v>
      </c>
      <c r="C18" s="47" t="s">
        <v>288</v>
      </c>
      <c r="D18" t="s">
        <v>275</v>
      </c>
      <c r="E18" s="47" t="s">
        <v>276</v>
      </c>
      <c r="K18" s="40"/>
      <c r="L18" s="40"/>
    </row>
    <row r="19" spans="1:12" ht="12.75" customHeight="1">
      <c r="A19" s="47" t="s">
        <v>302</v>
      </c>
      <c r="B19" s="47" t="s">
        <v>303</v>
      </c>
      <c r="C19" s="47" t="s">
        <v>288</v>
      </c>
      <c r="D19" t="s">
        <v>275</v>
      </c>
      <c r="E19" s="47" t="s">
        <v>276</v>
      </c>
      <c r="K19" s="40"/>
      <c r="L19" s="40"/>
    </row>
    <row r="20" spans="1:12" ht="12.75" customHeight="1">
      <c r="A20" s="47" t="s">
        <v>304</v>
      </c>
      <c r="B20" s="47" t="s">
        <v>304</v>
      </c>
      <c r="C20" s="47" t="s">
        <v>288</v>
      </c>
      <c r="D20" t="s">
        <v>275</v>
      </c>
      <c r="E20" s="47" t="s">
        <v>276</v>
      </c>
      <c r="K20" s="40"/>
      <c r="L20" s="40"/>
    </row>
    <row r="21" spans="1:12" ht="12.75" customHeight="1">
      <c r="A21" s="47" t="s">
        <v>305</v>
      </c>
      <c r="B21" s="47" t="s">
        <v>305</v>
      </c>
      <c r="C21" s="47" t="s">
        <v>288</v>
      </c>
      <c r="D21" t="s">
        <v>275</v>
      </c>
      <c r="E21" s="47" t="s">
        <v>276</v>
      </c>
      <c r="K21" s="40"/>
      <c r="L21" s="40"/>
    </row>
    <row r="22" spans="1:12" ht="12.75" customHeight="1">
      <c r="A22" s="47" t="s">
        <v>306</v>
      </c>
      <c r="B22" s="47" t="s">
        <v>306</v>
      </c>
      <c r="C22" s="47" t="s">
        <v>288</v>
      </c>
      <c r="D22" t="s">
        <v>275</v>
      </c>
      <c r="E22" s="47" t="s">
        <v>276</v>
      </c>
      <c r="K22" s="40"/>
      <c r="L22" s="40"/>
    </row>
    <row r="23" spans="1:12" ht="12.75" customHeight="1">
      <c r="A23" s="47" t="s">
        <v>307</v>
      </c>
      <c r="B23" t="s">
        <v>308</v>
      </c>
      <c r="C23" s="47" t="s">
        <v>288</v>
      </c>
      <c r="E23" t="s">
        <v>276</v>
      </c>
      <c r="K23" s="40"/>
      <c r="L23" s="40"/>
    </row>
    <row r="24" spans="1:12" ht="12.75" customHeight="1">
      <c r="A24" s="47" t="s">
        <v>309</v>
      </c>
      <c r="B24" s="47" t="s">
        <v>310</v>
      </c>
      <c r="C24" s="47" t="s">
        <v>288</v>
      </c>
      <c r="D24" t="s">
        <v>275</v>
      </c>
      <c r="E24" s="47" t="s">
        <v>276</v>
      </c>
      <c r="K24" s="40"/>
      <c r="L24" s="40"/>
    </row>
    <row r="25" spans="1:12" ht="12.75" customHeight="1">
      <c r="A25" s="47" t="s">
        <v>311</v>
      </c>
      <c r="B25" s="47" t="s">
        <v>312</v>
      </c>
      <c r="C25" s="47" t="s">
        <v>288</v>
      </c>
      <c r="D25" t="s">
        <v>275</v>
      </c>
      <c r="E25" s="47" t="s">
        <v>276</v>
      </c>
      <c r="K25" s="40"/>
      <c r="L25" s="40"/>
    </row>
    <row r="26" spans="1:12" ht="12.75" customHeight="1">
      <c r="A26" s="47" t="s">
        <v>313</v>
      </c>
      <c r="B26" s="47" t="s">
        <v>313</v>
      </c>
      <c r="C26" s="47" t="s">
        <v>314</v>
      </c>
      <c r="D26" t="s">
        <v>275</v>
      </c>
      <c r="E26" s="47" t="s">
        <v>276</v>
      </c>
      <c r="K26" s="40"/>
      <c r="L26" s="40"/>
    </row>
    <row r="27" spans="1:12" ht="12.75" customHeight="1">
      <c r="A27" s="47" t="s">
        <v>315</v>
      </c>
      <c r="B27" s="47" t="s">
        <v>316</v>
      </c>
      <c r="C27" s="47" t="s">
        <v>314</v>
      </c>
      <c r="D27" t="s">
        <v>275</v>
      </c>
      <c r="E27" s="47" t="s">
        <v>276</v>
      </c>
      <c r="K27" s="40"/>
      <c r="L27" s="40"/>
    </row>
    <row r="28" spans="1:12" ht="12.75" customHeight="1">
      <c r="A28" s="47" t="s">
        <v>317</v>
      </c>
      <c r="B28" s="47" t="s">
        <v>318</v>
      </c>
      <c r="C28" s="47" t="s">
        <v>314</v>
      </c>
      <c r="D28" t="s">
        <v>275</v>
      </c>
      <c r="E28" s="47" t="s">
        <v>276</v>
      </c>
      <c r="K28" s="40"/>
      <c r="L28" s="40"/>
    </row>
    <row r="29" spans="1:12" ht="12.75" customHeight="1">
      <c r="K29" s="40"/>
      <c r="L29" s="40"/>
    </row>
    <row r="30" spans="1:12" ht="12.75" customHeight="1">
      <c r="K30" s="40"/>
      <c r="L30" s="40"/>
    </row>
    <row r="31" spans="1:12" ht="12.75" customHeight="1">
      <c r="K31" s="40"/>
      <c r="L31" s="4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2024-12-06T04:10:04Z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2024-10-15T14:27:22Z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7c31f528-66d5-4b51-8276-8c429b3755c5</vt:lpwstr>
  </property>
  <property fmtid="{D5CDD505-2E9C-101B-9397-08002B2CF9AE}" pid="9" name="MSIP_Label_9d817c99-0b37-4a07-8277-96aa1f96b74b_ContentBits">
    <vt:lpwstr>0</vt:lpwstr>
  </property>
</Properties>
</file>