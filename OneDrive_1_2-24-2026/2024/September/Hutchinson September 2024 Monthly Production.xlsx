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AC42AAB-47C7-4A9C-A460-DED8C4AC3F1C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E4" i="21"/>
  <c r="F4" i="21" s="1"/>
  <c r="E4" i="4"/>
  <c r="F4" i="4" s="1"/>
  <c r="E4" i="20"/>
  <c r="F4" i="20" s="1"/>
  <c r="G4" i="18"/>
  <c r="G4" i="34"/>
  <c r="G2" i="3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<sst xmlns="http://schemas.openxmlformats.org/spreadsheetml/2006/main" count="239" uniqueCount="53">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</sst>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3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4" sqref="H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0</v>
      </c>
      <c r="E1" s="37"/>
      <c r="F1" s="37"/>
      <c r="G1" s="35" t="s">
        <v>1</v>
      </c>
      <c r="H1" s="35"/>
      <c r="I1" s="35"/>
    </row>
    <row r="2" spans="1:9" ht="19.5" customHeight="1">
      <c r="A2" s="38" t="s">
        <v>2</v>
      </c>
      <c r="B2" s="38"/>
      <c r="C2" s="6">
        <f>SUM(C4:C87)</f>
        <v>230356</v>
      </c>
      <c r="D2" s="6">
        <f>SUM(D4:D87)</f>
        <v>0</v>
      </c>
      <c r="E2" s="6">
        <f>C2-D2</f>
        <v>230356</v>
      </c>
      <c r="F2" s="7">
        <f>IFERROR(E2/D2, 0)</f>
        <v>0</v>
      </c>
      <c r="G2" s="6">
        <f>SUM(G4:G87)</f>
        <v>0</v>
      </c>
      <c r="H2" s="8">
        <f>C2-G2</f>
        <v>230356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230356</v>
      </c>
      <c r="D4" s="12">
        <f>SUM('1st Qtr'!D4, '2nd Qtr'!D4, '3rd Qtr'!D4, '4th Qtr'!D4)</f>
        <v>0</v>
      </c>
      <c r="E4" s="12">
        <f>IF(AND(ISNUMBER(C4),ISNUMBER(D4)), C4-D4, "")</f>
        <v>230356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230356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10</v>
      </c>
      <c r="E1" s="37"/>
      <c r="F1" s="37"/>
      <c r="G1" s="35" t="s">
        <v>11</v>
      </c>
      <c r="H1" s="35"/>
      <c r="I1" s="35"/>
    </row>
    <row r="2" spans="1:9" ht="19.5" customHeight="1">
      <c r="A2" s="38" t="s">
        <v>2</v>
      </c>
      <c r="B2" s="38"/>
      <c r="C2" s="6">
        <f>SUM(C4:C87)</f>
        <v>55743</v>
      </c>
      <c r="D2" s="6">
        <f>SUM(D4:D87)</f>
        <v>0</v>
      </c>
      <c r="E2" s="6">
        <f>C2-D2</f>
        <v>55743</v>
      </c>
      <c r="F2" s="7">
        <f>IFERROR(E2/D2, 0)</f>
        <v>0</v>
      </c>
      <c r="G2" s="6">
        <f>SUM(G4:G87)</f>
        <v>0</v>
      </c>
      <c r="H2" s="8">
        <f>C2-G2</f>
        <v>55743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55743</v>
      </c>
      <c r="D4" s="12">
        <f>SUM(Jan!D4, Feb!D4, Mar!D4)</f>
        <v>0</v>
      </c>
      <c r="E4" s="12">
        <f>IF(AND(ISNUMBER(C4),ISNUMBER(D4)), C4-D4, "")</f>
        <v>55743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55743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12</v>
      </c>
      <c r="E1" s="37"/>
      <c r="F1" s="37"/>
      <c r="G1" s="35" t="s">
        <v>13</v>
      </c>
      <c r="H1" s="35"/>
      <c r="I1" s="35"/>
    </row>
    <row r="2" spans="1:9" ht="19.5" customHeight="1">
      <c r="A2" s="38" t="s">
        <v>2</v>
      </c>
      <c r="B2" s="38"/>
      <c r="C2" s="6">
        <f>SUM(C4:C87)</f>
        <v>84439</v>
      </c>
      <c r="D2" s="6">
        <f>SUM(D4:D87)</f>
        <v>0</v>
      </c>
      <c r="E2" s="6">
        <f>C2-D2</f>
        <v>84439</v>
      </c>
      <c r="F2" s="7">
        <f>IFERROR(E2/D2, 0)</f>
        <v>0</v>
      </c>
      <c r="G2" s="6">
        <f>SUM(G4:G87)</f>
        <v>0</v>
      </c>
      <c r="H2" s="8">
        <f>C2-G2</f>
        <v>84439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84439</v>
      </c>
      <c r="D4" s="12">
        <f>SUM(Apr!D4, May!D4, Jun!D4)</f>
        <v>0</v>
      </c>
      <c r="E4" s="12">
        <f>IF(AND(ISNUMBER(C4),ISNUMBER(D4)), C4-D4, "")</f>
        <v>84439</v>
      </c>
      <c r="F4" s="13" t="str">
        <f>IFERROR(E4/D4, "")</f>
        <v/>
      </c>
      <c r="G4" s="14">
        <f>SUM(Apr!G4,May!G4,Jun!G4)</f>
        <v>0</v>
      </c>
      <c r="H4" s="14">
        <f>SUM(Apr!H4, May!H4, Jun!H4)</f>
        <v>84439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14</v>
      </c>
      <c r="E1" s="37"/>
      <c r="F1" s="37"/>
      <c r="G1" s="35" t="s">
        <v>15</v>
      </c>
      <c r="H1" s="35"/>
      <c r="I1" s="35"/>
    </row>
    <row r="2" spans="1:9" ht="19.5" customHeight="1">
      <c r="A2" s="38" t="s">
        <v>2</v>
      </c>
      <c r="B2" s="38"/>
      <c r="C2" s="6">
        <f>SUM(C4:C87)</f>
        <v>90174</v>
      </c>
      <c r="D2" s="6">
        <f>SUM(D4:D87)</f>
        <v>0</v>
      </c>
      <c r="E2" s="6">
        <f>C2-D2</f>
        <v>90174</v>
      </c>
      <c r="F2" s="7">
        <f>IFERROR(E2/D2, 0)</f>
        <v>0</v>
      </c>
      <c r="G2" s="6">
        <f>SUM(G4:G87)</f>
        <v>0</v>
      </c>
      <c r="H2" s="8">
        <f>C2-G2</f>
        <v>90174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90174</v>
      </c>
      <c r="D4" s="12">
        <f>SUM(Jul!D4, Aug!D4, Sep!D4)</f>
        <v>0</v>
      </c>
      <c r="E4" s="12">
        <f>IF(AND(ISNUMBER(C4),ISNUMBER(D4)), C4-D4, "")</f>
        <v>90174</v>
      </c>
      <c r="F4" s="13" t="str">
        <f>IFERROR(E4/D4, "")</f>
        <v/>
      </c>
      <c r="G4" s="14">
        <f>SUM(Jul!G4,Aug!G4,Sep!G4)</f>
        <v>0</v>
      </c>
      <c r="H4" s="14">
        <f>SUM(Jul!H4, Aug!H4, Sep!H4)</f>
        <v>90174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A12" sqref="A12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16</v>
      </c>
      <c r="E1" s="37"/>
      <c r="F1" s="37"/>
      <c r="G1" s="35" t="s">
        <v>17</v>
      </c>
      <c r="H1" s="35"/>
      <c r="I1" s="35"/>
    </row>
    <row r="2" spans="1:9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18</v>
      </c>
      <c r="E1" s="37"/>
      <c r="F1" s="37"/>
      <c r="G1" s="35" t="s">
        <v>19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SUM(C4:C78)</f>
        <v>9727</v>
      </c>
      <c r="D2" s="6">
        <f>SUM(D4:D78)</f>
        <v>0</v>
      </c>
      <c r="E2" s="6">
        <f>C2-D2</f>
        <v>9727</v>
      </c>
      <c r="F2" s="7">
        <f>IFERROR(E2/D2, 0)</f>
        <v>0</v>
      </c>
      <c r="G2" s="6">
        <f>SUM(G4:G78)</f>
        <v>0</v>
      </c>
      <c r="H2" s="8">
        <f>C2-G2</f>
        <v>9727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9727</v>
      </c>
      <c r="D4" s="12">
        <v>0</v>
      </c>
      <c r="E4" s="12">
        <f>IF(AND(ISNUMBER(C4),ISNUMBER(D4)), C4-D4, "")</f>
        <v>9727</v>
      </c>
      <c r="F4" s="13" t="str">
        <f>IFERROR(E4/D4, "")</f>
        <v/>
      </c>
      <c r="G4" s="14">
        <v>0</v>
      </c>
      <c r="H4" s="14">
        <f>IF(AND(ISNUMBER(C4),ISNUMBER(G4)), C4-G4, "")</f>
        <v>9727</v>
      </c>
      <c r="I4" s="15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22</v>
      </c>
      <c r="E1" s="37"/>
      <c r="F1" s="37"/>
      <c r="G1" s="35" t="s">
        <v>23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18530</v>
      </c>
      <c r="D2" s="6">
        <f>SUM(D4:D87)</f>
        <v>0</v>
      </c>
      <c r="E2" s="6">
        <f>C2-D2</f>
        <v>18530</v>
      </c>
      <c r="F2" s="7">
        <f>IFERROR(E2/D2, 0)</f>
        <v>0</v>
      </c>
      <c r="G2" s="6">
        <f>SUM(G4:G87)</f>
        <v>0</v>
      </c>
      <c r="H2" s="8">
        <f>C2-G2</f>
        <v>18530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18530</v>
      </c>
      <c r="D4" s="12">
        <v>0</v>
      </c>
      <c r="E4" s="12">
        <f>IF(AND(ISNUMBER(C4),ISNUMBER(D4)), C4-D4, "")</f>
        <v>18530</v>
      </c>
      <c r="F4" s="13" t="str">
        <f>IFERROR(E4/D4, "")</f>
        <v/>
      </c>
      <c r="G4" s="14">
        <v>0</v>
      </c>
      <c r="H4" s="14">
        <f>IF(AND(ISNUMBER(C4),ISNUMBER(G4)), C4-G4, "")</f>
        <v>18530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8" sqref="F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24</v>
      </c>
      <c r="E1" s="37"/>
      <c r="F1" s="37"/>
      <c r="G1" s="35" t="s">
        <v>25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27486</v>
      </c>
      <c r="D2" s="6">
        <f>SUM(D4:D87)</f>
        <v>0</v>
      </c>
      <c r="E2" s="6">
        <f>C2-D2</f>
        <v>27486</v>
      </c>
      <c r="F2" s="7">
        <f>IFERROR(E2/D2, 0)</f>
        <v>0</v>
      </c>
      <c r="G2" s="6">
        <f>SUM(G4:G87)</f>
        <v>0</v>
      </c>
      <c r="H2" s="8">
        <f>C2-G2</f>
        <v>27486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27486</v>
      </c>
      <c r="D4" s="12">
        <v>0</v>
      </c>
      <c r="E4" s="12">
        <f>IF(AND(ISNUMBER(C4),ISNUMBER(D4)), C4-D4, "")</f>
        <v>27486</v>
      </c>
      <c r="F4" s="13" t="str">
        <f>IFERROR(E4/D4, "")</f>
        <v/>
      </c>
      <c r="G4" s="14">
        <v>0</v>
      </c>
      <c r="H4" s="14">
        <f>IF(AND(ISNUMBER(C4),ISNUMBER(G4)), C4-G4, "")</f>
        <v>27486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26</v>
      </c>
      <c r="E1" s="37"/>
      <c r="F1" s="37"/>
      <c r="G1" s="35" t="s">
        <v>27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26316</v>
      </c>
      <c r="D2" s="6">
        <f>SUM(D4:D87)</f>
        <v>0</v>
      </c>
      <c r="E2" s="6">
        <f>C2-D2</f>
        <v>26316</v>
      </c>
      <c r="F2" s="7">
        <f>IFERROR(E2/D2, 0)</f>
        <v>0</v>
      </c>
      <c r="G2" s="6">
        <f>SUM(G4:G87)</f>
        <v>0</v>
      </c>
      <c r="H2" s="8">
        <f>C2-G2</f>
        <v>26316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26316</v>
      </c>
      <c r="D4" s="12">
        <v>0</v>
      </c>
      <c r="E4" s="12">
        <f>IF(AND(ISNUMBER(C4),ISNUMBER(D4)), C4-D4, "")</f>
        <v>26316</v>
      </c>
      <c r="F4" s="13" t="str">
        <f>IFERROR(E4/D4, "")</f>
        <v/>
      </c>
      <c r="G4" s="14">
        <v>0</v>
      </c>
      <c r="H4" s="14">
        <f>IF(AND(ISNUMBER(C4),ISNUMBER(G4)), C4-G4, "")</f>
        <v>26316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0" sqref="E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28</v>
      </c>
      <c r="E1" s="37"/>
      <c r="F1" s="37"/>
      <c r="G1" s="35" t="s">
        <v>29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30951</v>
      </c>
      <c r="D2" s="6">
        <f>SUM(D4:D87)</f>
        <v>0</v>
      </c>
      <c r="E2" s="6">
        <f>C2-D2</f>
        <v>30951</v>
      </c>
      <c r="F2" s="7">
        <f>IFERROR(E2/D2, 0)</f>
        <v>0</v>
      </c>
      <c r="G2" s="6">
        <f>SUM(G4:G87)</f>
        <v>0</v>
      </c>
      <c r="H2" s="8">
        <f>C2-G2</f>
        <v>30951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30951</v>
      </c>
      <c r="D4" s="12">
        <v>0</v>
      </c>
      <c r="E4" s="12">
        <f>IF(AND(ISNUMBER(C4),ISNUMBER(D4)), C4-D4, "")</f>
        <v>30951</v>
      </c>
      <c r="F4" s="13" t="str">
        <f>IFERROR(E4/D4, "")</f>
        <v/>
      </c>
      <c r="G4" s="14">
        <v>0</v>
      </c>
      <c r="H4" s="14">
        <f>IF(AND(ISNUMBER(C4),ISNUMBER(G4)), C4-G4, "")</f>
        <v>30951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F23" sqref="F23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30</v>
      </c>
      <c r="E1" s="37"/>
      <c r="F1" s="37"/>
      <c r="G1" s="35" t="s">
        <v>31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27172</v>
      </c>
      <c r="D2" s="6">
        <f>SUM(D4:D87)</f>
        <v>0</v>
      </c>
      <c r="E2" s="6">
        <f>C2-D2</f>
        <v>27172</v>
      </c>
      <c r="F2" s="7">
        <f>IFERROR(E2/D2, 0)</f>
        <v>0</v>
      </c>
      <c r="G2" s="6">
        <f>SUM(G4:G87)</f>
        <v>0</v>
      </c>
      <c r="H2" s="8">
        <f>C2-G2</f>
        <v>27172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27172</v>
      </c>
      <c r="D4" s="12">
        <v>0</v>
      </c>
      <c r="E4" s="12">
        <f>IF(AND(ISNUMBER(C4),ISNUMBER(D4)), C4-D4, "")</f>
        <v>27172</v>
      </c>
      <c r="F4" s="13" t="str">
        <f>IFERROR(E4/D4, "")</f>
        <v/>
      </c>
      <c r="G4" s="14">
        <v>0</v>
      </c>
      <c r="H4" s="14">
        <f>IF(AND(ISNUMBER(C4),ISNUMBER(G4)), C4-G4, "")</f>
        <v>27172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H4" sqref="H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32</v>
      </c>
      <c r="E1" s="37"/>
      <c r="F1" s="37"/>
      <c r="G1" s="35" t="s">
        <v>33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30822</v>
      </c>
      <c r="D2" s="6">
        <f>SUM(D4:D87)</f>
        <v>0</v>
      </c>
      <c r="E2" s="6">
        <f>C2-D2</f>
        <v>30822</v>
      </c>
      <c r="F2" s="7">
        <f>IFERROR(E2/D2, 0)</f>
        <v>0</v>
      </c>
      <c r="G2" s="6">
        <f>SUM(G4:G87)</f>
        <v>0</v>
      </c>
      <c r="H2" s="8">
        <f>C2-G2</f>
        <v>30822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30822</v>
      </c>
      <c r="D4" s="12">
        <v>0</v>
      </c>
      <c r="E4" s="12">
        <f>IF(AND(ISNUMBER(C4),ISNUMBER(D4)), C4-D4, "")</f>
        <v>30822</v>
      </c>
      <c r="F4" s="13" t="str">
        <f>IFERROR(E4/D4, "")</f>
        <v/>
      </c>
      <c r="G4" s="14">
        <v>0</v>
      </c>
      <c r="H4" s="14">
        <f>IF(AND(ISNUMBER(C4),ISNUMBER(G4)), C4-G4, "")</f>
        <v>30822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G9" sqref="G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34</v>
      </c>
      <c r="E1" s="37"/>
      <c r="F1" s="37"/>
      <c r="G1" s="35" t="s">
        <v>35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27717</v>
      </c>
      <c r="D2" s="6">
        <f>SUM(D4:D87)</f>
        <v>0</v>
      </c>
      <c r="E2" s="6">
        <f>C2-D2</f>
        <v>27717</v>
      </c>
      <c r="F2" s="7">
        <f>IFERROR(E2/D2, 0)</f>
        <v>0</v>
      </c>
      <c r="G2" s="6">
        <f>SUM(G4:G87)</f>
        <v>0</v>
      </c>
      <c r="H2" s="8">
        <f>C2-G2</f>
        <v>27717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27717</v>
      </c>
      <c r="D4" s="12">
        <v>0</v>
      </c>
      <c r="E4" s="12">
        <f>IF(AND(ISNUMBER(C4),ISNUMBER(D4)), C4-D4, "")</f>
        <v>27717</v>
      </c>
      <c r="F4" s="13" t="str">
        <f>IFERROR(E4/D4, "")</f>
        <v/>
      </c>
      <c r="G4" s="14">
        <v>0</v>
      </c>
      <c r="H4" s="14">
        <f>IF(AND(ISNUMBER(C4),ISNUMBER(G4)), C4-G4, "")</f>
        <v>27717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G10" sqref="G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36</v>
      </c>
      <c r="E1" s="37"/>
      <c r="F1" s="37"/>
      <c r="G1" s="35" t="s">
        <v>37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31635</v>
      </c>
      <c r="D2" s="6">
        <f>SUM(D4:D87)</f>
        <v>0</v>
      </c>
      <c r="E2" s="6">
        <f>C2-D2</f>
        <v>31635</v>
      </c>
      <c r="F2" s="7">
        <f>IFERROR(E2/D2, 0)</f>
        <v>0</v>
      </c>
      <c r="G2" s="6">
        <f>SUM(G4:G87)</f>
        <v>0</v>
      </c>
      <c r="H2" s="8">
        <f>C2-G2</f>
        <v>31635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31635</v>
      </c>
      <c r="D4" s="12">
        <v>0</v>
      </c>
      <c r="E4" s="12">
        <f>IF(AND(ISNUMBER(C4),ISNUMBER(D4)), C4-D4, "")</f>
        <v>31635</v>
      </c>
      <c r="F4" s="13" t="str">
        <f>IFERROR(E4/D4, "")</f>
        <v/>
      </c>
      <c r="G4" s="14">
        <v>0</v>
      </c>
      <c r="H4" s="14">
        <f>IF(AND(ISNUMBER(C4),ISNUMBER(G4)), C4-G4, "")</f>
        <v>31635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38</v>
      </c>
      <c r="E1" s="37"/>
      <c r="F1" s="37"/>
      <c r="G1" s="35" t="s">
        <v>39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40</v>
      </c>
      <c r="E1" s="37"/>
      <c r="F1" s="37"/>
      <c r="G1" s="35" t="s">
        <v>41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42</v>
      </c>
      <c r="E1" s="37"/>
      <c r="F1" s="37"/>
      <c r="G1" s="35" t="s">
        <v>43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4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49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2024-10-10T05:40:47Z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