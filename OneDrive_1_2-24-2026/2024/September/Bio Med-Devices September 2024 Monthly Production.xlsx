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2" documentId="13_ncr:1_{D44B11ED-90B1-4B97-83FD-9D3725710675}" xr6:coauthVersionLast="47" xr6:coauthVersionMax="47" xr10:uidLastSave="{2D7A4C5F-351F-45C0-8609-838F0C1B1874}"/>
  <bookViews>
    <workbookView xWindow="-108" yWindow="-108" windowWidth="23256" windowHeight="12456" tabRatio="866" firstSheet="12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<sst xmlns="http://schemas.openxmlformats.org/spreadsheetml/2006/main" count="244" uniqueCount="57">
  <si>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</si>
  <si>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</si>
  <si>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</si>
  <si>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</si>
  <si>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</si>
  <si>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</si>
  <si>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</si>
  <si>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</si>
  <si>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</si>
  <si>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</si>
  <si>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</si>
  <si>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</si>
  <si>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</si>
  <si>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</si>
  <si>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</si>
  <si>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</si>
  <si>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</si>
  <si>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</si>
  <si>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</si>
  <si>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</si>
  <si>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</si>
  <si>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</si>
  <si>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</si>
  <si>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</si>
  <si>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</si>
  <si>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</si>
  <si>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Inverter 3 is offline from 03/22 to 03/25.</t>
  </si>
  <si>
    <t>1. SR082391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</si>
  <si>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</si>
  <si>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</si>
  <si>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</si>
  <si>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</si>
  <si>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</si>
  <si>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</si>
  <si>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</si>
  <si>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</si>
  <si>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</si>
  <si>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</si>
  <si>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 xml:space="preserve">1.Inverter 4 tripped offline due to an arc fault at 9:15 EDT on 08/10/2024  and is back online on 08/13/2024 </t>
  </si>
  <si>
    <t>1.SR08867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</si>
  <si>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</si>
  <si>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</si>
  <si>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</si>
  <si>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</si>
  <si>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</si>
  <si>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</si>
  <si>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</si>
  <si>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</si>
  <si>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</si>
  <si>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Bio-Med Devices</t>
  </si>
  <si>
    <t>Site DAS Name</t>
  </si>
  <si>
    <t>Update</t>
  </si>
  <si>
    <t>DAS</t>
  </si>
  <si>
    <t>CT: Guildford - Bio-Med Devices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</si>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</sst>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6"/>
  <sheetViews>
    <sheetView workbookViewId="0">
      <pane xSplit="2" ySplit="3" topLeftCell="C4" activePane="bottomRight" state="frozen"/>
      <selection pane="bottomRight" activeCell="E20" sqref="E20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0</v>
      </c>
      <c r="E1" s="43"/>
      <c r="F1" s="43"/>
      <c r="G1" s="41" t="s">
        <v>1</v>
      </c>
      <c r="H1" s="41"/>
      <c r="I1" s="41"/>
    </row>
    <row r="2" spans="1:9" ht="19.5" customHeight="1">
      <c r="A2" s="44" t="s">
        <v>2</v>
      </c>
      <c r="B2" s="44"/>
      <c r="C2" s="5">
        <f>SUM(C4:C74)</f>
        <v>126785.93</v>
      </c>
      <c r="D2" s="5">
        <f>SUM(D4:D74)</f>
        <v>0</v>
      </c>
      <c r="E2" s="5">
        <f>C2-D2</f>
        <v>126785.93</v>
      </c>
      <c r="F2" s="6">
        <f>IFERROR(E2/D2, 0)</f>
        <v>0</v>
      </c>
      <c r="G2" s="5">
        <f>SUM(G4:G74)</f>
        <v>129503.406</v>
      </c>
      <c r="H2" s="7">
        <f>C2-G2</f>
        <v>-2717.4760000000097</v>
      </c>
      <c r="I2" s="6">
        <f>IFERROR(H2/G2, 0)</f>
        <v>-2.0983818757631823E-2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10" t="str" cm="1">
        <f t="array" ref="A4">Sites[Site]</f>
        <v>CT: Guildford - Bio-Med Devices</v>
      </c>
      <c r="B4" s="9" t="str" cm="1">
        <f t="array" ref="B4">Sites[State]</f>
        <v>CT</v>
      </c>
      <c r="C4" s="19">
        <f>SUM('1st Qtr'!C4, '2nd Qtr'!C4, '3rd Qtr'!C4, '4th Qtr'!C4)</f>
        <v>126785.93</v>
      </c>
      <c r="D4" s="11">
        <f>SUM('1st Qtr'!D4, '2nd Qtr'!D4, '3rd Qtr'!D4, '4th Qtr'!D4)</f>
        <v>0</v>
      </c>
      <c r="E4" s="11">
        <f>IF(AND(ISNUMBER(C4),ISNUMBER(D4)), C4-D4, "")</f>
        <v>126785.93</v>
      </c>
      <c r="F4" s="12" t="str">
        <f>IFERROR(E4/D4, "")</f>
        <v/>
      </c>
      <c r="G4" s="13">
        <f>SUM('1st Qtr'!G4, '2nd Qtr'!G4, '3rd Qtr'!G4, '4th Qtr'!G4)</f>
        <v>129503.406</v>
      </c>
      <c r="H4" s="13">
        <f>SUM('1st Qtr'!H4, '2nd Qtr'!H4, '3rd Qtr'!H4, '4th Qtr'!H4)</f>
        <v>-2717.4759999999987</v>
      </c>
      <c r="I4" s="14">
        <f>IFERROR(H4/G4, "")</f>
        <v>-2.098381875763174E-2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4 I4:I74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6"/>
  <sheetViews>
    <sheetView workbookViewId="0">
      <pane xSplit="2" ySplit="3" topLeftCell="C4" activePane="bottomRight" state="frozen"/>
      <selection pane="bottomRight" activeCell="A5" sqref="A5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10</v>
      </c>
      <c r="E1" s="43"/>
      <c r="F1" s="43"/>
      <c r="G1" s="41" t="s">
        <v>11</v>
      </c>
      <c r="H1" s="41"/>
      <c r="I1" s="41"/>
    </row>
    <row r="2" spans="1:9" ht="19.5" customHeight="1">
      <c r="A2" s="44" t="s">
        <v>2</v>
      </c>
      <c r="B2" s="44"/>
      <c r="C2" s="5">
        <f>SUM(C4:C74)</f>
        <v>24798.019999999997</v>
      </c>
      <c r="D2" s="5">
        <f>SUM(D4:D74)</f>
        <v>0</v>
      </c>
      <c r="E2" s="5">
        <f>C2-D2</f>
        <v>24798.019999999997</v>
      </c>
      <c r="F2" s="6">
        <f>IFERROR(E2/D2, 0)</f>
        <v>0</v>
      </c>
      <c r="G2" s="5">
        <f>SUM(G4:G74)</f>
        <v>33814.351999999999</v>
      </c>
      <c r="H2" s="7">
        <f>C2-G2</f>
        <v>-9016.3320000000022</v>
      </c>
      <c r="I2" s="6">
        <f>IFERROR(H2/G2, 0)</f>
        <v>-0.26664216425025689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SUM(Jan!C4, Feb!C4, Mar!C4)</f>
        <v>24798.019999999997</v>
      </c>
      <c r="D4" s="11">
        <f>SUM(Jan!D4, Feb!D4, Mar!D4)</f>
        <v>0</v>
      </c>
      <c r="E4" s="11">
        <f>IF(AND(ISNUMBER(C4),ISNUMBER(D4)), C4-D4, "")</f>
        <v>24798.019999999997</v>
      </c>
      <c r="F4" s="12" t="str">
        <f>IFERROR(E4/D4, "")</f>
        <v/>
      </c>
      <c r="G4" s="13">
        <f>SUM(Jan!G4, Feb!G4, Mar!G4)</f>
        <v>33814.351999999999</v>
      </c>
      <c r="H4" s="13">
        <f>SUM(Jan!H4, Feb!H4, Mar!H4)</f>
        <v>-9016.3319999999985</v>
      </c>
      <c r="I4" s="14">
        <f>IFERROR(H4/G4, "")</f>
        <v>-0.26664216425025677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4 I4:I74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6"/>
  <sheetViews>
    <sheetView workbookViewId="0">
      <pane xSplit="2" ySplit="3" topLeftCell="C4" activePane="bottomRight" state="frozen"/>
      <selection pane="bottomRight" activeCell="H15" sqref="H15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12</v>
      </c>
      <c r="E1" s="43"/>
      <c r="F1" s="43"/>
      <c r="G1" s="41" t="s">
        <v>13</v>
      </c>
      <c r="H1" s="41"/>
      <c r="I1" s="41"/>
    </row>
    <row r="2" spans="1:9" ht="19.5" customHeight="1">
      <c r="A2" s="44" t="s">
        <v>2</v>
      </c>
      <c r="B2" s="44"/>
      <c r="C2" s="5">
        <f>SUM(C4:C74)</f>
        <v>53803.14</v>
      </c>
      <c r="D2" s="5">
        <f>SUM(D4:D74)</f>
        <v>0</v>
      </c>
      <c r="E2" s="5">
        <f>C2-D2</f>
        <v>53803.14</v>
      </c>
      <c r="F2" s="6">
        <f>IFERROR(E2/D2, 0)</f>
        <v>0</v>
      </c>
      <c r="G2" s="5">
        <f>SUM(G4:G74)</f>
        <v>49373.971000000005</v>
      </c>
      <c r="H2" s="7">
        <f>C2-G2</f>
        <v>4429.1689999999944</v>
      </c>
      <c r="I2" s="6">
        <f>IFERROR(H2/G2, 0)</f>
        <v>8.970655813768745E-2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SUM(Apr!C4, May!C4, Jun!C4)</f>
        <v>53803.14</v>
      </c>
      <c r="D4" s="11">
        <f>SUM(Apr!D4, May!D4, Jun!D4)</f>
        <v>0</v>
      </c>
      <c r="E4" s="11">
        <f>IF(AND(ISNUMBER(C4),ISNUMBER(D4)), C4-D4, "")</f>
        <v>53803.14</v>
      </c>
      <c r="F4" s="12" t="str">
        <f>IFERROR(E4/D4, "")</f>
        <v/>
      </c>
      <c r="G4" s="13">
        <f>SUM(Apr!G4,May!G4,Jun!G4)</f>
        <v>49373.971000000005</v>
      </c>
      <c r="H4" s="13">
        <f>SUM(Apr!H4, May!H4, Jun!H4)</f>
        <v>4429.1689999999981</v>
      </c>
      <c r="I4" s="14">
        <f>IFERROR(H4/G4, "")</f>
        <v>8.970655813768752E-2</v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6"/>
  <sheetViews>
    <sheetView tabSelected="1" workbookViewId="0">
      <pane xSplit="2" ySplit="3" topLeftCell="C4" activePane="bottomRight" state="frozen"/>
      <selection pane="bottomRight" activeCell="G4" sqref="G4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14</v>
      </c>
      <c r="E1" s="43"/>
      <c r="F1" s="43"/>
      <c r="G1" s="41" t="s">
        <v>15</v>
      </c>
      <c r="H1" s="41"/>
      <c r="I1" s="41"/>
    </row>
    <row r="2" spans="1:9" ht="19.5" customHeight="1">
      <c r="A2" s="44" t="s">
        <v>2</v>
      </c>
      <c r="B2" s="44"/>
      <c r="C2" s="5">
        <f>SUM(C4:C74)</f>
        <v>48184.77</v>
      </c>
      <c r="D2" s="5">
        <f>SUM(D4:D74)</f>
        <v>0</v>
      </c>
      <c r="E2" s="5">
        <f>C2-D2</f>
        <v>48184.77</v>
      </c>
      <c r="F2" s="6">
        <f>IFERROR(E2/D2, 0)</f>
        <v>0</v>
      </c>
      <c r="G2" s="5">
        <f>SUM(G4:G74)</f>
        <v>46315.082999999999</v>
      </c>
      <c r="H2" s="7">
        <f>C2-G2</f>
        <v>1869.6869999999981</v>
      </c>
      <c r="I2" s="6">
        <f>IFERROR(H2/G2, 0)</f>
        <v>4.0368857808157188E-2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SUM(Jul!C4, Aug!C4, Sep!C4)</f>
        <v>48184.77</v>
      </c>
      <c r="D4" s="11">
        <f>SUM(Jul!D4, Aug!D4, Sep!D4)</f>
        <v>0</v>
      </c>
      <c r="E4" s="11">
        <f>IF(AND(ISNUMBER(C4),ISNUMBER(D4)), C4-D4, "")</f>
        <v>48184.77</v>
      </c>
      <c r="F4" s="12" t="str">
        <f>IFERROR(E4/D4, "")</f>
        <v/>
      </c>
      <c r="G4" s="13">
        <f>SUM(Jul!G4,Aug!G4,Sep!G4)</f>
        <v>46315.082999999999</v>
      </c>
      <c r="H4" s="13">
        <f>SUM(Jul!H4, Aug!H4, Sep!H4)</f>
        <v>1869.6870000000017</v>
      </c>
      <c r="I4" s="14">
        <f>IFERROR(H4/G4, "")</f>
        <v>4.0368857808157264E-2</v>
      </c>
    </row>
    <row r="5" spans="1:9" ht="15.6">
      <c r="A5" s="15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2" t="str" cm="1">
        <f t="array" ref="A1">portfolio</f>
        <v>Bio-Med Devices</v>
      </c>
      <c r="B1" s="42"/>
      <c r="C1" s="42"/>
      <c r="D1" s="43" t="s">
        <v>16</v>
      </c>
      <c r="E1" s="43"/>
      <c r="F1" s="43"/>
      <c r="G1" s="41" t="s">
        <v>17</v>
      </c>
      <c r="H1" s="41"/>
      <c r="I1" s="41"/>
    </row>
    <row r="2" spans="1:9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</row>
    <row r="4" spans="1:9" ht="15.6">
      <c r="A4" s="38" t="str" cm="1">
        <f t="array" ref="A4">Sites[Site]</f>
        <v>CT: Guildford - Bio-Med Devices</v>
      </c>
      <c r="B4" s="9" t="str" cm="1">
        <f t="array" ref="B4">Sites[State]</f>
        <v>CT</v>
      </c>
      <c r="C4" s="19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6"/>
      <c r="B5" s="16"/>
      <c r="C5" s="16"/>
      <c r="D5" s="16"/>
      <c r="E5" s="16"/>
      <c r="F5" s="16"/>
      <c r="G5" s="16"/>
      <c r="H5" s="16"/>
      <c r="I5" s="16"/>
    </row>
    <row r="6" spans="1:9" ht="13.9">
      <c r="A6" s="16"/>
      <c r="B6" s="16"/>
      <c r="C6" s="16"/>
      <c r="D6" s="16"/>
      <c r="E6" s="16"/>
      <c r="F6" s="16"/>
      <c r="G6" s="16"/>
      <c r="H6" s="16"/>
      <c r="I6" s="16"/>
    </row>
    <row r="7" spans="1:9" ht="13.9">
      <c r="A7" s="16"/>
      <c r="B7" s="16"/>
      <c r="C7" s="16"/>
      <c r="D7" s="16"/>
      <c r="E7" s="16"/>
      <c r="F7" s="17"/>
      <c r="G7" s="16"/>
      <c r="H7" s="16"/>
      <c r="I7" s="17"/>
    </row>
    <row r="8" spans="1:9" ht="13.9">
      <c r="A8" s="16"/>
      <c r="B8" s="16"/>
      <c r="C8" s="16"/>
      <c r="D8" s="16"/>
      <c r="E8" s="16"/>
      <c r="F8" s="17"/>
      <c r="G8" s="16"/>
      <c r="H8" s="16"/>
      <c r="I8" s="17"/>
    </row>
    <row r="9" spans="1:9" ht="13.9">
      <c r="A9" s="16"/>
      <c r="B9" s="16"/>
      <c r="C9" s="16"/>
      <c r="D9" s="16"/>
      <c r="E9" s="16"/>
      <c r="F9" s="17"/>
      <c r="G9" s="16"/>
      <c r="H9" s="16"/>
      <c r="I9" s="17"/>
    </row>
    <row r="10" spans="1:9" ht="13.9">
      <c r="A10" s="16"/>
      <c r="B10" s="16"/>
      <c r="C10" s="16"/>
      <c r="D10" s="16"/>
      <c r="E10" s="16"/>
      <c r="F10" s="17"/>
      <c r="G10" s="16"/>
      <c r="H10" s="16"/>
      <c r="I10" s="17"/>
    </row>
    <row r="11" spans="1:9" ht="13.9">
      <c r="A11" s="16"/>
      <c r="B11" s="16"/>
      <c r="C11" s="16"/>
      <c r="D11" s="16"/>
      <c r="E11" s="16"/>
      <c r="F11" s="17"/>
      <c r="G11" s="16"/>
      <c r="H11" s="16"/>
      <c r="I11" s="17"/>
    </row>
    <row r="12" spans="1:9" ht="13.9">
      <c r="A12" s="16"/>
      <c r="B12" s="16"/>
      <c r="C12" s="16"/>
      <c r="D12" s="16"/>
      <c r="E12" s="16"/>
      <c r="F12" s="17"/>
      <c r="G12" s="16"/>
      <c r="H12" s="16"/>
      <c r="I12" s="17"/>
    </row>
    <row r="13" spans="1:9" ht="13.9">
      <c r="A13" s="16"/>
      <c r="B13" s="16"/>
      <c r="C13" s="16"/>
      <c r="D13" s="16"/>
      <c r="E13" s="16"/>
      <c r="F13" s="17"/>
      <c r="G13" s="16"/>
      <c r="H13" s="16"/>
      <c r="I13" s="17"/>
    </row>
    <row r="14" spans="1:9" ht="13.9">
      <c r="A14" s="16"/>
      <c r="B14" s="16"/>
      <c r="C14" s="16"/>
      <c r="D14" s="16"/>
      <c r="E14" s="16"/>
      <c r="F14" s="17"/>
      <c r="G14" s="16"/>
      <c r="H14" s="16"/>
      <c r="I14" s="17"/>
    </row>
    <row r="15" spans="1:9" ht="13.9">
      <c r="A15" s="16"/>
      <c r="B15" s="16"/>
      <c r="C15" s="16"/>
      <c r="D15" s="16"/>
      <c r="E15" s="16"/>
      <c r="F15" s="17"/>
      <c r="G15" s="16"/>
      <c r="H15" s="16"/>
      <c r="I15" s="17"/>
    </row>
    <row r="16" spans="1:9" ht="13.9">
      <c r="A16" s="16"/>
      <c r="B16" s="16"/>
      <c r="C16" s="16"/>
      <c r="D16" s="16"/>
      <c r="E16" s="16"/>
      <c r="F16" s="17"/>
      <c r="G16" s="16"/>
      <c r="H16" s="16"/>
      <c r="I16" s="17"/>
    </row>
    <row r="17" spans="1:9" ht="13.9">
      <c r="A17" s="16"/>
      <c r="B17" s="16"/>
      <c r="C17" s="16"/>
      <c r="D17" s="16"/>
      <c r="E17" s="16"/>
      <c r="F17" s="17"/>
      <c r="G17" s="16"/>
      <c r="H17" s="16"/>
      <c r="I17" s="17"/>
    </row>
    <row r="18" spans="1:9" ht="13.9">
      <c r="A18" s="16"/>
      <c r="B18" s="16"/>
      <c r="C18" s="16"/>
      <c r="D18" s="16"/>
      <c r="E18" s="16"/>
      <c r="F18" s="17"/>
      <c r="G18" s="16"/>
      <c r="H18" s="16"/>
      <c r="I18" s="17"/>
    </row>
    <row r="19" spans="1:9" ht="13.9">
      <c r="A19" s="16"/>
      <c r="B19" s="16"/>
      <c r="C19" s="16"/>
      <c r="D19" s="16"/>
      <c r="E19" s="16"/>
      <c r="F19" s="17"/>
      <c r="G19" s="16"/>
      <c r="H19" s="16"/>
      <c r="I19" s="17"/>
    </row>
    <row r="20" spans="1:9" ht="13.9">
      <c r="A20" s="16"/>
      <c r="B20" s="16"/>
      <c r="C20" s="16"/>
      <c r="D20" s="16"/>
      <c r="E20" s="16"/>
      <c r="F20" s="17"/>
      <c r="G20" s="16"/>
      <c r="H20" s="16"/>
      <c r="I20" s="17"/>
    </row>
    <row r="21" spans="1:9" ht="13.9">
      <c r="A21" s="16"/>
      <c r="B21" s="16"/>
      <c r="C21" s="16"/>
      <c r="D21" s="16"/>
      <c r="E21" s="16"/>
      <c r="F21" s="17"/>
      <c r="G21" s="16"/>
      <c r="H21" s="16"/>
      <c r="I21" s="17"/>
    </row>
    <row r="22" spans="1:9" ht="13.9">
      <c r="A22" s="16"/>
      <c r="B22" s="16"/>
      <c r="C22" s="16"/>
      <c r="D22" s="16"/>
      <c r="E22" s="16"/>
      <c r="F22" s="17"/>
      <c r="G22" s="16"/>
      <c r="H22" s="16"/>
      <c r="I22" s="17"/>
    </row>
    <row r="23" spans="1:9" ht="13.9">
      <c r="A23" s="16"/>
      <c r="B23" s="16"/>
      <c r="C23" s="16"/>
      <c r="D23" s="16"/>
      <c r="E23" s="16"/>
      <c r="F23" s="17"/>
      <c r="G23" s="16"/>
      <c r="H23" s="16"/>
      <c r="I23" s="17"/>
    </row>
    <row r="24" spans="1:9" ht="13.9">
      <c r="A24" s="16"/>
      <c r="B24" s="16"/>
      <c r="C24" s="16"/>
      <c r="D24" s="16"/>
      <c r="E24" s="16"/>
      <c r="F24" s="17"/>
      <c r="G24" s="16"/>
      <c r="H24" s="16"/>
      <c r="I24" s="17"/>
    </row>
    <row r="25" spans="1:9" ht="13.9">
      <c r="A25" s="16"/>
      <c r="B25" s="16"/>
      <c r="C25" s="16"/>
      <c r="D25" s="16"/>
      <c r="E25" s="16"/>
      <c r="F25" s="17"/>
      <c r="G25" s="16"/>
      <c r="H25" s="16"/>
      <c r="I25" s="17"/>
    </row>
    <row r="26" spans="1:9" ht="13.9">
      <c r="A26" s="16"/>
      <c r="B26" s="16"/>
      <c r="C26" s="16"/>
      <c r="D26" s="16"/>
      <c r="E26" s="16"/>
      <c r="F26" s="17"/>
      <c r="G26" s="16"/>
      <c r="H26" s="16"/>
      <c r="I26" s="17"/>
    </row>
    <row r="27" spans="1:9" ht="13.9">
      <c r="A27" s="16"/>
      <c r="B27" s="16"/>
      <c r="C27" s="16"/>
      <c r="D27" s="16"/>
      <c r="E27" s="16"/>
      <c r="F27" s="17"/>
      <c r="G27" s="16"/>
      <c r="H27" s="16"/>
      <c r="I27" s="17"/>
    </row>
    <row r="28" spans="1:9" ht="13.9">
      <c r="A28" s="16"/>
      <c r="B28" s="16"/>
      <c r="C28" s="16"/>
      <c r="D28" s="16"/>
      <c r="E28" s="16"/>
      <c r="F28" s="17"/>
      <c r="G28" s="16"/>
      <c r="H28" s="16"/>
      <c r="I28" s="17"/>
    </row>
    <row r="29" spans="1:9" ht="13.9">
      <c r="A29" s="16"/>
      <c r="B29" s="16"/>
      <c r="C29" s="16"/>
      <c r="D29" s="16"/>
      <c r="E29" s="16"/>
      <c r="F29" s="17"/>
      <c r="G29" s="16"/>
      <c r="H29" s="16"/>
      <c r="I29" s="17"/>
    </row>
    <row r="30" spans="1:9" ht="13.9">
      <c r="A30" s="16"/>
      <c r="B30" s="16"/>
      <c r="C30" s="16"/>
      <c r="D30" s="16"/>
      <c r="E30" s="16"/>
      <c r="F30" s="17"/>
      <c r="G30" s="16"/>
      <c r="H30" s="16"/>
      <c r="I30" s="17"/>
    </row>
    <row r="31" spans="1:9" ht="13.9">
      <c r="A31" s="16"/>
      <c r="B31" s="16"/>
      <c r="C31" s="16"/>
      <c r="D31" s="16"/>
      <c r="E31" s="16"/>
      <c r="F31" s="17"/>
      <c r="G31" s="16"/>
      <c r="H31" s="16"/>
      <c r="I31" s="17"/>
    </row>
    <row r="32" spans="1:9" ht="13.9">
      <c r="A32" s="16"/>
      <c r="B32" s="16"/>
      <c r="C32" s="16"/>
      <c r="D32" s="16"/>
      <c r="E32" s="16"/>
      <c r="F32" s="17"/>
      <c r="G32" s="16"/>
      <c r="H32" s="16"/>
      <c r="I32" s="17"/>
    </row>
    <row r="33" spans="1:9" ht="13.9">
      <c r="A33" s="16"/>
      <c r="B33" s="16"/>
      <c r="C33" s="16"/>
      <c r="D33" s="16"/>
      <c r="E33" s="16"/>
      <c r="F33" s="17"/>
      <c r="G33" s="16"/>
      <c r="H33" s="16"/>
      <c r="I33" s="17"/>
    </row>
    <row r="34" spans="1:9" ht="13.9">
      <c r="A34" s="16"/>
      <c r="B34" s="16"/>
      <c r="C34" s="16"/>
      <c r="D34" s="16"/>
      <c r="E34" s="16"/>
      <c r="F34" s="17"/>
      <c r="G34" s="16"/>
      <c r="H34" s="16"/>
      <c r="I34" s="17"/>
    </row>
    <row r="35" spans="1:9" ht="13.9">
      <c r="A35" s="16"/>
      <c r="B35" s="16"/>
      <c r="C35" s="16"/>
      <c r="D35" s="16"/>
      <c r="E35" s="16"/>
      <c r="F35" s="17"/>
      <c r="G35" s="16"/>
      <c r="H35" s="16"/>
      <c r="I35" s="17"/>
    </row>
    <row r="36" spans="1:9" ht="13.9">
      <c r="A36" s="16"/>
      <c r="B36" s="16"/>
      <c r="C36" s="16"/>
      <c r="D36" s="16"/>
      <c r="E36" s="16"/>
      <c r="F36" s="17"/>
      <c r="G36" s="16"/>
      <c r="H36" s="16"/>
      <c r="I36" s="17"/>
    </row>
    <row r="37" spans="1:9" ht="13.9">
      <c r="A37" s="16"/>
      <c r="B37" s="16"/>
      <c r="C37" s="16"/>
      <c r="D37" s="16"/>
      <c r="E37" s="16"/>
      <c r="F37" s="17"/>
      <c r="G37" s="16"/>
      <c r="H37" s="16"/>
      <c r="I37" s="17"/>
    </row>
    <row r="38" spans="1:9" ht="13.9">
      <c r="A38" s="16"/>
      <c r="B38" s="16"/>
      <c r="C38" s="16"/>
      <c r="D38" s="16"/>
      <c r="E38" s="16"/>
      <c r="F38" s="17"/>
      <c r="G38" s="16"/>
      <c r="H38" s="16"/>
      <c r="I38" s="17"/>
    </row>
    <row r="39" spans="1:9" ht="13.9">
      <c r="A39" s="16"/>
      <c r="B39" s="16"/>
      <c r="C39" s="16"/>
      <c r="D39" s="16"/>
      <c r="E39" s="16"/>
      <c r="F39" s="17"/>
      <c r="G39" s="16"/>
      <c r="H39" s="16"/>
      <c r="I39" s="17"/>
    </row>
    <row r="40" spans="1:9" ht="13.9">
      <c r="A40" s="16"/>
      <c r="B40" s="16"/>
      <c r="C40" s="16"/>
      <c r="D40" s="16"/>
      <c r="E40" s="16"/>
      <c r="F40" s="17"/>
      <c r="G40" s="16"/>
      <c r="H40" s="16"/>
      <c r="I40" s="17"/>
    </row>
    <row r="41" spans="1:9" ht="13.9">
      <c r="A41" s="16"/>
      <c r="B41" s="16"/>
      <c r="C41" s="16"/>
      <c r="D41" s="16"/>
      <c r="E41" s="16"/>
      <c r="F41" s="17"/>
      <c r="G41" s="16"/>
      <c r="H41" s="16"/>
      <c r="I41" s="17"/>
    </row>
    <row r="42" spans="1:9" ht="13.9">
      <c r="A42" s="16"/>
      <c r="B42" s="16"/>
      <c r="C42" s="16"/>
      <c r="D42" s="16"/>
      <c r="E42" s="16"/>
      <c r="F42" s="17"/>
      <c r="G42" s="16"/>
      <c r="H42" s="16"/>
      <c r="I42" s="17"/>
    </row>
    <row r="43" spans="1:9" ht="13.9">
      <c r="A43" s="16"/>
      <c r="B43" s="16"/>
      <c r="C43" s="16"/>
      <c r="D43" s="16"/>
      <c r="E43" s="16"/>
      <c r="F43" s="17"/>
      <c r="G43" s="16"/>
      <c r="H43" s="16"/>
      <c r="I43" s="17"/>
    </row>
    <row r="44" spans="1:9" ht="13.9">
      <c r="A44" s="16"/>
      <c r="B44" s="16"/>
      <c r="C44" s="16"/>
      <c r="D44" s="16"/>
      <c r="E44" s="16"/>
      <c r="F44" s="17"/>
      <c r="G44" s="16"/>
      <c r="H44" s="16"/>
      <c r="I44" s="17"/>
    </row>
    <row r="45" spans="1:9" ht="13.9">
      <c r="A45" s="16"/>
      <c r="B45" s="16"/>
      <c r="C45" s="16"/>
      <c r="D45" s="16"/>
      <c r="E45" s="16"/>
      <c r="F45" s="17"/>
      <c r="G45" s="16"/>
      <c r="H45" s="16"/>
      <c r="I45" s="17"/>
    </row>
    <row r="46" spans="1:9" ht="13.9">
      <c r="A46" s="16"/>
      <c r="B46" s="16"/>
      <c r="C46" s="16"/>
      <c r="D46" s="16"/>
      <c r="E46" s="16"/>
      <c r="F46" s="17"/>
      <c r="G46" s="16"/>
      <c r="H46" s="16"/>
      <c r="I46" s="17"/>
    </row>
    <row r="47" spans="1:9" ht="13.9">
      <c r="A47" s="16"/>
      <c r="B47" s="16"/>
      <c r="C47" s="16"/>
      <c r="D47" s="16"/>
      <c r="E47" s="16"/>
      <c r="F47" s="17"/>
      <c r="G47" s="16"/>
      <c r="H47" s="16"/>
      <c r="I47" s="17"/>
    </row>
    <row r="48" spans="1:9" ht="13.9">
      <c r="A48" s="16"/>
      <c r="B48" s="16"/>
      <c r="C48" s="16"/>
      <c r="D48" s="16"/>
      <c r="E48" s="16"/>
      <c r="F48" s="17"/>
      <c r="G48" s="16"/>
      <c r="H48" s="16"/>
      <c r="I48" s="17"/>
    </row>
    <row r="49" spans="1:9" ht="13.9">
      <c r="A49" s="16"/>
      <c r="B49" s="16"/>
      <c r="C49" s="16"/>
      <c r="D49" s="16"/>
      <c r="E49" s="16"/>
      <c r="F49" s="17"/>
      <c r="G49" s="16"/>
      <c r="H49" s="16"/>
      <c r="I49" s="17"/>
    </row>
    <row r="50" spans="1:9" ht="13.9">
      <c r="A50" s="16"/>
      <c r="B50" s="16"/>
      <c r="C50" s="16"/>
      <c r="D50" s="16"/>
      <c r="E50" s="16"/>
      <c r="F50" s="17"/>
      <c r="G50" s="16"/>
      <c r="H50" s="16"/>
      <c r="I50" s="17"/>
    </row>
    <row r="51" spans="1:9" ht="13.9">
      <c r="A51" s="16"/>
      <c r="B51" s="16"/>
      <c r="C51" s="16"/>
      <c r="D51" s="16"/>
      <c r="E51" s="16"/>
      <c r="F51" s="17"/>
      <c r="G51" s="16"/>
      <c r="H51" s="16"/>
      <c r="I51" s="17"/>
    </row>
    <row r="52" spans="1:9" ht="13.9">
      <c r="A52" s="16"/>
      <c r="B52" s="16"/>
      <c r="C52" s="16"/>
      <c r="D52" s="16"/>
      <c r="E52" s="16"/>
      <c r="F52" s="17"/>
      <c r="G52" s="16"/>
      <c r="H52" s="16"/>
      <c r="I52" s="17"/>
    </row>
    <row r="53" spans="1:9" ht="13.9">
      <c r="A53" s="16"/>
      <c r="B53" s="16"/>
      <c r="C53" s="16"/>
      <c r="D53" s="16"/>
      <c r="E53" s="16"/>
      <c r="F53" s="17"/>
      <c r="G53" s="16"/>
      <c r="H53" s="16"/>
      <c r="I53" s="17"/>
    </row>
    <row r="54" spans="1:9" ht="13.9">
      <c r="A54" s="16"/>
      <c r="B54" s="16"/>
      <c r="C54" s="16"/>
      <c r="D54" s="16"/>
      <c r="E54" s="16"/>
      <c r="F54" s="17"/>
      <c r="G54" s="16"/>
      <c r="H54" s="16"/>
      <c r="I54" s="17"/>
    </row>
    <row r="55" spans="1:9" ht="13.9">
      <c r="A55" s="16"/>
      <c r="B55" s="16"/>
      <c r="C55" s="16"/>
      <c r="D55" s="16"/>
      <c r="E55" s="16"/>
      <c r="F55" s="17"/>
      <c r="G55" s="16"/>
      <c r="H55" s="16"/>
      <c r="I55" s="17"/>
    </row>
    <row r="56" spans="1:9" ht="13.9">
      <c r="A56" s="16"/>
      <c r="B56" s="16"/>
      <c r="C56" s="16"/>
      <c r="D56" s="16"/>
      <c r="E56" s="16"/>
      <c r="F56" s="17"/>
      <c r="G56" s="16"/>
      <c r="H56" s="16"/>
      <c r="I56" s="17"/>
    </row>
    <row r="57" spans="1:9" ht="13.9">
      <c r="A57" s="16"/>
      <c r="B57" s="16"/>
      <c r="C57" s="16"/>
      <c r="D57" s="16"/>
      <c r="E57" s="16"/>
      <c r="F57" s="17"/>
      <c r="G57" s="16"/>
      <c r="H57" s="16"/>
      <c r="I57" s="17"/>
    </row>
    <row r="58" spans="1:9" ht="13.9">
      <c r="A58" s="16"/>
      <c r="B58" s="16"/>
      <c r="C58" s="16"/>
      <c r="D58" s="16"/>
      <c r="E58" s="16"/>
      <c r="F58" s="17"/>
      <c r="G58" s="16"/>
      <c r="H58" s="16"/>
      <c r="I58" s="17"/>
    </row>
    <row r="59" spans="1:9" ht="13.9">
      <c r="A59" s="16"/>
      <c r="B59" s="16"/>
      <c r="C59" s="16"/>
      <c r="D59" s="16"/>
      <c r="E59" s="16"/>
      <c r="F59" s="17"/>
      <c r="G59" s="16"/>
      <c r="H59" s="16"/>
      <c r="I59" s="17"/>
    </row>
    <row r="60" spans="1:9" ht="13.9">
      <c r="A60" s="16"/>
      <c r="B60" s="16"/>
      <c r="C60" s="16"/>
      <c r="D60" s="16"/>
      <c r="E60" s="16"/>
      <c r="F60" s="17"/>
      <c r="G60" s="16"/>
      <c r="H60" s="16"/>
      <c r="I60" s="17"/>
    </row>
    <row r="61" spans="1:9" ht="13.9">
      <c r="A61" s="16"/>
      <c r="B61" s="16"/>
      <c r="C61" s="16"/>
      <c r="D61" s="16"/>
      <c r="E61" s="16"/>
      <c r="F61" s="17"/>
      <c r="G61" s="16"/>
      <c r="H61" s="16"/>
      <c r="I61" s="17"/>
    </row>
    <row r="62" spans="1:9" ht="13.9">
      <c r="A62" s="16"/>
      <c r="B62" s="16"/>
      <c r="C62" s="16"/>
      <c r="D62" s="16"/>
      <c r="E62" s="16"/>
      <c r="F62" s="17"/>
      <c r="G62" s="16"/>
      <c r="H62" s="16"/>
      <c r="I62" s="17"/>
    </row>
    <row r="63" spans="1:9" ht="13.9">
      <c r="A63" s="16"/>
      <c r="B63" s="16"/>
      <c r="C63" s="16"/>
      <c r="D63" s="16"/>
      <c r="E63" s="16"/>
      <c r="F63" s="17"/>
      <c r="G63" s="16"/>
      <c r="H63" s="16"/>
      <c r="I63" s="17"/>
    </row>
    <row r="64" spans="1:9" ht="13.9">
      <c r="A64" s="16"/>
      <c r="B64" s="16"/>
      <c r="C64" s="16"/>
      <c r="D64" s="16"/>
      <c r="E64" s="16"/>
      <c r="F64" s="17"/>
      <c r="G64" s="16"/>
      <c r="H64" s="16"/>
      <c r="I64" s="17"/>
    </row>
    <row r="65" spans="1:9" ht="13.9">
      <c r="A65" s="16"/>
      <c r="B65" s="16"/>
      <c r="C65" s="16"/>
      <c r="D65" s="16"/>
      <c r="E65" s="16"/>
      <c r="F65" s="17"/>
      <c r="G65" s="16"/>
      <c r="H65" s="16"/>
      <c r="I65" s="17"/>
    </row>
    <row r="66" spans="1:9" ht="13.9">
      <c r="A66" s="16"/>
      <c r="B66" s="16"/>
      <c r="C66" s="16"/>
      <c r="D66" s="16"/>
      <c r="E66" s="16"/>
      <c r="F66" s="17"/>
      <c r="G66" s="16"/>
      <c r="H66" s="16"/>
      <c r="I66" s="17"/>
    </row>
    <row r="67" spans="1:9" ht="13.9">
      <c r="A67" s="16"/>
      <c r="B67" s="16"/>
      <c r="C67" s="16"/>
      <c r="D67" s="16"/>
      <c r="E67" s="16"/>
      <c r="F67" s="17"/>
      <c r="G67" s="16"/>
      <c r="H67" s="16"/>
      <c r="I67" s="17"/>
    </row>
    <row r="68" spans="1:9" ht="13.9">
      <c r="A68" s="16"/>
      <c r="B68" s="16"/>
      <c r="C68" s="16"/>
      <c r="D68" s="16"/>
      <c r="E68" s="16"/>
      <c r="F68" s="17"/>
      <c r="G68" s="16"/>
      <c r="H68" s="16"/>
      <c r="I68" s="17"/>
    </row>
    <row r="69" spans="1:9" ht="13.9">
      <c r="A69" s="16"/>
      <c r="B69" s="16"/>
      <c r="C69" s="16"/>
      <c r="D69" s="16"/>
      <c r="E69" s="16"/>
      <c r="F69" s="17"/>
      <c r="G69" s="16"/>
      <c r="H69" s="16"/>
      <c r="I69" s="17"/>
    </row>
    <row r="70" spans="1:9" ht="13.9">
      <c r="A70" s="16"/>
      <c r="B70" s="16"/>
      <c r="C70" s="16"/>
      <c r="D70" s="16"/>
      <c r="E70" s="16"/>
      <c r="F70" s="17"/>
      <c r="G70" s="16"/>
      <c r="H70" s="16"/>
      <c r="I70" s="17"/>
    </row>
    <row r="71" spans="1:9" ht="13.9">
      <c r="A71" s="16"/>
      <c r="B71" s="16"/>
      <c r="C71" s="16"/>
      <c r="D71" s="16"/>
      <c r="E71" s="16"/>
      <c r="F71" s="17"/>
      <c r="G71" s="16"/>
      <c r="H71" s="16"/>
      <c r="I71" s="17"/>
    </row>
    <row r="72" spans="1:9" ht="13.9">
      <c r="A72" s="16"/>
      <c r="B72" s="16"/>
      <c r="C72" s="16"/>
      <c r="D72" s="16"/>
      <c r="E72" s="16"/>
      <c r="F72" s="17"/>
      <c r="G72" s="16"/>
      <c r="H72" s="16"/>
      <c r="I72" s="17"/>
    </row>
    <row r="73" spans="1:9" ht="13.9">
      <c r="A73" s="16"/>
      <c r="B73" s="16"/>
      <c r="C73" s="16"/>
      <c r="D73" s="16"/>
      <c r="E73" s="16"/>
      <c r="F73" s="17"/>
      <c r="G73" s="16"/>
      <c r="H73" s="16"/>
      <c r="I73" s="17"/>
    </row>
    <row r="74" spans="1:9" ht="13.9">
      <c r="A74" s="16"/>
      <c r="B74" s="16"/>
      <c r="C74" s="16"/>
      <c r="D74" s="16"/>
      <c r="E74" s="16"/>
      <c r="F74" s="17"/>
      <c r="G74" s="16"/>
      <c r="H74" s="16"/>
      <c r="I74" s="17"/>
    </row>
    <row r="75" spans="1:9" ht="13.9">
      <c r="A75" s="16"/>
      <c r="B75" s="16"/>
      <c r="C75" s="16"/>
      <c r="D75" s="16"/>
      <c r="E75" s="16"/>
      <c r="F75" s="17"/>
      <c r="G75" s="16"/>
      <c r="H75" s="16"/>
      <c r="I75" s="17"/>
    </row>
    <row r="76" spans="1:9" ht="13.9">
      <c r="A76" s="16"/>
      <c r="B76" s="16"/>
      <c r="C76" s="16"/>
      <c r="D76" s="16"/>
      <c r="E76" s="16"/>
      <c r="F76" s="17"/>
      <c r="G76" s="16"/>
      <c r="H76" s="16"/>
      <c r="I76" s="17"/>
    </row>
    <row r="77" spans="1:9" ht="13.9">
      <c r="A77" s="16"/>
      <c r="B77" s="16"/>
      <c r="C77" s="16"/>
      <c r="D77" s="16"/>
      <c r="E77" s="16"/>
      <c r="F77" s="17"/>
      <c r="G77" s="16"/>
      <c r="H77" s="16"/>
      <c r="I77" s="17"/>
    </row>
    <row r="78" spans="1:9" ht="13.9">
      <c r="A78" s="16"/>
      <c r="B78" s="16"/>
      <c r="C78" s="16"/>
      <c r="D78" s="16"/>
      <c r="E78" s="16"/>
      <c r="F78" s="17"/>
      <c r="G78" s="16"/>
      <c r="H78" s="16"/>
      <c r="I78" s="17"/>
    </row>
    <row r="79" spans="1:9" ht="13.9">
      <c r="A79" s="16"/>
      <c r="B79" s="16"/>
      <c r="C79" s="16"/>
      <c r="D79" s="16"/>
      <c r="E79" s="16"/>
      <c r="F79" s="17"/>
      <c r="G79" s="16"/>
      <c r="H79" s="16"/>
      <c r="I79" s="17"/>
    </row>
    <row r="80" spans="1:9" ht="13.9">
      <c r="A80" s="16"/>
      <c r="B80" s="16"/>
      <c r="C80" s="16"/>
      <c r="D80" s="16"/>
      <c r="E80" s="16"/>
      <c r="F80" s="17"/>
      <c r="G80" s="16"/>
      <c r="H80" s="16"/>
      <c r="I80" s="17"/>
    </row>
    <row r="81" spans="1:9" ht="13.9">
      <c r="A81" s="16"/>
      <c r="B81" s="16"/>
      <c r="C81" s="16"/>
      <c r="D81" s="16"/>
      <c r="E81" s="16"/>
      <c r="F81" s="17"/>
      <c r="G81" s="16"/>
      <c r="H81" s="16"/>
      <c r="I81" s="17"/>
    </row>
    <row r="82" spans="1:9" ht="13.9">
      <c r="A82" s="16"/>
      <c r="B82" s="16"/>
      <c r="C82" s="16"/>
      <c r="D82" s="16"/>
      <c r="E82" s="16"/>
      <c r="F82" s="17"/>
      <c r="G82" s="16"/>
      <c r="H82" s="16"/>
      <c r="I82" s="17"/>
    </row>
    <row r="83" spans="1:9" ht="13.9">
      <c r="A83" s="16"/>
      <c r="B83" s="16"/>
      <c r="C83" s="16"/>
      <c r="D83" s="16"/>
      <c r="E83" s="16"/>
      <c r="F83" s="17"/>
      <c r="G83" s="16"/>
      <c r="H83" s="16"/>
      <c r="I83" s="17"/>
    </row>
    <row r="84" spans="1:9" ht="13.9">
      <c r="A84" s="16"/>
      <c r="B84" s="16"/>
      <c r="C84" s="16"/>
      <c r="D84" s="16"/>
      <c r="E84" s="16"/>
      <c r="F84" s="17"/>
      <c r="G84" s="16"/>
      <c r="H84" s="16"/>
      <c r="I84" s="17"/>
    </row>
    <row r="85" spans="1:9" ht="13.9">
      <c r="A85" s="16"/>
      <c r="B85" s="16"/>
      <c r="C85" s="16"/>
      <c r="D85" s="16"/>
      <c r="E85" s="16"/>
      <c r="F85" s="17"/>
      <c r="G85" s="16"/>
      <c r="H85" s="16"/>
      <c r="I85" s="17"/>
    </row>
    <row r="86" spans="1:9" ht="13.9">
      <c r="A86" s="16"/>
      <c r="B86" s="16"/>
      <c r="C86" s="16"/>
      <c r="D86" s="16"/>
      <c r="E86" s="16"/>
      <c r="F86" s="17"/>
      <c r="G86" s="16"/>
      <c r="H86" s="16"/>
      <c r="I86" s="17"/>
    </row>
    <row r="87" spans="1:9" ht="13.9">
      <c r="A87" s="16"/>
      <c r="B87" s="16"/>
      <c r="C87" s="16"/>
      <c r="D87" s="16"/>
      <c r="E87" s="16"/>
      <c r="F87" s="17"/>
      <c r="G87" s="16"/>
      <c r="H87" s="16"/>
      <c r="I87" s="17"/>
    </row>
    <row r="88" spans="1:9" ht="13.9">
      <c r="A88" s="16"/>
      <c r="B88" s="16"/>
      <c r="C88" s="16"/>
      <c r="D88" s="16"/>
      <c r="E88" s="16"/>
      <c r="F88" s="17"/>
      <c r="G88" s="16"/>
      <c r="H88" s="16"/>
      <c r="I88" s="17"/>
    </row>
    <row r="89" spans="1:9" ht="13.9">
      <c r="A89" s="16"/>
      <c r="B89" s="16"/>
      <c r="C89" s="16"/>
      <c r="D89" s="16"/>
      <c r="E89" s="16"/>
      <c r="F89" s="17"/>
      <c r="G89" s="16"/>
      <c r="H89" s="16"/>
      <c r="I89" s="17"/>
    </row>
    <row r="90" spans="1:9" ht="13.9">
      <c r="A90" s="16"/>
      <c r="B90" s="16"/>
      <c r="C90" s="16"/>
      <c r="D90" s="16"/>
      <c r="E90" s="16"/>
      <c r="F90" s="17"/>
      <c r="G90" s="16"/>
      <c r="H90" s="16"/>
      <c r="I90" s="17"/>
    </row>
    <row r="91" spans="1:9" ht="13.9">
      <c r="A91" s="16"/>
      <c r="B91" s="16"/>
      <c r="C91" s="16"/>
      <c r="D91" s="16"/>
      <c r="E91" s="16"/>
      <c r="F91" s="17"/>
      <c r="G91" s="16"/>
      <c r="H91" s="16"/>
      <c r="I91" s="17"/>
    </row>
    <row r="92" spans="1:9" ht="13.9">
      <c r="A92" s="16"/>
      <c r="B92" s="16"/>
      <c r="C92" s="16"/>
      <c r="D92" s="16"/>
      <c r="E92" s="16"/>
      <c r="F92" s="17"/>
      <c r="G92" s="16"/>
      <c r="H92" s="16"/>
      <c r="I92" s="17"/>
    </row>
    <row r="93" spans="1:9" ht="13.9">
      <c r="A93" s="16"/>
      <c r="B93" s="16"/>
      <c r="C93" s="16"/>
      <c r="D93" s="16"/>
      <c r="E93" s="16"/>
      <c r="F93" s="17"/>
      <c r="G93" s="16"/>
      <c r="H93" s="16"/>
      <c r="I93" s="17"/>
    </row>
    <row r="94" spans="1:9" ht="13.9">
      <c r="A94" s="16"/>
      <c r="B94" s="16"/>
      <c r="C94" s="16"/>
      <c r="D94" s="16"/>
      <c r="E94" s="16"/>
      <c r="F94" s="17"/>
      <c r="G94" s="16"/>
      <c r="H94" s="16"/>
      <c r="I94" s="17"/>
    </row>
    <row r="95" spans="1:9" ht="13.9">
      <c r="A95" s="16"/>
      <c r="B95" s="16"/>
      <c r="C95" s="16"/>
      <c r="D95" s="16"/>
      <c r="E95" s="16"/>
      <c r="F95" s="17"/>
      <c r="G95" s="16"/>
      <c r="H95" s="16"/>
      <c r="I95" s="17"/>
    </row>
    <row r="96" spans="1:9" ht="13.9">
      <c r="A96" s="16"/>
      <c r="B96" s="16"/>
      <c r="C96" s="16"/>
      <c r="D96" s="16"/>
      <c r="E96" s="16"/>
      <c r="F96" s="17"/>
      <c r="G96" s="16"/>
      <c r="H96" s="16"/>
      <c r="I96" s="17"/>
    </row>
    <row r="97" spans="1:9" ht="13.9">
      <c r="A97" s="16"/>
      <c r="B97" s="16"/>
      <c r="C97" s="16"/>
      <c r="D97" s="16"/>
      <c r="E97" s="16"/>
      <c r="F97" s="17"/>
      <c r="G97" s="16"/>
      <c r="H97" s="16"/>
      <c r="I97" s="17"/>
    </row>
    <row r="98" spans="1:9" ht="13.9">
      <c r="A98" s="16"/>
      <c r="B98" s="16"/>
      <c r="C98" s="16"/>
      <c r="D98" s="16"/>
      <c r="E98" s="16"/>
      <c r="F98" s="17"/>
      <c r="G98" s="16"/>
      <c r="H98" s="16"/>
      <c r="I98" s="17"/>
    </row>
    <row r="99" spans="1:9" ht="13.9">
      <c r="A99" s="16"/>
      <c r="B99" s="16"/>
      <c r="C99" s="16"/>
      <c r="D99" s="16"/>
      <c r="E99" s="16"/>
      <c r="F99" s="17"/>
      <c r="G99" s="16"/>
      <c r="H99" s="16"/>
      <c r="I99" s="17"/>
    </row>
    <row r="100" spans="1:9" ht="13.9">
      <c r="A100" s="16"/>
      <c r="B100" s="16"/>
      <c r="C100" s="16"/>
      <c r="D100" s="16"/>
      <c r="E100" s="16"/>
      <c r="F100" s="17"/>
      <c r="G100" s="16"/>
      <c r="H100" s="16"/>
      <c r="I100" s="17"/>
    </row>
    <row r="101" spans="1:9" ht="13.9">
      <c r="A101" s="16"/>
      <c r="B101" s="16"/>
      <c r="C101" s="16"/>
      <c r="D101" s="16"/>
      <c r="E101" s="16"/>
      <c r="F101" s="17"/>
      <c r="G101" s="16"/>
      <c r="H101" s="16"/>
      <c r="I101" s="17"/>
    </row>
    <row r="102" spans="1:9" ht="13.9">
      <c r="A102" s="16"/>
      <c r="B102" s="16"/>
      <c r="C102" s="16"/>
      <c r="D102" s="16"/>
      <c r="E102" s="16"/>
      <c r="F102" s="17"/>
      <c r="G102" s="16"/>
      <c r="H102" s="16"/>
      <c r="I102" s="17"/>
    </row>
    <row r="103" spans="1:9" ht="13.9">
      <c r="A103" s="16"/>
      <c r="B103" s="16"/>
      <c r="C103" s="16"/>
      <c r="D103" s="16"/>
      <c r="E103" s="16"/>
      <c r="F103" s="17"/>
      <c r="G103" s="16"/>
      <c r="H103" s="16"/>
      <c r="I103" s="17"/>
    </row>
    <row r="104" spans="1:9" ht="13.9">
      <c r="A104" s="16"/>
      <c r="B104" s="16"/>
      <c r="C104" s="16"/>
      <c r="D104" s="16"/>
      <c r="E104" s="16"/>
      <c r="F104" s="17"/>
      <c r="G104" s="16"/>
      <c r="H104" s="16"/>
      <c r="I104" s="17"/>
    </row>
    <row r="105" spans="1:9" ht="13.9">
      <c r="A105" s="16"/>
      <c r="B105" s="16"/>
      <c r="C105" s="16"/>
      <c r="D105" s="16"/>
      <c r="E105" s="16"/>
      <c r="F105" s="17"/>
      <c r="G105" s="16"/>
      <c r="H105" s="16"/>
      <c r="I105" s="17"/>
    </row>
    <row r="106" spans="1:9" ht="13.9">
      <c r="A106" s="16"/>
      <c r="B106" s="16"/>
      <c r="C106" s="16"/>
      <c r="D106" s="16"/>
      <c r="E106" s="16"/>
      <c r="F106" s="17"/>
      <c r="G106" s="16"/>
      <c r="H106" s="16"/>
      <c r="I106" s="17"/>
    </row>
    <row r="107" spans="1:9" ht="13.9">
      <c r="A107" s="16"/>
      <c r="B107" s="16"/>
      <c r="C107" s="16"/>
      <c r="D107" s="16"/>
      <c r="E107" s="16"/>
      <c r="F107" s="17"/>
      <c r="G107" s="16"/>
      <c r="H107" s="16"/>
      <c r="I107" s="17"/>
    </row>
    <row r="108" spans="1:9" ht="13.9">
      <c r="A108" s="16"/>
      <c r="B108" s="16"/>
      <c r="C108" s="16"/>
      <c r="D108" s="16"/>
      <c r="E108" s="16"/>
      <c r="F108" s="17"/>
      <c r="G108" s="16"/>
      <c r="H108" s="16"/>
      <c r="I108" s="17"/>
    </row>
    <row r="109" spans="1:9" ht="13.9">
      <c r="A109" s="16"/>
      <c r="B109" s="16"/>
      <c r="C109" s="16"/>
      <c r="D109" s="16"/>
      <c r="E109" s="16"/>
      <c r="F109" s="17"/>
      <c r="G109" s="16"/>
      <c r="H109" s="16"/>
      <c r="I109" s="17"/>
    </row>
    <row r="110" spans="1:9" ht="13.9">
      <c r="A110" s="16"/>
      <c r="B110" s="16"/>
      <c r="C110" s="16"/>
      <c r="D110" s="16"/>
      <c r="E110" s="16"/>
      <c r="F110" s="17"/>
      <c r="G110" s="16"/>
      <c r="H110" s="16"/>
      <c r="I110" s="17"/>
    </row>
    <row r="111" spans="1:9" ht="13.9">
      <c r="A111" s="16"/>
      <c r="B111" s="16"/>
      <c r="C111" s="16"/>
      <c r="D111" s="16"/>
      <c r="E111" s="16"/>
      <c r="F111" s="17"/>
      <c r="G111" s="16"/>
      <c r="H111" s="16"/>
      <c r="I111" s="17"/>
    </row>
    <row r="112" spans="1:9" ht="13.9">
      <c r="A112" s="16"/>
      <c r="B112" s="16"/>
      <c r="C112" s="16"/>
      <c r="D112" s="16"/>
      <c r="E112" s="16"/>
      <c r="F112" s="17"/>
      <c r="G112" s="16"/>
      <c r="H112" s="16"/>
      <c r="I112" s="17"/>
    </row>
    <row r="113" spans="1:9" ht="13.9">
      <c r="A113" s="16"/>
      <c r="B113" s="16"/>
      <c r="C113" s="16"/>
      <c r="D113" s="16"/>
      <c r="E113" s="16"/>
      <c r="F113" s="17"/>
      <c r="G113" s="16"/>
      <c r="H113" s="16"/>
      <c r="I113" s="17"/>
    </row>
    <row r="114" spans="1:9" ht="13.9">
      <c r="A114" s="16"/>
      <c r="B114" s="16"/>
      <c r="C114" s="16"/>
      <c r="D114" s="16"/>
      <c r="E114" s="16"/>
      <c r="F114" s="17"/>
      <c r="G114" s="16"/>
      <c r="H114" s="16"/>
      <c r="I114" s="17"/>
    </row>
    <row r="115" spans="1:9" ht="13.9">
      <c r="A115" s="16"/>
      <c r="B115" s="16"/>
      <c r="C115" s="16"/>
      <c r="D115" s="16"/>
      <c r="E115" s="16"/>
      <c r="F115" s="17"/>
      <c r="G115" s="16"/>
      <c r="H115" s="16"/>
      <c r="I115" s="17"/>
    </row>
    <row r="116" spans="1:9" ht="13.9">
      <c r="A116" s="16"/>
      <c r="B116" s="16"/>
      <c r="C116" s="16"/>
      <c r="D116" s="16"/>
      <c r="E116" s="16"/>
      <c r="F116" s="17"/>
      <c r="G116" s="16"/>
      <c r="H116" s="16"/>
      <c r="I116" s="17"/>
    </row>
    <row r="117" spans="1:9" ht="13.9">
      <c r="A117" s="16"/>
      <c r="B117" s="16"/>
      <c r="C117" s="16"/>
      <c r="D117" s="16"/>
      <c r="E117" s="16"/>
      <c r="F117" s="17"/>
      <c r="G117" s="16"/>
      <c r="H117" s="16"/>
      <c r="I117" s="17"/>
    </row>
    <row r="118" spans="1:9" ht="13.9">
      <c r="A118" s="16"/>
      <c r="B118" s="16"/>
      <c r="C118" s="16"/>
      <c r="D118" s="16"/>
      <c r="E118" s="16"/>
      <c r="F118" s="17"/>
      <c r="G118" s="16"/>
      <c r="H118" s="16"/>
      <c r="I118" s="17"/>
    </row>
    <row r="119" spans="1:9" ht="13.9">
      <c r="A119" s="16"/>
      <c r="B119" s="16"/>
      <c r="C119" s="16"/>
      <c r="D119" s="16"/>
      <c r="E119" s="16"/>
      <c r="F119" s="17"/>
      <c r="G119" s="16"/>
      <c r="H119" s="16"/>
      <c r="I119" s="17"/>
    </row>
    <row r="120" spans="1:9" ht="13.9">
      <c r="A120" s="16"/>
      <c r="B120" s="16"/>
      <c r="C120" s="16"/>
      <c r="D120" s="16"/>
      <c r="E120" s="16"/>
      <c r="F120" s="17"/>
      <c r="G120" s="16"/>
      <c r="H120" s="16"/>
      <c r="I120" s="17"/>
    </row>
    <row r="121" spans="1:9" ht="13.9">
      <c r="A121" s="16"/>
      <c r="B121" s="16"/>
      <c r="C121" s="16"/>
      <c r="D121" s="16"/>
      <c r="E121" s="16"/>
      <c r="F121" s="17"/>
      <c r="G121" s="16"/>
      <c r="H121" s="16"/>
      <c r="I121" s="17"/>
    </row>
    <row r="122" spans="1:9" ht="13.9">
      <c r="A122" s="16"/>
      <c r="B122" s="16"/>
      <c r="C122" s="16"/>
      <c r="D122" s="16"/>
      <c r="E122" s="16"/>
      <c r="F122" s="17"/>
      <c r="G122" s="16"/>
      <c r="H122" s="16"/>
      <c r="I122" s="17"/>
    </row>
    <row r="123" spans="1:9" ht="13.9">
      <c r="A123" s="16"/>
      <c r="B123" s="16"/>
      <c r="C123" s="16"/>
      <c r="D123" s="16"/>
      <c r="E123" s="16"/>
      <c r="F123" s="17"/>
      <c r="G123" s="16"/>
      <c r="H123" s="16"/>
      <c r="I123" s="17"/>
    </row>
    <row r="124" spans="1:9" ht="13.9">
      <c r="A124" s="16"/>
      <c r="B124" s="16"/>
      <c r="C124" s="16"/>
      <c r="D124" s="16"/>
      <c r="E124" s="16"/>
      <c r="F124" s="17"/>
      <c r="G124" s="16"/>
      <c r="H124" s="16"/>
      <c r="I124" s="17"/>
    </row>
    <row r="125" spans="1:9" ht="13.9">
      <c r="A125" s="16"/>
      <c r="B125" s="16"/>
      <c r="C125" s="16"/>
      <c r="D125" s="16"/>
      <c r="E125" s="16"/>
      <c r="F125" s="17"/>
      <c r="G125" s="16"/>
      <c r="H125" s="16"/>
      <c r="I125" s="17"/>
    </row>
    <row r="126" spans="1:9" ht="13.9">
      <c r="A126" s="16"/>
      <c r="B126" s="16"/>
      <c r="C126" s="16"/>
      <c r="D126" s="16"/>
      <c r="E126" s="16"/>
      <c r="F126" s="17"/>
      <c r="G126" s="16"/>
      <c r="H126" s="16"/>
      <c r="I126" s="17"/>
    </row>
    <row r="127" spans="1:9" ht="13.9">
      <c r="A127" s="16"/>
      <c r="B127" s="16"/>
      <c r="C127" s="16"/>
      <c r="D127" s="16"/>
      <c r="E127" s="16"/>
      <c r="F127" s="17"/>
      <c r="G127" s="16"/>
      <c r="H127" s="16"/>
      <c r="I127" s="17"/>
    </row>
    <row r="128" spans="1:9" ht="13.9">
      <c r="A128" s="16"/>
      <c r="B128" s="16"/>
      <c r="C128" s="16"/>
      <c r="D128" s="16"/>
      <c r="E128" s="16"/>
      <c r="F128" s="17"/>
      <c r="G128" s="16"/>
      <c r="H128" s="16"/>
      <c r="I128" s="17"/>
    </row>
    <row r="129" spans="1:9" ht="13.9">
      <c r="A129" s="16"/>
      <c r="B129" s="16"/>
      <c r="C129" s="16"/>
      <c r="D129" s="16"/>
      <c r="E129" s="16"/>
      <c r="F129" s="17"/>
      <c r="G129" s="16"/>
      <c r="H129" s="16"/>
      <c r="I129" s="17"/>
    </row>
    <row r="130" spans="1:9" ht="13.9">
      <c r="A130" s="16"/>
      <c r="B130" s="16"/>
      <c r="C130" s="16"/>
      <c r="D130" s="16"/>
      <c r="E130" s="16"/>
      <c r="F130" s="17"/>
      <c r="G130" s="16"/>
      <c r="H130" s="16"/>
      <c r="I130" s="17"/>
    </row>
    <row r="131" spans="1:9" ht="13.9">
      <c r="A131" s="16"/>
      <c r="B131" s="16"/>
      <c r="C131" s="16"/>
      <c r="D131" s="16"/>
      <c r="E131" s="16"/>
      <c r="F131" s="17"/>
      <c r="G131" s="16"/>
      <c r="H131" s="16"/>
      <c r="I131" s="17"/>
    </row>
    <row r="132" spans="1:9" ht="13.9">
      <c r="A132" s="16"/>
      <c r="B132" s="16"/>
      <c r="C132" s="16"/>
      <c r="D132" s="16"/>
      <c r="E132" s="16"/>
      <c r="F132" s="17"/>
      <c r="G132" s="16"/>
      <c r="H132" s="16"/>
      <c r="I132" s="17"/>
    </row>
    <row r="133" spans="1:9" ht="13.9">
      <c r="A133" s="16"/>
      <c r="B133" s="16"/>
      <c r="C133" s="16"/>
      <c r="D133" s="16"/>
      <c r="E133" s="16"/>
      <c r="F133" s="17"/>
      <c r="G133" s="16"/>
      <c r="H133" s="16"/>
      <c r="I133" s="17"/>
    </row>
    <row r="134" spans="1:9" ht="13.9">
      <c r="A134" s="16"/>
      <c r="B134" s="16"/>
      <c r="C134" s="16"/>
      <c r="D134" s="16"/>
      <c r="E134" s="16"/>
      <c r="F134" s="17"/>
      <c r="G134" s="16"/>
      <c r="H134" s="16"/>
      <c r="I134" s="17"/>
    </row>
    <row r="135" spans="1:9" ht="13.9">
      <c r="A135" s="16"/>
      <c r="B135" s="16"/>
      <c r="C135" s="16"/>
      <c r="D135" s="16"/>
      <c r="E135" s="16"/>
      <c r="F135" s="17"/>
      <c r="G135" s="16"/>
      <c r="H135" s="16"/>
      <c r="I135" s="17"/>
    </row>
    <row r="136" spans="1:9" ht="13.9">
      <c r="A136" s="16"/>
      <c r="B136" s="16"/>
      <c r="C136" s="16"/>
      <c r="D136" s="16"/>
      <c r="E136" s="16"/>
      <c r="F136" s="17"/>
      <c r="G136" s="16"/>
      <c r="H136" s="16"/>
      <c r="I136" s="17"/>
    </row>
    <row r="137" spans="1:9" ht="13.9">
      <c r="A137" s="16"/>
      <c r="B137" s="16"/>
      <c r="C137" s="16"/>
      <c r="D137" s="16"/>
      <c r="E137" s="16"/>
      <c r="F137" s="17"/>
      <c r="G137" s="16"/>
      <c r="H137" s="16"/>
      <c r="I137" s="17"/>
    </row>
    <row r="138" spans="1:9" ht="13.9">
      <c r="A138" s="16"/>
      <c r="B138" s="16"/>
      <c r="C138" s="16"/>
      <c r="D138" s="16"/>
      <c r="E138" s="16"/>
      <c r="F138" s="17"/>
      <c r="G138" s="16"/>
      <c r="H138" s="16"/>
      <c r="I138" s="17"/>
    </row>
    <row r="139" spans="1:9" ht="13.9">
      <c r="A139" s="16"/>
      <c r="B139" s="16"/>
      <c r="C139" s="16"/>
      <c r="D139" s="16"/>
      <c r="E139" s="16"/>
      <c r="F139" s="17"/>
      <c r="G139" s="16"/>
      <c r="H139" s="16"/>
      <c r="I139" s="17"/>
    </row>
    <row r="140" spans="1:9" ht="13.9">
      <c r="A140" s="16"/>
      <c r="B140" s="16"/>
      <c r="C140" s="16"/>
      <c r="D140" s="16"/>
      <c r="E140" s="16"/>
      <c r="F140" s="17"/>
      <c r="G140" s="16"/>
      <c r="H140" s="16"/>
      <c r="I140" s="17"/>
    </row>
    <row r="141" spans="1:9" ht="13.9">
      <c r="A141" s="16"/>
      <c r="B141" s="16"/>
      <c r="C141" s="16"/>
      <c r="D141" s="16"/>
      <c r="E141" s="16"/>
      <c r="F141" s="17"/>
      <c r="G141" s="16"/>
      <c r="H141" s="16"/>
      <c r="I141" s="17"/>
    </row>
    <row r="142" spans="1:9" ht="13.9">
      <c r="A142" s="16"/>
      <c r="B142" s="16"/>
      <c r="C142" s="16"/>
      <c r="D142" s="16"/>
      <c r="E142" s="16"/>
      <c r="F142" s="17"/>
      <c r="G142" s="16"/>
      <c r="H142" s="16"/>
      <c r="I142" s="17"/>
    </row>
    <row r="143" spans="1:9" ht="13.9">
      <c r="A143" s="16"/>
      <c r="B143" s="16"/>
      <c r="C143" s="16"/>
      <c r="D143" s="16"/>
      <c r="E143" s="16"/>
      <c r="F143" s="17"/>
      <c r="G143" s="16"/>
      <c r="H143" s="16"/>
      <c r="I143" s="17"/>
    </row>
    <row r="144" spans="1:9" ht="13.9">
      <c r="A144" s="16"/>
      <c r="B144" s="16"/>
      <c r="C144" s="16"/>
      <c r="D144" s="16"/>
      <c r="E144" s="16"/>
      <c r="F144" s="17"/>
      <c r="G144" s="16"/>
      <c r="H144" s="16"/>
      <c r="I144" s="17"/>
    </row>
    <row r="145" spans="1:9" ht="13.9">
      <c r="A145" s="16"/>
      <c r="B145" s="16"/>
      <c r="C145" s="16"/>
      <c r="D145" s="16"/>
      <c r="E145" s="16"/>
      <c r="F145" s="17"/>
      <c r="G145" s="16"/>
      <c r="H145" s="16"/>
      <c r="I145" s="17"/>
    </row>
    <row r="146" spans="1:9" ht="13.9">
      <c r="A146" s="16"/>
      <c r="B146" s="16"/>
      <c r="C146" s="16"/>
      <c r="D146" s="16"/>
      <c r="E146" s="16"/>
      <c r="F146" s="17"/>
      <c r="G146" s="16"/>
      <c r="H146" s="16"/>
      <c r="I146" s="17"/>
    </row>
    <row r="147" spans="1:9" ht="13.9">
      <c r="A147" s="16"/>
      <c r="B147" s="16"/>
      <c r="C147" s="16"/>
      <c r="D147" s="16"/>
      <c r="E147" s="16"/>
      <c r="F147" s="17"/>
      <c r="G147" s="16"/>
      <c r="H147" s="16"/>
      <c r="I147" s="17"/>
    </row>
    <row r="148" spans="1:9" ht="13.9">
      <c r="A148" s="16"/>
      <c r="B148" s="16"/>
      <c r="C148" s="16"/>
      <c r="D148" s="16"/>
      <c r="E148" s="16"/>
      <c r="F148" s="17"/>
      <c r="G148" s="16"/>
      <c r="H148" s="16"/>
      <c r="I148" s="17"/>
    </row>
    <row r="149" spans="1:9" ht="13.9">
      <c r="A149" s="16"/>
      <c r="B149" s="16"/>
      <c r="C149" s="16"/>
      <c r="D149" s="16"/>
      <c r="E149" s="16"/>
      <c r="F149" s="17"/>
      <c r="G149" s="16"/>
      <c r="H149" s="16"/>
      <c r="I149" s="17"/>
    </row>
    <row r="150" spans="1:9" ht="13.9">
      <c r="A150" s="16"/>
      <c r="B150" s="16"/>
      <c r="C150" s="16"/>
      <c r="D150" s="16"/>
      <c r="E150" s="16"/>
      <c r="F150" s="17"/>
      <c r="G150" s="16"/>
      <c r="H150" s="16"/>
      <c r="I150" s="17"/>
    </row>
    <row r="151" spans="1:9" ht="13.9">
      <c r="A151" s="16"/>
      <c r="B151" s="16"/>
      <c r="C151" s="16"/>
      <c r="D151" s="16"/>
      <c r="E151" s="16"/>
      <c r="F151" s="17"/>
      <c r="G151" s="16"/>
      <c r="H151" s="16"/>
      <c r="I151" s="17"/>
    </row>
    <row r="152" spans="1:9" ht="13.9">
      <c r="A152" s="16"/>
      <c r="B152" s="16"/>
      <c r="C152" s="16"/>
      <c r="D152" s="16"/>
      <c r="E152" s="16"/>
      <c r="F152" s="17"/>
      <c r="G152" s="16"/>
      <c r="H152" s="16"/>
      <c r="I152" s="17"/>
    </row>
    <row r="153" spans="1:9" ht="13.9">
      <c r="A153" s="16"/>
      <c r="B153" s="16"/>
      <c r="C153" s="16"/>
      <c r="D153" s="16"/>
      <c r="E153" s="16"/>
      <c r="F153" s="17"/>
      <c r="G153" s="16"/>
      <c r="H153" s="16"/>
      <c r="I153" s="17"/>
    </row>
    <row r="154" spans="1:9" ht="13.9">
      <c r="A154" s="16"/>
      <c r="B154" s="16"/>
      <c r="C154" s="16"/>
      <c r="D154" s="16"/>
      <c r="E154" s="16"/>
      <c r="F154" s="17"/>
      <c r="G154" s="16"/>
      <c r="H154" s="16"/>
      <c r="I154" s="17"/>
    </row>
    <row r="155" spans="1:9" ht="13.9">
      <c r="A155" s="16"/>
      <c r="B155" s="16"/>
      <c r="C155" s="16"/>
      <c r="D155" s="16"/>
      <c r="E155" s="16"/>
      <c r="F155" s="17"/>
      <c r="G155" s="16"/>
      <c r="H155" s="16"/>
      <c r="I155" s="17"/>
    </row>
    <row r="156" spans="1:9" ht="13.9">
      <c r="A156" s="16"/>
      <c r="B156" s="16"/>
      <c r="C156" s="16"/>
      <c r="D156" s="16"/>
      <c r="E156" s="16"/>
      <c r="F156" s="17"/>
      <c r="G156" s="16"/>
      <c r="H156" s="16"/>
      <c r="I156" s="17"/>
    </row>
    <row r="157" spans="1:9" ht="13.9">
      <c r="A157" s="16"/>
      <c r="B157" s="16"/>
      <c r="C157" s="16"/>
      <c r="D157" s="16"/>
      <c r="E157" s="16"/>
      <c r="F157" s="17"/>
      <c r="G157" s="16"/>
      <c r="H157" s="16"/>
      <c r="I157" s="17"/>
    </row>
    <row r="158" spans="1:9" ht="13.9">
      <c r="A158" s="16"/>
      <c r="B158" s="16"/>
      <c r="C158" s="16"/>
      <c r="D158" s="16"/>
      <c r="E158" s="16"/>
      <c r="F158" s="17"/>
      <c r="G158" s="16"/>
      <c r="H158" s="16"/>
      <c r="I158" s="17"/>
    </row>
    <row r="159" spans="1:9" ht="13.9">
      <c r="A159" s="16"/>
      <c r="B159" s="16"/>
      <c r="C159" s="16"/>
      <c r="D159" s="16"/>
      <c r="E159" s="16"/>
      <c r="F159" s="17"/>
      <c r="G159" s="16"/>
      <c r="H159" s="16"/>
      <c r="I159" s="17"/>
    </row>
    <row r="160" spans="1:9" ht="13.9">
      <c r="A160" s="16"/>
      <c r="B160" s="16"/>
      <c r="C160" s="16"/>
      <c r="D160" s="16"/>
      <c r="E160" s="16"/>
      <c r="F160" s="17"/>
      <c r="G160" s="16"/>
      <c r="H160" s="16"/>
      <c r="I160" s="17"/>
    </row>
    <row r="161" spans="1:9" ht="13.9">
      <c r="A161" s="16"/>
      <c r="B161" s="16"/>
      <c r="C161" s="16"/>
      <c r="D161" s="16"/>
      <c r="E161" s="16"/>
      <c r="F161" s="17"/>
      <c r="G161" s="16"/>
      <c r="H161" s="16"/>
      <c r="I161" s="17"/>
    </row>
    <row r="162" spans="1:9" ht="13.9">
      <c r="A162" s="16"/>
      <c r="B162" s="16"/>
      <c r="C162" s="16"/>
      <c r="D162" s="16"/>
      <c r="E162" s="16"/>
      <c r="F162" s="17"/>
      <c r="G162" s="16"/>
      <c r="H162" s="16"/>
      <c r="I162" s="17"/>
    </row>
    <row r="163" spans="1:9" ht="13.9">
      <c r="A163" s="16"/>
      <c r="B163" s="16"/>
      <c r="C163" s="16"/>
      <c r="D163" s="16"/>
      <c r="E163" s="16"/>
      <c r="F163" s="17"/>
      <c r="G163" s="16"/>
      <c r="H163" s="16"/>
      <c r="I163" s="17"/>
    </row>
    <row r="164" spans="1:9" ht="13.9">
      <c r="A164" s="16"/>
      <c r="B164" s="16"/>
      <c r="C164" s="16"/>
      <c r="D164" s="16"/>
      <c r="E164" s="16"/>
      <c r="F164" s="17"/>
      <c r="G164" s="16"/>
      <c r="H164" s="16"/>
      <c r="I164" s="17"/>
    </row>
    <row r="165" spans="1:9" ht="13.9">
      <c r="A165" s="16"/>
      <c r="B165" s="16"/>
      <c r="C165" s="16"/>
      <c r="D165" s="16"/>
      <c r="E165" s="16"/>
      <c r="F165" s="17"/>
      <c r="G165" s="16"/>
      <c r="H165" s="16"/>
      <c r="I165" s="17"/>
    </row>
    <row r="166" spans="1:9" ht="13.9">
      <c r="A166" s="16"/>
      <c r="B166" s="16"/>
      <c r="C166" s="16"/>
      <c r="D166" s="16"/>
      <c r="E166" s="16"/>
      <c r="F166" s="17"/>
      <c r="G166" s="16"/>
      <c r="H166" s="16"/>
      <c r="I166" s="17"/>
    </row>
    <row r="167" spans="1:9" ht="13.9">
      <c r="A167" s="16"/>
      <c r="B167" s="16"/>
      <c r="C167" s="16"/>
      <c r="D167" s="16"/>
      <c r="E167" s="16"/>
      <c r="F167" s="17"/>
      <c r="G167" s="16"/>
      <c r="H167" s="16"/>
      <c r="I167" s="17"/>
    </row>
    <row r="168" spans="1:9" ht="13.9">
      <c r="A168" s="16"/>
      <c r="B168" s="16"/>
      <c r="C168" s="16"/>
      <c r="D168" s="16"/>
      <c r="E168" s="16"/>
      <c r="F168" s="17"/>
      <c r="G168" s="16"/>
      <c r="H168" s="16"/>
      <c r="I168" s="17"/>
    </row>
    <row r="169" spans="1:9" ht="13.9">
      <c r="A169" s="16"/>
      <c r="B169" s="16"/>
      <c r="C169" s="16"/>
      <c r="D169" s="16"/>
      <c r="E169" s="16"/>
      <c r="F169" s="17"/>
      <c r="G169" s="16"/>
      <c r="H169" s="16"/>
      <c r="I169" s="17"/>
    </row>
    <row r="170" spans="1:9" ht="13.9">
      <c r="A170" s="16"/>
      <c r="B170" s="16"/>
      <c r="C170" s="16"/>
      <c r="D170" s="16"/>
      <c r="E170" s="16"/>
      <c r="F170" s="17"/>
      <c r="G170" s="16"/>
      <c r="H170" s="16"/>
      <c r="I170" s="17"/>
    </row>
    <row r="171" spans="1:9" ht="13.9">
      <c r="A171" s="16"/>
      <c r="B171" s="16"/>
      <c r="C171" s="16"/>
      <c r="D171" s="16"/>
      <c r="E171" s="16"/>
      <c r="F171" s="17"/>
      <c r="G171" s="16"/>
      <c r="H171" s="16"/>
      <c r="I171" s="17"/>
    </row>
    <row r="172" spans="1:9" ht="13.9">
      <c r="A172" s="16"/>
      <c r="B172" s="16"/>
      <c r="C172" s="16"/>
      <c r="D172" s="16"/>
      <c r="E172" s="16"/>
      <c r="F172" s="17"/>
      <c r="G172" s="16"/>
      <c r="H172" s="16"/>
      <c r="I172" s="17"/>
    </row>
    <row r="173" spans="1:9" ht="13.9">
      <c r="A173" s="16"/>
      <c r="B173" s="16"/>
      <c r="C173" s="16"/>
      <c r="D173" s="16"/>
      <c r="E173" s="16"/>
      <c r="F173" s="17"/>
      <c r="G173" s="16"/>
      <c r="H173" s="16"/>
      <c r="I173" s="17"/>
    </row>
    <row r="174" spans="1:9" ht="13.9">
      <c r="A174" s="16"/>
      <c r="B174" s="16"/>
      <c r="C174" s="16"/>
      <c r="D174" s="16"/>
      <c r="E174" s="16"/>
      <c r="F174" s="17"/>
      <c r="G174" s="16"/>
      <c r="H174" s="16"/>
      <c r="I174" s="17"/>
    </row>
    <row r="175" spans="1:9" ht="13.9">
      <c r="A175" s="16"/>
      <c r="B175" s="16"/>
      <c r="C175" s="16"/>
      <c r="D175" s="16"/>
      <c r="E175" s="16"/>
      <c r="F175" s="17"/>
      <c r="G175" s="16"/>
      <c r="H175" s="16"/>
      <c r="I175" s="17"/>
    </row>
    <row r="176" spans="1:9" ht="13.9">
      <c r="A176" s="16"/>
      <c r="B176" s="16"/>
      <c r="C176" s="16"/>
      <c r="D176" s="16"/>
      <c r="E176" s="16"/>
      <c r="F176" s="17"/>
      <c r="G176" s="16"/>
      <c r="H176" s="16"/>
      <c r="I176" s="17"/>
    </row>
    <row r="177" spans="1:9" ht="13.9">
      <c r="A177" s="16"/>
      <c r="B177" s="16"/>
      <c r="C177" s="16"/>
      <c r="D177" s="16"/>
      <c r="E177" s="16"/>
      <c r="F177" s="17"/>
      <c r="G177" s="16"/>
      <c r="H177" s="16"/>
      <c r="I177" s="17"/>
    </row>
    <row r="178" spans="1:9" ht="13.9">
      <c r="A178" s="16"/>
      <c r="B178" s="16"/>
      <c r="C178" s="16"/>
      <c r="D178" s="16"/>
      <c r="E178" s="16"/>
      <c r="F178" s="17"/>
      <c r="G178" s="16"/>
      <c r="H178" s="16"/>
      <c r="I178" s="17"/>
    </row>
    <row r="179" spans="1:9" ht="13.9">
      <c r="A179" s="16"/>
      <c r="B179" s="16"/>
      <c r="C179" s="16"/>
      <c r="D179" s="16"/>
      <c r="E179" s="16"/>
      <c r="F179" s="17"/>
      <c r="G179" s="16"/>
      <c r="H179" s="16"/>
      <c r="I179" s="17"/>
    </row>
    <row r="180" spans="1:9" ht="13.9">
      <c r="A180" s="16"/>
      <c r="B180" s="16"/>
      <c r="C180" s="16"/>
      <c r="D180" s="16"/>
      <c r="E180" s="16"/>
      <c r="F180" s="17"/>
      <c r="G180" s="16"/>
      <c r="H180" s="16"/>
      <c r="I180" s="17"/>
    </row>
    <row r="181" spans="1:9" ht="13.9">
      <c r="A181" s="16"/>
      <c r="B181" s="16"/>
      <c r="C181" s="16"/>
      <c r="D181" s="16"/>
      <c r="E181" s="16"/>
      <c r="F181" s="17"/>
      <c r="G181" s="16"/>
      <c r="H181" s="16"/>
      <c r="I181" s="17"/>
    </row>
    <row r="182" spans="1:9" ht="13.9">
      <c r="A182" s="16"/>
      <c r="B182" s="16"/>
      <c r="C182" s="16"/>
      <c r="D182" s="16"/>
      <c r="E182" s="16"/>
      <c r="F182" s="17"/>
      <c r="G182" s="16"/>
      <c r="H182" s="16"/>
      <c r="I182" s="17"/>
    </row>
    <row r="183" spans="1:9" ht="13.9">
      <c r="A183" s="16"/>
      <c r="B183" s="16"/>
      <c r="C183" s="16"/>
      <c r="D183" s="16"/>
      <c r="E183" s="16"/>
      <c r="F183" s="17"/>
      <c r="G183" s="16"/>
      <c r="H183" s="16"/>
      <c r="I183" s="17"/>
    </row>
    <row r="184" spans="1:9" ht="13.9">
      <c r="A184" s="16"/>
      <c r="B184" s="16"/>
      <c r="C184" s="16"/>
      <c r="D184" s="16"/>
      <c r="E184" s="16"/>
      <c r="F184" s="17"/>
      <c r="G184" s="16"/>
      <c r="H184" s="16"/>
      <c r="I184" s="17"/>
    </row>
    <row r="185" spans="1:9" ht="13.9">
      <c r="A185" s="16"/>
      <c r="B185" s="16"/>
      <c r="C185" s="16"/>
      <c r="D185" s="16"/>
      <c r="E185" s="16"/>
      <c r="F185" s="17"/>
      <c r="G185" s="16"/>
      <c r="H185" s="16"/>
      <c r="I185" s="17"/>
    </row>
    <row r="186" spans="1:9" ht="13.9">
      <c r="A186" s="16"/>
      <c r="B186" s="16"/>
      <c r="C186" s="16"/>
      <c r="D186" s="16"/>
      <c r="E186" s="16"/>
      <c r="F186" s="17"/>
      <c r="G186" s="16"/>
      <c r="H186" s="16"/>
      <c r="I186" s="17"/>
    </row>
    <row r="187" spans="1:9" ht="13.9">
      <c r="A187" s="16"/>
      <c r="B187" s="16"/>
      <c r="C187" s="16"/>
      <c r="D187" s="16"/>
      <c r="E187" s="16"/>
      <c r="F187" s="17"/>
      <c r="G187" s="16"/>
      <c r="H187" s="16"/>
      <c r="I187" s="17"/>
    </row>
    <row r="188" spans="1:9" ht="13.9">
      <c r="A188" s="16"/>
      <c r="B188" s="16"/>
      <c r="C188" s="16"/>
      <c r="D188" s="16"/>
      <c r="E188" s="16"/>
      <c r="F188" s="17"/>
      <c r="G188" s="16"/>
      <c r="H188" s="16"/>
      <c r="I188" s="17"/>
    </row>
    <row r="189" spans="1:9" ht="13.9">
      <c r="A189" s="16"/>
      <c r="B189" s="16"/>
      <c r="C189" s="16"/>
      <c r="D189" s="16"/>
      <c r="E189" s="16"/>
      <c r="F189" s="17"/>
      <c r="G189" s="16"/>
      <c r="H189" s="16"/>
      <c r="I189" s="17"/>
    </row>
    <row r="190" spans="1:9" ht="13.9">
      <c r="A190" s="16"/>
      <c r="B190" s="16"/>
      <c r="C190" s="16"/>
      <c r="D190" s="16"/>
      <c r="E190" s="16"/>
      <c r="F190" s="17"/>
      <c r="G190" s="16"/>
      <c r="H190" s="16"/>
      <c r="I190" s="17"/>
    </row>
    <row r="191" spans="1:9" ht="13.9">
      <c r="A191" s="16"/>
      <c r="B191" s="16"/>
      <c r="C191" s="16"/>
      <c r="D191" s="16"/>
      <c r="E191" s="16"/>
      <c r="F191" s="17"/>
      <c r="G191" s="16"/>
      <c r="H191" s="16"/>
      <c r="I191" s="17"/>
    </row>
    <row r="192" spans="1:9" ht="13.9">
      <c r="A192" s="16"/>
      <c r="B192" s="16"/>
      <c r="C192" s="16"/>
      <c r="D192" s="16"/>
      <c r="E192" s="16"/>
      <c r="F192" s="17"/>
      <c r="G192" s="16"/>
      <c r="H192" s="16"/>
      <c r="I192" s="17"/>
    </row>
    <row r="193" spans="1:9" ht="13.9">
      <c r="A193" s="16"/>
      <c r="B193" s="16"/>
      <c r="C193" s="16"/>
      <c r="D193" s="16"/>
      <c r="E193" s="16"/>
      <c r="F193" s="17"/>
      <c r="G193" s="16"/>
      <c r="H193" s="16"/>
      <c r="I193" s="17"/>
    </row>
    <row r="194" spans="1:9" ht="13.9">
      <c r="A194" s="16"/>
      <c r="B194" s="16"/>
      <c r="C194" s="16"/>
      <c r="D194" s="16"/>
      <c r="E194" s="16"/>
      <c r="F194" s="17"/>
      <c r="G194" s="16"/>
      <c r="H194" s="16"/>
      <c r="I194" s="17"/>
    </row>
    <row r="195" spans="1:9" ht="13.9">
      <c r="A195" s="16"/>
      <c r="B195" s="16"/>
      <c r="C195" s="16"/>
      <c r="D195" s="16"/>
      <c r="E195" s="16"/>
      <c r="F195" s="17"/>
      <c r="G195" s="16"/>
      <c r="H195" s="16"/>
      <c r="I195" s="17"/>
    </row>
    <row r="196" spans="1:9" ht="13.9">
      <c r="A196" s="16"/>
      <c r="B196" s="16"/>
      <c r="C196" s="16"/>
      <c r="D196" s="16"/>
      <c r="E196" s="16"/>
      <c r="F196" s="17"/>
      <c r="G196" s="16"/>
      <c r="H196" s="16"/>
      <c r="I196" s="17"/>
    </row>
    <row r="197" spans="1:9" ht="13.9">
      <c r="A197" s="16"/>
      <c r="B197" s="16"/>
      <c r="C197" s="16"/>
      <c r="D197" s="16"/>
      <c r="E197" s="16"/>
      <c r="F197" s="17"/>
      <c r="G197" s="16"/>
      <c r="H197" s="16"/>
      <c r="I197" s="17"/>
    </row>
    <row r="198" spans="1:9" ht="13.9">
      <c r="A198" s="16"/>
      <c r="B198" s="16"/>
      <c r="C198" s="16"/>
      <c r="D198" s="16"/>
      <c r="E198" s="16"/>
      <c r="F198" s="17"/>
      <c r="G198" s="16"/>
      <c r="H198" s="16"/>
      <c r="I198" s="17"/>
    </row>
    <row r="199" spans="1:9" ht="13.9">
      <c r="A199" s="16"/>
      <c r="B199" s="16"/>
      <c r="C199" s="16"/>
      <c r="D199" s="16"/>
      <c r="E199" s="16"/>
      <c r="F199" s="17"/>
      <c r="G199" s="16"/>
      <c r="H199" s="16"/>
      <c r="I199" s="17"/>
    </row>
    <row r="200" spans="1:9" ht="13.9">
      <c r="A200" s="16"/>
      <c r="B200" s="16"/>
      <c r="C200" s="16"/>
      <c r="D200" s="16"/>
      <c r="E200" s="16"/>
      <c r="F200" s="17"/>
      <c r="G200" s="16"/>
      <c r="H200" s="16"/>
      <c r="I200" s="17"/>
    </row>
    <row r="201" spans="1:9" ht="13.9">
      <c r="A201" s="16"/>
      <c r="B201" s="16"/>
      <c r="C201" s="16"/>
      <c r="D201" s="16"/>
      <c r="E201" s="16"/>
      <c r="F201" s="17"/>
      <c r="G201" s="16"/>
      <c r="H201" s="16"/>
      <c r="I201" s="17"/>
    </row>
    <row r="202" spans="1:9" ht="13.9">
      <c r="A202" s="16"/>
      <c r="B202" s="16"/>
      <c r="C202" s="16"/>
      <c r="D202" s="16"/>
      <c r="E202" s="16"/>
      <c r="F202" s="17"/>
      <c r="G202" s="16"/>
      <c r="H202" s="16"/>
      <c r="I202" s="17"/>
    </row>
    <row r="203" spans="1:9" ht="13.9">
      <c r="A203" s="16"/>
      <c r="B203" s="16"/>
      <c r="C203" s="16"/>
      <c r="D203" s="16"/>
      <c r="E203" s="16"/>
      <c r="F203" s="17"/>
      <c r="G203" s="16"/>
      <c r="H203" s="16"/>
      <c r="I203" s="17"/>
    </row>
    <row r="204" spans="1:9" ht="13.9">
      <c r="A204" s="16"/>
      <c r="B204" s="16"/>
      <c r="C204" s="16"/>
      <c r="D204" s="16"/>
      <c r="E204" s="16"/>
      <c r="F204" s="17"/>
      <c r="G204" s="16"/>
      <c r="H204" s="16"/>
      <c r="I204" s="17"/>
    </row>
    <row r="205" spans="1:9" ht="13.9">
      <c r="A205" s="16"/>
      <c r="B205" s="16"/>
      <c r="C205" s="16"/>
      <c r="D205" s="16"/>
      <c r="E205" s="16"/>
      <c r="F205" s="17"/>
      <c r="G205" s="16"/>
      <c r="H205" s="16"/>
      <c r="I205" s="17"/>
    </row>
    <row r="206" spans="1:9" ht="13.9">
      <c r="A206" s="16"/>
      <c r="B206" s="16"/>
      <c r="C206" s="16"/>
      <c r="D206" s="16"/>
      <c r="E206" s="16"/>
      <c r="F206" s="17"/>
      <c r="G206" s="16"/>
      <c r="H206" s="16"/>
      <c r="I206" s="17"/>
    </row>
    <row r="207" spans="1:9" ht="13.9">
      <c r="A207" s="16"/>
      <c r="B207" s="16"/>
      <c r="C207" s="16"/>
      <c r="D207" s="16"/>
      <c r="E207" s="16"/>
      <c r="F207" s="17"/>
      <c r="G207" s="16"/>
      <c r="H207" s="16"/>
      <c r="I207" s="17"/>
    </row>
    <row r="208" spans="1:9" ht="13.9">
      <c r="A208" s="16"/>
      <c r="B208" s="16"/>
      <c r="C208" s="16"/>
      <c r="D208" s="16"/>
      <c r="E208" s="16"/>
      <c r="F208" s="17"/>
      <c r="G208" s="16"/>
      <c r="H208" s="16"/>
      <c r="I208" s="17"/>
    </row>
    <row r="209" spans="1:9" ht="13.9">
      <c r="A209" s="16"/>
      <c r="B209" s="16"/>
      <c r="C209" s="16"/>
      <c r="D209" s="16"/>
      <c r="E209" s="16"/>
      <c r="F209" s="17"/>
      <c r="G209" s="16"/>
      <c r="H209" s="16"/>
      <c r="I209" s="17"/>
    </row>
    <row r="210" spans="1:9" ht="13.9">
      <c r="A210" s="16"/>
      <c r="B210" s="16"/>
      <c r="C210" s="16"/>
      <c r="D210" s="16"/>
      <c r="E210" s="16"/>
      <c r="F210" s="17"/>
      <c r="G210" s="16"/>
      <c r="H210" s="16"/>
      <c r="I210" s="17"/>
    </row>
    <row r="211" spans="1:9" ht="13.9">
      <c r="A211" s="16"/>
      <c r="B211" s="16"/>
      <c r="C211" s="16"/>
      <c r="D211" s="16"/>
      <c r="E211" s="16"/>
      <c r="F211" s="17"/>
      <c r="G211" s="16"/>
      <c r="H211" s="16"/>
      <c r="I211" s="17"/>
    </row>
    <row r="212" spans="1:9" ht="13.9">
      <c r="A212" s="16"/>
      <c r="B212" s="16"/>
      <c r="C212" s="16"/>
      <c r="D212" s="16"/>
      <c r="E212" s="16"/>
      <c r="F212" s="17"/>
      <c r="G212" s="16"/>
      <c r="H212" s="16"/>
      <c r="I212" s="17"/>
    </row>
    <row r="213" spans="1:9" ht="13.9">
      <c r="A213" s="16"/>
      <c r="B213" s="16"/>
      <c r="C213" s="16"/>
      <c r="D213" s="16"/>
      <c r="E213" s="16"/>
      <c r="F213" s="17"/>
      <c r="G213" s="16"/>
      <c r="H213" s="16"/>
      <c r="I213" s="17"/>
    </row>
    <row r="214" spans="1:9" ht="13.9">
      <c r="A214" s="16"/>
      <c r="B214" s="16"/>
      <c r="C214" s="16"/>
      <c r="D214" s="16"/>
      <c r="E214" s="16"/>
      <c r="F214" s="17"/>
      <c r="G214" s="16"/>
      <c r="H214" s="16"/>
      <c r="I214" s="17"/>
    </row>
    <row r="215" spans="1:9" ht="13.9">
      <c r="A215" s="16"/>
      <c r="B215" s="16"/>
      <c r="C215" s="16"/>
      <c r="D215" s="16"/>
      <c r="E215" s="16"/>
      <c r="F215" s="17"/>
      <c r="G215" s="16"/>
      <c r="H215" s="16"/>
      <c r="I215" s="17"/>
    </row>
    <row r="216" spans="1:9" ht="13.9">
      <c r="A216" s="16"/>
      <c r="B216" s="16"/>
      <c r="C216" s="16"/>
      <c r="D216" s="16"/>
      <c r="E216" s="16"/>
      <c r="F216" s="17"/>
      <c r="G216" s="16"/>
      <c r="H216" s="16"/>
      <c r="I216" s="17"/>
    </row>
    <row r="217" spans="1:9" ht="13.9">
      <c r="A217" s="16"/>
      <c r="B217" s="16"/>
      <c r="C217" s="16"/>
      <c r="D217" s="16"/>
      <c r="E217" s="16"/>
      <c r="F217" s="17"/>
      <c r="G217" s="16"/>
      <c r="H217" s="16"/>
      <c r="I217" s="17"/>
    </row>
    <row r="218" spans="1:9" ht="13.9">
      <c r="A218" s="16"/>
      <c r="B218" s="16"/>
      <c r="C218" s="16"/>
      <c r="D218" s="16"/>
      <c r="E218" s="16"/>
      <c r="F218" s="17"/>
      <c r="G218" s="16"/>
      <c r="H218" s="16"/>
      <c r="I218" s="17"/>
    </row>
    <row r="219" spans="1:9" ht="13.9">
      <c r="A219" s="16"/>
      <c r="B219" s="16"/>
      <c r="C219" s="16"/>
      <c r="D219" s="16"/>
      <c r="E219" s="16"/>
      <c r="F219" s="17"/>
      <c r="G219" s="16"/>
      <c r="H219" s="16"/>
      <c r="I219" s="17"/>
    </row>
    <row r="220" spans="1:9" ht="13.9">
      <c r="A220" s="16"/>
      <c r="B220" s="16"/>
      <c r="C220" s="16"/>
      <c r="D220" s="16"/>
      <c r="E220" s="16"/>
      <c r="F220" s="17"/>
      <c r="G220" s="16"/>
      <c r="H220" s="16"/>
      <c r="I220" s="17"/>
    </row>
    <row r="221" spans="1:9" ht="13.9">
      <c r="A221" s="16"/>
      <c r="B221" s="16"/>
      <c r="C221" s="16"/>
      <c r="D221" s="16"/>
      <c r="E221" s="16"/>
      <c r="F221" s="17"/>
      <c r="G221" s="16"/>
      <c r="H221" s="16"/>
      <c r="I221" s="17"/>
    </row>
    <row r="222" spans="1:9" ht="13.9">
      <c r="A222" s="16"/>
      <c r="B222" s="16"/>
      <c r="C222" s="16"/>
      <c r="D222" s="16"/>
      <c r="E222" s="16"/>
      <c r="F222" s="17"/>
      <c r="G222" s="16"/>
      <c r="H222" s="16"/>
      <c r="I222" s="17"/>
    </row>
    <row r="223" spans="1:9" ht="13.9">
      <c r="A223" s="16"/>
      <c r="B223" s="16"/>
      <c r="C223" s="16"/>
      <c r="D223" s="16"/>
      <c r="E223" s="16"/>
      <c r="F223" s="17"/>
      <c r="G223" s="16"/>
      <c r="H223" s="16"/>
      <c r="I223" s="17"/>
    </row>
    <row r="224" spans="1:9" ht="13.9">
      <c r="A224" s="16"/>
      <c r="B224" s="16"/>
      <c r="C224" s="16"/>
      <c r="D224" s="16"/>
      <c r="E224" s="16"/>
      <c r="F224" s="17"/>
      <c r="G224" s="16"/>
      <c r="H224" s="16"/>
      <c r="I224" s="17"/>
    </row>
    <row r="225" spans="1:9" ht="13.9">
      <c r="A225" s="16"/>
      <c r="B225" s="16"/>
      <c r="C225" s="16"/>
      <c r="D225" s="16"/>
      <c r="E225" s="16"/>
      <c r="F225" s="17"/>
      <c r="G225" s="16"/>
      <c r="H225" s="16"/>
      <c r="I225" s="17"/>
    </row>
    <row r="226" spans="1:9" ht="13.9">
      <c r="A226" s="16"/>
      <c r="B226" s="16"/>
      <c r="C226" s="16"/>
      <c r="D226" s="16"/>
      <c r="E226" s="16"/>
      <c r="F226" s="17"/>
      <c r="G226" s="16"/>
      <c r="H226" s="16"/>
      <c r="I226" s="17"/>
    </row>
    <row r="227" spans="1:9" ht="13.9">
      <c r="A227" s="16"/>
      <c r="B227" s="16"/>
      <c r="C227" s="16"/>
      <c r="D227" s="16"/>
      <c r="E227" s="16"/>
      <c r="F227" s="17"/>
      <c r="G227" s="16"/>
      <c r="H227" s="16"/>
      <c r="I227" s="17"/>
    </row>
    <row r="228" spans="1:9" ht="13.9">
      <c r="A228" s="16"/>
      <c r="B228" s="16"/>
      <c r="C228" s="16"/>
      <c r="D228" s="16"/>
      <c r="E228" s="16"/>
      <c r="F228" s="17"/>
      <c r="G228" s="16"/>
      <c r="H228" s="16"/>
      <c r="I228" s="17"/>
    </row>
    <row r="229" spans="1:9" ht="13.9">
      <c r="A229" s="16"/>
      <c r="B229" s="16"/>
      <c r="C229" s="16"/>
      <c r="D229" s="16"/>
      <c r="E229" s="16"/>
      <c r="F229" s="17"/>
      <c r="G229" s="16"/>
      <c r="H229" s="16"/>
      <c r="I229" s="17"/>
    </row>
    <row r="230" spans="1:9" ht="13.9">
      <c r="A230" s="16"/>
      <c r="B230" s="16"/>
      <c r="C230" s="16"/>
      <c r="D230" s="16"/>
      <c r="E230" s="16"/>
      <c r="F230" s="17"/>
      <c r="G230" s="16"/>
      <c r="H230" s="16"/>
      <c r="I230" s="17"/>
    </row>
    <row r="231" spans="1:9" ht="13.9">
      <c r="A231" s="16"/>
      <c r="B231" s="16"/>
      <c r="C231" s="16"/>
      <c r="D231" s="16"/>
      <c r="E231" s="16"/>
      <c r="F231" s="17"/>
      <c r="G231" s="16"/>
      <c r="H231" s="16"/>
      <c r="I231" s="17"/>
    </row>
    <row r="232" spans="1:9" ht="13.9">
      <c r="A232" s="16"/>
      <c r="B232" s="16"/>
      <c r="C232" s="16"/>
      <c r="D232" s="16"/>
      <c r="E232" s="16"/>
      <c r="F232" s="17"/>
      <c r="G232" s="16"/>
      <c r="H232" s="16"/>
      <c r="I232" s="17"/>
    </row>
    <row r="233" spans="1:9" ht="13.9">
      <c r="A233" s="16"/>
      <c r="B233" s="16"/>
      <c r="C233" s="16"/>
      <c r="D233" s="16"/>
      <c r="E233" s="16"/>
      <c r="F233" s="17"/>
      <c r="G233" s="16"/>
      <c r="H233" s="16"/>
      <c r="I233" s="17"/>
    </row>
    <row r="234" spans="1:9" ht="13.9">
      <c r="A234" s="16"/>
      <c r="B234" s="16"/>
      <c r="C234" s="16"/>
      <c r="D234" s="16"/>
      <c r="E234" s="16"/>
      <c r="F234" s="17"/>
      <c r="G234" s="16"/>
      <c r="H234" s="16"/>
      <c r="I234" s="17"/>
    </row>
    <row r="235" spans="1:9" ht="13.9">
      <c r="A235" s="16"/>
      <c r="B235" s="16"/>
      <c r="C235" s="16"/>
      <c r="D235" s="16"/>
      <c r="E235" s="16"/>
      <c r="F235" s="17"/>
      <c r="G235" s="16"/>
      <c r="H235" s="16"/>
      <c r="I235" s="17"/>
    </row>
    <row r="236" spans="1:9" ht="13.9">
      <c r="A236" s="16"/>
      <c r="B236" s="16"/>
      <c r="C236" s="16"/>
      <c r="D236" s="16"/>
      <c r="E236" s="16"/>
      <c r="F236" s="17"/>
      <c r="G236" s="16"/>
      <c r="H236" s="16"/>
      <c r="I236" s="17"/>
    </row>
    <row r="237" spans="1:9" ht="13.9">
      <c r="A237" s="16"/>
      <c r="B237" s="16"/>
      <c r="C237" s="16"/>
      <c r="D237" s="16"/>
      <c r="E237" s="16"/>
      <c r="F237" s="17"/>
      <c r="G237" s="16"/>
      <c r="H237" s="16"/>
      <c r="I237" s="17"/>
    </row>
    <row r="238" spans="1:9" ht="13.9">
      <c r="A238" s="16"/>
      <c r="B238" s="16"/>
      <c r="C238" s="16"/>
      <c r="D238" s="16"/>
      <c r="E238" s="16"/>
      <c r="F238" s="17"/>
      <c r="G238" s="16"/>
      <c r="H238" s="16"/>
      <c r="I238" s="17"/>
    </row>
    <row r="239" spans="1:9" ht="13.9">
      <c r="A239" s="16"/>
      <c r="B239" s="16"/>
      <c r="C239" s="16"/>
      <c r="D239" s="16"/>
      <c r="E239" s="16"/>
      <c r="F239" s="17"/>
      <c r="G239" s="16"/>
      <c r="H239" s="16"/>
      <c r="I239" s="17"/>
    </row>
    <row r="240" spans="1:9" ht="13.9">
      <c r="A240" s="16"/>
      <c r="B240" s="16"/>
      <c r="C240" s="16"/>
      <c r="D240" s="16"/>
      <c r="E240" s="16"/>
      <c r="F240" s="17"/>
      <c r="G240" s="16"/>
      <c r="H240" s="16"/>
      <c r="I240" s="17"/>
    </row>
    <row r="241" spans="1:9" ht="13.9">
      <c r="A241" s="16"/>
      <c r="B241" s="16"/>
      <c r="C241" s="16"/>
      <c r="D241" s="16"/>
      <c r="E241" s="16"/>
      <c r="F241" s="17"/>
      <c r="G241" s="16"/>
      <c r="H241" s="16"/>
      <c r="I241" s="17"/>
    </row>
    <row r="242" spans="1:9" ht="13.9">
      <c r="A242" s="16"/>
      <c r="B242" s="16"/>
      <c r="C242" s="16"/>
      <c r="D242" s="16"/>
      <c r="E242" s="16"/>
      <c r="F242" s="17"/>
      <c r="G242" s="16"/>
      <c r="H242" s="16"/>
      <c r="I242" s="17"/>
    </row>
    <row r="243" spans="1:9" ht="13.9">
      <c r="A243" s="16"/>
      <c r="B243" s="16"/>
      <c r="C243" s="16"/>
      <c r="D243" s="16"/>
      <c r="E243" s="16"/>
      <c r="F243" s="17"/>
      <c r="G243" s="16"/>
      <c r="H243" s="16"/>
      <c r="I243" s="17"/>
    </row>
    <row r="244" spans="1:9" ht="13.9">
      <c r="A244" s="16"/>
      <c r="B244" s="16"/>
      <c r="C244" s="16"/>
      <c r="D244" s="16"/>
      <c r="E244" s="16"/>
      <c r="F244" s="17"/>
      <c r="G244" s="16"/>
      <c r="H244" s="16"/>
      <c r="I244" s="17"/>
    </row>
    <row r="245" spans="1:9" ht="13.9">
      <c r="A245" s="16"/>
      <c r="B245" s="16"/>
      <c r="C245" s="16"/>
      <c r="D245" s="16"/>
      <c r="E245" s="16"/>
      <c r="F245" s="17"/>
      <c r="G245" s="16"/>
      <c r="H245" s="16"/>
      <c r="I245" s="17"/>
    </row>
    <row r="246" spans="1:9" ht="13.9">
      <c r="A246" s="16"/>
      <c r="B246" s="16"/>
      <c r="C246" s="16"/>
      <c r="D246" s="16"/>
      <c r="E246" s="16"/>
      <c r="F246" s="17"/>
      <c r="G246" s="16"/>
      <c r="H246" s="16"/>
      <c r="I246" s="17"/>
    </row>
    <row r="247" spans="1:9" ht="13.9">
      <c r="A247" s="16"/>
      <c r="B247" s="16"/>
      <c r="C247" s="16"/>
      <c r="D247" s="16"/>
      <c r="E247" s="16"/>
      <c r="F247" s="17"/>
      <c r="G247" s="16"/>
      <c r="H247" s="16"/>
      <c r="I247" s="17"/>
    </row>
    <row r="248" spans="1:9" ht="13.9">
      <c r="A248" s="16"/>
      <c r="B248" s="16"/>
      <c r="C248" s="16"/>
      <c r="D248" s="16"/>
      <c r="E248" s="16"/>
      <c r="F248" s="17"/>
      <c r="G248" s="16"/>
      <c r="H248" s="16"/>
      <c r="I248" s="17"/>
    </row>
    <row r="249" spans="1:9" ht="13.9">
      <c r="A249" s="16"/>
      <c r="B249" s="16"/>
      <c r="C249" s="16"/>
      <c r="D249" s="16"/>
      <c r="E249" s="16"/>
      <c r="F249" s="17"/>
      <c r="G249" s="16"/>
      <c r="H249" s="16"/>
      <c r="I249" s="17"/>
    </row>
    <row r="250" spans="1:9" ht="13.9">
      <c r="A250" s="16"/>
      <c r="B250" s="16"/>
      <c r="C250" s="16"/>
      <c r="D250" s="16"/>
      <c r="E250" s="16"/>
      <c r="F250" s="17"/>
      <c r="G250" s="16"/>
      <c r="H250" s="16"/>
      <c r="I250" s="17"/>
    </row>
    <row r="251" spans="1:9" ht="13.9">
      <c r="A251" s="16"/>
      <c r="B251" s="16"/>
      <c r="C251" s="16"/>
      <c r="D251" s="16"/>
      <c r="E251" s="16"/>
      <c r="F251" s="17"/>
      <c r="G251" s="16"/>
      <c r="H251" s="16"/>
      <c r="I251" s="17"/>
    </row>
    <row r="252" spans="1:9" ht="13.9">
      <c r="A252" s="16"/>
      <c r="B252" s="16"/>
      <c r="C252" s="16"/>
      <c r="D252" s="16"/>
      <c r="E252" s="16"/>
      <c r="F252" s="17"/>
      <c r="G252" s="16"/>
      <c r="H252" s="16"/>
      <c r="I252" s="17"/>
    </row>
    <row r="253" spans="1:9" ht="13.9">
      <c r="A253" s="16"/>
      <c r="B253" s="16"/>
      <c r="C253" s="16"/>
      <c r="D253" s="16"/>
      <c r="E253" s="16"/>
      <c r="F253" s="17"/>
      <c r="G253" s="16"/>
      <c r="H253" s="16"/>
      <c r="I253" s="17"/>
    </row>
    <row r="254" spans="1:9" ht="13.9">
      <c r="A254" s="16"/>
      <c r="B254" s="16"/>
      <c r="C254" s="16"/>
      <c r="D254" s="16"/>
      <c r="E254" s="16"/>
      <c r="F254" s="17"/>
      <c r="G254" s="16"/>
      <c r="H254" s="16"/>
      <c r="I254" s="17"/>
    </row>
    <row r="255" spans="1:9" ht="13.9">
      <c r="A255" s="16"/>
      <c r="B255" s="16"/>
      <c r="C255" s="16"/>
      <c r="D255" s="16"/>
      <c r="E255" s="16"/>
      <c r="F255" s="17"/>
      <c r="G255" s="16"/>
      <c r="H255" s="16"/>
      <c r="I255" s="17"/>
    </row>
    <row r="256" spans="1:9" ht="13.9">
      <c r="A256" s="16"/>
      <c r="B256" s="16"/>
      <c r="C256" s="16"/>
      <c r="D256" s="16"/>
      <c r="E256" s="16"/>
      <c r="F256" s="17"/>
      <c r="G256" s="16"/>
      <c r="H256" s="16"/>
      <c r="I256" s="17"/>
    </row>
    <row r="257" spans="1:9" ht="13.9">
      <c r="A257" s="16"/>
      <c r="B257" s="16"/>
      <c r="C257" s="16"/>
      <c r="D257" s="16"/>
      <c r="E257" s="16"/>
      <c r="F257" s="17"/>
      <c r="G257" s="16"/>
      <c r="H257" s="16"/>
      <c r="I257" s="17"/>
    </row>
    <row r="258" spans="1:9" ht="13.9">
      <c r="A258" s="16"/>
      <c r="B258" s="16"/>
      <c r="C258" s="16"/>
      <c r="D258" s="16"/>
      <c r="E258" s="16"/>
      <c r="F258" s="17"/>
      <c r="G258" s="16"/>
      <c r="H258" s="16"/>
      <c r="I258" s="17"/>
    </row>
    <row r="259" spans="1:9" ht="13.9">
      <c r="A259" s="16"/>
      <c r="B259" s="16"/>
      <c r="C259" s="16"/>
      <c r="D259" s="16"/>
      <c r="E259" s="16"/>
      <c r="F259" s="17"/>
      <c r="G259" s="16"/>
      <c r="H259" s="16"/>
      <c r="I259" s="17"/>
    </row>
    <row r="260" spans="1:9" ht="13.9">
      <c r="A260" s="16"/>
      <c r="B260" s="16"/>
      <c r="C260" s="16"/>
      <c r="D260" s="16"/>
      <c r="E260" s="16"/>
      <c r="F260" s="17"/>
      <c r="G260" s="16"/>
      <c r="H260" s="16"/>
      <c r="I260" s="17"/>
    </row>
    <row r="261" spans="1:9" ht="13.9">
      <c r="A261" s="16"/>
      <c r="B261" s="16"/>
      <c r="C261" s="16"/>
      <c r="D261" s="16"/>
      <c r="E261" s="16"/>
      <c r="F261" s="17"/>
      <c r="G261" s="16"/>
      <c r="H261" s="16"/>
      <c r="I261" s="17"/>
    </row>
    <row r="262" spans="1:9" ht="13.9">
      <c r="A262" s="16"/>
      <c r="B262" s="16"/>
      <c r="C262" s="16"/>
      <c r="D262" s="16"/>
      <c r="E262" s="16"/>
      <c r="F262" s="17"/>
      <c r="G262" s="16"/>
      <c r="H262" s="16"/>
      <c r="I262" s="17"/>
    </row>
    <row r="263" spans="1:9" ht="13.9">
      <c r="A263" s="16"/>
      <c r="B263" s="16"/>
      <c r="C263" s="16"/>
      <c r="D263" s="16"/>
      <c r="E263" s="16"/>
      <c r="F263" s="17"/>
      <c r="G263" s="16"/>
      <c r="H263" s="16"/>
      <c r="I263" s="17"/>
    </row>
    <row r="264" spans="1:9" ht="13.9">
      <c r="A264" s="16"/>
      <c r="B264" s="16"/>
      <c r="C264" s="16"/>
      <c r="D264" s="16"/>
      <c r="E264" s="16"/>
      <c r="F264" s="17"/>
      <c r="G264" s="16"/>
      <c r="H264" s="16"/>
      <c r="I264" s="17"/>
    </row>
    <row r="265" spans="1:9" ht="13.9">
      <c r="A265" s="16"/>
      <c r="B265" s="16"/>
      <c r="C265" s="16"/>
      <c r="D265" s="16"/>
      <c r="E265" s="16"/>
      <c r="F265" s="17"/>
      <c r="G265" s="16"/>
      <c r="H265" s="16"/>
      <c r="I265" s="17"/>
    </row>
    <row r="266" spans="1:9" ht="13.9">
      <c r="A266" s="16"/>
      <c r="B266" s="16"/>
      <c r="C266" s="16"/>
      <c r="D266" s="16"/>
      <c r="E266" s="16"/>
      <c r="F266" s="17"/>
      <c r="G266" s="16"/>
      <c r="H266" s="16"/>
      <c r="I266" s="17"/>
    </row>
    <row r="267" spans="1:9" ht="13.9">
      <c r="A267" s="16"/>
      <c r="B267" s="16"/>
      <c r="C267" s="16"/>
      <c r="D267" s="16"/>
      <c r="E267" s="16"/>
      <c r="F267" s="17"/>
      <c r="G267" s="16"/>
      <c r="H267" s="16"/>
      <c r="I267" s="17"/>
    </row>
    <row r="268" spans="1:9" ht="13.9">
      <c r="A268" s="16"/>
      <c r="B268" s="16"/>
      <c r="C268" s="16"/>
      <c r="D268" s="16"/>
      <c r="E268" s="16"/>
      <c r="F268" s="17"/>
      <c r="G268" s="16"/>
      <c r="H268" s="16"/>
      <c r="I268" s="17"/>
    </row>
    <row r="269" spans="1:9" ht="13.9">
      <c r="A269" s="16"/>
      <c r="B269" s="16"/>
      <c r="C269" s="16"/>
      <c r="D269" s="16"/>
      <c r="E269" s="16"/>
      <c r="F269" s="17"/>
      <c r="G269" s="16"/>
      <c r="H269" s="16"/>
      <c r="I269" s="17"/>
    </row>
    <row r="270" spans="1:9" ht="13.9">
      <c r="A270" s="16"/>
      <c r="B270" s="16"/>
      <c r="C270" s="16"/>
      <c r="D270" s="16"/>
      <c r="E270" s="16"/>
      <c r="F270" s="17"/>
      <c r="G270" s="16"/>
      <c r="H270" s="16"/>
      <c r="I270" s="17"/>
    </row>
    <row r="271" spans="1:9" ht="13.9">
      <c r="A271" s="16"/>
      <c r="B271" s="16"/>
      <c r="C271" s="16"/>
      <c r="D271" s="16"/>
      <c r="E271" s="16"/>
      <c r="F271" s="17"/>
      <c r="G271" s="16"/>
      <c r="H271" s="16"/>
      <c r="I271" s="17"/>
    </row>
    <row r="272" spans="1:9" ht="13.9">
      <c r="A272" s="16"/>
      <c r="B272" s="16"/>
      <c r="C272" s="16"/>
      <c r="D272" s="16"/>
      <c r="E272" s="16"/>
      <c r="F272" s="17"/>
      <c r="G272" s="16"/>
      <c r="H272" s="16"/>
      <c r="I272" s="17"/>
    </row>
    <row r="273" spans="1:9" ht="13.9">
      <c r="A273" s="16"/>
      <c r="B273" s="16"/>
      <c r="C273" s="16"/>
      <c r="D273" s="16"/>
      <c r="E273" s="16"/>
      <c r="F273" s="17"/>
      <c r="G273" s="16"/>
      <c r="H273" s="16"/>
      <c r="I273" s="17"/>
    </row>
    <row r="274" spans="1:9" ht="13.9">
      <c r="A274" s="16"/>
      <c r="B274" s="16"/>
      <c r="C274" s="16"/>
      <c r="D274" s="16"/>
      <c r="E274" s="16"/>
      <c r="F274" s="17"/>
      <c r="G274" s="16"/>
      <c r="H274" s="16"/>
      <c r="I274" s="17"/>
    </row>
    <row r="275" spans="1:9" ht="13.9">
      <c r="A275" s="16"/>
      <c r="B275" s="16"/>
      <c r="C275" s="16"/>
      <c r="D275" s="16"/>
      <c r="E275" s="16"/>
      <c r="F275" s="17"/>
      <c r="G275" s="16"/>
      <c r="H275" s="16"/>
      <c r="I275" s="17"/>
    </row>
    <row r="276" spans="1:9" ht="13.9">
      <c r="A276" s="16"/>
      <c r="B276" s="16"/>
      <c r="C276" s="16"/>
      <c r="D276" s="16"/>
      <c r="E276" s="16"/>
      <c r="F276" s="17"/>
      <c r="G276" s="16"/>
      <c r="H276" s="16"/>
      <c r="I276" s="17"/>
    </row>
    <row r="277" spans="1:9" ht="13.9">
      <c r="A277" s="16"/>
      <c r="B277" s="16"/>
      <c r="C277" s="16"/>
      <c r="D277" s="16"/>
      <c r="E277" s="16"/>
      <c r="F277" s="17"/>
      <c r="G277" s="16"/>
      <c r="H277" s="16"/>
      <c r="I277" s="17"/>
    </row>
    <row r="278" spans="1:9" ht="13.9">
      <c r="A278" s="16"/>
      <c r="B278" s="16"/>
      <c r="C278" s="16"/>
      <c r="D278" s="16"/>
      <c r="E278" s="16"/>
      <c r="F278" s="17"/>
      <c r="G278" s="16"/>
      <c r="H278" s="16"/>
      <c r="I278" s="17"/>
    </row>
    <row r="279" spans="1:9" ht="13.9">
      <c r="A279" s="16"/>
      <c r="B279" s="16"/>
      <c r="C279" s="16"/>
      <c r="D279" s="16"/>
      <c r="E279" s="16"/>
      <c r="F279" s="17"/>
      <c r="G279" s="16"/>
      <c r="H279" s="16"/>
      <c r="I279" s="17"/>
    </row>
    <row r="280" spans="1:9" ht="13.9">
      <c r="A280" s="16"/>
      <c r="B280" s="16"/>
      <c r="C280" s="16"/>
      <c r="D280" s="16"/>
      <c r="E280" s="16"/>
      <c r="F280" s="17"/>
      <c r="G280" s="16"/>
      <c r="H280" s="16"/>
      <c r="I280" s="17"/>
    </row>
    <row r="281" spans="1:9" ht="13.9">
      <c r="A281" s="16"/>
      <c r="B281" s="16"/>
      <c r="C281" s="16"/>
      <c r="D281" s="16"/>
      <c r="E281" s="16"/>
      <c r="F281" s="17"/>
      <c r="G281" s="16"/>
      <c r="H281" s="16"/>
      <c r="I281" s="17"/>
    </row>
    <row r="282" spans="1:9" ht="13.9">
      <c r="A282" s="16"/>
      <c r="B282" s="16"/>
      <c r="C282" s="16"/>
      <c r="D282" s="16"/>
      <c r="E282" s="16"/>
      <c r="F282" s="17"/>
      <c r="G282" s="16"/>
      <c r="H282" s="16"/>
      <c r="I282" s="17"/>
    </row>
    <row r="283" spans="1:9" ht="13.9">
      <c r="A283" s="16"/>
      <c r="B283" s="16"/>
      <c r="C283" s="16"/>
      <c r="D283" s="16"/>
      <c r="E283" s="16"/>
      <c r="F283" s="17"/>
      <c r="G283" s="16"/>
      <c r="H283" s="16"/>
      <c r="I283" s="17"/>
    </row>
    <row r="284" spans="1:9" ht="13.9">
      <c r="A284" s="16"/>
      <c r="B284" s="16"/>
      <c r="C284" s="16"/>
      <c r="D284" s="16"/>
      <c r="E284" s="16"/>
      <c r="F284" s="17"/>
      <c r="G284" s="16"/>
      <c r="H284" s="16"/>
      <c r="I284" s="17"/>
    </row>
    <row r="285" spans="1:9" ht="13.9">
      <c r="A285" s="16"/>
      <c r="B285" s="16"/>
      <c r="C285" s="16"/>
      <c r="D285" s="16"/>
      <c r="E285" s="16"/>
      <c r="F285" s="17"/>
      <c r="G285" s="16"/>
      <c r="H285" s="16"/>
      <c r="I285" s="17"/>
    </row>
    <row r="286" spans="1:9" ht="13.9">
      <c r="A286" s="16"/>
      <c r="B286" s="16"/>
      <c r="C286" s="16"/>
      <c r="D286" s="16"/>
      <c r="E286" s="16"/>
      <c r="F286" s="17"/>
      <c r="G286" s="16"/>
      <c r="H286" s="16"/>
      <c r="I286" s="17"/>
    </row>
    <row r="287" spans="1:9" ht="13.9">
      <c r="A287" s="16"/>
      <c r="B287" s="16"/>
      <c r="C287" s="16"/>
      <c r="D287" s="16"/>
      <c r="E287" s="16"/>
      <c r="F287" s="17"/>
      <c r="G287" s="16"/>
      <c r="H287" s="16"/>
      <c r="I287" s="17"/>
    </row>
    <row r="288" spans="1:9" ht="13.9">
      <c r="A288" s="16"/>
      <c r="B288" s="16"/>
      <c r="C288" s="16"/>
      <c r="D288" s="16"/>
      <c r="E288" s="16"/>
      <c r="F288" s="17"/>
      <c r="G288" s="16"/>
      <c r="H288" s="16"/>
      <c r="I288" s="17"/>
    </row>
    <row r="289" spans="1:9" ht="13.9">
      <c r="A289" s="16"/>
      <c r="B289" s="16"/>
      <c r="C289" s="16"/>
      <c r="D289" s="16"/>
      <c r="E289" s="16"/>
      <c r="F289" s="17"/>
      <c r="G289" s="16"/>
      <c r="H289" s="16"/>
      <c r="I289" s="17"/>
    </row>
    <row r="290" spans="1:9" ht="13.9">
      <c r="A290" s="16"/>
      <c r="B290" s="16"/>
      <c r="C290" s="16"/>
      <c r="D290" s="16"/>
      <c r="E290" s="16"/>
      <c r="F290" s="17"/>
      <c r="G290" s="16"/>
      <c r="H290" s="16"/>
      <c r="I290" s="17"/>
    </row>
    <row r="291" spans="1:9" ht="13.9">
      <c r="A291" s="16"/>
      <c r="B291" s="16"/>
      <c r="C291" s="16"/>
      <c r="D291" s="16"/>
      <c r="E291" s="16"/>
      <c r="F291" s="17"/>
      <c r="G291" s="16"/>
      <c r="H291" s="16"/>
      <c r="I291" s="17"/>
    </row>
    <row r="292" spans="1:9" ht="13.9">
      <c r="A292" s="16"/>
      <c r="B292" s="16"/>
      <c r="C292" s="16"/>
      <c r="D292" s="16"/>
      <c r="E292" s="16"/>
      <c r="F292" s="17"/>
      <c r="G292" s="16"/>
      <c r="H292" s="16"/>
      <c r="I292" s="17"/>
    </row>
    <row r="293" spans="1:9" ht="13.9">
      <c r="A293" s="16"/>
      <c r="B293" s="16"/>
      <c r="C293" s="16"/>
      <c r="D293" s="16"/>
      <c r="E293" s="16"/>
      <c r="F293" s="17"/>
      <c r="G293" s="16"/>
      <c r="H293" s="16"/>
      <c r="I293" s="17"/>
    </row>
    <row r="294" spans="1:9" ht="13.9">
      <c r="A294" s="16"/>
      <c r="B294" s="16"/>
      <c r="C294" s="16"/>
      <c r="D294" s="16"/>
      <c r="E294" s="16"/>
      <c r="F294" s="17"/>
      <c r="G294" s="16"/>
      <c r="H294" s="16"/>
      <c r="I294" s="17"/>
    </row>
    <row r="295" spans="1:9" ht="13.9">
      <c r="A295" s="16"/>
      <c r="B295" s="16"/>
      <c r="C295" s="16"/>
      <c r="D295" s="16"/>
      <c r="E295" s="16"/>
      <c r="F295" s="17"/>
      <c r="G295" s="16"/>
      <c r="H295" s="16"/>
      <c r="I295" s="17"/>
    </row>
    <row r="296" spans="1:9" ht="13.9">
      <c r="A296" s="16"/>
      <c r="B296" s="16"/>
      <c r="C296" s="16"/>
      <c r="D296" s="16"/>
      <c r="E296" s="16"/>
      <c r="F296" s="17"/>
      <c r="G296" s="16"/>
      <c r="H296" s="16"/>
      <c r="I296" s="17"/>
    </row>
    <row r="297" spans="1:9" ht="13.9">
      <c r="A297" s="16"/>
      <c r="B297" s="16"/>
      <c r="C297" s="16"/>
      <c r="D297" s="16"/>
      <c r="E297" s="16"/>
      <c r="F297" s="17"/>
      <c r="G297" s="16"/>
      <c r="H297" s="16"/>
      <c r="I297" s="17"/>
    </row>
    <row r="298" spans="1:9" ht="13.9">
      <c r="A298" s="16"/>
      <c r="B298" s="16"/>
      <c r="C298" s="16"/>
      <c r="D298" s="16"/>
      <c r="E298" s="16"/>
      <c r="F298" s="17"/>
      <c r="G298" s="16"/>
      <c r="H298" s="16"/>
      <c r="I298" s="17"/>
    </row>
    <row r="299" spans="1:9" ht="13.9">
      <c r="A299" s="16"/>
      <c r="B299" s="16"/>
      <c r="C299" s="16"/>
      <c r="D299" s="16"/>
      <c r="E299" s="16"/>
      <c r="F299" s="17"/>
      <c r="G299" s="16"/>
      <c r="H299" s="16"/>
      <c r="I299" s="17"/>
    </row>
    <row r="300" spans="1:9" ht="13.9">
      <c r="A300" s="16"/>
      <c r="B300" s="16"/>
      <c r="C300" s="16"/>
      <c r="D300" s="16"/>
      <c r="E300" s="16"/>
      <c r="F300" s="17"/>
      <c r="G300" s="16"/>
      <c r="H300" s="16"/>
      <c r="I300" s="17"/>
    </row>
    <row r="301" spans="1:9" ht="13.9">
      <c r="A301" s="16"/>
      <c r="B301" s="16"/>
      <c r="C301" s="16"/>
      <c r="D301" s="16"/>
      <c r="E301" s="16"/>
      <c r="F301" s="17"/>
      <c r="G301" s="16"/>
      <c r="H301" s="16"/>
      <c r="I301" s="17"/>
    </row>
    <row r="302" spans="1:9" ht="13.9">
      <c r="A302" s="16"/>
      <c r="B302" s="16"/>
      <c r="C302" s="16"/>
      <c r="D302" s="16"/>
      <c r="E302" s="16"/>
      <c r="F302" s="17"/>
      <c r="G302" s="16"/>
      <c r="H302" s="16"/>
      <c r="I302" s="17"/>
    </row>
    <row r="303" spans="1:9" ht="13.9">
      <c r="A303" s="16"/>
      <c r="B303" s="16"/>
      <c r="C303" s="16"/>
      <c r="D303" s="16"/>
      <c r="E303" s="16"/>
      <c r="F303" s="17"/>
      <c r="G303" s="16"/>
      <c r="H303" s="16"/>
      <c r="I303" s="17"/>
    </row>
    <row r="304" spans="1:9" ht="13.9">
      <c r="A304" s="16"/>
      <c r="B304" s="16"/>
      <c r="C304" s="16"/>
      <c r="D304" s="16"/>
      <c r="E304" s="16"/>
      <c r="F304" s="17"/>
      <c r="G304" s="16"/>
      <c r="H304" s="16"/>
      <c r="I304" s="17"/>
    </row>
    <row r="305" spans="1:9" ht="13.9">
      <c r="A305" s="16"/>
      <c r="B305" s="16"/>
      <c r="C305" s="16"/>
      <c r="D305" s="16"/>
      <c r="E305" s="16"/>
      <c r="F305" s="17"/>
      <c r="G305" s="16"/>
      <c r="H305" s="16"/>
      <c r="I305" s="17"/>
    </row>
    <row r="306" spans="1:9" ht="13.9">
      <c r="A306" s="16"/>
      <c r="B306" s="16"/>
      <c r="C306" s="16"/>
      <c r="D306" s="16"/>
      <c r="E306" s="16"/>
      <c r="F306" s="17"/>
      <c r="G306" s="16"/>
      <c r="H306" s="16"/>
      <c r="I306" s="17"/>
    </row>
    <row r="307" spans="1:9" ht="13.9">
      <c r="A307" s="16"/>
      <c r="B307" s="16"/>
      <c r="C307" s="16"/>
      <c r="D307" s="16"/>
      <c r="E307" s="16"/>
      <c r="F307" s="17"/>
      <c r="G307" s="16"/>
      <c r="H307" s="16"/>
      <c r="I307" s="17"/>
    </row>
    <row r="308" spans="1:9" ht="13.9">
      <c r="A308" s="16"/>
      <c r="B308" s="16"/>
      <c r="C308" s="16"/>
      <c r="D308" s="16"/>
      <c r="E308" s="16"/>
      <c r="F308" s="17"/>
      <c r="G308" s="16"/>
      <c r="H308" s="16"/>
      <c r="I308" s="17"/>
    </row>
    <row r="309" spans="1:9" ht="13.9">
      <c r="A309" s="16"/>
      <c r="B309" s="16"/>
      <c r="C309" s="16"/>
      <c r="D309" s="16"/>
      <c r="E309" s="16"/>
      <c r="F309" s="17"/>
      <c r="G309" s="16"/>
      <c r="H309" s="16"/>
      <c r="I309" s="17"/>
    </row>
    <row r="310" spans="1:9" ht="13.9">
      <c r="A310" s="16"/>
      <c r="B310" s="16"/>
      <c r="C310" s="16"/>
      <c r="D310" s="16"/>
      <c r="E310" s="16"/>
      <c r="F310" s="17"/>
      <c r="G310" s="16"/>
      <c r="H310" s="16"/>
      <c r="I310" s="17"/>
    </row>
    <row r="311" spans="1:9" ht="13.9">
      <c r="A311" s="16"/>
      <c r="B311" s="16"/>
      <c r="C311" s="16"/>
      <c r="D311" s="16"/>
      <c r="E311" s="16"/>
      <c r="F311" s="17"/>
      <c r="G311" s="16"/>
      <c r="H311" s="16"/>
      <c r="I311" s="17"/>
    </row>
    <row r="312" spans="1:9" ht="13.9">
      <c r="A312" s="16"/>
      <c r="B312" s="16"/>
      <c r="C312" s="16"/>
      <c r="D312" s="16"/>
      <c r="E312" s="16"/>
      <c r="F312" s="17"/>
      <c r="G312" s="16"/>
      <c r="H312" s="16"/>
      <c r="I312" s="17"/>
    </row>
    <row r="313" spans="1:9" ht="13.9">
      <c r="A313" s="16"/>
      <c r="B313" s="16"/>
      <c r="C313" s="16"/>
      <c r="D313" s="16"/>
      <c r="E313" s="16"/>
      <c r="F313" s="17"/>
      <c r="G313" s="16"/>
      <c r="H313" s="16"/>
      <c r="I313" s="17"/>
    </row>
    <row r="314" spans="1:9" ht="13.9">
      <c r="A314" s="16"/>
      <c r="B314" s="16"/>
      <c r="C314" s="16"/>
      <c r="D314" s="16"/>
      <c r="E314" s="16"/>
      <c r="F314" s="17"/>
      <c r="G314" s="16"/>
      <c r="H314" s="16"/>
      <c r="I314" s="17"/>
    </row>
    <row r="315" spans="1:9" ht="13.9">
      <c r="A315" s="16"/>
      <c r="B315" s="16"/>
      <c r="C315" s="16"/>
      <c r="D315" s="16"/>
      <c r="E315" s="16"/>
      <c r="F315" s="17"/>
      <c r="G315" s="16"/>
      <c r="H315" s="16"/>
      <c r="I315" s="17"/>
    </row>
    <row r="316" spans="1:9" ht="13.9">
      <c r="A316" s="16"/>
      <c r="B316" s="16"/>
      <c r="C316" s="16"/>
      <c r="D316" s="16"/>
      <c r="E316" s="16"/>
      <c r="F316" s="17"/>
      <c r="G316" s="16"/>
      <c r="H316" s="16"/>
      <c r="I316" s="17"/>
    </row>
  </sheetData>
  <mergeCells count="4">
    <mergeCell ref="G1:I1"/>
    <mergeCell ref="A1:C1"/>
    <mergeCell ref="D1:F1"/>
    <mergeCell ref="A2:B2"/>
  </mergeCells>
  <conditionalFormatting sqref="F2 I2 F4:F74 I4:I74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5"/>
  <sheetViews>
    <sheetView workbookViewId="0">
      <pane xSplit="2" ySplit="3" topLeftCell="C4" activePane="bottomRight" state="frozen"/>
      <selection pane="bottomRight" activeCell="J4" sqref="J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18</v>
      </c>
      <c r="E1" s="43"/>
      <c r="F1" s="43"/>
      <c r="G1" s="41" t="s">
        <v>19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SUM(C4:C73)</f>
        <v>4142</v>
      </c>
      <c r="D2" s="5">
        <f>SUM(D4:D73)</f>
        <v>0</v>
      </c>
      <c r="E2" s="5">
        <f>C2-D2</f>
        <v>4142</v>
      </c>
      <c r="F2" s="6">
        <f>IFERROR(E2/D2, 0)</f>
        <v>0</v>
      </c>
      <c r="G2" s="5">
        <f>SUM(G4:G73)</f>
        <v>8751</v>
      </c>
      <c r="H2" s="7">
        <f>C2-G2</f>
        <v>-4609</v>
      </c>
      <c r="I2" s="6">
        <f>IFERROR(H2/G2, 0)</f>
        <v>-0.52668266483830417</v>
      </c>
      <c r="J2" s="21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2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32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40" t="str" cm="1">
        <f t="array" ref="A4">Sites[Site]</f>
        <v>CT: Guildford - Bio-Med Devices</v>
      </c>
      <c r="B4" s="23" t="str" cm="1">
        <f t="array" ref="B4">Sites[State]</f>
        <v>CT</v>
      </c>
      <c r="C4" s="11">
        <v>4142</v>
      </c>
      <c r="D4" s="11">
        <v>0</v>
      </c>
      <c r="E4" s="11">
        <f>IF(AND(ISNUMBER(C4),ISNUMBER(D4)), C4-D4, "")</f>
        <v>4142</v>
      </c>
      <c r="F4" s="35" t="str">
        <f>IFERROR(E4/D4, "")</f>
        <v/>
      </c>
      <c r="G4" s="13">
        <v>8751</v>
      </c>
      <c r="H4" s="13">
        <f>IF(AND(ISNUMBER(C4),ISNUMBER(G4)), C4-G4, "")</f>
        <v>-4609</v>
      </c>
      <c r="I4" s="14">
        <f>IFERROR(H4/G4, "")</f>
        <v>-0.52668266483830417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7"/>
      <c r="G6" s="16"/>
      <c r="H6" s="16"/>
      <c r="I6" s="17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</sheetData>
  <mergeCells count="4">
    <mergeCell ref="D1:F1"/>
    <mergeCell ref="A1:C1"/>
    <mergeCell ref="G1:I1"/>
    <mergeCell ref="A2:B2"/>
  </mergeCells>
  <conditionalFormatting sqref="F2 I2 I4:I73 F5:F73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6"/>
  <sheetViews>
    <sheetView workbookViewId="0">
      <pane xSplit="2" ySplit="3" topLeftCell="C4" activePane="bottomRight" state="frozen"/>
      <selection pane="bottomRight" activeCell="F14" sqref="F1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22</v>
      </c>
      <c r="E1" s="43"/>
      <c r="F1" s="43"/>
      <c r="G1" s="41" t="s">
        <v>23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7078.12</v>
      </c>
      <c r="D2" s="5">
        <f>SUM(D4:D74)</f>
        <v>0</v>
      </c>
      <c r="E2" s="5">
        <f>C2-D2</f>
        <v>7078.12</v>
      </c>
      <c r="F2" s="6">
        <f>IFERROR(E2/D2, 0)</f>
        <v>0</v>
      </c>
      <c r="G2" s="5">
        <f>SUM(G4:G74)</f>
        <v>10476.151</v>
      </c>
      <c r="H2" s="7">
        <f>C2-G2</f>
        <v>-3398.0309999999999</v>
      </c>
      <c r="I2" s="6">
        <f>IFERROR(H2/G2, 0)</f>
        <v>-0.3243587267881114</v>
      </c>
      <c r="J2" s="2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40" t="str" cm="1">
        <f t="array" ref="A4">Sites[Site]</f>
        <v>CT: Guildford - Bio-Med Devices</v>
      </c>
      <c r="B4" s="23" t="str" cm="1">
        <f t="array" ref="B4">Sites[State]</f>
        <v>CT</v>
      </c>
      <c r="C4" s="19">
        <v>7078.12</v>
      </c>
      <c r="D4" s="11">
        <v>0</v>
      </c>
      <c r="E4" s="11">
        <f>IF(AND(ISNUMBER(C4),ISNUMBER(D4)), C4-D4, "")</f>
        <v>7078.12</v>
      </c>
      <c r="F4" s="12" t="str">
        <f>IFERROR(E4/D4, "")</f>
        <v/>
      </c>
      <c r="G4" s="13">
        <v>10476.151</v>
      </c>
      <c r="H4" s="13">
        <f>IF(AND(ISNUMBER(C4),ISNUMBER(G4)), C4-G4, "")</f>
        <v>-3398.0309999999999</v>
      </c>
      <c r="I4" s="14">
        <f>IFERROR(H4/G4, "")</f>
        <v>-0.3243587267881114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6"/>
  <sheetViews>
    <sheetView workbookViewId="0">
      <pane xSplit="2" ySplit="3" topLeftCell="E4" activePane="bottomRight" state="frozen"/>
      <selection pane="bottomRight" activeCell="J13" sqref="J13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5.42578125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24</v>
      </c>
      <c r="E1" s="43"/>
      <c r="F1" s="43"/>
      <c r="G1" s="41" t="s">
        <v>25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13577.9</v>
      </c>
      <c r="D2" s="5">
        <f>SUM(D4:D74)</f>
        <v>0</v>
      </c>
      <c r="E2" s="5">
        <f>C2-D2</f>
        <v>13577.9</v>
      </c>
      <c r="F2" s="6">
        <f>IFERROR(E2/D2, 0)</f>
        <v>0</v>
      </c>
      <c r="G2" s="5">
        <f>SUM(G4:G74)</f>
        <v>14587.200999999999</v>
      </c>
      <c r="H2" s="7">
        <f>C2-G2</f>
        <v>-1009.3009999999995</v>
      </c>
      <c r="I2" s="6">
        <f>IFERROR(H2/G2, 0)</f>
        <v>-6.9190861221422775E-2</v>
      </c>
      <c r="J2" s="21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13577.9</v>
      </c>
      <c r="D4" s="11">
        <v>0</v>
      </c>
      <c r="E4" s="11">
        <f>IF(AND(ISNUMBER(C4),ISNUMBER(D4)), C4-D4, "")</f>
        <v>13577.9</v>
      </c>
      <c r="F4" s="12" t="str">
        <f>IFERROR(E4/D4, "")</f>
        <v/>
      </c>
      <c r="G4" s="13">
        <v>14587.200999999999</v>
      </c>
      <c r="H4" s="13">
        <f>IF(AND(ISNUMBER(C4),ISNUMBER(G4)), C4-G4, "")</f>
        <v>-1009.3009999999995</v>
      </c>
      <c r="I4" s="14">
        <f>IFERROR(H4/G4, "")</f>
        <v>-6.9190861221422775E-2</v>
      </c>
      <c r="J4" s="33" t="s">
        <v>26</v>
      </c>
      <c r="K4" s="33" t="s">
        <v>27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6"/>
  <sheetViews>
    <sheetView workbookViewId="0">
      <pane xSplit="2" ySplit="3" topLeftCell="I4" activePane="bottomRight" state="frozen"/>
      <selection pane="bottomRight" activeCell="I13" sqref="I13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28</v>
      </c>
      <c r="E1" s="43"/>
      <c r="F1" s="43"/>
      <c r="G1" s="41" t="s">
        <v>29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15038.14</v>
      </c>
      <c r="D2" s="5">
        <f>SUM(D4:D74)</f>
        <v>0</v>
      </c>
      <c r="E2" s="5">
        <f>C2-D2</f>
        <v>15038.14</v>
      </c>
      <c r="F2" s="6">
        <f>IFERROR(E2/D2, 0)</f>
        <v>0</v>
      </c>
      <c r="G2" s="5">
        <f>SUM(G4:G74)</f>
        <v>15293.07</v>
      </c>
      <c r="H2" s="7">
        <f>C2-G2</f>
        <v>-254.93000000000029</v>
      </c>
      <c r="I2" s="6">
        <f>IFERROR(H2/G2, 0)</f>
        <v>-1.6669641870468148E-2</v>
      </c>
      <c r="J2" s="21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15038.14</v>
      </c>
      <c r="D4" s="11">
        <v>0</v>
      </c>
      <c r="E4" s="11">
        <f>IF(AND(ISNUMBER(C4),ISNUMBER(D4)), C4-D4, "")</f>
        <v>15038.14</v>
      </c>
      <c r="F4" s="12" t="str">
        <f>IFERROR(E4/D4, "")</f>
        <v/>
      </c>
      <c r="G4" s="13">
        <v>15293.07</v>
      </c>
      <c r="H4" s="13">
        <f>IF(AND(ISNUMBER(C4),ISNUMBER(G4)), C4-G4, "")</f>
        <v>-254.93000000000029</v>
      </c>
      <c r="I4" s="14">
        <f>IFERROR(H4/G4, "")</f>
        <v>-1.6669641870468148E-2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6"/>
  <sheetViews>
    <sheetView workbookViewId="0">
      <pane xSplit="2" ySplit="3" topLeftCell="H4" activePane="bottomRight" state="frozen"/>
      <selection pane="bottomRight" activeCell="H4" sqref="H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30</v>
      </c>
      <c r="E1" s="43"/>
      <c r="F1" s="43"/>
      <c r="G1" s="41" t="s">
        <v>31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18524.78</v>
      </c>
      <c r="D2" s="5">
        <f>SUM(D4:D74)</f>
        <v>0</v>
      </c>
      <c r="E2" s="5">
        <f>C2-D2</f>
        <v>18524.78</v>
      </c>
      <c r="F2" s="6">
        <f>IFERROR(E2/D2, 0)</f>
        <v>0</v>
      </c>
      <c r="G2" s="5">
        <f>SUM(G4:G74)</f>
        <v>17076.09</v>
      </c>
      <c r="H2" s="7">
        <f>C2-G2</f>
        <v>1448.6899999999987</v>
      </c>
      <c r="I2" s="6">
        <f>IFERROR(H2/G2, 0)</f>
        <v>8.4837336884497488E-2</v>
      </c>
      <c r="J2" s="21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18524.78</v>
      </c>
      <c r="D4" s="11">
        <v>0</v>
      </c>
      <c r="E4" s="11">
        <f>IF(AND(ISNUMBER(C4),ISNUMBER(D4)), C4-D4, "")</f>
        <v>18524.78</v>
      </c>
      <c r="F4" s="12" t="str">
        <f>IFERROR(E4/D4, "")</f>
        <v/>
      </c>
      <c r="G4" s="13">
        <v>17076.09</v>
      </c>
      <c r="H4" s="13">
        <f>IF(AND(ISNUMBER(C4),ISNUMBER(G4)), C4-G4, "")</f>
        <v>1448.6899999999987</v>
      </c>
      <c r="I4" s="14">
        <f>IFERROR(H4/G4, "")</f>
        <v>8.4837336884497488E-2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6"/>
  <sheetViews>
    <sheetView workbookViewId="0">
      <pane xSplit="2" ySplit="3" topLeftCell="G5" activePane="bottomRight" state="frozen"/>
      <selection pane="bottomRight" activeCell="G5" sqref="G5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32</v>
      </c>
      <c r="E1" s="43"/>
      <c r="F1" s="43"/>
      <c r="G1" s="41" t="s">
        <v>33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20240.22</v>
      </c>
      <c r="D2" s="5">
        <f>SUM(D4:D74)</f>
        <v>0</v>
      </c>
      <c r="E2" s="5">
        <f>C2-D2</f>
        <v>20240.22</v>
      </c>
      <c r="F2" s="6">
        <f>IFERROR(E2/D2, 0)</f>
        <v>0</v>
      </c>
      <c r="G2" s="5">
        <f>SUM(G4:G74)</f>
        <v>17004.811000000002</v>
      </c>
      <c r="H2" s="7">
        <f>C2-G2</f>
        <v>3235.4089999999997</v>
      </c>
      <c r="I2" s="6">
        <f>IFERROR(H2/G2, 0)</f>
        <v>0.19026433166472709</v>
      </c>
      <c r="J2" s="21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20240.22</v>
      </c>
      <c r="D4" s="11">
        <v>0</v>
      </c>
      <c r="E4" s="11">
        <f>IF(AND(ISNUMBER(C4),ISNUMBER(D4)), C4-D4, "")</f>
        <v>20240.22</v>
      </c>
      <c r="F4" s="12" t="str">
        <f>IFERROR(E4/D4, "")</f>
        <v/>
      </c>
      <c r="G4" s="13">
        <v>17004.811000000002</v>
      </c>
      <c r="H4" s="13">
        <f>IF(AND(ISNUMBER(C4),ISNUMBER(G4)), C4-G4, "")</f>
        <v>3235.4089999999997</v>
      </c>
      <c r="I4" s="14">
        <f>IFERROR(H4/G4, "")</f>
        <v>0.19026433166472709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6"/>
  <sheetViews>
    <sheetView workbookViewId="0">
      <pane xSplit="2" ySplit="3" topLeftCell="C4" activePane="bottomRight" state="frozen"/>
      <selection pane="bottomRight" activeCell="K4" sqref="K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34</v>
      </c>
      <c r="E1" s="43"/>
      <c r="F1" s="43"/>
      <c r="G1" s="41" t="s">
        <v>35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18135.36</v>
      </c>
      <c r="D2" s="5">
        <f>SUM(D4:D74)</f>
        <v>0</v>
      </c>
      <c r="E2" s="5">
        <f>C2-D2</f>
        <v>18135.36</v>
      </c>
      <c r="F2" s="6">
        <f>IFERROR(E2/D2, 0)</f>
        <v>0</v>
      </c>
      <c r="G2" s="5">
        <f>SUM(G4:G74)</f>
        <v>16668.599999999999</v>
      </c>
      <c r="H2" s="7">
        <f>C2-G2</f>
        <v>1466.760000000002</v>
      </c>
      <c r="I2" s="6">
        <f>IFERROR(H2/G2, 0)</f>
        <v>8.799539253446613E-2</v>
      </c>
      <c r="J2" s="21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18135.36</v>
      </c>
      <c r="D4" s="11">
        <v>0</v>
      </c>
      <c r="E4" s="11">
        <f>IF(AND(ISNUMBER(C4),ISNUMBER(D4)), C4-D4, "")</f>
        <v>18135.36</v>
      </c>
      <c r="F4" s="12" t="str">
        <f>IFERROR(E4/D4, "")</f>
        <v/>
      </c>
      <c r="G4" s="13">
        <v>16668.599999999999</v>
      </c>
      <c r="H4" s="13">
        <f>IF(AND(ISNUMBER(C4),ISNUMBER(G4)), C4-G4, "")</f>
        <v>1466.760000000002</v>
      </c>
      <c r="I4" s="14">
        <f>IFERROR(H4/G4, "")</f>
        <v>8.799539253446613E-2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4 I4:I74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6"/>
  <sheetViews>
    <sheetView workbookViewId="0">
      <pane xSplit="2" ySplit="3" topLeftCell="F4" activePane="bottomRight" state="frozen"/>
      <selection pane="bottomRight" activeCell="K4" sqref="K4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36</v>
      </c>
      <c r="E1" s="43"/>
      <c r="F1" s="43"/>
      <c r="G1" s="41" t="s">
        <v>37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16347.49</v>
      </c>
      <c r="D2" s="5">
        <f>SUM(D4:D74)</f>
        <v>0</v>
      </c>
      <c r="E2" s="5">
        <f>C2-D2</f>
        <v>16347.49</v>
      </c>
      <c r="F2" s="6">
        <f>IFERROR(E2/D2, 0)</f>
        <v>0</v>
      </c>
      <c r="G2" s="5">
        <f>SUM(G4:G74)</f>
        <v>15828.486000000001</v>
      </c>
      <c r="H2" s="7">
        <f>C2-G2</f>
        <v>519.003999999999</v>
      </c>
      <c r="I2" s="6">
        <f>IFERROR(H2/G2, 0)</f>
        <v>3.2789238339029962E-2</v>
      </c>
      <c r="J2" s="21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30.75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16347.49</v>
      </c>
      <c r="D4" s="11">
        <v>0</v>
      </c>
      <c r="E4" s="11">
        <f>IF(AND(ISNUMBER(C4),ISNUMBER(D4)), C4-D4, "")</f>
        <v>16347.49</v>
      </c>
      <c r="F4" s="12" t="str">
        <f>IFERROR(E4/D4, "")</f>
        <v/>
      </c>
      <c r="G4" s="13">
        <v>15828.486000000001</v>
      </c>
      <c r="H4" s="13">
        <f>IF(AND(ISNUMBER(C4),ISNUMBER(G4)), C4-G4, "")</f>
        <v>519.003999999999</v>
      </c>
      <c r="I4" s="14">
        <f>IFERROR(H4/G4, "")</f>
        <v>3.2789238339029962E-2</v>
      </c>
      <c r="J4" s="33" t="s">
        <v>38</v>
      </c>
      <c r="K4" s="33" t="s">
        <v>39</v>
      </c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6"/>
  <sheetViews>
    <sheetView workbookViewId="0">
      <pane xSplit="2" ySplit="3" topLeftCell="F9" activePane="bottomRight" state="frozen"/>
      <selection pane="bottomRight" activeCell="F9" sqref="F9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40</v>
      </c>
      <c r="E1" s="43"/>
      <c r="F1" s="43"/>
      <c r="G1" s="41" t="s">
        <v>41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13701.92</v>
      </c>
      <c r="D2" s="5">
        <f>SUM(D4:D74)</f>
        <v>0</v>
      </c>
      <c r="E2" s="5">
        <f>C2-D2</f>
        <v>13701.92</v>
      </c>
      <c r="F2" s="6">
        <f>IFERROR(E2/D2, 0)</f>
        <v>0</v>
      </c>
      <c r="G2" s="5">
        <f>SUM(G4:G74)</f>
        <v>13817.996999999999</v>
      </c>
      <c r="H2" s="7">
        <f>C2-G2</f>
        <v>-116.07699999999932</v>
      </c>
      <c r="I2" s="6">
        <f>IFERROR(H2/G2, 0)</f>
        <v>-8.400421566164714E-3</v>
      </c>
      <c r="J2" s="21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>
        <v>13701.92</v>
      </c>
      <c r="D4" s="11">
        <v>0</v>
      </c>
      <c r="E4" s="11">
        <f>IF(AND(ISNUMBER(C4),ISNUMBER(D4)), C4-D4, "")</f>
        <v>13701.92</v>
      </c>
      <c r="F4" s="12" t="str">
        <f>IFERROR(E4/D4, "")</f>
        <v/>
      </c>
      <c r="G4" s="13">
        <v>13817.996999999999</v>
      </c>
      <c r="H4" s="13">
        <f>IF(AND(ISNUMBER(C4),ISNUMBER(G4)), C4-G4, "")</f>
        <v>-116.07699999999932</v>
      </c>
      <c r="I4" s="14">
        <f>IFERROR(H4/G4, "")</f>
        <v>-8.400421566164714E-3</v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42</v>
      </c>
      <c r="E1" s="43"/>
      <c r="F1" s="43"/>
      <c r="G1" s="41" t="s">
        <v>43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44</v>
      </c>
      <c r="E1" s="43"/>
      <c r="F1" s="43"/>
      <c r="G1" s="41" t="s">
        <v>45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6"/>
  <sheetViews>
    <sheetView workbookViewId="0">
      <pane xSplit="2" ySplit="3" topLeftCell="C4" activePane="bottomRight" state="frozen"/>
      <selection pane="bottomRight" activeCell="A5" sqref="A5:XFD30"/>
      <selection pane="bottomLeft" activeCell="A5" sqref="A5:XFD30"/>
      <selection pane="topRight" activeCell="A5" sqref="A5:XFD30"/>
    </sheetView>
  </sheetViews>
  <sheetFormatPr defaultRowHeight="13.9"/>
  <cols>
    <col min="1" max="1" width="35.85546875" bestFit="1" customWidth="1"/>
    <col min="2" max="2" width="8.42578125" style="2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2" t="str" cm="1">
        <f t="array" ref="A1">portfolio</f>
        <v>Bio-Med Devices</v>
      </c>
      <c r="B1" s="42"/>
      <c r="C1" s="42"/>
      <c r="D1" s="43" t="s">
        <v>46</v>
      </c>
      <c r="E1" s="43"/>
      <c r="F1" s="43"/>
      <c r="G1" s="41" t="s">
        <v>47</v>
      </c>
      <c r="H1" s="41"/>
      <c r="I1" s="41"/>
      <c r="J1" s="4"/>
      <c r="K1" s="4"/>
    </row>
    <row r="2" spans="1:11" ht="19.5" customHeight="1">
      <c r="A2" s="44" t="s">
        <v>2</v>
      </c>
      <c r="B2" s="44"/>
      <c r="C2" s="5">
        <f>SUM(C4:C74)</f>
        <v>0</v>
      </c>
      <c r="D2" s="5">
        <f>SUM(D4:D74)</f>
        <v>0</v>
      </c>
      <c r="E2" s="5">
        <f>C2-D2</f>
        <v>0</v>
      </c>
      <c r="F2" s="6">
        <f>IFERROR(E2/D2, 0)</f>
        <v>0</v>
      </c>
      <c r="G2" s="5">
        <f>SUM(G4:G74)</f>
        <v>0</v>
      </c>
      <c r="H2" s="7">
        <f>C2-G2</f>
        <v>0</v>
      </c>
      <c r="I2" s="6">
        <f>IFERROR(H2/G2, 0)</f>
        <v>0</v>
      </c>
      <c r="J2" s="21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8" t="s">
        <v>5</v>
      </c>
      <c r="D3" s="27" t="s">
        <v>6</v>
      </c>
      <c r="E3" s="27" t="s">
        <v>7</v>
      </c>
      <c r="F3" s="28" t="s">
        <v>8</v>
      </c>
      <c r="G3" s="29" t="s">
        <v>9</v>
      </c>
      <c r="H3" s="30" t="s">
        <v>7</v>
      </c>
      <c r="I3" s="31" t="s">
        <v>8</v>
      </c>
      <c r="J3" s="20" t="s">
        <v>20</v>
      </c>
      <c r="K3" s="20" t="s">
        <v>21</v>
      </c>
    </row>
    <row r="4" spans="1:11" ht="15.6">
      <c r="A4" s="24" t="str" cm="1">
        <f t="array" ref="A4">Sites[Site]</f>
        <v>CT: Guildford - Bio-Med Devices</v>
      </c>
      <c r="B4" s="23" t="str" cm="1">
        <f t="array" ref="B4">Sites[State]</f>
        <v>CT</v>
      </c>
      <c r="C4" s="19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3"/>
      <c r="K4" s="33"/>
    </row>
    <row r="5" spans="1:11" ht="14.45">
      <c r="A5" s="16"/>
      <c r="B5" s="25"/>
      <c r="C5" s="16"/>
      <c r="D5" s="16"/>
      <c r="E5" s="16"/>
      <c r="F5" s="16"/>
      <c r="G5" s="16"/>
      <c r="H5" s="16"/>
      <c r="I5" s="16"/>
      <c r="J5" s="16"/>
      <c r="K5" s="16"/>
    </row>
    <row r="6" spans="1:11" ht="14.45">
      <c r="A6" s="16"/>
      <c r="B6" s="25"/>
      <c r="C6" s="16"/>
      <c r="D6" s="16"/>
      <c r="E6" s="16"/>
      <c r="F6" s="16"/>
      <c r="G6" s="16"/>
      <c r="H6" s="16"/>
      <c r="I6" s="16"/>
      <c r="J6" s="16"/>
      <c r="K6" s="16"/>
    </row>
    <row r="7" spans="1:11" ht="14.45">
      <c r="A7" s="16"/>
      <c r="B7" s="25"/>
      <c r="C7" s="16"/>
      <c r="D7" s="16"/>
      <c r="E7" s="16"/>
      <c r="F7" s="17"/>
      <c r="G7" s="16"/>
      <c r="H7" s="16"/>
      <c r="I7" s="17"/>
      <c r="J7" s="16"/>
      <c r="K7" s="16"/>
    </row>
    <row r="8" spans="1:11" ht="14.45">
      <c r="A8" s="16"/>
      <c r="B8" s="25"/>
      <c r="C8" s="16"/>
      <c r="D8" s="16"/>
      <c r="E8" s="16"/>
      <c r="F8" s="17"/>
      <c r="G8" s="16"/>
      <c r="H8" s="16"/>
      <c r="I8" s="17"/>
      <c r="J8" s="16"/>
      <c r="K8" s="16"/>
    </row>
    <row r="9" spans="1:11" ht="14.45">
      <c r="A9" s="16"/>
      <c r="B9" s="25"/>
      <c r="C9" s="16"/>
      <c r="D9" s="16"/>
      <c r="E9" s="16"/>
      <c r="F9" s="17"/>
      <c r="G9" s="16"/>
      <c r="H9" s="16"/>
      <c r="I9" s="17"/>
      <c r="J9" s="16"/>
      <c r="K9" s="16"/>
    </row>
    <row r="10" spans="1:11" ht="14.45">
      <c r="A10" s="16"/>
      <c r="B10" s="25"/>
      <c r="C10" s="16"/>
      <c r="D10" s="16"/>
      <c r="E10" s="16"/>
      <c r="F10" s="17"/>
      <c r="G10" s="16"/>
      <c r="H10" s="16"/>
      <c r="I10" s="17"/>
      <c r="J10" s="16"/>
      <c r="K10" s="16"/>
    </row>
    <row r="11" spans="1:11" ht="14.45">
      <c r="A11" s="16"/>
      <c r="B11" s="25"/>
      <c r="C11" s="16"/>
      <c r="D11" s="16"/>
      <c r="E11" s="16"/>
      <c r="F11" s="17"/>
      <c r="G11" s="16"/>
      <c r="H11" s="16"/>
      <c r="I11" s="17"/>
      <c r="J11" s="16"/>
      <c r="K11" s="16"/>
    </row>
    <row r="12" spans="1:11" ht="14.45">
      <c r="A12" s="16"/>
      <c r="B12" s="25"/>
      <c r="C12" s="16"/>
      <c r="D12" s="16"/>
      <c r="E12" s="16"/>
      <c r="F12" s="17"/>
      <c r="G12" s="16"/>
      <c r="H12" s="16"/>
      <c r="I12" s="17"/>
      <c r="J12" s="16"/>
      <c r="K12" s="16"/>
    </row>
    <row r="13" spans="1:11" ht="14.45">
      <c r="A13" s="16"/>
      <c r="B13" s="25"/>
      <c r="C13" s="16"/>
      <c r="D13" s="16"/>
      <c r="E13" s="16"/>
      <c r="F13" s="17"/>
      <c r="G13" s="16"/>
      <c r="H13" s="16"/>
      <c r="I13" s="17"/>
      <c r="J13" s="16"/>
      <c r="K13" s="16"/>
    </row>
    <row r="14" spans="1:11" ht="14.45">
      <c r="A14" s="16"/>
      <c r="B14" s="25"/>
      <c r="C14" s="16"/>
      <c r="D14" s="16"/>
      <c r="E14" s="16"/>
      <c r="F14" s="17"/>
      <c r="G14" s="16"/>
      <c r="H14" s="16"/>
      <c r="I14" s="17"/>
      <c r="J14" s="16"/>
      <c r="K14" s="16"/>
    </row>
    <row r="15" spans="1:11" ht="14.45">
      <c r="A15" s="16"/>
      <c r="B15" s="25"/>
      <c r="C15" s="16"/>
      <c r="D15" s="16"/>
      <c r="E15" s="16"/>
      <c r="F15" s="17"/>
      <c r="G15" s="16"/>
      <c r="H15" s="16"/>
      <c r="I15" s="17"/>
      <c r="J15" s="16"/>
      <c r="K15" s="16"/>
    </row>
    <row r="16" spans="1:11" ht="14.45">
      <c r="A16" s="16"/>
      <c r="B16" s="25"/>
      <c r="C16" s="16"/>
      <c r="D16" s="16"/>
      <c r="E16" s="16"/>
      <c r="F16" s="17"/>
      <c r="G16" s="16"/>
      <c r="H16" s="16"/>
      <c r="I16" s="17"/>
      <c r="J16" s="16"/>
      <c r="K16" s="16"/>
    </row>
    <row r="17" spans="1:11" ht="14.45">
      <c r="A17" s="16"/>
      <c r="B17" s="25"/>
      <c r="C17" s="16"/>
      <c r="D17" s="16"/>
      <c r="E17" s="16"/>
      <c r="F17" s="17"/>
      <c r="G17" s="16"/>
      <c r="H17" s="16"/>
      <c r="I17" s="17"/>
      <c r="J17" s="16"/>
      <c r="K17" s="16"/>
    </row>
    <row r="18" spans="1:11" ht="14.45">
      <c r="A18" s="16"/>
      <c r="B18" s="25"/>
      <c r="C18" s="16"/>
      <c r="D18" s="16"/>
      <c r="E18" s="16"/>
      <c r="F18" s="17"/>
      <c r="G18" s="16"/>
      <c r="H18" s="16"/>
      <c r="I18" s="17"/>
      <c r="J18" s="16"/>
      <c r="K18" s="16"/>
    </row>
    <row r="19" spans="1:11" ht="14.45">
      <c r="A19" s="16"/>
      <c r="B19" s="25"/>
      <c r="C19" s="16"/>
      <c r="D19" s="16"/>
      <c r="E19" s="16"/>
      <c r="F19" s="17"/>
      <c r="G19" s="16"/>
      <c r="H19" s="16"/>
      <c r="I19" s="17"/>
      <c r="J19" s="16"/>
      <c r="K19" s="16"/>
    </row>
    <row r="20" spans="1:11" ht="14.45">
      <c r="A20" s="16"/>
      <c r="B20" s="25"/>
      <c r="C20" s="16"/>
      <c r="D20" s="16"/>
      <c r="E20" s="16"/>
      <c r="F20" s="17"/>
      <c r="G20" s="16"/>
      <c r="H20" s="16"/>
      <c r="I20" s="17"/>
      <c r="J20" s="16"/>
      <c r="K20" s="16"/>
    </row>
    <row r="21" spans="1:11" ht="14.45">
      <c r="A21" s="16"/>
      <c r="B21" s="25"/>
      <c r="C21" s="16"/>
      <c r="D21" s="16"/>
      <c r="E21" s="16"/>
      <c r="F21" s="17"/>
      <c r="G21" s="16"/>
      <c r="H21" s="16"/>
      <c r="I21" s="17"/>
      <c r="J21" s="16"/>
      <c r="K21" s="16"/>
    </row>
    <row r="22" spans="1:11" ht="14.45">
      <c r="A22" s="16"/>
      <c r="B22" s="25"/>
      <c r="C22" s="16"/>
      <c r="D22" s="16"/>
      <c r="E22" s="16"/>
      <c r="F22" s="17"/>
      <c r="G22" s="16"/>
      <c r="H22" s="16"/>
      <c r="I22" s="17"/>
      <c r="J22" s="16"/>
      <c r="K22" s="16"/>
    </row>
    <row r="23" spans="1:11" ht="14.45">
      <c r="A23" s="16"/>
      <c r="B23" s="25"/>
      <c r="C23" s="16"/>
      <c r="D23" s="16"/>
      <c r="E23" s="16"/>
      <c r="F23" s="17"/>
      <c r="G23" s="16"/>
      <c r="H23" s="16"/>
      <c r="I23" s="17"/>
      <c r="J23" s="16"/>
      <c r="K23" s="16"/>
    </row>
    <row r="24" spans="1:11" ht="14.45">
      <c r="A24" s="16"/>
      <c r="B24" s="25"/>
      <c r="C24" s="16"/>
      <c r="D24" s="16"/>
      <c r="E24" s="16"/>
      <c r="F24" s="17"/>
      <c r="G24" s="16"/>
      <c r="H24" s="16"/>
      <c r="I24" s="17"/>
      <c r="J24" s="16"/>
      <c r="K24" s="16"/>
    </row>
    <row r="25" spans="1:11" ht="14.45">
      <c r="A25" s="16"/>
      <c r="B25" s="25"/>
      <c r="C25" s="16"/>
      <c r="D25" s="16"/>
      <c r="E25" s="16"/>
      <c r="F25" s="17"/>
      <c r="G25" s="16"/>
      <c r="H25" s="16"/>
      <c r="I25" s="17"/>
      <c r="J25" s="16"/>
      <c r="K25" s="16"/>
    </row>
    <row r="26" spans="1:11" ht="14.45">
      <c r="A26" s="16"/>
      <c r="B26" s="25"/>
      <c r="C26" s="16"/>
      <c r="D26" s="16"/>
      <c r="E26" s="16"/>
      <c r="F26" s="17"/>
      <c r="G26" s="16"/>
      <c r="H26" s="16"/>
      <c r="I26" s="17"/>
      <c r="J26" s="16"/>
      <c r="K26" s="16"/>
    </row>
    <row r="27" spans="1:11" ht="14.45">
      <c r="A27" s="16"/>
      <c r="B27" s="25"/>
      <c r="C27" s="16"/>
      <c r="D27" s="16"/>
      <c r="E27" s="16"/>
      <c r="F27" s="17"/>
      <c r="G27" s="16"/>
      <c r="H27" s="16"/>
      <c r="I27" s="17"/>
      <c r="J27" s="16"/>
      <c r="K27" s="16"/>
    </row>
    <row r="28" spans="1:11" ht="14.45">
      <c r="A28" s="16"/>
      <c r="B28" s="25"/>
      <c r="C28" s="16"/>
      <c r="D28" s="16"/>
      <c r="E28" s="16"/>
      <c r="F28" s="17"/>
      <c r="G28" s="16"/>
      <c r="H28" s="16"/>
      <c r="I28" s="17"/>
      <c r="J28" s="16"/>
      <c r="K28" s="16"/>
    </row>
    <row r="29" spans="1:11" ht="14.45">
      <c r="A29" s="16"/>
      <c r="B29" s="25"/>
      <c r="C29" s="16"/>
      <c r="D29" s="16"/>
      <c r="E29" s="16"/>
      <c r="F29" s="17"/>
      <c r="G29" s="16"/>
      <c r="H29" s="16"/>
      <c r="I29" s="17"/>
      <c r="J29" s="16"/>
      <c r="K29" s="16"/>
    </row>
    <row r="30" spans="1:11" ht="14.45">
      <c r="A30" s="16"/>
      <c r="B30" s="25"/>
      <c r="C30" s="16"/>
      <c r="D30" s="16"/>
      <c r="E30" s="16"/>
      <c r="F30" s="17"/>
      <c r="G30" s="16"/>
      <c r="H30" s="16"/>
      <c r="I30" s="17"/>
      <c r="J30" s="16"/>
      <c r="K30" s="16"/>
    </row>
    <row r="31" spans="1:11" ht="14.45">
      <c r="A31" s="16"/>
      <c r="B31" s="25"/>
      <c r="C31" s="16"/>
      <c r="D31" s="16"/>
      <c r="E31" s="16"/>
      <c r="F31" s="17"/>
      <c r="G31" s="16"/>
      <c r="H31" s="16"/>
      <c r="I31" s="17"/>
      <c r="J31" s="16"/>
      <c r="K31" s="16"/>
    </row>
    <row r="32" spans="1:11" ht="14.45">
      <c r="A32" s="16"/>
      <c r="B32" s="25"/>
      <c r="C32" s="16"/>
      <c r="D32" s="16"/>
      <c r="E32" s="16"/>
      <c r="F32" s="17"/>
      <c r="G32" s="16"/>
      <c r="H32" s="16"/>
      <c r="I32" s="17"/>
      <c r="J32" s="16"/>
      <c r="K32" s="16"/>
    </row>
    <row r="33" spans="1:11" ht="14.45">
      <c r="A33" s="16"/>
      <c r="B33" s="25"/>
      <c r="C33" s="16"/>
      <c r="D33" s="16"/>
      <c r="E33" s="16"/>
      <c r="F33" s="17"/>
      <c r="G33" s="16"/>
      <c r="H33" s="16"/>
      <c r="I33" s="17"/>
      <c r="J33" s="16"/>
      <c r="K33" s="16"/>
    </row>
    <row r="34" spans="1:11" ht="14.45">
      <c r="A34" s="16"/>
      <c r="B34" s="25"/>
      <c r="C34" s="16"/>
      <c r="D34" s="16"/>
      <c r="E34" s="16"/>
      <c r="F34" s="17"/>
      <c r="G34" s="16"/>
      <c r="H34" s="16"/>
      <c r="I34" s="17"/>
      <c r="J34" s="16"/>
      <c r="K34" s="16"/>
    </row>
    <row r="35" spans="1:11" ht="14.45">
      <c r="A35" s="16"/>
      <c r="B35" s="25"/>
      <c r="C35" s="16"/>
      <c r="D35" s="16"/>
      <c r="E35" s="16"/>
      <c r="F35" s="17"/>
      <c r="G35" s="16"/>
      <c r="H35" s="16"/>
      <c r="I35" s="17"/>
      <c r="J35" s="16"/>
      <c r="K35" s="16"/>
    </row>
    <row r="36" spans="1:11" ht="14.45">
      <c r="A36" s="16"/>
      <c r="B36" s="25"/>
      <c r="C36" s="16"/>
      <c r="D36" s="16"/>
      <c r="E36" s="16"/>
      <c r="F36" s="17"/>
      <c r="G36" s="16"/>
      <c r="H36" s="16"/>
      <c r="I36" s="17"/>
      <c r="J36" s="16"/>
      <c r="K36" s="16"/>
    </row>
    <row r="37" spans="1:11" ht="14.45">
      <c r="A37" s="16"/>
      <c r="B37" s="25"/>
      <c r="C37" s="16"/>
      <c r="D37" s="16"/>
      <c r="E37" s="16"/>
      <c r="F37" s="17"/>
      <c r="G37" s="16"/>
      <c r="H37" s="16"/>
      <c r="I37" s="17"/>
      <c r="J37" s="16"/>
      <c r="K37" s="16"/>
    </row>
    <row r="38" spans="1:11" ht="14.45">
      <c r="A38" s="16"/>
      <c r="B38" s="25"/>
      <c r="C38" s="16"/>
      <c r="D38" s="16"/>
      <c r="E38" s="16"/>
      <c r="F38" s="17"/>
      <c r="G38" s="16"/>
      <c r="H38" s="16"/>
      <c r="I38" s="17"/>
      <c r="J38" s="16"/>
      <c r="K38" s="16"/>
    </row>
    <row r="39" spans="1:11" ht="14.45">
      <c r="A39" s="16"/>
      <c r="B39" s="25"/>
      <c r="C39" s="16"/>
      <c r="D39" s="16"/>
      <c r="E39" s="16"/>
      <c r="F39" s="17"/>
      <c r="G39" s="16"/>
      <c r="H39" s="16"/>
      <c r="I39" s="17"/>
      <c r="J39" s="16"/>
      <c r="K39" s="16"/>
    </row>
    <row r="40" spans="1:11" ht="14.45">
      <c r="A40" s="16"/>
      <c r="B40" s="25"/>
      <c r="C40" s="16"/>
      <c r="D40" s="16"/>
      <c r="E40" s="16"/>
      <c r="F40" s="17"/>
      <c r="G40" s="16"/>
      <c r="H40" s="16"/>
      <c r="I40" s="17"/>
      <c r="J40" s="16"/>
      <c r="K40" s="16"/>
    </row>
    <row r="41" spans="1:11" ht="14.45">
      <c r="A41" s="16"/>
      <c r="B41" s="25"/>
      <c r="C41" s="16"/>
      <c r="D41" s="16"/>
      <c r="E41" s="16"/>
      <c r="F41" s="17"/>
      <c r="G41" s="16"/>
      <c r="H41" s="16"/>
      <c r="I41" s="17"/>
      <c r="J41" s="16"/>
      <c r="K41" s="16"/>
    </row>
    <row r="42" spans="1:11" ht="14.45">
      <c r="A42" s="16"/>
      <c r="B42" s="25"/>
      <c r="C42" s="16"/>
      <c r="D42" s="16"/>
      <c r="E42" s="16"/>
      <c r="F42" s="17"/>
      <c r="G42" s="16"/>
      <c r="H42" s="16"/>
      <c r="I42" s="17"/>
      <c r="J42" s="16"/>
      <c r="K42" s="16"/>
    </row>
    <row r="43" spans="1:11" ht="14.45">
      <c r="A43" s="16"/>
      <c r="B43" s="25"/>
      <c r="C43" s="16"/>
      <c r="D43" s="16"/>
      <c r="E43" s="16"/>
      <c r="F43" s="17"/>
      <c r="G43" s="16"/>
      <c r="H43" s="16"/>
      <c r="I43" s="17"/>
      <c r="J43" s="16"/>
      <c r="K43" s="16"/>
    </row>
    <row r="44" spans="1:11" ht="14.45">
      <c r="A44" s="16"/>
      <c r="B44" s="25"/>
      <c r="C44" s="16"/>
      <c r="D44" s="16"/>
      <c r="E44" s="16"/>
      <c r="F44" s="17"/>
      <c r="G44" s="16"/>
      <c r="H44" s="16"/>
      <c r="I44" s="17"/>
      <c r="J44" s="16"/>
      <c r="K44" s="16"/>
    </row>
    <row r="45" spans="1:11" ht="14.45">
      <c r="A45" s="16"/>
      <c r="B45" s="25"/>
      <c r="C45" s="16"/>
      <c r="D45" s="16"/>
      <c r="E45" s="16"/>
      <c r="F45" s="17"/>
      <c r="G45" s="16"/>
      <c r="H45" s="16"/>
      <c r="I45" s="17"/>
      <c r="J45" s="16"/>
      <c r="K45" s="16"/>
    </row>
    <row r="46" spans="1:11" ht="14.45">
      <c r="A46" s="16"/>
      <c r="B46" s="25"/>
      <c r="C46" s="16"/>
      <c r="D46" s="16"/>
      <c r="E46" s="16"/>
      <c r="F46" s="17"/>
      <c r="G46" s="16"/>
      <c r="H46" s="16"/>
      <c r="I46" s="17"/>
      <c r="J46" s="16"/>
      <c r="K46" s="16"/>
    </row>
    <row r="47" spans="1:11" ht="14.45">
      <c r="A47" s="16"/>
      <c r="B47" s="25"/>
      <c r="C47" s="16"/>
      <c r="D47" s="16"/>
      <c r="E47" s="16"/>
      <c r="F47" s="17"/>
      <c r="G47" s="16"/>
      <c r="H47" s="16"/>
      <c r="I47" s="17"/>
      <c r="J47" s="16"/>
      <c r="K47" s="16"/>
    </row>
    <row r="48" spans="1:11" ht="14.45">
      <c r="A48" s="16"/>
      <c r="B48" s="25"/>
      <c r="C48" s="16"/>
      <c r="D48" s="16"/>
      <c r="E48" s="16"/>
      <c r="F48" s="17"/>
      <c r="G48" s="16"/>
      <c r="H48" s="16"/>
      <c r="I48" s="17"/>
      <c r="J48" s="16"/>
      <c r="K48" s="16"/>
    </row>
    <row r="49" spans="1:11" ht="14.45">
      <c r="A49" s="16"/>
      <c r="B49" s="25"/>
      <c r="C49" s="16"/>
      <c r="D49" s="16"/>
      <c r="E49" s="16"/>
      <c r="F49" s="17"/>
      <c r="G49" s="16"/>
      <c r="H49" s="16"/>
      <c r="I49" s="17"/>
      <c r="J49" s="16"/>
      <c r="K49" s="16"/>
    </row>
    <row r="50" spans="1:11" ht="14.45">
      <c r="A50" s="16"/>
      <c r="B50" s="25"/>
      <c r="C50" s="16"/>
      <c r="D50" s="16"/>
      <c r="E50" s="16"/>
      <c r="F50" s="17"/>
      <c r="G50" s="16"/>
      <c r="H50" s="16"/>
      <c r="I50" s="17"/>
      <c r="J50" s="16"/>
      <c r="K50" s="16"/>
    </row>
    <row r="51" spans="1:11" ht="14.45">
      <c r="A51" s="16"/>
      <c r="B51" s="25"/>
      <c r="C51" s="16"/>
      <c r="D51" s="16"/>
      <c r="E51" s="16"/>
      <c r="F51" s="17"/>
      <c r="G51" s="16"/>
      <c r="H51" s="16"/>
      <c r="I51" s="17"/>
      <c r="J51" s="16"/>
      <c r="K51" s="16"/>
    </row>
    <row r="52" spans="1:11" ht="14.45">
      <c r="A52" s="16"/>
      <c r="B52" s="25"/>
      <c r="C52" s="16"/>
      <c r="D52" s="16"/>
      <c r="E52" s="16"/>
      <c r="F52" s="17"/>
      <c r="G52" s="16"/>
      <c r="H52" s="16"/>
      <c r="I52" s="17"/>
      <c r="J52" s="16"/>
      <c r="K52" s="16"/>
    </row>
    <row r="53" spans="1:11" ht="14.45">
      <c r="A53" s="16"/>
      <c r="B53" s="25"/>
      <c r="C53" s="16"/>
      <c r="D53" s="16"/>
      <c r="E53" s="16"/>
      <c r="F53" s="17"/>
      <c r="G53" s="16"/>
      <c r="H53" s="16"/>
      <c r="I53" s="17"/>
      <c r="J53" s="16"/>
      <c r="K53" s="16"/>
    </row>
    <row r="54" spans="1:11" ht="14.45">
      <c r="A54" s="16"/>
      <c r="B54" s="25"/>
      <c r="C54" s="16"/>
      <c r="D54" s="16"/>
      <c r="E54" s="16"/>
      <c r="F54" s="17"/>
      <c r="G54" s="16"/>
      <c r="H54" s="16"/>
      <c r="I54" s="17"/>
      <c r="J54" s="16"/>
      <c r="K54" s="16"/>
    </row>
    <row r="55" spans="1:11" ht="14.45">
      <c r="A55" s="16"/>
      <c r="B55" s="25"/>
      <c r="C55" s="16"/>
      <c r="D55" s="16"/>
      <c r="E55" s="16"/>
      <c r="F55" s="17"/>
      <c r="G55" s="16"/>
      <c r="H55" s="16"/>
      <c r="I55" s="17"/>
      <c r="J55" s="16"/>
      <c r="K55" s="16"/>
    </row>
    <row r="56" spans="1:11" ht="14.45">
      <c r="A56" s="16"/>
      <c r="B56" s="25"/>
      <c r="C56" s="16"/>
      <c r="D56" s="16"/>
      <c r="E56" s="16"/>
      <c r="F56" s="17"/>
      <c r="G56" s="16"/>
      <c r="H56" s="16"/>
      <c r="I56" s="17"/>
      <c r="J56" s="16"/>
      <c r="K56" s="16"/>
    </row>
    <row r="57" spans="1:11" ht="14.45">
      <c r="A57" s="16"/>
      <c r="B57" s="25"/>
      <c r="C57" s="16"/>
      <c r="D57" s="16"/>
      <c r="E57" s="16"/>
      <c r="F57" s="17"/>
      <c r="G57" s="16"/>
      <c r="H57" s="16"/>
      <c r="I57" s="17"/>
      <c r="J57" s="16"/>
      <c r="K57" s="16"/>
    </row>
    <row r="58" spans="1:11" ht="14.45">
      <c r="A58" s="16"/>
      <c r="B58" s="25"/>
      <c r="C58" s="16"/>
      <c r="D58" s="16"/>
      <c r="E58" s="16"/>
      <c r="F58" s="17"/>
      <c r="G58" s="16"/>
      <c r="H58" s="16"/>
      <c r="I58" s="17"/>
      <c r="J58" s="16"/>
      <c r="K58" s="16"/>
    </row>
    <row r="59" spans="1:11" ht="14.45">
      <c r="A59" s="16"/>
      <c r="B59" s="25"/>
      <c r="C59" s="16"/>
      <c r="D59" s="16"/>
      <c r="E59" s="16"/>
      <c r="F59" s="17"/>
      <c r="G59" s="16"/>
      <c r="H59" s="16"/>
      <c r="I59" s="17"/>
      <c r="J59" s="16"/>
      <c r="K59" s="16"/>
    </row>
    <row r="60" spans="1:11" ht="14.45">
      <c r="A60" s="16"/>
      <c r="B60" s="25"/>
      <c r="C60" s="16"/>
      <c r="D60" s="16"/>
      <c r="E60" s="16"/>
      <c r="F60" s="17"/>
      <c r="G60" s="16"/>
      <c r="H60" s="16"/>
      <c r="I60" s="17"/>
      <c r="J60" s="16"/>
      <c r="K60" s="16"/>
    </row>
    <row r="61" spans="1:11" ht="14.45">
      <c r="A61" s="16"/>
      <c r="B61" s="25"/>
      <c r="C61" s="16"/>
      <c r="D61" s="16"/>
      <c r="E61" s="16"/>
      <c r="F61" s="17"/>
      <c r="G61" s="16"/>
      <c r="H61" s="16"/>
      <c r="I61" s="17"/>
      <c r="J61" s="16"/>
      <c r="K61" s="16"/>
    </row>
    <row r="62" spans="1:11" ht="14.45">
      <c r="A62" s="16"/>
      <c r="B62" s="25"/>
      <c r="C62" s="16"/>
      <c r="D62" s="16"/>
      <c r="E62" s="16"/>
      <c r="F62" s="17"/>
      <c r="G62" s="16"/>
      <c r="H62" s="16"/>
      <c r="I62" s="17"/>
      <c r="J62" s="16"/>
      <c r="K62" s="16"/>
    </row>
    <row r="63" spans="1:11" ht="14.45">
      <c r="A63" s="16"/>
      <c r="B63" s="25"/>
      <c r="C63" s="16"/>
      <c r="D63" s="16"/>
      <c r="E63" s="16"/>
      <c r="F63" s="17"/>
      <c r="G63" s="16"/>
      <c r="H63" s="16"/>
      <c r="I63" s="17"/>
      <c r="J63" s="16"/>
      <c r="K63" s="16"/>
    </row>
    <row r="64" spans="1:11" ht="14.45">
      <c r="A64" s="16"/>
      <c r="B64" s="25"/>
      <c r="C64" s="16"/>
      <c r="D64" s="16"/>
      <c r="E64" s="16"/>
      <c r="F64" s="17"/>
      <c r="G64" s="16"/>
      <c r="H64" s="16"/>
      <c r="I64" s="17"/>
      <c r="J64" s="16"/>
      <c r="K64" s="16"/>
    </row>
    <row r="65" spans="1:11" ht="14.45">
      <c r="A65" s="16"/>
      <c r="B65" s="25"/>
      <c r="C65" s="16"/>
      <c r="D65" s="16"/>
      <c r="E65" s="16"/>
      <c r="F65" s="17"/>
      <c r="G65" s="16"/>
      <c r="H65" s="16"/>
      <c r="I65" s="17"/>
      <c r="J65" s="16"/>
      <c r="K65" s="16"/>
    </row>
    <row r="66" spans="1:11" ht="14.45">
      <c r="A66" s="16"/>
      <c r="B66" s="25"/>
      <c r="C66" s="16"/>
      <c r="D66" s="16"/>
      <c r="E66" s="16"/>
      <c r="F66" s="17"/>
      <c r="G66" s="16"/>
      <c r="H66" s="16"/>
      <c r="I66" s="17"/>
      <c r="J66" s="16"/>
      <c r="K66" s="16"/>
    </row>
    <row r="67" spans="1:11" ht="14.45">
      <c r="A67" s="16"/>
      <c r="B67" s="25"/>
      <c r="C67" s="16"/>
      <c r="D67" s="16"/>
      <c r="E67" s="16"/>
      <c r="F67" s="17"/>
      <c r="G67" s="16"/>
      <c r="H67" s="16"/>
      <c r="I67" s="17"/>
      <c r="J67" s="16"/>
      <c r="K67" s="16"/>
    </row>
    <row r="68" spans="1:11" ht="14.45">
      <c r="A68" s="16"/>
      <c r="B68" s="25"/>
      <c r="C68" s="16"/>
      <c r="D68" s="16"/>
      <c r="E68" s="16"/>
      <c r="F68" s="17"/>
      <c r="G68" s="16"/>
      <c r="H68" s="16"/>
      <c r="I68" s="17"/>
      <c r="J68" s="16"/>
      <c r="K68" s="16"/>
    </row>
    <row r="69" spans="1:11" ht="14.45">
      <c r="A69" s="16"/>
      <c r="B69" s="25"/>
      <c r="C69" s="16"/>
      <c r="D69" s="16"/>
      <c r="E69" s="16"/>
      <c r="F69" s="17"/>
      <c r="G69" s="16"/>
      <c r="H69" s="16"/>
      <c r="I69" s="17"/>
      <c r="J69" s="16"/>
      <c r="K69" s="16"/>
    </row>
    <row r="70" spans="1:11" ht="14.45">
      <c r="A70" s="16"/>
      <c r="B70" s="25"/>
      <c r="C70" s="16"/>
      <c r="D70" s="16"/>
      <c r="E70" s="16"/>
      <c r="F70" s="17"/>
      <c r="G70" s="16"/>
      <c r="H70" s="16"/>
      <c r="I70" s="17"/>
      <c r="J70" s="16"/>
      <c r="K70" s="16"/>
    </row>
    <row r="71" spans="1:11" ht="14.45">
      <c r="A71" s="16"/>
      <c r="B71" s="25"/>
      <c r="C71" s="16"/>
      <c r="D71" s="16"/>
      <c r="E71" s="16"/>
      <c r="F71" s="17"/>
      <c r="G71" s="16"/>
      <c r="H71" s="16"/>
      <c r="I71" s="17"/>
      <c r="J71" s="16"/>
      <c r="K71" s="16"/>
    </row>
    <row r="72" spans="1:11" ht="14.45">
      <c r="A72" s="16"/>
      <c r="B72" s="25"/>
      <c r="C72" s="16"/>
      <c r="D72" s="16"/>
      <c r="E72" s="16"/>
      <c r="F72" s="17"/>
      <c r="G72" s="16"/>
      <c r="H72" s="16"/>
      <c r="I72" s="17"/>
      <c r="J72" s="16"/>
      <c r="K72" s="16"/>
    </row>
    <row r="73" spans="1:11" ht="14.45">
      <c r="A73" s="16"/>
      <c r="B73" s="25"/>
      <c r="C73" s="16"/>
      <c r="D73" s="16"/>
      <c r="E73" s="16"/>
      <c r="F73" s="17"/>
      <c r="G73" s="16"/>
      <c r="H73" s="16"/>
      <c r="I73" s="17"/>
      <c r="J73" s="16"/>
      <c r="K73" s="16"/>
    </row>
    <row r="74" spans="1:11" ht="14.45">
      <c r="A74" s="16"/>
      <c r="B74" s="25"/>
      <c r="C74" s="16"/>
      <c r="D74" s="16"/>
      <c r="E74" s="16"/>
      <c r="F74" s="17"/>
      <c r="G74" s="16"/>
      <c r="H74" s="16"/>
      <c r="I74" s="17"/>
      <c r="J74" s="16"/>
      <c r="K74" s="16"/>
    </row>
    <row r="75" spans="1:11" ht="14.45">
      <c r="A75" s="16"/>
      <c r="B75" s="25"/>
      <c r="C75" s="16"/>
      <c r="D75" s="16"/>
      <c r="E75" s="16"/>
      <c r="F75" s="17"/>
      <c r="G75" s="16"/>
      <c r="H75" s="16"/>
      <c r="I75" s="17"/>
      <c r="J75" s="16"/>
      <c r="K75" s="16"/>
    </row>
    <row r="76" spans="1:11" ht="14.45">
      <c r="A76" s="16"/>
      <c r="B76" s="25"/>
      <c r="C76" s="16"/>
      <c r="D76" s="16"/>
      <c r="E76" s="16"/>
      <c r="F76" s="17"/>
      <c r="G76" s="16"/>
      <c r="H76" s="16"/>
      <c r="I76" s="17"/>
      <c r="J76" s="16"/>
      <c r="K76" s="16"/>
    </row>
    <row r="77" spans="1:11" ht="14.45">
      <c r="A77" s="16"/>
      <c r="B77" s="25"/>
      <c r="C77" s="16"/>
      <c r="D77" s="16"/>
      <c r="E77" s="16"/>
      <c r="F77" s="17"/>
      <c r="G77" s="16"/>
      <c r="H77" s="16"/>
      <c r="I77" s="17"/>
      <c r="J77" s="16"/>
      <c r="K77" s="16"/>
    </row>
    <row r="78" spans="1:11" ht="14.45">
      <c r="A78" s="16"/>
      <c r="B78" s="25"/>
      <c r="C78" s="16"/>
      <c r="D78" s="16"/>
      <c r="E78" s="16"/>
      <c r="F78" s="17"/>
      <c r="G78" s="16"/>
      <c r="H78" s="16"/>
      <c r="I78" s="17"/>
      <c r="J78" s="16"/>
      <c r="K78" s="16"/>
    </row>
    <row r="79" spans="1:11" ht="14.45">
      <c r="A79" s="16"/>
      <c r="B79" s="25"/>
      <c r="C79" s="16"/>
      <c r="D79" s="16"/>
      <c r="E79" s="16"/>
      <c r="F79" s="17"/>
      <c r="G79" s="16"/>
      <c r="H79" s="16"/>
      <c r="I79" s="17"/>
      <c r="J79" s="16"/>
      <c r="K79" s="16"/>
    </row>
    <row r="80" spans="1:11" ht="14.45">
      <c r="A80" s="16"/>
      <c r="B80" s="25"/>
      <c r="C80" s="16"/>
      <c r="D80" s="16"/>
      <c r="E80" s="16"/>
      <c r="F80" s="17"/>
      <c r="G80" s="16"/>
      <c r="H80" s="16"/>
      <c r="I80" s="17"/>
      <c r="J80" s="16"/>
      <c r="K80" s="16"/>
    </row>
    <row r="81" spans="1:11" ht="14.45">
      <c r="A81" s="16"/>
      <c r="B81" s="25"/>
      <c r="C81" s="16"/>
      <c r="D81" s="16"/>
      <c r="E81" s="16"/>
      <c r="F81" s="17"/>
      <c r="G81" s="16"/>
      <c r="H81" s="16"/>
      <c r="I81" s="17"/>
      <c r="J81" s="16"/>
      <c r="K81" s="16"/>
    </row>
    <row r="82" spans="1:11" ht="14.45">
      <c r="A82" s="16"/>
      <c r="B82" s="25"/>
      <c r="C82" s="16"/>
      <c r="D82" s="16"/>
      <c r="E82" s="16"/>
      <c r="F82" s="17"/>
      <c r="G82" s="16"/>
      <c r="H82" s="16"/>
      <c r="I82" s="17"/>
      <c r="J82" s="16"/>
      <c r="K82" s="16"/>
    </row>
    <row r="83" spans="1:11" ht="14.45">
      <c r="A83" s="16"/>
      <c r="B83" s="25"/>
      <c r="C83" s="16"/>
      <c r="D83" s="16"/>
      <c r="E83" s="16"/>
      <c r="F83" s="17"/>
      <c r="G83" s="16"/>
      <c r="H83" s="16"/>
      <c r="I83" s="17"/>
      <c r="J83" s="16"/>
      <c r="K83" s="16"/>
    </row>
    <row r="84" spans="1:11" ht="14.45">
      <c r="A84" s="16"/>
      <c r="B84" s="25"/>
      <c r="C84" s="16"/>
      <c r="D84" s="16"/>
      <c r="E84" s="16"/>
      <c r="F84" s="17"/>
      <c r="G84" s="16"/>
      <c r="H84" s="16"/>
      <c r="I84" s="17"/>
      <c r="J84" s="16"/>
      <c r="K84" s="16"/>
    </row>
    <row r="85" spans="1:11" ht="14.45">
      <c r="A85" s="16"/>
      <c r="B85" s="25"/>
      <c r="C85" s="16"/>
      <c r="D85" s="16"/>
      <c r="E85" s="16"/>
      <c r="F85" s="17"/>
      <c r="G85" s="16"/>
      <c r="H85" s="16"/>
      <c r="I85" s="17"/>
      <c r="J85" s="16"/>
      <c r="K85" s="16"/>
    </row>
    <row r="86" spans="1:11" ht="14.45">
      <c r="A86" s="16"/>
      <c r="B86" s="25"/>
      <c r="C86" s="16"/>
      <c r="D86" s="16"/>
      <c r="E86" s="16"/>
      <c r="F86" s="17"/>
      <c r="G86" s="16"/>
      <c r="H86" s="16"/>
      <c r="I86" s="17"/>
      <c r="J86" s="16"/>
      <c r="K86" s="16"/>
    </row>
    <row r="87" spans="1:11" ht="14.45">
      <c r="A87" s="16"/>
      <c r="B87" s="25"/>
      <c r="C87" s="16"/>
      <c r="D87" s="16"/>
      <c r="E87" s="16"/>
      <c r="F87" s="17"/>
      <c r="G87" s="16"/>
      <c r="H87" s="16"/>
      <c r="I87" s="17"/>
      <c r="J87" s="16"/>
      <c r="K87" s="16"/>
    </row>
    <row r="88" spans="1:11" ht="14.45">
      <c r="A88" s="16"/>
      <c r="B88" s="25"/>
      <c r="C88" s="16"/>
      <c r="D88" s="16"/>
      <c r="E88" s="16"/>
      <c r="F88" s="17"/>
      <c r="G88" s="16"/>
      <c r="H88" s="16"/>
      <c r="I88" s="17"/>
      <c r="J88" s="16"/>
      <c r="K88" s="16"/>
    </row>
    <row r="89" spans="1:11" ht="14.45">
      <c r="A89" s="16"/>
      <c r="B89" s="25"/>
      <c r="C89" s="16"/>
      <c r="D89" s="16"/>
      <c r="E89" s="16"/>
      <c r="F89" s="17"/>
      <c r="G89" s="16"/>
      <c r="H89" s="16"/>
      <c r="I89" s="17"/>
      <c r="J89" s="16"/>
      <c r="K89" s="16"/>
    </row>
    <row r="90" spans="1:11" ht="14.45">
      <c r="A90" s="16"/>
      <c r="B90" s="25"/>
      <c r="C90" s="16"/>
      <c r="D90" s="16"/>
      <c r="E90" s="16"/>
      <c r="F90" s="17"/>
      <c r="G90" s="16"/>
      <c r="H90" s="16"/>
      <c r="I90" s="17"/>
      <c r="J90" s="16"/>
      <c r="K90" s="16"/>
    </row>
    <row r="91" spans="1:11" ht="14.45">
      <c r="A91" s="16"/>
      <c r="B91" s="25"/>
      <c r="C91" s="16"/>
      <c r="D91" s="16"/>
      <c r="E91" s="16"/>
      <c r="F91" s="17"/>
      <c r="G91" s="16"/>
      <c r="H91" s="16"/>
      <c r="I91" s="17"/>
      <c r="J91" s="16"/>
      <c r="K91" s="16"/>
    </row>
    <row r="92" spans="1:11" ht="14.45">
      <c r="A92" s="16"/>
      <c r="B92" s="25"/>
      <c r="C92" s="16"/>
      <c r="D92" s="16"/>
      <c r="E92" s="16"/>
      <c r="F92" s="17"/>
      <c r="G92" s="16"/>
      <c r="H92" s="16"/>
      <c r="I92" s="17"/>
      <c r="J92" s="16"/>
      <c r="K92" s="16"/>
    </row>
    <row r="93" spans="1:11" ht="14.45">
      <c r="A93" s="16"/>
      <c r="B93" s="25"/>
      <c r="C93" s="16"/>
      <c r="D93" s="16"/>
      <c r="E93" s="16"/>
      <c r="F93" s="17"/>
      <c r="G93" s="16"/>
      <c r="H93" s="16"/>
      <c r="I93" s="17"/>
      <c r="J93" s="16"/>
      <c r="K93" s="16"/>
    </row>
    <row r="94" spans="1:11" ht="14.45">
      <c r="A94" s="16"/>
      <c r="B94" s="25"/>
      <c r="C94" s="16"/>
      <c r="D94" s="16"/>
      <c r="E94" s="16"/>
      <c r="F94" s="17"/>
      <c r="G94" s="16"/>
      <c r="H94" s="16"/>
      <c r="I94" s="17"/>
      <c r="J94" s="16"/>
      <c r="K94" s="16"/>
    </row>
    <row r="95" spans="1:11" ht="14.45">
      <c r="A95" s="16"/>
      <c r="B95" s="25"/>
      <c r="C95" s="16"/>
      <c r="D95" s="16"/>
      <c r="E95" s="16"/>
      <c r="F95" s="17"/>
      <c r="G95" s="16"/>
      <c r="H95" s="16"/>
      <c r="I95" s="17"/>
      <c r="J95" s="16"/>
      <c r="K95" s="16"/>
    </row>
    <row r="96" spans="1:11" ht="14.45">
      <c r="A96" s="16"/>
      <c r="B96" s="25"/>
      <c r="C96" s="16"/>
      <c r="D96" s="16"/>
      <c r="E96" s="16"/>
      <c r="F96" s="17"/>
      <c r="G96" s="16"/>
      <c r="H96" s="16"/>
      <c r="I96" s="17"/>
      <c r="J96" s="16"/>
      <c r="K96" s="16"/>
    </row>
    <row r="97" spans="1:11" ht="14.45">
      <c r="A97" s="16"/>
      <c r="B97" s="25"/>
      <c r="C97" s="16"/>
      <c r="D97" s="16"/>
      <c r="E97" s="16"/>
      <c r="F97" s="17"/>
      <c r="G97" s="16"/>
      <c r="H97" s="16"/>
      <c r="I97" s="17"/>
      <c r="J97" s="16"/>
      <c r="K97" s="16"/>
    </row>
    <row r="98" spans="1:11" ht="14.45">
      <c r="A98" s="16"/>
      <c r="B98" s="25"/>
      <c r="C98" s="16"/>
      <c r="D98" s="16"/>
      <c r="E98" s="16"/>
      <c r="F98" s="17"/>
      <c r="G98" s="16"/>
      <c r="H98" s="16"/>
      <c r="I98" s="17"/>
      <c r="J98" s="16"/>
      <c r="K98" s="16"/>
    </row>
    <row r="99" spans="1:11" ht="14.45">
      <c r="A99" s="16"/>
      <c r="B99" s="25"/>
      <c r="C99" s="16"/>
      <c r="D99" s="16"/>
      <c r="E99" s="16"/>
      <c r="F99" s="17"/>
      <c r="G99" s="16"/>
      <c r="H99" s="16"/>
      <c r="I99" s="17"/>
      <c r="J99" s="16"/>
      <c r="K99" s="16"/>
    </row>
    <row r="100" spans="1:11" ht="14.45">
      <c r="A100" s="16"/>
      <c r="B100" s="25"/>
      <c r="C100" s="16"/>
      <c r="D100" s="16"/>
      <c r="E100" s="16"/>
      <c r="F100" s="17"/>
      <c r="G100" s="16"/>
      <c r="H100" s="16"/>
      <c r="I100" s="17"/>
      <c r="J100" s="16"/>
      <c r="K100" s="16"/>
    </row>
    <row r="101" spans="1:11" ht="14.45">
      <c r="A101" s="16"/>
      <c r="B101" s="25"/>
      <c r="C101" s="16"/>
      <c r="D101" s="16"/>
      <c r="E101" s="16"/>
      <c r="F101" s="17"/>
      <c r="G101" s="16"/>
      <c r="H101" s="16"/>
      <c r="I101" s="17"/>
      <c r="J101" s="16"/>
      <c r="K101" s="16"/>
    </row>
    <row r="102" spans="1:11" ht="14.45">
      <c r="A102" s="16"/>
      <c r="B102" s="25"/>
      <c r="C102" s="16"/>
      <c r="D102" s="16"/>
      <c r="E102" s="16"/>
      <c r="F102" s="17"/>
      <c r="G102" s="16"/>
      <c r="H102" s="16"/>
      <c r="I102" s="17"/>
      <c r="J102" s="16"/>
      <c r="K102" s="16"/>
    </row>
    <row r="103" spans="1:11" ht="14.45">
      <c r="A103" s="16"/>
      <c r="B103" s="25"/>
      <c r="C103" s="16"/>
      <c r="D103" s="16"/>
      <c r="E103" s="16"/>
      <c r="F103" s="17"/>
      <c r="G103" s="16"/>
      <c r="H103" s="16"/>
      <c r="I103" s="17"/>
      <c r="J103" s="16"/>
      <c r="K103" s="16"/>
    </row>
    <row r="104" spans="1:11" ht="14.45">
      <c r="A104" s="16"/>
      <c r="B104" s="25"/>
      <c r="C104" s="16"/>
      <c r="D104" s="16"/>
      <c r="E104" s="16"/>
      <c r="F104" s="17"/>
      <c r="G104" s="16"/>
      <c r="H104" s="16"/>
      <c r="I104" s="17"/>
      <c r="J104" s="16"/>
      <c r="K104" s="16"/>
    </row>
    <row r="105" spans="1:11" ht="14.45">
      <c r="A105" s="16"/>
      <c r="B105" s="25"/>
      <c r="C105" s="16"/>
      <c r="D105" s="16"/>
      <c r="E105" s="16"/>
      <c r="F105" s="17"/>
      <c r="G105" s="16"/>
      <c r="H105" s="16"/>
      <c r="I105" s="17"/>
      <c r="J105" s="16"/>
      <c r="K105" s="16"/>
    </row>
    <row r="106" spans="1:11" ht="14.45">
      <c r="A106" s="16"/>
      <c r="B106" s="25"/>
      <c r="C106" s="16"/>
      <c r="D106" s="16"/>
      <c r="E106" s="16"/>
      <c r="F106" s="17"/>
      <c r="G106" s="16"/>
      <c r="H106" s="16"/>
      <c r="I106" s="17"/>
      <c r="J106" s="16"/>
      <c r="K106" s="16"/>
    </row>
    <row r="107" spans="1:11" ht="14.45">
      <c r="A107" s="16"/>
      <c r="B107" s="25"/>
      <c r="C107" s="16"/>
      <c r="D107" s="16"/>
      <c r="E107" s="16"/>
      <c r="F107" s="17"/>
      <c r="G107" s="16"/>
      <c r="H107" s="16"/>
      <c r="I107" s="17"/>
      <c r="J107" s="16"/>
      <c r="K107" s="16"/>
    </row>
    <row r="108" spans="1:11" ht="14.45">
      <c r="A108" s="16"/>
      <c r="B108" s="25"/>
      <c r="C108" s="16"/>
      <c r="D108" s="16"/>
      <c r="E108" s="16"/>
      <c r="F108" s="17"/>
      <c r="G108" s="16"/>
      <c r="H108" s="16"/>
      <c r="I108" s="17"/>
      <c r="J108" s="16"/>
      <c r="K108" s="16"/>
    </row>
    <row r="109" spans="1:11" ht="14.45">
      <c r="A109" s="16"/>
      <c r="B109" s="25"/>
      <c r="C109" s="16"/>
      <c r="D109" s="16"/>
      <c r="E109" s="16"/>
      <c r="F109" s="17"/>
      <c r="G109" s="16"/>
      <c r="H109" s="16"/>
      <c r="I109" s="17"/>
      <c r="J109" s="16"/>
      <c r="K109" s="16"/>
    </row>
    <row r="110" spans="1:11" ht="14.45">
      <c r="A110" s="16"/>
      <c r="B110" s="25"/>
      <c r="C110" s="16"/>
      <c r="D110" s="16"/>
      <c r="E110" s="16"/>
      <c r="F110" s="17"/>
      <c r="G110" s="16"/>
      <c r="H110" s="16"/>
      <c r="I110" s="17"/>
      <c r="J110" s="16"/>
      <c r="K110" s="16"/>
    </row>
    <row r="111" spans="1:11" ht="14.45">
      <c r="A111" s="16"/>
      <c r="B111" s="25"/>
      <c r="C111" s="16"/>
      <c r="D111" s="16"/>
      <c r="E111" s="16"/>
      <c r="F111" s="17"/>
      <c r="G111" s="16"/>
      <c r="H111" s="16"/>
      <c r="I111" s="17"/>
      <c r="J111" s="16"/>
      <c r="K111" s="16"/>
    </row>
    <row r="112" spans="1:11" ht="14.45">
      <c r="A112" s="16"/>
      <c r="B112" s="25"/>
      <c r="C112" s="16"/>
      <c r="D112" s="16"/>
      <c r="E112" s="16"/>
      <c r="F112" s="17"/>
      <c r="G112" s="16"/>
      <c r="H112" s="16"/>
      <c r="I112" s="17"/>
      <c r="J112" s="16"/>
      <c r="K112" s="16"/>
    </row>
    <row r="113" spans="1:11" ht="14.45">
      <c r="A113" s="16"/>
      <c r="B113" s="25"/>
      <c r="C113" s="16"/>
      <c r="D113" s="16"/>
      <c r="E113" s="16"/>
      <c r="F113" s="17"/>
      <c r="G113" s="16"/>
      <c r="H113" s="16"/>
      <c r="I113" s="17"/>
      <c r="J113" s="16"/>
      <c r="K113" s="16"/>
    </row>
    <row r="114" spans="1:11" ht="14.45">
      <c r="A114" s="16"/>
      <c r="B114" s="25"/>
      <c r="C114" s="16"/>
      <c r="D114" s="16"/>
      <c r="E114" s="16"/>
      <c r="F114" s="17"/>
      <c r="G114" s="16"/>
      <c r="H114" s="16"/>
      <c r="I114" s="17"/>
      <c r="J114" s="16"/>
      <c r="K114" s="16"/>
    </row>
    <row r="115" spans="1:11" ht="14.45">
      <c r="A115" s="16"/>
      <c r="B115" s="25"/>
      <c r="C115" s="16"/>
      <c r="D115" s="16"/>
      <c r="E115" s="16"/>
      <c r="F115" s="17"/>
      <c r="G115" s="16"/>
      <c r="H115" s="16"/>
      <c r="I115" s="17"/>
      <c r="J115" s="16"/>
      <c r="K115" s="16"/>
    </row>
    <row r="116" spans="1:11" ht="14.45">
      <c r="A116" s="16"/>
      <c r="B116" s="25"/>
      <c r="C116" s="16"/>
      <c r="D116" s="16"/>
      <c r="E116" s="16"/>
      <c r="F116" s="17"/>
      <c r="G116" s="16"/>
      <c r="H116" s="16"/>
      <c r="I116" s="17"/>
      <c r="J116" s="16"/>
      <c r="K116" s="16"/>
    </row>
    <row r="117" spans="1:11" ht="14.45">
      <c r="A117" s="16"/>
      <c r="B117" s="25"/>
      <c r="C117" s="16"/>
      <c r="D117" s="16"/>
      <c r="E117" s="16"/>
      <c r="F117" s="17"/>
      <c r="G117" s="16"/>
      <c r="H117" s="16"/>
      <c r="I117" s="17"/>
      <c r="J117" s="16"/>
      <c r="K117" s="16"/>
    </row>
    <row r="118" spans="1:11" ht="14.45">
      <c r="A118" s="16"/>
      <c r="B118" s="25"/>
      <c r="C118" s="16"/>
      <c r="D118" s="16"/>
      <c r="E118" s="16"/>
      <c r="F118" s="17"/>
      <c r="G118" s="16"/>
      <c r="H118" s="16"/>
      <c r="I118" s="17"/>
      <c r="J118" s="16"/>
      <c r="K118" s="16"/>
    </row>
    <row r="119" spans="1:11" ht="14.45">
      <c r="A119" s="16"/>
      <c r="B119" s="25"/>
      <c r="C119" s="16"/>
      <c r="D119" s="16"/>
      <c r="E119" s="16"/>
      <c r="F119" s="17"/>
      <c r="G119" s="16"/>
      <c r="H119" s="16"/>
      <c r="I119" s="17"/>
      <c r="J119" s="16"/>
      <c r="K119" s="16"/>
    </row>
    <row r="120" spans="1:11" ht="14.45">
      <c r="A120" s="16"/>
      <c r="B120" s="25"/>
      <c r="C120" s="16"/>
      <c r="D120" s="16"/>
      <c r="E120" s="16"/>
      <c r="F120" s="17"/>
      <c r="G120" s="16"/>
      <c r="H120" s="16"/>
      <c r="I120" s="17"/>
      <c r="J120" s="16"/>
      <c r="K120" s="16"/>
    </row>
    <row r="121" spans="1:11" ht="14.45">
      <c r="A121" s="16"/>
      <c r="B121" s="25"/>
      <c r="C121" s="16"/>
      <c r="D121" s="16"/>
      <c r="E121" s="16"/>
      <c r="F121" s="17"/>
      <c r="G121" s="16"/>
      <c r="H121" s="16"/>
      <c r="I121" s="17"/>
      <c r="J121" s="16"/>
      <c r="K121" s="16"/>
    </row>
    <row r="122" spans="1:11" ht="14.45">
      <c r="A122" s="16"/>
      <c r="B122" s="25"/>
      <c r="C122" s="16"/>
      <c r="D122" s="16"/>
      <c r="E122" s="16"/>
      <c r="F122" s="17"/>
      <c r="G122" s="16"/>
      <c r="H122" s="16"/>
      <c r="I122" s="17"/>
      <c r="J122" s="16"/>
      <c r="K122" s="16"/>
    </row>
    <row r="123" spans="1:11" ht="14.45">
      <c r="A123" s="16"/>
      <c r="B123" s="25"/>
      <c r="C123" s="16"/>
      <c r="D123" s="16"/>
      <c r="E123" s="16"/>
      <c r="F123" s="17"/>
      <c r="G123" s="16"/>
      <c r="H123" s="16"/>
      <c r="I123" s="17"/>
      <c r="J123" s="16"/>
      <c r="K123" s="16"/>
    </row>
    <row r="124" spans="1:11" ht="14.45">
      <c r="A124" s="16"/>
      <c r="B124" s="25"/>
      <c r="C124" s="16"/>
      <c r="D124" s="16"/>
      <c r="E124" s="16"/>
      <c r="F124" s="17"/>
      <c r="G124" s="16"/>
      <c r="H124" s="16"/>
      <c r="I124" s="17"/>
      <c r="J124" s="16"/>
      <c r="K124" s="16"/>
    </row>
    <row r="125" spans="1:11" ht="14.45">
      <c r="A125" s="16"/>
      <c r="B125" s="25"/>
      <c r="C125" s="16"/>
      <c r="D125" s="16"/>
      <c r="E125" s="16"/>
      <c r="F125" s="17"/>
      <c r="G125" s="16"/>
      <c r="H125" s="16"/>
      <c r="I125" s="17"/>
      <c r="J125" s="16"/>
      <c r="K125" s="16"/>
    </row>
    <row r="126" spans="1:11" ht="14.45">
      <c r="A126" s="16"/>
      <c r="B126" s="25"/>
      <c r="C126" s="16"/>
      <c r="D126" s="16"/>
      <c r="E126" s="16"/>
      <c r="F126" s="17"/>
      <c r="G126" s="16"/>
      <c r="H126" s="16"/>
      <c r="I126" s="17"/>
      <c r="J126" s="16"/>
      <c r="K126" s="16"/>
    </row>
    <row r="127" spans="1:11" ht="14.45">
      <c r="A127" s="16"/>
      <c r="B127" s="25"/>
      <c r="C127" s="16"/>
      <c r="D127" s="16"/>
      <c r="E127" s="16"/>
      <c r="F127" s="17"/>
      <c r="G127" s="16"/>
      <c r="H127" s="16"/>
      <c r="I127" s="17"/>
      <c r="J127" s="16"/>
      <c r="K127" s="16"/>
    </row>
    <row r="128" spans="1:11" ht="14.45">
      <c r="A128" s="16"/>
      <c r="B128" s="25"/>
      <c r="C128" s="16"/>
      <c r="D128" s="16"/>
      <c r="E128" s="16"/>
      <c r="F128" s="17"/>
      <c r="G128" s="16"/>
      <c r="H128" s="16"/>
      <c r="I128" s="17"/>
      <c r="J128" s="16"/>
      <c r="K128" s="16"/>
    </row>
    <row r="129" spans="1:11" ht="14.45">
      <c r="A129" s="16"/>
      <c r="B129" s="25"/>
      <c r="C129" s="16"/>
      <c r="D129" s="16"/>
      <c r="E129" s="16"/>
      <c r="F129" s="17"/>
      <c r="G129" s="16"/>
      <c r="H129" s="16"/>
      <c r="I129" s="17"/>
      <c r="J129" s="16"/>
      <c r="K129" s="16"/>
    </row>
    <row r="130" spans="1:11" ht="14.45">
      <c r="A130" s="16"/>
      <c r="B130" s="25"/>
      <c r="C130" s="16"/>
      <c r="D130" s="16"/>
      <c r="E130" s="16"/>
      <c r="F130" s="17"/>
      <c r="G130" s="16"/>
      <c r="H130" s="16"/>
      <c r="I130" s="17"/>
      <c r="J130" s="16"/>
      <c r="K130" s="16"/>
    </row>
    <row r="131" spans="1:11" ht="14.45">
      <c r="A131" s="16"/>
      <c r="B131" s="25"/>
      <c r="C131" s="16"/>
      <c r="D131" s="16"/>
      <c r="E131" s="16"/>
      <c r="F131" s="17"/>
      <c r="G131" s="16"/>
      <c r="H131" s="16"/>
      <c r="I131" s="17"/>
      <c r="J131" s="16"/>
      <c r="K131" s="16"/>
    </row>
    <row r="132" spans="1:11" ht="14.45">
      <c r="A132" s="16"/>
      <c r="B132" s="25"/>
      <c r="C132" s="16"/>
      <c r="D132" s="16"/>
      <c r="E132" s="16"/>
      <c r="F132" s="17"/>
      <c r="G132" s="16"/>
      <c r="H132" s="16"/>
      <c r="I132" s="17"/>
      <c r="J132" s="16"/>
      <c r="K132" s="16"/>
    </row>
    <row r="133" spans="1:11" ht="14.45">
      <c r="A133" s="16"/>
      <c r="B133" s="25"/>
      <c r="C133" s="16"/>
      <c r="D133" s="16"/>
      <c r="E133" s="16"/>
      <c r="F133" s="17"/>
      <c r="G133" s="16"/>
      <c r="H133" s="16"/>
      <c r="I133" s="17"/>
      <c r="J133" s="16"/>
      <c r="K133" s="16"/>
    </row>
    <row r="134" spans="1:11" ht="14.45">
      <c r="A134" s="16"/>
      <c r="B134" s="25"/>
      <c r="C134" s="16"/>
      <c r="D134" s="16"/>
      <c r="E134" s="16"/>
      <c r="F134" s="17"/>
      <c r="G134" s="16"/>
      <c r="H134" s="16"/>
      <c r="I134" s="17"/>
      <c r="J134" s="16"/>
      <c r="K134" s="16"/>
    </row>
    <row r="135" spans="1:11" ht="14.45">
      <c r="A135" s="16"/>
      <c r="B135" s="25"/>
      <c r="C135" s="16"/>
      <c r="D135" s="16"/>
      <c r="E135" s="16"/>
      <c r="F135" s="17"/>
      <c r="G135" s="16"/>
      <c r="H135" s="16"/>
      <c r="I135" s="17"/>
      <c r="J135" s="16"/>
      <c r="K135" s="16"/>
    </row>
    <row r="136" spans="1:11" ht="14.45">
      <c r="A136" s="16"/>
      <c r="B136" s="25"/>
      <c r="C136" s="16"/>
      <c r="D136" s="16"/>
      <c r="E136" s="16"/>
      <c r="F136" s="17"/>
      <c r="G136" s="16"/>
      <c r="H136" s="16"/>
      <c r="I136" s="17"/>
      <c r="J136" s="16"/>
      <c r="K136" s="16"/>
    </row>
    <row r="137" spans="1:11" ht="14.45">
      <c r="A137" s="16"/>
      <c r="B137" s="25"/>
      <c r="C137" s="16"/>
      <c r="D137" s="16"/>
      <c r="E137" s="16"/>
      <c r="F137" s="17"/>
      <c r="G137" s="16"/>
      <c r="H137" s="16"/>
      <c r="I137" s="17"/>
      <c r="J137" s="16"/>
      <c r="K137" s="16"/>
    </row>
    <row r="138" spans="1:11" ht="14.45">
      <c r="A138" s="16"/>
      <c r="B138" s="25"/>
      <c r="C138" s="16"/>
      <c r="D138" s="16"/>
      <c r="E138" s="16"/>
      <c r="F138" s="17"/>
      <c r="G138" s="16"/>
      <c r="H138" s="16"/>
      <c r="I138" s="17"/>
      <c r="J138" s="16"/>
      <c r="K138" s="16"/>
    </row>
    <row r="139" spans="1:11" ht="14.45">
      <c r="A139" s="16"/>
      <c r="B139" s="25"/>
      <c r="C139" s="16"/>
      <c r="D139" s="16"/>
      <c r="E139" s="16"/>
      <c r="F139" s="17"/>
      <c r="G139" s="16"/>
      <c r="H139" s="16"/>
      <c r="I139" s="17"/>
      <c r="J139" s="16"/>
      <c r="K139" s="16"/>
    </row>
    <row r="140" spans="1:11" ht="14.45">
      <c r="A140" s="16"/>
      <c r="B140" s="25"/>
      <c r="C140" s="16"/>
      <c r="D140" s="16"/>
      <c r="E140" s="16"/>
      <c r="F140" s="17"/>
      <c r="G140" s="16"/>
      <c r="H140" s="16"/>
      <c r="I140" s="17"/>
      <c r="J140" s="16"/>
      <c r="K140" s="16"/>
    </row>
    <row r="141" spans="1:11" ht="14.45">
      <c r="A141" s="16"/>
      <c r="B141" s="25"/>
      <c r="C141" s="16"/>
      <c r="D141" s="16"/>
      <c r="E141" s="16"/>
      <c r="F141" s="17"/>
      <c r="G141" s="16"/>
      <c r="H141" s="16"/>
      <c r="I141" s="17"/>
      <c r="J141" s="16"/>
      <c r="K141" s="16"/>
    </row>
    <row r="142" spans="1:11" ht="14.45">
      <c r="A142" s="16"/>
      <c r="B142" s="25"/>
      <c r="C142" s="16"/>
      <c r="D142" s="16"/>
      <c r="E142" s="16"/>
      <c r="F142" s="17"/>
      <c r="G142" s="16"/>
      <c r="H142" s="16"/>
      <c r="I142" s="17"/>
      <c r="J142" s="16"/>
      <c r="K142" s="16"/>
    </row>
    <row r="143" spans="1:11" ht="14.45">
      <c r="A143" s="16"/>
      <c r="B143" s="25"/>
      <c r="C143" s="16"/>
      <c r="D143" s="16"/>
      <c r="E143" s="16"/>
      <c r="F143" s="17"/>
      <c r="G143" s="16"/>
      <c r="H143" s="16"/>
      <c r="I143" s="17"/>
      <c r="J143" s="16"/>
      <c r="K143" s="16"/>
    </row>
    <row r="144" spans="1:11" ht="14.45">
      <c r="A144" s="16"/>
      <c r="B144" s="25"/>
      <c r="C144" s="16"/>
      <c r="D144" s="16"/>
      <c r="E144" s="16"/>
      <c r="F144" s="17"/>
      <c r="G144" s="16"/>
      <c r="H144" s="16"/>
      <c r="I144" s="17"/>
      <c r="J144" s="16"/>
      <c r="K144" s="16"/>
    </row>
    <row r="145" spans="1:11" ht="14.45">
      <c r="A145" s="16"/>
      <c r="B145" s="25"/>
      <c r="C145" s="16"/>
      <c r="D145" s="16"/>
      <c r="E145" s="16"/>
      <c r="F145" s="17"/>
      <c r="G145" s="16"/>
      <c r="H145" s="16"/>
      <c r="I145" s="17"/>
      <c r="J145" s="16"/>
      <c r="K145" s="16"/>
    </row>
    <row r="146" spans="1:11" ht="14.45">
      <c r="A146" s="16"/>
      <c r="B146" s="25"/>
      <c r="C146" s="16"/>
      <c r="D146" s="16"/>
      <c r="E146" s="16"/>
      <c r="F146" s="17"/>
      <c r="G146" s="16"/>
      <c r="H146" s="16"/>
      <c r="I146" s="17"/>
      <c r="J146" s="16"/>
      <c r="K146" s="16"/>
    </row>
    <row r="147" spans="1:11" ht="14.45">
      <c r="A147" s="16"/>
      <c r="B147" s="25"/>
      <c r="C147" s="16"/>
      <c r="D147" s="16"/>
      <c r="E147" s="16"/>
      <c r="F147" s="17"/>
      <c r="G147" s="16"/>
      <c r="H147" s="16"/>
      <c r="I147" s="17"/>
      <c r="J147" s="16"/>
      <c r="K147" s="16"/>
    </row>
    <row r="148" spans="1:11" ht="14.45">
      <c r="A148" s="16"/>
      <c r="B148" s="25"/>
      <c r="C148" s="16"/>
      <c r="D148" s="16"/>
      <c r="E148" s="16"/>
      <c r="F148" s="17"/>
      <c r="G148" s="16"/>
      <c r="H148" s="16"/>
      <c r="I148" s="17"/>
      <c r="J148" s="16"/>
      <c r="K148" s="16"/>
    </row>
    <row r="149" spans="1:11" ht="14.45">
      <c r="A149" s="16"/>
      <c r="B149" s="25"/>
      <c r="C149" s="16"/>
      <c r="D149" s="16"/>
      <c r="E149" s="16"/>
      <c r="F149" s="17"/>
      <c r="G149" s="16"/>
      <c r="H149" s="16"/>
      <c r="I149" s="17"/>
      <c r="J149" s="16"/>
      <c r="K149" s="16"/>
    </row>
    <row r="150" spans="1:11" ht="14.45">
      <c r="A150" s="16"/>
      <c r="B150" s="25"/>
      <c r="C150" s="16"/>
      <c r="D150" s="16"/>
      <c r="E150" s="16"/>
      <c r="F150" s="17"/>
      <c r="G150" s="16"/>
      <c r="H150" s="16"/>
      <c r="I150" s="17"/>
      <c r="J150" s="16"/>
      <c r="K150" s="16"/>
    </row>
    <row r="151" spans="1:11" ht="14.45">
      <c r="A151" s="16"/>
      <c r="B151" s="25"/>
      <c r="C151" s="16"/>
      <c r="D151" s="16"/>
      <c r="E151" s="16"/>
      <c r="F151" s="17"/>
      <c r="G151" s="16"/>
      <c r="H151" s="16"/>
      <c r="I151" s="17"/>
      <c r="J151" s="16"/>
      <c r="K151" s="16"/>
    </row>
    <row r="152" spans="1:11" ht="14.45">
      <c r="A152" s="16"/>
      <c r="B152" s="25"/>
      <c r="C152" s="16"/>
      <c r="D152" s="16"/>
      <c r="E152" s="16"/>
      <c r="F152" s="17"/>
      <c r="G152" s="16"/>
      <c r="H152" s="16"/>
      <c r="I152" s="17"/>
      <c r="J152" s="16"/>
      <c r="K152" s="16"/>
    </row>
    <row r="153" spans="1:11" ht="14.45">
      <c r="A153" s="16"/>
      <c r="B153" s="25"/>
      <c r="C153" s="16"/>
      <c r="D153" s="16"/>
      <c r="E153" s="16"/>
      <c r="F153" s="17"/>
      <c r="G153" s="16"/>
      <c r="H153" s="16"/>
      <c r="I153" s="17"/>
      <c r="J153" s="16"/>
      <c r="K153" s="16"/>
    </row>
    <row r="154" spans="1:11" ht="14.45">
      <c r="A154" s="16"/>
      <c r="B154" s="25"/>
      <c r="C154" s="16"/>
      <c r="D154" s="16"/>
      <c r="E154" s="16"/>
      <c r="F154" s="17"/>
      <c r="G154" s="16"/>
      <c r="H154" s="16"/>
      <c r="I154" s="17"/>
      <c r="J154" s="16"/>
      <c r="K154" s="16"/>
    </row>
    <row r="155" spans="1:11" ht="14.45">
      <c r="A155" s="16"/>
      <c r="B155" s="25"/>
      <c r="C155" s="16"/>
      <c r="D155" s="16"/>
      <c r="E155" s="16"/>
      <c r="F155" s="17"/>
      <c r="G155" s="16"/>
      <c r="H155" s="16"/>
      <c r="I155" s="17"/>
      <c r="J155" s="16"/>
      <c r="K155" s="16"/>
    </row>
    <row r="156" spans="1:11" ht="14.45">
      <c r="A156" s="16"/>
      <c r="B156" s="25"/>
      <c r="C156" s="16"/>
      <c r="D156" s="16"/>
      <c r="E156" s="16"/>
      <c r="F156" s="17"/>
      <c r="G156" s="16"/>
      <c r="H156" s="16"/>
      <c r="I156" s="17"/>
      <c r="J156" s="16"/>
      <c r="K156" s="16"/>
    </row>
    <row r="157" spans="1:11" ht="14.45">
      <c r="A157" s="16"/>
      <c r="B157" s="25"/>
      <c r="C157" s="16"/>
      <c r="D157" s="16"/>
      <c r="E157" s="16"/>
      <c r="F157" s="17"/>
      <c r="G157" s="16"/>
      <c r="H157" s="16"/>
      <c r="I157" s="17"/>
      <c r="J157" s="16"/>
      <c r="K157" s="16"/>
    </row>
    <row r="158" spans="1:11" ht="14.45">
      <c r="A158" s="16"/>
      <c r="B158" s="25"/>
      <c r="C158" s="16"/>
      <c r="D158" s="16"/>
      <c r="E158" s="16"/>
      <c r="F158" s="17"/>
      <c r="G158" s="16"/>
      <c r="H158" s="16"/>
      <c r="I158" s="17"/>
      <c r="J158" s="16"/>
      <c r="K158" s="16"/>
    </row>
    <row r="159" spans="1:11" ht="14.45">
      <c r="A159" s="16"/>
      <c r="B159" s="25"/>
      <c r="C159" s="16"/>
      <c r="D159" s="16"/>
      <c r="E159" s="16"/>
      <c r="F159" s="17"/>
      <c r="G159" s="16"/>
      <c r="H159" s="16"/>
      <c r="I159" s="17"/>
      <c r="J159" s="16"/>
      <c r="K159" s="16"/>
    </row>
    <row r="160" spans="1:11" ht="14.45">
      <c r="A160" s="16"/>
      <c r="B160" s="25"/>
      <c r="C160" s="16"/>
      <c r="D160" s="16"/>
      <c r="E160" s="16"/>
      <c r="F160" s="17"/>
      <c r="G160" s="16"/>
      <c r="H160" s="16"/>
      <c r="I160" s="17"/>
      <c r="J160" s="16"/>
      <c r="K160" s="16"/>
    </row>
    <row r="161" spans="1:11" ht="14.45">
      <c r="A161" s="16"/>
      <c r="B161" s="25"/>
      <c r="C161" s="16"/>
      <c r="D161" s="16"/>
      <c r="E161" s="16"/>
      <c r="F161" s="17"/>
      <c r="G161" s="16"/>
      <c r="H161" s="16"/>
      <c r="I161" s="17"/>
      <c r="J161" s="16"/>
      <c r="K161" s="16"/>
    </row>
    <row r="162" spans="1:11" ht="14.45">
      <c r="A162" s="16"/>
      <c r="B162" s="25"/>
      <c r="C162" s="16"/>
      <c r="D162" s="16"/>
      <c r="E162" s="16"/>
      <c r="F162" s="17"/>
      <c r="G162" s="16"/>
      <c r="H162" s="16"/>
      <c r="I162" s="17"/>
      <c r="J162" s="16"/>
      <c r="K162" s="16"/>
    </row>
    <row r="163" spans="1:11" ht="14.45">
      <c r="A163" s="16"/>
      <c r="B163" s="25"/>
      <c r="C163" s="16"/>
      <c r="D163" s="16"/>
      <c r="E163" s="16"/>
      <c r="F163" s="17"/>
      <c r="G163" s="16"/>
      <c r="H163" s="16"/>
      <c r="I163" s="17"/>
      <c r="J163" s="16"/>
      <c r="K163" s="16"/>
    </row>
    <row r="164" spans="1:11" ht="14.45">
      <c r="A164" s="16"/>
      <c r="B164" s="25"/>
      <c r="C164" s="16"/>
      <c r="D164" s="16"/>
      <c r="E164" s="16"/>
      <c r="F164" s="17"/>
      <c r="G164" s="16"/>
      <c r="H164" s="16"/>
      <c r="I164" s="17"/>
      <c r="J164" s="16"/>
      <c r="K164" s="16"/>
    </row>
    <row r="165" spans="1:11" ht="14.45">
      <c r="A165" s="16"/>
      <c r="B165" s="25"/>
      <c r="C165" s="16"/>
      <c r="D165" s="16"/>
      <c r="E165" s="16"/>
      <c r="F165" s="17"/>
      <c r="G165" s="16"/>
      <c r="H165" s="16"/>
      <c r="I165" s="17"/>
      <c r="J165" s="16"/>
      <c r="K165" s="16"/>
    </row>
    <row r="166" spans="1:11" ht="14.45">
      <c r="A166" s="16"/>
      <c r="B166" s="25"/>
      <c r="C166" s="16"/>
      <c r="D166" s="16"/>
      <c r="E166" s="16"/>
      <c r="F166" s="17"/>
      <c r="G166" s="16"/>
      <c r="H166" s="16"/>
      <c r="I166" s="17"/>
      <c r="J166" s="16"/>
      <c r="K166" s="16"/>
    </row>
    <row r="167" spans="1:11" ht="14.45">
      <c r="A167" s="16"/>
      <c r="B167" s="25"/>
      <c r="C167" s="16"/>
      <c r="D167" s="16"/>
      <c r="E167" s="16"/>
      <c r="F167" s="17"/>
      <c r="G167" s="16"/>
      <c r="H167" s="16"/>
      <c r="I167" s="17"/>
      <c r="J167" s="16"/>
      <c r="K167" s="16"/>
    </row>
    <row r="168" spans="1:11" ht="14.45">
      <c r="A168" s="16"/>
      <c r="B168" s="25"/>
      <c r="C168" s="16"/>
      <c r="D168" s="16"/>
      <c r="E168" s="16"/>
      <c r="F168" s="17"/>
      <c r="G168" s="16"/>
      <c r="H168" s="16"/>
      <c r="I168" s="17"/>
      <c r="J168" s="16"/>
      <c r="K168" s="16"/>
    </row>
    <row r="169" spans="1:11" ht="14.45">
      <c r="A169" s="16"/>
      <c r="B169" s="25"/>
      <c r="C169" s="16"/>
      <c r="D169" s="16"/>
      <c r="E169" s="16"/>
      <c r="F169" s="17"/>
      <c r="G169" s="16"/>
      <c r="H169" s="16"/>
      <c r="I169" s="17"/>
      <c r="J169" s="16"/>
      <c r="K169" s="16"/>
    </row>
    <row r="170" spans="1:11" ht="14.45">
      <c r="A170" s="16"/>
      <c r="B170" s="25"/>
      <c r="C170" s="16"/>
      <c r="D170" s="16"/>
      <c r="E170" s="16"/>
      <c r="F170" s="17"/>
      <c r="G170" s="16"/>
      <c r="H170" s="16"/>
      <c r="I170" s="17"/>
      <c r="J170" s="16"/>
      <c r="K170" s="16"/>
    </row>
    <row r="171" spans="1:11" ht="14.45">
      <c r="A171" s="16"/>
      <c r="B171" s="25"/>
      <c r="C171" s="16"/>
      <c r="D171" s="16"/>
      <c r="E171" s="16"/>
      <c r="F171" s="17"/>
      <c r="G171" s="16"/>
      <c r="H171" s="16"/>
      <c r="I171" s="17"/>
      <c r="J171" s="16"/>
      <c r="K171" s="16"/>
    </row>
    <row r="172" spans="1:11" ht="14.45">
      <c r="A172" s="16"/>
      <c r="B172" s="25"/>
      <c r="C172" s="16"/>
      <c r="D172" s="16"/>
      <c r="E172" s="16"/>
      <c r="F172" s="17"/>
      <c r="G172" s="16"/>
      <c r="H172" s="16"/>
      <c r="I172" s="17"/>
      <c r="J172" s="16"/>
      <c r="K172" s="16"/>
    </row>
    <row r="173" spans="1:11" ht="14.45">
      <c r="A173" s="16"/>
      <c r="B173" s="25"/>
      <c r="C173" s="16"/>
      <c r="D173" s="16"/>
      <c r="E173" s="16"/>
      <c r="F173" s="17"/>
      <c r="G173" s="16"/>
      <c r="H173" s="16"/>
      <c r="I173" s="17"/>
      <c r="J173" s="16"/>
      <c r="K173" s="16"/>
    </row>
    <row r="174" spans="1:11" ht="14.45">
      <c r="A174" s="16"/>
      <c r="B174" s="25"/>
      <c r="C174" s="16"/>
      <c r="D174" s="16"/>
      <c r="E174" s="16"/>
      <c r="F174" s="17"/>
      <c r="G174" s="16"/>
      <c r="H174" s="16"/>
      <c r="I174" s="17"/>
      <c r="J174" s="16"/>
      <c r="K174" s="16"/>
    </row>
    <row r="175" spans="1:11" ht="14.45">
      <c r="A175" s="16"/>
      <c r="B175" s="25"/>
      <c r="C175" s="16"/>
      <c r="D175" s="16"/>
      <c r="E175" s="16"/>
      <c r="F175" s="17"/>
      <c r="G175" s="16"/>
      <c r="H175" s="16"/>
      <c r="I175" s="17"/>
      <c r="J175" s="16"/>
      <c r="K175" s="16"/>
    </row>
    <row r="176" spans="1:11" ht="14.45">
      <c r="A176" s="16"/>
      <c r="B176" s="25"/>
      <c r="C176" s="16"/>
      <c r="D176" s="16"/>
      <c r="E176" s="16"/>
      <c r="F176" s="17"/>
      <c r="G176" s="16"/>
      <c r="H176" s="16"/>
      <c r="I176" s="17"/>
      <c r="J176" s="16"/>
      <c r="K176" s="16"/>
    </row>
    <row r="177" spans="1:11" ht="14.45">
      <c r="A177" s="16"/>
      <c r="B177" s="25"/>
      <c r="C177" s="16"/>
      <c r="D177" s="16"/>
      <c r="E177" s="16"/>
      <c r="F177" s="17"/>
      <c r="G177" s="16"/>
      <c r="H177" s="16"/>
      <c r="I177" s="17"/>
      <c r="J177" s="16"/>
      <c r="K177" s="16"/>
    </row>
    <row r="178" spans="1:11" ht="14.45">
      <c r="A178" s="16"/>
      <c r="B178" s="25"/>
      <c r="C178" s="16"/>
      <c r="D178" s="16"/>
      <c r="E178" s="16"/>
      <c r="F178" s="17"/>
      <c r="G178" s="16"/>
      <c r="H178" s="16"/>
      <c r="I178" s="17"/>
      <c r="J178" s="16"/>
      <c r="K178" s="16"/>
    </row>
    <row r="179" spans="1:11" ht="14.45">
      <c r="A179" s="16"/>
      <c r="B179" s="25"/>
      <c r="C179" s="16"/>
      <c r="D179" s="16"/>
      <c r="E179" s="16"/>
      <c r="F179" s="17"/>
      <c r="G179" s="16"/>
      <c r="H179" s="16"/>
      <c r="I179" s="17"/>
      <c r="J179" s="16"/>
      <c r="K179" s="16"/>
    </row>
    <row r="180" spans="1:11" ht="14.45">
      <c r="A180" s="16"/>
      <c r="B180" s="25"/>
      <c r="C180" s="16"/>
      <c r="D180" s="16"/>
      <c r="E180" s="16"/>
      <c r="F180" s="17"/>
      <c r="G180" s="16"/>
      <c r="H180" s="16"/>
      <c r="I180" s="17"/>
      <c r="J180" s="16"/>
      <c r="K180" s="16"/>
    </row>
    <row r="181" spans="1:11" ht="14.45">
      <c r="A181" s="16"/>
      <c r="B181" s="25"/>
      <c r="C181" s="16"/>
      <c r="D181" s="16"/>
      <c r="E181" s="16"/>
      <c r="F181" s="17"/>
      <c r="G181" s="16"/>
      <c r="H181" s="16"/>
      <c r="I181" s="17"/>
      <c r="J181" s="16"/>
      <c r="K181" s="16"/>
    </row>
    <row r="182" spans="1:11" ht="14.45">
      <c r="A182" s="16"/>
      <c r="B182" s="25"/>
      <c r="C182" s="16"/>
      <c r="D182" s="16"/>
      <c r="E182" s="16"/>
      <c r="F182" s="17"/>
      <c r="G182" s="16"/>
      <c r="H182" s="16"/>
      <c r="I182" s="17"/>
      <c r="J182" s="16"/>
      <c r="K182" s="16"/>
    </row>
    <row r="183" spans="1:11" ht="14.45">
      <c r="A183" s="16"/>
      <c r="B183" s="25"/>
      <c r="C183" s="16"/>
      <c r="D183" s="16"/>
      <c r="E183" s="16"/>
      <c r="F183" s="17"/>
      <c r="G183" s="16"/>
      <c r="H183" s="16"/>
      <c r="I183" s="17"/>
      <c r="J183" s="16"/>
      <c r="K183" s="16"/>
    </row>
    <row r="184" spans="1:11" ht="14.45">
      <c r="A184" s="16"/>
      <c r="B184" s="25"/>
      <c r="C184" s="16"/>
      <c r="D184" s="16"/>
      <c r="E184" s="16"/>
      <c r="F184" s="17"/>
      <c r="G184" s="16"/>
      <c r="H184" s="16"/>
      <c r="I184" s="17"/>
      <c r="J184" s="16"/>
      <c r="K184" s="16"/>
    </row>
    <row r="185" spans="1:11" ht="14.45">
      <c r="A185" s="16"/>
      <c r="B185" s="25"/>
      <c r="C185" s="16"/>
      <c r="D185" s="16"/>
      <c r="E185" s="16"/>
      <c r="F185" s="17"/>
      <c r="G185" s="16"/>
      <c r="H185" s="16"/>
      <c r="I185" s="17"/>
      <c r="J185" s="16"/>
      <c r="K185" s="16"/>
    </row>
    <row r="186" spans="1:11" ht="14.45">
      <c r="A186" s="16"/>
      <c r="B186" s="25"/>
      <c r="C186" s="16"/>
      <c r="D186" s="16"/>
      <c r="E186" s="16"/>
      <c r="F186" s="17"/>
      <c r="G186" s="16"/>
      <c r="H186" s="16"/>
      <c r="I186" s="17"/>
      <c r="J186" s="16"/>
      <c r="K186" s="16"/>
    </row>
    <row r="187" spans="1:11" ht="14.45">
      <c r="A187" s="16"/>
      <c r="B187" s="25"/>
      <c r="C187" s="16"/>
      <c r="D187" s="16"/>
      <c r="E187" s="16"/>
      <c r="F187" s="17"/>
      <c r="G187" s="16"/>
      <c r="H187" s="16"/>
      <c r="I187" s="17"/>
      <c r="J187" s="16"/>
      <c r="K187" s="16"/>
    </row>
    <row r="188" spans="1:11" ht="14.45">
      <c r="A188" s="16"/>
      <c r="B188" s="25"/>
      <c r="C188" s="16"/>
      <c r="D188" s="16"/>
      <c r="E188" s="16"/>
      <c r="F188" s="17"/>
      <c r="G188" s="16"/>
      <c r="H188" s="16"/>
      <c r="I188" s="17"/>
      <c r="J188" s="16"/>
      <c r="K188" s="16"/>
    </row>
    <row r="189" spans="1:11" ht="14.45">
      <c r="A189" s="16"/>
      <c r="B189" s="25"/>
      <c r="C189" s="16"/>
      <c r="D189" s="16"/>
      <c r="E189" s="16"/>
      <c r="F189" s="17"/>
      <c r="G189" s="16"/>
      <c r="H189" s="16"/>
      <c r="I189" s="17"/>
      <c r="J189" s="16"/>
      <c r="K189" s="16"/>
    </row>
    <row r="190" spans="1:11" ht="14.45">
      <c r="A190" s="16"/>
      <c r="B190" s="25"/>
      <c r="C190" s="16"/>
      <c r="D190" s="16"/>
      <c r="E190" s="16"/>
      <c r="F190" s="17"/>
      <c r="G190" s="16"/>
      <c r="H190" s="16"/>
      <c r="I190" s="17"/>
      <c r="J190" s="16"/>
      <c r="K190" s="16"/>
    </row>
    <row r="191" spans="1:11" ht="14.45">
      <c r="A191" s="16"/>
      <c r="B191" s="25"/>
      <c r="C191" s="16"/>
      <c r="D191" s="16"/>
      <c r="E191" s="16"/>
      <c r="F191" s="17"/>
      <c r="G191" s="16"/>
      <c r="H191" s="16"/>
      <c r="I191" s="17"/>
      <c r="J191" s="16"/>
      <c r="K191" s="16"/>
    </row>
    <row r="192" spans="1:11" ht="14.45">
      <c r="A192" s="16"/>
      <c r="B192" s="25"/>
      <c r="C192" s="16"/>
      <c r="D192" s="16"/>
      <c r="E192" s="16"/>
      <c r="F192" s="17"/>
      <c r="G192" s="16"/>
      <c r="H192" s="16"/>
      <c r="I192" s="17"/>
      <c r="J192" s="16"/>
      <c r="K192" s="16"/>
    </row>
    <row r="193" spans="1:11" ht="14.45">
      <c r="A193" s="16"/>
      <c r="B193" s="25"/>
      <c r="C193" s="16"/>
      <c r="D193" s="16"/>
      <c r="E193" s="16"/>
      <c r="F193" s="17"/>
      <c r="G193" s="16"/>
      <c r="H193" s="16"/>
      <c r="I193" s="17"/>
      <c r="J193" s="16"/>
      <c r="K193" s="16"/>
    </row>
    <row r="194" spans="1:11" ht="14.45">
      <c r="A194" s="16"/>
      <c r="B194" s="25"/>
      <c r="C194" s="16"/>
      <c r="D194" s="16"/>
      <c r="E194" s="16"/>
      <c r="F194" s="17"/>
      <c r="G194" s="16"/>
      <c r="H194" s="16"/>
      <c r="I194" s="17"/>
      <c r="J194" s="16"/>
      <c r="K194" s="16"/>
    </row>
    <row r="195" spans="1:11" ht="14.45">
      <c r="A195" s="16"/>
      <c r="B195" s="25"/>
      <c r="C195" s="16"/>
      <c r="D195" s="16"/>
      <c r="E195" s="16"/>
      <c r="F195" s="17"/>
      <c r="G195" s="16"/>
      <c r="H195" s="16"/>
      <c r="I195" s="17"/>
      <c r="J195" s="16"/>
      <c r="K195" s="16"/>
    </row>
    <row r="196" spans="1:11" ht="14.45">
      <c r="A196" s="16"/>
      <c r="B196" s="25"/>
      <c r="C196" s="16"/>
      <c r="D196" s="16"/>
      <c r="E196" s="16"/>
      <c r="F196" s="17"/>
      <c r="G196" s="16"/>
      <c r="H196" s="16"/>
      <c r="I196" s="17"/>
      <c r="J196" s="16"/>
      <c r="K196" s="16"/>
    </row>
    <row r="197" spans="1:11" ht="14.45">
      <c r="A197" s="16"/>
      <c r="B197" s="25"/>
      <c r="C197" s="16"/>
      <c r="D197" s="16"/>
      <c r="E197" s="16"/>
      <c r="F197" s="17"/>
      <c r="G197" s="16"/>
      <c r="H197" s="16"/>
      <c r="I197" s="17"/>
      <c r="J197" s="16"/>
      <c r="K197" s="16"/>
    </row>
    <row r="198" spans="1:11" ht="14.45">
      <c r="A198" s="16"/>
      <c r="B198" s="25"/>
      <c r="C198" s="16"/>
      <c r="D198" s="16"/>
      <c r="E198" s="16"/>
      <c r="F198" s="17"/>
      <c r="G198" s="16"/>
      <c r="H198" s="16"/>
      <c r="I198" s="17"/>
      <c r="J198" s="16"/>
      <c r="K198" s="16"/>
    </row>
    <row r="199" spans="1:11" ht="14.45">
      <c r="A199" s="16"/>
      <c r="B199" s="25"/>
      <c r="C199" s="16"/>
      <c r="D199" s="16"/>
      <c r="E199" s="16"/>
      <c r="F199" s="17"/>
      <c r="G199" s="16"/>
      <c r="H199" s="16"/>
      <c r="I199" s="17"/>
      <c r="J199" s="16"/>
      <c r="K199" s="16"/>
    </row>
    <row r="200" spans="1:11" ht="14.45">
      <c r="A200" s="16"/>
      <c r="B200" s="25"/>
      <c r="C200" s="16"/>
      <c r="D200" s="16"/>
      <c r="E200" s="16"/>
      <c r="F200" s="17"/>
      <c r="G200" s="16"/>
      <c r="H200" s="16"/>
      <c r="I200" s="17"/>
      <c r="J200" s="16"/>
      <c r="K200" s="16"/>
    </row>
    <row r="201" spans="1:11" ht="14.45">
      <c r="A201" s="16"/>
      <c r="B201" s="25"/>
      <c r="C201" s="16"/>
      <c r="D201" s="16"/>
      <c r="E201" s="16"/>
      <c r="F201" s="17"/>
      <c r="G201" s="16"/>
      <c r="H201" s="16"/>
      <c r="I201" s="17"/>
      <c r="J201" s="16"/>
      <c r="K201" s="16"/>
    </row>
    <row r="202" spans="1:11" ht="14.45">
      <c r="A202" s="16"/>
      <c r="B202" s="25"/>
      <c r="C202" s="16"/>
      <c r="D202" s="16"/>
      <c r="E202" s="16"/>
      <c r="F202" s="17"/>
      <c r="G202" s="16"/>
      <c r="H202" s="16"/>
      <c r="I202" s="17"/>
      <c r="J202" s="16"/>
      <c r="K202" s="16"/>
    </row>
    <row r="203" spans="1:11" ht="14.45">
      <c r="A203" s="16"/>
      <c r="B203" s="25"/>
      <c r="C203" s="16"/>
      <c r="D203" s="16"/>
      <c r="E203" s="16"/>
      <c r="F203" s="17"/>
      <c r="G203" s="16"/>
      <c r="H203" s="16"/>
      <c r="I203" s="17"/>
      <c r="J203" s="16"/>
      <c r="K203" s="16"/>
    </row>
    <row r="204" spans="1:11" ht="14.45">
      <c r="A204" s="16"/>
      <c r="B204" s="25"/>
      <c r="C204" s="16"/>
      <c r="D204" s="16"/>
      <c r="E204" s="16"/>
      <c r="F204" s="17"/>
      <c r="G204" s="16"/>
      <c r="H204" s="16"/>
      <c r="I204" s="17"/>
      <c r="J204" s="16"/>
      <c r="K204" s="16"/>
    </row>
    <row r="205" spans="1:11" ht="14.45">
      <c r="A205" s="16"/>
      <c r="B205" s="25"/>
      <c r="C205" s="16"/>
      <c r="D205" s="16"/>
      <c r="E205" s="16"/>
      <c r="F205" s="17"/>
      <c r="G205" s="16"/>
      <c r="H205" s="16"/>
      <c r="I205" s="17"/>
      <c r="J205" s="16"/>
      <c r="K205" s="16"/>
    </row>
    <row r="206" spans="1:11" ht="14.45">
      <c r="A206" s="16"/>
      <c r="B206" s="25"/>
      <c r="C206" s="16"/>
      <c r="D206" s="16"/>
      <c r="E206" s="16"/>
      <c r="F206" s="17"/>
      <c r="G206" s="16"/>
      <c r="H206" s="16"/>
      <c r="I206" s="17"/>
      <c r="J206" s="16"/>
      <c r="K206" s="16"/>
    </row>
    <row r="207" spans="1:11" ht="14.45">
      <c r="A207" s="16"/>
      <c r="B207" s="25"/>
      <c r="C207" s="16"/>
      <c r="D207" s="16"/>
      <c r="E207" s="16"/>
      <c r="F207" s="17"/>
      <c r="G207" s="16"/>
      <c r="H207" s="16"/>
      <c r="I207" s="17"/>
      <c r="J207" s="16"/>
      <c r="K207" s="16"/>
    </row>
    <row r="208" spans="1:11" ht="14.45">
      <c r="A208" s="16"/>
      <c r="B208" s="25"/>
      <c r="C208" s="16"/>
      <c r="D208" s="16"/>
      <c r="E208" s="16"/>
      <c r="F208" s="17"/>
      <c r="G208" s="16"/>
      <c r="H208" s="16"/>
      <c r="I208" s="17"/>
      <c r="J208" s="16"/>
      <c r="K208" s="16"/>
    </row>
    <row r="209" spans="1:11" ht="14.45">
      <c r="A209" s="16"/>
      <c r="B209" s="25"/>
      <c r="C209" s="16"/>
      <c r="D209" s="16"/>
      <c r="E209" s="16"/>
      <c r="F209" s="17"/>
      <c r="G209" s="16"/>
      <c r="H209" s="16"/>
      <c r="I209" s="17"/>
      <c r="J209" s="16"/>
      <c r="K209" s="16"/>
    </row>
    <row r="210" spans="1:11" ht="14.45">
      <c r="A210" s="16"/>
      <c r="B210" s="25"/>
      <c r="C210" s="16"/>
      <c r="D210" s="16"/>
      <c r="E210" s="16"/>
      <c r="F210" s="17"/>
      <c r="G210" s="16"/>
      <c r="H210" s="16"/>
      <c r="I210" s="17"/>
      <c r="J210" s="16"/>
      <c r="K210" s="16"/>
    </row>
    <row r="211" spans="1:11" ht="14.45">
      <c r="A211" s="16"/>
      <c r="B211" s="25"/>
      <c r="C211" s="16"/>
      <c r="D211" s="16"/>
      <c r="E211" s="16"/>
      <c r="F211" s="17"/>
      <c r="G211" s="16"/>
      <c r="H211" s="16"/>
      <c r="I211" s="17"/>
      <c r="J211" s="16"/>
      <c r="K211" s="16"/>
    </row>
    <row r="212" spans="1:11" ht="14.45">
      <c r="A212" s="16"/>
      <c r="B212" s="25"/>
      <c r="C212" s="16"/>
      <c r="D212" s="16"/>
      <c r="E212" s="16"/>
      <c r="F212" s="17"/>
      <c r="G212" s="16"/>
      <c r="H212" s="16"/>
      <c r="I212" s="17"/>
      <c r="J212" s="16"/>
      <c r="K212" s="16"/>
    </row>
    <row r="213" spans="1:11" ht="14.45">
      <c r="A213" s="16"/>
      <c r="B213" s="25"/>
      <c r="C213" s="16"/>
      <c r="D213" s="16"/>
      <c r="E213" s="16"/>
      <c r="F213" s="17"/>
      <c r="G213" s="16"/>
      <c r="H213" s="16"/>
      <c r="I213" s="17"/>
      <c r="J213" s="16"/>
      <c r="K213" s="16"/>
    </row>
    <row r="214" spans="1:11" ht="14.45">
      <c r="A214" s="16"/>
      <c r="B214" s="25"/>
      <c r="C214" s="16"/>
      <c r="D214" s="16"/>
      <c r="E214" s="16"/>
      <c r="F214" s="17"/>
      <c r="G214" s="16"/>
      <c r="H214" s="16"/>
      <c r="I214" s="17"/>
      <c r="J214" s="16"/>
      <c r="K214" s="16"/>
    </row>
    <row r="215" spans="1:11" ht="14.45">
      <c r="A215" s="16"/>
      <c r="B215" s="25"/>
      <c r="C215" s="16"/>
      <c r="D215" s="16"/>
      <c r="E215" s="16"/>
      <c r="F215" s="17"/>
      <c r="G215" s="16"/>
      <c r="H215" s="16"/>
      <c r="I215" s="17"/>
      <c r="J215" s="16"/>
      <c r="K215" s="16"/>
    </row>
    <row r="216" spans="1:11" ht="14.45">
      <c r="A216" s="16"/>
      <c r="B216" s="25"/>
      <c r="C216" s="16"/>
      <c r="D216" s="16"/>
      <c r="E216" s="16"/>
      <c r="F216" s="17"/>
      <c r="G216" s="16"/>
      <c r="H216" s="16"/>
      <c r="I216" s="17"/>
      <c r="J216" s="16"/>
      <c r="K216" s="16"/>
    </row>
    <row r="217" spans="1:11" ht="14.45">
      <c r="A217" s="16"/>
      <c r="B217" s="25"/>
      <c r="C217" s="16"/>
      <c r="D217" s="16"/>
      <c r="E217" s="16"/>
      <c r="F217" s="17"/>
      <c r="G217" s="16"/>
      <c r="H217" s="16"/>
      <c r="I217" s="17"/>
      <c r="J217" s="16"/>
      <c r="K217" s="16"/>
    </row>
    <row r="218" spans="1:11" ht="14.45">
      <c r="A218" s="16"/>
      <c r="B218" s="25"/>
      <c r="C218" s="16"/>
      <c r="D218" s="16"/>
      <c r="E218" s="16"/>
      <c r="F218" s="17"/>
      <c r="G218" s="16"/>
      <c r="H218" s="16"/>
      <c r="I218" s="17"/>
      <c r="J218" s="16"/>
      <c r="K218" s="16"/>
    </row>
    <row r="219" spans="1:11" ht="14.45">
      <c r="A219" s="16"/>
      <c r="B219" s="25"/>
      <c r="C219" s="16"/>
      <c r="D219" s="16"/>
      <c r="E219" s="16"/>
      <c r="F219" s="17"/>
      <c r="G219" s="16"/>
      <c r="H219" s="16"/>
      <c r="I219" s="17"/>
      <c r="J219" s="16"/>
      <c r="K219" s="16"/>
    </row>
    <row r="220" spans="1:11" ht="14.45">
      <c r="A220" s="16"/>
      <c r="B220" s="25"/>
      <c r="C220" s="16"/>
      <c r="D220" s="16"/>
      <c r="E220" s="16"/>
      <c r="F220" s="17"/>
      <c r="G220" s="16"/>
      <c r="H220" s="16"/>
      <c r="I220" s="17"/>
      <c r="J220" s="16"/>
      <c r="K220" s="16"/>
    </row>
    <row r="221" spans="1:11" ht="14.45">
      <c r="A221" s="16"/>
      <c r="B221" s="25"/>
      <c r="C221" s="16"/>
      <c r="D221" s="16"/>
      <c r="E221" s="16"/>
      <c r="F221" s="17"/>
      <c r="G221" s="16"/>
      <c r="H221" s="16"/>
      <c r="I221" s="17"/>
      <c r="J221" s="16"/>
      <c r="K221" s="16"/>
    </row>
    <row r="222" spans="1:11" ht="14.45">
      <c r="A222" s="16"/>
      <c r="B222" s="25"/>
      <c r="C222" s="16"/>
      <c r="D222" s="16"/>
      <c r="E222" s="16"/>
      <c r="F222" s="17"/>
      <c r="G222" s="16"/>
      <c r="H222" s="16"/>
      <c r="I222" s="17"/>
      <c r="J222" s="16"/>
      <c r="K222" s="16"/>
    </row>
    <row r="223" spans="1:11" ht="14.45">
      <c r="A223" s="16"/>
      <c r="B223" s="25"/>
      <c r="C223" s="16"/>
      <c r="D223" s="16"/>
      <c r="E223" s="16"/>
      <c r="F223" s="17"/>
      <c r="G223" s="16"/>
      <c r="H223" s="16"/>
      <c r="I223" s="17"/>
      <c r="J223" s="16"/>
      <c r="K223" s="16"/>
    </row>
    <row r="224" spans="1:11" ht="14.45">
      <c r="A224" s="16"/>
      <c r="B224" s="25"/>
      <c r="C224" s="16"/>
      <c r="D224" s="16"/>
      <c r="E224" s="16"/>
      <c r="F224" s="17"/>
      <c r="G224" s="16"/>
      <c r="H224" s="16"/>
      <c r="I224" s="17"/>
      <c r="J224" s="16"/>
      <c r="K224" s="16"/>
    </row>
    <row r="225" spans="1:11" ht="14.45">
      <c r="A225" s="16"/>
      <c r="B225" s="25"/>
      <c r="C225" s="16"/>
      <c r="D225" s="16"/>
      <c r="E225" s="16"/>
      <c r="F225" s="17"/>
      <c r="G225" s="16"/>
      <c r="H225" s="16"/>
      <c r="I225" s="17"/>
      <c r="J225" s="16"/>
      <c r="K225" s="16"/>
    </row>
    <row r="226" spans="1:11" ht="14.45">
      <c r="A226" s="16"/>
      <c r="B226" s="25"/>
      <c r="C226" s="16"/>
      <c r="D226" s="16"/>
      <c r="E226" s="16"/>
      <c r="F226" s="17"/>
      <c r="G226" s="16"/>
      <c r="H226" s="16"/>
      <c r="I226" s="17"/>
      <c r="J226" s="16"/>
      <c r="K226" s="16"/>
    </row>
    <row r="227" spans="1:11" ht="14.45">
      <c r="A227" s="16"/>
      <c r="B227" s="25"/>
      <c r="C227" s="16"/>
      <c r="D227" s="16"/>
      <c r="E227" s="16"/>
      <c r="F227" s="17"/>
      <c r="G227" s="16"/>
      <c r="H227" s="16"/>
      <c r="I227" s="17"/>
      <c r="J227" s="16"/>
      <c r="K227" s="16"/>
    </row>
    <row r="228" spans="1:11" ht="14.45">
      <c r="A228" s="16"/>
      <c r="B228" s="25"/>
      <c r="C228" s="16"/>
      <c r="D228" s="16"/>
      <c r="E228" s="16"/>
      <c r="F228" s="17"/>
      <c r="G228" s="16"/>
      <c r="H228" s="16"/>
      <c r="I228" s="17"/>
      <c r="J228" s="16"/>
      <c r="K228" s="16"/>
    </row>
    <row r="229" spans="1:11" ht="14.45">
      <c r="A229" s="16"/>
      <c r="B229" s="25"/>
      <c r="C229" s="16"/>
      <c r="D229" s="16"/>
      <c r="E229" s="16"/>
      <c r="F229" s="17"/>
      <c r="G229" s="16"/>
      <c r="H229" s="16"/>
      <c r="I229" s="17"/>
      <c r="J229" s="16"/>
      <c r="K229" s="16"/>
    </row>
    <row r="230" spans="1:11" ht="14.45">
      <c r="A230" s="16"/>
      <c r="B230" s="25"/>
      <c r="C230" s="16"/>
      <c r="D230" s="16"/>
      <c r="E230" s="16"/>
      <c r="F230" s="17"/>
      <c r="G230" s="16"/>
      <c r="H230" s="16"/>
      <c r="I230" s="17"/>
      <c r="J230" s="16"/>
      <c r="K230" s="16"/>
    </row>
    <row r="231" spans="1:11" ht="14.45">
      <c r="A231" s="16"/>
      <c r="B231" s="25"/>
      <c r="C231" s="16"/>
      <c r="D231" s="16"/>
      <c r="E231" s="16"/>
      <c r="F231" s="17"/>
      <c r="G231" s="16"/>
      <c r="H231" s="16"/>
      <c r="I231" s="17"/>
      <c r="J231" s="16"/>
      <c r="K231" s="16"/>
    </row>
    <row r="232" spans="1:11" ht="14.45">
      <c r="A232" s="16"/>
      <c r="B232" s="25"/>
      <c r="C232" s="16"/>
      <c r="D232" s="16"/>
      <c r="E232" s="16"/>
      <c r="F232" s="17"/>
      <c r="G232" s="16"/>
      <c r="H232" s="16"/>
      <c r="I232" s="17"/>
      <c r="J232" s="16"/>
      <c r="K232" s="16"/>
    </row>
    <row r="233" spans="1:11" ht="14.45">
      <c r="A233" s="16"/>
      <c r="B233" s="25"/>
      <c r="C233" s="16"/>
      <c r="D233" s="16"/>
      <c r="E233" s="16"/>
      <c r="F233" s="17"/>
      <c r="G233" s="16"/>
      <c r="H233" s="16"/>
      <c r="I233" s="17"/>
      <c r="J233" s="16"/>
      <c r="K233" s="16"/>
    </row>
    <row r="234" spans="1:11" ht="14.45">
      <c r="A234" s="16"/>
      <c r="B234" s="25"/>
      <c r="C234" s="16"/>
      <c r="D234" s="16"/>
      <c r="E234" s="16"/>
      <c r="F234" s="17"/>
      <c r="G234" s="16"/>
      <c r="H234" s="16"/>
      <c r="I234" s="17"/>
      <c r="J234" s="16"/>
      <c r="K234" s="16"/>
    </row>
    <row r="235" spans="1:11" ht="14.45">
      <c r="A235" s="16"/>
      <c r="B235" s="25"/>
      <c r="C235" s="16"/>
      <c r="D235" s="16"/>
      <c r="E235" s="16"/>
      <c r="F235" s="17"/>
      <c r="G235" s="16"/>
      <c r="H235" s="16"/>
      <c r="I235" s="17"/>
      <c r="J235" s="16"/>
      <c r="K235" s="16"/>
    </row>
    <row r="236" spans="1:11" ht="14.45">
      <c r="A236" s="16"/>
      <c r="B236" s="25"/>
      <c r="C236" s="16"/>
      <c r="D236" s="16"/>
      <c r="E236" s="16"/>
      <c r="F236" s="17"/>
      <c r="G236" s="16"/>
      <c r="H236" s="16"/>
      <c r="I236" s="17"/>
      <c r="J236" s="16"/>
      <c r="K236" s="16"/>
    </row>
    <row r="237" spans="1:11" ht="14.45">
      <c r="A237" s="16"/>
      <c r="B237" s="25"/>
      <c r="C237" s="16"/>
      <c r="D237" s="16"/>
      <c r="E237" s="16"/>
      <c r="F237" s="17"/>
      <c r="G237" s="16"/>
      <c r="H237" s="16"/>
      <c r="I237" s="17"/>
      <c r="J237" s="16"/>
      <c r="K237" s="16"/>
    </row>
    <row r="238" spans="1:11" ht="14.45">
      <c r="A238" s="16"/>
      <c r="B238" s="25"/>
      <c r="C238" s="16"/>
      <c r="D238" s="16"/>
      <c r="E238" s="16"/>
      <c r="F238" s="17"/>
      <c r="G238" s="16"/>
      <c r="H238" s="16"/>
      <c r="I238" s="17"/>
      <c r="J238" s="16"/>
      <c r="K238" s="16"/>
    </row>
    <row r="239" spans="1:11" ht="14.45">
      <c r="A239" s="16"/>
      <c r="B239" s="25"/>
      <c r="C239" s="16"/>
      <c r="D239" s="16"/>
      <c r="E239" s="16"/>
      <c r="F239" s="17"/>
      <c r="G239" s="16"/>
      <c r="H239" s="16"/>
      <c r="I239" s="17"/>
      <c r="J239" s="16"/>
      <c r="K239" s="16"/>
    </row>
    <row r="240" spans="1:11" ht="14.45">
      <c r="A240" s="16"/>
      <c r="B240" s="25"/>
      <c r="C240" s="16"/>
      <c r="D240" s="16"/>
      <c r="E240" s="16"/>
      <c r="F240" s="17"/>
      <c r="G240" s="16"/>
      <c r="H240" s="16"/>
      <c r="I240" s="17"/>
      <c r="J240" s="16"/>
      <c r="K240" s="16"/>
    </row>
    <row r="241" spans="1:11" ht="14.45">
      <c r="A241" s="16"/>
      <c r="B241" s="25"/>
      <c r="C241" s="16"/>
      <c r="D241" s="16"/>
      <c r="E241" s="16"/>
      <c r="F241" s="17"/>
      <c r="G241" s="16"/>
      <c r="H241" s="16"/>
      <c r="I241" s="17"/>
      <c r="J241" s="16"/>
      <c r="K241" s="16"/>
    </row>
    <row r="242" spans="1:11" ht="14.45">
      <c r="A242" s="16"/>
      <c r="B242" s="25"/>
      <c r="C242" s="16"/>
      <c r="D242" s="16"/>
      <c r="E242" s="16"/>
      <c r="F242" s="17"/>
      <c r="G242" s="16"/>
      <c r="H242" s="16"/>
      <c r="I242" s="17"/>
      <c r="J242" s="16"/>
      <c r="K242" s="16"/>
    </row>
    <row r="243" spans="1:11" ht="14.45">
      <c r="A243" s="16"/>
      <c r="B243" s="25"/>
      <c r="C243" s="16"/>
      <c r="D243" s="16"/>
      <c r="E243" s="16"/>
      <c r="F243" s="17"/>
      <c r="G243" s="16"/>
      <c r="H243" s="16"/>
      <c r="I243" s="17"/>
      <c r="J243" s="16"/>
      <c r="K243" s="16"/>
    </row>
    <row r="244" spans="1:11" ht="14.45">
      <c r="A244" s="16"/>
      <c r="B244" s="25"/>
      <c r="C244" s="16"/>
      <c r="D244" s="16"/>
      <c r="E244" s="16"/>
      <c r="F244" s="17"/>
      <c r="G244" s="16"/>
      <c r="H244" s="16"/>
      <c r="I244" s="17"/>
      <c r="J244" s="16"/>
      <c r="K244" s="16"/>
    </row>
    <row r="245" spans="1:11" ht="14.45">
      <c r="A245" s="16"/>
      <c r="B245" s="25"/>
      <c r="C245" s="16"/>
      <c r="D245" s="16"/>
      <c r="E245" s="16"/>
      <c r="F245" s="17"/>
      <c r="G245" s="16"/>
      <c r="H245" s="16"/>
      <c r="I245" s="17"/>
      <c r="J245" s="16"/>
      <c r="K245" s="16"/>
    </row>
    <row r="246" spans="1:11" ht="14.45">
      <c r="A246" s="16"/>
      <c r="B246" s="25"/>
      <c r="C246" s="16"/>
      <c r="D246" s="16"/>
      <c r="E246" s="16"/>
      <c r="F246" s="17"/>
      <c r="G246" s="16"/>
      <c r="H246" s="16"/>
      <c r="I246" s="17"/>
      <c r="J246" s="16"/>
      <c r="K246" s="16"/>
    </row>
    <row r="247" spans="1:11" ht="14.45">
      <c r="A247" s="16"/>
      <c r="B247" s="25"/>
      <c r="C247" s="16"/>
      <c r="D247" s="16"/>
      <c r="E247" s="16"/>
      <c r="F247" s="17"/>
      <c r="G247" s="16"/>
      <c r="H247" s="16"/>
      <c r="I247" s="17"/>
      <c r="J247" s="16"/>
      <c r="K247" s="16"/>
    </row>
    <row r="248" spans="1:11" ht="14.45">
      <c r="A248" s="16"/>
      <c r="B248" s="25"/>
      <c r="C248" s="16"/>
      <c r="D248" s="16"/>
      <c r="E248" s="16"/>
      <c r="F248" s="17"/>
      <c r="G248" s="16"/>
      <c r="H248" s="16"/>
      <c r="I248" s="17"/>
      <c r="J248" s="16"/>
      <c r="K248" s="16"/>
    </row>
    <row r="249" spans="1:11" ht="14.45">
      <c r="A249" s="16"/>
      <c r="B249" s="25"/>
      <c r="C249" s="16"/>
      <c r="D249" s="16"/>
      <c r="E249" s="16"/>
      <c r="F249" s="17"/>
      <c r="G249" s="16"/>
      <c r="H249" s="16"/>
      <c r="I249" s="17"/>
      <c r="J249" s="16"/>
      <c r="K249" s="16"/>
    </row>
    <row r="250" spans="1:11" ht="14.45">
      <c r="A250" s="16"/>
      <c r="B250" s="25"/>
      <c r="C250" s="16"/>
      <c r="D250" s="16"/>
      <c r="E250" s="16"/>
      <c r="F250" s="17"/>
      <c r="G250" s="16"/>
      <c r="H250" s="16"/>
      <c r="I250" s="17"/>
      <c r="J250" s="16"/>
      <c r="K250" s="16"/>
    </row>
    <row r="251" spans="1:11" ht="14.45">
      <c r="A251" s="16"/>
      <c r="B251" s="25"/>
      <c r="C251" s="16"/>
      <c r="D251" s="16"/>
      <c r="E251" s="16"/>
      <c r="F251" s="17"/>
      <c r="G251" s="16"/>
      <c r="H251" s="16"/>
      <c r="I251" s="17"/>
      <c r="J251" s="16"/>
      <c r="K251" s="16"/>
    </row>
    <row r="252" spans="1:11" ht="14.45">
      <c r="A252" s="16"/>
      <c r="B252" s="25"/>
      <c r="C252" s="16"/>
      <c r="D252" s="16"/>
      <c r="E252" s="16"/>
      <c r="F252" s="17"/>
      <c r="G252" s="16"/>
      <c r="H252" s="16"/>
      <c r="I252" s="17"/>
      <c r="J252" s="16"/>
      <c r="K252" s="16"/>
    </row>
    <row r="253" spans="1:11" ht="14.45">
      <c r="A253" s="16"/>
      <c r="B253" s="25"/>
      <c r="C253" s="16"/>
      <c r="D253" s="16"/>
      <c r="E253" s="16"/>
      <c r="F253" s="17"/>
      <c r="G253" s="16"/>
      <c r="H253" s="16"/>
      <c r="I253" s="17"/>
      <c r="J253" s="16"/>
      <c r="K253" s="16"/>
    </row>
    <row r="254" spans="1:11" ht="14.45">
      <c r="A254" s="16"/>
      <c r="B254" s="25"/>
      <c r="C254" s="16"/>
      <c r="D254" s="16"/>
      <c r="E254" s="16"/>
      <c r="F254" s="17"/>
      <c r="G254" s="16"/>
      <c r="H254" s="16"/>
      <c r="I254" s="17"/>
      <c r="J254" s="16"/>
      <c r="K254" s="16"/>
    </row>
    <row r="255" spans="1:11" ht="14.45">
      <c r="A255" s="16"/>
      <c r="B255" s="25"/>
      <c r="C255" s="16"/>
      <c r="D255" s="16"/>
      <c r="E255" s="16"/>
      <c r="F255" s="17"/>
      <c r="G255" s="16"/>
      <c r="H255" s="16"/>
      <c r="I255" s="17"/>
      <c r="J255" s="16"/>
      <c r="K255" s="16"/>
    </row>
    <row r="256" spans="1:11" ht="14.45">
      <c r="A256" s="16"/>
      <c r="B256" s="25"/>
      <c r="C256" s="16"/>
      <c r="D256" s="16"/>
      <c r="E256" s="16"/>
      <c r="F256" s="17"/>
      <c r="G256" s="16"/>
      <c r="H256" s="16"/>
      <c r="I256" s="17"/>
      <c r="J256" s="16"/>
      <c r="K256" s="16"/>
    </row>
    <row r="257" spans="1:11" ht="14.45">
      <c r="A257" s="16"/>
      <c r="B257" s="25"/>
      <c r="C257" s="16"/>
      <c r="D257" s="16"/>
      <c r="E257" s="16"/>
      <c r="F257" s="17"/>
      <c r="G257" s="16"/>
      <c r="H257" s="16"/>
      <c r="I257" s="17"/>
      <c r="J257" s="16"/>
      <c r="K257" s="16"/>
    </row>
    <row r="258" spans="1:11" ht="14.45">
      <c r="A258" s="16"/>
      <c r="B258" s="25"/>
      <c r="C258" s="16"/>
      <c r="D258" s="16"/>
      <c r="E258" s="16"/>
      <c r="F258" s="17"/>
      <c r="G258" s="16"/>
      <c r="H258" s="16"/>
      <c r="I258" s="17"/>
      <c r="J258" s="16"/>
      <c r="K258" s="16"/>
    </row>
    <row r="259" spans="1:11" ht="14.45">
      <c r="A259" s="16"/>
      <c r="B259" s="25"/>
      <c r="C259" s="16"/>
      <c r="D259" s="16"/>
      <c r="E259" s="16"/>
      <c r="F259" s="17"/>
      <c r="G259" s="16"/>
      <c r="H259" s="16"/>
      <c r="I259" s="17"/>
      <c r="J259" s="16"/>
      <c r="K259" s="16"/>
    </row>
    <row r="260" spans="1:11" ht="14.45">
      <c r="A260" s="16"/>
      <c r="B260" s="25"/>
      <c r="C260" s="16"/>
      <c r="D260" s="16"/>
      <c r="E260" s="16"/>
      <c r="F260" s="17"/>
      <c r="G260" s="16"/>
      <c r="H260" s="16"/>
      <c r="I260" s="17"/>
      <c r="J260" s="16"/>
      <c r="K260" s="16"/>
    </row>
    <row r="261" spans="1:11" ht="14.45">
      <c r="A261" s="16"/>
      <c r="B261" s="25"/>
      <c r="C261" s="16"/>
      <c r="D261" s="16"/>
      <c r="E261" s="16"/>
      <c r="F261" s="17"/>
      <c r="G261" s="16"/>
      <c r="H261" s="16"/>
      <c r="I261" s="17"/>
      <c r="J261" s="16"/>
      <c r="K261" s="16"/>
    </row>
    <row r="262" spans="1:11" ht="14.45">
      <c r="A262" s="16"/>
      <c r="B262" s="25"/>
      <c r="C262" s="16"/>
      <c r="D262" s="16"/>
      <c r="E262" s="16"/>
      <c r="F262" s="17"/>
      <c r="G262" s="16"/>
      <c r="H262" s="16"/>
      <c r="I262" s="17"/>
      <c r="J262" s="16"/>
      <c r="K262" s="16"/>
    </row>
    <row r="263" spans="1:11" ht="14.45">
      <c r="A263" s="16"/>
      <c r="B263" s="25"/>
      <c r="C263" s="16"/>
      <c r="D263" s="16"/>
      <c r="E263" s="16"/>
      <c r="F263" s="17"/>
      <c r="G263" s="16"/>
      <c r="H263" s="16"/>
      <c r="I263" s="17"/>
      <c r="J263" s="16"/>
      <c r="K263" s="16"/>
    </row>
    <row r="264" spans="1:11" ht="14.45">
      <c r="A264" s="16"/>
      <c r="B264" s="25"/>
      <c r="C264" s="16"/>
      <c r="D264" s="16"/>
      <c r="E264" s="16"/>
      <c r="F264" s="17"/>
      <c r="G264" s="16"/>
      <c r="H264" s="16"/>
      <c r="I264" s="17"/>
      <c r="J264" s="16"/>
      <c r="K264" s="16"/>
    </row>
    <row r="265" spans="1:11" ht="14.45">
      <c r="A265" s="16"/>
      <c r="B265" s="25"/>
      <c r="C265" s="16"/>
      <c r="D265" s="16"/>
      <c r="E265" s="16"/>
      <c r="F265" s="17"/>
      <c r="G265" s="16"/>
      <c r="H265" s="16"/>
      <c r="I265" s="17"/>
      <c r="J265" s="16"/>
      <c r="K265" s="16"/>
    </row>
    <row r="266" spans="1:11" ht="14.45">
      <c r="A266" s="16"/>
      <c r="B266" s="25"/>
      <c r="C266" s="16"/>
      <c r="D266" s="16"/>
      <c r="E266" s="16"/>
      <c r="F266" s="17"/>
      <c r="G266" s="16"/>
      <c r="H266" s="16"/>
      <c r="I266" s="17"/>
      <c r="J266" s="16"/>
      <c r="K266" s="16"/>
    </row>
    <row r="267" spans="1:11" ht="14.45">
      <c r="A267" s="16"/>
      <c r="B267" s="25"/>
      <c r="C267" s="16"/>
      <c r="D267" s="16"/>
      <c r="E267" s="16"/>
      <c r="F267" s="17"/>
      <c r="G267" s="16"/>
      <c r="H267" s="16"/>
      <c r="I267" s="17"/>
      <c r="J267" s="16"/>
      <c r="K267" s="16"/>
    </row>
    <row r="268" spans="1:11" ht="14.45">
      <c r="A268" s="16"/>
      <c r="B268" s="25"/>
      <c r="C268" s="16"/>
      <c r="D268" s="16"/>
      <c r="E268" s="16"/>
      <c r="F268" s="17"/>
      <c r="G268" s="16"/>
      <c r="H268" s="16"/>
      <c r="I268" s="17"/>
      <c r="J268" s="16"/>
      <c r="K268" s="16"/>
    </row>
    <row r="269" spans="1:11" ht="14.45">
      <c r="A269" s="16"/>
      <c r="B269" s="25"/>
      <c r="C269" s="16"/>
      <c r="D269" s="16"/>
      <c r="E269" s="16"/>
      <c r="F269" s="17"/>
      <c r="G269" s="16"/>
      <c r="H269" s="16"/>
      <c r="I269" s="17"/>
      <c r="J269" s="16"/>
      <c r="K269" s="16"/>
    </row>
    <row r="270" spans="1:11" ht="14.45">
      <c r="A270" s="16"/>
      <c r="B270" s="25"/>
      <c r="C270" s="16"/>
      <c r="D270" s="16"/>
      <c r="E270" s="16"/>
      <c r="F270" s="17"/>
      <c r="G270" s="16"/>
      <c r="H270" s="16"/>
      <c r="I270" s="17"/>
      <c r="J270" s="16"/>
      <c r="K270" s="16"/>
    </row>
    <row r="271" spans="1:11" ht="14.45">
      <c r="A271" s="16"/>
      <c r="B271" s="25"/>
      <c r="C271" s="16"/>
      <c r="D271" s="16"/>
      <c r="E271" s="16"/>
      <c r="F271" s="17"/>
      <c r="G271" s="16"/>
      <c r="H271" s="16"/>
      <c r="I271" s="17"/>
      <c r="J271" s="16"/>
      <c r="K271" s="16"/>
    </row>
    <row r="272" spans="1:11" ht="14.45">
      <c r="A272" s="16"/>
      <c r="B272" s="25"/>
      <c r="C272" s="16"/>
      <c r="D272" s="16"/>
      <c r="E272" s="16"/>
      <c r="F272" s="17"/>
      <c r="G272" s="16"/>
      <c r="H272" s="16"/>
      <c r="I272" s="17"/>
      <c r="J272" s="16"/>
      <c r="K272" s="16"/>
    </row>
    <row r="273" spans="1:11" ht="14.45">
      <c r="A273" s="16"/>
      <c r="B273" s="25"/>
      <c r="C273" s="16"/>
      <c r="D273" s="16"/>
      <c r="E273" s="16"/>
      <c r="F273" s="17"/>
      <c r="G273" s="16"/>
      <c r="H273" s="16"/>
      <c r="I273" s="17"/>
      <c r="J273" s="16"/>
      <c r="K273" s="16"/>
    </row>
    <row r="274" spans="1:11" ht="14.45">
      <c r="A274" s="16"/>
      <c r="B274" s="25"/>
      <c r="C274" s="16"/>
      <c r="D274" s="16"/>
      <c r="E274" s="16"/>
      <c r="F274" s="17"/>
      <c r="G274" s="16"/>
      <c r="H274" s="16"/>
      <c r="I274" s="17"/>
      <c r="J274" s="16"/>
      <c r="K274" s="16"/>
    </row>
    <row r="275" spans="1:11" ht="14.45">
      <c r="A275" s="16"/>
      <c r="B275" s="25"/>
      <c r="C275" s="16"/>
      <c r="D275" s="16"/>
      <c r="E275" s="16"/>
      <c r="F275" s="17"/>
      <c r="G275" s="16"/>
      <c r="H275" s="16"/>
      <c r="I275" s="17"/>
      <c r="J275" s="16"/>
      <c r="K275" s="16"/>
    </row>
    <row r="276" spans="1:11" ht="14.45">
      <c r="A276" s="16"/>
      <c r="B276" s="25"/>
      <c r="C276" s="16"/>
      <c r="D276" s="16"/>
      <c r="E276" s="16"/>
      <c r="F276" s="17"/>
      <c r="G276" s="16"/>
      <c r="H276" s="16"/>
      <c r="I276" s="17"/>
      <c r="J276" s="16"/>
      <c r="K276" s="16"/>
    </row>
    <row r="277" spans="1:11" ht="14.45">
      <c r="A277" s="16"/>
      <c r="B277" s="25"/>
      <c r="C277" s="16"/>
      <c r="D277" s="16"/>
      <c r="E277" s="16"/>
      <c r="F277" s="17"/>
      <c r="G277" s="16"/>
      <c r="H277" s="16"/>
      <c r="I277" s="17"/>
      <c r="J277" s="16"/>
      <c r="K277" s="16"/>
    </row>
    <row r="278" spans="1:11" ht="14.45">
      <c r="A278" s="16"/>
      <c r="B278" s="25"/>
      <c r="C278" s="16"/>
      <c r="D278" s="16"/>
      <c r="E278" s="16"/>
      <c r="F278" s="17"/>
      <c r="G278" s="16"/>
      <c r="H278" s="16"/>
      <c r="I278" s="17"/>
      <c r="J278" s="16"/>
      <c r="K278" s="16"/>
    </row>
    <row r="279" spans="1:11" ht="14.45">
      <c r="A279" s="16"/>
      <c r="B279" s="25"/>
      <c r="C279" s="16"/>
      <c r="D279" s="16"/>
      <c r="E279" s="16"/>
      <c r="F279" s="17"/>
      <c r="G279" s="16"/>
      <c r="H279" s="16"/>
      <c r="I279" s="17"/>
      <c r="J279" s="16"/>
      <c r="K279" s="16"/>
    </row>
    <row r="280" spans="1:11" ht="14.45">
      <c r="A280" s="16"/>
      <c r="B280" s="25"/>
      <c r="C280" s="16"/>
      <c r="D280" s="16"/>
      <c r="E280" s="16"/>
      <c r="F280" s="17"/>
      <c r="G280" s="16"/>
      <c r="H280" s="16"/>
      <c r="I280" s="17"/>
      <c r="J280" s="16"/>
      <c r="K280" s="16"/>
    </row>
    <row r="281" spans="1:11" ht="14.45">
      <c r="A281" s="16"/>
      <c r="B281" s="25"/>
      <c r="C281" s="16"/>
      <c r="D281" s="16"/>
      <c r="E281" s="16"/>
      <c r="F281" s="17"/>
      <c r="G281" s="16"/>
      <c r="H281" s="16"/>
      <c r="I281" s="17"/>
      <c r="J281" s="16"/>
      <c r="K281" s="16"/>
    </row>
    <row r="282" spans="1:11" ht="14.45">
      <c r="A282" s="16"/>
      <c r="B282" s="25"/>
      <c r="C282" s="16"/>
      <c r="D282" s="16"/>
      <c r="E282" s="16"/>
      <c r="F282" s="17"/>
      <c r="G282" s="16"/>
      <c r="H282" s="16"/>
      <c r="I282" s="17"/>
      <c r="J282" s="16"/>
      <c r="K282" s="16"/>
    </row>
    <row r="283" spans="1:11" ht="14.45">
      <c r="A283" s="16"/>
      <c r="B283" s="25"/>
      <c r="C283" s="16"/>
      <c r="D283" s="16"/>
      <c r="E283" s="16"/>
      <c r="F283" s="17"/>
      <c r="G283" s="16"/>
      <c r="H283" s="16"/>
      <c r="I283" s="17"/>
      <c r="J283" s="16"/>
      <c r="K283" s="16"/>
    </row>
    <row r="284" spans="1:11" ht="14.45">
      <c r="A284" s="16"/>
      <c r="B284" s="25"/>
      <c r="C284" s="16"/>
      <c r="D284" s="16"/>
      <c r="E284" s="16"/>
      <c r="F284" s="17"/>
      <c r="G284" s="16"/>
      <c r="H284" s="16"/>
      <c r="I284" s="17"/>
      <c r="J284" s="16"/>
      <c r="K284" s="16"/>
    </row>
    <row r="285" spans="1:11" ht="14.45">
      <c r="A285" s="16"/>
      <c r="B285" s="25"/>
      <c r="C285" s="16"/>
      <c r="D285" s="16"/>
      <c r="E285" s="16"/>
      <c r="F285" s="17"/>
      <c r="G285" s="16"/>
      <c r="H285" s="16"/>
      <c r="I285" s="17"/>
      <c r="J285" s="16"/>
      <c r="K285" s="16"/>
    </row>
    <row r="286" spans="1:11" ht="14.45">
      <c r="A286" s="16"/>
      <c r="B286" s="25"/>
      <c r="C286" s="16"/>
      <c r="D286" s="16"/>
      <c r="E286" s="16"/>
      <c r="F286" s="17"/>
      <c r="G286" s="16"/>
      <c r="H286" s="16"/>
      <c r="I286" s="17"/>
      <c r="J286" s="16"/>
      <c r="K286" s="16"/>
    </row>
    <row r="287" spans="1:11" ht="14.45">
      <c r="A287" s="16"/>
      <c r="B287" s="25"/>
      <c r="C287" s="16"/>
      <c r="D287" s="16"/>
      <c r="E287" s="16"/>
      <c r="F287" s="17"/>
      <c r="G287" s="16"/>
      <c r="H287" s="16"/>
      <c r="I287" s="17"/>
      <c r="J287" s="16"/>
      <c r="K287" s="16"/>
    </row>
    <row r="288" spans="1:11" ht="14.45">
      <c r="A288" s="16"/>
      <c r="B288" s="25"/>
      <c r="C288" s="16"/>
      <c r="D288" s="16"/>
      <c r="E288" s="16"/>
      <c r="F288" s="17"/>
      <c r="G288" s="16"/>
      <c r="H288" s="16"/>
      <c r="I288" s="17"/>
      <c r="J288" s="16"/>
      <c r="K288" s="16"/>
    </row>
    <row r="289" spans="1:11" ht="14.45">
      <c r="A289" s="16"/>
      <c r="B289" s="25"/>
      <c r="C289" s="16"/>
      <c r="D289" s="16"/>
      <c r="E289" s="16"/>
      <c r="F289" s="17"/>
      <c r="G289" s="16"/>
      <c r="H289" s="16"/>
      <c r="I289" s="17"/>
      <c r="J289" s="16"/>
      <c r="K289" s="16"/>
    </row>
    <row r="290" spans="1:11" ht="14.45">
      <c r="A290" s="16"/>
      <c r="B290" s="25"/>
      <c r="C290" s="16"/>
      <c r="D290" s="16"/>
      <c r="E290" s="16"/>
      <c r="F290" s="17"/>
      <c r="G290" s="16"/>
      <c r="H290" s="16"/>
      <c r="I290" s="17"/>
      <c r="J290" s="16"/>
      <c r="K290" s="16"/>
    </row>
    <row r="291" spans="1:11" ht="14.45">
      <c r="A291" s="16"/>
      <c r="B291" s="25"/>
      <c r="C291" s="16"/>
      <c r="D291" s="16"/>
      <c r="E291" s="16"/>
      <c r="F291" s="17"/>
      <c r="G291" s="16"/>
      <c r="H291" s="16"/>
      <c r="I291" s="17"/>
      <c r="J291" s="16"/>
      <c r="K291" s="16"/>
    </row>
    <row r="292" spans="1:11" ht="14.45">
      <c r="A292" s="16"/>
      <c r="B292" s="25"/>
      <c r="C292" s="16"/>
      <c r="D292" s="16"/>
      <c r="E292" s="16"/>
      <c r="F292" s="17"/>
      <c r="G292" s="16"/>
      <c r="H292" s="16"/>
      <c r="I292" s="17"/>
      <c r="J292" s="16"/>
      <c r="K292" s="16"/>
    </row>
    <row r="293" spans="1:11" ht="14.45">
      <c r="A293" s="16"/>
      <c r="B293" s="25"/>
      <c r="C293" s="16"/>
      <c r="D293" s="16"/>
      <c r="E293" s="16"/>
      <c r="F293" s="17"/>
      <c r="G293" s="16"/>
      <c r="H293" s="16"/>
      <c r="I293" s="17"/>
      <c r="J293" s="16"/>
      <c r="K293" s="16"/>
    </row>
    <row r="294" spans="1:11" ht="14.45">
      <c r="A294" s="16"/>
      <c r="B294" s="25"/>
      <c r="C294" s="16"/>
      <c r="D294" s="16"/>
      <c r="E294" s="16"/>
      <c r="F294" s="17"/>
      <c r="G294" s="16"/>
      <c r="H294" s="16"/>
      <c r="I294" s="17"/>
      <c r="J294" s="16"/>
      <c r="K294" s="16"/>
    </row>
    <row r="295" spans="1:11" ht="14.45">
      <c r="A295" s="16"/>
      <c r="B295" s="25"/>
      <c r="C295" s="16"/>
      <c r="D295" s="16"/>
      <c r="E295" s="16"/>
      <c r="F295" s="17"/>
      <c r="G295" s="16"/>
      <c r="H295" s="16"/>
      <c r="I295" s="17"/>
      <c r="J295" s="16"/>
      <c r="K295" s="16"/>
    </row>
    <row r="296" spans="1:11" ht="14.45">
      <c r="A296" s="16"/>
      <c r="B296" s="25"/>
      <c r="C296" s="16"/>
      <c r="D296" s="16"/>
      <c r="E296" s="16"/>
      <c r="F296" s="17"/>
      <c r="G296" s="16"/>
      <c r="H296" s="16"/>
      <c r="I296" s="17"/>
      <c r="J296" s="16"/>
      <c r="K296" s="16"/>
    </row>
    <row r="297" spans="1:11" ht="14.45">
      <c r="A297" s="16"/>
      <c r="B297" s="25"/>
      <c r="C297" s="16"/>
      <c r="D297" s="16"/>
      <c r="E297" s="16"/>
      <c r="F297" s="17"/>
      <c r="G297" s="16"/>
      <c r="H297" s="16"/>
      <c r="I297" s="17"/>
      <c r="J297" s="16"/>
      <c r="K297" s="16"/>
    </row>
    <row r="298" spans="1:11" ht="14.45">
      <c r="A298" s="16"/>
      <c r="B298" s="25"/>
      <c r="C298" s="16"/>
      <c r="D298" s="16"/>
      <c r="E298" s="16"/>
      <c r="F298" s="17"/>
      <c r="G298" s="16"/>
      <c r="H298" s="16"/>
      <c r="I298" s="17"/>
      <c r="J298" s="16"/>
      <c r="K298" s="16"/>
    </row>
    <row r="299" spans="1:11" ht="14.45">
      <c r="A299" s="16"/>
      <c r="B299" s="25"/>
      <c r="C299" s="16"/>
      <c r="D299" s="16"/>
      <c r="E299" s="16"/>
      <c r="F299" s="17"/>
      <c r="G299" s="16"/>
      <c r="H299" s="16"/>
      <c r="I299" s="17"/>
      <c r="J299" s="16"/>
      <c r="K299" s="16"/>
    </row>
    <row r="300" spans="1:11" ht="14.45">
      <c r="A300" s="16"/>
      <c r="B300" s="25"/>
      <c r="C300" s="16"/>
      <c r="D300" s="16"/>
      <c r="E300" s="16"/>
      <c r="F300" s="17"/>
      <c r="G300" s="16"/>
      <c r="H300" s="16"/>
      <c r="I300" s="17"/>
      <c r="J300" s="16"/>
      <c r="K300" s="16"/>
    </row>
    <row r="301" spans="1:11" ht="14.45">
      <c r="A301" s="16"/>
      <c r="B301" s="25"/>
      <c r="C301" s="16"/>
      <c r="D301" s="16"/>
      <c r="E301" s="16"/>
      <c r="F301" s="17"/>
      <c r="G301" s="16"/>
      <c r="H301" s="16"/>
      <c r="I301" s="17"/>
      <c r="J301" s="16"/>
      <c r="K301" s="16"/>
    </row>
    <row r="302" spans="1:11" ht="14.45">
      <c r="A302" s="16"/>
      <c r="B302" s="25"/>
      <c r="C302" s="16"/>
      <c r="D302" s="16"/>
      <c r="E302" s="16"/>
      <c r="F302" s="17"/>
      <c r="G302" s="16"/>
      <c r="H302" s="16"/>
      <c r="I302" s="17"/>
      <c r="J302" s="16"/>
      <c r="K302" s="16"/>
    </row>
    <row r="303" spans="1:11" ht="14.45">
      <c r="A303" s="16"/>
      <c r="B303" s="25"/>
      <c r="C303" s="16"/>
      <c r="D303" s="16"/>
      <c r="E303" s="16"/>
      <c r="F303" s="17"/>
      <c r="G303" s="16"/>
      <c r="H303" s="16"/>
      <c r="I303" s="17"/>
      <c r="J303" s="16"/>
      <c r="K303" s="16"/>
    </row>
    <row r="304" spans="1:11" ht="14.45">
      <c r="A304" s="16"/>
      <c r="B304" s="25"/>
      <c r="C304" s="16"/>
      <c r="D304" s="16"/>
      <c r="E304" s="16"/>
      <c r="F304" s="17"/>
      <c r="G304" s="16"/>
      <c r="H304" s="16"/>
      <c r="I304" s="17"/>
      <c r="J304" s="16"/>
      <c r="K304" s="16"/>
    </row>
    <row r="305" spans="1:11" ht="14.45">
      <c r="A305" s="16"/>
      <c r="B305" s="25"/>
      <c r="C305" s="16"/>
      <c r="D305" s="16"/>
      <c r="E305" s="16"/>
      <c r="F305" s="17"/>
      <c r="G305" s="16"/>
      <c r="H305" s="16"/>
      <c r="I305" s="17"/>
      <c r="J305" s="16"/>
      <c r="K305" s="16"/>
    </row>
    <row r="306" spans="1:11" ht="14.45">
      <c r="A306" s="16"/>
      <c r="B306" s="25"/>
      <c r="C306" s="16"/>
      <c r="D306" s="16"/>
      <c r="E306" s="16"/>
      <c r="F306" s="17"/>
      <c r="G306" s="16"/>
      <c r="H306" s="16"/>
      <c r="I306" s="17"/>
      <c r="J306" s="16"/>
      <c r="K306" s="16"/>
    </row>
    <row r="307" spans="1:11" ht="14.45">
      <c r="A307" s="16"/>
      <c r="B307" s="25"/>
      <c r="C307" s="16"/>
      <c r="D307" s="16"/>
      <c r="E307" s="16"/>
      <c r="F307" s="17"/>
      <c r="G307" s="16"/>
      <c r="H307" s="16"/>
      <c r="I307" s="17"/>
      <c r="J307" s="16"/>
      <c r="K307" s="16"/>
    </row>
    <row r="308" spans="1:11" ht="14.45">
      <c r="A308" s="16"/>
      <c r="B308" s="25"/>
      <c r="C308" s="16"/>
      <c r="D308" s="16"/>
      <c r="E308" s="16"/>
      <c r="F308" s="17"/>
      <c r="G308" s="16"/>
      <c r="H308" s="16"/>
      <c r="I308" s="17"/>
      <c r="J308" s="16"/>
      <c r="K308" s="16"/>
    </row>
    <row r="309" spans="1:11" ht="14.45">
      <c r="A309" s="16"/>
      <c r="B309" s="25"/>
      <c r="C309" s="16"/>
      <c r="D309" s="16"/>
      <c r="E309" s="16"/>
      <c r="F309" s="17"/>
      <c r="G309" s="16"/>
      <c r="H309" s="16"/>
      <c r="I309" s="17"/>
      <c r="J309" s="16"/>
      <c r="K309" s="16"/>
    </row>
    <row r="310" spans="1:11" ht="14.45">
      <c r="A310" s="16"/>
      <c r="B310" s="25"/>
      <c r="C310" s="16"/>
      <c r="D310" s="16"/>
      <c r="E310" s="16"/>
      <c r="F310" s="17"/>
      <c r="G310" s="16"/>
      <c r="H310" s="16"/>
      <c r="I310" s="17"/>
      <c r="J310" s="16"/>
      <c r="K310" s="16"/>
    </row>
    <row r="311" spans="1:11" ht="14.45">
      <c r="A311" s="16"/>
      <c r="B311" s="25"/>
      <c r="C311" s="16"/>
      <c r="D311" s="16"/>
      <c r="E311" s="16"/>
      <c r="F311" s="17"/>
      <c r="G311" s="16"/>
      <c r="H311" s="16"/>
      <c r="I311" s="17"/>
      <c r="J311" s="16"/>
      <c r="K311" s="16"/>
    </row>
    <row r="312" spans="1:11" ht="14.45">
      <c r="A312" s="16"/>
      <c r="B312" s="25"/>
      <c r="C312" s="16"/>
      <c r="D312" s="16"/>
      <c r="E312" s="16"/>
      <c r="F312" s="17"/>
      <c r="G312" s="16"/>
      <c r="H312" s="16"/>
      <c r="I312" s="17"/>
      <c r="J312" s="16"/>
      <c r="K312" s="16"/>
    </row>
    <row r="313" spans="1:11" ht="14.45">
      <c r="A313" s="16"/>
      <c r="B313" s="25"/>
      <c r="C313" s="16"/>
      <c r="D313" s="16"/>
      <c r="E313" s="16"/>
      <c r="F313" s="17"/>
      <c r="G313" s="16"/>
      <c r="H313" s="16"/>
      <c r="I313" s="17"/>
      <c r="J313" s="16"/>
      <c r="K313" s="16"/>
    </row>
    <row r="314" spans="1:11" ht="14.45">
      <c r="A314" s="16"/>
      <c r="B314" s="25"/>
      <c r="C314" s="16"/>
      <c r="D314" s="16"/>
      <c r="E314" s="16"/>
      <c r="F314" s="17"/>
      <c r="G314" s="16"/>
      <c r="H314" s="16"/>
      <c r="I314" s="17"/>
      <c r="J314" s="16"/>
      <c r="K314" s="16"/>
    </row>
    <row r="315" spans="1:11" ht="14.45">
      <c r="A315" s="16"/>
      <c r="B315" s="25"/>
      <c r="C315" s="16"/>
      <c r="D315" s="16"/>
      <c r="E315" s="16"/>
      <c r="F315" s="17"/>
      <c r="G315" s="16"/>
      <c r="H315" s="16"/>
      <c r="I315" s="17"/>
      <c r="J315" s="16"/>
      <c r="K315" s="16"/>
    </row>
    <row r="316" spans="1:11" ht="14.45">
      <c r="C316" s="16"/>
      <c r="D316" s="16"/>
      <c r="E316" s="16"/>
      <c r="F316" s="17"/>
      <c r="G316" s="16"/>
      <c r="H316" s="16"/>
      <c r="I316" s="17"/>
      <c r="J316" s="16"/>
      <c r="K316" s="16"/>
    </row>
  </sheetData>
  <mergeCells count="4">
    <mergeCell ref="G1:I1"/>
    <mergeCell ref="A1:C1"/>
    <mergeCell ref="D1:F1"/>
    <mergeCell ref="A2:B2"/>
  </mergeCells>
  <conditionalFormatting sqref="F2 I2 F4:F74 I4:I74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39" t="s">
        <v>49</v>
      </c>
      <c r="B4" t="s">
        <v>53</v>
      </c>
      <c r="C4" s="37" t="s">
        <v>54</v>
      </c>
      <c r="D4" s="36" t="s">
        <v>55</v>
      </c>
      <c r="E4" t="s">
        <v>56</v>
      </c>
      <c r="G4" s="3"/>
    </row>
    <row r="5" spans="1:12" ht="14.45">
      <c r="A5" s="39"/>
      <c r="C5" s="37"/>
      <c r="D5" s="36"/>
      <c r="G5" s="3"/>
    </row>
    <row r="6" spans="1:12" ht="14.45">
      <c r="A6" s="39"/>
      <c r="C6" s="37"/>
      <c r="D6" s="36"/>
      <c r="G6" s="3"/>
    </row>
    <row r="7" spans="1:12" ht="12.75" customHeight="1">
      <c r="A7" s="39"/>
      <c r="C7" s="37"/>
      <c r="D7" s="36"/>
    </row>
    <row r="8" spans="1:12" ht="12.75" customHeight="1">
      <c r="A8" s="39"/>
      <c r="C8" s="37"/>
      <c r="D8" s="36"/>
    </row>
    <row r="9" spans="1:12" ht="12.75" customHeight="1">
      <c r="A9" s="39"/>
      <c r="C9" s="37"/>
      <c r="D9" s="36"/>
    </row>
    <row r="10" spans="1:12" ht="12.75" customHeight="1">
      <c r="A10" s="39"/>
      <c r="C10" s="37"/>
      <c r="D10" s="36"/>
      <c r="K10" s="34"/>
      <c r="L10" s="34"/>
    </row>
    <row r="11" spans="1:12" ht="12.75" customHeight="1">
      <c r="A11" s="39"/>
      <c r="C11" s="37"/>
      <c r="D11" s="36"/>
      <c r="K11" s="34"/>
      <c r="L11" s="34"/>
    </row>
    <row r="12" spans="1:12" ht="12.75" customHeight="1">
      <c r="A12" s="39"/>
      <c r="C12" s="37"/>
      <c r="D12" s="36"/>
      <c r="K12" s="34"/>
      <c r="L12" s="34"/>
    </row>
    <row r="13" spans="1:12" ht="12.75" customHeight="1">
      <c r="A13" s="39"/>
      <c r="C13" s="37"/>
      <c r="D13" s="36"/>
      <c r="K13" s="34"/>
      <c r="L13" s="34"/>
    </row>
    <row r="14" spans="1:12" ht="12.75" customHeight="1">
      <c r="A14" s="39"/>
      <c r="C14" s="37"/>
      <c r="D14" s="36"/>
      <c r="K14" s="34"/>
      <c r="L14" s="34"/>
    </row>
    <row r="15" spans="1:12" ht="12.75" customHeight="1">
      <c r="A15" s="39"/>
      <c r="C15" s="37"/>
      <c r="D15" s="36"/>
      <c r="K15" s="34"/>
      <c r="L15" s="34"/>
    </row>
    <row r="16" spans="1:12" ht="12.75" customHeight="1">
      <c r="A16" s="39"/>
      <c r="C16" s="37"/>
      <c r="D16" s="36"/>
      <c r="K16" s="34"/>
      <c r="L16" s="34"/>
    </row>
    <row r="17" spans="1:12" ht="12.75" customHeight="1">
      <c r="A17" s="39"/>
      <c r="C17" s="37"/>
      <c r="D17" s="36"/>
      <c r="K17" s="34"/>
      <c r="L17" s="34"/>
    </row>
    <row r="18" spans="1:12" ht="12.75" customHeight="1">
      <c r="A18" s="39"/>
      <c r="C18" s="37"/>
      <c r="D18" s="36"/>
      <c r="K18" s="34"/>
      <c r="L18" s="34"/>
    </row>
    <row r="19" spans="1:12" ht="12.75" customHeight="1">
      <c r="A19" s="39"/>
      <c r="C19" s="37"/>
      <c r="D19" s="36"/>
      <c r="K19" s="34"/>
      <c r="L19" s="34"/>
    </row>
    <row r="20" spans="1:12" ht="12.75" customHeight="1">
      <c r="A20" s="39"/>
      <c r="C20" s="37"/>
      <c r="D20" s="36"/>
      <c r="K20" s="34"/>
      <c r="L20" s="34"/>
    </row>
    <row r="21" spans="1:12" ht="12.75" customHeight="1">
      <c r="A21" s="39"/>
      <c r="C21" s="37"/>
      <c r="D21" s="36"/>
      <c r="K21" s="34"/>
      <c r="L21" s="34"/>
    </row>
    <row r="22" spans="1:12" ht="12.75" customHeight="1">
      <c r="A22" s="39"/>
      <c r="C22" s="37"/>
      <c r="D22" s="36"/>
      <c r="K22" s="34"/>
      <c r="L22" s="34"/>
    </row>
    <row r="23" spans="1:12" ht="12.75" customHeight="1">
      <c r="A23" s="39"/>
      <c r="C23" s="37"/>
      <c r="D23" s="36"/>
      <c r="K23" s="34"/>
      <c r="L23" s="34"/>
    </row>
    <row r="24" spans="1:12" ht="12.75" customHeight="1">
      <c r="A24" s="39"/>
      <c r="C24" s="37"/>
      <c r="D24" s="36"/>
      <c r="K24" s="34"/>
      <c r="L24" s="34"/>
    </row>
    <row r="25" spans="1:12" ht="12.75" customHeight="1">
      <c r="A25" s="39"/>
      <c r="C25" s="37"/>
      <c r="D25" s="36"/>
      <c r="K25" s="34"/>
      <c r="L25" s="34"/>
    </row>
    <row r="26" spans="1:12" ht="12.75" customHeight="1">
      <c r="K26" s="34"/>
      <c r="L26" s="34"/>
    </row>
    <row r="27" spans="1:12" ht="12.75" customHeight="1">
      <c r="K27" s="34"/>
      <c r="L27" s="34"/>
    </row>
    <row r="28" spans="1:12" ht="12.75" customHeight="1">
      <c r="K28" s="34"/>
      <c r="L28" s="34"/>
    </row>
    <row r="29" spans="1:12" ht="12.75" customHeight="1">
      <c r="K29" s="34"/>
      <c r="L29" s="34"/>
    </row>
    <row r="30" spans="1:12" ht="12.75" customHeight="1">
      <c r="K30" s="34"/>
      <c r="L30" s="34"/>
    </row>
    <row r="31" spans="1:12" ht="12.75" customHeight="1">
      <c r="K31" s="34"/>
      <c r="L31" s="34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66B09F59-6532-46F8-924A-9A02417E070D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