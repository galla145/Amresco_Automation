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34" documentId="13_ncr:1_{ADB5CC65-BB1B-4580-9819-FACE3C682113}" xr6:coauthVersionLast="47" xr6:coauthVersionMax="47" xr10:uidLastSave="{5596CC47-3DA8-4F32-9E69-AB0C21B6D20F}"/>
  <bookViews>
    <workbookView xWindow="28680" yWindow="-120" windowWidth="29040" windowHeight="15720" tabRatio="866" firstSheet="13" activeTab="1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9" l="1"/>
  <c r="G5" i="29"/>
  <c r="G5" i="18"/>
  <c r="G4" i="18"/>
  <c r="E4" i="4"/>
  <c r="E4" i="72"/>
  <c r="F4" i="72" s="1"/>
  <c r="E5" i="72"/>
  <c r="F5" i="72" s="1"/>
  <c r="C2" i="3" l="1"/>
  <c r="B4" i="33" l="1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G5" i="1"/>
  <c r="G5" i="34" s="1"/>
  <c r="G4" i="1"/>
  <c r="G4" i="34" s="1"/>
  <c r="D5" i="34"/>
  <c r="C5" i="34"/>
  <c r="B4" i="34" a="1"/>
  <c r="B4" i="34" s="1"/>
  <c r="A4" i="34" a="1"/>
  <c r="A4" i="34" s="1"/>
  <c r="A1" i="34" a="1"/>
  <c r="A1" i="34" s="1"/>
  <c r="D5" i="30"/>
  <c r="C5" i="30"/>
  <c r="D4" i="30"/>
  <c r="C4" i="30"/>
  <c r="D5" i="29"/>
  <c r="C5" i="29"/>
  <c r="D4" i="29"/>
  <c r="C4" i="29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5" i="1"/>
  <c r="C4" i="1"/>
  <c r="D5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H4" i="4"/>
  <c r="I4" i="4" s="1"/>
  <c r="F4" i="4"/>
  <c r="G2" i="4"/>
  <c r="D2" i="4"/>
  <c r="C2" i="4"/>
  <c r="A1" i="4" a="1"/>
  <c r="A1" i="4" s="1"/>
  <c r="G2" i="3"/>
  <c r="H2" i="3" s="1"/>
  <c r="D2" i="3"/>
  <c r="J2" i="3"/>
  <c r="A1" i="3" a="1"/>
  <c r="A1" i="3" s="1"/>
  <c r="H5" i="72"/>
  <c r="I5" i="72" s="1"/>
  <c r="H4" i="72"/>
  <c r="I4" i="72" s="1"/>
  <c r="G2" i="72"/>
  <c r="D2" i="72"/>
  <c r="C2" i="72"/>
  <c r="J2" i="72" s="1"/>
  <c r="A1" i="72" a="1"/>
  <c r="A1" i="72" s="1"/>
  <c r="C4" i="34" l="1"/>
  <c r="D4" i="34"/>
  <c r="D2" i="34" s="1"/>
  <c r="E5" i="18"/>
  <c r="F5" i="18" s="1"/>
  <c r="D2" i="18"/>
  <c r="E5" i="30"/>
  <c r="F5" i="30" s="1"/>
  <c r="E4" i="18"/>
  <c r="F4" i="18" s="1"/>
  <c r="D2" i="29"/>
  <c r="E5" i="29"/>
  <c r="F5" i="29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I2" i="3"/>
  <c r="E5" i="34"/>
  <c r="F5" i="34" s="1"/>
  <c r="G2" i="1"/>
  <c r="E5" i="1"/>
  <c r="F5" i="1" s="1"/>
  <c r="H4" i="30"/>
  <c r="I4" i="30" s="1"/>
  <c r="H5" i="30"/>
  <c r="I5" i="30" s="1"/>
  <c r="H4" i="29"/>
  <c r="I4" i="29" s="1"/>
  <c r="H5" i="29"/>
  <c r="I5" i="29" s="1"/>
  <c r="H4" i="18"/>
  <c r="I4" i="18" s="1"/>
  <c r="H5" i="18"/>
  <c r="I5" i="18" s="1"/>
  <c r="H5" i="34"/>
  <c r="I5" i="34" s="1"/>
  <c r="C2" i="29"/>
  <c r="C2" i="30"/>
  <c r="E4" i="29"/>
  <c r="F4" i="29" s="1"/>
  <c r="C2" i="18"/>
  <c r="H4" i="1"/>
  <c r="H5" i="1"/>
  <c r="I5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H4" i="34" l="1"/>
  <c r="I4" i="34" s="1"/>
  <c r="E4" i="34"/>
  <c r="F4" i="34" s="1"/>
  <c r="E2" i="29"/>
  <c r="F2" i="29" s="1"/>
  <c r="G2" i="34"/>
  <c r="H2" i="1"/>
  <c r="I2" i="1" s="1"/>
  <c r="C2" i="34"/>
  <c r="I4" i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<sst xmlns="http://schemas.openxmlformats.org/spreadsheetml/2006/main" count="261" uniqueCount="64">
  <si>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</si>
  <si>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</si>
  <si>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</si>
  <si>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</si>
  <si>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</si>
  <si>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</si>
  <si>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</si>
  <si>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</si>
  <si>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</si>
  <si>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</si>
  <si>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</si>
  <si>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</si>
  <si>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</si>
  <si>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</si>
  <si>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</si>
  <si>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</si>
  <si>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</si>
  <si>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</si>
  <si>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</si>
  <si>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</si>
  <si>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</si>
  <si>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</si>
  <si>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/>
  </si>
  <si>
    <t>February Actual v. Expected</t>
  </si>
  <si>
    <t>February Actual v. Forecasted</t>
  </si>
  <si>
    <t>1. Inverter 9 tripped offline at 09:00am on 02/18 and back online on 02/20 at 9:30am.</t>
  </si>
  <si>
    <t>1.  	SR081093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</si>
  <si>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</si>
  <si>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</si>
  <si>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</si>
  <si>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</si>
  <si>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</si>
  <si>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</si>
  <si>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</si>
  <si>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</si>
  <si>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</si>
  <si>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</si>
  <si>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1. Weather station is reporting erroneous since 2021 and lost weather station lost communication from 04/01.</t>
  </si>
  <si>
    <t>1. SR087331</t>
  </si>
  <si>
    <t>1. SR085123, 	SR071639, SR081173</t>
  </si>
  <si>
    <t>August Actual v. Expected</t>
  </si>
  <si>
    <t>August Actual v. Forecasted</t>
  </si>
  <si>
    <t>September Actual v. Expected</t>
  </si>
  <si>
    <t>September Actual v. Forecasted</t>
  </si>
  <si>
    <t>1. Weather station is reporting erroneous since 2021 and weather station lost communication from 04/01.</t>
  </si>
  <si>
    <t>1. SR092275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</si>
  <si>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</si>
  <si>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</si>
  <si>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</si>
  <si>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</si>
  <si>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</si>
  <si>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</si>
  <si>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</si>
  <si>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Solar Income LLC</t>
  </si>
  <si>
    <t>Site DAS Name</t>
  </si>
  <si>
    <t>Update</t>
  </si>
  <si>
    <t>DAS</t>
  </si>
  <si>
    <t>Lee Company - B9</t>
  </si>
  <si>
    <t>Westbrook - Lee Building 9</t>
  </si>
  <si>
    <t>CT</t>
  </si>
  <si>
    <t>AEF</t>
  </si>
  <si>
    <t>PowerTrack</t>
  </si>
  <si>
    <t>The Lee Company B82</t>
  </si>
  <si>
    <t>Westbrook - Lee Building 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</si>
</sst>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</fonts>
  <fills count="47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D9E1F2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rgb="FF8EA9DB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4" fillId="36" borderId="1" xfId="0" applyNumberFormat="1" applyFont="1" applyFill="1" applyBorder="1" applyAlignment="1">
      <alignment horizontal="center" vertical="center"/>
    </xf>
    <xf numFmtId="9" fontId="24" fillId="36" borderId="1" xfId="0" applyNumberFormat="1" applyFont="1" applyFill="1" applyBorder="1" applyAlignment="1">
      <alignment horizontal="center" vertical="center"/>
    </xf>
    <xf numFmtId="3" fontId="24" fillId="36" borderId="1" xfId="1" applyNumberFormat="1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 wrapText="1"/>
    </xf>
    <xf numFmtId="49" fontId="27" fillId="40" borderId="0" xfId="0" applyNumberFormat="1" applyFont="1" applyFill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164" fontId="27" fillId="0" borderId="0" xfId="1" applyNumberFormat="1" applyFont="1" applyBorder="1" applyAlignment="1">
      <alignment horizontal="center" vertical="center"/>
    </xf>
    <xf numFmtId="3" fontId="29" fillId="3" borderId="0" xfId="0" applyNumberFormat="1" applyFont="1" applyFill="1" applyAlignment="1">
      <alignment horizontal="right" vertical="center"/>
    </xf>
    <xf numFmtId="9" fontId="29" fillId="3" borderId="0" xfId="2" applyFont="1" applyFill="1" applyBorder="1" applyAlignment="1">
      <alignment horizontal="center" vertical="center"/>
    </xf>
    <xf numFmtId="3" fontId="29" fillId="4" borderId="0" xfId="1" applyNumberFormat="1" applyFont="1" applyFill="1" applyBorder="1" applyAlignment="1">
      <alignment vertical="center"/>
    </xf>
    <xf numFmtId="9" fontId="29" fillId="37" borderId="0" xfId="2" applyFont="1" applyFill="1" applyBorder="1" applyAlignment="1">
      <alignment horizontal="center" vertical="center"/>
    </xf>
    <xf numFmtId="49" fontId="26" fillId="0" borderId="0" xfId="0" applyNumberFormat="1" applyFont="1" applyAlignment="1">
      <alignment horizontal="center" vertical="center"/>
    </xf>
    <xf numFmtId="3" fontId="29" fillId="0" borderId="0" xfId="0" applyNumberFormat="1" applyFont="1" applyAlignment="1">
      <alignment horizontal="right" vertical="center"/>
    </xf>
    <xf numFmtId="9" fontId="29" fillId="0" borderId="0" xfId="2" applyFont="1" applyFill="1" applyBorder="1" applyAlignment="1">
      <alignment horizontal="center" vertical="center"/>
    </xf>
    <xf numFmtId="3" fontId="29" fillId="0" borderId="0" xfId="1" applyNumberFormat="1" applyFont="1" applyFill="1" applyBorder="1" applyAlignment="1">
      <alignment vertical="center"/>
    </xf>
    <xf numFmtId="0" fontId="31" fillId="0" borderId="0" xfId="0" applyFont="1"/>
    <xf numFmtId="9" fontId="30" fillId="0" borderId="0" xfId="2" applyFont="1" applyAlignment="1">
      <alignment horizontal="center"/>
    </xf>
    <xf numFmtId="0" fontId="28" fillId="43" borderId="1" xfId="0" applyFont="1" applyFill="1" applyBorder="1" applyAlignment="1">
      <alignment horizontal="center" vertical="center" wrapText="1"/>
    </xf>
    <xf numFmtId="164" fontId="27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28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3" fillId="40" borderId="0" xfId="0" applyFont="1" applyFill="1" applyAlignment="1">
      <alignment horizontal="center"/>
    </xf>
    <xf numFmtId="0" fontId="29" fillId="0" borderId="0" xfId="0" applyFont="1"/>
    <xf numFmtId="0" fontId="24" fillId="0" borderId="0" xfId="0" applyFont="1"/>
    <xf numFmtId="0" fontId="23" fillId="41" borderId="1" xfId="0" applyFont="1" applyFill="1" applyBorder="1" applyAlignment="1">
      <alignment horizontal="center" vertical="center" wrapText="1"/>
    </xf>
    <xf numFmtId="9" fontId="23" fillId="41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/>
    </xf>
    <xf numFmtId="0" fontId="23" fillId="42" borderId="1" xfId="0" applyFont="1" applyFill="1" applyBorder="1" applyAlignment="1">
      <alignment horizontal="center" vertical="center" wrapText="1"/>
    </xf>
    <xf numFmtId="9" fontId="23" fillId="42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 vertical="center"/>
    </xf>
    <xf numFmtId="49" fontId="29" fillId="38" borderId="0" xfId="2" applyNumberFormat="1" applyFont="1" applyFill="1" applyBorder="1" applyAlignment="1">
      <alignment vertical="top" wrapText="1"/>
    </xf>
    <xf numFmtId="49" fontId="27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164" fontId="27" fillId="0" borderId="0" xfId="1" applyNumberFormat="1" applyFont="1" applyFill="1" applyBorder="1" applyAlignment="1">
      <alignment horizontal="center" vertical="center"/>
    </xf>
    <xf numFmtId="0" fontId="33" fillId="40" borderId="0" xfId="0" applyFont="1" applyFill="1" applyAlignment="1">
      <alignment horizontal="center" vertical="center"/>
    </xf>
    <xf numFmtId="49" fontId="26" fillId="40" borderId="0" xfId="0" applyNumberFormat="1" applyFont="1" applyFill="1" applyAlignment="1">
      <alignment horizontal="center" vertical="center"/>
    </xf>
    <xf numFmtId="0" fontId="34" fillId="46" borderId="0" xfId="0" applyFont="1" applyFill="1" applyAlignment="1">
      <alignment horizontal="left" vertical="top"/>
    </xf>
    <xf numFmtId="0" fontId="34" fillId="46" borderId="12" xfId="0" applyFont="1" applyFill="1" applyBorder="1"/>
    <xf numFmtId="0" fontId="0" fillId="0" borderId="13" xfId="0" applyBorder="1"/>
    <xf numFmtId="0" fontId="34" fillId="0" borderId="0" xfId="0" applyFont="1" applyAlignment="1">
      <alignment horizontal="left" vertical="top"/>
    </xf>
    <xf numFmtId="0" fontId="34" fillId="0" borderId="0" xfId="0" applyFont="1"/>
    <xf numFmtId="0" fontId="34" fillId="0" borderId="12" xfId="0" applyFont="1" applyBorder="1"/>
    <xf numFmtId="49" fontId="27" fillId="0" borderId="0" xfId="0" applyNumberFormat="1" applyFont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3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0"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5" totalsRowShown="0">
  <autoFilter ref="A3:E5" xr:uid="{C9C95D9E-67ED-41E0-9F41-9C3DA4ACF4CD}"/>
  <sortState xmlns:xlrd2="http://schemas.microsoft.com/office/spreadsheetml/2017/richdata2" ref="A4:D5">
    <sortCondition ref="C3:C5"/>
  </sortState>
  <tableColumns count="5">
    <tableColumn id="3" xr3:uid="{3FB6FBC9-911C-415A-89D1-91E602B41CD0}" name="Site DAS Name" dataDxfId="3" dataCellStyle="Normal 2"/>
    <tableColumn id="1" xr3:uid="{9A753695-C18C-437C-AD9C-C2CE5C1A806E}" name="Site" dataDxfId="2" dataCellStyle="Normal 2"/>
    <tableColumn id="2" xr3:uid="{250F229D-34D2-4043-BE8F-6D9C210E223F}" name="State" dataDxfId="1" dataCellStyle="Normal 2"/>
    <tableColumn id="5" xr3:uid="{61DF2E38-E0FD-4D7E-AE61-BDFE8D5E1312}" name="Update" dataDxfId="0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9"/>
  <sheetViews>
    <sheetView workbookViewId="0">
      <pane xSplit="2" ySplit="3" topLeftCell="C4" activePane="bottomRight" state="frozen"/>
      <selection pane="bottomRight" activeCell="J4" sqref="J4"/>
      <selection pane="bottomLeft" activeCell="F27" sqref="F27"/>
      <selection pane="topRight" activeCell="F27" sqref="F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Solar Income LLC</v>
      </c>
      <c r="B1" s="53"/>
      <c r="C1" s="53"/>
      <c r="D1" s="54" t="s">
        <v>0</v>
      </c>
      <c r="E1" s="54"/>
      <c r="F1" s="54"/>
      <c r="G1" s="52" t="s">
        <v>1</v>
      </c>
      <c r="H1" s="52"/>
      <c r="I1" s="52"/>
    </row>
    <row r="2" spans="1:9" ht="19.5" customHeight="1">
      <c r="A2" s="55" t="s">
        <v>2</v>
      </c>
      <c r="B2" s="55"/>
      <c r="C2" s="5">
        <f>SUM(C4:C77)</f>
        <v>381548.54986970953</v>
      </c>
      <c r="D2" s="5">
        <f>SUM(D4:D77)</f>
        <v>156766.136</v>
      </c>
      <c r="E2" s="5">
        <f>C2-D2</f>
        <v>224782.41386970953</v>
      </c>
      <c r="F2" s="6">
        <f>IFERROR(E2/D2, 0)</f>
        <v>1.433870985183366</v>
      </c>
      <c r="G2" s="5">
        <f>SUM(G4:G77)</f>
        <v>322657.33100000001</v>
      </c>
      <c r="H2" s="7">
        <f>C2-G2</f>
        <v>58891.218869709526</v>
      </c>
      <c r="I2" s="6">
        <f>IFERROR(H2/G2, 0)</f>
        <v>0.18251938887360822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3" t="str" cm="1">
        <f t="array" ref="A4:A5">Sites[Site]</f>
        <v>Westbrook - Lee Building 9</v>
      </c>
      <c r="B4" s="30" t="str" cm="1">
        <f t="array" ref="B4:B5">Sites[State]</f>
        <v>CT</v>
      </c>
      <c r="C4" s="23">
        <f>SUM('1st Qtr'!C4, '2nd Qtr'!C4, '3rd Qtr'!C4, '4th Qtr'!C4)</f>
        <v>306563.30986970954</v>
      </c>
      <c r="D4" s="12">
        <f>SUM('1st Qtr'!D4, '2nd Qtr'!D4, '3rd Qtr'!D4, '4th Qtr'!D4)</f>
        <v>76640.267999999996</v>
      </c>
      <c r="E4" s="12">
        <f>IF(AND(ISNUMBER(C4),ISNUMBER(D4)), C4-D4, "")</f>
        <v>229923.04186970956</v>
      </c>
      <c r="F4" s="13">
        <f>IFERROR(E4/D4, "")</f>
        <v>3.000029199659239</v>
      </c>
      <c r="G4" s="14">
        <f>SUM('1st Qtr'!G4, '2nd Qtr'!G4, '3rd Qtr'!G4, '4th Qtr'!G4)</f>
        <v>0</v>
      </c>
      <c r="H4" s="14">
        <f>SUM('1st Qtr'!H4, '2nd Qtr'!H4, '3rd Qtr'!H4, '4th Qtr'!H4)</f>
        <v>306563.30986970954</v>
      </c>
      <c r="I4" s="15" t="str">
        <f>IFERROR(H4/G4, "")</f>
        <v/>
      </c>
    </row>
    <row r="5" spans="1:9" ht="15.6">
      <c r="A5" s="28" t="str">
        <v>Westbrook - Lee Building 82</v>
      </c>
      <c r="B5" s="28" t="str">
        <v>CT</v>
      </c>
      <c r="C5" s="11">
        <f>SUM(Jan!C5, Feb!C5, Mar!C5)</f>
        <v>74985.239999999991</v>
      </c>
      <c r="D5" s="17">
        <f>SUM(Jan!D5, Feb!D5, Mar!D5)</f>
        <v>80125.868000000002</v>
      </c>
      <c r="E5" s="17">
        <f t="shared" ref="E5" si="0">IF(AND(ISNUMBER(C5),ISNUMBER(D5)), C5-D5, "")</f>
        <v>-5140.6280000000115</v>
      </c>
      <c r="F5" s="18">
        <f>IFERROR(E5/D5, "")</f>
        <v>-6.4156908727653492E-2</v>
      </c>
      <c r="G5" s="19">
        <f>SUM('1st Qtr'!G5, '2nd Qtr'!G5, '3rd Qtr'!G5, '4th Qtr'!G5)</f>
        <v>322657.33100000001</v>
      </c>
      <c r="H5" s="19">
        <f>SUM(Jan!H5, Feb!H5, Mar!H5)</f>
        <v>-9536.0010000000002</v>
      </c>
      <c r="I5" s="18">
        <f>IFERROR(H5/G5, "")</f>
        <v>-2.955457720562376E-2</v>
      </c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7 I4:I77">
    <cfRule type="cellIs" dxfId="39" priority="1" stopIfTrue="1" operator="lessThanOrEqual">
      <formula>-0.1</formula>
    </cfRule>
    <cfRule type="expression" dxfId="38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9"/>
  <sheetViews>
    <sheetView workbookViewId="0">
      <pane xSplit="2" ySplit="3" topLeftCell="C4" activePane="bottomRight" state="frozen"/>
      <selection pane="bottomRight" activeCell="C23" sqref="C23"/>
      <selection pane="bottomLeft" activeCell="C23" sqref="C23"/>
      <selection pane="topRight" activeCell="C23" sqref="C2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Solar Income LLC</v>
      </c>
      <c r="B1" s="53"/>
      <c r="C1" s="53"/>
      <c r="D1" s="54" t="s">
        <v>10</v>
      </c>
      <c r="E1" s="54"/>
      <c r="F1" s="54"/>
      <c r="G1" s="52" t="s">
        <v>11</v>
      </c>
      <c r="H1" s="52"/>
      <c r="I1" s="52"/>
    </row>
    <row r="2" spans="1:9" ht="19.5" customHeight="1">
      <c r="A2" s="55" t="s">
        <v>2</v>
      </c>
      <c r="B2" s="55"/>
      <c r="C2" s="5">
        <f>SUM(C4:C77)</f>
        <v>147069.43</v>
      </c>
      <c r="D2" s="5">
        <f>SUM(D4:D77)</f>
        <v>156494.34899999999</v>
      </c>
      <c r="E2" s="5">
        <f>C2-D2</f>
        <v>-9424.9189999999944</v>
      </c>
      <c r="F2" s="6">
        <f>IFERROR(E2/D2, 0)</f>
        <v>-6.0225299253457355E-2</v>
      </c>
      <c r="G2" s="5">
        <f>SUM(G4:G77)</f>
        <v>84521.241000000009</v>
      </c>
      <c r="H2" s="7">
        <f>C2-G2</f>
        <v>62548.188999999984</v>
      </c>
      <c r="I2" s="6">
        <f>IFERROR(H2/G2, 0)</f>
        <v>0.74002923123194531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4" t="str" cm="1">
        <f t="array" ref="A4:A5">Sites[Site]</f>
        <v>Westbrook - Lee Building 9</v>
      </c>
      <c r="B4" s="9" t="str" cm="1">
        <f t="array" ref="B4:B5">Sites[State]</f>
        <v>CT</v>
      </c>
      <c r="C4" s="23">
        <f>SUM(Jan!C4, Feb!C4, Mar!C4)</f>
        <v>72084.19</v>
      </c>
      <c r="D4" s="12">
        <f>SUM(Jan!D4, Feb!D4, Mar!D4)</f>
        <v>76368.481</v>
      </c>
      <c r="E4" s="12">
        <f>IF(AND(ISNUMBER(C4),ISNUMBER(D4)), C4-D4, "")</f>
        <v>-4284.2909999999974</v>
      </c>
      <c r="F4" s="13">
        <f>IFERROR(E4/D4, "")</f>
        <v>-5.6100251620822439E-2</v>
      </c>
      <c r="G4" s="14">
        <f>SUM(Jan!G4, Feb!G4, Mar!G4)</f>
        <v>0</v>
      </c>
      <c r="H4" s="14">
        <f>SUM(Jan!H4, Feb!H4, Mar!H4)</f>
        <v>72084.19</v>
      </c>
      <c r="I4" s="15" t="str">
        <f>IFERROR(H4/G4, "")</f>
        <v/>
      </c>
    </row>
    <row r="5" spans="1:9" ht="15.6">
      <c r="A5" s="16" t="str">
        <v>Westbrook - Lee Building 82</v>
      </c>
      <c r="B5" s="10" t="str">
        <v>CT</v>
      </c>
      <c r="C5" s="11">
        <f>SUM(Jan!C5, Feb!C5, Mar!C5)</f>
        <v>74985.239999999991</v>
      </c>
      <c r="D5" s="17">
        <f>SUM(Jan!D5, Feb!D5, Mar!D5)</f>
        <v>80125.868000000002</v>
      </c>
      <c r="E5" s="17">
        <f t="shared" ref="E5" si="0">IF(AND(ISNUMBER(C5),ISNUMBER(D5)), C5-D5, "")</f>
        <v>-5140.6280000000115</v>
      </c>
      <c r="F5" s="18">
        <f>IFERROR(E5/D5, "")</f>
        <v>-6.4156908727653492E-2</v>
      </c>
      <c r="G5" s="19">
        <f>SUM(Jan!G5, Feb!G5, Mar!G5)</f>
        <v>84521.241000000009</v>
      </c>
      <c r="H5" s="19">
        <f>SUM(Jan!H5, Feb!H5, Mar!H5)</f>
        <v>-9536.0010000000002</v>
      </c>
      <c r="I5" s="18">
        <f>IFERROR(H5/G5, "")</f>
        <v>-0.11282372202746052</v>
      </c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7 I4:I77">
    <cfRule type="cellIs" dxfId="37" priority="1" stopIfTrue="1" operator="lessThanOrEqual">
      <formula>-0.1</formula>
    </cfRule>
    <cfRule type="expression" dxfId="36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9"/>
  <sheetViews>
    <sheetView workbookViewId="0">
      <pane xSplit="2" ySplit="3" topLeftCell="C4" activePane="bottomRight" state="frozen"/>
      <selection pane="bottomRight" activeCell="F5" sqref="F5"/>
      <selection pane="bottomLeft" activeCell="C23" sqref="C23"/>
      <selection pane="topRight" activeCell="C23" sqref="C2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Solar Income LLC</v>
      </c>
      <c r="B1" s="53"/>
      <c r="C1" s="53"/>
      <c r="D1" s="54" t="s">
        <v>12</v>
      </c>
      <c r="E1" s="54"/>
      <c r="F1" s="54"/>
      <c r="G1" s="52" t="s">
        <v>13</v>
      </c>
      <c r="H1" s="52"/>
      <c r="I1" s="52"/>
    </row>
    <row r="2" spans="1:9" ht="19.5" customHeight="1">
      <c r="A2" s="55" t="s">
        <v>2</v>
      </c>
      <c r="B2" s="55"/>
      <c r="C2" s="5">
        <f>SUM(C4:C77)</f>
        <v>249302.42</v>
      </c>
      <c r="D2" s="5">
        <f>SUM(D4:D77)</f>
        <v>539.98699999999997</v>
      </c>
      <c r="E2" s="5">
        <f>C2-D2</f>
        <v>248762.43300000002</v>
      </c>
      <c r="F2" s="6">
        <f>IFERROR(E2/D2, 0)</f>
        <v>460.68226272113964</v>
      </c>
      <c r="G2" s="5">
        <f>SUM(G4:G77)</f>
        <v>123194.51000000001</v>
      </c>
      <c r="H2" s="7">
        <f>C2-G2</f>
        <v>126107.91</v>
      </c>
      <c r="I2" s="6">
        <f>IFERROR(H2/G2, 0)</f>
        <v>1.0236487811023396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4" t="str" cm="1">
        <f t="array" ref="A4:A5">Sites[Site]</f>
        <v>Westbrook - Lee Building 9</v>
      </c>
      <c r="B4" s="9" t="str" cm="1">
        <f t="array" ref="B4:B5">Sites[State]</f>
        <v>CT</v>
      </c>
      <c r="C4" s="23">
        <f>SUM(Apr!C4, May!C4, Jun!C4)</f>
        <v>120998.54000000001</v>
      </c>
      <c r="D4" s="12">
        <f>SUM(Apr!D4, May!D4, Jun!D4)</f>
        <v>271.78699999999998</v>
      </c>
      <c r="E4" s="12">
        <f>IF(AND(ISNUMBER(C4),ISNUMBER(D4)), C4-D4, "")</f>
        <v>120726.75300000001</v>
      </c>
      <c r="F4" s="13">
        <f>IFERROR(E4/D4, "")</f>
        <v>444.19620143715491</v>
      </c>
      <c r="G4" s="14">
        <f>SUM(Apr!G4,May!G4,Jun!G4)</f>
        <v>0</v>
      </c>
      <c r="H4" s="14">
        <f>SUM(Apr!H4, May!H4, Jun!H4)</f>
        <v>120998.54000000001</v>
      </c>
      <c r="I4" s="15" t="str">
        <f>IFERROR(H4/G4, "")</f>
        <v/>
      </c>
    </row>
    <row r="5" spans="1:9" ht="15.6">
      <c r="A5" s="16" t="str">
        <v>Westbrook - Lee Building 82</v>
      </c>
      <c r="B5" s="10" t="str">
        <v>CT</v>
      </c>
      <c r="C5" s="11">
        <f>SUM(Apr!C5, May!C5, Jun!C5)</f>
        <v>128303.88</v>
      </c>
      <c r="D5" s="17">
        <f>SUM(Apr!D5, May!D5, Jun!D5)</f>
        <v>268.2</v>
      </c>
      <c r="E5" s="17">
        <f t="shared" ref="E5" si="0">IF(AND(ISNUMBER(C5),ISNUMBER(D5)), C5-D5, "")</f>
        <v>128035.68000000001</v>
      </c>
      <c r="F5" s="18">
        <f>IFERROR(E5/D5, "")</f>
        <v>477.38881431767345</v>
      </c>
      <c r="G5" s="17">
        <f>SUM(Apr!G5,May!G5,Jun!G5)</f>
        <v>123194.51000000001</v>
      </c>
      <c r="H5" s="19">
        <f>SUM(Apr!H5, May!H5, Jun!H5)</f>
        <v>5109.3699999999953</v>
      </c>
      <c r="I5" s="18">
        <f>IFERROR(H5/G5, "")</f>
        <v>4.1474007242692838E-2</v>
      </c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7 I4:I77">
    <cfRule type="cellIs" dxfId="35" priority="1" stopIfTrue="1" operator="lessThanOrEqual">
      <formula>-0.1</formula>
    </cfRule>
    <cfRule type="expression" dxfId="3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9"/>
  <sheetViews>
    <sheetView workbookViewId="0">
      <pane xSplit="2" ySplit="3" topLeftCell="C4" activePane="bottomRight" state="frozen"/>
      <selection pane="bottomRight" activeCell="C17" sqref="C17:C18"/>
      <selection pane="bottomLeft" activeCell="C23" sqref="C23"/>
      <selection pane="topRight" activeCell="C23" sqref="C2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Solar Income LLC</v>
      </c>
      <c r="B1" s="53"/>
      <c r="C1" s="53"/>
      <c r="D1" s="54" t="s">
        <v>14</v>
      </c>
      <c r="E1" s="54"/>
      <c r="F1" s="54"/>
      <c r="G1" s="52" t="s">
        <v>15</v>
      </c>
      <c r="H1" s="52"/>
      <c r="I1" s="52"/>
    </row>
    <row r="2" spans="1:9" ht="19.5" customHeight="1">
      <c r="A2" s="55" t="s">
        <v>2</v>
      </c>
      <c r="B2" s="55"/>
      <c r="C2" s="5">
        <f>SUM(C4:C77)</f>
        <v>236808.619908772</v>
      </c>
      <c r="D2" s="5">
        <f>SUM(D4:D77)</f>
        <v>0</v>
      </c>
      <c r="E2" s="5">
        <f>C2-D2</f>
        <v>236808.619908772</v>
      </c>
      <c r="F2" s="6">
        <f>IFERROR(E2/D2, 0)</f>
        <v>0</v>
      </c>
      <c r="G2" s="5">
        <f>SUM(G4:G77)</f>
        <v>114941.58</v>
      </c>
      <c r="H2" s="7">
        <f>C2-G2</f>
        <v>121867.039908772</v>
      </c>
      <c r="I2" s="6">
        <f>IFERROR(H2/G2, 0)</f>
        <v>1.0602519985263121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4" t="str" cm="1">
        <f t="array" ref="A4:A5">Sites[Site]</f>
        <v>Westbrook - Lee Building 9</v>
      </c>
      <c r="B4" s="9" t="str" cm="1">
        <f t="array" ref="B4:B5">Sites[State]</f>
        <v>CT</v>
      </c>
      <c r="C4" s="23">
        <f>SUM(Jul!C4, Aug!C4, Sep!C4)</f>
        <v>113480.5798697095</v>
      </c>
      <c r="D4" s="12">
        <f>SUM(Jul!D4, Aug!D4, Sep!D4)</f>
        <v>0</v>
      </c>
      <c r="E4" s="12">
        <f>IF(AND(ISNUMBER(C4),ISNUMBER(D4)), C4-D4, "")</f>
        <v>113480.5798697095</v>
      </c>
      <c r="F4" s="13" t="str">
        <f>IFERROR(E4/D4, "")</f>
        <v/>
      </c>
      <c r="G4" s="14">
        <f>SUM(Jul!G4,Aug!G4,Sep!G4)</f>
        <v>0</v>
      </c>
      <c r="H4" s="14">
        <f>SUM(Jul!H4, Aug!H4, Sep!H4)</f>
        <v>113480.5798697095</v>
      </c>
      <c r="I4" s="15" t="str">
        <f>IFERROR(H4/G4, "")</f>
        <v/>
      </c>
    </row>
    <row r="5" spans="1:9" ht="15.6">
      <c r="A5" s="16" t="str">
        <v>Westbrook - Lee Building 82</v>
      </c>
      <c r="B5" s="10" t="str">
        <v>CT</v>
      </c>
      <c r="C5" s="11">
        <f>SUM(Jul!C5, Aug!C5, Sep!C5)</f>
        <v>123328.0400390625</v>
      </c>
      <c r="D5" s="17">
        <f>SUM(Jul!D5, Aug!D5, Sep!D5)</f>
        <v>0</v>
      </c>
      <c r="E5" s="17">
        <f t="shared" ref="E5" si="0">IF(AND(ISNUMBER(C5),ISNUMBER(D5)), C5-D5, "")</f>
        <v>123328.0400390625</v>
      </c>
      <c r="F5" s="18" t="str">
        <f>IFERROR(E5/D5, "")</f>
        <v/>
      </c>
      <c r="G5" s="17">
        <f>SUM(Jul!G5,Aug!G5,Sep!G5)</f>
        <v>114941.58</v>
      </c>
      <c r="H5" s="19">
        <f>SUM(Jul!H5, Aug!H5, Sep!H5)</f>
        <v>8386.4600390624983</v>
      </c>
      <c r="I5" s="18">
        <f>IFERROR(H5/G5, "")</f>
        <v>7.2962804574832688E-2</v>
      </c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33" priority="1" stopIfTrue="1" operator="lessThanOrEqual">
      <formula>-0.1</formula>
    </cfRule>
    <cfRule type="expression" dxfId="32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9"/>
  <sheetViews>
    <sheetView workbookViewId="0">
      <pane xSplit="2" ySplit="3" topLeftCell="C4" activePane="bottomRight" state="frozen"/>
      <selection pane="bottomRight" activeCell="C23" sqref="C23"/>
      <selection pane="bottomLeft" activeCell="C23" sqref="C23"/>
      <selection pane="topRight" activeCell="C23" sqref="C2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Solar Income LLC</v>
      </c>
      <c r="B1" s="53"/>
      <c r="C1" s="53"/>
      <c r="D1" s="54" t="s">
        <v>16</v>
      </c>
      <c r="E1" s="54"/>
      <c r="F1" s="54"/>
      <c r="G1" s="52" t="s">
        <v>17</v>
      </c>
      <c r="H1" s="52"/>
      <c r="I1" s="52"/>
    </row>
    <row r="2" spans="1:9" ht="19.5" customHeight="1">
      <c r="A2" s="55" t="s">
        <v>2</v>
      </c>
      <c r="B2" s="55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4" t="str" cm="1">
        <f t="array" ref="A4:A5">Sites[Site]</f>
        <v>Westbrook - Lee Building 9</v>
      </c>
      <c r="B4" s="9" t="str" cm="1">
        <f t="array" ref="B4:B5">Sites[State]</f>
        <v>CT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SUM(Oct!H4, Nov!H4, Dec!H4)</f>
        <v>0</v>
      </c>
      <c r="I4" s="15" t="str">
        <f>IFERROR(H4/G4, "")</f>
        <v/>
      </c>
    </row>
    <row r="5" spans="1:9" ht="15.6">
      <c r="A5" s="16" t="str">
        <v>Westbrook - Lee Building 82</v>
      </c>
      <c r="B5" s="10" t="str">
        <v>CT</v>
      </c>
      <c r="C5" s="11">
        <f>SUM(Oct!C5, Nov!C5, Dec!C5)</f>
        <v>0</v>
      </c>
      <c r="D5" s="17">
        <f>SUM(Oct!D5, Nov!D5, Dec!D5)</f>
        <v>0</v>
      </c>
      <c r="E5" s="17">
        <f t="shared" ref="E5" si="0">IF(AND(ISNUMBER(C5),ISNUMBER(D5)), C5-D5, "")</f>
        <v>0</v>
      </c>
      <c r="F5" s="18" t="str">
        <f>IFERROR(E5/D5, "")</f>
        <v/>
      </c>
      <c r="G5" s="19"/>
      <c r="H5" s="19">
        <f>SUM(Oct!H5, Nov!H5, Dec!H5)</f>
        <v>0</v>
      </c>
      <c r="I5" s="18" t="str">
        <f>IFERROR(H5/G5, "")</f>
        <v/>
      </c>
    </row>
    <row r="6" spans="1:9" ht="14.45">
      <c r="A6" s="20"/>
      <c r="B6" s="10"/>
      <c r="C6" s="42"/>
      <c r="D6" s="17"/>
      <c r="E6" s="17"/>
      <c r="F6" s="18"/>
      <c r="G6" s="19"/>
      <c r="H6" s="19"/>
      <c r="I6" s="18"/>
    </row>
    <row r="7" spans="1:9" ht="14.45">
      <c r="A7" s="20"/>
      <c r="B7" s="10"/>
      <c r="C7" s="42"/>
      <c r="D7" s="17"/>
      <c r="E7" s="17"/>
      <c r="F7" s="18"/>
      <c r="G7" s="19"/>
      <c r="H7" s="19"/>
      <c r="I7" s="18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31" priority="1" stopIfTrue="1" operator="lessThanOrEqual">
      <formula>-0.1</formula>
    </cfRule>
    <cfRule type="expression" dxfId="3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8"/>
  <sheetViews>
    <sheetView workbookViewId="0">
      <pane xSplit="2" ySplit="3" topLeftCell="C4" activePane="bottomRight" state="frozen"/>
      <selection pane="bottomRight" activeCell="J10" sqref="J10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Solar Income LLC</v>
      </c>
      <c r="B1" s="53"/>
      <c r="C1" s="53"/>
      <c r="D1" s="54" t="s">
        <v>18</v>
      </c>
      <c r="E1" s="54"/>
      <c r="F1" s="54"/>
      <c r="G1" s="52" t="s">
        <v>19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SUM(C4:C76)</f>
        <v>23279.279999999999</v>
      </c>
      <c r="D2" s="5">
        <f>SUM(D4:D76)</f>
        <v>31853.409</v>
      </c>
      <c r="E2" s="5">
        <f>C2-D2</f>
        <v>-8574.1290000000008</v>
      </c>
      <c r="F2" s="6">
        <f>IFERROR(E2/D2, 0)</f>
        <v>-0.26917461173464985</v>
      </c>
      <c r="G2" s="5">
        <f>SUM(G4:G76)</f>
        <v>23363.282999999999</v>
      </c>
      <c r="H2" s="7">
        <f>C2-G2</f>
        <v>-84.003000000000611</v>
      </c>
      <c r="I2" s="6">
        <f>IFERROR(H2/G2, 0)</f>
        <v>-3.5955135243621633E-3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8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43" t="str" cm="1">
        <f t="array" ref="A4:A5">Sites[Site]</f>
        <v>Westbrook - Lee Building 9</v>
      </c>
      <c r="B4" s="27" t="str" cm="1">
        <f t="array" ref="B4:B5">Sites[State]</f>
        <v>CT</v>
      </c>
      <c r="C4" s="23">
        <v>11433.8</v>
      </c>
      <c r="D4" s="12">
        <v>15679.7</v>
      </c>
      <c r="E4" s="12">
        <f>IF(AND(ISNUMBER(C4),ISNUMBER(D4)), C4-D4, "")</f>
        <v>-4245.9000000000015</v>
      </c>
      <c r="F4" s="12">
        <f>IFERROR(E4/D4, "")</f>
        <v>-0.27078961969935655</v>
      </c>
      <c r="G4" s="14">
        <v>0</v>
      </c>
      <c r="H4" s="14">
        <f>IF(AND(ISNUMBER(C4),ISNUMBER(G4)), C4-G4, "")</f>
        <v>11433.8</v>
      </c>
      <c r="I4" s="15" t="str">
        <f>IFERROR(H4/G4, "")</f>
        <v/>
      </c>
      <c r="J4" s="39" t="s">
        <v>22</v>
      </c>
      <c r="K4" s="39" t="s">
        <v>22</v>
      </c>
    </row>
    <row r="5" spans="1:11" ht="15.6">
      <c r="A5" s="28" t="str">
        <v>Westbrook - Lee Building 82</v>
      </c>
      <c r="B5" s="29" t="str">
        <v>CT</v>
      </c>
      <c r="C5" s="11">
        <v>11845.48</v>
      </c>
      <c r="D5" s="17">
        <v>16173.709000000001</v>
      </c>
      <c r="E5" s="17">
        <f t="shared" ref="E5" si="0">IF(AND(ISNUMBER(C5),ISNUMBER(D5)), C5-D5, "")</f>
        <v>-4328.2290000000012</v>
      </c>
      <c r="F5" s="17">
        <f t="shared" ref="F5" si="1">IFERROR(E5/D5, "")</f>
        <v>-0.26760893249655976</v>
      </c>
      <c r="G5" s="19">
        <v>23363.282999999999</v>
      </c>
      <c r="H5" s="19">
        <f t="shared" ref="H5" si="2">IF(AND(ISNUMBER(C5),ISNUMBER(G5)), C5-G5, "")</f>
        <v>-11517.803</v>
      </c>
      <c r="I5" s="18">
        <f t="shared" ref="I5" si="3">IFERROR(H5/G5, "")</f>
        <v>-0.49298735113554032</v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</sheetData>
  <mergeCells count="4">
    <mergeCell ref="D1:F1"/>
    <mergeCell ref="A1:C1"/>
    <mergeCell ref="G1:I1"/>
    <mergeCell ref="A2:B2"/>
  </mergeCells>
  <conditionalFormatting sqref="F2 I2 I4:I76 F6:F76">
    <cfRule type="cellIs" dxfId="29" priority="6" stopIfTrue="1" operator="lessThanOrEqual">
      <formula>-0.1</formula>
    </cfRule>
    <cfRule type="expression" dxfId="28" priority="7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9"/>
  <sheetViews>
    <sheetView workbookViewId="0">
      <pane xSplit="2" ySplit="3" topLeftCell="D4" activePane="bottomRight" state="frozen"/>
      <selection pane="bottomRight" activeCell="D4" sqref="D4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Solar Income LLC</v>
      </c>
      <c r="B1" s="53"/>
      <c r="C1" s="53"/>
      <c r="D1" s="54" t="s">
        <v>23</v>
      </c>
      <c r="E1" s="54"/>
      <c r="F1" s="54"/>
      <c r="G1" s="52" t="s">
        <v>24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SUM(C4:C77)</f>
        <v>52653.18</v>
      </c>
      <c r="D2" s="5">
        <f>SUM(D4:D77)</f>
        <v>57932.347999999998</v>
      </c>
      <c r="E2" s="5">
        <f>C2-D2</f>
        <v>-5279.1679999999978</v>
      </c>
      <c r="F2" s="6">
        <f>IFERROR(E2/D2, 0)</f>
        <v>-9.1126429054800229E-2</v>
      </c>
      <c r="G2" s="5">
        <f>SUM(G4:G77)</f>
        <v>27025.858</v>
      </c>
      <c r="H2" s="7">
        <f>C2-G2</f>
        <v>25627.322</v>
      </c>
      <c r="I2" s="6">
        <f>IFERROR(H2/G2, 0)</f>
        <v>0.94825192968896677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43" t="str" cm="1">
        <f t="array" ref="A4:A5">Sites[Site]</f>
        <v>Westbrook - Lee Building 9</v>
      </c>
      <c r="B4" s="27" t="str" cm="1">
        <f t="array" ref="B4:B5">Sites[State]</f>
        <v>CT</v>
      </c>
      <c r="C4" s="23">
        <v>26066.52</v>
      </c>
      <c r="D4" s="12">
        <v>28274.989000000001</v>
      </c>
      <c r="E4" s="12">
        <f>IF(AND(ISNUMBER(C4),ISNUMBER(D4)), C4-D4, "")</f>
        <v>-2208.469000000001</v>
      </c>
      <c r="F4" s="12">
        <f>IFERROR(E4/D4, "")</f>
        <v>-7.8106803153840332E-2</v>
      </c>
      <c r="G4" s="14">
        <v>0</v>
      </c>
      <c r="H4" s="14">
        <f>IF(AND(ISNUMBER(C4),ISNUMBER(G4)), C4-G4, "")</f>
        <v>26066.52</v>
      </c>
      <c r="I4" s="15" t="str">
        <f>IFERROR(H4/G4, "")</f>
        <v/>
      </c>
      <c r="J4" s="39"/>
      <c r="K4" s="39"/>
    </row>
    <row r="5" spans="1:11" ht="28.9">
      <c r="A5" s="28" t="str">
        <v>Westbrook - Lee Building 82</v>
      </c>
      <c r="B5" s="29" t="str">
        <v>CT</v>
      </c>
      <c r="C5" s="11">
        <v>26586.66</v>
      </c>
      <c r="D5" s="17">
        <v>29657.359</v>
      </c>
      <c r="E5" s="17">
        <f t="shared" ref="E5" si="0">IF(AND(ISNUMBER(C5),ISNUMBER(D5)), C5-D5, "")</f>
        <v>-3070.6990000000005</v>
      </c>
      <c r="F5" s="17">
        <f t="shared" ref="F5" si="1">IFERROR(E5/D5, "")</f>
        <v>-0.10353919241426725</v>
      </c>
      <c r="G5" s="19">
        <v>27025.858</v>
      </c>
      <c r="H5" s="19">
        <f t="shared" ref="H5" si="2">IF(AND(ISNUMBER(C5),ISNUMBER(G5)), C5-G5, "")</f>
        <v>-439.19800000000032</v>
      </c>
      <c r="I5" s="18">
        <f t="shared" ref="I5" si="3">IFERROR(H5/G5, "")</f>
        <v>-1.6251028922005004E-2</v>
      </c>
      <c r="J5" s="51" t="s">
        <v>25</v>
      </c>
      <c r="K5" s="51" t="s">
        <v>26</v>
      </c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I4:I77 F6:F77">
    <cfRule type="cellIs" dxfId="27" priority="1" stopIfTrue="1" operator="lessThanOrEqual">
      <formula>-0.1</formula>
    </cfRule>
    <cfRule type="expression" dxfId="2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19"/>
  <sheetViews>
    <sheetView workbookViewId="0">
      <pane xSplit="2" ySplit="3" topLeftCell="C4" activePane="bottomRight" state="frozen"/>
      <selection pane="bottomRight" sqref="A1:C1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Solar Income LLC</v>
      </c>
      <c r="B1" s="53"/>
      <c r="C1" s="53"/>
      <c r="D1" s="54" t="s">
        <v>27</v>
      </c>
      <c r="E1" s="54"/>
      <c r="F1" s="54"/>
      <c r="G1" s="52" t="s">
        <v>28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SUM(C4:C77)</f>
        <v>71136.97</v>
      </c>
      <c r="D2" s="5">
        <f>SUM(D4:D77)</f>
        <v>66708.592000000004</v>
      </c>
      <c r="E2" s="5">
        <f>C2-D2</f>
        <v>4428.377999999997</v>
      </c>
      <c r="F2" s="6">
        <f>IFERROR(E2/D2, 0)</f>
        <v>6.6383922478831459E-2</v>
      </c>
      <c r="G2" s="5">
        <f>SUM(G4:G77)</f>
        <v>34132.1</v>
      </c>
      <c r="H2" s="7">
        <f>C2-G2</f>
        <v>37004.870000000003</v>
      </c>
      <c r="I2" s="6">
        <f>IFERROR(H2/G2, 0)</f>
        <v>1.0841662247561681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Westbrook - Lee Building 9</v>
      </c>
      <c r="B4" s="27" t="str" cm="1">
        <f t="array" ref="B4:B5">Sites[State]</f>
        <v>CT</v>
      </c>
      <c r="C4" s="23">
        <v>34583.870000000003</v>
      </c>
      <c r="D4" s="12">
        <v>32413.792000000001</v>
      </c>
      <c r="E4" s="12">
        <f t="shared" ref="E4:E5" si="0">IF(AND(ISNUMBER(C4),ISNUMBER(D4)), C4-D4, "")</f>
        <v>2170.0780000000013</v>
      </c>
      <c r="F4" s="12">
        <f>IFERROR(E4/D4, "")</f>
        <v>6.6949217172739342E-2</v>
      </c>
      <c r="G4" s="14">
        <v>0</v>
      </c>
      <c r="H4" s="14">
        <f>IF(AND(ISNUMBER(C4),ISNUMBER(G4)), C4-G4, "")</f>
        <v>34583.870000000003</v>
      </c>
      <c r="I4" s="15" t="str">
        <f>IFERROR(H4/G4, "")</f>
        <v/>
      </c>
      <c r="J4" s="39"/>
      <c r="K4" s="39"/>
    </row>
    <row r="5" spans="1:11" ht="15.6">
      <c r="A5" s="28" t="str">
        <v>Westbrook - Lee Building 82</v>
      </c>
      <c r="B5" s="29" t="str">
        <v>CT</v>
      </c>
      <c r="C5" s="11">
        <v>36553.1</v>
      </c>
      <c r="D5" s="17">
        <v>34294.800000000003</v>
      </c>
      <c r="E5" s="17">
        <f t="shared" si="0"/>
        <v>2258.2999999999956</v>
      </c>
      <c r="F5" s="17">
        <f>IFERROR(E5/D5, "")</f>
        <v>6.5849633180540351E-2</v>
      </c>
      <c r="G5" s="19">
        <v>34132.1</v>
      </c>
      <c r="H5" s="19">
        <f t="shared" ref="H5" si="1">IF(AND(ISNUMBER(C5),ISNUMBER(G5)), C5-G5, "")</f>
        <v>2421</v>
      </c>
      <c r="I5" s="18">
        <f t="shared" ref="I5" si="2">IFERROR(H5/G5, "")</f>
        <v>7.0930297286132413E-2</v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6:F77">
    <cfRule type="cellIs" dxfId="25" priority="7" stopIfTrue="1" operator="lessThanOrEqual">
      <formula>-0.1</formula>
    </cfRule>
    <cfRule type="expression" dxfId="24" priority="8">
      <formula>AND(ISNUMBER(F2), F2&gt;=0.1)</formula>
    </cfRule>
  </conditionalFormatting>
  <conditionalFormatting sqref="I4:I77">
    <cfRule type="cellIs" dxfId="23" priority="1" stopIfTrue="1" operator="lessThanOrEqual">
      <formula>-0.1</formula>
    </cfRule>
    <cfRule type="expression" dxfId="22" priority="2">
      <formula>AND(ISNUMBER(I4), I4&gt;=0.1)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19"/>
  <sheetViews>
    <sheetView workbookViewId="0">
      <pane xSplit="2" ySplit="3" topLeftCell="C4" activePane="bottomRight" state="frozen"/>
      <selection pane="bottomRight" activeCell="F4" sqref="F4:F5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Solar Income LLC</v>
      </c>
      <c r="B1" s="53"/>
      <c r="C1" s="53"/>
      <c r="D1" s="54" t="s">
        <v>29</v>
      </c>
      <c r="E1" s="54"/>
      <c r="F1" s="54"/>
      <c r="G1" s="52" t="s">
        <v>30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SUM(C4:C77)</f>
        <v>69768.299999999988</v>
      </c>
      <c r="D2" s="5">
        <f>SUM(D4:D77)</f>
        <v>539.98699999999997</v>
      </c>
      <c r="E2" s="5">
        <f>C2-D2</f>
        <v>69228.312999999995</v>
      </c>
      <c r="F2" s="6">
        <f>IFERROR(E2/D2, 0)</f>
        <v>128.20366601418183</v>
      </c>
      <c r="G2" s="5">
        <f>SUM(G4:G77)</f>
        <v>39176.33</v>
      </c>
      <c r="H2" s="7">
        <f>C2-G2</f>
        <v>30591.969999999987</v>
      </c>
      <c r="I2" s="6">
        <f>IFERROR(H2/G2, 0)</f>
        <v>0.78087891336426829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Westbrook - Lee Building 9</v>
      </c>
      <c r="B4" s="27" t="str" cm="1">
        <f t="array" ref="B4:B5">Sites[State]</f>
        <v>CT</v>
      </c>
      <c r="C4" s="23">
        <v>33975.589999999997</v>
      </c>
      <c r="D4" s="12">
        <v>271.78699999999998</v>
      </c>
      <c r="E4" s="12">
        <f>IF(AND(ISNUMBER(C4),ISNUMBER(D4)), C4-D4, "")</f>
        <v>33703.803</v>
      </c>
      <c r="F4" s="13">
        <f>IFERROR(E4/D4, "")</f>
        <v>124.00814976433752</v>
      </c>
      <c r="G4" s="14">
        <v>0</v>
      </c>
      <c r="H4" s="14">
        <f>IF(AND(ISNUMBER(C4),ISNUMBER(G4)), C4-G4, "")</f>
        <v>33975.589999999997</v>
      </c>
      <c r="I4" s="15" t="str">
        <f>IFERROR(H4/G4, "")</f>
        <v/>
      </c>
      <c r="J4" s="39"/>
      <c r="K4" s="39"/>
    </row>
    <row r="5" spans="1:11" ht="15.6">
      <c r="A5" s="28" t="str">
        <v>Westbrook - Lee Building 82</v>
      </c>
      <c r="B5" s="29" t="str">
        <v>CT</v>
      </c>
      <c r="C5" s="11">
        <v>35792.71</v>
      </c>
      <c r="D5" s="17">
        <v>268.2</v>
      </c>
      <c r="E5" s="17">
        <f t="shared" ref="E5" si="0">IF(AND(ISNUMBER(C5),ISNUMBER(D5)), C5-D5, "")</f>
        <v>35524.51</v>
      </c>
      <c r="F5" s="18">
        <f>IFERROR(E5/D5, "")</f>
        <v>132.45529455630128</v>
      </c>
      <c r="G5" s="19">
        <v>39176.33</v>
      </c>
      <c r="H5" s="19">
        <f t="shared" ref="H5" si="1">IF(AND(ISNUMBER(C5),ISNUMBER(G5)), C5-G5, "")</f>
        <v>-3383.6200000000026</v>
      </c>
      <c r="I5" s="18">
        <f t="shared" ref="I5" si="2">IFERROR(H5/G5, "")</f>
        <v>-8.6368988621445722E-2</v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21" priority="3" stopIfTrue="1" operator="lessThanOrEqual">
      <formula>-0.1</formula>
    </cfRule>
    <cfRule type="expression" dxfId="2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19"/>
  <sheetViews>
    <sheetView workbookViewId="0">
      <pane xSplit="2" ySplit="3" topLeftCell="C4" activePane="bottomRight" state="frozen"/>
      <selection pane="bottomRight" activeCell="G6" sqref="G6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Solar Income LLC</v>
      </c>
      <c r="B1" s="53"/>
      <c r="C1" s="53"/>
      <c r="D1" s="54" t="s">
        <v>31</v>
      </c>
      <c r="E1" s="54"/>
      <c r="F1" s="54"/>
      <c r="G1" s="52" t="s">
        <v>32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SUM(C4:C77)</f>
        <v>84173.39</v>
      </c>
      <c r="D2" s="5">
        <f>SUM(D4:D77)</f>
        <v>0</v>
      </c>
      <c r="E2" s="5">
        <f>C2-D2</f>
        <v>84173.39</v>
      </c>
      <c r="F2" s="6">
        <f>IFERROR(E2/D2, 0)</f>
        <v>0</v>
      </c>
      <c r="G2" s="5">
        <f>SUM(G4:G77)</f>
        <v>42499.68</v>
      </c>
      <c r="H2" s="7">
        <f>C2-G2</f>
        <v>41673.71</v>
      </c>
      <c r="I2" s="6">
        <f>IFERROR(H2/G2, 0)</f>
        <v>0.98056526543258671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Westbrook - Lee Building 9</v>
      </c>
      <c r="B4" s="27" t="str" cm="1">
        <f t="array" ref="B4:B5">Sites[State]</f>
        <v>CT</v>
      </c>
      <c r="C4" s="23">
        <v>40883.57</v>
      </c>
      <c r="D4" s="12">
        <v>0</v>
      </c>
      <c r="E4" s="12">
        <f>IF(AND(ISNUMBER(C4),ISNUMBER(D4)), C4-D4, "")</f>
        <v>40883.57</v>
      </c>
      <c r="F4" s="13" t="str">
        <f>IFERROR(E4/D4, "")</f>
        <v/>
      </c>
      <c r="G4" s="14">
        <v>0</v>
      </c>
      <c r="H4" s="14">
        <f>IF(AND(ISNUMBER(C4),ISNUMBER(G4)), C4-G4, "")</f>
        <v>40883.57</v>
      </c>
      <c r="I4" s="15" t="str">
        <f>IFERROR(H4/G4, "")</f>
        <v/>
      </c>
      <c r="J4" s="39"/>
      <c r="K4" s="39"/>
    </row>
    <row r="5" spans="1:11" ht="15.6">
      <c r="A5" s="28" t="str">
        <v>Westbrook - Lee Building 82</v>
      </c>
      <c r="B5" s="29" t="str">
        <v>CT</v>
      </c>
      <c r="C5" s="11">
        <v>43289.82</v>
      </c>
      <c r="D5" s="17">
        <v>0</v>
      </c>
      <c r="E5" s="17">
        <f t="shared" ref="E5" si="0">IF(AND(ISNUMBER(C5),ISNUMBER(D5)), C5-D5, "")</f>
        <v>43289.82</v>
      </c>
      <c r="F5" s="18" t="str">
        <f>IFERROR(E5/D5, "")</f>
        <v/>
      </c>
      <c r="G5" s="19">
        <v>42499.68</v>
      </c>
      <c r="H5" s="19">
        <f t="shared" ref="H5" si="1">IF(AND(ISNUMBER(C5),ISNUMBER(G5)), C5-G5, "")</f>
        <v>790.13999999999942</v>
      </c>
      <c r="I5" s="18">
        <f t="shared" ref="I5" si="2">IFERROR(H5/G5, "")</f>
        <v>1.8591669396098968E-2</v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9" priority="3" stopIfTrue="1" operator="lessThanOrEqual">
      <formula>-0.1</formula>
    </cfRule>
    <cfRule type="expression" dxfId="18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19"/>
  <sheetViews>
    <sheetView workbookViewId="0">
      <pane xSplit="2" ySplit="3" topLeftCell="C4" activePane="bottomRight" state="frozen"/>
      <selection pane="bottomRight" activeCell="G6" sqref="G6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Solar Income LLC</v>
      </c>
      <c r="B1" s="53"/>
      <c r="C1" s="53"/>
      <c r="D1" s="54" t="s">
        <v>33</v>
      </c>
      <c r="E1" s="54"/>
      <c r="F1" s="54"/>
      <c r="G1" s="52" t="s">
        <v>34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SUM(C4:C77)</f>
        <v>95360.73</v>
      </c>
      <c r="D2" s="5">
        <f>SUM(D4:D77)</f>
        <v>0</v>
      </c>
      <c r="E2" s="5">
        <f>C2-D2</f>
        <v>95360.73</v>
      </c>
      <c r="F2" s="6">
        <f>IFERROR(E2/D2, 0)</f>
        <v>0</v>
      </c>
      <c r="G2" s="5">
        <f>SUM(G4:G77)</f>
        <v>41518.5</v>
      </c>
      <c r="H2" s="7">
        <f>C2-G2</f>
        <v>53842.229999999996</v>
      </c>
      <c r="I2" s="6">
        <f>IFERROR(H2/G2, 0)</f>
        <v>1.29682502980599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Westbrook - Lee Building 9</v>
      </c>
      <c r="B4" s="27" t="str" cm="1">
        <f t="array" ref="B4:B5">Sites[State]</f>
        <v>CT</v>
      </c>
      <c r="C4" s="23">
        <v>46139.38</v>
      </c>
      <c r="D4" s="12">
        <v>0</v>
      </c>
      <c r="E4" s="12">
        <f>IF(AND(ISNUMBER(C4),ISNUMBER(D4)), C4-D4, "")</f>
        <v>46139.38</v>
      </c>
      <c r="F4" s="13" t="str">
        <f>IFERROR(E4/D4, "")</f>
        <v/>
      </c>
      <c r="G4" s="14">
        <v>0</v>
      </c>
      <c r="H4" s="14">
        <f>IF(AND(ISNUMBER(C4),ISNUMBER(G4)), C4-G4, "")</f>
        <v>46139.38</v>
      </c>
      <c r="I4" s="15" t="str">
        <f>IFERROR(H4/G4, "")</f>
        <v/>
      </c>
      <c r="J4" s="39"/>
      <c r="K4" s="39"/>
    </row>
    <row r="5" spans="1:11" ht="15.6">
      <c r="A5" s="28" t="str">
        <v>Westbrook - Lee Building 82</v>
      </c>
      <c r="B5" s="29" t="str">
        <v>CT</v>
      </c>
      <c r="C5" s="11">
        <v>49221.35</v>
      </c>
      <c r="D5" s="17">
        <v>0</v>
      </c>
      <c r="E5" s="17">
        <f t="shared" ref="E5" si="0">IF(AND(ISNUMBER(C5),ISNUMBER(D5)), C5-D5, "")</f>
        <v>49221.35</v>
      </c>
      <c r="F5" s="18" t="str">
        <f>IFERROR(E5/D5, "")</f>
        <v/>
      </c>
      <c r="G5" s="19">
        <v>41518.5</v>
      </c>
      <c r="H5" s="19">
        <f t="shared" ref="H5" si="1">IF(AND(ISNUMBER(C5),ISNUMBER(G5)), C5-G5, "")</f>
        <v>7702.8499999999985</v>
      </c>
      <c r="I5" s="18">
        <f t="shared" ref="I5" si="2">IFERROR(H5/G5, "")</f>
        <v>0.18552813805893756</v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7" priority="3" stopIfTrue="1" operator="lessThanOrEqual">
      <formula>-0.1</formula>
    </cfRule>
    <cfRule type="expression" dxfId="16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19"/>
  <sheetViews>
    <sheetView workbookViewId="0">
      <pane xSplit="2" ySplit="3" topLeftCell="C4" activePane="bottomRight" state="frozen"/>
      <selection pane="bottomRight" activeCell="K4" sqref="K4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Solar Income LLC</v>
      </c>
      <c r="B1" s="53"/>
      <c r="C1" s="53"/>
      <c r="D1" s="54" t="s">
        <v>35</v>
      </c>
      <c r="E1" s="54"/>
      <c r="F1" s="54"/>
      <c r="G1" s="52" t="s">
        <v>36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SUM(C4:C77)</f>
        <v>82294.479890988703</v>
      </c>
      <c r="D2" s="5">
        <f>SUM(D4:D77)</f>
        <v>0</v>
      </c>
      <c r="E2" s="5">
        <f>C2-D2</f>
        <v>82294.479890988703</v>
      </c>
      <c r="F2" s="6">
        <f>IFERROR(E2/D2, 0)</f>
        <v>0</v>
      </c>
      <c r="G2" s="5">
        <f>SUM(G4:G77)</f>
        <v>41979.56</v>
      </c>
      <c r="H2" s="7">
        <f>C2-G2</f>
        <v>40314.919890988705</v>
      </c>
      <c r="I2" s="6">
        <f>IFERROR(H2/G2, 0)</f>
        <v>0.96034641361149831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30.75">
      <c r="A4" s="30" t="str" cm="1">
        <f t="array" ref="A4:A5">Sites[Site]</f>
        <v>Westbrook - Lee Building 9</v>
      </c>
      <c r="B4" s="27" t="str" cm="1">
        <f t="array" ref="B4:B5">Sites[State]</f>
        <v>CT</v>
      </c>
      <c r="C4" s="23">
        <v>39563.639692382902</v>
      </c>
      <c r="D4" s="12">
        <v>0</v>
      </c>
      <c r="E4" s="12">
        <f>IF(AND(ISNUMBER(C4),ISNUMBER(D4)), C4-D4, "")</f>
        <v>39563.639692382902</v>
      </c>
      <c r="F4" s="13" t="str">
        <f>IFERROR(E4/D4, "")</f>
        <v/>
      </c>
      <c r="G4" s="14">
        <v>0</v>
      </c>
      <c r="H4" s="14">
        <f>IF(AND(ISNUMBER(C4),ISNUMBER(G4)), C4-G4, "")</f>
        <v>39563.639692382902</v>
      </c>
      <c r="I4" s="15" t="str">
        <f>IFERROR(H4/G4, "")</f>
        <v/>
      </c>
      <c r="J4" s="39" t="s">
        <v>37</v>
      </c>
      <c r="K4" s="39" t="s">
        <v>38</v>
      </c>
    </row>
    <row r="5" spans="1:11" ht="30.75">
      <c r="A5" s="28" t="str">
        <v>Westbrook - Lee Building 82</v>
      </c>
      <c r="B5" s="29" t="str">
        <v>CT</v>
      </c>
      <c r="C5" s="11">
        <v>42730.840198605802</v>
      </c>
      <c r="D5" s="17">
        <v>0</v>
      </c>
      <c r="E5" s="17">
        <f t="shared" ref="E5" si="0">IF(AND(ISNUMBER(C5),ISNUMBER(D5)), C5-D5, "")</f>
        <v>42730.840198605802</v>
      </c>
      <c r="F5" s="18" t="str">
        <f>IFERROR(E5/D5, "")</f>
        <v/>
      </c>
      <c r="G5" s="19">
        <v>41979.56</v>
      </c>
      <c r="H5" s="19">
        <f t="shared" ref="H5" si="1">IF(AND(ISNUMBER(C5),ISNUMBER(G5)), C5-G5, "")</f>
        <v>751.28019860580389</v>
      </c>
      <c r="I5" s="18">
        <f t="shared" ref="I5" si="2">IFERROR(H5/G5, "")</f>
        <v>1.7896333325213603E-2</v>
      </c>
      <c r="J5" s="40" t="s">
        <v>37</v>
      </c>
      <c r="K5" s="51" t="s">
        <v>39</v>
      </c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77 I4:I77">
    <cfRule type="cellIs" dxfId="15" priority="3" stopIfTrue="1" operator="lessThanOrEqual">
      <formula>-0.1</formula>
    </cfRule>
    <cfRule type="expression" dxfId="1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19"/>
  <sheetViews>
    <sheetView workbookViewId="0">
      <pane xSplit="2" ySplit="3" topLeftCell="C4" activePane="bottomRight" state="frozen"/>
      <selection pane="bottomRight" activeCell="J11" sqref="J11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Solar Income LLC</v>
      </c>
      <c r="B1" s="53"/>
      <c r="C1" s="53"/>
      <c r="D1" s="54" t="s">
        <v>40</v>
      </c>
      <c r="E1" s="54"/>
      <c r="F1" s="54"/>
      <c r="G1" s="52" t="s">
        <v>41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SUM(C4:C77)</f>
        <v>81878.439876007396</v>
      </c>
      <c r="D2" s="5">
        <f>SUM(D4:D77)</f>
        <v>0</v>
      </c>
      <c r="E2" s="5">
        <f>C2-D2</f>
        <v>81878.439876007396</v>
      </c>
      <c r="F2" s="6">
        <f>IFERROR(E2/D2, 0)</f>
        <v>0</v>
      </c>
      <c r="G2" s="5">
        <f>SUM(G4:G77)</f>
        <v>39595.11</v>
      </c>
      <c r="H2" s="7">
        <f>C2-G2</f>
        <v>42283.329876007396</v>
      </c>
      <c r="I2" s="6">
        <f>IFERROR(H2/G2, 0)</f>
        <v>1.0678927240259566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30.75">
      <c r="A4" s="30" t="str" cm="1">
        <f t="array" ref="A4:A5">Sites[Site]</f>
        <v>Westbrook - Lee Building 9</v>
      </c>
      <c r="B4" s="27" t="str" cm="1">
        <f t="array" ref="B4:B5">Sites[State]</f>
        <v>CT</v>
      </c>
      <c r="C4" s="23">
        <v>39299.2099609375</v>
      </c>
      <c r="D4" s="12">
        <v>0</v>
      </c>
      <c r="E4" s="12">
        <f>IF(AND(ISNUMBER(C4),ISNUMBER(D4)), C4-D4, "")</f>
        <v>39299.2099609375</v>
      </c>
      <c r="F4" s="13" t="str">
        <f>IFERROR(E4/D4, "")</f>
        <v/>
      </c>
      <c r="G4" s="14">
        <v>0</v>
      </c>
      <c r="H4" s="14">
        <f>IF(AND(ISNUMBER(C4),ISNUMBER(G4)), C4-G4, "")</f>
        <v>39299.2099609375</v>
      </c>
      <c r="I4" s="15" t="str">
        <f>IFERROR(H4/G4, "")</f>
        <v/>
      </c>
      <c r="J4" s="39" t="s">
        <v>37</v>
      </c>
      <c r="K4" s="39" t="s">
        <v>38</v>
      </c>
    </row>
    <row r="5" spans="1:11" ht="30.75">
      <c r="A5" s="28" t="str">
        <v>Westbrook - Lee Building 82</v>
      </c>
      <c r="B5" s="29" t="str">
        <v>CT</v>
      </c>
      <c r="C5" s="11">
        <v>42579.229915069896</v>
      </c>
      <c r="D5" s="17">
        <v>0</v>
      </c>
      <c r="E5" s="17">
        <f t="shared" ref="E5" si="0">IF(AND(ISNUMBER(C5),ISNUMBER(D5)), C5-D5, "")</f>
        <v>42579.229915069896</v>
      </c>
      <c r="F5" s="18" t="str">
        <f>IFERROR(E5/D5, "")</f>
        <v/>
      </c>
      <c r="G5" s="19">
        <v>39595.11</v>
      </c>
      <c r="H5" s="19">
        <f t="shared" ref="H5" si="1">IF(AND(ISNUMBER(C5),ISNUMBER(G5)), C5-G5, "")</f>
        <v>2984.1199150698958</v>
      </c>
      <c r="I5" s="18">
        <f t="shared" ref="I5" si="2">IFERROR(H5/G5, "")</f>
        <v>7.5365870054910716E-2</v>
      </c>
      <c r="J5" s="40" t="s">
        <v>37</v>
      </c>
      <c r="K5" s="51" t="s">
        <v>39</v>
      </c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3" priority="3" stopIfTrue="1" operator="lessThanOrEqual">
      <formula>-0.1</formula>
    </cfRule>
    <cfRule type="expression" dxfId="12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9"/>
  <sheetViews>
    <sheetView workbookViewId="0">
      <pane xSplit="2" ySplit="3" topLeftCell="J4" activePane="bottomRight" state="frozen"/>
      <selection pane="bottomRight" activeCell="J18" sqref="J18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Solar Income LLC</v>
      </c>
      <c r="B1" s="53"/>
      <c r="C1" s="53"/>
      <c r="D1" s="54" t="s">
        <v>42</v>
      </c>
      <c r="E1" s="54"/>
      <c r="F1" s="54"/>
      <c r="G1" s="52" t="s">
        <v>43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SUM(C4:C77)</f>
        <v>72635.700141775902</v>
      </c>
      <c r="D2" s="5">
        <f>SUM(D4:D77)</f>
        <v>0</v>
      </c>
      <c r="E2" s="5">
        <f>C2-D2</f>
        <v>72635.700141775902</v>
      </c>
      <c r="F2" s="6">
        <f>IFERROR(E2/D2, 0)</f>
        <v>0</v>
      </c>
      <c r="G2" s="5">
        <f>SUM(G4:G77)</f>
        <v>33366.910000000003</v>
      </c>
      <c r="H2" s="7">
        <f>C2-G2</f>
        <v>39268.790141775899</v>
      </c>
      <c r="I2" s="6">
        <f>IFERROR(H2/G2, 0)</f>
        <v>1.1768782348073554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30.75">
      <c r="A4" s="30" t="str" cm="1">
        <f t="array" ref="A4:A5">Sites[Site]</f>
        <v>Westbrook - Lee Building 9</v>
      </c>
      <c r="B4" s="27" t="str" cm="1">
        <f t="array" ref="B4:B5">Sites[State]</f>
        <v>CT</v>
      </c>
      <c r="C4" s="23">
        <v>34617.7302163891</v>
      </c>
      <c r="D4" s="12">
        <v>0</v>
      </c>
      <c r="E4" s="12">
        <f>IF(AND(ISNUMBER(C4),ISNUMBER(D4)), C4-D4, "")</f>
        <v>34617.7302163891</v>
      </c>
      <c r="F4" s="13" t="str">
        <f>IFERROR(E4/D4, "")</f>
        <v/>
      </c>
      <c r="G4" s="14">
        <v>0</v>
      </c>
      <c r="H4" s="14">
        <f>IF(AND(ISNUMBER(C4),ISNUMBER(G4)), C4-G4, "")</f>
        <v>34617.7302163891</v>
      </c>
      <c r="I4" s="15" t="str">
        <f>IFERROR(H4/G4, "")</f>
        <v/>
      </c>
      <c r="J4" s="39" t="s">
        <v>44</v>
      </c>
      <c r="K4" s="39" t="s">
        <v>45</v>
      </c>
    </row>
    <row r="5" spans="1:11" ht="30.75">
      <c r="A5" s="28" t="str">
        <v>Westbrook - Lee Building 82</v>
      </c>
      <c r="B5" s="29" t="str">
        <v>CT</v>
      </c>
      <c r="C5" s="11">
        <v>38017.969925386802</v>
      </c>
      <c r="D5" s="17">
        <v>0</v>
      </c>
      <c r="E5" s="17">
        <f t="shared" ref="E5" si="0">IF(AND(ISNUMBER(C5),ISNUMBER(D5)), C5-D5, "")</f>
        <v>38017.969925386802</v>
      </c>
      <c r="F5" s="18" t="str">
        <f>IFERROR(E5/D5, "")</f>
        <v/>
      </c>
      <c r="G5" s="19">
        <v>33366.910000000003</v>
      </c>
      <c r="H5" s="19">
        <f t="shared" ref="H5" si="1">IF(AND(ISNUMBER(C5),ISNUMBER(G5)), C5-G5, "")</f>
        <v>4651.0599253867986</v>
      </c>
      <c r="I5" s="18">
        <f t="shared" ref="I5" si="2">IFERROR(H5/G5, "")</f>
        <v>0.13939138881564994</v>
      </c>
      <c r="J5" s="40" t="s">
        <v>37</v>
      </c>
      <c r="K5" s="51" t="s">
        <v>39</v>
      </c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1" priority="3" stopIfTrue="1" operator="lessThanOrEqual">
      <formula>-0.1</formula>
    </cfRule>
    <cfRule type="expression" dxfId="1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9"/>
  <sheetViews>
    <sheetView workbookViewId="0">
      <pane xSplit="2" ySplit="3" topLeftCell="C4" activePane="bottomRight" state="frozen"/>
      <selection pane="bottomRight" activeCell="C15" sqref="C15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Solar Income LLC</v>
      </c>
      <c r="B1" s="53"/>
      <c r="C1" s="53"/>
      <c r="D1" s="54" t="s">
        <v>46</v>
      </c>
      <c r="E1" s="54"/>
      <c r="F1" s="54"/>
      <c r="G1" s="52" t="s">
        <v>47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Westbrook - Lee Building 9</v>
      </c>
      <c r="B4" s="27" t="str" cm="1">
        <f t="array" ref="B4:B5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Westbrook - Lee Building 82</v>
      </c>
      <c r="B5" s="29" t="str">
        <v>CT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9" priority="3" stopIfTrue="1" operator="lessThanOrEqual">
      <formula>-0.1</formula>
    </cfRule>
    <cfRule type="expression" dxfId="8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9"/>
  <sheetViews>
    <sheetView workbookViewId="0">
      <pane xSplit="2" ySplit="3" topLeftCell="C4" activePane="bottomRight" state="frozen"/>
      <selection pane="bottomRight" activeCell="C15" sqref="C15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Solar Income LLC</v>
      </c>
      <c r="B1" s="53"/>
      <c r="C1" s="53"/>
      <c r="D1" s="54" t="s">
        <v>48</v>
      </c>
      <c r="E1" s="54"/>
      <c r="F1" s="54"/>
      <c r="G1" s="52" t="s">
        <v>49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Westbrook - Lee Building 9</v>
      </c>
      <c r="B4" s="27" t="str" cm="1">
        <f t="array" ref="B4:B5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Westbrook - Lee Building 82</v>
      </c>
      <c r="B5" s="29" t="str">
        <v>CT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7" priority="3" stopIfTrue="1" operator="lessThanOrEqual">
      <formula>-0.1</formula>
    </cfRule>
    <cfRule type="expression" dxfId="6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9"/>
  <sheetViews>
    <sheetView workbookViewId="0">
      <pane xSplit="2" ySplit="3" topLeftCell="C4" activePane="bottomRight" state="frozen"/>
      <selection pane="bottomRight" activeCell="J25" sqref="J25"/>
      <selection pane="bottomLeft" activeCell="H30" sqref="H30"/>
      <selection pane="topRight" activeCell="H30" sqref="H30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Solar Income LLC</v>
      </c>
      <c r="B1" s="53"/>
      <c r="C1" s="53"/>
      <c r="D1" s="54" t="s">
        <v>50</v>
      </c>
      <c r="E1" s="54"/>
      <c r="F1" s="54"/>
      <c r="G1" s="52" t="s">
        <v>51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Westbrook - Lee Building 9</v>
      </c>
      <c r="B4" s="27" t="str" cm="1">
        <f t="array" ref="B4:B5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Westbrook - Lee Building 82</v>
      </c>
      <c r="B5" s="29" t="str">
        <v>CT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5" priority="3" stopIfTrue="1" operator="lessThanOrEqual">
      <formula>-0.1</formula>
    </cfRule>
    <cfRule type="expression" dxfId="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10"/>
  <sheetViews>
    <sheetView tabSelected="1" workbookViewId="0">
      <pane ySplit="3" topLeftCell="A4" activePane="bottomLeft" state="frozen"/>
      <selection pane="bottomLeft" activeCell="B14" sqref="B14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52</v>
      </c>
      <c r="B1" t="s">
        <v>53</v>
      </c>
    </row>
    <row r="3" spans="1:12" ht="13.15">
      <c r="A3" t="s">
        <v>54</v>
      </c>
      <c r="B3" t="s">
        <v>3</v>
      </c>
      <c r="C3" t="s">
        <v>4</v>
      </c>
      <c r="D3" t="s">
        <v>55</v>
      </c>
      <c r="E3" s="2" t="s">
        <v>56</v>
      </c>
    </row>
    <row r="4" spans="1:12" ht="14.45">
      <c r="A4" s="45" t="s">
        <v>57</v>
      </c>
      <c r="B4" s="46" t="s">
        <v>58</v>
      </c>
      <c r="C4" s="46" t="s">
        <v>59</v>
      </c>
      <c r="D4" s="47" t="s">
        <v>60</v>
      </c>
      <c r="E4" t="s">
        <v>61</v>
      </c>
      <c r="G4" s="3"/>
    </row>
    <row r="5" spans="1:12" ht="14.45">
      <c r="A5" s="48" t="s">
        <v>62</v>
      </c>
      <c r="B5" s="49" t="s">
        <v>63</v>
      </c>
      <c r="C5" s="50" t="s">
        <v>59</v>
      </c>
      <c r="D5" s="47" t="s">
        <v>60</v>
      </c>
      <c r="E5" t="s">
        <v>61</v>
      </c>
      <c r="G5" s="3"/>
    </row>
    <row r="6" spans="1:12" ht="12.75" customHeight="1">
      <c r="K6" s="41"/>
      <c r="L6" s="41"/>
    </row>
    <row r="7" spans="1:12" ht="12.75" customHeight="1">
      <c r="K7" s="41"/>
      <c r="L7" s="41"/>
    </row>
    <row r="8" spans="1:12" ht="12.75" customHeight="1">
      <c r="K8" s="41"/>
      <c r="L8" s="41"/>
    </row>
    <row r="9" spans="1:12" ht="12.75" customHeight="1">
      <c r="K9" s="41"/>
      <c r="L9" s="41"/>
    </row>
    <row r="10" spans="1:12" ht="12.75" customHeight="1">
      <c r="K10" s="41"/>
      <c r="L10" s="41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0.xml>��
</file>

<file path=customXml/item11.xml>��
</file>

<file path=customXml/item12.xml>��
</file>

<file path=customXml/item13.xml>��
</file>

<file path=customXml/item1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Props1.xml><?xml version="1.0" encoding="utf-8"?>
<ds:datastoreItem xmlns:ds="http://schemas.openxmlformats.org/officeDocument/2006/customXml" ds:itemID="{14966E4F-347B-477B-B74C-9DAC05405806}"/>
</file>

<file path=customXml/itemProps2.xml><?xml version="1.0" encoding="utf-8"?>
<ds:datastoreItem xmlns:ds="http://schemas.openxmlformats.org/officeDocument/2006/customXml" ds:itemID="{078388C9-06F9-42F4-B857-EF76B5CAF1FD}"/>
</file>

<file path=customXml/itemProps3.xml><?xml version="1.0" encoding="utf-8"?>
<ds:datastoreItem xmlns:ds="http://schemas.openxmlformats.org/officeDocument/2006/customXml" ds:itemID="{98A113BB-8B7A-453C-8BD4-8EFC67FC2D3F}"/>
</file>

<file path=customXml/itemProps4.xml><?xml version="1.0" encoding="utf-8"?>
<ds:datastoreItem xmlns:ds="http://schemas.openxmlformats.org/officeDocument/2006/customXml" ds:itemID="{1954BBA4-0359-438C-B0EC-A756015F7C02}"/>
</file>

<file path=customXml/itemProps5.xml><?xml version="1.0" encoding="utf-8"?>
<ds:datastoreItem xmlns:ds="http://schemas.openxmlformats.org/officeDocument/2006/customXml" ds:itemID="{E3716282-BFD2-4ED2-BA47-BFA1123827F0}"/>
</file>

<file path=customXml/itemProps6.xml><?xml version="1.0" encoding="utf-8"?>
<ds:datastoreItem xmlns:ds="http://schemas.openxmlformats.org/officeDocument/2006/customXml" ds:itemID="{F6B2B1A1-1C4B-4AC9-9A7D-7A102DD1C942}"/>
</file>

<file path=customXml/itemProps7.xml><?xml version="1.0" encoding="utf-8"?>
<ds:datastoreItem xmlns:ds="http://schemas.openxmlformats.org/officeDocument/2006/customXml" ds:itemID="{66B09F59-6532-46F8-924A-9A02417E070D}"/>
</file>

<file path=customXml/itemProps8.xml><?xml version="1.0" encoding="utf-8"?>
<ds:datastoreItem xmlns:ds="http://schemas.openxmlformats.org/officeDocument/2006/customXml" ds:itemID="{D3A7101F-9A85-4235-8B03-415370C100B2}"/>
</file>

<file path=customXml/itemProps9.xml><?xml version="1.0" encoding="utf-8"?>
<ds:datastoreItem xmlns:ds="http://schemas.openxmlformats.org/officeDocument/2006/customXml" ds:itemID="{C0BCDC1E-6052-4E48-9BAF-94A40814E7C2}"/>
</file>

<file path=customXml/itemProps10.xml><?xml version="1.0" encoding="utf-8"?>
<ds:datastoreItem xmlns:ds="http://schemas.openxmlformats.org/officeDocument/2006/customXml" ds:itemID="{E20E8303-6A67-485C-B6F4-303542CC295C}"/>
</file>

<file path=customXml/itemProps11.xml><?xml version="1.0" encoding="utf-8"?>
<ds:datastoreItem xmlns:ds="http://schemas.openxmlformats.org/officeDocument/2006/customXml" ds:itemID="{BF5C6359-7763-4C37-8EAF-2BC4698CB285}"/>
</file>

<file path=customXml/itemProps12.xml><?xml version="1.0" encoding="utf-8"?>
<ds:datastoreItem xmlns:ds="http://schemas.openxmlformats.org/officeDocument/2006/customXml" ds:itemID="{0389C43E-394D-44C0-87DC-4780FCFCFB40}"/>
</file>

<file path=customXml/itemProps13.xml><?xml version="1.0" encoding="utf-8"?>
<ds:datastoreItem xmlns:ds="http://schemas.openxmlformats.org/officeDocument/2006/customXml" ds:itemID="{BE26B669-A686-459C-A5E9-FEC3409C4C81}"/>
</file>

<file path=customXml/itemProps14.xml><?xml version="1.0" encoding="utf-8"?>
<ds:datastoreItem xmlns:ds="http://schemas.openxmlformats.org/officeDocument/2006/customXml" ds:itemID="{7946C510-7D04-49D8-9B25-EEC04582A1CA}"/>
</file>

<file path=customXml/itemProps15.xml><?xml version="1.0" encoding="utf-8"?>
<ds:datastoreItem xmlns:ds="http://schemas.openxmlformats.org/officeDocument/2006/customXml" ds:itemID="{F12EFA50-0068-4A8C-85A0-F1B26389EBC3}"/>
</file>

<file path=customXml/itemProps16.xml><?xml version="1.0" encoding="utf-8"?>
<ds:datastoreItem xmlns:ds="http://schemas.openxmlformats.org/officeDocument/2006/customXml" ds:itemID="{89CF5C07-45EB-4100-9AFB-2C6AF77FA787}"/>
</file>

<file path=customXml/itemProps17.xml><?xml version="1.0" encoding="utf-8"?>
<ds:datastoreItem xmlns:ds="http://schemas.openxmlformats.org/officeDocument/2006/customXml" ds:itemID="{CB52044A-5C0B-44A2-99D0-C1C315EC302D}"/>
</file>

<file path=customXml/itemProps18.xml><?xml version="1.0" encoding="utf-8"?>
<ds:datastoreItem xmlns:ds="http://schemas.openxmlformats.org/officeDocument/2006/customXml" ds:itemID="{2BC74AAC-D69B-4AF1-9649-B21EF3C1C463}"/>
</file>

<file path=customXml/itemProps19.xml><?xml version="1.0" encoding="utf-8"?>
<ds:datastoreItem xmlns:ds="http://schemas.openxmlformats.org/officeDocument/2006/customXml" ds:itemID="{3AEAA9D8-2182-46BA-A58E-96C72DDA1C54}"/>
</file>

<file path=customXml/itemProps20.xml><?xml version="1.0" encoding="utf-8"?>
<ds:datastoreItem xmlns:ds="http://schemas.openxmlformats.org/officeDocument/2006/customXml" ds:itemID="{8D732231-4216-4543-A665-18A2886B0E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Kusuma Potlada [AGS]</cp:lastModifiedBy>
  <cp:revision/>
  <dcterms:created xsi:type="dcterms:W3CDTF">2021-01-01T16:39:53Z</dcterms:created>
  <dcterms:modified xsi:type="dcterms:W3CDTF">2024-10-18T13:10:47Z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2024-10-17T15:47:45Z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569a0cc3-59ad-4a60-b9e4-83b3229a8c7e</vt:lpwstr>
  </property>
  <property fmtid="{D5CDD505-2E9C-101B-9397-08002B2CF9AE}" pid="9" name="MSIP_Label_9d817c99-0b37-4a07-8277-96aa1f96b74b_ContentBits">
    <vt:lpwstr>0</vt:lpwstr>
  </property>
</Properties>
</file>