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584" documentId="13_ncr:1_{44DFAB07-1E05-4CD9-9128-AEB90197D041}" xr6:coauthVersionLast="47" xr6:coauthVersionMax="47" xr10:uidLastSave="{14735155-39A2-4F55-AFA2-961669EB3A96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28" l="1"/>
  <c r="H60" i="28"/>
  <c r="H64" i="28"/>
  <c r="H63" i="28"/>
  <c r="H62" i="28"/>
  <c r="H59" i="28"/>
  <c r="H38" i="28"/>
  <c r="H37" i="28"/>
  <c r="H36" i="28"/>
  <c r="H35" i="28"/>
  <c r="H34" i="28"/>
  <c r="H33" i="28"/>
  <c r="H39" i="28"/>
  <c r="H44" i="28"/>
  <c r="H32" i="28"/>
  <c r="H25" i="28"/>
  <c r="H24" i="28"/>
  <c r="H23" i="28"/>
  <c r="H22" i="28"/>
  <c r="H21" i="28"/>
  <c r="H19" i="28"/>
  <c r="H20" i="28"/>
  <c r="H26" i="28"/>
  <c r="H31" i="28"/>
  <c r="H30" i="28"/>
  <c r="I65" i="28"/>
  <c r="I64" i="28"/>
  <c r="I63" i="28"/>
  <c r="I62" i="28"/>
  <c r="I60" i="28"/>
  <c r="I59" i="28"/>
  <c r="H50" i="28"/>
  <c r="I44" i="28"/>
  <c r="I38" i="28"/>
  <c r="I37" i="28"/>
  <c r="I36" i="28"/>
  <c r="I35" i="28"/>
  <c r="I34" i="28"/>
  <c r="I33" i="28"/>
  <c r="I32" i="28"/>
  <c r="I50" i="28"/>
  <c r="I26" i="28"/>
  <c r="I25" i="28"/>
  <c r="I24" i="28"/>
  <c r="I23" i="28"/>
  <c r="I22" i="28"/>
  <c r="I21" i="28"/>
  <c r="I20" i="28"/>
  <c r="I19" i="28"/>
  <c r="H48" i="28"/>
  <c r="I48" i="28"/>
  <c r="I30" i="28"/>
  <c r="I31" i="28"/>
  <c r="I39" i="28"/>
  <c r="E19" i="28"/>
  <c r="E20" i="28"/>
  <c r="I57" i="28"/>
  <c r="I58" i="28"/>
  <c r="H57" i="28"/>
  <c r="H58" i="28"/>
  <c r="H28" i="28"/>
  <c r="H29" i="28"/>
  <c r="I29" i="28" s="1"/>
  <c r="I28" i="28"/>
  <c r="H42" i="28"/>
  <c r="I42" i="28" s="1"/>
  <c r="A3" i="27" a="1"/>
  <c r="A3" i="27" s="1"/>
  <c r="H18" i="28"/>
  <c r="I18" i="28" s="1"/>
  <c r="H24" i="29"/>
  <c r="H27" i="28"/>
  <c r="H25" i="29" s="1"/>
  <c r="H27" i="29"/>
  <c r="H32" i="29"/>
  <c r="H33" i="29"/>
  <c r="H40" i="28"/>
  <c r="I40" i="28" s="1"/>
  <c r="H41" i="28"/>
  <c r="I41" i="28" s="1"/>
  <c r="H40" i="29"/>
  <c r="H43" i="28"/>
  <c r="I43" i="28" s="1"/>
  <c r="H45" i="28"/>
  <c r="I45" i="28" s="1"/>
  <c r="H46" i="28"/>
  <c r="I46" i="28" s="1"/>
  <c r="H47" i="28"/>
  <c r="I47" i="28" s="1"/>
  <c r="H49" i="28"/>
  <c r="I49" i="28" s="1"/>
  <c r="H48" i="29"/>
  <c r="H51" i="28"/>
  <c r="I51" i="28" s="1"/>
  <c r="H52" i="28"/>
  <c r="I52" i="28" s="1"/>
  <c r="H53" i="28"/>
  <c r="I53" i="28" s="1"/>
  <c r="H54" i="28"/>
  <c r="I54" i="28" s="1"/>
  <c r="H55" i="28"/>
  <c r="I55" i="28" s="1"/>
  <c r="H56" i="28"/>
  <c r="H54" i="29" s="1"/>
  <c r="H55" i="29"/>
  <c r="H56" i="29"/>
  <c r="H61" i="28"/>
  <c r="I61" i="28" s="1"/>
  <c r="H60" i="29"/>
  <c r="H62" i="29"/>
  <c r="H66" i="28"/>
  <c r="H64" i="29" s="1"/>
  <c r="H67" i="28"/>
  <c r="H65" i="29" s="1"/>
  <c r="H68" i="28"/>
  <c r="I68" i="28" s="1"/>
  <c r="E18" i="28"/>
  <c r="F18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34" i="28"/>
  <c r="F34" i="28" s="1"/>
  <c r="E35" i="28"/>
  <c r="F35" i="28" s="1"/>
  <c r="E36" i="28"/>
  <c r="F36" i="28" s="1"/>
  <c r="E37" i="28"/>
  <c r="F37" i="28" s="1"/>
  <c r="E38" i="28"/>
  <c r="F38" i="28" s="1"/>
  <c r="E39" i="28"/>
  <c r="F39" i="28" s="1"/>
  <c r="E40" i="28"/>
  <c r="F40" i="28" s="1"/>
  <c r="E41" i="28"/>
  <c r="F41" i="28" s="1"/>
  <c r="E42" i="28"/>
  <c r="F42" i="28" s="1"/>
  <c r="E43" i="28"/>
  <c r="F43" i="28" s="1"/>
  <c r="E44" i="28"/>
  <c r="F44" i="28" s="1"/>
  <c r="E45" i="28"/>
  <c r="F45" i="28" s="1"/>
  <c r="E46" i="28"/>
  <c r="F46" i="28" s="1"/>
  <c r="E47" i="28"/>
  <c r="F47" i="28" s="1"/>
  <c r="E48" i="28"/>
  <c r="F48" i="28" s="1"/>
  <c r="E49" i="28"/>
  <c r="F49" i="28" s="1"/>
  <c r="E50" i="28"/>
  <c r="F50" i="28" s="1"/>
  <c r="E51" i="28"/>
  <c r="F51" i="28" s="1"/>
  <c r="E52" i="28"/>
  <c r="F52" i="28" s="1"/>
  <c r="E53" i="28"/>
  <c r="F53" i="28" s="1"/>
  <c r="E54" i="28"/>
  <c r="F54" i="28" s="1"/>
  <c r="E55" i="28"/>
  <c r="F55" i="28" s="1"/>
  <c r="E56" i="28"/>
  <c r="F56" i="28" s="1"/>
  <c r="E57" i="28"/>
  <c r="F57" i="28" s="1"/>
  <c r="E58" i="28"/>
  <c r="F58" i="28" s="1"/>
  <c r="E59" i="28"/>
  <c r="F59" i="28" s="1"/>
  <c r="E60" i="28"/>
  <c r="F60" i="28" s="1"/>
  <c r="E61" i="28"/>
  <c r="F61" i="28" s="1"/>
  <c r="E62" i="28"/>
  <c r="F62" i="28" s="1"/>
  <c r="E63" i="28"/>
  <c r="F63" i="28" s="1"/>
  <c r="E64" i="28"/>
  <c r="F64" i="28" s="1"/>
  <c r="E65" i="28"/>
  <c r="F65" i="28" s="1"/>
  <c r="E66" i="28"/>
  <c r="F66" i="28" s="1"/>
  <c r="E67" i="28"/>
  <c r="F67" i="28" s="1"/>
  <c r="E68" i="28"/>
  <c r="F68" i="28" s="1"/>
  <c r="H18" i="27"/>
  <c r="I18" i="27" s="1"/>
  <c r="H19" i="27"/>
  <c r="I19" i="27" s="1"/>
  <c r="H20" i="27"/>
  <c r="I20" i="27" s="1"/>
  <c r="H21" i="27"/>
  <c r="I21" i="27"/>
  <c r="H22" i="27"/>
  <c r="I22" i="27" s="1"/>
  <c r="H23" i="27"/>
  <c r="I23" i="27" s="1"/>
  <c r="H24" i="27"/>
  <c r="I24" i="27" s="1"/>
  <c r="H25" i="27"/>
  <c r="I25" i="27"/>
  <c r="H26" i="27"/>
  <c r="I26" i="27" s="1"/>
  <c r="H27" i="27"/>
  <c r="I27" i="27" s="1"/>
  <c r="H28" i="27"/>
  <c r="I28" i="27" s="1"/>
  <c r="H29" i="27"/>
  <c r="I29" i="27"/>
  <c r="H30" i="27"/>
  <c r="I30" i="27" s="1"/>
  <c r="H31" i="27"/>
  <c r="I31" i="27" s="1"/>
  <c r="H32" i="27"/>
  <c r="I32" i="27" s="1"/>
  <c r="H33" i="27"/>
  <c r="I33" i="27"/>
  <c r="H34" i="27"/>
  <c r="I34" i="27" s="1"/>
  <c r="H35" i="27"/>
  <c r="I35" i="27" s="1"/>
  <c r="H36" i="27"/>
  <c r="I36" i="27" s="1"/>
  <c r="H37" i="27"/>
  <c r="I37" i="27"/>
  <c r="H38" i="27"/>
  <c r="I38" i="27" s="1"/>
  <c r="H39" i="27"/>
  <c r="I39" i="27" s="1"/>
  <c r="H40" i="27"/>
  <c r="I40" i="27" s="1"/>
  <c r="H41" i="27"/>
  <c r="I41" i="27"/>
  <c r="H42" i="27"/>
  <c r="I42" i="27" s="1"/>
  <c r="H43" i="27"/>
  <c r="I43" i="27" s="1"/>
  <c r="H44" i="27"/>
  <c r="I44" i="27" s="1"/>
  <c r="H45" i="27"/>
  <c r="I45" i="27"/>
  <c r="H46" i="27"/>
  <c r="I46" i="27" s="1"/>
  <c r="H47" i="27"/>
  <c r="I47" i="27" s="1"/>
  <c r="H48" i="27"/>
  <c r="I48" i="27" s="1"/>
  <c r="H49" i="27"/>
  <c r="I49" i="27"/>
  <c r="H50" i="27"/>
  <c r="I50" i="27" s="1"/>
  <c r="H51" i="27"/>
  <c r="I51" i="27" s="1"/>
  <c r="H52" i="27"/>
  <c r="I52" i="27" s="1"/>
  <c r="H53" i="27"/>
  <c r="I53" i="27"/>
  <c r="H54" i="27"/>
  <c r="I54" i="27" s="1"/>
  <c r="H55" i="27"/>
  <c r="I55" i="27" s="1"/>
  <c r="H56" i="27"/>
  <c r="I56" i="27" s="1"/>
  <c r="H57" i="27"/>
  <c r="I57" i="27"/>
  <c r="H58" i="27"/>
  <c r="I58" i="27" s="1"/>
  <c r="H59" i="27"/>
  <c r="I59" i="27" s="1"/>
  <c r="H60" i="27"/>
  <c r="I60" i="27" s="1"/>
  <c r="H61" i="27"/>
  <c r="I61" i="27"/>
  <c r="H62" i="27"/>
  <c r="I62" i="27" s="1"/>
  <c r="H63" i="27"/>
  <c r="I63" i="27" s="1"/>
  <c r="H64" i="27"/>
  <c r="I64" i="27" s="1"/>
  <c r="H65" i="27"/>
  <c r="I65" i="27"/>
  <c r="H66" i="27"/>
  <c r="I66" i="27" s="1"/>
  <c r="H67" i="27"/>
  <c r="I67" i="27" s="1"/>
  <c r="H68" i="27"/>
  <c r="I68" i="27" s="1"/>
  <c r="I4" i="27"/>
  <c r="I5" i="27"/>
  <c r="I6" i="27"/>
  <c r="I7" i="27"/>
  <c r="I8" i="27"/>
  <c r="I9" i="27"/>
  <c r="I10" i="27"/>
  <c r="H4" i="27"/>
  <c r="H5" i="27"/>
  <c r="H6" i="27"/>
  <c r="H7" i="27"/>
  <c r="H8" i="27"/>
  <c r="H9" i="27"/>
  <c r="H10" i="27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/>
  <c r="E29" i="27"/>
  <c r="F29" i="27" s="1"/>
  <c r="E30" i="27"/>
  <c r="F30" i="27" s="1"/>
  <c r="E31" i="27"/>
  <c r="F31" i="27" s="1"/>
  <c r="E32" i="27"/>
  <c r="F32" i="27" s="1"/>
  <c r="E33" i="27"/>
  <c r="F33" i="27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/>
  <c r="E45" i="27"/>
  <c r="F45" i="27" s="1"/>
  <c r="E46" i="27"/>
  <c r="F46" i="27" s="1"/>
  <c r="E47" i="27"/>
  <c r="F47" i="27" s="1"/>
  <c r="E48" i="27"/>
  <c r="F48" i="27" s="1"/>
  <c r="E49" i="27"/>
  <c r="F49" i="27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/>
  <c r="E61" i="27"/>
  <c r="F61" i="27" s="1"/>
  <c r="E62" i="27"/>
  <c r="F62" i="27" s="1"/>
  <c r="E63" i="27"/>
  <c r="F63" i="27" s="1"/>
  <c r="E64" i="27"/>
  <c r="F64" i="27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24" i="30"/>
  <c r="D24" i="30"/>
  <c r="E24" i="30"/>
  <c r="F24" i="30"/>
  <c r="H24" i="30"/>
  <c r="I24" i="30"/>
  <c r="C25" i="30"/>
  <c r="D25" i="30"/>
  <c r="E25" i="30"/>
  <c r="F25" i="30"/>
  <c r="H25" i="30"/>
  <c r="I25" i="30"/>
  <c r="C26" i="30"/>
  <c r="D26" i="30"/>
  <c r="E26" i="30"/>
  <c r="F26" i="30"/>
  <c r="H26" i="30"/>
  <c r="I26" i="30"/>
  <c r="C27" i="30"/>
  <c r="D27" i="30"/>
  <c r="E27" i="30"/>
  <c r="F27" i="30"/>
  <c r="H27" i="30"/>
  <c r="I27" i="30"/>
  <c r="C28" i="30"/>
  <c r="D28" i="30"/>
  <c r="E28" i="30"/>
  <c r="F28" i="30"/>
  <c r="H28" i="30"/>
  <c r="I28" i="30"/>
  <c r="C29" i="30"/>
  <c r="D29" i="30"/>
  <c r="E29" i="30"/>
  <c r="F29" i="30"/>
  <c r="H29" i="30"/>
  <c r="I29" i="30"/>
  <c r="C30" i="30"/>
  <c r="D30" i="30"/>
  <c r="E30" i="30"/>
  <c r="F30" i="30"/>
  <c r="H30" i="30"/>
  <c r="I30" i="30"/>
  <c r="C31" i="30"/>
  <c r="D31" i="30"/>
  <c r="E31" i="30"/>
  <c r="F31" i="30"/>
  <c r="H31" i="30"/>
  <c r="I31" i="30"/>
  <c r="C32" i="30"/>
  <c r="D32" i="30"/>
  <c r="E32" i="30"/>
  <c r="F32" i="30"/>
  <c r="H32" i="30"/>
  <c r="I32" i="30"/>
  <c r="C33" i="30"/>
  <c r="D33" i="30"/>
  <c r="E33" i="30"/>
  <c r="F33" i="30"/>
  <c r="H33" i="30"/>
  <c r="I33" i="30"/>
  <c r="C34" i="30"/>
  <c r="D34" i="30"/>
  <c r="E34" i="30"/>
  <c r="F34" i="30"/>
  <c r="H34" i="30"/>
  <c r="I34" i="30"/>
  <c r="C35" i="30"/>
  <c r="D35" i="30"/>
  <c r="E35" i="30"/>
  <c r="F35" i="30"/>
  <c r="H35" i="30"/>
  <c r="I35" i="30"/>
  <c r="C36" i="30"/>
  <c r="D36" i="30"/>
  <c r="E36" i="30"/>
  <c r="F36" i="30"/>
  <c r="H36" i="30"/>
  <c r="I36" i="30"/>
  <c r="C37" i="30"/>
  <c r="D37" i="30"/>
  <c r="E37" i="30"/>
  <c r="F37" i="30"/>
  <c r="H37" i="30"/>
  <c r="I37" i="30"/>
  <c r="C38" i="30"/>
  <c r="D38" i="30"/>
  <c r="E38" i="30"/>
  <c r="F38" i="30"/>
  <c r="H38" i="30"/>
  <c r="I38" i="30"/>
  <c r="C39" i="30"/>
  <c r="D39" i="30"/>
  <c r="E39" i="30"/>
  <c r="F39" i="30"/>
  <c r="H39" i="30"/>
  <c r="I39" i="30"/>
  <c r="C40" i="30"/>
  <c r="D40" i="30"/>
  <c r="E40" i="30"/>
  <c r="F40" i="30"/>
  <c r="H40" i="30"/>
  <c r="I40" i="30"/>
  <c r="C41" i="30"/>
  <c r="D41" i="30"/>
  <c r="E41" i="30"/>
  <c r="F41" i="30"/>
  <c r="H41" i="30"/>
  <c r="I41" i="30"/>
  <c r="C42" i="30"/>
  <c r="D42" i="30"/>
  <c r="E42" i="30"/>
  <c r="F42" i="30"/>
  <c r="H42" i="30"/>
  <c r="I42" i="30"/>
  <c r="C43" i="30"/>
  <c r="D43" i="30"/>
  <c r="E43" i="30"/>
  <c r="F43" i="30"/>
  <c r="H43" i="30"/>
  <c r="I43" i="30"/>
  <c r="C44" i="30"/>
  <c r="D44" i="30"/>
  <c r="E44" i="30"/>
  <c r="F44" i="30"/>
  <c r="H44" i="30"/>
  <c r="I44" i="30"/>
  <c r="C45" i="30"/>
  <c r="D45" i="30"/>
  <c r="E45" i="30"/>
  <c r="F45" i="30"/>
  <c r="H45" i="30"/>
  <c r="I45" i="30"/>
  <c r="C46" i="30"/>
  <c r="D46" i="30"/>
  <c r="E46" i="30"/>
  <c r="F46" i="30"/>
  <c r="H46" i="30"/>
  <c r="I46" i="30"/>
  <c r="C47" i="30"/>
  <c r="D47" i="30"/>
  <c r="E47" i="30"/>
  <c r="F47" i="30"/>
  <c r="H47" i="30"/>
  <c r="I47" i="30"/>
  <c r="C48" i="30"/>
  <c r="D48" i="30"/>
  <c r="E48" i="30"/>
  <c r="F48" i="30"/>
  <c r="H48" i="30"/>
  <c r="I48" i="30"/>
  <c r="C49" i="30"/>
  <c r="D49" i="30"/>
  <c r="E49" i="30"/>
  <c r="F49" i="30"/>
  <c r="H49" i="30"/>
  <c r="I49" i="30"/>
  <c r="C50" i="30"/>
  <c r="D50" i="30"/>
  <c r="E50" i="30"/>
  <c r="F50" i="30"/>
  <c r="H50" i="30"/>
  <c r="I50" i="30"/>
  <c r="C51" i="30"/>
  <c r="D51" i="30"/>
  <c r="E51" i="30"/>
  <c r="F51" i="30"/>
  <c r="H51" i="30"/>
  <c r="I51" i="30"/>
  <c r="C52" i="30"/>
  <c r="D52" i="30"/>
  <c r="E52" i="30"/>
  <c r="F52" i="30"/>
  <c r="H52" i="30"/>
  <c r="I52" i="30"/>
  <c r="C53" i="30"/>
  <c r="D53" i="30"/>
  <c r="E53" i="30"/>
  <c r="F53" i="30"/>
  <c r="H53" i="30"/>
  <c r="I53" i="30"/>
  <c r="C54" i="30"/>
  <c r="D54" i="30"/>
  <c r="E54" i="30"/>
  <c r="F54" i="30"/>
  <c r="H54" i="30"/>
  <c r="I54" i="30"/>
  <c r="C55" i="30"/>
  <c r="D55" i="30"/>
  <c r="E55" i="30"/>
  <c r="F55" i="30"/>
  <c r="H55" i="30"/>
  <c r="I55" i="30"/>
  <c r="C56" i="30"/>
  <c r="D56" i="30"/>
  <c r="E56" i="30"/>
  <c r="F56" i="30"/>
  <c r="H56" i="30"/>
  <c r="I56" i="30"/>
  <c r="C57" i="30"/>
  <c r="D57" i="30"/>
  <c r="E57" i="30"/>
  <c r="F57" i="30"/>
  <c r="H57" i="30"/>
  <c r="I57" i="30"/>
  <c r="C58" i="30"/>
  <c r="D58" i="30"/>
  <c r="E58" i="30"/>
  <c r="F58" i="30"/>
  <c r="H58" i="30"/>
  <c r="I58" i="30"/>
  <c r="C59" i="30"/>
  <c r="D59" i="30"/>
  <c r="E59" i="30"/>
  <c r="F59" i="30"/>
  <c r="H59" i="30"/>
  <c r="I59" i="30"/>
  <c r="C60" i="30"/>
  <c r="D60" i="30"/>
  <c r="E60" i="30"/>
  <c r="F60" i="30"/>
  <c r="H60" i="30"/>
  <c r="I60" i="30"/>
  <c r="C61" i="30"/>
  <c r="D61" i="30"/>
  <c r="E61" i="30"/>
  <c r="F61" i="30"/>
  <c r="H61" i="30"/>
  <c r="I61" i="30"/>
  <c r="C62" i="30"/>
  <c r="D62" i="30"/>
  <c r="E62" i="30"/>
  <c r="F62" i="30"/>
  <c r="H62" i="30"/>
  <c r="I62" i="30"/>
  <c r="C63" i="30"/>
  <c r="D63" i="30"/>
  <c r="E63" i="30"/>
  <c r="F63" i="30"/>
  <c r="H63" i="30"/>
  <c r="I63" i="30"/>
  <c r="C64" i="30"/>
  <c r="D64" i="30"/>
  <c r="E64" i="30"/>
  <c r="F64" i="30"/>
  <c r="H64" i="30"/>
  <c r="I64" i="30"/>
  <c r="C65" i="30"/>
  <c r="D65" i="30"/>
  <c r="E65" i="30"/>
  <c r="F65" i="30"/>
  <c r="H65" i="30"/>
  <c r="I65" i="30"/>
  <c r="C66" i="30"/>
  <c r="D66" i="30"/>
  <c r="E66" i="30"/>
  <c r="F66" i="30"/>
  <c r="H66" i="30"/>
  <c r="I66" i="30"/>
  <c r="C67" i="30"/>
  <c r="D67" i="30"/>
  <c r="E67" i="30"/>
  <c r="F67" i="30"/>
  <c r="H67" i="30"/>
  <c r="I67" i="30"/>
  <c r="C68" i="30"/>
  <c r="D68" i="30"/>
  <c r="E68" i="30"/>
  <c r="F68" i="30"/>
  <c r="H68" i="30"/>
  <c r="I68" i="30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26" i="18"/>
  <c r="D26" i="18"/>
  <c r="E26" i="18"/>
  <c r="F26" i="18"/>
  <c r="G26" i="18"/>
  <c r="H26" i="18"/>
  <c r="I26" i="18"/>
  <c r="C27" i="18"/>
  <c r="D27" i="18"/>
  <c r="E27" i="18"/>
  <c r="F27" i="18"/>
  <c r="G27" i="18"/>
  <c r="H27" i="18"/>
  <c r="I27" i="18"/>
  <c r="C28" i="18"/>
  <c r="D28" i="18"/>
  <c r="E28" i="18"/>
  <c r="F28" i="18"/>
  <c r="G28" i="18"/>
  <c r="H28" i="18"/>
  <c r="I28" i="18"/>
  <c r="C29" i="18"/>
  <c r="D29" i="18"/>
  <c r="E29" i="18"/>
  <c r="F29" i="18"/>
  <c r="G29" i="18"/>
  <c r="H29" i="18"/>
  <c r="I29" i="18"/>
  <c r="C30" i="18"/>
  <c r="D30" i="18"/>
  <c r="E30" i="18"/>
  <c r="F30" i="18"/>
  <c r="G30" i="18"/>
  <c r="H30" i="18"/>
  <c r="I30" i="18"/>
  <c r="C31" i="18"/>
  <c r="D31" i="18"/>
  <c r="E31" i="18"/>
  <c r="F31" i="18"/>
  <c r="G31" i="18"/>
  <c r="H31" i="18"/>
  <c r="I31" i="18"/>
  <c r="C32" i="18"/>
  <c r="D32" i="18"/>
  <c r="E32" i="18"/>
  <c r="F32" i="18"/>
  <c r="G32" i="18"/>
  <c r="H32" i="18"/>
  <c r="I32" i="18"/>
  <c r="C33" i="18"/>
  <c r="D33" i="18"/>
  <c r="E33" i="18"/>
  <c r="F33" i="18"/>
  <c r="G33" i="18"/>
  <c r="H33" i="18"/>
  <c r="I33" i="18"/>
  <c r="C34" i="18"/>
  <c r="D34" i="18"/>
  <c r="E34" i="18"/>
  <c r="F34" i="18"/>
  <c r="G34" i="18"/>
  <c r="H34" i="18"/>
  <c r="I34" i="18"/>
  <c r="C35" i="18"/>
  <c r="D35" i="18"/>
  <c r="E35" i="18"/>
  <c r="F35" i="18"/>
  <c r="G35" i="18"/>
  <c r="H35" i="18"/>
  <c r="I35" i="18"/>
  <c r="C36" i="18"/>
  <c r="D36" i="18"/>
  <c r="E36" i="18"/>
  <c r="F36" i="18"/>
  <c r="G36" i="18"/>
  <c r="H36" i="18"/>
  <c r="I36" i="18"/>
  <c r="C37" i="18"/>
  <c r="D37" i="18"/>
  <c r="E37" i="18"/>
  <c r="F37" i="18"/>
  <c r="G37" i="18"/>
  <c r="H37" i="18"/>
  <c r="I37" i="18"/>
  <c r="C38" i="18"/>
  <c r="D38" i="18"/>
  <c r="E38" i="18"/>
  <c r="F38" i="18"/>
  <c r="G38" i="18"/>
  <c r="H38" i="18"/>
  <c r="I38" i="18"/>
  <c r="C39" i="18"/>
  <c r="D39" i="18"/>
  <c r="E39" i="18"/>
  <c r="F39" i="18"/>
  <c r="G39" i="18"/>
  <c r="H39" i="18"/>
  <c r="I39" i="18"/>
  <c r="C40" i="18"/>
  <c r="D40" i="18"/>
  <c r="E40" i="18"/>
  <c r="F40" i="18"/>
  <c r="G40" i="18"/>
  <c r="H40" i="18"/>
  <c r="I40" i="18"/>
  <c r="C41" i="18"/>
  <c r="D41" i="18"/>
  <c r="E41" i="18"/>
  <c r="F41" i="18"/>
  <c r="G41" i="18"/>
  <c r="H41" i="18"/>
  <c r="I41" i="18"/>
  <c r="C42" i="18"/>
  <c r="D42" i="18"/>
  <c r="E42" i="18"/>
  <c r="F42" i="18"/>
  <c r="G42" i="18"/>
  <c r="H42" i="18"/>
  <c r="I42" i="18"/>
  <c r="C43" i="18"/>
  <c r="D43" i="18"/>
  <c r="E43" i="18"/>
  <c r="F43" i="18"/>
  <c r="G43" i="18"/>
  <c r="H43" i="18"/>
  <c r="I43" i="18"/>
  <c r="C44" i="18"/>
  <c r="D44" i="18"/>
  <c r="E44" i="18"/>
  <c r="F44" i="18"/>
  <c r="G44" i="18"/>
  <c r="H44" i="18"/>
  <c r="I44" i="18"/>
  <c r="C45" i="18"/>
  <c r="D45" i="18"/>
  <c r="E45" i="18"/>
  <c r="F45" i="18"/>
  <c r="G45" i="18"/>
  <c r="H45" i="18"/>
  <c r="I45" i="18"/>
  <c r="C46" i="18"/>
  <c r="D46" i="18"/>
  <c r="E46" i="18"/>
  <c r="F46" i="18"/>
  <c r="G46" i="18"/>
  <c r="H46" i="18"/>
  <c r="I46" i="18"/>
  <c r="C47" i="18"/>
  <c r="D47" i="18"/>
  <c r="E47" i="18"/>
  <c r="F47" i="18"/>
  <c r="G47" i="18"/>
  <c r="H47" i="18"/>
  <c r="I47" i="18"/>
  <c r="C48" i="18"/>
  <c r="D48" i="18"/>
  <c r="E48" i="18"/>
  <c r="F48" i="18"/>
  <c r="G48" i="18"/>
  <c r="H48" i="18"/>
  <c r="I48" i="18"/>
  <c r="C49" i="18"/>
  <c r="D49" i="18"/>
  <c r="E49" i="18"/>
  <c r="F49" i="18"/>
  <c r="G49" i="18"/>
  <c r="H49" i="18"/>
  <c r="I49" i="18"/>
  <c r="C50" i="18"/>
  <c r="D50" i="18"/>
  <c r="E50" i="18"/>
  <c r="F50" i="18"/>
  <c r="G50" i="18"/>
  <c r="H50" i="18"/>
  <c r="I50" i="18"/>
  <c r="C51" i="18"/>
  <c r="D51" i="18"/>
  <c r="E51" i="18"/>
  <c r="F51" i="18"/>
  <c r="G51" i="18"/>
  <c r="H51" i="18"/>
  <c r="I51" i="18"/>
  <c r="C52" i="18"/>
  <c r="D52" i="18"/>
  <c r="E52" i="18"/>
  <c r="F52" i="18"/>
  <c r="G52" i="18"/>
  <c r="H52" i="18"/>
  <c r="I52" i="18"/>
  <c r="C53" i="18"/>
  <c r="D53" i="18"/>
  <c r="E53" i="18"/>
  <c r="F53" i="18"/>
  <c r="G53" i="18"/>
  <c r="H53" i="18"/>
  <c r="I53" i="18"/>
  <c r="C54" i="18"/>
  <c r="D54" i="18"/>
  <c r="E54" i="18"/>
  <c r="F54" i="18"/>
  <c r="G54" i="18"/>
  <c r="H54" i="18"/>
  <c r="I54" i="18"/>
  <c r="C55" i="18"/>
  <c r="D55" i="18"/>
  <c r="E55" i="18"/>
  <c r="F55" i="18"/>
  <c r="G55" i="18"/>
  <c r="H55" i="18"/>
  <c r="I55" i="18"/>
  <c r="C56" i="18"/>
  <c r="D56" i="18"/>
  <c r="E56" i="18"/>
  <c r="F56" i="18"/>
  <c r="G56" i="18"/>
  <c r="H56" i="18"/>
  <c r="I56" i="18"/>
  <c r="C57" i="18"/>
  <c r="D57" i="18"/>
  <c r="E57" i="18"/>
  <c r="F57" i="18"/>
  <c r="G57" i="18"/>
  <c r="H57" i="18"/>
  <c r="I57" i="18"/>
  <c r="C58" i="18"/>
  <c r="D58" i="18"/>
  <c r="E58" i="18"/>
  <c r="F58" i="18"/>
  <c r="G58" i="18"/>
  <c r="H58" i="18"/>
  <c r="I58" i="18"/>
  <c r="C59" i="18"/>
  <c r="D59" i="18"/>
  <c r="E59" i="18"/>
  <c r="F59" i="18"/>
  <c r="G59" i="18"/>
  <c r="H59" i="18"/>
  <c r="I59" i="18"/>
  <c r="C60" i="18"/>
  <c r="D60" i="18"/>
  <c r="E60" i="18"/>
  <c r="F60" i="18"/>
  <c r="G60" i="18"/>
  <c r="H60" i="18"/>
  <c r="I60" i="18"/>
  <c r="C61" i="18"/>
  <c r="D61" i="18"/>
  <c r="E61" i="18"/>
  <c r="F61" i="18"/>
  <c r="G61" i="18"/>
  <c r="H61" i="18"/>
  <c r="I61" i="18"/>
  <c r="C62" i="18"/>
  <c r="D62" i="18"/>
  <c r="E62" i="18"/>
  <c r="F62" i="18"/>
  <c r="G62" i="18"/>
  <c r="H62" i="18"/>
  <c r="I62" i="18"/>
  <c r="C63" i="18"/>
  <c r="D63" i="18"/>
  <c r="E63" i="18"/>
  <c r="F63" i="18"/>
  <c r="G63" i="18"/>
  <c r="H63" i="18"/>
  <c r="I63" i="18"/>
  <c r="C64" i="18"/>
  <c r="D64" i="18"/>
  <c r="E64" i="18"/>
  <c r="F64" i="18"/>
  <c r="G64" i="18"/>
  <c r="H64" i="18"/>
  <c r="I64" i="18"/>
  <c r="C65" i="18"/>
  <c r="D65" i="18"/>
  <c r="E65" i="18"/>
  <c r="F65" i="18"/>
  <c r="G65" i="18"/>
  <c r="H65" i="18"/>
  <c r="I65" i="18"/>
  <c r="C66" i="18"/>
  <c r="D66" i="18"/>
  <c r="E66" i="18"/>
  <c r="F66" i="18"/>
  <c r="G66" i="18"/>
  <c r="H66" i="18"/>
  <c r="I66" i="18"/>
  <c r="C67" i="18"/>
  <c r="D67" i="18"/>
  <c r="E67" i="18"/>
  <c r="F67" i="18"/>
  <c r="G67" i="18"/>
  <c r="H67" i="18"/>
  <c r="I67" i="18"/>
  <c r="C68" i="18"/>
  <c r="D68" i="18"/>
  <c r="E68" i="18"/>
  <c r="F68" i="18"/>
  <c r="G68" i="18"/>
  <c r="H68" i="18"/>
  <c r="I68" i="18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C28" i="29"/>
  <c r="C28" i="34" s="1"/>
  <c r="D28" i="29"/>
  <c r="D28" i="34" s="1"/>
  <c r="G28" i="29"/>
  <c r="G28" i="34" s="1"/>
  <c r="I28" i="34" s="1"/>
  <c r="C29" i="29"/>
  <c r="C29" i="34" s="1"/>
  <c r="D29" i="29"/>
  <c r="D29" i="34" s="1"/>
  <c r="G29" i="29"/>
  <c r="G29" i="34" s="1"/>
  <c r="I29" i="34" s="1"/>
  <c r="C30" i="29"/>
  <c r="C30" i="34" s="1"/>
  <c r="D30" i="29"/>
  <c r="D30" i="34" s="1"/>
  <c r="G30" i="29"/>
  <c r="G30" i="34" s="1"/>
  <c r="I30" i="34" s="1"/>
  <c r="H30" i="29"/>
  <c r="C31" i="29"/>
  <c r="C31" i="34" s="1"/>
  <c r="D31" i="29"/>
  <c r="G31" i="29"/>
  <c r="G31" i="34" s="1"/>
  <c r="I31" i="34" s="1"/>
  <c r="C32" i="29"/>
  <c r="C32" i="34" s="1"/>
  <c r="D32" i="29"/>
  <c r="D32" i="34" s="1"/>
  <c r="G32" i="29"/>
  <c r="G32" i="34" s="1"/>
  <c r="I32" i="34" s="1"/>
  <c r="C33" i="29"/>
  <c r="D33" i="29"/>
  <c r="D33" i="34" s="1"/>
  <c r="G33" i="29"/>
  <c r="G33" i="34" s="1"/>
  <c r="I33" i="34" s="1"/>
  <c r="C34" i="29"/>
  <c r="D34" i="29"/>
  <c r="D34" i="34" s="1"/>
  <c r="G34" i="29"/>
  <c r="G34" i="34" s="1"/>
  <c r="I34" i="34" s="1"/>
  <c r="H34" i="29"/>
  <c r="C35" i="29"/>
  <c r="D35" i="29"/>
  <c r="D35" i="34" s="1"/>
  <c r="G35" i="29"/>
  <c r="G35" i="34" s="1"/>
  <c r="I35" i="34" s="1"/>
  <c r="C36" i="29"/>
  <c r="D36" i="29"/>
  <c r="D36" i="34" s="1"/>
  <c r="G36" i="29"/>
  <c r="C37" i="29"/>
  <c r="C37" i="34" s="1"/>
  <c r="D37" i="29"/>
  <c r="G37" i="29"/>
  <c r="C38" i="29"/>
  <c r="C38" i="34" s="1"/>
  <c r="D38" i="29"/>
  <c r="D38" i="34" s="1"/>
  <c r="G38" i="29"/>
  <c r="G38" i="34" s="1"/>
  <c r="I38" i="34" s="1"/>
  <c r="H38" i="29"/>
  <c r="C39" i="29"/>
  <c r="C39" i="34" s="1"/>
  <c r="D39" i="29"/>
  <c r="D39" i="34" s="1"/>
  <c r="G39" i="29"/>
  <c r="G39" i="34" s="1"/>
  <c r="I39" i="34" s="1"/>
  <c r="H39" i="29"/>
  <c r="I39" i="29" s="1"/>
  <c r="C40" i="29"/>
  <c r="C40" i="34" s="1"/>
  <c r="D40" i="29"/>
  <c r="D40" i="34" s="1"/>
  <c r="G40" i="29"/>
  <c r="G40" i="34" s="1"/>
  <c r="I40" i="34" s="1"/>
  <c r="C41" i="29"/>
  <c r="C41" i="34" s="1"/>
  <c r="D41" i="29"/>
  <c r="D41" i="34" s="1"/>
  <c r="G41" i="29"/>
  <c r="G41" i="34" s="1"/>
  <c r="I41" i="34" s="1"/>
  <c r="C42" i="29"/>
  <c r="C42" i="34" s="1"/>
  <c r="D42" i="29"/>
  <c r="G42" i="29"/>
  <c r="G42" i="34" s="1"/>
  <c r="I42" i="34" s="1"/>
  <c r="H42" i="29"/>
  <c r="C43" i="29"/>
  <c r="D43" i="29"/>
  <c r="D43" i="34" s="1"/>
  <c r="G43" i="29"/>
  <c r="G43" i="34" s="1"/>
  <c r="I43" i="34" s="1"/>
  <c r="H43" i="29"/>
  <c r="C44" i="29"/>
  <c r="C44" i="34" s="1"/>
  <c r="D44" i="29"/>
  <c r="D44" i="34" s="1"/>
  <c r="G44" i="29"/>
  <c r="G44" i="34" s="1"/>
  <c r="I44" i="34" s="1"/>
  <c r="C45" i="29"/>
  <c r="C45" i="34" s="1"/>
  <c r="D45" i="29"/>
  <c r="D45" i="34" s="1"/>
  <c r="G45" i="29"/>
  <c r="G45" i="34" s="1"/>
  <c r="I45" i="34" s="1"/>
  <c r="C46" i="29"/>
  <c r="D46" i="29"/>
  <c r="D46" i="34" s="1"/>
  <c r="G46" i="29"/>
  <c r="H46" i="29"/>
  <c r="C47" i="29"/>
  <c r="C47" i="34" s="1"/>
  <c r="D47" i="29"/>
  <c r="D47" i="34" s="1"/>
  <c r="G47" i="29"/>
  <c r="G47" i="34" s="1"/>
  <c r="I47" i="34" s="1"/>
  <c r="C48" i="29"/>
  <c r="C48" i="34" s="1"/>
  <c r="D48" i="29"/>
  <c r="G48" i="29"/>
  <c r="G48" i="34" s="1"/>
  <c r="C49" i="29"/>
  <c r="C49" i="34" s="1"/>
  <c r="D49" i="29"/>
  <c r="G49" i="29"/>
  <c r="G49" i="34" s="1"/>
  <c r="I49" i="34" s="1"/>
  <c r="C50" i="29"/>
  <c r="C50" i="34" s="1"/>
  <c r="D50" i="29"/>
  <c r="G50" i="29"/>
  <c r="G50" i="34" s="1"/>
  <c r="I50" i="34" s="1"/>
  <c r="H50" i="29"/>
  <c r="C51" i="29"/>
  <c r="C51" i="34" s="1"/>
  <c r="D51" i="29"/>
  <c r="D51" i="34" s="1"/>
  <c r="G51" i="29"/>
  <c r="G51" i="34" s="1"/>
  <c r="I51" i="34" s="1"/>
  <c r="H51" i="29"/>
  <c r="C52" i="29"/>
  <c r="C52" i="34" s="1"/>
  <c r="D52" i="29"/>
  <c r="D52" i="34" s="1"/>
  <c r="G52" i="29"/>
  <c r="G52" i="34" s="1"/>
  <c r="I52" i="34" s="1"/>
  <c r="C53" i="29"/>
  <c r="D53" i="29"/>
  <c r="D53" i="34" s="1"/>
  <c r="G53" i="29"/>
  <c r="G53" i="34" s="1"/>
  <c r="I53" i="34" s="1"/>
  <c r="C54" i="29"/>
  <c r="C54" i="34" s="1"/>
  <c r="D54" i="29"/>
  <c r="D54" i="34" s="1"/>
  <c r="G54" i="29"/>
  <c r="G54" i="34" s="1"/>
  <c r="I54" i="34" s="1"/>
  <c r="C55" i="29"/>
  <c r="C55" i="34" s="1"/>
  <c r="D55" i="29"/>
  <c r="D55" i="34" s="1"/>
  <c r="G55" i="29"/>
  <c r="G55" i="34" s="1"/>
  <c r="I55" i="34" s="1"/>
  <c r="C56" i="29"/>
  <c r="C56" i="34" s="1"/>
  <c r="D56" i="29"/>
  <c r="D56" i="34" s="1"/>
  <c r="G56" i="29"/>
  <c r="G56" i="34" s="1"/>
  <c r="I56" i="34" s="1"/>
  <c r="C57" i="29"/>
  <c r="C57" i="34" s="1"/>
  <c r="D57" i="29"/>
  <c r="D57" i="34" s="1"/>
  <c r="G57" i="29"/>
  <c r="C58" i="29"/>
  <c r="C58" i="34" s="1"/>
  <c r="D58" i="29"/>
  <c r="G58" i="29"/>
  <c r="G58" i="34" s="1"/>
  <c r="I58" i="34" s="1"/>
  <c r="H58" i="29"/>
  <c r="C59" i="29"/>
  <c r="C59" i="34" s="1"/>
  <c r="D59" i="29"/>
  <c r="G59" i="29"/>
  <c r="G59" i="34" s="1"/>
  <c r="I59" i="34" s="1"/>
  <c r="H59" i="29"/>
  <c r="C60" i="29"/>
  <c r="C60" i="34" s="1"/>
  <c r="D60" i="29"/>
  <c r="D60" i="34" s="1"/>
  <c r="G60" i="29"/>
  <c r="G60" i="34" s="1"/>
  <c r="I60" i="34" s="1"/>
  <c r="C61" i="29"/>
  <c r="C61" i="34" s="1"/>
  <c r="D61" i="29"/>
  <c r="D61" i="34" s="1"/>
  <c r="G61" i="29"/>
  <c r="G61" i="34" s="1"/>
  <c r="I61" i="34" s="1"/>
  <c r="C62" i="29"/>
  <c r="C62" i="34" s="1"/>
  <c r="D62" i="29"/>
  <c r="D62" i="34" s="1"/>
  <c r="G62" i="29"/>
  <c r="G62" i="34" s="1"/>
  <c r="I62" i="34" s="1"/>
  <c r="C63" i="29"/>
  <c r="C63" i="34" s="1"/>
  <c r="D63" i="29"/>
  <c r="D63" i="34" s="1"/>
  <c r="G63" i="29"/>
  <c r="G63" i="34" s="1"/>
  <c r="I63" i="34" s="1"/>
  <c r="C64" i="29"/>
  <c r="C64" i="34" s="1"/>
  <c r="D64" i="29"/>
  <c r="D64" i="34" s="1"/>
  <c r="G64" i="29"/>
  <c r="G64" i="34" s="1"/>
  <c r="I64" i="34" s="1"/>
  <c r="C65" i="29"/>
  <c r="C65" i="34" s="1"/>
  <c r="D65" i="29"/>
  <c r="D65" i="34" s="1"/>
  <c r="G65" i="29"/>
  <c r="G65" i="34" s="1"/>
  <c r="I65" i="34" s="1"/>
  <c r="C66" i="29"/>
  <c r="C66" i="34" s="1"/>
  <c r="D66" i="29"/>
  <c r="D66" i="34" s="1"/>
  <c r="G66" i="29"/>
  <c r="G66" i="34" s="1"/>
  <c r="I66" i="34" s="1"/>
  <c r="H66" i="29"/>
  <c r="C67" i="29"/>
  <c r="C67" i="34" s="1"/>
  <c r="D67" i="29"/>
  <c r="G67" i="29"/>
  <c r="G67" i="34" s="1"/>
  <c r="I67" i="34" s="1"/>
  <c r="H67" i="29"/>
  <c r="C68" i="29"/>
  <c r="D68" i="29"/>
  <c r="D68" i="34" s="1"/>
  <c r="G68" i="29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39" i="26"/>
  <c r="F39" i="26"/>
  <c r="H39" i="26"/>
  <c r="I39" i="26"/>
  <c r="E40" i="26"/>
  <c r="F40" i="26"/>
  <c r="H40" i="26"/>
  <c r="I40" i="26"/>
  <c r="E41" i="26"/>
  <c r="F41" i="26"/>
  <c r="H41" i="26"/>
  <c r="I41" i="26"/>
  <c r="E42" i="26"/>
  <c r="F42" i="26"/>
  <c r="H42" i="26"/>
  <c r="I42" i="26"/>
  <c r="E43" i="26"/>
  <c r="F43" i="26"/>
  <c r="H43" i="26"/>
  <c r="I43" i="26"/>
  <c r="E44" i="26"/>
  <c r="F44" i="26"/>
  <c r="H44" i="26"/>
  <c r="I44" i="26"/>
  <c r="E45" i="26"/>
  <c r="F45" i="26"/>
  <c r="H45" i="26"/>
  <c r="I45" i="26"/>
  <c r="E46" i="26"/>
  <c r="F46" i="26"/>
  <c r="H46" i="26"/>
  <c r="I46" i="26"/>
  <c r="E47" i="26"/>
  <c r="F47" i="26"/>
  <c r="H47" i="26"/>
  <c r="I47" i="26"/>
  <c r="E48" i="26"/>
  <c r="F48" i="26"/>
  <c r="H48" i="26"/>
  <c r="I48" i="26"/>
  <c r="E49" i="26"/>
  <c r="F49" i="26"/>
  <c r="H49" i="26"/>
  <c r="I49" i="26"/>
  <c r="E50" i="26"/>
  <c r="F50" i="26"/>
  <c r="H50" i="26"/>
  <c r="I50" i="26"/>
  <c r="E51" i="26"/>
  <c r="F51" i="26"/>
  <c r="H51" i="26"/>
  <c r="I51" i="26"/>
  <c r="E52" i="26"/>
  <c r="F52" i="26"/>
  <c r="H52" i="26"/>
  <c r="I52" i="26"/>
  <c r="E53" i="26"/>
  <c r="F53" i="26"/>
  <c r="H53" i="26"/>
  <c r="I53" i="26"/>
  <c r="E54" i="26"/>
  <c r="F54" i="26"/>
  <c r="H54" i="26"/>
  <c r="I54" i="26"/>
  <c r="E55" i="26"/>
  <c r="F55" i="26"/>
  <c r="H55" i="26"/>
  <c r="I55" i="26"/>
  <c r="E56" i="26"/>
  <c r="F56" i="26"/>
  <c r="H56" i="26"/>
  <c r="I56" i="26"/>
  <c r="E57" i="26"/>
  <c r="F57" i="26"/>
  <c r="H57" i="26"/>
  <c r="I57" i="26"/>
  <c r="E58" i="26"/>
  <c r="F58" i="26"/>
  <c r="H58" i="26"/>
  <c r="I58" i="26"/>
  <c r="E59" i="26"/>
  <c r="F59" i="26"/>
  <c r="H59" i="26"/>
  <c r="I59" i="26"/>
  <c r="E60" i="26"/>
  <c r="F60" i="26"/>
  <c r="H60" i="26"/>
  <c r="I60" i="26"/>
  <c r="E61" i="26"/>
  <c r="F61" i="26"/>
  <c r="H61" i="26"/>
  <c r="I61" i="26"/>
  <c r="E62" i="26"/>
  <c r="F62" i="26"/>
  <c r="H62" i="26"/>
  <c r="I62" i="26"/>
  <c r="E63" i="26"/>
  <c r="F63" i="26"/>
  <c r="H63" i="26"/>
  <c r="I63" i="26"/>
  <c r="E64" i="26"/>
  <c r="F64" i="26"/>
  <c r="H64" i="26"/>
  <c r="I64" i="26"/>
  <c r="E65" i="26"/>
  <c r="F65" i="26"/>
  <c r="H65" i="26"/>
  <c r="I65" i="26"/>
  <c r="E66" i="26"/>
  <c r="F66" i="26"/>
  <c r="H66" i="26"/>
  <c r="I66" i="26"/>
  <c r="E67" i="26"/>
  <c r="F67" i="26"/>
  <c r="H67" i="26"/>
  <c r="I67" i="26"/>
  <c r="E68" i="26"/>
  <c r="F68" i="26"/>
  <c r="H68" i="26"/>
  <c r="I68" i="26"/>
  <c r="E26" i="19"/>
  <c r="H26" i="19"/>
  <c r="I26" i="19"/>
  <c r="E27" i="19"/>
  <c r="H27" i="19"/>
  <c r="I27" i="19"/>
  <c r="E28" i="19"/>
  <c r="H28" i="19"/>
  <c r="I28" i="19"/>
  <c r="E29" i="19"/>
  <c r="H29" i="19"/>
  <c r="I29" i="19"/>
  <c r="E30" i="19"/>
  <c r="H30" i="19"/>
  <c r="I30" i="19"/>
  <c r="E31" i="19"/>
  <c r="H31" i="19"/>
  <c r="I31" i="19"/>
  <c r="E32" i="19"/>
  <c r="H32" i="19"/>
  <c r="I32" i="19"/>
  <c r="E33" i="19"/>
  <c r="H33" i="19"/>
  <c r="I33" i="19"/>
  <c r="E34" i="19"/>
  <c r="H34" i="19"/>
  <c r="I34" i="19"/>
  <c r="E35" i="19"/>
  <c r="H35" i="19"/>
  <c r="I35" i="19"/>
  <c r="E36" i="19"/>
  <c r="H36" i="19"/>
  <c r="I36" i="19"/>
  <c r="E37" i="19"/>
  <c r="H37" i="19"/>
  <c r="I37" i="19"/>
  <c r="E38" i="19"/>
  <c r="H38" i="19"/>
  <c r="I38" i="19"/>
  <c r="E39" i="19"/>
  <c r="H39" i="19"/>
  <c r="I39" i="19"/>
  <c r="E40" i="19"/>
  <c r="H40" i="19"/>
  <c r="I40" i="19"/>
  <c r="E41" i="19"/>
  <c r="H41" i="19"/>
  <c r="I41" i="19"/>
  <c r="E42" i="19"/>
  <c r="H42" i="19"/>
  <c r="I42" i="19"/>
  <c r="E43" i="19"/>
  <c r="H43" i="19"/>
  <c r="I43" i="19"/>
  <c r="E44" i="19"/>
  <c r="H44" i="19"/>
  <c r="I44" i="19"/>
  <c r="E45" i="19"/>
  <c r="H45" i="19"/>
  <c r="I45" i="19"/>
  <c r="E46" i="19"/>
  <c r="H46" i="19"/>
  <c r="I46" i="19"/>
  <c r="E47" i="19"/>
  <c r="H47" i="19"/>
  <c r="I47" i="19"/>
  <c r="E48" i="19"/>
  <c r="H48" i="19"/>
  <c r="I48" i="19"/>
  <c r="E49" i="19"/>
  <c r="H49" i="19"/>
  <c r="I49" i="19"/>
  <c r="E50" i="19"/>
  <c r="H50" i="19"/>
  <c r="I50" i="19"/>
  <c r="E51" i="19"/>
  <c r="H51" i="19"/>
  <c r="I51" i="19"/>
  <c r="E52" i="19"/>
  <c r="H52" i="19"/>
  <c r="I52" i="19"/>
  <c r="E53" i="19"/>
  <c r="H53" i="19"/>
  <c r="I53" i="19"/>
  <c r="E54" i="19"/>
  <c r="H54" i="19"/>
  <c r="I54" i="19"/>
  <c r="E55" i="19"/>
  <c r="H55" i="19"/>
  <c r="I55" i="19"/>
  <c r="E56" i="19"/>
  <c r="H56" i="19"/>
  <c r="I56" i="19"/>
  <c r="E57" i="19"/>
  <c r="H57" i="19"/>
  <c r="I57" i="19"/>
  <c r="E58" i="19"/>
  <c r="H58" i="19"/>
  <c r="I58" i="19"/>
  <c r="E59" i="19"/>
  <c r="H59" i="19"/>
  <c r="I59" i="19"/>
  <c r="E60" i="19"/>
  <c r="H60" i="19"/>
  <c r="I60" i="19"/>
  <c r="E61" i="19"/>
  <c r="H61" i="19"/>
  <c r="I61" i="19"/>
  <c r="E62" i="19"/>
  <c r="H62" i="19"/>
  <c r="I62" i="19"/>
  <c r="E63" i="19"/>
  <c r="H63" i="19"/>
  <c r="I63" i="19"/>
  <c r="E64" i="19"/>
  <c r="H64" i="19"/>
  <c r="I64" i="19"/>
  <c r="E65" i="19"/>
  <c r="H65" i="19"/>
  <c r="I65" i="19"/>
  <c r="E66" i="19"/>
  <c r="H66" i="19"/>
  <c r="I66" i="19"/>
  <c r="E67" i="19"/>
  <c r="H67" i="19"/>
  <c r="I67" i="19"/>
  <c r="E68" i="19"/>
  <c r="H68" i="19"/>
  <c r="I68" i="19"/>
  <c r="E26" i="20"/>
  <c r="H26" i="20"/>
  <c r="I26" i="20"/>
  <c r="E27" i="20"/>
  <c r="H27" i="20"/>
  <c r="I27" i="20"/>
  <c r="E28" i="20"/>
  <c r="H28" i="20"/>
  <c r="I28" i="20"/>
  <c r="E29" i="20"/>
  <c r="H29" i="20"/>
  <c r="I29" i="20"/>
  <c r="E30" i="20"/>
  <c r="H30" i="20"/>
  <c r="I30" i="20"/>
  <c r="E31" i="20"/>
  <c r="H31" i="20"/>
  <c r="I31" i="20"/>
  <c r="E32" i="20"/>
  <c r="H32" i="20"/>
  <c r="I32" i="20"/>
  <c r="E33" i="20"/>
  <c r="H33" i="20"/>
  <c r="I33" i="20"/>
  <c r="E34" i="20"/>
  <c r="H34" i="20"/>
  <c r="I34" i="20"/>
  <c r="E35" i="20"/>
  <c r="H35" i="20"/>
  <c r="I35" i="20"/>
  <c r="E36" i="20"/>
  <c r="H36" i="20"/>
  <c r="I36" i="20"/>
  <c r="E37" i="20"/>
  <c r="H37" i="20"/>
  <c r="I37" i="20"/>
  <c r="E38" i="20"/>
  <c r="H38" i="20"/>
  <c r="I38" i="20"/>
  <c r="E39" i="20"/>
  <c r="H39" i="20"/>
  <c r="I39" i="20"/>
  <c r="E40" i="20"/>
  <c r="H40" i="20"/>
  <c r="I40" i="20"/>
  <c r="E41" i="20"/>
  <c r="H41" i="20"/>
  <c r="I41" i="20"/>
  <c r="E42" i="20"/>
  <c r="H42" i="20"/>
  <c r="I42" i="20"/>
  <c r="E43" i="20"/>
  <c r="H43" i="20"/>
  <c r="I43" i="20"/>
  <c r="E44" i="20"/>
  <c r="H44" i="20"/>
  <c r="I44" i="20"/>
  <c r="E45" i="20"/>
  <c r="H45" i="20"/>
  <c r="I45" i="20"/>
  <c r="E46" i="20"/>
  <c r="H46" i="20"/>
  <c r="I46" i="20"/>
  <c r="E47" i="20"/>
  <c r="H47" i="20"/>
  <c r="I47" i="20"/>
  <c r="E48" i="20"/>
  <c r="H48" i="20"/>
  <c r="I48" i="20"/>
  <c r="E49" i="20"/>
  <c r="H49" i="20"/>
  <c r="I49" i="20"/>
  <c r="E50" i="20"/>
  <c r="H50" i="20"/>
  <c r="I50" i="20"/>
  <c r="E51" i="20"/>
  <c r="H51" i="20"/>
  <c r="I51" i="20"/>
  <c r="E52" i="20"/>
  <c r="H52" i="20"/>
  <c r="I52" i="20"/>
  <c r="E53" i="20"/>
  <c r="H53" i="20"/>
  <c r="I53" i="20"/>
  <c r="E54" i="20"/>
  <c r="H54" i="20"/>
  <c r="I54" i="20"/>
  <c r="E55" i="20"/>
  <c r="H55" i="20"/>
  <c r="I55" i="20"/>
  <c r="E56" i="20"/>
  <c r="H56" i="20"/>
  <c r="I56" i="20"/>
  <c r="E57" i="20"/>
  <c r="H57" i="20"/>
  <c r="I57" i="20"/>
  <c r="E58" i="20"/>
  <c r="H58" i="20"/>
  <c r="I58" i="20"/>
  <c r="E59" i="20"/>
  <c r="H59" i="20"/>
  <c r="I59" i="20"/>
  <c r="E60" i="20"/>
  <c r="H60" i="20"/>
  <c r="I60" i="20"/>
  <c r="E61" i="20"/>
  <c r="H61" i="20"/>
  <c r="I61" i="20"/>
  <c r="E62" i="20"/>
  <c r="H62" i="20"/>
  <c r="I62" i="20"/>
  <c r="E63" i="20"/>
  <c r="H63" i="20"/>
  <c r="I63" i="20"/>
  <c r="E64" i="20"/>
  <c r="H64" i="20"/>
  <c r="I64" i="20"/>
  <c r="E65" i="20"/>
  <c r="H65" i="20"/>
  <c r="I65" i="20"/>
  <c r="E66" i="20"/>
  <c r="H66" i="20"/>
  <c r="I66" i="20"/>
  <c r="E67" i="20"/>
  <c r="H67" i="20"/>
  <c r="I67" i="20"/>
  <c r="E68" i="20"/>
  <c r="H68" i="20"/>
  <c r="I68" i="20"/>
  <c r="E26" i="21"/>
  <c r="F26" i="21"/>
  <c r="H26" i="21"/>
  <c r="I26" i="21"/>
  <c r="E27" i="21"/>
  <c r="F27" i="21"/>
  <c r="H27" i="21"/>
  <c r="I27" i="21"/>
  <c r="E28" i="21"/>
  <c r="F28" i="21"/>
  <c r="H28" i="21"/>
  <c r="I28" i="2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39" i="21"/>
  <c r="F39" i="21"/>
  <c r="H39" i="21"/>
  <c r="I39" i="21"/>
  <c r="E40" i="21"/>
  <c r="F40" i="21"/>
  <c r="H40" i="21"/>
  <c r="I40" i="21"/>
  <c r="E41" i="21"/>
  <c r="F41" i="21"/>
  <c r="H41" i="21"/>
  <c r="I41" i="21"/>
  <c r="E42" i="21"/>
  <c r="F42" i="21"/>
  <c r="H42" i="21"/>
  <c r="I42" i="21"/>
  <c r="E43" i="21"/>
  <c r="F43" i="21"/>
  <c r="H43" i="21"/>
  <c r="I43" i="21"/>
  <c r="E44" i="21"/>
  <c r="F44" i="21"/>
  <c r="H44" i="21"/>
  <c r="I44" i="21"/>
  <c r="E45" i="21"/>
  <c r="F45" i="21"/>
  <c r="H45" i="21"/>
  <c r="I45" i="21"/>
  <c r="E46" i="21"/>
  <c r="F46" i="21"/>
  <c r="H46" i="21"/>
  <c r="I46" i="21"/>
  <c r="E47" i="21"/>
  <c r="F47" i="21"/>
  <c r="H47" i="21"/>
  <c r="I47" i="21"/>
  <c r="E48" i="21"/>
  <c r="F48" i="21"/>
  <c r="H48" i="21"/>
  <c r="I48" i="21"/>
  <c r="E49" i="21"/>
  <c r="F49" i="21"/>
  <c r="H49" i="21"/>
  <c r="I49" i="21"/>
  <c r="E50" i="21"/>
  <c r="F50" i="21"/>
  <c r="H50" i="21"/>
  <c r="I50" i="21"/>
  <c r="E51" i="21"/>
  <c r="F51" i="21"/>
  <c r="H51" i="21"/>
  <c r="I51" i="21"/>
  <c r="E52" i="21"/>
  <c r="F52" i="21"/>
  <c r="H52" i="21"/>
  <c r="I52" i="21"/>
  <c r="E53" i="21"/>
  <c r="F53" i="21"/>
  <c r="H53" i="21"/>
  <c r="I53" i="21"/>
  <c r="E54" i="21"/>
  <c r="F54" i="21"/>
  <c r="H54" i="21"/>
  <c r="I54" i="21"/>
  <c r="E55" i="21"/>
  <c r="F55" i="21"/>
  <c r="H55" i="21"/>
  <c r="I55" i="21"/>
  <c r="E56" i="21"/>
  <c r="F56" i="21"/>
  <c r="H56" i="21"/>
  <c r="I56" i="21"/>
  <c r="E57" i="21"/>
  <c r="F57" i="21"/>
  <c r="H57" i="21"/>
  <c r="I57" i="21"/>
  <c r="E58" i="21"/>
  <c r="F58" i="21"/>
  <c r="H58" i="21"/>
  <c r="I58" i="21"/>
  <c r="E59" i="21"/>
  <c r="F59" i="21"/>
  <c r="H59" i="21"/>
  <c r="I59" i="21"/>
  <c r="E60" i="21"/>
  <c r="F60" i="21"/>
  <c r="H60" i="21"/>
  <c r="I60" i="21"/>
  <c r="E61" i="21"/>
  <c r="F61" i="21"/>
  <c r="H61" i="21"/>
  <c r="I61" i="21"/>
  <c r="E62" i="21"/>
  <c r="F62" i="21"/>
  <c r="H62" i="21"/>
  <c r="I62" i="21"/>
  <c r="E63" i="21"/>
  <c r="F63" i="21"/>
  <c r="H63" i="21"/>
  <c r="I63" i="21"/>
  <c r="E64" i="21"/>
  <c r="F64" i="21"/>
  <c r="H64" i="21"/>
  <c r="I64" i="21"/>
  <c r="E65" i="21"/>
  <c r="F65" i="21"/>
  <c r="H65" i="21"/>
  <c r="I65" i="21"/>
  <c r="E66" i="21"/>
  <c r="F66" i="21"/>
  <c r="H66" i="21"/>
  <c r="I66" i="21"/>
  <c r="E67" i="21"/>
  <c r="F67" i="21"/>
  <c r="H67" i="21"/>
  <c r="I67" i="21"/>
  <c r="E68" i="21"/>
  <c r="F68" i="21"/>
  <c r="H68" i="21"/>
  <c r="I68" i="21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39" i="4"/>
  <c r="F39" i="4"/>
  <c r="H39" i="4"/>
  <c r="I39" i="4"/>
  <c r="E40" i="4"/>
  <c r="F40" i="4"/>
  <c r="H40" i="4"/>
  <c r="I40" i="4"/>
  <c r="E41" i="4"/>
  <c r="F41" i="4"/>
  <c r="H41" i="4"/>
  <c r="I41" i="4"/>
  <c r="E42" i="4"/>
  <c r="F42" i="4"/>
  <c r="H42" i="4"/>
  <c r="I42" i="4"/>
  <c r="E43" i="4"/>
  <c r="F43" i="4"/>
  <c r="H43" i="4"/>
  <c r="I43" i="4"/>
  <c r="E44" i="4"/>
  <c r="F44" i="4"/>
  <c r="H44" i="4"/>
  <c r="I44" i="4"/>
  <c r="E45" i="4"/>
  <c r="F45" i="4"/>
  <c r="H45" i="4"/>
  <c r="I45" i="4"/>
  <c r="E46" i="4"/>
  <c r="F46" i="4"/>
  <c r="H46" i="4"/>
  <c r="I46" i="4"/>
  <c r="E47" i="4"/>
  <c r="F47" i="4"/>
  <c r="H47" i="4"/>
  <c r="I47" i="4"/>
  <c r="E48" i="4"/>
  <c r="F48" i="4"/>
  <c r="H48" i="4"/>
  <c r="I48" i="4"/>
  <c r="E49" i="4"/>
  <c r="F49" i="4"/>
  <c r="H49" i="4"/>
  <c r="I49" i="4"/>
  <c r="E50" i="4"/>
  <c r="F50" i="4"/>
  <c r="H50" i="4"/>
  <c r="I50" i="4"/>
  <c r="E51" i="4"/>
  <c r="F51" i="4"/>
  <c r="H51" i="4"/>
  <c r="I51" i="4"/>
  <c r="E52" i="4"/>
  <c r="F52" i="4"/>
  <c r="H52" i="4"/>
  <c r="I52" i="4"/>
  <c r="E53" i="4"/>
  <c r="F53" i="4"/>
  <c r="H53" i="4"/>
  <c r="I53" i="4"/>
  <c r="E54" i="4"/>
  <c r="F54" i="4"/>
  <c r="H54" i="4"/>
  <c r="I54" i="4"/>
  <c r="E55" i="4"/>
  <c r="F55" i="4"/>
  <c r="H55" i="4"/>
  <c r="I55" i="4"/>
  <c r="E56" i="4"/>
  <c r="F56" i="4"/>
  <c r="H56" i="4"/>
  <c r="I56" i="4"/>
  <c r="E57" i="4"/>
  <c r="F57" i="4"/>
  <c r="H57" i="4"/>
  <c r="I57" i="4"/>
  <c r="E58" i="4"/>
  <c r="F58" i="4"/>
  <c r="H58" i="4"/>
  <c r="I58" i="4"/>
  <c r="E59" i="4"/>
  <c r="F59" i="4"/>
  <c r="H59" i="4"/>
  <c r="I59" i="4"/>
  <c r="E60" i="4"/>
  <c r="F60" i="4"/>
  <c r="H60" i="4"/>
  <c r="I60" i="4"/>
  <c r="E61" i="4"/>
  <c r="F61" i="4"/>
  <c r="H61" i="4"/>
  <c r="I61" i="4"/>
  <c r="E62" i="4"/>
  <c r="F62" i="4"/>
  <c r="H62" i="4"/>
  <c r="I62" i="4"/>
  <c r="E63" i="4"/>
  <c r="F63" i="4"/>
  <c r="H63" i="4"/>
  <c r="I63" i="4"/>
  <c r="E64" i="4"/>
  <c r="F64" i="4"/>
  <c r="H64" i="4"/>
  <c r="I64" i="4"/>
  <c r="E65" i="4"/>
  <c r="F65" i="4"/>
  <c r="H65" i="4"/>
  <c r="I65" i="4"/>
  <c r="E66" i="4"/>
  <c r="F66" i="4"/>
  <c r="H66" i="4"/>
  <c r="I66" i="4"/>
  <c r="E67" i="4"/>
  <c r="F67" i="4"/>
  <c r="H67" i="4"/>
  <c r="I67" i="4"/>
  <c r="E68" i="4"/>
  <c r="F68" i="4"/>
  <c r="H68" i="4"/>
  <c r="I68" i="4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39" i="3"/>
  <c r="F39" i="3"/>
  <c r="H39" i="3"/>
  <c r="I39" i="3"/>
  <c r="E40" i="3"/>
  <c r="F40" i="3"/>
  <c r="H40" i="3"/>
  <c r="I40" i="3"/>
  <c r="E41" i="3"/>
  <c r="F41" i="3"/>
  <c r="H41" i="3"/>
  <c r="I41" i="3"/>
  <c r="E42" i="3"/>
  <c r="F42" i="3"/>
  <c r="H42" i="3"/>
  <c r="I42" i="3"/>
  <c r="E43" i="3"/>
  <c r="F43" i="3"/>
  <c r="H43" i="3"/>
  <c r="I43" i="3"/>
  <c r="E44" i="3"/>
  <c r="F44" i="3"/>
  <c r="H44" i="3"/>
  <c r="I44" i="3"/>
  <c r="E45" i="3"/>
  <c r="F45" i="3"/>
  <c r="H45" i="3"/>
  <c r="I45" i="3"/>
  <c r="E46" i="3"/>
  <c r="F46" i="3"/>
  <c r="H46" i="3"/>
  <c r="I46" i="3"/>
  <c r="E47" i="3"/>
  <c r="F47" i="3"/>
  <c r="H47" i="3"/>
  <c r="I47" i="3"/>
  <c r="E48" i="3"/>
  <c r="F48" i="3"/>
  <c r="H48" i="3"/>
  <c r="I48" i="3"/>
  <c r="E49" i="3"/>
  <c r="F49" i="3"/>
  <c r="H49" i="3"/>
  <c r="I49" i="3"/>
  <c r="E50" i="3"/>
  <c r="F50" i="3"/>
  <c r="H50" i="3"/>
  <c r="I50" i="3"/>
  <c r="E51" i="3"/>
  <c r="F51" i="3"/>
  <c r="H51" i="3"/>
  <c r="I51" i="3"/>
  <c r="E52" i="3"/>
  <c r="F52" i="3"/>
  <c r="H52" i="3"/>
  <c r="I52" i="3"/>
  <c r="E53" i="3"/>
  <c r="F53" i="3"/>
  <c r="H53" i="3"/>
  <c r="I53" i="3"/>
  <c r="E54" i="3"/>
  <c r="F54" i="3"/>
  <c r="H54" i="3"/>
  <c r="I54" i="3"/>
  <c r="E55" i="3"/>
  <c r="F55" i="3"/>
  <c r="H55" i="3"/>
  <c r="I55" i="3"/>
  <c r="E56" i="3"/>
  <c r="F56" i="3"/>
  <c r="H56" i="3"/>
  <c r="I56" i="3"/>
  <c r="E57" i="3"/>
  <c r="F57" i="3"/>
  <c r="H57" i="3"/>
  <c r="I57" i="3"/>
  <c r="E58" i="3"/>
  <c r="F58" i="3"/>
  <c r="H58" i="3"/>
  <c r="I58" i="3"/>
  <c r="E59" i="3"/>
  <c r="F59" i="3"/>
  <c r="H59" i="3"/>
  <c r="I59" i="3"/>
  <c r="E60" i="3"/>
  <c r="F60" i="3"/>
  <c r="H60" i="3"/>
  <c r="I60" i="3"/>
  <c r="E61" i="3"/>
  <c r="F61" i="3"/>
  <c r="H61" i="3"/>
  <c r="I61" i="3"/>
  <c r="E62" i="3"/>
  <c r="F62" i="3"/>
  <c r="H62" i="3"/>
  <c r="I62" i="3"/>
  <c r="E63" i="3"/>
  <c r="F63" i="3"/>
  <c r="H63" i="3"/>
  <c r="I63" i="3"/>
  <c r="E64" i="3"/>
  <c r="F64" i="3"/>
  <c r="H64" i="3"/>
  <c r="I64" i="3"/>
  <c r="E65" i="3"/>
  <c r="F65" i="3"/>
  <c r="H65" i="3"/>
  <c r="I65" i="3"/>
  <c r="E66" i="3"/>
  <c r="F66" i="3"/>
  <c r="H66" i="3"/>
  <c r="I66" i="3"/>
  <c r="E67" i="3"/>
  <c r="F67" i="3"/>
  <c r="H67" i="3"/>
  <c r="I67" i="3"/>
  <c r="E68" i="3"/>
  <c r="F68" i="3"/>
  <c r="H68" i="3"/>
  <c r="I68" i="3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E39" i="72"/>
  <c r="F39" i="72"/>
  <c r="H39" i="72"/>
  <c r="I39" i="72"/>
  <c r="E40" i="72"/>
  <c r="F40" i="72"/>
  <c r="H40" i="72"/>
  <c r="I40" i="72"/>
  <c r="E41" i="72"/>
  <c r="F41" i="72"/>
  <c r="H41" i="72"/>
  <c r="I41" i="72"/>
  <c r="E42" i="72"/>
  <c r="F42" i="72"/>
  <c r="H42" i="72"/>
  <c r="I42" i="72"/>
  <c r="E43" i="72"/>
  <c r="F43" i="72"/>
  <c r="H43" i="72"/>
  <c r="I43" i="72"/>
  <c r="E44" i="72"/>
  <c r="F44" i="72"/>
  <c r="H44" i="72"/>
  <c r="I44" i="72"/>
  <c r="E45" i="72"/>
  <c r="F45" i="72"/>
  <c r="H45" i="72"/>
  <c r="I45" i="72"/>
  <c r="E46" i="72"/>
  <c r="F46" i="72"/>
  <c r="H46" i="72"/>
  <c r="I46" i="72"/>
  <c r="E47" i="72"/>
  <c r="F47" i="72"/>
  <c r="H47" i="72"/>
  <c r="I47" i="72"/>
  <c r="E48" i="72"/>
  <c r="F48" i="72"/>
  <c r="H48" i="72"/>
  <c r="I48" i="72"/>
  <c r="E49" i="72"/>
  <c r="F49" i="72"/>
  <c r="H49" i="72"/>
  <c r="I49" i="72"/>
  <c r="E50" i="72"/>
  <c r="F50" i="72"/>
  <c r="H50" i="72"/>
  <c r="I50" i="72"/>
  <c r="E51" i="72"/>
  <c r="F51" i="72"/>
  <c r="H51" i="72"/>
  <c r="I51" i="72"/>
  <c r="E52" i="72"/>
  <c r="F52" i="72"/>
  <c r="H52" i="72"/>
  <c r="I52" i="72"/>
  <c r="E53" i="72"/>
  <c r="F53" i="72"/>
  <c r="H53" i="72"/>
  <c r="I53" i="72"/>
  <c r="E54" i="72"/>
  <c r="F54" i="72"/>
  <c r="H54" i="72"/>
  <c r="I54" i="72"/>
  <c r="E55" i="72"/>
  <c r="F55" i="72"/>
  <c r="H55" i="72"/>
  <c r="I55" i="72"/>
  <c r="E56" i="72"/>
  <c r="F56" i="72"/>
  <c r="H56" i="72"/>
  <c r="I56" i="72"/>
  <c r="E57" i="72"/>
  <c r="F57" i="72"/>
  <c r="H57" i="72"/>
  <c r="I57" i="72"/>
  <c r="E58" i="72"/>
  <c r="F58" i="72"/>
  <c r="H58" i="72"/>
  <c r="I58" i="72"/>
  <c r="E59" i="72"/>
  <c r="F59" i="72"/>
  <c r="H59" i="72"/>
  <c r="I59" i="72"/>
  <c r="E60" i="72"/>
  <c r="F60" i="72"/>
  <c r="H60" i="72"/>
  <c r="I60" i="72"/>
  <c r="E61" i="72"/>
  <c r="F61" i="72"/>
  <c r="H61" i="72"/>
  <c r="I61" i="72"/>
  <c r="E62" i="72"/>
  <c r="F62" i="72"/>
  <c r="H62" i="72"/>
  <c r="I62" i="72"/>
  <c r="E63" i="72"/>
  <c r="F63" i="72"/>
  <c r="H63" i="72"/>
  <c r="I63" i="72"/>
  <c r="E64" i="72"/>
  <c r="F64" i="72"/>
  <c r="H64" i="72"/>
  <c r="I64" i="72"/>
  <c r="E65" i="72"/>
  <c r="F65" i="72"/>
  <c r="H65" i="72"/>
  <c r="I65" i="72"/>
  <c r="E66" i="72"/>
  <c r="F66" i="72"/>
  <c r="H66" i="72"/>
  <c r="I66" i="72"/>
  <c r="E67" i="72"/>
  <c r="F67" i="72"/>
  <c r="H67" i="72"/>
  <c r="I67" i="72"/>
  <c r="E68" i="72"/>
  <c r="F68" i="72"/>
  <c r="H68" i="72"/>
  <c r="I68" i="72"/>
  <c r="G5" i="29"/>
  <c r="G5" i="34" s="1"/>
  <c r="I5" i="34" s="1"/>
  <c r="G6" i="29"/>
  <c r="G6" i="34" s="1"/>
  <c r="I6" i="34" s="1"/>
  <c r="G7" i="29"/>
  <c r="G7" i="34" s="1"/>
  <c r="I7" i="34" s="1"/>
  <c r="G8" i="29"/>
  <c r="G9" i="29"/>
  <c r="G9" i="34" s="1"/>
  <c r="I9" i="34" s="1"/>
  <c r="G10" i="29"/>
  <c r="G10" i="34" s="1"/>
  <c r="I10" i="34" s="1"/>
  <c r="G11" i="29"/>
  <c r="G11" i="34" s="1"/>
  <c r="I11" i="34" s="1"/>
  <c r="G12" i="29"/>
  <c r="G12" i="34" s="1"/>
  <c r="I12" i="34" s="1"/>
  <c r="G13" i="29"/>
  <c r="G13" i="34" s="1"/>
  <c r="I13" i="34" s="1"/>
  <c r="G14" i="29"/>
  <c r="G14" i="34" s="1"/>
  <c r="I14" i="34" s="1"/>
  <c r="G15" i="29"/>
  <c r="G15" i="34" s="1"/>
  <c r="I15" i="34" s="1"/>
  <c r="G16" i="29"/>
  <c r="G16" i="34" s="1"/>
  <c r="I16" i="34" s="1"/>
  <c r="G17" i="29"/>
  <c r="G18" i="29"/>
  <c r="G19" i="29"/>
  <c r="G19" i="34" s="1"/>
  <c r="I19" i="34" s="1"/>
  <c r="G20" i="29"/>
  <c r="G20" i="34" s="1"/>
  <c r="I20" i="34" s="1"/>
  <c r="G21" i="29"/>
  <c r="G21" i="34" s="1"/>
  <c r="I21" i="34" s="1"/>
  <c r="G22" i="29"/>
  <c r="G22" i="34" s="1"/>
  <c r="I22" i="34" s="1"/>
  <c r="G23" i="29"/>
  <c r="G24" i="29"/>
  <c r="G24" i="34" s="1"/>
  <c r="I24" i="34" s="1"/>
  <c r="G25" i="29"/>
  <c r="G25" i="34" s="1"/>
  <c r="I25" i="34" s="1"/>
  <c r="G4" i="29"/>
  <c r="G4" i="34" s="1"/>
  <c r="D4" i="29"/>
  <c r="D4" i="34" s="1"/>
  <c r="H25" i="26"/>
  <c r="I25" i="26"/>
  <c r="E25" i="26"/>
  <c r="F25" i="26"/>
  <c r="H24" i="26"/>
  <c r="I24" i="26"/>
  <c r="E24" i="26"/>
  <c r="F24" i="26"/>
  <c r="H23" i="26"/>
  <c r="I23" i="26"/>
  <c r="E23" i="26"/>
  <c r="F23" i="26"/>
  <c r="H22" i="26"/>
  <c r="I22" i="26"/>
  <c r="E22" i="26"/>
  <c r="F22" i="26"/>
  <c r="H21" i="26"/>
  <c r="I21" i="26"/>
  <c r="E21" i="26"/>
  <c r="F21" i="26"/>
  <c r="H20" i="26"/>
  <c r="I20" i="26"/>
  <c r="E20" i="26"/>
  <c r="F20" i="26"/>
  <c r="H19" i="26"/>
  <c r="I19" i="26"/>
  <c r="E19" i="26"/>
  <c r="F19" i="26"/>
  <c r="H18" i="26"/>
  <c r="I18" i="26"/>
  <c r="E18" i="26"/>
  <c r="F18" i="26"/>
  <c r="G25" i="1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/>
  <c r="H24" i="4"/>
  <c r="I24" i="4"/>
  <c r="H25" i="4"/>
  <c r="I25" i="4"/>
  <c r="I22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I18" i="4"/>
  <c r="I19" i="4"/>
  <c r="H18" i="4"/>
  <c r="H19" i="4"/>
  <c r="H20" i="4"/>
  <c r="I20" i="4"/>
  <c r="H21" i="4"/>
  <c r="I21" i="4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24" i="3"/>
  <c r="F24" i="3"/>
  <c r="E25" i="3"/>
  <c r="F25" i="3"/>
  <c r="E18" i="3"/>
  <c r="E19" i="3"/>
  <c r="E20" i="3"/>
  <c r="E21" i="3"/>
  <c r="E22" i="3"/>
  <c r="E23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D18" i="29"/>
  <c r="D18" i="34" s="1"/>
  <c r="H18" i="29"/>
  <c r="C19" i="29"/>
  <c r="D19" i="29"/>
  <c r="D19" i="34" s="1"/>
  <c r="H19" i="29"/>
  <c r="C20" i="29"/>
  <c r="D20" i="29"/>
  <c r="D20" i="34" s="1"/>
  <c r="C21" i="29"/>
  <c r="D21" i="29"/>
  <c r="D21" i="34" s="1"/>
  <c r="H21" i="29"/>
  <c r="C22" i="29"/>
  <c r="C22" i="34" s="1"/>
  <c r="D22" i="29"/>
  <c r="D22" i="34" s="1"/>
  <c r="H22" i="29"/>
  <c r="C23" i="29"/>
  <c r="D23" i="29"/>
  <c r="D23" i="34" s="1"/>
  <c r="C24" i="29"/>
  <c r="C24" i="34" s="1"/>
  <c r="C24" i="1"/>
  <c r="D24" i="29"/>
  <c r="D24" i="1"/>
  <c r="C25" i="29"/>
  <c r="C25" i="1"/>
  <c r="D25" i="29"/>
  <c r="D25" i="34" s="1"/>
  <c r="D25" i="1"/>
  <c r="C17" i="18"/>
  <c r="D17" i="18"/>
  <c r="C18" i="18"/>
  <c r="D18" i="18"/>
  <c r="H18" i="18"/>
  <c r="I18" i="18"/>
  <c r="C19" i="18"/>
  <c r="D19" i="18"/>
  <c r="H19" i="18"/>
  <c r="I19" i="18"/>
  <c r="C20" i="18"/>
  <c r="D20" i="18"/>
  <c r="H20" i="18"/>
  <c r="I20" i="18"/>
  <c r="C21" i="18"/>
  <c r="D21" i="18"/>
  <c r="H21" i="18"/>
  <c r="I21" i="18"/>
  <c r="C22" i="18"/>
  <c r="D22" i="18"/>
  <c r="H22" i="18"/>
  <c r="I22" i="18"/>
  <c r="C23" i="18"/>
  <c r="D23" i="18"/>
  <c r="H23" i="18"/>
  <c r="I23" i="18"/>
  <c r="C24" i="18"/>
  <c r="D24" i="18"/>
  <c r="H24" i="18"/>
  <c r="I24" i="18"/>
  <c r="C25" i="18"/>
  <c r="D25" i="18"/>
  <c r="H25" i="18"/>
  <c r="I25" i="18"/>
  <c r="E20" i="18"/>
  <c r="F20" i="18"/>
  <c r="E17" i="18"/>
  <c r="F17" i="18"/>
  <c r="E24" i="18"/>
  <c r="F24" i="18"/>
  <c r="E22" i="18"/>
  <c r="F22" i="18"/>
  <c r="E19" i="18"/>
  <c r="F19" i="18"/>
  <c r="E18" i="18"/>
  <c r="F18" i="18"/>
  <c r="E25" i="18"/>
  <c r="F25" i="18"/>
  <c r="E23" i="18"/>
  <c r="F23" i="18"/>
  <c r="E21" i="18"/>
  <c r="F21" i="18"/>
  <c r="C18" i="1"/>
  <c r="D18" i="1"/>
  <c r="G18" i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G24" i="1"/>
  <c r="C18" i="30"/>
  <c r="D18" i="30"/>
  <c r="H18" i="30"/>
  <c r="I18" i="30"/>
  <c r="C19" i="30"/>
  <c r="E19" i="30"/>
  <c r="F19" i="30"/>
  <c r="D19" i="30"/>
  <c r="H19" i="30"/>
  <c r="I19" i="30"/>
  <c r="C20" i="30"/>
  <c r="D20" i="30"/>
  <c r="E20" i="30"/>
  <c r="F20" i="30"/>
  <c r="H20" i="30"/>
  <c r="I20" i="30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8" i="1"/>
  <c r="H19" i="72"/>
  <c r="H19" i="1"/>
  <c r="H20" i="72"/>
  <c r="H20" i="1"/>
  <c r="H21" i="72"/>
  <c r="H22" i="72"/>
  <c r="H22" i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C16" i="34" s="1"/>
  <c r="D16" i="29"/>
  <c r="D16" i="34" s="1"/>
  <c r="C17" i="29"/>
  <c r="C17" i="34" s="1"/>
  <c r="D17" i="29"/>
  <c r="D17" i="34" s="1"/>
  <c r="C16" i="18"/>
  <c r="D16" i="18"/>
  <c r="C16" i="1"/>
  <c r="D16" i="1"/>
  <c r="G16" i="1"/>
  <c r="C17" i="1"/>
  <c r="D17" i="1"/>
  <c r="G17" i="1"/>
  <c r="G17" i="34"/>
  <c r="I17" i="34" s="1"/>
  <c r="H17" i="33"/>
  <c r="I17" i="33"/>
  <c r="E17" i="33"/>
  <c r="F17" i="33"/>
  <c r="H16" i="33"/>
  <c r="I16" i="33"/>
  <c r="E16" i="33"/>
  <c r="F16" i="33"/>
  <c r="H17" i="32"/>
  <c r="I17" i="32"/>
  <c r="E17" i="32"/>
  <c r="F17" i="32"/>
  <c r="H16" i="32"/>
  <c r="I16" i="32"/>
  <c r="E16" i="32"/>
  <c r="F16" i="32"/>
  <c r="H17" i="31"/>
  <c r="I17" i="31"/>
  <c r="E17" i="31"/>
  <c r="F17" i="31"/>
  <c r="H16" i="31"/>
  <c r="I16" i="31"/>
  <c r="E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/>
  <c r="E17" i="26"/>
  <c r="F17" i="26"/>
  <c r="H16" i="26"/>
  <c r="I16" i="26"/>
  <c r="E16" i="26"/>
  <c r="F16" i="26"/>
  <c r="H17" i="19"/>
  <c r="I17" i="19"/>
  <c r="E17" i="19"/>
  <c r="F17" i="19"/>
  <c r="H16" i="19"/>
  <c r="I16" i="19"/>
  <c r="E16" i="19"/>
  <c r="F16" i="19"/>
  <c r="H17" i="20"/>
  <c r="I17" i="20"/>
  <c r="E17" i="20"/>
  <c r="F17" i="20"/>
  <c r="H16" i="20"/>
  <c r="I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H16" i="3"/>
  <c r="I16" i="3"/>
  <c r="E17" i="3"/>
  <c r="H17" i="3"/>
  <c r="I17" i="3"/>
  <c r="E16" i="72"/>
  <c r="F16" i="72"/>
  <c r="H16" i="72"/>
  <c r="E17" i="72"/>
  <c r="F17" i="72"/>
  <c r="H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H5" i="3"/>
  <c r="I5" i="3"/>
  <c r="E6" i="3"/>
  <c r="H6" i="3"/>
  <c r="I6" i="3"/>
  <c r="E7" i="3"/>
  <c r="H7" i="3"/>
  <c r="I7" i="3"/>
  <c r="E8" i="3"/>
  <c r="H8" i="3"/>
  <c r="I8" i="3"/>
  <c r="E9" i="3"/>
  <c r="H9" i="3"/>
  <c r="I9" i="3"/>
  <c r="E10" i="3"/>
  <c r="H10" i="3"/>
  <c r="I10" i="3"/>
  <c r="E11" i="3"/>
  <c r="H11" i="3"/>
  <c r="I11" i="3"/>
  <c r="E12" i="3"/>
  <c r="H12" i="3"/>
  <c r="I12" i="3"/>
  <c r="E13" i="3"/>
  <c r="H13" i="3"/>
  <c r="I13" i="3"/>
  <c r="E14" i="3"/>
  <c r="H14" i="3"/>
  <c r="I14" i="3"/>
  <c r="E15" i="3"/>
  <c r="H15" i="3"/>
  <c r="I15" i="3"/>
  <c r="G6" i="1"/>
  <c r="G7" i="1"/>
  <c r="G8" i="1"/>
  <c r="G8" i="34"/>
  <c r="I8" i="34" s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D14" i="30"/>
  <c r="C14" i="30"/>
  <c r="E14" i="30"/>
  <c r="F14" i="30"/>
  <c r="D13" i="30"/>
  <c r="C13" i="30"/>
  <c r="D12" i="30"/>
  <c r="C12" i="30"/>
  <c r="E12" i="30"/>
  <c r="F12" i="30"/>
  <c r="D11" i="30"/>
  <c r="C11" i="30"/>
  <c r="D10" i="30"/>
  <c r="C10" i="30"/>
  <c r="E10" i="30"/>
  <c r="F10" i="30"/>
  <c r="D9" i="30"/>
  <c r="C9" i="30"/>
  <c r="E9" i="30"/>
  <c r="F9" i="30"/>
  <c r="D8" i="30"/>
  <c r="C8" i="30"/>
  <c r="E8" i="30"/>
  <c r="F8" i="30"/>
  <c r="D7" i="30"/>
  <c r="C7" i="30"/>
  <c r="H6" i="30"/>
  <c r="I6" i="30"/>
  <c r="D6" i="30"/>
  <c r="C6" i="30"/>
  <c r="E6" i="30"/>
  <c r="F6" i="30"/>
  <c r="D5" i="30"/>
  <c r="C5" i="30"/>
  <c r="E5" i="30"/>
  <c r="F5" i="30"/>
  <c r="D4" i="30"/>
  <c r="C4" i="30"/>
  <c r="E4" i="30"/>
  <c r="F4" i="30"/>
  <c r="D15" i="29"/>
  <c r="D15" i="34" s="1"/>
  <c r="C15" i="29"/>
  <c r="C15" i="34" s="1"/>
  <c r="D14" i="29"/>
  <c r="D14" i="34" s="1"/>
  <c r="C14" i="29"/>
  <c r="D13" i="29"/>
  <c r="D13" i="34" s="1"/>
  <c r="C13" i="29"/>
  <c r="C13" i="34" s="1"/>
  <c r="D12" i="29"/>
  <c r="D12" i="34" s="1"/>
  <c r="C12" i="29"/>
  <c r="C12" i="34" s="1"/>
  <c r="D11" i="29"/>
  <c r="C11" i="29"/>
  <c r="C11" i="34" s="1"/>
  <c r="D10" i="29"/>
  <c r="D10" i="34" s="1"/>
  <c r="C10" i="29"/>
  <c r="C10" i="34" s="1"/>
  <c r="D9" i="29"/>
  <c r="D9" i="34" s="1"/>
  <c r="C9" i="29"/>
  <c r="C9" i="34" s="1"/>
  <c r="D8" i="29"/>
  <c r="D8" i="34" s="1"/>
  <c r="C8" i="29"/>
  <c r="C8" i="34" s="1"/>
  <c r="D7" i="29"/>
  <c r="D7" i="34" s="1"/>
  <c r="C7" i="29"/>
  <c r="D6" i="29"/>
  <c r="D6" i="34" s="1"/>
  <c r="C6" i="29"/>
  <c r="C6" i="34" s="1"/>
  <c r="D5" i="29"/>
  <c r="C5" i="29"/>
  <c r="C5" i="34" s="1"/>
  <c r="C4" i="29"/>
  <c r="D15" i="18"/>
  <c r="C15" i="18"/>
  <c r="D14" i="18"/>
  <c r="C14" i="18"/>
  <c r="D13" i="18"/>
  <c r="C13" i="18"/>
  <c r="D12" i="18"/>
  <c r="C12" i="18"/>
  <c r="D11" i="18"/>
  <c r="C11" i="18"/>
  <c r="E11" i="18"/>
  <c r="F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/>
  <c r="E15" i="30"/>
  <c r="F15" i="30"/>
  <c r="E13" i="30"/>
  <c r="F13" i="30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I15" i="33"/>
  <c r="E15" i="33"/>
  <c r="F15" i="33"/>
  <c r="I14" i="33"/>
  <c r="H14" i="33"/>
  <c r="E14" i="33"/>
  <c r="F14" i="33"/>
  <c r="H13" i="33"/>
  <c r="I13" i="33"/>
  <c r="E13" i="33"/>
  <c r="F13" i="33"/>
  <c r="I12" i="33"/>
  <c r="H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I8" i="33"/>
  <c r="H8" i="33"/>
  <c r="E8" i="33"/>
  <c r="F8" i="33"/>
  <c r="H7" i="33"/>
  <c r="I7" i="33"/>
  <c r="E7" i="33"/>
  <c r="F7" i="33"/>
  <c r="I6" i="33"/>
  <c r="H6" i="33"/>
  <c r="E6" i="33"/>
  <c r="F6" i="33"/>
  <c r="I5" i="33"/>
  <c r="H5" i="33"/>
  <c r="E5" i="33"/>
  <c r="F5" i="33"/>
  <c r="I4" i="33"/>
  <c r="H4" i="33"/>
  <c r="E4" i="33"/>
  <c r="F4" i="33"/>
  <c r="G2" i="33"/>
  <c r="D2" i="33"/>
  <c r="C2" i="33"/>
  <c r="A1" i="33" a="1"/>
  <c r="A1" i="33"/>
  <c r="H15" i="32"/>
  <c r="I15" i="32"/>
  <c r="F15" i="32"/>
  <c r="E15" i="32"/>
  <c r="H14" i="32"/>
  <c r="I14" i="32"/>
  <c r="E14" i="32"/>
  <c r="F14" i="32"/>
  <c r="H13" i="32"/>
  <c r="I13" i="32"/>
  <c r="E13" i="32"/>
  <c r="F13" i="32"/>
  <c r="H12" i="32"/>
  <c r="I12" i="32"/>
  <c r="F12" i="32"/>
  <c r="E12" i="32"/>
  <c r="H11" i="32"/>
  <c r="I11" i="32"/>
  <c r="E11" i="32"/>
  <c r="F11" i="32"/>
  <c r="H10" i="32"/>
  <c r="I10" i="32"/>
  <c r="E10" i="32"/>
  <c r="F10" i="32"/>
  <c r="H9" i="32"/>
  <c r="I9" i="32"/>
  <c r="F9" i="32"/>
  <c r="E9" i="32"/>
  <c r="H8" i="32"/>
  <c r="I8" i="32"/>
  <c r="E8" i="32"/>
  <c r="F8" i="32"/>
  <c r="H7" i="32"/>
  <c r="I7" i="32"/>
  <c r="E7" i="32"/>
  <c r="F7" i="32"/>
  <c r="H6" i="32"/>
  <c r="I6" i="32"/>
  <c r="F6" i="32"/>
  <c r="E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5" i="28"/>
  <c r="H15" i="29" s="1"/>
  <c r="E15" i="28"/>
  <c r="F15" i="28" s="1"/>
  <c r="H14" i="28"/>
  <c r="I14" i="28" s="1"/>
  <c r="E14" i="28"/>
  <c r="F14" i="28"/>
  <c r="H13" i="28"/>
  <c r="I13" i="28" s="1"/>
  <c r="E13" i="28"/>
  <c r="F13" i="28" s="1"/>
  <c r="H12" i="28"/>
  <c r="I12" i="28" s="1"/>
  <c r="E12" i="28"/>
  <c r="F12" i="28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H8" i="29" s="1"/>
  <c r="I8" i="29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/>
  <c r="E5" i="28"/>
  <c r="F5" i="28" s="1"/>
  <c r="H4" i="28"/>
  <c r="H4" i="29" s="1"/>
  <c r="H4" i="34" s="1"/>
  <c r="I4" i="28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E15" i="26"/>
  <c r="F15" i="26"/>
  <c r="H14" i="26"/>
  <c r="I14" i="26"/>
  <c r="E14" i="26"/>
  <c r="F14" i="26"/>
  <c r="H13" i="26"/>
  <c r="I13" i="26"/>
  <c r="E13" i="26"/>
  <c r="F13" i="26"/>
  <c r="H12" i="26"/>
  <c r="E12" i="26"/>
  <c r="F12" i="26"/>
  <c r="H11" i="26"/>
  <c r="I11" i="26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5" i="21"/>
  <c r="I15" i="21"/>
  <c r="E15" i="21"/>
  <c r="F15" i="21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H2" i="3"/>
  <c r="D2" i="3"/>
  <c r="J2" i="3"/>
  <c r="A1" i="3" a="1"/>
  <c r="A1" i="3"/>
  <c r="H6" i="72"/>
  <c r="I6" i="72"/>
  <c r="H7" i="72"/>
  <c r="I7" i="72"/>
  <c r="H8" i="72"/>
  <c r="I8" i="72"/>
  <c r="H9" i="72"/>
  <c r="I9" i="72"/>
  <c r="H10" i="72"/>
  <c r="I10" i="72"/>
  <c r="H11" i="72"/>
  <c r="I11" i="72"/>
  <c r="H12" i="72"/>
  <c r="I12" i="72"/>
  <c r="H13" i="72"/>
  <c r="I13" i="72"/>
  <c r="H14" i="72"/>
  <c r="I14" i="72"/>
  <c r="H15" i="72"/>
  <c r="I15" i="72"/>
  <c r="H5" i="72"/>
  <c r="I5" i="72"/>
  <c r="H4" i="72"/>
  <c r="I4" i="72"/>
  <c r="G2" i="72"/>
  <c r="D2" i="72"/>
  <c r="C2" i="72"/>
  <c r="J2" i="72"/>
  <c r="A1" i="72" a="1"/>
  <c r="A1" i="72"/>
  <c r="H17" i="29"/>
  <c r="I17" i="29" s="1"/>
  <c r="E13" i="18"/>
  <c r="F13" i="18"/>
  <c r="E10" i="18"/>
  <c r="F10" i="18"/>
  <c r="E14" i="18"/>
  <c r="F14" i="18"/>
  <c r="E7" i="18"/>
  <c r="F7" i="18"/>
  <c r="E5" i="18"/>
  <c r="F5" i="18"/>
  <c r="I16" i="21"/>
  <c r="H16" i="18"/>
  <c r="I16" i="18"/>
  <c r="E16" i="18"/>
  <c r="F16" i="18"/>
  <c r="E15" i="18"/>
  <c r="F15" i="18"/>
  <c r="E12" i="18"/>
  <c r="F12" i="18"/>
  <c r="E9" i="18"/>
  <c r="F9" i="18"/>
  <c r="D2" i="18"/>
  <c r="E8" i="18"/>
  <c r="F8" i="18"/>
  <c r="E6" i="18"/>
  <c r="F6" i="18"/>
  <c r="E4" i="18"/>
  <c r="F4" i="18"/>
  <c r="I17" i="21"/>
  <c r="H17" i="18"/>
  <c r="I17" i="18"/>
  <c r="E24" i="1"/>
  <c r="F24" i="1"/>
  <c r="E23" i="1"/>
  <c r="F23" i="1"/>
  <c r="H17" i="1"/>
  <c r="I17" i="1"/>
  <c r="H16" i="1"/>
  <c r="I16" i="1"/>
  <c r="E21" i="1"/>
  <c r="F21" i="1"/>
  <c r="I25" i="72"/>
  <c r="H25" i="34"/>
  <c r="I24" i="72"/>
  <c r="H24" i="34"/>
  <c r="H24" i="1"/>
  <c r="I24" i="1"/>
  <c r="I23" i="72"/>
  <c r="H23" i="34"/>
  <c r="I22" i="72"/>
  <c r="H22" i="34"/>
  <c r="I21" i="72"/>
  <c r="H21" i="34"/>
  <c r="I20" i="72"/>
  <c r="H20" i="34"/>
  <c r="H25" i="1"/>
  <c r="I25" i="1"/>
  <c r="H23" i="1"/>
  <c r="I23" i="1"/>
  <c r="H21" i="1"/>
  <c r="I21" i="1"/>
  <c r="I19" i="72"/>
  <c r="H19" i="34"/>
  <c r="I18" i="72"/>
  <c r="H18" i="34"/>
  <c r="E18" i="30"/>
  <c r="F18" i="30"/>
  <c r="I22" i="1"/>
  <c r="E19" i="1"/>
  <c r="F19" i="1"/>
  <c r="I18" i="1"/>
  <c r="E18" i="1"/>
  <c r="F18" i="1"/>
  <c r="I20" i="1"/>
  <c r="E22" i="1"/>
  <c r="F22" i="1"/>
  <c r="E20" i="1"/>
  <c r="F20" i="1"/>
  <c r="E25" i="1"/>
  <c r="F25" i="1"/>
  <c r="I19" i="1"/>
  <c r="D2" i="30"/>
  <c r="E17" i="1"/>
  <c r="F17" i="1"/>
  <c r="E16" i="1"/>
  <c r="F16" i="1"/>
  <c r="I17" i="72"/>
  <c r="H16" i="34"/>
  <c r="I16" i="72"/>
  <c r="H17" i="34"/>
  <c r="H2" i="33"/>
  <c r="I2" i="33"/>
  <c r="J2" i="33"/>
  <c r="H2" i="32"/>
  <c r="I2" i="32"/>
  <c r="J2" i="32"/>
  <c r="H2" i="31"/>
  <c r="I2" i="31"/>
  <c r="J2" i="31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I2" i="3"/>
  <c r="E7" i="1"/>
  <c r="F7" i="1"/>
  <c r="E15" i="1"/>
  <c r="F15" i="1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6" i="1"/>
  <c r="F6" i="1"/>
  <c r="E14" i="1"/>
  <c r="F14" i="1"/>
  <c r="H14" i="30"/>
  <c r="I14" i="30"/>
  <c r="H9" i="30"/>
  <c r="I9" i="30"/>
  <c r="H4" i="30"/>
  <c r="I4" i="30"/>
  <c r="E7" i="30"/>
  <c r="F7" i="30"/>
  <c r="H12" i="30"/>
  <c r="I12" i="30"/>
  <c r="H7" i="30"/>
  <c r="I7" i="30"/>
  <c r="H15" i="30"/>
  <c r="I15" i="30"/>
  <c r="H10" i="30"/>
  <c r="I10" i="30"/>
  <c r="H5" i="30"/>
  <c r="I5" i="30"/>
  <c r="H13" i="30"/>
  <c r="I13" i="30"/>
  <c r="H8" i="30"/>
  <c r="I8" i="30"/>
  <c r="H11" i="30"/>
  <c r="I11" i="30"/>
  <c r="I6" i="26"/>
  <c r="I9" i="26"/>
  <c r="I12" i="26"/>
  <c r="I15" i="26"/>
  <c r="H5" i="29"/>
  <c r="I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H5" i="18"/>
  <c r="I5" i="18"/>
  <c r="H13" i="18"/>
  <c r="I13" i="18"/>
  <c r="H8" i="18"/>
  <c r="I8" i="18"/>
  <c r="H11" i="18"/>
  <c r="I11" i="18"/>
  <c r="H6" i="34"/>
  <c r="H7" i="34"/>
  <c r="H8" i="34"/>
  <c r="H5" i="34"/>
  <c r="H9" i="34"/>
  <c r="H10" i="34"/>
  <c r="H11" i="34"/>
  <c r="H12" i="34"/>
  <c r="H13" i="34"/>
  <c r="H14" i="34"/>
  <c r="H15" i="34"/>
  <c r="C2" i="30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E2" i="3"/>
  <c r="F2" i="3"/>
  <c r="E4" i="1"/>
  <c r="F4" i="1"/>
  <c r="H14" i="1"/>
  <c r="I14" i="1"/>
  <c r="H13" i="1"/>
  <c r="I13" i="1"/>
  <c r="H9" i="1"/>
  <c r="I9" i="1"/>
  <c r="H8" i="1"/>
  <c r="I8" i="1"/>
  <c r="D2" i="1"/>
  <c r="E2" i="33"/>
  <c r="F2" i="33"/>
  <c r="E2" i="32"/>
  <c r="F2" i="32"/>
  <c r="E2" i="31"/>
  <c r="F2" i="31"/>
  <c r="E2" i="26"/>
  <c r="F2" i="26"/>
  <c r="E2" i="19"/>
  <c r="F2" i="19"/>
  <c r="E2" i="21"/>
  <c r="F2" i="21"/>
  <c r="E2" i="4"/>
  <c r="F2" i="4"/>
  <c r="H2" i="72"/>
  <c r="H2" i="1"/>
  <c r="I2" i="1"/>
  <c r="I4" i="1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H52" i="29" l="1"/>
  <c r="H36" i="29"/>
  <c r="H35" i="29"/>
  <c r="H68" i="29"/>
  <c r="H61" i="29"/>
  <c r="H9" i="29"/>
  <c r="I9" i="29" s="1"/>
  <c r="H44" i="29"/>
  <c r="H28" i="29"/>
  <c r="H53" i="29"/>
  <c r="E7" i="29"/>
  <c r="F7" i="29" s="1"/>
  <c r="H20" i="29"/>
  <c r="H10" i="29"/>
  <c r="H45" i="29"/>
  <c r="H37" i="29"/>
  <c r="I15" i="28"/>
  <c r="H29" i="29"/>
  <c r="I29" i="29" s="1"/>
  <c r="H23" i="29"/>
  <c r="H63" i="29"/>
  <c r="I67" i="28"/>
  <c r="I27" i="28"/>
  <c r="E50" i="29"/>
  <c r="F50" i="29" s="1"/>
  <c r="H47" i="29"/>
  <c r="I66" i="28"/>
  <c r="H31" i="29"/>
  <c r="I31" i="29" s="1"/>
  <c r="I8" i="28"/>
  <c r="I56" i="28"/>
  <c r="E24" i="29"/>
  <c r="F24" i="29" s="1"/>
  <c r="H6" i="29"/>
  <c r="C7" i="34"/>
  <c r="E58" i="29"/>
  <c r="F58" i="29" s="1"/>
  <c r="I35" i="29"/>
  <c r="I10" i="29"/>
  <c r="E52" i="29"/>
  <c r="F52" i="29" s="1"/>
  <c r="I43" i="29"/>
  <c r="E43" i="29"/>
  <c r="F43" i="29" s="1"/>
  <c r="E66" i="29"/>
  <c r="F66" i="29" s="1"/>
  <c r="D50" i="34"/>
  <c r="H41" i="29"/>
  <c r="I41" i="29" s="1"/>
  <c r="H57" i="29"/>
  <c r="I57" i="29" s="1"/>
  <c r="H49" i="29"/>
  <c r="I49" i="29" s="1"/>
  <c r="E8" i="29"/>
  <c r="F8" i="29" s="1"/>
  <c r="E14" i="29"/>
  <c r="F14" i="29" s="1"/>
  <c r="E21" i="29"/>
  <c r="F21" i="29" s="1"/>
  <c r="E20" i="29"/>
  <c r="F20" i="29" s="1"/>
  <c r="E4" i="29"/>
  <c r="F4" i="29" s="1"/>
  <c r="I25" i="29"/>
  <c r="I24" i="29"/>
  <c r="I19" i="29"/>
  <c r="H16" i="29"/>
  <c r="I16" i="29" s="1"/>
  <c r="E13" i="29"/>
  <c r="F13" i="29" s="1"/>
  <c r="H12" i="29"/>
  <c r="I12" i="29" s="1"/>
  <c r="H7" i="29"/>
  <c r="I7" i="29" s="1"/>
  <c r="E5" i="29"/>
  <c r="F5" i="29" s="1"/>
  <c r="C4" i="34"/>
  <c r="E4" i="34" s="1"/>
  <c r="F4" i="34" s="1"/>
  <c r="H2" i="28"/>
  <c r="I2" i="28" s="1"/>
  <c r="E2" i="28"/>
  <c r="F2" i="28" s="1"/>
  <c r="E48" i="29"/>
  <c r="F48" i="29" s="1"/>
  <c r="I65" i="29"/>
  <c r="I5" i="29"/>
  <c r="I6" i="29"/>
  <c r="C20" i="34"/>
  <c r="E20" i="34" s="1"/>
  <c r="F20" i="34" s="1"/>
  <c r="E55" i="29"/>
  <c r="F55" i="29" s="1"/>
  <c r="E49" i="29"/>
  <c r="F49" i="29" s="1"/>
  <c r="I40" i="29"/>
  <c r="I34" i="29"/>
  <c r="E9" i="29"/>
  <c r="F9" i="29" s="1"/>
  <c r="E67" i="29"/>
  <c r="F67" i="29" s="1"/>
  <c r="E65" i="34"/>
  <c r="F65" i="34" s="1"/>
  <c r="E59" i="29"/>
  <c r="F59" i="29" s="1"/>
  <c r="I38" i="29"/>
  <c r="I56" i="29"/>
  <c r="I52" i="29"/>
  <c r="E40" i="29"/>
  <c r="F40" i="29" s="1"/>
  <c r="I27" i="29"/>
  <c r="E50" i="34"/>
  <c r="F50" i="34" s="1"/>
  <c r="C21" i="34"/>
  <c r="E21" i="34" s="1"/>
  <c r="F21" i="34" s="1"/>
  <c r="I66" i="29"/>
  <c r="I62" i="29"/>
  <c r="I60" i="29"/>
  <c r="I54" i="29"/>
  <c r="I50" i="29"/>
  <c r="E42" i="29"/>
  <c r="F42" i="29" s="1"/>
  <c r="E38" i="34"/>
  <c r="F38" i="34" s="1"/>
  <c r="I15" i="29"/>
  <c r="C14" i="34"/>
  <c r="E14" i="34" s="1"/>
  <c r="F14" i="34" s="1"/>
  <c r="E17" i="34"/>
  <c r="F17" i="34" s="1"/>
  <c r="E56" i="29"/>
  <c r="F56" i="29" s="1"/>
  <c r="E54" i="34"/>
  <c r="F54" i="34" s="1"/>
  <c r="E52" i="34"/>
  <c r="F52" i="34" s="1"/>
  <c r="E46" i="29"/>
  <c r="F46" i="29" s="1"/>
  <c r="E31" i="29"/>
  <c r="F31" i="29" s="1"/>
  <c r="E66" i="34"/>
  <c r="F66" i="34" s="1"/>
  <c r="I55" i="29"/>
  <c r="I47" i="29"/>
  <c r="E41" i="34"/>
  <c r="F41" i="34" s="1"/>
  <c r="E37" i="29"/>
  <c r="F37" i="29" s="1"/>
  <c r="I26" i="29"/>
  <c r="I67" i="29"/>
  <c r="I59" i="29"/>
  <c r="I51" i="29"/>
  <c r="I32" i="29"/>
  <c r="I33" i="29"/>
  <c r="I21" i="29"/>
  <c r="I68" i="29"/>
  <c r="I20" i="29"/>
  <c r="I46" i="29"/>
  <c r="I18" i="29"/>
  <c r="I37" i="29"/>
  <c r="I64" i="29"/>
  <c r="I23" i="29"/>
  <c r="I36" i="29"/>
  <c r="I4" i="29"/>
  <c r="I4" i="34"/>
  <c r="E17" i="29"/>
  <c r="F17" i="29" s="1"/>
  <c r="D24" i="34"/>
  <c r="E24" i="34" s="1"/>
  <c r="F24" i="34" s="1"/>
  <c r="E30" i="29"/>
  <c r="F30" i="29" s="1"/>
  <c r="E10" i="29"/>
  <c r="F10" i="29" s="1"/>
  <c r="E35" i="29"/>
  <c r="F35" i="29" s="1"/>
  <c r="E15" i="29"/>
  <c r="F15" i="29" s="1"/>
  <c r="E68" i="29"/>
  <c r="F68" i="29" s="1"/>
  <c r="E7" i="34"/>
  <c r="F7" i="34" s="1"/>
  <c r="D5" i="34"/>
  <c r="E5" i="34" s="1"/>
  <c r="F5" i="34" s="1"/>
  <c r="E6" i="29"/>
  <c r="F6" i="29" s="1"/>
  <c r="E6" i="34"/>
  <c r="F6" i="34" s="1"/>
  <c r="D2" i="29"/>
  <c r="E12" i="34"/>
  <c r="F12" i="34" s="1"/>
  <c r="E11" i="29"/>
  <c r="F11" i="29" s="1"/>
  <c r="E22" i="29"/>
  <c r="F22" i="29" s="1"/>
  <c r="E63" i="29"/>
  <c r="F63" i="29" s="1"/>
  <c r="E60" i="34"/>
  <c r="F60" i="34" s="1"/>
  <c r="E41" i="29"/>
  <c r="F41" i="29" s="1"/>
  <c r="E32" i="29"/>
  <c r="F32" i="29" s="1"/>
  <c r="D58" i="34"/>
  <c r="E58" i="34" s="1"/>
  <c r="F58" i="34" s="1"/>
  <c r="D42" i="34"/>
  <c r="E42" i="34" s="1"/>
  <c r="F42" i="34" s="1"/>
  <c r="E9" i="34"/>
  <c r="F9" i="34" s="1"/>
  <c r="D11" i="34"/>
  <c r="E11" i="34" s="1"/>
  <c r="F11" i="34" s="1"/>
  <c r="E57" i="34"/>
  <c r="F57" i="34" s="1"/>
  <c r="E54" i="29"/>
  <c r="F54" i="29" s="1"/>
  <c r="E44" i="34"/>
  <c r="F44" i="34" s="1"/>
  <c r="E38" i="29"/>
  <c r="F38" i="29" s="1"/>
  <c r="E29" i="34"/>
  <c r="F29" i="34" s="1"/>
  <c r="D67" i="34"/>
  <c r="E67" i="34" s="1"/>
  <c r="F67" i="34" s="1"/>
  <c r="D49" i="34"/>
  <c r="E49" i="34" s="1"/>
  <c r="F49" i="34" s="1"/>
  <c r="E63" i="34"/>
  <c r="F63" i="34" s="1"/>
  <c r="E32" i="34"/>
  <c r="F32" i="34" s="1"/>
  <c r="E27" i="34"/>
  <c r="F27" i="34" s="1"/>
  <c r="E12" i="29"/>
  <c r="F12" i="29" s="1"/>
  <c r="E16" i="34"/>
  <c r="F16" i="34" s="1"/>
  <c r="E23" i="29"/>
  <c r="F23" i="29" s="1"/>
  <c r="E18" i="29"/>
  <c r="F18" i="29" s="1"/>
  <c r="E64" i="29"/>
  <c r="F64" i="29" s="1"/>
  <c r="E61" i="34"/>
  <c r="F61" i="34" s="1"/>
  <c r="E51" i="34"/>
  <c r="F51" i="34" s="1"/>
  <c r="E47" i="29"/>
  <c r="F47" i="29" s="1"/>
  <c r="D59" i="34"/>
  <c r="E59" i="34" s="1"/>
  <c r="F59" i="34" s="1"/>
  <c r="E40" i="34"/>
  <c r="F40" i="34" s="1"/>
  <c r="D31" i="34"/>
  <c r="E31" i="34" s="1"/>
  <c r="F31" i="34" s="1"/>
  <c r="E28" i="34"/>
  <c r="F28" i="34" s="1"/>
  <c r="E15" i="34"/>
  <c r="F15" i="34" s="1"/>
  <c r="E55" i="34"/>
  <c r="F55" i="34" s="1"/>
  <c r="E33" i="29"/>
  <c r="F33" i="29" s="1"/>
  <c r="D48" i="34"/>
  <c r="E48" i="34" s="1"/>
  <c r="F48" i="34" s="1"/>
  <c r="E65" i="29"/>
  <c r="F65" i="29" s="1"/>
  <c r="E64" i="34"/>
  <c r="F64" i="34" s="1"/>
  <c r="E47" i="34"/>
  <c r="F47" i="34" s="1"/>
  <c r="E45" i="34"/>
  <c r="F45" i="34" s="1"/>
  <c r="E39" i="34"/>
  <c r="F39" i="34" s="1"/>
  <c r="E36" i="29"/>
  <c r="F36" i="29" s="1"/>
  <c r="E28" i="29"/>
  <c r="F28" i="29" s="1"/>
  <c r="E10" i="34"/>
  <c r="F10" i="34" s="1"/>
  <c r="E13" i="34"/>
  <c r="F13" i="34" s="1"/>
  <c r="E56" i="34"/>
  <c r="F56" i="34" s="1"/>
  <c r="D37" i="34"/>
  <c r="E30" i="34"/>
  <c r="F30" i="34" s="1"/>
  <c r="E25" i="29"/>
  <c r="F25" i="29" s="1"/>
  <c r="E22" i="34"/>
  <c r="F22" i="34" s="1"/>
  <c r="E19" i="29"/>
  <c r="F19" i="29" s="1"/>
  <c r="E62" i="34"/>
  <c r="F62" i="34" s="1"/>
  <c r="E53" i="29"/>
  <c r="F53" i="29" s="1"/>
  <c r="E34" i="29"/>
  <c r="F34" i="29" s="1"/>
  <c r="E26" i="34"/>
  <c r="F26" i="34" s="1"/>
  <c r="E8" i="34"/>
  <c r="F8" i="34" s="1"/>
  <c r="C43" i="34"/>
  <c r="E43" i="34" s="1"/>
  <c r="F43" i="34" s="1"/>
  <c r="I63" i="29"/>
  <c r="E62" i="29"/>
  <c r="F62" i="29" s="1"/>
  <c r="G68" i="34"/>
  <c r="I68" i="34" s="1"/>
  <c r="C68" i="34"/>
  <c r="E68" i="34" s="1"/>
  <c r="F68" i="34" s="1"/>
  <c r="I53" i="29"/>
  <c r="C53" i="34"/>
  <c r="E53" i="34" s="1"/>
  <c r="F53" i="34" s="1"/>
  <c r="G46" i="34"/>
  <c r="I46" i="34" s="1"/>
  <c r="C46" i="34"/>
  <c r="E46" i="34" s="1"/>
  <c r="F46" i="34" s="1"/>
  <c r="I45" i="29"/>
  <c r="E45" i="29"/>
  <c r="F45" i="29" s="1"/>
  <c r="I44" i="29"/>
  <c r="E44" i="29"/>
  <c r="F44" i="29" s="1"/>
  <c r="E39" i="29"/>
  <c r="F39" i="29" s="1"/>
  <c r="I42" i="29"/>
  <c r="E26" i="29"/>
  <c r="F26" i="29" s="1"/>
  <c r="C25" i="34"/>
  <c r="E25" i="34" s="1"/>
  <c r="F25" i="34" s="1"/>
  <c r="G23" i="34"/>
  <c r="I23" i="34" s="1"/>
  <c r="C23" i="34"/>
  <c r="E23" i="34" s="1"/>
  <c r="F23" i="34" s="1"/>
  <c r="E60" i="29"/>
  <c r="F60" i="29" s="1"/>
  <c r="I58" i="29"/>
  <c r="G57" i="34"/>
  <c r="I57" i="34" s="1"/>
  <c r="E57" i="29"/>
  <c r="F57" i="29" s="1"/>
  <c r="I22" i="29"/>
  <c r="C19" i="34"/>
  <c r="E19" i="34" s="1"/>
  <c r="F19" i="34" s="1"/>
  <c r="G18" i="34"/>
  <c r="I18" i="34" s="1"/>
  <c r="C18" i="34"/>
  <c r="E18" i="34" s="1"/>
  <c r="F18" i="34" s="1"/>
  <c r="E16" i="29"/>
  <c r="F16" i="29" s="1"/>
  <c r="H14" i="29"/>
  <c r="I14" i="29" s="1"/>
  <c r="H13" i="29"/>
  <c r="I13" i="29" s="1"/>
  <c r="H11" i="29"/>
  <c r="I11" i="29" s="1"/>
  <c r="G37" i="34"/>
  <c r="I37" i="34" s="1"/>
  <c r="G36" i="34"/>
  <c r="I36" i="34" s="1"/>
  <c r="C36" i="34"/>
  <c r="E36" i="34" s="1"/>
  <c r="F36" i="34" s="1"/>
  <c r="C2" i="29"/>
  <c r="C35" i="34"/>
  <c r="E35" i="34" s="1"/>
  <c r="F35" i="34" s="1"/>
  <c r="C34" i="34"/>
  <c r="E34" i="34" s="1"/>
  <c r="F34" i="34" s="1"/>
  <c r="C33" i="34"/>
  <c r="E33" i="34" s="1"/>
  <c r="F33" i="34" s="1"/>
  <c r="G2" i="29"/>
  <c r="I30" i="29"/>
  <c r="E29" i="29"/>
  <c r="F29" i="29" s="1"/>
  <c r="I28" i="29"/>
  <c r="I61" i="29"/>
  <c r="E61" i="29"/>
  <c r="F61" i="29" s="1"/>
  <c r="E51" i="29"/>
  <c r="F51" i="29" s="1"/>
  <c r="E27" i="29"/>
  <c r="F27" i="29" s="1"/>
  <c r="I48" i="34"/>
  <c r="H2" i="27"/>
  <c r="I2" i="27" s="1"/>
  <c r="I48" i="29"/>
  <c r="J2" i="27"/>
  <c r="E2" i="27"/>
  <c r="F2" i="27" s="1"/>
  <c r="C2" i="34" l="1"/>
  <c r="D2" i="34"/>
  <c r="E37" i="34"/>
  <c r="F37" i="34" s="1"/>
  <c r="E2" i="29"/>
  <c r="F2" i="29" s="1"/>
  <c r="G2" i="34"/>
  <c r="H2" i="29"/>
  <c r="I2" i="29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<sst xmlns="http://schemas.openxmlformats.org/spreadsheetml/2006/main" count="728" uniqueCount="342">
  <si>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</si>
  <si>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</si>
  <si>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</si>
  <si>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</si>
  <si>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</si>
  <si>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</si>
  <si>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</si>
  <si>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</si>
  <si>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</si>
  <si>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</si>
  <si>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</si>
  <si>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</si>
  <si>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</si>
  <si>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</si>
  <si>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</si>
  <si>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</si>
  <si>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</si>
  <si>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</si>
  <si>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</si>
  <si>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</si>
  <si>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</si>
  <si>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</si>
  <si>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</si>
  <si>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</si>
  <si>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</si>
  <si>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</si>
  <si>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</si>
  <si>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</si>
  <si>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</si>
  <si>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</si>
  <si>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</si>
  <si>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</si>
  <si>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</si>
  <si>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</si>
  <si>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</si>
  <si>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</si>
  <si>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</si>
  <si>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</si>
  <si>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</si>
  <si>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</si>
  <si>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</si>
  <si>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</si>
  <si>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</si>
  <si>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</si>
  <si>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</si>
  <si>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</si>
  <si>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</si>
  <si>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</si>
  <si>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</si>
  <si>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</si>
  <si>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</si>
  <si>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</si>
  <si>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</si>
  <si>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</si>
  <si>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</si>
  <si>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</si>
  <si>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</si>
  <si>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</si>
  <si>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</si>
  <si>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</si>
  <si>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</si>
  <si>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</si>
  <si>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</si>
  <si>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</si>
  <si>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</si>
  <si>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</si>
  <si>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</si>
  <si>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</si>
  <si>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</si>
  <si>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</si>
  <si>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</si>
  <si>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</si>
  <si>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</si>
  <si>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</si>
  <si>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</si>
  <si>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</si>
  <si>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</si>
  <si>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</si>
  <si>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</si>
  <si>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</si>
  <si>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</si>
  <si>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</si>
  <si>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</si>
  <si>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</si>
  <si>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</si>
  <si>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</si>
  <si>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</si>
  <si>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</si>
  <si>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</si>
  <si>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</si>
  <si>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</si>
  <si>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</si>
  <si>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</si>
  <si>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</si>
  <si>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</si>
  <si>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</si>
  <si>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</si>
  <si>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</si>
  <si>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</si>
  <si>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1.Inverter 5 underperforming ~10kW, possibly 2 strings down.</t>
  </si>
  <si>
    <t>1.SR089711</t>
  </si>
  <si>
    <t>1.Inverter frequently tripping on and off and reporting Erroneous values  from 08/08</t>
  </si>
  <si>
    <t>1.Site stopped communicating at 01:05 PM on 08/30, thermal damage to A and C phase blades and conductors in the AC Disconnect. The disconnect has been left in the off position.</t>
  </si>
  <si>
    <t>1.SR089765</t>
  </si>
  <si>
    <t xml:space="preserve">1.Site tripped offline at 09:30 Am On 08/12 , inverter voltages are dropped to zero but meter voltages are available </t>
  </si>
  <si>
    <t>1.SR088924</t>
  </si>
  <si>
    <t>1.site tripped offline at 9:05am on 08/17 till date</t>
  </si>
  <si>
    <t>1.SR089189</t>
  </si>
  <si>
    <t>1.Inverter 1 Pad 1 is back online at 14:40 on 08/02
2.Inverter 1 pad 1 and inverter 2 pad 1 were offline from 16:25 on 08/07 and back online at 15:30 on 08/19</t>
  </si>
  <si>
    <t>1.SR088545
2.SR088546</t>
  </si>
  <si>
    <t xml:space="preserve">1.Inverter Pad 2 Offline is offline from 08/01 and back online from 13:35 on 08/14
2.Inverter Pad 1 is offline from 08/25 and back online on 08/27 at 09:30
</t>
  </si>
  <si>
    <t xml:space="preserve">1.SR089022
2.SR089518
</t>
  </si>
  <si>
    <t>1.Inverter 2 Pad b is offline from 08/01 and inverter 1 pad b has tripped offline on 08/14 at 16:00 and inverter 1 pad b is back online on 08/23 at 14:05 &amp; inverter 2 pad A is offline on 08/25 through out the month</t>
  </si>
  <si>
    <t>1.SR088247, SR089669</t>
  </si>
  <si>
    <t>1.Site is online from 08/15 at 08:50</t>
  </si>
  <si>
    <t>1.SR089051</t>
  </si>
  <si>
    <t>1.Site is back online on 08/28</t>
  </si>
  <si>
    <t>1.SR089027</t>
  </si>
  <si>
    <t>1.Site back online on 08/15 at 13:05</t>
  </si>
  <si>
    <t>1.SR089028</t>
  </si>
  <si>
    <t>1.No communication to DAS, need a replacement needed for meter and modem</t>
  </si>
  <si>
    <t>1.SR089464</t>
  </si>
  <si>
    <t>1.Inverter 3 is offline throughout the month</t>
  </si>
  <si>
    <t>1.SR089460</t>
  </si>
  <si>
    <t>1.Site is back online on 08/15 at 13:15</t>
  </si>
  <si>
    <t>1.SR089031</t>
  </si>
  <si>
    <t>1.Inverters 3 &amp; 8 are offline through out the month</t>
  </si>
  <si>
    <t>1.SR089461</t>
  </si>
  <si>
    <t>1.Weather station is not communicating through out the month</t>
  </si>
  <si>
    <t>1.SR085968</t>
  </si>
  <si>
    <t xml:space="preserve">1.Weather station is not communicating through out the month
2.Inverter 2 offline through out the month
</t>
  </si>
  <si>
    <t>1.SR089470
2.SR089470</t>
  </si>
  <si>
    <t>1.Inverters A and B are offline through out the month, Pad C inverters 2 and 3 trip offline frequently</t>
  </si>
  <si>
    <t>1.SR089612</t>
  </si>
  <si>
    <t>1. Inverter 3 is being RMA'd (inverter 3 is offline from 08/19)</t>
  </si>
  <si>
    <t>1. SR086220</t>
  </si>
  <si>
    <t>1. Inverter 1 was not communicatig and inverter 3, 4 were offline.</t>
  </si>
  <si>
    <t>1. 	SR082817</t>
  </si>
  <si>
    <t>1. Weather station is reporting 0w/m2</t>
  </si>
  <si>
    <t>No SR</t>
  </si>
  <si>
    <t>1. Inverter 1 and 2 were offline from 08/01 and back online on 08/02 at 12:05pm</t>
  </si>
  <si>
    <t>1. SR089555</t>
  </si>
  <si>
    <t>d</t>
  </si>
  <si>
    <t>1. Site offline through out the month</t>
  </si>
  <si>
    <t>1.SR080516</t>
  </si>
  <si>
    <t>1.Site is offline since 8/4</t>
  </si>
  <si>
    <t>1.SR089473</t>
  </si>
  <si>
    <t>1. Inverters 3, 7, 10, 11, 14, and 21 are offline for whole month.</t>
  </si>
  <si>
    <t>1. SR089474</t>
  </si>
  <si>
    <t>1. Inverters 3, 7 and 2 were offline for whole month</t>
  </si>
  <si>
    <t>1.Inverter 1 is back online on 09/04 at 15:00 inverter 2 offline for whole month</t>
  </si>
  <si>
    <t>1.SR089732</t>
  </si>
  <si>
    <t xml:space="preserve">1. Site was offline from 08/01 to 08/02 and again site tripped offline on 08/07 and back online on 08/08 site tripped offline on 08/16 and backonline on 08/20 and site tripped offline on 08/23. </t>
  </si>
  <si>
    <t>1. SR088795</t>
  </si>
  <si>
    <t xml:space="preserve">1. Inverter 1 being replaced and inverter 2 logic board being replaced. </t>
  </si>
  <si>
    <t>1. 	SR089732</t>
  </si>
  <si>
    <t>1. Site was not communicated from 08/01 to 08/15 and again site stopped communicating on 08/17.</t>
  </si>
  <si>
    <t>1. SR087889, SR088675</t>
  </si>
  <si>
    <t>1. Site is offline since 08/17. 
2. Inverter 1 was offline for whole month.</t>
  </si>
  <si>
    <t>1. SR089260
2. 	SR082867</t>
  </si>
  <si>
    <t>September Actual v. Expected</t>
  </si>
  <si>
    <t>September Actual v. Forecasted</t>
  </si>
  <si>
    <t>1.Site is back online on 09/27/2024</t>
  </si>
  <si>
    <t xml:space="preserve">1.Site tripped offline from 10:35 to 11:45 on 09/26/2024 </t>
  </si>
  <si>
    <t xml:space="preserve">1.SR090362	</t>
  </si>
  <si>
    <t>1. Inverter 2 pad A is offline from 08/25 and also Inverter 1 pad B offline from 9/10 through out the month</t>
  </si>
  <si>
    <t>1.SR089669</t>
  </si>
  <si>
    <t>1.SR089461,SR090375</t>
  </si>
  <si>
    <t>1.SR089470</t>
  </si>
  <si>
    <t>1.Inverters A and B are offline through out the month, Pad C inverters 2 and 3 trip offline frequently
2.Weather station stopped communicating since 9/11 through out the month.</t>
  </si>
  <si>
    <t>1.	SR089612
2.SR090298</t>
  </si>
  <si>
    <t>1.Inverter 3 is being RMA'd (inverter 3 is offline from 08/19)
2.Pyranometer has been giving bad readings. Prior to 9/25, the pyranometer read at most 450 W/m2. Since then, readings are between 950 and 400 W/m2
3.weather station 1 is offline</t>
  </si>
  <si>
    <t>1.SR086220
2.SR091312
3.SR090659</t>
  </si>
  <si>
    <t>1.Inverter 1 was not communicatig and inverter 3, 4 were offline.</t>
  </si>
  <si>
    <t>1.	SR090378</t>
  </si>
  <si>
    <t>1.Weather station is reporting 0w/m2</t>
  </si>
  <si>
    <t>1.Inverter trips on and offline frequently</t>
  </si>
  <si>
    <t>1.SR090965</t>
  </si>
  <si>
    <t>1.Site back online on 9/5 at 02:00pm</t>
  </si>
  <si>
    <t>1.Inverters 1 &amp; 2 were left offline due to AC surge warnings</t>
  </si>
  <si>
    <t>1.SR090053</t>
  </si>
  <si>
    <t>1. Weather station does not report irradiance during the day. Likely a faulty pyranometer through out the month.</t>
  </si>
  <si>
    <t>1.	SR090293</t>
  </si>
  <si>
    <t>1.Inverters 3, 7, 10, 11, 14, and 21 are offline. Inverter 2 may have a string down through out the month</t>
  </si>
  <si>
    <t>1.	SR090381,SR090380
SR089474</t>
  </si>
  <si>
    <t>1.Inverters 3, 7, and 12 are offline through out month</t>
  </si>
  <si>
    <t>1.SR089477</t>
  </si>
  <si>
    <t>1.Inverter 1 offline from 9/14 back online on 9/19</t>
  </si>
  <si>
    <t>1.	SR090519</t>
  </si>
  <si>
    <t>1.Site back online on 9/21</t>
  </si>
  <si>
    <t>1.SR088795</t>
  </si>
  <si>
    <t>1.Site back online on 9/4
2.Inverter 3 offline from 9/6 back online on 9/12 at 13:40
3.Site offline from 9/24</t>
  </si>
  <si>
    <t>1. SR087889, SR088675
2.SR090295
3.	SR091141</t>
  </si>
  <si>
    <t xml:space="preserve">1.Site back online on 9/4
2.Inverter 1 offline from 9/4 through out the month
</t>
  </si>
  <si>
    <t>1.	SR089260
2.SR090296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</si>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</sst>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vertical="top" wrapText="1"/>
    </xf>
    <xf numFmtId="9" fontId="30" fillId="3" borderId="0" xfId="2" applyFont="1" applyFill="1" applyAlignment="1">
      <alignment horizontal="center" vertical="center"/>
    </xf>
    <xf numFmtId="3" fontId="30" fillId="0" borderId="0" xfId="1" applyNumberFormat="1" applyFont="1" applyAlignment="1">
      <alignment vertical="center"/>
    </xf>
    <xf numFmtId="9" fontId="30" fillId="0" borderId="0" xfId="2" applyFont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vertical="center" wrapText="1"/>
    </xf>
    <xf numFmtId="3" fontId="30" fillId="0" borderId="0" xfId="1" applyNumberFormat="1" applyFont="1" applyAlignment="1">
      <alignment horizontal="left" vertical="top" wrapText="1"/>
    </xf>
    <xf numFmtId="0" fontId="29" fillId="2" borderId="1" xfId="0" applyFont="1" applyFill="1" applyBorder="1" applyAlignment="1">
      <alignment horizontal="left" vertical="center" wrapText="1" indent="2"/>
    </xf>
    <xf numFmtId="0" fontId="28" fillId="40" borderId="0" xfId="0" applyFont="1" applyFill="1" applyAlignment="1">
      <alignment horizontal="left" vertical="center" indent="2"/>
    </xf>
    <xf numFmtId="0" fontId="28" fillId="0" borderId="0" xfId="0" applyFont="1" applyAlignment="1">
      <alignment horizontal="left" vertical="center" indent="2"/>
    </xf>
    <xf numFmtId="3" fontId="30" fillId="0" borderId="0" xfId="1" applyNumberFormat="1" applyFont="1" applyAlignment="1">
      <alignment horizontal="left" vertical="center" indent="2"/>
    </xf>
    <xf numFmtId="0" fontId="30" fillId="0" borderId="0" xfId="0" applyFont="1" applyAlignment="1">
      <alignment horizontal="left" indent="2"/>
    </xf>
    <xf numFmtId="0" fontId="25" fillId="0" borderId="0" xfId="0" applyFont="1" applyAlignment="1">
      <alignment horizontal="left" indent="2"/>
    </xf>
    <xf numFmtId="3" fontId="30" fillId="4" borderId="0" xfId="1" applyNumberFormat="1" applyFont="1" applyFill="1" applyAlignment="1">
      <alignment horizontal="center" vertical="center"/>
    </xf>
    <xf numFmtId="0" fontId="39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52" activePane="bottomRight" state="frozen"/>
      <selection pane="bottomRight" activeCell="C79" sqref="C7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Silicon Ranch</v>
      </c>
      <c r="B1" s="84"/>
      <c r="C1" s="84"/>
      <c r="D1" s="85" t="s">
        <v>0</v>
      </c>
      <c r="E1" s="85"/>
      <c r="F1" s="85"/>
      <c r="G1" s="83" t="s">
        <v>1</v>
      </c>
      <c r="H1" s="83"/>
      <c r="I1" s="83"/>
    </row>
    <row r="2" spans="1:9" ht="19.5" customHeight="1">
      <c r="A2" s="86" t="s">
        <v>2</v>
      </c>
      <c r="B2" s="86"/>
      <c r="C2" s="5" t="e">
        <f>SUM(C4:C100)</f>
        <v>#REF!</v>
      </c>
      <c r="D2" s="5" t="e">
        <f>SUM(D4:D100)</f>
        <v>#REF!</v>
      </c>
      <c r="E2" s="5" t="e">
        <f>C2-D2</f>
        <v>#REF!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246748.75</v>
      </c>
      <c r="D4" s="13">
        <f>SUM('1st Qtr'!D4, '2nd Qtr'!D4, '3rd Qtr'!D4, '4th Qtr'!D4)</f>
        <v>0</v>
      </c>
      <c r="E4" s="13">
        <f>IF(AND(ISNUMBER(C4),ISNUMBER(D4)), C4-D4, "")</f>
        <v>246748.75</v>
      </c>
      <c r="F4" s="14" t="str">
        <f>IFERROR(E4/D4, "")</f>
        <v/>
      </c>
      <c r="G4" s="15">
        <f>SUM('1st Qtr'!G4, '2nd Qtr'!G4, '3rd Qtr'!G4, '4th Qtr'!G4)</f>
        <v>254619.99</v>
      </c>
      <c r="H4" s="15">
        <f>SUM('1st Qtr'!H4, '2nd Qtr'!H4, '3rd Qtr'!H4, '4th Qtr'!H4)</f>
        <v>-7871.2400000000052</v>
      </c>
      <c r="I4" s="16">
        <f>IFERROR(H4/G4, "")</f>
        <v>-3.0913676494920942E-2</v>
      </c>
    </row>
    <row r="5" spans="1:9" ht="15.6">
      <c r="A5" s="52" t="str">
        <v>Kohls - Auburn</v>
      </c>
      <c r="B5" s="30" t="str">
        <v>NY</v>
      </c>
      <c r="C5" s="11">
        <f>SUM('1st Qtr'!C5, '2nd Qtr'!C5, '3rd Qtr'!C5, '4th Qtr'!C5)</f>
        <v>264766</v>
      </c>
      <c r="D5" s="18">
        <f>SUM('1st Qtr'!D5, '2nd Qtr'!D5, '3rd Qtr'!D5, '4th Qtr'!D5)</f>
        <v>0</v>
      </c>
      <c r="E5" s="18">
        <f t="shared" ref="E5:E15" si="0">IF(AND(ISNUMBER(C5),ISNUMBER(D5)), C5-D5, "")</f>
        <v>264766</v>
      </c>
      <c r="F5" s="19" t="str">
        <f>IFERROR(E5/D5, "")</f>
        <v/>
      </c>
      <c r="G5" s="20">
        <f>SUM('1st Qtr'!G5, '2nd Qtr'!G5, '3rd Qtr'!G5, '4th Qtr'!G5)</f>
        <v>279275.98</v>
      </c>
      <c r="H5" s="20">
        <f>SUM(Jan!H5, Feb!H5, Mar!H5)</f>
        <v>5388.09</v>
      </c>
      <c r="I5" s="19">
        <f>IFERROR(H5/G5, "")</f>
        <v>1.9293066306669125E-2</v>
      </c>
    </row>
    <row r="6" spans="1:9" ht="15.6">
      <c r="A6" s="53" t="str">
        <v>Kohls - Bensalem</v>
      </c>
      <c r="B6" s="28" t="str">
        <v>PA</v>
      </c>
      <c r="C6" s="24">
        <f>SUM('1st Qtr'!C6, '2nd Qtr'!C6, '3rd Qtr'!C6, '4th Qtr'!C6)</f>
        <v>302638</v>
      </c>
      <c r="D6" s="13">
        <f>SUM('1st Qtr'!D6, '2nd Qtr'!D6, '3rd Qtr'!D6, '4th Qtr'!D6)</f>
        <v>0</v>
      </c>
      <c r="E6" s="13">
        <f t="shared" si="0"/>
        <v>302638</v>
      </c>
      <c r="F6" s="14" t="str">
        <f t="shared" ref="F6:F15" si="1">IFERROR(E6/D6, "")</f>
        <v/>
      </c>
      <c r="G6" s="15">
        <f>SUM('1st Qtr'!G6, '2nd Qtr'!G6, '3rd Qtr'!G6, '4th Qtr'!G6)</f>
        <v>284908.55999999994</v>
      </c>
      <c r="H6" s="15">
        <f>SUM(Jan!H6, Feb!H6, Mar!H6)</f>
        <v>1265.9800000000014</v>
      </c>
      <c r="I6" s="16">
        <f t="shared" ref="I6:I15" si="2">IFERROR(H6/G6, "")</f>
        <v>4.4434607370168223E-3</v>
      </c>
    </row>
    <row r="7" spans="1:9" ht="15.6">
      <c r="A7" s="52" t="str">
        <v>Kohls - Brick</v>
      </c>
      <c r="B7" s="30" t="str">
        <v>NJ</v>
      </c>
      <c r="C7" s="11">
        <f>SUM('1st Qtr'!C7, '2nd Qtr'!C7, '3rd Qtr'!C7, '4th Qtr'!C7)</f>
        <v>346431</v>
      </c>
      <c r="D7" s="18">
        <f>SUM('1st Qtr'!D7, '2nd Qtr'!D7, '3rd Qtr'!D7, '4th Qtr'!D7)</f>
        <v>0</v>
      </c>
      <c r="E7" s="18">
        <f t="shared" si="0"/>
        <v>346431</v>
      </c>
      <c r="F7" s="19" t="str">
        <f t="shared" si="1"/>
        <v/>
      </c>
      <c r="G7" s="20">
        <f>SUM('1st Qtr'!G7, '2nd Qtr'!G7, '3rd Qtr'!G7, '4th Qtr'!G7)</f>
        <v>338592.79</v>
      </c>
      <c r="H7" s="20">
        <f>SUM(Jan!H7, Feb!H7, Mar!H7)</f>
        <v>-1190.8600000000006</v>
      </c>
      <c r="I7" s="19">
        <f t="shared" si="2"/>
        <v>-3.5170861139718914E-3</v>
      </c>
    </row>
    <row r="8" spans="1:9" ht="15.6">
      <c r="A8" s="53" t="str">
        <v>Kohls - Buffalo</v>
      </c>
      <c r="B8" s="28" t="str">
        <v>NY</v>
      </c>
      <c r="C8" s="24">
        <f>SUM('1st Qtr'!C8, '2nd Qtr'!C8, '3rd Qtr'!C8, '4th Qtr'!C8)</f>
        <v>316704</v>
      </c>
      <c r="D8" s="13">
        <f>SUM('1st Qtr'!D8, '2nd Qtr'!D8, '3rd Qtr'!D8, '4th Qtr'!D8)</f>
        <v>0</v>
      </c>
      <c r="E8" s="13">
        <f t="shared" si="0"/>
        <v>316704</v>
      </c>
      <c r="F8" s="14" t="str">
        <f t="shared" si="1"/>
        <v/>
      </c>
      <c r="G8" s="15">
        <f>SUM('1st Qtr'!G8, '2nd Qtr'!G8, '3rd Qtr'!G8, '4th Qtr'!G8)</f>
        <v>341693.49</v>
      </c>
      <c r="H8" s="15">
        <f>SUM(Jan!H8, Feb!H8, Mar!H8)</f>
        <v>-818.3700000000008</v>
      </c>
      <c r="I8" s="16">
        <f t="shared" si="2"/>
        <v>-2.3950412400306508E-3</v>
      </c>
    </row>
    <row r="9" spans="1:9" ht="15.6">
      <c r="A9" s="52" t="str">
        <v>Kohls - Canton</v>
      </c>
      <c r="B9" s="30" t="str">
        <v>CT</v>
      </c>
      <c r="C9" s="11">
        <f>SUM('1st Qtr'!C9, '2nd Qtr'!C9, '3rd Qtr'!C9, '4th Qtr'!C9)</f>
        <v>121747</v>
      </c>
      <c r="D9" s="18">
        <f>SUM('1st Qtr'!D9, '2nd Qtr'!D9, '3rd Qtr'!D9, '4th Qtr'!D9)</f>
        <v>0</v>
      </c>
      <c r="E9" s="18">
        <f t="shared" si="0"/>
        <v>121747</v>
      </c>
      <c r="F9" s="19" t="str">
        <f t="shared" si="1"/>
        <v/>
      </c>
      <c r="G9" s="20">
        <f>SUM('1st Qtr'!G9, '2nd Qtr'!G9, '3rd Qtr'!G9, '4th Qtr'!G9)</f>
        <v>113631.39</v>
      </c>
      <c r="H9" s="20">
        <f>SUM(Jan!H9, Feb!H9, Mar!H9)</f>
        <v>509.94999999999982</v>
      </c>
      <c r="I9" s="19">
        <f t="shared" si="2"/>
        <v>4.4877564201229944E-3</v>
      </c>
    </row>
    <row r="10" spans="1:9" ht="15.6">
      <c r="A10" s="53" t="str">
        <v>Kohls - East Amherst</v>
      </c>
      <c r="B10" s="28" t="str">
        <v>NY</v>
      </c>
      <c r="C10" s="24">
        <f>SUM('1st Qtr'!C10, '2nd Qtr'!C10, '3rd Qtr'!C10, '4th Qtr'!C10)</f>
        <v>291502</v>
      </c>
      <c r="D10" s="13">
        <f>SUM('1st Qtr'!D10, '2nd Qtr'!D10, '3rd Qtr'!D10, '4th Qtr'!D10)</f>
        <v>0</v>
      </c>
      <c r="E10" s="13">
        <f t="shared" si="0"/>
        <v>291502</v>
      </c>
      <c r="F10" s="14" t="str">
        <f t="shared" si="1"/>
        <v/>
      </c>
      <c r="G10" s="15">
        <f>SUM('1st Qtr'!G10, '2nd Qtr'!G10, '3rd Qtr'!G10, '4th Qtr'!G10)</f>
        <v>307520.26</v>
      </c>
      <c r="H10" s="15">
        <f>SUM(Jan!H10, Feb!H10, Mar!H10)</f>
        <v>-2308.6900000000005</v>
      </c>
      <c r="I10" s="16">
        <f t="shared" si="2"/>
        <v>-7.5074403227936935E-3</v>
      </c>
    </row>
    <row r="11" spans="1:9" ht="15.6">
      <c r="A11" s="52" t="str">
        <v>Kohls - East Brunswick</v>
      </c>
      <c r="B11" s="30" t="str">
        <v>NJ</v>
      </c>
      <c r="C11" s="11">
        <f>SUM('1st Qtr'!C11, '2nd Qtr'!C11, '3rd Qtr'!C11, '4th Qtr'!C11)</f>
        <v>361795</v>
      </c>
      <c r="D11" s="18">
        <f>SUM('1st Qtr'!D11, '2nd Qtr'!D11, '3rd Qtr'!D11, '4th Qtr'!D11)</f>
        <v>0</v>
      </c>
      <c r="E11" s="18">
        <f t="shared" si="0"/>
        <v>361795</v>
      </c>
      <c r="F11" s="19" t="str">
        <f t="shared" si="1"/>
        <v/>
      </c>
      <c r="G11" s="20">
        <f>SUM('1st Qtr'!G11, '2nd Qtr'!G11, '3rd Qtr'!G11, '4th Qtr'!G11)</f>
        <v>438984.04999999993</v>
      </c>
      <c r="H11" s="20">
        <f>SUM(Jan!H11, Feb!H11, Mar!H11)</f>
        <v>-20451.719999999998</v>
      </c>
      <c r="I11" s="19">
        <f t="shared" si="2"/>
        <v>-4.6588754192777623E-2</v>
      </c>
    </row>
    <row r="12" spans="1:9" ht="15.6">
      <c r="A12" s="53" t="str">
        <v>Kohls - Edgewood</v>
      </c>
      <c r="B12" s="28" t="str">
        <v>MD</v>
      </c>
      <c r="C12" s="24">
        <f>SUM('1st Qtr'!C12, '2nd Qtr'!C12, '3rd Qtr'!C12, '4th Qtr'!C12)</f>
        <v>2011895</v>
      </c>
      <c r="D12" s="13">
        <f>SUM('1st Qtr'!D12, '2nd Qtr'!D12, '3rd Qtr'!D12, '4th Qtr'!D12)</f>
        <v>0</v>
      </c>
      <c r="E12" s="13">
        <f t="shared" si="0"/>
        <v>2011895</v>
      </c>
      <c r="F12" s="14" t="str">
        <f t="shared" si="1"/>
        <v/>
      </c>
      <c r="G12" s="15">
        <f>SUM('1st Qtr'!G12, '2nd Qtr'!G12, '3rd Qtr'!G12, '4th Qtr'!G12)</f>
        <v>2323043.9500000002</v>
      </c>
      <c r="H12" s="15">
        <f>SUM(Jan!H12, Feb!H12, Mar!H12)</f>
        <v>-55603.870000000024</v>
      </c>
      <c r="I12" s="16">
        <f t="shared" si="2"/>
        <v>-2.39357804659701E-2</v>
      </c>
    </row>
    <row r="13" spans="1:9" ht="15.6">
      <c r="A13" s="52" t="str">
        <v>Kohls - Granite Run</v>
      </c>
      <c r="B13" s="30" t="str">
        <v>PA</v>
      </c>
      <c r="C13" s="11">
        <f>SUM('1st Qtr'!C13, '2nd Qtr'!C13, '3rd Qtr'!C13, '4th Qtr'!C13)</f>
        <v>283675</v>
      </c>
      <c r="D13" s="18">
        <f>SUM('1st Qtr'!D13, '2nd Qtr'!D13, '3rd Qtr'!D13, '4th Qtr'!D13)</f>
        <v>0</v>
      </c>
      <c r="E13" s="18">
        <f t="shared" si="0"/>
        <v>283675</v>
      </c>
      <c r="F13" s="19" t="str">
        <f t="shared" si="1"/>
        <v/>
      </c>
      <c r="G13" s="20">
        <f>SUM('1st Qtr'!G13, '2nd Qtr'!G13, '3rd Qtr'!G13, '4th Qtr'!G13)</f>
        <v>283482.90000000002</v>
      </c>
      <c r="H13" s="20">
        <f>SUM(Jan!H13, Feb!H13, Mar!H13)</f>
        <v>-2068.1600000000035</v>
      </c>
      <c r="I13" s="19">
        <f t="shared" si="2"/>
        <v>-7.2955370500301896E-3</v>
      </c>
    </row>
    <row r="14" spans="1:9" ht="15.6">
      <c r="A14" s="53" t="str">
        <v>Kohls - Greece</v>
      </c>
      <c r="B14" s="28" t="str">
        <v>NY</v>
      </c>
      <c r="C14" s="24">
        <f>SUM('1st Qtr'!C14, '2nd Qtr'!C14, '3rd Qtr'!C14, '4th Qtr'!C14)</f>
        <v>231501</v>
      </c>
      <c r="D14" s="13">
        <f>SUM('1st Qtr'!D14, '2nd Qtr'!D14, '3rd Qtr'!D14, '4th Qtr'!D14)</f>
        <v>0</v>
      </c>
      <c r="E14" s="13">
        <f t="shared" si="0"/>
        <v>231501</v>
      </c>
      <c r="F14" s="14" t="str">
        <f t="shared" si="1"/>
        <v/>
      </c>
      <c r="G14" s="15">
        <f>SUM('1st Qtr'!G14, '2nd Qtr'!G14, '3rd Qtr'!G14, '4th Qtr'!G14)</f>
        <v>327495.14</v>
      </c>
      <c r="H14" s="15">
        <f>SUM(Jan!H14, Feb!H14, Mar!H14)</f>
        <v>-11100.830000000002</v>
      </c>
      <c r="I14" s="16">
        <f t="shared" si="2"/>
        <v>-3.3896167130907658E-2</v>
      </c>
    </row>
    <row r="15" spans="1:9" ht="15.6">
      <c r="A15" s="52" t="str">
        <v>Kohls - Hanover</v>
      </c>
      <c r="B15" s="30" t="str">
        <v>PA</v>
      </c>
      <c r="C15" s="11">
        <f>SUM('1st Qtr'!C15, '2nd Qtr'!C15, '3rd Qtr'!C15, '4th Qtr'!C15)</f>
        <v>206716</v>
      </c>
      <c r="D15" s="18">
        <f>SUM('1st Qtr'!D15, '2nd Qtr'!D15, '3rd Qtr'!D15, '4th Qtr'!D15)</f>
        <v>0</v>
      </c>
      <c r="E15" s="18">
        <f t="shared" si="0"/>
        <v>206716</v>
      </c>
      <c r="F15" s="19" t="str">
        <f t="shared" si="1"/>
        <v/>
      </c>
      <c r="G15" s="20">
        <f>SUM('1st Qtr'!G15, '2nd Qtr'!G15, '3rd Qtr'!G15, '4th Qtr'!G15)</f>
        <v>315730.61</v>
      </c>
      <c r="H15" s="20">
        <f>SUM(Jan!H15, Feb!H15, Mar!H15)</f>
        <v>-9545.6699999999983</v>
      </c>
      <c r="I15" s="19">
        <f t="shared" si="2"/>
        <v>-3.0233590591675602E-2</v>
      </c>
    </row>
    <row r="16" spans="1:9" ht="15.6">
      <c r="A16" s="53" t="str">
        <v>Kohls - Horsehead</v>
      </c>
      <c r="B16" s="28" t="str">
        <v>NY</v>
      </c>
      <c r="C16" s="24">
        <f>SUM('1st Qtr'!C16, '2nd Qtr'!C16, '3rd Qtr'!C16, '4th Qtr'!C16)</f>
        <v>230871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230871</v>
      </c>
      <c r="F16" s="14" t="str">
        <f t="shared" ref="F16:F19" si="4">IFERROR(E16/D16, "")</f>
        <v/>
      </c>
      <c r="G16" s="15">
        <f>SUM('1st Qtr'!G16, '2nd Qtr'!G16, '3rd Qtr'!G16, '4th Qtr'!G16)</f>
        <v>252891.15999999997</v>
      </c>
      <c r="H16" s="15">
        <f>SUM(Jan!H16, Feb!H16, Mar!H16)</f>
        <v>-9727.880000000001</v>
      </c>
      <c r="I16" s="16">
        <f t="shared" ref="I16:I19" si="5">IFERROR(H16/G16, "")</f>
        <v>-3.8466666845926929E-2</v>
      </c>
    </row>
    <row r="17" spans="1:9" ht="15.6">
      <c r="A17" s="52" t="str">
        <v>Kohls - Hudson</v>
      </c>
      <c r="B17" s="30" t="str">
        <v>NY</v>
      </c>
      <c r="C17" s="11">
        <f>SUM('1st Qtr'!C17, '2nd Qtr'!C17, '3rd Qtr'!C17, '4th Qtr'!C17)</f>
        <v>210374</v>
      </c>
      <c r="D17" s="18">
        <f>SUM('1st Qtr'!D17, '2nd Qtr'!D17, '3rd Qtr'!D17, '4th Qtr'!D17)</f>
        <v>0</v>
      </c>
      <c r="E17" s="18">
        <f t="shared" si="3"/>
        <v>210374</v>
      </c>
      <c r="F17" s="19" t="str">
        <f t="shared" si="4"/>
        <v/>
      </c>
      <c r="G17" s="20">
        <f>SUM('1st Qtr'!G17, '2nd Qtr'!G17, '3rd Qtr'!G17, '4th Qtr'!G17)</f>
        <v>281596.75</v>
      </c>
      <c r="H17" s="20">
        <f>SUM(Jan!H17, Feb!H17, Mar!H17)</f>
        <v>-40461.81</v>
      </c>
      <c r="I17" s="19">
        <f t="shared" si="5"/>
        <v>-0.14368706314969898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240983</v>
      </c>
      <c r="D18" s="13">
        <f>SUM('1st Qtr'!D18, '2nd Qtr'!D18, '3rd Qtr'!D18, '4th Qtr'!D18)</f>
        <v>0</v>
      </c>
      <c r="E18" s="13">
        <f t="shared" si="3"/>
        <v>240983</v>
      </c>
      <c r="F18" s="14" t="str">
        <f t="shared" si="4"/>
        <v/>
      </c>
      <c r="G18" s="15">
        <f>SUM('1st Qtr'!G18, '2nd Qtr'!G18, '3rd Qtr'!G18, '4th Qtr'!G18)</f>
        <v>286679.90999999997</v>
      </c>
      <c r="H18" s="15">
        <f>SUM(Jan!H18, Feb!H18, Mar!H18)</f>
        <v>-13588.449999999999</v>
      </c>
      <c r="I18" s="16">
        <f t="shared" si="5"/>
        <v>-4.739938002631576E-2</v>
      </c>
    </row>
    <row r="19" spans="1:9" ht="15.6">
      <c r="A19" s="52" t="str">
        <v>Kohls - Kingston</v>
      </c>
      <c r="B19" s="30" t="str">
        <v>NY</v>
      </c>
      <c r="C19" s="11">
        <f>SUM('1st Qtr'!C19, '2nd Qtr'!C19, '3rd Qtr'!C19, '4th Qtr'!C19)</f>
        <v>396024</v>
      </c>
      <c r="D19" s="18">
        <f>SUM('1st Qtr'!D19, '2nd Qtr'!D19, '3rd Qtr'!D19, '4th Qtr'!D19)</f>
        <v>0</v>
      </c>
      <c r="E19" s="18">
        <f t="shared" si="3"/>
        <v>396024</v>
      </c>
      <c r="F19" s="19" t="str">
        <f t="shared" si="4"/>
        <v/>
      </c>
      <c r="G19" s="20">
        <f>SUM('1st Qtr'!G19, '2nd Qtr'!G19, '3rd Qtr'!G19, '4th Qtr'!G19)</f>
        <v>430477.71400000004</v>
      </c>
      <c r="H19" s="20">
        <f>SUM(Jan!H19, Feb!H19, Mar!H19)</f>
        <v>-1325.5890000000036</v>
      </c>
      <c r="I19" s="19">
        <f t="shared" si="5"/>
        <v>-3.0793440795869017E-3</v>
      </c>
    </row>
    <row r="20" spans="1:9" ht="15.6">
      <c r="A20" s="53" t="str">
        <v>Kohls - Mechanicsburg</v>
      </c>
      <c r="B20" s="28" t="str">
        <v>PA</v>
      </c>
      <c r="C20" s="24">
        <f>SUM('1st Qtr'!C20, '2nd Qtr'!C20, '3rd Qtr'!C20, '4th Qtr'!C20)</f>
        <v>327952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327952</v>
      </c>
      <c r="F20" s="14" t="str">
        <f t="shared" ref="F20:F25" si="7">IFERROR(E20/D20, "")</f>
        <v/>
      </c>
      <c r="G20" s="15">
        <f>SUM('1st Qtr'!G20, '2nd Qtr'!G20, '3rd Qtr'!G20, '4th Qtr'!G20)</f>
        <v>367001.42000000004</v>
      </c>
      <c r="H20" s="15">
        <f>SUM(Jan!H20, Feb!H20, Mar!H20)</f>
        <v>-821.72000000000116</v>
      </c>
      <c r="I20" s="16">
        <f t="shared" ref="I20:I25" si="8">IFERROR(H20/G20, "")</f>
        <v>-2.2390104103684424E-3</v>
      </c>
    </row>
    <row r="21" spans="1:9" ht="15.6">
      <c r="A21" s="52" t="str">
        <v>Kohls - Middletown</v>
      </c>
      <c r="B21" s="30" t="str">
        <v>NJ</v>
      </c>
      <c r="C21" s="11">
        <f>SUM('1st Qtr'!C21, '2nd Qtr'!C21, '3rd Qtr'!C21, '4th Qtr'!C21)</f>
        <v>375203</v>
      </c>
      <c r="D21" s="18">
        <f>SUM('1st Qtr'!D21, '2nd Qtr'!D21, '3rd Qtr'!D21, '4th Qtr'!D21)</f>
        <v>0</v>
      </c>
      <c r="E21" s="18">
        <f t="shared" si="6"/>
        <v>375203</v>
      </c>
      <c r="F21" s="19" t="str">
        <f t="shared" si="7"/>
        <v/>
      </c>
      <c r="G21" s="20">
        <f>SUM('1st Qtr'!G21, '2nd Qtr'!G21, '3rd Qtr'!G21, '4th Qtr'!G21)</f>
        <v>518406.02999999997</v>
      </c>
      <c r="H21" s="20">
        <f>SUM(Jan!H21, Feb!H21, Mar!H21)</f>
        <v>-88345.459999999992</v>
      </c>
      <c r="I21" s="19">
        <f t="shared" si="8"/>
        <v>-0.17041750073779041</v>
      </c>
    </row>
    <row r="22" spans="1:9" ht="15.6">
      <c r="A22" s="53" t="str">
        <v>Kohls - North Amherst</v>
      </c>
      <c r="B22" s="28" t="str">
        <v>NY</v>
      </c>
      <c r="C22" s="24">
        <f>SUM('1st Qtr'!C22, '2nd Qtr'!C22, '3rd Qtr'!C22, '4th Qtr'!C22)</f>
        <v>212870</v>
      </c>
      <c r="D22" s="13">
        <f>SUM('1st Qtr'!D22, '2nd Qtr'!D22, '3rd Qtr'!D22, '4th Qtr'!D22)</f>
        <v>0</v>
      </c>
      <c r="E22" s="13">
        <f t="shared" si="6"/>
        <v>212870</v>
      </c>
      <c r="F22" s="14" t="str">
        <f t="shared" si="7"/>
        <v/>
      </c>
      <c r="G22" s="15">
        <f>SUM('1st Qtr'!G22, '2nd Qtr'!G22, '3rd Qtr'!G22, '4th Qtr'!G22)</f>
        <v>289480.59000000003</v>
      </c>
      <c r="H22" s="15">
        <f>SUM(Jan!H22, Feb!H22, Mar!H22)</f>
        <v>-6786.4499999999989</v>
      </c>
      <c r="I22" s="16">
        <f t="shared" si="8"/>
        <v>-2.3443540722367599E-2</v>
      </c>
    </row>
    <row r="23" spans="1:9" ht="15.6">
      <c r="A23" s="52" t="str">
        <v>Kohls - Staten Island</v>
      </c>
      <c r="B23" s="30" t="str">
        <v>NY</v>
      </c>
      <c r="C23" s="11">
        <f>SUM('1st Qtr'!C23, '2nd Qtr'!C23, '3rd Qtr'!C23, '4th Qtr'!C23)</f>
        <v>262127.4</v>
      </c>
      <c r="D23" s="18">
        <f>SUM('1st Qtr'!D23, '2nd Qtr'!D23, '3rd Qtr'!D23, '4th Qtr'!D23)</f>
        <v>0</v>
      </c>
      <c r="E23" s="18">
        <f t="shared" si="6"/>
        <v>262127.4</v>
      </c>
      <c r="F23" s="19" t="str">
        <f t="shared" si="7"/>
        <v/>
      </c>
      <c r="G23" s="20">
        <f>SUM('1st Qtr'!G23, '2nd Qtr'!G23, '3rd Qtr'!G23, '4th Qtr'!G23)</f>
        <v>307115.57</v>
      </c>
      <c r="H23" s="20">
        <f>SUM(Jan!H23, Feb!H23, Mar!H23)</f>
        <v>-8920.7000000000007</v>
      </c>
      <c r="I23" s="19">
        <f t="shared" si="8"/>
        <v>-2.9046720099537775E-2</v>
      </c>
    </row>
    <row r="24" spans="1:9" ht="15.6">
      <c r="A24" s="53" t="str">
        <v>Kohls - Warminster</v>
      </c>
      <c r="B24" s="28" t="str">
        <v>PA</v>
      </c>
      <c r="C24" s="24">
        <f>SUM('1st Qtr'!C24, '2nd Qtr'!C24, '3rd Qtr'!C24, '4th Qtr'!C24)</f>
        <v>318430</v>
      </c>
      <c r="D24" s="13">
        <f>SUM('1st Qtr'!D24, '2nd Qtr'!D24, '3rd Qtr'!D24, '4th Qtr'!D24)</f>
        <v>0</v>
      </c>
      <c r="E24" s="13">
        <f t="shared" si="6"/>
        <v>318430</v>
      </c>
      <c r="F24" s="14" t="str">
        <f t="shared" si="7"/>
        <v/>
      </c>
      <c r="G24" s="15">
        <f>SUM('1st Qtr'!G24, '2nd Qtr'!G24, '3rd Qtr'!G24, '4th Qtr'!G24)</f>
        <v>340651.18000000005</v>
      </c>
      <c r="H24" s="15">
        <f>SUM(Jan!H24, Feb!H24, Mar!H24)</f>
        <v>-40277.78</v>
      </c>
      <c r="I24" s="16">
        <f t="shared" si="8"/>
        <v>-0.11823760598745026</v>
      </c>
    </row>
    <row r="25" spans="1:9" ht="15.6">
      <c r="A25" s="52" t="str">
        <v xml:space="preserve">Kohls - Waterbury </v>
      </c>
      <c r="B25" s="30" t="str">
        <v>CT</v>
      </c>
      <c r="C25" s="11">
        <f>SUM('1st Qtr'!C25, '2nd Qtr'!C25, '3rd Qtr'!C25, '4th Qtr'!C25)</f>
        <v>262492</v>
      </c>
      <c r="D25" s="18">
        <f>SUM('1st Qtr'!D25, '2nd Qtr'!D25, '3rd Qtr'!D25, '4th Qtr'!D25)</f>
        <v>0</v>
      </c>
      <c r="E25" s="18">
        <f t="shared" si="6"/>
        <v>262492</v>
      </c>
      <c r="F25" s="19" t="str">
        <f t="shared" si="7"/>
        <v/>
      </c>
      <c r="G25" s="20">
        <f>SUM('1st Qtr'!G25, '2nd Qtr'!G25, '3rd Qtr'!G25, '4th Qtr'!G25)</f>
        <v>407861.26</v>
      </c>
      <c r="H25" s="20">
        <f>SUM(Jan!H25, Feb!H25, Mar!H25)</f>
        <v>-2028.6800000000021</v>
      </c>
      <c r="I25" s="19">
        <f t="shared" si="8"/>
        <v>-4.9739462875194422E-3</v>
      </c>
    </row>
    <row r="26" spans="1:9" ht="15.6">
      <c r="A26" s="53" t="str">
        <v>Mojave Water Agency - Headquarters</v>
      </c>
      <c r="B26" s="28" t="str">
        <v>CA</v>
      </c>
      <c r="C26" s="24">
        <f>SUM('1st Qtr'!C26, '2nd Qtr'!C26, '3rd Qtr'!C26, '4th Qtr'!C26)</f>
        <v>57396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57396</v>
      </c>
      <c r="F26" s="14" t="str">
        <f t="shared" ref="F26:F68" si="10">IFERROR(E26/D26, "")</f>
        <v/>
      </c>
      <c r="G26" s="15" t="e">
        <f>SUM('1st Qtr'!G26, '2nd Qtr'!G26, '3rd Qtr'!G26, '4th Qtr'!G26)</f>
        <v>#REF!</v>
      </c>
      <c r="H26" s="15">
        <f>SUM(Jan!H26, Feb!H26, Mar!H26)</f>
        <v>0</v>
      </c>
      <c r="I26" s="16" t="str">
        <f t="shared" ref="I26:I68" si="11">IFERROR(H26/G26, "")</f>
        <v/>
      </c>
    </row>
    <row r="27" spans="1:9" ht="15.6">
      <c r="A27" s="52" t="str">
        <v>CSU - Bakersfield</v>
      </c>
      <c r="B27" s="30" t="str">
        <v>CA</v>
      </c>
      <c r="C27" s="11">
        <f>SUM('1st Qtr'!C27, '2nd Qtr'!C27, '3rd Qtr'!C27, '4th Qtr'!C27)</f>
        <v>46272</v>
      </c>
      <c r="D27" s="18">
        <f>SUM('1st Qtr'!D27, '2nd Qtr'!D27, '3rd Qtr'!D27, '4th Qtr'!D27)</f>
        <v>0</v>
      </c>
      <c r="E27" s="18">
        <f t="shared" si="9"/>
        <v>46272</v>
      </c>
      <c r="F27" s="19" t="str">
        <f t="shared" si="10"/>
        <v/>
      </c>
      <c r="G27" s="20" t="e">
        <f>SUM('1st Qtr'!G27, '2nd Qtr'!G27, '3rd Qtr'!G27, '4th Qtr'!G27)</f>
        <v>#REF!</v>
      </c>
      <c r="H27" s="20">
        <f>SUM(Jan!H27, Feb!H27, Mar!H27)</f>
        <v>0</v>
      </c>
      <c r="I27" s="19" t="str">
        <f t="shared" si="11"/>
        <v/>
      </c>
    </row>
    <row r="28" spans="1:9" ht="15.6">
      <c r="A28" s="53" t="str">
        <v>Greenfield USD - Fairfield ES</v>
      </c>
      <c r="B28" s="28" t="str">
        <v>CA</v>
      </c>
      <c r="C28" s="24">
        <f>SUM('1st Qtr'!C28, '2nd Qtr'!C28, '3rd Qtr'!C28, '4th Qtr'!C28)</f>
        <v>23778</v>
      </c>
      <c r="D28" s="13">
        <f>SUM('1st Qtr'!D28, '2nd Qtr'!D28, '3rd Qtr'!D28, '4th Qtr'!D28)</f>
        <v>0</v>
      </c>
      <c r="E28" s="13">
        <f t="shared" si="9"/>
        <v>23778</v>
      </c>
      <c r="F28" s="14" t="str">
        <f t="shared" si="10"/>
        <v/>
      </c>
      <c r="G28" s="15">
        <f>SUM('1st Qtr'!G28, '2nd Qtr'!G28, '3rd Qtr'!G28, '4th Qtr'!G28)</f>
        <v>31157.019999999997</v>
      </c>
      <c r="H28" s="15">
        <f>SUM(Jan!H28, Feb!H28, Mar!H28)</f>
        <v>0</v>
      </c>
      <c r="I28" s="16">
        <f t="shared" si="11"/>
        <v>0</v>
      </c>
    </row>
    <row r="29" spans="1:9" ht="15.6">
      <c r="A29" s="52" t="str">
        <v>Greenfield USD - Granite Point ES</v>
      </c>
      <c r="B29" s="30" t="str">
        <v>CA</v>
      </c>
      <c r="C29" s="11">
        <f>SUM('1st Qtr'!C29, '2nd Qtr'!C29, '3rd Qtr'!C29, '4th Qtr'!C29)</f>
        <v>34078</v>
      </c>
      <c r="D29" s="18">
        <f>SUM('1st Qtr'!D29, '2nd Qtr'!D29, '3rd Qtr'!D29, '4th Qtr'!D29)</f>
        <v>0</v>
      </c>
      <c r="E29" s="18">
        <f t="shared" si="9"/>
        <v>34078</v>
      </c>
      <c r="F29" s="19" t="str">
        <f t="shared" si="10"/>
        <v/>
      </c>
      <c r="G29" s="20">
        <f>SUM('1st Qtr'!G29, '2nd Qtr'!G29, '3rd Qtr'!G29, '4th Qtr'!G29)</f>
        <v>82131.040000000008</v>
      </c>
      <c r="H29" s="20">
        <f>SUM(Jan!H29, Feb!H29, Mar!H29)</f>
        <v>0</v>
      </c>
      <c r="I29" s="19">
        <f t="shared" si="11"/>
        <v>0</v>
      </c>
    </row>
    <row r="30" spans="1:9" ht="15.6">
      <c r="A30" s="53" t="str">
        <v>Greenfield USD - Greenfield MS</v>
      </c>
      <c r="B30" s="28" t="str">
        <v>CA</v>
      </c>
      <c r="C30" s="24">
        <f>SUM('1st Qtr'!C30, '2nd Qtr'!C30, '3rd Qtr'!C30, '4th Qtr'!C30)</f>
        <v>28783</v>
      </c>
      <c r="D30" s="13">
        <f>SUM('1st Qtr'!D30, '2nd Qtr'!D30, '3rd Qtr'!D30, '4th Qtr'!D30)</f>
        <v>0</v>
      </c>
      <c r="E30" s="13">
        <f t="shared" si="9"/>
        <v>28783</v>
      </c>
      <c r="F30" s="14" t="str">
        <f t="shared" si="10"/>
        <v/>
      </c>
      <c r="G30" s="15">
        <f>SUM('1st Qtr'!G30, '2nd Qtr'!G30, '3rd Qtr'!G30, '4th Qtr'!G30)</f>
        <v>56075.221999999994</v>
      </c>
      <c r="H30" s="15">
        <f>SUM(Jan!H30, Feb!H30, Mar!H30)</f>
        <v>0</v>
      </c>
      <c r="I30" s="16">
        <f t="shared" si="11"/>
        <v>0</v>
      </c>
    </row>
    <row r="31" spans="1:9" ht="15.6">
      <c r="A31" s="52" t="str">
        <v>Greenfield USD - Horizon ES</v>
      </c>
      <c r="B31" s="30" t="str">
        <v>CA</v>
      </c>
      <c r="C31" s="11">
        <f>SUM('1st Qtr'!C31, '2nd Qtr'!C31, '3rd Qtr'!C31, '4th Qtr'!C31)</f>
        <v>38836</v>
      </c>
      <c r="D31" s="18">
        <f>SUM('1st Qtr'!D31, '2nd Qtr'!D31, '3rd Qtr'!D31, '4th Qtr'!D31)</f>
        <v>0</v>
      </c>
      <c r="E31" s="18">
        <f t="shared" si="9"/>
        <v>38836</v>
      </c>
      <c r="F31" s="19" t="str">
        <f t="shared" si="10"/>
        <v/>
      </c>
      <c r="G31" s="20">
        <f>SUM('1st Qtr'!G31, '2nd Qtr'!G31, '3rd Qtr'!G31, '4th Qtr'!G31)</f>
        <v>84927.39</v>
      </c>
      <c r="H31" s="20">
        <f>SUM(Jan!H31, Feb!H31, Mar!H31)</f>
        <v>0</v>
      </c>
      <c r="I31" s="19">
        <f t="shared" si="11"/>
        <v>0</v>
      </c>
    </row>
    <row r="32" spans="1:9" ht="15.6">
      <c r="A32" s="53" t="str">
        <v>Greenfield USD - McKee MS</v>
      </c>
      <c r="B32" s="28" t="str">
        <v>CA</v>
      </c>
      <c r="C32" s="24">
        <f>SUM('1st Qtr'!C32, '2nd Qtr'!C32, '3rd Qtr'!C32, '4th Qtr'!C32)</f>
        <v>22606</v>
      </c>
      <c r="D32" s="13">
        <f>SUM('1st Qtr'!D32, '2nd Qtr'!D32, '3rd Qtr'!D32, '4th Qtr'!D32)</f>
        <v>0</v>
      </c>
      <c r="E32" s="13">
        <f t="shared" si="9"/>
        <v>22606</v>
      </c>
      <c r="F32" s="14" t="str">
        <f t="shared" si="10"/>
        <v/>
      </c>
      <c r="G32" s="15">
        <f>SUM('1st Qtr'!G32, '2nd Qtr'!G32, '3rd Qtr'!G32, '4th Qtr'!G32)</f>
        <v>51909.84</v>
      </c>
      <c r="H32" s="15">
        <f>SUM(Jan!H32, Feb!H32, Mar!H32)</f>
        <v>0</v>
      </c>
      <c r="I32" s="16">
        <f t="shared" si="11"/>
        <v>0</v>
      </c>
    </row>
    <row r="33" spans="1:9" ht="15.6">
      <c r="A33" s="52" t="str">
        <v>Greenfield USD - Plantation ES</v>
      </c>
      <c r="B33" s="30" t="str">
        <v>CA</v>
      </c>
      <c r="C33" s="11">
        <f>SUM('1st Qtr'!C33, '2nd Qtr'!C33, '3rd Qtr'!C33, '4th Qtr'!C33)</f>
        <v>26612</v>
      </c>
      <c r="D33" s="18">
        <f>SUM('1st Qtr'!D33, '2nd Qtr'!D33, '3rd Qtr'!D33, '4th Qtr'!D33)</f>
        <v>0</v>
      </c>
      <c r="E33" s="18">
        <f t="shared" si="9"/>
        <v>26612</v>
      </c>
      <c r="F33" s="19" t="str">
        <f t="shared" si="10"/>
        <v/>
      </c>
      <c r="G33" s="20">
        <f>SUM('1st Qtr'!G33, '2nd Qtr'!G33, '3rd Qtr'!G33, '4th Qtr'!G33)</f>
        <v>37044.080000000002</v>
      </c>
      <c r="H33" s="20">
        <f>SUM(Jan!H33, Feb!H33, Mar!H33)</f>
        <v>0</v>
      </c>
      <c r="I33" s="19">
        <f t="shared" si="11"/>
        <v>0</v>
      </c>
    </row>
    <row r="34" spans="1:9" ht="15.6">
      <c r="A34" s="53" t="str">
        <v>Greenfield USD - Planz ES</v>
      </c>
      <c r="B34" s="28" t="str">
        <v>CA</v>
      </c>
      <c r="C34" s="24">
        <f>SUM('1st Qtr'!C34, '2nd Qtr'!C34, '3rd Qtr'!C34, '4th Qtr'!C34)</f>
        <v>37222</v>
      </c>
      <c r="D34" s="13">
        <f>SUM('1st Qtr'!D34, '2nd Qtr'!D34, '3rd Qtr'!D34, '4th Qtr'!D34)</f>
        <v>0</v>
      </c>
      <c r="E34" s="13">
        <f t="shared" si="9"/>
        <v>37222</v>
      </c>
      <c r="F34" s="14" t="str">
        <f t="shared" si="10"/>
        <v/>
      </c>
      <c r="G34" s="15">
        <f>SUM('1st Qtr'!G34, '2nd Qtr'!G34, '3rd Qtr'!G34, '4th Qtr'!G34)</f>
        <v>42273.94</v>
      </c>
      <c r="H34" s="15">
        <f>SUM(Jan!H34, Feb!H34, Mar!H34)</f>
        <v>0</v>
      </c>
      <c r="I34" s="16">
        <f t="shared" si="11"/>
        <v>0</v>
      </c>
    </row>
    <row r="35" spans="1:9" ht="15.6">
      <c r="A35" s="52" t="str">
        <v>Greenfield USD - Raffaello Palla ES</v>
      </c>
      <c r="B35" s="30" t="str">
        <v>CA</v>
      </c>
      <c r="C35" s="11">
        <f>SUM('1st Qtr'!C35, '2nd Qtr'!C35, '3rd Qtr'!C35, '4th Qtr'!C35)</f>
        <v>34936</v>
      </c>
      <c r="D35" s="18">
        <f>SUM('1st Qtr'!D35, '2nd Qtr'!D35, '3rd Qtr'!D35, '4th Qtr'!D35)</f>
        <v>0</v>
      </c>
      <c r="E35" s="18">
        <f t="shared" si="9"/>
        <v>34936</v>
      </c>
      <c r="F35" s="19" t="str">
        <f t="shared" si="10"/>
        <v/>
      </c>
      <c r="G35" s="20">
        <f>SUM('1st Qtr'!G35, '2nd Qtr'!G35, '3rd Qtr'!G35, '4th Qtr'!G35)</f>
        <v>92230.69</v>
      </c>
      <c r="H35" s="20">
        <f>SUM(Jan!H35, Feb!H35, Mar!H35)</f>
        <v>0</v>
      </c>
      <c r="I35" s="19">
        <f t="shared" si="11"/>
        <v>0</v>
      </c>
    </row>
    <row r="36" spans="1:9" ht="15.6">
      <c r="A36" s="53" t="str">
        <v>Greenfield USD - Valle Verde ES</v>
      </c>
      <c r="B36" s="28" t="str">
        <v>CA</v>
      </c>
      <c r="C36" s="24">
        <f>SUM('1st Qtr'!C36, '2nd Qtr'!C36, '3rd Qtr'!C36, '4th Qtr'!C36)</f>
        <v>38421</v>
      </c>
      <c r="D36" s="13">
        <f>SUM('1st Qtr'!D36, '2nd Qtr'!D36, '3rd Qtr'!D36, '4th Qtr'!D36)</f>
        <v>0</v>
      </c>
      <c r="E36" s="13">
        <f t="shared" si="9"/>
        <v>38421</v>
      </c>
      <c r="F36" s="14" t="str">
        <f t="shared" si="10"/>
        <v/>
      </c>
      <c r="G36" s="15">
        <f>SUM('1st Qtr'!G36, '2nd Qtr'!G36, '3rd Qtr'!G36, '4th Qtr'!G36)</f>
        <v>86028.91</v>
      </c>
      <c r="H36" s="15">
        <f>SUM(Jan!H36, Feb!H36, Mar!H36)</f>
        <v>0</v>
      </c>
      <c r="I36" s="16">
        <f t="shared" si="11"/>
        <v>0</v>
      </c>
    </row>
    <row r="37" spans="1:9" ht="15.6">
      <c r="A37" s="52" t="str">
        <v>Greenfield USD - W.A. Kendrick ES</v>
      </c>
      <c r="B37" s="30" t="str">
        <v>CA</v>
      </c>
      <c r="C37" s="11">
        <f>SUM('1st Qtr'!C37, '2nd Qtr'!C37, '3rd Qtr'!C37, '4th Qtr'!C37)</f>
        <v>12443</v>
      </c>
      <c r="D37" s="18">
        <f>SUM('1st Qtr'!D37, '2nd Qtr'!D37, '3rd Qtr'!D37, '4th Qtr'!D37)</f>
        <v>0</v>
      </c>
      <c r="E37" s="18">
        <f t="shared" si="9"/>
        <v>12443</v>
      </c>
      <c r="F37" s="19" t="str">
        <f t="shared" si="10"/>
        <v/>
      </c>
      <c r="G37" s="20">
        <f>SUM('1st Qtr'!G37, '2nd Qtr'!G37, '3rd Qtr'!G37, '4th Qtr'!G37)</f>
        <v>33147.14</v>
      </c>
      <c r="H37" s="20">
        <f>SUM(Jan!H37, Feb!H37, Mar!H37)</f>
        <v>0</v>
      </c>
      <c r="I37" s="19">
        <f t="shared" si="11"/>
        <v>0</v>
      </c>
    </row>
    <row r="38" spans="1:9" ht="15.6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83281.64499999999</v>
      </c>
      <c r="H38" s="15">
        <f>SUM(Jan!H38, Feb!H38, Mar!H38)</f>
        <v>0</v>
      </c>
      <c r="I38" s="16">
        <f t="shared" si="11"/>
        <v>0</v>
      </c>
    </row>
    <row r="39" spans="1:9" ht="15.6">
      <c r="A39" s="52" t="str">
        <v>Muroc Joint USD - W. Boron ES</v>
      </c>
      <c r="B39" s="30" t="str">
        <v>CA</v>
      </c>
      <c r="C39" s="11">
        <f>SUM('1st Qtr'!C39, '2nd Qtr'!C39, '3rd Qtr'!C39, '4th Qtr'!C39)</f>
        <v>55976</v>
      </c>
      <c r="D39" s="18">
        <f>SUM('1st Qtr'!D39, '2nd Qtr'!D39, '3rd Qtr'!D39, '4th Qtr'!D39)</f>
        <v>0</v>
      </c>
      <c r="E39" s="18">
        <f t="shared" si="9"/>
        <v>55976</v>
      </c>
      <c r="F39" s="19" t="str">
        <f t="shared" si="10"/>
        <v/>
      </c>
      <c r="G39" s="20">
        <f>SUM('1st Qtr'!G39, '2nd Qtr'!G39, '3rd Qtr'!G39, '4th Qtr'!G39)</f>
        <v>219061.43</v>
      </c>
      <c r="H39" s="20">
        <f>SUM(Jan!H39, Feb!H39, Mar!H39)</f>
        <v>0</v>
      </c>
      <c r="I39" s="19">
        <f t="shared" si="11"/>
        <v>0</v>
      </c>
    </row>
    <row r="40" spans="1:9" ht="15.6">
      <c r="A40" s="53" t="str">
        <v>Colusa - WTP</v>
      </c>
      <c r="B40" s="28" t="str">
        <v>CA</v>
      </c>
      <c r="C40" s="24">
        <f>SUM('1st Qtr'!C40, '2nd Qtr'!C40, '3rd Qtr'!C40, '4th Qtr'!C40)</f>
        <v>6209</v>
      </c>
      <c r="D40" s="13">
        <f>SUM('1st Qtr'!D40, '2nd Qtr'!D40, '3rd Qtr'!D40, '4th Qtr'!D40)</f>
        <v>0</v>
      </c>
      <c r="E40" s="13">
        <f t="shared" si="9"/>
        <v>6209</v>
      </c>
      <c r="F40" s="14" t="str">
        <f t="shared" si="10"/>
        <v/>
      </c>
      <c r="G40" s="15" t="e">
        <f>SUM('1st Qtr'!G40, '2nd Qtr'!G40, '3rd Qtr'!G40, '4th Qtr'!G40)</f>
        <v>#REF!</v>
      </c>
      <c r="H40" s="15">
        <f>SUM(Jan!H40, Feb!H40, Mar!H40)</f>
        <v>0</v>
      </c>
      <c r="I40" s="16" t="str">
        <f t="shared" si="11"/>
        <v/>
      </c>
    </row>
    <row r="41" spans="1:9" ht="15.6">
      <c r="A41" s="52" t="str">
        <v>CDCR-North Kern State Prision</v>
      </c>
      <c r="B41" s="30" t="str">
        <v>CA</v>
      </c>
      <c r="C41" s="11">
        <f>SUM('1st Qtr'!C41, '2nd Qtr'!C41, '3rd Qtr'!C41, '4th Qtr'!C41)</f>
        <v>115318</v>
      </c>
      <c r="D41" s="18">
        <f>SUM('1st Qtr'!D41, '2nd Qtr'!D41, '3rd Qtr'!D41, '4th Qtr'!D41)</f>
        <v>0</v>
      </c>
      <c r="E41" s="18">
        <f t="shared" si="9"/>
        <v>115318</v>
      </c>
      <c r="F41" s="19" t="str">
        <f t="shared" si="10"/>
        <v/>
      </c>
      <c r="G41" s="20">
        <f>SUM('1st Qtr'!G41, '2nd Qtr'!G41, '3rd Qtr'!G41, '4th Qtr'!G41)</f>
        <v>268120.74</v>
      </c>
      <c r="H41" s="20">
        <f>SUM(Jan!H41, Feb!H41, Mar!H41)</f>
        <v>0</v>
      </c>
      <c r="I41" s="19">
        <f t="shared" si="11"/>
        <v>0</v>
      </c>
    </row>
    <row r="42" spans="1:9" ht="15.6">
      <c r="A42" s="53" t="str">
        <v>Muroc Joint USD - District Office</v>
      </c>
      <c r="B42" s="28" t="str">
        <v>CA</v>
      </c>
      <c r="C42" s="24">
        <f>SUM('1st Qtr'!C42, '2nd Qtr'!C42, '3rd Qtr'!C42, '4th Qtr'!C42)</f>
        <v>27626</v>
      </c>
      <c r="D42" s="13">
        <f>SUM('1st Qtr'!D42, '2nd Qtr'!D42, '3rd Qtr'!D42, '4th Qtr'!D42)</f>
        <v>0</v>
      </c>
      <c r="E42" s="13">
        <f t="shared" si="9"/>
        <v>27626</v>
      </c>
      <c r="F42" s="14" t="str">
        <f t="shared" si="10"/>
        <v/>
      </c>
      <c r="G42" s="15">
        <f>SUM('1st Qtr'!G42, '2nd Qtr'!G42, '3rd Qtr'!G42, '4th Qtr'!G42)</f>
        <v>18999.300000000003</v>
      </c>
      <c r="H42" s="15">
        <f>SUM(Jan!H42, Feb!H42, Mar!H42)</f>
        <v>0</v>
      </c>
      <c r="I42" s="16">
        <f t="shared" si="11"/>
        <v>0</v>
      </c>
    </row>
    <row r="43" spans="1:9" ht="15.6">
      <c r="A43" s="52" t="str">
        <v>Whole Foods - Manhattan Beach</v>
      </c>
      <c r="B43" s="30" t="str">
        <v>CA</v>
      </c>
      <c r="C43" s="11">
        <f>SUM('1st Qtr'!C43, '2nd Qtr'!C43, '3rd Qtr'!C43, '4th Qtr'!C43)</f>
        <v>25736</v>
      </c>
      <c r="D43" s="18">
        <f>SUM('1st Qtr'!D43, '2nd Qtr'!D43, '3rd Qtr'!D43, '4th Qtr'!D43)</f>
        <v>0</v>
      </c>
      <c r="E43" s="18">
        <f t="shared" si="9"/>
        <v>25736</v>
      </c>
      <c r="F43" s="19" t="str">
        <f t="shared" si="10"/>
        <v/>
      </c>
      <c r="G43" s="20">
        <f>SUM('1st Qtr'!G43, '2nd Qtr'!G43, '3rd Qtr'!G43, '4th Qtr'!G43)</f>
        <v>56802.06</v>
      </c>
      <c r="H43" s="20">
        <f>SUM(Jan!H43, Feb!H43, Mar!H43)</f>
        <v>0</v>
      </c>
      <c r="I43" s="19">
        <f t="shared" si="11"/>
        <v>0</v>
      </c>
    </row>
    <row r="44" spans="1:9" ht="15.6">
      <c r="A44" s="53" t="str">
        <v>Pioneer USD - Frontier ES</v>
      </c>
      <c r="B44" s="28" t="str">
        <v>CA</v>
      </c>
      <c r="C44" s="24">
        <f>SUM('1st Qtr'!C44, '2nd Qtr'!C44, '3rd Qtr'!C44, '4th Qtr'!C44)</f>
        <v>62418</v>
      </c>
      <c r="D44" s="13">
        <f>SUM('1st Qtr'!D44, '2nd Qtr'!D44, '3rd Qtr'!D44, '4th Qtr'!D44)</f>
        <v>0</v>
      </c>
      <c r="E44" s="13">
        <f t="shared" si="9"/>
        <v>62418</v>
      </c>
      <c r="F44" s="14" t="str">
        <f t="shared" si="10"/>
        <v/>
      </c>
      <c r="G44" s="15">
        <f>SUM('1st Qtr'!G44, '2nd Qtr'!G44, '3rd Qtr'!G44, '4th Qtr'!G44)</f>
        <v>85791.1</v>
      </c>
      <c r="H44" s="15">
        <f>SUM(Jan!H44, Feb!H44, Mar!H44)</f>
        <v>0</v>
      </c>
      <c r="I44" s="16">
        <f t="shared" si="11"/>
        <v>0</v>
      </c>
    </row>
    <row r="45" spans="1:9" ht="15.6">
      <c r="A45" s="52" t="str">
        <v>Pioneer USD - Pioneer ES</v>
      </c>
      <c r="B45" s="30" t="str">
        <v>CA</v>
      </c>
      <c r="C45" s="11">
        <f>SUM('1st Qtr'!C45, '2nd Qtr'!C45, '3rd Qtr'!C45, '4th Qtr'!C45)</f>
        <v>40097</v>
      </c>
      <c r="D45" s="18">
        <f>SUM('1st Qtr'!D45, '2nd Qtr'!D45, '3rd Qtr'!D45, '4th Qtr'!D45)</f>
        <v>0</v>
      </c>
      <c r="E45" s="18">
        <f t="shared" si="9"/>
        <v>40097</v>
      </c>
      <c r="F45" s="19" t="str">
        <f t="shared" si="10"/>
        <v/>
      </c>
      <c r="G45" s="20">
        <f>SUM('1st Qtr'!G45, '2nd Qtr'!G45, '3rd Qtr'!G45, '4th Qtr'!G45)</f>
        <v>122838.06</v>
      </c>
      <c r="H45" s="20">
        <f>SUM(Jan!H45, Feb!H45, Mar!H45)</f>
        <v>0</v>
      </c>
      <c r="I45" s="19">
        <f t="shared" si="11"/>
        <v>0</v>
      </c>
    </row>
    <row r="46" spans="1:9" ht="15.6">
      <c r="A46" s="53" t="str">
        <v>Pioneer USD - Pioneer MS</v>
      </c>
      <c r="B46" s="28" t="str">
        <v>CA</v>
      </c>
      <c r="C46" s="24">
        <f>SUM('1st Qtr'!C46, '2nd Qtr'!C46, '3rd Qtr'!C46, '4th Qtr'!C46)</f>
        <v>566970</v>
      </c>
      <c r="D46" s="13">
        <f>SUM('1st Qtr'!D46, '2nd Qtr'!D46, '3rd Qtr'!D46, '4th Qtr'!D46)</f>
        <v>0</v>
      </c>
      <c r="E46" s="13">
        <f t="shared" si="9"/>
        <v>566970</v>
      </c>
      <c r="F46" s="14" t="str">
        <f t="shared" si="10"/>
        <v/>
      </c>
      <c r="G46" s="15" t="e">
        <f>SUM('1st Qtr'!G46, '2nd Qtr'!G46, '3rd Qtr'!G46, '4th Qtr'!G46)</f>
        <v>#REF!</v>
      </c>
      <c r="H46" s="15">
        <f>SUM(Jan!H46, Feb!H46, Mar!H46)</f>
        <v>0</v>
      </c>
      <c r="I46" s="16" t="str">
        <f t="shared" si="11"/>
        <v/>
      </c>
    </row>
    <row r="47" spans="1:9" ht="15.6">
      <c r="A47" s="52" t="str">
        <v>Kingsburg Joint UHSD - Kingsburg HS</v>
      </c>
      <c r="B47" s="30" t="str">
        <v>CA</v>
      </c>
      <c r="C47" s="11">
        <f>SUM('1st Qtr'!C47, '2nd Qtr'!C47, '3rd Qtr'!C47, '4th Qtr'!C47)</f>
        <v>315975</v>
      </c>
      <c r="D47" s="18">
        <f>SUM('1st Qtr'!D47, '2nd Qtr'!D47, '3rd Qtr'!D47, '4th Qtr'!D47)</f>
        <v>0</v>
      </c>
      <c r="E47" s="18">
        <f t="shared" si="9"/>
        <v>315975</v>
      </c>
      <c r="F47" s="19" t="str">
        <f t="shared" si="10"/>
        <v/>
      </c>
      <c r="G47" s="20">
        <f>SUM('1st Qtr'!G47, '2nd Qtr'!G47, '3rd Qtr'!G47, '4th Qtr'!G47)</f>
        <v>523598.04</v>
      </c>
      <c r="H47" s="20">
        <f>SUM(Jan!H47, Feb!H47, Mar!H47)</f>
        <v>0</v>
      </c>
      <c r="I47" s="19">
        <f t="shared" si="11"/>
        <v>0</v>
      </c>
    </row>
    <row r="48" spans="1:9" ht="15.6">
      <c r="A48" s="53" t="str">
        <v>CADRB</v>
      </c>
      <c r="B48" s="28" t="str">
        <v>CA</v>
      </c>
      <c r="C48" s="24">
        <f>SUM('1st Qtr'!C48, '2nd Qtr'!C48, '3rd Qtr'!C48, '4th Qtr'!C48)</f>
        <v>675556</v>
      </c>
      <c r="D48" s="13">
        <f>SUM('1st Qtr'!D48, '2nd Qtr'!D48, '3rd Qtr'!D48, '4th Qtr'!D48)</f>
        <v>0</v>
      </c>
      <c r="E48" s="13">
        <f t="shared" si="9"/>
        <v>675556</v>
      </c>
      <c r="F48" s="14" t="str">
        <f t="shared" si="10"/>
        <v/>
      </c>
      <c r="G48" s="15">
        <f>SUM('1st Qtr'!G48, '2nd Qtr'!G48, '3rd Qtr'!G48, '4th Qtr'!G48)</f>
        <v>1562309</v>
      </c>
      <c r="H48" s="15">
        <f>SUM(Jan!H48, Feb!H48, Mar!H48)</f>
        <v>0</v>
      </c>
      <c r="I48" s="16">
        <f t="shared" si="11"/>
        <v>0</v>
      </c>
    </row>
    <row r="49" spans="1:9" ht="15.6">
      <c r="A49" s="52" t="str">
        <v>CDCR-CA State Prison LA County</v>
      </c>
      <c r="B49" s="30" t="str">
        <v>CA</v>
      </c>
      <c r="C49" s="11">
        <f>SUM('1st Qtr'!C49, '2nd Qtr'!C49, '3rd Qtr'!C49, '4th Qtr'!C49)</f>
        <v>326177</v>
      </c>
      <c r="D49" s="18">
        <f>SUM('1st Qtr'!D49, '2nd Qtr'!D49, '3rd Qtr'!D49, '4th Qtr'!D49)</f>
        <v>0</v>
      </c>
      <c r="E49" s="18">
        <f t="shared" si="9"/>
        <v>326177</v>
      </c>
      <c r="F49" s="19" t="str">
        <f t="shared" si="10"/>
        <v/>
      </c>
      <c r="G49" s="20">
        <f>SUM('1st Qtr'!G49, '2nd Qtr'!G49, '3rd Qtr'!G49, '4th Qtr'!G49)</f>
        <v>539643.28</v>
      </c>
      <c r="H49" s="20">
        <f>SUM(Jan!H49, Feb!H49, Mar!H49)</f>
        <v>0</v>
      </c>
      <c r="I49" s="19">
        <f t="shared" si="11"/>
        <v>0</v>
      </c>
    </row>
    <row r="50" spans="1:9" ht="15.6">
      <c r="A50" s="53" t="str">
        <v>Central USD Akers ES</v>
      </c>
      <c r="B50" s="28" t="str">
        <v>CA</v>
      </c>
      <c r="C50" s="24">
        <f>SUM('1st Qtr'!C50, '2nd Qtr'!C50, '3rd Qtr'!C50, '4th Qtr'!C50)</f>
        <v>56703</v>
      </c>
      <c r="D50" s="13">
        <f>SUM('1st Qtr'!D50, '2nd Qtr'!D50, '3rd Qtr'!D50, '4th Qtr'!D50)</f>
        <v>0</v>
      </c>
      <c r="E50" s="13">
        <f t="shared" si="9"/>
        <v>56703</v>
      </c>
      <c r="F50" s="14" t="str">
        <f t="shared" si="10"/>
        <v/>
      </c>
      <c r="G50" s="15">
        <f>SUM('1st Qtr'!G50, '2nd Qtr'!G50, '3rd Qtr'!G50, '4th Qtr'!G50)</f>
        <v>120272.57</v>
      </c>
      <c r="H50" s="15">
        <f>SUM(Jan!H50, Feb!H50, Mar!H50)</f>
        <v>0</v>
      </c>
      <c r="I50" s="16">
        <f t="shared" si="11"/>
        <v>0</v>
      </c>
    </row>
    <row r="51" spans="1:9" ht="15.6">
      <c r="A51" s="52" t="str">
        <v>CUSD - District Office</v>
      </c>
      <c r="B51" s="30" t="str">
        <v>CA</v>
      </c>
      <c r="C51" s="11">
        <f>SUM('1st Qtr'!C51, '2nd Qtr'!C51, '3rd Qtr'!C51, '4th Qtr'!C51)</f>
        <v>61481</v>
      </c>
      <c r="D51" s="18">
        <f>SUM('1st Qtr'!D51, '2nd Qtr'!D51, '3rd Qtr'!D51, '4th Qtr'!D51)</f>
        <v>0</v>
      </c>
      <c r="E51" s="18">
        <f t="shared" si="9"/>
        <v>61481</v>
      </c>
      <c r="F51" s="19" t="str">
        <f t="shared" si="10"/>
        <v/>
      </c>
      <c r="G51" s="20">
        <f>SUM('1st Qtr'!G51, '2nd Qtr'!G51, '3rd Qtr'!G51, '4th Qtr'!G51)</f>
        <v>72011.51999999999</v>
      </c>
      <c r="H51" s="20">
        <f>SUM(Jan!H51, Feb!H51, Mar!H51)</f>
        <v>0</v>
      </c>
      <c r="I51" s="19">
        <f t="shared" si="11"/>
        <v>0</v>
      </c>
    </row>
    <row r="52" spans="1:9" ht="15.6">
      <c r="A52" s="53" t="str">
        <v>Parlier - WTP</v>
      </c>
      <c r="B52" s="28" t="str">
        <v>CA</v>
      </c>
      <c r="C52" s="24">
        <f>SUM('1st Qtr'!C52, '2nd Qtr'!C52, '3rd Qtr'!C52, '4th Qtr'!C52)</f>
        <v>72797</v>
      </c>
      <c r="D52" s="13">
        <f>SUM('1st Qtr'!D52, '2nd Qtr'!D52, '3rd Qtr'!D52, '4th Qtr'!D52)</f>
        <v>0</v>
      </c>
      <c r="E52" s="13">
        <f t="shared" si="9"/>
        <v>72797</v>
      </c>
      <c r="F52" s="14" t="str">
        <f t="shared" si="10"/>
        <v/>
      </c>
      <c r="G52" s="15">
        <f>SUM('1st Qtr'!G52, '2nd Qtr'!G52, '3rd Qtr'!G52, '4th Qtr'!G52)</f>
        <v>150939</v>
      </c>
      <c r="H52" s="15">
        <f>SUM(Jan!H52, Feb!H52, Mar!H52)</f>
        <v>0</v>
      </c>
      <c r="I52" s="16">
        <f t="shared" si="11"/>
        <v>0</v>
      </c>
    </row>
    <row r="53" spans="1:9" ht="15.6">
      <c r="A53" s="52" t="str">
        <v>Snowline SD - Quail Valley MS</v>
      </c>
      <c r="B53" s="30" t="str">
        <v>CA</v>
      </c>
      <c r="C53" s="11">
        <f>SUM('1st Qtr'!C53, '2nd Qtr'!C53, '3rd Qtr'!C53, '4th Qtr'!C53)</f>
        <v>55751</v>
      </c>
      <c r="D53" s="18">
        <f>SUM('1st Qtr'!D53, '2nd Qtr'!D53, '3rd Qtr'!D53, '4th Qtr'!D53)</f>
        <v>0</v>
      </c>
      <c r="E53" s="18">
        <f t="shared" si="9"/>
        <v>55751</v>
      </c>
      <c r="F53" s="19" t="str">
        <f t="shared" si="10"/>
        <v/>
      </c>
      <c r="G53" s="20">
        <f>SUM('1st Qtr'!G53, '2nd Qtr'!G53, '3rd Qtr'!G53, '4th Qtr'!G53)</f>
        <v>69047.26999999999</v>
      </c>
      <c r="H53" s="20">
        <f>SUM(Jan!H53, Feb!H53, Mar!H53)</f>
        <v>0</v>
      </c>
      <c r="I53" s="19">
        <f t="shared" si="11"/>
        <v>0</v>
      </c>
    </row>
    <row r="54" spans="1:9" ht="15.6">
      <c r="A54" s="53" t="str">
        <v>Snowline SD - Serrano HS - Middle Lot</v>
      </c>
      <c r="B54" s="28" t="str">
        <v>CA</v>
      </c>
      <c r="C54" s="24">
        <f>SUM('1st Qtr'!C54, '2nd Qtr'!C54, '3rd Qtr'!C54, '4th Qtr'!C54)</f>
        <v>57478</v>
      </c>
      <c r="D54" s="13">
        <f>SUM('1st Qtr'!D54, '2nd Qtr'!D54, '3rd Qtr'!D54, '4th Qtr'!D54)</f>
        <v>0</v>
      </c>
      <c r="E54" s="13">
        <f t="shared" si="9"/>
        <v>57478</v>
      </c>
      <c r="F54" s="14" t="str">
        <f t="shared" si="10"/>
        <v/>
      </c>
      <c r="G54" s="15">
        <f>SUM('1st Qtr'!G54, '2nd Qtr'!G54, '3rd Qtr'!G54, '4th Qtr'!G54)</f>
        <v>129698.39</v>
      </c>
      <c r="H54" s="15">
        <f>SUM(Jan!H54, Feb!H54, Mar!H54)</f>
        <v>0</v>
      </c>
      <c r="I54" s="16">
        <f t="shared" si="11"/>
        <v>0</v>
      </c>
    </row>
    <row r="55" spans="1:9" ht="15.6">
      <c r="A55" s="52" t="str">
        <v>Snowline SD - Pinon Hills ES</v>
      </c>
      <c r="B55" s="30" t="str">
        <v>CA</v>
      </c>
      <c r="C55" s="11">
        <f>SUM('1st Qtr'!C55, '2nd Qtr'!C55, '3rd Qtr'!C55, '4th Qtr'!C55)</f>
        <v>37782</v>
      </c>
      <c r="D55" s="18">
        <f>SUM('1st Qtr'!D55, '2nd Qtr'!D55, '3rd Qtr'!D55, '4th Qtr'!D55)</f>
        <v>0</v>
      </c>
      <c r="E55" s="18">
        <f t="shared" si="9"/>
        <v>37782</v>
      </c>
      <c r="F55" s="19" t="str">
        <f t="shared" si="10"/>
        <v/>
      </c>
      <c r="G55" s="20" t="e">
        <f>SUM('1st Qtr'!G55, '2nd Qtr'!G55, '3rd Qtr'!G55, '4th Qtr'!G55)</f>
        <v>#REF!</v>
      </c>
      <c r="H55" s="20">
        <f>SUM(Jan!H55, Feb!H55, Mar!H55)</f>
        <v>0</v>
      </c>
      <c r="I55" s="19" t="str">
        <f t="shared" si="11"/>
        <v/>
      </c>
    </row>
    <row r="56" spans="1:9" ht="15.6">
      <c r="A56" s="53" t="str">
        <v>Ramona - Santa Maria WTP</v>
      </c>
      <c r="B56" s="28" t="str">
        <v>CA</v>
      </c>
      <c r="C56" s="24">
        <f>SUM('1st Qtr'!C56, '2nd Qtr'!C56, '3rd Qtr'!C56, '4th Qtr'!C56)</f>
        <v>106984</v>
      </c>
      <c r="D56" s="13">
        <f>SUM('1st Qtr'!D56, '2nd Qtr'!D56, '3rd Qtr'!D56, '4th Qtr'!D56)</f>
        <v>0</v>
      </c>
      <c r="E56" s="13">
        <f t="shared" si="9"/>
        <v>106984</v>
      </c>
      <c r="F56" s="14" t="str">
        <f t="shared" si="10"/>
        <v/>
      </c>
      <c r="G56" s="15" t="e">
        <f>SUM('1st Qtr'!G56, '2nd Qtr'!G56, '3rd Qtr'!G56, '4th Qtr'!G56)</f>
        <v>#REF!</v>
      </c>
      <c r="H56" s="15">
        <f>SUM(Jan!H56, Feb!H56, Mar!H56)</f>
        <v>0</v>
      </c>
      <c r="I56" s="16" t="str">
        <f t="shared" si="11"/>
        <v/>
      </c>
    </row>
    <row r="57" spans="1:9" ht="15.6">
      <c r="A57" s="52" t="str">
        <v>Kohls - Redding</v>
      </c>
      <c r="B57" s="30" t="str">
        <v>CA</v>
      </c>
      <c r="C57" s="11">
        <f>SUM('1st Qtr'!C57, '2nd Qtr'!C57, '3rd Qtr'!C57, '4th Qtr'!C57)</f>
        <v>130134</v>
      </c>
      <c r="D57" s="18">
        <f>SUM('1st Qtr'!D57, '2nd Qtr'!D57, '3rd Qtr'!D57, '4th Qtr'!D57)</f>
        <v>0</v>
      </c>
      <c r="E57" s="18">
        <f t="shared" si="9"/>
        <v>130134</v>
      </c>
      <c r="F57" s="19" t="str">
        <f t="shared" si="10"/>
        <v/>
      </c>
      <c r="G57" s="20">
        <f>SUM('1st Qtr'!G57, '2nd Qtr'!G57, '3rd Qtr'!G57, '4th Qtr'!G57)</f>
        <v>64559.82</v>
      </c>
      <c r="H57" s="20">
        <f>SUM(Jan!H57, Feb!H57, Mar!H57)</f>
        <v>0</v>
      </c>
      <c r="I57" s="19">
        <f t="shared" si="11"/>
        <v>0</v>
      </c>
    </row>
    <row r="58" spans="1:9" ht="15.6">
      <c r="A58" s="53" t="str">
        <v>Kohls - Salinas</v>
      </c>
      <c r="B58" s="28" t="str">
        <v>CA</v>
      </c>
      <c r="C58" s="24">
        <f>SUM('1st Qtr'!C58, '2nd Qtr'!C58, '3rd Qtr'!C58, '4th Qtr'!C58)</f>
        <v>68406</v>
      </c>
      <c r="D58" s="13">
        <f>SUM('1st Qtr'!D58, '2nd Qtr'!D58, '3rd Qtr'!D58, '4th Qtr'!D58)</f>
        <v>0</v>
      </c>
      <c r="E58" s="13">
        <f t="shared" si="9"/>
        <v>68406</v>
      </c>
      <c r="F58" s="14" t="str">
        <f t="shared" si="10"/>
        <v/>
      </c>
      <c r="G58" s="15">
        <f>SUM('1st Qtr'!G58, '2nd Qtr'!G58, '3rd Qtr'!G58, '4th Qtr'!G58)</f>
        <v>93085.670000000013</v>
      </c>
      <c r="H58" s="15">
        <f>SUM(Jan!H58, Feb!H58, Mar!H58)</f>
        <v>0</v>
      </c>
      <c r="I58" s="16">
        <f t="shared" si="11"/>
        <v>0</v>
      </c>
    </row>
    <row r="59" spans="1:9" ht="15.6">
      <c r="A59" s="52" t="str">
        <v>Kohls - San Bernardino - Central</v>
      </c>
      <c r="B59" s="30" t="str">
        <v>CA</v>
      </c>
      <c r="C59" s="11">
        <f>SUM('1st Qtr'!C59, '2nd Qtr'!C59, '3rd Qtr'!C59, '4th Qtr'!C59)</f>
        <v>154269</v>
      </c>
      <c r="D59" s="18">
        <f>SUM('1st Qtr'!D59, '2nd Qtr'!D59, '3rd Qtr'!D59, '4th Qtr'!D59)</f>
        <v>0</v>
      </c>
      <c r="E59" s="18">
        <f t="shared" si="9"/>
        <v>154269</v>
      </c>
      <c r="F59" s="19" t="str">
        <f t="shared" si="10"/>
        <v/>
      </c>
      <c r="G59" s="20">
        <f>SUM('1st Qtr'!G59, '2nd Qtr'!G59, '3rd Qtr'!G59, '4th Qtr'!G59)</f>
        <v>181797.61</v>
      </c>
      <c r="H59" s="20">
        <f>SUM(Jan!H59, Feb!H59, Mar!H59)</f>
        <v>0</v>
      </c>
      <c r="I59" s="19">
        <f t="shared" si="11"/>
        <v>0</v>
      </c>
    </row>
    <row r="60" spans="1:9" ht="15.6">
      <c r="A60" s="53" t="str">
        <v>Kohls - Sonora</v>
      </c>
      <c r="B60" s="28" t="str">
        <v>CA</v>
      </c>
      <c r="C60" s="24">
        <f>SUM('1st Qtr'!C60, '2nd Qtr'!C60, '3rd Qtr'!C60, '4th Qtr'!C60)</f>
        <v>37763</v>
      </c>
      <c r="D60" s="13">
        <f>SUM('1st Qtr'!D60, '2nd Qtr'!D60, '3rd Qtr'!D60, '4th Qtr'!D60)</f>
        <v>0</v>
      </c>
      <c r="E60" s="13">
        <f t="shared" si="9"/>
        <v>37763</v>
      </c>
      <c r="F60" s="14" t="str">
        <f t="shared" si="10"/>
        <v/>
      </c>
      <c r="G60" s="15">
        <f>SUM('1st Qtr'!G60, '2nd Qtr'!G60, '3rd Qtr'!G60, '4th Qtr'!G60)</f>
        <v>64840.100000000006</v>
      </c>
      <c r="H60" s="15">
        <f>SUM(Jan!H60, Feb!H60, Mar!H60)</f>
        <v>0</v>
      </c>
      <c r="I60" s="16">
        <f t="shared" si="11"/>
        <v>0</v>
      </c>
    </row>
    <row r="61" spans="1:9" ht="15.6">
      <c r="A61" s="52" t="str">
        <v>CUSD - Stratford ES</v>
      </c>
      <c r="B61" s="30" t="str">
        <v>CA</v>
      </c>
      <c r="C61" s="11">
        <f>SUM('1st Qtr'!C61, '2nd Qtr'!C61, '3rd Qtr'!C61, '4th Qtr'!C61)</f>
        <v>29429</v>
      </c>
      <c r="D61" s="18">
        <f>SUM('1st Qtr'!D61, '2nd Qtr'!D61, '3rd Qtr'!D61, '4th Qtr'!D61)</f>
        <v>0</v>
      </c>
      <c r="E61" s="18">
        <f t="shared" si="9"/>
        <v>29429</v>
      </c>
      <c r="F61" s="19" t="str">
        <f t="shared" si="10"/>
        <v/>
      </c>
      <c r="G61" s="20" t="e">
        <f>SUM('1st Qtr'!G61, '2nd Qtr'!G61, '3rd Qtr'!G61, '4th Qtr'!G61)</f>
        <v>#REF!</v>
      </c>
      <c r="H61" s="20">
        <f>SUM(Jan!H61, Feb!H61, Mar!H61)</f>
        <v>0</v>
      </c>
      <c r="I61" s="19" t="str">
        <f t="shared" si="11"/>
        <v/>
      </c>
    </row>
    <row r="62" spans="1:9" ht="15.6">
      <c r="A62" s="53" t="str">
        <v>Taft - City Hall</v>
      </c>
      <c r="B62" s="28" t="str">
        <v>CA</v>
      </c>
      <c r="C62" s="24">
        <f>SUM('1st Qtr'!C62, '2nd Qtr'!C62, '3rd Qtr'!C62, '4th Qtr'!C62)</f>
        <v>19119</v>
      </c>
      <c r="D62" s="13">
        <f>SUM('1st Qtr'!D62, '2nd Qtr'!D62, '3rd Qtr'!D62, '4th Qtr'!D62)</f>
        <v>0</v>
      </c>
      <c r="E62" s="13">
        <f t="shared" si="9"/>
        <v>19119</v>
      </c>
      <c r="F62" s="14" t="str">
        <f t="shared" si="10"/>
        <v/>
      </c>
      <c r="G62" s="15">
        <f>SUM('1st Qtr'!G62, '2nd Qtr'!G62, '3rd Qtr'!G62, '4th Qtr'!G62)</f>
        <v>20238.059999999998</v>
      </c>
      <c r="H62" s="15">
        <f>SUM(Jan!H62, Feb!H62, Mar!H62)</f>
        <v>0</v>
      </c>
      <c r="I62" s="16">
        <f t="shared" si="11"/>
        <v>0</v>
      </c>
    </row>
    <row r="63" spans="1:9" ht="15.6">
      <c r="A63" s="52" t="str">
        <v>Taft - Federal Prison</v>
      </c>
      <c r="B63" s="30" t="str">
        <v>CA</v>
      </c>
      <c r="C63" s="11">
        <f>SUM('1st Qtr'!C63, '2nd Qtr'!C63, '3rd Qtr'!C63, '4th Qtr'!C63)</f>
        <v>8481</v>
      </c>
      <c r="D63" s="18">
        <f>SUM('1st Qtr'!D63, '2nd Qtr'!D63, '3rd Qtr'!D63, '4th Qtr'!D63)</f>
        <v>0</v>
      </c>
      <c r="E63" s="18">
        <f t="shared" si="9"/>
        <v>8481</v>
      </c>
      <c r="F63" s="19" t="str">
        <f t="shared" si="10"/>
        <v/>
      </c>
      <c r="G63" s="20">
        <f>SUM('1st Qtr'!G63, '2nd Qtr'!G63, '3rd Qtr'!G63, '4th Qtr'!G63)</f>
        <v>32520.79</v>
      </c>
      <c r="H63" s="20">
        <f>SUM(Jan!H63, Feb!H63, Mar!H63)</f>
        <v>0</v>
      </c>
      <c r="I63" s="19">
        <f t="shared" si="11"/>
        <v>0</v>
      </c>
    </row>
    <row r="64" spans="1:9" ht="15.6">
      <c r="A64" s="53" t="str">
        <v>Taft - Police Department</v>
      </c>
      <c r="B64" s="28" t="str">
        <v>CA</v>
      </c>
      <c r="C64" s="24">
        <f>SUM('1st Qtr'!C64, '2nd Qtr'!C64, '3rd Qtr'!C64, '4th Qtr'!C64)</f>
        <v>124962</v>
      </c>
      <c r="D64" s="13">
        <f>SUM('1st Qtr'!D64, '2nd Qtr'!D64, '3rd Qtr'!D64, '4th Qtr'!D64)</f>
        <v>0</v>
      </c>
      <c r="E64" s="13">
        <f t="shared" si="9"/>
        <v>124962</v>
      </c>
      <c r="F64" s="14" t="str">
        <f t="shared" si="10"/>
        <v/>
      </c>
      <c r="G64" s="15">
        <f>SUM('1st Qtr'!G64, '2nd Qtr'!G64, '3rd Qtr'!G64, '4th Qtr'!G64)</f>
        <v>220597.41</v>
      </c>
      <c r="H64" s="15">
        <f>SUM(Jan!H64, Feb!H64, Mar!H64)</f>
        <v>0</v>
      </c>
      <c r="I64" s="16">
        <f t="shared" si="11"/>
        <v>0</v>
      </c>
    </row>
    <row r="65" spans="1:9" ht="15.6">
      <c r="A65" s="52" t="str">
        <v>Taft - WTP</v>
      </c>
      <c r="B65" s="30" t="str">
        <v>CA</v>
      </c>
      <c r="C65" s="11">
        <f>SUM('1st Qtr'!C65, '2nd Qtr'!C65, '3rd Qtr'!C65, '4th Qtr'!C65)</f>
        <v>110217</v>
      </c>
      <c r="D65" s="18">
        <f>SUM('1st Qtr'!D65, '2nd Qtr'!D65, '3rd Qtr'!D65, '4th Qtr'!D65)</f>
        <v>0</v>
      </c>
      <c r="E65" s="18">
        <f t="shared" si="9"/>
        <v>110217</v>
      </c>
      <c r="F65" s="19" t="str">
        <f t="shared" si="10"/>
        <v/>
      </c>
      <c r="G65" s="20">
        <f>SUM('1st Qtr'!G65, '2nd Qtr'!G65, '3rd Qtr'!G65, '4th Qtr'!G65)</f>
        <v>336377.28100000002</v>
      </c>
      <c r="H65" s="20">
        <f>SUM(Jan!H65, Feb!H65, Mar!H65)</f>
        <v>0</v>
      </c>
      <c r="I65" s="19">
        <f t="shared" si="11"/>
        <v>0</v>
      </c>
    </row>
    <row r="66" spans="1:9" ht="15.6">
      <c r="A66" s="53" t="str">
        <v>CDCR - CA Correctional Institution</v>
      </c>
      <c r="B66" s="28" t="str">
        <v>CA</v>
      </c>
      <c r="C66" s="24">
        <f>SUM('1st Qtr'!C66, '2nd Qtr'!C66, '3rd Qtr'!C66, '4th Qtr'!C66)</f>
        <v>33852</v>
      </c>
      <c r="D66" s="13">
        <f>SUM('1st Qtr'!D66, '2nd Qtr'!D66, '3rd Qtr'!D66, '4th Qtr'!D66)</f>
        <v>0</v>
      </c>
      <c r="E66" s="13">
        <f t="shared" si="9"/>
        <v>33852</v>
      </c>
      <c r="F66" s="14" t="str">
        <f t="shared" si="10"/>
        <v/>
      </c>
      <c r="G66" s="15">
        <f>SUM('1st Qtr'!G66, '2nd Qtr'!G66, '3rd Qtr'!G66, '4th Qtr'!G66)</f>
        <v>54256.5</v>
      </c>
      <c r="H66" s="15">
        <f>SUM(Jan!H66, Feb!H66, Mar!H66)</f>
        <v>0</v>
      </c>
      <c r="I66" s="16">
        <f t="shared" si="11"/>
        <v>0</v>
      </c>
    </row>
    <row r="67" spans="1:9" ht="15.6">
      <c r="A67" s="52" t="str">
        <v>CDCR - CA Correctional Institution II</v>
      </c>
      <c r="B67" s="30" t="str">
        <v>CA</v>
      </c>
      <c r="C67" s="11" t="e">
        <f>SUM('1st Qtr'!C67, '2nd Qtr'!C67, '3rd Qtr'!C67, '4th Qtr'!C67)</f>
        <v>#REF!</v>
      </c>
      <c r="D67" s="18" t="e">
        <f>SUM('1st Qtr'!D67, '2nd Qtr'!D67, '3rd Qtr'!D67, '4th Qtr'!D67)</f>
        <v>#REF!</v>
      </c>
      <c r="E67" s="18" t="str">
        <f t="shared" si="9"/>
        <v/>
      </c>
      <c r="F67" s="19" t="str">
        <f t="shared" si="10"/>
        <v/>
      </c>
      <c r="G67" s="20" t="e">
        <f>SUM('1st Qtr'!G67, '2nd Qtr'!G67, '3rd Qtr'!G67, '4th Qtr'!G67)</f>
        <v>#REF!</v>
      </c>
      <c r="H67" s="20">
        <f>SUM(Jan!H67, Feb!H67, Mar!H67)</f>
        <v>0</v>
      </c>
      <c r="I67" s="19" t="str">
        <f t="shared" si="11"/>
        <v/>
      </c>
    </row>
    <row r="68" spans="1:9" ht="15.6">
      <c r="A68" s="53" t="str">
        <v>Snowline SD - Vista Verde ES</v>
      </c>
      <c r="B68" s="28" t="str">
        <v>CA</v>
      </c>
      <c r="C68" s="24" t="e">
        <f>SUM('1st Qtr'!C68, '2nd Qtr'!C68, '3rd Qtr'!C68, '4th Qtr'!C68)</f>
        <v>#REF!</v>
      </c>
      <c r="D68" s="13" t="e">
        <f>SUM('1st Qtr'!D68, '2nd Qtr'!D68, '3rd Qtr'!D68, '4th Qtr'!D68)</f>
        <v>#REF!</v>
      </c>
      <c r="E68" s="13" t="str">
        <f t="shared" si="9"/>
        <v/>
      </c>
      <c r="F68" s="14" t="str">
        <f t="shared" si="10"/>
        <v/>
      </c>
      <c r="G68" s="15" t="e">
        <f>SUM('1st Qtr'!G68, '2nd Qtr'!G68, '3rd Qtr'!G68, '4th Qtr'!G68)</f>
        <v>#REF!</v>
      </c>
      <c r="H68" s="15">
        <f>SUM(Jan!H68, Feb!H68, Mar!H68)</f>
        <v>0</v>
      </c>
      <c r="I68" s="16" t="str">
        <f t="shared" si="11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1" activePane="bottomRight" state="frozen"/>
      <selection pane="bottomRight" activeCell="D66" sqref="D6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Silicon Ranch</v>
      </c>
      <c r="B1" s="84"/>
      <c r="C1" s="84"/>
      <c r="D1" s="85" t="s">
        <v>10</v>
      </c>
      <c r="E1" s="85"/>
      <c r="F1" s="85"/>
      <c r="G1" s="83" t="s">
        <v>11</v>
      </c>
      <c r="H1" s="83"/>
      <c r="I1" s="83"/>
    </row>
    <row r="2" spans="1:9" ht="19.5" customHeight="1">
      <c r="A2" s="86" t="s">
        <v>2</v>
      </c>
      <c r="B2" s="86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6">
      <c r="A5" s="49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6">
      <c r="A6" s="48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6">
      <c r="A7" s="49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6">
      <c r="A8" s="48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6">
      <c r="A9" s="49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6">
      <c r="A10" s="48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6">
      <c r="A11" s="49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6">
      <c r="A12" s="48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6">
      <c r="A13" s="49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6">
      <c r="A14" s="48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6">
      <c r="A15" s="49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6">
      <c r="A16" s="48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6">
      <c r="A17" s="49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6">
      <c r="A19" s="49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6">
      <c r="A20" s="48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6">
      <c r="A21" s="49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6">
      <c r="A22" s="48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6">
      <c r="A23" s="49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6">
      <c r="A24" s="48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6">
      <c r="A25" s="49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5.6">
      <c r="A26" s="48" t="str">
        <v>Mojave Water Agency - Headquarters</v>
      </c>
      <c r="B26" s="9" t="str">
        <v>CA</v>
      </c>
      <c r="C26" s="24">
        <f>SUM(Jan!C26, Feb!C26, Mar!C26)</f>
        <v>0</v>
      </c>
      <c r="D26" s="13">
        <f>SUM(Jan!D26, Feb!D26, Mar!D26)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SUM(Jan!G26, Feb!G26, Mar!G27)</f>
        <v>0</v>
      </c>
      <c r="H26" s="15">
        <f>SUM(Jan!H26, Feb!H26, Mar!H26)</f>
        <v>0</v>
      </c>
      <c r="I26" s="19" t="str">
        <f t="shared" ref="I26:I68" si="11">IFERROR(H26/G26, "")</f>
        <v/>
      </c>
    </row>
    <row r="27" spans="1:9" ht="15.6">
      <c r="A27" s="49" t="str">
        <v>CSU - Bakersfield</v>
      </c>
      <c r="B27" s="10" t="str">
        <v>CA</v>
      </c>
      <c r="C27" s="11">
        <f>SUM(Jan!C27, Feb!C27, Mar!C27)</f>
        <v>0</v>
      </c>
      <c r="D27" s="18">
        <f>SUM(Jan!D27, Feb!D27, Mar!D27)</f>
        <v>0</v>
      </c>
      <c r="E27" s="18">
        <f t="shared" si="9"/>
        <v>0</v>
      </c>
      <c r="F27" s="19" t="str">
        <f t="shared" si="10"/>
        <v/>
      </c>
      <c r="G27" s="20">
        <f>SUM(Jan!G27, Feb!G27,Mar!G27)</f>
        <v>0</v>
      </c>
      <c r="H27" s="20">
        <f>SUM(Jan!H27, Feb!H27, Mar!H27)</f>
        <v>0</v>
      </c>
      <c r="I27" s="16" t="str">
        <f t="shared" si="11"/>
        <v/>
      </c>
    </row>
    <row r="28" spans="1:9" ht="15.6">
      <c r="A28" s="48" t="str">
        <v>Greenfield USD - Fairfield ES</v>
      </c>
      <c r="B28" s="9" t="str">
        <v>CA</v>
      </c>
      <c r="C28" s="24">
        <f>SUM(Jan!C28, Feb!C28, Mar!C28)</f>
        <v>0</v>
      </c>
      <c r="D28" s="13">
        <f>SUM(Jan!D28, Feb!D28, Mar!D28)</f>
        <v>0</v>
      </c>
      <c r="E28" s="13">
        <f t="shared" si="9"/>
        <v>0</v>
      </c>
      <c r="F28" s="14" t="str">
        <f t="shared" si="10"/>
        <v/>
      </c>
      <c r="G28" s="15">
        <f>SUM(Jan!G28, Feb!G28, Mar!G29)</f>
        <v>0</v>
      </c>
      <c r="H28" s="15">
        <f>SUM(Jan!H28, Feb!H28, Mar!H28)</f>
        <v>0</v>
      </c>
      <c r="I28" s="19" t="str">
        <f t="shared" si="11"/>
        <v/>
      </c>
    </row>
    <row r="29" spans="1:9" ht="15.6">
      <c r="A29" s="49" t="str">
        <v>Greenfield USD - Granite Point ES</v>
      </c>
      <c r="B29" s="10" t="str">
        <v>CA</v>
      </c>
      <c r="C29" s="11">
        <f>SUM(Jan!C29, Feb!C29, Mar!C29)</f>
        <v>0</v>
      </c>
      <c r="D29" s="18">
        <f>SUM(Jan!D29, Feb!D29, Mar!D29)</f>
        <v>0</v>
      </c>
      <c r="E29" s="18">
        <f t="shared" si="9"/>
        <v>0</v>
      </c>
      <c r="F29" s="19" t="str">
        <f t="shared" si="10"/>
        <v/>
      </c>
      <c r="G29" s="20">
        <f>SUM(Jan!G29, Feb!G29,Mar!G29)</f>
        <v>0</v>
      </c>
      <c r="H29" s="20">
        <f>SUM(Jan!H29, Feb!H29, Mar!H29)</f>
        <v>0</v>
      </c>
      <c r="I29" s="16" t="str">
        <f t="shared" si="11"/>
        <v/>
      </c>
    </row>
    <row r="30" spans="1:9" ht="15.6">
      <c r="A30" s="48" t="str">
        <v>Greenfield USD - Greenfield MS</v>
      </c>
      <c r="B30" s="9" t="str">
        <v>CA</v>
      </c>
      <c r="C30" s="24">
        <f>SUM(Jan!C30, Feb!C30, Mar!C30)</f>
        <v>0</v>
      </c>
      <c r="D30" s="13">
        <f>SUM(Jan!D30, Feb!D30, Mar!D30)</f>
        <v>0</v>
      </c>
      <c r="E30" s="13">
        <f t="shared" si="9"/>
        <v>0</v>
      </c>
      <c r="F30" s="14" t="str">
        <f t="shared" si="10"/>
        <v/>
      </c>
      <c r="G30" s="15">
        <f>SUM(Jan!G30, Feb!G30, Mar!G31)</f>
        <v>0</v>
      </c>
      <c r="H30" s="15">
        <f>SUM(Jan!H30, Feb!H30, Mar!H30)</f>
        <v>0</v>
      </c>
      <c r="I30" s="19" t="str">
        <f t="shared" si="11"/>
        <v/>
      </c>
    </row>
    <row r="31" spans="1:9" ht="15.6">
      <c r="A31" s="49" t="str">
        <v>Greenfield USD - Horizon ES</v>
      </c>
      <c r="B31" s="10" t="str">
        <v>CA</v>
      </c>
      <c r="C31" s="11">
        <f>SUM(Jan!C31, Feb!C31, Mar!C31)</f>
        <v>0</v>
      </c>
      <c r="D31" s="18">
        <f>SUM(Jan!D31, Feb!D31, Mar!D31)</f>
        <v>0</v>
      </c>
      <c r="E31" s="18">
        <f t="shared" si="9"/>
        <v>0</v>
      </c>
      <c r="F31" s="19" t="str">
        <f t="shared" si="10"/>
        <v/>
      </c>
      <c r="G31" s="20">
        <f>SUM(Jan!G31, Feb!G31,Mar!G31)</f>
        <v>0</v>
      </c>
      <c r="H31" s="20">
        <f>SUM(Jan!H31, Feb!H31, Mar!H31)</f>
        <v>0</v>
      </c>
      <c r="I31" s="16" t="str">
        <f t="shared" si="11"/>
        <v/>
      </c>
    </row>
    <row r="32" spans="1:9" ht="15.6">
      <c r="A32" s="48" t="str">
        <v>Greenfield USD - McKee MS</v>
      </c>
      <c r="B32" s="9" t="str">
        <v>CA</v>
      </c>
      <c r="C32" s="24">
        <f>SUM(Jan!C32, Feb!C32, Mar!C32)</f>
        <v>0</v>
      </c>
      <c r="D32" s="13">
        <f>SUM(Jan!D32, Feb!D32, Mar!D32)</f>
        <v>0</v>
      </c>
      <c r="E32" s="13">
        <f t="shared" si="9"/>
        <v>0</v>
      </c>
      <c r="F32" s="14" t="str">
        <f t="shared" si="10"/>
        <v/>
      </c>
      <c r="G32" s="15">
        <f>SUM(Jan!G32, Feb!G32, Mar!G33)</f>
        <v>0</v>
      </c>
      <c r="H32" s="15">
        <f>SUM(Jan!H32, Feb!H32, Mar!H32)</f>
        <v>0</v>
      </c>
      <c r="I32" s="19" t="str">
        <f t="shared" si="11"/>
        <v/>
      </c>
    </row>
    <row r="33" spans="1:9" ht="15.6">
      <c r="A33" s="49" t="str">
        <v>Greenfield USD - Plantation ES</v>
      </c>
      <c r="B33" s="10" t="str">
        <v>CA</v>
      </c>
      <c r="C33" s="11">
        <f>SUM(Jan!C33, Feb!C33, Mar!C33)</f>
        <v>0</v>
      </c>
      <c r="D33" s="18">
        <f>SUM(Jan!D33, Feb!D33, Mar!D33)</f>
        <v>0</v>
      </c>
      <c r="E33" s="18">
        <f t="shared" si="9"/>
        <v>0</v>
      </c>
      <c r="F33" s="19" t="str">
        <f t="shared" si="10"/>
        <v/>
      </c>
      <c r="G33" s="20">
        <f>SUM(Jan!G33, Feb!G33,Mar!G33)</f>
        <v>0</v>
      </c>
      <c r="H33" s="20">
        <f>SUM(Jan!H33, Feb!H33, Mar!H33)</f>
        <v>0</v>
      </c>
      <c r="I33" s="16" t="str">
        <f t="shared" si="11"/>
        <v/>
      </c>
    </row>
    <row r="34" spans="1:9" ht="15.6">
      <c r="A34" s="48" t="str">
        <v>Greenfield USD - Planz ES</v>
      </c>
      <c r="B34" s="9" t="str">
        <v>CA</v>
      </c>
      <c r="C34" s="24">
        <f>SUM(Jan!C34, Feb!C34, Mar!C34)</f>
        <v>0</v>
      </c>
      <c r="D34" s="13">
        <f>SUM(Jan!D34, Feb!D34, Mar!D34)</f>
        <v>0</v>
      </c>
      <c r="E34" s="13">
        <f t="shared" si="9"/>
        <v>0</v>
      </c>
      <c r="F34" s="14" t="str">
        <f t="shared" si="10"/>
        <v/>
      </c>
      <c r="G34" s="15">
        <f>SUM(Jan!G34, Feb!G34, Mar!G35)</f>
        <v>0</v>
      </c>
      <c r="H34" s="15">
        <f>SUM(Jan!H34, Feb!H34, Mar!H34)</f>
        <v>0</v>
      </c>
      <c r="I34" s="19" t="str">
        <f t="shared" si="11"/>
        <v/>
      </c>
    </row>
    <row r="35" spans="1:9" ht="15.6">
      <c r="A35" s="49" t="str">
        <v>Greenfield USD - Raffaello Palla ES</v>
      </c>
      <c r="B35" s="10" t="str">
        <v>CA</v>
      </c>
      <c r="C35" s="11">
        <f>SUM(Jan!C35, Feb!C35, Mar!C35)</f>
        <v>0</v>
      </c>
      <c r="D35" s="18">
        <f>SUM(Jan!D35, Feb!D35, Mar!D35)</f>
        <v>0</v>
      </c>
      <c r="E35" s="18">
        <f t="shared" si="9"/>
        <v>0</v>
      </c>
      <c r="F35" s="19" t="str">
        <f t="shared" si="10"/>
        <v/>
      </c>
      <c r="G35" s="20">
        <f>SUM(Jan!G35, Feb!G35,Mar!G35)</f>
        <v>0</v>
      </c>
      <c r="H35" s="20">
        <f>SUM(Jan!H35, Feb!H35, Mar!H35)</f>
        <v>0</v>
      </c>
      <c r="I35" s="16" t="str">
        <f t="shared" si="11"/>
        <v/>
      </c>
    </row>
    <row r="36" spans="1:9" ht="15.6">
      <c r="A36" s="48" t="str">
        <v>Greenfield USD - Valle Verde ES</v>
      </c>
      <c r="B36" s="9" t="str">
        <v>CA</v>
      </c>
      <c r="C36" s="24">
        <f>SUM(Jan!C36, Feb!C36, Mar!C36)</f>
        <v>0</v>
      </c>
      <c r="D36" s="13">
        <f>SUM(Jan!D36, Feb!D36, Mar!D36)</f>
        <v>0</v>
      </c>
      <c r="E36" s="13">
        <f t="shared" si="9"/>
        <v>0</v>
      </c>
      <c r="F36" s="14" t="str">
        <f t="shared" si="10"/>
        <v/>
      </c>
      <c r="G36" s="15">
        <f>SUM(Jan!G36, Feb!G36, Mar!G37)</f>
        <v>0</v>
      </c>
      <c r="H36" s="15">
        <f>SUM(Jan!H36, Feb!H36, Mar!H36)</f>
        <v>0</v>
      </c>
      <c r="I36" s="19" t="str">
        <f t="shared" si="11"/>
        <v/>
      </c>
    </row>
    <row r="37" spans="1:9" ht="15.6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9"/>
        <v>0</v>
      </c>
      <c r="F37" s="19" t="str">
        <f t="shared" si="10"/>
        <v/>
      </c>
      <c r="G37" s="20">
        <f>SUM(Jan!G37, Feb!G37,Mar!G37)</f>
        <v>0</v>
      </c>
      <c r="H37" s="20">
        <f>SUM(Jan!H37, Feb!H37, Mar!H37)</f>
        <v>0</v>
      </c>
      <c r="I37" s="16" t="str">
        <f t="shared" si="11"/>
        <v/>
      </c>
    </row>
    <row r="38" spans="1:9" ht="15.6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9"/>
        <v>0</v>
      </c>
      <c r="F38" s="14" t="str">
        <f t="shared" si="10"/>
        <v/>
      </c>
      <c r="G38" s="15">
        <f>SUM(Jan!G38, Feb!G38, Mar!G39)</f>
        <v>0</v>
      </c>
      <c r="H38" s="15">
        <f>SUM(Jan!H38, Feb!H38, Mar!H38)</f>
        <v>0</v>
      </c>
      <c r="I38" s="19" t="str">
        <f t="shared" si="11"/>
        <v/>
      </c>
    </row>
    <row r="39" spans="1:9" ht="15.6">
      <c r="A39" s="49" t="str">
        <v>Muroc Joint USD - W. Boron ES</v>
      </c>
      <c r="B39" s="10" t="str">
        <v>CA</v>
      </c>
      <c r="C39" s="11">
        <f>SUM(Jan!C39, Feb!C39, Mar!C39)</f>
        <v>0</v>
      </c>
      <c r="D39" s="18">
        <f>SUM(Jan!D39, Feb!D39, Mar!D39)</f>
        <v>0</v>
      </c>
      <c r="E39" s="18">
        <f t="shared" si="9"/>
        <v>0</v>
      </c>
      <c r="F39" s="19" t="str">
        <f t="shared" si="10"/>
        <v/>
      </c>
      <c r="G39" s="20">
        <f>SUM(Jan!G39, Feb!G39,Mar!G39)</f>
        <v>0</v>
      </c>
      <c r="H39" s="20">
        <f>SUM(Jan!H39, Feb!H39, Mar!H39)</f>
        <v>0</v>
      </c>
      <c r="I39" s="16" t="str">
        <f t="shared" si="11"/>
        <v/>
      </c>
    </row>
    <row r="40" spans="1:9" ht="15.6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9"/>
        <v>0</v>
      </c>
      <c r="F40" s="14" t="str">
        <f t="shared" si="10"/>
        <v/>
      </c>
      <c r="G40" s="15">
        <f>SUM(Jan!G40, Feb!G40, Mar!G41)</f>
        <v>0</v>
      </c>
      <c r="H40" s="15">
        <f>SUM(Jan!H40, Feb!H40, Mar!H40)</f>
        <v>0</v>
      </c>
      <c r="I40" s="19" t="str">
        <f t="shared" si="11"/>
        <v/>
      </c>
    </row>
    <row r="41" spans="1:9" ht="15.6">
      <c r="A41" s="49" t="str">
        <v>CDCR-North Kern State Prision</v>
      </c>
      <c r="B41" s="10" t="str">
        <v>CA</v>
      </c>
      <c r="C41" s="11">
        <f>SUM(Jan!C41, Feb!C41, Mar!C41)</f>
        <v>0</v>
      </c>
      <c r="D41" s="18">
        <f>SUM(Jan!D41, Feb!D41, Mar!D41)</f>
        <v>0</v>
      </c>
      <c r="E41" s="18">
        <f t="shared" si="9"/>
        <v>0</v>
      </c>
      <c r="F41" s="19" t="str">
        <f t="shared" si="10"/>
        <v/>
      </c>
      <c r="G41" s="20">
        <f>SUM(Jan!G41, Feb!G41,Mar!G41)</f>
        <v>0</v>
      </c>
      <c r="H41" s="20">
        <f>SUM(Jan!H41, Feb!H41, Mar!H41)</f>
        <v>0</v>
      </c>
      <c r="I41" s="16" t="str">
        <f t="shared" si="11"/>
        <v/>
      </c>
    </row>
    <row r="42" spans="1:9" ht="15.6">
      <c r="A42" s="48" t="str">
        <v>Muroc Joint USD - District Office</v>
      </c>
      <c r="B42" s="9" t="str">
        <v>CA</v>
      </c>
      <c r="C42" s="24">
        <f>SUM(Jan!C42, Feb!C42, Mar!C42)</f>
        <v>0</v>
      </c>
      <c r="D42" s="13">
        <f>SUM(Jan!D42, Feb!D42, Mar!D42)</f>
        <v>0</v>
      </c>
      <c r="E42" s="13">
        <f t="shared" si="9"/>
        <v>0</v>
      </c>
      <c r="F42" s="14" t="str">
        <f t="shared" si="10"/>
        <v/>
      </c>
      <c r="G42" s="15">
        <f>SUM(Jan!G42, Feb!G42, Mar!G43)</f>
        <v>0</v>
      </c>
      <c r="H42" s="15">
        <f>SUM(Jan!H42, Feb!H42, Mar!H42)</f>
        <v>0</v>
      </c>
      <c r="I42" s="19" t="str">
        <f t="shared" si="11"/>
        <v/>
      </c>
    </row>
    <row r="43" spans="1:9" ht="15.6">
      <c r="A43" s="49" t="str">
        <v>Whole Foods - Manhattan Beach</v>
      </c>
      <c r="B43" s="10" t="str">
        <v>CA</v>
      </c>
      <c r="C43" s="11">
        <f>SUM(Jan!C43, Feb!C43, Mar!C43)</f>
        <v>0</v>
      </c>
      <c r="D43" s="18">
        <f>SUM(Jan!D43, Feb!D43, Mar!D43)</f>
        <v>0</v>
      </c>
      <c r="E43" s="18">
        <f t="shared" si="9"/>
        <v>0</v>
      </c>
      <c r="F43" s="19" t="str">
        <f t="shared" si="10"/>
        <v/>
      </c>
      <c r="G43" s="20">
        <f>SUM(Jan!G43, Feb!G43,Mar!G43)</f>
        <v>0</v>
      </c>
      <c r="H43" s="20">
        <f>SUM(Jan!H43, Feb!H43, Mar!H43)</f>
        <v>0</v>
      </c>
      <c r="I43" s="16" t="str">
        <f t="shared" si="11"/>
        <v/>
      </c>
    </row>
    <row r="44" spans="1:9" ht="15.6">
      <c r="A44" s="48" t="str">
        <v>Pioneer USD - Frontier ES</v>
      </c>
      <c r="B44" s="9" t="str">
        <v>CA</v>
      </c>
      <c r="C44" s="24">
        <f>SUM(Jan!C44, Feb!C44, Mar!C44)</f>
        <v>0</v>
      </c>
      <c r="D44" s="13">
        <f>SUM(Jan!D44, Feb!D44, Mar!D44)</f>
        <v>0</v>
      </c>
      <c r="E44" s="13">
        <f t="shared" si="9"/>
        <v>0</v>
      </c>
      <c r="F44" s="14" t="str">
        <f t="shared" si="10"/>
        <v/>
      </c>
      <c r="G44" s="15">
        <f>SUM(Jan!G44, Feb!G44, Mar!G45)</f>
        <v>0</v>
      </c>
      <c r="H44" s="15">
        <f>SUM(Jan!H44, Feb!H44, Mar!H44)</f>
        <v>0</v>
      </c>
      <c r="I44" s="19" t="str">
        <f t="shared" si="11"/>
        <v/>
      </c>
    </row>
    <row r="45" spans="1:9" ht="15.6">
      <c r="A45" s="49" t="str">
        <v>Pioneer USD - Pioneer ES</v>
      </c>
      <c r="B45" s="10" t="str">
        <v>CA</v>
      </c>
      <c r="C45" s="11">
        <f>SUM(Jan!C45, Feb!C45, Mar!C45)</f>
        <v>0</v>
      </c>
      <c r="D45" s="18">
        <f>SUM(Jan!D45, Feb!D45, Mar!D45)</f>
        <v>0</v>
      </c>
      <c r="E45" s="18">
        <f t="shared" si="9"/>
        <v>0</v>
      </c>
      <c r="F45" s="19" t="str">
        <f t="shared" si="10"/>
        <v/>
      </c>
      <c r="G45" s="20">
        <f>SUM(Jan!G45, Feb!G45,Mar!G45)</f>
        <v>0</v>
      </c>
      <c r="H45" s="20">
        <f>SUM(Jan!H45, Feb!H45, Mar!H45)</f>
        <v>0</v>
      </c>
      <c r="I45" s="16" t="str">
        <f t="shared" si="11"/>
        <v/>
      </c>
    </row>
    <row r="46" spans="1:9" ht="15.6">
      <c r="A46" s="48" t="str">
        <v>Pioneer USD - Pioneer MS</v>
      </c>
      <c r="B46" s="9" t="str">
        <v>CA</v>
      </c>
      <c r="C46" s="24">
        <f>SUM(Jan!C46, Feb!C46, Mar!C46)</f>
        <v>0</v>
      </c>
      <c r="D46" s="13">
        <f>SUM(Jan!D46, Feb!D46, Mar!D46)</f>
        <v>0</v>
      </c>
      <c r="E46" s="13">
        <f t="shared" si="9"/>
        <v>0</v>
      </c>
      <c r="F46" s="14" t="str">
        <f t="shared" si="10"/>
        <v/>
      </c>
      <c r="G46" s="15">
        <f>SUM(Jan!G46, Feb!G46, Mar!G47)</f>
        <v>0</v>
      </c>
      <c r="H46" s="15">
        <f>SUM(Jan!H46, Feb!H46, Mar!H46)</f>
        <v>0</v>
      </c>
      <c r="I46" s="19" t="str">
        <f t="shared" si="11"/>
        <v/>
      </c>
    </row>
    <row r="47" spans="1:9" ht="15.6">
      <c r="A47" s="49" t="str">
        <v>Kingsburg Joint UHSD - Kingsburg HS</v>
      </c>
      <c r="B47" s="10" t="str">
        <v>CA</v>
      </c>
      <c r="C47" s="11">
        <f>SUM(Jan!C47, Feb!C47, Mar!C47)</f>
        <v>0</v>
      </c>
      <c r="D47" s="18">
        <f>SUM(Jan!D47, Feb!D47, Mar!D47)</f>
        <v>0</v>
      </c>
      <c r="E47" s="18">
        <f t="shared" si="9"/>
        <v>0</v>
      </c>
      <c r="F47" s="19" t="str">
        <f t="shared" si="10"/>
        <v/>
      </c>
      <c r="G47" s="20">
        <f>SUM(Jan!G47, Feb!G47,Mar!G47)</f>
        <v>0</v>
      </c>
      <c r="H47" s="20">
        <f>SUM(Jan!H47, Feb!H47, Mar!H47)</f>
        <v>0</v>
      </c>
      <c r="I47" s="16" t="str">
        <f t="shared" si="11"/>
        <v/>
      </c>
    </row>
    <row r="48" spans="1:9" ht="15.6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9"/>
        <v>0</v>
      </c>
      <c r="F48" s="14" t="str">
        <f t="shared" si="10"/>
        <v/>
      </c>
      <c r="G48" s="15">
        <f>SUM(Jan!G48, Feb!G48, Mar!G49)</f>
        <v>0</v>
      </c>
      <c r="H48" s="15">
        <f>SUM(Jan!H48, Feb!H48, Mar!H48)</f>
        <v>0</v>
      </c>
      <c r="I48" s="19" t="str">
        <f t="shared" si="11"/>
        <v/>
      </c>
    </row>
    <row r="49" spans="1:9" ht="15.6">
      <c r="A49" s="49" t="str">
        <v>CDCR-CA State Prison LA County</v>
      </c>
      <c r="B49" s="10" t="str">
        <v>CA</v>
      </c>
      <c r="C49" s="11">
        <f>SUM(Jan!C49, Feb!C49, Mar!C49)</f>
        <v>0</v>
      </c>
      <c r="D49" s="18">
        <f>SUM(Jan!D49, Feb!D49, Mar!D49)</f>
        <v>0</v>
      </c>
      <c r="E49" s="18">
        <f t="shared" si="9"/>
        <v>0</v>
      </c>
      <c r="F49" s="19" t="str">
        <f t="shared" si="10"/>
        <v/>
      </c>
      <c r="G49" s="20">
        <f>SUM(Jan!G49, Feb!G49,Mar!G49)</f>
        <v>0</v>
      </c>
      <c r="H49" s="20">
        <f>SUM(Jan!H49, Feb!H49, Mar!H49)</f>
        <v>0</v>
      </c>
      <c r="I49" s="16" t="str">
        <f t="shared" si="11"/>
        <v/>
      </c>
    </row>
    <row r="50" spans="1:9" ht="15.6">
      <c r="A50" s="48" t="str">
        <v>Central USD Akers ES</v>
      </c>
      <c r="B50" s="9" t="str">
        <v>CA</v>
      </c>
      <c r="C50" s="24">
        <f>SUM(Jan!C50, Feb!C50, Mar!C50)</f>
        <v>0</v>
      </c>
      <c r="D50" s="13">
        <f>SUM(Jan!D50, Feb!D50, Mar!D50)</f>
        <v>0</v>
      </c>
      <c r="E50" s="13">
        <f t="shared" si="9"/>
        <v>0</v>
      </c>
      <c r="F50" s="14" t="str">
        <f t="shared" si="10"/>
        <v/>
      </c>
      <c r="G50" s="15">
        <f>SUM(Jan!G50, Feb!G50, Mar!G51)</f>
        <v>0</v>
      </c>
      <c r="H50" s="15">
        <f>SUM(Jan!H50, Feb!H50, Mar!H50)</f>
        <v>0</v>
      </c>
      <c r="I50" s="19" t="str">
        <f t="shared" si="11"/>
        <v/>
      </c>
    </row>
    <row r="51" spans="1:9" ht="15.6">
      <c r="A51" s="49" t="str">
        <v>CUSD - District Office</v>
      </c>
      <c r="B51" s="10" t="str">
        <v>CA</v>
      </c>
      <c r="C51" s="11">
        <f>SUM(Jan!C51, Feb!C51, Mar!C51)</f>
        <v>0</v>
      </c>
      <c r="D51" s="18">
        <f>SUM(Jan!D51, Feb!D51, Mar!D51)</f>
        <v>0</v>
      </c>
      <c r="E51" s="18">
        <f t="shared" si="9"/>
        <v>0</v>
      </c>
      <c r="F51" s="19" t="str">
        <f t="shared" si="10"/>
        <v/>
      </c>
      <c r="G51" s="20">
        <f>SUM(Jan!G51, Feb!G51,Mar!G51)</f>
        <v>0</v>
      </c>
      <c r="H51" s="20">
        <f>SUM(Jan!H51, Feb!H51, Mar!H51)</f>
        <v>0</v>
      </c>
      <c r="I51" s="16" t="str">
        <f t="shared" si="11"/>
        <v/>
      </c>
    </row>
    <row r="52" spans="1:9" ht="15.6">
      <c r="A52" s="48" t="str">
        <v>Parlier - WTP</v>
      </c>
      <c r="B52" s="9" t="str">
        <v>CA</v>
      </c>
      <c r="C52" s="24">
        <f>SUM(Jan!C52, Feb!C52, Mar!C52)</f>
        <v>0</v>
      </c>
      <c r="D52" s="13">
        <f>SUM(Jan!D52, Feb!D52, Mar!D52)</f>
        <v>0</v>
      </c>
      <c r="E52" s="13">
        <f t="shared" si="9"/>
        <v>0</v>
      </c>
      <c r="F52" s="14" t="str">
        <f t="shared" si="10"/>
        <v/>
      </c>
      <c r="G52" s="15">
        <f>SUM(Jan!G52, Feb!G52, Mar!G53)</f>
        <v>0</v>
      </c>
      <c r="H52" s="15">
        <f>SUM(Jan!H52, Feb!H52, Mar!H52)</f>
        <v>0</v>
      </c>
      <c r="I52" s="19" t="str">
        <f t="shared" si="11"/>
        <v/>
      </c>
    </row>
    <row r="53" spans="1:9" ht="15.6">
      <c r="A53" s="49" t="str">
        <v>Snowline SD - Quail Valley MS</v>
      </c>
      <c r="B53" s="10" t="str">
        <v>CA</v>
      </c>
      <c r="C53" s="11">
        <f>SUM(Jan!C53, Feb!C53, Mar!C53)</f>
        <v>0</v>
      </c>
      <c r="D53" s="18">
        <f>SUM(Jan!D53, Feb!D53, Mar!D53)</f>
        <v>0</v>
      </c>
      <c r="E53" s="18">
        <f t="shared" si="9"/>
        <v>0</v>
      </c>
      <c r="F53" s="19" t="str">
        <f t="shared" si="10"/>
        <v/>
      </c>
      <c r="G53" s="20">
        <f>SUM(Jan!G53, Feb!G53,Mar!G53)</f>
        <v>0</v>
      </c>
      <c r="H53" s="20">
        <f>SUM(Jan!H53, Feb!H53, Mar!H53)</f>
        <v>0</v>
      </c>
      <c r="I53" s="16" t="str">
        <f t="shared" si="11"/>
        <v/>
      </c>
    </row>
    <row r="54" spans="1:9" ht="15.6">
      <c r="A54" s="48" t="str">
        <v>Snowline SD - Serrano HS - Middle Lot</v>
      </c>
      <c r="B54" s="9" t="str">
        <v>CA</v>
      </c>
      <c r="C54" s="24">
        <f>SUM(Jan!C54, Feb!C54, Mar!C54)</f>
        <v>0</v>
      </c>
      <c r="D54" s="13">
        <f>SUM(Jan!D54, Feb!D54, Mar!D54)</f>
        <v>0</v>
      </c>
      <c r="E54" s="13">
        <f t="shared" si="9"/>
        <v>0</v>
      </c>
      <c r="F54" s="14" t="str">
        <f t="shared" si="10"/>
        <v/>
      </c>
      <c r="G54" s="15">
        <f>SUM(Jan!G54, Feb!G54, Mar!G55)</f>
        <v>0</v>
      </c>
      <c r="H54" s="15">
        <f>SUM(Jan!H54, Feb!H54, Mar!H54)</f>
        <v>0</v>
      </c>
      <c r="I54" s="19" t="str">
        <f t="shared" si="11"/>
        <v/>
      </c>
    </row>
    <row r="55" spans="1:9" ht="15.6">
      <c r="A55" s="49" t="str">
        <v>Snowline SD - Pinon Hills ES</v>
      </c>
      <c r="B55" s="10" t="str">
        <v>CA</v>
      </c>
      <c r="C55" s="11">
        <f>SUM(Jan!C55, Feb!C55, Mar!C55)</f>
        <v>0</v>
      </c>
      <c r="D55" s="18">
        <f>SUM(Jan!D55, Feb!D55, Mar!D55)</f>
        <v>0</v>
      </c>
      <c r="E55" s="18">
        <f t="shared" si="9"/>
        <v>0</v>
      </c>
      <c r="F55" s="19" t="str">
        <f t="shared" si="10"/>
        <v/>
      </c>
      <c r="G55" s="20">
        <f>SUM(Jan!G55, Feb!G55,Mar!G55)</f>
        <v>0</v>
      </c>
      <c r="H55" s="20">
        <f>SUM(Jan!H55, Feb!H55, Mar!H55)</f>
        <v>0</v>
      </c>
      <c r="I55" s="16" t="str">
        <f t="shared" si="11"/>
        <v/>
      </c>
    </row>
    <row r="56" spans="1:9" ht="15.6">
      <c r="A56" s="48" t="str">
        <v>Ramona - Santa Maria WTP</v>
      </c>
      <c r="B56" s="9" t="str">
        <v>CA</v>
      </c>
      <c r="C56" s="24">
        <f>SUM(Jan!C56, Feb!C56, Mar!C56)</f>
        <v>0</v>
      </c>
      <c r="D56" s="13">
        <f>SUM(Jan!D56, Feb!D56, Mar!D56)</f>
        <v>0</v>
      </c>
      <c r="E56" s="13">
        <f t="shared" si="9"/>
        <v>0</v>
      </c>
      <c r="F56" s="14" t="str">
        <f t="shared" si="10"/>
        <v/>
      </c>
      <c r="G56" s="15">
        <f>SUM(Jan!G56, Feb!G56, Mar!G57)</f>
        <v>0</v>
      </c>
      <c r="H56" s="15">
        <f>SUM(Jan!H56, Feb!H56, Mar!H56)</f>
        <v>0</v>
      </c>
      <c r="I56" s="19" t="str">
        <f t="shared" si="11"/>
        <v/>
      </c>
    </row>
    <row r="57" spans="1:9" ht="15.6">
      <c r="A57" s="49" t="str">
        <v>Kohls - Redding</v>
      </c>
      <c r="B57" s="10" t="str">
        <v>CA</v>
      </c>
      <c r="C57" s="11">
        <f>SUM(Jan!C57, Feb!C57, Mar!C57)</f>
        <v>0</v>
      </c>
      <c r="D57" s="18">
        <f>SUM(Jan!D57, Feb!D57, Mar!D57)</f>
        <v>0</v>
      </c>
      <c r="E57" s="18">
        <f t="shared" si="9"/>
        <v>0</v>
      </c>
      <c r="F57" s="19" t="str">
        <f t="shared" si="10"/>
        <v/>
      </c>
      <c r="G57" s="20">
        <f>SUM(Jan!G57, Feb!G57,Mar!G57)</f>
        <v>0</v>
      </c>
      <c r="H57" s="20">
        <f>SUM(Jan!H57, Feb!H57, Mar!H57)</f>
        <v>0</v>
      </c>
      <c r="I57" s="16" t="str">
        <f t="shared" si="11"/>
        <v/>
      </c>
    </row>
    <row r="58" spans="1:9" ht="15.6">
      <c r="A58" s="48" t="str">
        <v>Kohls - Salinas</v>
      </c>
      <c r="B58" s="9" t="str">
        <v>CA</v>
      </c>
      <c r="C58" s="24">
        <f>SUM(Jan!C58, Feb!C58, Mar!C58)</f>
        <v>0</v>
      </c>
      <c r="D58" s="13">
        <f>SUM(Jan!D58, Feb!D58, Mar!D58)</f>
        <v>0</v>
      </c>
      <c r="E58" s="13">
        <f t="shared" si="9"/>
        <v>0</v>
      </c>
      <c r="F58" s="14" t="str">
        <f t="shared" si="10"/>
        <v/>
      </c>
      <c r="G58" s="15">
        <f>SUM(Jan!G58, Feb!G58, Mar!G59)</f>
        <v>0</v>
      </c>
      <c r="H58" s="15">
        <f>SUM(Jan!H58, Feb!H58, Mar!H58)</f>
        <v>0</v>
      </c>
      <c r="I58" s="19" t="str">
        <f t="shared" si="11"/>
        <v/>
      </c>
    </row>
    <row r="59" spans="1:9" ht="15.6">
      <c r="A59" s="49" t="str">
        <v>Kohls - San Bernardino - Central</v>
      </c>
      <c r="B59" s="10" t="str">
        <v>CA</v>
      </c>
      <c r="C59" s="11">
        <f>SUM(Jan!C59, Feb!C59, Mar!C59)</f>
        <v>0</v>
      </c>
      <c r="D59" s="18">
        <f>SUM(Jan!D59, Feb!D59, Mar!D59)</f>
        <v>0</v>
      </c>
      <c r="E59" s="18">
        <f t="shared" si="9"/>
        <v>0</v>
      </c>
      <c r="F59" s="19" t="str">
        <f t="shared" si="10"/>
        <v/>
      </c>
      <c r="G59" s="20">
        <f>SUM(Jan!G59, Feb!G59,Mar!G59)</f>
        <v>0</v>
      </c>
      <c r="H59" s="20">
        <f>SUM(Jan!H59, Feb!H59, Mar!H59)</f>
        <v>0</v>
      </c>
      <c r="I59" s="16" t="str">
        <f t="shared" si="11"/>
        <v/>
      </c>
    </row>
    <row r="60" spans="1:9" ht="15.6">
      <c r="A60" s="48" t="str">
        <v>Kohls - Sonora</v>
      </c>
      <c r="B60" s="9" t="str">
        <v>CA</v>
      </c>
      <c r="C60" s="24">
        <f>SUM(Jan!C60, Feb!C60, Mar!C60)</f>
        <v>0</v>
      </c>
      <c r="D60" s="13">
        <f>SUM(Jan!D60, Feb!D60, Mar!D60)</f>
        <v>0</v>
      </c>
      <c r="E60" s="13">
        <f t="shared" si="9"/>
        <v>0</v>
      </c>
      <c r="F60" s="14" t="str">
        <f t="shared" si="10"/>
        <v/>
      </c>
      <c r="G60" s="15">
        <f>SUM(Jan!G60, Feb!G60, Mar!G61)</f>
        <v>0</v>
      </c>
      <c r="H60" s="15">
        <f>SUM(Jan!H60, Feb!H60, Mar!H60)</f>
        <v>0</v>
      </c>
      <c r="I60" s="19" t="str">
        <f t="shared" si="11"/>
        <v/>
      </c>
    </row>
    <row r="61" spans="1:9" ht="15.6">
      <c r="A61" s="49" t="str">
        <v>CUSD - Stratford ES</v>
      </c>
      <c r="B61" s="10" t="str">
        <v>CA</v>
      </c>
      <c r="C61" s="11">
        <f>SUM(Jan!C61, Feb!C61, Mar!C61)</f>
        <v>0</v>
      </c>
      <c r="D61" s="18">
        <f>SUM(Jan!D61, Feb!D61, Mar!D61)</f>
        <v>0</v>
      </c>
      <c r="E61" s="18">
        <f t="shared" si="9"/>
        <v>0</v>
      </c>
      <c r="F61" s="19" t="str">
        <f t="shared" si="10"/>
        <v/>
      </c>
      <c r="G61" s="20">
        <f>SUM(Jan!G61, Feb!G61,Mar!G61)</f>
        <v>0</v>
      </c>
      <c r="H61" s="20">
        <f>SUM(Jan!H61, Feb!H61, Mar!H61)</f>
        <v>0</v>
      </c>
      <c r="I61" s="16" t="str">
        <f t="shared" si="11"/>
        <v/>
      </c>
    </row>
    <row r="62" spans="1:9" ht="15.6">
      <c r="A62" s="48" t="str">
        <v>Taft - City Hall</v>
      </c>
      <c r="B62" s="9" t="str">
        <v>CA</v>
      </c>
      <c r="C62" s="24">
        <f>SUM(Jan!C62, Feb!C62, Mar!C62)</f>
        <v>0</v>
      </c>
      <c r="D62" s="13">
        <f>SUM(Jan!D62, Feb!D62, Mar!D62)</f>
        <v>0</v>
      </c>
      <c r="E62" s="13">
        <f t="shared" si="9"/>
        <v>0</v>
      </c>
      <c r="F62" s="14" t="str">
        <f t="shared" si="10"/>
        <v/>
      </c>
      <c r="G62" s="15">
        <f>SUM(Jan!G62, Feb!G62, Mar!G63)</f>
        <v>0</v>
      </c>
      <c r="H62" s="15">
        <f>SUM(Jan!H62, Feb!H62, Mar!H62)</f>
        <v>0</v>
      </c>
      <c r="I62" s="19" t="str">
        <f t="shared" si="11"/>
        <v/>
      </c>
    </row>
    <row r="63" spans="1:9" ht="15.6">
      <c r="A63" s="49" t="str">
        <v>Taft - Federal Prison</v>
      </c>
      <c r="B63" s="10" t="str">
        <v>CA</v>
      </c>
      <c r="C63" s="11">
        <f>SUM(Jan!C63, Feb!C63, Mar!C63)</f>
        <v>0</v>
      </c>
      <c r="D63" s="18">
        <f>SUM(Jan!D63, Feb!D63, Mar!D63)</f>
        <v>0</v>
      </c>
      <c r="E63" s="18">
        <f t="shared" si="9"/>
        <v>0</v>
      </c>
      <c r="F63" s="19" t="str">
        <f t="shared" si="10"/>
        <v/>
      </c>
      <c r="G63" s="20">
        <f>SUM(Jan!G63, Feb!G63,Mar!G63)</f>
        <v>0</v>
      </c>
      <c r="H63" s="20">
        <f>SUM(Jan!H63, Feb!H63, Mar!H63)</f>
        <v>0</v>
      </c>
      <c r="I63" s="16" t="str">
        <f t="shared" si="11"/>
        <v/>
      </c>
    </row>
    <row r="64" spans="1:9" ht="15.6">
      <c r="A64" s="48" t="str">
        <v>Taft - Police Department</v>
      </c>
      <c r="B64" s="9" t="str">
        <v>CA</v>
      </c>
      <c r="C64" s="24">
        <f>SUM(Jan!C64, Feb!C64, Mar!C64)</f>
        <v>0</v>
      </c>
      <c r="D64" s="13">
        <f>SUM(Jan!D64, Feb!D64, Mar!D64)</f>
        <v>0</v>
      </c>
      <c r="E64" s="13">
        <f t="shared" si="9"/>
        <v>0</v>
      </c>
      <c r="F64" s="14" t="str">
        <f t="shared" si="10"/>
        <v/>
      </c>
      <c r="G64" s="15">
        <f>SUM(Jan!G64, Feb!G64, Mar!G65)</f>
        <v>0</v>
      </c>
      <c r="H64" s="15">
        <f>SUM(Jan!H64, Feb!H64, Mar!H64)</f>
        <v>0</v>
      </c>
      <c r="I64" s="19" t="str">
        <f t="shared" si="11"/>
        <v/>
      </c>
    </row>
    <row r="65" spans="1:9" ht="15.6">
      <c r="A65" s="49" t="str">
        <v>Taft - WTP</v>
      </c>
      <c r="B65" s="10" t="str">
        <v>CA</v>
      </c>
      <c r="C65" s="11">
        <f>SUM(Jan!C65, Feb!C65, Mar!C65)</f>
        <v>0</v>
      </c>
      <c r="D65" s="18">
        <f>SUM(Jan!D65, Feb!D65, Mar!D65)</f>
        <v>0</v>
      </c>
      <c r="E65" s="18">
        <f t="shared" si="9"/>
        <v>0</v>
      </c>
      <c r="F65" s="19" t="str">
        <f t="shared" si="10"/>
        <v/>
      </c>
      <c r="G65" s="20">
        <f>SUM(Jan!G65, Feb!G65,Mar!G65)</f>
        <v>0</v>
      </c>
      <c r="H65" s="20">
        <f>SUM(Jan!H65, Feb!H65, Mar!H65)</f>
        <v>0</v>
      </c>
      <c r="I65" s="16" t="str">
        <f t="shared" si="11"/>
        <v/>
      </c>
    </row>
    <row r="66" spans="1:9" ht="15.6">
      <c r="A66" s="48" t="str">
        <v>CDCR - CA Correctional Institution</v>
      </c>
      <c r="B66" s="9" t="str">
        <v>CA</v>
      </c>
      <c r="C66" s="24">
        <f>SUM(Jan!C66, Feb!C66, Mar!C66)</f>
        <v>0</v>
      </c>
      <c r="D66" s="13">
        <f>SUM(Jan!D66, Feb!D66, Mar!D66)</f>
        <v>0</v>
      </c>
      <c r="E66" s="13">
        <f t="shared" si="9"/>
        <v>0</v>
      </c>
      <c r="F66" s="14" t="str">
        <f t="shared" si="10"/>
        <v/>
      </c>
      <c r="G66" s="15">
        <f>SUM(Jan!G66, Feb!G66, Mar!G67)</f>
        <v>0</v>
      </c>
      <c r="H66" s="15">
        <f>SUM(Jan!H66, Feb!H66, Mar!H66)</f>
        <v>0</v>
      </c>
      <c r="I66" s="19" t="str">
        <f t="shared" si="11"/>
        <v/>
      </c>
    </row>
    <row r="67" spans="1:9" ht="15.6">
      <c r="A67" s="49" t="str">
        <v>CDCR - CA Correctional Institution II</v>
      </c>
      <c r="B67" s="10" t="str">
        <v>CA</v>
      </c>
      <c r="C67" s="11">
        <f>SUM(Jan!C67, Feb!C67, Mar!C67)</f>
        <v>0</v>
      </c>
      <c r="D67" s="18">
        <f>SUM(Jan!D67, Feb!D67, Mar!D67)</f>
        <v>0</v>
      </c>
      <c r="E67" s="18">
        <f t="shared" si="9"/>
        <v>0</v>
      </c>
      <c r="F67" s="19" t="str">
        <f t="shared" si="10"/>
        <v/>
      </c>
      <c r="G67" s="20">
        <f>SUM(Jan!G67, Feb!G67,Mar!G67)</f>
        <v>0</v>
      </c>
      <c r="H67" s="20">
        <f>SUM(Jan!H67, Feb!H67, Mar!H67)</f>
        <v>0</v>
      </c>
      <c r="I67" s="16" t="str">
        <f t="shared" si="11"/>
        <v/>
      </c>
    </row>
    <row r="68" spans="1:9" ht="15.6">
      <c r="A68" s="48" t="str">
        <v>Snowline SD - Vista Verde ES</v>
      </c>
      <c r="B68" s="9" t="str">
        <v>CA</v>
      </c>
      <c r="C68" s="24">
        <f>SUM(Jan!C68, Feb!C68, Mar!C68)</f>
        <v>0</v>
      </c>
      <c r="D68" s="13">
        <f>SUM(Jan!D68, Feb!D68, Mar!D68)</f>
        <v>0</v>
      </c>
      <c r="E68" s="13">
        <f t="shared" si="9"/>
        <v>0</v>
      </c>
      <c r="F68" s="14" t="str">
        <f t="shared" si="10"/>
        <v/>
      </c>
      <c r="G68" s="15">
        <f>SUM(Jan!G68, Feb!G68, Mar!G69)</f>
        <v>0</v>
      </c>
      <c r="H68" s="15">
        <f>SUM(Jan!H68, Feb!H68, Mar!H68)</f>
        <v>0</v>
      </c>
      <c r="I68" s="19" t="str">
        <f t="shared" si="11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38" activePane="bottomRight" state="frozen"/>
      <selection pane="bottomRight" activeCell="D65" sqref="D6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Silicon Ranch</v>
      </c>
      <c r="B1" s="84"/>
      <c r="C1" s="84"/>
      <c r="D1" s="85" t="s">
        <v>12</v>
      </c>
      <c r="E1" s="85"/>
      <c r="F1" s="85"/>
      <c r="G1" s="83" t="s">
        <v>13</v>
      </c>
      <c r="H1" s="83"/>
      <c r="I1" s="83"/>
    </row>
    <row r="2" spans="1:9" ht="19.5" customHeight="1">
      <c r="A2" s="86" t="s">
        <v>2</v>
      </c>
      <c r="B2" s="86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6">
      <c r="A5" s="49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6">
      <c r="A6" s="48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6">
      <c r="A7" s="49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6">
      <c r="A8" s="48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6">
      <c r="A9" s="49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6">
      <c r="A10" s="48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6">
      <c r="A11" s="49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6">
      <c r="A12" s="48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6">
      <c r="A13" s="49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6">
      <c r="A14" s="48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6">
      <c r="A15" s="49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6">
      <c r="A16" s="48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6">
      <c r="A17" s="49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48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6">
      <c r="A19" s="49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6">
      <c r="A20" s="48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6">
      <c r="A21" s="49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6">
      <c r="A22" s="48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6">
      <c r="A23" s="49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6">
      <c r="A24" s="48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6">
      <c r="A25" s="49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5.6">
      <c r="A26" s="48" t="str">
        <v>Mojave Water Agency - Headquarters</v>
      </c>
      <c r="B26" s="9" t="str">
        <v>CA</v>
      </c>
      <c r="C26" s="11">
        <f>SUM(Apr!C26, May!C26, Jun!C26)</f>
        <v>0</v>
      </c>
      <c r="D26" s="18">
        <f>SUM(Apr!D26, May!D26, Jun!D26)</f>
        <v>0</v>
      </c>
      <c r="E26" s="18">
        <f t="shared" ref="E26:E68" si="9">IF(AND(ISNUMBER(C26),ISNUMBER(D26)), C26-D26, "")</f>
        <v>0</v>
      </c>
      <c r="F26" s="19" t="str">
        <f t="shared" ref="F26:F68" si="10">IFERROR(E26/D26, "")</f>
        <v/>
      </c>
      <c r="G26" s="15">
        <f>SUM(Apr!G26, May!G26, Jun!G26)</f>
        <v>0</v>
      </c>
      <c r="H26" s="20">
        <f>SUM(Apr!H26, May!H26, Jun!H26)</f>
        <v>0</v>
      </c>
      <c r="I26" s="19" t="str">
        <f t="shared" ref="I26:I68" si="11">IFERROR(H26/G26, "")</f>
        <v/>
      </c>
    </row>
    <row r="27" spans="1:9" ht="15.6">
      <c r="A27" s="49" t="str">
        <v>CSU - Bakersfield</v>
      </c>
      <c r="B27" s="10" t="str">
        <v>CA</v>
      </c>
      <c r="C27" s="24">
        <f>SUM(Apr!C27, May!C27, Jun!C27)</f>
        <v>0</v>
      </c>
      <c r="D27" s="13">
        <f>SUM(Apr!D27, May!D27, Jun!D27)</f>
        <v>0</v>
      </c>
      <c r="E27" s="13">
        <f t="shared" si="9"/>
        <v>0</v>
      </c>
      <c r="F27" s="14" t="str">
        <f t="shared" si="10"/>
        <v/>
      </c>
      <c r="G27" s="20">
        <f>SUM(Apr!G27, May!G27, Jun!G27)</f>
        <v>0</v>
      </c>
      <c r="H27" s="15">
        <f>SUM(Apr!H27, May!H27, Jun!H27)</f>
        <v>0</v>
      </c>
      <c r="I27" s="16" t="str">
        <f t="shared" si="11"/>
        <v/>
      </c>
    </row>
    <row r="28" spans="1:9" ht="15.6">
      <c r="A28" s="48" t="str">
        <v>Greenfield USD - Fairfield ES</v>
      </c>
      <c r="B28" s="9" t="str">
        <v>CA</v>
      </c>
      <c r="C28" s="11">
        <f>SUM(Apr!C28, May!C28, Jun!C28)</f>
        <v>0</v>
      </c>
      <c r="D28" s="18">
        <f>SUM(Apr!D28, May!D28, Jun!D28)</f>
        <v>0</v>
      </c>
      <c r="E28" s="18">
        <f t="shared" si="9"/>
        <v>0</v>
      </c>
      <c r="F28" s="19" t="str">
        <f t="shared" si="10"/>
        <v/>
      </c>
      <c r="G28" s="15">
        <f>SUM(Apr!G28, May!G28, Jun!G28)</f>
        <v>0</v>
      </c>
      <c r="H28" s="20">
        <f>SUM(Apr!H28, May!H28, Jun!H28)</f>
        <v>0</v>
      </c>
      <c r="I28" s="19" t="str">
        <f t="shared" si="11"/>
        <v/>
      </c>
    </row>
    <row r="29" spans="1:9" ht="15.6">
      <c r="A29" s="49" t="str">
        <v>Greenfield USD - Granite Point ES</v>
      </c>
      <c r="B29" s="10" t="str">
        <v>CA</v>
      </c>
      <c r="C29" s="24">
        <f>SUM(Apr!C29, May!C29, Jun!C29)</f>
        <v>0</v>
      </c>
      <c r="D29" s="13">
        <f>SUM(Apr!D29, May!D29, Jun!D29)</f>
        <v>0</v>
      </c>
      <c r="E29" s="13">
        <f t="shared" si="9"/>
        <v>0</v>
      </c>
      <c r="F29" s="14" t="str">
        <f t="shared" si="10"/>
        <v/>
      </c>
      <c r="G29" s="20">
        <f>SUM(Apr!G29, May!G29, Jun!G29)</f>
        <v>0</v>
      </c>
      <c r="H29" s="15">
        <f>SUM(Apr!H29, May!H29, Jun!H29)</f>
        <v>0</v>
      </c>
      <c r="I29" s="16" t="str">
        <f t="shared" si="11"/>
        <v/>
      </c>
    </row>
    <row r="30" spans="1:9" ht="15.6">
      <c r="A30" s="48" t="str">
        <v>Greenfield USD - Greenfield MS</v>
      </c>
      <c r="B30" s="9" t="str">
        <v>CA</v>
      </c>
      <c r="C30" s="11">
        <f>SUM(Apr!C30, May!C30, Jun!C30)</f>
        <v>0</v>
      </c>
      <c r="D30" s="18">
        <f>SUM(Apr!D30, May!D30, Jun!D30)</f>
        <v>0</v>
      </c>
      <c r="E30" s="18">
        <f t="shared" si="9"/>
        <v>0</v>
      </c>
      <c r="F30" s="19" t="str">
        <f t="shared" si="10"/>
        <v/>
      </c>
      <c r="G30" s="15">
        <f>SUM(Apr!G30, May!G30, Jun!G30)</f>
        <v>0</v>
      </c>
      <c r="H30" s="20">
        <f>SUM(Apr!H30, May!H30, Jun!H30)</f>
        <v>0</v>
      </c>
      <c r="I30" s="19" t="str">
        <f t="shared" si="11"/>
        <v/>
      </c>
    </row>
    <row r="31" spans="1:9" ht="15.6">
      <c r="A31" s="49" t="str">
        <v>Greenfield USD - Horizon ES</v>
      </c>
      <c r="B31" s="10" t="str">
        <v>CA</v>
      </c>
      <c r="C31" s="24">
        <f>SUM(Apr!C31, May!C31, Jun!C31)</f>
        <v>0</v>
      </c>
      <c r="D31" s="13">
        <f>SUM(Apr!D31, May!D31, Jun!D31)</f>
        <v>0</v>
      </c>
      <c r="E31" s="13">
        <f t="shared" si="9"/>
        <v>0</v>
      </c>
      <c r="F31" s="14" t="str">
        <f t="shared" si="10"/>
        <v/>
      </c>
      <c r="G31" s="20">
        <f>SUM(Apr!G31, May!G31, Jun!G31)</f>
        <v>0</v>
      </c>
      <c r="H31" s="15">
        <f>SUM(Apr!H31, May!H31, Jun!H31)</f>
        <v>0</v>
      </c>
      <c r="I31" s="16" t="str">
        <f t="shared" si="11"/>
        <v/>
      </c>
    </row>
    <row r="32" spans="1:9" ht="15.6">
      <c r="A32" s="48" t="str">
        <v>Greenfield USD - McKee MS</v>
      </c>
      <c r="B32" s="9" t="str">
        <v>CA</v>
      </c>
      <c r="C32" s="11">
        <f>SUM(Apr!C32, May!C32, Jun!C32)</f>
        <v>0</v>
      </c>
      <c r="D32" s="18">
        <f>SUM(Apr!D32, May!D32, Jun!D32)</f>
        <v>0</v>
      </c>
      <c r="E32" s="18">
        <f t="shared" si="9"/>
        <v>0</v>
      </c>
      <c r="F32" s="19" t="str">
        <f t="shared" si="10"/>
        <v/>
      </c>
      <c r="G32" s="15">
        <f>SUM(Apr!G32, May!G32, Jun!G32)</f>
        <v>0</v>
      </c>
      <c r="H32" s="20">
        <f>SUM(Apr!H32, May!H32, Jun!H32)</f>
        <v>0</v>
      </c>
      <c r="I32" s="19" t="str">
        <f t="shared" si="11"/>
        <v/>
      </c>
    </row>
    <row r="33" spans="1:9" ht="15.6">
      <c r="A33" s="49" t="str">
        <v>Greenfield USD - Plantation ES</v>
      </c>
      <c r="B33" s="10" t="str">
        <v>CA</v>
      </c>
      <c r="C33" s="24">
        <f>SUM(Apr!C33, May!C33, Jun!C33)</f>
        <v>0</v>
      </c>
      <c r="D33" s="13">
        <f>SUM(Apr!D33, May!D33, Jun!D33)</f>
        <v>0</v>
      </c>
      <c r="E33" s="13">
        <f t="shared" si="9"/>
        <v>0</v>
      </c>
      <c r="F33" s="14" t="str">
        <f t="shared" si="10"/>
        <v/>
      </c>
      <c r="G33" s="20">
        <f>SUM(Apr!G33, May!G33, Jun!G33)</f>
        <v>0</v>
      </c>
      <c r="H33" s="15">
        <f>SUM(Apr!H33, May!H33, Jun!H33)</f>
        <v>0</v>
      </c>
      <c r="I33" s="16" t="str">
        <f t="shared" si="11"/>
        <v/>
      </c>
    </row>
    <row r="34" spans="1:9" ht="15.6">
      <c r="A34" s="48" t="str">
        <v>Greenfield USD - Planz ES</v>
      </c>
      <c r="B34" s="9" t="str">
        <v>CA</v>
      </c>
      <c r="C34" s="11">
        <f>SUM(Apr!C34, May!C34, Jun!C34)</f>
        <v>0</v>
      </c>
      <c r="D34" s="18">
        <f>SUM(Apr!D34, May!D34, Jun!D34)</f>
        <v>0</v>
      </c>
      <c r="E34" s="18">
        <f t="shared" si="9"/>
        <v>0</v>
      </c>
      <c r="F34" s="19" t="str">
        <f t="shared" si="10"/>
        <v/>
      </c>
      <c r="G34" s="15">
        <f>SUM(Apr!G34, May!G34, Jun!G34)</f>
        <v>0</v>
      </c>
      <c r="H34" s="20">
        <f>SUM(Apr!H34, May!H34, Jun!H34)</f>
        <v>0</v>
      </c>
      <c r="I34" s="19" t="str">
        <f t="shared" si="11"/>
        <v/>
      </c>
    </row>
    <row r="35" spans="1:9" ht="15.6">
      <c r="A35" s="49" t="str">
        <v>Greenfield USD - Raffaello Palla ES</v>
      </c>
      <c r="B35" s="10" t="str">
        <v>CA</v>
      </c>
      <c r="C35" s="24">
        <f>SUM(Apr!C35, May!C35, Jun!C35)</f>
        <v>0</v>
      </c>
      <c r="D35" s="13">
        <f>SUM(Apr!D35, May!D35, Jun!D35)</f>
        <v>0</v>
      </c>
      <c r="E35" s="13">
        <f t="shared" si="9"/>
        <v>0</v>
      </c>
      <c r="F35" s="14" t="str">
        <f t="shared" si="10"/>
        <v/>
      </c>
      <c r="G35" s="20">
        <f>SUM(Apr!G35, May!G35, Jun!G35)</f>
        <v>0</v>
      </c>
      <c r="H35" s="15">
        <f>SUM(Apr!H35, May!H35, Jun!H35)</f>
        <v>0</v>
      </c>
      <c r="I35" s="16" t="str">
        <f t="shared" si="11"/>
        <v/>
      </c>
    </row>
    <row r="36" spans="1:9" ht="15.6">
      <c r="A36" s="48" t="str">
        <v>Greenfield USD - Valle Verde ES</v>
      </c>
      <c r="B36" s="9" t="str">
        <v>CA</v>
      </c>
      <c r="C36" s="11">
        <f>SUM(Apr!C36, May!C36, Jun!C36)</f>
        <v>0</v>
      </c>
      <c r="D36" s="18">
        <f>SUM(Apr!D36, May!D36, Jun!D36)</f>
        <v>0</v>
      </c>
      <c r="E36" s="18">
        <f t="shared" si="9"/>
        <v>0</v>
      </c>
      <c r="F36" s="19" t="str">
        <f t="shared" si="10"/>
        <v/>
      </c>
      <c r="G36" s="15">
        <f>SUM(Apr!G36, May!G36, Jun!G36)</f>
        <v>0</v>
      </c>
      <c r="H36" s="20">
        <f>SUM(Apr!H36, May!H36, Jun!H36)</f>
        <v>0</v>
      </c>
      <c r="I36" s="19" t="str">
        <f t="shared" si="11"/>
        <v/>
      </c>
    </row>
    <row r="37" spans="1:9" ht="15.6">
      <c r="A37" s="49" t="str">
        <v>Greenfield USD - W.A. Kendrick ES</v>
      </c>
      <c r="B37" s="10" t="str">
        <v>CA</v>
      </c>
      <c r="C37" s="24">
        <f>SUM(Apr!C37, May!C37, Jun!C37)</f>
        <v>0</v>
      </c>
      <c r="D37" s="13">
        <f>SUM(Apr!D37, May!D37, Jun!D37)</f>
        <v>0</v>
      </c>
      <c r="E37" s="13">
        <f t="shared" si="9"/>
        <v>0</v>
      </c>
      <c r="F37" s="14" t="str">
        <f t="shared" si="10"/>
        <v/>
      </c>
      <c r="G37" s="20">
        <f>SUM(Apr!G37, May!G37, Jun!G37)</f>
        <v>0</v>
      </c>
      <c r="H37" s="15">
        <f>SUM(Apr!H37, May!H37, Jun!H37)</f>
        <v>0</v>
      </c>
      <c r="I37" s="16" t="str">
        <f t="shared" si="11"/>
        <v/>
      </c>
    </row>
    <row r="38" spans="1:9" ht="15.6">
      <c r="A38" s="48" t="str">
        <v>Muroc Joint USD - Boron HS</v>
      </c>
      <c r="B38" s="9" t="str">
        <v>CA</v>
      </c>
      <c r="C38" s="11">
        <f>SUM(Apr!C38, May!C38, Jun!C38)</f>
        <v>0</v>
      </c>
      <c r="D38" s="18">
        <f>SUM(Apr!D38, May!D38, Jun!D38)</f>
        <v>0</v>
      </c>
      <c r="E38" s="18">
        <f t="shared" si="9"/>
        <v>0</v>
      </c>
      <c r="F38" s="19" t="str">
        <f t="shared" si="10"/>
        <v/>
      </c>
      <c r="G38" s="15">
        <f>SUM(Apr!G38, May!G38, Jun!G38)</f>
        <v>0</v>
      </c>
      <c r="H38" s="20">
        <f>SUM(Apr!H38, May!H38, Jun!H38)</f>
        <v>0</v>
      </c>
      <c r="I38" s="19" t="str">
        <f t="shared" si="11"/>
        <v/>
      </c>
    </row>
    <row r="39" spans="1:9" ht="15.6">
      <c r="A39" s="49" t="str">
        <v>Muroc Joint USD - W. Boron ES</v>
      </c>
      <c r="B39" s="10" t="str">
        <v>CA</v>
      </c>
      <c r="C39" s="24">
        <f>SUM(Apr!C39, May!C39, Jun!C39)</f>
        <v>0</v>
      </c>
      <c r="D39" s="13">
        <f>SUM(Apr!D39, May!D39, Jun!D39)</f>
        <v>0</v>
      </c>
      <c r="E39" s="13">
        <f t="shared" si="9"/>
        <v>0</v>
      </c>
      <c r="F39" s="14" t="str">
        <f t="shared" si="10"/>
        <v/>
      </c>
      <c r="G39" s="20">
        <f>SUM(Apr!G39, May!G39, Jun!G39)</f>
        <v>0</v>
      </c>
      <c r="H39" s="15">
        <f>SUM(Apr!H39, May!H39, Jun!H39)</f>
        <v>0</v>
      </c>
      <c r="I39" s="16" t="str">
        <f t="shared" si="11"/>
        <v/>
      </c>
    </row>
    <row r="40" spans="1:9" ht="15.6">
      <c r="A40" s="48" t="str">
        <v>Colusa - WTP</v>
      </c>
      <c r="B40" s="9" t="str">
        <v>CA</v>
      </c>
      <c r="C40" s="11">
        <f>SUM(Apr!C40, May!C40, Jun!C40)</f>
        <v>0</v>
      </c>
      <c r="D40" s="18">
        <f>SUM(Apr!D40, May!D40, Jun!D40)</f>
        <v>0</v>
      </c>
      <c r="E40" s="18">
        <f t="shared" si="9"/>
        <v>0</v>
      </c>
      <c r="F40" s="19" t="str">
        <f t="shared" si="10"/>
        <v/>
      </c>
      <c r="G40" s="15">
        <f>SUM(Apr!G40, May!G40, Jun!G40)</f>
        <v>0</v>
      </c>
      <c r="H40" s="20">
        <f>SUM(Apr!H40, May!H40, Jun!H40)</f>
        <v>0</v>
      </c>
      <c r="I40" s="19" t="str">
        <f t="shared" si="11"/>
        <v/>
      </c>
    </row>
    <row r="41" spans="1:9" ht="15.6">
      <c r="A41" s="49" t="str">
        <v>CDCR-North Kern State Prision</v>
      </c>
      <c r="B41" s="10" t="str">
        <v>CA</v>
      </c>
      <c r="C41" s="24">
        <f>SUM(Apr!C41, May!C41, Jun!C41)</f>
        <v>0</v>
      </c>
      <c r="D41" s="13">
        <f>SUM(Apr!D41, May!D41, Jun!D41)</f>
        <v>0</v>
      </c>
      <c r="E41" s="13">
        <f t="shared" si="9"/>
        <v>0</v>
      </c>
      <c r="F41" s="14" t="str">
        <f t="shared" si="10"/>
        <v/>
      </c>
      <c r="G41" s="20">
        <f>SUM(Apr!G41, May!G41, Jun!G41)</f>
        <v>0</v>
      </c>
      <c r="H41" s="15">
        <f>SUM(Apr!H41, May!H41, Jun!H41)</f>
        <v>0</v>
      </c>
      <c r="I41" s="16" t="str">
        <f t="shared" si="11"/>
        <v/>
      </c>
    </row>
    <row r="42" spans="1:9" ht="15.6">
      <c r="A42" s="48" t="str">
        <v>Muroc Joint USD - District Office</v>
      </c>
      <c r="B42" s="9" t="str">
        <v>CA</v>
      </c>
      <c r="C42" s="11">
        <f>SUM(Apr!C42, May!C42, Jun!C42)</f>
        <v>0</v>
      </c>
      <c r="D42" s="18">
        <f>SUM(Apr!D42, May!D42, Jun!D42)</f>
        <v>0</v>
      </c>
      <c r="E42" s="18">
        <f t="shared" si="9"/>
        <v>0</v>
      </c>
      <c r="F42" s="19" t="str">
        <f t="shared" si="10"/>
        <v/>
      </c>
      <c r="G42" s="15">
        <f>SUM(Apr!G42, May!G42, Jun!G42)</f>
        <v>0</v>
      </c>
      <c r="H42" s="20">
        <f>SUM(Apr!H42, May!H42, Jun!H42)</f>
        <v>0</v>
      </c>
      <c r="I42" s="19" t="str">
        <f t="shared" si="11"/>
        <v/>
      </c>
    </row>
    <row r="43" spans="1:9" ht="15.6">
      <c r="A43" s="49" t="str">
        <v>Whole Foods - Manhattan Beach</v>
      </c>
      <c r="B43" s="10" t="str">
        <v>CA</v>
      </c>
      <c r="C43" s="24">
        <f>SUM(Apr!C43, May!C43, Jun!C43)</f>
        <v>0</v>
      </c>
      <c r="D43" s="13">
        <f>SUM(Apr!D43, May!D43, Jun!D43)</f>
        <v>0</v>
      </c>
      <c r="E43" s="13">
        <f t="shared" si="9"/>
        <v>0</v>
      </c>
      <c r="F43" s="14" t="str">
        <f t="shared" si="10"/>
        <v/>
      </c>
      <c r="G43" s="20">
        <f>SUM(Apr!G43, May!G43, Jun!G43)</f>
        <v>0</v>
      </c>
      <c r="H43" s="15">
        <f>SUM(Apr!H43, May!H43, Jun!H43)</f>
        <v>0</v>
      </c>
      <c r="I43" s="16" t="str">
        <f t="shared" si="11"/>
        <v/>
      </c>
    </row>
    <row r="44" spans="1:9" ht="15.6">
      <c r="A44" s="48" t="str">
        <v>Pioneer USD - Frontier ES</v>
      </c>
      <c r="B44" s="9" t="str">
        <v>CA</v>
      </c>
      <c r="C44" s="11">
        <f>SUM(Apr!C44, May!C44, Jun!C44)</f>
        <v>0</v>
      </c>
      <c r="D44" s="18">
        <f>SUM(Apr!D44, May!D44, Jun!D44)</f>
        <v>0</v>
      </c>
      <c r="E44" s="18">
        <f t="shared" si="9"/>
        <v>0</v>
      </c>
      <c r="F44" s="19" t="str">
        <f t="shared" si="10"/>
        <v/>
      </c>
      <c r="G44" s="15">
        <f>SUM(Apr!G44, May!G44, Jun!G44)</f>
        <v>0</v>
      </c>
      <c r="H44" s="20">
        <f>SUM(Apr!H44, May!H44, Jun!H44)</f>
        <v>0</v>
      </c>
      <c r="I44" s="19" t="str">
        <f t="shared" si="11"/>
        <v/>
      </c>
    </row>
    <row r="45" spans="1:9" ht="15.6">
      <c r="A45" s="49" t="str">
        <v>Pioneer USD - Pioneer ES</v>
      </c>
      <c r="B45" s="10" t="str">
        <v>CA</v>
      </c>
      <c r="C45" s="24">
        <f>SUM(Apr!C45, May!C45, Jun!C45)</f>
        <v>0</v>
      </c>
      <c r="D45" s="13">
        <f>SUM(Apr!D45, May!D45, Jun!D45)</f>
        <v>0</v>
      </c>
      <c r="E45" s="13">
        <f t="shared" si="9"/>
        <v>0</v>
      </c>
      <c r="F45" s="14" t="str">
        <f t="shared" si="10"/>
        <v/>
      </c>
      <c r="G45" s="20">
        <f>SUM(Apr!G45, May!G45, Jun!G45)</f>
        <v>0</v>
      </c>
      <c r="H45" s="15">
        <f>SUM(Apr!H45, May!H45, Jun!H45)</f>
        <v>0</v>
      </c>
      <c r="I45" s="16" t="str">
        <f t="shared" si="11"/>
        <v/>
      </c>
    </row>
    <row r="46" spans="1:9" ht="15.6">
      <c r="A46" s="48" t="str">
        <v>Pioneer USD - Pioneer MS</v>
      </c>
      <c r="B46" s="9" t="str">
        <v>CA</v>
      </c>
      <c r="C46" s="11">
        <f>SUM(Apr!C46, May!C46, Jun!C46)</f>
        <v>0</v>
      </c>
      <c r="D46" s="18">
        <f>SUM(Apr!D46, May!D46, Jun!D46)</f>
        <v>0</v>
      </c>
      <c r="E46" s="18">
        <f t="shared" si="9"/>
        <v>0</v>
      </c>
      <c r="F46" s="19" t="str">
        <f t="shared" si="10"/>
        <v/>
      </c>
      <c r="G46" s="15">
        <f>SUM(Apr!G46, May!G46, Jun!G46)</f>
        <v>0</v>
      </c>
      <c r="H46" s="20">
        <f>SUM(Apr!H46, May!H46, Jun!H46)</f>
        <v>0</v>
      </c>
      <c r="I46" s="19" t="str">
        <f t="shared" si="11"/>
        <v/>
      </c>
    </row>
    <row r="47" spans="1:9" ht="15.6">
      <c r="A47" s="49" t="str">
        <v>Kingsburg Joint UHSD - Kingsburg HS</v>
      </c>
      <c r="B47" s="10" t="str">
        <v>CA</v>
      </c>
      <c r="C47" s="24">
        <f>SUM(Apr!C47, May!C47, Jun!C47)</f>
        <v>0</v>
      </c>
      <c r="D47" s="13">
        <f>SUM(Apr!D47, May!D47, Jun!D47)</f>
        <v>0</v>
      </c>
      <c r="E47" s="13">
        <f t="shared" si="9"/>
        <v>0</v>
      </c>
      <c r="F47" s="14" t="str">
        <f t="shared" si="10"/>
        <v/>
      </c>
      <c r="G47" s="20">
        <f>SUM(Apr!G47, May!G47, Jun!G47)</f>
        <v>0</v>
      </c>
      <c r="H47" s="15">
        <f>SUM(Apr!H47, May!H47, Jun!H47)</f>
        <v>0</v>
      </c>
      <c r="I47" s="16" t="str">
        <f t="shared" si="11"/>
        <v/>
      </c>
    </row>
    <row r="48" spans="1:9" ht="15.6">
      <c r="A48" s="48" t="str">
        <v>CADRB</v>
      </c>
      <c r="B48" s="9" t="str">
        <v>CA</v>
      </c>
      <c r="C48" s="11">
        <f>SUM(Apr!C48, May!C48, Jun!C48)</f>
        <v>0</v>
      </c>
      <c r="D48" s="18">
        <f>SUM(Apr!D48, May!D48, Jun!D48)</f>
        <v>0</v>
      </c>
      <c r="E48" s="18">
        <f t="shared" si="9"/>
        <v>0</v>
      </c>
      <c r="F48" s="19" t="str">
        <f t="shared" si="10"/>
        <v/>
      </c>
      <c r="G48" s="15">
        <f>SUM(Apr!G48, May!G48, Jun!G48)</f>
        <v>0</v>
      </c>
      <c r="H48" s="20">
        <f>SUM(Apr!H48, May!H48, Jun!H48)</f>
        <v>0</v>
      </c>
      <c r="I48" s="19" t="str">
        <f t="shared" si="11"/>
        <v/>
      </c>
    </row>
    <row r="49" spans="1:9" ht="15.6">
      <c r="A49" s="49" t="str">
        <v>CDCR-CA State Prison LA County</v>
      </c>
      <c r="B49" s="10" t="str">
        <v>CA</v>
      </c>
      <c r="C49" s="24">
        <f>SUM(Apr!C49, May!C49, Jun!C49)</f>
        <v>0</v>
      </c>
      <c r="D49" s="13">
        <f>SUM(Apr!D49, May!D49, Jun!D49)</f>
        <v>0</v>
      </c>
      <c r="E49" s="13">
        <f t="shared" si="9"/>
        <v>0</v>
      </c>
      <c r="F49" s="14" t="str">
        <f t="shared" si="10"/>
        <v/>
      </c>
      <c r="G49" s="20">
        <f>SUM(Apr!G49, May!G49, Jun!G49)</f>
        <v>0</v>
      </c>
      <c r="H49" s="15">
        <f>SUM(Apr!H49, May!H49, Jun!H49)</f>
        <v>0</v>
      </c>
      <c r="I49" s="16" t="str">
        <f t="shared" si="11"/>
        <v/>
      </c>
    </row>
    <row r="50" spans="1:9" ht="15.6">
      <c r="A50" s="48" t="str">
        <v>Central USD Akers ES</v>
      </c>
      <c r="B50" s="9" t="str">
        <v>CA</v>
      </c>
      <c r="C50" s="11">
        <f>SUM(Apr!C50, May!C50, Jun!C50)</f>
        <v>0</v>
      </c>
      <c r="D50" s="18">
        <f>SUM(Apr!D50, May!D50, Jun!D50)</f>
        <v>0</v>
      </c>
      <c r="E50" s="18">
        <f t="shared" si="9"/>
        <v>0</v>
      </c>
      <c r="F50" s="19" t="str">
        <f t="shared" si="10"/>
        <v/>
      </c>
      <c r="G50" s="15">
        <f>SUM(Apr!G50, May!G50, Jun!G50)</f>
        <v>0</v>
      </c>
      <c r="H50" s="20">
        <f>SUM(Apr!H50, May!H50, Jun!H50)</f>
        <v>0</v>
      </c>
      <c r="I50" s="19" t="str">
        <f t="shared" si="11"/>
        <v/>
      </c>
    </row>
    <row r="51" spans="1:9" ht="15.6">
      <c r="A51" s="49" t="str">
        <v>CUSD - District Office</v>
      </c>
      <c r="B51" s="10" t="str">
        <v>CA</v>
      </c>
      <c r="C51" s="24">
        <f>SUM(Apr!C51, May!C51, Jun!C51)</f>
        <v>0</v>
      </c>
      <c r="D51" s="13">
        <f>SUM(Apr!D51, May!D51, Jun!D51)</f>
        <v>0</v>
      </c>
      <c r="E51" s="13">
        <f t="shared" si="9"/>
        <v>0</v>
      </c>
      <c r="F51" s="14" t="str">
        <f t="shared" si="10"/>
        <v/>
      </c>
      <c r="G51" s="20">
        <f>SUM(Apr!G51, May!G51, Jun!G51)</f>
        <v>0</v>
      </c>
      <c r="H51" s="15">
        <f>SUM(Apr!H51, May!H51, Jun!H51)</f>
        <v>0</v>
      </c>
      <c r="I51" s="16" t="str">
        <f t="shared" si="11"/>
        <v/>
      </c>
    </row>
    <row r="52" spans="1:9" ht="15.6">
      <c r="A52" s="48" t="str">
        <v>Parlier - WTP</v>
      </c>
      <c r="B52" s="9" t="str">
        <v>CA</v>
      </c>
      <c r="C52" s="11">
        <f>SUM(Apr!C52, May!C52, Jun!C52)</f>
        <v>0</v>
      </c>
      <c r="D52" s="18">
        <f>SUM(Apr!D52, May!D52, Jun!D52)</f>
        <v>0</v>
      </c>
      <c r="E52" s="18">
        <f t="shared" si="9"/>
        <v>0</v>
      </c>
      <c r="F52" s="19" t="str">
        <f t="shared" si="10"/>
        <v/>
      </c>
      <c r="G52" s="15">
        <f>SUM(Apr!G52, May!G52, Jun!G52)</f>
        <v>0</v>
      </c>
      <c r="H52" s="20">
        <f>SUM(Apr!H52, May!H52, Jun!H52)</f>
        <v>0</v>
      </c>
      <c r="I52" s="19" t="str">
        <f t="shared" si="11"/>
        <v/>
      </c>
    </row>
    <row r="53" spans="1:9" ht="15.6">
      <c r="A53" s="49" t="str">
        <v>Snowline SD - Quail Valley MS</v>
      </c>
      <c r="B53" s="10" t="str">
        <v>CA</v>
      </c>
      <c r="C53" s="24">
        <f>SUM(Apr!C53, May!C53, Jun!C53)</f>
        <v>0</v>
      </c>
      <c r="D53" s="13">
        <f>SUM(Apr!D53, May!D53, Jun!D53)</f>
        <v>0</v>
      </c>
      <c r="E53" s="13">
        <f t="shared" si="9"/>
        <v>0</v>
      </c>
      <c r="F53" s="14" t="str">
        <f t="shared" si="10"/>
        <v/>
      </c>
      <c r="G53" s="20">
        <f>SUM(Apr!G53, May!G53, Jun!G53)</f>
        <v>0</v>
      </c>
      <c r="H53" s="15">
        <f>SUM(Apr!H53, May!H53, Jun!H53)</f>
        <v>0</v>
      </c>
      <c r="I53" s="16" t="str">
        <f t="shared" si="11"/>
        <v/>
      </c>
    </row>
    <row r="54" spans="1:9" ht="15.6">
      <c r="A54" s="48" t="str">
        <v>Snowline SD - Serrano HS - Middle Lot</v>
      </c>
      <c r="B54" s="9" t="str">
        <v>CA</v>
      </c>
      <c r="C54" s="11">
        <f>SUM(Apr!C54, May!C54, Jun!C54)</f>
        <v>0</v>
      </c>
      <c r="D54" s="18">
        <f>SUM(Apr!D54, May!D54, Jun!D54)</f>
        <v>0</v>
      </c>
      <c r="E54" s="18">
        <f t="shared" si="9"/>
        <v>0</v>
      </c>
      <c r="F54" s="19" t="str">
        <f t="shared" si="10"/>
        <v/>
      </c>
      <c r="G54" s="15">
        <f>SUM(Apr!G54, May!G54, Jun!G54)</f>
        <v>0</v>
      </c>
      <c r="H54" s="20">
        <f>SUM(Apr!H54, May!H54, Jun!H54)</f>
        <v>0</v>
      </c>
      <c r="I54" s="19" t="str">
        <f t="shared" si="11"/>
        <v/>
      </c>
    </row>
    <row r="55" spans="1:9" ht="15.6">
      <c r="A55" s="49" t="str">
        <v>Snowline SD - Pinon Hills ES</v>
      </c>
      <c r="B55" s="10" t="str">
        <v>CA</v>
      </c>
      <c r="C55" s="24">
        <f>SUM(Apr!C55, May!C55, Jun!C55)</f>
        <v>0</v>
      </c>
      <c r="D55" s="13">
        <f>SUM(Apr!D55, May!D55, Jun!D55)</f>
        <v>0</v>
      </c>
      <c r="E55" s="13">
        <f t="shared" si="9"/>
        <v>0</v>
      </c>
      <c r="F55" s="14" t="str">
        <f t="shared" si="10"/>
        <v/>
      </c>
      <c r="G55" s="20">
        <f>SUM(Apr!G55, May!G55, Jun!G55)</f>
        <v>0</v>
      </c>
      <c r="H55" s="15">
        <f>SUM(Apr!H55, May!H55, Jun!H55)</f>
        <v>0</v>
      </c>
      <c r="I55" s="16" t="str">
        <f t="shared" si="11"/>
        <v/>
      </c>
    </row>
    <row r="56" spans="1:9" ht="15.6">
      <c r="A56" s="48" t="str">
        <v>Ramona - Santa Maria WTP</v>
      </c>
      <c r="B56" s="9" t="str">
        <v>CA</v>
      </c>
      <c r="C56" s="11">
        <f>SUM(Apr!C56, May!C56, Jun!C56)</f>
        <v>0</v>
      </c>
      <c r="D56" s="18">
        <f>SUM(Apr!D56, May!D56, Jun!D56)</f>
        <v>0</v>
      </c>
      <c r="E56" s="18">
        <f t="shared" si="9"/>
        <v>0</v>
      </c>
      <c r="F56" s="19" t="str">
        <f t="shared" si="10"/>
        <v/>
      </c>
      <c r="G56" s="15">
        <f>SUM(Apr!G56, May!G56, Jun!G56)</f>
        <v>0</v>
      </c>
      <c r="H56" s="20">
        <f>SUM(Apr!H56, May!H56, Jun!H56)</f>
        <v>0</v>
      </c>
      <c r="I56" s="19" t="str">
        <f t="shared" si="11"/>
        <v/>
      </c>
    </row>
    <row r="57" spans="1:9" ht="15.6">
      <c r="A57" s="49" t="str">
        <v>Kohls - Redding</v>
      </c>
      <c r="B57" s="10" t="str">
        <v>CA</v>
      </c>
      <c r="C57" s="24">
        <f>SUM(Apr!C57, May!C57, Jun!C57)</f>
        <v>0</v>
      </c>
      <c r="D57" s="13">
        <f>SUM(Apr!D57, May!D57, Jun!D57)</f>
        <v>0</v>
      </c>
      <c r="E57" s="13">
        <f t="shared" si="9"/>
        <v>0</v>
      </c>
      <c r="F57" s="14" t="str">
        <f t="shared" si="10"/>
        <v/>
      </c>
      <c r="G57" s="20">
        <f>SUM(Apr!G57, May!G57, Jun!G57)</f>
        <v>0</v>
      </c>
      <c r="H57" s="15">
        <f>SUM(Apr!H57, May!H57, Jun!H57)</f>
        <v>0</v>
      </c>
      <c r="I57" s="16" t="str">
        <f t="shared" si="11"/>
        <v/>
      </c>
    </row>
    <row r="58" spans="1:9" ht="15.6">
      <c r="A58" s="48" t="str">
        <v>Kohls - Salinas</v>
      </c>
      <c r="B58" s="9" t="str">
        <v>CA</v>
      </c>
      <c r="C58" s="11">
        <f>SUM(Apr!C58, May!C58, Jun!C58)</f>
        <v>0</v>
      </c>
      <c r="D58" s="18">
        <f>SUM(Apr!D58, May!D58, Jun!D58)</f>
        <v>0</v>
      </c>
      <c r="E58" s="18">
        <f t="shared" si="9"/>
        <v>0</v>
      </c>
      <c r="F58" s="19" t="str">
        <f t="shared" si="10"/>
        <v/>
      </c>
      <c r="G58" s="15">
        <f>SUM(Apr!G58, May!G58, Jun!G58)</f>
        <v>0</v>
      </c>
      <c r="H58" s="20">
        <f>SUM(Apr!H58, May!H58, Jun!H58)</f>
        <v>0</v>
      </c>
      <c r="I58" s="19" t="str">
        <f t="shared" si="11"/>
        <v/>
      </c>
    </row>
    <row r="59" spans="1:9" ht="15.6">
      <c r="A59" s="49" t="str">
        <v>Kohls - San Bernardino - Central</v>
      </c>
      <c r="B59" s="10" t="str">
        <v>CA</v>
      </c>
      <c r="C59" s="24">
        <f>SUM(Apr!C59, May!C59, Jun!C59)</f>
        <v>0</v>
      </c>
      <c r="D59" s="13">
        <f>SUM(Apr!D59, May!D59, Jun!D59)</f>
        <v>0</v>
      </c>
      <c r="E59" s="13">
        <f t="shared" si="9"/>
        <v>0</v>
      </c>
      <c r="F59" s="14" t="str">
        <f t="shared" si="10"/>
        <v/>
      </c>
      <c r="G59" s="20">
        <f>SUM(Apr!G59, May!G59, Jun!G59)</f>
        <v>0</v>
      </c>
      <c r="H59" s="15">
        <f>SUM(Apr!H59, May!H59, Jun!H59)</f>
        <v>0</v>
      </c>
      <c r="I59" s="16" t="str">
        <f t="shared" si="11"/>
        <v/>
      </c>
    </row>
    <row r="60" spans="1:9" ht="15.6">
      <c r="A60" s="48" t="str">
        <v>Kohls - Sonora</v>
      </c>
      <c r="B60" s="9" t="str">
        <v>CA</v>
      </c>
      <c r="C60" s="11">
        <f>SUM(Apr!C60, May!C60, Jun!C60)</f>
        <v>0</v>
      </c>
      <c r="D60" s="18">
        <f>SUM(Apr!D60, May!D60, Jun!D60)</f>
        <v>0</v>
      </c>
      <c r="E60" s="18">
        <f t="shared" si="9"/>
        <v>0</v>
      </c>
      <c r="F60" s="19" t="str">
        <f t="shared" si="10"/>
        <v/>
      </c>
      <c r="G60" s="15">
        <f>SUM(Apr!G60, May!G60, Jun!G60)</f>
        <v>0</v>
      </c>
      <c r="H60" s="20">
        <f>SUM(Apr!H60, May!H60, Jun!H60)</f>
        <v>0</v>
      </c>
      <c r="I60" s="19" t="str">
        <f t="shared" si="11"/>
        <v/>
      </c>
    </row>
    <row r="61" spans="1:9" ht="15.6">
      <c r="A61" s="49" t="str">
        <v>CUSD - Stratford ES</v>
      </c>
      <c r="B61" s="10" t="str">
        <v>CA</v>
      </c>
      <c r="C61" s="24">
        <f>SUM(Apr!C61, May!C61, Jun!C61)</f>
        <v>0</v>
      </c>
      <c r="D61" s="13">
        <f>SUM(Apr!D61, May!D61, Jun!D61)</f>
        <v>0</v>
      </c>
      <c r="E61" s="13">
        <f t="shared" si="9"/>
        <v>0</v>
      </c>
      <c r="F61" s="14" t="str">
        <f t="shared" si="10"/>
        <v/>
      </c>
      <c r="G61" s="20">
        <f>SUM(Apr!G61, May!G61, Jun!G61)</f>
        <v>0</v>
      </c>
      <c r="H61" s="15">
        <f>SUM(Apr!H61, May!H61, Jun!H61)</f>
        <v>0</v>
      </c>
      <c r="I61" s="16" t="str">
        <f t="shared" si="11"/>
        <v/>
      </c>
    </row>
    <row r="62" spans="1:9" ht="15.6">
      <c r="A62" s="48" t="str">
        <v>Taft - City Hall</v>
      </c>
      <c r="B62" s="9" t="str">
        <v>CA</v>
      </c>
      <c r="C62" s="11">
        <f>SUM(Apr!C62, May!C62, Jun!C62)</f>
        <v>0</v>
      </c>
      <c r="D62" s="18">
        <f>SUM(Apr!D62, May!D62, Jun!D62)</f>
        <v>0</v>
      </c>
      <c r="E62" s="18">
        <f t="shared" si="9"/>
        <v>0</v>
      </c>
      <c r="F62" s="19" t="str">
        <f t="shared" si="10"/>
        <v/>
      </c>
      <c r="G62" s="15">
        <f>SUM(Apr!G62, May!G62, Jun!G62)</f>
        <v>0</v>
      </c>
      <c r="H62" s="20">
        <f>SUM(Apr!H62, May!H62, Jun!H62)</f>
        <v>0</v>
      </c>
      <c r="I62" s="19" t="str">
        <f t="shared" si="11"/>
        <v/>
      </c>
    </row>
    <row r="63" spans="1:9" ht="15.6">
      <c r="A63" s="49" t="str">
        <v>Taft - Federal Prison</v>
      </c>
      <c r="B63" s="10" t="str">
        <v>CA</v>
      </c>
      <c r="C63" s="24">
        <f>SUM(Apr!C63, May!C63, Jun!C63)</f>
        <v>0</v>
      </c>
      <c r="D63" s="13">
        <f>SUM(Apr!D63, May!D63, Jun!D63)</f>
        <v>0</v>
      </c>
      <c r="E63" s="13">
        <f t="shared" si="9"/>
        <v>0</v>
      </c>
      <c r="F63" s="14" t="str">
        <f t="shared" si="10"/>
        <v/>
      </c>
      <c r="G63" s="20">
        <f>SUM(Apr!G63, May!G63, Jun!G63)</f>
        <v>0</v>
      </c>
      <c r="H63" s="15">
        <f>SUM(Apr!H63, May!H63, Jun!H63)</f>
        <v>0</v>
      </c>
      <c r="I63" s="16" t="str">
        <f t="shared" si="11"/>
        <v/>
      </c>
    </row>
    <row r="64" spans="1:9" ht="15.6">
      <c r="A64" s="48" t="str">
        <v>Taft - Police Department</v>
      </c>
      <c r="B64" s="9" t="str">
        <v>CA</v>
      </c>
      <c r="C64" s="11">
        <f>SUM(Apr!C64, May!C64, Jun!C64)</f>
        <v>0</v>
      </c>
      <c r="D64" s="18">
        <f>SUM(Apr!D64, May!D64, Jun!D64)</f>
        <v>0</v>
      </c>
      <c r="E64" s="18">
        <f t="shared" si="9"/>
        <v>0</v>
      </c>
      <c r="F64" s="19" t="str">
        <f t="shared" si="10"/>
        <v/>
      </c>
      <c r="G64" s="15">
        <f>SUM(Apr!G64, May!G64, Jun!G64)</f>
        <v>0</v>
      </c>
      <c r="H64" s="20">
        <f>SUM(Apr!H64, May!H64, Jun!H64)</f>
        <v>0</v>
      </c>
      <c r="I64" s="19" t="str">
        <f t="shared" si="11"/>
        <v/>
      </c>
    </row>
    <row r="65" spans="1:9" ht="15.6">
      <c r="A65" s="49" t="str">
        <v>Taft - WTP</v>
      </c>
      <c r="B65" s="10" t="str">
        <v>CA</v>
      </c>
      <c r="C65" s="24">
        <f>SUM(Apr!C65, May!C65, Jun!C65)</f>
        <v>0</v>
      </c>
      <c r="D65" s="13">
        <f>SUM(Apr!D65, May!D65, Jun!D65)</f>
        <v>0</v>
      </c>
      <c r="E65" s="13">
        <f t="shared" si="9"/>
        <v>0</v>
      </c>
      <c r="F65" s="14" t="str">
        <f t="shared" si="10"/>
        <v/>
      </c>
      <c r="G65" s="20">
        <f>SUM(Apr!G65, May!G65, Jun!G65)</f>
        <v>0</v>
      </c>
      <c r="H65" s="15">
        <f>SUM(Apr!H65, May!H65, Jun!H65)</f>
        <v>0</v>
      </c>
      <c r="I65" s="16" t="str">
        <f t="shared" si="11"/>
        <v/>
      </c>
    </row>
    <row r="66" spans="1:9" ht="15.6">
      <c r="A66" s="48" t="str">
        <v>CDCR - CA Correctional Institution</v>
      </c>
      <c r="B66" s="9" t="str">
        <v>CA</v>
      </c>
      <c r="C66" s="11">
        <f>SUM(Apr!C66, May!C66, Jun!C66)</f>
        <v>0</v>
      </c>
      <c r="D66" s="18">
        <f>SUM(Apr!D66, May!D66, Jun!D66)</f>
        <v>0</v>
      </c>
      <c r="E66" s="18">
        <f t="shared" si="9"/>
        <v>0</v>
      </c>
      <c r="F66" s="19" t="str">
        <f t="shared" si="10"/>
        <v/>
      </c>
      <c r="G66" s="15">
        <f>SUM(Apr!G66, May!G66, Jun!G66)</f>
        <v>0</v>
      </c>
      <c r="H66" s="20">
        <f>SUM(Apr!H66, May!H66, Jun!H66)</f>
        <v>0</v>
      </c>
      <c r="I66" s="19" t="str">
        <f t="shared" si="11"/>
        <v/>
      </c>
    </row>
    <row r="67" spans="1:9" ht="15.6">
      <c r="A67" s="49" t="str">
        <v>CDCR - CA Correctional Institution II</v>
      </c>
      <c r="B67" s="10" t="str">
        <v>CA</v>
      </c>
      <c r="C67" s="24">
        <f>SUM(Apr!C67, May!C67, Jun!C67)</f>
        <v>0</v>
      </c>
      <c r="D67" s="13">
        <f>SUM(Apr!D67, May!D67, Jun!D67)</f>
        <v>0</v>
      </c>
      <c r="E67" s="13">
        <f t="shared" si="9"/>
        <v>0</v>
      </c>
      <c r="F67" s="14" t="str">
        <f t="shared" si="10"/>
        <v/>
      </c>
      <c r="G67" s="20">
        <f>SUM(Apr!G67, May!G67, Jun!G67)</f>
        <v>0</v>
      </c>
      <c r="H67" s="15">
        <f>SUM(Apr!H67, May!H67, Jun!H67)</f>
        <v>0</v>
      </c>
      <c r="I67" s="16" t="str">
        <f t="shared" si="11"/>
        <v/>
      </c>
    </row>
    <row r="68" spans="1:9" ht="15.6">
      <c r="A68" s="48" t="str">
        <v>Snowline SD - Vista Verde ES</v>
      </c>
      <c r="B68" s="9" t="str">
        <v>CA</v>
      </c>
      <c r="C68" s="11">
        <f>SUM(Apr!C68, May!C68, Jun!C68)</f>
        <v>0</v>
      </c>
      <c r="D68" s="18">
        <f>SUM(Apr!D68, May!D68, Jun!D68)</f>
        <v>0</v>
      </c>
      <c r="E68" s="18">
        <f t="shared" si="9"/>
        <v>0</v>
      </c>
      <c r="F68" s="19" t="str">
        <f t="shared" si="10"/>
        <v/>
      </c>
      <c r="G68" s="15">
        <f>SUM(Apr!G68, May!G68, Jun!G68)</f>
        <v>0</v>
      </c>
      <c r="H68" s="20">
        <f>SUM(Apr!H68, May!H68, Jun!H68)</f>
        <v>0</v>
      </c>
      <c r="I68" s="19" t="str">
        <f t="shared" si="11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D51" activePane="bottomRight" state="frozen"/>
      <selection pane="bottomRight" activeCell="E71" sqref="E7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Silicon Ranch</v>
      </c>
      <c r="B1" s="84"/>
      <c r="C1" s="84"/>
      <c r="D1" s="85" t="s">
        <v>14</v>
      </c>
      <c r="E1" s="85"/>
      <c r="F1" s="85"/>
      <c r="G1" s="83" t="s">
        <v>15</v>
      </c>
      <c r="H1" s="83"/>
      <c r="I1" s="83"/>
    </row>
    <row r="2" spans="1:9" ht="19.5" customHeight="1">
      <c r="A2" s="86" t="s">
        <v>2</v>
      </c>
      <c r="B2" s="86"/>
      <c r="C2" s="5" t="e">
        <f>SUM(C4:C100)</f>
        <v>#REF!</v>
      </c>
      <c r="D2" s="5" t="e">
        <f>SUM(D4:D100)</f>
        <v>#REF!</v>
      </c>
      <c r="E2" s="5" t="e">
        <f>C2-D2</f>
        <v>#REF!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94554</v>
      </c>
      <c r="D4" s="13">
        <f>SUM(Jul!D4, Aug!D4, Sep!D4)</f>
        <v>0</v>
      </c>
      <c r="E4" s="13">
        <f>IF(AND(ISNUMBER(C4),ISNUMBER(D4)), C4-D4, "")</f>
        <v>94554</v>
      </c>
      <c r="F4" s="14" t="str">
        <f>IFERROR(E4/D4, "")</f>
        <v/>
      </c>
      <c r="G4" s="15">
        <f>SUM(Jul!G4, Aug!G4, Sep!G4)</f>
        <v>94962.49</v>
      </c>
      <c r="H4" s="15">
        <f>SUM(Jul!H4, Aug!H4, Sep!H4)</f>
        <v>-408.4900000000016</v>
      </c>
      <c r="I4" s="16">
        <f>IFERROR(H4/G4, "")</f>
        <v>-4.3015931869520435E-3</v>
      </c>
    </row>
    <row r="5" spans="1:9" ht="15.6">
      <c r="A5" s="49" t="str">
        <v>Kohls - Auburn</v>
      </c>
      <c r="B5" s="10" t="str">
        <v>NY</v>
      </c>
      <c r="C5" s="11">
        <f>SUM(Jul!C5, Aug!C5, Sep!C5)</f>
        <v>111498</v>
      </c>
      <c r="D5" s="18">
        <f>SUM(Jul!D5, Aug!D5, Sep!D5)</f>
        <v>0</v>
      </c>
      <c r="E5" s="18">
        <f t="shared" ref="E5:E15" si="0">IF(AND(ISNUMBER(C5),ISNUMBER(D5)), C5-D5, "")</f>
        <v>111498</v>
      </c>
      <c r="F5" s="19" t="str">
        <f>IFERROR(E5/D5, "")</f>
        <v/>
      </c>
      <c r="G5" s="20">
        <f>SUM(Jul!G5, Aug!G5, Sep!G5)</f>
        <v>115914.18</v>
      </c>
      <c r="H5" s="20">
        <f>SUM(Jul!H5, Aug!H5, Sep!H5)</f>
        <v>-4416.18</v>
      </c>
      <c r="I5" s="19">
        <f>IFERROR(H5/G5, "")</f>
        <v>-3.8098703713385203E-2</v>
      </c>
    </row>
    <row r="6" spans="1:9" ht="15.6">
      <c r="A6" s="48" t="str">
        <v>Kohls - Bensalem</v>
      </c>
      <c r="B6" s="9" t="str">
        <v>PA</v>
      </c>
      <c r="C6" s="24">
        <f>SUM(Jul!C6, Aug!C6, Sep!C6)</f>
        <v>114312</v>
      </c>
      <c r="D6" s="13">
        <f>SUM(Jul!D6, Aug!D6, Sep!D6)</f>
        <v>0</v>
      </c>
      <c r="E6" s="13">
        <f t="shared" si="0"/>
        <v>114312</v>
      </c>
      <c r="F6" s="14" t="str">
        <f t="shared" ref="F6:F15" si="1">IFERROR(E6/D6, "")</f>
        <v/>
      </c>
      <c r="G6" s="15">
        <f>SUM(Jul!G6, Aug!G6, Sep!G6)</f>
        <v>108171.48999999999</v>
      </c>
      <c r="H6" s="15">
        <f>SUM(Jul!H6, Aug!H6, Sep!H6)</f>
        <v>6140.510000000002</v>
      </c>
      <c r="I6" s="16">
        <f t="shared" ref="I6:I15" si="2">IFERROR(H6/G6, "")</f>
        <v>5.6766436331791327E-2</v>
      </c>
    </row>
    <row r="7" spans="1:9" ht="15.6">
      <c r="A7" s="49" t="str">
        <v>Kohls - Brick</v>
      </c>
      <c r="B7" s="10" t="str">
        <v>NJ</v>
      </c>
      <c r="C7" s="11">
        <f>SUM(Jul!C7, Aug!C7, Sep!C7)</f>
        <v>135353</v>
      </c>
      <c r="D7" s="18">
        <f>SUM(Jul!D7, Aug!D7, Sep!D7)</f>
        <v>0</v>
      </c>
      <c r="E7" s="18">
        <f t="shared" si="0"/>
        <v>135353</v>
      </c>
      <c r="F7" s="19" t="str">
        <f t="shared" si="1"/>
        <v/>
      </c>
      <c r="G7" s="20">
        <f>SUM(Jul!G7, Aug!G7, Sep!G7)</f>
        <v>128301.25</v>
      </c>
      <c r="H7" s="20">
        <f>SUM(Jul!H7, Aug!H7, Sep!H7)</f>
        <v>7051.75</v>
      </c>
      <c r="I7" s="19">
        <f t="shared" si="2"/>
        <v>5.4962441909178594E-2</v>
      </c>
    </row>
    <row r="8" spans="1:9" ht="15.6">
      <c r="A8" s="48" t="str">
        <v>Kohls - Buffalo</v>
      </c>
      <c r="B8" s="9" t="str">
        <v>NY</v>
      </c>
      <c r="C8" s="24">
        <f>SUM(Jul!C8, Aug!C8, Sep!C8)</f>
        <v>144418</v>
      </c>
      <c r="D8" s="13">
        <f>SUM(Jul!D8, Aug!D8, Sep!D8)</f>
        <v>0</v>
      </c>
      <c r="E8" s="13">
        <f t="shared" si="0"/>
        <v>144418</v>
      </c>
      <c r="F8" s="14" t="str">
        <f t="shared" si="1"/>
        <v/>
      </c>
      <c r="G8" s="15">
        <f>SUM(Jul!G8, Aug!G8, Sep!G8)</f>
        <v>139851.94</v>
      </c>
      <c r="H8" s="15">
        <f>SUM(Jul!H8, Aug!H8, Sep!H8)</f>
        <v>4566.0600000000049</v>
      </c>
      <c r="I8" s="16">
        <f t="shared" si="2"/>
        <v>3.2649243192479166E-2</v>
      </c>
    </row>
    <row r="9" spans="1:9" ht="15.6">
      <c r="A9" s="49" t="str">
        <v>Kohls - Canton</v>
      </c>
      <c r="B9" s="10" t="str">
        <v>CT</v>
      </c>
      <c r="C9" s="11">
        <f>SUM(Jul!C9, Aug!C9, Sep!C9)</f>
        <v>47122</v>
      </c>
      <c r="D9" s="18">
        <f>SUM(Jul!D9, Aug!D9, Sep!D9)</f>
        <v>0</v>
      </c>
      <c r="E9" s="18">
        <f t="shared" si="0"/>
        <v>47122</v>
      </c>
      <c r="F9" s="19" t="str">
        <f t="shared" si="1"/>
        <v/>
      </c>
      <c r="G9" s="20">
        <f>SUM(Jul!G9, Aug!G9, Sep!G9)</f>
        <v>43839.67</v>
      </c>
      <c r="H9" s="20">
        <f>SUM(Jul!H9, Aug!H9, Sep!H9)</f>
        <v>3282.33</v>
      </c>
      <c r="I9" s="19">
        <f t="shared" si="2"/>
        <v>7.4871229642011455E-2</v>
      </c>
    </row>
    <row r="10" spans="1:9" ht="15.6">
      <c r="A10" s="48" t="str">
        <v>Kohls - East Amherst</v>
      </c>
      <c r="B10" s="9" t="str">
        <v>NY</v>
      </c>
      <c r="C10" s="24">
        <f>SUM(Jul!C10, Aug!C10, Sep!C10)</f>
        <v>120994</v>
      </c>
      <c r="D10" s="13">
        <f>SUM(Jul!D10, Aug!D10, Sep!D10)</f>
        <v>0</v>
      </c>
      <c r="E10" s="13">
        <f t="shared" si="0"/>
        <v>120994</v>
      </c>
      <c r="F10" s="14" t="str">
        <f t="shared" si="1"/>
        <v/>
      </c>
      <c r="G10" s="15">
        <f>SUM(Jul!G10, Aug!G10, Sep!G10)</f>
        <v>124722.83</v>
      </c>
      <c r="H10" s="15">
        <f>SUM(Jul!H10, Aug!H10, Sep!H10)</f>
        <v>-3728.8299999999945</v>
      </c>
      <c r="I10" s="16">
        <f t="shared" si="2"/>
        <v>-2.9896932261719803E-2</v>
      </c>
    </row>
    <row r="11" spans="1:9" ht="15.6">
      <c r="A11" s="49" t="str">
        <v>Kohls - East Brunswick</v>
      </c>
      <c r="B11" s="10" t="str">
        <v>NJ</v>
      </c>
      <c r="C11" s="11">
        <f>SUM(Jul!C11, Aug!C11, Sep!C11)</f>
        <v>155820</v>
      </c>
      <c r="D11" s="18">
        <f>SUM(Jul!D11, Aug!D11, Sep!D11)</f>
        <v>0</v>
      </c>
      <c r="E11" s="18">
        <f t="shared" si="0"/>
        <v>155820</v>
      </c>
      <c r="F11" s="19" t="str">
        <f t="shared" si="1"/>
        <v/>
      </c>
      <c r="G11" s="20">
        <f>SUM(Jul!G11, Aug!G11, Sep!G11)</f>
        <v>164069.21</v>
      </c>
      <c r="H11" s="20">
        <f>SUM(Jul!H11, Aug!H11, Sep!H11)</f>
        <v>-8249.2099999999991</v>
      </c>
      <c r="I11" s="19">
        <f t="shared" si="2"/>
        <v>-5.02788426908376E-2</v>
      </c>
    </row>
    <row r="12" spans="1:9" ht="15.6">
      <c r="A12" s="48" t="str">
        <v>Kohls - Edgewood</v>
      </c>
      <c r="B12" s="9" t="str">
        <v>MD</v>
      </c>
      <c r="C12" s="24">
        <f>SUM(Jul!C12, Aug!C12, Sep!C12)</f>
        <v>774929</v>
      </c>
      <c r="D12" s="13">
        <f>SUM(Jul!D12, Aug!D12, Sep!D12)</f>
        <v>0</v>
      </c>
      <c r="E12" s="13">
        <f t="shared" si="0"/>
        <v>774929</v>
      </c>
      <c r="F12" s="14" t="str">
        <f t="shared" si="1"/>
        <v/>
      </c>
      <c r="G12" s="15">
        <f>SUM(Jul!G12, Aug!G12, Sep!G12)</f>
        <v>854668.80000000005</v>
      </c>
      <c r="H12" s="15">
        <f>SUM(Jul!H12, Aug!H12, Sep!H12)</f>
        <v>-79739.800000000017</v>
      </c>
      <c r="I12" s="16">
        <f t="shared" si="2"/>
        <v>-9.3299065088137081E-2</v>
      </c>
    </row>
    <row r="13" spans="1:9" ht="15.6">
      <c r="A13" s="49" t="str">
        <v>Kohls - Granite Run</v>
      </c>
      <c r="B13" s="10" t="str">
        <v>PA</v>
      </c>
      <c r="C13" s="11">
        <f>SUM(Jul!C13, Aug!C13, Sep!C13)</f>
        <v>106088</v>
      </c>
      <c r="D13" s="18">
        <f>SUM(Jul!D13, Aug!D13, Sep!D13)</f>
        <v>0</v>
      </c>
      <c r="E13" s="18">
        <f t="shared" si="0"/>
        <v>106088</v>
      </c>
      <c r="F13" s="19" t="str">
        <f t="shared" si="1"/>
        <v/>
      </c>
      <c r="G13" s="20">
        <f>SUM(Jul!G13, Aug!G13, Sep!G13)</f>
        <v>107021.82</v>
      </c>
      <c r="H13" s="20">
        <f>SUM(Jul!H13, Aug!H13, Sep!H13)</f>
        <v>-933.81999999999971</v>
      </c>
      <c r="I13" s="19">
        <f t="shared" si="2"/>
        <v>-8.7255103678857224E-3</v>
      </c>
    </row>
    <row r="14" spans="1:9" ht="15.6">
      <c r="A14" s="48" t="str">
        <v>Kohls - Greece</v>
      </c>
      <c r="B14" s="9" t="str">
        <v>NY</v>
      </c>
      <c r="C14" s="24">
        <f>SUM(Jul!C14, Aug!C14, Sep!C14)</f>
        <v>83935</v>
      </c>
      <c r="D14" s="13">
        <f>SUM(Jul!D14, Aug!D14, Sep!D14)</f>
        <v>0</v>
      </c>
      <c r="E14" s="13">
        <f t="shared" si="0"/>
        <v>83935</v>
      </c>
      <c r="F14" s="14" t="str">
        <f t="shared" si="1"/>
        <v/>
      </c>
      <c r="G14" s="15">
        <f>SUM(Jul!G14, Aug!G14, Sep!G14)</f>
        <v>133325.32</v>
      </c>
      <c r="H14" s="15">
        <f>SUM(Jul!H14, Aug!H14, Sep!H14)</f>
        <v>-49390.32</v>
      </c>
      <c r="I14" s="16">
        <f t="shared" si="2"/>
        <v>-0.37044966402480789</v>
      </c>
    </row>
    <row r="15" spans="1:9" ht="15.6">
      <c r="A15" s="49" t="str">
        <v>Kohls - Hanover</v>
      </c>
      <c r="B15" s="10" t="str">
        <v>PA</v>
      </c>
      <c r="C15" s="11">
        <f>SUM(Jul!C15, Aug!C15, Sep!C15)</f>
        <v>54426</v>
      </c>
      <c r="D15" s="18">
        <f>SUM(Jul!D15, Aug!D15, Sep!D15)</f>
        <v>0</v>
      </c>
      <c r="E15" s="18">
        <f t="shared" si="0"/>
        <v>54426</v>
      </c>
      <c r="F15" s="19" t="str">
        <f t="shared" si="1"/>
        <v/>
      </c>
      <c r="G15" s="20">
        <f>SUM(Jul!G15, Aug!G15, Sep!G15)</f>
        <v>116209.23</v>
      </c>
      <c r="H15" s="20">
        <f>SUM(Jul!H15, Aug!H15, Sep!H15)</f>
        <v>-61783.229999999996</v>
      </c>
      <c r="I15" s="19">
        <f t="shared" si="2"/>
        <v>-0.53165510175052355</v>
      </c>
    </row>
    <row r="16" spans="1:9" ht="15.6">
      <c r="A16" s="48" t="str">
        <v>Kohls - Horsehead</v>
      </c>
      <c r="B16" s="9" t="str">
        <v>NY</v>
      </c>
      <c r="C16" s="24">
        <f>SUM(Jul!C16, Aug!C16, Sep!C16)</f>
        <v>92124</v>
      </c>
      <c r="D16" s="13">
        <f>SUM(Jul!D16, Aug!D16, Sep!D16)</f>
        <v>0</v>
      </c>
      <c r="E16" s="13">
        <f t="shared" ref="E16:E19" si="3">IF(AND(ISNUMBER(C16),ISNUMBER(D16)), C16-D16, "")</f>
        <v>92124</v>
      </c>
      <c r="F16" s="14" t="str">
        <f t="shared" ref="F16:F19" si="4">IFERROR(E16/D16, "")</f>
        <v/>
      </c>
      <c r="G16" s="15">
        <f>SUM(Jul!G16, Aug!G16, Sep!G16)</f>
        <v>97499.36</v>
      </c>
      <c r="H16" s="15">
        <f>SUM(Jul!H16, Aug!H16, Sep!H16)</f>
        <v>-5375.3599999999969</v>
      </c>
      <c r="I16" s="16">
        <f t="shared" ref="I16:I19" si="5">IFERROR(H16/G16, "")</f>
        <v>-5.5132259329702234E-2</v>
      </c>
    </row>
    <row r="17" spans="1:9" ht="15.6">
      <c r="A17" s="49" t="str">
        <v>Kohls - Hudson</v>
      </c>
      <c r="B17" s="10" t="str">
        <v>NY</v>
      </c>
      <c r="C17" s="11">
        <f>SUM(Jul!C17, Aug!C17, Sep!C17)</f>
        <v>77042</v>
      </c>
      <c r="D17" s="18">
        <f>SUM(Jul!D17, Aug!D17, Sep!D17)</f>
        <v>0</v>
      </c>
      <c r="E17" s="18">
        <f t="shared" si="3"/>
        <v>77042</v>
      </c>
      <c r="F17" s="19" t="str">
        <f t="shared" si="4"/>
        <v/>
      </c>
      <c r="G17" s="20">
        <f>SUM(Jul!G17, Aug!G17, Sep!G17)</f>
        <v>112334.34000000001</v>
      </c>
      <c r="H17" s="20">
        <f>SUM(Jul!H17, Aug!H17, Sep!H17)</f>
        <v>-35292.339999999997</v>
      </c>
      <c r="I17" s="19">
        <f t="shared" si="5"/>
        <v>-0.31417231809970125</v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97750</v>
      </c>
      <c r="D18" s="13">
        <f>SUM(Jul!D18, Aug!D18, Sep!D18)</f>
        <v>0</v>
      </c>
      <c r="E18" s="13">
        <f t="shared" si="3"/>
        <v>97750</v>
      </c>
      <c r="F18" s="14" t="str">
        <f t="shared" si="4"/>
        <v/>
      </c>
      <c r="G18" s="15">
        <f>SUM(Jul!G18, Aug!G18, Sep!G18)</f>
        <v>112085.54</v>
      </c>
      <c r="H18" s="15">
        <f>SUM(Jul!H18, Aug!H18, Sep!H18)</f>
        <v>-14335.539999999997</v>
      </c>
      <c r="I18" s="16">
        <f t="shared" si="5"/>
        <v>-0.127898210598798</v>
      </c>
    </row>
    <row r="19" spans="1:9" ht="15.6">
      <c r="A19" s="49" t="str">
        <v>Kohls - Kingston</v>
      </c>
      <c r="B19" s="17" t="str">
        <v>NY</v>
      </c>
      <c r="C19" s="11">
        <f>SUM(Jul!C19, Aug!C19, Sep!C21)</f>
        <v>162208</v>
      </c>
      <c r="D19" s="18">
        <f>SUM(Jul!D19, Aug!D19, Sep!D21)</f>
        <v>0</v>
      </c>
      <c r="E19" s="18">
        <f t="shared" si="3"/>
        <v>162208</v>
      </c>
      <c r="F19" s="19" t="str">
        <f t="shared" si="4"/>
        <v/>
      </c>
      <c r="G19" s="20">
        <f>SUM(Jul!G19, Aug!G19, Sep!G19)</f>
        <v>165817.61000000002</v>
      </c>
      <c r="H19" s="20">
        <f>SUM(Jul!H19, Aug!H19, Sep!H21)</f>
        <v>-13670.101000000002</v>
      </c>
      <c r="I19" s="19">
        <f t="shared" si="5"/>
        <v>-8.2440586376802807E-2</v>
      </c>
    </row>
    <row r="20" spans="1:9" ht="15.6">
      <c r="A20" s="48" t="str">
        <v>Kohls - Mechanicsburg</v>
      </c>
      <c r="B20" s="12" t="str">
        <v>PA</v>
      </c>
      <c r="C20" s="24">
        <f>SUM(Jul!C20, Aug!C20, Sep!C22)</f>
        <v>98756</v>
      </c>
      <c r="D20" s="13">
        <f>SUM(Jul!D20, Aug!D20, Sep!D22)</f>
        <v>0</v>
      </c>
      <c r="E20" s="13">
        <f t="shared" ref="E20:E25" si="6">IF(AND(ISNUMBER(C20),ISNUMBER(D20)), C20-D20, "")</f>
        <v>98756</v>
      </c>
      <c r="F20" s="14" t="str">
        <f t="shared" ref="F20:F25" si="7">IFERROR(E20/D20, "")</f>
        <v/>
      </c>
      <c r="G20" s="15">
        <f>SUM(Jul!G20, Aug!G20, Sep!G20)</f>
        <v>135669.6</v>
      </c>
      <c r="H20" s="15">
        <f>SUM(Jul!H20, Aug!H20, Sep!H22)</f>
        <v>-32447.42</v>
      </c>
      <c r="I20" s="16">
        <f t="shared" ref="I20:I25" si="8">IFERROR(H20/G20, "")</f>
        <v>-0.23916500085501835</v>
      </c>
    </row>
    <row r="21" spans="1:9" ht="15.6">
      <c r="A21" s="49" t="str">
        <v>Kohls - Middletown</v>
      </c>
      <c r="B21" s="17" t="str">
        <v>NJ</v>
      </c>
      <c r="C21" s="11">
        <f>SUM(Jul!C21, Aug!C21, Sep!C23)</f>
        <v>145545</v>
      </c>
      <c r="D21" s="18">
        <f>SUM(Jul!D21, Aug!D21, Sep!D23)</f>
        <v>0</v>
      </c>
      <c r="E21" s="18">
        <f t="shared" si="6"/>
        <v>145545</v>
      </c>
      <c r="F21" s="19" t="str">
        <f t="shared" si="7"/>
        <v/>
      </c>
      <c r="G21" s="20">
        <f>SUM(Jul!G21, Aug!G21, Sep!G21)</f>
        <v>194043.16999999998</v>
      </c>
      <c r="H21" s="20">
        <f>SUM(Jul!H21, Aug!H21, Sep!H23)</f>
        <v>-23072.069999999996</v>
      </c>
      <c r="I21" s="19">
        <f t="shared" si="8"/>
        <v>-0.11890173717528939</v>
      </c>
    </row>
    <row r="22" spans="1:9" ht="15.6">
      <c r="A22" s="48" t="str">
        <v>Kohls - North Amherst</v>
      </c>
      <c r="B22" s="12" t="str">
        <v>NY</v>
      </c>
      <c r="C22" s="24">
        <f>SUM(Jul!C22, Aug!C22, Sep!C24)</f>
        <v>82346</v>
      </c>
      <c r="D22" s="13">
        <f>SUM(Jul!D22, Aug!D22, Sep!D24)</f>
        <v>0</v>
      </c>
      <c r="E22" s="13">
        <f t="shared" si="6"/>
        <v>82346</v>
      </c>
      <c r="F22" s="14" t="str">
        <f t="shared" si="7"/>
        <v/>
      </c>
      <c r="G22" s="15">
        <f>SUM(Jul!G22, Aug!G22, Sep!G22)</f>
        <v>119080.95</v>
      </c>
      <c r="H22" s="15">
        <f>SUM(Jul!H22, Aug!H22, Sep!H24)</f>
        <v>-40041.97</v>
      </c>
      <c r="I22" s="16">
        <f t="shared" si="8"/>
        <v>-0.33625840237250376</v>
      </c>
    </row>
    <row r="23" spans="1:9" ht="15.6">
      <c r="A23" s="49" t="str">
        <v>Kohls - Staten Island</v>
      </c>
      <c r="B23" s="17" t="str">
        <v>NY</v>
      </c>
      <c r="C23" s="11">
        <f>SUM(Jul!C23, Aug!C23, Sep!C25)</f>
        <v>87829</v>
      </c>
      <c r="D23" s="18">
        <f>SUM(Jul!D23, Aug!D23, Sep!D25)</f>
        <v>0</v>
      </c>
      <c r="E23" s="18">
        <f t="shared" si="6"/>
        <v>87829</v>
      </c>
      <c r="F23" s="19" t="str">
        <f t="shared" si="7"/>
        <v/>
      </c>
      <c r="G23" s="20">
        <f>SUM(Jul!G23, Aug!G23, Sep!G23)</f>
        <v>110927.81</v>
      </c>
      <c r="H23" s="20">
        <f>SUM(Jul!H23, Aug!H23, Sep!H25)</f>
        <v>-23132.050000000003</v>
      </c>
      <c r="I23" s="19">
        <f t="shared" si="8"/>
        <v>-0.2085324680979459</v>
      </c>
    </row>
    <row r="24" spans="1:9" ht="15.6">
      <c r="A24" s="48" t="str">
        <v>Kohls - Warminster</v>
      </c>
      <c r="B24" s="12" t="str">
        <v>PA</v>
      </c>
      <c r="C24" s="24">
        <f>SUM(Jul!C24, Aug!C24, Sep!C26)</f>
        <v>134072</v>
      </c>
      <c r="D24" s="13">
        <f>SUM(Jul!D24, Aug!D24, Sep!D26)</f>
        <v>0</v>
      </c>
      <c r="E24" s="13">
        <f t="shared" si="6"/>
        <v>134072</v>
      </c>
      <c r="F24" s="14" t="str">
        <f t="shared" si="7"/>
        <v/>
      </c>
      <c r="G24" s="15">
        <f>SUM(Jul!G24, Aug!G24, Sep!G24)</f>
        <v>132333.73000000001</v>
      </c>
      <c r="H24" s="15">
        <f>SUM(Jul!H24, Aug!H24, Sep!H26)</f>
        <v>4197.5900000000038</v>
      </c>
      <c r="I24" s="16">
        <f t="shared" si="8"/>
        <v>3.1719728598294653E-2</v>
      </c>
    </row>
    <row r="25" spans="1:9" ht="15.6">
      <c r="A25" s="49" t="str">
        <v xml:space="preserve">Kohls - Waterbury </v>
      </c>
      <c r="B25" s="17" t="str">
        <v>CT</v>
      </c>
      <c r="C25" s="11">
        <f>SUM(Jul!C25, Aug!C25, Sep!C27)</f>
        <v>77301</v>
      </c>
      <c r="D25" s="18">
        <f>SUM(Jul!D25, Aug!D25, Sep!D27)</f>
        <v>0</v>
      </c>
      <c r="E25" s="18">
        <f t="shared" si="6"/>
        <v>77301</v>
      </c>
      <c r="F25" s="19" t="str">
        <f t="shared" si="7"/>
        <v/>
      </c>
      <c r="G25" s="20">
        <f>SUM(Jul!G25, Aug!G25, Sep!G27)</f>
        <v>223054.33000000002</v>
      </c>
      <c r="H25" s="20">
        <f>SUM(Jul!H25, Aug!H25, Sep!H27)</f>
        <v>-145753.33000000002</v>
      </c>
      <c r="I25" s="19">
        <f t="shared" si="8"/>
        <v>-0.6534431768260226</v>
      </c>
    </row>
    <row r="26" spans="1:9" ht="15.6">
      <c r="A26" s="48" t="str">
        <v>Mojave Water Agency - Headquarters</v>
      </c>
      <c r="B26" s="12" t="str">
        <v>CA</v>
      </c>
      <c r="C26" s="24">
        <f>SUM(Jul!C26, Aug!C26, Sep!C28)</f>
        <v>57396</v>
      </c>
      <c r="D26" s="13">
        <f>SUM(Jul!D26, Aug!D26, Sep!D28)</f>
        <v>0</v>
      </c>
      <c r="E26" s="13">
        <f t="shared" ref="E26:E68" si="9">IF(AND(ISNUMBER(C26),ISNUMBER(D26)), C26-D26, "")</f>
        <v>57396</v>
      </c>
      <c r="F26" s="14" t="str">
        <f t="shared" ref="F26:F68" si="10">IFERROR(E26/D26, "")</f>
        <v/>
      </c>
      <c r="G26" s="15" t="e">
        <f>SUM(Jul!G26, Aug!G26, Sep!#REF!)</f>
        <v>#REF!</v>
      </c>
      <c r="H26" s="15">
        <f>SUM(Jul!H26, Aug!H26, Sep!H28)</f>
        <v>4774.49</v>
      </c>
      <c r="I26" s="16" t="str">
        <f t="shared" ref="I26:I68" si="11">IFERROR(H26/G26, "")</f>
        <v/>
      </c>
    </row>
    <row r="27" spans="1:9" ht="15.6">
      <c r="A27" s="49" t="str">
        <v>CSU - Bakersfield</v>
      </c>
      <c r="B27" s="17" t="str">
        <v>CA</v>
      </c>
      <c r="C27" s="11">
        <f>SUM(Jul!C27, Aug!C27, Sep!C29)</f>
        <v>46272</v>
      </c>
      <c r="D27" s="18">
        <f>SUM(Jul!D27, Aug!D27, Sep!D29)</f>
        <v>0</v>
      </c>
      <c r="E27" s="18">
        <f t="shared" si="9"/>
        <v>46272</v>
      </c>
      <c r="F27" s="19" t="str">
        <f t="shared" si="10"/>
        <v/>
      </c>
      <c r="G27" s="20" t="e">
        <f>SUM(Jul!G27, Aug!G27, Sep!#REF!)</f>
        <v>#REF!</v>
      </c>
      <c r="H27" s="20">
        <f>SUM(Jul!H27, Aug!H27, Sep!H29)</f>
        <v>-167572.22</v>
      </c>
      <c r="I27" s="19" t="str">
        <f t="shared" si="11"/>
        <v/>
      </c>
    </row>
    <row r="28" spans="1:9" ht="15.6">
      <c r="A28" s="48" t="str">
        <v>Greenfield USD - Fairfield ES</v>
      </c>
      <c r="B28" s="12" t="str">
        <v>CA</v>
      </c>
      <c r="C28" s="24">
        <f>SUM(Jul!C28, Aug!C28, Sep!C30)</f>
        <v>23778</v>
      </c>
      <c r="D28" s="13">
        <f>SUM(Jul!D28, Aug!D28, Sep!D30)</f>
        <v>0</v>
      </c>
      <c r="E28" s="13">
        <f t="shared" si="9"/>
        <v>23778</v>
      </c>
      <c r="F28" s="14" t="str">
        <f t="shared" si="10"/>
        <v/>
      </c>
      <c r="G28" s="15">
        <f>SUM(Jul!G28, Aug!G28, Sep!G28)</f>
        <v>31157.019999999997</v>
      </c>
      <c r="H28" s="15">
        <f>SUM(Jul!H28, Aug!H28, Sep!H30)</f>
        <v>-18968.021999999997</v>
      </c>
      <c r="I28" s="16">
        <f t="shared" si="11"/>
        <v>-0.6087880676650077</v>
      </c>
    </row>
    <row r="29" spans="1:9" ht="15.6">
      <c r="A29" s="49" t="str">
        <v>Greenfield USD - Granite Point ES</v>
      </c>
      <c r="B29" s="17" t="str">
        <v>CA</v>
      </c>
      <c r="C29" s="11">
        <f>SUM(Jul!C29, Aug!C29, Sep!C31)</f>
        <v>34078</v>
      </c>
      <c r="D29" s="18">
        <f>SUM(Jul!D29, Aug!D29, Sep!D31)</f>
        <v>0</v>
      </c>
      <c r="E29" s="18">
        <f t="shared" si="9"/>
        <v>34078</v>
      </c>
      <c r="F29" s="19" t="str">
        <f t="shared" si="10"/>
        <v/>
      </c>
      <c r="G29" s="20">
        <f>SUM(Jul!G29, Aug!G29, Sep!G29)</f>
        <v>82131.040000000008</v>
      </c>
      <c r="H29" s="20">
        <f>SUM(Jul!H29, Aug!H29, Sep!H31)</f>
        <v>-49198.05</v>
      </c>
      <c r="I29" s="19">
        <f t="shared" si="11"/>
        <v>-0.5990189579968791</v>
      </c>
    </row>
    <row r="30" spans="1:9" ht="15.6">
      <c r="A30" s="48" t="str">
        <v>Greenfield USD - Greenfield MS</v>
      </c>
      <c r="B30" s="12" t="str">
        <v>CA</v>
      </c>
      <c r="C30" s="24">
        <f>SUM(Jul!C30, Aug!C30, Sep!C32)</f>
        <v>28783</v>
      </c>
      <c r="D30" s="13">
        <f>SUM(Jul!D30, Aug!D30, Sep!D32)</f>
        <v>0</v>
      </c>
      <c r="E30" s="13">
        <f t="shared" si="9"/>
        <v>28783</v>
      </c>
      <c r="F30" s="14" t="str">
        <f t="shared" si="10"/>
        <v/>
      </c>
      <c r="G30" s="15">
        <f>SUM(Jul!G30, Aug!G30, Sep!G30)</f>
        <v>56075.221999999994</v>
      </c>
      <c r="H30" s="15">
        <f>SUM(Jul!H30, Aug!H30, Sep!H32)</f>
        <v>-25237.3</v>
      </c>
      <c r="I30" s="16">
        <f t="shared" si="11"/>
        <v>-0.4500615262833913</v>
      </c>
    </row>
    <row r="31" spans="1:9" ht="15.6">
      <c r="A31" s="49" t="str">
        <v>Greenfield USD - Horizon ES</v>
      </c>
      <c r="B31" s="17" t="str">
        <v>CA</v>
      </c>
      <c r="C31" s="11">
        <f>SUM(Jul!C31, Aug!C31, Sep!C33)</f>
        <v>38836</v>
      </c>
      <c r="D31" s="18">
        <f>SUM(Jul!D31, Aug!D31, Sep!D33)</f>
        <v>0</v>
      </c>
      <c r="E31" s="18">
        <f t="shared" si="9"/>
        <v>38836</v>
      </c>
      <c r="F31" s="19" t="str">
        <f t="shared" si="10"/>
        <v/>
      </c>
      <c r="G31" s="20">
        <f>SUM(Jul!G31, Aug!G31, Sep!G31)</f>
        <v>84927.39</v>
      </c>
      <c r="H31" s="20">
        <f>SUM(Jul!H31, Aug!H31, Sep!H33)</f>
        <v>-23940.85</v>
      </c>
      <c r="I31" s="19">
        <f t="shared" si="11"/>
        <v>-0.2818978659299432</v>
      </c>
    </row>
    <row r="32" spans="1:9" ht="15.6">
      <c r="A32" s="48" t="str">
        <v>Greenfield USD - McKee MS</v>
      </c>
      <c r="B32" s="12" t="str">
        <v>CA</v>
      </c>
      <c r="C32" s="24">
        <f>SUM(Jul!C32, Aug!C32, Sep!C34)</f>
        <v>22606</v>
      </c>
      <c r="D32" s="13">
        <f>SUM(Jul!D32, Aug!D32, Sep!D34)</f>
        <v>0</v>
      </c>
      <c r="E32" s="13">
        <f t="shared" si="9"/>
        <v>22606</v>
      </c>
      <c r="F32" s="14" t="str">
        <f t="shared" si="10"/>
        <v/>
      </c>
      <c r="G32" s="15">
        <f>SUM(Jul!G32, Aug!G32, Sep!G32)</f>
        <v>51909.84</v>
      </c>
      <c r="H32" s="15">
        <f>SUM(Jul!H32, Aug!H32, Sep!H34)</f>
        <v>-24999.62</v>
      </c>
      <c r="I32" s="16">
        <f t="shared" si="11"/>
        <v>-0.48159693807570975</v>
      </c>
    </row>
    <row r="33" spans="1:9" ht="15.6">
      <c r="A33" s="49" t="str">
        <v>Greenfield USD - Plantation ES</v>
      </c>
      <c r="B33" s="17" t="str">
        <v>CA</v>
      </c>
      <c r="C33" s="11">
        <f>SUM(Jul!C33, Aug!C33, Sep!C35)</f>
        <v>26612</v>
      </c>
      <c r="D33" s="18">
        <f>SUM(Jul!D33, Aug!D33, Sep!D35)</f>
        <v>0</v>
      </c>
      <c r="E33" s="18">
        <f t="shared" si="9"/>
        <v>26612</v>
      </c>
      <c r="F33" s="19" t="str">
        <f t="shared" si="10"/>
        <v/>
      </c>
      <c r="G33" s="20">
        <f>SUM(Jul!G33, Aug!G33, Sep!G33)</f>
        <v>37044.080000000002</v>
      </c>
      <c r="H33" s="20">
        <f>SUM(Jul!H33, Aug!H33, Sep!H35)</f>
        <v>-36211.130000000005</v>
      </c>
      <c r="I33" s="19">
        <f t="shared" si="11"/>
        <v>-0.97751462581875437</v>
      </c>
    </row>
    <row r="34" spans="1:9" ht="15.6">
      <c r="A34" s="48" t="str">
        <v>Greenfield USD - Planz ES</v>
      </c>
      <c r="B34" s="12" t="str">
        <v>CA</v>
      </c>
      <c r="C34" s="24">
        <f>SUM(Jul!C34, Aug!C34, Sep!C36)</f>
        <v>37222</v>
      </c>
      <c r="D34" s="13">
        <f>SUM(Jul!D34, Aug!D34, Sep!D36)</f>
        <v>0</v>
      </c>
      <c r="E34" s="13">
        <f t="shared" si="9"/>
        <v>37222</v>
      </c>
      <c r="F34" s="14" t="str">
        <f t="shared" si="10"/>
        <v/>
      </c>
      <c r="G34" s="15">
        <f>SUM(Jul!G34, Aug!G34, Sep!G34)</f>
        <v>42273.94</v>
      </c>
      <c r="H34" s="15">
        <f>SUM(Jul!H34, Aug!H34, Sep!H36)</f>
        <v>-25369.72</v>
      </c>
      <c r="I34" s="16">
        <f t="shared" si="11"/>
        <v>-0.6001266974405508</v>
      </c>
    </row>
    <row r="35" spans="1:9" ht="15.6">
      <c r="A35" s="49" t="str">
        <v>Greenfield USD - Raffaello Palla ES</v>
      </c>
      <c r="B35" s="17" t="str">
        <v>CA</v>
      </c>
      <c r="C35" s="11">
        <f>SUM(Jul!C35, Aug!C35, Sep!C37)</f>
        <v>34936</v>
      </c>
      <c r="D35" s="18">
        <f>SUM(Jul!D35, Aug!D35, Sep!D37)</f>
        <v>0</v>
      </c>
      <c r="E35" s="18">
        <f t="shared" si="9"/>
        <v>34936</v>
      </c>
      <c r="F35" s="19" t="str">
        <f t="shared" si="10"/>
        <v/>
      </c>
      <c r="G35" s="20">
        <f>SUM(Jul!G35, Aug!G35, Sep!G35)</f>
        <v>92230.69</v>
      </c>
      <c r="H35" s="20">
        <f>SUM(Jul!H35, Aug!H35, Sep!H37)</f>
        <v>-29821.72</v>
      </c>
      <c r="I35" s="19">
        <f t="shared" si="11"/>
        <v>-0.3233383594983405</v>
      </c>
    </row>
    <row r="36" spans="1:9" ht="15.6">
      <c r="A36" s="48" t="str">
        <v>Greenfield USD - Valle Verde ES</v>
      </c>
      <c r="B36" s="12" t="str">
        <v>CA</v>
      </c>
      <c r="C36" s="24">
        <f>SUM(Jul!C36, Aug!C36, Sep!C38)</f>
        <v>38421</v>
      </c>
      <c r="D36" s="13">
        <f>SUM(Jul!D36, Aug!D36, Sep!D38)</f>
        <v>0</v>
      </c>
      <c r="E36" s="13">
        <f t="shared" si="9"/>
        <v>38421</v>
      </c>
      <c r="F36" s="14" t="str">
        <f t="shared" si="10"/>
        <v/>
      </c>
      <c r="G36" s="15">
        <f>SUM(Jul!G36, Aug!G36, Sep!G36)</f>
        <v>86028.91</v>
      </c>
      <c r="H36" s="15">
        <f>SUM(Jul!H36, Aug!H36, Sep!H38)</f>
        <v>-42414.450000000004</v>
      </c>
      <c r="I36" s="16">
        <f t="shared" si="11"/>
        <v>-0.49302554222760703</v>
      </c>
    </row>
    <row r="37" spans="1:9" ht="15.6">
      <c r="A37" s="49" t="str">
        <v>Greenfield USD - W.A. Kendrick ES</v>
      </c>
      <c r="B37" s="17" t="str">
        <v>CA</v>
      </c>
      <c r="C37" s="11">
        <f>SUM(Jul!C37, Aug!C37, Sep!C39)</f>
        <v>12443</v>
      </c>
      <c r="D37" s="18">
        <f>SUM(Jul!D37, Aug!D37, Sep!D39)</f>
        <v>0</v>
      </c>
      <c r="E37" s="18">
        <f t="shared" si="9"/>
        <v>12443</v>
      </c>
      <c r="F37" s="19" t="str">
        <f t="shared" si="10"/>
        <v/>
      </c>
      <c r="G37" s="20">
        <f>SUM(Jul!G37, Aug!G37, Sep!G37)</f>
        <v>33147.14</v>
      </c>
      <c r="H37" s="20">
        <f>SUM(Jul!H37, Aug!H37, Sep!H39)</f>
        <v>-6569.2100000000009</v>
      </c>
      <c r="I37" s="19">
        <f t="shared" si="11"/>
        <v>-0.1981833123461029</v>
      </c>
    </row>
    <row r="38" spans="1:9" ht="15.6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83281.64499999999</v>
      </c>
      <c r="H38" s="15">
        <f>SUM(Jul!H38, Aug!H38, Sep!H40)</f>
        <v>-83281.64499999999</v>
      </c>
      <c r="I38" s="16">
        <f t="shared" si="11"/>
        <v>-1</v>
      </c>
    </row>
    <row r="39" spans="1:9" ht="15.6">
      <c r="A39" s="49" t="str">
        <v>Muroc Joint USD - W. Boron ES</v>
      </c>
      <c r="B39" s="17" t="str">
        <v>CA</v>
      </c>
      <c r="C39" s="11">
        <f>SUM(Jul!C39, Aug!C39, Sep!C41)</f>
        <v>55976</v>
      </c>
      <c r="D39" s="18">
        <f>SUM(Jul!D39, Aug!D39, Sep!D41)</f>
        <v>0</v>
      </c>
      <c r="E39" s="18">
        <f t="shared" si="9"/>
        <v>55976</v>
      </c>
      <c r="F39" s="19" t="str">
        <f t="shared" si="10"/>
        <v/>
      </c>
      <c r="G39" s="20">
        <f>SUM(Jul!G39, Aug!G39, Sep!G41)</f>
        <v>219061.43</v>
      </c>
      <c r="H39" s="20">
        <f>SUM(Jul!H39, Aug!H39, Sep!H41)</f>
        <v>-163085.43</v>
      </c>
      <c r="I39" s="19">
        <f t="shared" si="11"/>
        <v>-0.74447350225003095</v>
      </c>
    </row>
    <row r="40" spans="1:9" ht="15.6">
      <c r="A40" s="48" t="str">
        <v>Colusa - WTP</v>
      </c>
      <c r="B40" s="12" t="str">
        <v>CA</v>
      </c>
      <c r="C40" s="24">
        <f>SUM(Jul!C40, Aug!C40, Sep!C42)</f>
        <v>6209</v>
      </c>
      <c r="D40" s="13">
        <f>SUM(Jul!D40, Aug!D40, Sep!D42)</f>
        <v>0</v>
      </c>
      <c r="E40" s="13">
        <f t="shared" si="9"/>
        <v>6209</v>
      </c>
      <c r="F40" s="14" t="str">
        <f t="shared" si="10"/>
        <v/>
      </c>
      <c r="G40" s="15" t="e">
        <f>SUM(Jul!G40, Aug!G40, Sep!#REF!)</f>
        <v>#REF!</v>
      </c>
      <c r="H40" s="15">
        <f>SUM(Jul!H40, Aug!H40, Sep!H42)</f>
        <v>-60817.491999999998</v>
      </c>
      <c r="I40" s="16" t="str">
        <f t="shared" si="11"/>
        <v/>
      </c>
    </row>
    <row r="41" spans="1:9" ht="15.6">
      <c r="A41" s="49" t="str">
        <v>CDCR-North Kern State Prision</v>
      </c>
      <c r="B41" s="17" t="str">
        <v>CA</v>
      </c>
      <c r="C41" s="11">
        <f>SUM(Jul!C41, Aug!C41, Sep!C43)</f>
        <v>115318</v>
      </c>
      <c r="D41" s="18">
        <f>SUM(Jul!D41, Aug!D41, Sep!D43)</f>
        <v>0</v>
      </c>
      <c r="E41" s="18">
        <f t="shared" si="9"/>
        <v>115318</v>
      </c>
      <c r="F41" s="19" t="str">
        <f t="shared" si="10"/>
        <v/>
      </c>
      <c r="G41" s="20">
        <f>SUM(Jul!G41, Aug!G41, Sep!G43)</f>
        <v>268120.74</v>
      </c>
      <c r="H41" s="20">
        <f>SUM(Jul!H41, Aug!H41, Sep!H43)</f>
        <v>-152802.74000000002</v>
      </c>
      <c r="I41" s="19">
        <f t="shared" si="11"/>
        <v>-0.56990272367590822</v>
      </c>
    </row>
    <row r="42" spans="1:9" ht="15.6">
      <c r="A42" s="48" t="str">
        <v>Muroc Joint USD - District Office</v>
      </c>
      <c r="B42" s="12" t="str">
        <v>CA</v>
      </c>
      <c r="C42" s="24">
        <f>SUM(Jul!C42, Aug!C42, Sep!C44)</f>
        <v>27626</v>
      </c>
      <c r="D42" s="13">
        <f>SUM(Jul!D42, Aug!D42, Sep!D44)</f>
        <v>0</v>
      </c>
      <c r="E42" s="13">
        <f t="shared" si="9"/>
        <v>27626</v>
      </c>
      <c r="F42" s="14" t="str">
        <f t="shared" si="10"/>
        <v/>
      </c>
      <c r="G42" s="15">
        <f>SUM(Jul!G42, Aug!G42, Sep!G42)</f>
        <v>18999.300000000003</v>
      </c>
      <c r="H42" s="15">
        <f>SUM(Jul!H42, Aug!H42, Sep!H44)</f>
        <v>-16429.87</v>
      </c>
      <c r="I42" s="16">
        <f t="shared" si="11"/>
        <v>-0.86476185964746055</v>
      </c>
    </row>
    <row r="43" spans="1:9" ht="15.6">
      <c r="A43" s="49" t="str">
        <v>Whole Foods - Manhattan Beach</v>
      </c>
      <c r="B43" s="17" t="str">
        <v>CA</v>
      </c>
      <c r="C43" s="11">
        <f>SUM(Jul!C43, Aug!C43, Sep!C45)</f>
        <v>25736</v>
      </c>
      <c r="D43" s="18">
        <f>SUM(Jul!D43, Aug!D43, Sep!D45)</f>
        <v>0</v>
      </c>
      <c r="E43" s="18">
        <f t="shared" si="9"/>
        <v>25736</v>
      </c>
      <c r="F43" s="19" t="str">
        <f t="shared" si="10"/>
        <v/>
      </c>
      <c r="G43" s="20">
        <f>SUM(Jul!G43, Aug!G43, Sep!G45)</f>
        <v>56802.06</v>
      </c>
      <c r="H43" s="20">
        <f>SUM(Jul!H43, Aug!H43, Sep!H45)</f>
        <v>-31066.059999999998</v>
      </c>
      <c r="I43" s="19">
        <f t="shared" si="11"/>
        <v>-0.54691784065577898</v>
      </c>
    </row>
    <row r="44" spans="1:9" ht="15.6">
      <c r="A44" s="48" t="str">
        <v>Pioneer USD - Frontier ES</v>
      </c>
      <c r="B44" s="12" t="str">
        <v>CA</v>
      </c>
      <c r="C44" s="24">
        <f>SUM(Jul!C44, Aug!C44, Sep!C46)</f>
        <v>62418</v>
      </c>
      <c r="D44" s="13">
        <f>SUM(Jul!D44, Aug!D44, Sep!D46)</f>
        <v>0</v>
      </c>
      <c r="E44" s="13">
        <f t="shared" si="9"/>
        <v>62418</v>
      </c>
      <c r="F44" s="14" t="str">
        <f t="shared" si="10"/>
        <v/>
      </c>
      <c r="G44" s="15">
        <f>SUM(Jul!G44, Aug!G44, Sep!G46)</f>
        <v>85791.1</v>
      </c>
      <c r="H44" s="15">
        <f>SUM(Jul!H44, Aug!H44, Sep!H46)</f>
        <v>-23373.1</v>
      </c>
      <c r="I44" s="16">
        <f t="shared" si="11"/>
        <v>-0.27244201321582306</v>
      </c>
    </row>
    <row r="45" spans="1:9" ht="15.6">
      <c r="A45" s="49" t="str">
        <v>Pioneer USD - Pioneer ES</v>
      </c>
      <c r="B45" s="17" t="str">
        <v>CA</v>
      </c>
      <c r="C45" s="11">
        <f>SUM(Jul!C45, Aug!C45, Sep!C47)</f>
        <v>40097</v>
      </c>
      <c r="D45" s="18">
        <f>SUM(Jul!D45, Aug!D45, Sep!D47)</f>
        <v>0</v>
      </c>
      <c r="E45" s="18">
        <f t="shared" si="9"/>
        <v>40097</v>
      </c>
      <c r="F45" s="19" t="str">
        <f t="shared" si="10"/>
        <v/>
      </c>
      <c r="G45" s="20">
        <f>SUM(Jul!G45, Aug!G45, Sep!G47)</f>
        <v>122838.06</v>
      </c>
      <c r="H45" s="20">
        <f>SUM(Jul!H45, Aug!H45, Sep!H47)</f>
        <v>-82741.06</v>
      </c>
      <c r="I45" s="19">
        <f t="shared" si="11"/>
        <v>-0.67357836813769278</v>
      </c>
    </row>
    <row r="46" spans="1:9" ht="15.6">
      <c r="A46" s="48" t="str">
        <v>Pioneer USD - Pioneer MS</v>
      </c>
      <c r="B46" s="12" t="str">
        <v>CA</v>
      </c>
      <c r="C46" s="24">
        <f>SUM(Jul!C46, Aug!C46, Sep!C48)</f>
        <v>566970</v>
      </c>
      <c r="D46" s="13">
        <f>SUM(Jul!D46, Aug!D46, Sep!D48)</f>
        <v>0</v>
      </c>
      <c r="E46" s="13">
        <f t="shared" si="9"/>
        <v>566970</v>
      </c>
      <c r="F46" s="14" t="str">
        <f t="shared" si="10"/>
        <v/>
      </c>
      <c r="G46" s="15" t="e">
        <f>SUM(Jul!G46, Aug!G46, Sep!#REF!)</f>
        <v>#REF!</v>
      </c>
      <c r="H46" s="15">
        <f>SUM(Jul!H46, Aug!H46, Sep!H48)</f>
        <v>-209786.61</v>
      </c>
      <c r="I46" s="16" t="str">
        <f t="shared" si="11"/>
        <v/>
      </c>
    </row>
    <row r="47" spans="1:9" ht="15.6">
      <c r="A47" s="49" t="str">
        <v>Kingsburg Joint UHSD - Kingsburg HS</v>
      </c>
      <c r="B47" s="17" t="str">
        <v>CA</v>
      </c>
      <c r="C47" s="11">
        <f>SUM(Jul!C47, Aug!C47, Sep!C49)</f>
        <v>315975</v>
      </c>
      <c r="D47" s="18">
        <f>SUM(Jul!D47, Aug!D47, Sep!D49)</f>
        <v>0</v>
      </c>
      <c r="E47" s="18">
        <f t="shared" si="9"/>
        <v>315975</v>
      </c>
      <c r="F47" s="19" t="str">
        <f t="shared" si="10"/>
        <v/>
      </c>
      <c r="G47" s="20">
        <f>SUM(Jul!G47, Aug!G47, Sep!G49)</f>
        <v>523598.04</v>
      </c>
      <c r="H47" s="20">
        <f>SUM(Jul!H47, Aug!H47, Sep!H49)</f>
        <v>-207623.03999999998</v>
      </c>
      <c r="I47" s="19">
        <f t="shared" si="11"/>
        <v>-0.39653135447183874</v>
      </c>
    </row>
    <row r="48" spans="1:9" ht="15.6">
      <c r="A48" s="48" t="str">
        <v>CADRB</v>
      </c>
      <c r="B48" s="12" t="str">
        <v>CA</v>
      </c>
      <c r="C48" s="24">
        <f>SUM(Jul!C48, Aug!C48, Sep!C50)</f>
        <v>675556</v>
      </c>
      <c r="D48" s="13">
        <f>SUM(Jul!D48, Aug!D48, Sep!D50)</f>
        <v>0</v>
      </c>
      <c r="E48" s="13">
        <f t="shared" si="9"/>
        <v>675556</v>
      </c>
      <c r="F48" s="14" t="str">
        <f t="shared" si="10"/>
        <v/>
      </c>
      <c r="G48" s="15">
        <f>SUM(Jul!G48, Aug!G48, Sep!G48)</f>
        <v>1562309</v>
      </c>
      <c r="H48" s="15">
        <f>SUM(Jul!H48, Aug!H48, Sep!H50)</f>
        <v>-196748.68</v>
      </c>
      <c r="I48" s="16">
        <f t="shared" si="11"/>
        <v>-0.12593454943932345</v>
      </c>
    </row>
    <row r="49" spans="1:9" ht="15.6">
      <c r="A49" s="49" t="str">
        <v>CDCR-CA State Prison LA County</v>
      </c>
      <c r="B49" s="17" t="str">
        <v>CA</v>
      </c>
      <c r="C49" s="11">
        <f>SUM(Jul!C49, Aug!C49, Sep!C51)</f>
        <v>326177</v>
      </c>
      <c r="D49" s="18">
        <f>SUM(Jul!D49, Aug!D49, Sep!D51)</f>
        <v>0</v>
      </c>
      <c r="E49" s="18">
        <f t="shared" si="9"/>
        <v>326177</v>
      </c>
      <c r="F49" s="19" t="str">
        <f t="shared" si="10"/>
        <v/>
      </c>
      <c r="G49" s="20">
        <f>SUM(Jul!G49, Aug!G49, Sep!G51)</f>
        <v>539643.28</v>
      </c>
      <c r="H49" s="20">
        <f>SUM(Jul!H49, Aug!H49, Sep!H51)</f>
        <v>-213466.28</v>
      </c>
      <c r="I49" s="19">
        <f t="shared" si="11"/>
        <v>-0.3955692360331069</v>
      </c>
    </row>
    <row r="50" spans="1:9" ht="15.6">
      <c r="A50" s="48" t="str">
        <v>Central USD Akers ES</v>
      </c>
      <c r="B50" s="12" t="str">
        <v>CA</v>
      </c>
      <c r="C50" s="24">
        <f>SUM(Jul!C50, Aug!C50, Sep!C52)</f>
        <v>56703</v>
      </c>
      <c r="D50" s="13">
        <f>SUM(Jul!D50, Aug!D50, Sep!D52)</f>
        <v>0</v>
      </c>
      <c r="E50" s="13">
        <f t="shared" si="9"/>
        <v>56703</v>
      </c>
      <c r="F50" s="14" t="str">
        <f t="shared" si="10"/>
        <v/>
      </c>
      <c r="G50" s="15">
        <f>SUM(Jul!G50, Aug!G50, Sep!G52)</f>
        <v>120272.57</v>
      </c>
      <c r="H50" s="15">
        <f>SUM(Jul!H50, Aug!H50, Sep!H52)</f>
        <v>-63569.570000000007</v>
      </c>
      <c r="I50" s="16">
        <f t="shared" si="11"/>
        <v>-0.52854586877124188</v>
      </c>
    </row>
    <row r="51" spans="1:9" ht="15.6">
      <c r="A51" s="49" t="str">
        <v>CUSD - District Office</v>
      </c>
      <c r="B51" s="17" t="str">
        <v>CA</v>
      </c>
      <c r="C51" s="11">
        <f>SUM(Jul!C51, Aug!C51, Sep!C53)</f>
        <v>61481</v>
      </c>
      <c r="D51" s="18">
        <f>SUM(Jul!D51, Aug!D51, Sep!D53)</f>
        <v>0</v>
      </c>
      <c r="E51" s="18">
        <f t="shared" si="9"/>
        <v>61481</v>
      </c>
      <c r="F51" s="19" t="str">
        <f t="shared" si="10"/>
        <v/>
      </c>
      <c r="G51" s="20">
        <f>SUM(Jul!G51, Aug!G51, Sep!G53)</f>
        <v>72011.51999999999</v>
      </c>
      <c r="H51" s="20">
        <f>SUM(Jul!H51, Aug!H51, Sep!H53)</f>
        <v>-10530.519999999997</v>
      </c>
      <c r="I51" s="19">
        <f t="shared" si="11"/>
        <v>-0.14623382481025257</v>
      </c>
    </row>
    <row r="52" spans="1:9" ht="15.6">
      <c r="A52" s="48" t="str">
        <v>Parlier - WTP</v>
      </c>
      <c r="B52" s="12" t="str">
        <v>CA</v>
      </c>
      <c r="C52" s="24">
        <f>SUM(Jul!C52, Aug!C52, Sep!C54)</f>
        <v>72797</v>
      </c>
      <c r="D52" s="13">
        <f>SUM(Jul!D52, Aug!D52, Sep!D54)</f>
        <v>0</v>
      </c>
      <c r="E52" s="13">
        <f t="shared" si="9"/>
        <v>72797</v>
      </c>
      <c r="F52" s="14" t="str">
        <f t="shared" si="10"/>
        <v/>
      </c>
      <c r="G52" s="15">
        <f>SUM(Jul!G52, Aug!G52, Sep!G54)</f>
        <v>150939</v>
      </c>
      <c r="H52" s="15">
        <f>SUM(Jul!H52, Aug!H52, Sep!H54)</f>
        <v>-78142</v>
      </c>
      <c r="I52" s="16">
        <f t="shared" si="11"/>
        <v>-0.51770582818224575</v>
      </c>
    </row>
    <row r="53" spans="1:9" ht="15.6">
      <c r="A53" s="49" t="str">
        <v>Snowline SD - Quail Valley MS</v>
      </c>
      <c r="B53" s="17" t="str">
        <v>CA</v>
      </c>
      <c r="C53" s="11">
        <f>SUM(Jul!C53, Aug!C53, Sep!C55)</f>
        <v>55751</v>
      </c>
      <c r="D53" s="18">
        <f>SUM(Jul!D53, Aug!D53, Sep!D55)</f>
        <v>0</v>
      </c>
      <c r="E53" s="18">
        <f t="shared" si="9"/>
        <v>55751</v>
      </c>
      <c r="F53" s="19" t="str">
        <f t="shared" si="10"/>
        <v/>
      </c>
      <c r="G53" s="20">
        <f>SUM(Jul!G53, Aug!G53, Sep!G55)</f>
        <v>69047.26999999999</v>
      </c>
      <c r="H53" s="20">
        <f>SUM(Jul!H53, Aug!H53, Sep!H55)</f>
        <v>-13296.269999999997</v>
      </c>
      <c r="I53" s="19">
        <f t="shared" si="11"/>
        <v>-0.19256764242815103</v>
      </c>
    </row>
    <row r="54" spans="1:9" ht="15.6">
      <c r="A54" s="48" t="str">
        <v>Snowline SD - Serrano HS - Middle Lot</v>
      </c>
      <c r="B54" s="12" t="str">
        <v>CA</v>
      </c>
      <c r="C54" s="24">
        <f>SUM(Jul!C54, Aug!C54, Sep!C56)</f>
        <v>57478</v>
      </c>
      <c r="D54" s="13">
        <f>SUM(Jul!D54, Aug!D54, Sep!D56)</f>
        <v>0</v>
      </c>
      <c r="E54" s="13">
        <f t="shared" si="9"/>
        <v>57478</v>
      </c>
      <c r="F54" s="14" t="str">
        <f t="shared" si="10"/>
        <v/>
      </c>
      <c r="G54" s="15">
        <f>SUM(Jul!G54, Aug!G54, Sep!G56)</f>
        <v>129698.39</v>
      </c>
      <c r="H54" s="15">
        <f>SUM(Jul!H54, Aug!H54, Sep!H56)</f>
        <v>-72220.39</v>
      </c>
      <c r="I54" s="16">
        <f t="shared" si="11"/>
        <v>-0.55683335776180409</v>
      </c>
    </row>
    <row r="55" spans="1:9" ht="15.6">
      <c r="A55" s="49" t="str">
        <v>Snowline SD - Pinon Hills ES</v>
      </c>
      <c r="B55" s="17" t="str">
        <v>CA</v>
      </c>
      <c r="C55" s="11">
        <f>SUM(Jul!C55, Aug!C55, Sep!C57)</f>
        <v>37782</v>
      </c>
      <c r="D55" s="18">
        <f>SUM(Jul!D55, Aug!D55, Sep!D57)</f>
        <v>0</v>
      </c>
      <c r="E55" s="18">
        <f t="shared" si="9"/>
        <v>37782</v>
      </c>
      <c r="F55" s="19" t="str">
        <f t="shared" si="10"/>
        <v/>
      </c>
      <c r="G55" s="20" t="e">
        <f>SUM(Jul!G55, Aug!G55, Sep!#REF!)</f>
        <v>#REF!</v>
      </c>
      <c r="H55" s="20">
        <f>SUM(Jul!H55, Aug!H55, Sep!H57)</f>
        <v>-17058.009999999998</v>
      </c>
      <c r="I55" s="19" t="str">
        <f t="shared" si="11"/>
        <v/>
      </c>
    </row>
    <row r="56" spans="1:9" ht="15.6">
      <c r="A56" s="48" t="str">
        <v>Ramona - Santa Maria WTP</v>
      </c>
      <c r="B56" s="12" t="str">
        <v>CA</v>
      </c>
      <c r="C56" s="24">
        <f>SUM(Jul!C56, Aug!C56, Sep!C58)</f>
        <v>106984</v>
      </c>
      <c r="D56" s="13">
        <f>SUM(Jul!D56, Aug!D56, Sep!D58)</f>
        <v>0</v>
      </c>
      <c r="E56" s="13">
        <f t="shared" si="9"/>
        <v>106984</v>
      </c>
      <c r="F56" s="14" t="str">
        <f t="shared" si="10"/>
        <v/>
      </c>
      <c r="G56" s="15" t="e">
        <f>SUM(Jul!G56, Aug!G56, Sep!#REF!)</f>
        <v>#REF!</v>
      </c>
      <c r="H56" s="15">
        <f>SUM(Jul!H56, Aug!H56, Sep!H58)</f>
        <v>-21525.879999999997</v>
      </c>
      <c r="I56" s="16" t="str">
        <f t="shared" si="11"/>
        <v/>
      </c>
    </row>
    <row r="57" spans="1:9" ht="15.6">
      <c r="A57" s="49" t="str">
        <v>Kohls - Redding</v>
      </c>
      <c r="B57" s="17" t="str">
        <v>CA</v>
      </c>
      <c r="C57" s="11">
        <f>SUM(Jul!C57, Aug!C57, Sep!C59)</f>
        <v>130134</v>
      </c>
      <c r="D57" s="18">
        <f>SUM(Jul!D57, Aug!D57, Sep!D59)</f>
        <v>0</v>
      </c>
      <c r="E57" s="18">
        <f t="shared" si="9"/>
        <v>130134</v>
      </c>
      <c r="F57" s="19" t="str">
        <f t="shared" si="10"/>
        <v/>
      </c>
      <c r="G57" s="20">
        <f>SUM(Jul!G57, Aug!G57, Sep!G57)</f>
        <v>64559.82</v>
      </c>
      <c r="H57" s="20">
        <f>SUM(Jul!H57, Aug!H57, Sep!H59)</f>
        <v>-44909.47</v>
      </c>
      <c r="I57" s="19">
        <f t="shared" si="11"/>
        <v>-0.69562570031948667</v>
      </c>
    </row>
    <row r="58" spans="1:9" ht="15.6">
      <c r="A58" s="48" t="str">
        <v>Kohls - Salinas</v>
      </c>
      <c r="B58" s="12" t="str">
        <v>CA</v>
      </c>
      <c r="C58" s="24">
        <f>SUM(Jul!C58, Aug!C58, Sep!C60)</f>
        <v>68406</v>
      </c>
      <c r="D58" s="13">
        <f>SUM(Jul!D58, Aug!D58, Sep!D60)</f>
        <v>0</v>
      </c>
      <c r="E58" s="13">
        <f t="shared" si="9"/>
        <v>68406</v>
      </c>
      <c r="F58" s="14" t="str">
        <f t="shared" si="10"/>
        <v/>
      </c>
      <c r="G58" s="15">
        <f>SUM(Jul!G58, Aug!G58, Sep!G58)</f>
        <v>93085.670000000013</v>
      </c>
      <c r="H58" s="15">
        <f>SUM(Jul!H58, Aug!H58, Sep!H60)</f>
        <v>-11496.100000000002</v>
      </c>
      <c r="I58" s="16">
        <f t="shared" si="11"/>
        <v>-0.12350021222385787</v>
      </c>
    </row>
    <row r="59" spans="1:9" ht="15.6">
      <c r="A59" s="49" t="str">
        <v>Kohls - San Bernardino - Central</v>
      </c>
      <c r="B59" s="17" t="str">
        <v>CA</v>
      </c>
      <c r="C59" s="11">
        <f>SUM(Jul!C59, Aug!C59, Sep!C61)</f>
        <v>154269</v>
      </c>
      <c r="D59" s="18">
        <f>SUM(Jul!D59, Aug!D59, Sep!D61)</f>
        <v>0</v>
      </c>
      <c r="E59" s="18">
        <f t="shared" si="9"/>
        <v>154269</v>
      </c>
      <c r="F59" s="19" t="str">
        <f t="shared" si="10"/>
        <v/>
      </c>
      <c r="G59" s="20">
        <f>SUM(Jul!G59, Aug!G59, Sep!G61)</f>
        <v>181797.61</v>
      </c>
      <c r="H59" s="20">
        <f>SUM(Jul!H59, Aug!H59, Sep!H61)</f>
        <v>-27528.609999999993</v>
      </c>
      <c r="I59" s="19">
        <f t="shared" si="11"/>
        <v>-0.1514244879236861</v>
      </c>
    </row>
    <row r="60" spans="1:9" ht="15.6">
      <c r="A60" s="48" t="str">
        <v>Kohls - Sonora</v>
      </c>
      <c r="B60" s="12" t="str">
        <v>CA</v>
      </c>
      <c r="C60" s="24">
        <f>SUM(Jul!C60, Aug!C60, Sep!C62)</f>
        <v>37763</v>
      </c>
      <c r="D60" s="13">
        <f>SUM(Jul!D60, Aug!D60, Sep!D62)</f>
        <v>0</v>
      </c>
      <c r="E60" s="13">
        <f t="shared" si="9"/>
        <v>37763</v>
      </c>
      <c r="F60" s="14" t="str">
        <f t="shared" si="10"/>
        <v/>
      </c>
      <c r="G60" s="15">
        <f>SUM(Jul!G60, Aug!G60, Sep!G60)</f>
        <v>64840.100000000006</v>
      </c>
      <c r="H60" s="15">
        <f>SUM(Jul!H60, Aug!H60, Sep!H62)</f>
        <v>-6717.7700000000023</v>
      </c>
      <c r="I60" s="16">
        <f t="shared" si="11"/>
        <v>-0.10360517642631646</v>
      </c>
    </row>
    <row r="61" spans="1:9" ht="15.6">
      <c r="A61" s="49" t="str">
        <v>CUSD - Stratford ES</v>
      </c>
      <c r="B61" s="17" t="str">
        <v>CA</v>
      </c>
      <c r="C61" s="11">
        <f>SUM(Jul!C61, Aug!C61, Sep!C63)</f>
        <v>29429</v>
      </c>
      <c r="D61" s="18">
        <f>SUM(Jul!D61, Aug!D61, Sep!D63)</f>
        <v>0</v>
      </c>
      <c r="E61" s="18">
        <f t="shared" si="9"/>
        <v>29429</v>
      </c>
      <c r="F61" s="19" t="str">
        <f t="shared" si="10"/>
        <v/>
      </c>
      <c r="G61" s="20" t="e">
        <f>SUM(Jul!G61, Aug!G61, Sep!#REF!)</f>
        <v>#REF!</v>
      </c>
      <c r="H61" s="20">
        <f>SUM(Jul!H61, Aug!H61, Sep!H63)</f>
        <v>-10344.879999999999</v>
      </c>
      <c r="I61" s="19" t="str">
        <f t="shared" si="11"/>
        <v/>
      </c>
    </row>
    <row r="62" spans="1:9" ht="15.6">
      <c r="A62" s="48" t="str">
        <v>Taft - City Hall</v>
      </c>
      <c r="B62" s="12" t="str">
        <v>CA</v>
      </c>
      <c r="C62" s="24">
        <f>SUM(Jul!C62, Aug!C62, Sep!C64)</f>
        <v>19119</v>
      </c>
      <c r="D62" s="13">
        <f>SUM(Jul!D62, Aug!D62, Sep!D64)</f>
        <v>0</v>
      </c>
      <c r="E62" s="13">
        <f t="shared" si="9"/>
        <v>19119</v>
      </c>
      <c r="F62" s="14" t="str">
        <f t="shared" si="10"/>
        <v/>
      </c>
      <c r="G62" s="15">
        <f>SUM(Jul!G62, Aug!G62, Sep!G62)</f>
        <v>20238.059999999998</v>
      </c>
      <c r="H62" s="15">
        <f>SUM(Jul!H62, Aug!H62, Sep!H64)</f>
        <v>-2460.1099999999988</v>
      </c>
      <c r="I62" s="16">
        <f t="shared" si="11"/>
        <v>-0.12155858812554163</v>
      </c>
    </row>
    <row r="63" spans="1:9" ht="15.6">
      <c r="A63" s="49" t="str">
        <v>Taft - Federal Prison</v>
      </c>
      <c r="B63" s="17" t="str">
        <v>CA</v>
      </c>
      <c r="C63" s="11">
        <f>SUM(Jul!C63, Aug!C63, Sep!C65)</f>
        <v>8481</v>
      </c>
      <c r="D63" s="18">
        <f>SUM(Jul!D63, Aug!D63, Sep!D65)</f>
        <v>0</v>
      </c>
      <c r="E63" s="18">
        <f t="shared" si="9"/>
        <v>8481</v>
      </c>
      <c r="F63" s="19" t="str">
        <f t="shared" si="10"/>
        <v/>
      </c>
      <c r="G63" s="20">
        <f>SUM(Jul!G63, Aug!G63, Sep!G63)</f>
        <v>32520.79</v>
      </c>
      <c r="H63" s="20">
        <f>SUM(Jul!H63, Aug!H63, Sep!H65)</f>
        <v>-76788.87</v>
      </c>
      <c r="I63" s="19">
        <f t="shared" si="11"/>
        <v>-2.3612240047059125</v>
      </c>
    </row>
    <row r="64" spans="1:9" ht="15.6">
      <c r="A64" s="48" t="str">
        <v>Taft - Police Department</v>
      </c>
      <c r="B64" s="12" t="str">
        <v>CA</v>
      </c>
      <c r="C64" s="24">
        <f>SUM(Jul!C64, Aug!C64, Sep!C66)</f>
        <v>124962</v>
      </c>
      <c r="D64" s="13">
        <f>SUM(Jul!D64, Aug!D64, Sep!D66)</f>
        <v>0</v>
      </c>
      <c r="E64" s="13">
        <f t="shared" si="9"/>
        <v>124962</v>
      </c>
      <c r="F64" s="14" t="str">
        <f t="shared" si="10"/>
        <v/>
      </c>
      <c r="G64" s="15">
        <f>SUM(Jul!G64, Aug!G64, Sep!G66)</f>
        <v>220597.41</v>
      </c>
      <c r="H64" s="15">
        <f>SUM(Jul!H64, Aug!H64, Sep!H66)</f>
        <v>-95635.41</v>
      </c>
      <c r="I64" s="16">
        <f t="shared" si="11"/>
        <v>-0.43352916065515001</v>
      </c>
    </row>
    <row r="65" spans="1:9" ht="15.6">
      <c r="A65" s="49" t="str">
        <v>Taft - WTP</v>
      </c>
      <c r="B65" s="17" t="str">
        <v>CA</v>
      </c>
      <c r="C65" s="11">
        <f>SUM(Jul!C65, Aug!C65, Sep!C67)</f>
        <v>110217</v>
      </c>
      <c r="D65" s="18">
        <f>SUM(Jul!D65, Aug!D65, Sep!D67)</f>
        <v>0</v>
      </c>
      <c r="E65" s="18">
        <f t="shared" si="9"/>
        <v>110217</v>
      </c>
      <c r="F65" s="19" t="str">
        <f t="shared" si="10"/>
        <v/>
      </c>
      <c r="G65" s="20">
        <f>SUM(Jul!G65, Aug!G65, Sep!G67)</f>
        <v>336377.28100000002</v>
      </c>
      <c r="H65" s="20">
        <f>SUM(Jul!H65, Aug!H65, Sep!H67)</f>
        <v>-226160.28100000002</v>
      </c>
      <c r="I65" s="19">
        <f t="shared" si="11"/>
        <v>-0.67234112936420343</v>
      </c>
    </row>
    <row r="66" spans="1:9" ht="15.6">
      <c r="A66" s="48" t="str">
        <v>CDCR - CA Correctional Institution</v>
      </c>
      <c r="B66" s="12" t="str">
        <v>CA</v>
      </c>
      <c r="C66" s="24">
        <f>SUM(Jul!C66, Aug!C66, Sep!C68)</f>
        <v>33852</v>
      </c>
      <c r="D66" s="13">
        <f>SUM(Jul!D66, Aug!D66, Sep!D68)</f>
        <v>0</v>
      </c>
      <c r="E66" s="13">
        <f t="shared" si="9"/>
        <v>33852</v>
      </c>
      <c r="F66" s="14" t="str">
        <f t="shared" si="10"/>
        <v/>
      </c>
      <c r="G66" s="15">
        <f>SUM(Jul!G66, Aug!G66, Sep!G68)</f>
        <v>54256.5</v>
      </c>
      <c r="H66" s="15">
        <f>SUM(Jul!H66, Aug!H66, Sep!H68)</f>
        <v>-20404.5</v>
      </c>
      <c r="I66" s="16">
        <f t="shared" si="11"/>
        <v>-0.37607475602001605</v>
      </c>
    </row>
    <row r="67" spans="1:9" ht="15.6">
      <c r="A67" s="49" t="str">
        <v>CDCR - CA Correctional Institution II</v>
      </c>
      <c r="B67" s="17" t="str">
        <v>CA</v>
      </c>
      <c r="C67" s="11" t="e">
        <f>SUM(Jul!C67, Aug!C67, Sep!#REF!)</f>
        <v>#REF!</v>
      </c>
      <c r="D67" s="18" t="e">
        <f>SUM(Jul!D67, Aug!D67, Sep!#REF!)</f>
        <v>#REF!</v>
      </c>
      <c r="E67" s="18" t="str">
        <f t="shared" si="9"/>
        <v/>
      </c>
      <c r="F67" s="19" t="str">
        <f t="shared" si="10"/>
        <v/>
      </c>
      <c r="G67" s="20" t="e">
        <f>SUM(Jul!G67, Aug!G67, Sep!#REF!)</f>
        <v>#REF!</v>
      </c>
      <c r="H67" s="20" t="e">
        <f>SUM(Jul!H67, Aug!H67, Sep!#REF!)</f>
        <v>#REF!</v>
      </c>
      <c r="I67" s="19" t="str">
        <f t="shared" si="11"/>
        <v/>
      </c>
    </row>
    <row r="68" spans="1:9" ht="15.6">
      <c r="A68" s="48" t="str">
        <v>Snowline SD - Vista Verde ES</v>
      </c>
      <c r="B68" s="12" t="str">
        <v>CA</v>
      </c>
      <c r="C68" s="24" t="e">
        <f>SUM(Jul!C68, Aug!C68, Sep!#REF!)</f>
        <v>#REF!</v>
      </c>
      <c r="D68" s="13" t="e">
        <f>SUM(Jul!D68, Aug!D68, Sep!#REF!)</f>
        <v>#REF!</v>
      </c>
      <c r="E68" s="13" t="str">
        <f t="shared" si="9"/>
        <v/>
      </c>
      <c r="F68" s="14" t="str">
        <f t="shared" si="10"/>
        <v/>
      </c>
      <c r="G68" s="15" t="e">
        <f>SUM(Jul!G68, Aug!G68, Sep!#REF!)</f>
        <v>#REF!</v>
      </c>
      <c r="H68" s="15" t="e">
        <f>SUM(Jul!H68, Aug!H68, Sep!#REF!)</f>
        <v>#REF!</v>
      </c>
      <c r="I68" s="16" t="str">
        <f t="shared" si="11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M43" sqref="M4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Silicon Ranch</v>
      </c>
      <c r="B1" s="84"/>
      <c r="C1" s="84"/>
      <c r="D1" s="85" t="s">
        <v>16</v>
      </c>
      <c r="E1" s="85"/>
      <c r="F1" s="85"/>
      <c r="G1" s="83" t="s">
        <v>17</v>
      </c>
      <c r="H1" s="83"/>
      <c r="I1" s="83"/>
    </row>
    <row r="2" spans="1:9" ht="19.5" customHeight="1">
      <c r="A2" s="86" t="s">
        <v>2</v>
      </c>
      <c r="B2" s="8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6">
      <c r="A19" s="49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0" si="6">IF(AND(ISNUMBER(C19),ISNUMBER(D19)), C19-D19, "")</f>
        <v>0</v>
      </c>
      <c r="F19" s="14" t="str">
        <f t="shared" ref="F19:F20" si="7">IFERROR(E19/D19, "")</f>
        <v/>
      </c>
      <c r="G19" s="15"/>
      <c r="H19" s="15">
        <f>SUM(Oct!H19, Nov!H19, Dec!H19)</f>
        <v>0</v>
      </c>
      <c r="I19" s="16" t="str">
        <f t="shared" ref="I19:I20" si="8">IFERROR(H19/G19, "")</f>
        <v/>
      </c>
    </row>
    <row r="20" spans="1:9" ht="15.6">
      <c r="A20" s="48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6">
      <c r="A21" s="49" t="str">
        <v>Kohls - Middletown</v>
      </c>
      <c r="B21" s="10" t="str">
        <v>NJ</v>
      </c>
      <c r="C21" s="24">
        <f>SUM(Oct!C21, Nov!C21, Dec!C21)</f>
        <v>0</v>
      </c>
      <c r="D21" s="13">
        <f>SUM(Oct!D21, Nov!D21, Dec!D21)</f>
        <v>0</v>
      </c>
      <c r="E21" s="13">
        <f t="shared" ref="E21:E68" si="9">IF(AND(ISNUMBER(C21),ISNUMBER(D21)), C21-D21, "")</f>
        <v>0</v>
      </c>
      <c r="F21" s="14" t="str">
        <f t="shared" ref="F21:F68" si="10">IFERROR(E21/D21, "")</f>
        <v/>
      </c>
      <c r="G21" s="15"/>
      <c r="H21" s="15">
        <f>SUM(Oct!H21, Nov!H21, Dec!H21)</f>
        <v>0</v>
      </c>
      <c r="I21" s="16" t="str">
        <f t="shared" ref="I21:I68" si="11">IFERROR(H21/G21, "")</f>
        <v/>
      </c>
    </row>
    <row r="22" spans="1:9" ht="15.6">
      <c r="A22" s="48" t="str">
        <v>Kohls - North Amherst</v>
      </c>
      <c r="B22" s="9" t="str">
        <v>NY</v>
      </c>
      <c r="C22" s="11">
        <f>SUM(Oct!C22, Nov!C22, Dec!C22)</f>
        <v>0</v>
      </c>
      <c r="D22" s="18">
        <f>SUM(Oct!D22, Nov!D22, Dec!D22)</f>
        <v>0</v>
      </c>
      <c r="E22" s="18">
        <f t="shared" si="9"/>
        <v>0</v>
      </c>
      <c r="F22" s="19" t="str">
        <f t="shared" si="10"/>
        <v/>
      </c>
      <c r="G22" s="20"/>
      <c r="H22" s="20">
        <f>SUM(Oct!H22, Nov!H22, Dec!H22)</f>
        <v>0</v>
      </c>
      <c r="I22" s="19" t="str">
        <f t="shared" si="11"/>
        <v/>
      </c>
    </row>
    <row r="23" spans="1:9" ht="15.6">
      <c r="A23" s="49" t="str">
        <v>Kohls - Staten Island</v>
      </c>
      <c r="B23" s="10" t="str">
        <v>NY</v>
      </c>
      <c r="C23" s="24">
        <f>SUM(Oct!C23, Nov!C23, Dec!C23)</f>
        <v>0</v>
      </c>
      <c r="D23" s="13">
        <f>SUM(Oct!D23, Nov!D23, Dec!D23)</f>
        <v>0</v>
      </c>
      <c r="E23" s="13">
        <f t="shared" si="9"/>
        <v>0</v>
      </c>
      <c r="F23" s="14" t="str">
        <f t="shared" si="10"/>
        <v/>
      </c>
      <c r="G23" s="15"/>
      <c r="H23" s="15">
        <f>SUM(Oct!H23, Nov!H23, Dec!H23)</f>
        <v>0</v>
      </c>
      <c r="I23" s="16" t="str">
        <f t="shared" si="11"/>
        <v/>
      </c>
    </row>
    <row r="24" spans="1:9" ht="15.6">
      <c r="A24" s="48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9"/>
        <v>0</v>
      </c>
      <c r="F24" s="19" t="str">
        <f t="shared" si="10"/>
        <v/>
      </c>
      <c r="G24" s="20"/>
      <c r="H24" s="20">
        <f>SUM(Oct!H24, Nov!H24, Dec!H24)</f>
        <v>0</v>
      </c>
      <c r="I24" s="19" t="str">
        <f t="shared" si="11"/>
        <v/>
      </c>
    </row>
    <row r="25" spans="1:9" ht="15.6">
      <c r="A25" s="49" t="str">
        <v xml:space="preserve">Kohls - Waterbury </v>
      </c>
      <c r="B25" s="10" t="str">
        <v>CT</v>
      </c>
      <c r="C25" s="24">
        <f>SUM(Oct!C25, Nov!C25, Dec!C25)</f>
        <v>0</v>
      </c>
      <c r="D25" s="13">
        <f>SUM(Oct!D25, Nov!D25, Dec!D25)</f>
        <v>0</v>
      </c>
      <c r="E25" s="13">
        <f t="shared" si="9"/>
        <v>0</v>
      </c>
      <c r="F25" s="14" t="str">
        <f t="shared" si="10"/>
        <v/>
      </c>
      <c r="G25" s="15"/>
      <c r="H25" s="15">
        <f>SUM(Oct!H25, Nov!H25, Dec!H25)</f>
        <v>0</v>
      </c>
      <c r="I25" s="16" t="str">
        <f t="shared" si="11"/>
        <v/>
      </c>
    </row>
    <row r="26" spans="1:9" ht="15.6">
      <c r="A26" s="48" t="str">
        <v>Mojave Water Agency - Headquarters</v>
      </c>
      <c r="B26" s="9" t="str">
        <v>CA</v>
      </c>
      <c r="C26" s="11">
        <f>SUM(Oct!C26, Nov!C26, Dec!C26)</f>
        <v>0</v>
      </c>
      <c r="D26" s="18">
        <f>SUM(Oct!D26, Nov!D26, Dec!D26)</f>
        <v>0</v>
      </c>
      <c r="E26" s="18">
        <f t="shared" si="9"/>
        <v>0</v>
      </c>
      <c r="F26" s="19" t="str">
        <f t="shared" si="10"/>
        <v/>
      </c>
      <c r="G26" s="20"/>
      <c r="H26" s="20">
        <f>SUM(Oct!H26, Nov!H26, Dec!H26)</f>
        <v>0</v>
      </c>
      <c r="I26" s="19" t="str">
        <f t="shared" si="11"/>
        <v/>
      </c>
    </row>
    <row r="27" spans="1:9" ht="15.6">
      <c r="A27" s="49" t="str">
        <v>CSU - Bakersfield</v>
      </c>
      <c r="B27" s="10" t="str">
        <v>CA</v>
      </c>
      <c r="C27" s="24">
        <f>SUM(Oct!C27, Nov!C27, Dec!C27)</f>
        <v>0</v>
      </c>
      <c r="D27" s="13">
        <f>SUM(Oct!D27, Nov!D27, Dec!D27)</f>
        <v>0</v>
      </c>
      <c r="E27" s="13">
        <f t="shared" si="9"/>
        <v>0</v>
      </c>
      <c r="F27" s="14" t="str">
        <f t="shared" si="10"/>
        <v/>
      </c>
      <c r="G27" s="15"/>
      <c r="H27" s="15">
        <f>SUM(Oct!H27, Nov!H27, Dec!H27)</f>
        <v>0</v>
      </c>
      <c r="I27" s="16" t="str">
        <f t="shared" si="11"/>
        <v/>
      </c>
    </row>
    <row r="28" spans="1:9" ht="15.6">
      <c r="A28" s="48" t="str">
        <v>Greenfield USD - Fairfield ES</v>
      </c>
      <c r="B28" s="9" t="str">
        <v>CA</v>
      </c>
      <c r="C28" s="11">
        <f>SUM(Oct!C28, Nov!C28, Dec!C28)</f>
        <v>0</v>
      </c>
      <c r="D28" s="18">
        <f>SUM(Oct!D28, Nov!D28, Dec!D28)</f>
        <v>0</v>
      </c>
      <c r="E28" s="18">
        <f t="shared" si="9"/>
        <v>0</v>
      </c>
      <c r="F28" s="19" t="str">
        <f t="shared" si="10"/>
        <v/>
      </c>
      <c r="G28" s="20"/>
      <c r="H28" s="20">
        <f>SUM(Oct!H28, Nov!H28, Dec!H28)</f>
        <v>0</v>
      </c>
      <c r="I28" s="19" t="str">
        <f t="shared" si="11"/>
        <v/>
      </c>
    </row>
    <row r="29" spans="1:9" ht="15.6">
      <c r="A29" s="49" t="str">
        <v>Greenfield USD - Granite Point ES</v>
      </c>
      <c r="B29" s="10" t="str">
        <v>CA</v>
      </c>
      <c r="C29" s="24">
        <f>SUM(Oct!C29, Nov!C29, Dec!C29)</f>
        <v>0</v>
      </c>
      <c r="D29" s="13">
        <f>SUM(Oct!D29, Nov!D29, Dec!D29)</f>
        <v>0</v>
      </c>
      <c r="E29" s="13">
        <f t="shared" si="9"/>
        <v>0</v>
      </c>
      <c r="F29" s="14" t="str">
        <f t="shared" si="10"/>
        <v/>
      </c>
      <c r="G29" s="15"/>
      <c r="H29" s="15">
        <f>SUM(Oct!H29, Nov!H29, Dec!H29)</f>
        <v>0</v>
      </c>
      <c r="I29" s="16" t="str">
        <f t="shared" si="11"/>
        <v/>
      </c>
    </row>
    <row r="30" spans="1:9" ht="15.6">
      <c r="A30" s="48" t="str">
        <v>Greenfield USD - Greenfield MS</v>
      </c>
      <c r="B30" s="9" t="str">
        <v>CA</v>
      </c>
      <c r="C30" s="11">
        <f>SUM(Oct!C30, Nov!C30, Dec!C30)</f>
        <v>0</v>
      </c>
      <c r="D30" s="18">
        <f>SUM(Oct!D30, Nov!D30, Dec!D30)</f>
        <v>0</v>
      </c>
      <c r="E30" s="18">
        <f t="shared" si="9"/>
        <v>0</v>
      </c>
      <c r="F30" s="19" t="str">
        <f t="shared" si="10"/>
        <v/>
      </c>
      <c r="G30" s="20"/>
      <c r="H30" s="20">
        <f>SUM(Oct!H30, Nov!H30, Dec!H30)</f>
        <v>0</v>
      </c>
      <c r="I30" s="19" t="str">
        <f t="shared" si="11"/>
        <v/>
      </c>
    </row>
    <row r="31" spans="1:9" ht="15.6">
      <c r="A31" s="49" t="str">
        <v>Greenfield USD - Horizon ES</v>
      </c>
      <c r="B31" s="10" t="str">
        <v>CA</v>
      </c>
      <c r="C31" s="24">
        <f>SUM(Oct!C31, Nov!C31, Dec!C31)</f>
        <v>0</v>
      </c>
      <c r="D31" s="13">
        <f>SUM(Oct!D31, Nov!D31, Dec!D31)</f>
        <v>0</v>
      </c>
      <c r="E31" s="13">
        <f t="shared" si="9"/>
        <v>0</v>
      </c>
      <c r="F31" s="14" t="str">
        <f t="shared" si="10"/>
        <v/>
      </c>
      <c r="G31" s="15"/>
      <c r="H31" s="15">
        <f>SUM(Oct!H31, Nov!H31, Dec!H31)</f>
        <v>0</v>
      </c>
      <c r="I31" s="16" t="str">
        <f t="shared" si="11"/>
        <v/>
      </c>
    </row>
    <row r="32" spans="1:9" ht="15.6">
      <c r="A32" s="48" t="str">
        <v>Greenfield USD - McKee MS</v>
      </c>
      <c r="B32" s="9" t="str">
        <v>CA</v>
      </c>
      <c r="C32" s="11">
        <f>SUM(Oct!C32, Nov!C32, Dec!C32)</f>
        <v>0</v>
      </c>
      <c r="D32" s="18">
        <f>SUM(Oct!D32, Nov!D32, Dec!D32)</f>
        <v>0</v>
      </c>
      <c r="E32" s="18">
        <f t="shared" si="9"/>
        <v>0</v>
      </c>
      <c r="F32" s="19" t="str">
        <f t="shared" si="10"/>
        <v/>
      </c>
      <c r="G32" s="20"/>
      <c r="H32" s="20">
        <f>SUM(Oct!H32, Nov!H32, Dec!H32)</f>
        <v>0</v>
      </c>
      <c r="I32" s="19" t="str">
        <f t="shared" si="11"/>
        <v/>
      </c>
    </row>
    <row r="33" spans="1:9" ht="15.6">
      <c r="A33" s="49" t="str">
        <v>Greenfield USD - Plantation ES</v>
      </c>
      <c r="B33" s="10" t="str">
        <v>CA</v>
      </c>
      <c r="C33" s="24">
        <f>SUM(Oct!C33, Nov!C33, Dec!C33)</f>
        <v>0</v>
      </c>
      <c r="D33" s="13">
        <f>SUM(Oct!D33, Nov!D33, Dec!D33)</f>
        <v>0</v>
      </c>
      <c r="E33" s="13">
        <f t="shared" si="9"/>
        <v>0</v>
      </c>
      <c r="F33" s="14" t="str">
        <f t="shared" si="10"/>
        <v/>
      </c>
      <c r="G33" s="15"/>
      <c r="H33" s="15">
        <f>SUM(Oct!H33, Nov!H33, Dec!H33)</f>
        <v>0</v>
      </c>
      <c r="I33" s="16" t="str">
        <f t="shared" si="11"/>
        <v/>
      </c>
    </row>
    <row r="34" spans="1:9" ht="15.6">
      <c r="A34" s="48" t="str">
        <v>Greenfield USD - Planz ES</v>
      </c>
      <c r="B34" s="9" t="str">
        <v>CA</v>
      </c>
      <c r="C34" s="11">
        <f>SUM(Oct!C34, Nov!C34, Dec!C34)</f>
        <v>0</v>
      </c>
      <c r="D34" s="18">
        <f>SUM(Oct!D34, Nov!D34, Dec!D34)</f>
        <v>0</v>
      </c>
      <c r="E34" s="18">
        <f t="shared" si="9"/>
        <v>0</v>
      </c>
      <c r="F34" s="19" t="str">
        <f t="shared" si="10"/>
        <v/>
      </c>
      <c r="G34" s="20"/>
      <c r="H34" s="20">
        <f>SUM(Oct!H34, Nov!H34, Dec!H34)</f>
        <v>0</v>
      </c>
      <c r="I34" s="19" t="str">
        <f t="shared" si="11"/>
        <v/>
      </c>
    </row>
    <row r="35" spans="1:9" ht="15.6">
      <c r="A35" s="49" t="str">
        <v>Greenfield USD - Raffaello Palla ES</v>
      </c>
      <c r="B35" s="10" t="str">
        <v>CA</v>
      </c>
      <c r="C35" s="24">
        <f>SUM(Oct!C35, Nov!C35, Dec!C35)</f>
        <v>0</v>
      </c>
      <c r="D35" s="13">
        <f>SUM(Oct!D35, Nov!D35, Dec!D35)</f>
        <v>0</v>
      </c>
      <c r="E35" s="13">
        <f t="shared" si="9"/>
        <v>0</v>
      </c>
      <c r="F35" s="14" t="str">
        <f t="shared" si="10"/>
        <v/>
      </c>
      <c r="G35" s="15"/>
      <c r="H35" s="15">
        <f>SUM(Oct!H35, Nov!H35, Dec!H35)</f>
        <v>0</v>
      </c>
      <c r="I35" s="16" t="str">
        <f t="shared" si="11"/>
        <v/>
      </c>
    </row>
    <row r="36" spans="1:9" ht="15.6">
      <c r="A36" s="48" t="str">
        <v>Greenfield USD - Valle Verde ES</v>
      </c>
      <c r="B36" s="9" t="str">
        <v>CA</v>
      </c>
      <c r="C36" s="11">
        <f>SUM(Oct!C36, Nov!C36, Dec!C36)</f>
        <v>0</v>
      </c>
      <c r="D36" s="18">
        <f>SUM(Oct!D36, Nov!D36, Dec!D36)</f>
        <v>0</v>
      </c>
      <c r="E36" s="18">
        <f t="shared" si="9"/>
        <v>0</v>
      </c>
      <c r="F36" s="19" t="str">
        <f t="shared" si="10"/>
        <v/>
      </c>
      <c r="G36" s="20"/>
      <c r="H36" s="20">
        <f>SUM(Oct!H36, Nov!H36, Dec!H36)</f>
        <v>0</v>
      </c>
      <c r="I36" s="19" t="str">
        <f t="shared" si="11"/>
        <v/>
      </c>
    </row>
    <row r="37" spans="1:9" ht="15.6">
      <c r="A37" s="49" t="str">
        <v>Greenfield USD - W.A. Kendrick ES</v>
      </c>
      <c r="B37" s="10" t="str">
        <v>CA</v>
      </c>
      <c r="C37" s="24">
        <f>SUM(Oct!C37, Nov!C37, Dec!C37)</f>
        <v>0</v>
      </c>
      <c r="D37" s="13">
        <f>SUM(Oct!D37, Nov!D37, Dec!D37)</f>
        <v>0</v>
      </c>
      <c r="E37" s="13">
        <f t="shared" si="9"/>
        <v>0</v>
      </c>
      <c r="F37" s="14" t="str">
        <f t="shared" si="10"/>
        <v/>
      </c>
      <c r="G37" s="15"/>
      <c r="H37" s="15">
        <f>SUM(Oct!H37, Nov!H37, Dec!H37)</f>
        <v>0</v>
      </c>
      <c r="I37" s="16" t="str">
        <f t="shared" si="11"/>
        <v/>
      </c>
    </row>
    <row r="38" spans="1:9" ht="15.6">
      <c r="A38" s="48" t="str">
        <v>Muroc Joint USD - Boron HS</v>
      </c>
      <c r="B38" s="9" t="str">
        <v>CA</v>
      </c>
      <c r="C38" s="11">
        <f>SUM(Oct!C38, Nov!C38, Dec!C38)</f>
        <v>0</v>
      </c>
      <c r="D38" s="18">
        <f>SUM(Oct!D38, Nov!D38, Dec!D38)</f>
        <v>0</v>
      </c>
      <c r="E38" s="18">
        <f t="shared" si="9"/>
        <v>0</v>
      </c>
      <c r="F38" s="19" t="str">
        <f t="shared" si="10"/>
        <v/>
      </c>
      <c r="G38" s="20"/>
      <c r="H38" s="20">
        <f>SUM(Oct!H38, Nov!H38, Dec!H38)</f>
        <v>0</v>
      </c>
      <c r="I38" s="19" t="str">
        <f t="shared" si="11"/>
        <v/>
      </c>
    </row>
    <row r="39" spans="1:9" ht="15.6">
      <c r="A39" s="49" t="str">
        <v>Muroc Joint USD - W. Boron ES</v>
      </c>
      <c r="B39" s="10" t="str">
        <v>CA</v>
      </c>
      <c r="C39" s="24">
        <f>SUM(Oct!C39, Nov!C39, Dec!C39)</f>
        <v>0</v>
      </c>
      <c r="D39" s="13">
        <f>SUM(Oct!D39, Nov!D39, Dec!D39)</f>
        <v>0</v>
      </c>
      <c r="E39" s="13">
        <f t="shared" si="9"/>
        <v>0</v>
      </c>
      <c r="F39" s="14" t="str">
        <f t="shared" si="10"/>
        <v/>
      </c>
      <c r="G39" s="15"/>
      <c r="H39" s="15">
        <f>SUM(Oct!H39, Nov!H39, Dec!H39)</f>
        <v>0</v>
      </c>
      <c r="I39" s="16" t="str">
        <f t="shared" si="11"/>
        <v/>
      </c>
    </row>
    <row r="40" spans="1:9" ht="15.6">
      <c r="A40" s="48" t="str">
        <v>Colusa - WTP</v>
      </c>
      <c r="B40" s="9" t="str">
        <v>CA</v>
      </c>
      <c r="C40" s="11">
        <f>SUM(Oct!C40, Nov!C40, Dec!C40)</f>
        <v>0</v>
      </c>
      <c r="D40" s="18">
        <f>SUM(Oct!D40, Nov!D40, Dec!D40)</f>
        <v>0</v>
      </c>
      <c r="E40" s="18">
        <f t="shared" si="9"/>
        <v>0</v>
      </c>
      <c r="F40" s="19" t="str">
        <f t="shared" si="10"/>
        <v/>
      </c>
      <c r="G40" s="20"/>
      <c r="H40" s="20">
        <f>SUM(Oct!H40, Nov!H40, Dec!H40)</f>
        <v>0</v>
      </c>
      <c r="I40" s="19" t="str">
        <f t="shared" si="11"/>
        <v/>
      </c>
    </row>
    <row r="41" spans="1:9" ht="15.6">
      <c r="A41" s="49" t="str">
        <v>CDCR-North Kern State Prision</v>
      </c>
      <c r="B41" s="10" t="str">
        <v>CA</v>
      </c>
      <c r="C41" s="24">
        <f>SUM(Oct!C41, Nov!C41, Dec!C41)</f>
        <v>0</v>
      </c>
      <c r="D41" s="13">
        <f>SUM(Oct!D41, Nov!D41, Dec!D41)</f>
        <v>0</v>
      </c>
      <c r="E41" s="13">
        <f t="shared" si="9"/>
        <v>0</v>
      </c>
      <c r="F41" s="14" t="str">
        <f t="shared" si="10"/>
        <v/>
      </c>
      <c r="G41" s="15"/>
      <c r="H41" s="15">
        <f>SUM(Oct!H41, Nov!H41, Dec!H41)</f>
        <v>0</v>
      </c>
      <c r="I41" s="16" t="str">
        <f t="shared" si="11"/>
        <v/>
      </c>
    </row>
    <row r="42" spans="1:9" ht="15.6">
      <c r="A42" s="48" t="str">
        <v>Muroc Joint USD - District Office</v>
      </c>
      <c r="B42" s="9" t="str">
        <v>CA</v>
      </c>
      <c r="C42" s="11">
        <f>SUM(Oct!C42, Nov!C42, Dec!C42)</f>
        <v>0</v>
      </c>
      <c r="D42" s="18">
        <f>SUM(Oct!D42, Nov!D42, Dec!D42)</f>
        <v>0</v>
      </c>
      <c r="E42" s="18">
        <f t="shared" si="9"/>
        <v>0</v>
      </c>
      <c r="F42" s="19" t="str">
        <f t="shared" si="10"/>
        <v/>
      </c>
      <c r="G42" s="20"/>
      <c r="H42" s="20">
        <f>SUM(Oct!H42, Nov!H42, Dec!H42)</f>
        <v>0</v>
      </c>
      <c r="I42" s="19" t="str">
        <f t="shared" si="11"/>
        <v/>
      </c>
    </row>
    <row r="43" spans="1:9" ht="15.6">
      <c r="A43" s="49" t="str">
        <v>Whole Foods - Manhattan Beach</v>
      </c>
      <c r="B43" s="10" t="str">
        <v>CA</v>
      </c>
      <c r="C43" s="24">
        <f>SUM(Oct!C43, Nov!C43, Dec!C43)</f>
        <v>0</v>
      </c>
      <c r="D43" s="13">
        <f>SUM(Oct!D43, Nov!D43, Dec!D43)</f>
        <v>0</v>
      </c>
      <c r="E43" s="13">
        <f t="shared" si="9"/>
        <v>0</v>
      </c>
      <c r="F43" s="14" t="str">
        <f t="shared" si="10"/>
        <v/>
      </c>
      <c r="G43" s="15"/>
      <c r="H43" s="15">
        <f>SUM(Oct!H43, Nov!H43, Dec!H43)</f>
        <v>0</v>
      </c>
      <c r="I43" s="16" t="str">
        <f t="shared" si="11"/>
        <v/>
      </c>
    </row>
    <row r="44" spans="1:9" ht="15.6">
      <c r="A44" s="48" t="str">
        <v>Pioneer USD - Frontier ES</v>
      </c>
      <c r="B44" s="9" t="str">
        <v>CA</v>
      </c>
      <c r="C44" s="11">
        <f>SUM(Oct!C44, Nov!C44, Dec!C44)</f>
        <v>0</v>
      </c>
      <c r="D44" s="18">
        <f>SUM(Oct!D44, Nov!D44, Dec!D44)</f>
        <v>0</v>
      </c>
      <c r="E44" s="18">
        <f t="shared" si="9"/>
        <v>0</v>
      </c>
      <c r="F44" s="19" t="str">
        <f t="shared" si="10"/>
        <v/>
      </c>
      <c r="G44" s="20"/>
      <c r="H44" s="20">
        <f>SUM(Oct!H44, Nov!H44, Dec!H44)</f>
        <v>0</v>
      </c>
      <c r="I44" s="19" t="str">
        <f t="shared" si="11"/>
        <v/>
      </c>
    </row>
    <row r="45" spans="1:9" ht="15.6">
      <c r="A45" s="49" t="str">
        <v>Pioneer USD - Pioneer ES</v>
      </c>
      <c r="B45" s="10" t="str">
        <v>CA</v>
      </c>
      <c r="C45" s="24">
        <f>SUM(Oct!C45, Nov!C45, Dec!C45)</f>
        <v>0</v>
      </c>
      <c r="D45" s="13">
        <f>SUM(Oct!D45, Nov!D45, Dec!D45)</f>
        <v>0</v>
      </c>
      <c r="E45" s="13">
        <f t="shared" si="9"/>
        <v>0</v>
      </c>
      <c r="F45" s="14" t="str">
        <f t="shared" si="10"/>
        <v/>
      </c>
      <c r="G45" s="15"/>
      <c r="H45" s="15">
        <f>SUM(Oct!H45, Nov!H45, Dec!H45)</f>
        <v>0</v>
      </c>
      <c r="I45" s="16" t="str">
        <f t="shared" si="11"/>
        <v/>
      </c>
    </row>
    <row r="46" spans="1:9" ht="15.6">
      <c r="A46" s="48" t="str">
        <v>Pioneer USD - Pioneer MS</v>
      </c>
      <c r="B46" s="9" t="str">
        <v>CA</v>
      </c>
      <c r="C46" s="11">
        <f>SUM(Oct!C46, Nov!C46, Dec!C46)</f>
        <v>0</v>
      </c>
      <c r="D46" s="18">
        <f>SUM(Oct!D46, Nov!D46, Dec!D46)</f>
        <v>0</v>
      </c>
      <c r="E46" s="18">
        <f t="shared" si="9"/>
        <v>0</v>
      </c>
      <c r="F46" s="19" t="str">
        <f t="shared" si="10"/>
        <v/>
      </c>
      <c r="G46" s="20"/>
      <c r="H46" s="20">
        <f>SUM(Oct!H46, Nov!H46, Dec!H46)</f>
        <v>0</v>
      </c>
      <c r="I46" s="19" t="str">
        <f t="shared" si="11"/>
        <v/>
      </c>
    </row>
    <row r="47" spans="1:9" ht="15.6">
      <c r="A47" s="49" t="str">
        <v>Kingsburg Joint UHSD - Kingsburg HS</v>
      </c>
      <c r="B47" s="10" t="str">
        <v>CA</v>
      </c>
      <c r="C47" s="24">
        <f>SUM(Oct!C47, Nov!C47, Dec!C47)</f>
        <v>0</v>
      </c>
      <c r="D47" s="13">
        <f>SUM(Oct!D47, Nov!D47, Dec!D47)</f>
        <v>0</v>
      </c>
      <c r="E47" s="13">
        <f t="shared" si="9"/>
        <v>0</v>
      </c>
      <c r="F47" s="14" t="str">
        <f t="shared" si="10"/>
        <v/>
      </c>
      <c r="G47" s="15"/>
      <c r="H47" s="15">
        <f>SUM(Oct!H47, Nov!H47, Dec!H47)</f>
        <v>0</v>
      </c>
      <c r="I47" s="16" t="str">
        <f t="shared" si="11"/>
        <v/>
      </c>
    </row>
    <row r="48" spans="1:9" ht="15.6">
      <c r="A48" s="48" t="str">
        <v>CADRB</v>
      </c>
      <c r="B48" s="9" t="str">
        <v>CA</v>
      </c>
      <c r="C48" s="11">
        <f>SUM(Oct!C48, Nov!C48, Dec!C48)</f>
        <v>0</v>
      </c>
      <c r="D48" s="18">
        <f>SUM(Oct!D48, Nov!D48, Dec!D48)</f>
        <v>0</v>
      </c>
      <c r="E48" s="18">
        <f t="shared" si="9"/>
        <v>0</v>
      </c>
      <c r="F48" s="19" t="str">
        <f t="shared" si="10"/>
        <v/>
      </c>
      <c r="G48" s="20"/>
      <c r="H48" s="20">
        <f>SUM(Oct!H48, Nov!H48, Dec!H48)</f>
        <v>0</v>
      </c>
      <c r="I48" s="19" t="str">
        <f t="shared" si="11"/>
        <v/>
      </c>
    </row>
    <row r="49" spans="1:9" ht="15.6">
      <c r="A49" s="49" t="str">
        <v>CDCR-CA State Prison LA County</v>
      </c>
      <c r="B49" s="10" t="str">
        <v>CA</v>
      </c>
      <c r="C49" s="24">
        <f>SUM(Oct!C49, Nov!C49, Dec!C49)</f>
        <v>0</v>
      </c>
      <c r="D49" s="13">
        <f>SUM(Oct!D49, Nov!D49, Dec!D49)</f>
        <v>0</v>
      </c>
      <c r="E49" s="13">
        <f t="shared" si="9"/>
        <v>0</v>
      </c>
      <c r="F49" s="14" t="str">
        <f t="shared" si="10"/>
        <v/>
      </c>
      <c r="G49" s="15"/>
      <c r="H49" s="15">
        <f>SUM(Oct!H49, Nov!H49, Dec!H49)</f>
        <v>0</v>
      </c>
      <c r="I49" s="16" t="str">
        <f t="shared" si="11"/>
        <v/>
      </c>
    </row>
    <row r="50" spans="1:9" ht="15.6">
      <c r="A50" s="48" t="str">
        <v>Central USD Akers ES</v>
      </c>
      <c r="B50" s="9" t="str">
        <v>CA</v>
      </c>
      <c r="C50" s="11">
        <f>SUM(Oct!C50, Nov!C50, Dec!C50)</f>
        <v>0</v>
      </c>
      <c r="D50" s="18">
        <f>SUM(Oct!D50, Nov!D50, Dec!D50)</f>
        <v>0</v>
      </c>
      <c r="E50" s="18">
        <f t="shared" si="9"/>
        <v>0</v>
      </c>
      <c r="F50" s="19" t="str">
        <f t="shared" si="10"/>
        <v/>
      </c>
      <c r="G50" s="20"/>
      <c r="H50" s="20">
        <f>SUM(Oct!H50, Nov!H50, Dec!H50)</f>
        <v>0</v>
      </c>
      <c r="I50" s="19" t="str">
        <f t="shared" si="11"/>
        <v/>
      </c>
    </row>
    <row r="51" spans="1:9" ht="15.6">
      <c r="A51" s="49" t="str">
        <v>CUSD - District Office</v>
      </c>
      <c r="B51" s="10" t="str">
        <v>CA</v>
      </c>
      <c r="C51" s="24">
        <f>SUM(Oct!C51, Nov!C51, Dec!C51)</f>
        <v>0</v>
      </c>
      <c r="D51" s="13">
        <f>SUM(Oct!D51, Nov!D51, Dec!D51)</f>
        <v>0</v>
      </c>
      <c r="E51" s="13">
        <f t="shared" si="9"/>
        <v>0</v>
      </c>
      <c r="F51" s="14" t="str">
        <f t="shared" si="10"/>
        <v/>
      </c>
      <c r="G51" s="15"/>
      <c r="H51" s="15">
        <f>SUM(Oct!H51, Nov!H51, Dec!H51)</f>
        <v>0</v>
      </c>
      <c r="I51" s="16" t="str">
        <f t="shared" si="11"/>
        <v/>
      </c>
    </row>
    <row r="52" spans="1:9" ht="15.6">
      <c r="A52" s="48" t="str">
        <v>Parlier - WTP</v>
      </c>
      <c r="B52" s="9" t="str">
        <v>CA</v>
      </c>
      <c r="C52" s="11">
        <f>SUM(Oct!C52, Nov!C52, Dec!C52)</f>
        <v>0</v>
      </c>
      <c r="D52" s="18">
        <f>SUM(Oct!D52, Nov!D52, Dec!D52)</f>
        <v>0</v>
      </c>
      <c r="E52" s="18">
        <f t="shared" si="9"/>
        <v>0</v>
      </c>
      <c r="F52" s="19" t="str">
        <f t="shared" si="10"/>
        <v/>
      </c>
      <c r="G52" s="20"/>
      <c r="H52" s="20">
        <f>SUM(Oct!H52, Nov!H52, Dec!H52)</f>
        <v>0</v>
      </c>
      <c r="I52" s="19" t="str">
        <f t="shared" si="11"/>
        <v/>
      </c>
    </row>
    <row r="53" spans="1:9" ht="15.6">
      <c r="A53" s="49" t="str">
        <v>Snowline SD - Quail Valley MS</v>
      </c>
      <c r="B53" s="10" t="str">
        <v>CA</v>
      </c>
      <c r="C53" s="24">
        <f>SUM(Oct!C53, Nov!C53, Dec!C53)</f>
        <v>0</v>
      </c>
      <c r="D53" s="13">
        <f>SUM(Oct!D53, Nov!D53, Dec!D53)</f>
        <v>0</v>
      </c>
      <c r="E53" s="13">
        <f t="shared" si="9"/>
        <v>0</v>
      </c>
      <c r="F53" s="14" t="str">
        <f t="shared" si="10"/>
        <v/>
      </c>
      <c r="G53" s="15"/>
      <c r="H53" s="15">
        <f>SUM(Oct!H53, Nov!H53, Dec!H53)</f>
        <v>0</v>
      </c>
      <c r="I53" s="16" t="str">
        <f t="shared" si="11"/>
        <v/>
      </c>
    </row>
    <row r="54" spans="1:9" ht="15.6">
      <c r="A54" s="48" t="str">
        <v>Snowline SD - Serrano HS - Middle Lot</v>
      </c>
      <c r="B54" s="9" t="str">
        <v>CA</v>
      </c>
      <c r="C54" s="11">
        <f>SUM(Oct!C54, Nov!C54, Dec!C54)</f>
        <v>0</v>
      </c>
      <c r="D54" s="18">
        <f>SUM(Oct!D54, Nov!D54, Dec!D54)</f>
        <v>0</v>
      </c>
      <c r="E54" s="18">
        <f t="shared" si="9"/>
        <v>0</v>
      </c>
      <c r="F54" s="19" t="str">
        <f t="shared" si="10"/>
        <v/>
      </c>
      <c r="G54" s="20"/>
      <c r="H54" s="20">
        <f>SUM(Oct!H54, Nov!H54, Dec!H54)</f>
        <v>0</v>
      </c>
      <c r="I54" s="19" t="str">
        <f t="shared" si="11"/>
        <v/>
      </c>
    </row>
    <row r="55" spans="1:9" ht="15.6">
      <c r="A55" s="49" t="str">
        <v>Snowline SD - Pinon Hills ES</v>
      </c>
      <c r="B55" s="10" t="str">
        <v>CA</v>
      </c>
      <c r="C55" s="24">
        <f>SUM(Oct!C55, Nov!C55, Dec!C55)</f>
        <v>0</v>
      </c>
      <c r="D55" s="13">
        <f>SUM(Oct!D55, Nov!D55, Dec!D55)</f>
        <v>0</v>
      </c>
      <c r="E55" s="13">
        <f t="shared" si="9"/>
        <v>0</v>
      </c>
      <c r="F55" s="14" t="str">
        <f t="shared" si="10"/>
        <v/>
      </c>
      <c r="G55" s="15"/>
      <c r="H55" s="15">
        <f>SUM(Oct!H55, Nov!H55, Dec!H55)</f>
        <v>0</v>
      </c>
      <c r="I55" s="16" t="str">
        <f t="shared" si="11"/>
        <v/>
      </c>
    </row>
    <row r="56" spans="1:9" ht="15.6">
      <c r="A56" s="48" t="str">
        <v>Ramona - Santa Maria WTP</v>
      </c>
      <c r="B56" s="9" t="str">
        <v>CA</v>
      </c>
      <c r="C56" s="11">
        <f>SUM(Oct!C56, Nov!C56, Dec!C56)</f>
        <v>0</v>
      </c>
      <c r="D56" s="18">
        <f>SUM(Oct!D56, Nov!D56, Dec!D56)</f>
        <v>0</v>
      </c>
      <c r="E56" s="18">
        <f t="shared" si="9"/>
        <v>0</v>
      </c>
      <c r="F56" s="19" t="str">
        <f t="shared" si="10"/>
        <v/>
      </c>
      <c r="G56" s="20"/>
      <c r="H56" s="20">
        <f>SUM(Oct!H56, Nov!H56, Dec!H56)</f>
        <v>0</v>
      </c>
      <c r="I56" s="19" t="str">
        <f t="shared" si="11"/>
        <v/>
      </c>
    </row>
    <row r="57" spans="1:9" ht="15.6">
      <c r="A57" s="49" t="str">
        <v>Kohls - Redding</v>
      </c>
      <c r="B57" s="10" t="str">
        <v>CA</v>
      </c>
      <c r="C57" s="24">
        <f>SUM(Oct!C57, Nov!C57, Dec!C57)</f>
        <v>0</v>
      </c>
      <c r="D57" s="13">
        <f>SUM(Oct!D57, Nov!D57, Dec!D57)</f>
        <v>0</v>
      </c>
      <c r="E57" s="13">
        <f t="shared" si="9"/>
        <v>0</v>
      </c>
      <c r="F57" s="14" t="str">
        <f t="shared" si="10"/>
        <v/>
      </c>
      <c r="G57" s="15"/>
      <c r="H57" s="15">
        <f>SUM(Oct!H57, Nov!H57, Dec!H57)</f>
        <v>0</v>
      </c>
      <c r="I57" s="16" t="str">
        <f t="shared" si="11"/>
        <v/>
      </c>
    </row>
    <row r="58" spans="1:9" ht="15.6">
      <c r="A58" s="48" t="str">
        <v>Kohls - Salinas</v>
      </c>
      <c r="B58" s="9" t="str">
        <v>CA</v>
      </c>
      <c r="C58" s="11">
        <f>SUM(Oct!C58, Nov!C58, Dec!C58)</f>
        <v>0</v>
      </c>
      <c r="D58" s="18">
        <f>SUM(Oct!D58, Nov!D58, Dec!D58)</f>
        <v>0</v>
      </c>
      <c r="E58" s="18">
        <f t="shared" si="9"/>
        <v>0</v>
      </c>
      <c r="F58" s="19" t="str">
        <f t="shared" si="10"/>
        <v/>
      </c>
      <c r="G58" s="20"/>
      <c r="H58" s="20">
        <f>SUM(Oct!H58, Nov!H58, Dec!H58)</f>
        <v>0</v>
      </c>
      <c r="I58" s="19" t="str">
        <f t="shared" si="11"/>
        <v/>
      </c>
    </row>
    <row r="59" spans="1:9" ht="15.6">
      <c r="A59" s="49" t="str">
        <v>Kohls - San Bernardino - Central</v>
      </c>
      <c r="B59" s="10" t="str">
        <v>CA</v>
      </c>
      <c r="C59" s="24">
        <f>SUM(Oct!C59, Nov!C59, Dec!C59)</f>
        <v>0</v>
      </c>
      <c r="D59" s="13">
        <f>SUM(Oct!D59, Nov!D59, Dec!D59)</f>
        <v>0</v>
      </c>
      <c r="E59" s="13">
        <f t="shared" si="9"/>
        <v>0</v>
      </c>
      <c r="F59" s="14" t="str">
        <f t="shared" si="10"/>
        <v/>
      </c>
      <c r="G59" s="15"/>
      <c r="H59" s="15">
        <f>SUM(Oct!H59, Nov!H59, Dec!H59)</f>
        <v>0</v>
      </c>
      <c r="I59" s="16" t="str">
        <f t="shared" si="11"/>
        <v/>
      </c>
    </row>
    <row r="60" spans="1:9" ht="15.6">
      <c r="A60" s="48" t="str">
        <v>Kohls - Sonora</v>
      </c>
      <c r="B60" s="9" t="str">
        <v>CA</v>
      </c>
      <c r="C60" s="11">
        <f>SUM(Oct!C60, Nov!C60, Dec!C60)</f>
        <v>0</v>
      </c>
      <c r="D60" s="18">
        <f>SUM(Oct!D60, Nov!D60, Dec!D60)</f>
        <v>0</v>
      </c>
      <c r="E60" s="18">
        <f t="shared" si="9"/>
        <v>0</v>
      </c>
      <c r="F60" s="19" t="str">
        <f t="shared" si="10"/>
        <v/>
      </c>
      <c r="G60" s="20"/>
      <c r="H60" s="20">
        <f>SUM(Oct!H60, Nov!H60, Dec!H60)</f>
        <v>0</v>
      </c>
      <c r="I60" s="19" t="str">
        <f t="shared" si="11"/>
        <v/>
      </c>
    </row>
    <row r="61" spans="1:9" ht="15.6">
      <c r="A61" s="49" t="str">
        <v>CUSD - Stratford ES</v>
      </c>
      <c r="B61" s="10" t="str">
        <v>CA</v>
      </c>
      <c r="C61" s="24">
        <f>SUM(Oct!C61, Nov!C61, Dec!C61)</f>
        <v>0</v>
      </c>
      <c r="D61" s="13">
        <f>SUM(Oct!D61, Nov!D61, Dec!D61)</f>
        <v>0</v>
      </c>
      <c r="E61" s="13">
        <f t="shared" si="9"/>
        <v>0</v>
      </c>
      <c r="F61" s="14" t="str">
        <f t="shared" si="10"/>
        <v/>
      </c>
      <c r="G61" s="15"/>
      <c r="H61" s="15">
        <f>SUM(Oct!H61, Nov!H61, Dec!H61)</f>
        <v>0</v>
      </c>
      <c r="I61" s="16" t="str">
        <f t="shared" si="11"/>
        <v/>
      </c>
    </row>
    <row r="62" spans="1:9" ht="15.6">
      <c r="A62" s="48" t="str">
        <v>Taft - City Hall</v>
      </c>
      <c r="B62" s="9" t="str">
        <v>CA</v>
      </c>
      <c r="C62" s="11">
        <f>SUM(Oct!C62, Nov!C62, Dec!C62)</f>
        <v>0</v>
      </c>
      <c r="D62" s="18">
        <f>SUM(Oct!D62, Nov!D62, Dec!D62)</f>
        <v>0</v>
      </c>
      <c r="E62" s="18">
        <f t="shared" si="9"/>
        <v>0</v>
      </c>
      <c r="F62" s="19" t="str">
        <f t="shared" si="10"/>
        <v/>
      </c>
      <c r="G62" s="20"/>
      <c r="H62" s="20">
        <f>SUM(Oct!H62, Nov!H62, Dec!H62)</f>
        <v>0</v>
      </c>
      <c r="I62" s="19" t="str">
        <f t="shared" si="11"/>
        <v/>
      </c>
    </row>
    <row r="63" spans="1:9" ht="15.6">
      <c r="A63" s="49" t="str">
        <v>Taft - Federal Prison</v>
      </c>
      <c r="B63" s="10" t="str">
        <v>CA</v>
      </c>
      <c r="C63" s="24">
        <f>SUM(Oct!C63, Nov!C63, Dec!C63)</f>
        <v>0</v>
      </c>
      <c r="D63" s="13">
        <f>SUM(Oct!D63, Nov!D63, Dec!D63)</f>
        <v>0</v>
      </c>
      <c r="E63" s="13">
        <f t="shared" si="9"/>
        <v>0</v>
      </c>
      <c r="F63" s="14" t="str">
        <f t="shared" si="10"/>
        <v/>
      </c>
      <c r="G63" s="15"/>
      <c r="H63" s="15">
        <f>SUM(Oct!H63, Nov!H63, Dec!H63)</f>
        <v>0</v>
      </c>
      <c r="I63" s="16" t="str">
        <f t="shared" si="11"/>
        <v/>
      </c>
    </row>
    <row r="64" spans="1:9" ht="15.6">
      <c r="A64" s="48" t="str">
        <v>Taft - Police Department</v>
      </c>
      <c r="B64" s="9" t="str">
        <v>CA</v>
      </c>
      <c r="C64" s="11">
        <f>SUM(Oct!C64, Nov!C64, Dec!C64)</f>
        <v>0</v>
      </c>
      <c r="D64" s="18">
        <f>SUM(Oct!D64, Nov!D64, Dec!D64)</f>
        <v>0</v>
      </c>
      <c r="E64" s="18">
        <f t="shared" si="9"/>
        <v>0</v>
      </c>
      <c r="F64" s="19" t="str">
        <f t="shared" si="10"/>
        <v/>
      </c>
      <c r="G64" s="20"/>
      <c r="H64" s="20">
        <f>SUM(Oct!H64, Nov!H64, Dec!H64)</f>
        <v>0</v>
      </c>
      <c r="I64" s="19" t="str">
        <f t="shared" si="11"/>
        <v/>
      </c>
    </row>
    <row r="65" spans="1:9" ht="15.6">
      <c r="A65" s="49" t="str">
        <v>Taft - WTP</v>
      </c>
      <c r="B65" s="10" t="str">
        <v>CA</v>
      </c>
      <c r="C65" s="24">
        <f>SUM(Oct!C65, Nov!C65, Dec!C65)</f>
        <v>0</v>
      </c>
      <c r="D65" s="13">
        <f>SUM(Oct!D65, Nov!D65, Dec!D65)</f>
        <v>0</v>
      </c>
      <c r="E65" s="13">
        <f t="shared" si="9"/>
        <v>0</v>
      </c>
      <c r="F65" s="14" t="str">
        <f t="shared" si="10"/>
        <v/>
      </c>
      <c r="G65" s="15"/>
      <c r="H65" s="15">
        <f>SUM(Oct!H65, Nov!H65, Dec!H65)</f>
        <v>0</v>
      </c>
      <c r="I65" s="16" t="str">
        <f t="shared" si="11"/>
        <v/>
      </c>
    </row>
    <row r="66" spans="1:9" ht="15.6">
      <c r="A66" s="48" t="str">
        <v>CDCR - CA Correctional Institution</v>
      </c>
      <c r="B66" s="9" t="str">
        <v>CA</v>
      </c>
      <c r="C66" s="11">
        <f>SUM(Oct!C66, Nov!C66, Dec!C66)</f>
        <v>0</v>
      </c>
      <c r="D66" s="18">
        <f>SUM(Oct!D66, Nov!D66, Dec!D66)</f>
        <v>0</v>
      </c>
      <c r="E66" s="18">
        <f t="shared" si="9"/>
        <v>0</v>
      </c>
      <c r="F66" s="19" t="str">
        <f t="shared" si="10"/>
        <v/>
      </c>
      <c r="G66" s="20"/>
      <c r="H66" s="20">
        <f>SUM(Oct!H66, Nov!H66, Dec!H66)</f>
        <v>0</v>
      </c>
      <c r="I66" s="19" t="str">
        <f t="shared" si="11"/>
        <v/>
      </c>
    </row>
    <row r="67" spans="1:9" ht="15.6">
      <c r="A67" s="49" t="str">
        <v>CDCR - CA Correctional Institution II</v>
      </c>
      <c r="B67" s="10" t="str">
        <v>CA</v>
      </c>
      <c r="C67" s="24">
        <f>SUM(Oct!C67, Nov!C67, Dec!C67)</f>
        <v>0</v>
      </c>
      <c r="D67" s="13">
        <f>SUM(Oct!D67, Nov!D67, Dec!D67)</f>
        <v>0</v>
      </c>
      <c r="E67" s="13">
        <f t="shared" si="9"/>
        <v>0</v>
      </c>
      <c r="F67" s="14" t="str">
        <f t="shared" si="10"/>
        <v/>
      </c>
      <c r="G67" s="15"/>
      <c r="H67" s="15">
        <f>SUM(Oct!H67, Nov!H67, Dec!H67)</f>
        <v>0</v>
      </c>
      <c r="I67" s="16" t="str">
        <f t="shared" si="11"/>
        <v/>
      </c>
    </row>
    <row r="68" spans="1:9" ht="15.6">
      <c r="A68" s="48" t="str">
        <v>Snowline SD - Vista Verde ES</v>
      </c>
      <c r="B68" s="9" t="str">
        <v>CA</v>
      </c>
      <c r="C68" s="11">
        <f>SUM(Oct!C68, Nov!C68, Dec!C68)</f>
        <v>0</v>
      </c>
      <c r="D68" s="18">
        <f>SUM(Oct!D68, Nov!D68, Dec!D68)</f>
        <v>0</v>
      </c>
      <c r="E68" s="18">
        <f t="shared" si="9"/>
        <v>0</v>
      </c>
      <c r="F68" s="19" t="str">
        <f t="shared" si="10"/>
        <v/>
      </c>
      <c r="G68" s="20"/>
      <c r="H68" s="20">
        <f>SUM(Oct!H68, Nov!H68, Dec!H68)</f>
        <v>0</v>
      </c>
      <c r="I68" s="19" t="str">
        <f t="shared" si="11"/>
        <v/>
      </c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0" activePane="bottomRight" state="frozen"/>
      <selection pane="bottomRight" activeCell="J26" sqref="J26:K94"/>
      <selection pane="bottomLeft"/>
      <selection pane="topRight"/>
    </sheetView>
  </sheetViews>
  <sheetFormatPr defaultRowHeight="13.9"/>
  <cols>
    <col min="1" max="1" width="34.140625" bestFit="1" customWidth="1"/>
    <col min="2" max="2" width="5.7109375" style="34" bestFit="1" customWidth="1"/>
    <col min="3" max="3" width="9.4257812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18</v>
      </c>
      <c r="E1" s="85"/>
      <c r="F1" s="85"/>
      <c r="G1" s="83" t="s">
        <v>19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9">
      <c r="A5" s="52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6">
      <c r="A6" s="53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6">
      <c r="A7" s="52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6">
      <c r="A8" s="53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6">
      <c r="A9" s="52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6">
      <c r="A10" s="53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6">
      <c r="A11" s="52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6">
      <c r="A12" s="53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6">
      <c r="A13" s="52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6">
      <c r="A14" s="53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6">
      <c r="A15" s="52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6">
      <c r="A16" s="53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6">
      <c r="A17" s="52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6">
      <c r="A18" s="53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6">
      <c r="A19" s="52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6">
      <c r="A20" s="53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6">
      <c r="A21" s="52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6">
      <c r="A22" s="53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6">
      <c r="A23" s="52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9">
      <c r="A24" s="53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6">
      <c r="A25" s="52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.6">
      <c r="A26" s="53" t="str">
        <v>Mojave Water Agency - Headquarters</v>
      </c>
      <c r="B26" s="28" t="str">
        <v>CA</v>
      </c>
      <c r="C26" s="13"/>
      <c r="D26" s="13"/>
      <c r="E26" s="13" t="str">
        <f t="shared" ref="E26:E68" si="11">IF(AND(ISNUMBER(C26),ISNUMBER(D26)), C26-D26, "")</f>
        <v/>
      </c>
      <c r="F26" s="13" t="str">
        <f t="shared" ref="F26:F68" si="12">IFERROR(E26/D26, "")</f>
        <v/>
      </c>
      <c r="G26" s="15"/>
      <c r="H26" s="15" t="str">
        <f t="shared" ref="H26:H68" si="13">IF(AND(ISNUMBER(C26),ISNUMBER(G26)), C26-G26, "")</f>
        <v/>
      </c>
      <c r="I26" s="16" t="str">
        <f t="shared" ref="I26:I68" si="14">IFERROR(H26/G26, "")</f>
        <v/>
      </c>
      <c r="J26" s="41"/>
      <c r="K26" s="41"/>
    </row>
    <row r="27" spans="1:11" ht="15.6">
      <c r="A27" s="52" t="str">
        <v>CSU - Bakersfield</v>
      </c>
      <c r="B27" s="30" t="str">
        <v>CA</v>
      </c>
      <c r="C27" s="18"/>
      <c r="D27" s="18"/>
      <c r="E27" s="18" t="str">
        <f t="shared" si="11"/>
        <v/>
      </c>
      <c r="F27" s="18" t="str">
        <f t="shared" si="12"/>
        <v/>
      </c>
      <c r="G27" s="45"/>
      <c r="H27" s="45" t="str">
        <f t="shared" si="13"/>
        <v/>
      </c>
      <c r="I27" s="16" t="str">
        <f t="shared" si="14"/>
        <v/>
      </c>
      <c r="J27" s="42"/>
      <c r="K27" s="42"/>
    </row>
    <row r="28" spans="1:11" ht="15.6">
      <c r="A28" s="53" t="str">
        <v>Greenfield USD - Fairfield ES</v>
      </c>
      <c r="B28" s="28" t="str">
        <v>CA</v>
      </c>
      <c r="C28" s="13"/>
      <c r="D28" s="13"/>
      <c r="E28" s="13" t="str">
        <f t="shared" si="11"/>
        <v/>
      </c>
      <c r="F28" s="13" t="str">
        <f t="shared" si="12"/>
        <v/>
      </c>
      <c r="G28" s="15"/>
      <c r="H28" s="15" t="str">
        <f t="shared" si="13"/>
        <v/>
      </c>
      <c r="I28" s="16" t="str">
        <f t="shared" si="14"/>
        <v/>
      </c>
      <c r="J28" s="41"/>
      <c r="K28" s="41"/>
    </row>
    <row r="29" spans="1:11" ht="15.6">
      <c r="A29" s="52" t="str">
        <v>Greenfield USD - Granite Point ES</v>
      </c>
      <c r="B29" s="30" t="str">
        <v>CA</v>
      </c>
      <c r="C29" s="18"/>
      <c r="D29" s="18"/>
      <c r="E29" s="18" t="str">
        <f t="shared" si="11"/>
        <v/>
      </c>
      <c r="F29" s="18" t="str">
        <f t="shared" si="12"/>
        <v/>
      </c>
      <c r="G29" s="45"/>
      <c r="H29" s="45" t="str">
        <f t="shared" si="13"/>
        <v/>
      </c>
      <c r="I29" s="16" t="str">
        <f t="shared" si="14"/>
        <v/>
      </c>
      <c r="J29" s="42"/>
      <c r="K29" s="42"/>
    </row>
    <row r="30" spans="1:11" ht="15.6">
      <c r="A30" s="53" t="str">
        <v>Greenfield USD - Greenfield MS</v>
      </c>
      <c r="B30" s="28" t="str">
        <v>CA</v>
      </c>
      <c r="C30" s="13"/>
      <c r="D30" s="13"/>
      <c r="E30" s="13" t="str">
        <f t="shared" si="11"/>
        <v/>
      </c>
      <c r="F30" s="13" t="str">
        <f t="shared" si="12"/>
        <v/>
      </c>
      <c r="G30" s="15"/>
      <c r="H30" s="15" t="str">
        <f t="shared" si="13"/>
        <v/>
      </c>
      <c r="I30" s="16" t="str">
        <f t="shared" si="14"/>
        <v/>
      </c>
      <c r="J30" s="41"/>
      <c r="K30" s="41"/>
    </row>
    <row r="31" spans="1:11" ht="15.6">
      <c r="A31" s="52" t="str">
        <v>Greenfield USD - Horizon ES</v>
      </c>
      <c r="B31" s="30" t="str">
        <v>CA</v>
      </c>
      <c r="C31" s="18"/>
      <c r="D31" s="18"/>
      <c r="E31" s="18" t="str">
        <f t="shared" si="11"/>
        <v/>
      </c>
      <c r="F31" s="18" t="str">
        <f t="shared" si="12"/>
        <v/>
      </c>
      <c r="G31" s="45"/>
      <c r="H31" s="45" t="str">
        <f t="shared" si="13"/>
        <v/>
      </c>
      <c r="I31" s="16" t="str">
        <f t="shared" si="14"/>
        <v/>
      </c>
      <c r="J31" s="42"/>
      <c r="K31" s="42"/>
    </row>
    <row r="32" spans="1:11" ht="15.6">
      <c r="A32" s="53" t="str">
        <v>Greenfield USD - McKee MS</v>
      </c>
      <c r="B32" s="28" t="str">
        <v>CA</v>
      </c>
      <c r="C32" s="13"/>
      <c r="D32" s="13"/>
      <c r="E32" s="13" t="str">
        <f t="shared" si="11"/>
        <v/>
      </c>
      <c r="F32" s="13" t="str">
        <f t="shared" si="12"/>
        <v/>
      </c>
      <c r="G32" s="15"/>
      <c r="H32" s="15" t="str">
        <f t="shared" si="13"/>
        <v/>
      </c>
      <c r="I32" s="16" t="str">
        <f t="shared" si="14"/>
        <v/>
      </c>
      <c r="J32" s="41"/>
      <c r="K32" s="41"/>
    </row>
    <row r="33" spans="1:11" ht="15.6">
      <c r="A33" s="52" t="str">
        <v>Greenfield USD - Plantation ES</v>
      </c>
      <c r="B33" s="30" t="str">
        <v>CA</v>
      </c>
      <c r="C33" s="18"/>
      <c r="D33" s="18"/>
      <c r="E33" s="18" t="str">
        <f t="shared" si="11"/>
        <v/>
      </c>
      <c r="F33" s="18" t="str">
        <f t="shared" si="12"/>
        <v/>
      </c>
      <c r="G33" s="45"/>
      <c r="H33" s="45" t="str">
        <f t="shared" si="13"/>
        <v/>
      </c>
      <c r="I33" s="16" t="str">
        <f t="shared" si="14"/>
        <v/>
      </c>
      <c r="J33" s="42"/>
      <c r="K33" s="42"/>
    </row>
    <row r="34" spans="1:11" ht="15.6">
      <c r="A34" s="53" t="str">
        <v>Greenfield USD - Planz ES</v>
      </c>
      <c r="B34" s="28" t="str">
        <v>CA</v>
      </c>
      <c r="C34" s="13"/>
      <c r="D34" s="13"/>
      <c r="E34" s="13" t="str">
        <f t="shared" si="11"/>
        <v/>
      </c>
      <c r="F34" s="13" t="str">
        <f t="shared" si="12"/>
        <v/>
      </c>
      <c r="G34" s="15"/>
      <c r="H34" s="15" t="str">
        <f t="shared" si="13"/>
        <v/>
      </c>
      <c r="I34" s="16" t="str">
        <f t="shared" si="14"/>
        <v/>
      </c>
      <c r="J34" s="41"/>
      <c r="K34" s="41"/>
    </row>
    <row r="35" spans="1:11" ht="15.6">
      <c r="A35" s="52" t="str">
        <v>Greenfield USD - Raffaello Palla ES</v>
      </c>
      <c r="B35" s="30" t="str">
        <v>CA</v>
      </c>
      <c r="C35" s="18"/>
      <c r="D35" s="18"/>
      <c r="E35" s="18" t="str">
        <f t="shared" si="11"/>
        <v/>
      </c>
      <c r="F35" s="18" t="str">
        <f t="shared" si="12"/>
        <v/>
      </c>
      <c r="G35" s="45"/>
      <c r="H35" s="45" t="str">
        <f t="shared" si="13"/>
        <v/>
      </c>
      <c r="I35" s="16" t="str">
        <f t="shared" si="14"/>
        <v/>
      </c>
      <c r="J35" s="42"/>
      <c r="K35" s="42"/>
    </row>
    <row r="36" spans="1:11" ht="15.6">
      <c r="A36" s="53" t="str">
        <v>Greenfield USD - Valle Verde ES</v>
      </c>
      <c r="B36" s="28" t="str">
        <v>CA</v>
      </c>
      <c r="C36" s="13"/>
      <c r="D36" s="13"/>
      <c r="E36" s="13" t="str">
        <f t="shared" si="11"/>
        <v/>
      </c>
      <c r="F36" s="13" t="str">
        <f t="shared" si="12"/>
        <v/>
      </c>
      <c r="G36" s="15"/>
      <c r="H36" s="15" t="str">
        <f t="shared" si="13"/>
        <v/>
      </c>
      <c r="I36" s="16" t="str">
        <f t="shared" si="14"/>
        <v/>
      </c>
      <c r="J36" s="41"/>
      <c r="K36" s="41"/>
    </row>
    <row r="37" spans="1:11" ht="15.6">
      <c r="A37" s="52" t="str">
        <v>Greenfield USD - W.A. Kendrick ES</v>
      </c>
      <c r="B37" s="30" t="str">
        <v>CA</v>
      </c>
      <c r="C37" s="18"/>
      <c r="D37" s="18"/>
      <c r="E37" s="18" t="str">
        <f t="shared" si="11"/>
        <v/>
      </c>
      <c r="F37" s="18" t="str">
        <f t="shared" si="12"/>
        <v/>
      </c>
      <c r="G37" s="45"/>
      <c r="H37" s="45" t="str">
        <f t="shared" si="13"/>
        <v/>
      </c>
      <c r="I37" s="16" t="str">
        <f t="shared" si="14"/>
        <v/>
      </c>
      <c r="J37" s="42"/>
      <c r="K37" s="42"/>
    </row>
    <row r="38" spans="1:11" ht="15.6">
      <c r="A38" s="53" t="str">
        <v>Muroc Joint USD - Boron HS</v>
      </c>
      <c r="B38" s="28" t="str">
        <v>CA</v>
      </c>
      <c r="C38" s="13"/>
      <c r="D38" s="13"/>
      <c r="E38" s="13" t="str">
        <f t="shared" si="11"/>
        <v/>
      </c>
      <c r="F38" s="13" t="str">
        <f t="shared" si="12"/>
        <v/>
      </c>
      <c r="G38" s="15"/>
      <c r="H38" s="15" t="str">
        <f t="shared" si="13"/>
        <v/>
      </c>
      <c r="I38" s="16" t="str">
        <f t="shared" si="14"/>
        <v/>
      </c>
      <c r="J38" s="41"/>
      <c r="K38" s="41"/>
    </row>
    <row r="39" spans="1:11" ht="15.6">
      <c r="A39" s="52" t="str">
        <v>Muroc Joint USD - W. Boron ES</v>
      </c>
      <c r="B39" s="30" t="str">
        <v>CA</v>
      </c>
      <c r="C39" s="18"/>
      <c r="D39" s="18"/>
      <c r="E39" s="18" t="str">
        <f t="shared" si="11"/>
        <v/>
      </c>
      <c r="F39" s="18" t="str">
        <f t="shared" si="12"/>
        <v/>
      </c>
      <c r="G39" s="45"/>
      <c r="H39" s="45" t="str">
        <f t="shared" si="13"/>
        <v/>
      </c>
      <c r="I39" s="16" t="str">
        <f t="shared" si="14"/>
        <v/>
      </c>
      <c r="J39" s="42"/>
      <c r="K39" s="42"/>
    </row>
    <row r="40" spans="1:11" ht="15.6">
      <c r="A40" s="53" t="str">
        <v>Colusa - WTP</v>
      </c>
      <c r="B40" s="28" t="str">
        <v>CA</v>
      </c>
      <c r="C40" s="13"/>
      <c r="D40" s="13"/>
      <c r="E40" s="13" t="str">
        <f t="shared" si="11"/>
        <v/>
      </c>
      <c r="F40" s="13" t="str">
        <f t="shared" si="12"/>
        <v/>
      </c>
      <c r="G40" s="15"/>
      <c r="H40" s="15" t="str">
        <f t="shared" si="13"/>
        <v/>
      </c>
      <c r="I40" s="16" t="str">
        <f t="shared" si="14"/>
        <v/>
      </c>
      <c r="J40" s="41"/>
      <c r="K40" s="41"/>
    </row>
    <row r="41" spans="1:11" ht="15.6">
      <c r="A41" s="52" t="str">
        <v>CDCR-North Kern State Prision</v>
      </c>
      <c r="B41" s="30" t="str">
        <v>CA</v>
      </c>
      <c r="C41" s="18"/>
      <c r="D41" s="18"/>
      <c r="E41" s="18" t="str">
        <f t="shared" si="11"/>
        <v/>
      </c>
      <c r="F41" s="18" t="str">
        <f t="shared" si="12"/>
        <v/>
      </c>
      <c r="G41" s="45"/>
      <c r="H41" s="45" t="str">
        <f t="shared" si="13"/>
        <v/>
      </c>
      <c r="I41" s="16" t="str">
        <f t="shared" si="14"/>
        <v/>
      </c>
      <c r="J41" s="42"/>
      <c r="K41" s="42"/>
    </row>
    <row r="42" spans="1:11" ht="15.6">
      <c r="A42" s="53" t="str">
        <v>Muroc Joint USD - District Office</v>
      </c>
      <c r="B42" s="28" t="str">
        <v>CA</v>
      </c>
      <c r="C42" s="13"/>
      <c r="D42" s="13"/>
      <c r="E42" s="13" t="str">
        <f t="shared" si="11"/>
        <v/>
      </c>
      <c r="F42" s="13" t="str">
        <f t="shared" si="12"/>
        <v/>
      </c>
      <c r="G42" s="15"/>
      <c r="H42" s="15" t="str">
        <f t="shared" si="13"/>
        <v/>
      </c>
      <c r="I42" s="16" t="str">
        <f t="shared" si="14"/>
        <v/>
      </c>
      <c r="J42" s="41"/>
      <c r="K42" s="41"/>
    </row>
    <row r="43" spans="1:11" ht="15.6">
      <c r="A43" s="52" t="str">
        <v>Whole Foods - Manhattan Beach</v>
      </c>
      <c r="B43" s="30" t="str">
        <v>CA</v>
      </c>
      <c r="C43" s="18"/>
      <c r="D43" s="18"/>
      <c r="E43" s="18" t="str">
        <f t="shared" si="11"/>
        <v/>
      </c>
      <c r="F43" s="18" t="str">
        <f t="shared" si="12"/>
        <v/>
      </c>
      <c r="G43" s="45"/>
      <c r="H43" s="45" t="str">
        <f t="shared" si="13"/>
        <v/>
      </c>
      <c r="I43" s="16" t="str">
        <f t="shared" si="14"/>
        <v/>
      </c>
      <c r="J43" s="42"/>
      <c r="K43" s="42"/>
    </row>
    <row r="44" spans="1:11" ht="15.6">
      <c r="A44" s="53" t="str">
        <v>Pioneer USD - Frontier ES</v>
      </c>
      <c r="B44" s="28" t="str">
        <v>CA</v>
      </c>
      <c r="C44" s="13"/>
      <c r="D44" s="13"/>
      <c r="E44" s="13" t="str">
        <f t="shared" si="11"/>
        <v/>
      </c>
      <c r="F44" s="13" t="str">
        <f t="shared" si="12"/>
        <v/>
      </c>
      <c r="G44" s="15"/>
      <c r="H44" s="15" t="str">
        <f t="shared" si="13"/>
        <v/>
      </c>
      <c r="I44" s="16" t="str">
        <f t="shared" si="14"/>
        <v/>
      </c>
      <c r="J44" s="41"/>
      <c r="K44" s="41"/>
    </row>
    <row r="45" spans="1:11" ht="15.6">
      <c r="A45" s="52" t="str">
        <v>Pioneer USD - Pioneer ES</v>
      </c>
      <c r="B45" s="30" t="str">
        <v>CA</v>
      </c>
      <c r="C45" s="18"/>
      <c r="D45" s="18"/>
      <c r="E45" s="18" t="str">
        <f t="shared" si="11"/>
        <v/>
      </c>
      <c r="F45" s="18" t="str">
        <f t="shared" si="12"/>
        <v/>
      </c>
      <c r="G45" s="45"/>
      <c r="H45" s="45" t="str">
        <f t="shared" si="13"/>
        <v/>
      </c>
      <c r="I45" s="16" t="str">
        <f t="shared" si="14"/>
        <v/>
      </c>
      <c r="J45" s="42"/>
      <c r="K45" s="42"/>
    </row>
    <row r="46" spans="1:11" ht="15.6">
      <c r="A46" s="53" t="str">
        <v>Pioneer USD - Pioneer MS</v>
      </c>
      <c r="B46" s="28" t="str">
        <v>CA</v>
      </c>
      <c r="C46" s="13"/>
      <c r="D46" s="13"/>
      <c r="E46" s="13" t="str">
        <f t="shared" si="11"/>
        <v/>
      </c>
      <c r="F46" s="13" t="str">
        <f t="shared" si="12"/>
        <v/>
      </c>
      <c r="G46" s="15"/>
      <c r="H46" s="15" t="str">
        <f t="shared" si="13"/>
        <v/>
      </c>
      <c r="I46" s="16" t="str">
        <f t="shared" si="14"/>
        <v/>
      </c>
      <c r="J46" s="41"/>
      <c r="K46" s="41"/>
    </row>
    <row r="47" spans="1:11" ht="15.6">
      <c r="A47" s="52" t="str">
        <v>Kingsburg Joint UHSD - Kingsburg HS</v>
      </c>
      <c r="B47" s="30" t="str">
        <v>CA</v>
      </c>
      <c r="C47" s="18"/>
      <c r="D47" s="18"/>
      <c r="E47" s="18" t="str">
        <f t="shared" si="11"/>
        <v/>
      </c>
      <c r="F47" s="18" t="str">
        <f t="shared" si="12"/>
        <v/>
      </c>
      <c r="G47" s="45"/>
      <c r="H47" s="45" t="str">
        <f t="shared" si="13"/>
        <v/>
      </c>
      <c r="I47" s="16" t="str">
        <f t="shared" si="14"/>
        <v/>
      </c>
      <c r="J47" s="42"/>
      <c r="K47" s="42"/>
    </row>
    <row r="48" spans="1:11" ht="15.6">
      <c r="A48" s="53" t="str">
        <v>CADRB</v>
      </c>
      <c r="B48" s="28" t="str">
        <v>CA</v>
      </c>
      <c r="C48" s="13"/>
      <c r="D48" s="13"/>
      <c r="E48" s="13" t="str">
        <f t="shared" si="11"/>
        <v/>
      </c>
      <c r="F48" s="13" t="str">
        <f t="shared" si="12"/>
        <v/>
      </c>
      <c r="G48" s="15"/>
      <c r="H48" s="15" t="str">
        <f t="shared" si="13"/>
        <v/>
      </c>
      <c r="I48" s="16" t="str">
        <f t="shared" si="14"/>
        <v/>
      </c>
      <c r="J48" s="41"/>
      <c r="K48" s="41"/>
    </row>
    <row r="49" spans="1:11" ht="15.6">
      <c r="A49" s="52" t="str">
        <v>CDCR-CA State Prison LA County</v>
      </c>
      <c r="B49" s="30" t="str">
        <v>CA</v>
      </c>
      <c r="C49" s="18"/>
      <c r="D49" s="18"/>
      <c r="E49" s="18" t="str">
        <f t="shared" si="11"/>
        <v/>
      </c>
      <c r="F49" s="18" t="str">
        <f t="shared" si="12"/>
        <v/>
      </c>
      <c r="G49" s="45"/>
      <c r="H49" s="45" t="str">
        <f t="shared" si="13"/>
        <v/>
      </c>
      <c r="I49" s="16" t="str">
        <f t="shared" si="14"/>
        <v/>
      </c>
      <c r="J49" s="42"/>
      <c r="K49" s="42"/>
    </row>
    <row r="50" spans="1:11" ht="15.6">
      <c r="A50" s="53" t="str">
        <v>Central USD Akers ES</v>
      </c>
      <c r="B50" s="28" t="str">
        <v>CA</v>
      </c>
      <c r="C50" s="13"/>
      <c r="D50" s="13"/>
      <c r="E50" s="13" t="str">
        <f t="shared" si="11"/>
        <v/>
      </c>
      <c r="F50" s="13" t="str">
        <f t="shared" si="12"/>
        <v/>
      </c>
      <c r="G50" s="15"/>
      <c r="H50" s="15" t="str">
        <f t="shared" si="13"/>
        <v/>
      </c>
      <c r="I50" s="16" t="str">
        <f t="shared" si="14"/>
        <v/>
      </c>
      <c r="J50" s="41"/>
      <c r="K50" s="41"/>
    </row>
    <row r="51" spans="1:11" ht="15.6">
      <c r="A51" s="52" t="str">
        <v>CUSD - District Office</v>
      </c>
      <c r="B51" s="30" t="str">
        <v>CA</v>
      </c>
      <c r="C51" s="18"/>
      <c r="D51" s="18"/>
      <c r="E51" s="18" t="str">
        <f t="shared" si="11"/>
        <v/>
      </c>
      <c r="F51" s="18" t="str">
        <f t="shared" si="12"/>
        <v/>
      </c>
      <c r="G51" s="45"/>
      <c r="H51" s="45" t="str">
        <f t="shared" si="13"/>
        <v/>
      </c>
      <c r="I51" s="16" t="str">
        <f t="shared" si="14"/>
        <v/>
      </c>
      <c r="J51" s="42"/>
      <c r="K51" s="42"/>
    </row>
    <row r="52" spans="1:11" ht="15.6">
      <c r="A52" s="53" t="str">
        <v>Parlier - WTP</v>
      </c>
      <c r="B52" s="28" t="str">
        <v>CA</v>
      </c>
      <c r="C52" s="13"/>
      <c r="D52" s="13"/>
      <c r="E52" s="13" t="str">
        <f t="shared" si="11"/>
        <v/>
      </c>
      <c r="F52" s="13" t="str">
        <f t="shared" si="12"/>
        <v/>
      </c>
      <c r="G52" s="15"/>
      <c r="H52" s="15" t="str">
        <f t="shared" si="13"/>
        <v/>
      </c>
      <c r="I52" s="16" t="str">
        <f t="shared" si="14"/>
        <v/>
      </c>
      <c r="J52" s="41"/>
      <c r="K52" s="41"/>
    </row>
    <row r="53" spans="1:11" ht="15.6">
      <c r="A53" s="52" t="str">
        <v>Snowline SD - Quail Valley MS</v>
      </c>
      <c r="B53" s="30" t="str">
        <v>CA</v>
      </c>
      <c r="C53" s="18"/>
      <c r="D53" s="18"/>
      <c r="E53" s="18" t="str">
        <f t="shared" si="11"/>
        <v/>
      </c>
      <c r="F53" s="18" t="str">
        <f t="shared" si="12"/>
        <v/>
      </c>
      <c r="G53" s="45"/>
      <c r="H53" s="45" t="str">
        <f t="shared" si="13"/>
        <v/>
      </c>
      <c r="I53" s="16" t="str">
        <f t="shared" si="14"/>
        <v/>
      </c>
      <c r="J53" s="42"/>
      <c r="K53" s="42"/>
    </row>
    <row r="54" spans="1:11" ht="15.6">
      <c r="A54" s="53" t="str">
        <v>Snowline SD - Serrano HS - Middle Lot</v>
      </c>
      <c r="B54" s="28" t="str">
        <v>CA</v>
      </c>
      <c r="C54" s="13"/>
      <c r="D54" s="13"/>
      <c r="E54" s="13" t="str">
        <f t="shared" si="11"/>
        <v/>
      </c>
      <c r="F54" s="13" t="str">
        <f t="shared" si="12"/>
        <v/>
      </c>
      <c r="G54" s="15"/>
      <c r="H54" s="15" t="str">
        <f t="shared" si="13"/>
        <v/>
      </c>
      <c r="I54" s="16" t="str">
        <f t="shared" si="14"/>
        <v/>
      </c>
      <c r="J54" s="41"/>
      <c r="K54" s="41"/>
    </row>
    <row r="55" spans="1:11" ht="15.6">
      <c r="A55" s="52" t="str">
        <v>Snowline SD - Pinon Hills ES</v>
      </c>
      <c r="B55" s="30" t="str">
        <v>CA</v>
      </c>
      <c r="C55" s="18"/>
      <c r="D55" s="18"/>
      <c r="E55" s="18" t="str">
        <f t="shared" si="11"/>
        <v/>
      </c>
      <c r="F55" s="18" t="str">
        <f t="shared" si="12"/>
        <v/>
      </c>
      <c r="G55" s="45"/>
      <c r="H55" s="45" t="str">
        <f t="shared" si="13"/>
        <v/>
      </c>
      <c r="I55" s="16" t="str">
        <f t="shared" si="14"/>
        <v/>
      </c>
      <c r="J55" s="42"/>
      <c r="K55" s="42"/>
    </row>
    <row r="56" spans="1:11" ht="15.6">
      <c r="A56" s="53" t="str">
        <v>Ramona - Santa Maria WTP</v>
      </c>
      <c r="B56" s="28" t="str">
        <v>CA</v>
      </c>
      <c r="C56" s="13"/>
      <c r="D56" s="13"/>
      <c r="E56" s="13" t="str">
        <f t="shared" si="11"/>
        <v/>
      </c>
      <c r="F56" s="13" t="str">
        <f t="shared" si="12"/>
        <v/>
      </c>
      <c r="G56" s="15"/>
      <c r="H56" s="15" t="str">
        <f t="shared" si="13"/>
        <v/>
      </c>
      <c r="I56" s="16" t="str">
        <f t="shared" si="14"/>
        <v/>
      </c>
      <c r="J56" s="41"/>
      <c r="K56" s="41"/>
    </row>
    <row r="57" spans="1:11" ht="15.6">
      <c r="A57" s="52" t="str">
        <v>Kohls - Redding</v>
      </c>
      <c r="B57" s="30" t="str">
        <v>CA</v>
      </c>
      <c r="C57" s="18"/>
      <c r="D57" s="18"/>
      <c r="E57" s="18" t="str">
        <f t="shared" si="11"/>
        <v/>
      </c>
      <c r="F57" s="18" t="str">
        <f t="shared" si="12"/>
        <v/>
      </c>
      <c r="G57" s="45"/>
      <c r="H57" s="45" t="str">
        <f t="shared" si="13"/>
        <v/>
      </c>
      <c r="I57" s="16" t="str">
        <f t="shared" si="14"/>
        <v/>
      </c>
      <c r="J57" s="42"/>
      <c r="K57" s="42"/>
    </row>
    <row r="58" spans="1:11" ht="15.6">
      <c r="A58" s="53" t="str">
        <v>Kohls - Salinas</v>
      </c>
      <c r="B58" s="28" t="str">
        <v>CA</v>
      </c>
      <c r="C58" s="13"/>
      <c r="D58" s="13"/>
      <c r="E58" s="13" t="str">
        <f t="shared" si="11"/>
        <v/>
      </c>
      <c r="F58" s="13" t="str">
        <f t="shared" si="12"/>
        <v/>
      </c>
      <c r="G58" s="15"/>
      <c r="H58" s="15" t="str">
        <f t="shared" si="13"/>
        <v/>
      </c>
      <c r="I58" s="16" t="str">
        <f t="shared" si="14"/>
        <v/>
      </c>
      <c r="J58" s="41"/>
      <c r="K58" s="41"/>
    </row>
    <row r="59" spans="1:11" ht="15.6">
      <c r="A59" s="52" t="str">
        <v>Kohls - San Bernardino - Central</v>
      </c>
      <c r="B59" s="30" t="str">
        <v>CA</v>
      </c>
      <c r="C59" s="18"/>
      <c r="D59" s="18"/>
      <c r="E59" s="18" t="str">
        <f t="shared" si="11"/>
        <v/>
      </c>
      <c r="F59" s="18" t="str">
        <f t="shared" si="12"/>
        <v/>
      </c>
      <c r="G59" s="45"/>
      <c r="H59" s="45" t="str">
        <f t="shared" si="13"/>
        <v/>
      </c>
      <c r="I59" s="16" t="str">
        <f t="shared" si="14"/>
        <v/>
      </c>
      <c r="J59" s="42"/>
      <c r="K59" s="42"/>
    </row>
    <row r="60" spans="1:11" ht="15.6">
      <c r="A60" s="53" t="str">
        <v>Kohls - Sonora</v>
      </c>
      <c r="B60" s="28" t="str">
        <v>CA</v>
      </c>
      <c r="C60" s="13"/>
      <c r="D60" s="13"/>
      <c r="E60" s="13" t="str">
        <f t="shared" si="11"/>
        <v/>
      </c>
      <c r="F60" s="13" t="str">
        <f t="shared" si="12"/>
        <v/>
      </c>
      <c r="G60" s="15"/>
      <c r="H60" s="15" t="str">
        <f t="shared" si="13"/>
        <v/>
      </c>
      <c r="I60" s="16" t="str">
        <f t="shared" si="14"/>
        <v/>
      </c>
      <c r="J60" s="41"/>
      <c r="K60" s="41"/>
    </row>
    <row r="61" spans="1:11" ht="15.6">
      <c r="A61" s="52" t="str">
        <v>CUSD - Stratford ES</v>
      </c>
      <c r="B61" s="30" t="str">
        <v>CA</v>
      </c>
      <c r="C61" s="18"/>
      <c r="D61" s="18"/>
      <c r="E61" s="18" t="str">
        <f t="shared" si="11"/>
        <v/>
      </c>
      <c r="F61" s="18" t="str">
        <f t="shared" si="12"/>
        <v/>
      </c>
      <c r="G61" s="45"/>
      <c r="H61" s="45" t="str">
        <f t="shared" si="13"/>
        <v/>
      </c>
      <c r="I61" s="16" t="str">
        <f t="shared" si="14"/>
        <v/>
      </c>
      <c r="J61" s="42"/>
      <c r="K61" s="42"/>
    </row>
    <row r="62" spans="1:11" ht="15.6">
      <c r="A62" s="53" t="str">
        <v>Taft - City Hall</v>
      </c>
      <c r="B62" s="28" t="str">
        <v>CA</v>
      </c>
      <c r="C62" s="13"/>
      <c r="D62" s="13"/>
      <c r="E62" s="13" t="str">
        <f t="shared" si="11"/>
        <v/>
      </c>
      <c r="F62" s="13" t="str">
        <f t="shared" si="12"/>
        <v/>
      </c>
      <c r="G62" s="15"/>
      <c r="H62" s="15" t="str">
        <f t="shared" si="13"/>
        <v/>
      </c>
      <c r="I62" s="16" t="str">
        <f t="shared" si="14"/>
        <v/>
      </c>
      <c r="J62" s="41"/>
      <c r="K62" s="41"/>
    </row>
    <row r="63" spans="1:11" ht="15.6">
      <c r="A63" s="52" t="str">
        <v>Taft - Federal Prison</v>
      </c>
      <c r="B63" s="30" t="str">
        <v>CA</v>
      </c>
      <c r="C63" s="18"/>
      <c r="D63" s="18"/>
      <c r="E63" s="18" t="str">
        <f t="shared" si="11"/>
        <v/>
      </c>
      <c r="F63" s="18" t="str">
        <f t="shared" si="12"/>
        <v/>
      </c>
      <c r="G63" s="45"/>
      <c r="H63" s="45" t="str">
        <f t="shared" si="13"/>
        <v/>
      </c>
      <c r="I63" s="16" t="str">
        <f t="shared" si="14"/>
        <v/>
      </c>
      <c r="J63" s="42"/>
      <c r="K63" s="42"/>
    </row>
    <row r="64" spans="1:11" ht="15.6">
      <c r="A64" s="53" t="str">
        <v>Taft - Police Department</v>
      </c>
      <c r="B64" s="28" t="str">
        <v>CA</v>
      </c>
      <c r="C64" s="13"/>
      <c r="D64" s="13"/>
      <c r="E64" s="13" t="str">
        <f t="shared" si="11"/>
        <v/>
      </c>
      <c r="F64" s="13" t="str">
        <f t="shared" si="12"/>
        <v/>
      </c>
      <c r="G64" s="15"/>
      <c r="H64" s="15" t="str">
        <f t="shared" si="13"/>
        <v/>
      </c>
      <c r="I64" s="16" t="str">
        <f t="shared" si="14"/>
        <v/>
      </c>
      <c r="J64" s="41"/>
      <c r="K64" s="41"/>
    </row>
    <row r="65" spans="1:11" ht="15.6">
      <c r="A65" s="52" t="str">
        <v>Taft - WTP</v>
      </c>
      <c r="B65" s="30" t="str">
        <v>CA</v>
      </c>
      <c r="C65" s="18"/>
      <c r="D65" s="18"/>
      <c r="E65" s="18" t="str">
        <f t="shared" si="11"/>
        <v/>
      </c>
      <c r="F65" s="18" t="str">
        <f t="shared" si="12"/>
        <v/>
      </c>
      <c r="G65" s="45"/>
      <c r="H65" s="45" t="str">
        <f t="shared" si="13"/>
        <v/>
      </c>
      <c r="I65" s="16" t="str">
        <f t="shared" si="14"/>
        <v/>
      </c>
      <c r="J65" s="42"/>
      <c r="K65" s="42"/>
    </row>
    <row r="66" spans="1:11" ht="15.6">
      <c r="A66" s="53" t="str">
        <v>CDCR - CA Correctional Institution</v>
      </c>
      <c r="B66" s="28" t="str">
        <v>CA</v>
      </c>
      <c r="C66" s="13"/>
      <c r="D66" s="13"/>
      <c r="E66" s="13" t="str">
        <f t="shared" si="11"/>
        <v/>
      </c>
      <c r="F66" s="13" t="str">
        <f t="shared" si="12"/>
        <v/>
      </c>
      <c r="G66" s="15"/>
      <c r="H66" s="15" t="str">
        <f t="shared" si="13"/>
        <v/>
      </c>
      <c r="I66" s="16" t="str">
        <f t="shared" si="14"/>
        <v/>
      </c>
      <c r="J66" s="41"/>
      <c r="K66" s="41"/>
    </row>
    <row r="67" spans="1:11" ht="15.6">
      <c r="A67" s="52" t="str">
        <v>CDCR - CA Correctional Institution II</v>
      </c>
      <c r="B67" s="30" t="str">
        <v>CA</v>
      </c>
      <c r="C67" s="18"/>
      <c r="D67" s="18"/>
      <c r="E67" s="18" t="str">
        <f t="shared" si="11"/>
        <v/>
      </c>
      <c r="F67" s="18" t="str">
        <f t="shared" si="12"/>
        <v/>
      </c>
      <c r="G67" s="45"/>
      <c r="H67" s="45" t="str">
        <f t="shared" si="13"/>
        <v/>
      </c>
      <c r="I67" s="16" t="str">
        <f t="shared" si="14"/>
        <v/>
      </c>
      <c r="J67" s="42"/>
      <c r="K67" s="42"/>
    </row>
    <row r="68" spans="1:11" ht="15.6">
      <c r="A68" s="53" t="str">
        <v>Snowline SD - Vista Verde ES</v>
      </c>
      <c r="B68" s="28" t="str">
        <v>CA</v>
      </c>
      <c r="C68" s="13"/>
      <c r="D68" s="13"/>
      <c r="E68" s="13" t="str">
        <f t="shared" si="11"/>
        <v/>
      </c>
      <c r="F68" s="13" t="str">
        <f t="shared" si="12"/>
        <v/>
      </c>
      <c r="G68" s="15"/>
      <c r="H68" s="15" t="str">
        <f t="shared" si="13"/>
        <v/>
      </c>
      <c r="I68" s="16" t="str">
        <f t="shared" si="14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38" type="noConversion"/>
  <conditionalFormatting sqref="F2 I2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69:F99">
    <cfRule type="cellIs" dxfId="48" priority="1" stopIfTrue="1" operator="lessThanOrEqual">
      <formula>-0.1</formula>
    </cfRule>
    <cfRule type="expression" dxfId="47" priority="2">
      <formula>AND(ISNUMBER(F69), F69&gt;=0.1)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5" activePane="bottomRight" state="frozen"/>
      <selection pane="bottomRight" activeCell="G26" sqref="G26:G7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36</v>
      </c>
      <c r="E1" s="85"/>
      <c r="F1" s="85"/>
      <c r="G1" s="83" t="s">
        <v>37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6">
      <c r="A5" s="52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6">
      <c r="A6" s="53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6">
      <c r="A7" s="52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9">
      <c r="A8" s="53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6">
      <c r="A9" s="52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6">
      <c r="A10" s="53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6">
      <c r="A11" s="52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6">
      <c r="A12" s="53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6">
      <c r="A13" s="52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6">
      <c r="A14" s="53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6">
      <c r="A15" s="52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6">
      <c r="A16" s="53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6">
      <c r="A17" s="52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1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6">
      <c r="A19" s="52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6">
      <c r="A20" s="53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6">
      <c r="A21" s="52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6">
      <c r="A22" s="53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6">
      <c r="A23" s="52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6">
      <c r="A24" s="53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6">
      <c r="A25" s="52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.6">
      <c r="A26" s="53" t="str">
        <v>Mojave Water Agency - Headquarters</v>
      </c>
      <c r="B26" s="29" t="str">
        <v>CA</v>
      </c>
      <c r="C26" s="24"/>
      <c r="D26" s="13"/>
      <c r="E26" s="13" t="str">
        <f t="shared" ref="E26:E68" si="10">IF(AND(ISNUMBER(C26),ISNUMBER(D26)), C26-D26, "")</f>
        <v/>
      </c>
      <c r="F26" s="13" t="str">
        <f t="shared" ref="F26:F68" si="11">IFERROR(E26/D26, "")</f>
        <v/>
      </c>
      <c r="G26" s="15"/>
      <c r="H26" s="15" t="str">
        <f t="shared" ref="H26:H68" si="12">IF(AND(ISNUMBER(C26),ISNUMBER(G26)), C26-G26, "")</f>
        <v/>
      </c>
      <c r="I26" s="19" t="str">
        <f t="shared" ref="I26:I68" si="13">IFERROR(H26/G26, "")</f>
        <v/>
      </c>
      <c r="J26" s="41"/>
      <c r="K26" s="41"/>
    </row>
    <row r="27" spans="1:11" ht="15.6">
      <c r="A27" s="52" t="str">
        <v>CSU - Bakersfield</v>
      </c>
      <c r="B27" s="31" t="str">
        <v>CA</v>
      </c>
      <c r="C27" s="11"/>
      <c r="D27" s="18"/>
      <c r="E27" s="18" t="str">
        <f t="shared" si="10"/>
        <v/>
      </c>
      <c r="F27" s="18" t="str">
        <f t="shared" si="11"/>
        <v/>
      </c>
      <c r="G27" s="45"/>
      <c r="H27" s="45" t="str">
        <f t="shared" si="12"/>
        <v/>
      </c>
      <c r="I27" s="19" t="str">
        <f t="shared" si="13"/>
        <v/>
      </c>
      <c r="J27" s="42"/>
      <c r="K27" s="43"/>
    </row>
    <row r="28" spans="1:11" ht="15.6">
      <c r="A28" s="53" t="str">
        <v>Greenfield USD - Fairfield ES</v>
      </c>
      <c r="B28" s="29" t="str">
        <v>CA</v>
      </c>
      <c r="C28" s="24"/>
      <c r="D28" s="13"/>
      <c r="E28" s="13" t="str">
        <f t="shared" si="10"/>
        <v/>
      </c>
      <c r="F28" s="13" t="str">
        <f t="shared" si="11"/>
        <v/>
      </c>
      <c r="G28" s="15"/>
      <c r="H28" s="15" t="str">
        <f t="shared" si="12"/>
        <v/>
      </c>
      <c r="I28" s="19" t="str">
        <f t="shared" si="13"/>
        <v/>
      </c>
      <c r="J28" s="41"/>
      <c r="K28" s="41"/>
    </row>
    <row r="29" spans="1:11" ht="15.6">
      <c r="A29" s="52" t="str">
        <v>Greenfield USD - Granite Point ES</v>
      </c>
      <c r="B29" s="31" t="str">
        <v>CA</v>
      </c>
      <c r="C29" s="11"/>
      <c r="D29" s="18"/>
      <c r="E29" s="18" t="str">
        <f t="shared" si="10"/>
        <v/>
      </c>
      <c r="F29" s="18" t="str">
        <f t="shared" si="11"/>
        <v/>
      </c>
      <c r="G29" s="45"/>
      <c r="H29" s="45" t="str">
        <f t="shared" si="12"/>
        <v/>
      </c>
      <c r="I29" s="19" t="str">
        <f t="shared" si="13"/>
        <v/>
      </c>
      <c r="J29" s="42"/>
      <c r="K29" s="43"/>
    </row>
    <row r="30" spans="1:11" ht="15.6">
      <c r="A30" s="53" t="str">
        <v>Greenfield USD - Greenfield MS</v>
      </c>
      <c r="B30" s="29" t="str">
        <v>CA</v>
      </c>
      <c r="C30" s="24"/>
      <c r="D30" s="13"/>
      <c r="E30" s="13" t="str">
        <f t="shared" si="10"/>
        <v/>
      </c>
      <c r="F30" s="13" t="str">
        <f t="shared" si="11"/>
        <v/>
      </c>
      <c r="G30" s="15"/>
      <c r="H30" s="15" t="str">
        <f t="shared" si="12"/>
        <v/>
      </c>
      <c r="I30" s="19" t="str">
        <f t="shared" si="13"/>
        <v/>
      </c>
      <c r="J30" s="41"/>
      <c r="K30" s="41"/>
    </row>
    <row r="31" spans="1:11" ht="15.6">
      <c r="A31" s="52" t="str">
        <v>Greenfield USD - Horizon ES</v>
      </c>
      <c r="B31" s="31" t="str">
        <v>CA</v>
      </c>
      <c r="C31" s="11"/>
      <c r="D31" s="18"/>
      <c r="E31" s="18" t="str">
        <f t="shared" si="10"/>
        <v/>
      </c>
      <c r="F31" s="18" t="str">
        <f t="shared" si="11"/>
        <v/>
      </c>
      <c r="G31" s="45"/>
      <c r="H31" s="45" t="str">
        <f t="shared" si="12"/>
        <v/>
      </c>
      <c r="I31" s="19" t="str">
        <f t="shared" si="13"/>
        <v/>
      </c>
      <c r="J31" s="42"/>
      <c r="K31" s="43"/>
    </row>
    <row r="32" spans="1:11" ht="15.6">
      <c r="A32" s="53" t="str">
        <v>Greenfield USD - McKee MS</v>
      </c>
      <c r="B32" s="29" t="str">
        <v>CA</v>
      </c>
      <c r="C32" s="24"/>
      <c r="D32" s="13"/>
      <c r="E32" s="13" t="str">
        <f t="shared" si="10"/>
        <v/>
      </c>
      <c r="F32" s="13" t="str">
        <f t="shared" si="11"/>
        <v/>
      </c>
      <c r="G32" s="15"/>
      <c r="H32" s="15" t="str">
        <f t="shared" si="12"/>
        <v/>
      </c>
      <c r="I32" s="19" t="str">
        <f t="shared" si="13"/>
        <v/>
      </c>
      <c r="J32" s="41"/>
      <c r="K32" s="41"/>
    </row>
    <row r="33" spans="1:11" ht="15.6">
      <c r="A33" s="52" t="str">
        <v>Greenfield USD - Plantation ES</v>
      </c>
      <c r="B33" s="31" t="str">
        <v>CA</v>
      </c>
      <c r="C33" s="11"/>
      <c r="D33" s="18"/>
      <c r="E33" s="18" t="str">
        <f t="shared" si="10"/>
        <v/>
      </c>
      <c r="F33" s="18" t="str">
        <f t="shared" si="11"/>
        <v/>
      </c>
      <c r="G33" s="45"/>
      <c r="H33" s="45" t="str">
        <f t="shared" si="12"/>
        <v/>
      </c>
      <c r="I33" s="19" t="str">
        <f t="shared" si="13"/>
        <v/>
      </c>
      <c r="J33" s="42"/>
      <c r="K33" s="43"/>
    </row>
    <row r="34" spans="1:11" ht="15.6">
      <c r="A34" s="53" t="str">
        <v>Greenfield USD - Planz ES</v>
      </c>
      <c r="B34" s="29" t="str">
        <v>CA</v>
      </c>
      <c r="C34" s="24"/>
      <c r="D34" s="13"/>
      <c r="E34" s="13" t="str">
        <f t="shared" si="10"/>
        <v/>
      </c>
      <c r="F34" s="13" t="str">
        <f t="shared" si="11"/>
        <v/>
      </c>
      <c r="G34" s="15"/>
      <c r="H34" s="15" t="str">
        <f t="shared" si="12"/>
        <v/>
      </c>
      <c r="I34" s="19" t="str">
        <f t="shared" si="13"/>
        <v/>
      </c>
      <c r="J34" s="41"/>
      <c r="K34" s="41"/>
    </row>
    <row r="35" spans="1:11" ht="15.6">
      <c r="A35" s="52" t="str">
        <v>Greenfield USD - Raffaello Palla ES</v>
      </c>
      <c r="B35" s="31" t="str">
        <v>CA</v>
      </c>
      <c r="C35" s="11"/>
      <c r="D35" s="18"/>
      <c r="E35" s="18" t="str">
        <f t="shared" si="10"/>
        <v/>
      </c>
      <c r="F35" s="18" t="str">
        <f t="shared" si="11"/>
        <v/>
      </c>
      <c r="G35" s="45"/>
      <c r="H35" s="45" t="str">
        <f t="shared" si="12"/>
        <v/>
      </c>
      <c r="I35" s="19" t="str">
        <f t="shared" si="13"/>
        <v/>
      </c>
      <c r="J35" s="42"/>
      <c r="K35" s="43"/>
    </row>
    <row r="36" spans="1:11" ht="15.6">
      <c r="A36" s="53" t="str">
        <v>Greenfield USD - Valle Verde ES</v>
      </c>
      <c r="B36" s="29" t="str">
        <v>CA</v>
      </c>
      <c r="C36" s="24"/>
      <c r="D36" s="13"/>
      <c r="E36" s="13" t="str">
        <f t="shared" si="10"/>
        <v/>
      </c>
      <c r="F36" s="13" t="str">
        <f t="shared" si="11"/>
        <v/>
      </c>
      <c r="G36" s="15"/>
      <c r="H36" s="15" t="str">
        <f t="shared" si="12"/>
        <v/>
      </c>
      <c r="I36" s="19" t="str">
        <f t="shared" si="13"/>
        <v/>
      </c>
      <c r="J36" s="41"/>
      <c r="K36" s="41"/>
    </row>
    <row r="37" spans="1:11" ht="15.6">
      <c r="A37" s="52" t="str">
        <v>Greenfield USD - W.A. Kendrick ES</v>
      </c>
      <c r="B37" s="31" t="str">
        <v>CA</v>
      </c>
      <c r="C37" s="11"/>
      <c r="D37" s="18"/>
      <c r="E37" s="18" t="str">
        <f t="shared" si="10"/>
        <v/>
      </c>
      <c r="F37" s="18" t="str">
        <f t="shared" si="11"/>
        <v/>
      </c>
      <c r="G37" s="45"/>
      <c r="H37" s="45" t="str">
        <f t="shared" si="12"/>
        <v/>
      </c>
      <c r="I37" s="19" t="str">
        <f t="shared" si="13"/>
        <v/>
      </c>
      <c r="J37" s="42"/>
      <c r="K37" s="43"/>
    </row>
    <row r="38" spans="1:11" ht="15.6">
      <c r="A38" s="53" t="str">
        <v>Muroc Joint USD - Boron HS</v>
      </c>
      <c r="B38" s="29" t="str">
        <v>CA</v>
      </c>
      <c r="C38" s="24"/>
      <c r="D38" s="13"/>
      <c r="E38" s="13" t="str">
        <f t="shared" si="10"/>
        <v/>
      </c>
      <c r="F38" s="13" t="str">
        <f t="shared" si="11"/>
        <v/>
      </c>
      <c r="G38" s="15"/>
      <c r="H38" s="15" t="str">
        <f t="shared" si="12"/>
        <v/>
      </c>
      <c r="I38" s="19" t="str">
        <f t="shared" si="13"/>
        <v/>
      </c>
      <c r="J38" s="41"/>
      <c r="K38" s="41"/>
    </row>
    <row r="39" spans="1:11" ht="15.6">
      <c r="A39" s="52" t="str">
        <v>Muroc Joint USD - W. Boron ES</v>
      </c>
      <c r="B39" s="31" t="str">
        <v>CA</v>
      </c>
      <c r="C39" s="11"/>
      <c r="D39" s="18"/>
      <c r="E39" s="18" t="str">
        <f t="shared" si="10"/>
        <v/>
      </c>
      <c r="F39" s="18" t="str">
        <f t="shared" si="11"/>
        <v/>
      </c>
      <c r="G39" s="45"/>
      <c r="H39" s="45" t="str">
        <f t="shared" si="12"/>
        <v/>
      </c>
      <c r="I39" s="19" t="str">
        <f t="shared" si="13"/>
        <v/>
      </c>
      <c r="J39" s="42"/>
      <c r="K39" s="43"/>
    </row>
    <row r="40" spans="1:11" ht="15.6">
      <c r="A40" s="53" t="str">
        <v>Colusa - WTP</v>
      </c>
      <c r="B40" s="29" t="str">
        <v>CA</v>
      </c>
      <c r="C40" s="24"/>
      <c r="D40" s="13"/>
      <c r="E40" s="13" t="str">
        <f t="shared" si="10"/>
        <v/>
      </c>
      <c r="F40" s="13" t="str">
        <f t="shared" si="11"/>
        <v/>
      </c>
      <c r="G40" s="15"/>
      <c r="H40" s="15" t="str">
        <f t="shared" si="12"/>
        <v/>
      </c>
      <c r="I40" s="19" t="str">
        <f t="shared" si="13"/>
        <v/>
      </c>
      <c r="J40" s="41"/>
      <c r="K40" s="41"/>
    </row>
    <row r="41" spans="1:11" ht="15.6">
      <c r="A41" s="52" t="str">
        <v>CDCR-North Kern State Prision</v>
      </c>
      <c r="B41" s="31" t="str">
        <v>CA</v>
      </c>
      <c r="C41" s="11"/>
      <c r="D41" s="18"/>
      <c r="E41" s="18" t="str">
        <f t="shared" si="10"/>
        <v/>
      </c>
      <c r="F41" s="18" t="str">
        <f t="shared" si="11"/>
        <v/>
      </c>
      <c r="G41" s="45"/>
      <c r="H41" s="45" t="str">
        <f t="shared" si="12"/>
        <v/>
      </c>
      <c r="I41" s="19" t="str">
        <f t="shared" si="13"/>
        <v/>
      </c>
      <c r="J41" s="42"/>
      <c r="K41" s="43"/>
    </row>
    <row r="42" spans="1:11" ht="15.6">
      <c r="A42" s="53" t="str">
        <v>Muroc Joint USD - District Office</v>
      </c>
      <c r="B42" s="29" t="str">
        <v>CA</v>
      </c>
      <c r="C42" s="24"/>
      <c r="D42" s="13"/>
      <c r="E42" s="13" t="str">
        <f t="shared" si="10"/>
        <v/>
      </c>
      <c r="F42" s="13" t="str">
        <f t="shared" si="11"/>
        <v/>
      </c>
      <c r="G42" s="15"/>
      <c r="H42" s="15" t="str">
        <f t="shared" si="12"/>
        <v/>
      </c>
      <c r="I42" s="19" t="str">
        <f t="shared" si="13"/>
        <v/>
      </c>
      <c r="J42" s="41"/>
      <c r="K42" s="41"/>
    </row>
    <row r="43" spans="1:11" ht="15.6">
      <c r="A43" s="52" t="str">
        <v>Whole Foods - Manhattan Beach</v>
      </c>
      <c r="B43" s="31" t="str">
        <v>CA</v>
      </c>
      <c r="C43" s="11"/>
      <c r="D43" s="18"/>
      <c r="E43" s="18" t="str">
        <f t="shared" si="10"/>
        <v/>
      </c>
      <c r="F43" s="18" t="str">
        <f t="shared" si="11"/>
        <v/>
      </c>
      <c r="G43" s="45"/>
      <c r="H43" s="45" t="str">
        <f t="shared" si="12"/>
        <v/>
      </c>
      <c r="I43" s="19" t="str">
        <f t="shared" si="13"/>
        <v/>
      </c>
      <c r="J43" s="42"/>
      <c r="K43" s="43"/>
    </row>
    <row r="44" spans="1:11" ht="15.6">
      <c r="A44" s="53" t="str">
        <v>Pioneer USD - Frontier ES</v>
      </c>
      <c r="B44" s="29" t="str">
        <v>CA</v>
      </c>
      <c r="C44" s="24"/>
      <c r="D44" s="13"/>
      <c r="E44" s="13" t="str">
        <f t="shared" si="10"/>
        <v/>
      </c>
      <c r="F44" s="13" t="str">
        <f t="shared" si="11"/>
        <v/>
      </c>
      <c r="G44" s="15"/>
      <c r="H44" s="15" t="str">
        <f t="shared" si="12"/>
        <v/>
      </c>
      <c r="I44" s="19" t="str">
        <f t="shared" si="13"/>
        <v/>
      </c>
      <c r="J44" s="41"/>
      <c r="K44" s="41"/>
    </row>
    <row r="45" spans="1:11" ht="15.6">
      <c r="A45" s="52" t="str">
        <v>Pioneer USD - Pioneer ES</v>
      </c>
      <c r="B45" s="31" t="str">
        <v>CA</v>
      </c>
      <c r="C45" s="11"/>
      <c r="D45" s="18"/>
      <c r="E45" s="18" t="str">
        <f t="shared" si="10"/>
        <v/>
      </c>
      <c r="F45" s="18" t="str">
        <f t="shared" si="11"/>
        <v/>
      </c>
      <c r="G45" s="45"/>
      <c r="H45" s="45" t="str">
        <f t="shared" si="12"/>
        <v/>
      </c>
      <c r="I45" s="19" t="str">
        <f t="shared" si="13"/>
        <v/>
      </c>
      <c r="J45" s="42"/>
      <c r="K45" s="43"/>
    </row>
    <row r="46" spans="1:11" ht="15.6">
      <c r="A46" s="53" t="str">
        <v>Pioneer USD - Pioneer MS</v>
      </c>
      <c r="B46" s="29" t="str">
        <v>CA</v>
      </c>
      <c r="C46" s="24"/>
      <c r="D46" s="13"/>
      <c r="E46" s="13" t="str">
        <f t="shared" si="10"/>
        <v/>
      </c>
      <c r="F46" s="13" t="str">
        <f t="shared" si="11"/>
        <v/>
      </c>
      <c r="G46" s="15"/>
      <c r="H46" s="15" t="str">
        <f t="shared" si="12"/>
        <v/>
      </c>
      <c r="I46" s="19" t="str">
        <f t="shared" si="13"/>
        <v/>
      </c>
      <c r="J46" s="41"/>
      <c r="K46" s="41"/>
    </row>
    <row r="47" spans="1:11" ht="15.6">
      <c r="A47" s="52" t="str">
        <v>Kingsburg Joint UHSD - Kingsburg HS</v>
      </c>
      <c r="B47" s="31" t="str">
        <v>CA</v>
      </c>
      <c r="C47" s="11"/>
      <c r="D47" s="18"/>
      <c r="E47" s="18" t="str">
        <f t="shared" si="10"/>
        <v/>
      </c>
      <c r="F47" s="18" t="str">
        <f t="shared" si="11"/>
        <v/>
      </c>
      <c r="G47" s="45"/>
      <c r="H47" s="45" t="str">
        <f t="shared" si="12"/>
        <v/>
      </c>
      <c r="I47" s="19" t="str">
        <f t="shared" si="13"/>
        <v/>
      </c>
      <c r="J47" s="42"/>
      <c r="K47" s="43"/>
    </row>
    <row r="48" spans="1:11" ht="15.6">
      <c r="A48" s="53" t="str">
        <v>CADRB</v>
      </c>
      <c r="B48" s="29" t="str">
        <v>CA</v>
      </c>
      <c r="C48" s="24"/>
      <c r="D48" s="13"/>
      <c r="E48" s="13" t="str">
        <f t="shared" si="10"/>
        <v/>
      </c>
      <c r="F48" s="13" t="str">
        <f t="shared" si="11"/>
        <v/>
      </c>
      <c r="G48" s="15"/>
      <c r="H48" s="15" t="str">
        <f t="shared" si="12"/>
        <v/>
      </c>
      <c r="I48" s="19" t="str">
        <f t="shared" si="13"/>
        <v/>
      </c>
      <c r="J48" s="41"/>
      <c r="K48" s="41"/>
    </row>
    <row r="49" spans="1:11" ht="15.6">
      <c r="A49" s="52" t="str">
        <v>CDCR-CA State Prison LA County</v>
      </c>
      <c r="B49" s="31" t="str">
        <v>CA</v>
      </c>
      <c r="C49" s="11"/>
      <c r="D49" s="18"/>
      <c r="E49" s="18" t="str">
        <f t="shared" si="10"/>
        <v/>
      </c>
      <c r="F49" s="18" t="str">
        <f t="shared" si="11"/>
        <v/>
      </c>
      <c r="G49" s="45"/>
      <c r="H49" s="45" t="str">
        <f t="shared" si="12"/>
        <v/>
      </c>
      <c r="I49" s="19" t="str">
        <f t="shared" si="13"/>
        <v/>
      </c>
      <c r="J49" s="42"/>
      <c r="K49" s="43"/>
    </row>
    <row r="50" spans="1:11" ht="15.6">
      <c r="A50" s="53" t="str">
        <v>Central USD Akers ES</v>
      </c>
      <c r="B50" s="29" t="str">
        <v>CA</v>
      </c>
      <c r="C50" s="24"/>
      <c r="D50" s="13"/>
      <c r="E50" s="13" t="str">
        <f t="shared" si="10"/>
        <v/>
      </c>
      <c r="F50" s="13" t="str">
        <f t="shared" si="11"/>
        <v/>
      </c>
      <c r="G50" s="15"/>
      <c r="H50" s="15" t="str">
        <f t="shared" si="12"/>
        <v/>
      </c>
      <c r="I50" s="19" t="str">
        <f t="shared" si="13"/>
        <v/>
      </c>
      <c r="J50" s="41"/>
      <c r="K50" s="41"/>
    </row>
    <row r="51" spans="1:11" ht="15.6">
      <c r="A51" s="52" t="str">
        <v>CUSD - District Office</v>
      </c>
      <c r="B51" s="31" t="str">
        <v>CA</v>
      </c>
      <c r="C51" s="11"/>
      <c r="D51" s="18"/>
      <c r="E51" s="18" t="str">
        <f t="shared" si="10"/>
        <v/>
      </c>
      <c r="F51" s="18" t="str">
        <f t="shared" si="11"/>
        <v/>
      </c>
      <c r="G51" s="45"/>
      <c r="H51" s="45" t="str">
        <f t="shared" si="12"/>
        <v/>
      </c>
      <c r="I51" s="19" t="str">
        <f t="shared" si="13"/>
        <v/>
      </c>
      <c r="J51" s="42"/>
      <c r="K51" s="43"/>
    </row>
    <row r="52" spans="1:11" ht="15.6">
      <c r="A52" s="53" t="str">
        <v>Parlier - WTP</v>
      </c>
      <c r="B52" s="29" t="str">
        <v>CA</v>
      </c>
      <c r="C52" s="24"/>
      <c r="D52" s="13"/>
      <c r="E52" s="13" t="str">
        <f t="shared" si="10"/>
        <v/>
      </c>
      <c r="F52" s="13" t="str">
        <f t="shared" si="11"/>
        <v/>
      </c>
      <c r="G52" s="15"/>
      <c r="H52" s="15" t="str">
        <f t="shared" si="12"/>
        <v/>
      </c>
      <c r="I52" s="19" t="str">
        <f t="shared" si="13"/>
        <v/>
      </c>
      <c r="J52" s="41"/>
      <c r="K52" s="41"/>
    </row>
    <row r="53" spans="1:11" ht="15.6">
      <c r="A53" s="52" t="str">
        <v>Snowline SD - Quail Valley MS</v>
      </c>
      <c r="B53" s="31" t="str">
        <v>CA</v>
      </c>
      <c r="C53" s="11"/>
      <c r="D53" s="18"/>
      <c r="E53" s="18" t="str">
        <f t="shared" si="10"/>
        <v/>
      </c>
      <c r="F53" s="18" t="str">
        <f t="shared" si="11"/>
        <v/>
      </c>
      <c r="G53" s="45"/>
      <c r="H53" s="45" t="str">
        <f t="shared" si="12"/>
        <v/>
      </c>
      <c r="I53" s="19" t="str">
        <f t="shared" si="13"/>
        <v/>
      </c>
      <c r="J53" s="42"/>
      <c r="K53" s="43"/>
    </row>
    <row r="54" spans="1:11" ht="15.6">
      <c r="A54" s="53" t="str">
        <v>Snowline SD - Serrano HS - Middle Lot</v>
      </c>
      <c r="B54" s="29" t="str">
        <v>CA</v>
      </c>
      <c r="C54" s="24"/>
      <c r="D54" s="13"/>
      <c r="E54" s="13" t="str">
        <f t="shared" si="10"/>
        <v/>
      </c>
      <c r="F54" s="13" t="str">
        <f t="shared" si="11"/>
        <v/>
      </c>
      <c r="G54" s="15"/>
      <c r="H54" s="15" t="str">
        <f t="shared" si="12"/>
        <v/>
      </c>
      <c r="I54" s="19" t="str">
        <f t="shared" si="13"/>
        <v/>
      </c>
      <c r="J54" s="41"/>
      <c r="K54" s="41"/>
    </row>
    <row r="55" spans="1:11" ht="15.6">
      <c r="A55" s="52" t="str">
        <v>Snowline SD - Pinon Hills ES</v>
      </c>
      <c r="B55" s="31" t="str">
        <v>CA</v>
      </c>
      <c r="C55" s="11"/>
      <c r="D55" s="18"/>
      <c r="E55" s="18" t="str">
        <f t="shared" si="10"/>
        <v/>
      </c>
      <c r="F55" s="18" t="str">
        <f t="shared" si="11"/>
        <v/>
      </c>
      <c r="G55" s="45"/>
      <c r="H55" s="45" t="str">
        <f t="shared" si="12"/>
        <v/>
      </c>
      <c r="I55" s="19" t="str">
        <f t="shared" si="13"/>
        <v/>
      </c>
      <c r="J55" s="42"/>
      <c r="K55" s="43"/>
    </row>
    <row r="56" spans="1:11" ht="15.6">
      <c r="A56" s="53" t="str">
        <v>Ramona - Santa Maria WTP</v>
      </c>
      <c r="B56" s="29" t="str">
        <v>CA</v>
      </c>
      <c r="C56" s="24"/>
      <c r="D56" s="13"/>
      <c r="E56" s="13" t="str">
        <f t="shared" si="10"/>
        <v/>
      </c>
      <c r="F56" s="13" t="str">
        <f t="shared" si="11"/>
        <v/>
      </c>
      <c r="G56" s="15"/>
      <c r="H56" s="15" t="str">
        <f t="shared" si="12"/>
        <v/>
      </c>
      <c r="I56" s="19" t="str">
        <f t="shared" si="13"/>
        <v/>
      </c>
      <c r="J56" s="41"/>
      <c r="K56" s="41"/>
    </row>
    <row r="57" spans="1:11" ht="15.6">
      <c r="A57" s="52" t="str">
        <v>Kohls - Redding</v>
      </c>
      <c r="B57" s="31" t="str">
        <v>CA</v>
      </c>
      <c r="C57" s="11"/>
      <c r="D57" s="18"/>
      <c r="E57" s="18" t="str">
        <f t="shared" si="10"/>
        <v/>
      </c>
      <c r="F57" s="18" t="str">
        <f t="shared" si="11"/>
        <v/>
      </c>
      <c r="G57" s="45"/>
      <c r="H57" s="45" t="str">
        <f t="shared" si="12"/>
        <v/>
      </c>
      <c r="I57" s="19" t="str">
        <f t="shared" si="13"/>
        <v/>
      </c>
      <c r="J57" s="42"/>
      <c r="K57" s="43"/>
    </row>
    <row r="58" spans="1:11" ht="15.6">
      <c r="A58" s="53" t="str">
        <v>Kohls - Salinas</v>
      </c>
      <c r="B58" s="29" t="str">
        <v>CA</v>
      </c>
      <c r="C58" s="24"/>
      <c r="D58" s="13"/>
      <c r="E58" s="13" t="str">
        <f t="shared" si="10"/>
        <v/>
      </c>
      <c r="F58" s="13" t="str">
        <f t="shared" si="11"/>
        <v/>
      </c>
      <c r="G58" s="15"/>
      <c r="H58" s="15" t="str">
        <f t="shared" si="12"/>
        <v/>
      </c>
      <c r="I58" s="19" t="str">
        <f t="shared" si="13"/>
        <v/>
      </c>
      <c r="J58" s="41"/>
      <c r="K58" s="41"/>
    </row>
    <row r="59" spans="1:11" ht="15.6">
      <c r="A59" s="52" t="str">
        <v>Kohls - San Bernardino - Central</v>
      </c>
      <c r="B59" s="31" t="str">
        <v>CA</v>
      </c>
      <c r="C59" s="11"/>
      <c r="D59" s="18"/>
      <c r="E59" s="18" t="str">
        <f t="shared" si="10"/>
        <v/>
      </c>
      <c r="F59" s="18" t="str">
        <f t="shared" si="11"/>
        <v/>
      </c>
      <c r="G59" s="45"/>
      <c r="H59" s="45" t="str">
        <f t="shared" si="12"/>
        <v/>
      </c>
      <c r="I59" s="19" t="str">
        <f t="shared" si="13"/>
        <v/>
      </c>
      <c r="J59" s="42"/>
      <c r="K59" s="43"/>
    </row>
    <row r="60" spans="1:11" ht="15.6">
      <c r="A60" s="53" t="str">
        <v>Kohls - Sonora</v>
      </c>
      <c r="B60" s="29" t="str">
        <v>CA</v>
      </c>
      <c r="C60" s="24"/>
      <c r="D60" s="13"/>
      <c r="E60" s="13" t="str">
        <f t="shared" si="10"/>
        <v/>
      </c>
      <c r="F60" s="13" t="str">
        <f t="shared" si="11"/>
        <v/>
      </c>
      <c r="G60" s="15"/>
      <c r="H60" s="15" t="str">
        <f t="shared" si="12"/>
        <v/>
      </c>
      <c r="I60" s="19" t="str">
        <f t="shared" si="13"/>
        <v/>
      </c>
      <c r="J60" s="41"/>
      <c r="K60" s="41"/>
    </row>
    <row r="61" spans="1:11" ht="15.6">
      <c r="A61" s="52" t="str">
        <v>CUSD - Stratford ES</v>
      </c>
      <c r="B61" s="31" t="str">
        <v>CA</v>
      </c>
      <c r="C61" s="11"/>
      <c r="D61" s="18"/>
      <c r="E61" s="18" t="str">
        <f t="shared" si="10"/>
        <v/>
      </c>
      <c r="F61" s="18" t="str">
        <f t="shared" si="11"/>
        <v/>
      </c>
      <c r="G61" s="45"/>
      <c r="H61" s="45" t="str">
        <f t="shared" si="12"/>
        <v/>
      </c>
      <c r="I61" s="19" t="str">
        <f t="shared" si="13"/>
        <v/>
      </c>
      <c r="J61" s="42"/>
      <c r="K61" s="43"/>
    </row>
    <row r="62" spans="1:11" ht="15.6">
      <c r="A62" s="53" t="str">
        <v>Taft - City Hall</v>
      </c>
      <c r="B62" s="29" t="str">
        <v>CA</v>
      </c>
      <c r="C62" s="24"/>
      <c r="D62" s="13"/>
      <c r="E62" s="13" t="str">
        <f t="shared" si="10"/>
        <v/>
      </c>
      <c r="F62" s="13" t="str">
        <f t="shared" si="11"/>
        <v/>
      </c>
      <c r="G62" s="15"/>
      <c r="H62" s="15" t="str">
        <f t="shared" si="12"/>
        <v/>
      </c>
      <c r="I62" s="19" t="str">
        <f t="shared" si="13"/>
        <v/>
      </c>
      <c r="J62" s="41"/>
      <c r="K62" s="41"/>
    </row>
    <row r="63" spans="1:11" ht="15.6">
      <c r="A63" s="52" t="str">
        <v>Taft - Federal Prison</v>
      </c>
      <c r="B63" s="31" t="str">
        <v>CA</v>
      </c>
      <c r="C63" s="11"/>
      <c r="D63" s="18"/>
      <c r="E63" s="18" t="str">
        <f t="shared" si="10"/>
        <v/>
      </c>
      <c r="F63" s="18" t="str">
        <f t="shared" si="11"/>
        <v/>
      </c>
      <c r="G63" s="45"/>
      <c r="H63" s="45" t="str">
        <f t="shared" si="12"/>
        <v/>
      </c>
      <c r="I63" s="19" t="str">
        <f t="shared" si="13"/>
        <v/>
      </c>
      <c r="J63" s="42"/>
      <c r="K63" s="43"/>
    </row>
    <row r="64" spans="1:11" ht="15.6">
      <c r="A64" s="53" t="str">
        <v>Taft - Police Department</v>
      </c>
      <c r="B64" s="29" t="str">
        <v>CA</v>
      </c>
      <c r="C64" s="24"/>
      <c r="D64" s="13"/>
      <c r="E64" s="13" t="str">
        <f t="shared" si="10"/>
        <v/>
      </c>
      <c r="F64" s="13" t="str">
        <f t="shared" si="11"/>
        <v/>
      </c>
      <c r="G64" s="15"/>
      <c r="H64" s="15" t="str">
        <f t="shared" si="12"/>
        <v/>
      </c>
      <c r="I64" s="19" t="str">
        <f t="shared" si="13"/>
        <v/>
      </c>
      <c r="J64" s="41"/>
      <c r="K64" s="41"/>
    </row>
    <row r="65" spans="1:11" ht="15.6">
      <c r="A65" s="52" t="str">
        <v>Taft - WTP</v>
      </c>
      <c r="B65" s="31" t="str">
        <v>CA</v>
      </c>
      <c r="C65" s="11"/>
      <c r="D65" s="18"/>
      <c r="E65" s="18" t="str">
        <f t="shared" si="10"/>
        <v/>
      </c>
      <c r="F65" s="18" t="str">
        <f t="shared" si="11"/>
        <v/>
      </c>
      <c r="G65" s="45"/>
      <c r="H65" s="45" t="str">
        <f t="shared" si="12"/>
        <v/>
      </c>
      <c r="I65" s="19" t="str">
        <f t="shared" si="13"/>
        <v/>
      </c>
      <c r="J65" s="42"/>
      <c r="K65" s="43"/>
    </row>
    <row r="66" spans="1:11" ht="15.6">
      <c r="A66" s="53" t="str">
        <v>CDCR - CA Correctional Institution</v>
      </c>
      <c r="B66" s="29" t="str">
        <v>CA</v>
      </c>
      <c r="C66" s="24"/>
      <c r="D66" s="13"/>
      <c r="E66" s="13" t="str">
        <f t="shared" si="10"/>
        <v/>
      </c>
      <c r="F66" s="13" t="str">
        <f t="shared" si="11"/>
        <v/>
      </c>
      <c r="G66" s="15"/>
      <c r="H66" s="15" t="str">
        <f t="shared" si="12"/>
        <v/>
      </c>
      <c r="I66" s="19" t="str">
        <f t="shared" si="13"/>
        <v/>
      </c>
      <c r="J66" s="41"/>
      <c r="K66" s="41"/>
    </row>
    <row r="67" spans="1:11" ht="15.6">
      <c r="A67" s="52" t="str">
        <v>CDCR - CA Correctional Institution II</v>
      </c>
      <c r="B67" s="31" t="str">
        <v>CA</v>
      </c>
      <c r="C67" s="11"/>
      <c r="D67" s="18"/>
      <c r="E67" s="18" t="str">
        <f t="shared" si="10"/>
        <v/>
      </c>
      <c r="F67" s="18" t="str">
        <f t="shared" si="11"/>
        <v/>
      </c>
      <c r="G67" s="45"/>
      <c r="H67" s="45" t="str">
        <f t="shared" si="12"/>
        <v/>
      </c>
      <c r="I67" s="19" t="str">
        <f t="shared" si="13"/>
        <v/>
      </c>
      <c r="J67" s="42"/>
      <c r="K67" s="43"/>
    </row>
    <row r="68" spans="1:11" ht="15.6">
      <c r="A68" s="53" t="str">
        <v>Snowline SD - Vista Verde ES</v>
      </c>
      <c r="B68" s="29" t="str">
        <v>CA</v>
      </c>
      <c r="C68" s="24"/>
      <c r="D68" s="13"/>
      <c r="E68" s="13" t="str">
        <f t="shared" si="10"/>
        <v/>
      </c>
      <c r="F68" s="13" t="str">
        <f t="shared" si="11"/>
        <v/>
      </c>
      <c r="G68" s="15"/>
      <c r="H68" s="15" t="str">
        <f t="shared" si="12"/>
        <v/>
      </c>
      <c r="I68" s="19" t="str">
        <f t="shared" si="13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69:F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3" activePane="bottomRight" state="frozen"/>
      <selection pane="bottomRight" activeCell="J26" sqref="J26:K10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42</v>
      </c>
      <c r="E1" s="85"/>
      <c r="F1" s="85"/>
      <c r="G1" s="83" t="s">
        <v>43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6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6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6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5" t="s">
        <v>44</v>
      </c>
      <c r="K21" s="54" t="s">
        <v>41</v>
      </c>
    </row>
    <row r="22" spans="1:11" ht="15.6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6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6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9" t="str">
        <f t="shared" ref="I26:I68" si="7">IFERROR(H26/G26, "")</f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9" t="str">
        <f t="shared" si="7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9" t="str">
        <f t="shared" si="7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9" t="str">
        <f t="shared" si="7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9" t="str">
        <f t="shared" si="7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9" t="str">
        <f t="shared" si="7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9" t="str">
        <f t="shared" si="7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9" t="str">
        <f t="shared" si="7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9" t="str">
        <f t="shared" si="7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9" t="str">
        <f t="shared" si="7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9" t="str">
        <f t="shared" si="7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9" t="str">
        <f t="shared" si="7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9" t="str">
        <f t="shared" si="7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9" t="str">
        <f t="shared" si="7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9" t="str">
        <f t="shared" si="7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9" t="str">
        <f t="shared" si="7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9" t="str">
        <f t="shared" si="7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9" t="str">
        <f t="shared" si="7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9" t="str">
        <f t="shared" si="7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9" t="str">
        <f t="shared" si="7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9" t="str">
        <f t="shared" si="7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9" t="str">
        <f t="shared" si="7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38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35" activePane="bottomRight" state="frozen"/>
      <selection pane="bottomRight" activeCell="G26" sqref="G26:G6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47</v>
      </c>
      <c r="E1" s="85"/>
      <c r="F1" s="85"/>
      <c r="G1" s="83" t="s">
        <v>48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6"/>
      <c r="K9" s="43"/>
    </row>
    <row r="10" spans="1:11" ht="15.6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9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5" t="s">
        <v>49</v>
      </c>
      <c r="K15" s="55" t="s">
        <v>50</v>
      </c>
    </row>
    <row r="16" spans="1:11" ht="15.6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7"/>
      <c r="K16" s="57"/>
    </row>
    <row r="17" spans="1:11" ht="15.6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5"/>
      <c r="K17" s="59"/>
    </row>
    <row r="18" spans="1:11" ht="15.6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7"/>
      <c r="K18" s="57"/>
    </row>
    <row r="19" spans="1:11" ht="28.9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5" t="s">
        <v>51</v>
      </c>
      <c r="K19" s="55" t="s">
        <v>52</v>
      </c>
    </row>
    <row r="20" spans="1:11" ht="15.6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7"/>
      <c r="K20" s="57"/>
    </row>
    <row r="21" spans="1:11" ht="15.6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5" t="s">
        <v>53</v>
      </c>
      <c r="K21" s="55" t="s">
        <v>54</v>
      </c>
    </row>
    <row r="22" spans="1:11" ht="15.6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58"/>
      <c r="K22" s="57"/>
    </row>
    <row r="23" spans="1:11" ht="15.6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0"/>
      <c r="K23" s="60"/>
    </row>
    <row r="24" spans="1:11" ht="15.6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5" activePane="bottomRight" state="frozen"/>
      <selection pane="bottomRight" activeCell="G26" sqref="G26:G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55</v>
      </c>
      <c r="E1" s="85"/>
      <c r="F1" s="85"/>
      <c r="G1" s="83" t="s">
        <v>56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6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6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6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9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6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9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6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6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6">IF(AND(ISNUMBER(C26),ISNUMBER(D26)), C26-D26, "")</f>
        <v/>
      </c>
      <c r="F26" s="14"/>
      <c r="G26" s="15"/>
      <c r="H26" s="15" t="str">
        <f t="shared" ref="H26:H68" si="7">IF(AND(ISNUMBER(C26),ISNUMBER(G26)), C26-G26, "")</f>
        <v/>
      </c>
      <c r="I26" s="16" t="str">
        <f t="shared" ref="I26:I68" si="8">IFERROR(H26/G26, "")</f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6"/>
        <v/>
      </c>
      <c r="F27" s="19"/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6"/>
        <v/>
      </c>
      <c r="F28" s="14"/>
      <c r="G28" s="15"/>
      <c r="H28" s="15" t="str">
        <f t="shared" si="7"/>
        <v/>
      </c>
      <c r="I28" s="16" t="str">
        <f t="shared" si="8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6"/>
        <v/>
      </c>
      <c r="F29" s="19"/>
      <c r="G29" s="20"/>
      <c r="H29" s="20" t="str">
        <f t="shared" si="7"/>
        <v/>
      </c>
      <c r="I29" s="19" t="str">
        <f t="shared" si="8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6"/>
        <v/>
      </c>
      <c r="F30" s="14"/>
      <c r="G30" s="15"/>
      <c r="H30" s="15" t="str">
        <f t="shared" si="7"/>
        <v/>
      </c>
      <c r="I30" s="16" t="str">
        <f t="shared" si="8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6"/>
        <v/>
      </c>
      <c r="F31" s="19"/>
      <c r="G31" s="20"/>
      <c r="H31" s="20" t="str">
        <f t="shared" si="7"/>
        <v/>
      </c>
      <c r="I31" s="19" t="str">
        <f t="shared" si="8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6"/>
        <v/>
      </c>
      <c r="F32" s="14"/>
      <c r="G32" s="15"/>
      <c r="H32" s="15" t="str">
        <f t="shared" si="7"/>
        <v/>
      </c>
      <c r="I32" s="16" t="str">
        <f t="shared" si="8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6"/>
        <v/>
      </c>
      <c r="F33" s="19"/>
      <c r="G33" s="20"/>
      <c r="H33" s="20" t="str">
        <f t="shared" si="7"/>
        <v/>
      </c>
      <c r="I33" s="19" t="str">
        <f t="shared" si="8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6"/>
        <v/>
      </c>
      <c r="F34" s="14"/>
      <c r="G34" s="15"/>
      <c r="H34" s="15" t="str">
        <f t="shared" si="7"/>
        <v/>
      </c>
      <c r="I34" s="16" t="str">
        <f t="shared" si="8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6"/>
        <v/>
      </c>
      <c r="F35" s="19"/>
      <c r="G35" s="20"/>
      <c r="H35" s="20" t="str">
        <f t="shared" si="7"/>
        <v/>
      </c>
      <c r="I35" s="19" t="str">
        <f t="shared" si="8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6"/>
        <v/>
      </c>
      <c r="F36" s="14"/>
      <c r="G36" s="15"/>
      <c r="H36" s="15" t="str">
        <f t="shared" si="7"/>
        <v/>
      </c>
      <c r="I36" s="16" t="str">
        <f t="shared" si="8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6"/>
        <v/>
      </c>
      <c r="F37" s="19"/>
      <c r="G37" s="20"/>
      <c r="H37" s="20" t="str">
        <f t="shared" si="7"/>
        <v/>
      </c>
      <c r="I37" s="19" t="str">
        <f t="shared" si="8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6"/>
        <v/>
      </c>
      <c r="F38" s="14"/>
      <c r="G38" s="15"/>
      <c r="H38" s="15" t="str">
        <f t="shared" si="7"/>
        <v/>
      </c>
      <c r="I38" s="16" t="str">
        <f t="shared" si="8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6"/>
        <v/>
      </c>
      <c r="F39" s="19"/>
      <c r="G39" s="20"/>
      <c r="H39" s="20" t="str">
        <f t="shared" si="7"/>
        <v/>
      </c>
      <c r="I39" s="19" t="str">
        <f t="shared" si="8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6"/>
        <v/>
      </c>
      <c r="F40" s="14"/>
      <c r="G40" s="15"/>
      <c r="H40" s="15" t="str">
        <f t="shared" si="7"/>
        <v/>
      </c>
      <c r="I40" s="16" t="str">
        <f t="shared" si="8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6"/>
        <v/>
      </c>
      <c r="F41" s="19"/>
      <c r="G41" s="20"/>
      <c r="H41" s="20" t="str">
        <f t="shared" si="7"/>
        <v/>
      </c>
      <c r="I41" s="19" t="str">
        <f t="shared" si="8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6"/>
        <v/>
      </c>
      <c r="F42" s="14"/>
      <c r="G42" s="15"/>
      <c r="H42" s="15" t="str">
        <f t="shared" si="7"/>
        <v/>
      </c>
      <c r="I42" s="16" t="str">
        <f t="shared" si="8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6"/>
        <v/>
      </c>
      <c r="F43" s="19"/>
      <c r="G43" s="20"/>
      <c r="H43" s="20" t="str">
        <f t="shared" si="7"/>
        <v/>
      </c>
      <c r="I43" s="19" t="str">
        <f t="shared" si="8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6"/>
        <v/>
      </c>
      <c r="F44" s="14"/>
      <c r="G44" s="15"/>
      <c r="H44" s="15" t="str">
        <f t="shared" si="7"/>
        <v/>
      </c>
      <c r="I44" s="16" t="str">
        <f t="shared" si="8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6"/>
        <v/>
      </c>
      <c r="F45" s="19"/>
      <c r="G45" s="20"/>
      <c r="H45" s="20" t="str">
        <f t="shared" si="7"/>
        <v/>
      </c>
      <c r="I45" s="19" t="str">
        <f t="shared" si="8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6"/>
        <v/>
      </c>
      <c r="F46" s="14"/>
      <c r="G46" s="15"/>
      <c r="H46" s="15" t="str">
        <f t="shared" si="7"/>
        <v/>
      </c>
      <c r="I46" s="16" t="str">
        <f t="shared" si="8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6"/>
        <v/>
      </c>
      <c r="F47" s="19"/>
      <c r="G47" s="20"/>
      <c r="H47" s="20" t="str">
        <f t="shared" si="7"/>
        <v/>
      </c>
      <c r="I47" s="19" t="str">
        <f t="shared" si="8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6"/>
        <v/>
      </c>
      <c r="F48" s="14"/>
      <c r="G48" s="15"/>
      <c r="H48" s="15" t="str">
        <f t="shared" si="7"/>
        <v/>
      </c>
      <c r="I48" s="16" t="str">
        <f t="shared" si="8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6"/>
        <v/>
      </c>
      <c r="F49" s="19"/>
      <c r="G49" s="20"/>
      <c r="H49" s="20" t="str">
        <f t="shared" si="7"/>
        <v/>
      </c>
      <c r="I49" s="19" t="str">
        <f t="shared" si="8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6"/>
        <v/>
      </c>
      <c r="F50" s="14"/>
      <c r="G50" s="15"/>
      <c r="H50" s="15" t="str">
        <f t="shared" si="7"/>
        <v/>
      </c>
      <c r="I50" s="16" t="str">
        <f t="shared" si="8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6"/>
        <v/>
      </c>
      <c r="F51" s="19"/>
      <c r="G51" s="20"/>
      <c r="H51" s="20" t="str">
        <f t="shared" si="7"/>
        <v/>
      </c>
      <c r="I51" s="19" t="str">
        <f t="shared" si="8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6"/>
        <v/>
      </c>
      <c r="F52" s="14"/>
      <c r="G52" s="15"/>
      <c r="H52" s="15" t="str">
        <f t="shared" si="7"/>
        <v/>
      </c>
      <c r="I52" s="16" t="str">
        <f t="shared" si="8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6"/>
        <v/>
      </c>
      <c r="F53" s="19"/>
      <c r="G53" s="20"/>
      <c r="H53" s="20" t="str">
        <f t="shared" si="7"/>
        <v/>
      </c>
      <c r="I53" s="19" t="str">
        <f t="shared" si="8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6"/>
        <v/>
      </c>
      <c r="F54" s="14"/>
      <c r="G54" s="15"/>
      <c r="H54" s="15" t="str">
        <f t="shared" si="7"/>
        <v/>
      </c>
      <c r="I54" s="16" t="str">
        <f t="shared" si="8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6"/>
        <v/>
      </c>
      <c r="F55" s="19"/>
      <c r="G55" s="20"/>
      <c r="H55" s="20" t="str">
        <f t="shared" si="7"/>
        <v/>
      </c>
      <c r="I55" s="19" t="str">
        <f t="shared" si="8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6"/>
        <v/>
      </c>
      <c r="F56" s="14"/>
      <c r="G56" s="15"/>
      <c r="H56" s="15" t="str">
        <f t="shared" si="7"/>
        <v/>
      </c>
      <c r="I56" s="16" t="str">
        <f t="shared" si="8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6"/>
        <v/>
      </c>
      <c r="F57" s="19"/>
      <c r="G57" s="20"/>
      <c r="H57" s="20" t="str">
        <f t="shared" si="7"/>
        <v/>
      </c>
      <c r="I57" s="19" t="str">
        <f t="shared" si="8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6"/>
        <v/>
      </c>
      <c r="F58" s="14"/>
      <c r="G58" s="15"/>
      <c r="H58" s="15" t="str">
        <f t="shared" si="7"/>
        <v/>
      </c>
      <c r="I58" s="16" t="str">
        <f t="shared" si="8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6"/>
        <v/>
      </c>
      <c r="F59" s="19"/>
      <c r="G59" s="20"/>
      <c r="H59" s="20" t="str">
        <f t="shared" si="7"/>
        <v/>
      </c>
      <c r="I59" s="19" t="str">
        <f t="shared" si="8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6"/>
        <v/>
      </c>
      <c r="F60" s="14"/>
      <c r="G60" s="15"/>
      <c r="H60" s="15" t="str">
        <f t="shared" si="7"/>
        <v/>
      </c>
      <c r="I60" s="16" t="str">
        <f t="shared" si="8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6"/>
        <v/>
      </c>
      <c r="F61" s="19"/>
      <c r="G61" s="20"/>
      <c r="H61" s="20" t="str">
        <f t="shared" si="7"/>
        <v/>
      </c>
      <c r="I61" s="19" t="str">
        <f t="shared" si="8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6"/>
        <v/>
      </c>
      <c r="F62" s="14"/>
      <c r="G62" s="15"/>
      <c r="H62" s="15" t="str">
        <f t="shared" si="7"/>
        <v/>
      </c>
      <c r="I62" s="16" t="str">
        <f t="shared" si="8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6"/>
        <v/>
      </c>
      <c r="F63" s="19"/>
      <c r="G63" s="20"/>
      <c r="H63" s="20" t="str">
        <f t="shared" si="7"/>
        <v/>
      </c>
      <c r="I63" s="19" t="str">
        <f t="shared" si="8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6"/>
        <v/>
      </c>
      <c r="F64" s="14"/>
      <c r="G64" s="15"/>
      <c r="H64" s="15" t="str">
        <f t="shared" si="7"/>
        <v/>
      </c>
      <c r="I64" s="16" t="str">
        <f t="shared" si="8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6"/>
        <v/>
      </c>
      <c r="F65" s="19"/>
      <c r="G65" s="20"/>
      <c r="H65" s="20" t="str">
        <f t="shared" si="7"/>
        <v/>
      </c>
      <c r="I65" s="19" t="str">
        <f t="shared" si="8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6"/>
        <v/>
      </c>
      <c r="F66" s="14"/>
      <c r="G66" s="15"/>
      <c r="H66" s="15" t="str">
        <f t="shared" si="7"/>
        <v/>
      </c>
      <c r="I66" s="16" t="str">
        <f t="shared" si="8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6"/>
        <v/>
      </c>
      <c r="F67" s="19"/>
      <c r="G67" s="20"/>
      <c r="H67" s="20" t="str">
        <f t="shared" si="7"/>
        <v/>
      </c>
      <c r="I67" s="19" t="str">
        <f t="shared" si="8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6"/>
        <v/>
      </c>
      <c r="F68" s="14"/>
      <c r="G68" s="15"/>
      <c r="H68" s="15" t="str">
        <f t="shared" si="7"/>
        <v/>
      </c>
      <c r="I68" s="16" t="str">
        <f t="shared" si="8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33" activePane="bottomRight" state="frozen"/>
      <selection pane="bottomRight" activeCell="O49" sqref="O4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63</v>
      </c>
      <c r="E1" s="85"/>
      <c r="F1" s="85"/>
      <c r="G1" s="83" t="s">
        <v>64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7"/>
      <c r="K4" s="57"/>
    </row>
    <row r="5" spans="1:11" ht="15.6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1"/>
      <c r="K5" s="61"/>
    </row>
    <row r="6" spans="1:11" ht="15.6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7"/>
      <c r="K6" s="57"/>
    </row>
    <row r="7" spans="1:11" ht="15.6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1"/>
      <c r="K7" s="62"/>
    </row>
    <row r="8" spans="1:11" ht="28.9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7" t="s">
        <v>65</v>
      </c>
      <c r="K8" s="57" t="s">
        <v>66</v>
      </c>
    </row>
    <row r="9" spans="1:11" ht="15.6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1"/>
      <c r="K9" s="62"/>
    </row>
    <row r="10" spans="1:11" ht="15.6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7" t="s">
        <v>67</v>
      </c>
      <c r="K10" s="57" t="s">
        <v>68</v>
      </c>
    </row>
    <row r="11" spans="1:11" ht="15.6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1"/>
      <c r="K11" s="62"/>
    </row>
    <row r="12" spans="1:11" ht="86.4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7" t="s">
        <v>69</v>
      </c>
      <c r="K12" s="57" t="s">
        <v>70</v>
      </c>
    </row>
    <row r="13" spans="1:11" ht="15.6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1"/>
      <c r="K13" s="62"/>
    </row>
    <row r="14" spans="1:11" ht="15.6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7"/>
      <c r="K14" s="57"/>
    </row>
    <row r="15" spans="1:11" ht="15.6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1"/>
      <c r="K15" s="62"/>
    </row>
    <row r="16" spans="1:11" ht="15.6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7"/>
      <c r="K16" s="57"/>
    </row>
    <row r="17" spans="1:11" ht="28.9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1" t="s">
        <v>71</v>
      </c>
      <c r="K17" s="61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7"/>
      <c r="K18" s="57"/>
    </row>
    <row r="19" spans="1:11" ht="15.6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1"/>
      <c r="K19" s="61"/>
    </row>
    <row r="20" spans="1:11" ht="15.6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5" t="s">
        <v>73</v>
      </c>
      <c r="K21" s="59" t="s">
        <v>74</v>
      </c>
    </row>
    <row r="22" spans="1:11" ht="15.6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7"/>
      <c r="K22" s="57"/>
    </row>
    <row r="23" spans="1:11" ht="31.1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1" t="s">
        <v>75</v>
      </c>
      <c r="K23" s="62" t="s">
        <v>76</v>
      </c>
    </row>
    <row r="24" spans="1:11" ht="15.6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7"/>
      <c r="K24" s="57"/>
    </row>
    <row r="25" spans="1:11" ht="15.6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ref="I26:I68" si="6">IFERROR(H26/G26, "")</f>
        <v/>
      </c>
      <c r="J26" s="57"/>
      <c r="K26" s="57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6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6"/>
        <v/>
      </c>
      <c r="J28" s="57"/>
      <c r="K28" s="57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6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6"/>
        <v/>
      </c>
      <c r="J30" s="57"/>
      <c r="K30" s="57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6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6"/>
        <v/>
      </c>
      <c r="J32" s="57"/>
      <c r="K32" s="57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6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6"/>
        <v/>
      </c>
      <c r="J34" s="57"/>
      <c r="K34" s="57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6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6"/>
        <v/>
      </c>
      <c r="J36" s="57"/>
      <c r="K36" s="57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6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6"/>
        <v/>
      </c>
      <c r="J38" s="57"/>
      <c r="K38" s="57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6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6"/>
        <v/>
      </c>
      <c r="J40" s="57"/>
      <c r="K40" s="57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6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6"/>
        <v/>
      </c>
      <c r="J42" s="57"/>
      <c r="K42" s="57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6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6"/>
        <v/>
      </c>
      <c r="J44" s="57"/>
      <c r="K44" s="57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6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6"/>
        <v/>
      </c>
      <c r="J46" s="57"/>
      <c r="K46" s="57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6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6"/>
        <v/>
      </c>
      <c r="J48" s="57"/>
      <c r="K48" s="57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6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6"/>
        <v/>
      </c>
      <c r="J50" s="57"/>
      <c r="K50" s="57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6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6"/>
        <v/>
      </c>
      <c r="J52" s="57"/>
      <c r="K52" s="57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6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6"/>
        <v/>
      </c>
      <c r="J54" s="57"/>
      <c r="K54" s="57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6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6"/>
        <v/>
      </c>
      <c r="J56" s="57"/>
      <c r="K56" s="57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6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6"/>
        <v/>
      </c>
      <c r="J58" s="57"/>
      <c r="K58" s="57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6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6"/>
        <v/>
      </c>
      <c r="J60" s="57"/>
      <c r="K60" s="57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6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6"/>
        <v/>
      </c>
      <c r="J62" s="57"/>
      <c r="K62" s="57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6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6"/>
        <v/>
      </c>
      <c r="J64" s="57"/>
      <c r="K64" s="57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6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6"/>
        <v/>
      </c>
      <c r="J66" s="57"/>
      <c r="K66" s="57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6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6"/>
        <v/>
      </c>
      <c r="J68" s="57"/>
      <c r="K68" s="5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77</v>
      </c>
      <c r="E1" s="85"/>
      <c r="F1" s="85"/>
      <c r="G1" s="83" t="s">
        <v>78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35782</v>
      </c>
      <c r="D4" s="13">
        <v>0</v>
      </c>
      <c r="E4" s="13">
        <f>IF(AND(ISNUMBER(C4),ISNUMBER(D4)), C4-D4, "")</f>
        <v>35782</v>
      </c>
      <c r="F4" s="14" t="str">
        <f>IFERROR(E4/D4, "")</f>
        <v/>
      </c>
      <c r="G4" s="15">
        <v>35953</v>
      </c>
      <c r="H4" s="15">
        <f>IF(AND(ISNUMBER(C4),ISNUMBER(G4)), C4-G4, "")</f>
        <v>-171</v>
      </c>
      <c r="I4" s="16">
        <f>IFERROR(H4/G4, "")</f>
        <v>-4.7562094957305373E-3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43412</v>
      </c>
      <c r="D5" s="18">
        <v>0</v>
      </c>
      <c r="E5" s="18">
        <f t="shared" ref="E5:E25" si="0">IF(AND(ISNUMBER(C5),ISNUMBER(D5)), C5-D5, "")</f>
        <v>43412</v>
      </c>
      <c r="F5" s="19" t="str">
        <f>IFERROR(E5/D5, "")</f>
        <v/>
      </c>
      <c r="G5" s="20">
        <v>44557</v>
      </c>
      <c r="H5" s="20">
        <f t="shared" ref="H5:H25" si="1">IF(AND(ISNUMBER(C5),ISNUMBER(G5)), C5-G5, "")</f>
        <v>-1145</v>
      </c>
      <c r="I5" s="19">
        <f t="shared" ref="I5:I25" si="2">IFERROR(H5/G5, "")</f>
        <v>-2.5697421280606862E-2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42901</v>
      </c>
      <c r="D6" s="13">
        <v>0</v>
      </c>
      <c r="E6" s="13">
        <f t="shared" si="0"/>
        <v>42901</v>
      </c>
      <c r="F6" s="14" t="str">
        <f t="shared" ref="F6:F25" si="3">IFERROR(E6/D6, "")</f>
        <v/>
      </c>
      <c r="G6" s="15">
        <v>39812</v>
      </c>
      <c r="H6" s="15">
        <f t="shared" si="1"/>
        <v>3089</v>
      </c>
      <c r="I6" s="16">
        <f t="shared" si="2"/>
        <v>7.758967145584246E-2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51013</v>
      </c>
      <c r="D7" s="18">
        <v>0</v>
      </c>
      <c r="E7" s="18">
        <f t="shared" si="0"/>
        <v>51013</v>
      </c>
      <c r="F7" s="19" t="str">
        <f t="shared" si="3"/>
        <v/>
      </c>
      <c r="G7" s="20">
        <v>49484</v>
      </c>
      <c r="H7" s="20">
        <f t="shared" si="1"/>
        <v>1529</v>
      </c>
      <c r="I7" s="19">
        <f t="shared" si="2"/>
        <v>3.0898876404494381E-2</v>
      </c>
      <c r="J7" s="42"/>
      <c r="K7" s="43"/>
    </row>
    <row r="8" spans="1:11" ht="72">
      <c r="A8" s="28" t="str">
        <v>Kohls - Buffalo</v>
      </c>
      <c r="B8" s="29" t="str">
        <v>NY</v>
      </c>
      <c r="C8" s="24">
        <v>65280</v>
      </c>
      <c r="D8" s="13">
        <v>0</v>
      </c>
      <c r="E8" s="13">
        <f t="shared" si="0"/>
        <v>65280</v>
      </c>
      <c r="F8" s="14" t="str">
        <f t="shared" si="3"/>
        <v/>
      </c>
      <c r="G8" s="15">
        <v>52881</v>
      </c>
      <c r="H8" s="15">
        <f t="shared" si="1"/>
        <v>12399</v>
      </c>
      <c r="I8" s="16">
        <f t="shared" si="2"/>
        <v>0.23446984739320362</v>
      </c>
      <c r="J8" s="41" t="s">
        <v>79</v>
      </c>
      <c r="K8" s="41" t="s">
        <v>80</v>
      </c>
    </row>
    <row r="9" spans="1:11" ht="15.6">
      <c r="A9" s="30" t="str">
        <v>Kohls - Canton</v>
      </c>
      <c r="B9" s="31" t="str">
        <v>CT</v>
      </c>
      <c r="C9" s="11">
        <v>17428</v>
      </c>
      <c r="D9" s="18">
        <v>0</v>
      </c>
      <c r="E9" s="18">
        <f t="shared" si="0"/>
        <v>17428</v>
      </c>
      <c r="F9" s="19" t="str">
        <f t="shared" si="3"/>
        <v/>
      </c>
      <c r="G9" s="20">
        <v>16394</v>
      </c>
      <c r="H9" s="20">
        <f t="shared" si="1"/>
        <v>1034</v>
      </c>
      <c r="I9" s="19">
        <f t="shared" si="2"/>
        <v>6.3071855556911069E-2</v>
      </c>
      <c r="J9" s="42" t="s">
        <v>81</v>
      </c>
      <c r="K9" s="43" t="s">
        <v>82</v>
      </c>
    </row>
    <row r="10" spans="1:11" ht="15.6">
      <c r="A10" s="28" t="str">
        <v>Kohls - East Amherst</v>
      </c>
      <c r="B10" s="29" t="str">
        <v>NY</v>
      </c>
      <c r="C10" s="24">
        <v>47699</v>
      </c>
      <c r="D10" s="13">
        <v>0</v>
      </c>
      <c r="E10" s="13">
        <f t="shared" si="0"/>
        <v>47699</v>
      </c>
      <c r="F10" s="14" t="str">
        <f t="shared" si="3"/>
        <v/>
      </c>
      <c r="G10" s="15">
        <v>48565</v>
      </c>
      <c r="H10" s="15">
        <f t="shared" si="1"/>
        <v>-866</v>
      </c>
      <c r="I10" s="16">
        <f t="shared" si="2"/>
        <v>-1.7831771852156904E-2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59413</v>
      </c>
      <c r="D11" s="18">
        <v>0</v>
      </c>
      <c r="E11" s="18">
        <f t="shared" si="0"/>
        <v>59413</v>
      </c>
      <c r="F11" s="19" t="str">
        <f t="shared" si="3"/>
        <v/>
      </c>
      <c r="G11" s="20">
        <v>61415</v>
      </c>
      <c r="H11" s="20">
        <f t="shared" si="1"/>
        <v>-2002</v>
      </c>
      <c r="I11" s="19">
        <f t="shared" si="2"/>
        <v>-3.259789953594399E-2</v>
      </c>
      <c r="J11" s="42"/>
      <c r="K11" s="43"/>
    </row>
    <row r="12" spans="1:11" ht="57.6">
      <c r="A12" s="28" t="str">
        <v>Kohls - Edgewood</v>
      </c>
      <c r="B12" s="29" t="str">
        <v>MD</v>
      </c>
      <c r="C12" s="24">
        <v>282815</v>
      </c>
      <c r="D12" s="13">
        <v>0</v>
      </c>
      <c r="E12" s="13">
        <f t="shared" si="0"/>
        <v>282815</v>
      </c>
      <c r="F12" s="14" t="str">
        <f t="shared" si="3"/>
        <v/>
      </c>
      <c r="G12" s="15">
        <v>324326</v>
      </c>
      <c r="H12" s="15">
        <f t="shared" si="1"/>
        <v>-41511</v>
      </c>
      <c r="I12" s="16">
        <f t="shared" si="2"/>
        <v>-0.127991588710125</v>
      </c>
      <c r="J12" s="41" t="s">
        <v>83</v>
      </c>
      <c r="K12" s="41" t="s">
        <v>84</v>
      </c>
    </row>
    <row r="13" spans="1:11" ht="15.6">
      <c r="A13" s="30" t="str">
        <v>Kohls - Granite Run</v>
      </c>
      <c r="B13" s="31" t="str">
        <v>PA</v>
      </c>
      <c r="C13" s="11">
        <v>41499</v>
      </c>
      <c r="D13" s="18">
        <v>0</v>
      </c>
      <c r="E13" s="18">
        <f t="shared" si="0"/>
        <v>41499</v>
      </c>
      <c r="F13" s="19" t="str">
        <f t="shared" si="3"/>
        <v/>
      </c>
      <c r="G13" s="20">
        <v>39471</v>
      </c>
      <c r="H13" s="20">
        <f t="shared" si="1"/>
        <v>2028</v>
      </c>
      <c r="I13" s="19">
        <f t="shared" si="2"/>
        <v>5.1379493805578783E-2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32688</v>
      </c>
      <c r="D14" s="13">
        <v>0</v>
      </c>
      <c r="E14" s="13">
        <f t="shared" si="0"/>
        <v>32688</v>
      </c>
      <c r="F14" s="14" t="str">
        <f t="shared" si="3"/>
        <v/>
      </c>
      <c r="G14" s="15">
        <v>50411</v>
      </c>
      <c r="H14" s="15">
        <f t="shared" si="1"/>
        <v>-17723</v>
      </c>
      <c r="I14" s="16">
        <f t="shared" si="2"/>
        <v>-0.35157009382872784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33019</v>
      </c>
      <c r="D15" s="18">
        <v>0</v>
      </c>
      <c r="E15" s="18">
        <f t="shared" si="0"/>
        <v>33019</v>
      </c>
      <c r="F15" s="19" t="str">
        <f t="shared" si="3"/>
        <v/>
      </c>
      <c r="G15" s="20">
        <v>44333</v>
      </c>
      <c r="H15" s="20">
        <f t="shared" si="1"/>
        <v>-11314</v>
      </c>
      <c r="I15" s="19">
        <f t="shared" si="2"/>
        <v>-0.25520492635282971</v>
      </c>
      <c r="J15" s="42" t="s">
        <v>85</v>
      </c>
      <c r="K15" s="43" t="s">
        <v>86</v>
      </c>
    </row>
    <row r="16" spans="1:11" ht="15.6">
      <c r="A16" s="28" t="str">
        <v>Kohls - Horsehead</v>
      </c>
      <c r="B16" s="29" t="str">
        <v>NY</v>
      </c>
      <c r="C16" s="24">
        <v>37604</v>
      </c>
      <c r="D16" s="13">
        <v>0</v>
      </c>
      <c r="E16" s="13">
        <f t="shared" si="0"/>
        <v>37604</v>
      </c>
      <c r="F16" s="14" t="str">
        <f t="shared" si="3"/>
        <v/>
      </c>
      <c r="G16" s="15">
        <v>37006</v>
      </c>
      <c r="H16" s="15">
        <f t="shared" si="1"/>
        <v>598</v>
      </c>
      <c r="I16" s="16">
        <f t="shared" si="2"/>
        <v>1.61595416959412E-2</v>
      </c>
      <c r="J16" s="41"/>
      <c r="K16" s="41"/>
    </row>
    <row r="17" spans="1:11" ht="28.9">
      <c r="A17" s="30" t="str">
        <v>Kohls - Hudson</v>
      </c>
      <c r="B17" s="31" t="str">
        <v>NY</v>
      </c>
      <c r="C17" s="11">
        <v>42163</v>
      </c>
      <c r="D17" s="18">
        <v>0</v>
      </c>
      <c r="E17" s="18">
        <f t="shared" si="0"/>
        <v>42163</v>
      </c>
      <c r="F17" s="19" t="str">
        <f t="shared" si="3"/>
        <v/>
      </c>
      <c r="G17" s="20">
        <v>41900</v>
      </c>
      <c r="H17" s="20">
        <f t="shared" si="1"/>
        <v>263</v>
      </c>
      <c r="I17" s="19">
        <f t="shared" si="2"/>
        <v>6.2768496420047733E-3</v>
      </c>
      <c r="J17" s="54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39218</v>
      </c>
      <c r="D18" s="13">
        <v>0</v>
      </c>
      <c r="E18" s="13">
        <f t="shared" si="0"/>
        <v>39218</v>
      </c>
      <c r="F18" s="14" t="str">
        <f t="shared" si="3"/>
        <v/>
      </c>
      <c r="G18" s="15">
        <v>42348</v>
      </c>
      <c r="H18" s="15">
        <f t="shared" si="1"/>
        <v>-3130</v>
      </c>
      <c r="I18" s="16">
        <f t="shared" si="2"/>
        <v>-7.3911400774534813E-2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57863</v>
      </c>
      <c r="D19" s="18">
        <v>0</v>
      </c>
      <c r="E19" s="18">
        <f t="shared" si="0"/>
        <v>57863</v>
      </c>
      <c r="F19" s="19" t="str">
        <f t="shared" si="3"/>
        <v/>
      </c>
      <c r="G19" s="20">
        <v>61988</v>
      </c>
      <c r="H19" s="20">
        <f t="shared" si="1"/>
        <v>-4125</v>
      </c>
      <c r="I19" s="19">
        <f t="shared" si="2"/>
        <v>-6.6545137768600368E-2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53334</v>
      </c>
      <c r="D20" s="13">
        <v>0</v>
      </c>
      <c r="E20" s="13">
        <f t="shared" si="0"/>
        <v>53334</v>
      </c>
      <c r="F20" s="14" t="str">
        <f t="shared" si="3"/>
        <v/>
      </c>
      <c r="G20" s="15">
        <v>51760</v>
      </c>
      <c r="H20" s="15">
        <f t="shared" si="1"/>
        <v>1574</v>
      </c>
      <c r="I20" s="16">
        <f t="shared" si="2"/>
        <v>3.0409582689335395E-2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76290</v>
      </c>
      <c r="D21" s="18">
        <v>0</v>
      </c>
      <c r="E21" s="18">
        <f t="shared" si="0"/>
        <v>76290</v>
      </c>
      <c r="F21" s="19" t="str">
        <f t="shared" si="3"/>
        <v/>
      </c>
      <c r="G21" s="20">
        <v>70863</v>
      </c>
      <c r="H21" s="20">
        <f t="shared" si="1"/>
        <v>5427</v>
      </c>
      <c r="I21" s="19">
        <f t="shared" si="2"/>
        <v>7.6584395241522371E-2</v>
      </c>
      <c r="J21" s="42"/>
      <c r="K21" s="43"/>
    </row>
    <row r="22" spans="1:11" ht="28.9">
      <c r="A22" s="28" t="str">
        <v>Kohls - North Amherst</v>
      </c>
      <c r="B22" s="29" t="str">
        <v>NY</v>
      </c>
      <c r="C22" s="24">
        <v>35059</v>
      </c>
      <c r="D22" s="13">
        <v>0</v>
      </c>
      <c r="E22" s="13">
        <f t="shared" si="0"/>
        <v>35059</v>
      </c>
      <c r="F22" s="14" t="str">
        <f t="shared" si="3"/>
        <v/>
      </c>
      <c r="G22" s="15">
        <v>45023</v>
      </c>
      <c r="H22" s="15">
        <f t="shared" si="1"/>
        <v>-9964</v>
      </c>
      <c r="I22" s="16">
        <f t="shared" si="2"/>
        <v>-0.22130910867778691</v>
      </c>
      <c r="J22" s="41" t="s">
        <v>89</v>
      </c>
      <c r="K22" s="41" t="s">
        <v>90</v>
      </c>
    </row>
    <row r="23" spans="1:11" ht="46.9">
      <c r="A23" s="30" t="str">
        <v>Kohls - Staten Island</v>
      </c>
      <c r="B23" s="31" t="str">
        <v>NY</v>
      </c>
      <c r="C23" s="11">
        <v>36847</v>
      </c>
      <c r="D23" s="18">
        <v>0</v>
      </c>
      <c r="E23" s="18">
        <f t="shared" si="0"/>
        <v>36847</v>
      </c>
      <c r="F23" s="19" t="str">
        <f t="shared" si="3"/>
        <v/>
      </c>
      <c r="G23" s="20">
        <v>40968</v>
      </c>
      <c r="H23" s="20">
        <f t="shared" si="1"/>
        <v>-4121</v>
      </c>
      <c r="I23" s="19">
        <f t="shared" si="2"/>
        <v>-0.10059070494044133</v>
      </c>
      <c r="J23" s="42" t="s">
        <v>91</v>
      </c>
      <c r="K23" s="63" t="s">
        <v>92</v>
      </c>
    </row>
    <row r="24" spans="1:11" ht="15.6">
      <c r="A24" s="28" t="str">
        <v>Kohls - Warminster</v>
      </c>
      <c r="B24" s="29" t="str">
        <v>PA</v>
      </c>
      <c r="C24" s="24">
        <v>49126</v>
      </c>
      <c r="D24" s="13">
        <v>0</v>
      </c>
      <c r="E24" s="13">
        <f t="shared" si="0"/>
        <v>49126</v>
      </c>
      <c r="F24" s="14" t="str">
        <f t="shared" si="3"/>
        <v/>
      </c>
      <c r="G24" s="15">
        <v>48666</v>
      </c>
      <c r="H24" s="15">
        <f t="shared" si="1"/>
        <v>460</v>
      </c>
      <c r="I24" s="16">
        <f t="shared" si="2"/>
        <v>9.4521842764969388E-3</v>
      </c>
      <c r="J24" s="41" t="s">
        <v>93</v>
      </c>
      <c r="K24" s="41" t="s">
        <v>94</v>
      </c>
    </row>
    <row r="25" spans="1:11" ht="15.6">
      <c r="A25" s="30" t="str">
        <v xml:space="preserve">Kohls - Waterbury </v>
      </c>
      <c r="B25" s="31" t="str">
        <v>CT</v>
      </c>
      <c r="C25" s="11">
        <v>39361</v>
      </c>
      <c r="D25" s="18">
        <v>0</v>
      </c>
      <c r="E25" s="18">
        <f t="shared" si="0"/>
        <v>39361</v>
      </c>
      <c r="F25" s="19" t="str">
        <f t="shared" si="3"/>
        <v/>
      </c>
      <c r="G25" s="20">
        <v>42098</v>
      </c>
      <c r="H25" s="20">
        <f t="shared" si="1"/>
        <v>-2737</v>
      </c>
      <c r="I25" s="19">
        <f t="shared" si="2"/>
        <v>-6.5014965081476556E-2</v>
      </c>
      <c r="J25" s="42" t="s">
        <v>95</v>
      </c>
      <c r="K25" s="43" t="s">
        <v>96</v>
      </c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38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zoomScale="85" zoomScaleNormal="80" workbookViewId="0">
      <pane xSplit="2" ySplit="3" topLeftCell="C45" activePane="bottomRight" state="frozen"/>
      <selection pane="bottomRight" activeCell="G54" sqref="G5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97</v>
      </c>
      <c r="E1" s="85"/>
      <c r="F1" s="85"/>
      <c r="G1" s="83" t="s">
        <v>98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3139844</v>
      </c>
      <c r="D2" s="5">
        <f>SUM(D4:D100)</f>
        <v>0</v>
      </c>
      <c r="E2" s="5">
        <f>C2-D2</f>
        <v>3139844</v>
      </c>
      <c r="F2" s="6">
        <f>IFERROR(E2/D2, 0)</f>
        <v>0</v>
      </c>
      <c r="G2" s="5">
        <f>SUM(G4:G100)</f>
        <v>4879636.3030000022</v>
      </c>
      <c r="H2" s="7">
        <f>C2-G2</f>
        <v>-1739792.3030000022</v>
      </c>
      <c r="I2" s="6">
        <f>IFERROR(H2/G2, 0)</f>
        <v>-0.35654138853143158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31134</v>
      </c>
      <c r="D4" s="13">
        <v>0</v>
      </c>
      <c r="E4" s="13">
        <f t="shared" ref="E4:E10" si="0">IF(AND(ISNUMBER(C4),ISNUMBER(D4)), C4-D4, "")</f>
        <v>31134</v>
      </c>
      <c r="F4" s="14" t="str">
        <f t="shared" ref="F4:F11" si="1">IFERROR(E4/D4, "")</f>
        <v/>
      </c>
      <c r="G4" s="15">
        <v>32647.29</v>
      </c>
      <c r="H4" s="15">
        <f t="shared" ref="H4:H10" si="2">IF(AND(ISNUMBER(C4),ISNUMBER(G4)), C4-G4, "")</f>
        <v>-1513.2900000000009</v>
      </c>
      <c r="I4" s="16">
        <f t="shared" ref="I4:I10" si="3">IFERROR(H4/G4, "")</f>
        <v>-4.6352698799808523E-2</v>
      </c>
      <c r="J4" s="41"/>
      <c r="K4" s="41"/>
    </row>
    <row r="5" spans="1:11" ht="15.6">
      <c r="A5" s="30" t="str">
        <v>Kohls - Auburn</v>
      </c>
      <c r="B5" s="31" t="str">
        <v>NY</v>
      </c>
      <c r="C5" s="11">
        <v>35466</v>
      </c>
      <c r="D5" s="18">
        <v>0</v>
      </c>
      <c r="E5" s="18">
        <f t="shared" si="0"/>
        <v>35466</v>
      </c>
      <c r="F5" s="19" t="str">
        <f t="shared" si="1"/>
        <v/>
      </c>
      <c r="G5" s="20">
        <v>40166.959999999999</v>
      </c>
      <c r="H5" s="20">
        <f t="shared" si="2"/>
        <v>-4700.9599999999991</v>
      </c>
      <c r="I5" s="19">
        <f t="shared" si="3"/>
        <v>-0.11703549384867561</v>
      </c>
      <c r="J5" s="42"/>
      <c r="K5" s="42"/>
    </row>
    <row r="6" spans="1:11" ht="15.6">
      <c r="A6" s="28" t="str">
        <v>Kohls - Bensalem</v>
      </c>
      <c r="B6" s="29" t="str">
        <v>PA</v>
      </c>
      <c r="C6" s="24">
        <v>39773</v>
      </c>
      <c r="D6" s="13">
        <v>0</v>
      </c>
      <c r="E6" s="13">
        <f t="shared" si="0"/>
        <v>39773</v>
      </c>
      <c r="F6" s="14" t="str">
        <f t="shared" si="1"/>
        <v/>
      </c>
      <c r="G6" s="15">
        <v>38397.449999999997</v>
      </c>
      <c r="H6" s="15">
        <f t="shared" si="2"/>
        <v>1375.5500000000029</v>
      </c>
      <c r="I6" s="16">
        <f t="shared" si="3"/>
        <v>3.5823993520403129E-2</v>
      </c>
      <c r="J6" s="41"/>
      <c r="K6" s="41"/>
    </row>
    <row r="7" spans="1:11" ht="15.6">
      <c r="A7" s="30" t="str">
        <v>Kohls - Brick</v>
      </c>
      <c r="B7" s="31" t="str">
        <v>NJ</v>
      </c>
      <c r="C7" s="11">
        <v>47399</v>
      </c>
      <c r="D7" s="18">
        <v>0</v>
      </c>
      <c r="E7" s="18">
        <f t="shared" si="0"/>
        <v>47399</v>
      </c>
      <c r="F7" s="19" t="str">
        <f t="shared" si="1"/>
        <v/>
      </c>
      <c r="G7" s="20">
        <v>42300.23</v>
      </c>
      <c r="H7" s="20">
        <f t="shared" si="2"/>
        <v>5098.7699999999968</v>
      </c>
      <c r="I7" s="19">
        <f t="shared" si="3"/>
        <v>0.12053764246671936</v>
      </c>
      <c r="J7" s="42"/>
      <c r="K7" s="43"/>
    </row>
    <row r="8" spans="1:11" ht="15.6">
      <c r="A8" s="28" t="str">
        <v>Kohls - Buffalo</v>
      </c>
      <c r="B8" s="29" t="str">
        <v>NY</v>
      </c>
      <c r="C8" s="24">
        <v>42103</v>
      </c>
      <c r="D8" s="13">
        <v>0</v>
      </c>
      <c r="E8" s="13">
        <f t="shared" si="0"/>
        <v>42103</v>
      </c>
      <c r="F8" s="14" t="str">
        <f t="shared" si="1"/>
        <v/>
      </c>
      <c r="G8" s="15">
        <v>48752.2</v>
      </c>
      <c r="H8" s="15">
        <f t="shared" si="2"/>
        <v>-6649.1999999999971</v>
      </c>
      <c r="I8" s="16">
        <f t="shared" si="3"/>
        <v>-0.13638769122213967</v>
      </c>
      <c r="J8" s="41" t="s">
        <v>99</v>
      </c>
      <c r="K8" s="41" t="s">
        <v>100</v>
      </c>
    </row>
    <row r="9" spans="1:11" ht="15.6">
      <c r="A9" s="30" t="str">
        <v>Kohls - Canton</v>
      </c>
      <c r="B9" s="31" t="str">
        <v>CT</v>
      </c>
      <c r="C9" s="11">
        <v>15464</v>
      </c>
      <c r="D9" s="18">
        <v>0</v>
      </c>
      <c r="E9" s="18">
        <f t="shared" si="0"/>
        <v>15464</v>
      </c>
      <c r="F9" s="19" t="str">
        <f t="shared" si="1"/>
        <v/>
      </c>
      <c r="G9" s="20">
        <v>15010.35</v>
      </c>
      <c r="H9" s="20">
        <f t="shared" si="2"/>
        <v>453.64999999999964</v>
      </c>
      <c r="I9" s="19">
        <f t="shared" si="3"/>
        <v>3.0222479822255951E-2</v>
      </c>
      <c r="J9" s="42"/>
      <c r="K9" s="43"/>
    </row>
    <row r="10" spans="1:11" ht="15.6">
      <c r="A10" s="28" t="str">
        <v>Kohls - East Amherst</v>
      </c>
      <c r="B10" s="29" t="str">
        <v>NY</v>
      </c>
      <c r="C10" s="24">
        <v>38077</v>
      </c>
      <c r="D10" s="13">
        <v>0</v>
      </c>
      <c r="E10" s="13">
        <f t="shared" si="0"/>
        <v>38077</v>
      </c>
      <c r="F10" s="14" t="str">
        <f t="shared" si="1"/>
        <v/>
      </c>
      <c r="G10" s="15">
        <v>42693.13</v>
      </c>
      <c r="H10" s="15">
        <f t="shared" si="2"/>
        <v>-4616.1299999999974</v>
      </c>
      <c r="I10" s="16">
        <f t="shared" si="3"/>
        <v>-0.10812348497287497</v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>
        <v>52428</v>
      </c>
      <c r="D11" s="18">
        <v>0</v>
      </c>
      <c r="E11" s="18">
        <f t="shared" ref="E11:E17" si="4">IF(AND(ISNUMBER(C11),ISNUMBER(D11)), C11-D11, "")</f>
        <v>52428</v>
      </c>
      <c r="F11" s="19" t="str">
        <f t="shared" si="1"/>
        <v/>
      </c>
      <c r="G11" s="20">
        <v>54698.89</v>
      </c>
      <c r="H11" s="20">
        <f t="shared" ref="H11:H17" si="5">IF(AND(ISNUMBER(C11),ISNUMBER(G11)), C11-G11, "")</f>
        <v>-2270.8899999999994</v>
      </c>
      <c r="I11" s="19">
        <f t="shared" ref="I11:I17" si="6">IFERROR(H11/G11, "")</f>
        <v>-4.1516198957602238E-2</v>
      </c>
      <c r="J11" s="42"/>
      <c r="K11" s="43"/>
    </row>
    <row r="12" spans="1:11" ht="15.6">
      <c r="A12" s="28" t="str">
        <v>Kohls - Edgewood</v>
      </c>
      <c r="B12" s="29" t="str">
        <v>MD</v>
      </c>
      <c r="C12" s="24">
        <v>275040</v>
      </c>
      <c r="D12" s="13">
        <v>0</v>
      </c>
      <c r="E12" s="13">
        <f t="shared" si="4"/>
        <v>275040</v>
      </c>
      <c r="F12" s="14" t="str">
        <f t="shared" ref="F12:F17" si="7">IFERROR(E12/D12, "")</f>
        <v/>
      </c>
      <c r="G12" s="15">
        <v>288701.82</v>
      </c>
      <c r="H12" s="15">
        <f t="shared" si="5"/>
        <v>-13661.820000000007</v>
      </c>
      <c r="I12" s="16">
        <f t="shared" si="6"/>
        <v>-4.7321558277672121E-2</v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>
        <v>36675</v>
      </c>
      <c r="D13" s="18">
        <v>0</v>
      </c>
      <c r="E13" s="18">
        <f t="shared" si="4"/>
        <v>36675</v>
      </c>
      <c r="F13" s="19" t="str">
        <f t="shared" si="7"/>
        <v/>
      </c>
      <c r="G13" s="20">
        <v>37691</v>
      </c>
      <c r="H13" s="20">
        <f t="shared" si="5"/>
        <v>-1016</v>
      </c>
      <c r="I13" s="19">
        <f t="shared" si="6"/>
        <v>-2.6956037250271948E-2</v>
      </c>
      <c r="J13" s="42"/>
      <c r="K13" s="43"/>
    </row>
    <row r="14" spans="1:11" ht="15.6">
      <c r="A14" s="28" t="str">
        <v>Kohls - Greece</v>
      </c>
      <c r="B14" s="29" t="str">
        <v>NY</v>
      </c>
      <c r="C14" s="24">
        <v>27051</v>
      </c>
      <c r="D14" s="13">
        <v>0</v>
      </c>
      <c r="E14" s="13">
        <f t="shared" si="4"/>
        <v>27051</v>
      </c>
      <c r="F14" s="14" t="str">
        <f t="shared" si="7"/>
        <v/>
      </c>
      <c r="G14" s="15">
        <v>45648.09</v>
      </c>
      <c r="H14" s="15">
        <f t="shared" si="5"/>
        <v>-18597.089999999997</v>
      </c>
      <c r="I14" s="16">
        <f t="shared" si="6"/>
        <v>-0.40740127352535449</v>
      </c>
      <c r="J14" s="41"/>
      <c r="K14" s="41"/>
    </row>
    <row r="15" spans="1:11" ht="15.6">
      <c r="A15" s="30" t="str">
        <v>Kohls - Hanover</v>
      </c>
      <c r="B15" s="31" t="str">
        <v>PA</v>
      </c>
      <c r="C15" s="11">
        <v>13530</v>
      </c>
      <c r="D15" s="18">
        <v>0</v>
      </c>
      <c r="E15" s="18">
        <f t="shared" si="4"/>
        <v>13530</v>
      </c>
      <c r="F15" s="19" t="str">
        <f t="shared" si="7"/>
        <v/>
      </c>
      <c r="G15" s="20">
        <v>39416.97</v>
      </c>
      <c r="H15" s="20">
        <f t="shared" si="5"/>
        <v>-25886.97</v>
      </c>
      <c r="I15" s="19">
        <f t="shared" si="6"/>
        <v>-0.65674682757198233</v>
      </c>
      <c r="J15" s="55" t="s">
        <v>101</v>
      </c>
      <c r="K15" s="55" t="s">
        <v>86</v>
      </c>
    </row>
    <row r="16" spans="1:11" ht="15.6">
      <c r="A16" s="28" t="str">
        <v>Kohls - Horsehead</v>
      </c>
      <c r="B16" s="29" t="str">
        <v>NY</v>
      </c>
      <c r="C16" s="24">
        <v>28363</v>
      </c>
      <c r="D16" s="13">
        <v>0</v>
      </c>
      <c r="E16" s="13">
        <f t="shared" si="4"/>
        <v>28363</v>
      </c>
      <c r="F16" s="14" t="str">
        <f t="shared" si="7"/>
        <v/>
      </c>
      <c r="G16" s="15">
        <v>33464.699999999997</v>
      </c>
      <c r="H16" s="15">
        <f t="shared" si="5"/>
        <v>-5101.6999999999971</v>
      </c>
      <c r="I16" s="16">
        <f t="shared" si="6"/>
        <v>-0.15245019378628816</v>
      </c>
      <c r="J16" s="41"/>
      <c r="K16" s="41"/>
    </row>
    <row r="17" spans="1:11" ht="43.15">
      <c r="A17" s="30" t="str">
        <v>Kohls - Hudson</v>
      </c>
      <c r="B17" s="31" t="str">
        <v>NY</v>
      </c>
      <c r="C17" s="11">
        <v>32446</v>
      </c>
      <c r="D17" s="18">
        <v>0</v>
      </c>
      <c r="E17" s="18">
        <f t="shared" si="4"/>
        <v>32446</v>
      </c>
      <c r="F17" s="19" t="str">
        <f t="shared" si="7"/>
        <v/>
      </c>
      <c r="G17" s="20">
        <v>38526.35</v>
      </c>
      <c r="H17" s="20">
        <f t="shared" si="5"/>
        <v>-6080.3499999999985</v>
      </c>
      <c r="I17" s="19">
        <f t="shared" si="6"/>
        <v>-0.15782315220621726</v>
      </c>
      <c r="J17" s="42" t="s">
        <v>102</v>
      </c>
      <c r="K17" s="55" t="s">
        <v>103</v>
      </c>
    </row>
    <row r="18" spans="1:11" ht="12.75" customHeight="1">
      <c r="A18" s="32" t="str">
        <v>Kohls - Ithaca</v>
      </c>
      <c r="B18" s="29" t="str">
        <v>NY</v>
      </c>
      <c r="C18" s="24">
        <v>30408</v>
      </c>
      <c r="D18" s="13">
        <v>0</v>
      </c>
      <c r="E18" s="13">
        <f t="shared" ref="E18:E68" si="8">IF(AND(ISNUMBER(C18),ISNUMBER(D18)), C18-D18, "")</f>
        <v>30408</v>
      </c>
      <c r="F18" s="14" t="str">
        <f t="shared" ref="F18:F68" si="9">IFERROR(E18/D18, "")</f>
        <v/>
      </c>
      <c r="G18" s="15">
        <v>39654.269999999997</v>
      </c>
      <c r="H18" s="15">
        <f t="shared" ref="H18:H68" si="10">IF(AND(ISNUMBER(C18),ISNUMBER(G18)), C18-G18, "")</f>
        <v>-9246.2699999999968</v>
      </c>
      <c r="I18" s="16">
        <f t="shared" ref="I18:I68" si="11">IFERROR(H18/G18, "")</f>
        <v>-0.23317211488195339</v>
      </c>
      <c r="J18" s="41"/>
      <c r="K18" s="41"/>
    </row>
    <row r="19" spans="1:11" ht="15.6">
      <c r="A19" s="30" t="str">
        <v>Kohls - Kingston</v>
      </c>
      <c r="B19" s="31" t="str">
        <v>NY</v>
      </c>
      <c r="C19" s="11">
        <v>47188</v>
      </c>
      <c r="D19" s="18">
        <v>0</v>
      </c>
      <c r="E19" s="18">
        <f t="shared" si="8"/>
        <v>47188</v>
      </c>
      <c r="F19" s="19" t="str">
        <f t="shared" si="9"/>
        <v/>
      </c>
      <c r="G19" s="20">
        <v>56955.241000000002</v>
      </c>
      <c r="H19" s="20">
        <f t="shared" si="10"/>
        <v>-9767.2410000000018</v>
      </c>
      <c r="I19" s="19">
        <f t="shared" si="11"/>
        <v>-0.17148976685042913</v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>
        <v>45422</v>
      </c>
      <c r="D20" s="13">
        <v>0</v>
      </c>
      <c r="E20" s="13">
        <f t="shared" si="8"/>
        <v>45422</v>
      </c>
      <c r="F20" s="14" t="str">
        <f t="shared" si="9"/>
        <v/>
      </c>
      <c r="G20" s="15">
        <v>46027.839999999997</v>
      </c>
      <c r="H20" s="15">
        <f t="shared" si="10"/>
        <v>-605.83999999999651</v>
      </c>
      <c r="I20" s="16">
        <f t="shared" si="11"/>
        <v>-1.3162468627682649E-2</v>
      </c>
      <c r="J20" s="41"/>
      <c r="K20" s="41"/>
    </row>
    <row r="21" spans="1:11" ht="15.6">
      <c r="A21" s="30" t="str">
        <v>Kohls - Middletown</v>
      </c>
      <c r="B21" s="31" t="str">
        <v>NJ</v>
      </c>
      <c r="C21" s="11">
        <v>69153</v>
      </c>
      <c r="D21" s="18">
        <v>0</v>
      </c>
      <c r="E21" s="18">
        <f t="shared" si="8"/>
        <v>69153</v>
      </c>
      <c r="F21" s="19" t="str">
        <f t="shared" si="9"/>
        <v/>
      </c>
      <c r="G21" s="20">
        <v>66245.31</v>
      </c>
      <c r="H21" s="20">
        <f t="shared" si="10"/>
        <v>2907.6900000000023</v>
      </c>
      <c r="I21" s="19">
        <f t="shared" si="11"/>
        <v>4.3892767654042264E-2</v>
      </c>
      <c r="J21" s="42"/>
      <c r="K21" s="43"/>
    </row>
    <row r="22" spans="1:11" ht="28.9">
      <c r="A22" s="28" t="str">
        <v>Kohls - North Amherst</v>
      </c>
      <c r="B22" s="29" t="str">
        <v>NY</v>
      </c>
      <c r="C22" s="24">
        <v>9529</v>
      </c>
      <c r="D22" s="13">
        <v>0</v>
      </c>
      <c r="E22" s="13">
        <f t="shared" si="8"/>
        <v>9529</v>
      </c>
      <c r="F22" s="14" t="str">
        <f t="shared" si="9"/>
        <v/>
      </c>
      <c r="G22" s="15">
        <v>40642.370000000003</v>
      </c>
      <c r="H22" s="15">
        <f t="shared" si="10"/>
        <v>-31113.370000000003</v>
      </c>
      <c r="I22" s="16">
        <f t="shared" si="11"/>
        <v>-0.76554024777590479</v>
      </c>
      <c r="J22" s="41" t="s">
        <v>104</v>
      </c>
      <c r="K22" s="41" t="s">
        <v>105</v>
      </c>
    </row>
    <row r="23" spans="1:11" ht="15.6">
      <c r="A23" s="30" t="str">
        <v>Kohls - Staten Island</v>
      </c>
      <c r="B23" s="31" t="str">
        <v>NY</v>
      </c>
      <c r="C23" s="11">
        <v>16302</v>
      </c>
      <c r="D23" s="18">
        <v>0</v>
      </c>
      <c r="E23" s="18">
        <f t="shared" si="8"/>
        <v>16302</v>
      </c>
      <c r="F23" s="19" t="str">
        <f t="shared" si="9"/>
        <v/>
      </c>
      <c r="G23" s="20">
        <v>38451.050000000003</v>
      </c>
      <c r="H23" s="20">
        <f t="shared" si="10"/>
        <v>-22149.050000000003</v>
      </c>
      <c r="I23" s="19">
        <f t="shared" si="11"/>
        <v>-0.57603238403112533</v>
      </c>
      <c r="J23" s="42" t="s">
        <v>106</v>
      </c>
      <c r="K23" s="43" t="s">
        <v>107</v>
      </c>
    </row>
    <row r="24" spans="1:11" ht="15.6">
      <c r="A24" s="28" t="str">
        <v>Kohls - Warminster</v>
      </c>
      <c r="B24" s="29" t="str">
        <v>PA</v>
      </c>
      <c r="C24" s="24">
        <v>46528</v>
      </c>
      <c r="D24" s="13">
        <v>0</v>
      </c>
      <c r="E24" s="13">
        <f t="shared" si="8"/>
        <v>46528</v>
      </c>
      <c r="F24" s="14" t="str">
        <f t="shared" si="9"/>
        <v/>
      </c>
      <c r="G24" s="15">
        <v>46945.13</v>
      </c>
      <c r="H24" s="15">
        <f t="shared" si="10"/>
        <v>-417.12999999999738</v>
      </c>
      <c r="I24" s="16">
        <f t="shared" si="11"/>
        <v>-8.8854797079057496E-3</v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>
        <v>37940</v>
      </c>
      <c r="D25" s="18">
        <v>0</v>
      </c>
      <c r="E25" s="18">
        <f t="shared" si="8"/>
        <v>37940</v>
      </c>
      <c r="F25" s="19" t="str">
        <f t="shared" si="9"/>
        <v/>
      </c>
      <c r="G25" s="20">
        <v>38854.629999999997</v>
      </c>
      <c r="H25" s="20">
        <f t="shared" si="10"/>
        <v>-914.62999999999738</v>
      </c>
      <c r="I25" s="19">
        <f t="shared" si="11"/>
        <v>-2.3539794356554095E-2</v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>
        <v>47225</v>
      </c>
      <c r="D26" s="13">
        <v>0</v>
      </c>
      <c r="E26" s="13">
        <f t="shared" si="8"/>
        <v>47225</v>
      </c>
      <c r="F26" s="14" t="str">
        <f t="shared" si="9"/>
        <v/>
      </c>
      <c r="G26" s="15">
        <v>38126</v>
      </c>
      <c r="H26" s="15">
        <f t="shared" si="10"/>
        <v>9099</v>
      </c>
      <c r="I26" s="16">
        <f t="shared" si="11"/>
        <v>0.23865603525153439</v>
      </c>
      <c r="J26" s="41"/>
      <c r="K26" s="41"/>
    </row>
    <row r="27" spans="1:11" ht="15.6">
      <c r="A27" s="30" t="str">
        <v>CSU - Bakersfield</v>
      </c>
      <c r="B27" s="31" t="str">
        <v>CA</v>
      </c>
      <c r="C27" s="11">
        <v>12502</v>
      </c>
      <c r="D27" s="18">
        <v>0</v>
      </c>
      <c r="E27" s="18">
        <f t="shared" si="8"/>
        <v>12502</v>
      </c>
      <c r="F27" s="19" t="str">
        <f t="shared" si="9"/>
        <v/>
      </c>
      <c r="G27" s="20">
        <v>175723.62</v>
      </c>
      <c r="H27" s="20">
        <f t="shared" si="10"/>
        <v>-163221.62</v>
      </c>
      <c r="I27" s="19">
        <f t="shared" si="11"/>
        <v>-0.92885418590853064</v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>
        <v>5479</v>
      </c>
      <c r="D28" s="13">
        <v>0</v>
      </c>
      <c r="E28" s="13">
        <f t="shared" si="8"/>
        <v>5479</v>
      </c>
      <c r="F28" s="14" t="str">
        <f t="shared" si="9"/>
        <v/>
      </c>
      <c r="G28" s="15">
        <v>16661.509999999998</v>
      </c>
      <c r="H28" s="15">
        <f t="shared" si="10"/>
        <v>-11182.509999999998</v>
      </c>
      <c r="I28" s="16">
        <f t="shared" si="11"/>
        <v>-0.6711582563645192</v>
      </c>
      <c r="J28" s="41"/>
      <c r="K28" s="41"/>
    </row>
    <row r="29" spans="1:11" ht="43.15">
      <c r="A29" s="30" t="str">
        <v>Greenfield USD - Granite Point ES</v>
      </c>
      <c r="B29" s="31" t="str">
        <v>CA</v>
      </c>
      <c r="C29" s="11">
        <v>25332</v>
      </c>
      <c r="D29" s="18">
        <v>0</v>
      </c>
      <c r="E29" s="18">
        <f t="shared" si="8"/>
        <v>25332</v>
      </c>
      <c r="F29" s="19" t="str">
        <f t="shared" si="9"/>
        <v/>
      </c>
      <c r="G29" s="20">
        <v>44010.44</v>
      </c>
      <c r="H29" s="20">
        <f t="shared" si="10"/>
        <v>-18678.440000000002</v>
      </c>
      <c r="I29" s="19">
        <f t="shared" si="11"/>
        <v>-0.42440929924808751</v>
      </c>
      <c r="J29" s="42" t="s">
        <v>108</v>
      </c>
      <c r="K29" s="42" t="s">
        <v>109</v>
      </c>
    </row>
    <row r="30" spans="1:11" ht="43.15">
      <c r="A30" s="28" t="str">
        <v>Greenfield USD - Greenfield MS</v>
      </c>
      <c r="B30" s="29" t="str">
        <v>CA</v>
      </c>
      <c r="C30" s="24">
        <v>15624</v>
      </c>
      <c r="D30" s="13">
        <v>0</v>
      </c>
      <c r="E30" s="13">
        <f t="shared" si="8"/>
        <v>15624</v>
      </c>
      <c r="F30" s="14" t="str">
        <f t="shared" si="9"/>
        <v/>
      </c>
      <c r="G30" s="15">
        <v>29990.71</v>
      </c>
      <c r="H30" s="15">
        <f t="shared" si="10"/>
        <v>-14366.71</v>
      </c>
      <c r="I30" s="16">
        <f t="shared" si="11"/>
        <v>-0.47903867564322417</v>
      </c>
      <c r="J30" s="41" t="s">
        <v>110</v>
      </c>
      <c r="K30" s="41" t="s">
        <v>111</v>
      </c>
    </row>
    <row r="31" spans="1:11" ht="43.15">
      <c r="A31" s="30" t="str">
        <v>Greenfield USD - Horizon ES</v>
      </c>
      <c r="B31" s="31" t="str">
        <v>CA</v>
      </c>
      <c r="C31" s="11">
        <v>24256</v>
      </c>
      <c r="D31" s="18">
        <v>0</v>
      </c>
      <c r="E31" s="18">
        <f t="shared" si="8"/>
        <v>24256</v>
      </c>
      <c r="F31" s="19" t="str">
        <f t="shared" si="9"/>
        <v/>
      </c>
      <c r="G31" s="20">
        <v>45661.78</v>
      </c>
      <c r="H31" s="20">
        <f t="shared" si="10"/>
        <v>-21405.78</v>
      </c>
      <c r="I31" s="19">
        <f t="shared" si="11"/>
        <v>-0.46878987196732147</v>
      </c>
      <c r="J31" s="42" t="s">
        <v>112</v>
      </c>
      <c r="K31" s="55" t="s">
        <v>113</v>
      </c>
    </row>
    <row r="32" spans="1:11" ht="15.6">
      <c r="A32" s="28" t="str">
        <v>Greenfield USD - McKee MS</v>
      </c>
      <c r="B32" s="29" t="str">
        <v>CA</v>
      </c>
      <c r="C32" s="24">
        <v>17189</v>
      </c>
      <c r="D32" s="13">
        <v>0</v>
      </c>
      <c r="E32" s="13">
        <f t="shared" si="8"/>
        <v>17189</v>
      </c>
      <c r="F32" s="14" t="str">
        <f t="shared" si="9"/>
        <v/>
      </c>
      <c r="G32" s="15">
        <v>27880.25</v>
      </c>
      <c r="H32" s="15">
        <f t="shared" si="10"/>
        <v>-10691.25</v>
      </c>
      <c r="I32" s="16">
        <f t="shared" si="11"/>
        <v>-0.38347037777638293</v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>
        <v>9374</v>
      </c>
      <c r="D33" s="18">
        <v>0</v>
      </c>
      <c r="E33" s="18">
        <f t="shared" si="8"/>
        <v>9374</v>
      </c>
      <c r="F33" s="19" t="str">
        <f t="shared" si="9"/>
        <v/>
      </c>
      <c r="G33" s="20">
        <v>19929.009999999998</v>
      </c>
      <c r="H33" s="20">
        <f t="shared" si="10"/>
        <v>-10555.009999999998</v>
      </c>
      <c r="I33" s="19">
        <f t="shared" si="11"/>
        <v>-0.52963042318710263</v>
      </c>
      <c r="J33" s="42" t="s">
        <v>114</v>
      </c>
      <c r="K33" s="43" t="s">
        <v>115</v>
      </c>
    </row>
    <row r="34" spans="1:11" ht="15.6">
      <c r="A34" s="28" t="str">
        <v>Greenfield USD - Planz ES</v>
      </c>
      <c r="B34" s="29" t="str">
        <v>CA</v>
      </c>
      <c r="C34" s="24">
        <v>6294</v>
      </c>
      <c r="D34" s="13">
        <v>0</v>
      </c>
      <c r="E34" s="13">
        <f t="shared" si="8"/>
        <v>6294</v>
      </c>
      <c r="F34" s="14" t="str">
        <f t="shared" si="9"/>
        <v/>
      </c>
      <c r="G34" s="15">
        <v>22548.57</v>
      </c>
      <c r="H34" s="15">
        <f t="shared" si="10"/>
        <v>-16254.57</v>
      </c>
      <c r="I34" s="16">
        <f t="shared" si="11"/>
        <v>-0.72086921698360473</v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>
        <v>34936</v>
      </c>
      <c r="D35" s="18">
        <v>0</v>
      </c>
      <c r="E35" s="18">
        <f t="shared" si="8"/>
        <v>34936</v>
      </c>
      <c r="F35" s="19" t="str">
        <f t="shared" si="9"/>
        <v/>
      </c>
      <c r="G35" s="20">
        <v>49336.57</v>
      </c>
      <c r="H35" s="20">
        <f t="shared" si="10"/>
        <v>-14400.57</v>
      </c>
      <c r="I35" s="19">
        <f t="shared" si="11"/>
        <v>-0.29188429596950094</v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>
        <v>38421</v>
      </c>
      <c r="D36" s="13">
        <v>0</v>
      </c>
      <c r="E36" s="13">
        <f t="shared" si="8"/>
        <v>38421</v>
      </c>
      <c r="F36" s="14" t="str">
        <f t="shared" si="9"/>
        <v/>
      </c>
      <c r="G36" s="15">
        <v>45985.760000000002</v>
      </c>
      <c r="H36" s="15">
        <f t="shared" si="10"/>
        <v>-7564.760000000002</v>
      </c>
      <c r="I36" s="16">
        <f t="shared" si="11"/>
        <v>-0.16450222851595803</v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8"/>
        <v>0</v>
      </c>
      <c r="F37" s="19" t="str">
        <f t="shared" si="9"/>
        <v/>
      </c>
      <c r="G37" s="20">
        <v>17725.990000000002</v>
      </c>
      <c r="H37" s="20">
        <f t="shared" si="10"/>
        <v>-17725.990000000002</v>
      </c>
      <c r="I37" s="19">
        <f t="shared" si="11"/>
        <v>-1</v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4" t="str">
        <f t="shared" si="9"/>
        <v/>
      </c>
      <c r="G38" s="15">
        <v>38193</v>
      </c>
      <c r="H38" s="15">
        <f t="shared" si="10"/>
        <v>-38193</v>
      </c>
      <c r="I38" s="16">
        <f t="shared" si="11"/>
        <v>-1</v>
      </c>
      <c r="J38" s="41" t="s">
        <v>116</v>
      </c>
      <c r="K38" s="41" t="s">
        <v>117</v>
      </c>
    </row>
    <row r="39" spans="1:11" ht="15.6">
      <c r="A39" s="30" t="str">
        <v>Muroc Joint USD - W. Boron ES</v>
      </c>
      <c r="B39" s="31" t="str">
        <v>CA</v>
      </c>
      <c r="C39" s="11">
        <v>7600</v>
      </c>
      <c r="D39" s="18">
        <v>0</v>
      </c>
      <c r="E39" s="18">
        <f t="shared" si="8"/>
        <v>7600</v>
      </c>
      <c r="F39" s="19" t="str">
        <f t="shared" si="9"/>
        <v/>
      </c>
      <c r="G39" s="20">
        <v>14088.83</v>
      </c>
      <c r="H39" s="20">
        <f t="shared" si="10"/>
        <v>-6488.83</v>
      </c>
      <c r="I39" s="19">
        <f t="shared" si="11"/>
        <v>-0.46056556861002651</v>
      </c>
      <c r="J39" s="42" t="s">
        <v>118</v>
      </c>
      <c r="K39" s="43" t="s">
        <v>119</v>
      </c>
    </row>
    <row r="40" spans="1:11" ht="15.6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8"/>
        <v>0</v>
      </c>
      <c r="F40" s="14" t="str">
        <f t="shared" si="9"/>
        <v/>
      </c>
      <c r="G40" s="15">
        <v>57962.212</v>
      </c>
      <c r="H40" s="15">
        <f t="shared" si="10"/>
        <v>-57962.212</v>
      </c>
      <c r="I40" s="16">
        <f t="shared" si="11"/>
        <v>-1</v>
      </c>
      <c r="J40" s="41" t="s">
        <v>120</v>
      </c>
      <c r="K40" s="41" t="s">
        <v>121</v>
      </c>
    </row>
    <row r="41" spans="1:11" ht="15.6">
      <c r="A41" s="30" t="str">
        <v>CDCR-North Kern State Prision</v>
      </c>
      <c r="B41" s="31" t="str">
        <v>CA</v>
      </c>
      <c r="C41" s="11">
        <v>99430</v>
      </c>
      <c r="D41" s="18">
        <v>0</v>
      </c>
      <c r="E41" s="18">
        <f t="shared" si="8"/>
        <v>99430</v>
      </c>
      <c r="F41" s="19" t="str">
        <f t="shared" si="9"/>
        <v/>
      </c>
      <c r="G41" s="20">
        <v>250932.45</v>
      </c>
      <c r="H41" s="20">
        <f t="shared" si="10"/>
        <v>-151502.45000000001</v>
      </c>
      <c r="I41" s="19">
        <f t="shared" si="11"/>
        <v>-0.60375790377051675</v>
      </c>
      <c r="J41" s="42" t="s">
        <v>122</v>
      </c>
      <c r="K41" s="43" t="s">
        <v>123</v>
      </c>
    </row>
    <row r="42" spans="1:11" ht="15.6">
      <c r="A42" s="28" t="str">
        <v>Muroc Joint USD - District Office</v>
      </c>
      <c r="B42" s="29" t="str">
        <v>CA</v>
      </c>
      <c r="C42" s="24">
        <v>3768</v>
      </c>
      <c r="D42" s="13">
        <v>0</v>
      </c>
      <c r="E42" s="13">
        <f t="shared" si="8"/>
        <v>3768</v>
      </c>
      <c r="F42" s="14" t="str">
        <f t="shared" si="9"/>
        <v/>
      </c>
      <c r="G42" s="15">
        <v>9935.02</v>
      </c>
      <c r="H42" s="15">
        <f t="shared" si="10"/>
        <v>-6167.02</v>
      </c>
      <c r="I42" s="16">
        <f t="shared" si="11"/>
        <v>-0.62073553953590432</v>
      </c>
      <c r="J42" s="41" t="s">
        <v>124</v>
      </c>
      <c r="K42" s="41" t="s">
        <v>125</v>
      </c>
    </row>
    <row r="43" spans="1:11" ht="15.6">
      <c r="A43" s="30" t="str">
        <v>Whole Foods - Manhattan Beach</v>
      </c>
      <c r="B43" s="31" t="str">
        <v>CA</v>
      </c>
      <c r="C43" s="11">
        <v>20073</v>
      </c>
      <c r="D43" s="18">
        <v>0</v>
      </c>
      <c r="E43" s="18">
        <f t="shared" si="8"/>
        <v>20073</v>
      </c>
      <c r="F43" s="19" t="str">
        <f t="shared" si="9"/>
        <v/>
      </c>
      <c r="G43" s="20">
        <v>21967.919999999998</v>
      </c>
      <c r="H43" s="20">
        <f t="shared" si="10"/>
        <v>-1894.9199999999983</v>
      </c>
      <c r="I43" s="19">
        <f t="shared" si="11"/>
        <v>-8.6258507860552947E-2</v>
      </c>
      <c r="J43" s="42" t="s">
        <v>126</v>
      </c>
      <c r="K43" s="43" t="s">
        <v>127</v>
      </c>
    </row>
    <row r="44" spans="1:11" ht="15.6">
      <c r="A44" s="28" t="str">
        <v>Pioneer USD - Frontier ES</v>
      </c>
      <c r="B44" s="29" t="str">
        <v>CA</v>
      </c>
      <c r="C44" s="24">
        <v>32052</v>
      </c>
      <c r="D44" s="13">
        <v>0</v>
      </c>
      <c r="E44" s="13">
        <f t="shared" si="8"/>
        <v>32052</v>
      </c>
      <c r="F44" s="14" t="str">
        <f t="shared" si="9"/>
        <v/>
      </c>
      <c r="G44" s="15">
        <v>39025.040000000001</v>
      </c>
      <c r="H44" s="15">
        <f t="shared" si="10"/>
        <v>-6973.0400000000009</v>
      </c>
      <c r="I44" s="16">
        <f t="shared" si="11"/>
        <v>-0.17868117495843697</v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>
        <v>18816</v>
      </c>
      <c r="D45" s="18">
        <v>0</v>
      </c>
      <c r="E45" s="18">
        <f t="shared" si="8"/>
        <v>18816</v>
      </c>
      <c r="F45" s="19" t="str">
        <f t="shared" si="9"/>
        <v/>
      </c>
      <c r="G45" s="20">
        <v>39672.160000000003</v>
      </c>
      <c r="H45" s="20">
        <f t="shared" si="10"/>
        <v>-20856.160000000003</v>
      </c>
      <c r="I45" s="19">
        <f t="shared" si="11"/>
        <v>-0.52571274163040282</v>
      </c>
      <c r="J45" s="42" t="s">
        <v>128</v>
      </c>
      <c r="K45" s="43" t="s">
        <v>129</v>
      </c>
    </row>
    <row r="46" spans="1:11" ht="43.15">
      <c r="A46" s="28" t="str">
        <v>Pioneer USD - Pioneer MS</v>
      </c>
      <c r="B46" s="29" t="str">
        <v>CA</v>
      </c>
      <c r="C46" s="24">
        <v>40716</v>
      </c>
      <c r="D46" s="13">
        <v>0</v>
      </c>
      <c r="E46" s="13">
        <f t="shared" si="8"/>
        <v>40716</v>
      </c>
      <c r="F46" s="14" t="str">
        <f t="shared" si="9"/>
        <v/>
      </c>
      <c r="G46" s="15">
        <v>53195.61</v>
      </c>
      <c r="H46" s="15">
        <f t="shared" si="10"/>
        <v>-12479.61</v>
      </c>
      <c r="I46" s="16">
        <f t="shared" si="11"/>
        <v>-0.23459849412385722</v>
      </c>
      <c r="J46" s="41" t="s">
        <v>130</v>
      </c>
      <c r="K46" s="41" t="s">
        <v>131</v>
      </c>
    </row>
    <row r="47" spans="1:11" ht="28.9">
      <c r="A47" s="30" t="str">
        <v>Kingsburg Joint UHSD - Kingsburg HS</v>
      </c>
      <c r="B47" s="31" t="str">
        <v>CA</v>
      </c>
      <c r="C47" s="11">
        <v>61245</v>
      </c>
      <c r="D47" s="18">
        <v>0</v>
      </c>
      <c r="E47" s="18">
        <f t="shared" si="8"/>
        <v>61245</v>
      </c>
      <c r="F47" s="19" t="str">
        <f t="shared" si="9"/>
        <v/>
      </c>
      <c r="G47" s="20">
        <v>91972.44</v>
      </c>
      <c r="H47" s="20">
        <f t="shared" si="10"/>
        <v>-30727.440000000002</v>
      </c>
      <c r="I47" s="19">
        <f t="shared" si="11"/>
        <v>-0.33409399598401435</v>
      </c>
      <c r="J47" s="42" t="s">
        <v>132</v>
      </c>
      <c r="K47" s="43" t="s">
        <v>133</v>
      </c>
    </row>
    <row r="48" spans="1:11" ht="15.6">
      <c r="A48" s="28" t="str">
        <v>CADRB</v>
      </c>
      <c r="B48" s="29" t="str">
        <v>CA</v>
      </c>
      <c r="C48" s="24">
        <v>649009</v>
      </c>
      <c r="D48" s="13">
        <v>0</v>
      </c>
      <c r="E48" s="13">
        <f t="shared" si="8"/>
        <v>649009</v>
      </c>
      <c r="F48" s="14" t="str">
        <f t="shared" si="9"/>
        <v/>
      </c>
      <c r="G48" s="15">
        <v>838748</v>
      </c>
      <c r="H48" s="15">
        <f t="shared" si="10"/>
        <v>-189739</v>
      </c>
      <c r="I48" s="16">
        <f t="shared" si="11"/>
        <v>-0.22621693285706793</v>
      </c>
      <c r="J48" s="41" t="s">
        <v>134</v>
      </c>
      <c r="K48" s="41" t="s">
        <v>135</v>
      </c>
    </row>
    <row r="49" spans="1:12" ht="15.6">
      <c r="A49" s="30" t="str">
        <v>CDCR-CA State Prison LA County</v>
      </c>
      <c r="B49" s="31" t="str">
        <v>CA</v>
      </c>
      <c r="C49" s="11">
        <v>304987</v>
      </c>
      <c r="D49" s="18">
        <v>0</v>
      </c>
      <c r="E49" s="18">
        <f t="shared" si="8"/>
        <v>304987</v>
      </c>
      <c r="F49" s="19" t="str">
        <f t="shared" si="9"/>
        <v/>
      </c>
      <c r="G49" s="20">
        <v>530579</v>
      </c>
      <c r="H49" s="20">
        <f t="shared" si="10"/>
        <v>-225592</v>
      </c>
      <c r="I49" s="19">
        <f t="shared" si="11"/>
        <v>-0.42518079305814971</v>
      </c>
      <c r="J49" s="42" t="s">
        <v>136</v>
      </c>
      <c r="K49" s="43" t="s">
        <v>137</v>
      </c>
    </row>
    <row r="50" spans="1:12" ht="15.6">
      <c r="A50" s="28" t="str">
        <v>Central USD Akers ES</v>
      </c>
      <c r="B50" s="29" t="str">
        <v>CA</v>
      </c>
      <c r="C50" s="24">
        <v>30828</v>
      </c>
      <c r="D50" s="13">
        <v>0</v>
      </c>
      <c r="E50" s="13">
        <f t="shared" si="8"/>
        <v>30828</v>
      </c>
      <c r="F50" s="14" t="str">
        <f t="shared" si="9"/>
        <v/>
      </c>
      <c r="G50" s="15">
        <v>40023</v>
      </c>
      <c r="H50" s="15">
        <f t="shared" si="10"/>
        <v>-9195</v>
      </c>
      <c r="I50" s="16">
        <f t="shared" si="11"/>
        <v>-0.2297428978337456</v>
      </c>
      <c r="J50" s="41" t="s">
        <v>138</v>
      </c>
      <c r="K50" s="41" t="s">
        <v>139</v>
      </c>
    </row>
    <row r="51" spans="1:12" ht="15.6">
      <c r="A51" s="30" t="str">
        <v>CUSD - District Office</v>
      </c>
      <c r="B51" s="31" t="str">
        <v>CA</v>
      </c>
      <c r="C51" s="11">
        <v>25512</v>
      </c>
      <c r="D51" s="18">
        <v>0</v>
      </c>
      <c r="E51" s="18">
        <f t="shared" si="8"/>
        <v>25512</v>
      </c>
      <c r="F51" s="19" t="str">
        <f t="shared" si="9"/>
        <v/>
      </c>
      <c r="G51" s="20">
        <v>33540.14</v>
      </c>
      <c r="H51" s="20">
        <f t="shared" si="10"/>
        <v>-8028.1399999999994</v>
      </c>
      <c r="I51" s="19">
        <f t="shared" si="11"/>
        <v>-0.23935916785081993</v>
      </c>
      <c r="J51" s="42" t="s">
        <v>140</v>
      </c>
      <c r="K51" s="43" t="s">
        <v>141</v>
      </c>
    </row>
    <row r="52" spans="1:12" ht="15.6">
      <c r="A52" s="28" t="str">
        <v>Parlier - WTP</v>
      </c>
      <c r="B52" s="29" t="str">
        <v>CA</v>
      </c>
      <c r="C52" s="24">
        <v>43735</v>
      </c>
      <c r="D52" s="13">
        <v>0</v>
      </c>
      <c r="E52" s="13">
        <f t="shared" si="8"/>
        <v>43735</v>
      </c>
      <c r="F52" s="14" t="str">
        <f t="shared" si="9"/>
        <v/>
      </c>
      <c r="G52" s="15">
        <v>105214</v>
      </c>
      <c r="H52" s="15">
        <f t="shared" si="10"/>
        <v>-61479</v>
      </c>
      <c r="I52" s="16">
        <f t="shared" si="11"/>
        <v>-0.58432337901800135</v>
      </c>
      <c r="J52" s="41"/>
      <c r="K52" s="41"/>
      <c r="L52" t="s">
        <v>142</v>
      </c>
    </row>
    <row r="53" spans="1:12" ht="15.6">
      <c r="A53" s="30" t="str">
        <v>Snowline SD - Quail Valley MS</v>
      </c>
      <c r="B53" s="31" t="str">
        <v>CA</v>
      </c>
      <c r="C53" s="11">
        <v>46328</v>
      </c>
      <c r="D53" s="18">
        <v>0</v>
      </c>
      <c r="E53" s="18">
        <f t="shared" si="8"/>
        <v>46328</v>
      </c>
      <c r="F53" s="19" t="str">
        <f t="shared" si="9"/>
        <v/>
      </c>
      <c r="G53" s="20">
        <v>46059.09</v>
      </c>
      <c r="H53" s="20">
        <f t="shared" si="10"/>
        <v>268.91000000000349</v>
      </c>
      <c r="I53" s="19">
        <f t="shared" si="11"/>
        <v>5.8383697984481136E-3</v>
      </c>
      <c r="J53" s="42"/>
      <c r="K53" s="43"/>
    </row>
    <row r="54" spans="1:12" ht="15.6">
      <c r="A54" s="28" t="str">
        <v>Snowline SD - Serrano HS - Middle Lot</v>
      </c>
      <c r="B54" s="29" t="str">
        <v>CA</v>
      </c>
      <c r="C54" s="24">
        <v>39558</v>
      </c>
      <c r="D54" s="13">
        <v>0</v>
      </c>
      <c r="E54" s="13">
        <f t="shared" si="8"/>
        <v>39558</v>
      </c>
      <c r="F54" s="14" t="str">
        <f t="shared" si="9"/>
        <v/>
      </c>
      <c r="G54" s="15">
        <v>55638</v>
      </c>
      <c r="H54" s="15">
        <f t="shared" si="10"/>
        <v>-16080</v>
      </c>
      <c r="I54" s="16">
        <f t="shared" si="11"/>
        <v>-0.2890111075164456</v>
      </c>
      <c r="J54" s="41"/>
      <c r="K54" s="41"/>
    </row>
    <row r="55" spans="1:12" ht="15.6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8"/>
        <v>0</v>
      </c>
      <c r="F55" s="19" t="str">
        <f t="shared" si="9"/>
        <v/>
      </c>
      <c r="G55" s="20">
        <v>25006.66</v>
      </c>
      <c r="H55" s="20">
        <f t="shared" si="10"/>
        <v>-25006.66</v>
      </c>
      <c r="I55" s="19">
        <f t="shared" si="11"/>
        <v>-1</v>
      </c>
      <c r="J55" t="s">
        <v>143</v>
      </c>
      <c r="K55" s="43" t="s">
        <v>144</v>
      </c>
    </row>
    <row r="56" spans="1:12" ht="15.6">
      <c r="A56" s="28" t="str">
        <v>Ramona - Santa Maria WTP</v>
      </c>
      <c r="B56" s="29" t="str">
        <v>CA</v>
      </c>
      <c r="C56" s="24">
        <v>75841</v>
      </c>
      <c r="D56" s="13">
        <v>0</v>
      </c>
      <c r="E56" s="13">
        <f t="shared" si="8"/>
        <v>75841</v>
      </c>
      <c r="F56" s="14" t="str">
        <f t="shared" si="9"/>
        <v/>
      </c>
      <c r="G56" s="15">
        <v>85658.65</v>
      </c>
      <c r="H56" s="15">
        <f t="shared" si="10"/>
        <v>-9817.6499999999942</v>
      </c>
      <c r="I56" s="16">
        <f t="shared" si="11"/>
        <v>-0.114613643805967</v>
      </c>
      <c r="J56" s="41"/>
      <c r="K56" s="41"/>
    </row>
    <row r="57" spans="1:12" ht="15.6">
      <c r="A57" s="30" t="str">
        <v>Kohls - Redding</v>
      </c>
      <c r="B57" s="31" t="str">
        <v>CA</v>
      </c>
      <c r="C57" s="11">
        <v>3328</v>
      </c>
      <c r="D57" s="18">
        <v>0</v>
      </c>
      <c r="E57" s="18">
        <f t="shared" si="8"/>
        <v>3328</v>
      </c>
      <c r="F57" s="19" t="str">
        <f t="shared" si="9"/>
        <v/>
      </c>
      <c r="G57" s="20">
        <v>34726.47</v>
      </c>
      <c r="H57" s="20">
        <f t="shared" si="10"/>
        <v>-31398.47</v>
      </c>
      <c r="I57" s="19">
        <f t="shared" si="11"/>
        <v>-0.90416532403091932</v>
      </c>
      <c r="J57" s="42" t="s">
        <v>145</v>
      </c>
      <c r="K57" s="43" t="s">
        <v>146</v>
      </c>
      <c r="L57" t="s">
        <v>142</v>
      </c>
    </row>
    <row r="58" spans="1:12" ht="15.6">
      <c r="A58" s="28" t="str">
        <v>Kohls - Salinas</v>
      </c>
      <c r="B58" s="29" t="str">
        <v>CA</v>
      </c>
      <c r="C58" s="24">
        <v>40543</v>
      </c>
      <c r="D58" s="13">
        <v>0</v>
      </c>
      <c r="E58" s="13">
        <f t="shared" si="8"/>
        <v>40543</v>
      </c>
      <c r="F58" s="14" t="str">
        <f t="shared" si="9"/>
        <v/>
      </c>
      <c r="G58" s="15">
        <v>50234.44</v>
      </c>
      <c r="H58" s="15">
        <f t="shared" si="10"/>
        <v>-9691.4400000000023</v>
      </c>
      <c r="I58" s="16">
        <f t="shared" si="11"/>
        <v>-0.1929242169316509</v>
      </c>
      <c r="J58" s="41" t="s">
        <v>147</v>
      </c>
      <c r="K58" s="41" t="s">
        <v>148</v>
      </c>
    </row>
    <row r="59" spans="1:12" ht="15.6">
      <c r="A59" s="30" t="str">
        <v>Kohls - San Bernardino - Central</v>
      </c>
      <c r="B59" s="31" t="str">
        <v>CA</v>
      </c>
      <c r="C59" s="11">
        <v>133441</v>
      </c>
      <c r="D59" s="18">
        <v>0</v>
      </c>
      <c r="E59" s="18">
        <f t="shared" si="8"/>
        <v>133441</v>
      </c>
      <c r="F59" s="19" t="str">
        <f t="shared" si="9"/>
        <v/>
      </c>
      <c r="G59" s="20">
        <v>160429.9</v>
      </c>
      <c r="H59" s="20">
        <f t="shared" si="10"/>
        <v>-26988.899999999994</v>
      </c>
      <c r="I59" s="19">
        <f t="shared" si="11"/>
        <v>-0.1682286157380887</v>
      </c>
      <c r="J59" s="42"/>
      <c r="K59" s="43"/>
    </row>
    <row r="60" spans="1:12" ht="15.6">
      <c r="A60" s="28" t="str">
        <v>Kohls - Sonora</v>
      </c>
      <c r="B60" s="29" t="str">
        <v>CA</v>
      </c>
      <c r="C60" s="24">
        <v>32035</v>
      </c>
      <c r="D60" s="13">
        <v>0</v>
      </c>
      <c r="E60" s="13">
        <f t="shared" si="8"/>
        <v>32035</v>
      </c>
      <c r="F60" s="14" t="str">
        <f t="shared" si="9"/>
        <v/>
      </c>
      <c r="G60" s="15">
        <v>35172.44</v>
      </c>
      <c r="H60" s="15">
        <f t="shared" si="10"/>
        <v>-3137.4400000000023</v>
      </c>
      <c r="I60" s="16">
        <f t="shared" si="11"/>
        <v>-8.9201659026214908E-2</v>
      </c>
      <c r="J60" s="41" t="s">
        <v>149</v>
      </c>
      <c r="K60" s="41"/>
    </row>
    <row r="61" spans="1:12" ht="15.6">
      <c r="A61" s="30" t="str">
        <v>CUSD - Stratford ES</v>
      </c>
      <c r="B61" s="31" t="str">
        <v>CA</v>
      </c>
      <c r="C61" s="11">
        <v>24519</v>
      </c>
      <c r="D61" s="18">
        <v>0</v>
      </c>
      <c r="E61" s="18">
        <f t="shared" si="8"/>
        <v>24519</v>
      </c>
      <c r="F61" s="19" t="str">
        <f t="shared" si="9"/>
        <v/>
      </c>
      <c r="G61" s="20">
        <v>24455.16</v>
      </c>
      <c r="H61" s="20">
        <f t="shared" si="10"/>
        <v>63.840000000000146</v>
      </c>
      <c r="I61" s="19">
        <f t="shared" si="11"/>
        <v>2.6104920188622827E-3</v>
      </c>
      <c r="J61" s="42"/>
      <c r="K61" s="43"/>
    </row>
    <row r="62" spans="1:12" ht="15.6">
      <c r="A62" s="28" t="str">
        <v>Taft - City Hall</v>
      </c>
      <c r="B62" s="29" t="str">
        <v>CA</v>
      </c>
      <c r="C62" s="24">
        <v>7913</v>
      </c>
      <c r="D62" s="13">
        <v>0</v>
      </c>
      <c r="E62" s="13">
        <f t="shared" si="8"/>
        <v>7913</v>
      </c>
      <c r="F62" s="14" t="str">
        <f t="shared" si="9"/>
        <v/>
      </c>
      <c r="G62" s="15">
        <v>10929.73</v>
      </c>
      <c r="H62" s="15">
        <f t="shared" si="10"/>
        <v>-3016.7299999999996</v>
      </c>
      <c r="I62" s="16">
        <f t="shared" si="11"/>
        <v>-0.27601139277914455</v>
      </c>
      <c r="J62" s="41" t="s">
        <v>150</v>
      </c>
      <c r="K62" s="41" t="s">
        <v>151</v>
      </c>
    </row>
    <row r="63" spans="1:12" ht="43.15">
      <c r="A63" s="30" t="str">
        <v>Taft - Federal Prison</v>
      </c>
      <c r="B63" s="31" t="str">
        <v>CA</v>
      </c>
      <c r="C63" s="11">
        <v>8481</v>
      </c>
      <c r="D63" s="18">
        <v>0</v>
      </c>
      <c r="E63" s="18">
        <f t="shared" si="8"/>
        <v>8481</v>
      </c>
      <c r="F63" s="19" t="str">
        <f t="shared" si="9"/>
        <v/>
      </c>
      <c r="G63" s="20">
        <v>17202.07</v>
      </c>
      <c r="H63" s="20">
        <f t="shared" si="10"/>
        <v>-8721.07</v>
      </c>
      <c r="I63" s="19">
        <f t="shared" si="11"/>
        <v>-0.50697793928288859</v>
      </c>
      <c r="J63" s="42" t="s">
        <v>152</v>
      </c>
      <c r="K63" s="43" t="s">
        <v>153</v>
      </c>
    </row>
    <row r="64" spans="1:12" ht="15.6">
      <c r="A64" s="28" t="str">
        <v>Taft - Police Department</v>
      </c>
      <c r="B64" s="29" t="str">
        <v>CA</v>
      </c>
      <c r="C64" s="24">
        <v>13121</v>
      </c>
      <c r="D64" s="13">
        <v>0</v>
      </c>
      <c r="E64" s="13">
        <f t="shared" si="8"/>
        <v>13121</v>
      </c>
      <c r="F64" s="14" t="str">
        <f t="shared" si="9"/>
        <v/>
      </c>
      <c r="G64" s="15">
        <v>12499.65</v>
      </c>
      <c r="H64" s="15">
        <f t="shared" si="10"/>
        <v>621.35000000000036</v>
      </c>
      <c r="I64" s="16">
        <f t="shared" si="11"/>
        <v>4.9709391862972192E-2</v>
      </c>
      <c r="J64" s="41"/>
      <c r="K64" s="41"/>
    </row>
    <row r="65" spans="1:11" ht="15.6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8"/>
        <v>0</v>
      </c>
      <c r="F65" s="19" t="str">
        <f t="shared" si="9"/>
        <v/>
      </c>
      <c r="G65" s="20"/>
      <c r="H65" s="20" t="str">
        <f t="shared" si="10"/>
        <v/>
      </c>
      <c r="I65" s="19" t="str">
        <f t="shared" si="11"/>
        <v/>
      </c>
      <c r="J65" s="42" t="s">
        <v>154</v>
      </c>
      <c r="K65" s="43" t="s">
        <v>155</v>
      </c>
    </row>
    <row r="66" spans="1:11" ht="28.9">
      <c r="A66" s="28" t="str">
        <v>CDCR - CA Correctional Institution</v>
      </c>
      <c r="B66" s="29" t="str">
        <v>CA</v>
      </c>
      <c r="C66" s="24">
        <v>7488</v>
      </c>
      <c r="D66" s="13">
        <v>0</v>
      </c>
      <c r="E66" s="13">
        <f t="shared" si="8"/>
        <v>7488</v>
      </c>
      <c r="F66" s="14" t="str">
        <f t="shared" si="9"/>
        <v/>
      </c>
      <c r="G66" s="15">
        <v>26205.7</v>
      </c>
      <c r="H66" s="15">
        <f t="shared" si="10"/>
        <v>-18717.7</v>
      </c>
      <c r="I66" s="16">
        <f t="shared" si="11"/>
        <v>-0.71426063795281181</v>
      </c>
      <c r="J66" s="41" t="s">
        <v>156</v>
      </c>
      <c r="K66" s="41" t="s">
        <v>157</v>
      </c>
    </row>
    <row r="67" spans="1:11" ht="31.15">
      <c r="A67" s="30" t="str">
        <v>CDCR - CA Correctional Institution II</v>
      </c>
      <c r="B67" s="31" t="str">
        <v>CA</v>
      </c>
      <c r="C67" s="11">
        <v>81731</v>
      </c>
      <c r="D67" s="18">
        <v>0</v>
      </c>
      <c r="E67" s="18">
        <f t="shared" si="8"/>
        <v>81731</v>
      </c>
      <c r="F67" s="19" t="str">
        <f t="shared" si="9"/>
        <v/>
      </c>
      <c r="G67" s="20">
        <v>390993</v>
      </c>
      <c r="H67" s="20">
        <f t="shared" si="10"/>
        <v>-309262</v>
      </c>
      <c r="I67" s="19">
        <f t="shared" si="11"/>
        <v>-0.79096556715849131</v>
      </c>
      <c r="J67" s="42" t="s">
        <v>158</v>
      </c>
      <c r="K67" s="59" t="s">
        <v>159</v>
      </c>
    </row>
    <row r="68" spans="1:11" ht="15.6">
      <c r="A68" s="28" t="str">
        <v>Snowline SD - Vista Verde ES</v>
      </c>
      <c r="B68" s="29" t="str">
        <v>CA</v>
      </c>
      <c r="C68" s="24">
        <v>33695</v>
      </c>
      <c r="D68" s="13">
        <v>0</v>
      </c>
      <c r="E68" s="13">
        <f t="shared" si="8"/>
        <v>33695</v>
      </c>
      <c r="F68" s="14" t="str">
        <f t="shared" si="9"/>
        <v/>
      </c>
      <c r="G68" s="15">
        <v>33905.040000000001</v>
      </c>
      <c r="H68" s="15">
        <f t="shared" si="10"/>
        <v>-210.04000000000087</v>
      </c>
      <c r="I68" s="16">
        <f t="shared" si="11"/>
        <v>-6.194949187495454E-3</v>
      </c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tabSelected="1" zoomScale="90" zoomScaleNormal="90" workbookViewId="0">
      <pane xSplit="2" ySplit="3" topLeftCell="C26" activePane="bottomRight" state="frozen"/>
      <selection pane="bottomRight" activeCell="J106" sqref="J10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8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160</v>
      </c>
      <c r="E1" s="85"/>
      <c r="F1" s="85"/>
      <c r="G1" s="83" t="s">
        <v>161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2619960</v>
      </c>
      <c r="D2" s="5">
        <f>SUM(D4:D100)</f>
        <v>0</v>
      </c>
      <c r="E2" s="5">
        <f>C2-D2</f>
        <v>2619960</v>
      </c>
      <c r="F2" s="6">
        <f>IFERROR(E2/D2, 0)</f>
        <v>0</v>
      </c>
      <c r="G2" s="5">
        <f>SUM(G4:G100)</f>
        <v>4325337.137000001</v>
      </c>
      <c r="H2" s="7">
        <f>C2-G2</f>
        <v>-1705377.137000001</v>
      </c>
      <c r="I2" s="6">
        <f>IFERROR(H2/G2, 0)</f>
        <v>-0.39427611836584581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75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76" t="str" cm="1">
        <f t="array" ref="B4:B68">Sites[State]</f>
        <v>CT</v>
      </c>
      <c r="C4" s="24">
        <v>27638</v>
      </c>
      <c r="D4" s="13">
        <v>0</v>
      </c>
      <c r="E4" s="13">
        <f>IF(AND(ISNUMBER(C4),ISNUMBER(D4)), C4-D4, "")</f>
        <v>27638</v>
      </c>
      <c r="F4" s="14" t="str">
        <f>IFERROR(E4/D4, "")</f>
        <v/>
      </c>
      <c r="G4" s="15">
        <v>26362.2</v>
      </c>
      <c r="H4" s="15">
        <f>IF(AND(ISNUMBER(C4),ISNUMBER(G4)), C4-G4, "")</f>
        <v>1275.7999999999993</v>
      </c>
      <c r="I4" s="16">
        <f>IFERROR(H4/G4, "")</f>
        <v>4.8395050488957647E-2</v>
      </c>
      <c r="J4" s="41"/>
      <c r="K4" s="41"/>
    </row>
    <row r="5" spans="1:11" ht="15.6">
      <c r="A5" s="30" t="str">
        <v>Kohls - Auburn</v>
      </c>
      <c r="B5" s="77" t="str">
        <v>NY</v>
      </c>
      <c r="C5" s="11">
        <v>32620</v>
      </c>
      <c r="D5" s="18">
        <v>0</v>
      </c>
      <c r="E5" s="18">
        <f t="shared" ref="E5:E17" si="0">IF(AND(ISNUMBER(C5),ISNUMBER(D5)), C5-D5, "")</f>
        <v>32620</v>
      </c>
      <c r="F5" s="19" t="str">
        <f>IFERROR(E5/D5, "")</f>
        <v/>
      </c>
      <c r="G5" s="20">
        <v>31190.22</v>
      </c>
      <c r="H5" s="20">
        <f t="shared" ref="H5:H17" si="1">IF(AND(ISNUMBER(C5),ISNUMBER(G5)), C5-G5, "")</f>
        <v>1429.7799999999988</v>
      </c>
      <c r="I5" s="19">
        <f t="shared" ref="I5:I17" si="2">IFERROR(H5/G5, "")</f>
        <v>4.5840651332372737E-2</v>
      </c>
      <c r="J5" s="42"/>
      <c r="K5" s="42"/>
    </row>
    <row r="6" spans="1:11" ht="15.6">
      <c r="A6" s="28" t="str">
        <v>Kohls - Bensalem</v>
      </c>
      <c r="B6" s="76" t="str">
        <v>PA</v>
      </c>
      <c r="C6" s="24">
        <v>31638</v>
      </c>
      <c r="D6" s="13">
        <v>0</v>
      </c>
      <c r="E6" s="13">
        <f t="shared" si="0"/>
        <v>31638</v>
      </c>
      <c r="F6" s="14" t="str">
        <f t="shared" ref="F6:F16" si="3">IFERROR(E6/D6, "")</f>
        <v/>
      </c>
      <c r="G6" s="15">
        <v>29962.04</v>
      </c>
      <c r="H6" s="15">
        <f t="shared" si="1"/>
        <v>1675.9599999999991</v>
      </c>
      <c r="I6" s="16">
        <f t="shared" si="2"/>
        <v>5.5936111159320227E-2</v>
      </c>
      <c r="J6" s="41"/>
      <c r="K6" s="41"/>
    </row>
    <row r="7" spans="1:11" ht="15.6">
      <c r="A7" s="30" t="str">
        <v>Kohls - Brick</v>
      </c>
      <c r="B7" s="77" t="str">
        <v>NJ</v>
      </c>
      <c r="C7" s="11">
        <v>36941</v>
      </c>
      <c r="D7" s="18">
        <v>0</v>
      </c>
      <c r="E7" s="18">
        <f t="shared" si="0"/>
        <v>36941</v>
      </c>
      <c r="F7" s="19" t="str">
        <f t="shared" si="3"/>
        <v/>
      </c>
      <c r="G7" s="20">
        <v>36517.019999999997</v>
      </c>
      <c r="H7" s="20">
        <f t="shared" si="1"/>
        <v>423.9800000000032</v>
      </c>
      <c r="I7" s="19">
        <f t="shared" si="2"/>
        <v>1.161047642989497E-2</v>
      </c>
      <c r="J7" s="42"/>
      <c r="K7" s="43"/>
    </row>
    <row r="8" spans="1:11" ht="15.6">
      <c r="A8" s="28" t="str">
        <v>Kohls - Buffalo</v>
      </c>
      <c r="B8" s="76" t="str">
        <v>NY</v>
      </c>
      <c r="C8" s="24">
        <v>37035</v>
      </c>
      <c r="D8" s="13">
        <v>0</v>
      </c>
      <c r="E8" s="13">
        <f t="shared" si="0"/>
        <v>37035</v>
      </c>
      <c r="F8" s="14" t="str">
        <f t="shared" si="3"/>
        <v/>
      </c>
      <c r="G8" s="15">
        <v>38218.74</v>
      </c>
      <c r="H8" s="15">
        <f t="shared" si="1"/>
        <v>-1183.739999999998</v>
      </c>
      <c r="I8" s="16">
        <f t="shared" si="2"/>
        <v>-3.0972763623290513E-2</v>
      </c>
      <c r="J8" s="41" t="s">
        <v>99</v>
      </c>
      <c r="K8" s="41" t="s">
        <v>100</v>
      </c>
    </row>
    <row r="9" spans="1:11" ht="15.6">
      <c r="A9" s="30" t="str">
        <v>Kohls - Canton</v>
      </c>
      <c r="B9" s="77" t="str">
        <v>CT</v>
      </c>
      <c r="C9" s="11">
        <v>14230</v>
      </c>
      <c r="D9" s="18">
        <v>0</v>
      </c>
      <c r="E9" s="18">
        <f t="shared" si="0"/>
        <v>14230</v>
      </c>
      <c r="F9" s="19" t="str">
        <f t="shared" si="3"/>
        <v/>
      </c>
      <c r="G9" s="20">
        <v>12435.32</v>
      </c>
      <c r="H9" s="20">
        <f t="shared" si="1"/>
        <v>1794.6800000000003</v>
      </c>
      <c r="I9" s="19">
        <f t="shared" si="2"/>
        <v>0.14432117549045786</v>
      </c>
      <c r="J9" s="42"/>
      <c r="K9" s="43"/>
    </row>
    <row r="10" spans="1:11" ht="15.6">
      <c r="A10" s="28" t="str">
        <v>Kohls - East Amherst</v>
      </c>
      <c r="B10" s="76" t="str">
        <v>NY</v>
      </c>
      <c r="C10" s="24">
        <v>35218</v>
      </c>
      <c r="D10" s="13">
        <v>0</v>
      </c>
      <c r="E10" s="13">
        <f t="shared" si="0"/>
        <v>35218</v>
      </c>
      <c r="F10" s="14" t="str">
        <f t="shared" si="3"/>
        <v/>
      </c>
      <c r="G10" s="15">
        <v>33464.699999999997</v>
      </c>
      <c r="H10" s="15">
        <f t="shared" si="1"/>
        <v>1753.3000000000029</v>
      </c>
      <c r="I10" s="16">
        <f t="shared" si="2"/>
        <v>5.2392521074445704E-2</v>
      </c>
      <c r="J10" s="41"/>
      <c r="K10" s="41"/>
    </row>
    <row r="11" spans="1:11" ht="15.6">
      <c r="A11" s="30" t="str">
        <v>Kohls - East Brunswick</v>
      </c>
      <c r="B11" s="77" t="str">
        <v>NJ</v>
      </c>
      <c r="C11" s="11">
        <v>43979</v>
      </c>
      <c r="D11" s="18">
        <v>0</v>
      </c>
      <c r="E11" s="18">
        <f t="shared" si="0"/>
        <v>43979</v>
      </c>
      <c r="F11" s="19" t="str">
        <f t="shared" si="3"/>
        <v/>
      </c>
      <c r="G11" s="20">
        <v>47955.32</v>
      </c>
      <c r="H11" s="20">
        <f t="shared" si="1"/>
        <v>-3976.3199999999997</v>
      </c>
      <c r="I11" s="19">
        <f t="shared" si="2"/>
        <v>-8.2917182076983315E-2</v>
      </c>
      <c r="J11" s="42"/>
      <c r="K11" s="43"/>
    </row>
    <row r="12" spans="1:11" ht="15.6">
      <c r="A12" s="28" t="str">
        <v>Kohls - Edgewood</v>
      </c>
      <c r="B12" s="76" t="str">
        <v>MD</v>
      </c>
      <c r="C12" s="24">
        <v>217074</v>
      </c>
      <c r="D12" s="13">
        <v>0</v>
      </c>
      <c r="E12" s="13">
        <f t="shared" si="0"/>
        <v>217074</v>
      </c>
      <c r="F12" s="14" t="str">
        <f t="shared" si="3"/>
        <v/>
      </c>
      <c r="G12" s="15">
        <v>241640.98</v>
      </c>
      <c r="H12" s="15">
        <f t="shared" si="1"/>
        <v>-24566.98000000001</v>
      </c>
      <c r="I12" s="16">
        <f t="shared" si="2"/>
        <v>-0.10166727514513478</v>
      </c>
      <c r="J12" s="41"/>
      <c r="K12" s="41"/>
    </row>
    <row r="13" spans="1:11" ht="15.6">
      <c r="A13" s="30" t="str">
        <v>Kohls - Granite Run</v>
      </c>
      <c r="B13" s="77" t="str">
        <v>PA</v>
      </c>
      <c r="C13" s="11">
        <v>27914</v>
      </c>
      <c r="D13" s="18">
        <v>0</v>
      </c>
      <c r="E13" s="18">
        <f t="shared" si="0"/>
        <v>27914</v>
      </c>
      <c r="F13" s="19" t="str">
        <f t="shared" si="3"/>
        <v/>
      </c>
      <c r="G13" s="20">
        <v>29859.82</v>
      </c>
      <c r="H13" s="20">
        <f t="shared" si="1"/>
        <v>-1945.8199999999997</v>
      </c>
      <c r="I13" s="19">
        <f t="shared" si="2"/>
        <v>-6.5165161745784128E-2</v>
      </c>
      <c r="J13" s="42"/>
      <c r="K13" s="43"/>
    </row>
    <row r="14" spans="1:11" ht="15.6">
      <c r="A14" s="28" t="str">
        <v>Kohls - Greece</v>
      </c>
      <c r="B14" s="76" t="str">
        <v>NY</v>
      </c>
      <c r="C14" s="24">
        <v>24196</v>
      </c>
      <c r="D14" s="13">
        <v>0</v>
      </c>
      <c r="E14" s="13">
        <f t="shared" si="0"/>
        <v>24196</v>
      </c>
      <c r="F14" s="14" t="str">
        <f t="shared" si="3"/>
        <v/>
      </c>
      <c r="G14" s="15">
        <v>37266.230000000003</v>
      </c>
      <c r="H14" s="15">
        <f t="shared" si="1"/>
        <v>-13070.230000000003</v>
      </c>
      <c r="I14" s="16">
        <f t="shared" si="2"/>
        <v>-0.35072584481982755</v>
      </c>
      <c r="J14" s="41"/>
      <c r="K14" s="41"/>
    </row>
    <row r="15" spans="1:11" ht="15.6">
      <c r="A15" s="30" t="str">
        <v>Kohls - Hanover</v>
      </c>
      <c r="B15" s="77" t="str">
        <v>PA</v>
      </c>
      <c r="C15" s="11">
        <v>7877</v>
      </c>
      <c r="D15" s="18">
        <v>0</v>
      </c>
      <c r="E15" s="18">
        <f t="shared" si="0"/>
        <v>7877</v>
      </c>
      <c r="F15" s="19" t="str">
        <f t="shared" si="3"/>
        <v/>
      </c>
      <c r="G15" s="20">
        <v>32459.26</v>
      </c>
      <c r="H15" s="20">
        <f t="shared" si="1"/>
        <v>-24582.26</v>
      </c>
      <c r="I15" s="19">
        <f t="shared" si="2"/>
        <v>-0.75732656875110527</v>
      </c>
      <c r="J15" s="42"/>
      <c r="K15" s="43"/>
    </row>
    <row r="16" spans="1:11" ht="15.6">
      <c r="A16" s="28" t="str">
        <v>Kohls - Horsehead</v>
      </c>
      <c r="B16" s="76" t="str">
        <v>NY</v>
      </c>
      <c r="C16" s="24">
        <v>26157</v>
      </c>
      <c r="D16" s="13">
        <v>0</v>
      </c>
      <c r="E16" s="13">
        <f t="shared" si="0"/>
        <v>26157</v>
      </c>
      <c r="F16" s="14" t="str">
        <f t="shared" si="3"/>
        <v/>
      </c>
      <c r="G16" s="15">
        <v>27028.66</v>
      </c>
      <c r="H16" s="15">
        <f t="shared" si="1"/>
        <v>-871.65999999999985</v>
      </c>
      <c r="I16" s="16">
        <f t="shared" si="2"/>
        <v>-3.2249471486932753E-2</v>
      </c>
      <c r="J16" s="41"/>
      <c r="K16" s="41"/>
    </row>
    <row r="17" spans="1:11" ht="15.6">
      <c r="A17" s="30" t="str">
        <v>Kohls - Hudson</v>
      </c>
      <c r="B17" s="77" t="str">
        <v>NY</v>
      </c>
      <c r="C17" s="11">
        <v>2433</v>
      </c>
      <c r="D17" s="18">
        <v>0</v>
      </c>
      <c r="E17" s="18">
        <f t="shared" si="0"/>
        <v>2433</v>
      </c>
      <c r="F17" s="65" t="str">
        <f>IFERROR(E17/D17, "")</f>
        <v/>
      </c>
      <c r="G17" s="20">
        <v>31907.99</v>
      </c>
      <c r="H17" s="20">
        <f t="shared" si="1"/>
        <v>-29474.99</v>
      </c>
      <c r="I17" s="19">
        <f t="shared" si="2"/>
        <v>-0.92374950600147487</v>
      </c>
      <c r="J17" s="42" t="s">
        <v>162</v>
      </c>
      <c r="K17" s="43" t="s">
        <v>103</v>
      </c>
    </row>
    <row r="18" spans="1:11" ht="12.75" customHeight="1">
      <c r="A18" s="28" t="str">
        <v>Kohls - Ithaca</v>
      </c>
      <c r="B18" s="76" t="str">
        <v>NY</v>
      </c>
      <c r="C18" s="24">
        <v>28124</v>
      </c>
      <c r="D18" s="13">
        <v>0</v>
      </c>
      <c r="E18" s="13">
        <f>IF(AND(ISNUMBER(C18),ISNUMBER(D18)), C18-D18, "")</f>
        <v>28124</v>
      </c>
      <c r="F18" s="14" t="str">
        <f>IFERROR(E18/D18, "")</f>
        <v/>
      </c>
      <c r="G18" s="15">
        <v>30083.27</v>
      </c>
      <c r="H18" s="67">
        <f>IF(AND(ISNUMBER(C18),ISNUMBER(G18)), C18-G18, "")</f>
        <v>-1959.2700000000004</v>
      </c>
      <c r="I18" s="68">
        <f t="shared" ref="I18:I56" si="4">IFERROR(H18/G18, "")</f>
        <v>-6.5128225754713512E-2</v>
      </c>
      <c r="J18" s="41" t="s">
        <v>163</v>
      </c>
      <c r="K18" s="41" t="s">
        <v>164</v>
      </c>
    </row>
    <row r="19" spans="1:11" ht="12.75" customHeight="1">
      <c r="A19" s="30" t="str">
        <v>Kohls - Kingston</v>
      </c>
      <c r="B19" s="77" t="str">
        <v>NY</v>
      </c>
      <c r="C19" s="11">
        <v>44776</v>
      </c>
      <c r="D19" s="18">
        <v>0</v>
      </c>
      <c r="E19" s="18">
        <f t="shared" ref="E19:E20" si="5">IF(AND(ISNUMBER(C19),ISNUMBER(D19)), C19-D19, "")</f>
        <v>44776</v>
      </c>
      <c r="F19" s="65"/>
      <c r="G19" s="65">
        <v>46874.368999999999</v>
      </c>
      <c r="H19" s="20">
        <f t="shared" ref="H19:H20" si="6">IF(AND(ISNUMBER(C19),ISNUMBER(G19)), C19-G19, "")</f>
        <v>-2098.3689999999988</v>
      </c>
      <c r="I19" s="65">
        <f t="shared" si="4"/>
        <v>-4.4765807940795939E-2</v>
      </c>
      <c r="J19" s="42"/>
      <c r="K19" s="43"/>
    </row>
    <row r="20" spans="1:11" ht="12.75" customHeight="1">
      <c r="A20" s="28" t="str">
        <v>Kohls - Mechanicsburg</v>
      </c>
      <c r="B20" s="76" t="str">
        <v>PA</v>
      </c>
      <c r="C20" s="24">
        <v>35945</v>
      </c>
      <c r="D20" s="13">
        <v>0</v>
      </c>
      <c r="E20" s="13">
        <f t="shared" si="5"/>
        <v>35945</v>
      </c>
      <c r="F20" s="14"/>
      <c r="G20" s="15">
        <v>37881.760000000002</v>
      </c>
      <c r="H20" s="67">
        <f t="shared" si="6"/>
        <v>-1936.760000000002</v>
      </c>
      <c r="I20" s="68">
        <f t="shared" si="4"/>
        <v>-5.1126452414037835E-2</v>
      </c>
      <c r="J20" s="41"/>
      <c r="K20" s="41"/>
    </row>
    <row r="21" spans="1:11" ht="15.6">
      <c r="A21" s="30" t="str">
        <v>Kohls - Middletown</v>
      </c>
      <c r="B21" s="77" t="str">
        <v>NJ</v>
      </c>
      <c r="C21" s="71">
        <v>57157</v>
      </c>
      <c r="D21" s="18">
        <v>0</v>
      </c>
      <c r="E21" s="18">
        <f t="shared" ref="E21:E68" si="7">IF(AND(ISNUMBER(C21),ISNUMBER(D21)), C21-D21, "")</f>
        <v>57157</v>
      </c>
      <c r="F21" s="65" t="str">
        <f t="shared" ref="F21:F68" si="8">IFERROR(E21/D21, "")</f>
        <v/>
      </c>
      <c r="G21" s="20">
        <v>56934.86</v>
      </c>
      <c r="H21" s="65">
        <f t="shared" ref="H21:H27" si="9">IF(AND(ISNUMBER(C21),ISNUMBER(G21)), C21-G21, "")</f>
        <v>222.13999999999942</v>
      </c>
      <c r="I21" s="66">
        <f t="shared" si="4"/>
        <v>3.9016518175332198E-3</v>
      </c>
      <c r="J21" s="42"/>
      <c r="K21" s="43"/>
    </row>
    <row r="22" spans="1:11" ht="28.9">
      <c r="A22" s="28" t="str">
        <v>Kohls - North Amherst</v>
      </c>
      <c r="B22" s="76" t="str">
        <v>NY</v>
      </c>
      <c r="C22" s="24">
        <v>0</v>
      </c>
      <c r="D22" s="13">
        <v>0</v>
      </c>
      <c r="E22" s="13">
        <f t="shared" si="7"/>
        <v>0</v>
      </c>
      <c r="F22" s="14" t="str">
        <f t="shared" si="8"/>
        <v/>
      </c>
      <c r="G22" s="15">
        <v>33415.58</v>
      </c>
      <c r="H22" s="67">
        <f t="shared" si="9"/>
        <v>-33415.58</v>
      </c>
      <c r="I22" s="68">
        <f t="shared" si="4"/>
        <v>-1</v>
      </c>
      <c r="J22" s="41" t="s">
        <v>104</v>
      </c>
      <c r="K22" s="41" t="s">
        <v>105</v>
      </c>
    </row>
    <row r="23" spans="1:11" ht="15.6">
      <c r="A23" s="30" t="str">
        <v>Kohls - Staten Island</v>
      </c>
      <c r="B23" s="77" t="str">
        <v>NY</v>
      </c>
      <c r="C23" s="11">
        <v>102</v>
      </c>
      <c r="D23" s="18">
        <v>0</v>
      </c>
      <c r="E23" s="18">
        <f t="shared" si="7"/>
        <v>102</v>
      </c>
      <c r="F23" s="65" t="str">
        <f t="shared" si="8"/>
        <v/>
      </c>
      <c r="G23" s="20">
        <v>31508.76</v>
      </c>
      <c r="H23" s="20">
        <f t="shared" si="9"/>
        <v>-31406.76</v>
      </c>
      <c r="I23" s="19">
        <f t="shared" si="4"/>
        <v>-0.99676280501041614</v>
      </c>
      <c r="J23" s="42" t="s">
        <v>106</v>
      </c>
      <c r="K23" s="43" t="s">
        <v>107</v>
      </c>
    </row>
    <row r="24" spans="1:11" ht="15.6">
      <c r="A24" s="28" t="str">
        <v>Kohls - Warminster</v>
      </c>
      <c r="B24" s="76" t="str">
        <v>PA</v>
      </c>
      <c r="C24" s="24">
        <v>37758</v>
      </c>
      <c r="D24" s="13">
        <v>0</v>
      </c>
      <c r="E24" s="13">
        <f t="shared" si="7"/>
        <v>37758</v>
      </c>
      <c r="F24" s="14" t="str">
        <f t="shared" si="8"/>
        <v/>
      </c>
      <c r="G24" s="15">
        <v>36722.6</v>
      </c>
      <c r="H24" s="67">
        <f t="shared" si="9"/>
        <v>1035.4000000000015</v>
      </c>
      <c r="I24" s="68">
        <f t="shared" si="4"/>
        <v>2.8195171365861936E-2</v>
      </c>
      <c r="J24" s="41"/>
      <c r="K24" s="41"/>
    </row>
    <row r="25" spans="1:11" ht="15.6">
      <c r="A25" s="30" t="str">
        <v xml:space="preserve">Kohls - Waterbury </v>
      </c>
      <c r="B25" s="77" t="str">
        <v>CT</v>
      </c>
      <c r="C25" s="11">
        <v>34680</v>
      </c>
      <c r="D25" s="18">
        <v>0</v>
      </c>
      <c r="E25" s="18">
        <f t="shared" si="7"/>
        <v>34680</v>
      </c>
      <c r="F25" s="65" t="str">
        <f t="shared" si="8"/>
        <v/>
      </c>
      <c r="G25">
        <v>31542</v>
      </c>
      <c r="H25" s="20">
        <f t="shared" si="9"/>
        <v>3138</v>
      </c>
      <c r="I25" s="19">
        <f t="shared" si="4"/>
        <v>9.9486399086931715E-2</v>
      </c>
      <c r="J25" s="42"/>
      <c r="K25" s="43"/>
    </row>
    <row r="26" spans="1:11" ht="15.6">
      <c r="A26" s="28" t="str">
        <v>Mojave Water Agency - Headquarters</v>
      </c>
      <c r="B26" s="76" t="str">
        <v>CA</v>
      </c>
      <c r="C26" s="24">
        <v>38418</v>
      </c>
      <c r="D26" s="13">
        <v>0</v>
      </c>
      <c r="E26" s="13">
        <f t="shared" si="7"/>
        <v>38418</v>
      </c>
      <c r="F26" s="14" t="str">
        <f t="shared" si="8"/>
        <v/>
      </c>
      <c r="G26" s="15">
        <v>34263.279999999999</v>
      </c>
      <c r="H26" s="67">
        <f t="shared" si="9"/>
        <v>4154.7200000000012</v>
      </c>
      <c r="I26" s="68">
        <f t="shared" si="4"/>
        <v>0.121258676927603</v>
      </c>
      <c r="J26" s="41"/>
      <c r="K26" s="41"/>
    </row>
    <row r="27" spans="1:11" ht="15.6">
      <c r="A27" s="30" t="str">
        <v>CSU - Bakersfield</v>
      </c>
      <c r="B27" s="77" t="str">
        <v>CA</v>
      </c>
      <c r="C27" s="11">
        <v>0</v>
      </c>
      <c r="D27" s="18">
        <v>0</v>
      </c>
      <c r="E27" s="18">
        <f t="shared" si="7"/>
        <v>0</v>
      </c>
      <c r="F27" s="65" t="str">
        <f t="shared" si="8"/>
        <v/>
      </c>
      <c r="G27" s="20">
        <v>142101.70000000001</v>
      </c>
      <c r="H27" s="20">
        <f t="shared" si="9"/>
        <v>-142101.70000000001</v>
      </c>
      <c r="I27" s="19">
        <f t="shared" si="4"/>
        <v>-1</v>
      </c>
      <c r="J27" s="42"/>
      <c r="K27" s="43"/>
    </row>
    <row r="28" spans="1:11" ht="15.6">
      <c r="A28" s="28" t="str">
        <v>Greenfield USD - Fairfield ES</v>
      </c>
      <c r="B28" s="76" t="str">
        <v>CA</v>
      </c>
      <c r="C28" s="24">
        <v>10171</v>
      </c>
      <c r="D28" s="13">
        <v>0</v>
      </c>
      <c r="E28" s="13">
        <f t="shared" si="7"/>
        <v>10171</v>
      </c>
      <c r="F28" s="14" t="str">
        <f t="shared" si="8"/>
        <v/>
      </c>
      <c r="G28" s="15">
        <v>14495.51</v>
      </c>
      <c r="H28" s="15">
        <f t="shared" ref="H28:H29" si="10">IF(AND(ISNUMBER(C28),ISNUMBER(G28)), C28-G28, "")</f>
        <v>-4324.51</v>
      </c>
      <c r="I28" s="19">
        <f t="shared" si="4"/>
        <v>-0.29833444977099804</v>
      </c>
      <c r="J28" s="41"/>
      <c r="K28" s="41"/>
    </row>
    <row r="29" spans="1:11" ht="15.6">
      <c r="A29" s="30" t="str">
        <v>Greenfield USD - Granite Point ES</v>
      </c>
      <c r="B29" s="77" t="str">
        <v>CA</v>
      </c>
      <c r="C29" s="11">
        <v>33770</v>
      </c>
      <c r="D29" s="18">
        <v>0</v>
      </c>
      <c r="E29" s="18">
        <f t="shared" si="7"/>
        <v>33770</v>
      </c>
      <c r="F29" s="65" t="str">
        <f t="shared" si="8"/>
        <v/>
      </c>
      <c r="G29" s="20">
        <v>38120.6</v>
      </c>
      <c r="H29" s="20">
        <f t="shared" si="10"/>
        <v>-4350.5999999999985</v>
      </c>
      <c r="I29" s="19">
        <f t="shared" si="4"/>
        <v>-0.11412726977015049</v>
      </c>
      <c r="J29" s="42"/>
      <c r="K29" s="43"/>
    </row>
    <row r="30" spans="1:11" ht="15.6">
      <c r="A30" s="28" t="str">
        <v>Greenfield USD - Greenfield MS</v>
      </c>
      <c r="B30" s="76" t="str">
        <v>CA</v>
      </c>
      <c r="C30" s="24">
        <v>18299</v>
      </c>
      <c r="D30" s="13">
        <v>0</v>
      </c>
      <c r="E30" s="13">
        <f t="shared" si="7"/>
        <v>18299</v>
      </c>
      <c r="F30" s="14" t="str">
        <f t="shared" si="8"/>
        <v/>
      </c>
      <c r="G30" s="15">
        <v>26084.511999999999</v>
      </c>
      <c r="H30" s="67">
        <f t="shared" ref="H30:H56" si="11">IF(AND(ISNUMBER(C30),ISNUMBER(G30)), C30-G30, "")</f>
        <v>-7785.5119999999988</v>
      </c>
      <c r="I30" s="66">
        <f t="shared" si="4"/>
        <v>-0.29847259553868594</v>
      </c>
      <c r="J30" s="41"/>
      <c r="K30" s="41"/>
    </row>
    <row r="31" spans="1:11" ht="15.6">
      <c r="A31" s="30" t="str">
        <v>Greenfield USD - Horizon ES</v>
      </c>
      <c r="B31" s="77" t="str">
        <v>CA</v>
      </c>
      <c r="C31" s="11">
        <v>8746</v>
      </c>
      <c r="D31" s="18">
        <v>0</v>
      </c>
      <c r="E31" s="18">
        <f t="shared" si="7"/>
        <v>8746</v>
      </c>
      <c r="F31" s="65" t="str">
        <f t="shared" si="8"/>
        <v/>
      </c>
      <c r="G31" s="20">
        <v>39265.61</v>
      </c>
      <c r="H31" s="20">
        <f t="shared" si="11"/>
        <v>-30519.61</v>
      </c>
      <c r="I31" s="19">
        <f t="shared" si="4"/>
        <v>-0.77726055955835149</v>
      </c>
      <c r="J31" s="42"/>
      <c r="K31" s="43"/>
    </row>
    <row r="32" spans="1:11" ht="15.6">
      <c r="A32" s="28" t="str">
        <v>Greenfield USD - McKee MS</v>
      </c>
      <c r="B32" s="76" t="str">
        <v>CA</v>
      </c>
      <c r="C32" s="24">
        <v>13159</v>
      </c>
      <c r="D32" s="13">
        <v>0</v>
      </c>
      <c r="E32" s="13">
        <f t="shared" si="7"/>
        <v>13159</v>
      </c>
      <c r="F32" s="14" t="str">
        <f t="shared" si="8"/>
        <v/>
      </c>
      <c r="G32" s="15">
        <v>24029.59</v>
      </c>
      <c r="H32" s="67">
        <f t="shared" si="11"/>
        <v>-10870.59</v>
      </c>
      <c r="I32" s="66">
        <f t="shared" si="4"/>
        <v>-0.45238349884454959</v>
      </c>
      <c r="J32" s="41"/>
      <c r="K32" s="41"/>
    </row>
    <row r="33" spans="1:11" ht="28.9">
      <c r="A33" s="30" t="str">
        <v>Greenfield USD - Plantation ES</v>
      </c>
      <c r="B33" s="77" t="str">
        <v>CA</v>
      </c>
      <c r="C33" s="11">
        <v>14580</v>
      </c>
      <c r="D33" s="18">
        <v>0</v>
      </c>
      <c r="E33" s="18">
        <f t="shared" si="7"/>
        <v>14580</v>
      </c>
      <c r="F33" s="65" t="str">
        <f t="shared" si="8"/>
        <v/>
      </c>
      <c r="G33" s="65">
        <v>17115.07</v>
      </c>
      <c r="H33" s="20">
        <f t="shared" si="11"/>
        <v>-2535.0699999999997</v>
      </c>
      <c r="I33" s="19">
        <f t="shared" si="4"/>
        <v>-0.14811917216815354</v>
      </c>
      <c r="J33" s="42" t="s">
        <v>165</v>
      </c>
      <c r="K33" s="59" t="s">
        <v>166</v>
      </c>
    </row>
    <row r="34" spans="1:11" ht="15.6">
      <c r="A34" s="28" t="str">
        <v>Greenfield USD - Planz ES</v>
      </c>
      <c r="B34" s="76" t="str">
        <v>CA</v>
      </c>
      <c r="C34" s="24">
        <v>5417</v>
      </c>
      <c r="D34" s="13">
        <v>0</v>
      </c>
      <c r="E34" s="13">
        <f t="shared" si="7"/>
        <v>5417</v>
      </c>
      <c r="F34" s="14" t="str">
        <f t="shared" si="8"/>
        <v/>
      </c>
      <c r="G34" s="15">
        <v>19725.37</v>
      </c>
      <c r="H34" s="67">
        <f t="shared" si="11"/>
        <v>-14308.369999999999</v>
      </c>
      <c r="I34" s="66">
        <f t="shared" si="4"/>
        <v>-0.7253790423196117</v>
      </c>
      <c r="J34" s="41"/>
      <c r="K34" s="41"/>
    </row>
    <row r="35" spans="1:11" ht="14.45">
      <c r="A35" s="65" t="str">
        <v>Greenfield USD - Raffaello Palla ES</v>
      </c>
      <c r="B35" s="78" t="str">
        <v>CA</v>
      </c>
      <c r="C35" s="65">
        <v>17238</v>
      </c>
      <c r="D35" s="65">
        <v>0</v>
      </c>
      <c r="E35" s="65">
        <f t="shared" si="7"/>
        <v>17238</v>
      </c>
      <c r="F35" s="65" t="str">
        <f t="shared" si="8"/>
        <v/>
      </c>
      <c r="G35" s="65">
        <v>42894.12</v>
      </c>
      <c r="H35" s="65">
        <f t="shared" si="11"/>
        <v>-25656.120000000003</v>
      </c>
      <c r="I35" s="72">
        <f t="shared" si="4"/>
        <v>-0.59812673625196178</v>
      </c>
      <c r="J35" s="65"/>
      <c r="K35" s="65"/>
    </row>
    <row r="36" spans="1:11" ht="15.6">
      <c r="A36" s="28" t="str">
        <v>Greenfield USD - Valle Verde ES</v>
      </c>
      <c r="B36" s="76" t="str">
        <v>CA</v>
      </c>
      <c r="C36" s="24">
        <v>30928</v>
      </c>
      <c r="D36" s="13">
        <v>0</v>
      </c>
      <c r="E36" s="13">
        <f t="shared" si="7"/>
        <v>30928</v>
      </c>
      <c r="F36" s="14" t="str">
        <f t="shared" si="8"/>
        <v/>
      </c>
      <c r="G36" s="15">
        <v>40043.15</v>
      </c>
      <c r="H36" s="67">
        <f t="shared" si="11"/>
        <v>-9115.1500000000015</v>
      </c>
      <c r="I36" s="66">
        <f t="shared" si="4"/>
        <v>-0.22763319069553722</v>
      </c>
      <c r="J36" s="41"/>
      <c r="K36" s="41"/>
    </row>
    <row r="37" spans="1:11" ht="14.45">
      <c r="A37" s="65" t="str">
        <v>Greenfield USD - W.A. Kendrick ES</v>
      </c>
      <c r="B37" s="78" t="str">
        <v>CA</v>
      </c>
      <c r="C37" s="65">
        <v>0</v>
      </c>
      <c r="D37" s="65">
        <v>0</v>
      </c>
      <c r="E37" s="65">
        <f t="shared" si="7"/>
        <v>0</v>
      </c>
      <c r="F37" s="65" t="str">
        <f t="shared" si="8"/>
        <v/>
      </c>
      <c r="G37" s="20">
        <v>15421.15</v>
      </c>
      <c r="H37" s="65">
        <f t="shared" si="11"/>
        <v>-15421.15</v>
      </c>
      <c r="I37" s="72">
        <f t="shared" si="4"/>
        <v>-1</v>
      </c>
      <c r="J37" s="65"/>
      <c r="K37" s="65"/>
    </row>
    <row r="38" spans="1:11" ht="15.6">
      <c r="A38" s="28" t="str">
        <v>Muroc Joint USD - Boron HS</v>
      </c>
      <c r="B38" s="76" t="str">
        <v>CA</v>
      </c>
      <c r="C38" s="24">
        <v>0</v>
      </c>
      <c r="D38" s="13">
        <v>0</v>
      </c>
      <c r="E38" s="13">
        <f t="shared" si="7"/>
        <v>0</v>
      </c>
      <c r="F38" s="14" t="str">
        <f t="shared" si="8"/>
        <v/>
      </c>
      <c r="G38" s="15">
        <v>34849.69</v>
      </c>
      <c r="H38" s="67">
        <f t="shared" si="11"/>
        <v>-34849.69</v>
      </c>
      <c r="I38" s="66">
        <f t="shared" si="4"/>
        <v>-1</v>
      </c>
      <c r="J38" s="70"/>
      <c r="K38" s="41"/>
    </row>
    <row r="39" spans="1:11" ht="15.6">
      <c r="A39" s="30" t="str">
        <v>Muroc Joint USD - W. Boron ES</v>
      </c>
      <c r="B39" s="77" t="str">
        <v>CA</v>
      </c>
      <c r="C39" s="11">
        <v>12443</v>
      </c>
      <c r="D39" s="18">
        <v>0</v>
      </c>
      <c r="E39" s="18">
        <f t="shared" si="7"/>
        <v>12443</v>
      </c>
      <c r="F39" s="65" t="str">
        <f t="shared" si="8"/>
        <v/>
      </c>
      <c r="G39" s="82">
        <v>1286.22</v>
      </c>
      <c r="H39" s="20">
        <f t="shared" si="11"/>
        <v>11156.78</v>
      </c>
      <c r="I39" s="19">
        <f t="shared" si="4"/>
        <v>8.6740837492808396</v>
      </c>
      <c r="J39" s="42"/>
      <c r="K39" s="43"/>
    </row>
    <row r="40" spans="1:11" ht="15.6">
      <c r="A40" s="28" t="str">
        <v>Colusa - WTP</v>
      </c>
      <c r="B40" s="76" t="str">
        <v>CA</v>
      </c>
      <c r="C40" s="24">
        <v>0</v>
      </c>
      <c r="D40" s="13">
        <v>0</v>
      </c>
      <c r="E40" s="13">
        <f t="shared" si="7"/>
        <v>0</v>
      </c>
      <c r="F40" s="14" t="str">
        <f t="shared" si="8"/>
        <v/>
      </c>
      <c r="G40" s="15">
        <v>45088.644999999997</v>
      </c>
      <c r="H40" s="67">
        <f t="shared" si="11"/>
        <v>-45088.644999999997</v>
      </c>
      <c r="I40" s="66">
        <f t="shared" si="4"/>
        <v>-1</v>
      </c>
      <c r="J40" s="41" t="s">
        <v>120</v>
      </c>
      <c r="K40" s="41" t="s">
        <v>121</v>
      </c>
    </row>
    <row r="41" spans="1:11" ht="15.6">
      <c r="A41" s="30" t="str">
        <v>CDCR-North Kern State Prision</v>
      </c>
      <c r="B41" s="77" t="str">
        <v>CA</v>
      </c>
      <c r="C41" s="11">
        <v>48376</v>
      </c>
      <c r="D41" s="18">
        <v>0</v>
      </c>
      <c r="E41" s="18">
        <f t="shared" si="7"/>
        <v>48376</v>
      </c>
      <c r="F41" s="65" t="str">
        <f t="shared" si="8"/>
        <v/>
      </c>
      <c r="G41" s="20">
        <v>204972.6</v>
      </c>
      <c r="H41" s="20">
        <f t="shared" si="11"/>
        <v>-156596.6</v>
      </c>
      <c r="I41" s="19">
        <f t="shared" si="4"/>
        <v>-0.76398796717219764</v>
      </c>
      <c r="J41" s="42" t="s">
        <v>122</v>
      </c>
      <c r="K41" s="43" t="s">
        <v>123</v>
      </c>
    </row>
    <row r="42" spans="1:11" ht="15.6">
      <c r="A42" s="28" t="str">
        <v>Muroc Joint USD - District Office</v>
      </c>
      <c r="B42" s="76" t="str">
        <v>CA</v>
      </c>
      <c r="C42" s="24">
        <v>6209</v>
      </c>
      <c r="D42" s="13">
        <v>0</v>
      </c>
      <c r="E42" s="13">
        <f t="shared" si="7"/>
        <v>6209</v>
      </c>
      <c r="F42" s="14" t="str">
        <f t="shared" si="8"/>
        <v/>
      </c>
      <c r="G42" s="15">
        <v>9064.2800000000007</v>
      </c>
      <c r="H42" s="67">
        <f t="shared" si="11"/>
        <v>-2855.2800000000007</v>
      </c>
      <c r="I42" s="19">
        <f t="shared" si="4"/>
        <v>-0.31500350827644341</v>
      </c>
      <c r="J42" s="41"/>
      <c r="K42" s="41"/>
    </row>
    <row r="43" spans="1:11" ht="15.6">
      <c r="A43" s="30" t="str">
        <v>Whole Foods - Manhattan Beach</v>
      </c>
      <c r="B43" s="77" t="str">
        <v>CA</v>
      </c>
      <c r="C43" s="11">
        <v>15888</v>
      </c>
      <c r="D43" s="18">
        <v>0</v>
      </c>
      <c r="E43" s="18">
        <f t="shared" si="7"/>
        <v>15888</v>
      </c>
      <c r="F43" s="65" t="str">
        <f t="shared" si="8"/>
        <v/>
      </c>
      <c r="G43" s="20">
        <v>17188.29</v>
      </c>
      <c r="H43" s="20">
        <f t="shared" si="11"/>
        <v>-1300.2900000000009</v>
      </c>
      <c r="I43" s="19">
        <f t="shared" si="4"/>
        <v>-7.5649759225612373E-2</v>
      </c>
      <c r="J43" s="42" t="s">
        <v>126</v>
      </c>
      <c r="K43" s="42" t="s">
        <v>167</v>
      </c>
    </row>
    <row r="44" spans="1:11" ht="15.6">
      <c r="A44" s="28" t="str">
        <v>Pioneer USD - Frontier ES</v>
      </c>
      <c r="B44" s="76" t="str">
        <v>CA</v>
      </c>
      <c r="C44" s="24">
        <v>23858</v>
      </c>
      <c r="D44" s="13">
        <v>0</v>
      </c>
      <c r="E44" s="13">
        <f t="shared" si="7"/>
        <v>23858</v>
      </c>
      <c r="F44" s="14" t="str">
        <f t="shared" si="8"/>
        <v/>
      </c>
      <c r="G44" s="15">
        <v>34120.85</v>
      </c>
      <c r="H44" s="67">
        <f t="shared" si="11"/>
        <v>-10262.849999999999</v>
      </c>
      <c r="I44" s="66">
        <f t="shared" si="4"/>
        <v>-0.30077943544782731</v>
      </c>
      <c r="J44" s="41"/>
      <c r="K44" s="41"/>
    </row>
    <row r="45" spans="1:11" ht="15.6">
      <c r="A45" s="30" t="str">
        <v>Pioneer USD - Pioneer ES</v>
      </c>
      <c r="B45" s="77" t="str">
        <v>CA</v>
      </c>
      <c r="C45" s="11">
        <v>5663</v>
      </c>
      <c r="D45" s="18">
        <v>0</v>
      </c>
      <c r="E45" s="18">
        <f t="shared" si="7"/>
        <v>5663</v>
      </c>
      <c r="F45" s="65" t="str">
        <f t="shared" si="8"/>
        <v/>
      </c>
      <c r="G45" s="20">
        <v>34834.14</v>
      </c>
      <c r="H45" s="20">
        <f t="shared" si="11"/>
        <v>-29171.14</v>
      </c>
      <c r="I45" s="19">
        <f t="shared" si="4"/>
        <v>-0.83742960210873585</v>
      </c>
      <c r="J45" s="42" t="s">
        <v>128</v>
      </c>
      <c r="K45" s="42" t="s">
        <v>129</v>
      </c>
    </row>
    <row r="46" spans="1:11" ht="15.6">
      <c r="A46" s="28" t="str">
        <v>Pioneer USD - Pioneer MS</v>
      </c>
      <c r="B46" s="76" t="str">
        <v>CA</v>
      </c>
      <c r="C46" s="24">
        <v>30366</v>
      </c>
      <c r="D46" s="13">
        <v>0</v>
      </c>
      <c r="E46" s="13">
        <f t="shared" si="7"/>
        <v>30366</v>
      </c>
      <c r="F46" s="14" t="str">
        <f t="shared" si="8"/>
        <v/>
      </c>
      <c r="G46" s="15">
        <v>46766.06</v>
      </c>
      <c r="H46" s="67">
        <f t="shared" si="11"/>
        <v>-16400.059999999998</v>
      </c>
      <c r="I46" s="66">
        <f t="shared" si="4"/>
        <v>-0.35068295255148707</v>
      </c>
      <c r="J46" s="41" t="s">
        <v>128</v>
      </c>
      <c r="K46" s="41" t="s">
        <v>168</v>
      </c>
    </row>
    <row r="47" spans="1:11" ht="43.15">
      <c r="A47" s="30" t="str">
        <v>Kingsburg Joint UHSD - Kingsburg HS</v>
      </c>
      <c r="B47" s="77" t="str">
        <v>CA</v>
      </c>
      <c r="C47" s="11">
        <v>21281</v>
      </c>
      <c r="D47" s="18">
        <v>0</v>
      </c>
      <c r="E47" s="18">
        <f t="shared" si="7"/>
        <v>21281</v>
      </c>
      <c r="F47" s="65" t="str">
        <f t="shared" si="8"/>
        <v/>
      </c>
      <c r="G47" s="20">
        <v>83165.899999999994</v>
      </c>
      <c r="H47" s="20">
        <f t="shared" si="11"/>
        <v>-61884.899999999994</v>
      </c>
      <c r="I47" s="19">
        <f t="shared" si="4"/>
        <v>-0.74411387359482672</v>
      </c>
      <c r="J47" s="42" t="s">
        <v>169</v>
      </c>
      <c r="K47" s="63" t="s">
        <v>170</v>
      </c>
    </row>
    <row r="48" spans="1:11" ht="57.6">
      <c r="A48" s="28" t="str">
        <v>CADRB</v>
      </c>
      <c r="B48" s="76" t="str">
        <v>CA</v>
      </c>
      <c r="C48" s="24">
        <v>526254</v>
      </c>
      <c r="D48" s="13">
        <v>0</v>
      </c>
      <c r="E48" s="13">
        <f t="shared" si="7"/>
        <v>526254</v>
      </c>
      <c r="F48" s="14" t="str">
        <f t="shared" si="8"/>
        <v/>
      </c>
      <c r="G48" s="15">
        <v>723561</v>
      </c>
      <c r="H48" s="67">
        <f t="shared" si="11"/>
        <v>-197307</v>
      </c>
      <c r="I48" s="19">
        <f t="shared" si="4"/>
        <v>-0.27268882651220838</v>
      </c>
      <c r="J48" s="41" t="s">
        <v>171</v>
      </c>
      <c r="K48" s="41" t="s">
        <v>172</v>
      </c>
    </row>
    <row r="49" spans="1:11" ht="15.6">
      <c r="A49" s="30" t="str">
        <v>CDCR-CA State Prison LA County</v>
      </c>
      <c r="B49" s="77" t="str">
        <v>CA</v>
      </c>
      <c r="C49" s="11">
        <v>254730</v>
      </c>
      <c r="D49" s="18">
        <v>0</v>
      </c>
      <c r="E49" s="18">
        <f t="shared" si="7"/>
        <v>254730</v>
      </c>
      <c r="F49" s="65" t="str">
        <f t="shared" si="8"/>
        <v/>
      </c>
      <c r="G49" s="20">
        <v>431625.6</v>
      </c>
      <c r="H49" s="20">
        <f t="shared" si="11"/>
        <v>-176895.59999999998</v>
      </c>
      <c r="I49" s="19">
        <f t="shared" si="4"/>
        <v>-0.40983574653588661</v>
      </c>
      <c r="J49" s="42" t="s">
        <v>173</v>
      </c>
      <c r="K49" s="43" t="s">
        <v>174</v>
      </c>
    </row>
    <row r="50" spans="1:11" ht="15.75">
      <c r="A50" s="28" t="str">
        <v>Central USD Akers ES</v>
      </c>
      <c r="B50" s="76" t="str">
        <v>CA</v>
      </c>
      <c r="C50" s="24">
        <v>26547</v>
      </c>
      <c r="D50" s="13">
        <v>0</v>
      </c>
      <c r="E50" s="13">
        <f t="shared" si="7"/>
        <v>26547</v>
      </c>
      <c r="F50" s="14" t="str">
        <f t="shared" si="8"/>
        <v/>
      </c>
      <c r="G50" s="15">
        <v>33556.68</v>
      </c>
      <c r="H50" s="67">
        <f t="shared" si="11"/>
        <v>-7009.68</v>
      </c>
      <c r="I50" s="66">
        <f t="shared" si="4"/>
        <v>-0.20889074842922484</v>
      </c>
      <c r="J50" s="41" t="s">
        <v>175</v>
      </c>
      <c r="K50" s="41"/>
    </row>
    <row r="51" spans="1:11" ht="15.6">
      <c r="A51" s="30" t="str">
        <v>CUSD - District Office</v>
      </c>
      <c r="B51" s="77" t="str">
        <v>CA</v>
      </c>
      <c r="C51" s="11">
        <v>21190</v>
      </c>
      <c r="D51" s="18">
        <v>0</v>
      </c>
      <c r="E51" s="18">
        <f t="shared" si="7"/>
        <v>21190</v>
      </c>
      <c r="F51" s="65" t="str">
        <f t="shared" si="8"/>
        <v/>
      </c>
      <c r="G51" s="20">
        <v>9064.2800000000007</v>
      </c>
      <c r="H51" s="20">
        <f t="shared" si="11"/>
        <v>12125.72</v>
      </c>
      <c r="I51" s="19">
        <f t="shared" si="4"/>
        <v>1.3377477306526275</v>
      </c>
      <c r="J51" s="42"/>
      <c r="K51" s="43"/>
    </row>
    <row r="52" spans="1:11" ht="15.6">
      <c r="A52" s="28" t="str">
        <v>Parlier - WTP</v>
      </c>
      <c r="B52" s="76" t="str">
        <v>CA</v>
      </c>
      <c r="C52" s="24">
        <v>25875</v>
      </c>
      <c r="D52" s="13">
        <v>0</v>
      </c>
      <c r="E52" s="13">
        <f t="shared" si="7"/>
        <v>25875</v>
      </c>
      <c r="F52" s="14" t="str">
        <f t="shared" si="8"/>
        <v/>
      </c>
      <c r="G52" s="15">
        <v>80249.570000000007</v>
      </c>
      <c r="H52" s="67">
        <f t="shared" si="11"/>
        <v>-54374.570000000007</v>
      </c>
      <c r="I52" s="81">
        <f t="shared" si="4"/>
        <v>-0.67756836578688218</v>
      </c>
      <c r="J52" s="41"/>
      <c r="K52" s="41"/>
    </row>
    <row r="53" spans="1:11" ht="15.6">
      <c r="A53" s="30" t="str">
        <v>Snowline SD - Quail Valley MS</v>
      </c>
      <c r="B53" s="77" t="str">
        <v>CA</v>
      </c>
      <c r="C53" s="11">
        <v>35969</v>
      </c>
      <c r="D53" s="18">
        <v>0</v>
      </c>
      <c r="E53" s="18">
        <f t="shared" si="7"/>
        <v>35969</v>
      </c>
      <c r="F53" s="65" t="str">
        <f t="shared" si="8"/>
        <v/>
      </c>
      <c r="G53" s="20">
        <v>38471.379999999997</v>
      </c>
      <c r="H53" s="20">
        <f t="shared" si="11"/>
        <v>-2502.3799999999974</v>
      </c>
      <c r="I53" s="19">
        <f t="shared" si="4"/>
        <v>-6.50452362249547E-2</v>
      </c>
      <c r="J53" s="42" t="s">
        <v>176</v>
      </c>
      <c r="K53" s="43" t="s">
        <v>177</v>
      </c>
    </row>
    <row r="54" spans="1:11" ht="14.45">
      <c r="A54" s="29" t="str">
        <v>Snowline SD - Serrano HS - Middle Lot</v>
      </c>
      <c r="B54" s="76" t="str">
        <v>CA</v>
      </c>
      <c r="C54" s="69">
        <v>29062</v>
      </c>
      <c r="D54" s="13">
        <v>0</v>
      </c>
      <c r="E54" s="13">
        <f t="shared" si="7"/>
        <v>29062</v>
      </c>
      <c r="F54" s="13" t="str">
        <f t="shared" si="8"/>
        <v/>
      </c>
      <c r="G54" s="67">
        <v>45725</v>
      </c>
      <c r="H54" s="67">
        <f t="shared" si="11"/>
        <v>-16663</v>
      </c>
      <c r="I54" s="67">
        <f t="shared" si="4"/>
        <v>-0.36441771459814104</v>
      </c>
      <c r="J54" s="70"/>
      <c r="K54" s="70"/>
    </row>
    <row r="55" spans="1:11" ht="15.6">
      <c r="A55" s="30" t="str">
        <v>Snowline SD - Pinon Hills ES</v>
      </c>
      <c r="B55" s="77" t="str">
        <v>CA</v>
      </c>
      <c r="C55" s="11">
        <v>9423</v>
      </c>
      <c r="D55" s="18">
        <v>0</v>
      </c>
      <c r="E55" s="18">
        <f t="shared" si="7"/>
        <v>9423</v>
      </c>
      <c r="F55" s="65" t="str">
        <f t="shared" si="8"/>
        <v/>
      </c>
      <c r="G55" s="20">
        <v>22988.18</v>
      </c>
      <c r="H55" s="20">
        <f t="shared" si="11"/>
        <v>-13565.18</v>
      </c>
      <c r="I55" s="19">
        <f t="shared" si="4"/>
        <v>-0.59009369162761038</v>
      </c>
      <c r="J55" s="42" t="s">
        <v>178</v>
      </c>
      <c r="K55" s="43" t="s">
        <v>144</v>
      </c>
    </row>
    <row r="56" spans="1:11" ht="15.6">
      <c r="A56" s="28" t="str">
        <v>Ramona - Santa Maria WTP</v>
      </c>
      <c r="B56" s="76" t="str">
        <v>CA</v>
      </c>
      <c r="C56" s="24">
        <v>17920</v>
      </c>
      <c r="D56" s="13">
        <v>0</v>
      </c>
      <c r="E56" s="13">
        <f t="shared" si="7"/>
        <v>17920</v>
      </c>
      <c r="F56" s="14" t="str">
        <f t="shared" si="8"/>
        <v/>
      </c>
      <c r="G56" s="15">
        <v>74060.39</v>
      </c>
      <c r="H56" s="67">
        <f t="shared" si="11"/>
        <v>-56140.39</v>
      </c>
      <c r="I56" s="67">
        <f t="shared" si="4"/>
        <v>-0.75803530065126579</v>
      </c>
      <c r="J56" s="41" t="s">
        <v>179</v>
      </c>
      <c r="K56" s="41" t="s">
        <v>180</v>
      </c>
    </row>
    <row r="57" spans="1:11" ht="28.9">
      <c r="A57" s="30" t="str">
        <v>Kohls - Redding</v>
      </c>
      <c r="B57" s="77" t="str">
        <v>CA</v>
      </c>
      <c r="C57" s="11">
        <v>37782</v>
      </c>
      <c r="D57" s="18">
        <v>0</v>
      </c>
      <c r="E57" s="18">
        <f t="shared" si="7"/>
        <v>37782</v>
      </c>
      <c r="F57" s="65" t="str">
        <f t="shared" si="8"/>
        <v/>
      </c>
      <c r="G57" s="20">
        <v>29833.35</v>
      </c>
      <c r="H57" s="20">
        <f t="shared" ref="H57:H58" si="12">IF(AND(ISNUMBER(C57),ISNUMBER(G57)), C57-G57, "")</f>
        <v>7948.6500000000015</v>
      </c>
      <c r="I57" s="19">
        <f t="shared" ref="I57:I58" si="13">IFERROR(H57/G57, "")</f>
        <v>0.26643504668433154</v>
      </c>
      <c r="J57" s="42" t="s">
        <v>181</v>
      </c>
      <c r="K57" s="42" t="s">
        <v>182</v>
      </c>
    </row>
    <row r="58" spans="1:11" ht="28.9">
      <c r="A58" s="28" t="str">
        <v>Kohls - Salinas</v>
      </c>
      <c r="B58" s="76" t="str">
        <v>CA</v>
      </c>
      <c r="C58" s="24">
        <v>31143</v>
      </c>
      <c r="D58" s="13">
        <v>0</v>
      </c>
      <c r="E58" s="13">
        <f t="shared" si="7"/>
        <v>31143</v>
      </c>
      <c r="F58" s="14" t="str">
        <f t="shared" si="8"/>
        <v/>
      </c>
      <c r="G58" s="15">
        <v>42851.23</v>
      </c>
      <c r="H58" s="67">
        <f t="shared" si="12"/>
        <v>-11708.230000000003</v>
      </c>
      <c r="I58" s="81">
        <f t="shared" si="13"/>
        <v>-0.27322972992840583</v>
      </c>
      <c r="J58" s="41" t="s">
        <v>183</v>
      </c>
      <c r="K58" s="41" t="s">
        <v>184</v>
      </c>
    </row>
    <row r="59" spans="1:11" ht="15.6">
      <c r="A59" s="30" t="str">
        <v>Kohls - San Bernardino - Central</v>
      </c>
      <c r="B59" s="77" t="str">
        <v>CA</v>
      </c>
      <c r="C59" s="11">
        <v>126806</v>
      </c>
      <c r="D59" s="18">
        <v>0</v>
      </c>
      <c r="E59" s="18">
        <f t="shared" si="7"/>
        <v>126806</v>
      </c>
      <c r="F59" s="65" t="str">
        <f t="shared" si="8"/>
        <v/>
      </c>
      <c r="G59" s="20">
        <v>140317</v>
      </c>
      <c r="H59" s="20">
        <f t="shared" ref="H59:H68" si="14">IF(AND(ISNUMBER(C59),ISNUMBER(G59)), C59-G59, "")</f>
        <v>-13511</v>
      </c>
      <c r="I59" s="19">
        <f t="shared" ref="I59:I68" si="15">IFERROR(H59/G59, "")</f>
        <v>-9.6289116785564122E-2</v>
      </c>
      <c r="J59" s="42"/>
      <c r="K59" s="43"/>
    </row>
    <row r="60" spans="1:11" ht="15.6">
      <c r="A60" s="28" t="str">
        <v>Kohls - Sonora</v>
      </c>
      <c r="B60" s="76" t="str">
        <v>CA</v>
      </c>
      <c r="C60" s="24">
        <v>27863</v>
      </c>
      <c r="D60" s="13">
        <v>0</v>
      </c>
      <c r="E60" s="13">
        <f t="shared" si="7"/>
        <v>27863</v>
      </c>
      <c r="F60" s="14" t="str">
        <f t="shared" si="8"/>
        <v/>
      </c>
      <c r="G60" s="15">
        <v>29667.66</v>
      </c>
      <c r="H60" s="67">
        <f t="shared" si="14"/>
        <v>-1804.6599999999999</v>
      </c>
      <c r="I60" s="66">
        <f t="shared" si="15"/>
        <v>-6.0829199202094127E-2</v>
      </c>
      <c r="J60" s="41" t="s">
        <v>185</v>
      </c>
      <c r="K60" s="41" t="s">
        <v>186</v>
      </c>
    </row>
    <row r="61" spans="1:11" ht="15.6">
      <c r="A61" s="30" t="str">
        <v>CUSD - Stratford ES</v>
      </c>
      <c r="B61" s="77" t="str">
        <v>CA</v>
      </c>
      <c r="C61" s="11">
        <v>20828</v>
      </c>
      <c r="D61" s="18">
        <v>0</v>
      </c>
      <c r="E61" s="18">
        <f t="shared" si="7"/>
        <v>20828</v>
      </c>
      <c r="F61" s="65" t="str">
        <f t="shared" si="8"/>
        <v/>
      </c>
      <c r="G61" s="20">
        <v>21367.71</v>
      </c>
      <c r="H61" s="20">
        <f t="shared" si="14"/>
        <v>-539.70999999999913</v>
      </c>
      <c r="I61" s="19">
        <f t="shared" si="15"/>
        <v>-2.5258205020566037E-2</v>
      </c>
      <c r="J61" s="42" t="s">
        <v>187</v>
      </c>
      <c r="K61" s="43" t="s">
        <v>188</v>
      </c>
    </row>
    <row r="62" spans="1:11" ht="15.6">
      <c r="A62" s="28" t="str">
        <v>Taft - City Hall</v>
      </c>
      <c r="B62" s="76" t="str">
        <v>CA</v>
      </c>
      <c r="C62" s="24">
        <v>5728</v>
      </c>
      <c r="D62" s="13">
        <v>0</v>
      </c>
      <c r="E62" s="13">
        <f t="shared" si="7"/>
        <v>5728</v>
      </c>
      <c r="F62" s="14" t="str">
        <f t="shared" si="8"/>
        <v/>
      </c>
      <c r="G62" s="15">
        <v>9308.33</v>
      </c>
      <c r="H62" s="67">
        <f t="shared" si="14"/>
        <v>-3580.33</v>
      </c>
      <c r="I62" s="81">
        <f t="shared" si="15"/>
        <v>-0.3846372013024893</v>
      </c>
      <c r="J62" s="41"/>
      <c r="K62" s="41"/>
    </row>
    <row r="63" spans="1:11" ht="15.6">
      <c r="A63" s="30" t="str">
        <v>Taft - Federal Prison</v>
      </c>
      <c r="B63" s="77" t="str">
        <v>CA</v>
      </c>
      <c r="C63" s="11">
        <v>4910</v>
      </c>
      <c r="D63" s="18">
        <v>0</v>
      </c>
      <c r="E63" s="18">
        <f t="shared" si="7"/>
        <v>4910</v>
      </c>
      <c r="F63" s="65" t="str">
        <f t="shared" si="8"/>
        <v/>
      </c>
      <c r="G63" s="65">
        <v>15318.72</v>
      </c>
      <c r="H63" s="20">
        <f t="shared" si="14"/>
        <v>-10408.719999999999</v>
      </c>
      <c r="I63" s="19">
        <f t="shared" si="15"/>
        <v>-0.67947713647093233</v>
      </c>
      <c r="J63" s="42" t="s">
        <v>189</v>
      </c>
      <c r="K63" s="43" t="s">
        <v>190</v>
      </c>
    </row>
    <row r="64" spans="1:11" ht="15.6">
      <c r="A64" s="28" t="str">
        <v>Taft - Police Department</v>
      </c>
      <c r="B64" s="76" t="str">
        <v>CA</v>
      </c>
      <c r="C64" s="24">
        <v>11206</v>
      </c>
      <c r="D64" s="13">
        <v>0</v>
      </c>
      <c r="E64" s="13">
        <f t="shared" si="7"/>
        <v>11206</v>
      </c>
      <c r="F64" s="14" t="str">
        <f t="shared" si="8"/>
        <v/>
      </c>
      <c r="G64" s="15">
        <v>10649.38</v>
      </c>
      <c r="H64" s="67">
        <f t="shared" si="14"/>
        <v>556.6200000000008</v>
      </c>
      <c r="I64" s="66">
        <f t="shared" si="15"/>
        <v>5.226783155451311E-2</v>
      </c>
      <c r="J64" s="41"/>
      <c r="K64" s="41"/>
    </row>
    <row r="65" spans="1:11" ht="14.45">
      <c r="A65" s="72" t="str">
        <v>Taft - WTP</v>
      </c>
      <c r="B65" s="78" t="str">
        <v>CA</v>
      </c>
      <c r="C65" s="65">
        <v>0</v>
      </c>
      <c r="D65" s="65">
        <v>0</v>
      </c>
      <c r="E65" s="65">
        <f t="shared" si="7"/>
        <v>0</v>
      </c>
      <c r="F65" s="65" t="str">
        <f t="shared" si="8"/>
        <v/>
      </c>
      <c r="G65" s="65">
        <v>68067.8</v>
      </c>
      <c r="H65" s="65">
        <f t="shared" si="14"/>
        <v>-68067.8</v>
      </c>
      <c r="I65" s="72">
        <f t="shared" si="15"/>
        <v>-1</v>
      </c>
      <c r="J65" s="65" t="s">
        <v>154</v>
      </c>
      <c r="K65" s="65" t="s">
        <v>155</v>
      </c>
    </row>
    <row r="66" spans="1:11" ht="43.15">
      <c r="A66" s="28" t="str">
        <v>CDCR - CA Correctional Institution</v>
      </c>
      <c r="B66" s="76" t="str">
        <v>CA</v>
      </c>
      <c r="C66" s="24">
        <v>111841</v>
      </c>
      <c r="D66" s="13">
        <v>0</v>
      </c>
      <c r="E66" s="13">
        <f t="shared" si="7"/>
        <v>111841</v>
      </c>
      <c r="F66" s="14" t="str">
        <f t="shared" si="8"/>
        <v/>
      </c>
      <c r="G66" s="15">
        <v>208097.76</v>
      </c>
      <c r="H66" s="67">
        <f t="shared" si="14"/>
        <v>-96256.760000000009</v>
      </c>
      <c r="I66" s="81">
        <f t="shared" si="15"/>
        <v>-0.4625554835381217</v>
      </c>
      <c r="J66" s="41" t="s">
        <v>191</v>
      </c>
      <c r="K66" s="41" t="s">
        <v>192</v>
      </c>
    </row>
    <row r="67" spans="1:11" ht="43.15">
      <c r="A67" s="65" t="str">
        <v>CDCR - CA Correctional Institution II</v>
      </c>
      <c r="B67" s="78" t="str">
        <v>CA</v>
      </c>
      <c r="C67" s="65">
        <v>110217</v>
      </c>
      <c r="D67" s="65">
        <v>0</v>
      </c>
      <c r="E67" s="65">
        <f t="shared" si="7"/>
        <v>110217</v>
      </c>
      <c r="F67" s="65" t="str">
        <f t="shared" si="8"/>
        <v/>
      </c>
      <c r="G67" s="65">
        <v>336377.28100000002</v>
      </c>
      <c r="H67" s="65">
        <f t="shared" si="14"/>
        <v>-226160.28100000002</v>
      </c>
      <c r="I67" s="72">
        <f t="shared" si="15"/>
        <v>-0.67234112936420343</v>
      </c>
      <c r="J67" s="73" t="s">
        <v>193</v>
      </c>
      <c r="K67" s="74" t="s">
        <v>194</v>
      </c>
    </row>
    <row r="68" spans="1:11" ht="15.6">
      <c r="A68" s="28" t="str">
        <v>Snowline SD - Vista Verde ES</v>
      </c>
      <c r="B68" s="76" t="str">
        <v>CA</v>
      </c>
      <c r="C68" s="24">
        <v>26364</v>
      </c>
      <c r="D68" s="13">
        <v>0</v>
      </c>
      <c r="E68" s="13">
        <f t="shared" si="7"/>
        <v>26364</v>
      </c>
      <c r="F68" s="64" t="str">
        <f t="shared" si="8"/>
        <v/>
      </c>
      <c r="G68" s="15">
        <v>28050.799999999999</v>
      </c>
      <c r="H68" s="67">
        <f t="shared" si="14"/>
        <v>-1686.7999999999993</v>
      </c>
      <c r="I68" s="81">
        <f t="shared" si="15"/>
        <v>-6.0133757325994242E-2</v>
      </c>
      <c r="J68" s="41"/>
      <c r="K68" s="41"/>
    </row>
    <row r="69" spans="1:11" ht="14.45">
      <c r="A69" s="21"/>
      <c r="B69" s="79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79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79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79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79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79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79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79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79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79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79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79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79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79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79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79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79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79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79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79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79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79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79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79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79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79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79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79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79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79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79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79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79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79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79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79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79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79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79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79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79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79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79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79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79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79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79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79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79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79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79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79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79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79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79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79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79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79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79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79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79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79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79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79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79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79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79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79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79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79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79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79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79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79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79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79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79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79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79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79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79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79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79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79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79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79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79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79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79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79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79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79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79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79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79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79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79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79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79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79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79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79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79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79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79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79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79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79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79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79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79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79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79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79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79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79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79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79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79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79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79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79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79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79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79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79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79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79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79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79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79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79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79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79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79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79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79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79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79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79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79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79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79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79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79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79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79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79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79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79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79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79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79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79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79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79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79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79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79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79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79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79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79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79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79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79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79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79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79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79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79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79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79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79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79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79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79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79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79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79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79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79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79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79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79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79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79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79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79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79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79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79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79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79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79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79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79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79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79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79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79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79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79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79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79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79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79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79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79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79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79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79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79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79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79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79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79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79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79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79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79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79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79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79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79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79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79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79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79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79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79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79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79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79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79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79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79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79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79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79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79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79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79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79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79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79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79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79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79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79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79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79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79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79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79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79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79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79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79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79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79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79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79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79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79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79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79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79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79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79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79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79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79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I4:I18 F18 F20 I20:I34 F22 F24 F26 F28 F30 F32 F34 F36 I36 F38 I38:I51 F40 F42 F44 F46 F48 F50 F52 I53 I55 F56 F58 I59:I61 F60 F62 I63:I64 F64 F66 F68:F100 I69:I100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57">
    <cfRule type="cellIs" dxfId="16" priority="1" stopIfTrue="1" operator="lessThanOrEqual">
      <formula>-0.1</formula>
    </cfRule>
    <cfRule type="expression" dxfId="15" priority="2">
      <formula>AND(ISNUMBER(I57), I57&gt;=0.1)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39" activePane="bottomRight" state="frozen"/>
      <selection pane="bottomRight" activeCell="G56" sqref="G5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195</v>
      </c>
      <c r="E1" s="85"/>
      <c r="F1" s="85"/>
      <c r="G1" s="83" t="s">
        <v>196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D13" activePane="bottomRight" state="frozen"/>
      <selection pane="bottomRight" activeCell="A24" sqref="A24:L6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197</v>
      </c>
      <c r="E1" s="85"/>
      <c r="F1" s="85"/>
      <c r="G1" s="83" t="s">
        <v>198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76" sqref="E7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Silicon Ranch</v>
      </c>
      <c r="B1" s="84"/>
      <c r="C1" s="84"/>
      <c r="D1" s="85" t="s">
        <v>199</v>
      </c>
      <c r="E1" s="85"/>
      <c r="F1" s="85"/>
      <c r="G1" s="83" t="s">
        <v>200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workbookViewId="0">
      <pane ySplit="3" topLeftCell="A31" activePane="bottomLeft" state="frozen"/>
      <selection pane="bottomLeft" activeCell="A48" sqref="A48:E4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201</v>
      </c>
      <c r="B1" t="s">
        <v>202</v>
      </c>
    </row>
    <row r="3" spans="1:12" ht="13.15">
      <c r="A3" t="s">
        <v>203</v>
      </c>
      <c r="B3" t="s">
        <v>3</v>
      </c>
      <c r="C3" t="s">
        <v>4</v>
      </c>
      <c r="D3" t="s">
        <v>204</v>
      </c>
      <c r="E3" s="2" t="s">
        <v>205</v>
      </c>
    </row>
    <row r="4" spans="1:12" ht="14.45">
      <c r="A4" s="50" t="s">
        <v>206</v>
      </c>
      <c r="B4" t="s">
        <v>207</v>
      </c>
      <c r="C4" s="47" t="s">
        <v>208</v>
      </c>
      <c r="D4" s="46" t="s">
        <v>209</v>
      </c>
      <c r="E4" t="s">
        <v>210</v>
      </c>
      <c r="G4" s="3"/>
    </row>
    <row r="5" spans="1:12" ht="14.45">
      <c r="A5" s="50" t="s">
        <v>211</v>
      </c>
      <c r="B5" t="s">
        <v>212</v>
      </c>
      <c r="C5" s="47" t="s">
        <v>213</v>
      </c>
      <c r="D5" s="46" t="s">
        <v>209</v>
      </c>
      <c r="E5" t="s">
        <v>210</v>
      </c>
      <c r="G5" s="3"/>
    </row>
    <row r="6" spans="1:12" ht="14.45">
      <c r="A6" s="50" t="s">
        <v>214</v>
      </c>
      <c r="B6" t="s">
        <v>215</v>
      </c>
      <c r="C6" s="47" t="s">
        <v>216</v>
      </c>
      <c r="D6" s="46" t="s">
        <v>209</v>
      </c>
      <c r="E6" t="s">
        <v>210</v>
      </c>
      <c r="G6" s="3"/>
    </row>
    <row r="7" spans="1:12" ht="12.75" customHeight="1">
      <c r="A7" s="50" t="s">
        <v>217</v>
      </c>
      <c r="B7" t="s">
        <v>218</v>
      </c>
      <c r="C7" s="47" t="s">
        <v>219</v>
      </c>
      <c r="D7" s="46" t="s">
        <v>209</v>
      </c>
      <c r="E7" t="s">
        <v>210</v>
      </c>
    </row>
    <row r="8" spans="1:12" ht="12.75" customHeight="1">
      <c r="A8" s="50" t="s">
        <v>220</v>
      </c>
      <c r="B8" t="s">
        <v>221</v>
      </c>
      <c r="C8" s="47" t="s">
        <v>213</v>
      </c>
      <c r="D8" s="46" t="s">
        <v>209</v>
      </c>
      <c r="E8" t="s">
        <v>210</v>
      </c>
    </row>
    <row r="9" spans="1:12" ht="12.75" customHeight="1">
      <c r="A9" s="50" t="s">
        <v>222</v>
      </c>
      <c r="B9" t="s">
        <v>223</v>
      </c>
      <c r="C9" s="47" t="s">
        <v>208</v>
      </c>
      <c r="D9" s="46" t="s">
        <v>209</v>
      </c>
      <c r="E9" t="s">
        <v>210</v>
      </c>
    </row>
    <row r="10" spans="1:12" ht="12.75" customHeight="1">
      <c r="A10" s="50" t="s">
        <v>224</v>
      </c>
      <c r="B10" t="s">
        <v>225</v>
      </c>
      <c r="C10" s="47" t="s">
        <v>213</v>
      </c>
      <c r="D10" s="46" t="s">
        <v>209</v>
      </c>
      <c r="E10" t="s">
        <v>210</v>
      </c>
      <c r="K10" s="44"/>
      <c r="L10" s="44"/>
    </row>
    <row r="11" spans="1:12" ht="12.75" customHeight="1">
      <c r="A11" s="50" t="s">
        <v>226</v>
      </c>
      <c r="B11" t="s">
        <v>227</v>
      </c>
      <c r="C11" s="47" t="s">
        <v>219</v>
      </c>
      <c r="D11" s="46" t="s">
        <v>209</v>
      </c>
      <c r="E11" t="s">
        <v>210</v>
      </c>
      <c r="K11" s="44"/>
      <c r="L11" s="44"/>
    </row>
    <row r="12" spans="1:12" ht="12.75" customHeight="1">
      <c r="A12" s="50" t="s">
        <v>228</v>
      </c>
      <c r="B12" t="s">
        <v>229</v>
      </c>
      <c r="C12" s="47" t="s">
        <v>230</v>
      </c>
      <c r="D12" s="46" t="s">
        <v>209</v>
      </c>
      <c r="E12" t="s">
        <v>210</v>
      </c>
      <c r="K12" s="44"/>
      <c r="L12" s="44"/>
    </row>
    <row r="13" spans="1:12" ht="12.75" customHeight="1">
      <c r="A13" s="50" t="s">
        <v>231</v>
      </c>
      <c r="B13" t="s">
        <v>232</v>
      </c>
      <c r="C13" s="47" t="s">
        <v>216</v>
      </c>
      <c r="D13" s="46" t="s">
        <v>209</v>
      </c>
      <c r="E13" t="s">
        <v>210</v>
      </c>
      <c r="K13" s="44"/>
      <c r="L13" s="44"/>
    </row>
    <row r="14" spans="1:12" ht="12.75" customHeight="1">
      <c r="A14" s="50" t="s">
        <v>233</v>
      </c>
      <c r="B14" t="s">
        <v>234</v>
      </c>
      <c r="C14" s="47" t="s">
        <v>213</v>
      </c>
      <c r="D14" s="46" t="s">
        <v>209</v>
      </c>
      <c r="E14" t="s">
        <v>210</v>
      </c>
      <c r="K14" s="44"/>
      <c r="L14" s="44"/>
    </row>
    <row r="15" spans="1:12" ht="12.75" customHeight="1">
      <c r="A15" s="50" t="s">
        <v>235</v>
      </c>
      <c r="B15" t="s">
        <v>236</v>
      </c>
      <c r="C15" s="47" t="s">
        <v>216</v>
      </c>
      <c r="D15" s="46" t="s">
        <v>209</v>
      </c>
      <c r="E15" t="s">
        <v>210</v>
      </c>
      <c r="K15" s="44"/>
      <c r="L15" s="44"/>
    </row>
    <row r="16" spans="1:12" ht="12.75" customHeight="1">
      <c r="A16" s="50" t="s">
        <v>237</v>
      </c>
      <c r="B16" t="s">
        <v>238</v>
      </c>
      <c r="C16" s="47" t="s">
        <v>213</v>
      </c>
      <c r="D16" s="46" t="s">
        <v>209</v>
      </c>
      <c r="E16" t="s">
        <v>210</v>
      </c>
      <c r="K16" s="44"/>
      <c r="L16" s="44"/>
    </row>
    <row r="17" spans="1:12" ht="12.75" customHeight="1">
      <c r="A17" s="50" t="s">
        <v>239</v>
      </c>
      <c r="B17" t="s">
        <v>240</v>
      </c>
      <c r="C17" s="47" t="s">
        <v>213</v>
      </c>
      <c r="D17" s="46" t="s">
        <v>209</v>
      </c>
      <c r="E17" t="s">
        <v>210</v>
      </c>
      <c r="K17" s="44"/>
      <c r="L17" s="44"/>
    </row>
    <row r="18" spans="1:12" ht="12.75" customHeight="1">
      <c r="A18" s="50" t="s">
        <v>241</v>
      </c>
      <c r="B18" t="s">
        <v>242</v>
      </c>
      <c r="C18" s="47" t="s">
        <v>213</v>
      </c>
      <c r="D18" s="46" t="s">
        <v>209</v>
      </c>
      <c r="E18" t="s">
        <v>210</v>
      </c>
      <c r="K18" s="44"/>
      <c r="L18" s="44"/>
    </row>
    <row r="19" spans="1:12" ht="12.75" customHeight="1">
      <c r="A19" s="50" t="s">
        <v>243</v>
      </c>
      <c r="B19" t="s">
        <v>244</v>
      </c>
      <c r="C19" s="47" t="s">
        <v>213</v>
      </c>
      <c r="D19" s="46" t="s">
        <v>209</v>
      </c>
      <c r="E19" t="s">
        <v>210</v>
      </c>
      <c r="K19" s="44"/>
      <c r="L19" s="44"/>
    </row>
    <row r="20" spans="1:12" ht="12.75" customHeight="1">
      <c r="A20" s="50" t="s">
        <v>245</v>
      </c>
      <c r="B20" t="s">
        <v>246</v>
      </c>
      <c r="C20" s="47" t="s">
        <v>216</v>
      </c>
      <c r="D20" s="46" t="s">
        <v>209</v>
      </c>
      <c r="E20" t="s">
        <v>210</v>
      </c>
      <c r="K20" s="44"/>
      <c r="L20" s="44"/>
    </row>
    <row r="21" spans="1:12" ht="12.75" customHeight="1">
      <c r="A21" s="50" t="s">
        <v>247</v>
      </c>
      <c r="B21" t="s">
        <v>248</v>
      </c>
      <c r="C21" s="47" t="s">
        <v>219</v>
      </c>
      <c r="D21" s="46" t="s">
        <v>209</v>
      </c>
      <c r="E21" t="s">
        <v>210</v>
      </c>
      <c r="K21" s="44"/>
      <c r="L21" s="44"/>
    </row>
    <row r="22" spans="1:12" ht="12.75" customHeight="1">
      <c r="A22" s="50" t="s">
        <v>249</v>
      </c>
      <c r="B22" t="s">
        <v>250</v>
      </c>
      <c r="C22" s="47" t="s">
        <v>213</v>
      </c>
      <c r="D22" s="46" t="s">
        <v>209</v>
      </c>
      <c r="E22" t="s">
        <v>210</v>
      </c>
      <c r="K22" s="44"/>
      <c r="L22" s="44"/>
    </row>
    <row r="23" spans="1:12" ht="12.75" customHeight="1">
      <c r="A23" s="50" t="s">
        <v>251</v>
      </c>
      <c r="B23" t="s">
        <v>252</v>
      </c>
      <c r="C23" s="47" t="s">
        <v>213</v>
      </c>
      <c r="D23" s="46" t="s">
        <v>209</v>
      </c>
      <c r="E23" t="s">
        <v>210</v>
      </c>
      <c r="K23" s="44"/>
      <c r="L23" s="44"/>
    </row>
    <row r="24" spans="1:12" ht="12.75" customHeight="1">
      <c r="A24" s="50" t="s">
        <v>253</v>
      </c>
      <c r="B24" t="s">
        <v>254</v>
      </c>
      <c r="C24" s="47" t="s">
        <v>216</v>
      </c>
      <c r="D24" s="46" t="s">
        <v>209</v>
      </c>
      <c r="E24" t="s">
        <v>210</v>
      </c>
      <c r="K24" s="44"/>
      <c r="L24" s="44"/>
    </row>
    <row r="25" spans="1:12" ht="12.75" customHeight="1">
      <c r="A25" s="50" t="s">
        <v>255</v>
      </c>
      <c r="B25" t="s">
        <v>256</v>
      </c>
      <c r="C25" s="47" t="s">
        <v>208</v>
      </c>
      <c r="D25" s="46" t="s">
        <v>209</v>
      </c>
      <c r="E25" t="s">
        <v>210</v>
      </c>
      <c r="K25" s="44"/>
      <c r="L25" s="44"/>
    </row>
    <row r="26" spans="1:12" ht="12.75" customHeight="1">
      <c r="A26" t="s">
        <v>257</v>
      </c>
      <c r="B26" t="s">
        <v>258</v>
      </c>
      <c r="C26" s="47" t="s">
        <v>259</v>
      </c>
      <c r="D26" t="s">
        <v>209</v>
      </c>
      <c r="E26" t="s">
        <v>210</v>
      </c>
      <c r="K26" s="44"/>
      <c r="L26" s="44"/>
    </row>
    <row r="27" spans="1:12" ht="12.75" customHeight="1">
      <c r="A27" t="s">
        <v>260</v>
      </c>
      <c r="B27" t="s">
        <v>261</v>
      </c>
      <c r="C27" s="47" t="s">
        <v>259</v>
      </c>
      <c r="D27" t="s">
        <v>209</v>
      </c>
      <c r="E27" t="s">
        <v>210</v>
      </c>
      <c r="K27" s="44"/>
      <c r="L27" s="44"/>
    </row>
    <row r="28" spans="1:12" ht="12.75" customHeight="1">
      <c r="A28" t="s">
        <v>262</v>
      </c>
      <c r="B28" t="s">
        <v>263</v>
      </c>
      <c r="C28" s="47" t="s">
        <v>259</v>
      </c>
      <c r="D28" t="s">
        <v>209</v>
      </c>
      <c r="E28" t="s">
        <v>210</v>
      </c>
      <c r="K28" s="44"/>
      <c r="L28" s="44"/>
    </row>
    <row r="29" spans="1:12" ht="12.75" customHeight="1">
      <c r="A29" t="s">
        <v>264</v>
      </c>
      <c r="B29" t="s">
        <v>265</v>
      </c>
      <c r="C29" s="47" t="s">
        <v>259</v>
      </c>
      <c r="D29" t="s">
        <v>209</v>
      </c>
      <c r="E29" t="s">
        <v>210</v>
      </c>
      <c r="K29" s="44"/>
      <c r="L29" s="44"/>
    </row>
    <row r="30" spans="1:12" ht="12.75" customHeight="1">
      <c r="A30" t="s">
        <v>266</v>
      </c>
      <c r="B30" t="s">
        <v>267</v>
      </c>
      <c r="C30" s="47" t="s">
        <v>259</v>
      </c>
      <c r="D30" t="s">
        <v>209</v>
      </c>
      <c r="E30" t="s">
        <v>210</v>
      </c>
      <c r="K30" s="44"/>
      <c r="L30" s="44"/>
    </row>
    <row r="31" spans="1:12" ht="12.75" customHeight="1">
      <c r="A31" t="s">
        <v>268</v>
      </c>
      <c r="B31" t="s">
        <v>269</v>
      </c>
      <c r="C31" s="47" t="s">
        <v>259</v>
      </c>
      <c r="D31" t="s">
        <v>209</v>
      </c>
      <c r="E31" t="s">
        <v>210</v>
      </c>
      <c r="K31" s="44"/>
      <c r="L31" s="44"/>
    </row>
    <row r="32" spans="1:12" ht="12.75" customHeight="1">
      <c r="A32" t="s">
        <v>270</v>
      </c>
      <c r="B32" t="s">
        <v>271</v>
      </c>
      <c r="C32" s="47" t="s">
        <v>259</v>
      </c>
      <c r="D32" t="s">
        <v>209</v>
      </c>
      <c r="E32" t="s">
        <v>210</v>
      </c>
    </row>
    <row r="33" spans="1:5" ht="12.75" customHeight="1">
      <c r="A33" t="s">
        <v>272</v>
      </c>
      <c r="B33" t="s">
        <v>273</v>
      </c>
      <c r="C33" s="47" t="s">
        <v>259</v>
      </c>
      <c r="D33" t="s">
        <v>209</v>
      </c>
      <c r="E33" t="s">
        <v>210</v>
      </c>
    </row>
    <row r="34" spans="1:5" ht="12.75" customHeight="1">
      <c r="A34" t="s">
        <v>274</v>
      </c>
      <c r="B34" t="s">
        <v>275</v>
      </c>
      <c r="C34" s="47" t="s">
        <v>259</v>
      </c>
      <c r="D34" t="s">
        <v>209</v>
      </c>
      <c r="E34" t="s">
        <v>210</v>
      </c>
    </row>
    <row r="35" spans="1:5" ht="12.75" customHeight="1">
      <c r="A35" t="s">
        <v>276</v>
      </c>
      <c r="B35" t="s">
        <v>277</v>
      </c>
      <c r="C35" s="47" t="s">
        <v>259</v>
      </c>
      <c r="D35" t="s">
        <v>209</v>
      </c>
      <c r="E35" t="s">
        <v>210</v>
      </c>
    </row>
    <row r="36" spans="1:5" ht="12.75" customHeight="1">
      <c r="A36" t="s">
        <v>278</v>
      </c>
      <c r="B36" t="s">
        <v>279</v>
      </c>
      <c r="C36" s="47" t="s">
        <v>259</v>
      </c>
      <c r="D36" t="s">
        <v>209</v>
      </c>
      <c r="E36" t="s">
        <v>210</v>
      </c>
    </row>
    <row r="37" spans="1:5" ht="12.75" customHeight="1">
      <c r="A37" t="s">
        <v>280</v>
      </c>
      <c r="B37" t="s">
        <v>281</v>
      </c>
      <c r="C37" s="47" t="s">
        <v>259</v>
      </c>
      <c r="D37" t="s">
        <v>209</v>
      </c>
      <c r="E37" t="s">
        <v>210</v>
      </c>
    </row>
    <row r="38" spans="1:5" ht="12.75" customHeight="1">
      <c r="A38" t="s">
        <v>282</v>
      </c>
      <c r="B38" t="s">
        <v>283</v>
      </c>
      <c r="C38" s="47" t="s">
        <v>259</v>
      </c>
      <c r="D38" t="s">
        <v>209</v>
      </c>
      <c r="E38" t="s">
        <v>210</v>
      </c>
    </row>
    <row r="39" spans="1:5" ht="12.75" customHeight="1">
      <c r="A39" t="s">
        <v>284</v>
      </c>
      <c r="B39" t="s">
        <v>285</v>
      </c>
      <c r="C39" s="47" t="s">
        <v>259</v>
      </c>
      <c r="D39" t="s">
        <v>209</v>
      </c>
      <c r="E39" t="s">
        <v>210</v>
      </c>
    </row>
    <row r="40" spans="1:5" ht="12.75" customHeight="1">
      <c r="A40" t="s">
        <v>286</v>
      </c>
      <c r="B40" t="s">
        <v>287</v>
      </c>
      <c r="C40" s="47" t="s">
        <v>259</v>
      </c>
      <c r="D40" t="s">
        <v>209</v>
      </c>
      <c r="E40" t="s">
        <v>210</v>
      </c>
    </row>
    <row r="41" spans="1:5" ht="12.75" customHeight="1">
      <c r="A41" t="s">
        <v>288</v>
      </c>
      <c r="B41" t="s">
        <v>289</v>
      </c>
      <c r="C41" s="47" t="s">
        <v>259</v>
      </c>
      <c r="E41" t="s">
        <v>210</v>
      </c>
    </row>
    <row r="42" spans="1:5" ht="12.75" customHeight="1">
      <c r="A42" t="s">
        <v>290</v>
      </c>
      <c r="B42" t="s">
        <v>291</v>
      </c>
      <c r="C42" s="47" t="s">
        <v>259</v>
      </c>
      <c r="D42" t="s">
        <v>209</v>
      </c>
      <c r="E42" t="s">
        <v>210</v>
      </c>
    </row>
    <row r="43" spans="1:5" ht="12.75" customHeight="1">
      <c r="A43" t="s">
        <v>292</v>
      </c>
      <c r="B43" t="s">
        <v>293</v>
      </c>
      <c r="C43" s="47" t="s">
        <v>259</v>
      </c>
      <c r="D43" t="s">
        <v>209</v>
      </c>
      <c r="E43" t="s">
        <v>210</v>
      </c>
    </row>
    <row r="44" spans="1:5" ht="12.75" customHeight="1">
      <c r="A44" t="s">
        <v>294</v>
      </c>
      <c r="B44" t="s">
        <v>295</v>
      </c>
      <c r="C44" s="47" t="s">
        <v>259</v>
      </c>
      <c r="D44" t="s">
        <v>209</v>
      </c>
      <c r="E44" t="s">
        <v>210</v>
      </c>
    </row>
    <row r="45" spans="1:5" ht="12.75" customHeight="1">
      <c r="A45" t="s">
        <v>296</v>
      </c>
      <c r="B45" t="s">
        <v>297</v>
      </c>
      <c r="C45" s="47" t="s">
        <v>259</v>
      </c>
      <c r="D45" t="s">
        <v>209</v>
      </c>
      <c r="E45" t="s">
        <v>210</v>
      </c>
    </row>
    <row r="46" spans="1:5" ht="12.75" customHeight="1">
      <c r="A46" t="s">
        <v>298</v>
      </c>
      <c r="B46" t="s">
        <v>299</v>
      </c>
      <c r="C46" s="47" t="s">
        <v>259</v>
      </c>
      <c r="D46" t="s">
        <v>209</v>
      </c>
      <c r="E46" t="s">
        <v>210</v>
      </c>
    </row>
    <row r="47" spans="1:5" ht="12.75" customHeight="1">
      <c r="A47" t="s">
        <v>300</v>
      </c>
      <c r="B47" t="s">
        <v>301</v>
      </c>
      <c r="C47" s="47" t="s">
        <v>259</v>
      </c>
      <c r="D47" t="s">
        <v>209</v>
      </c>
      <c r="E47" t="s">
        <v>210</v>
      </c>
    </row>
    <row r="48" spans="1:5" ht="12.75" customHeight="1">
      <c r="A48" t="s">
        <v>302</v>
      </c>
      <c r="B48" t="s">
        <v>302</v>
      </c>
      <c r="C48" s="47" t="s">
        <v>259</v>
      </c>
      <c r="D48" t="s">
        <v>209</v>
      </c>
      <c r="E48" t="s">
        <v>210</v>
      </c>
    </row>
    <row r="49" spans="1:5" ht="12.75" customHeight="1">
      <c r="A49" t="s">
        <v>303</v>
      </c>
      <c r="B49" t="s">
        <v>304</v>
      </c>
      <c r="C49" s="47" t="s">
        <v>259</v>
      </c>
      <c r="E49" t="s">
        <v>210</v>
      </c>
    </row>
    <row r="50" spans="1:5" ht="12.75" customHeight="1">
      <c r="A50" t="s">
        <v>305</v>
      </c>
      <c r="B50" t="s">
        <v>306</v>
      </c>
      <c r="C50" s="47" t="s">
        <v>259</v>
      </c>
      <c r="E50" t="s">
        <v>210</v>
      </c>
    </row>
    <row r="51" spans="1:5" ht="12.75" customHeight="1">
      <c r="A51" t="s">
        <v>307</v>
      </c>
      <c r="B51" t="s">
        <v>308</v>
      </c>
      <c r="C51" s="47" t="s">
        <v>259</v>
      </c>
      <c r="D51" t="s">
        <v>209</v>
      </c>
      <c r="E51" t="s">
        <v>210</v>
      </c>
    </row>
    <row r="52" spans="1:5" ht="12.75" customHeight="1">
      <c r="A52" t="s">
        <v>309</v>
      </c>
      <c r="B52" t="s">
        <v>310</v>
      </c>
      <c r="C52" s="47" t="s">
        <v>259</v>
      </c>
      <c r="E52" t="s">
        <v>210</v>
      </c>
    </row>
    <row r="53" spans="1:5" ht="12.75" customHeight="1">
      <c r="A53" t="s">
        <v>311</v>
      </c>
      <c r="B53" t="s">
        <v>312</v>
      </c>
      <c r="C53" s="47" t="s">
        <v>259</v>
      </c>
      <c r="D53" t="s">
        <v>209</v>
      </c>
      <c r="E53" t="s">
        <v>210</v>
      </c>
    </row>
    <row r="54" spans="1:5" ht="12.75" customHeight="1">
      <c r="A54" t="s">
        <v>313</v>
      </c>
      <c r="B54" t="s">
        <v>314</v>
      </c>
      <c r="C54" s="47" t="s">
        <v>259</v>
      </c>
      <c r="E54" t="s">
        <v>210</v>
      </c>
    </row>
    <row r="55" spans="1:5" ht="12.75" customHeight="1">
      <c r="A55" t="s">
        <v>315</v>
      </c>
      <c r="B55" t="s">
        <v>316</v>
      </c>
      <c r="C55" s="47" t="s">
        <v>259</v>
      </c>
      <c r="D55" t="s">
        <v>209</v>
      </c>
      <c r="E55" t="s">
        <v>210</v>
      </c>
    </row>
    <row r="56" spans="1:5" ht="12.75" customHeight="1">
      <c r="A56" t="s">
        <v>317</v>
      </c>
      <c r="B56" t="s">
        <v>318</v>
      </c>
      <c r="C56" s="47" t="s">
        <v>259</v>
      </c>
      <c r="D56" t="s">
        <v>209</v>
      </c>
      <c r="E56" t="s">
        <v>210</v>
      </c>
    </row>
    <row r="57" spans="1:5" ht="12.75" customHeight="1">
      <c r="A57" t="s">
        <v>319</v>
      </c>
      <c r="B57" t="s">
        <v>320</v>
      </c>
      <c r="C57" s="47" t="s">
        <v>259</v>
      </c>
      <c r="D57" t="s">
        <v>209</v>
      </c>
      <c r="E57" t="s">
        <v>210</v>
      </c>
    </row>
    <row r="58" spans="1:5" ht="12.75" customHeight="1">
      <c r="A58" t="s">
        <v>321</v>
      </c>
      <c r="B58" t="s">
        <v>322</v>
      </c>
      <c r="C58" s="47" t="s">
        <v>259</v>
      </c>
      <c r="D58" t="s">
        <v>209</v>
      </c>
      <c r="E58" t="s">
        <v>210</v>
      </c>
    </row>
    <row r="59" spans="1:5" ht="12.75" customHeight="1">
      <c r="A59" t="s">
        <v>323</v>
      </c>
      <c r="B59" t="s">
        <v>324</v>
      </c>
      <c r="C59" s="47" t="s">
        <v>259</v>
      </c>
      <c r="E59" t="s">
        <v>210</v>
      </c>
    </row>
    <row r="60" spans="1:5" ht="12.75" customHeight="1">
      <c r="A60" t="s">
        <v>325</v>
      </c>
      <c r="B60" t="s">
        <v>326</v>
      </c>
      <c r="C60" s="47" t="s">
        <v>259</v>
      </c>
      <c r="D60" t="s">
        <v>209</v>
      </c>
      <c r="E60" t="s">
        <v>210</v>
      </c>
    </row>
    <row r="61" spans="1:5" ht="12.75" customHeight="1">
      <c r="A61" t="s">
        <v>327</v>
      </c>
      <c r="B61" t="s">
        <v>328</v>
      </c>
      <c r="C61" s="47" t="s">
        <v>259</v>
      </c>
      <c r="D61" t="s">
        <v>209</v>
      </c>
      <c r="E61" t="s">
        <v>210</v>
      </c>
    </row>
    <row r="62" spans="1:5" ht="12.75" customHeight="1">
      <c r="A62" t="s">
        <v>329</v>
      </c>
      <c r="B62" t="s">
        <v>330</v>
      </c>
      <c r="C62" s="47" t="s">
        <v>259</v>
      </c>
      <c r="D62" t="s">
        <v>209</v>
      </c>
      <c r="E62" t="s">
        <v>210</v>
      </c>
    </row>
    <row r="63" spans="1:5" ht="12.75" customHeight="1">
      <c r="A63" t="s">
        <v>331</v>
      </c>
      <c r="B63" t="s">
        <v>332</v>
      </c>
      <c r="C63" s="47" t="s">
        <v>259</v>
      </c>
      <c r="D63" t="s">
        <v>209</v>
      </c>
      <c r="E63" t="s">
        <v>210</v>
      </c>
    </row>
    <row r="64" spans="1:5" ht="12.75" customHeight="1">
      <c r="A64" t="s">
        <v>333</v>
      </c>
      <c r="B64" t="s">
        <v>334</v>
      </c>
      <c r="C64" s="47" t="s">
        <v>259</v>
      </c>
      <c r="D64" t="s">
        <v>209</v>
      </c>
      <c r="E64" t="s">
        <v>210</v>
      </c>
    </row>
    <row r="65" spans="1:5" ht="12.75" customHeight="1">
      <c r="A65" t="s">
        <v>286</v>
      </c>
      <c r="B65" t="s">
        <v>335</v>
      </c>
      <c r="C65" s="47" t="s">
        <v>259</v>
      </c>
      <c r="E65" t="s">
        <v>210</v>
      </c>
    </row>
    <row r="66" spans="1:5" ht="12.75" customHeight="1">
      <c r="A66" t="s">
        <v>336</v>
      </c>
      <c r="B66" t="s">
        <v>337</v>
      </c>
      <c r="C66" s="47" t="s">
        <v>259</v>
      </c>
      <c r="E66" t="s">
        <v>210</v>
      </c>
    </row>
    <row r="67" spans="1:5" ht="12.75" customHeight="1">
      <c r="A67" t="s">
        <v>338</v>
      </c>
      <c r="B67" t="s">
        <v>339</v>
      </c>
      <c r="C67" s="47" t="s">
        <v>259</v>
      </c>
      <c r="E67" t="s">
        <v>210</v>
      </c>
    </row>
    <row r="68" spans="1:5" ht="12.75" customHeight="1">
      <c r="A68" t="s">
        <v>340</v>
      </c>
      <c r="B68" t="s">
        <v>341</v>
      </c>
      <c r="C68" s="47" t="s">
        <v>259</v>
      </c>
      <c r="D68" t="s">
        <v>209</v>
      </c>
      <c r="E68" t="s">
        <v>210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2024-11-07T10:59:21Z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