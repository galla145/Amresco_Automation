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57" documentId="13_ncr:1_{E8B5066D-45D3-438F-8451-70AF374DDA77}" xr6:coauthVersionLast="47" xr6:coauthVersionMax="47" xr10:uidLastSave="{83E57E72-16AF-49A3-A894-C66DB743E8C7}"/>
  <bookViews>
    <workbookView xWindow="286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30" l="1"/>
  <c r="H27" i="30"/>
  <c r="D27" i="30"/>
  <c r="G27" i="30"/>
  <c r="G26" i="30"/>
  <c r="F27" i="30"/>
  <c r="E26" i="30"/>
  <c r="F26" i="30" s="1"/>
  <c r="E27" i="30"/>
  <c r="H24" i="26"/>
  <c r="E24" i="26"/>
  <c r="H24" i="27"/>
  <c r="E24" i="27"/>
  <c r="I25" i="21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I26" i="30" l="1"/>
  <c r="I27" i="30"/>
  <c r="G5" i="18"/>
  <c r="G6" i="18"/>
  <c r="G7" i="18"/>
  <c r="G8" i="18"/>
  <c r="G9" i="18"/>
  <c r="G10" i="18"/>
  <c r="G11" i="18"/>
  <c r="G12" i="18"/>
  <c r="G12" i="34" s="1"/>
  <c r="G13" i="18"/>
  <c r="G14" i="18"/>
  <c r="G15" i="18"/>
  <c r="G16" i="18"/>
  <c r="G16" i="34" s="1"/>
  <c r="G17" i="18"/>
  <c r="G18" i="18"/>
  <c r="G19" i="18"/>
  <c r="G20" i="18"/>
  <c r="G20" i="34" s="1"/>
  <c r="G21" i="18"/>
  <c r="G22" i="18"/>
  <c r="G23" i="18"/>
  <c r="G23" i="34" s="1"/>
  <c r="G24" i="18"/>
  <c r="G25" i="18"/>
  <c r="G4" i="18"/>
  <c r="C4" i="18"/>
  <c r="G5" i="34"/>
  <c r="G6" i="34"/>
  <c r="G7" i="34"/>
  <c r="G8" i="34"/>
  <c r="G9" i="34"/>
  <c r="G10" i="34"/>
  <c r="G11" i="34"/>
  <c r="G13" i="34"/>
  <c r="G14" i="34"/>
  <c r="G15" i="34"/>
  <c r="G17" i="34"/>
  <c r="G18" i="34"/>
  <c r="G19" i="34"/>
  <c r="G21" i="34"/>
  <c r="G22" i="34"/>
  <c r="G24" i="34"/>
  <c r="G25" i="34"/>
  <c r="G4" i="34"/>
  <c r="E18" i="33"/>
  <c r="F18" i="33" s="1"/>
  <c r="H18" i="33"/>
  <c r="I18" i="33" s="1"/>
  <c r="E19" i="33"/>
  <c r="F19" i="33" s="1"/>
  <c r="H19" i="33"/>
  <c r="I19" i="33"/>
  <c r="E20" i="33"/>
  <c r="F20" i="33" s="1"/>
  <c r="H20" i="33"/>
  <c r="I20" i="33" s="1"/>
  <c r="E21" i="33"/>
  <c r="F21" i="33" s="1"/>
  <c r="H21" i="33"/>
  <c r="I21" i="33"/>
  <c r="E22" i="33"/>
  <c r="F22" i="33" s="1"/>
  <c r="H22" i="33"/>
  <c r="I22" i="33" s="1"/>
  <c r="E23" i="33"/>
  <c r="F23" i="33" s="1"/>
  <c r="H23" i="33"/>
  <c r="H23" i="30" s="1"/>
  <c r="I23" i="30" s="1"/>
  <c r="I23" i="33"/>
  <c r="E24" i="33"/>
  <c r="F24" i="33" s="1"/>
  <c r="H24" i="33"/>
  <c r="I24" i="33" s="1"/>
  <c r="E25" i="33"/>
  <c r="F25" i="33" s="1"/>
  <c r="H25" i="33"/>
  <c r="I25" i="33"/>
  <c r="E18" i="32"/>
  <c r="F18" i="32"/>
  <c r="H18" i="32"/>
  <c r="H18" i="30" s="1"/>
  <c r="I18" i="30" s="1"/>
  <c r="I18" i="32"/>
  <c r="E19" i="32"/>
  <c r="F19" i="32" s="1"/>
  <c r="H19" i="32"/>
  <c r="I19" i="32" s="1"/>
  <c r="E20" i="32"/>
  <c r="F20" i="32"/>
  <c r="H20" i="32"/>
  <c r="I20" i="32"/>
  <c r="E21" i="32"/>
  <c r="F21" i="32" s="1"/>
  <c r="H21" i="32"/>
  <c r="I21" i="32" s="1"/>
  <c r="E22" i="32"/>
  <c r="F22" i="32"/>
  <c r="H22" i="32"/>
  <c r="I22" i="32"/>
  <c r="E23" i="32"/>
  <c r="F23" i="32" s="1"/>
  <c r="H23" i="32"/>
  <c r="I23" i="32" s="1"/>
  <c r="E24" i="32"/>
  <c r="F24" i="32"/>
  <c r="H24" i="32"/>
  <c r="H24" i="30" s="1"/>
  <c r="I24" i="30" s="1"/>
  <c r="I24" i="32"/>
  <c r="E25" i="32"/>
  <c r="F25" i="32" s="1"/>
  <c r="H25" i="32"/>
  <c r="I25" i="32" s="1"/>
  <c r="E18" i="31"/>
  <c r="F18" i="31" s="1"/>
  <c r="H18" i="31"/>
  <c r="I18" i="31"/>
  <c r="E19" i="31"/>
  <c r="F19" i="31" s="1"/>
  <c r="H19" i="31"/>
  <c r="I19" i="31"/>
  <c r="E20" i="31"/>
  <c r="F20" i="31" s="1"/>
  <c r="H20" i="31"/>
  <c r="I20" i="31"/>
  <c r="E21" i="31"/>
  <c r="F21" i="31" s="1"/>
  <c r="H21" i="31"/>
  <c r="I21" i="31"/>
  <c r="E22" i="31"/>
  <c r="F22" i="31" s="1"/>
  <c r="H22" i="31"/>
  <c r="I22" i="31"/>
  <c r="E23" i="31"/>
  <c r="F23" i="31" s="1"/>
  <c r="H23" i="31"/>
  <c r="I23" i="31"/>
  <c r="E24" i="31"/>
  <c r="F24" i="31" s="1"/>
  <c r="H24" i="31"/>
  <c r="I24" i="31"/>
  <c r="E25" i="31"/>
  <c r="F25" i="31" s="1"/>
  <c r="H25" i="31"/>
  <c r="I25" i="3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 s="1"/>
  <c r="E21" i="28"/>
  <c r="F21" i="28" s="1"/>
  <c r="H21" i="28"/>
  <c r="I21" i="28" s="1"/>
  <c r="E22" i="28"/>
  <c r="F22" i="28" s="1"/>
  <c r="H22" i="28"/>
  <c r="I22" i="28" s="1"/>
  <c r="E23" i="28"/>
  <c r="F23" i="28" s="1"/>
  <c r="H23" i="28"/>
  <c r="I23" i="28" s="1"/>
  <c r="E24" i="28"/>
  <c r="F24" i="28"/>
  <c r="H24" i="28"/>
  <c r="I24" i="28" s="1"/>
  <c r="E25" i="28"/>
  <c r="F25" i="28" s="1"/>
  <c r="H25" i="28"/>
  <c r="I25" i="28" s="1"/>
  <c r="E18" i="27"/>
  <c r="F18" i="27" s="1"/>
  <c r="H18" i="27"/>
  <c r="I18" i="27"/>
  <c r="E19" i="27"/>
  <c r="F19" i="27" s="1"/>
  <c r="H19" i="27"/>
  <c r="I19" i="27" s="1"/>
  <c r="E20" i="27"/>
  <c r="F20" i="27" s="1"/>
  <c r="H20" i="27"/>
  <c r="I20" i="27"/>
  <c r="E21" i="27"/>
  <c r="F21" i="27" s="1"/>
  <c r="H21" i="27"/>
  <c r="I21" i="27" s="1"/>
  <c r="E22" i="27"/>
  <c r="F22" i="27" s="1"/>
  <c r="H22" i="27"/>
  <c r="I22" i="27"/>
  <c r="E23" i="27"/>
  <c r="F23" i="27" s="1"/>
  <c r="H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/>
  <c r="H22" i="26"/>
  <c r="I22" i="26" s="1"/>
  <c r="E23" i="26"/>
  <c r="F23" i="26" s="1"/>
  <c r="H23" i="26"/>
  <c r="I23" i="26" s="1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/>
  <c r="H19" i="19"/>
  <c r="I19" i="19"/>
  <c r="E20" i="19"/>
  <c r="F20" i="19" s="1"/>
  <c r="H20" i="19"/>
  <c r="I20" i="19" s="1"/>
  <c r="E21" i="19"/>
  <c r="F21" i="19"/>
  <c r="H21" i="19"/>
  <c r="I21" i="19"/>
  <c r="E22" i="19"/>
  <c r="F22" i="19" s="1"/>
  <c r="H22" i="19"/>
  <c r="I22" i="19" s="1"/>
  <c r="I23" i="19"/>
  <c r="E24" i="19"/>
  <c r="F24" i="19" s="1"/>
  <c r="H24" i="19"/>
  <c r="I24" i="19" s="1"/>
  <c r="E25" i="19"/>
  <c r="F25" i="19"/>
  <c r="H25" i="19"/>
  <c r="I25" i="19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/>
  <c r="E20" i="21"/>
  <c r="F20" i="21" s="1"/>
  <c r="H20" i="21"/>
  <c r="I20" i="21" s="1"/>
  <c r="E21" i="21"/>
  <c r="F21" i="21" s="1"/>
  <c r="H21" i="21"/>
  <c r="I21" i="2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E18" i="4"/>
  <c r="F18" i="4"/>
  <c r="H18" i="4"/>
  <c r="H18" i="1" s="1"/>
  <c r="I18" i="4"/>
  <c r="E19" i="4"/>
  <c r="F19" i="4" s="1"/>
  <c r="H19" i="4"/>
  <c r="I19" i="4" s="1"/>
  <c r="E20" i="4"/>
  <c r="F20" i="4"/>
  <c r="H20" i="4"/>
  <c r="H20" i="34" s="1"/>
  <c r="I20" i="4"/>
  <c r="E21" i="4"/>
  <c r="F21" i="4" s="1"/>
  <c r="H21" i="4"/>
  <c r="I21" i="4" s="1"/>
  <c r="E22" i="4"/>
  <c r="F22" i="4"/>
  <c r="H22" i="4"/>
  <c r="I22" i="4"/>
  <c r="E23" i="4"/>
  <c r="F23" i="4" s="1"/>
  <c r="H23" i="4"/>
  <c r="I23" i="4" s="1"/>
  <c r="E24" i="4"/>
  <c r="F24" i="4"/>
  <c r="H24" i="4"/>
  <c r="I24" i="4"/>
  <c r="E25" i="4"/>
  <c r="F25" i="4" s="1"/>
  <c r="H25" i="4"/>
  <c r="I25" i="4" s="1"/>
  <c r="E18" i="3"/>
  <c r="F18" i="3" s="1"/>
  <c r="H18" i="3"/>
  <c r="I18" i="3" s="1"/>
  <c r="E19" i="3"/>
  <c r="F19" i="3" s="1"/>
  <c r="H19" i="3"/>
  <c r="H19" i="34" s="1"/>
  <c r="E20" i="3"/>
  <c r="F20" i="3" s="1"/>
  <c r="H20" i="3"/>
  <c r="I20" i="3" s="1"/>
  <c r="E21" i="3"/>
  <c r="F21" i="3" s="1"/>
  <c r="H21" i="3"/>
  <c r="H21" i="34" s="1"/>
  <c r="E22" i="3"/>
  <c r="F22" i="3" s="1"/>
  <c r="H22" i="3"/>
  <c r="I22" i="3" s="1"/>
  <c r="E23" i="3"/>
  <c r="F23" i="3" s="1"/>
  <c r="H23" i="3"/>
  <c r="H23" i="34" s="1"/>
  <c r="E24" i="3"/>
  <c r="F24" i="3" s="1"/>
  <c r="H24" i="3"/>
  <c r="I24" i="3" s="1"/>
  <c r="E25" i="3"/>
  <c r="F25" i="3" s="1"/>
  <c r="H25" i="3"/>
  <c r="I25" i="3" s="1"/>
  <c r="E18" i="72"/>
  <c r="F18" i="72"/>
  <c r="H18" i="72"/>
  <c r="I18" i="72"/>
  <c r="E19" i="72"/>
  <c r="F19" i="72" s="1"/>
  <c r="H19" i="72"/>
  <c r="I19" i="72" s="1"/>
  <c r="E20" i="72"/>
  <c r="F20" i="72"/>
  <c r="H20" i="72"/>
  <c r="I20" i="72"/>
  <c r="E21" i="72"/>
  <c r="F21" i="72" s="1"/>
  <c r="H21" i="72"/>
  <c r="I21" i="72" s="1"/>
  <c r="E22" i="72"/>
  <c r="F22" i="72"/>
  <c r="H22" i="72"/>
  <c r="I22" i="72"/>
  <c r="E23" i="72"/>
  <c r="F23" i="72" s="1"/>
  <c r="H23" i="72"/>
  <c r="I23" i="72" s="1"/>
  <c r="E24" i="72"/>
  <c r="F24" i="72"/>
  <c r="H24" i="72"/>
  <c r="I24" i="72"/>
  <c r="E25" i="72"/>
  <c r="F25" i="72" s="1"/>
  <c r="H25" i="72"/>
  <c r="I25" i="72" s="1"/>
  <c r="C18" i="30"/>
  <c r="D18" i="30"/>
  <c r="C19" i="30"/>
  <c r="D19" i="30"/>
  <c r="C20" i="30"/>
  <c r="D20" i="30"/>
  <c r="H20" i="30"/>
  <c r="I20" i="30" s="1"/>
  <c r="C21" i="30"/>
  <c r="D21" i="30"/>
  <c r="C22" i="30"/>
  <c r="D22" i="30"/>
  <c r="H22" i="30"/>
  <c r="I22" i="30" s="1"/>
  <c r="C23" i="30"/>
  <c r="D23" i="30"/>
  <c r="C24" i="30"/>
  <c r="D24" i="30"/>
  <c r="C25" i="30"/>
  <c r="D26" i="30"/>
  <c r="H25" i="30"/>
  <c r="I25" i="30" s="1"/>
  <c r="C18" i="29"/>
  <c r="D18" i="29"/>
  <c r="D18" i="34" s="1"/>
  <c r="C19" i="29"/>
  <c r="D19" i="29"/>
  <c r="C20" i="29"/>
  <c r="D20" i="29"/>
  <c r="C21" i="29"/>
  <c r="D21" i="29"/>
  <c r="C22" i="29"/>
  <c r="D22" i="29"/>
  <c r="D22" i="34" s="1"/>
  <c r="C23" i="29"/>
  <c r="D23" i="29"/>
  <c r="C24" i="29"/>
  <c r="D24" i="29"/>
  <c r="C25" i="29"/>
  <c r="D25" i="29"/>
  <c r="C18" i="18"/>
  <c r="C18" i="34" s="1"/>
  <c r="D18" i="18"/>
  <c r="C19" i="18"/>
  <c r="D19" i="18"/>
  <c r="C20" i="18"/>
  <c r="D20" i="18"/>
  <c r="H20" i="18"/>
  <c r="C21" i="18"/>
  <c r="D21" i="18"/>
  <c r="C22" i="18"/>
  <c r="D22" i="18"/>
  <c r="C23" i="18"/>
  <c r="C23" i="34" s="1"/>
  <c r="D23" i="18"/>
  <c r="H23" i="18"/>
  <c r="I23" i="18" s="1"/>
  <c r="C24" i="18"/>
  <c r="D24" i="18"/>
  <c r="C25" i="18"/>
  <c r="D25" i="18"/>
  <c r="H22" i="34"/>
  <c r="C18" i="1"/>
  <c r="D18" i="1"/>
  <c r="G18" i="1"/>
  <c r="C19" i="1"/>
  <c r="D19" i="1"/>
  <c r="G19" i="1"/>
  <c r="C20" i="1"/>
  <c r="D20" i="1"/>
  <c r="G20" i="1"/>
  <c r="H20" i="1"/>
  <c r="C21" i="1"/>
  <c r="E21" i="1" s="1"/>
  <c r="F21" i="1" s="1"/>
  <c r="D21" i="1"/>
  <c r="G21" i="1"/>
  <c r="H21" i="1"/>
  <c r="C22" i="1"/>
  <c r="D22" i="1"/>
  <c r="G22" i="1"/>
  <c r="H22" i="1"/>
  <c r="C23" i="1"/>
  <c r="D23" i="1"/>
  <c r="G23" i="1"/>
  <c r="H23" i="1"/>
  <c r="C24" i="1"/>
  <c r="D24" i="1"/>
  <c r="G24" i="1"/>
  <c r="H24" i="1"/>
  <c r="I24" i="1" s="1"/>
  <c r="C25" i="1"/>
  <c r="D25" i="1"/>
  <c r="G25" i="1"/>
  <c r="H25" i="1"/>
  <c r="I25" i="1" s="1"/>
  <c r="C16" i="30"/>
  <c r="D16" i="30"/>
  <c r="C17" i="30"/>
  <c r="D17" i="30"/>
  <c r="E17" i="30" s="1"/>
  <c r="F17" i="30" s="1"/>
  <c r="C16" i="29"/>
  <c r="D16" i="29"/>
  <c r="C17" i="29"/>
  <c r="D17" i="29"/>
  <c r="C16" i="18"/>
  <c r="D16" i="18"/>
  <c r="C17" i="18"/>
  <c r="C17" i="34" s="1"/>
  <c r="D17" i="18"/>
  <c r="C16" i="1"/>
  <c r="D16" i="1"/>
  <c r="G16" i="1"/>
  <c r="C17" i="1"/>
  <c r="D17" i="1"/>
  <c r="G17" i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D13" i="30"/>
  <c r="C13" i="30"/>
  <c r="D12" i="30"/>
  <c r="C12" i="30"/>
  <c r="D11" i="30"/>
  <c r="C11" i="30"/>
  <c r="E11" i="30" s="1"/>
  <c r="F11" i="30" s="1"/>
  <c r="D10" i="30"/>
  <c r="C10" i="30"/>
  <c r="D9" i="30"/>
  <c r="C9" i="30"/>
  <c r="D8" i="30"/>
  <c r="C8" i="30"/>
  <c r="D7" i="30"/>
  <c r="C7" i="30"/>
  <c r="D6" i="30"/>
  <c r="C6" i="30"/>
  <c r="D5" i="30"/>
  <c r="C5" i="30"/>
  <c r="C4" i="30"/>
  <c r="D15" i="29"/>
  <c r="C15" i="29"/>
  <c r="D14" i="29"/>
  <c r="C14" i="29"/>
  <c r="D13" i="29"/>
  <c r="C13" i="29"/>
  <c r="D12" i="29"/>
  <c r="D12" i="34" s="1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C4" i="34" s="1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F14" i="4"/>
  <c r="E14" i="4"/>
  <c r="H13" i="4"/>
  <c r="I13" i="4" s="1"/>
  <c r="E13" i="4"/>
  <c r="F13" i="4" s="1"/>
  <c r="H12" i="4"/>
  <c r="I12" i="4" s="1"/>
  <c r="E12" i="4"/>
  <c r="F12" i="4" s="1"/>
  <c r="I11" i="4"/>
  <c r="H11" i="4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8" i="30" l="1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5" i="34"/>
  <c r="D20" i="34"/>
  <c r="D19" i="34"/>
  <c r="C11" i="34"/>
  <c r="C6" i="34"/>
  <c r="I19" i="34"/>
  <c r="H22" i="29"/>
  <c r="I22" i="29" s="1"/>
  <c r="H21" i="29"/>
  <c r="I21" i="29" s="1"/>
  <c r="D24" i="34"/>
  <c r="D17" i="34"/>
  <c r="E17" i="34" s="1"/>
  <c r="F17" i="34" s="1"/>
  <c r="D16" i="34"/>
  <c r="D15" i="34"/>
  <c r="D11" i="34"/>
  <c r="D8" i="34"/>
  <c r="D7" i="34"/>
  <c r="E7" i="34" s="1"/>
  <c r="F7" i="34" s="1"/>
  <c r="D6" i="34"/>
  <c r="D5" i="34"/>
  <c r="C22" i="34"/>
  <c r="E22" i="34" s="1"/>
  <c r="F22" i="34" s="1"/>
  <c r="H18" i="29"/>
  <c r="I18" i="29" s="1"/>
  <c r="C16" i="34"/>
  <c r="H20" i="29"/>
  <c r="I20" i="29" s="1"/>
  <c r="C20" i="34"/>
  <c r="C21" i="34"/>
  <c r="E21" i="34" s="1"/>
  <c r="F21" i="34" s="1"/>
  <c r="H24" i="29"/>
  <c r="I24" i="29" s="1"/>
  <c r="H25" i="29"/>
  <c r="I25" i="29" s="1"/>
  <c r="C25" i="34"/>
  <c r="E25" i="34" s="1"/>
  <c r="F25" i="34" s="1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I22" i="34"/>
  <c r="I23" i="34"/>
  <c r="G2" i="18"/>
  <c r="I20" i="18"/>
  <c r="I21" i="34"/>
  <c r="G2" i="34"/>
  <c r="I20" i="34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H25" i="34"/>
  <c r="I25" i="34" s="1"/>
  <c r="E23" i="34"/>
  <c r="F23" i="34" s="1"/>
  <c r="E18" i="34"/>
  <c r="F18" i="34" s="1"/>
  <c r="I23" i="3"/>
  <c r="I21" i="3"/>
  <c r="I19" i="3"/>
  <c r="H24" i="34"/>
  <c r="I24" i="34" s="1"/>
  <c r="I22" i="1"/>
  <c r="I20" i="1"/>
  <c r="I18" i="1"/>
  <c r="E24" i="1"/>
  <c r="F24" i="1" s="1"/>
  <c r="E22" i="1"/>
  <c r="F22" i="1" s="1"/>
  <c r="E17" i="1"/>
  <c r="F17" i="1" s="1"/>
  <c r="I23" i="1"/>
  <c r="I21" i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4" i="34" s="1"/>
  <c r="F4" i="34" s="1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12" i="34"/>
  <c r="F12" i="34" s="1"/>
  <c r="E13" i="34"/>
  <c r="F13" i="34" s="1"/>
  <c r="G2" i="1"/>
  <c r="E8" i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9" i="34" l="1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<sst xmlns="http://schemas.openxmlformats.org/spreadsheetml/2006/main" count="402" uniqueCount="134">
  <si>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</si>
  <si>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</si>
  <si>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</si>
  <si>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</si>
  <si>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</si>
  <si>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</si>
  <si>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</si>
  <si>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</si>
  <si>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</si>
  <si>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</si>
  <si>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</si>
  <si>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</si>
  <si>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</si>
  <si>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</si>
  <si>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</si>
  <si>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</si>
  <si>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</si>
  <si>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</si>
  <si>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 xml:space="preserve">RI:Coventry </t>
  </si>
  <si>
    <t>VA:Woodbridge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</si>
  <si>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</si>
  <si>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</si>
  <si>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</si>
  <si>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</si>
  <si>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</si>
  <si>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</si>
  <si>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</si>
  <si>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</si>
  <si>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</si>
  <si>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</si>
  <si>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Microinverter 202305091322 has never produced from the day site has started</t>
  </si>
  <si>
    <t>1. SR088272</t>
  </si>
  <si>
    <t>1. Site is offline from 04/01/2024 to 06/27/2024 and again offline from 07/19/2024 (site started communicatimg from April 2024)</t>
  </si>
  <si>
    <t>1.SR088245</t>
  </si>
  <si>
    <t>1. Microinverter 202305093144 is offline
     Microinverter 202305091209 has no communication
     Microinverter 202305089706 has no communication
these issues been present since site started communicating</t>
  </si>
  <si>
    <t>1. SR086320</t>
  </si>
  <si>
    <t>1. Site gateway not reporting since 08/01/2023</t>
  </si>
  <si>
    <t>1. SR086405</t>
  </si>
  <si>
    <t/>
  </si>
  <si>
    <t xml:space="preserve">1. Microinverter 202305092066 is starting late (between 9:30am to 12pm) for production on multiple days </t>
  </si>
  <si>
    <t>1. SR088271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</si>
  <si>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</si>
  <si>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</si>
  <si>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</si>
  <si>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</si>
  <si>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</si>
  <si>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</si>
  <si>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Microinverter 202305091322 is offline from the day site has started</t>
  </si>
  <si>
    <t>1. Site is offline from 07/26.</t>
  </si>
  <si>
    <t>1. SR088245</t>
  </si>
  <si>
    <t>1. Microinverter 202305093144 is offline
 Microinverter 202305091209 has no communication
 Microinverter 202305089706 has no communication
these issues been present since site started communicating</t>
  </si>
  <si>
    <t>1. Site is not communicating from 08/01/23.</t>
  </si>
  <si>
    <t>August Actual v. Expected</t>
  </si>
  <si>
    <t>August Actual v. Forecasted</t>
  </si>
  <si>
    <t>1. Two microinverters - 202305095495, 202305096808 are offline from 08/22 and RMA is needed.</t>
  </si>
  <si>
    <t>1. SR088242</t>
  </si>
  <si>
    <t>1. Microinverter is being RMA'd from 08/27.</t>
  </si>
  <si>
    <t>1. Microinverter 202305093144 is offline
Microinverter 202305091209 has no communication
 Microinverter 202305089706 has no communication
these issues been present since site started communicating</t>
  </si>
  <si>
    <t>1. One microinverter 202036040228 is not reporting from 4/15/2023.</t>
  </si>
  <si>
    <t>1. SR088366</t>
  </si>
  <si>
    <t>September Actual v. Expected</t>
  </si>
  <si>
    <t>September Actual v. Forecasted</t>
  </si>
  <si>
    <t>1. 6 inverters being RMA'd from 09/25.</t>
  </si>
  <si>
    <t>1. Microinverters 202305091322 is offline from the day site has started and it is back online on 09/11.</t>
  </si>
  <si>
    <t>1. Microinverter 202305093144 is offline
 Microinverter 202305091209 has no communication
 Microinverter 202305089706 has no communication
these issues been present since site started communicating and being RMA'd from 09/11.</t>
  </si>
  <si>
    <t>1. 58 micro inverters are not reporting 09/23.</t>
  </si>
  <si>
    <t>1.SR091083</t>
  </si>
  <si>
    <t>1. One microinverter will be offline from 09/13.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</si>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</sst>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164" fontId="0" fillId="0" borderId="0" xfId="0" applyNumberFormat="1"/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center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15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Types" Target="richData/rdRichValueTypes.xml"/><Relationship Id="rId39" Type="http://schemas.openxmlformats.org/officeDocument/2006/relationships/customXml" Target="../customXml/item11.xml"/><Relationship Id="rId21" Type="http://schemas.openxmlformats.org/officeDocument/2006/relationships/styles" Target="styles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47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48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46" Type="http://schemas.openxmlformats.org/officeDocument/2006/relationships/customXml" Target="../customXml/item18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H5" sqref="H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CBRE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 t="e">
        <f>SUM(C4:C87)</f>
        <v>#REF!</v>
      </c>
      <c r="D2" s="5">
        <f>SUM(D4:D87)</f>
        <v>0</v>
      </c>
      <c r="E2" s="5" t="e">
        <f>C2-D2</f>
        <v>#REF!</v>
      </c>
      <c r="F2" s="6">
        <f>IFERROR(E2/D2, 0)</f>
        <v>0</v>
      </c>
      <c r="G2" s="5">
        <f>SUM(G4:G87)</f>
        <v>0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17660.699000000001</v>
      </c>
      <c r="D4" s="13">
        <f>SUM('1st Qtr'!D4, '2nd Qtr'!D4, '3rd Qtr'!D4, '4th Qtr'!D4)</f>
        <v>0</v>
      </c>
      <c r="E4" s="13">
        <f>IF(AND(ISNUMBER(C4),ISNUMBER(D4)), C4-D4, "")</f>
        <v>17660.699000000001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17660.699000000001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8348.9439999999995</v>
      </c>
      <c r="D5" s="18">
        <f>SUM('1st Qtr'!D5, '2nd Qtr'!D5, '3rd Qtr'!D5, '4th Qtr'!D5)</f>
        <v>0</v>
      </c>
      <c r="E5" s="18">
        <f t="shared" ref="E5:E13" si="0">IF(AND(ISNUMBER(C5),ISNUMBER(D5)), C5-D5, "")</f>
        <v>8348.9439999999995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4510.6729999999998</v>
      </c>
      <c r="D6" s="13">
        <f>SUM('1st Qtr'!D6, '2nd Qtr'!D6, '3rd Qtr'!D6, '4th Qtr'!D6)</f>
        <v>0</v>
      </c>
      <c r="E6" s="13">
        <f t="shared" si="0"/>
        <v>4510.6729999999998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9756.5110000000004</v>
      </c>
      <c r="D7" s="18">
        <f>SUM('1st Qtr'!D7, '2nd Qtr'!D7, '3rd Qtr'!D7, '4th Qtr'!D7)</f>
        <v>0</v>
      </c>
      <c r="E7" s="18">
        <f t="shared" si="0"/>
        <v>9756.5110000000004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14208.01</v>
      </c>
      <c r="D8" s="13">
        <f>SUM('1st Qtr'!D8, '2nd Qtr'!D8, '3rd Qtr'!D8, '4th Qtr'!D8)</f>
        <v>0</v>
      </c>
      <c r="E8" s="13">
        <f t="shared" si="0"/>
        <v>14208.01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11795.749</v>
      </c>
      <c r="D9" s="18">
        <f>SUM('1st Qtr'!D9, '2nd Qtr'!D9, '3rd Qtr'!D9, '4th Qtr'!D9)</f>
        <v>0</v>
      </c>
      <c r="E9" s="18">
        <f t="shared" si="0"/>
        <v>11795.749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13796.76</v>
      </c>
      <c r="D10" s="13">
        <f>SUM('1st Qtr'!D10, '2nd Qtr'!D10, '3rd Qtr'!D10, '4th Qtr'!D10)</f>
        <v>0</v>
      </c>
      <c r="E10" s="13">
        <f t="shared" si="0"/>
        <v>13796.76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26897.893000000004</v>
      </c>
      <c r="D11" s="18">
        <f>SUM('1st Qtr'!D11, '2nd Qtr'!D11, '3rd Qtr'!D11, '4th Qtr'!D11)</f>
        <v>0</v>
      </c>
      <c r="E11" s="18">
        <f t="shared" si="0"/>
        <v>26897.893000000004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1192.77</v>
      </c>
      <c r="D12" s="13">
        <f>SUM('1st Qtr'!D12, '2nd Qtr'!D12, '3rd Qtr'!D12, '4th Qtr'!D12)</f>
        <v>0</v>
      </c>
      <c r="E12" s="13">
        <f t="shared" si="0"/>
        <v>1192.77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18256.161</v>
      </c>
      <c r="D13" s="18">
        <f>SUM('1st Qtr'!D13, '2nd Qtr'!D13, '3rd Qtr'!D13, '4th Qtr'!D13)</f>
        <v>0</v>
      </c>
      <c r="E13" s="18">
        <f t="shared" si="0"/>
        <v>18256.161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9897.4</v>
      </c>
      <c r="D14" s="13">
        <f>SUM('1st Qtr'!D14, '2nd Qtr'!D14, '3rd Qtr'!D14, '4th Qtr'!D14)</f>
        <v>0</v>
      </c>
      <c r="E14" s="13">
        <f>IF(AND(ISNUMBER(C14),ISNUMBER(D14)), C14-D14, "")</f>
        <v>9897.4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16495.14</v>
      </c>
      <c r="D15" s="18">
        <f>SUM('1st Qtr'!D15, '2nd Qtr'!D15, '3rd Qtr'!D15, '4th Qtr'!D15)</f>
        <v>0</v>
      </c>
      <c r="E15" s="18">
        <f>IF(AND(ISNUMBER(C15),ISNUMBER(D15)), C15-D15, "")</f>
        <v>16495.14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8597.6810000000005</v>
      </c>
      <c r="D17" s="18">
        <f>SUM('1st Qtr'!D17, '2nd Qtr'!D17, '3rd Qtr'!D17, '4th Qtr'!D17)</f>
        <v>0</v>
      </c>
      <c r="E17" s="18">
        <f t="shared" si="3"/>
        <v>8597.6810000000005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0</v>
      </c>
      <c r="D19" s="18">
        <f>SUM('1st Qtr'!D19, '2nd Qtr'!D19, '3rd Qtr'!D19, '4th Qtr'!D19)</f>
        <v>0</v>
      </c>
      <c r="E19" s="18">
        <f t="shared" si="6"/>
        <v>0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11529.315999999999</v>
      </c>
      <c r="D20" s="13">
        <f>SUM('1st Qtr'!D20, '2nd Qtr'!D20, '3rd Qtr'!D20, '4th Qtr'!D20)</f>
        <v>0</v>
      </c>
      <c r="E20" s="13">
        <f t="shared" si="6"/>
        <v>11529.315999999999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14275.697</v>
      </c>
      <c r="D21" s="18">
        <f>SUM('1st Qtr'!D21, '2nd Qtr'!D21, '3rd Qtr'!D21, '4th Qtr'!D21)</f>
        <v>0</v>
      </c>
      <c r="E21" s="18">
        <f t="shared" si="6"/>
        <v>14275.697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16102.117</v>
      </c>
      <c r="D23" s="18">
        <f>SUM('1st Qtr'!D23, '2nd Qtr'!D23, '3rd Qtr'!D23, '4th Qtr'!D23)</f>
        <v>0</v>
      </c>
      <c r="E23" s="18">
        <f t="shared" si="6"/>
        <v>16102.117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 t="e">
        <f>SUM('1st Qtr'!C24, '2nd Qtr'!C24, '3rd Qtr'!C24, '4th Qtr'!C24)</f>
        <v>#REF!</v>
      </c>
      <c r="D24" s="13">
        <f>SUM('1st Qtr'!D24, '2nd Qtr'!D24, '3rd Qtr'!D24, '4th Qtr'!D24)</f>
        <v>0</v>
      </c>
      <c r="E24" s="13" t="str">
        <f t="shared" si="6"/>
        <v/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7412.4</v>
      </c>
      <c r="D25" s="18">
        <f>SUM('1st Qtr'!D25, '2nd Qtr'!D25, '3rd Qtr'!D25, '4th Qtr'!D26)</f>
        <v>0</v>
      </c>
      <c r="E25" s="18">
        <f t="shared" si="6"/>
        <v>7412.4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 t="shared" si="8"/>
        <v/>
      </c>
    </row>
    <row r="26" spans="1:9" ht="13.9">
      <c r="A26" s="21" t="str">
        <v>Coventry - BA ATM</v>
      </c>
      <c r="B26" s="21" t="str">
        <v>RI</v>
      </c>
      <c r="C26" s="21"/>
      <c r="D26" s="21"/>
      <c r="E26" s="21"/>
      <c r="F26" s="22"/>
      <c r="G26" s="21"/>
      <c r="H26" s="21"/>
      <c r="I26" s="22"/>
    </row>
    <row r="27" spans="1:9" ht="13.9">
      <c r="A27" s="21" t="str">
        <v>Woodbridge - BA ATM</v>
      </c>
      <c r="B27" s="21" t="str">
        <v>VA</v>
      </c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G4:G25">
    <cfRule type="cellIs" dxfId="40" priority="1" stopIfTrue="1" operator="lessThanOrEqual">
      <formula>-0.1</formula>
    </cfRule>
    <cfRule type="expression" dxfId="39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13" sqref="E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CBRE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3.9">
      <c r="A26" s="21" t="str">
        <v>Coventry - BA ATM</v>
      </c>
      <c r="B26" s="21" t="str">
        <v>RI</v>
      </c>
      <c r="C26" s="21"/>
      <c r="D26" s="21"/>
      <c r="E26" s="21"/>
      <c r="F26" s="22"/>
      <c r="G26" s="21"/>
      <c r="H26" s="21"/>
      <c r="I26" s="22"/>
    </row>
    <row r="27" spans="1:9" ht="13.9">
      <c r="A27" s="21" t="str">
        <v>Woodbridge - BA ATM</v>
      </c>
      <c r="B27" s="21" t="str">
        <v>VA</v>
      </c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CBRE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SUM(C4:C86)</f>
        <v>100099.47299999998</v>
      </c>
      <c r="D2" s="5">
        <f>SUM(D4:D86)</f>
        <v>0</v>
      </c>
      <c r="E2" s="5">
        <f>C2-D2</f>
        <v>100099.47299999998</v>
      </c>
      <c r="F2" s="6">
        <f>IFERROR(E2/D2, 0)</f>
        <v>0</v>
      </c>
      <c r="G2" s="5">
        <f>SUM(G4:G86)</f>
        <v>0</v>
      </c>
      <c r="H2" s="7">
        <f>C2-G2</f>
        <v>100099.47299999998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9160.7989999999991</v>
      </c>
      <c r="D4" s="13">
        <f>SUM(Apr!D4, May!D4, Jun!D4)</f>
        <v>0</v>
      </c>
      <c r="E4" s="13">
        <f>IF(AND(ISNUMBER(C4),ISNUMBER(D4)), C4-D4, "")</f>
        <v>9160.7989999999991</v>
      </c>
      <c r="F4" s="14" t="str">
        <f>IFERROR(E4/D4, "")</f>
        <v/>
      </c>
      <c r="G4" s="16">
        <f>SUM(Apr!G4, May!G4, Jun!G4)</f>
        <v>0</v>
      </c>
      <c r="H4" s="15">
        <f>SUM(Apr!H4, May!H4, Jun!H4)</f>
        <v>9160.7989999999991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4212.07</v>
      </c>
      <c r="D5" s="18">
        <f>SUM(Apr!D5, May!D5, Jun!D5)</f>
        <v>0</v>
      </c>
      <c r="E5" s="18">
        <f t="shared" ref="E5:E15" si="0">IF(AND(ISNUMBER(C5),ISNUMBER(D5)), C5-D5, "")</f>
        <v>4212.07</v>
      </c>
      <c r="F5" s="19" t="str">
        <f>IFERROR(E5/D5, "")</f>
        <v/>
      </c>
      <c r="G5" s="19">
        <f>SUM(Apr!G5, May!G5, Jun!G5)</f>
        <v>0</v>
      </c>
      <c r="H5" s="20">
        <f>SUM(Apr!H5, May!H5, Jun!H5)</f>
        <v>4212.07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2257</v>
      </c>
      <c r="D6" s="13">
        <f>SUM(Apr!D6, May!D6, Jun!D6)</f>
        <v>0</v>
      </c>
      <c r="E6" s="13">
        <f t="shared" si="0"/>
        <v>2257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2257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4847</v>
      </c>
      <c r="D7" s="18">
        <f>SUM(Apr!D7, May!D7, Jun!D7)</f>
        <v>0</v>
      </c>
      <c r="E7" s="18">
        <f t="shared" si="0"/>
        <v>4847</v>
      </c>
      <c r="F7" s="19" t="str">
        <f t="shared" si="1"/>
        <v/>
      </c>
      <c r="G7" s="19">
        <f>SUM(Apr!G7, May!G7, Jun!G7)</f>
        <v>0</v>
      </c>
      <c r="H7" s="20">
        <f>SUM(Apr!H7, May!H7, Jun!H7)</f>
        <v>4847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7155</v>
      </c>
      <c r="D8" s="13">
        <f>SUM(Apr!D8, May!D8, Jun!D8)</f>
        <v>0</v>
      </c>
      <c r="E8" s="13">
        <f t="shared" si="0"/>
        <v>7155</v>
      </c>
      <c r="F8" s="14" t="str">
        <f t="shared" si="1"/>
        <v/>
      </c>
      <c r="G8" s="16">
        <f>SUM(Apr!G8, May!G8, Jun!G8)</f>
        <v>0</v>
      </c>
      <c r="H8" s="15">
        <f>SUM(Apr!H8, May!H8, Jun!H8)</f>
        <v>7155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5955</v>
      </c>
      <c r="D9" s="18">
        <f>SUM(Apr!D9, May!D9, Jun!D9)</f>
        <v>0</v>
      </c>
      <c r="E9" s="18">
        <f t="shared" si="0"/>
        <v>5955</v>
      </c>
      <c r="F9" s="19" t="str">
        <f t="shared" si="1"/>
        <v/>
      </c>
      <c r="G9" s="19">
        <f>SUM(Apr!G9, May!G9, Jun!G9)</f>
        <v>0</v>
      </c>
      <c r="H9" s="20">
        <f>SUM(Apr!H9, May!H9, Jun!H9)</f>
        <v>5955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6955</v>
      </c>
      <c r="D10" s="13">
        <f>SUM(Apr!D10, May!D10, Jun!D10)</f>
        <v>0</v>
      </c>
      <c r="E10" s="13">
        <f t="shared" si="0"/>
        <v>6955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6955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5070.2070000000003</v>
      </c>
      <c r="D11" s="18">
        <f>SUM(Apr!D11, May!D11, Jun!D11)</f>
        <v>0</v>
      </c>
      <c r="E11" s="18">
        <f t="shared" si="0"/>
        <v>5070.2070000000003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5070.2070000000003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9116.7609999999986</v>
      </c>
      <c r="D13" s="18">
        <f>SUM(Apr!D13, May!D13, Jun!D13)</f>
        <v>0</v>
      </c>
      <c r="E13" s="18">
        <f t="shared" si="0"/>
        <v>9116.7609999999986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9116.7609999999986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5070</v>
      </c>
      <c r="D14" s="13">
        <f>SUM(Apr!D14, May!D14, Jun!D14)</f>
        <v>0</v>
      </c>
      <c r="E14" s="13">
        <f t="shared" si="0"/>
        <v>5070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5070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8285.5600000000013</v>
      </c>
      <c r="D15" s="18">
        <f>SUM(Apr!D15, May!D15, Jun!D15)</f>
        <v>0</v>
      </c>
      <c r="E15" s="18">
        <f t="shared" si="0"/>
        <v>8285.5600000000013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8285.5600000000013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1570.8910000000001</v>
      </c>
      <c r="D17" s="18">
        <f>SUM(Apr!D17, May!D17, Jun!D17)</f>
        <v>0</v>
      </c>
      <c r="E17" s="18">
        <f t="shared" si="3"/>
        <v>1570.8910000000001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1570.8910000000001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5901.9989999999998</v>
      </c>
      <c r="D20" s="13">
        <f>SUM(Apr!D20, May!D20, Jun!D20)</f>
        <v>0</v>
      </c>
      <c r="E20" s="13">
        <f t="shared" ref="E20:E25" si="6">IF(AND(ISNUMBER(C20),ISNUMBER(D20)), C20-D20, "")</f>
        <v>5901.9989999999998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5901.9989999999998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7407.1970000000001</v>
      </c>
      <c r="D21" s="18">
        <f>SUM(Apr!D21, May!D21, Jun!D21)</f>
        <v>0</v>
      </c>
      <c r="E21" s="18">
        <f t="shared" si="6"/>
        <v>7407.1970000000001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7407.1970000000001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8348.0169999999998</v>
      </c>
      <c r="D23" s="18">
        <f>SUM(Apr!D23, May!D23, Jun!D23)</f>
        <v>0</v>
      </c>
      <c r="E23" s="18">
        <f t="shared" si="6"/>
        <v>8348.0169999999998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8348017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4545.9719999999998</v>
      </c>
      <c r="D24" s="13">
        <f>SUM(Apr!D24, May!D24, Jun!D24)</f>
        <v>0</v>
      </c>
      <c r="E24" s="13">
        <f t="shared" si="6"/>
        <v>4545.9719999999998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4545.9719999999998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4241</v>
      </c>
      <c r="D25" s="18">
        <f>SUM(Apr!D25, May!D25, Jun!D25)</f>
        <v>0</v>
      </c>
      <c r="E25" s="18">
        <f t="shared" si="6"/>
        <v>4241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4241</v>
      </c>
      <c r="I25" s="19" t="str">
        <f t="shared" si="8"/>
        <v/>
      </c>
    </row>
    <row r="26" spans="1:9" ht="13.9">
      <c r="A26" s="21" t="str">
        <v>Coventry - BA ATM</v>
      </c>
      <c r="B26" s="21" t="str">
        <v>RI</v>
      </c>
      <c r="C26" s="21"/>
      <c r="D26" s="21"/>
      <c r="E26" s="21"/>
      <c r="F26" s="22"/>
      <c r="G26" s="21"/>
      <c r="H26" s="21"/>
      <c r="I26" s="22"/>
    </row>
    <row r="27" spans="1:9" ht="13.9">
      <c r="A27" s="21" t="str">
        <v>Woodbridge - BA ATM</v>
      </c>
      <c r="B27" s="21" t="str">
        <v>VA</v>
      </c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4:G25">
    <cfRule type="cellIs" dxfId="34" priority="1" stopIfTrue="1" operator="lessThanOrEqual">
      <formula>-0.1</formula>
    </cfRule>
    <cfRule type="expression" dxfId="3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0" activePane="bottomRight" state="frozen"/>
      <selection pane="bottomRight" activeCell="L46" sqref="L4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CBRE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 t="e">
        <f>SUM(C4:C85)</f>
        <v>#REF!</v>
      </c>
      <c r="D2" s="5">
        <f>SUM(D4:D85)</f>
        <v>0</v>
      </c>
      <c r="E2" s="5" t="e">
        <f>C2-D2</f>
        <v>#REF!</v>
      </c>
      <c r="F2" s="6">
        <f>IFERROR(E2/D2, 0)</f>
        <v>0</v>
      </c>
      <c r="G2" s="5">
        <f>SUM(G4:G85)</f>
        <v>0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8499.9000000000015</v>
      </c>
      <c r="D4" s="13">
        <f>SUM(Jul!D4, Aug!D4, Sep!D4)</f>
        <v>0</v>
      </c>
      <c r="E4" s="13">
        <f>IF(AND(ISNUMBER(C4),ISNUMBER(D4)), C4-D4, "")</f>
        <v>8499.9000000000015</v>
      </c>
      <c r="F4" s="14" t="str">
        <f>IFERROR(E4/D4, "")</f>
        <v/>
      </c>
      <c r="G4" s="15">
        <f>SUM(Jul!G4, Aug!G4, Sep!G4)</f>
        <v>0</v>
      </c>
      <c r="H4" s="15">
        <f>SUM(Jul!H4, Aug!H4, Sep!H4)</f>
        <v>8499.9000000000015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4136.8739999999998</v>
      </c>
      <c r="D5" s="18">
        <f>SUM(Jul!D5, Aug!D5, Sep!D5)</f>
        <v>0</v>
      </c>
      <c r="E5" s="18">
        <f t="shared" ref="E5:E15" si="0">IF(AND(ISNUMBER(C5),ISNUMBER(D5)), C5-D5, "")</f>
        <v>4136.8739999999998</v>
      </c>
      <c r="F5" s="19" t="str">
        <f>IFERROR(E5/D5, "")</f>
        <v/>
      </c>
      <c r="G5" s="20">
        <f>SUM(Jul!G5, Aug!G5, Sep!G5)</f>
        <v>0</v>
      </c>
      <c r="H5" s="20">
        <f>SUM(Jul!H5, Aug!H5, Sep!H5)</f>
        <v>4136.8739999999998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2253.6729999999998</v>
      </c>
      <c r="D6" s="13">
        <f>SUM(Jul!D6, Aug!D6, Sep!D6)</f>
        <v>0</v>
      </c>
      <c r="E6" s="13">
        <f t="shared" si="0"/>
        <v>2253.6729999999998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2253.6729999999998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4909.5110000000004</v>
      </c>
      <c r="D7" s="18">
        <f>SUM(Jul!D7, Aug!D7, Sep!D7)</f>
        <v>0</v>
      </c>
      <c r="E7" s="18">
        <f t="shared" si="0"/>
        <v>4909.5110000000004</v>
      </c>
      <c r="F7" s="19" t="str">
        <f t="shared" si="1"/>
        <v/>
      </c>
      <c r="G7" s="20">
        <f>SUM(Jul!G7, Aug!G7, Sep!G7)</f>
        <v>0</v>
      </c>
      <c r="H7" s="20">
        <f>SUM(Jul!H7, Aug!H7, Sep!H7)</f>
        <v>4909.5110000000004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7053.01</v>
      </c>
      <c r="D8" s="13">
        <f>SUM(Jul!D8, Aug!D8, Sep!D8)</f>
        <v>0</v>
      </c>
      <c r="E8" s="13">
        <f t="shared" si="0"/>
        <v>7053.01</v>
      </c>
      <c r="F8" s="14" t="str">
        <f t="shared" si="1"/>
        <v/>
      </c>
      <c r="G8" s="15">
        <f>SUM(Jul!G8, Aug!G8, Sep!G8)</f>
        <v>0</v>
      </c>
      <c r="H8" s="15">
        <f>SUM(Jul!H8, Aug!H8, Sep!H8)</f>
        <v>7053.01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5840.7489999999998</v>
      </c>
      <c r="D9" s="18">
        <f>SUM(Jul!D9, Aug!D9, Sep!D9)</f>
        <v>0</v>
      </c>
      <c r="E9" s="18">
        <f t="shared" si="0"/>
        <v>5840.7489999999998</v>
      </c>
      <c r="F9" s="19" t="str">
        <f t="shared" si="1"/>
        <v/>
      </c>
      <c r="G9" s="20">
        <f>SUM(Jul!G9, Aug!G9, Sep!G9)</f>
        <v>0</v>
      </c>
      <c r="H9" s="20">
        <f>SUM(Jul!H9, Aug!H9, Sep!H9)</f>
        <v>5840.7489999999998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6841.76</v>
      </c>
      <c r="D10" s="13">
        <f>SUM(Jul!D10, Aug!D10, Sep!D10)</f>
        <v>0</v>
      </c>
      <c r="E10" s="13">
        <f t="shared" si="0"/>
        <v>6841.76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6841.76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21827.686000000002</v>
      </c>
      <c r="D11" s="18">
        <f>SUM(Jul!D11, Aug!D11, Sep!D11)</f>
        <v>0</v>
      </c>
      <c r="E11" s="18">
        <f t="shared" si="0"/>
        <v>21827.686000000002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21827.686000000002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1192.77</v>
      </c>
      <c r="D12" s="13">
        <f>SUM(Jul!D12, Aug!D12, Sep!D12)</f>
        <v>0</v>
      </c>
      <c r="E12" s="13">
        <f t="shared" si="0"/>
        <v>1192.77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1192.77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9139.4</v>
      </c>
      <c r="D13" s="18">
        <f>SUM(Jul!D13, Aug!D13, Sep!D13)</f>
        <v>0</v>
      </c>
      <c r="E13" s="18">
        <f t="shared" si="0"/>
        <v>9139.4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9139.4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4827.3999999999996</v>
      </c>
      <c r="D14" s="13">
        <f>SUM(Jul!D14, Aug!D14, Sep!D14)</f>
        <v>0</v>
      </c>
      <c r="E14" s="13">
        <f t="shared" si="0"/>
        <v>4827.3999999999996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4827.3999999999996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8209.58</v>
      </c>
      <c r="D15" s="18">
        <f>SUM(Jul!D15, Aug!D15, Sep!D15)</f>
        <v>0</v>
      </c>
      <c r="E15" s="18">
        <f t="shared" si="0"/>
        <v>8209.58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8209.58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7026.79</v>
      </c>
      <c r="D17" s="18">
        <f>SUM(Jul!D17, Aug!D17, Sep!D17)</f>
        <v>0</v>
      </c>
      <c r="E17" s="18">
        <f t="shared" si="3"/>
        <v>7026.79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7026.79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5627.317</v>
      </c>
      <c r="D20" s="13">
        <f>SUM(Jul!D20, Aug!D20, Sep!D20)</f>
        <v>0</v>
      </c>
      <c r="E20" s="13">
        <f t="shared" ref="E20:E25" si="6">IF(AND(ISNUMBER(C20),ISNUMBER(D20)), C20-D20, "")</f>
        <v>5627.317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5627.317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6868.5</v>
      </c>
      <c r="D21" s="18">
        <f>SUM(Jul!D21, Aug!D21, Sep!D21)</f>
        <v>0</v>
      </c>
      <c r="E21" s="18">
        <f t="shared" si="6"/>
        <v>6868.5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6868.5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7754.1</v>
      </c>
      <c r="D23" s="18">
        <f>SUM(Jul!D23, Aug!D23, Sep!D23)</f>
        <v>0</v>
      </c>
      <c r="E23" s="18">
        <f t="shared" si="6"/>
        <v>7754.1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7754.1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 t="e">
        <f>SUM(Jul!#REF!, Jul!C24, Sep!C24)</f>
        <v>#REF!</v>
      </c>
      <c r="D24" s="13">
        <f>SUM(Jul!D24, Aug!D24, Sep!D24)</f>
        <v>0</v>
      </c>
      <c r="E24" s="13" t="str">
        <f t="shared" si="6"/>
        <v/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4097.6000000000004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3171.4</v>
      </c>
      <c r="D25" s="18">
        <f>SUM(Jul!D25, Aug!D25, Sep!D25)</f>
        <v>0</v>
      </c>
      <c r="E25" s="18">
        <f t="shared" si="6"/>
        <v>3171.4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3171.4</v>
      </c>
      <c r="I25" s="19" t="str">
        <f t="shared" si="8"/>
        <v/>
      </c>
    </row>
    <row r="26" spans="1:9" ht="13.9">
      <c r="A26" s="21" t="str">
        <v>Coventry - BA ATM</v>
      </c>
      <c r="B26" s="21" t="str">
        <v>RI</v>
      </c>
      <c r="C26" s="21"/>
      <c r="D26" s="21"/>
      <c r="E26" s="21"/>
      <c r="F26" s="22"/>
      <c r="G26" s="21"/>
      <c r="H26" s="21"/>
      <c r="I26" s="22"/>
    </row>
    <row r="27" spans="1:9" ht="13.9">
      <c r="A27" s="21" t="str">
        <v>Woodbridge - BA ATM</v>
      </c>
      <c r="B27" s="21" t="str">
        <v>VA</v>
      </c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F29" sqref="F2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CBRE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e" cm="1" vm="1">
        <f t="array" aca="1" ref="A4" ca="1">Sites[Site]</f>
        <v>#VALUE!</v>
      </c>
      <c r="B4" s="9" t="str" cm="1">
        <f t="array" ref="B4:B27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/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/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/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/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/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/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/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/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/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/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/>
      <c r="B15" s="10" t="str">
        <v>OH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/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/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/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4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7" si="8">IFERROR(H18/G18, "")</f>
        <v/>
      </c>
    </row>
    <row r="19" spans="1:9" ht="15.6">
      <c r="A19" s="17"/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/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/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/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/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/>
      <c r="B24" s="9" t="str">
        <v>VA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75">
      <c r="A25" s="17"/>
      <c r="B25" s="10" t="str">
        <v>KY</v>
      </c>
      <c r="C25" s="11">
        <f>SUM(Oct!C25, Nov!C25, Dec!C25)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75">
      <c r="A26" s="12" t="s">
        <v>18</v>
      </c>
      <c r="B26" s="21" t="str">
        <v>RI</v>
      </c>
      <c r="C26" s="24"/>
      <c r="D26" s="13">
        <f>SUM(Oct!D25, Nov!D25, Dec!D25)</f>
        <v>0</v>
      </c>
      <c r="E26" s="13" t="str">
        <f t="shared" ref="E26:E27" si="9">IF(AND(ISNUMBER(C26),ISNUMBER(D27)), C26-D27, "")</f>
        <v/>
      </c>
      <c r="F26" s="14" t="str">
        <f t="shared" ref="F26:F27" si="10">IFERROR(E26/D27, "")</f>
        <v/>
      </c>
      <c r="G26" s="15">
        <f>SUM(Oct!G26, Nov!G26, Dec!G26)</f>
        <v>0</v>
      </c>
      <c r="H26" s="15">
        <f>SUM(Oct!H26, Nov!H26, Dec!H26)</f>
        <v>0</v>
      </c>
      <c r="I26" s="16" t="str">
        <f t="shared" si="8"/>
        <v/>
      </c>
    </row>
    <row r="27" spans="1:9" ht="15">
      <c r="A27" s="55" t="s">
        <v>19</v>
      </c>
      <c r="B27" s="21" t="str">
        <v>VA</v>
      </c>
      <c r="C27" s="21"/>
      <c r="D27" s="18">
        <f>SUM(Oct!D26, Nov!D26, Dec!D26)</f>
        <v>0</v>
      </c>
      <c r="E27" s="18" t="str">
        <f t="shared" si="9"/>
        <v/>
      </c>
      <c r="F27" s="19" t="str">
        <f t="shared" si="10"/>
        <v/>
      </c>
      <c r="G27" s="20">
        <f>SUM(Oct!G27, Nov!G27, Dec!G27)</f>
        <v>0</v>
      </c>
      <c r="H27" s="20">
        <f>SUM(Oct!H27, Nov!H27, Dec!H27)</f>
        <v>0</v>
      </c>
      <c r="I27" s="19" t="str">
        <f t="shared" si="8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workbookViewId="0">
      <pane xSplit="2" ySplit="3" topLeftCell="C4" activePane="bottomRight" state="frozen"/>
      <selection pane="bottomRight" activeCell="H6" sqref="H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20</v>
      </c>
      <c r="E1" s="61"/>
      <c r="F1" s="61"/>
      <c r="G1" s="59" t="s">
        <v>21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6">
      <c r="A18" s="28" t="str">
        <v>New York - BA Two Bryant Pk</v>
      </c>
      <c r="B18" s="29" t="str">
        <v>NY</v>
      </c>
      <c r="C18" s="24"/>
      <c r="D18" s="13"/>
      <c r="E18" s="13" t="str">
        <f t="shared" ref="E18:E25" si="10">IF(AND(ISNUMBER(C18),ISNUMBER(D18)), C18-D18, "")</f>
        <v/>
      </c>
      <c r="F18" s="14" t="str">
        <f t="shared" ref="F18:F25" si="11">IFERROR(E18/D18, "")</f>
        <v/>
      </c>
      <c r="G18" s="15"/>
      <c r="H18" s="15" t="str">
        <f t="shared" ref="H18:H25" si="12">IF(AND(ISNUMBER(C18),ISNUMBER(G18)), C18-G18, "")</f>
        <v/>
      </c>
      <c r="I18" s="16" t="str">
        <f t="shared" ref="I18:I25" si="13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10"/>
        <v/>
      </c>
      <c r="F24" s="14" t="str">
        <f t="shared" si="11"/>
        <v/>
      </c>
      <c r="G24" s="15"/>
      <c r="H24" s="15" t="str">
        <f t="shared" si="12"/>
        <v/>
      </c>
      <c r="I24" s="16" t="str">
        <f t="shared" si="13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10"/>
        <v/>
      </c>
      <c r="F25" s="19" t="str">
        <f t="shared" si="11"/>
        <v/>
      </c>
      <c r="G25" s="20"/>
      <c r="H25" s="20" t="str">
        <f t="shared" si="12"/>
        <v/>
      </c>
      <c r="I25" s="19" t="str">
        <f t="shared" si="13"/>
        <v/>
      </c>
      <c r="J25" s="42"/>
      <c r="K25" s="43"/>
    </row>
    <row r="26" spans="1:11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 F4:F85 I4:I85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xSplit="2" ySplit="3" topLeftCell="E4" activePane="bottomRight" state="frozen"/>
      <selection pane="bottomRight" activeCell="E8" sqref="E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8">IF(AND(ISNUMBER(C18),ISNUMBER(D18)), C18-D18, "")</f>
        <v/>
      </c>
      <c r="F18" s="14" t="str">
        <f t="shared" ref="F18:F25" si="9">IFERROR(E18/D18, "")</f>
        <v/>
      </c>
      <c r="G18" s="15"/>
      <c r="H18" s="15" t="str">
        <f t="shared" ref="H18:H25" si="10">IF(AND(ISNUMBER(C18),ISNUMBER(G18)), C18-G18, "")</f>
        <v/>
      </c>
      <c r="I18" s="16" t="str">
        <f t="shared" ref="I18:I25" si="11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11"/>
        <v/>
      </c>
      <c r="J25" s="42"/>
      <c r="K25" s="43"/>
    </row>
    <row r="26" spans="1:11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xSplit="2" ySplit="3" topLeftCell="E4" activePane="bottomRight" state="frozen"/>
      <selection pane="bottomRight" activeCell="E13" sqref="E1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80" zoomScaleNormal="80" workbookViewId="0">
      <pane xSplit="2" ySplit="3" topLeftCell="J4" activePane="bottomRight" state="frozen"/>
      <selection pane="bottomRight" activeCell="J25" sqref="J25:K2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CBRE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SUM(C4:C85)</f>
        <v>29085.181000000004</v>
      </c>
      <c r="D2" s="5">
        <f>SUM(D4:D85)</f>
        <v>0</v>
      </c>
      <c r="E2" s="5">
        <f>C2-D2</f>
        <v>29085.181000000004</v>
      </c>
      <c r="F2" s="6">
        <f>IFERROR(E2/D2, 0)</f>
        <v>0</v>
      </c>
      <c r="G2" s="5">
        <f>SUM(G4:G85)</f>
        <v>0</v>
      </c>
      <c r="H2" s="7">
        <f>C2-G2</f>
        <v>29085.181000000004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2586.0650000000001</v>
      </c>
      <c r="D4" s="13">
        <v>0</v>
      </c>
      <c r="E4" s="13">
        <f>IF(AND(ISNUMBER(C4),ISNUMBER(D4)), C4-D4, "")</f>
        <v>2586.0650000000001</v>
      </c>
      <c r="F4" s="14" t="str">
        <f>IFERROR(E4/D4, "")</f>
        <v/>
      </c>
      <c r="G4" s="15">
        <v>0</v>
      </c>
      <c r="H4" s="15">
        <f>IF(AND(ISNUMBER(C4),ISNUMBER(G4)), C4-G4, "")</f>
        <v>2586.0650000000001</v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>
        <v>1249.07</v>
      </c>
      <c r="D5" s="18">
        <v>0</v>
      </c>
      <c r="E5" s="18">
        <f t="shared" ref="E5:E17" si="0">IF(AND(ISNUMBER(C5),ISNUMBER(D5)), C5-D5, "")</f>
        <v>1249.07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1249.07</v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>
        <v>661</v>
      </c>
      <c r="D6" s="13">
        <v>0</v>
      </c>
      <c r="E6" s="13">
        <f t="shared" si="0"/>
        <v>661</v>
      </c>
      <c r="F6" s="14" t="str">
        <f t="shared" ref="F6:F17" si="3">IFERROR(E6/D6, "")</f>
        <v/>
      </c>
      <c r="G6" s="15">
        <v>0</v>
      </c>
      <c r="H6" s="15">
        <f t="shared" si="1"/>
        <v>661</v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>
        <v>1473</v>
      </c>
      <c r="D7" s="18">
        <v>0</v>
      </c>
      <c r="E7" s="18">
        <f t="shared" si="0"/>
        <v>1473</v>
      </c>
      <c r="F7" s="19" t="str">
        <f t="shared" si="3"/>
        <v/>
      </c>
      <c r="G7" s="20">
        <v>0</v>
      </c>
      <c r="H7" s="20">
        <f t="shared" si="1"/>
        <v>1473</v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>
        <v>2200</v>
      </c>
      <c r="D8" s="13">
        <v>0</v>
      </c>
      <c r="E8" s="13">
        <f t="shared" si="0"/>
        <v>2200</v>
      </c>
      <c r="F8" s="14" t="str">
        <f t="shared" si="3"/>
        <v/>
      </c>
      <c r="G8" s="15">
        <v>0</v>
      </c>
      <c r="H8" s="15">
        <f t="shared" si="1"/>
        <v>2200</v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>
        <v>1805</v>
      </c>
      <c r="D9" s="18">
        <v>0</v>
      </c>
      <c r="E9" s="18">
        <f t="shared" si="0"/>
        <v>1805</v>
      </c>
      <c r="F9" s="19" t="str">
        <f t="shared" si="3"/>
        <v/>
      </c>
      <c r="G9" s="20">
        <v>0</v>
      </c>
      <c r="H9" s="20">
        <f t="shared" si="1"/>
        <v>1805</v>
      </c>
      <c r="I9" s="19" t="str">
        <f t="shared" si="2"/>
        <v/>
      </c>
      <c r="J9" s="42" t="s">
        <v>30</v>
      </c>
      <c r="K9" s="43" t="s">
        <v>31</v>
      </c>
      <c r="L9" s="47"/>
    </row>
    <row r="10" spans="1:12" ht="15.6">
      <c r="A10" s="28" t="str">
        <v>Cincinnati - BA Hyde Pk Plaza</v>
      </c>
      <c r="B10" s="29" t="str">
        <v>OH</v>
      </c>
      <c r="C10" s="24">
        <v>2125</v>
      </c>
      <c r="D10" s="13">
        <v>0</v>
      </c>
      <c r="E10" s="13">
        <f t="shared" si="0"/>
        <v>2125</v>
      </c>
      <c r="F10" s="14" t="str">
        <f t="shared" si="3"/>
        <v/>
      </c>
      <c r="G10" s="15">
        <v>0</v>
      </c>
      <c r="H10" s="15">
        <f t="shared" si="1"/>
        <v>2125</v>
      </c>
      <c r="I10" s="16" t="str">
        <f t="shared" si="2"/>
        <v/>
      </c>
      <c r="J10" s="41"/>
      <c r="K10" s="41"/>
      <c r="L10" s="47"/>
    </row>
    <row r="11" spans="1:12" ht="15.6">
      <c r="A11" s="30" t="str">
        <v>Cleveland - BA Carnegie &amp; 79th</v>
      </c>
      <c r="B11" s="31" t="str">
        <v>OH</v>
      </c>
      <c r="C11" s="11">
        <v>1460.7059999999999</v>
      </c>
      <c r="D11" s="18">
        <v>0</v>
      </c>
      <c r="E11" s="18">
        <f t="shared" si="0"/>
        <v>1460.7059999999999</v>
      </c>
      <c r="F11" s="19" t="str">
        <f t="shared" si="3"/>
        <v/>
      </c>
      <c r="G11" s="20">
        <v>0</v>
      </c>
      <c r="H11" s="20">
        <f t="shared" si="1"/>
        <v>1460.7059999999999</v>
      </c>
      <c r="I11" s="19" t="str">
        <f t="shared" si="2"/>
        <v/>
      </c>
      <c r="J11" s="42"/>
      <c r="K11" s="43"/>
      <c r="L11" s="47"/>
    </row>
    <row r="12" spans="1:12" ht="28.9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32</v>
      </c>
      <c r="K12" s="41" t="s">
        <v>33</v>
      </c>
      <c r="L12" s="47"/>
    </row>
    <row r="13" spans="1:12" ht="15.6">
      <c r="A13" s="30" t="str">
        <v>Zionsville - BA</v>
      </c>
      <c r="B13" s="31" t="str">
        <v>IN</v>
      </c>
      <c r="C13" s="11">
        <v>2625.9929999999999</v>
      </c>
      <c r="D13" s="18">
        <v>0</v>
      </c>
      <c r="E13" s="18">
        <f t="shared" si="0"/>
        <v>2625.9929999999999</v>
      </c>
      <c r="F13" s="19" t="str">
        <f t="shared" si="3"/>
        <v/>
      </c>
      <c r="G13" s="20">
        <v>0</v>
      </c>
      <c r="H13" s="20">
        <f t="shared" si="1"/>
        <v>2625.9929999999999</v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>
        <v>1460</v>
      </c>
      <c r="D14" s="13">
        <v>0</v>
      </c>
      <c r="E14" s="13">
        <f t="shared" si="0"/>
        <v>1460</v>
      </c>
      <c r="F14" s="14" t="str">
        <f t="shared" si="3"/>
        <v/>
      </c>
      <c r="G14" s="15">
        <v>0</v>
      </c>
      <c r="H14" s="15">
        <f t="shared" si="1"/>
        <v>1460</v>
      </c>
      <c r="I14" s="16" t="str">
        <f t="shared" si="2"/>
        <v/>
      </c>
      <c r="J14" s="41"/>
      <c r="K14" s="41"/>
      <c r="L14" s="47"/>
    </row>
    <row r="15" spans="1:12" ht="57.6">
      <c r="A15" s="30" t="str">
        <v>Columbus - BA Eastmoor</v>
      </c>
      <c r="B15" s="31" t="str">
        <v>OH</v>
      </c>
      <c r="C15" s="11">
        <v>2539.623</v>
      </c>
      <c r="D15" s="18">
        <v>0</v>
      </c>
      <c r="E15" s="18">
        <f t="shared" si="0"/>
        <v>2539.623</v>
      </c>
      <c r="F15" s="19" t="str">
        <f t="shared" si="3"/>
        <v/>
      </c>
      <c r="G15" s="20">
        <v>0</v>
      </c>
      <c r="H15" s="20">
        <f t="shared" si="1"/>
        <v>2539.623</v>
      </c>
      <c r="I15" s="19" t="str">
        <f t="shared" si="2"/>
        <v/>
      </c>
      <c r="J15" s="42" t="s">
        <v>34</v>
      </c>
      <c r="K15" s="46" t="s">
        <v>35</v>
      </c>
      <c r="L15" s="47"/>
    </row>
    <row r="16" spans="1:12" ht="15.6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6">
      <c r="A17" s="30" t="str">
        <v>Pittsburg - BA Fox Chapel</v>
      </c>
      <c r="B17" s="31" t="str">
        <v>PA</v>
      </c>
      <c r="C17" s="11">
        <v>0</v>
      </c>
      <c r="D17" s="18">
        <v>0</v>
      </c>
      <c r="E17" s="18">
        <f t="shared" si="0"/>
        <v>0</v>
      </c>
      <c r="F17" s="19" t="str">
        <f t="shared" si="3"/>
        <v/>
      </c>
      <c r="G17" s="20">
        <v>0</v>
      </c>
      <c r="H17" s="20">
        <f t="shared" si="1"/>
        <v>0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36</v>
      </c>
      <c r="K19" s="42" t="s">
        <v>37</v>
      </c>
      <c r="L19" s="47"/>
    </row>
    <row r="20" spans="1:12" ht="15.6">
      <c r="A20" s="28" t="str">
        <v>Stamford - BA West Stamford</v>
      </c>
      <c r="B20" s="29" t="str">
        <v>CT</v>
      </c>
      <c r="C20" s="24">
        <v>1673.3820000000001</v>
      </c>
      <c r="D20" s="13">
        <v>0</v>
      </c>
      <c r="E20" s="13">
        <f t="shared" si="4"/>
        <v>1673.3820000000001</v>
      </c>
      <c r="F20" s="14" t="str">
        <f t="shared" si="5"/>
        <v/>
      </c>
      <c r="G20" s="15">
        <v>0</v>
      </c>
      <c r="H20" s="15">
        <f t="shared" si="6"/>
        <v>1673.3820000000001</v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>
        <v>2159.1080000000002</v>
      </c>
      <c r="D21" s="18">
        <v>0</v>
      </c>
      <c r="E21" s="18">
        <f t="shared" si="4"/>
        <v>2159.1080000000002</v>
      </c>
      <c r="F21" s="19" t="str">
        <f t="shared" si="5"/>
        <v/>
      </c>
      <c r="G21" s="20">
        <v>0</v>
      </c>
      <c r="H21" s="20">
        <f t="shared" si="6"/>
        <v>2159.1080000000002</v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>
        <v>2439.8870000000002</v>
      </c>
      <c r="D23" s="18">
        <v>0</v>
      </c>
      <c r="E23" s="18">
        <v>2439887</v>
      </c>
      <c r="F23" s="19" t="s">
        <v>38</v>
      </c>
      <c r="G23" s="20">
        <v>0</v>
      </c>
      <c r="H23" s="20">
        <v>2439887</v>
      </c>
      <c r="I23" s="19" t="str">
        <f t="shared" si="7"/>
        <v/>
      </c>
      <c r="J23" s="42"/>
      <c r="K23" s="43"/>
      <c r="L23" s="47"/>
    </row>
    <row r="24" spans="1:12" ht="15.6">
      <c r="A24" s="28" t="str">
        <v>Midlothian - BA Brandermill</v>
      </c>
      <c r="B24" s="29" t="str">
        <v>VA</v>
      </c>
      <c r="C24" s="24">
        <v>1345.347</v>
      </c>
      <c r="D24" s="13">
        <v>0</v>
      </c>
      <c r="E24" s="13">
        <f t="shared" si="4"/>
        <v>1345.347</v>
      </c>
      <c r="F24" s="14" t="str">
        <f t="shared" si="5"/>
        <v/>
      </c>
      <c r="G24" s="15">
        <v>0</v>
      </c>
      <c r="H24" s="15">
        <f t="shared" si="6"/>
        <v>1345.347</v>
      </c>
      <c r="I24" s="16" t="str">
        <f t="shared" si="7"/>
        <v/>
      </c>
      <c r="J24" s="41"/>
      <c r="K24" s="41"/>
      <c r="L24" s="47"/>
    </row>
    <row r="25" spans="1:12" ht="28.9">
      <c r="A25" s="30" t="str">
        <v>Lexington - BA North Park</v>
      </c>
      <c r="B25" s="31" t="str">
        <v>KY</v>
      </c>
      <c r="C25" s="11">
        <v>1282</v>
      </c>
      <c r="D25" s="18">
        <v>0</v>
      </c>
      <c r="E25" s="18">
        <f t="shared" si="4"/>
        <v>1282</v>
      </c>
      <c r="F25" s="19" t="str">
        <f t="shared" si="5"/>
        <v/>
      </c>
      <c r="G25" s="20">
        <v>0</v>
      </c>
      <c r="H25" s="20">
        <f t="shared" si="6"/>
        <v>1282</v>
      </c>
      <c r="I25" s="19" t="str">
        <f t="shared" si="7"/>
        <v/>
      </c>
      <c r="J25" s="42" t="s">
        <v>39</v>
      </c>
      <c r="K25" s="42" t="s">
        <v>40</v>
      </c>
    </row>
    <row r="26" spans="1:12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2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CBRE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SUM(C4:C86)</f>
        <v>33269.073999999993</v>
      </c>
      <c r="D2" s="5">
        <f>SUM(D4:D86)</f>
        <v>0</v>
      </c>
      <c r="E2" s="5">
        <f>C2-D2</f>
        <v>33269.073999999993</v>
      </c>
      <c r="F2" s="6">
        <f>IFERROR(E2/D2, 0)</f>
        <v>0</v>
      </c>
      <c r="G2" s="5">
        <f>SUM(G4:G86)</f>
        <v>0</v>
      </c>
      <c r="H2" s="7">
        <f>C2-G2</f>
        <v>33269.073999999993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3115.7159999999999</v>
      </c>
      <c r="D4" s="13">
        <v>0</v>
      </c>
      <c r="E4" s="13">
        <f>IF(AND(ISNUMBER(C4),ISNUMBER(D4)), C4-D4, "")</f>
        <v>3115.7159999999999</v>
      </c>
      <c r="F4" s="14" t="str">
        <f>IFERROR(E4/D4, "")</f>
        <v/>
      </c>
      <c r="G4" s="15">
        <v>0</v>
      </c>
      <c r="H4" s="15">
        <f>IF(AND(ISNUMBER(C4),ISNUMBER(G4)), C4-G4, "")</f>
        <v>3115.7159999999999</v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>
        <v>1447</v>
      </c>
      <c r="D5" s="18">
        <v>0</v>
      </c>
      <c r="E5" s="18">
        <f t="shared" ref="E5:E17" si="0">IF(AND(ISNUMBER(C5),ISNUMBER(D5)), C5-D5, "")</f>
        <v>1447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1447</v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>
        <v>777</v>
      </c>
      <c r="D6" s="13">
        <v>0</v>
      </c>
      <c r="E6" s="13">
        <f t="shared" si="0"/>
        <v>777</v>
      </c>
      <c r="F6" s="14" t="str">
        <f t="shared" ref="F6:F17" si="3">IFERROR(E6/D6, "")</f>
        <v/>
      </c>
      <c r="G6" s="15">
        <v>0</v>
      </c>
      <c r="H6" s="15">
        <f t="shared" si="1"/>
        <v>777</v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>
        <v>1641</v>
      </c>
      <c r="D7" s="18">
        <v>0</v>
      </c>
      <c r="E7" s="18">
        <f t="shared" si="0"/>
        <v>1641</v>
      </c>
      <c r="F7" s="19" t="str">
        <f t="shared" si="3"/>
        <v/>
      </c>
      <c r="G7" s="20">
        <v>0</v>
      </c>
      <c r="H7" s="20">
        <f t="shared" si="1"/>
        <v>1641</v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>
        <v>2385</v>
      </c>
      <c r="D8" s="13">
        <v>0</v>
      </c>
      <c r="E8" s="13">
        <f t="shared" si="0"/>
        <v>2385</v>
      </c>
      <c r="F8" s="14" t="str">
        <f t="shared" si="3"/>
        <v/>
      </c>
      <c r="G8" s="15">
        <v>0</v>
      </c>
      <c r="H8" s="15">
        <f t="shared" si="1"/>
        <v>2385</v>
      </c>
      <c r="I8" s="16" t="str">
        <f t="shared" si="2"/>
        <v/>
      </c>
      <c r="J8" s="41"/>
      <c r="K8" s="41"/>
      <c r="L8" s="47"/>
    </row>
    <row r="9" spans="1:12" ht="16.5">
      <c r="A9" s="30" t="str">
        <v>Columbus - BA Harrisburg Pike</v>
      </c>
      <c r="B9" s="31" t="str">
        <v>OH</v>
      </c>
      <c r="C9" s="11">
        <v>1997</v>
      </c>
      <c r="D9" s="18">
        <v>0</v>
      </c>
      <c r="E9" s="18">
        <f t="shared" si="0"/>
        <v>1997</v>
      </c>
      <c r="F9" s="19" t="str">
        <f t="shared" si="3"/>
        <v/>
      </c>
      <c r="G9" s="20">
        <v>0</v>
      </c>
      <c r="H9" s="20">
        <f t="shared" si="1"/>
        <v>1997</v>
      </c>
      <c r="I9" s="19" t="str">
        <f t="shared" si="2"/>
        <v/>
      </c>
      <c r="J9" s="42" t="s">
        <v>30</v>
      </c>
      <c r="K9" s="43" t="s">
        <v>31</v>
      </c>
      <c r="L9" s="47"/>
    </row>
    <row r="10" spans="1:12" ht="15.6">
      <c r="A10" s="28" t="str">
        <v>Cincinnati - BA Hyde Pk Plaza</v>
      </c>
      <c r="B10" s="29" t="str">
        <v>OH</v>
      </c>
      <c r="C10" s="24">
        <v>2324</v>
      </c>
      <c r="D10" s="13">
        <v>0</v>
      </c>
      <c r="E10" s="13">
        <f t="shared" si="0"/>
        <v>2324</v>
      </c>
      <c r="F10" s="14" t="str">
        <f t="shared" si="3"/>
        <v/>
      </c>
      <c r="G10" s="15">
        <v>0</v>
      </c>
      <c r="H10" s="15">
        <f t="shared" si="1"/>
        <v>2324</v>
      </c>
      <c r="I10" s="16" t="str">
        <f t="shared" si="2"/>
        <v/>
      </c>
      <c r="J10" s="41"/>
      <c r="K10" s="41"/>
      <c r="L10" s="47"/>
    </row>
    <row r="11" spans="1:12" ht="15.6">
      <c r="A11" s="30" t="str">
        <v>Cleveland - BA Carnegie &amp; 79th</v>
      </c>
      <c r="B11" s="31" t="str">
        <v>OH</v>
      </c>
      <c r="C11" s="11">
        <v>1858.76</v>
      </c>
      <c r="D11" s="18">
        <v>0</v>
      </c>
      <c r="E11" s="18">
        <f t="shared" si="0"/>
        <v>1858.76</v>
      </c>
      <c r="F11" s="19" t="str">
        <f t="shared" si="3"/>
        <v/>
      </c>
      <c r="G11" s="20">
        <v>0</v>
      </c>
      <c r="H11" s="20">
        <f t="shared" si="1"/>
        <v>1858.76</v>
      </c>
      <c r="I11" s="19" t="str">
        <f t="shared" si="2"/>
        <v/>
      </c>
      <c r="J11" s="42"/>
      <c r="K11" s="43"/>
      <c r="L11" s="47"/>
    </row>
    <row r="12" spans="1:12" ht="28.9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32</v>
      </c>
      <c r="K12" s="41" t="s">
        <v>33</v>
      </c>
      <c r="L12" s="47"/>
    </row>
    <row r="13" spans="1:12" ht="15.6">
      <c r="A13" s="30" t="str">
        <v>Zionsville - BA</v>
      </c>
      <c r="B13" s="31" t="str">
        <v>IN</v>
      </c>
      <c r="C13" s="11">
        <v>3194.9070000000002</v>
      </c>
      <c r="D13" s="18">
        <v>0</v>
      </c>
      <c r="E13" s="18">
        <f t="shared" si="0"/>
        <v>3194.9070000000002</v>
      </c>
      <c r="F13" s="19" t="str">
        <f t="shared" si="3"/>
        <v/>
      </c>
      <c r="G13" s="20">
        <v>0</v>
      </c>
      <c r="H13" s="20">
        <f t="shared" si="1"/>
        <v>3194.9070000000002</v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>
        <v>1859</v>
      </c>
      <c r="D14" s="13">
        <v>0</v>
      </c>
      <c r="E14" s="13">
        <f t="shared" si="0"/>
        <v>1859</v>
      </c>
      <c r="F14" s="14" t="str">
        <f t="shared" si="3"/>
        <v/>
      </c>
      <c r="G14" s="15">
        <v>0</v>
      </c>
      <c r="H14" s="15">
        <f t="shared" si="1"/>
        <v>1859</v>
      </c>
      <c r="I14" s="16" t="str">
        <f t="shared" si="2"/>
        <v/>
      </c>
      <c r="J14" s="41"/>
      <c r="K14" s="41"/>
      <c r="L14" s="47"/>
    </row>
    <row r="15" spans="1:12" ht="57.6">
      <c r="A15" s="30" t="str">
        <v>Columbus - BA Eastmoor</v>
      </c>
      <c r="B15" s="31" t="str">
        <v>OH</v>
      </c>
      <c r="C15" s="11">
        <v>2798.6950000000002</v>
      </c>
      <c r="D15" s="18">
        <v>0</v>
      </c>
      <c r="E15" s="18">
        <f t="shared" si="0"/>
        <v>2798.6950000000002</v>
      </c>
      <c r="F15" s="19" t="str">
        <f t="shared" si="3"/>
        <v/>
      </c>
      <c r="G15" s="20">
        <v>0</v>
      </c>
      <c r="H15" s="20">
        <f t="shared" si="1"/>
        <v>2798.6950000000002</v>
      </c>
      <c r="I15" s="19" t="str">
        <f t="shared" si="2"/>
        <v/>
      </c>
      <c r="J15" s="42" t="s">
        <v>34</v>
      </c>
      <c r="K15" s="46" t="s">
        <v>35</v>
      </c>
      <c r="L15" s="47"/>
    </row>
    <row r="16" spans="1:12" ht="15.6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6">
      <c r="A17" s="30" t="str">
        <v>Pittsburg - BA Fox Chapel</v>
      </c>
      <c r="B17" s="31" t="str">
        <v>PA</v>
      </c>
      <c r="C17" s="11">
        <v>0</v>
      </c>
      <c r="D17" s="18">
        <v>0</v>
      </c>
      <c r="E17" s="18">
        <f t="shared" si="0"/>
        <v>0</v>
      </c>
      <c r="F17" s="19" t="str">
        <f t="shared" si="3"/>
        <v/>
      </c>
      <c r="G17" s="20">
        <v>0</v>
      </c>
      <c r="H17" s="20">
        <f t="shared" si="1"/>
        <v>0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36</v>
      </c>
      <c r="K19" s="42" t="s">
        <v>37</v>
      </c>
      <c r="L19" s="47"/>
    </row>
    <row r="20" spans="1:12" ht="15.6">
      <c r="A20" s="28" t="str">
        <v>Stamford - BA West Stamford</v>
      </c>
      <c r="B20" s="29" t="str">
        <v>CT</v>
      </c>
      <c r="C20" s="24">
        <v>1975.9580000000001</v>
      </c>
      <c r="D20" s="13">
        <v>0</v>
      </c>
      <c r="E20" s="13">
        <f t="shared" si="4"/>
        <v>1975.9580000000001</v>
      </c>
      <c r="F20" s="14" t="str">
        <f t="shared" si="5"/>
        <v/>
      </c>
      <c r="G20" s="15">
        <v>0</v>
      </c>
      <c r="H20" s="15">
        <f t="shared" si="6"/>
        <v>1975.9580000000001</v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>
        <v>2269.547</v>
      </c>
      <c r="D21" s="18">
        <v>0</v>
      </c>
      <c r="E21" s="18">
        <f t="shared" si="4"/>
        <v>2269.547</v>
      </c>
      <c r="F21" s="19" t="str">
        <f t="shared" si="5"/>
        <v/>
      </c>
      <c r="G21" s="20">
        <v>0</v>
      </c>
      <c r="H21" s="20">
        <f t="shared" si="6"/>
        <v>2269.547</v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>
        <v>2727.1</v>
      </c>
      <c r="D23" s="18">
        <v>0</v>
      </c>
      <c r="E23" s="18">
        <v>2727100</v>
      </c>
      <c r="F23" s="19" t="s">
        <v>38</v>
      </c>
      <c r="G23" s="20">
        <v>0</v>
      </c>
      <c r="H23" s="20">
        <v>2727100</v>
      </c>
      <c r="I23" s="19" t="str">
        <f t="shared" si="7"/>
        <v/>
      </c>
      <c r="J23" s="42"/>
      <c r="K23" s="43"/>
      <c r="L23" s="47"/>
    </row>
    <row r="24" spans="1:12" ht="15.6">
      <c r="A24" s="28" t="str">
        <v>Midlothian - BA Brandermill</v>
      </c>
      <c r="B24" s="29" t="str">
        <v>VA</v>
      </c>
      <c r="C24" s="24">
        <v>1486.3910000000001</v>
      </c>
      <c r="D24" s="13">
        <v>0</v>
      </c>
      <c r="E24" s="13">
        <f t="shared" si="4"/>
        <v>1486.3910000000001</v>
      </c>
      <c r="F24" s="14" t="str">
        <f t="shared" si="5"/>
        <v/>
      </c>
      <c r="G24" s="15">
        <v>0</v>
      </c>
      <c r="H24" s="15">
        <f t="shared" si="6"/>
        <v>1486.3910000000001</v>
      </c>
      <c r="I24" s="16" t="str">
        <f t="shared" si="7"/>
        <v/>
      </c>
      <c r="J24" s="41"/>
      <c r="K24" s="41"/>
      <c r="L24" s="47"/>
    </row>
    <row r="25" spans="1:12" ht="28.9">
      <c r="A25" s="30" t="str">
        <v>Lexington - BA North Park</v>
      </c>
      <c r="B25" s="31" t="str">
        <v>KY</v>
      </c>
      <c r="C25" s="11">
        <v>1412</v>
      </c>
      <c r="D25" s="18">
        <v>0</v>
      </c>
      <c r="E25" s="18">
        <f t="shared" si="4"/>
        <v>1412</v>
      </c>
      <c r="F25" s="19" t="str">
        <f t="shared" si="5"/>
        <v/>
      </c>
      <c r="G25" s="20">
        <v>0</v>
      </c>
      <c r="H25" s="20">
        <f t="shared" si="6"/>
        <v>1412</v>
      </c>
      <c r="I25" s="19" t="str">
        <f t="shared" si="7"/>
        <v/>
      </c>
      <c r="J25" s="42" t="s">
        <v>39</v>
      </c>
      <c r="K25" s="42" t="s">
        <v>40</v>
      </c>
      <c r="L25" s="47"/>
    </row>
    <row r="26" spans="1:12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2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80" zoomScaleNormal="80" workbookViewId="0">
      <pane xSplit="2" ySplit="3" topLeftCell="C4" activePane="bottomRight" state="frozen"/>
      <selection pane="bottomRight" activeCell="J15" sqref="J1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CBRE</v>
      </c>
      <c r="B1" s="60"/>
      <c r="C1" s="60"/>
      <c r="D1" s="61" t="s">
        <v>43</v>
      </c>
      <c r="E1" s="61"/>
      <c r="F1" s="61"/>
      <c r="G1" s="59" t="s">
        <v>44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SUM(C4:C86)</f>
        <v>37745.218000000001</v>
      </c>
      <c r="D2" s="5">
        <f>SUM(D4:D86)</f>
        <v>0</v>
      </c>
      <c r="E2" s="5">
        <f>C2-D2</f>
        <v>37745.218000000001</v>
      </c>
      <c r="F2" s="6">
        <f>IFERROR(E2/D2, 0)</f>
        <v>0</v>
      </c>
      <c r="G2" s="5">
        <f>SUM(G4:G86)</f>
        <v>0</v>
      </c>
      <c r="H2" s="7">
        <f>C2-G2</f>
        <v>37745.218000000001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3459.018</v>
      </c>
      <c r="D4" s="13">
        <v>0</v>
      </c>
      <c r="E4" s="13">
        <f>IF(AND(ISNUMBER(C4),ISNUMBER(D4)), C4-D4, "")</f>
        <v>3459.018</v>
      </c>
      <c r="F4" s="14" t="str">
        <f>IFERROR(E4/D4, "")</f>
        <v/>
      </c>
      <c r="G4" s="15">
        <v>0</v>
      </c>
      <c r="H4" s="15">
        <f>IF(AND(ISNUMBER(C4),ISNUMBER(G4)), C4-G4, "")</f>
        <v>3459.018</v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>
        <v>1516</v>
      </c>
      <c r="D5" s="18">
        <v>0</v>
      </c>
      <c r="E5" s="18">
        <f t="shared" ref="E5:E17" si="0">IF(AND(ISNUMBER(C5),ISNUMBER(D5)), C5-D5, "")</f>
        <v>1516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1516</v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>
        <v>819</v>
      </c>
      <c r="D6" s="13">
        <v>0</v>
      </c>
      <c r="E6" s="13">
        <f t="shared" si="0"/>
        <v>819</v>
      </c>
      <c r="F6" s="14" t="str">
        <f t="shared" ref="F6:F17" si="3">IFERROR(E6/D6, "")</f>
        <v/>
      </c>
      <c r="G6" s="15">
        <v>0</v>
      </c>
      <c r="H6" s="15">
        <f t="shared" si="1"/>
        <v>819</v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>
        <v>1733</v>
      </c>
      <c r="D7" s="18">
        <v>0</v>
      </c>
      <c r="E7" s="18">
        <f t="shared" si="0"/>
        <v>1733</v>
      </c>
      <c r="F7" s="19" t="str">
        <f t="shared" si="3"/>
        <v/>
      </c>
      <c r="G7" s="20">
        <v>0</v>
      </c>
      <c r="H7" s="20">
        <f t="shared" si="1"/>
        <v>1733</v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>
        <v>2570</v>
      </c>
      <c r="D8" s="13">
        <v>0</v>
      </c>
      <c r="E8" s="13">
        <f t="shared" si="0"/>
        <v>2570</v>
      </c>
      <c r="F8" s="14" t="str">
        <f t="shared" si="3"/>
        <v/>
      </c>
      <c r="G8" s="15">
        <v>0</v>
      </c>
      <c r="H8" s="15">
        <f t="shared" si="1"/>
        <v>2570</v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>
        <v>2153</v>
      </c>
      <c r="D9" s="18">
        <v>0</v>
      </c>
      <c r="E9" s="18">
        <f t="shared" si="0"/>
        <v>2153</v>
      </c>
      <c r="F9" s="19" t="str">
        <f t="shared" si="3"/>
        <v/>
      </c>
      <c r="G9" s="20">
        <v>0</v>
      </c>
      <c r="H9" s="20">
        <f t="shared" si="1"/>
        <v>2153</v>
      </c>
      <c r="I9" s="19" t="str">
        <f t="shared" si="2"/>
        <v/>
      </c>
      <c r="J9" s="42" t="s">
        <v>30</v>
      </c>
      <c r="K9" s="43" t="s">
        <v>31</v>
      </c>
      <c r="L9" s="47"/>
    </row>
    <row r="10" spans="1:12" ht="15.6">
      <c r="A10" s="28" t="str">
        <v>Cincinnati - BA Hyde Pk Plaza</v>
      </c>
      <c r="B10" s="29" t="str">
        <v>OH</v>
      </c>
      <c r="C10" s="24">
        <v>2506</v>
      </c>
      <c r="D10" s="13">
        <v>0</v>
      </c>
      <c r="E10" s="13">
        <f t="shared" si="0"/>
        <v>2506</v>
      </c>
      <c r="F10" s="14" t="str">
        <f t="shared" si="3"/>
        <v/>
      </c>
      <c r="G10" s="15">
        <v>0</v>
      </c>
      <c r="H10" s="15">
        <f t="shared" si="1"/>
        <v>2506</v>
      </c>
      <c r="I10" s="16" t="str">
        <f t="shared" si="2"/>
        <v/>
      </c>
      <c r="J10" s="41"/>
      <c r="K10" s="41"/>
      <c r="L10" s="47"/>
    </row>
    <row r="11" spans="1:12" ht="15.6">
      <c r="A11" s="30" t="str">
        <v>Cleveland - BA Carnegie &amp; 79th</v>
      </c>
      <c r="B11" s="31" t="str">
        <v>OH</v>
      </c>
      <c r="C11" s="11">
        <v>1750.741</v>
      </c>
      <c r="D11" s="18">
        <v>0</v>
      </c>
      <c r="E11" s="18">
        <f t="shared" si="0"/>
        <v>1750.741</v>
      </c>
      <c r="F11" s="19" t="str">
        <f t="shared" si="3"/>
        <v/>
      </c>
      <c r="G11" s="20">
        <v>0</v>
      </c>
      <c r="H11" s="20">
        <f t="shared" si="1"/>
        <v>1750.741</v>
      </c>
      <c r="I11" s="19" t="str">
        <f t="shared" si="2"/>
        <v/>
      </c>
      <c r="J11" s="42"/>
      <c r="K11" s="43"/>
      <c r="L11" s="47"/>
    </row>
    <row r="12" spans="1:12" ht="28.9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32</v>
      </c>
      <c r="K12" s="41" t="s">
        <v>33</v>
      </c>
      <c r="L12" s="47"/>
    </row>
    <row r="13" spans="1:12" ht="15.6">
      <c r="A13" s="30" t="str">
        <v>Zionsville - BA</v>
      </c>
      <c r="B13" s="31" t="str">
        <v>IN</v>
      </c>
      <c r="C13" s="11">
        <v>3295.8609999999999</v>
      </c>
      <c r="D13" s="18">
        <v>0</v>
      </c>
      <c r="E13" s="18">
        <f t="shared" si="0"/>
        <v>3295.8609999999999</v>
      </c>
      <c r="F13" s="19" t="str">
        <f t="shared" si="3"/>
        <v/>
      </c>
      <c r="G13" s="20">
        <v>0</v>
      </c>
      <c r="H13" s="20">
        <f t="shared" si="1"/>
        <v>3295.8609999999999</v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>
        <v>1751</v>
      </c>
      <c r="D14" s="13">
        <v>0</v>
      </c>
      <c r="E14" s="13">
        <f t="shared" si="0"/>
        <v>1751</v>
      </c>
      <c r="F14" s="14" t="str">
        <f t="shared" si="3"/>
        <v/>
      </c>
      <c r="G14" s="15">
        <v>0</v>
      </c>
      <c r="H14" s="15">
        <f t="shared" si="1"/>
        <v>1751</v>
      </c>
      <c r="I14" s="16" t="str">
        <f t="shared" si="2"/>
        <v/>
      </c>
      <c r="J14" s="41"/>
      <c r="K14" s="41"/>
      <c r="L14" s="47"/>
    </row>
    <row r="15" spans="1:12" ht="60.75">
      <c r="A15" s="30" t="str">
        <v>Columbus - BA Eastmoor</v>
      </c>
      <c r="B15" s="31" t="str">
        <v>OH</v>
      </c>
      <c r="C15" s="11">
        <v>2947.2420000000002</v>
      </c>
      <c r="D15" s="18">
        <v>0</v>
      </c>
      <c r="E15" s="18">
        <f t="shared" si="0"/>
        <v>2947.2420000000002</v>
      </c>
      <c r="F15" s="19" t="str">
        <f t="shared" si="3"/>
        <v/>
      </c>
      <c r="G15" s="20">
        <v>0</v>
      </c>
      <c r="H15" s="20">
        <f t="shared" si="1"/>
        <v>2947.2420000000002</v>
      </c>
      <c r="I15" s="19" t="str">
        <f t="shared" si="2"/>
        <v/>
      </c>
      <c r="J15" s="42" t="s">
        <v>34</v>
      </c>
      <c r="K15" s="46" t="s">
        <v>35</v>
      </c>
      <c r="L15" s="47"/>
    </row>
    <row r="16" spans="1:12" ht="15.6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6">
      <c r="A17" s="30" t="str">
        <v>Pittsburg - BA Fox Chapel</v>
      </c>
      <c r="B17" s="31" t="str">
        <v>PA</v>
      </c>
      <c r="C17" s="11">
        <v>1570.8910000000001</v>
      </c>
      <c r="D17" s="18">
        <v>0</v>
      </c>
      <c r="E17" s="18">
        <f t="shared" si="0"/>
        <v>1570.8910000000001</v>
      </c>
      <c r="F17" s="19" t="str">
        <f t="shared" si="3"/>
        <v/>
      </c>
      <c r="G17" s="20">
        <v>0</v>
      </c>
      <c r="H17" s="20">
        <f t="shared" si="1"/>
        <v>1570.8910000000001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36</v>
      </c>
      <c r="K19" s="42" t="s">
        <v>37</v>
      </c>
      <c r="L19" s="47"/>
    </row>
    <row r="20" spans="1:12" ht="15.6">
      <c r="A20" s="28" t="str">
        <v>Stamford - BA West Stamford</v>
      </c>
      <c r="B20" s="29" t="str">
        <v>CT</v>
      </c>
      <c r="C20" s="24">
        <v>2252.6590000000001</v>
      </c>
      <c r="D20" s="13">
        <v>0</v>
      </c>
      <c r="E20" s="13">
        <f t="shared" si="4"/>
        <v>2252.6590000000001</v>
      </c>
      <c r="F20" s="14" t="str">
        <f t="shared" si="5"/>
        <v/>
      </c>
      <c r="G20" s="15">
        <v>0</v>
      </c>
      <c r="H20" s="15">
        <f t="shared" si="6"/>
        <v>2252.6590000000001</v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>
        <v>2978.5419999999999</v>
      </c>
      <c r="D21" s="18">
        <v>0</v>
      </c>
      <c r="E21" s="18">
        <f t="shared" si="4"/>
        <v>2978.5419999999999</v>
      </c>
      <c r="F21" s="19" t="str">
        <f t="shared" si="5"/>
        <v/>
      </c>
      <c r="G21" s="20">
        <v>0</v>
      </c>
      <c r="H21" s="20">
        <f t="shared" si="6"/>
        <v>2978.5419999999999</v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>
        <v>3181.03</v>
      </c>
      <c r="D23" s="18">
        <v>0</v>
      </c>
      <c r="E23" s="18">
        <v>3181030</v>
      </c>
      <c r="F23" s="19" t="s">
        <v>38</v>
      </c>
      <c r="G23" s="20">
        <v>0</v>
      </c>
      <c r="H23" s="20">
        <v>3181030</v>
      </c>
      <c r="I23" s="19" t="str">
        <f t="shared" si="7"/>
        <v/>
      </c>
      <c r="J23" s="42"/>
      <c r="K23" s="43"/>
      <c r="L23" s="47"/>
    </row>
    <row r="24" spans="1:12" ht="15.6">
      <c r="A24" s="28" t="str">
        <v>Midlothian - BA Brandermill</v>
      </c>
      <c r="B24" s="29" t="str">
        <v>VA</v>
      </c>
      <c r="C24" s="24">
        <v>1714.2339999999999</v>
      </c>
      <c r="D24" s="13">
        <v>0</v>
      </c>
      <c r="E24" s="13">
        <f t="shared" si="4"/>
        <v>1714.2339999999999</v>
      </c>
      <c r="F24" s="14" t="str">
        <f t="shared" si="5"/>
        <v/>
      </c>
      <c r="G24" s="15">
        <v>0</v>
      </c>
      <c r="H24" s="15">
        <f t="shared" si="6"/>
        <v>1714.2339999999999</v>
      </c>
      <c r="I24" s="16" t="str">
        <f t="shared" si="7"/>
        <v/>
      </c>
      <c r="J24" s="41"/>
      <c r="K24" s="41"/>
      <c r="L24" s="47"/>
    </row>
    <row r="25" spans="1:12" ht="28.9">
      <c r="A25" s="30" t="str">
        <v>Lexington - BA North Park</v>
      </c>
      <c r="B25" s="31" t="str">
        <v>KY</v>
      </c>
      <c r="C25" s="11">
        <v>1547</v>
      </c>
      <c r="D25" s="18">
        <v>0</v>
      </c>
      <c r="E25" s="18">
        <f t="shared" si="4"/>
        <v>1547</v>
      </c>
      <c r="F25" s="19" t="str">
        <f t="shared" si="5"/>
        <v/>
      </c>
      <c r="G25" s="20">
        <v>0</v>
      </c>
      <c r="H25" s="20">
        <f t="shared" si="6"/>
        <v>1547</v>
      </c>
      <c r="I25" s="19" t="str">
        <f t="shared" si="7"/>
        <v/>
      </c>
      <c r="J25" s="42" t="s">
        <v>39</v>
      </c>
      <c r="K25" s="42" t="s">
        <v>40</v>
      </c>
      <c r="L25" s="47"/>
    </row>
    <row r="26" spans="1:12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2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J19" sqref="J1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SUM(C4:C87)</f>
        <v>56006.408999999992</v>
      </c>
      <c r="D2" s="5">
        <f>SUM(D4:D87)</f>
        <v>0</v>
      </c>
      <c r="E2" s="5">
        <f>C2-D2</f>
        <v>56006.408999999992</v>
      </c>
      <c r="F2" s="6">
        <f>IFERROR(E2/D2, 0)</f>
        <v>0</v>
      </c>
      <c r="G2" s="5">
        <f>SUM(G4:G87)</f>
        <v>0</v>
      </c>
      <c r="H2" s="7">
        <f>C2-G2</f>
        <v>56006.408999999992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3284.1</v>
      </c>
      <c r="D4" s="13">
        <v>0</v>
      </c>
      <c r="E4" s="13">
        <f>IF(AND(ISNUMBER(C4),ISNUMBER(D4)), C4-D4, "")</f>
        <v>3284.1</v>
      </c>
      <c r="F4" s="14" t="str">
        <f>IFERROR(E4/D4, "")</f>
        <v/>
      </c>
      <c r="G4" s="15">
        <v>0</v>
      </c>
      <c r="H4" s="15">
        <f>IF(AND(ISNUMBER(C4),ISNUMBER(G4)), C4-G4, "")</f>
        <v>3284.1</v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>
        <v>1479.1959999999999</v>
      </c>
      <c r="D5" s="18">
        <v>0</v>
      </c>
      <c r="E5" s="18">
        <f t="shared" ref="E5:E17" si="0">IF(AND(ISNUMBER(C5),ISNUMBER(D5)), C5-D5, "")</f>
        <v>1479.1959999999999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1479.1959999999999</v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>
        <v>827.37300000000005</v>
      </c>
      <c r="D6" s="13">
        <v>0</v>
      </c>
      <c r="E6" s="13">
        <f t="shared" si="0"/>
        <v>827.37300000000005</v>
      </c>
      <c r="F6" s="14" t="str">
        <f t="shared" ref="F6:F17" si="3">IFERROR(E6/D6, "")</f>
        <v/>
      </c>
      <c r="G6" s="15">
        <v>0</v>
      </c>
      <c r="H6" s="15">
        <f t="shared" si="1"/>
        <v>827.37300000000005</v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>
        <v>1770</v>
      </c>
      <c r="D7" s="18">
        <v>0</v>
      </c>
      <c r="E7" s="18">
        <f t="shared" si="0"/>
        <v>1770</v>
      </c>
      <c r="F7" s="19" t="str">
        <f t="shared" si="3"/>
        <v/>
      </c>
      <c r="G7" s="20">
        <v>0</v>
      </c>
      <c r="H7" s="20">
        <f t="shared" si="1"/>
        <v>1770</v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>
        <v>2545.8000000000002</v>
      </c>
      <c r="D8" s="13">
        <v>0</v>
      </c>
      <c r="E8" s="13">
        <f t="shared" si="0"/>
        <v>2545.8000000000002</v>
      </c>
      <c r="F8" s="14" t="str">
        <f t="shared" si="3"/>
        <v/>
      </c>
      <c r="G8" s="15">
        <v>0</v>
      </c>
      <c r="H8" s="15">
        <f t="shared" si="1"/>
        <v>2545.8000000000002</v>
      </c>
      <c r="I8" s="16" t="str">
        <f t="shared" si="2"/>
        <v/>
      </c>
      <c r="J8" s="41"/>
      <c r="K8" s="41"/>
    </row>
    <row r="9" spans="1:11" ht="16.5">
      <c r="A9" s="30" t="str">
        <v>Columbus - BA Harrisburg Pike</v>
      </c>
      <c r="B9" s="31" t="str">
        <v>OH</v>
      </c>
      <c r="C9" s="11">
        <v>2208.46</v>
      </c>
      <c r="D9" s="18">
        <v>0</v>
      </c>
      <c r="E9" s="18">
        <f t="shared" si="0"/>
        <v>2208.46</v>
      </c>
      <c r="F9" s="19" t="str">
        <f t="shared" si="3"/>
        <v/>
      </c>
      <c r="G9" s="20">
        <v>0</v>
      </c>
      <c r="H9" s="20">
        <f t="shared" si="1"/>
        <v>2208.46</v>
      </c>
      <c r="I9" s="19" t="str">
        <f t="shared" si="2"/>
        <v/>
      </c>
      <c r="J9" s="42" t="s">
        <v>47</v>
      </c>
      <c r="K9" s="54" t="s">
        <v>31</v>
      </c>
    </row>
    <row r="10" spans="1:11" ht="15.6">
      <c r="A10" s="28" t="str">
        <v>Cincinnati - BA Hyde Pk Plaza</v>
      </c>
      <c r="B10" s="29" t="str">
        <v>OH</v>
      </c>
      <c r="C10" s="24">
        <v>2472</v>
      </c>
      <c r="D10" s="13">
        <v>0</v>
      </c>
      <c r="E10" s="13">
        <f t="shared" si="0"/>
        <v>2472</v>
      </c>
      <c r="F10" s="14" t="str">
        <f t="shared" si="3"/>
        <v/>
      </c>
      <c r="G10" s="15">
        <v>0</v>
      </c>
      <c r="H10" s="15">
        <f t="shared" si="1"/>
        <v>2472</v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>
        <v>18516</v>
      </c>
      <c r="D11" s="18">
        <v>0</v>
      </c>
      <c r="E11" s="18">
        <f t="shared" si="0"/>
        <v>18516</v>
      </c>
      <c r="F11" s="19" t="str">
        <f t="shared" si="3"/>
        <v/>
      </c>
      <c r="G11" s="20">
        <v>0</v>
      </c>
      <c r="H11" s="20">
        <f t="shared" si="1"/>
        <v>18516</v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>
        <v>1192.77</v>
      </c>
      <c r="D12" s="13">
        <v>0</v>
      </c>
      <c r="E12" s="13">
        <f t="shared" si="0"/>
        <v>1192.77</v>
      </c>
      <c r="F12" s="14" t="str">
        <f t="shared" si="3"/>
        <v/>
      </c>
      <c r="G12" s="15">
        <v>0</v>
      </c>
      <c r="H12" s="15">
        <f t="shared" si="1"/>
        <v>1192.77</v>
      </c>
      <c r="I12" s="16" t="str">
        <f t="shared" si="2"/>
        <v/>
      </c>
      <c r="J12" s="41" t="s">
        <v>48</v>
      </c>
      <c r="K12" s="41" t="s">
        <v>49</v>
      </c>
    </row>
    <row r="13" spans="1:11" ht="15.6">
      <c r="A13" s="30" t="str">
        <v>Zionsville - BA</v>
      </c>
      <c r="B13" s="31" t="str">
        <v>IN</v>
      </c>
      <c r="C13" s="11">
        <v>3282.6</v>
      </c>
      <c r="D13" s="18">
        <v>0</v>
      </c>
      <c r="E13" s="18">
        <f t="shared" si="0"/>
        <v>3282.6</v>
      </c>
      <c r="F13" s="19" t="str">
        <f t="shared" si="3"/>
        <v/>
      </c>
      <c r="G13" s="20">
        <v>0</v>
      </c>
      <c r="H13" s="20">
        <f t="shared" si="1"/>
        <v>3282.6</v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>
        <v>1880.6</v>
      </c>
      <c r="D14" s="13">
        <v>0</v>
      </c>
      <c r="E14" s="13">
        <f t="shared" si="0"/>
        <v>1880.6</v>
      </c>
      <c r="F14" s="14" t="str">
        <f t="shared" si="3"/>
        <v/>
      </c>
      <c r="G14" s="15">
        <v>0</v>
      </c>
      <c r="H14" s="15">
        <f t="shared" si="1"/>
        <v>1880.6</v>
      </c>
      <c r="I14" s="16" t="str">
        <f t="shared" si="2"/>
        <v/>
      </c>
      <c r="J14" s="41"/>
      <c r="K14" s="41"/>
    </row>
    <row r="15" spans="1:11" ht="60.75">
      <c r="A15" s="30" t="str">
        <v>Columbus - BA Eastmoor</v>
      </c>
      <c r="B15" s="31" t="str">
        <v>OH</v>
      </c>
      <c r="C15" s="11">
        <v>3030.3</v>
      </c>
      <c r="D15" s="18">
        <v>0</v>
      </c>
      <c r="E15" s="18">
        <f t="shared" si="0"/>
        <v>3030.3</v>
      </c>
      <c r="F15" s="19" t="str">
        <f t="shared" si="3"/>
        <v/>
      </c>
      <c r="G15" s="20">
        <v>0</v>
      </c>
      <c r="H15" s="20">
        <f t="shared" si="1"/>
        <v>3030.3</v>
      </c>
      <c r="I15" s="19" t="str">
        <f t="shared" si="2"/>
        <v/>
      </c>
      <c r="J15" s="42" t="s">
        <v>50</v>
      </c>
      <c r="K15" s="54" t="s">
        <v>35</v>
      </c>
    </row>
    <row r="16" spans="1:11" ht="15.6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2656.7</v>
      </c>
      <c r="D17" s="18">
        <v>0</v>
      </c>
      <c r="E17" s="18">
        <f t="shared" si="0"/>
        <v>2656.7</v>
      </c>
      <c r="F17" s="19" t="str">
        <f t="shared" si="3"/>
        <v/>
      </c>
      <c r="G17" s="20">
        <v>0</v>
      </c>
      <c r="H17" s="20">
        <f t="shared" si="1"/>
        <v>2656.7</v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ref="E18:E25" si="4">IF(AND(ISNUMBER(C18),ISNUMBER(D18)), C18-D18, "")</f>
        <v>0</v>
      </c>
      <c r="F18" s="14" t="str">
        <f t="shared" ref="F18:F25" si="5">IFERROR(E18/D18, "")</f>
        <v/>
      </c>
      <c r="G18" s="15">
        <v>0</v>
      </c>
      <c r="H18" s="15">
        <f t="shared" ref="H18:H25" si="6">IF(AND(ISNUMBER(C18),ISNUMBER(G18)), C18-G18, "")</f>
        <v>0</v>
      </c>
      <c r="I18" s="16" t="str">
        <f t="shared" ref="I18:I25" si="7">IFERROR(H18/G18, "")</f>
        <v/>
      </c>
      <c r="J18" s="41"/>
      <c r="K18" s="41"/>
    </row>
    <row r="19" spans="1:11" ht="16.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51</v>
      </c>
      <c r="K19" s="43" t="s">
        <v>37</v>
      </c>
    </row>
    <row r="20" spans="1:11" ht="15.6">
      <c r="A20" s="28" t="str">
        <v>Stamford - BA West Stamford</v>
      </c>
      <c r="B20" s="29" t="str">
        <v>CT</v>
      </c>
      <c r="C20" s="24">
        <v>2171.71</v>
      </c>
      <c r="D20" s="13">
        <v>0</v>
      </c>
      <c r="E20" s="13">
        <f t="shared" si="4"/>
        <v>2171.71</v>
      </c>
      <c r="F20" s="14" t="str">
        <f t="shared" si="5"/>
        <v/>
      </c>
      <c r="G20" s="15">
        <v>0</v>
      </c>
      <c r="H20" s="15">
        <f t="shared" si="6"/>
        <v>2171.71</v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2676.7</v>
      </c>
      <c r="D21" s="18">
        <v>0</v>
      </c>
      <c r="E21" s="18">
        <f t="shared" si="4"/>
        <v>2676.7</v>
      </c>
      <c r="F21" s="19" t="str">
        <f t="shared" si="5"/>
        <v/>
      </c>
      <c r="G21" s="20">
        <v>0</v>
      </c>
      <c r="H21" s="20">
        <f t="shared" si="6"/>
        <v>2676.7</v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4"/>
        <v>0</v>
      </c>
      <c r="F22" s="14" t="str">
        <f t="shared" si="5"/>
        <v/>
      </c>
      <c r="G22" s="15">
        <v>0</v>
      </c>
      <c r="H22" s="15">
        <f t="shared" si="6"/>
        <v>0</v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3060.4</v>
      </c>
      <c r="D23" s="18">
        <v>0</v>
      </c>
      <c r="E23" s="18">
        <f t="shared" si="4"/>
        <v>3060.4</v>
      </c>
      <c r="F23" s="19" t="str">
        <f t="shared" si="5"/>
        <v/>
      </c>
      <c r="G23" s="20">
        <v>0</v>
      </c>
      <c r="H23" s="20">
        <f t="shared" si="6"/>
        <v>3060.4</v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1499.2</v>
      </c>
      <c r="D24" s="13">
        <v>0</v>
      </c>
      <c r="E24" s="13">
        <f t="shared" si="4"/>
        <v>1499.2</v>
      </c>
      <c r="F24" s="14" t="str">
        <f t="shared" si="5"/>
        <v/>
      </c>
      <c r="G24" s="15">
        <v>0</v>
      </c>
      <c r="H24" s="15">
        <f t="shared" si="6"/>
        <v>1499.2</v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1452.5</v>
      </c>
      <c r="D25" s="18">
        <v>0</v>
      </c>
      <c r="E25" s="18">
        <f t="shared" si="4"/>
        <v>1452.5</v>
      </c>
      <c r="F25" s="19" t="str">
        <f t="shared" si="5"/>
        <v/>
      </c>
      <c r="G25" s="20">
        <v>0</v>
      </c>
      <c r="H25" s="20">
        <f t="shared" si="6"/>
        <v>1452.5</v>
      </c>
      <c r="I25" s="19" t="str">
        <f t="shared" si="7"/>
        <v/>
      </c>
      <c r="J25" s="42"/>
      <c r="K25" s="43"/>
    </row>
    <row r="26" spans="1:11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xSplit="2" ySplit="3" topLeftCell="C4" activePane="bottomRight" state="frozen"/>
      <selection pane="bottomRight" activeCell="J16" sqref="J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SUM(C4:C86)</f>
        <v>35283.397000000004</v>
      </c>
      <c r="D2" s="5">
        <f>SUM(D4:D86)</f>
        <v>0</v>
      </c>
      <c r="E2" s="5">
        <f>C2-D2</f>
        <v>35283.397000000004</v>
      </c>
      <c r="F2" s="6">
        <f>IFERROR(E2/D2, 0)</f>
        <v>0</v>
      </c>
      <c r="G2" s="5">
        <f>SUM(G4:G86)</f>
        <v>0</v>
      </c>
      <c r="H2" s="7">
        <f>C2-G2</f>
        <v>35283.397000000004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2795</v>
      </c>
      <c r="D4" s="13">
        <v>0</v>
      </c>
      <c r="E4" s="13">
        <f>IF(AND(ISNUMBER(C4),ISNUMBER(D4)), C4-D4, "")</f>
        <v>2795</v>
      </c>
      <c r="F4" s="14" t="str">
        <f>IFERROR(E4/D4, "")</f>
        <v/>
      </c>
      <c r="G4" s="15">
        <v>0</v>
      </c>
      <c r="H4" s="15">
        <f>IF(AND(ISNUMBER(C4),ISNUMBER(G4)), C4-G4, "")</f>
        <v>2795</v>
      </c>
      <c r="I4" s="16" t="str">
        <f>IFERROR(H4/G4, "")</f>
        <v/>
      </c>
      <c r="J4" s="41"/>
      <c r="K4" s="41"/>
    </row>
    <row r="5" spans="1:11" ht="30.75">
      <c r="A5" s="30" t="str">
        <v>Indianapolis - BA Speedway</v>
      </c>
      <c r="B5" s="31" t="str">
        <v>IN</v>
      </c>
      <c r="C5" s="11">
        <v>1488.7170000000001</v>
      </c>
      <c r="D5" s="18">
        <v>0</v>
      </c>
      <c r="E5" s="18">
        <f t="shared" ref="E5:E17" si="0">IF(AND(ISNUMBER(C5),ISNUMBER(D5)), C5-D5, "")</f>
        <v>1488.7170000000001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1488.7170000000001</v>
      </c>
      <c r="I5" s="19" t="str">
        <f t="shared" ref="I5:I17" si="2">IFERROR(H5/G5, "")</f>
        <v/>
      </c>
      <c r="J5" s="52" t="s">
        <v>54</v>
      </c>
      <c r="K5" s="46" t="s">
        <v>55</v>
      </c>
    </row>
    <row r="6" spans="1:11" ht="15.6">
      <c r="A6" s="28" t="str">
        <v>Greenwood - BA</v>
      </c>
      <c r="B6" s="29" t="str">
        <v>IN</v>
      </c>
      <c r="C6" s="24">
        <v>804.3</v>
      </c>
      <c r="D6" s="13">
        <v>0</v>
      </c>
      <c r="E6" s="13">
        <f t="shared" si="0"/>
        <v>804.3</v>
      </c>
      <c r="F6" s="14" t="str">
        <f t="shared" ref="F6:F17" si="3">IFERROR(E6/D6, "")</f>
        <v/>
      </c>
      <c r="G6" s="15">
        <v>0</v>
      </c>
      <c r="H6" s="15">
        <f t="shared" si="1"/>
        <v>804.3</v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>
        <v>1754.3</v>
      </c>
      <c r="D7" s="18">
        <v>0</v>
      </c>
      <c r="E7" s="18">
        <f t="shared" si="0"/>
        <v>1754.3</v>
      </c>
      <c r="F7" s="19" t="str">
        <f t="shared" si="3"/>
        <v/>
      </c>
      <c r="G7" s="20">
        <v>0</v>
      </c>
      <c r="H7" s="20">
        <f t="shared" si="1"/>
        <v>1754.3</v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>
        <v>2516.21</v>
      </c>
      <c r="D8" s="13">
        <v>0</v>
      </c>
      <c r="E8" s="13">
        <f t="shared" si="0"/>
        <v>2516.21</v>
      </c>
      <c r="F8" s="14" t="str">
        <f t="shared" si="3"/>
        <v/>
      </c>
      <c r="G8" s="15">
        <v>0</v>
      </c>
      <c r="H8" s="15">
        <f t="shared" si="1"/>
        <v>2516.21</v>
      </c>
      <c r="I8" s="16" t="str">
        <f t="shared" si="2"/>
        <v/>
      </c>
      <c r="J8" s="41"/>
      <c r="K8" s="41"/>
    </row>
    <row r="9" spans="1:11" ht="16.5">
      <c r="A9" s="30" t="str">
        <v>Columbus - BA Harrisburg Pike</v>
      </c>
      <c r="B9" s="31" t="str">
        <v>OH</v>
      </c>
      <c r="C9" s="11">
        <v>2004.7</v>
      </c>
      <c r="D9" s="18">
        <v>0</v>
      </c>
      <c r="E9" s="18">
        <f t="shared" si="0"/>
        <v>2004.7</v>
      </c>
      <c r="F9" s="19" t="str">
        <f t="shared" si="3"/>
        <v/>
      </c>
      <c r="G9" s="20">
        <v>0</v>
      </c>
      <c r="H9" s="20">
        <f t="shared" si="1"/>
        <v>2004.7</v>
      </c>
      <c r="I9" s="19" t="str">
        <f t="shared" si="2"/>
        <v/>
      </c>
      <c r="J9" s="42" t="s">
        <v>56</v>
      </c>
      <c r="K9" s="43" t="s">
        <v>31</v>
      </c>
    </row>
    <row r="10" spans="1:11" ht="15.6">
      <c r="A10" s="28" t="str">
        <v>Cincinnati - BA Hyde Pk Plaza</v>
      </c>
      <c r="B10" s="29" t="str">
        <v>OH</v>
      </c>
      <c r="C10" s="24">
        <v>2431.86</v>
      </c>
      <c r="D10" s="13">
        <v>0</v>
      </c>
      <c r="E10" s="13">
        <f t="shared" si="0"/>
        <v>2431.86</v>
      </c>
      <c r="F10" s="14" t="str">
        <f t="shared" si="3"/>
        <v/>
      </c>
      <c r="G10" s="15">
        <v>0</v>
      </c>
      <c r="H10" s="15">
        <f t="shared" si="1"/>
        <v>2431.86</v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>
        <v>1830.7</v>
      </c>
      <c r="D11" s="18">
        <v>0</v>
      </c>
      <c r="E11" s="18">
        <f t="shared" si="0"/>
        <v>1830.7</v>
      </c>
      <c r="F11" s="19" t="str">
        <f t="shared" si="3"/>
        <v/>
      </c>
      <c r="G11" s="20">
        <v>0</v>
      </c>
      <c r="H11" s="20">
        <f t="shared" si="1"/>
        <v>1830.7</v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>
        <v>0</v>
      </c>
      <c r="D12" s="13">
        <v>0</v>
      </c>
      <c r="E12" s="13">
        <f t="shared" si="0"/>
        <v>0</v>
      </c>
      <c r="F12" s="14" t="str">
        <f t="shared" si="3"/>
        <v/>
      </c>
      <c r="G12" s="15">
        <v>0</v>
      </c>
      <c r="H12" s="15">
        <f t="shared" si="1"/>
        <v>0</v>
      </c>
      <c r="I12" s="16" t="str">
        <f t="shared" si="2"/>
        <v/>
      </c>
      <c r="J12" s="41" t="s">
        <v>48</v>
      </c>
      <c r="K12" s="41" t="s">
        <v>49</v>
      </c>
    </row>
    <row r="13" spans="1:11" ht="15.6">
      <c r="A13" s="30" t="str">
        <v>Zionsville - BA</v>
      </c>
      <c r="B13" s="31" t="str">
        <v>IN</v>
      </c>
      <c r="C13" s="11">
        <v>3283.8</v>
      </c>
      <c r="D13" s="18">
        <v>0</v>
      </c>
      <c r="E13" s="18">
        <f t="shared" si="0"/>
        <v>3283.8</v>
      </c>
      <c r="F13" s="19" t="str">
        <f t="shared" si="3"/>
        <v/>
      </c>
      <c r="G13" s="20">
        <v>0</v>
      </c>
      <c r="H13" s="20">
        <f t="shared" si="1"/>
        <v>3283.8</v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>
        <v>1575</v>
      </c>
      <c r="D14" s="13">
        <v>0</v>
      </c>
      <c r="E14" s="13">
        <f t="shared" si="0"/>
        <v>1575</v>
      </c>
      <c r="F14" s="14" t="str">
        <f t="shared" si="3"/>
        <v/>
      </c>
      <c r="G14" s="15">
        <v>0</v>
      </c>
      <c r="H14" s="15">
        <f t="shared" si="1"/>
        <v>1575</v>
      </c>
      <c r="I14" s="16" t="str">
        <f t="shared" si="2"/>
        <v/>
      </c>
      <c r="J14" s="41"/>
      <c r="K14" s="41"/>
    </row>
    <row r="15" spans="1:11" ht="60.75">
      <c r="A15" s="30" t="str">
        <v>Columbus - BA Eastmoor</v>
      </c>
      <c r="B15" s="31" t="str">
        <v>OH</v>
      </c>
      <c r="C15" s="11">
        <v>2812.68</v>
      </c>
      <c r="D15" s="18">
        <v>0</v>
      </c>
      <c r="E15" s="18">
        <f t="shared" si="0"/>
        <v>2812.68</v>
      </c>
      <c r="F15" s="19" t="str">
        <f t="shared" si="3"/>
        <v/>
      </c>
      <c r="G15" s="20">
        <v>0</v>
      </c>
      <c r="H15" s="20">
        <f t="shared" si="1"/>
        <v>2812.68</v>
      </c>
      <c r="I15" s="19" t="str">
        <f t="shared" si="2"/>
        <v/>
      </c>
      <c r="J15" s="42" t="s">
        <v>57</v>
      </c>
      <c r="K15" s="53" t="s">
        <v>35</v>
      </c>
    </row>
    <row r="16" spans="1:11" ht="15.6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2337.23</v>
      </c>
      <c r="D17" s="18">
        <v>0</v>
      </c>
      <c r="E17" s="18">
        <f t="shared" si="0"/>
        <v>2337.23</v>
      </c>
      <c r="F17" s="19" t="str">
        <f t="shared" si="3"/>
        <v/>
      </c>
      <c r="G17" s="20">
        <v>0</v>
      </c>
      <c r="H17" s="20">
        <f t="shared" si="1"/>
        <v>2337.23</v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>IF(AND(ISNUMBER(C18),ISNUMBER(D18)), C18-D18, "")</f>
        <v>0</v>
      </c>
      <c r="F18" s="14" t="str">
        <f t="shared" ref="F18:F25" si="4">IFERROR(E18/D18, "")</f>
        <v/>
      </c>
      <c r="G18" s="15">
        <v>0</v>
      </c>
      <c r="H18" s="15">
        <f>IF(AND(ISNUMBER(C18),ISNUMBER(G18)), C18-G18, "")</f>
        <v>0</v>
      </c>
      <c r="I18" s="16" t="str">
        <f t="shared" ref="I18:I25" si="5">IFERROR(H18/G18, "")</f>
        <v/>
      </c>
      <c r="J18" s="41"/>
      <c r="K18" s="41"/>
    </row>
    <row r="19" spans="1:11" ht="16.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>IF(AND(ISNUMBER(C19),ISNUMBER(D19)), C19-D19, "")</f>
        <v>0</v>
      </c>
      <c r="F19" s="19" t="str">
        <f t="shared" si="4"/>
        <v/>
      </c>
      <c r="G19" s="20">
        <v>0</v>
      </c>
      <c r="H19" s="20">
        <f>IF(AND(ISNUMBER(C19),ISNUMBER(G19)), C19-G19, "")</f>
        <v>0</v>
      </c>
      <c r="I19" s="19" t="str">
        <f t="shared" si="5"/>
        <v/>
      </c>
      <c r="J19" s="42" t="s">
        <v>51</v>
      </c>
      <c r="K19" s="43" t="s">
        <v>37</v>
      </c>
    </row>
    <row r="20" spans="1:11" ht="15.75">
      <c r="A20" s="28" t="str">
        <v>Stamford - BA West Stamford</v>
      </c>
      <c r="B20" s="29" t="str">
        <v>CT</v>
      </c>
      <c r="C20" s="24">
        <v>1876.2</v>
      </c>
      <c r="D20" s="13">
        <v>0</v>
      </c>
      <c r="E20" s="13">
        <f>IF(AND(ISNUMBER(C20),ISNUMBER(D20)), C20-D20, "")</f>
        <v>1876.2</v>
      </c>
      <c r="F20" s="14" t="str">
        <f t="shared" si="4"/>
        <v/>
      </c>
      <c r="G20" s="15">
        <v>0</v>
      </c>
      <c r="H20" s="15">
        <f>IF(AND(ISNUMBER(C20),ISNUMBER(G20)), C20-G20, "")</f>
        <v>1876.2</v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2457.9</v>
      </c>
      <c r="D21" s="18">
        <v>0</v>
      </c>
      <c r="E21" s="18">
        <f>IF(AND(ISNUMBER(C21),ISNUMBER(D21)), C21-D21, "")</f>
        <v>2457.9</v>
      </c>
      <c r="F21" s="19" t="str">
        <f t="shared" si="4"/>
        <v/>
      </c>
      <c r="G21" s="20">
        <v>0</v>
      </c>
      <c r="H21" s="20">
        <f>IF(AND(ISNUMBER(C21),ISNUMBER(G21)), C21-G21, "")</f>
        <v>2457.9</v>
      </c>
      <c r="I21" s="19" t="str">
        <f t="shared" si="5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>IF(AND(ISNUMBER(C22),ISNUMBER(D22)), C22-D22, "")</f>
        <v>0</v>
      </c>
      <c r="F22" s="14" t="str">
        <f t="shared" si="4"/>
        <v/>
      </c>
      <c r="G22" s="15">
        <v>0</v>
      </c>
      <c r="H22" s="15">
        <f>IF(AND(ISNUMBER(C22),ISNUMBER(G22)), C22-G22, "")</f>
        <v>0</v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2603.3000000000002</v>
      </c>
      <c r="D23" s="18">
        <v>0</v>
      </c>
      <c r="E23" s="18">
        <f>IF(AND(ISNUMBER(C23),ISNUMBER(D23)), C23-D23, "")</f>
        <v>2603.3000000000002</v>
      </c>
      <c r="F23" s="19" t="str">
        <f t="shared" si="4"/>
        <v/>
      </c>
      <c r="G23" s="20">
        <v>0</v>
      </c>
      <c r="H23" s="20">
        <f>IF(AND(ISNUMBER(C23),ISNUMBER(G23)), C23-G23, "")</f>
        <v>2603.3000000000002</v>
      </c>
      <c r="I23" s="19" t="str">
        <f t="shared" si="5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>
        <v>1500.6</v>
      </c>
      <c r="D24" s="13">
        <v>0</v>
      </c>
      <c r="E24" s="13">
        <f>IF(AND(ISNUMBER(C24),ISNUMBER(D24)), C24-D24, "")</f>
        <v>1500.6</v>
      </c>
      <c r="F24" s="14" t="str">
        <f t="shared" si="4"/>
        <v/>
      </c>
      <c r="G24" s="15">
        <v>0</v>
      </c>
      <c r="H24" s="15">
        <f>IF(AND(ISNUMBER(C24),ISNUMBER(G24)), C24-G24, "")</f>
        <v>1500.6</v>
      </c>
      <c r="I24" s="16" t="str">
        <f t="shared" si="5"/>
        <v/>
      </c>
      <c r="J24" s="41" t="s">
        <v>58</v>
      </c>
      <c r="K24" s="41" t="s">
        <v>59</v>
      </c>
    </row>
    <row r="25" spans="1:11" ht="15.6">
      <c r="A25" s="30" t="str">
        <v>Lexington - BA North Park</v>
      </c>
      <c r="B25" s="31" t="str">
        <v>KY</v>
      </c>
      <c r="C25" s="11">
        <v>1210.9000000000001</v>
      </c>
      <c r="D25" s="18">
        <v>0</v>
      </c>
      <c r="E25" s="18">
        <f>IF(AND(ISNUMBER(C25),ISNUMBER(D25)), C25-D25, "")</f>
        <v>1210.9000000000001</v>
      </c>
      <c r="F25" s="19" t="str">
        <f t="shared" si="4"/>
        <v/>
      </c>
      <c r="G25" s="20">
        <v>0</v>
      </c>
      <c r="H25" s="20">
        <f>IF(AND(ISNUMBER(C25),ISNUMBER(G25)), C25-G25, "")</f>
        <v>1210.9000000000001</v>
      </c>
      <c r="I25" s="19" t="str">
        <f t="shared" si="5"/>
        <v/>
      </c>
      <c r="J25" s="42"/>
      <c r="K25" s="43"/>
    </row>
    <row r="26" spans="1:11" ht="14.45">
      <c r="A26" s="21" t="str">
        <v>Coventry - BA ATM</v>
      </c>
      <c r="B26" s="33" t="str">
        <v>RI</v>
      </c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 t="str">
        <v>Woodbridge - BA ATM</v>
      </c>
      <c r="B27" s="33" t="str">
        <v>VA</v>
      </c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xSplit="2" ySplit="3" topLeftCell="C4" activePane="bottomRight" state="frozen"/>
      <selection pane="bottomRight" activeCell="J29" sqref="J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60</v>
      </c>
      <c r="E1" s="61"/>
      <c r="F1" s="61"/>
      <c r="G1" s="59" t="s">
        <v>61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SUM(C4:C85)</f>
        <v>27988.214000000004</v>
      </c>
      <c r="D2" s="5">
        <f>SUM(D4:D85)</f>
        <v>0</v>
      </c>
      <c r="E2" s="5">
        <f>C2-D2</f>
        <v>27988.214000000004</v>
      </c>
      <c r="F2" s="6">
        <f>IFERROR(E2/D2, 0)</f>
        <v>0</v>
      </c>
      <c r="G2" s="5">
        <f>SUM(G4:G85)</f>
        <v>0</v>
      </c>
      <c r="H2" s="7">
        <f>C2-G2</f>
        <v>27988.214000000004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2420.8000000000002</v>
      </c>
      <c r="D4" s="13">
        <v>0</v>
      </c>
      <c r="E4" s="13">
        <f>IF(AND(ISNUMBER(C4),ISNUMBER(D4)), C4-D4, "")</f>
        <v>2420.8000000000002</v>
      </c>
      <c r="F4" s="14" t="str">
        <f>IFERROR(E4/D4, "")</f>
        <v/>
      </c>
      <c r="G4" s="15">
        <v>0</v>
      </c>
      <c r="H4" s="15">
        <f>IF(AND(ISNUMBER(C4),ISNUMBER(G4)), C4-G4, "")</f>
        <v>2420.8000000000002</v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>
        <v>1168.961</v>
      </c>
      <c r="D5" s="18">
        <v>0</v>
      </c>
      <c r="E5" s="18">
        <f t="shared" ref="E5:E17" si="0">IF(AND(ISNUMBER(C5),ISNUMBER(D5)), C5-D5, "")</f>
        <v>1168.961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1168.961</v>
      </c>
      <c r="I5" s="19" t="str">
        <f t="shared" ref="I5:I17" si="2">IFERROR(H5/G5, "")</f>
        <v/>
      </c>
      <c r="J5" s="42" t="s">
        <v>62</v>
      </c>
      <c r="K5" s="42" t="s">
        <v>55</v>
      </c>
    </row>
    <row r="6" spans="1:11" ht="15.6">
      <c r="A6" s="28" t="str">
        <v>Greenwood - BA</v>
      </c>
      <c r="B6" s="29" t="str">
        <v>IN</v>
      </c>
      <c r="C6" s="24">
        <v>622</v>
      </c>
      <c r="D6" s="13">
        <v>0</v>
      </c>
      <c r="E6" s="13">
        <f t="shared" si="0"/>
        <v>622</v>
      </c>
      <c r="F6" s="14" t="str">
        <f t="shared" ref="F6:F17" si="3">IFERROR(E6/D6, "")</f>
        <v/>
      </c>
      <c r="G6" s="15">
        <v>0</v>
      </c>
      <c r="H6" s="15">
        <f t="shared" si="1"/>
        <v>622</v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>
        <v>1385.211</v>
      </c>
      <c r="D7" s="18">
        <v>0</v>
      </c>
      <c r="E7" s="18">
        <f t="shared" si="0"/>
        <v>1385.211</v>
      </c>
      <c r="F7" s="19" t="str">
        <f t="shared" si="3"/>
        <v/>
      </c>
      <c r="G7" s="20">
        <v>0</v>
      </c>
      <c r="H7" s="20">
        <f t="shared" si="1"/>
        <v>1385.211</v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>
        <v>1991</v>
      </c>
      <c r="D8" s="13">
        <v>0</v>
      </c>
      <c r="E8" s="13">
        <f t="shared" si="0"/>
        <v>1991</v>
      </c>
      <c r="F8" s="14" t="str">
        <f t="shared" si="3"/>
        <v/>
      </c>
      <c r="G8" s="15">
        <v>0</v>
      </c>
      <c r="H8" s="15">
        <f t="shared" si="1"/>
        <v>1991</v>
      </c>
      <c r="I8" s="16" t="str">
        <f t="shared" si="2"/>
        <v/>
      </c>
      <c r="J8" s="41"/>
      <c r="K8" s="41"/>
    </row>
    <row r="9" spans="1:11" ht="30.75">
      <c r="A9" s="30" t="str">
        <v>Columbus - BA Harrisburg Pike</v>
      </c>
      <c r="B9" s="31" t="str">
        <v>OH</v>
      </c>
      <c r="C9" s="11">
        <v>1627.5889999999999</v>
      </c>
      <c r="D9" s="18">
        <v>0</v>
      </c>
      <c r="E9" s="18">
        <f t="shared" si="0"/>
        <v>1627.5889999999999</v>
      </c>
      <c r="F9" s="19" t="str">
        <f t="shared" si="3"/>
        <v/>
      </c>
      <c r="G9" s="20">
        <v>0</v>
      </c>
      <c r="H9" s="20">
        <f t="shared" si="1"/>
        <v>1627.5889999999999</v>
      </c>
      <c r="I9" s="19" t="str">
        <f t="shared" si="2"/>
        <v/>
      </c>
      <c r="J9" s="42" t="s">
        <v>63</v>
      </c>
      <c r="K9" s="43" t="s">
        <v>31</v>
      </c>
    </row>
    <row r="10" spans="1:11" ht="15.6">
      <c r="A10" s="28" t="str">
        <v>Cincinnati - BA Hyde Pk Plaza</v>
      </c>
      <c r="B10" s="29" t="str">
        <v>OH</v>
      </c>
      <c r="C10" s="24">
        <v>1937.9</v>
      </c>
      <c r="D10" s="13">
        <v>0</v>
      </c>
      <c r="E10" s="13">
        <f t="shared" si="0"/>
        <v>1937.9</v>
      </c>
      <c r="F10" s="14" t="str">
        <f t="shared" si="3"/>
        <v/>
      </c>
      <c r="G10" s="15">
        <v>0</v>
      </c>
      <c r="H10" s="15">
        <f t="shared" si="1"/>
        <v>1937.9</v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>
        <v>1480.9860000000001</v>
      </c>
      <c r="D11" s="18">
        <v>0</v>
      </c>
      <c r="E11" s="18">
        <f t="shared" si="0"/>
        <v>1480.9860000000001</v>
      </c>
      <c r="F11" s="19" t="str">
        <f t="shared" si="3"/>
        <v/>
      </c>
      <c r="G11" s="20">
        <v>0</v>
      </c>
      <c r="H11" s="20">
        <f t="shared" si="1"/>
        <v>1480.9860000000001</v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>
        <v>0</v>
      </c>
      <c r="D12" s="13">
        <v>0</v>
      </c>
      <c r="E12" s="13">
        <f t="shared" si="0"/>
        <v>0</v>
      </c>
      <c r="F12" s="14" t="str">
        <f t="shared" si="3"/>
        <v/>
      </c>
      <c r="G12" s="15">
        <v>0</v>
      </c>
      <c r="H12" s="15">
        <f t="shared" si="1"/>
        <v>0</v>
      </c>
      <c r="I12" s="16" t="str">
        <f t="shared" si="2"/>
        <v/>
      </c>
      <c r="J12" s="41" t="s">
        <v>48</v>
      </c>
      <c r="K12" s="41" t="s">
        <v>49</v>
      </c>
    </row>
    <row r="13" spans="1:11" ht="15.6">
      <c r="A13" s="30" t="str">
        <v>Zionsville - BA</v>
      </c>
      <c r="B13" s="31" t="str">
        <v>IN</v>
      </c>
      <c r="C13" s="11">
        <v>2573</v>
      </c>
      <c r="D13" s="18">
        <v>0</v>
      </c>
      <c r="E13" s="18">
        <f t="shared" si="0"/>
        <v>2573</v>
      </c>
      <c r="F13" s="19" t="str">
        <f t="shared" si="3"/>
        <v/>
      </c>
      <c r="G13" s="20">
        <v>0</v>
      </c>
      <c r="H13" s="20">
        <f t="shared" si="1"/>
        <v>2573</v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>
        <v>1371.8</v>
      </c>
      <c r="D14" s="13">
        <v>0</v>
      </c>
      <c r="E14" s="13">
        <f t="shared" si="0"/>
        <v>1371.8</v>
      </c>
      <c r="F14" s="14" t="str">
        <f t="shared" si="3"/>
        <v/>
      </c>
      <c r="G14" s="15">
        <v>0</v>
      </c>
      <c r="H14" s="15">
        <f t="shared" si="1"/>
        <v>1371.8</v>
      </c>
      <c r="I14" s="16" t="str">
        <f t="shared" si="2"/>
        <v/>
      </c>
      <c r="J14" s="41"/>
      <c r="K14" s="41"/>
    </row>
    <row r="15" spans="1:11" ht="76.5">
      <c r="A15" s="30" t="str">
        <v>Columbus - BA Eastmoor</v>
      </c>
      <c r="B15" s="31" t="str">
        <v>OH</v>
      </c>
      <c r="C15" s="11">
        <v>2366.6</v>
      </c>
      <c r="D15" s="18">
        <v>0</v>
      </c>
      <c r="E15" s="18">
        <f t="shared" si="0"/>
        <v>2366.6</v>
      </c>
      <c r="F15" s="19" t="str">
        <f t="shared" si="3"/>
        <v/>
      </c>
      <c r="G15" s="20">
        <v>0</v>
      </c>
      <c r="H15" s="20">
        <f t="shared" si="1"/>
        <v>2366.6</v>
      </c>
      <c r="I15" s="19" t="str">
        <f t="shared" si="2"/>
        <v/>
      </c>
      <c r="J15" s="42" t="s">
        <v>64</v>
      </c>
      <c r="K15" s="54" t="s">
        <v>35</v>
      </c>
    </row>
    <row r="16" spans="1:11" ht="15.6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2032.86</v>
      </c>
      <c r="D17" s="18">
        <v>0</v>
      </c>
      <c r="E17" s="18">
        <f t="shared" si="0"/>
        <v>2032.86</v>
      </c>
      <c r="F17" s="19" t="str">
        <f t="shared" si="3"/>
        <v/>
      </c>
      <c r="G17" s="20">
        <v>0</v>
      </c>
      <c r="H17" s="20">
        <f t="shared" si="1"/>
        <v>2032.86</v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ref="E18:E25" si="4">IF(AND(ISNUMBER(C18),ISNUMBER(D18)), C18-D18, "")</f>
        <v>0</v>
      </c>
      <c r="F18" s="14" t="str">
        <f t="shared" ref="F18:F25" si="5">IFERROR(E18/D18, "")</f>
        <v/>
      </c>
      <c r="G18" s="15">
        <v>0</v>
      </c>
      <c r="H18" s="15">
        <f t="shared" ref="H18:H25" si="6">IF(AND(ISNUMBER(C18),ISNUMBER(G18)), C18-G18, "")</f>
        <v>0</v>
      </c>
      <c r="I18" s="16" t="str">
        <f t="shared" ref="I18:I25" si="7">IFERROR(H18/G18, "")</f>
        <v/>
      </c>
      <c r="J18" s="41"/>
      <c r="K18" s="41"/>
    </row>
    <row r="19" spans="1:11" ht="16.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51</v>
      </c>
      <c r="K19" s="43" t="s">
        <v>37</v>
      </c>
    </row>
    <row r="20" spans="1:11" ht="15.75">
      <c r="A20" s="28" t="str">
        <v>Stamford - BA West Stamford</v>
      </c>
      <c r="B20" s="29" t="str">
        <v>CT</v>
      </c>
      <c r="C20" s="24">
        <v>1579.4069999999999</v>
      </c>
      <c r="D20" s="13">
        <v>0</v>
      </c>
      <c r="E20" s="13">
        <f t="shared" si="4"/>
        <v>1579.4069999999999</v>
      </c>
      <c r="F20" s="14" t="str">
        <f t="shared" si="5"/>
        <v/>
      </c>
      <c r="G20" s="15">
        <v>0</v>
      </c>
      <c r="H20" s="15">
        <f t="shared" si="6"/>
        <v>1579.4069999999999</v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1733.9</v>
      </c>
      <c r="D21" s="18">
        <v>0</v>
      </c>
      <c r="E21" s="18">
        <f t="shared" si="4"/>
        <v>1733.9</v>
      </c>
      <c r="F21" s="19" t="str">
        <f t="shared" si="5"/>
        <v/>
      </c>
      <c r="G21" s="20">
        <v>0</v>
      </c>
      <c r="H21" s="20">
        <f t="shared" si="6"/>
        <v>1733.9</v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4"/>
        <v>0</v>
      </c>
      <c r="F22" s="14" t="str">
        <f t="shared" si="5"/>
        <v/>
      </c>
      <c r="G22" s="15">
        <v>0</v>
      </c>
      <c r="H22" s="15">
        <f t="shared" si="6"/>
        <v>0</v>
      </c>
      <c r="I22" s="16" t="str">
        <f t="shared" si="7"/>
        <v/>
      </c>
      <c r="J22" s="41"/>
      <c r="K22" s="41"/>
    </row>
    <row r="23" spans="1:11" ht="16.5">
      <c r="A23" s="30" t="str">
        <v>Brooklyn - BA North 4th &amp; Berry</v>
      </c>
      <c r="B23" s="31" t="str">
        <v>NY</v>
      </c>
      <c r="C23" s="11">
        <v>2090.4</v>
      </c>
      <c r="D23" s="18">
        <v>0</v>
      </c>
      <c r="E23" s="18">
        <f t="shared" si="4"/>
        <v>2090.4</v>
      </c>
      <c r="F23" s="19" t="str">
        <f t="shared" si="5"/>
        <v/>
      </c>
      <c r="G23" s="20">
        <v>0</v>
      </c>
      <c r="H23" s="20">
        <f t="shared" si="6"/>
        <v>2090.4</v>
      </c>
      <c r="I23" s="19" t="str">
        <f t="shared" si="7"/>
        <v/>
      </c>
      <c r="J23" s="42" t="s">
        <v>65</v>
      </c>
      <c r="K23" s="43" t="s">
        <v>66</v>
      </c>
    </row>
    <row r="24" spans="1:11" ht="15.75">
      <c r="A24" s="28" t="str">
        <v>Midlothian - BA Brandermill</v>
      </c>
      <c r="B24" s="29" t="str">
        <v>VA</v>
      </c>
      <c r="C24" s="24">
        <v>1097.8</v>
      </c>
      <c r="D24" s="13">
        <v>0</v>
      </c>
      <c r="E24" s="13">
        <f t="shared" si="4"/>
        <v>1097.8</v>
      </c>
      <c r="F24" s="14" t="str">
        <f t="shared" si="5"/>
        <v/>
      </c>
      <c r="G24" s="15">
        <v>0</v>
      </c>
      <c r="H24" s="15">
        <f t="shared" si="6"/>
        <v>1097.8</v>
      </c>
      <c r="I24" s="16" t="str">
        <f t="shared" si="7"/>
        <v/>
      </c>
      <c r="J24" s="41" t="s">
        <v>58</v>
      </c>
      <c r="K24" s="41" t="s">
        <v>59</v>
      </c>
    </row>
    <row r="25" spans="1:11" ht="16.5">
      <c r="A25" s="30" t="str">
        <v>Lexington - BA North Park</v>
      </c>
      <c r="B25" s="31" t="str">
        <v>KY</v>
      </c>
      <c r="C25" s="11">
        <v>508</v>
      </c>
      <c r="D25" s="18">
        <v>0</v>
      </c>
      <c r="E25" s="18">
        <f t="shared" si="4"/>
        <v>508</v>
      </c>
      <c r="F25" s="19" t="str">
        <f t="shared" si="5"/>
        <v/>
      </c>
      <c r="G25" s="20">
        <v>0</v>
      </c>
      <c r="H25" s="20">
        <f t="shared" si="6"/>
        <v>508</v>
      </c>
      <c r="I25" s="19" t="str">
        <f t="shared" si="7"/>
        <v/>
      </c>
      <c r="J25" s="42" t="s">
        <v>67</v>
      </c>
      <c r="K25" s="43" t="s">
        <v>40</v>
      </c>
    </row>
    <row r="26" spans="1:11" ht="15.75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xSplit="2" ySplit="3" topLeftCell="F9" activePane="bottomRight" state="frozen"/>
      <selection pane="bottomRight" activeCell="J31" sqref="J3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68</v>
      </c>
      <c r="E1" s="61"/>
      <c r="F1" s="61"/>
      <c r="G1" s="59" t="s">
        <v>69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E28" sqref="E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70</v>
      </c>
      <c r="E1" s="61"/>
      <c r="F1" s="61"/>
      <c r="G1" s="59" t="s">
        <v>71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tabSelected="1" workbookViewId="0">
      <pane xSplit="2" ySplit="3" topLeftCell="C8" activePane="bottomRight" state="frozen"/>
      <selection pane="bottomRight" activeCell="G34" sqref="G3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CBRE</v>
      </c>
      <c r="B1" s="60"/>
      <c r="C1" s="60"/>
      <c r="D1" s="61" t="s">
        <v>72</v>
      </c>
      <c r="E1" s="61"/>
      <c r="F1" s="61"/>
      <c r="G1" s="59" t="s">
        <v>73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22</v>
      </c>
      <c r="K3" s="25" t="s">
        <v>23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C32" sqref="C32"/>
    </sheetView>
  </sheetViews>
  <sheetFormatPr defaultRowHeight="12.75" customHeight="1"/>
  <cols>
    <col min="1" max="1" width="70.1406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74</v>
      </c>
      <c r="B1" t="s">
        <v>75</v>
      </c>
    </row>
    <row r="3" spans="1:7" ht="13.15">
      <c r="A3" t="s">
        <v>76</v>
      </c>
      <c r="B3" t="s">
        <v>3</v>
      </c>
      <c r="C3" t="s">
        <v>4</v>
      </c>
      <c r="D3" t="s">
        <v>77</v>
      </c>
      <c r="E3" s="2" t="s">
        <v>78</v>
      </c>
    </row>
    <row r="4" spans="1:7" ht="14.45">
      <c r="A4" t="s">
        <v>79</v>
      </c>
      <c r="B4" t="s">
        <v>80</v>
      </c>
      <c r="C4" s="44" t="s">
        <v>81</v>
      </c>
      <c r="D4" s="48"/>
      <c r="E4" s="49" t="s">
        <v>82</v>
      </c>
      <c r="G4" s="3"/>
    </row>
    <row r="5" spans="1:7" ht="14.45">
      <c r="A5" t="s">
        <v>83</v>
      </c>
      <c r="B5" t="s">
        <v>84</v>
      </c>
      <c r="C5" s="45" t="s">
        <v>85</v>
      </c>
      <c r="D5" s="50"/>
      <c r="E5" s="51" t="s">
        <v>82</v>
      </c>
      <c r="G5" s="3"/>
    </row>
    <row r="6" spans="1:7" ht="14.45">
      <c r="A6" t="s">
        <v>86</v>
      </c>
      <c r="B6" t="s">
        <v>87</v>
      </c>
      <c r="C6" s="44" t="s">
        <v>85</v>
      </c>
      <c r="D6" s="48"/>
      <c r="E6" s="49" t="s">
        <v>82</v>
      </c>
      <c r="G6" s="3"/>
    </row>
    <row r="7" spans="1:7" ht="12.75" customHeight="1">
      <c r="A7" t="s">
        <v>88</v>
      </c>
      <c r="B7" t="s">
        <v>89</v>
      </c>
      <c r="C7" s="45" t="s">
        <v>90</v>
      </c>
      <c r="D7" s="50"/>
      <c r="E7" s="51" t="s">
        <v>82</v>
      </c>
    </row>
    <row r="8" spans="1:7" ht="12.75" customHeight="1">
      <c r="A8" t="s">
        <v>91</v>
      </c>
      <c r="B8" t="s">
        <v>92</v>
      </c>
      <c r="C8" s="44" t="s">
        <v>90</v>
      </c>
      <c r="D8" s="48"/>
      <c r="E8" s="49" t="s">
        <v>82</v>
      </c>
    </row>
    <row r="9" spans="1:7" ht="12.75" customHeight="1">
      <c r="A9" t="s">
        <v>93</v>
      </c>
      <c r="B9" t="s">
        <v>94</v>
      </c>
      <c r="C9" s="45" t="s">
        <v>90</v>
      </c>
      <c r="D9" s="50"/>
      <c r="E9" s="51" t="s">
        <v>82</v>
      </c>
    </row>
    <row r="10" spans="1:7" ht="12.75" customHeight="1">
      <c r="A10" t="s">
        <v>95</v>
      </c>
      <c r="B10" t="s">
        <v>96</v>
      </c>
      <c r="C10" s="44" t="s">
        <v>90</v>
      </c>
      <c r="D10" s="48"/>
      <c r="E10" s="49" t="s">
        <v>82</v>
      </c>
    </row>
    <row r="11" spans="1:7" ht="12.75" customHeight="1">
      <c r="A11" t="s">
        <v>97</v>
      </c>
      <c r="B11" t="s">
        <v>98</v>
      </c>
      <c r="C11" s="45" t="s">
        <v>90</v>
      </c>
      <c r="D11" s="50"/>
      <c r="E11" s="51" t="s">
        <v>82</v>
      </c>
    </row>
    <row r="12" spans="1:7" ht="12.75" customHeight="1">
      <c r="A12" t="s">
        <v>99</v>
      </c>
      <c r="B12" t="s">
        <v>100</v>
      </c>
      <c r="C12" s="44" t="s">
        <v>90</v>
      </c>
      <c r="D12" s="48"/>
      <c r="E12" s="49" t="s">
        <v>82</v>
      </c>
    </row>
    <row r="13" spans="1:7" ht="12.75" customHeight="1">
      <c r="A13" t="s">
        <v>101</v>
      </c>
      <c r="B13" t="s">
        <v>102</v>
      </c>
      <c r="C13" s="45" t="s">
        <v>85</v>
      </c>
      <c r="D13" s="50"/>
      <c r="E13" s="51" t="s">
        <v>82</v>
      </c>
    </row>
    <row r="14" spans="1:7" ht="12.75" customHeight="1">
      <c r="A14" t="s">
        <v>103</v>
      </c>
      <c r="B14" t="s">
        <v>104</v>
      </c>
      <c r="C14" s="44" t="s">
        <v>90</v>
      </c>
      <c r="D14" s="48"/>
      <c r="E14" s="49" t="s">
        <v>82</v>
      </c>
    </row>
    <row r="15" spans="1:7" ht="12.75" customHeight="1">
      <c r="A15" t="s">
        <v>105</v>
      </c>
      <c r="B15" t="s">
        <v>106</v>
      </c>
      <c r="C15" s="45" t="s">
        <v>90</v>
      </c>
      <c r="D15" s="50"/>
      <c r="E15" s="51" t="s">
        <v>82</v>
      </c>
    </row>
    <row r="16" spans="1:7" ht="12.75" customHeight="1">
      <c r="A16" t="s">
        <v>38</v>
      </c>
      <c r="B16" t="s">
        <v>107</v>
      </c>
      <c r="C16" s="44" t="s">
        <v>108</v>
      </c>
      <c r="D16" s="48"/>
      <c r="E16" s="49" t="s">
        <v>82</v>
      </c>
    </row>
    <row r="17" spans="1:5" ht="12.75" customHeight="1">
      <c r="A17" t="s">
        <v>109</v>
      </c>
      <c r="B17" t="s">
        <v>110</v>
      </c>
      <c r="C17" s="45" t="s">
        <v>111</v>
      </c>
      <c r="D17" s="50"/>
      <c r="E17" s="51" t="s">
        <v>82</v>
      </c>
    </row>
    <row r="18" spans="1:5" ht="12.75" customHeight="1">
      <c r="A18" t="s">
        <v>38</v>
      </c>
      <c r="B18" t="s">
        <v>112</v>
      </c>
      <c r="C18" s="45" t="s">
        <v>108</v>
      </c>
      <c r="D18" s="48"/>
      <c r="E18" s="49" t="s">
        <v>82</v>
      </c>
    </row>
    <row r="19" spans="1:5" ht="12.75" customHeight="1">
      <c r="A19" t="s">
        <v>113</v>
      </c>
      <c r="B19" t="s">
        <v>114</v>
      </c>
      <c r="C19" s="45" t="s">
        <v>115</v>
      </c>
      <c r="D19" s="50"/>
      <c r="E19" s="51" t="s">
        <v>82</v>
      </c>
    </row>
    <row r="20" spans="1:5" ht="12.75" customHeight="1">
      <c r="A20" t="s">
        <v>116</v>
      </c>
      <c r="B20" t="s">
        <v>117</v>
      </c>
      <c r="C20" s="45" t="s">
        <v>81</v>
      </c>
      <c r="D20" s="48"/>
      <c r="E20" s="49" t="s">
        <v>82</v>
      </c>
    </row>
    <row r="21" spans="1:5" ht="12.75" customHeight="1">
      <c r="A21" t="s">
        <v>118</v>
      </c>
      <c r="B21" t="s">
        <v>119</v>
      </c>
      <c r="C21" s="45" t="s">
        <v>115</v>
      </c>
      <c r="D21" s="50"/>
      <c r="E21" s="51" t="s">
        <v>82</v>
      </c>
    </row>
    <row r="22" spans="1:5" ht="12.75" customHeight="1">
      <c r="A22" t="s">
        <v>38</v>
      </c>
      <c r="B22" t="s">
        <v>120</v>
      </c>
      <c r="C22" s="45" t="s">
        <v>108</v>
      </c>
      <c r="D22" s="48"/>
      <c r="E22" s="49" t="s">
        <v>82</v>
      </c>
    </row>
    <row r="23" spans="1:5" ht="12.75" customHeight="1">
      <c r="A23" t="s">
        <v>121</v>
      </c>
      <c r="B23" t="s">
        <v>122</v>
      </c>
      <c r="C23" s="45" t="s">
        <v>108</v>
      </c>
      <c r="D23" s="50"/>
      <c r="E23" s="51" t="s">
        <v>82</v>
      </c>
    </row>
    <row r="24" spans="1:5" ht="12.75" customHeight="1">
      <c r="A24" t="s">
        <v>123</v>
      </c>
      <c r="B24" t="s">
        <v>124</v>
      </c>
      <c r="C24" s="45" t="s">
        <v>125</v>
      </c>
      <c r="D24" s="48"/>
      <c r="E24" s="49" t="s">
        <v>82</v>
      </c>
    </row>
    <row r="25" spans="1:5" ht="12.75" customHeight="1">
      <c r="A25" t="s">
        <v>126</v>
      </c>
      <c r="B25" t="s">
        <v>127</v>
      </c>
      <c r="C25" s="45" t="s">
        <v>128</v>
      </c>
      <c r="D25" s="50"/>
      <c r="E25" s="51" t="s">
        <v>82</v>
      </c>
    </row>
    <row r="26" spans="1:5" ht="12.75" customHeight="1">
      <c r="A26" s="56" t="s">
        <v>129</v>
      </c>
      <c r="B26" s="57" t="s">
        <v>130</v>
      </c>
      <c r="C26" s="57" t="s">
        <v>131</v>
      </c>
      <c r="D26" s="58"/>
      <c r="E26" s="51" t="s">
        <v>82</v>
      </c>
    </row>
    <row r="27" spans="1:5" ht="12.75" customHeight="1">
      <c r="A27" s="56" t="s">
        <v>132</v>
      </c>
      <c r="B27" s="57" t="s">
        <v>133</v>
      </c>
      <c r="C27" s="57" t="s">
        <v>125</v>
      </c>
      <c r="D27" s="58"/>
      <c r="E27" s="51" t="s">
        <v>82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2024-11-28T07:10:43Z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