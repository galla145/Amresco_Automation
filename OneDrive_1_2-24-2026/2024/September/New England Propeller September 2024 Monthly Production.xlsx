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9462A5F5-CA03-4DBB-A1A8-DDCEB1EC24D0}" xr6:coauthVersionLast="47" xr6:coauthVersionMax="47" xr10:uidLastSave="{D9826637-AAE2-4243-B9A9-ABCDBCB4C111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<sst xmlns="http://schemas.openxmlformats.org/spreadsheetml/2006/main" count="244" uniqueCount="58">
  <si>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</si>
  <si>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</si>
  <si>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</si>
  <si>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</si>
  <si>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</si>
  <si>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</si>
  <si>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</si>
  <si>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</si>
  <si>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</si>
  <si>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</si>
  <si>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</si>
  <si>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</si>
  <si>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</si>
  <si>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</si>
  <si>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</si>
  <si>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</si>
  <si>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</si>
  <si>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</si>
  <si>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</si>
  <si>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</si>
  <si>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</si>
  <si>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</si>
  <si>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</si>
  <si>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</si>
  <si>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</si>
  <si>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</si>
  <si>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</si>
  <si>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</si>
  <si>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</si>
  <si>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</si>
  <si>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is offline from 08:15AM to 11:30AM on 05/18.</t>
  </si>
  <si>
    <t>1. SR084825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</si>
  <si>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</si>
  <si>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</si>
  <si>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</si>
  <si>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</si>
  <si>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</si>
  <si>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</si>
  <si>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</si>
  <si>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</si>
  <si>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offline from 07:00AM to 15:45 on 09/25.</t>
  </si>
  <si>
    <t>1. SR091172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</si>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</sst>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C5" sqref="C5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SUM(C4:C58)</f>
        <v>94787.574999999997</v>
      </c>
      <c r="D2" s="5">
        <f>SUM(D4:D58)</f>
        <v>0</v>
      </c>
      <c r="E2" s="5">
        <f>C2-D2</f>
        <v>94787.574999999997</v>
      </c>
      <c r="F2" s="6">
        <f>IFERROR(E2/D2, 0)</f>
        <v>0</v>
      </c>
      <c r="G2" s="5">
        <f>SUM(G4:G58)</f>
        <v>121230.89199999999</v>
      </c>
      <c r="H2" s="7">
        <f>C2-G2</f>
        <v>-26443.316999999995</v>
      </c>
      <c r="I2" s="6">
        <f>IFERROR(H2/G2, 0)</f>
        <v>-0.21812358684946406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94787.574999999997</v>
      </c>
      <c r="D4" s="11">
        <f>SUM('1st Qtr'!D4, '2nd Qtr'!D4, '3rd Qtr'!D4, '4th Qtr'!D4)</f>
        <v>0</v>
      </c>
      <c r="E4" s="11">
        <f>IF(AND(ISNUMBER(C4),ISNUMBER(D4)), C4-D4, "")</f>
        <v>94787.574999999997</v>
      </c>
      <c r="F4" s="12" t="str">
        <f>IFERROR(E4/D4, "")</f>
        <v/>
      </c>
      <c r="G4" s="13">
        <f>SUM('1st Qtr'!G4, '2nd Qtr'!G4, '3rd Qtr'!G4, '4th Qtr'!G4)</f>
        <v>121230.89199999999</v>
      </c>
      <c r="H4" s="13">
        <f>SUM('1st Qtr'!H4, '2nd Qtr'!H4, '3rd Qtr'!H4, '4th Qtr'!H4)</f>
        <v>-26443.316999999995</v>
      </c>
      <c r="I4" s="14">
        <f>IFERROR(H4/G4, "")</f>
        <v>-0.21812358684946406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13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SUM(C4:C58)</f>
        <v>18287.25</v>
      </c>
      <c r="D2" s="5">
        <f>SUM(D4:D58)</f>
        <v>0</v>
      </c>
      <c r="E2" s="5">
        <f>C2-D2</f>
        <v>18287.25</v>
      </c>
      <c r="F2" s="6">
        <f>IFERROR(E2/D2, 0)</f>
        <v>0</v>
      </c>
      <c r="G2" s="5">
        <f>SUM(G4:G58)</f>
        <v>27329.499</v>
      </c>
      <c r="H2" s="7">
        <f>C2-G2</f>
        <v>-9042.2489999999998</v>
      </c>
      <c r="I2" s="6">
        <f>IFERROR(H2/G2, 0)</f>
        <v>-0.33086040106333453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18287.25</v>
      </c>
      <c r="D4" s="11">
        <f>SUM(Jan!D4, Feb!D4, Mar!D4)</f>
        <v>0</v>
      </c>
      <c r="E4" s="11">
        <f>IF(AND(ISNUMBER(C4),ISNUMBER(D4)), C4-D4, "")</f>
        <v>18287.25</v>
      </c>
      <c r="F4" s="12" t="str">
        <f>IFERROR(E4/D4, "")</f>
        <v/>
      </c>
      <c r="G4" s="13">
        <f>SUM(Jan!G4, Feb!G4, Mar!G4)</f>
        <v>27329.499</v>
      </c>
      <c r="H4" s="13">
        <f>SUM(Jan!H4, Feb!H4, Mar!H4)</f>
        <v>-9042.2489999999998</v>
      </c>
      <c r="I4" s="14">
        <f>IFERROR(H4/G4, "")</f>
        <v>-0.33086040106333453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SUM(C4:C58)</f>
        <v>40853.699999999997</v>
      </c>
      <c r="D2" s="5">
        <f>SUM(D4:D58)</f>
        <v>0</v>
      </c>
      <c r="E2" s="5">
        <f>C2-D2</f>
        <v>40853.699999999997</v>
      </c>
      <c r="F2" s="6">
        <f>IFERROR(E2/D2, 0)</f>
        <v>0</v>
      </c>
      <c r="G2" s="5">
        <f>SUM(G4:G58)</f>
        <v>48613.09</v>
      </c>
      <c r="H2" s="7">
        <f>C2-G2</f>
        <v>-7759.3899999999994</v>
      </c>
      <c r="I2" s="6">
        <f>IFERROR(H2/G2, 0)</f>
        <v>-0.15961523943448153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40853.699999999997</v>
      </c>
      <c r="D4" s="11">
        <f>SUM(Apr!D4, May!D4, Jun!D4)</f>
        <v>0</v>
      </c>
      <c r="E4" s="11">
        <f>IF(AND(ISNUMBER(C4),ISNUMBER(D4)), C4-D4, "")</f>
        <v>40853.699999999997</v>
      </c>
      <c r="F4" s="12" t="str">
        <f>IFERROR(E4/D4, "")</f>
        <v/>
      </c>
      <c r="G4" s="13">
        <f>SUM(Apr!G4,May!G4,Jun!G4)</f>
        <v>48613.09</v>
      </c>
      <c r="H4" s="13">
        <f>SUM(Apr!H4, May!H4, Jun!H4)</f>
        <v>-7759.3899999999994</v>
      </c>
      <c r="I4" s="14">
        <f>IFERROR(H4/G4, "")</f>
        <v>-0.15961523943448153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tabSelected="1" workbookViewId="0">
      <pane xSplit="2" ySplit="3" topLeftCell="C4" activePane="bottomRight" state="frozen"/>
      <selection pane="bottomRight" activeCell="G4" sqref="G4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SUM(C4:C58)</f>
        <v>35646.625</v>
      </c>
      <c r="D2" s="5">
        <f>SUM(D4:D58)</f>
        <v>0</v>
      </c>
      <c r="E2" s="5">
        <f>C2-D2</f>
        <v>35646.625</v>
      </c>
      <c r="F2" s="6">
        <f>IFERROR(E2/D2, 0)</f>
        <v>0</v>
      </c>
      <c r="G2" s="5">
        <f>SUM(G4:G58)</f>
        <v>45288.303</v>
      </c>
      <c r="H2" s="7">
        <f>C2-G2</f>
        <v>-9641.6779999999999</v>
      </c>
      <c r="I2" s="6">
        <f>IFERROR(H2/G2, 0)</f>
        <v>-0.21289554611927058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35646.625</v>
      </c>
      <c r="D4" s="11">
        <f>SUM(Jul!D4, Aug!D4, Sep!D4)</f>
        <v>0</v>
      </c>
      <c r="E4" s="11">
        <f>IF(AND(ISNUMBER(C4),ISNUMBER(D4)), C4-D4, "")</f>
        <v>35646.625</v>
      </c>
      <c r="F4" s="12" t="str">
        <f>IFERROR(E4/D4, "")</f>
        <v/>
      </c>
      <c r="G4" s="13">
        <f>SUM(Jul!G4,Aug!G4,Sep!G4)</f>
        <v>45288.303</v>
      </c>
      <c r="H4" s="13">
        <f>SUM(Jul!H4, Aug!H4, Sep!H4)</f>
        <v>-9641.6779999999981</v>
      </c>
      <c r="I4" s="14">
        <f>IFERROR(H4/G4, "")</f>
        <v>-0.21289554611927053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SUM(C4:C57)</f>
        <v>2608</v>
      </c>
      <c r="D2" s="5">
        <f>SUM(D4:D57)</f>
        <v>0</v>
      </c>
      <c r="E2" s="5">
        <f>C2-D2</f>
        <v>2608</v>
      </c>
      <c r="F2" s="6">
        <f>IFERROR(E2/D2, 0)</f>
        <v>0</v>
      </c>
      <c r="G2" s="5">
        <f>SUM(G4:G57)</f>
        <v>6291</v>
      </c>
      <c r="H2" s="7">
        <f>C2-G2</f>
        <v>-3683</v>
      </c>
      <c r="I2" s="6">
        <f>IFERROR(H2/G2, 0)</f>
        <v>-0.58543951676998884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2608</v>
      </c>
      <c r="D4" s="11">
        <v>0</v>
      </c>
      <c r="E4" s="11">
        <f>IF(AND(ISNUMBER(C4),ISNUMBER(D4)), C4-D4, "")</f>
        <v>2608</v>
      </c>
      <c r="F4" s="34" t="str">
        <f>IFERROR(E4/D4, "")</f>
        <v/>
      </c>
      <c r="G4" s="40">
        <v>6291</v>
      </c>
      <c r="H4" s="13">
        <f>IF(AND(ISNUMBER(C4),ISNUMBER(G4)), C4-G4, "")</f>
        <v>-3683</v>
      </c>
      <c r="I4" s="14">
        <f>IFERROR(H4/G4, "")</f>
        <v>-0.58543951676998884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4983.25</v>
      </c>
      <c r="D2" s="5">
        <f>SUM(D4:D58)</f>
        <v>0</v>
      </c>
      <c r="E2" s="5">
        <f>C2-D2</f>
        <v>4983.25</v>
      </c>
      <c r="F2" s="6">
        <f>IFERROR(E2/D2, 0)</f>
        <v>0</v>
      </c>
      <c r="G2" s="5">
        <f>SUM(G4:G58)</f>
        <v>8295.4989999999998</v>
      </c>
      <c r="H2" s="7">
        <f>C2-G2</f>
        <v>-3312.2489999999998</v>
      </c>
      <c r="I2" s="6">
        <f>IFERROR(H2/G2, 0)</f>
        <v>-0.3992826712413563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4983.25</v>
      </c>
      <c r="D4" s="11">
        <v>0</v>
      </c>
      <c r="E4" s="11">
        <f>IF(AND(ISNUMBER(C4),ISNUMBER(D4)), C4-D4, "")</f>
        <v>4983.25</v>
      </c>
      <c r="F4" s="12" t="str">
        <f>IFERROR(E4/D4, "")</f>
        <v/>
      </c>
      <c r="G4" s="13">
        <v>8295.4989999999998</v>
      </c>
      <c r="H4" s="13">
        <f>IF(AND(ISNUMBER(C4),ISNUMBER(G4)), C4-G4, "")</f>
        <v>-3312.2489999999998</v>
      </c>
      <c r="I4" s="14">
        <f>IFERROR(H4/G4, "")</f>
        <v>-0.3992826712413563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workbookViewId="0">
      <pane xSplit="2" ySplit="3" topLeftCell="I4" activePane="bottomRight" state="frozen"/>
      <selection pane="bottomRight" activeCell="I12" sqref="I12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10696</v>
      </c>
      <c r="D2" s="5">
        <f>SUM(D4:D58)</f>
        <v>0</v>
      </c>
      <c r="E2" s="5">
        <f>C2-D2</f>
        <v>10696</v>
      </c>
      <c r="F2" s="6">
        <f>IFERROR(E2/D2, 0)</f>
        <v>0</v>
      </c>
      <c r="G2" s="5">
        <f>SUM(G4:G58)</f>
        <v>12743</v>
      </c>
      <c r="H2" s="7">
        <f>C2-G2</f>
        <v>-2047</v>
      </c>
      <c r="I2" s="6">
        <f>IFERROR(H2/G2, 0)</f>
        <v>-0.16063721258730285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10696</v>
      </c>
      <c r="D4" s="11">
        <v>0</v>
      </c>
      <c r="E4" s="11">
        <f>IF(AND(ISNUMBER(C4),ISNUMBER(D4)), C4-D4, "")</f>
        <v>10696</v>
      </c>
      <c r="F4" s="12" t="str">
        <f>IFERROR(E4/D4, "")</f>
        <v/>
      </c>
      <c r="G4" s="13">
        <v>12743</v>
      </c>
      <c r="H4" s="13">
        <f>IF(AND(ISNUMBER(C4),ISNUMBER(G4)), C4-G4, "")</f>
        <v>-2047</v>
      </c>
      <c r="I4" s="14">
        <f>IFERROR(H4/G4, "")</f>
        <v>-0.16063721258730285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workbookViewId="0">
      <pane xSplit="2" ySplit="3" topLeftCell="C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11570</v>
      </c>
      <c r="D2" s="5">
        <f>SUM(D4:D58)</f>
        <v>0</v>
      </c>
      <c r="E2" s="5">
        <f>C2-D2</f>
        <v>11570</v>
      </c>
      <c r="F2" s="6">
        <f>IFERROR(E2/D2, 0)</f>
        <v>0</v>
      </c>
      <c r="G2" s="5">
        <f>SUM(G4:G58)</f>
        <v>14456.89</v>
      </c>
      <c r="H2" s="7">
        <f>C2-G2</f>
        <v>-2886.8899999999994</v>
      </c>
      <c r="I2" s="6">
        <f>IFERROR(H2/G2, 0)</f>
        <v>-0.19968955978775516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11570</v>
      </c>
      <c r="D4" s="11">
        <v>0</v>
      </c>
      <c r="E4" s="11">
        <f>IF(AND(ISNUMBER(C4),ISNUMBER(D4)), C4-D4, "")</f>
        <v>11570</v>
      </c>
      <c r="F4" s="12" t="str">
        <f>IFERROR(E4/D4, "")</f>
        <v/>
      </c>
      <c r="G4" s="13">
        <v>14456.89</v>
      </c>
      <c r="H4" s="13">
        <f>IF(AND(ISNUMBER(C4),ISNUMBER(G4)), C4-G4, "")</f>
        <v>-2886.8899999999994</v>
      </c>
      <c r="I4" s="14">
        <f>IFERROR(H4/G4, "")</f>
        <v>-0.19968955978775516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E4" activePane="bottomRight" state="frozen"/>
      <selection pane="bottomRight" activeCell="K4" sqref="K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13790.2</v>
      </c>
      <c r="D2" s="5">
        <f>SUM(D4:D58)</f>
        <v>0</v>
      </c>
      <c r="E2" s="5">
        <f>C2-D2</f>
        <v>13790.2</v>
      </c>
      <c r="F2" s="6">
        <f>IFERROR(E2/D2, 0)</f>
        <v>0</v>
      </c>
      <c r="G2" s="5">
        <f>SUM(G4:G58)</f>
        <v>17047.900000000001</v>
      </c>
      <c r="H2" s="7">
        <f>C2-G2</f>
        <v>-3257.7000000000007</v>
      </c>
      <c r="I2" s="6">
        <f>IFERROR(H2/G2, 0)</f>
        <v>-0.1910909848133788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13790.2</v>
      </c>
      <c r="D4" s="11">
        <v>0</v>
      </c>
      <c r="E4" s="11">
        <f>IF(AND(ISNUMBER(C4),ISNUMBER(D4)), C4-D4, "")</f>
        <v>13790.2</v>
      </c>
      <c r="F4" s="12" t="str">
        <f>IFERROR(E4/D4, "")</f>
        <v/>
      </c>
      <c r="G4" s="13">
        <v>17047.900000000001</v>
      </c>
      <c r="H4" s="13">
        <f>IF(AND(ISNUMBER(C4),ISNUMBER(G4)), C4-G4, "")</f>
        <v>-3257.7000000000007</v>
      </c>
      <c r="I4" s="14">
        <f>IFERROR(H4/G4, "")</f>
        <v>-0.1910909848133788</v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D4" sqref="D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15493.5</v>
      </c>
      <c r="D2" s="5">
        <f>SUM(D4:D58)</f>
        <v>0</v>
      </c>
      <c r="E2" s="5">
        <f>C2-D2</f>
        <v>15493.5</v>
      </c>
      <c r="F2" s="6">
        <f>IFERROR(E2/D2, 0)</f>
        <v>0</v>
      </c>
      <c r="G2" s="5">
        <f>SUM(G4:G58)</f>
        <v>17108.3</v>
      </c>
      <c r="H2" s="7">
        <f>C2-G2</f>
        <v>-1614.7999999999993</v>
      </c>
      <c r="I2" s="6">
        <f>IFERROR(H2/G2, 0)</f>
        <v>-9.4386934996463667E-2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15493.5</v>
      </c>
      <c r="D4" s="11">
        <v>0</v>
      </c>
      <c r="E4" s="11">
        <f>IF(AND(ISNUMBER(C4),ISNUMBER(D4)), C4-D4, "")</f>
        <v>15493.5</v>
      </c>
      <c r="F4" s="12" t="str">
        <f>IFERROR(E4/D4, "")</f>
        <v/>
      </c>
      <c r="G4" s="13">
        <v>17108.3</v>
      </c>
      <c r="H4" s="13">
        <f>IF(AND(ISNUMBER(C4),ISNUMBER(G4)), C4-G4, "")</f>
        <v>-1614.7999999999993</v>
      </c>
      <c r="I4" s="14">
        <f>IFERROR(H4/G4, "")</f>
        <v>-9.4386934996463667E-2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H8" sqref="H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13196.5</v>
      </c>
      <c r="D2" s="5">
        <f>SUM(D4:D58)</f>
        <v>0</v>
      </c>
      <c r="E2" s="5">
        <f>C2-D2</f>
        <v>13196.5</v>
      </c>
      <c r="F2" s="6">
        <f>IFERROR(E2/D2, 0)</f>
        <v>0</v>
      </c>
      <c r="G2" s="5">
        <f>SUM(G4:G58)</f>
        <v>16863.960999999999</v>
      </c>
      <c r="H2" s="7">
        <f>C2-G2</f>
        <v>-3667.4609999999993</v>
      </c>
      <c r="I2" s="6">
        <f>IFERROR(H2/G2, 0)</f>
        <v>-0.21747328519082793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13196.5</v>
      </c>
      <c r="D4" s="11">
        <v>0</v>
      </c>
      <c r="E4" s="11">
        <f>IF(AND(ISNUMBER(C4),ISNUMBER(D4)), C4-D4, "")</f>
        <v>13196.5</v>
      </c>
      <c r="F4" s="12" t="str">
        <f>IFERROR(E4/D4, "")</f>
        <v/>
      </c>
      <c r="G4" s="13">
        <v>16863.960999999999</v>
      </c>
      <c r="H4" s="13">
        <f>IF(AND(ISNUMBER(C4),ISNUMBER(G4)), C4-G4, "")</f>
        <v>-3667.4609999999993</v>
      </c>
      <c r="I4" s="14">
        <f>IFERROR(H4/G4, "")</f>
        <v>-0.21747328519082793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G9" sqref="G9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12306.125</v>
      </c>
      <c r="D2" s="5">
        <f>SUM(D4:D58)</f>
        <v>0</v>
      </c>
      <c r="E2" s="5">
        <f>C2-D2</f>
        <v>12306.125</v>
      </c>
      <c r="F2" s="6">
        <f>IFERROR(E2/D2, 0)</f>
        <v>0</v>
      </c>
      <c r="G2" s="5">
        <f>SUM(G4:G58)</f>
        <v>15669.888999999999</v>
      </c>
      <c r="H2" s="7">
        <f>C2-G2</f>
        <v>-3363.7639999999992</v>
      </c>
      <c r="I2" s="6">
        <f>IFERROR(H2/G2, 0)</f>
        <v>-0.21466418811262794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12306.125</v>
      </c>
      <c r="D4" s="11">
        <v>0</v>
      </c>
      <c r="E4" s="11">
        <f>IF(AND(ISNUMBER(C4),ISNUMBER(D4)), C4-D4, "")</f>
        <v>12306.125</v>
      </c>
      <c r="F4" s="12" t="str">
        <f>IFERROR(E4/D4, "")</f>
        <v/>
      </c>
      <c r="G4" s="13">
        <v>15669.888999999999</v>
      </c>
      <c r="H4" s="13">
        <f>IF(AND(ISNUMBER(C4),ISNUMBER(G4)), C4-G4, "")</f>
        <v>-3363.7639999999992</v>
      </c>
      <c r="I4" s="14">
        <f>IFERROR(H4/G4, "")</f>
        <v>-0.21466418811262794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K4" sqref="K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10144</v>
      </c>
      <c r="D2" s="5">
        <f>SUM(D4:D58)</f>
        <v>0</v>
      </c>
      <c r="E2" s="5">
        <f>C2-D2</f>
        <v>10144</v>
      </c>
      <c r="F2" s="6">
        <f>IFERROR(E2/D2, 0)</f>
        <v>0</v>
      </c>
      <c r="G2" s="5">
        <f>SUM(G4:G58)</f>
        <v>12754.453</v>
      </c>
      <c r="H2" s="7">
        <f>C2-G2</f>
        <v>-2610.4529999999995</v>
      </c>
      <c r="I2" s="6">
        <f>IFERROR(H2/G2, 0)</f>
        <v>-0.20466992978844326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10144</v>
      </c>
      <c r="D4" s="11">
        <v>0</v>
      </c>
      <c r="E4" s="11">
        <f>IF(AND(ISNUMBER(C4),ISNUMBER(D4)), C4-D4, "")</f>
        <v>10144</v>
      </c>
      <c r="F4" s="12" t="str">
        <f>IFERROR(E4/D4, "")</f>
        <v/>
      </c>
      <c r="G4" s="13">
        <v>12754.453</v>
      </c>
      <c r="H4" s="13">
        <f>IF(AND(ISNUMBER(C4),ISNUMBER(G4)), C4-G4, "")</f>
        <v>-2610.4529999999995</v>
      </c>
      <c r="I4" s="14">
        <f>IFERROR(H4/G4, "")</f>
        <v>-0.20466992978844326</v>
      </c>
      <c r="J4" s="32" t="s">
        <v>40</v>
      </c>
      <c r="K4" s="32" t="s">
        <v>41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8" t="s">
        <v>53</v>
      </c>
      <c r="B4" t="s">
        <v>54</v>
      </c>
      <c r="C4" s="36" t="s">
        <v>55</v>
      </c>
      <c r="D4" s="35" t="s">
        <v>56</v>
      </c>
      <c r="E4" t="s">
        <v>57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