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Amergy\"/>
    </mc:Choice>
  </mc:AlternateContent>
  <xr:revisionPtr revIDLastSave="26" documentId="13_ncr:1_{6DB2C356-9053-487D-9D55-4324910F5F37}" xr6:coauthVersionLast="47" xr6:coauthVersionMax="47" xr10:uidLastSave="{380E57E7-0A51-45C2-AD40-EC15C523A6D0}"/>
  <bookViews>
    <workbookView xWindow="-108" yWindow="-108" windowWidth="23256" windowHeight="12456" tabRatio="866" firstSheet="12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G5" i="34"/>
  <c r="G4" i="34"/>
  <c r="G2" i="34" s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G5" i="1"/>
  <c r="G4" i="1"/>
  <c r="B4" i="34" a="1"/>
  <c r="B4" i="34" s="1"/>
  <c r="A4" i="34" a="1"/>
  <c r="A4" i="34" s="1"/>
  <c r="A1" i="34" a="1"/>
  <c r="A1" i="34" s="1"/>
  <c r="D5" i="30"/>
  <c r="C5" i="30"/>
  <c r="E5" i="30" s="1"/>
  <c r="F5" i="30" s="1"/>
  <c r="D4" i="30"/>
  <c r="C4" i="30"/>
  <c r="E4" i="30" s="1"/>
  <c r="F4" i="30" s="1"/>
  <c r="D5" i="29"/>
  <c r="C5" i="29"/>
  <c r="D4" i="29"/>
  <c r="C4" i="29"/>
  <c r="D5" i="18"/>
  <c r="C5" i="18"/>
  <c r="C5" i="34" s="1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5" i="34" l="1"/>
  <c r="E5" i="34" s="1"/>
  <c r="F5" i="34" s="1"/>
  <c r="D4" i="34"/>
  <c r="D2" i="34" s="1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<sst xmlns="http://schemas.openxmlformats.org/spreadsheetml/2006/main" count="261" uniqueCount="72">
  <si>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</si>
  <si>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</si>
  <si>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</si>
  <si>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</si>
  <si>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</si>
  <si>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</si>
  <si>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</si>
  <si>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</si>
  <si>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</si>
  <si>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</si>
  <si>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</si>
  <si>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</si>
  <si>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</si>
  <si>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</si>
  <si>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</si>
  <si>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</si>
  <si>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</si>
  <si>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</si>
  <si>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</si>
  <si>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</si>
  <si>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</si>
  <si>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</si>
  <si>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</si>
  <si>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</si>
  <si>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Inverter 14 tripped offline on 02/21 at 12:50 and back online on 02/22 at 14:45</t>
  </si>
  <si>
    <t>1. SR081176</t>
  </si>
  <si>
    <t>March Actual v. Expected</t>
  </si>
  <si>
    <t>March Actual v. Forecasted</t>
  </si>
  <si>
    <t>1. Inverter 15 was offline on 03/01 between 09:15 to 11:45. Inverter again tripped offline on 03/3 at 09:47 and back online on 03/04
2. Inverter 6 was offline on 03/10 between 11:00 to 13:30
3. Inverter 15 tripped offline on 03/19 at 14:15 and back online on 03/22
4. Inverter 12 tripped offline on 03/21 at 14:35 and back online on 03/22
5. Inverter 3 was offline on 03/31 between 08:15 and back online at 14:20</t>
  </si>
  <si>
    <t>1. SR081489
2. SR081728
3. SR082200
4. SR082289
5. SR082944</t>
  </si>
  <si>
    <t>April Actual v. Expected</t>
  </si>
  <si>
    <t>April Actual v. Forecasted</t>
  </si>
  <si>
    <t xml:space="preserve">1.  Inverter 2, 4,6 are tripped offline at 10:45 on 04/04 and back online at 13:30 on 04/04.
2. Inverter 2 tripped offline at 12:45 on 04/04 and back online at 13:30 on 04/04 and again Inverter 2 tripped offline at 14:00 on 04/05 and back online at 04/06.
3. Site tripped offline on 04/25 at 10:15 and back online at 11:15 with 2 inverters back online and rest back online at 3:30 PM </t>
  </si>
  <si>
    <t xml:space="preserve">1. SR083085
2. SR083130
3. SR083808
</t>
  </si>
  <si>
    <t>May Actual v. Expected</t>
  </si>
  <si>
    <t>May Actual v. Forecasted</t>
  </si>
  <si>
    <t>1. Inverter 13 tripped offline at 15:45 on 05/07 and back online on 05/08
2. Inverter 7 tripped offline at 13:30 on 05/10 and back online at 14:00 on 05/10</t>
  </si>
  <si>
    <t>1. SR084382
2. SR084550</t>
  </si>
  <si>
    <t>June Actual v. Expected</t>
  </si>
  <si>
    <t>June Actual v. Forecasted</t>
  </si>
  <si>
    <t>1. Inverter 6 was tripped offline on 06/07 at 13:45 and it was still offline
2. Inverter 7 was tripped offline on 06/17 and back online at 18:00 on the same day and again tripped offline on 06/19 and back online on 6/21 at 11:00
3. Inverter 8 tripped offline on 06/19 at 11:00 and back online on 06/21 at 11:00</t>
  </si>
  <si>
    <t>1. SR085747
2. SR086315
3. SR086427</t>
  </si>
  <si>
    <t>July Actual v. Expected</t>
  </si>
  <si>
    <t>July Actual v. Forecasted</t>
  </si>
  <si>
    <t>1. Inverter 3 is offline from 07/02 to 07/15.</t>
  </si>
  <si>
    <t>1. SR087279</t>
  </si>
  <si>
    <t>1. Inverer 7 is offline from 07/03 to 07/13.
2. Inverter 8 is underperforming aprroximately 8kW from 07/04 to 07/12.</t>
  </si>
  <si>
    <t>1. SR087358
2. SR087371</t>
  </si>
  <si>
    <t>August Actual v. Expected</t>
  </si>
  <si>
    <t>August Actual v. Forecasted</t>
  </si>
  <si>
    <t>1. Inverter 4 tripped offline at 14:00 on 08/03 and back online at 07:00AM on 08/04.
1. On thermel flyover 5 strings are offline.</t>
  </si>
  <si>
    <t>1. SR088574
2. SR088488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</si>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</sst>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34" fillId="46" borderId="12" xfId="0" applyFont="1" applyFill="1" applyBorder="1"/>
    <xf numFmtId="0" fontId="34" fillId="0" borderId="0" xfId="0" applyFont="1"/>
    <xf numFmtId="0" fontId="34" fillId="0" borderId="12" xfId="0" applyFont="1" applyBorder="1"/>
    <xf numFmtId="0" fontId="35" fillId="46" borderId="0" xfId="0" applyFont="1" applyFill="1"/>
    <xf numFmtId="0" fontId="35" fillId="0" borderId="0" xfId="0" applyFont="1"/>
    <xf numFmtId="164" fontId="27" fillId="47" borderId="0" xfId="1" applyNumberFormat="1" applyFont="1" applyFill="1" applyBorder="1" applyAlignment="1">
      <alignment horizontal="center" vertical="center"/>
    </xf>
    <xf numFmtId="3" fontId="29" fillId="48" borderId="0" xfId="0" applyNumberFormat="1" applyFont="1" applyFill="1" applyAlignment="1">
      <alignment horizontal="right" vertical="center"/>
    </xf>
    <xf numFmtId="3" fontId="29" fillId="48" borderId="0" xfId="1" applyNumberFormat="1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SUM(C4:C88)</f>
        <v>1374977.5999999999</v>
      </c>
      <c r="D2" s="5">
        <f>SUM(D4:D88)</f>
        <v>1501609.2999999998</v>
      </c>
      <c r="E2" s="5">
        <f>C2-D2</f>
        <v>-126631.69999999995</v>
      </c>
      <c r="F2" s="6">
        <f>IFERROR(E2/D2, 0)</f>
        <v>-8.433065778162134E-2</v>
      </c>
      <c r="G2" s="5">
        <f>SUM(G4:G88)</f>
        <v>961763.87</v>
      </c>
      <c r="H2" s="7">
        <f>C2-G2</f>
        <v>413213.72999999986</v>
      </c>
      <c r="I2" s="6">
        <f>IFERROR(H2/G2, 0)</f>
        <v>0.42964156056309316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577154.29999999993</v>
      </c>
      <c r="D4" s="13">
        <f>SUM('1st Qtr'!D4, '2nd Qtr'!D4, '3rd Qtr'!D4, '4th Qtr'!D4)</f>
        <v>606403.83999999997</v>
      </c>
      <c r="E4" s="13">
        <f>IF(AND(ISNUMBER(C4),ISNUMBER(D4)), C4-D4, "")</f>
        <v>-29249.540000000037</v>
      </c>
      <c r="F4" s="14">
        <f>IFERROR(E4/D4, "")</f>
        <v>-4.8234424109187761E-2</v>
      </c>
      <c r="G4" s="15">
        <f>SUM('1st Qtr'!G4+'2nd Qtr'!G4+'3rd Qtr'!G4+'4th Qtr'!G4)</f>
        <v>462363.57</v>
      </c>
      <c r="H4" s="15">
        <f>SUM('1st Qtr'!H4, '2nd Qtr'!H4, '3rd Qtr'!H4, '4th Qtr'!H4)</f>
        <v>-151940.0400000001</v>
      </c>
      <c r="I4" s="16">
        <f>IFERROR(H4/G4, "")</f>
        <v>-0.32861594177932335</v>
      </c>
    </row>
    <row r="5" spans="1:9" ht="15.6">
      <c r="A5" s="17" t="str">
        <v>Mount Laurel - Igloo Ice Rink</v>
      </c>
      <c r="B5" s="10" t="str">
        <v>NJ</v>
      </c>
      <c r="C5" s="49">
        <f>SUM('1st Qtr'!C5, '2nd Qtr'!C5, '3rd Qtr'!C5, '4th Qtr'!C5)</f>
        <v>797823.29999999993</v>
      </c>
      <c r="D5" s="50">
        <f>SUM('1st Qtr'!D5, '2nd Qtr'!D5, '3rd Qtr'!D5, '4th Qtr'!D5)</f>
        <v>895205.46</v>
      </c>
      <c r="E5" s="18">
        <f t="shared" ref="E5" si="0">IF(AND(ISNUMBER(C5),ISNUMBER(D5)), C5-D5, "")</f>
        <v>-97382.160000000033</v>
      </c>
      <c r="F5" s="19">
        <f>IFERROR(E5/D5, "")</f>
        <v>-0.10878191024438126</v>
      </c>
      <c r="G5" s="51">
        <f>SUM('1st Qtr'!G5+'2nd Qtr'!G5+'3rd Qtr'!G5+'4th Qtr'!G5)</f>
        <v>499400.3</v>
      </c>
      <c r="H5" s="20">
        <f>SUM(Jan!H5, Feb!H5, Mar!H5)</f>
        <v>9880</v>
      </c>
      <c r="I5" s="19">
        <f>IFERROR(H5/G5, "")</f>
        <v>1.9783728604087742E-2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SUM(C4:C88)</f>
        <v>295596</v>
      </c>
      <c r="D2" s="5">
        <f>SUM(D4:D88)</f>
        <v>333524</v>
      </c>
      <c r="E2" s="5">
        <f>C2-D2</f>
        <v>-37928</v>
      </c>
      <c r="F2" s="6">
        <f>IFERROR(E2/D2, 0)</f>
        <v>-0.11371895275902184</v>
      </c>
      <c r="G2" s="5">
        <f>SUM(G4:G88)</f>
        <v>349521</v>
      </c>
      <c r="H2" s="7">
        <f>C2-G2</f>
        <v>-53925</v>
      </c>
      <c r="I2" s="6">
        <f>IFERROR(H2/G2, 0)</f>
        <v>-0.15428257529590497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121256</v>
      </c>
      <c r="D4" s="13">
        <f>SUM(Jan!D4, Feb!D4, Mar!D4)</f>
        <v>129357</v>
      </c>
      <c r="E4" s="13">
        <f>IF(AND(ISNUMBER(C4),ISNUMBER(D4)), C4-D4, "")</f>
        <v>-8101</v>
      </c>
      <c r="F4" s="14">
        <f>IFERROR(E4/D4, "")</f>
        <v>-6.2625138183476731E-2</v>
      </c>
      <c r="G4" s="15">
        <f>SUM(Jan!G4, Feb!G4, Mar!G4)</f>
        <v>185061</v>
      </c>
      <c r="H4" s="15">
        <f>SUM(Jan!H4, Feb!H4, Mar!H4)</f>
        <v>-63805</v>
      </c>
      <c r="I4" s="16">
        <f>IFERROR(H4/G4, "")</f>
        <v>-0.34477820826646349</v>
      </c>
    </row>
    <row r="5" spans="1:9" ht="15.6">
      <c r="A5" s="17" t="str">
        <v>Mount Laurel - Igloo Ice Rink</v>
      </c>
      <c r="B5" s="10" t="str">
        <v>NJ</v>
      </c>
      <c r="C5" s="11">
        <f>SUM(Jan!C5, Feb!C5, Mar!C5)</f>
        <v>174340</v>
      </c>
      <c r="D5" s="18">
        <f>SUM(Jan!D5, Feb!D5, Mar!D5)</f>
        <v>204167</v>
      </c>
      <c r="E5" s="18">
        <f t="shared" ref="E5" si="0">IF(AND(ISNUMBER(C5),ISNUMBER(D5)), C5-D5, "")</f>
        <v>-29827</v>
      </c>
      <c r="F5" s="19">
        <f>IFERROR(E5/D5, "")</f>
        <v>-0.14609119005519991</v>
      </c>
      <c r="G5" s="20">
        <f>SUM(Jan!G5, Feb!G5, Mar!G5)</f>
        <v>164460</v>
      </c>
      <c r="H5" s="20">
        <f>SUM(Jan!H5, Feb!H5, Mar!H5)</f>
        <v>9880</v>
      </c>
      <c r="I5" s="19">
        <f>IFERROR(H5/G5, "")</f>
        <v>6.0075398273136328E-2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SUM(C4:C88)</f>
        <v>554097.50000000012</v>
      </c>
      <c r="D2" s="5">
        <f>SUM(D4:D88)</f>
        <v>606186.17999999993</v>
      </c>
      <c r="E2" s="5">
        <f>C2-D2</f>
        <v>-52088.679999999818</v>
      </c>
      <c r="F2" s="6">
        <f>IFERROR(E2/D2, 0)</f>
        <v>-8.5928517868882837E-2</v>
      </c>
      <c r="G2" s="5">
        <f>SUM(G4:G88)</f>
        <v>612242.87</v>
      </c>
      <c r="H2" s="7">
        <f>C2-G2</f>
        <v>-58145.369999999879</v>
      </c>
      <c r="I2" s="6">
        <f>IFERROR(H2/G2, 0)</f>
        <v>-9.4971085575892261E-2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239045.5</v>
      </c>
      <c r="D4" s="13">
        <f>SUM(Apr!D4, May!D4, Jun!D4)</f>
        <v>248316.18</v>
      </c>
      <c r="E4" s="13">
        <f>IF(AND(ISNUMBER(C4),ISNUMBER(D4)), C4-D4, "")</f>
        <v>-9270.679999999993</v>
      </c>
      <c r="F4" s="14">
        <f>IFERROR(E4/D4, "")</f>
        <v>-3.7334176129803519E-2</v>
      </c>
      <c r="G4" s="15">
        <f>SUM(Apr!G4,May!G4,Jun!G4)</f>
        <v>277302.57</v>
      </c>
      <c r="H4" s="15">
        <f>SUM(Apr!H4, May!H4, Jun!H4)</f>
        <v>-38257.070000000007</v>
      </c>
      <c r="I4" s="16">
        <f>IFERROR(H4/G4, "")</f>
        <v>-0.13796146930769523</v>
      </c>
    </row>
    <row r="5" spans="1:9" ht="15.6">
      <c r="A5" s="17" t="str">
        <v>Mount Laurel - Igloo Ice Rink</v>
      </c>
      <c r="B5" s="10" t="str">
        <v>NJ</v>
      </c>
      <c r="C5" s="11">
        <f>SUM(Apr!C5, May!C5, Jun!C5)</f>
        <v>315052.00000000012</v>
      </c>
      <c r="D5" s="18">
        <f>SUM(Apr!D5, May!D5, Jun!D5)</f>
        <v>357870</v>
      </c>
      <c r="E5" s="18">
        <f t="shared" ref="E5" si="0">IF(AND(ISNUMBER(C5),ISNUMBER(D5)), C5-D5, "")</f>
        <v>-42817.999999999884</v>
      </c>
      <c r="F5" s="19">
        <f>IFERROR(E5/D5, "")</f>
        <v>-0.11964679911699747</v>
      </c>
      <c r="G5" s="20">
        <f>SUM(Apr!G5,May!G5,Jun!G5)</f>
        <v>334940.3</v>
      </c>
      <c r="H5" s="20">
        <f>SUM(Apr!H5, May!H5, Jun!H5)</f>
        <v>-19888.299999999901</v>
      </c>
      <c r="I5" s="19">
        <f>IFERROR(H5/G5, "")</f>
        <v>-5.9378641507157846E-2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tabSelected="1" workbookViewId="0">
      <pane xSplit="2" ySplit="3" topLeftCell="C4" activePane="bottomRight" state="frozen"/>
      <selection pane="bottomRight" activeCell="E36" sqref="E3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SUM(C4:C87)</f>
        <v>525284.09999999974</v>
      </c>
      <c r="D2" s="5">
        <f>SUM(D4:D87)</f>
        <v>561899.11999999988</v>
      </c>
      <c r="E2" s="5">
        <f>C2-D2</f>
        <v>-36615.020000000135</v>
      </c>
      <c r="F2" s="6">
        <f>IFERROR(E2/D2, 0)</f>
        <v>-6.5162978009291314E-2</v>
      </c>
      <c r="G2" s="5">
        <f>SUM(G4:G87)</f>
        <v>0</v>
      </c>
      <c r="H2" s="7">
        <f>C2-G2</f>
        <v>525284.09999999974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216852.7999999999</v>
      </c>
      <c r="D4" s="13">
        <f>SUM(Jul!D4, Aug!D4, Sep!D4)</f>
        <v>228730.65999999997</v>
      </c>
      <c r="E4" s="13">
        <f>IF(AND(ISNUMBER(C4),ISNUMBER(D4)), C4-D4, "")</f>
        <v>-11877.860000000073</v>
      </c>
      <c r="F4" s="14">
        <f>IFERROR(E4/D4, "")</f>
        <v>-5.1929461489771747E-2</v>
      </c>
      <c r="G4" s="15"/>
      <c r="H4" s="15">
        <f>SUM(Jul!H4, Aug!H4, Sep!H4)</f>
        <v>-49877.970000000103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SUM(Jul!C5, Aug!C5, Sep!C5)</f>
        <v>308431.29999999981</v>
      </c>
      <c r="D5" s="18">
        <f>SUM(Jul!D5, Aug!D5, Sep!D5)</f>
        <v>333168.45999999996</v>
      </c>
      <c r="E5" s="18">
        <f t="shared" ref="E5" si="0">IF(AND(ISNUMBER(C5),ISNUMBER(D5)), C5-D5, "")</f>
        <v>-24737.160000000149</v>
      </c>
      <c r="F5" s="19">
        <f>IFERROR(E5/D5, "")</f>
        <v>-7.4248204646982952E-2</v>
      </c>
      <c r="G5" s="20"/>
      <c r="H5" s="20">
        <f>SUM(Jul!H5, Aug!H5, Sep!H5)</f>
        <v>-12072.860000000204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C24" sqref="B24:C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workbookViewId="0">
      <pane xSplit="2" ySplit="3" topLeftCell="C4" activePane="bottomRight" state="frozen"/>
      <selection pane="bottomRight" activeCell="I13" sqref="I1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SUM(C4:C88)</f>
        <v>42875</v>
      </c>
      <c r="D2" s="5">
        <f>SUM(D4:D88)</f>
        <v>60849</v>
      </c>
      <c r="E2" s="5">
        <f>C2-D2</f>
        <v>-17974</v>
      </c>
      <c r="F2" s="6">
        <f>IFERROR(E2/D2, 0)</f>
        <v>-0.29538694144521682</v>
      </c>
      <c r="G2" s="5">
        <f>SUM(G4:G88)</f>
        <v>83738</v>
      </c>
      <c r="H2" s="7">
        <f>C2-G2</f>
        <v>-40863</v>
      </c>
      <c r="I2" s="6">
        <f>IFERROR(H2/G2, 0)</f>
        <v>-0.48798633834101601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17773</v>
      </c>
      <c r="D4" s="13">
        <v>22778</v>
      </c>
      <c r="E4" s="13">
        <f>IF(AND(ISNUMBER(C4),ISNUMBER(D4)), C4-D4, "")</f>
        <v>-5005</v>
      </c>
      <c r="F4" s="14">
        <f>IFERROR(E4/D4, "")</f>
        <v>-0.21972956361401352</v>
      </c>
      <c r="G4" s="15">
        <v>48244</v>
      </c>
      <c r="H4" s="15">
        <f>IF(AND(ISNUMBER(C4),ISNUMBER(G4)), C4-G4, "")</f>
        <v>-30471</v>
      </c>
      <c r="I4" s="16">
        <f>IFERROR(H4/G4, "")</f>
        <v>-0.631601857225769</v>
      </c>
      <c r="J4" s="41"/>
      <c r="K4" s="41"/>
    </row>
    <row r="5" spans="1:11" ht="15.6">
      <c r="A5" s="30" t="str">
        <v>Mount Laurel - Igloo Ice Rink</v>
      </c>
      <c r="B5" s="31" t="str">
        <v>NJ</v>
      </c>
      <c r="C5" s="11">
        <v>25102</v>
      </c>
      <c r="D5" s="18">
        <v>38071</v>
      </c>
      <c r="E5" s="18">
        <f t="shared" ref="E5" si="0">IF(AND(ISNUMBER(C5),ISNUMBER(D5)), C5-D5, "")</f>
        <v>-12969</v>
      </c>
      <c r="F5" s="19">
        <f>IFERROR(E5/D5, "")</f>
        <v>-0.34065299046518349</v>
      </c>
      <c r="G5" s="20">
        <v>35494</v>
      </c>
      <c r="H5" s="20">
        <f t="shared" ref="H5" si="1">IF(AND(ISNUMBER(C5),ISNUMBER(G5)), C5-G5, "")</f>
        <v>-10392</v>
      </c>
      <c r="I5" s="19">
        <f t="shared" ref="I5" si="2">IFERROR(H5/G5, "")</f>
        <v>-0.29278187862737365</v>
      </c>
      <c r="J5" s="42"/>
      <c r="K5" s="42"/>
    </row>
    <row r="6" spans="1:11" ht="15.6">
      <c r="A6" s="30"/>
      <c r="B6" s="31"/>
      <c r="C6" s="11"/>
      <c r="D6" s="18"/>
      <c r="E6" s="18" t="str">
        <f t="shared" ref="E6" si="3">IF(AND(ISNUMBER(C6),ISNUMBER(D6)), C6-D6, "")</f>
        <v/>
      </c>
      <c r="F6" s="19" t="str">
        <f t="shared" ref="F6" si="4">IFERROR(E6/D6, "")</f>
        <v/>
      </c>
      <c r="G6" s="20"/>
      <c r="H6" s="20" t="str">
        <f t="shared" ref="H6" si="5">IF(AND(ISNUMBER(C6),ISNUMBER(G6)), C6-G6, "")</f>
        <v/>
      </c>
      <c r="I6" s="19" t="str">
        <f t="shared" ref="I6" si="6">IFERROR(H6/G6, "")</f>
        <v/>
      </c>
      <c r="J6" s="42"/>
      <c r="K6" s="43"/>
    </row>
    <row r="7" spans="1:11" ht="14.45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32" priority="4" stopIfTrue="1" operator="lessThanOrEqual">
      <formula>-0.1</formula>
    </cfRule>
    <cfRule type="expression" dxfId="31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xSplit="2" ySplit="3" topLeftCell="C4" activePane="bottomRight" state="frozen"/>
      <selection pane="bottomRight" activeCell="K5" sqref="K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105722</v>
      </c>
      <c r="D2" s="5">
        <f>SUM(D4:D89)</f>
        <v>117230</v>
      </c>
      <c r="E2" s="5">
        <f>C2-D2</f>
        <v>-11508</v>
      </c>
      <c r="F2" s="6">
        <f>IFERROR(E2/D2, 0)</f>
        <v>-9.8165998464556856E-2</v>
      </c>
      <c r="G2" s="5">
        <f>SUM(G4:G89)</f>
        <v>108237</v>
      </c>
      <c r="H2" s="7">
        <f>C2-G2</f>
        <v>-2515</v>
      </c>
      <c r="I2" s="6">
        <f>IFERROR(H2/G2, 0)</f>
        <v>-2.323604682317507E-2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42119</v>
      </c>
      <c r="D4" s="13">
        <v>44694</v>
      </c>
      <c r="E4" s="13">
        <f>IF(AND(ISNUMBER(C4),ISNUMBER(D4)), C4-D4, "")</f>
        <v>-2575</v>
      </c>
      <c r="F4" s="14">
        <f>IFERROR(E4/D4, "")</f>
        <v>-5.7613997404573319E-2</v>
      </c>
      <c r="G4" s="15">
        <v>59297</v>
      </c>
      <c r="H4" s="15">
        <f>IF(AND(ISNUMBER(C4),ISNUMBER(G4)), C4-G4, "")</f>
        <v>-17178</v>
      </c>
      <c r="I4" s="16">
        <f>IFERROR(H4/G4, "")</f>
        <v>-0.28969425097391099</v>
      </c>
      <c r="J4" s="41"/>
      <c r="K4" s="41"/>
    </row>
    <row r="5" spans="1:11" ht="15.6">
      <c r="A5" s="30" t="str">
        <v>Mount Laurel - Igloo Ice Rink</v>
      </c>
      <c r="B5" s="31" t="str">
        <v>NJ</v>
      </c>
      <c r="C5" s="11">
        <v>63603</v>
      </c>
      <c r="D5" s="18">
        <v>72536</v>
      </c>
      <c r="E5" s="18">
        <f t="shared" ref="E5" si="0">IF(AND(ISNUMBER(C5),ISNUMBER(D5)), C5-D5, "")</f>
        <v>-8933</v>
      </c>
      <c r="F5" s="19">
        <f>IFERROR(E5/D5, "")</f>
        <v>-0.12315264144700562</v>
      </c>
      <c r="G5" s="20">
        <v>48940</v>
      </c>
      <c r="H5" s="20">
        <f t="shared" ref="H5" si="1">IF(AND(ISNUMBER(C5),ISNUMBER(G5)), C5-G5, "")</f>
        <v>14663</v>
      </c>
      <c r="I5" s="19">
        <f t="shared" ref="I5" si="2">IFERROR(H5/G5, "")</f>
        <v>0.29961176951369023</v>
      </c>
      <c r="J5" s="42" t="s">
        <v>24</v>
      </c>
      <c r="K5" s="42" t="s">
        <v>25</v>
      </c>
    </row>
    <row r="6" spans="1:11" ht="15.6">
      <c r="A6" s="30"/>
      <c r="B6" s="31"/>
      <c r="C6" s="11"/>
      <c r="D6" s="18"/>
      <c r="E6" s="18" t="str">
        <f t="shared" ref="E6" si="3">IF(AND(ISNUMBER(C6),ISNUMBER(D6)), C6-D6, "")</f>
        <v/>
      </c>
      <c r="F6" s="19" t="str">
        <f t="shared" ref="F6" si="4">IFERROR(E6/D6, "")</f>
        <v/>
      </c>
      <c r="G6" s="20"/>
      <c r="H6" s="20" t="str">
        <f t="shared" ref="H6" si="5">IF(AND(ISNUMBER(C6),ISNUMBER(G6)), C6-G6, "")</f>
        <v/>
      </c>
      <c r="I6" s="19" t="str">
        <f t="shared" ref="I6" si="6">IFERROR(H6/G6, "")</f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workbookViewId="0">
      <pane xSplit="2" ySplit="3" topLeftCell="C4" activePane="bottomRight" state="frozen"/>
      <selection pane="bottomRight" activeCell="J16" sqref="J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146999</v>
      </c>
      <c r="D2" s="5">
        <f>SUM(D4:D89)</f>
        <v>155445</v>
      </c>
      <c r="E2" s="5">
        <f>C2-D2</f>
        <v>-8446</v>
      </c>
      <c r="F2" s="6">
        <f>IFERROR(E2/D2, 0)</f>
        <v>-5.4334330470584453E-2</v>
      </c>
      <c r="G2" s="5">
        <f>SUM(G4:G89)</f>
        <v>157546</v>
      </c>
      <c r="H2" s="7">
        <f>C2-G2</f>
        <v>-10547</v>
      </c>
      <c r="I2" s="6">
        <f>IFERROR(H2/G2, 0)</f>
        <v>-6.6945527020679671E-2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61364</v>
      </c>
      <c r="D4" s="13">
        <v>61885</v>
      </c>
      <c r="E4" s="13">
        <f>IF(AND(ISNUMBER(C4),ISNUMBER(D4)), C4-D4, "")</f>
        <v>-521</v>
      </c>
      <c r="F4" s="14">
        <f>IFERROR(E4/D4, "")</f>
        <v>-8.4188413993697992E-3</v>
      </c>
      <c r="G4" s="15">
        <v>77520</v>
      </c>
      <c r="H4" s="15">
        <f>IF(AND(ISNUMBER(C4),ISNUMBER(G4)), C4-G4, "")</f>
        <v>-16156</v>
      </c>
      <c r="I4" s="16">
        <f>IFERROR(H4/G4, "")</f>
        <v>-0.20841073271413829</v>
      </c>
      <c r="J4" s="41"/>
      <c r="K4" s="41"/>
    </row>
    <row r="5" spans="1:11" ht="86.45">
      <c r="A5" s="30" t="str">
        <v>Mount Laurel - Igloo Ice Rink</v>
      </c>
      <c r="B5" s="31" t="str">
        <v>NJ</v>
      </c>
      <c r="C5" s="11">
        <v>85635</v>
      </c>
      <c r="D5" s="18">
        <v>93560</v>
      </c>
      <c r="E5" s="18">
        <f t="shared" ref="E5:E6" si="0">IF(AND(ISNUMBER(C5),ISNUMBER(D5)), C5-D5, "")</f>
        <v>-7925</v>
      </c>
      <c r="F5" s="19">
        <f>IFERROR(E5/D5, "")</f>
        <v>-8.4705002137665672E-2</v>
      </c>
      <c r="G5" s="20">
        <v>80026</v>
      </c>
      <c r="H5" s="20">
        <f t="shared" ref="H5:H6" si="1">IF(AND(ISNUMBER(C5),ISNUMBER(G5)), C5-G5, "")</f>
        <v>5609</v>
      </c>
      <c r="I5" s="19">
        <f t="shared" ref="I5:I6" si="2">IFERROR(H5/G5, "")</f>
        <v>7.008972084072676E-2</v>
      </c>
      <c r="J5" s="42" t="s">
        <v>28</v>
      </c>
      <c r="K5" s="42" t="s">
        <v>29</v>
      </c>
    </row>
    <row r="6" spans="1:11" ht="15.6">
      <c r="A6" s="30"/>
      <c r="B6" s="31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70" zoomScaleNormal="70" workbookViewId="0">
      <pane xSplit="2" ySplit="3" topLeftCell="C4" activePane="bottomRight" state="frozen"/>
      <selection pane="bottomRight" activeCell="J11" sqref="J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164489.00000000009</v>
      </c>
      <c r="D2" s="5">
        <f>SUM(D4:D89)</f>
        <v>174614.74</v>
      </c>
      <c r="E2" s="5">
        <f>C2-D2</f>
        <v>-10125.739999999903</v>
      </c>
      <c r="F2" s="6">
        <f>IFERROR(E2/D2, 0)</f>
        <v>-5.7989033457312392E-2</v>
      </c>
      <c r="G2" s="5">
        <f>SUM(G4:G89)</f>
        <v>192341.02000000002</v>
      </c>
      <c r="H2" s="7">
        <f>C2-G2</f>
        <v>-27852.019999999931</v>
      </c>
      <c r="I2" s="6">
        <f>IFERROR(H2/G2, 0)</f>
        <v>-0.14480540864346009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70881.399999999994</v>
      </c>
      <c r="D4" s="13">
        <v>71383.039999999994</v>
      </c>
      <c r="E4" s="13">
        <f>IF(AND(ISNUMBER(C4),ISNUMBER(D4)), C4-D4, "")</f>
        <v>-501.63999999999942</v>
      </c>
      <c r="F4" s="14">
        <f>IFERROR(E4/D4, "")</f>
        <v>-7.0274395710801822E-3</v>
      </c>
      <c r="G4" s="15">
        <v>89755.42</v>
      </c>
      <c r="H4" s="15">
        <f>IF(AND(ISNUMBER(C4),ISNUMBER(G4)), C4-G4, "")</f>
        <v>-18874.020000000004</v>
      </c>
      <c r="I4" s="16">
        <f>IFERROR(H4/G4, "")</f>
        <v>-0.21028278849344145</v>
      </c>
      <c r="J4" s="41"/>
      <c r="K4" s="41"/>
    </row>
    <row r="5" spans="1:11" ht="109.15" customHeight="1">
      <c r="A5" s="30" t="str">
        <v>Mount Laurel - Igloo Ice Rink</v>
      </c>
      <c r="B5" s="31" t="str">
        <v>NJ</v>
      </c>
      <c r="C5" s="11">
        <v>93607.600000000093</v>
      </c>
      <c r="D5" s="18">
        <v>103231.7</v>
      </c>
      <c r="E5" s="18">
        <f t="shared" ref="E5:E6" si="0">IF(AND(ISNUMBER(C5),ISNUMBER(D5)), C5-D5, "")</f>
        <v>-9624.099999999904</v>
      </c>
      <c r="F5" s="19">
        <f>IFERROR(E5/D5, "")</f>
        <v>-9.3228146005538068E-2</v>
      </c>
      <c r="G5" s="20">
        <v>102585.60000000001</v>
      </c>
      <c r="H5" s="20">
        <f t="shared" ref="H5:H6" si="1">IF(AND(ISNUMBER(C5),ISNUMBER(G5)), C5-G5, "")</f>
        <v>-8977.9999999999127</v>
      </c>
      <c r="I5" s="19">
        <f t="shared" ref="I5:I6" si="2">IFERROR(H5/G5, "")</f>
        <v>-8.751715640401686E-2</v>
      </c>
      <c r="J5" s="42" t="s">
        <v>32</v>
      </c>
      <c r="K5" s="52" t="s">
        <v>33</v>
      </c>
    </row>
    <row r="6" spans="1:11" ht="15.6">
      <c r="A6" s="30"/>
      <c r="B6" s="31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F14" sqref="F1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SUM(C4:C87)</f>
        <v>174238.90000000002</v>
      </c>
      <c r="D2" s="5">
        <f>SUM(D4:D87)</f>
        <v>190323.62</v>
      </c>
      <c r="E2" s="5">
        <f>C2-D2</f>
        <v>-16084.719999999972</v>
      </c>
      <c r="F2" s="6">
        <f>IFERROR(E2/D2, 0)</f>
        <v>-8.4512474069166885E-2</v>
      </c>
      <c r="G2" s="5">
        <f>SUM(G4:G87)</f>
        <v>205896.61</v>
      </c>
      <c r="H2" s="7">
        <f>C2-G2</f>
        <v>-31657.709999999963</v>
      </c>
      <c r="I2" s="6">
        <f>IFERROR(H2/G2, 0)</f>
        <v>-0.15375537266009365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74972.600000000006</v>
      </c>
      <c r="D4" s="13">
        <v>78493.62</v>
      </c>
      <c r="E4" s="13">
        <f>IF(AND(ISNUMBER(C4),ISNUMBER(D4)), C4-D4, "")</f>
        <v>-3521.0199999999895</v>
      </c>
      <c r="F4" s="14">
        <f>IFERROR(E4/D4, "")</f>
        <v>-4.4857403697268511E-2</v>
      </c>
      <c r="G4" s="15">
        <v>92366.41</v>
      </c>
      <c r="H4" s="15">
        <f>IF(AND(ISNUMBER(C4),ISNUMBER(G4)), C4-G4, "")</f>
        <v>-17393.809999999998</v>
      </c>
      <c r="I4" s="16">
        <f>IFERROR(H4/G4, "")</f>
        <v>-0.1883131541000673</v>
      </c>
      <c r="J4" s="41"/>
      <c r="K4" s="41"/>
    </row>
    <row r="5" spans="1:11" ht="28.9">
      <c r="A5" s="30" t="str">
        <v>Mount Laurel - Igloo Ice Rink</v>
      </c>
      <c r="B5" s="31" t="str">
        <v>NJ</v>
      </c>
      <c r="C5" s="11">
        <v>99266.3</v>
      </c>
      <c r="D5" s="18">
        <v>111830</v>
      </c>
      <c r="E5" s="18">
        <f t="shared" ref="E5" si="0">IF(AND(ISNUMBER(C5),ISNUMBER(D5)), C5-D5, "")</f>
        <v>-12563.699999999997</v>
      </c>
      <c r="F5" s="19">
        <f>IFERROR(E5/D5, "")</f>
        <v>-0.11234641867119732</v>
      </c>
      <c r="G5" s="20">
        <v>113530.2</v>
      </c>
      <c r="H5" s="20">
        <f t="shared" ref="H5" si="1">IF(AND(ISNUMBER(C5),ISNUMBER(G5)), C5-G5, "")</f>
        <v>-14263.899999999994</v>
      </c>
      <c r="I5" s="19">
        <f t="shared" ref="I5" si="2">IFERROR(H5/G5, "")</f>
        <v>-0.12563969763111485</v>
      </c>
      <c r="J5" s="42" t="s">
        <v>36</v>
      </c>
      <c r="K5" s="42" t="s">
        <v>37</v>
      </c>
    </row>
    <row r="6" spans="1:11" ht="14.45">
      <c r="A6" s="21"/>
      <c r="B6" s="33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zoomScale="80" zoomScaleNormal="80" workbookViewId="0">
      <pane xSplit="2" ySplit="3" topLeftCell="C4" activePane="bottomRight" state="frozen"/>
      <selection pane="bottomRight" activeCell="J8" sqref="J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SUM(C4:C88)</f>
        <v>215369.60000000001</v>
      </c>
      <c r="D2" s="5">
        <f>SUM(D4:D88)</f>
        <v>241247.82</v>
      </c>
      <c r="E2" s="5">
        <f>C2-D2</f>
        <v>-25878.22</v>
      </c>
      <c r="F2" s="6">
        <f>IFERROR(E2/D2, 0)</f>
        <v>-0.10726820246500052</v>
      </c>
      <c r="G2" s="5">
        <f>SUM(G4:G88)</f>
        <v>214005.24</v>
      </c>
      <c r="H2" s="7">
        <f>C2-G2</f>
        <v>1364.3600000000151</v>
      </c>
      <c r="I2" s="6">
        <f>IFERROR(H2/G2, 0)</f>
        <v>6.3753579117969972E-3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93191.5</v>
      </c>
      <c r="D4" s="13">
        <v>98439.52</v>
      </c>
      <c r="E4" s="13">
        <f>IF(AND(ISNUMBER(C4),ISNUMBER(D4)), C4-D4, "")</f>
        <v>-5248.0200000000041</v>
      </c>
      <c r="F4" s="14">
        <f>IFERROR(E4/D4, "")</f>
        <v>-5.3312125048964112E-2</v>
      </c>
      <c r="G4" s="15">
        <v>95180.74</v>
      </c>
      <c r="H4" s="15">
        <f>IF(AND(ISNUMBER(C4),ISNUMBER(G4)), C4-G4, "")</f>
        <v>-1989.2400000000052</v>
      </c>
      <c r="I4" s="16">
        <f>IFERROR(H4/G4, "")</f>
        <v>-2.0899606369944226E-2</v>
      </c>
      <c r="J4" s="41"/>
      <c r="K4" s="41"/>
    </row>
    <row r="5" spans="1:11" ht="75" customHeight="1">
      <c r="A5" s="30" t="str">
        <v>Mount Laurel - Igloo Ice Rink</v>
      </c>
      <c r="B5" s="31" t="str">
        <v>NJ</v>
      </c>
      <c r="C5" s="11">
        <v>122178.1</v>
      </c>
      <c r="D5" s="18">
        <v>142808.29999999999</v>
      </c>
      <c r="E5" s="18">
        <f t="shared" ref="E5" si="0">IF(AND(ISNUMBER(C5),ISNUMBER(D5)), C5-D5, "")</f>
        <v>-20630.199999999983</v>
      </c>
      <c r="F5" s="19">
        <f>IFERROR(E5/D5, "")</f>
        <v>-0.1444607911444922</v>
      </c>
      <c r="G5" s="20">
        <v>118824.5</v>
      </c>
      <c r="H5" s="20">
        <f t="shared" ref="H5" si="1">IF(AND(ISNUMBER(C5),ISNUMBER(G5)), C5-G5, "")</f>
        <v>3353.6000000000058</v>
      </c>
      <c r="I5" s="19">
        <f t="shared" ref="I5" si="2">IFERROR(H5/G5, "")</f>
        <v>2.8223135801118505E-2</v>
      </c>
      <c r="J5" s="53" t="s">
        <v>40</v>
      </c>
      <c r="K5" s="53" t="s">
        <v>41</v>
      </c>
    </row>
    <row r="6" spans="1:11" ht="12.75" customHeight="1">
      <c r="A6" s="21"/>
      <c r="B6" s="33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1"/>
  <sheetViews>
    <sheetView workbookViewId="0">
      <pane xSplit="2" ySplit="3" topLeftCell="C4" activePane="bottomRight" state="frozen"/>
      <selection pane="bottomRight" activeCell="J5" sqref="J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192703.59999999998</v>
      </c>
      <c r="D2" s="5">
        <f>SUM(D4:D89)</f>
        <v>218080.22999999998</v>
      </c>
      <c r="E2" s="5">
        <f>C2-D2</f>
        <v>-25376.630000000005</v>
      </c>
      <c r="F2" s="6">
        <f>IFERROR(E2/D2, 0)</f>
        <v>-0.11636373457603198</v>
      </c>
      <c r="G2" s="5">
        <f>SUM(G4:G89)</f>
        <v>221781.66</v>
      </c>
      <c r="H2" s="7">
        <f>C2-G2</f>
        <v>-29078.060000000027</v>
      </c>
      <c r="I2" s="6">
        <f>IFERROR(H2/G2, 0)</f>
        <v>-0.13111120189108524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79835.399999999994</v>
      </c>
      <c r="D4" s="13">
        <v>90163.23</v>
      </c>
      <c r="E4" s="13">
        <f>IF(AND(ISNUMBER(C4),ISNUMBER(D4)), C4-D4, "")</f>
        <v>-10327.830000000002</v>
      </c>
      <c r="F4" s="14">
        <f>IFERROR(E4/D4, "")</f>
        <v>-0.11454591855238551</v>
      </c>
      <c r="G4" s="15">
        <v>97368.86</v>
      </c>
      <c r="H4" s="15">
        <f>IF(AND(ISNUMBER(C4),ISNUMBER(G4)), C4-G4, "")</f>
        <v>-17533.460000000006</v>
      </c>
      <c r="I4" s="16">
        <f>IFERROR(H4/G4, "")</f>
        <v>-0.18007256118639992</v>
      </c>
      <c r="J4" s="41" t="s">
        <v>44</v>
      </c>
      <c r="K4" s="41" t="s">
        <v>45</v>
      </c>
    </row>
    <row r="5" spans="1:11" ht="54.75" customHeight="1">
      <c r="A5" s="30" t="str">
        <v>Mount Laurel - Igloo Ice Rink</v>
      </c>
      <c r="B5" s="31" t="str">
        <v>NJ</v>
      </c>
      <c r="C5" s="11">
        <v>112868.2</v>
      </c>
      <c r="D5" s="18">
        <v>127917</v>
      </c>
      <c r="E5" s="18">
        <f t="shared" ref="E5:E6" si="0">IF(AND(ISNUMBER(C5),ISNUMBER(D5)), C5-D5, "")</f>
        <v>-15048.800000000003</v>
      </c>
      <c r="F5" s="19">
        <f>IFERROR(E5/D5, "")</f>
        <v>-0.11764503545267636</v>
      </c>
      <c r="G5" s="20">
        <v>124412.8</v>
      </c>
      <c r="H5" s="20">
        <f t="shared" ref="H5:H6" si="1">IF(AND(ISNUMBER(C5),ISNUMBER(G5)), C5-G5, "")</f>
        <v>-11544.600000000006</v>
      </c>
      <c r="I5" s="19">
        <f t="shared" ref="I5:I6" si="2">IFERROR(H5/G5, "")</f>
        <v>-9.2792703001620458E-2</v>
      </c>
      <c r="J5" s="53" t="s">
        <v>46</v>
      </c>
      <c r="K5" s="53" t="s">
        <v>47</v>
      </c>
    </row>
    <row r="6" spans="1:11" ht="15.6">
      <c r="A6" s="30"/>
      <c r="B6" s="31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1"/>
  <sheetViews>
    <sheetView workbookViewId="0">
      <pane xSplit="2" ySplit="3" topLeftCell="C4" activePane="bottomRight" state="frozen"/>
      <selection pane="bottomRight" activeCell="K5" sqref="K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187148.40000000002</v>
      </c>
      <c r="D2" s="5">
        <f>SUM(D4:D89)</f>
        <v>194084.47999999998</v>
      </c>
      <c r="E2" s="5">
        <f>C2-D2</f>
        <v>-6936.0799999999581</v>
      </c>
      <c r="F2" s="6">
        <f>IFERROR(E2/D2, 0)</f>
        <v>-3.5737427330613754E-2</v>
      </c>
      <c r="G2" s="5">
        <f>SUM(G4:G89)</f>
        <v>199735.27000000002</v>
      </c>
      <c r="H2" s="7">
        <f>C2-G2</f>
        <v>-12586.869999999995</v>
      </c>
      <c r="I2" s="6">
        <f>IFERROR(H2/G2, 0)</f>
        <v>-6.3017763462607249E-2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77336.600000000006</v>
      </c>
      <c r="D4" s="13">
        <v>78476.679999999993</v>
      </c>
      <c r="E4" s="13">
        <f>IF(AND(ISNUMBER(C4),ISNUMBER(D4)), C4-D4, "")</f>
        <v>-1140.0799999999872</v>
      </c>
      <c r="F4" s="14">
        <f>IFERROR(E4/D4, "")</f>
        <v>-1.4527627825234035E-2</v>
      </c>
      <c r="G4" s="15">
        <v>91291.17</v>
      </c>
      <c r="H4" s="15">
        <f>IF(AND(ISNUMBER(C4),ISNUMBER(G4)), C4-G4, "")</f>
        <v>-13954.569999999992</v>
      </c>
      <c r="I4" s="16">
        <f>IFERROR(H4/G4, "")</f>
        <v>-0.15285782841867393</v>
      </c>
      <c r="J4" s="41"/>
      <c r="K4" s="41"/>
    </row>
    <row r="5" spans="1:11" ht="45.75">
      <c r="A5" s="30" t="str">
        <v>Mount Laurel - Igloo Ice Rink</v>
      </c>
      <c r="B5" s="31" t="str">
        <v>NJ</v>
      </c>
      <c r="C5" s="11">
        <v>109811.8</v>
      </c>
      <c r="D5" s="18">
        <v>115607.8</v>
      </c>
      <c r="E5" s="18">
        <f t="shared" ref="E5:E6" si="0">IF(AND(ISNUMBER(C5),ISNUMBER(D5)), C5-D5, "")</f>
        <v>-5796</v>
      </c>
      <c r="F5" s="19">
        <f>IFERROR(E5/D5, "")</f>
        <v>-5.0135025491359578E-2</v>
      </c>
      <c r="G5" s="20">
        <v>108444.1</v>
      </c>
      <c r="H5" s="20">
        <f t="shared" ref="H5:H6" si="1">IF(AND(ISNUMBER(C5),ISNUMBER(G5)), C5-G5, "")</f>
        <v>1367.6999999999971</v>
      </c>
      <c r="I5" s="19">
        <f t="shared" ref="I5:I6" si="2">IFERROR(H5/G5, "")</f>
        <v>1.2612027763612746E-2</v>
      </c>
      <c r="J5" s="42" t="s">
        <v>50</v>
      </c>
      <c r="K5" s="53" t="s">
        <v>51</v>
      </c>
    </row>
    <row r="6" spans="1:11" ht="15.6">
      <c r="A6" s="30"/>
      <c r="B6" s="31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workbookViewId="0">
      <pane xSplit="2" ySplit="3" topLeftCell="C4" activePane="bottomRight" state="frozen"/>
      <selection pane="bottomRight" activeCell="G11" sqref="G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52</v>
      </c>
      <c r="E1" s="56"/>
      <c r="F1" s="56"/>
      <c r="G1" s="54" t="s">
        <v>53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145432.09999999969</v>
      </c>
      <c r="D2" s="5">
        <f>SUM(D4:D89)</f>
        <v>149734.41</v>
      </c>
      <c r="E2" s="5">
        <f>C2-D2</f>
        <v>-4302.3100000003178</v>
      </c>
      <c r="F2" s="6">
        <f>IFERROR(E2/D2, 0)</f>
        <v>-2.8732941212379425E-2</v>
      </c>
      <c r="G2" s="5">
        <f>SUM(G4:G89)</f>
        <v>165718</v>
      </c>
      <c r="H2" s="7">
        <f>C2-G2</f>
        <v>-20285.900000000314</v>
      </c>
      <c r="I2" s="6">
        <f>IFERROR(H2/G2, 0)</f>
        <v>-0.122412170072052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59680.799999999901</v>
      </c>
      <c r="D4" s="13">
        <v>60090.75</v>
      </c>
      <c r="E4" s="13">
        <f>IF(AND(ISNUMBER(C4),ISNUMBER(D4)), C4-D4, "")</f>
        <v>-409.95000000009895</v>
      </c>
      <c r="F4" s="14">
        <f>IFERROR(E4/D4, "")</f>
        <v>-6.8221814505576807E-3</v>
      </c>
      <c r="G4" s="15">
        <v>78070.740000000005</v>
      </c>
      <c r="H4" s="15">
        <f>IF(AND(ISNUMBER(C4),ISNUMBER(G4)), C4-G4, "")</f>
        <v>-18389.940000000104</v>
      </c>
      <c r="I4" s="16">
        <f>IFERROR(H4/G4, "")</f>
        <v>-0.23555483142596192</v>
      </c>
      <c r="J4" s="41"/>
      <c r="K4" s="41"/>
    </row>
    <row r="5" spans="1:11" ht="15.6">
      <c r="A5" s="30" t="str">
        <v>Mount Laurel - Igloo Ice Rink</v>
      </c>
      <c r="B5" s="31" t="str">
        <v>NJ</v>
      </c>
      <c r="C5" s="11">
        <v>85751.299999999799</v>
      </c>
      <c r="D5" s="18">
        <v>89643.66</v>
      </c>
      <c r="E5" s="18">
        <f t="shared" ref="E5:E6" si="0">IF(AND(ISNUMBER(C5),ISNUMBER(D5)), C5-D5, "")</f>
        <v>-3892.3600000002043</v>
      </c>
      <c r="F5" s="19">
        <f>IFERROR(E5/D5, "")</f>
        <v>-4.3420360123629535E-2</v>
      </c>
      <c r="G5" s="20">
        <v>87647.26</v>
      </c>
      <c r="H5" s="20">
        <f t="shared" ref="H5:H6" si="1">IF(AND(ISNUMBER(C5),ISNUMBER(G5)), C5-G5, "")</f>
        <v>-1895.9600000001956</v>
      </c>
      <c r="I5" s="19">
        <f t="shared" ref="I5:I6" si="2">IFERROR(H5/G5, "")</f>
        <v>-2.1631708737959356E-2</v>
      </c>
      <c r="J5" s="42"/>
      <c r="K5" s="42"/>
    </row>
    <row r="6" spans="1:11" ht="15.6">
      <c r="A6" s="30"/>
      <c r="B6" s="31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54</v>
      </c>
      <c r="E1" s="56"/>
      <c r="F1" s="56"/>
      <c r="G1" s="54" t="s">
        <v>55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56</v>
      </c>
      <c r="E1" s="56"/>
      <c r="F1" s="56"/>
      <c r="G1" s="54" t="s">
        <v>57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58</v>
      </c>
      <c r="E1" s="56"/>
      <c r="F1" s="56"/>
      <c r="G1" s="54" t="s">
        <v>59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4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2" sqref="B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60</v>
      </c>
      <c r="B1" t="s">
        <v>61</v>
      </c>
    </row>
    <row r="3" spans="1:7" ht="13.15">
      <c r="A3" t="s">
        <v>62</v>
      </c>
      <c r="B3" t="s">
        <v>3</v>
      </c>
      <c r="C3" t="s">
        <v>4</v>
      </c>
      <c r="D3" t="s">
        <v>63</v>
      </c>
      <c r="E3" s="2" t="s">
        <v>64</v>
      </c>
    </row>
    <row r="4" spans="1:7" ht="14.45">
      <c r="A4" s="44" t="s">
        <v>65</v>
      </c>
      <c r="B4" s="44" t="s">
        <v>66</v>
      </c>
      <c r="C4" s="44" t="s">
        <v>67</v>
      </c>
      <c r="D4" s="47" t="s">
        <v>68</v>
      </c>
      <c r="E4" t="s">
        <v>69</v>
      </c>
      <c r="G4" s="3"/>
    </row>
    <row r="5" spans="1:7" ht="14.45">
      <c r="A5" s="45" t="s">
        <v>70</v>
      </c>
      <c r="B5" s="45" t="s">
        <v>71</v>
      </c>
      <c r="C5" s="46" t="s">
        <v>67</v>
      </c>
      <c r="D5" s="48" t="s">
        <v>68</v>
      </c>
      <c r="E5" t="s">
        <v>69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2024-10-10T20:10:52Z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