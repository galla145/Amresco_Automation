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CE532C95-20EE-4F9A-A6EF-3D037C78BEEA}" xr6:coauthVersionLast="47" xr6:coauthVersionMax="47" xr10:uidLastSave="{D448F1EB-E195-421B-812C-5C6D31AEC20C}"/>
  <bookViews>
    <workbookView xWindow="28680" yWindow="-120" windowWidth="29040" windowHeight="15720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G2" i="18"/>
  <c r="A4" i="4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<sst xmlns="http://schemas.openxmlformats.org/spreadsheetml/2006/main" count="244" uniqueCount="57">
  <si>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</si>
  <si>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</si>
  <si>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</si>
  <si>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</si>
  <si>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</si>
  <si>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</si>
  <si>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</si>
  <si>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</si>
  <si>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</si>
  <si>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</si>
  <si>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</si>
  <si>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</si>
  <si>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</si>
  <si>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</si>
  <si>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</si>
  <si>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</si>
  <si>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</si>
  <si>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</si>
  <si>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</si>
  <si>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</si>
  <si>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</si>
  <si>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</si>
  <si>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</si>
  <si>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</si>
  <si>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</si>
  <si>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</si>
  <si>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left unit is offline from 03/28.</t>
  </si>
  <si>
    <t>1. SR083210</t>
  </si>
  <si>
    <t>April Actual v. Expected</t>
  </si>
  <si>
    <t>April Actual v. Forecasted</t>
  </si>
  <si>
    <t>1. Inverter 1 left unit was offline from 03/27 and later back online at 16:40 on 04/30.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</si>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</sst>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SUM(C4:C78)</f>
        <v>124300.689</v>
      </c>
      <c r="D2" s="5">
        <f>SUM(D4:D78)</f>
        <v>0</v>
      </c>
      <c r="E2" s="5">
        <f>C2-D2</f>
        <v>124300.689</v>
      </c>
      <c r="F2" s="6">
        <f>IFERROR(E2/D2, 0)</f>
        <v>0</v>
      </c>
      <c r="G2" s="5">
        <f>SUM(G4:G78)</f>
        <v>112929.98999999999</v>
      </c>
      <c r="H2" s="7">
        <f>C2-G2</f>
        <v>11370.699000000008</v>
      </c>
      <c r="I2" s="6">
        <f>IFERROR(H2/G2, 0)</f>
        <v>0.1006880368979047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124300.689</v>
      </c>
      <c r="D4" s="12">
        <f>SUM('1st Qtr'!D4, '2nd Qtr'!D4, '3rd Qtr'!D4, '4th Qtr'!D4)</f>
        <v>0</v>
      </c>
      <c r="E4" s="12">
        <f>IF(AND(ISNUMBER(C4),ISNUMBER(D4)), C4-D4, "")</f>
        <v>124300.689</v>
      </c>
      <c r="F4" s="13" t="str">
        <f>IFERROR(E4/D4, "")</f>
        <v/>
      </c>
      <c r="G4" s="14">
        <f>SUM('1st Qtr'!G4, '2nd Qtr'!G4, '3rd Qtr'!G4, '4th Qtr'!G4)</f>
        <v>112929.98999999999</v>
      </c>
      <c r="H4" s="14">
        <f>SUM('1st Qtr'!H4, '2nd Qtr'!H4, '3rd Qtr'!H4, '4th Qtr'!H4)</f>
        <v>11370.698999999997</v>
      </c>
      <c r="I4" s="15">
        <f>IFERROR(H4/G4, "")</f>
        <v>0.10068803689790461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SUM(C4:C78)</f>
        <v>25506.5625</v>
      </c>
      <c r="D2" s="5">
        <f>SUM(D4:D78)</f>
        <v>0</v>
      </c>
      <c r="E2" s="5">
        <f>C2-D2</f>
        <v>25506.5625</v>
      </c>
      <c r="F2" s="6">
        <f>IFERROR(E2/D2, 0)</f>
        <v>0</v>
      </c>
      <c r="G2" s="5">
        <f>SUM(G4:G78)</f>
        <v>27777</v>
      </c>
      <c r="H2" s="7">
        <f>C2-G2</f>
        <v>-2270.4375</v>
      </c>
      <c r="I2" s="6">
        <f>IFERROR(H2/G2, 0)</f>
        <v>-8.1738038665082627E-2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25506.5625</v>
      </c>
      <c r="D4" s="12">
        <f>SUM(Jan!D4, Feb!D4, Mar!D4)</f>
        <v>0</v>
      </c>
      <c r="E4" s="12">
        <f>IF(AND(ISNUMBER(C4),ISNUMBER(D4)), C4-D4, "")</f>
        <v>25506.5625</v>
      </c>
      <c r="F4" s="13" t="str">
        <f>IFERROR(E4/D4, "")</f>
        <v/>
      </c>
      <c r="G4" s="14">
        <f>SUM(Jan!G4, Feb!G4, Mar!G4)</f>
        <v>27777</v>
      </c>
      <c r="H4" s="14">
        <f>SUM(Jan!H4, Feb!H4, Mar!H4)</f>
        <v>-2270.4375</v>
      </c>
      <c r="I4" s="15">
        <f>IFERROR(H4/G4, "")</f>
        <v>-8.1738038665082627E-2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SUM(C4:C78)</f>
        <v>48708.438999999998</v>
      </c>
      <c r="D2" s="5">
        <f>SUM(D4:D78)</f>
        <v>0</v>
      </c>
      <c r="E2" s="5">
        <f>C2-D2</f>
        <v>48708.438999999998</v>
      </c>
      <c r="F2" s="6">
        <f>IFERROR(E2/D2, 0)</f>
        <v>0</v>
      </c>
      <c r="G2" s="5">
        <f>SUM(G4:G78)</f>
        <v>42872.99</v>
      </c>
      <c r="H2" s="7">
        <f>C2-G2</f>
        <v>5835.4490000000005</v>
      </c>
      <c r="I2" s="6">
        <f>IFERROR(H2/G2, 0)</f>
        <v>0.13611014767106286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48708.438999999998</v>
      </c>
      <c r="D4" s="12">
        <f>SUM(Apr!D4, May!D4, Jun!D4)</f>
        <v>0</v>
      </c>
      <c r="E4" s="12">
        <f>IF(AND(ISNUMBER(C4),ISNUMBER(D4)), C4-D4, "")</f>
        <v>48708.438999999998</v>
      </c>
      <c r="F4" s="13" t="str">
        <f>IFERROR(E4/D4, "")</f>
        <v/>
      </c>
      <c r="G4" s="14">
        <f>SUM(Apr!G4,May!G4,Jun!G4)</f>
        <v>42872.99</v>
      </c>
      <c r="H4" s="14">
        <f>SUM(Apr!H4, May!H4, Jun!H4)</f>
        <v>5835.4489999999969</v>
      </c>
      <c r="I4" s="15">
        <f>IFERROR(H4/G4, "")</f>
        <v>0.13611014767106278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tabSelected="1" workbookViewId="0">
      <pane xSplit="2" ySplit="3" topLeftCell="F4" activePane="bottomRight" state="frozen"/>
      <selection pane="bottomRight" activeCell="G5" sqref="G5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SUM(C4:C78)</f>
        <v>50085.6875</v>
      </c>
      <c r="D2" s="5">
        <f>SUM(D4:D78)</f>
        <v>0</v>
      </c>
      <c r="E2" s="5">
        <f>C2-D2</f>
        <v>50085.6875</v>
      </c>
      <c r="F2" s="6">
        <f>IFERROR(E2/D2, 0)</f>
        <v>0</v>
      </c>
      <c r="G2" s="5">
        <f>SUM(G4:G78)</f>
        <v>42280</v>
      </c>
      <c r="H2" s="7">
        <f>C2-G2</f>
        <v>7805.6875</v>
      </c>
      <c r="I2" s="6">
        <f>IFERROR(H2/G2, 0)</f>
        <v>0.1846189096499527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50085.6875</v>
      </c>
      <c r="D4" s="12">
        <f>SUM(Jul!D4, Aug!D4, Sep!D4)</f>
        <v>0</v>
      </c>
      <c r="E4" s="12">
        <f>IF(AND(ISNUMBER(C4),ISNUMBER(D4)), C4-D4, "")</f>
        <v>50085.6875</v>
      </c>
      <c r="F4" s="13" t="str">
        <f>IFERROR(E4/D4, "")</f>
        <v/>
      </c>
      <c r="G4" s="14">
        <f>SUM(Jul!G4,Aug!G4,Sep!G4)</f>
        <v>42280</v>
      </c>
      <c r="H4" s="14">
        <f>SUM(Jul!H4, Aug!H4, Sep!H4)</f>
        <v>7805.6875</v>
      </c>
      <c r="I4" s="15">
        <f>IFERROR(H4/G4, "")</f>
        <v>0.1846189096499527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workbookViewId="0">
      <pane xSplit="2" ySplit="3" topLeftCell="C4" activePane="bottomRight" state="frozen"/>
      <selection pane="bottomRight" activeCell="I8" sqref="I8"/>
      <selection pane="bottomLeft" activeCell="C8" sqref="C8"/>
      <selection pane="topRight" activeCell="C8" sqref="C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3384.4375</v>
      </c>
      <c r="D2" s="5">
        <f>SUM(D4:D77)</f>
        <v>0</v>
      </c>
      <c r="E2" s="5">
        <f>C2-D2</f>
        <v>3384.4375</v>
      </c>
      <c r="F2" s="6">
        <f>IFERROR(E2/D2, 0)</f>
        <v>0</v>
      </c>
      <c r="G2" s="5">
        <f>SUM(G4:G77)</f>
        <v>7169</v>
      </c>
      <c r="H2" s="7">
        <f>C2-G2</f>
        <v>-3784.5625</v>
      </c>
      <c r="I2" s="6">
        <f>IFERROR(H2/G2, 0)</f>
        <v>-0.527906611800809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12">
        <v>3384.4375</v>
      </c>
      <c r="D4" s="12">
        <v>0</v>
      </c>
      <c r="E4" s="12">
        <f>IF(AND(ISNUMBER(C4),ISNUMBER(D4)), C4-D4, "")</f>
        <v>3384.4375</v>
      </c>
      <c r="F4" s="40" t="str">
        <f>IFERROR(E4/D4, "")</f>
        <v/>
      </c>
      <c r="G4" s="14">
        <v>7169</v>
      </c>
      <c r="H4" s="14">
        <f>IF(AND(ISNUMBER(C4),ISNUMBER(G4)), C4-G4, "")</f>
        <v>-3784.5625</v>
      </c>
      <c r="I4" s="15">
        <f>IFERROR(H4/G4, "")</f>
        <v>-0.527906611800809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 I4:I77 F5:F7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workbookViewId="0">
      <pane xSplit="2" ySplit="3" topLeftCell="F4" activePane="bottomRight" state="frozen"/>
      <selection pane="bottomRight" activeCell="F12" sqref="F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22</v>
      </c>
      <c r="E1" s="49"/>
      <c r="F1" s="49"/>
      <c r="G1" s="47" t="s">
        <v>23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9822.375</v>
      </c>
      <c r="D2" s="5">
        <f>SUM(D4:D78)</f>
        <v>0</v>
      </c>
      <c r="E2" s="5">
        <f>C2-D2</f>
        <v>9822.375</v>
      </c>
      <c r="F2" s="6">
        <f>IFERROR(E2/D2, 0)</f>
        <v>0</v>
      </c>
      <c r="G2" s="5">
        <f>SUM(G4:G78)</f>
        <v>8738</v>
      </c>
      <c r="H2" s="7">
        <f>C2-G2</f>
        <v>1084.375</v>
      </c>
      <c r="I2" s="6">
        <f>IFERROR(H2/G2, 0)</f>
        <v>0.12409876401922637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23">
        <v>9822.375</v>
      </c>
      <c r="D4" s="12">
        <v>0</v>
      </c>
      <c r="E4" s="12">
        <f>IF(AND(ISNUMBER(C4),ISNUMBER(D4)), C4-D4, "")</f>
        <v>9822.375</v>
      </c>
      <c r="F4" s="13" t="str">
        <f>IFERROR(E4/D4, "")</f>
        <v/>
      </c>
      <c r="G4" s="14">
        <v>8738</v>
      </c>
      <c r="H4" s="14">
        <f>IF(AND(ISNUMBER(C4),ISNUMBER(G4)), C4-G4, "")</f>
        <v>1084.375</v>
      </c>
      <c r="I4" s="15">
        <f>IFERROR(H4/G4, "")</f>
        <v>0.12409876401922637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workbookViewId="0">
      <pane xSplit="2" ySplit="3" topLeftCell="G4" activePane="bottomRight" state="frozen"/>
      <selection pane="bottomRight" activeCell="J4" sqref="J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12299.75</v>
      </c>
      <c r="D2" s="5">
        <f>SUM(D4:D78)</f>
        <v>0</v>
      </c>
      <c r="E2" s="5">
        <f>C2-D2</f>
        <v>12299.75</v>
      </c>
      <c r="F2" s="6">
        <f>IFERROR(E2/D2, 0)</f>
        <v>0</v>
      </c>
      <c r="G2" s="5">
        <f>SUM(G4:G78)</f>
        <v>11870</v>
      </c>
      <c r="H2" s="7">
        <f>C2-G2</f>
        <v>429.75</v>
      </c>
      <c r="I2" s="6">
        <f>IFERROR(H2/G2, 0)</f>
        <v>3.6204717775905643E-2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12299.75</v>
      </c>
      <c r="D4" s="12">
        <v>0</v>
      </c>
      <c r="E4" s="12">
        <f>IF(AND(ISNUMBER(C4),ISNUMBER(D4)), C4-D4, "")</f>
        <v>12299.75</v>
      </c>
      <c r="F4" s="13" t="str">
        <f>IFERROR(E4/D4, "")</f>
        <v/>
      </c>
      <c r="G4" s="14">
        <v>11870</v>
      </c>
      <c r="H4" s="14">
        <f>IF(AND(ISNUMBER(C4),ISNUMBER(G4)), C4-G4, "")</f>
        <v>429.75</v>
      </c>
      <c r="I4" s="15">
        <f>IFERROR(H4/G4, "")</f>
        <v>3.6204717775905643E-2</v>
      </c>
      <c r="J4" s="37" t="s">
        <v>26</v>
      </c>
      <c r="K4" s="37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0"/>
  <sheetViews>
    <sheetView workbookViewId="0">
      <pane xSplit="2" ySplit="3" topLeftCell="E4" activePane="bottomRight" state="frozen"/>
      <selection pane="bottomRight" activeCell="F8" sqref="F8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10375.188</v>
      </c>
      <c r="D2" s="5">
        <f>SUM(D4:D78)</f>
        <v>0</v>
      </c>
      <c r="E2" s="5">
        <f>C2-D2</f>
        <v>10375.188</v>
      </c>
      <c r="F2" s="6">
        <f>IFERROR(E2/D2, 0)</f>
        <v>0</v>
      </c>
      <c r="G2" s="5">
        <f>SUM(G4:G78)</f>
        <v>12891</v>
      </c>
      <c r="H2" s="7">
        <f>C2-G2</f>
        <v>-2515.8119999999999</v>
      </c>
      <c r="I2" s="6">
        <f>IFERROR(H2/G2, 0)</f>
        <v>-0.19516034442634395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10375.188</v>
      </c>
      <c r="D4" s="14">
        <v>0</v>
      </c>
      <c r="E4" s="12">
        <f>IF(AND(ISNUMBER(C4),ISNUMBER(D4)), C4-D4, "")</f>
        <v>10375.188</v>
      </c>
      <c r="F4" s="13" t="str">
        <f>IFERROR(E4/D4, "")</f>
        <v/>
      </c>
      <c r="G4" s="14">
        <v>12891</v>
      </c>
      <c r="H4" s="14">
        <f>IF(AND(ISNUMBER(C4),ISNUMBER(G4)), C4-G4, "")</f>
        <v>-2515.8119999999999</v>
      </c>
      <c r="I4" s="15">
        <f>IFERROR(H4/G4, "")</f>
        <v>-0.19516034442634395</v>
      </c>
      <c r="J4" s="37" t="s">
        <v>30</v>
      </c>
      <c r="K4" s="37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workbookViewId="0">
      <pane xSplit="2" ySplit="3" topLeftCell="C4" activePane="bottomRight" state="frozen"/>
      <selection pane="bottomRight" activeCell="I15" sqref="I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18078.187999999998</v>
      </c>
      <c r="D2" s="5">
        <f>SUM(D4:D78)</f>
        <v>0</v>
      </c>
      <c r="E2" s="5">
        <f>C2-D2</f>
        <v>18078.187999999998</v>
      </c>
      <c r="F2" s="6">
        <f>IFERROR(E2/D2, 0)</f>
        <v>0</v>
      </c>
      <c r="G2" s="5">
        <f>SUM(G4:G78)</f>
        <v>15002.99</v>
      </c>
      <c r="H2" s="7">
        <f>C2-G2</f>
        <v>3075.1979999999985</v>
      </c>
      <c r="I2" s="6">
        <f>IFERROR(H2/G2, 0)</f>
        <v>0.20497234217979207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18078.187999999998</v>
      </c>
      <c r="D4" s="12">
        <v>0</v>
      </c>
      <c r="E4" s="12">
        <f>IF(AND(ISNUMBER(C4),ISNUMBER(D4)), C4-D4, "")</f>
        <v>18078.187999999998</v>
      </c>
      <c r="F4" s="13" t="str">
        <f>IFERROR(E4/D4, "")</f>
        <v/>
      </c>
      <c r="G4" s="14">
        <v>15002.99</v>
      </c>
      <c r="H4" s="14">
        <f>IF(AND(ISNUMBER(C4),ISNUMBER(G4)), C4-G4, "")</f>
        <v>3075.1979999999985</v>
      </c>
      <c r="I4" s="15">
        <f>IFERROR(H4/G4, "")</f>
        <v>0.20497234217979207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20255.062999999998</v>
      </c>
      <c r="D2" s="5">
        <f>SUM(D4:D78)</f>
        <v>0</v>
      </c>
      <c r="E2" s="5">
        <f>C2-D2</f>
        <v>20255.062999999998</v>
      </c>
      <c r="F2" s="6">
        <f>IFERROR(E2/D2, 0)</f>
        <v>0</v>
      </c>
      <c r="G2" s="5">
        <f>SUM(G4:G78)</f>
        <v>14979</v>
      </c>
      <c r="H2" s="7">
        <f>C2-G2</f>
        <v>5276.0629999999983</v>
      </c>
      <c r="I2" s="6">
        <f>IFERROR(H2/G2, 0)</f>
        <v>0.35223065625208616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20255.062999999998</v>
      </c>
      <c r="D4" s="12">
        <v>0</v>
      </c>
      <c r="E4" s="12">
        <f>IF(AND(ISNUMBER(C4),ISNUMBER(D4)), C4-D4, "")</f>
        <v>20255.062999999998</v>
      </c>
      <c r="F4" s="13" t="str">
        <f>IFERROR(E4/D4, "")</f>
        <v/>
      </c>
      <c r="G4" s="14">
        <v>14979</v>
      </c>
      <c r="H4" s="14">
        <f>IF(AND(ISNUMBER(C4),ISNUMBER(G4)), C4-G4, "")</f>
        <v>5276.0629999999983</v>
      </c>
      <c r="I4" s="15">
        <f>IFERROR(H4/G4, "")</f>
        <v>0.35223065625208616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C4" activePane="bottomRight" state="frozen"/>
      <selection pane="bottomRight" activeCell="F15" sqref="F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18526.0625</v>
      </c>
      <c r="D2" s="5">
        <f>SUM(D4:D78)</f>
        <v>0</v>
      </c>
      <c r="E2" s="5">
        <f>C2-D2</f>
        <v>18526.0625</v>
      </c>
      <c r="F2" s="6">
        <f>IFERROR(E2/D2, 0)</f>
        <v>0</v>
      </c>
      <c r="G2" s="5">
        <f>SUM(G4:G78)</f>
        <v>15603</v>
      </c>
      <c r="H2" s="7">
        <f>C2-G2</f>
        <v>2923.0625</v>
      </c>
      <c r="I2" s="6">
        <f>IFERROR(H2/G2, 0)</f>
        <v>0.18733977440235852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18526.0625</v>
      </c>
      <c r="D4" s="12">
        <v>0</v>
      </c>
      <c r="E4" s="12">
        <f>IF(AND(ISNUMBER(C4),ISNUMBER(D4)), C4-D4, "")</f>
        <v>18526.0625</v>
      </c>
      <c r="F4" s="13" t="str">
        <f>IFERROR(E4/D4, "")</f>
        <v/>
      </c>
      <c r="G4" s="14">
        <v>15603</v>
      </c>
      <c r="H4" s="14">
        <f>IF(AND(ISNUMBER(C4),ISNUMBER(G4)), C4-G4, "")</f>
        <v>2923.0625</v>
      </c>
      <c r="I4" s="15">
        <f>IFERROR(H4/G4, "")</f>
        <v>0.18733977440235852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F12" sqref="F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17534.5</v>
      </c>
      <c r="D2" s="5">
        <f>SUM(D4:D78)</f>
        <v>0</v>
      </c>
      <c r="E2" s="5">
        <f>C2-D2</f>
        <v>17534.5</v>
      </c>
      <c r="F2" s="6">
        <f>IFERROR(E2/D2, 0)</f>
        <v>0</v>
      </c>
      <c r="G2" s="5">
        <f>SUM(G4:G78)</f>
        <v>14702</v>
      </c>
      <c r="H2" s="7">
        <f>C2-G2</f>
        <v>2832.5</v>
      </c>
      <c r="I2" s="6">
        <f>IFERROR(H2/G2, 0)</f>
        <v>0.19266086246769146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17534.5</v>
      </c>
      <c r="D4" s="12">
        <v>0</v>
      </c>
      <c r="E4" s="12">
        <f>IF(AND(ISNUMBER(C4),ISNUMBER(D4)), C4-D4, "")</f>
        <v>17534.5</v>
      </c>
      <c r="F4" s="13" t="str">
        <f>IFERROR(E4/D4, "")</f>
        <v/>
      </c>
      <c r="G4" s="14">
        <v>14702</v>
      </c>
      <c r="H4" s="14">
        <f>IF(AND(ISNUMBER(C4),ISNUMBER(G4)), C4-G4, "")</f>
        <v>2832.5</v>
      </c>
      <c r="I4" s="15">
        <f>IFERROR(H4/G4, "")</f>
        <v>0.19266086246769146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14025.125</v>
      </c>
      <c r="D2" s="5">
        <f>SUM(D4:D78)</f>
        <v>0</v>
      </c>
      <c r="E2" s="5">
        <f>C2-D2</f>
        <v>14025.125</v>
      </c>
      <c r="F2" s="6">
        <f>IFERROR(E2/D2, 0)</f>
        <v>0</v>
      </c>
      <c r="G2" s="5">
        <f>SUM(G4:G78)</f>
        <v>11975</v>
      </c>
      <c r="H2" s="7">
        <f>C2-G2</f>
        <v>2050.125</v>
      </c>
      <c r="I2" s="6">
        <f>IFERROR(H2/G2, 0)</f>
        <v>0.17120041753653445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14025.125</v>
      </c>
      <c r="D4" s="12">
        <v>0</v>
      </c>
      <c r="E4" s="12">
        <f>IF(AND(ISNUMBER(C4),ISNUMBER(D4)), C4-D4, "")</f>
        <v>14025.125</v>
      </c>
      <c r="F4" s="13" t="str">
        <f>IFERROR(E4/D4, "")</f>
        <v/>
      </c>
      <c r="G4" s="14">
        <v>11975</v>
      </c>
      <c r="H4" s="14">
        <f>IF(AND(ISNUMBER(C4),ISNUMBER(G4)), C4-G4, "")</f>
        <v>2050.125</v>
      </c>
      <c r="I4" s="15">
        <f>IFERROR(H4/G4, "")</f>
        <v>0.17120041753653445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5" t="s">
        <v>52</v>
      </c>
      <c r="B4" t="s">
        <v>53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9"/>
      <c r="L10" s="39"/>
    </row>
    <row r="11" spans="1:12" ht="12.75" customHeight="1">
      <c r="A11" s="45"/>
      <c r="C11" s="43"/>
      <c r="D11" s="42"/>
      <c r="K11" s="39"/>
      <c r="L11" s="39"/>
    </row>
    <row r="12" spans="1:12" ht="12.75" customHeight="1">
      <c r="A12" s="45"/>
      <c r="C12" s="43"/>
      <c r="D12" s="42"/>
      <c r="K12" s="39"/>
      <c r="L12" s="39"/>
    </row>
    <row r="13" spans="1:12" ht="12.75" customHeight="1">
      <c r="A13" s="45"/>
      <c r="C13" s="43"/>
      <c r="D13" s="42"/>
      <c r="K13" s="39"/>
      <c r="L13" s="39"/>
    </row>
    <row r="14" spans="1:12" ht="12.75" customHeight="1">
      <c r="A14" s="45"/>
      <c r="C14" s="43"/>
      <c r="D14" s="42"/>
      <c r="K14" s="39"/>
      <c r="L14" s="39"/>
    </row>
    <row r="15" spans="1:12" ht="12.75" customHeight="1">
      <c r="A15" s="45"/>
      <c r="C15" s="43"/>
      <c r="D15" s="42"/>
      <c r="K15" s="39"/>
      <c r="L15" s="39"/>
    </row>
    <row r="16" spans="1:12" ht="12.75" customHeight="1">
      <c r="A16" s="45"/>
      <c r="C16" s="43"/>
      <c r="D16" s="42"/>
      <c r="K16" s="39"/>
      <c r="L16" s="39"/>
    </row>
    <row r="17" spans="1:12" ht="12.75" customHeight="1">
      <c r="A17" s="45"/>
      <c r="C17" s="43"/>
      <c r="D17" s="42"/>
      <c r="K17" s="39"/>
      <c r="L17" s="39"/>
    </row>
    <row r="18" spans="1:12" ht="12.75" customHeight="1">
      <c r="A18" s="45"/>
      <c r="C18" s="43"/>
      <c r="D18" s="42"/>
      <c r="K18" s="39"/>
      <c r="L18" s="39"/>
    </row>
    <row r="19" spans="1:12" ht="12.75" customHeight="1">
      <c r="A19" s="45"/>
      <c r="C19" s="43"/>
      <c r="D19" s="42"/>
      <c r="K19" s="39"/>
      <c r="L19" s="39"/>
    </row>
    <row r="20" spans="1:12" ht="12.75" customHeight="1">
      <c r="A20" s="45"/>
      <c r="C20" s="43"/>
      <c r="D20" s="42"/>
      <c r="K20" s="39"/>
      <c r="L20" s="39"/>
    </row>
    <row r="21" spans="1:12" ht="12.75" customHeight="1">
      <c r="A21" s="45"/>
      <c r="C21" s="43"/>
      <c r="D21" s="42"/>
      <c r="K21" s="39"/>
      <c r="L21" s="39"/>
    </row>
    <row r="22" spans="1:12" ht="12.75" customHeight="1">
      <c r="A22" s="45"/>
      <c r="C22" s="43"/>
      <c r="D22" s="42"/>
      <c r="K22" s="39"/>
      <c r="L22" s="39"/>
    </row>
    <row r="23" spans="1:12" ht="12.75" customHeight="1">
      <c r="A23" s="45"/>
      <c r="C23" s="43"/>
      <c r="D23" s="42"/>
      <c r="K23" s="39"/>
      <c r="L23" s="39"/>
    </row>
    <row r="24" spans="1:12" ht="12.75" customHeight="1">
      <c r="A24" s="45"/>
      <c r="C24" s="43"/>
      <c r="D24" s="42"/>
      <c r="K24" s="39"/>
      <c r="L24" s="39"/>
    </row>
    <row r="25" spans="1:12" ht="12.75" customHeight="1">
      <c r="A25" s="45"/>
      <c r="C25" s="43"/>
      <c r="D25" s="42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[Libsys]</cp:lastModifiedBy>
  <cp:revision/>
  <dcterms:created xsi:type="dcterms:W3CDTF">2021-01-01T16:39:53Z</dcterms:created>
  <dcterms:modified xsi:type="dcterms:W3CDTF">2024-10-16T04:33:04Z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2024-08-23T16:42:57Z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dc22e5cf-c814-4878-b801-787b82aea9d3</vt:lpwstr>
  </property>
  <property fmtid="{D5CDD505-2E9C-101B-9397-08002B2CF9AE}" pid="9" name="MSIP_Label_9d817c99-0b37-4a07-8277-96aa1f96b74b_ContentBits">
    <vt:lpwstr>0</vt:lpwstr>
  </property>
</Properties>
</file>