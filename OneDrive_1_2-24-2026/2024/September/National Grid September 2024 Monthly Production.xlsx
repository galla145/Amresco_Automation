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" documentId="13_ncr:1_{C80C4EA1-69E2-43BF-9325-D4959801194E}" xr6:coauthVersionLast="47" xr6:coauthVersionMax="47" xr10:uidLastSave="{DB564863-A03A-4714-9AEC-7E367577CB84}"/>
  <bookViews>
    <workbookView xWindow="28680" yWindow="-120" windowWidth="29040" windowHeight="15720" tabRatio="866" firstSheet="5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<sst xmlns="http://schemas.openxmlformats.org/spreadsheetml/2006/main" count="240" uniqueCount="54">
  <si>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</si>
  <si>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</si>
  <si>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</si>
  <si>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</si>
  <si>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</si>
  <si>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</si>
  <si>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</si>
  <si>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</si>
  <si>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</si>
  <si>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</si>
  <si>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</si>
  <si>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</si>
  <si>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</si>
  <si>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</si>
  <si>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</si>
  <si>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</si>
  <si>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</si>
  <si>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</si>
  <si>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</si>
  <si>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</si>
  <si>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</si>
  <si>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</si>
  <si>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</si>
  <si>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</si>
  <si>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</si>
  <si>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</si>
  <si>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</si>
  <si>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</si>
  <si>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</si>
  <si>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</si>
  <si>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</si>
  <si>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</si>
  <si>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</si>
  <si>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</si>
  <si>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</si>
  <si>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</si>
  <si>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</si>
  <si>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</si>
  <si>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</si>
  <si>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</si>
  <si>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</si>
  <si>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</si>
  <si>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</si>
  <si>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</si>
  <si>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</si>
  <si>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National Grid</t>
  </si>
  <si>
    <t>Site DAS Name</t>
  </si>
  <si>
    <t>Update</t>
  </si>
  <si>
    <t>DAS</t>
  </si>
  <si>
    <t>PIII - Electric St, Athol</t>
  </si>
  <si>
    <t>NGRID - PIII - Electric St, Athol</t>
  </si>
  <si>
    <t>MA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</si>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</sst>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0</v>
      </c>
      <c r="E1" s="50"/>
      <c r="F1" s="50"/>
      <c r="G1" s="48" t="s">
        <v>1</v>
      </c>
      <c r="H1" s="48"/>
      <c r="I1" s="48"/>
    </row>
    <row r="2" spans="1:9" ht="19.5" customHeight="1">
      <c r="A2" s="51" t="s">
        <v>2</v>
      </c>
      <c r="B2" s="51"/>
      <c r="C2" s="5">
        <f>SUM(C4:C77)</f>
        <v>189039.67499999999</v>
      </c>
      <c r="D2" s="5">
        <f>SUM(D4:D77)</f>
        <v>197753.53200000001</v>
      </c>
      <c r="E2" s="5">
        <f>C2-D2</f>
        <v>-8713.8570000000182</v>
      </c>
      <c r="F2" s="6">
        <f>IFERROR(E2/D2, 0)</f>
        <v>-4.4064229406532256E-2</v>
      </c>
      <c r="G2" s="5">
        <f>SUM(G4:G77)</f>
        <v>145635.33000000002</v>
      </c>
      <c r="H2" s="7">
        <f>C2-G2</f>
        <v>43404.344999999972</v>
      </c>
      <c r="I2" s="6">
        <f>IFERROR(H2/G2, 0)</f>
        <v>0.29803444672388196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NGRID - PIII - Electric St, Athol</v>
      </c>
      <c r="B4" s="9" t="str" cm="1">
        <f t="array" ref="B4">Sites[State]</f>
        <v>MA</v>
      </c>
      <c r="C4" s="23">
        <f>SUM('1st Qtr'!C4, '2nd Qtr'!C4, '3rd Qtr'!C4, '4th Qtr'!C4)</f>
        <v>189039.67499999999</v>
      </c>
      <c r="D4" s="12">
        <f>SUM('1st Qtr'!D4, '2nd Qtr'!D4, '3rd Qtr'!D4, '4th Qtr'!D4)</f>
        <v>197753.53200000001</v>
      </c>
      <c r="E4" s="12">
        <f>IF(AND(ISNUMBER(C4),ISNUMBER(D4)), C4-D4, "")</f>
        <v>-8713.8570000000182</v>
      </c>
      <c r="F4" s="13">
        <f>IFERROR(E4/D4, "")</f>
        <v>-4.4064229406532256E-2</v>
      </c>
      <c r="G4" s="14">
        <f>SUM('1st Qtr'!G4, '2nd Qtr'!G4, '3rd Qtr'!G4, '4th Qtr'!G4)</f>
        <v>145635.33000000002</v>
      </c>
      <c r="H4" s="14">
        <f>SUM('1st Qtr'!H4, '2nd Qtr'!H4, '3rd Qtr'!H4, '4th Qtr'!H4)</f>
        <v>43404.345000000001</v>
      </c>
      <c r="I4" s="15">
        <f>IFERROR(H4/G4, "")</f>
        <v>0.29803444672388213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10</v>
      </c>
      <c r="E1" s="50"/>
      <c r="F1" s="50"/>
      <c r="G1" s="48" t="s">
        <v>11</v>
      </c>
      <c r="H1" s="48"/>
      <c r="I1" s="48"/>
    </row>
    <row r="2" spans="1:9" ht="19.5" customHeight="1">
      <c r="A2" s="51" t="s">
        <v>2</v>
      </c>
      <c r="B2" s="51"/>
      <c r="C2" s="5">
        <f>SUM(C4:C77)</f>
        <v>39722.5</v>
      </c>
      <c r="D2" s="5">
        <f>SUM(D4:D77)</f>
        <v>45212.182000000001</v>
      </c>
      <c r="E2" s="5">
        <f>C2-D2</f>
        <v>-5489.6820000000007</v>
      </c>
      <c r="F2" s="6">
        <f>IFERROR(E2/D2, 0)</f>
        <v>-0.12142041717871525</v>
      </c>
      <c r="G2" s="5">
        <f>SUM(G4:G77)</f>
        <v>40713.72</v>
      </c>
      <c r="H2" s="7">
        <f>C2-G2</f>
        <v>-991.22000000000116</v>
      </c>
      <c r="I2" s="6">
        <f>IFERROR(H2/G2, 0)</f>
        <v>-2.4346092668515704E-2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NGRID - PIII - Electric St, Athol</v>
      </c>
      <c r="B4" s="9" t="str" cm="1">
        <f t="array" ref="B4">Sites[State]</f>
        <v>MA</v>
      </c>
      <c r="C4" s="23">
        <f>SUM(Jan!C4, Feb!C4, Mar!C4)</f>
        <v>39722.5</v>
      </c>
      <c r="D4" s="12">
        <f>SUM(Jan!D4, Feb!D4, Mar!D4)</f>
        <v>45212.182000000001</v>
      </c>
      <c r="E4" s="12">
        <f>IF(AND(ISNUMBER(C4),ISNUMBER(D4)), C4-D4, "")</f>
        <v>-5489.6820000000007</v>
      </c>
      <c r="F4" s="13">
        <f>IFERROR(E4/D4, "")</f>
        <v>-0.12142041717871525</v>
      </c>
      <c r="G4" s="14">
        <f>SUM(Jan!G4, Feb!G4, Mar!G4)</f>
        <v>40713.72</v>
      </c>
      <c r="H4" s="14">
        <f>SUM(Jan!H4, Feb!H4, Mar!H4)</f>
        <v>-991.22000000000116</v>
      </c>
      <c r="I4" s="15">
        <f>IFERROR(H4/G4, "")</f>
        <v>-2.4346092668515704E-2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E12" sqref="E12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12</v>
      </c>
      <c r="E1" s="50"/>
      <c r="F1" s="50"/>
      <c r="G1" s="48" t="s">
        <v>13</v>
      </c>
      <c r="H1" s="48"/>
      <c r="I1" s="48"/>
    </row>
    <row r="2" spans="1:9" ht="19.5" customHeight="1">
      <c r="A2" s="51" t="s">
        <v>2</v>
      </c>
      <c r="B2" s="51"/>
      <c r="C2" s="5">
        <f>SUM(C4:C77)</f>
        <v>77335.175000000003</v>
      </c>
      <c r="D2" s="5">
        <f>SUM(D4:D77)</f>
        <v>77332</v>
      </c>
      <c r="E2" s="5">
        <f>C2-D2</f>
        <v>3.1750000000029104</v>
      </c>
      <c r="F2" s="6">
        <f>IFERROR(E2/D2, 0)</f>
        <v>4.1056742357664491E-5</v>
      </c>
      <c r="G2" s="5">
        <f>SUM(G4:G77)</f>
        <v>52493.070000000007</v>
      </c>
      <c r="H2" s="7">
        <f>C2-G2</f>
        <v>24842.104999999996</v>
      </c>
      <c r="I2" s="6">
        <f>IFERROR(H2/G2, 0)</f>
        <v>0.47324542077649473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NGRID - PIII - Electric St, Athol</v>
      </c>
      <c r="B4" s="9" t="str" cm="1">
        <f t="array" ref="B4">Sites[State]</f>
        <v>MA</v>
      </c>
      <c r="C4" s="23">
        <f>SUM(Apr!C4, May!C4, Jun!C4)</f>
        <v>77335.175000000003</v>
      </c>
      <c r="D4" s="12">
        <f>SUM(Apr!D4, May!D4, Jun!D4)</f>
        <v>77332</v>
      </c>
      <c r="E4" s="12">
        <f>IF(AND(ISNUMBER(C4),ISNUMBER(D4)), C4-D4, "")</f>
        <v>3.1750000000029104</v>
      </c>
      <c r="F4" s="13">
        <f>IFERROR(E4/D4, "")</f>
        <v>4.1056742357664491E-5</v>
      </c>
      <c r="G4" s="14">
        <f>SUM(Apr!G4,May!G4,Jun!G4)</f>
        <v>52493.070000000007</v>
      </c>
      <c r="H4" s="14">
        <f>SUM(Apr!H4, May!H4, Jun!H4)</f>
        <v>24842.105</v>
      </c>
      <c r="I4" s="15">
        <f>IFERROR(H4/G4, "")</f>
        <v>0.47324542077649479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tabSelected="1" workbookViewId="0">
      <pane xSplit="2" ySplit="3" topLeftCell="C4" activePane="bottomRight" state="frozen"/>
      <selection pane="bottomRight" activeCell="G4" sqref="G4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14</v>
      </c>
      <c r="E1" s="50"/>
      <c r="F1" s="50"/>
      <c r="G1" s="48" t="s">
        <v>15</v>
      </c>
      <c r="H1" s="48"/>
      <c r="I1" s="48"/>
    </row>
    <row r="2" spans="1:9" ht="19.5" customHeight="1">
      <c r="A2" s="51" t="s">
        <v>2</v>
      </c>
      <c r="B2" s="51"/>
      <c r="C2" s="5">
        <f>SUM(C4:C77)</f>
        <v>71982</v>
      </c>
      <c r="D2" s="5">
        <f>SUM(D4:D77)</f>
        <v>75209.350000000006</v>
      </c>
      <c r="E2" s="5">
        <f>C2-D2</f>
        <v>-3227.3500000000058</v>
      </c>
      <c r="F2" s="6">
        <f>IFERROR(E2/D2, 0)</f>
        <v>-4.2911552885379352E-2</v>
      </c>
      <c r="G2" s="5">
        <f>SUM(G4:G77)</f>
        <v>52428.540000000008</v>
      </c>
      <c r="H2" s="7">
        <f>C2-G2</f>
        <v>19553.459999999992</v>
      </c>
      <c r="I2" s="6">
        <f>IFERROR(H2/G2, 0)</f>
        <v>0.37295450149861104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NGRID - PIII - Electric St, Athol</v>
      </c>
      <c r="B4" s="9" t="str" cm="1">
        <f t="array" ref="B4">Sites[State]</f>
        <v>MA</v>
      </c>
      <c r="C4" s="23">
        <f>SUM(Jul!C4, Aug!C4, Sep!C4)</f>
        <v>71982</v>
      </c>
      <c r="D4" s="12">
        <f>SUM(Jul!D4, Aug!D4, Sep!D4)</f>
        <v>75209.350000000006</v>
      </c>
      <c r="E4" s="12">
        <f>IF(AND(ISNUMBER(C4),ISNUMBER(D4)), C4-D4, "")</f>
        <v>-3227.3500000000058</v>
      </c>
      <c r="F4" s="13">
        <f>IFERROR(E4/D4, "")</f>
        <v>-4.2911552885379352E-2</v>
      </c>
      <c r="G4" s="14">
        <f>SUM(Jul!G4,Aug!G4,Sep!G4)</f>
        <v>52428.540000000008</v>
      </c>
      <c r="H4" s="14">
        <f>SUM(Jul!H4, Aug!H4, Sep!H4)</f>
        <v>19553.46</v>
      </c>
      <c r="I4" s="15">
        <f>IFERROR(H4/G4, "")</f>
        <v>0.3729545014986112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16</v>
      </c>
      <c r="E1" s="50"/>
      <c r="F1" s="50"/>
      <c r="G1" s="48" t="s">
        <v>17</v>
      </c>
      <c r="H1" s="48"/>
      <c r="I1" s="48"/>
    </row>
    <row r="2" spans="1:9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NGRID - PIII - Electric St, Athol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4.45">
      <c r="A5" s="20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G14" activePane="bottomRight" state="frozen"/>
      <selection pane="bottomRight" activeCell="G14" sqref="G14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18</v>
      </c>
      <c r="E1" s="50"/>
      <c r="F1" s="50"/>
      <c r="G1" s="48" t="s">
        <v>19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SUM(C4:C76)</f>
        <v>3705</v>
      </c>
      <c r="D2" s="5">
        <f>SUM(D4:D76)</f>
        <v>7565.6319999999996</v>
      </c>
      <c r="E2" s="5">
        <f>C2-D2</f>
        <v>-3860.6319999999996</v>
      </c>
      <c r="F2" s="6">
        <f>IFERROR(E2/D2, 0)</f>
        <v>-0.5102854592980467</v>
      </c>
      <c r="G2" s="5">
        <f>SUM(G4:G76)</f>
        <v>11180.68</v>
      </c>
      <c r="H2" s="7">
        <f>C2-G2</f>
        <v>-7475.68</v>
      </c>
      <c r="I2" s="6">
        <f>IFERROR(H2/G2, 0)</f>
        <v>-0.66862480636240373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NGRID - PIII - Electric St, Athol</v>
      </c>
      <c r="B4" s="27" t="str" cm="1">
        <f t="array" ref="B4">Sites[State]</f>
        <v>MA</v>
      </c>
      <c r="C4" s="12">
        <v>3705</v>
      </c>
      <c r="D4" s="12">
        <v>7565.6319999999996</v>
      </c>
      <c r="E4" s="12">
        <f>IF(AND(ISNUMBER(C4),ISNUMBER(D4)), C4-D4, "")</f>
        <v>-3860.6319999999996</v>
      </c>
      <c r="F4" s="39">
        <f>IFERROR(E4/D4, "")</f>
        <v>-0.5102854592980467</v>
      </c>
      <c r="G4" s="14">
        <v>11180.68</v>
      </c>
      <c r="H4" s="14">
        <f>IF(AND(ISNUMBER(C4),ISNUMBER(G4)), C4-G4, "")</f>
        <v>-7475.68</v>
      </c>
      <c r="I4" s="15">
        <f>IFERROR(H4/G4, "")</f>
        <v>-0.66862480636240373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5:F76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G11" activePane="bottomRight" state="frozen"/>
      <selection pane="bottomRight" activeCell="G11" sqref="G11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22</v>
      </c>
      <c r="E1" s="50"/>
      <c r="F1" s="50"/>
      <c r="G1" s="48" t="s">
        <v>23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16526.5</v>
      </c>
      <c r="D2" s="5">
        <f>SUM(D4:D77)</f>
        <v>17455.55</v>
      </c>
      <c r="E2" s="5">
        <f>C2-D2</f>
        <v>-929.04999999999927</v>
      </c>
      <c r="F2" s="6">
        <f>IFERROR(E2/D2, 0)</f>
        <v>-5.3223759778408548E-2</v>
      </c>
      <c r="G2" s="5">
        <f>SUM(G4:G77)</f>
        <v>13196.04</v>
      </c>
      <c r="H2" s="7">
        <f>C2-G2</f>
        <v>3330.4599999999991</v>
      </c>
      <c r="I2" s="6">
        <f>IFERROR(H2/G2, 0)</f>
        <v>0.25238329074479909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NGRID - PIII - Electric St, Athol</v>
      </c>
      <c r="B4" s="27" t="str" cm="1">
        <f t="array" ref="B4">Sites[State]</f>
        <v>MA</v>
      </c>
      <c r="C4" s="23">
        <v>16526.5</v>
      </c>
      <c r="D4" s="12">
        <v>17455.55</v>
      </c>
      <c r="E4" s="12">
        <f>IF(AND(ISNUMBER(C4),ISNUMBER(D4)), C4-D4, "")</f>
        <v>-929.04999999999927</v>
      </c>
      <c r="F4" s="13">
        <f>IFERROR(E4/D4, "")</f>
        <v>-5.3223759778408548E-2</v>
      </c>
      <c r="G4" s="14">
        <v>13196.04</v>
      </c>
      <c r="H4" s="14">
        <f>IF(AND(ISNUMBER(C4),ISNUMBER(G4)), C4-G4, "")</f>
        <v>3330.4599999999991</v>
      </c>
      <c r="I4" s="15">
        <f>IFERROR(H4/G4, "")</f>
        <v>0.25238329074479909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E10" activePane="bottomRight" state="frozen"/>
      <selection pane="bottomRight" activeCell="E10" sqref="E10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24</v>
      </c>
      <c r="E1" s="50"/>
      <c r="F1" s="50"/>
      <c r="G1" s="48" t="s">
        <v>25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19491</v>
      </c>
      <c r="D2" s="5">
        <f>SUM(D4:D77)</f>
        <v>20191</v>
      </c>
      <c r="E2" s="5">
        <f>C2-D2</f>
        <v>-700</v>
      </c>
      <c r="F2" s="6">
        <f>IFERROR(E2/D2, 0)</f>
        <v>-3.4668911891436782E-2</v>
      </c>
      <c r="G2" s="5">
        <f>SUM(G4:G77)</f>
        <v>16337</v>
      </c>
      <c r="H2" s="7">
        <f>C2-G2</f>
        <v>3154</v>
      </c>
      <c r="I2" s="6">
        <f>IFERROR(H2/G2, 0)</f>
        <v>0.19305870110791454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19491</v>
      </c>
      <c r="D4" s="12">
        <v>20191</v>
      </c>
      <c r="E4" s="12">
        <f>IF(AND(ISNUMBER(C4),ISNUMBER(D4)), C4-D4, "")</f>
        <v>-700</v>
      </c>
      <c r="F4" s="13">
        <f>IFERROR(E4/D4, "")</f>
        <v>-3.4668911891436782E-2</v>
      </c>
      <c r="G4" s="14">
        <v>16337</v>
      </c>
      <c r="H4" s="14">
        <f>IF(AND(ISNUMBER(C4),ISNUMBER(G4)), C4-G4, "")</f>
        <v>3154</v>
      </c>
      <c r="I4" s="15">
        <f>IFERROR(H4/G4, "")</f>
        <v>0.19305870110791454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D4" activePane="bottomRight" state="frozen"/>
      <selection pane="bottomRight" activeCell="G5" sqref="G5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26</v>
      </c>
      <c r="E1" s="50"/>
      <c r="F1" s="50"/>
      <c r="G1" s="48" t="s">
        <v>27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21790</v>
      </c>
      <c r="D2" s="5">
        <f>SUM(D4:D77)</f>
        <v>22066.9</v>
      </c>
      <c r="E2" s="5">
        <f>C2-D2</f>
        <v>-276.90000000000146</v>
      </c>
      <c r="F2" s="6">
        <f>IFERROR(E2/D2, 0)</f>
        <v>-1.2548205683625767E-2</v>
      </c>
      <c r="G2" s="5">
        <f>SUM(G4:G77)</f>
        <v>16572</v>
      </c>
      <c r="H2" s="7">
        <f>C2-G2</f>
        <v>5218</v>
      </c>
      <c r="I2" s="6">
        <f>IFERROR(H2/G2, 0)</f>
        <v>0.31486845281197201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21790</v>
      </c>
      <c r="D4" s="12">
        <v>22066.9</v>
      </c>
      <c r="E4" s="12">
        <f>IF(AND(ISNUMBER(C4),ISNUMBER(D4)), C4-D4, "")</f>
        <v>-276.90000000000146</v>
      </c>
      <c r="F4" s="13">
        <f>IFERROR(E4/D4, "")</f>
        <v>-1.2548205683625767E-2</v>
      </c>
      <c r="G4" s="14">
        <v>16572</v>
      </c>
      <c r="H4" s="14">
        <f>IF(AND(ISNUMBER(C4),ISNUMBER(G4)), C4-G4, "")</f>
        <v>5218</v>
      </c>
      <c r="I4" s="15">
        <f>IFERROR(H4/G4, "")</f>
        <v>0.31486845281197201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G4" activePane="bottomRight" state="frozen"/>
      <selection pane="bottomRight" activeCell="G5" sqref="G5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28</v>
      </c>
      <c r="E1" s="50"/>
      <c r="F1" s="50"/>
      <c r="G1" s="48" t="s">
        <v>29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27300.375</v>
      </c>
      <c r="D2" s="5">
        <f>SUM(D4:D77)</f>
        <v>27014.799999999999</v>
      </c>
      <c r="E2" s="5">
        <f>C2-D2</f>
        <v>285.57500000000073</v>
      </c>
      <c r="F2" s="6">
        <f>IFERROR(E2/D2, 0)</f>
        <v>1.0571057346343513E-2</v>
      </c>
      <c r="G2" s="5">
        <f>SUM(G4:G77)</f>
        <v>18108.77</v>
      </c>
      <c r="H2" s="7">
        <f>C2-G2</f>
        <v>9191.6049999999996</v>
      </c>
      <c r="I2" s="6">
        <f>IFERROR(H2/G2, 0)</f>
        <v>0.50757754391932741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27300.375</v>
      </c>
      <c r="D4" s="12">
        <v>27014.799999999999</v>
      </c>
      <c r="E4" s="12">
        <f>IF(AND(ISNUMBER(C4),ISNUMBER(D4)), C4-D4, "")</f>
        <v>285.57500000000073</v>
      </c>
      <c r="F4" s="13">
        <f>IFERROR(E4/D4, "")</f>
        <v>1.0571057346343513E-2</v>
      </c>
      <c r="G4" s="14">
        <v>18108.77</v>
      </c>
      <c r="H4" s="14">
        <f>IF(AND(ISNUMBER(C4),ISNUMBER(G4)), C4-G4, "")</f>
        <v>9191.6049999999996</v>
      </c>
      <c r="I4" s="15">
        <f>IFERROR(H4/G4, "")</f>
        <v>0.50757754391932741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D6" activePane="bottomRight" state="frozen"/>
      <selection pane="bottomRight" activeCell="D6" sqref="D6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30</v>
      </c>
      <c r="E1" s="50"/>
      <c r="F1" s="50"/>
      <c r="G1" s="48" t="s">
        <v>31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28244.799999999999</v>
      </c>
      <c r="D2" s="5">
        <f>SUM(D4:D77)</f>
        <v>28250.3</v>
      </c>
      <c r="E2" s="5">
        <f>C2-D2</f>
        <v>-5.5</v>
      </c>
      <c r="F2" s="6">
        <f>IFERROR(E2/D2, 0)</f>
        <v>-1.9468819800143715E-4</v>
      </c>
      <c r="G2" s="5">
        <f>SUM(G4:G77)</f>
        <v>17812.3</v>
      </c>
      <c r="H2" s="7">
        <f>C2-G2</f>
        <v>10432.5</v>
      </c>
      <c r="I2" s="6">
        <f>IFERROR(H2/G2, 0)</f>
        <v>0.58569078670357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28244.799999999999</v>
      </c>
      <c r="D4" s="12">
        <v>28250.3</v>
      </c>
      <c r="E4" s="12">
        <f>IF(AND(ISNUMBER(C4),ISNUMBER(D4)), C4-D4, "")</f>
        <v>-5.5</v>
      </c>
      <c r="F4" s="13">
        <f>IFERROR(E4/D4, "")</f>
        <v>-1.9468819800143715E-4</v>
      </c>
      <c r="G4" s="14">
        <v>17812.3</v>
      </c>
      <c r="H4" s="14">
        <f>IF(AND(ISNUMBER(C4),ISNUMBER(G4)), C4-G4, "")</f>
        <v>10432.5</v>
      </c>
      <c r="I4" s="15">
        <f>IFERROR(H4/G4, "")</f>
        <v>0.58569078670357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F9" sqref="F9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32</v>
      </c>
      <c r="E1" s="50"/>
      <c r="F1" s="50"/>
      <c r="G1" s="48" t="s">
        <v>33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28628.125</v>
      </c>
      <c r="D2" s="5">
        <f>SUM(D4:D77)</f>
        <v>29157.34</v>
      </c>
      <c r="E2" s="5">
        <f>C2-D2</f>
        <v>-529.21500000000015</v>
      </c>
      <c r="F2" s="6">
        <f>IFERROR(E2/D2, 0)</f>
        <v>-1.815031823890657E-2</v>
      </c>
      <c r="G2" s="5">
        <f>SUM(G4:G77)</f>
        <v>19033.810000000001</v>
      </c>
      <c r="H2" s="7">
        <f>C2-G2</f>
        <v>9594.3149999999987</v>
      </c>
      <c r="I2" s="6">
        <f>IFERROR(H2/G2, 0)</f>
        <v>0.5040669734540798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28628.125</v>
      </c>
      <c r="D4" s="12">
        <v>29157.34</v>
      </c>
      <c r="E4" s="12">
        <f>IF(AND(ISNUMBER(C4),ISNUMBER(D4)), C4-D4, "")</f>
        <v>-529.21500000000015</v>
      </c>
      <c r="F4" s="13">
        <f>IFERROR(E4/D4, "")</f>
        <v>-1.815031823890657E-2</v>
      </c>
      <c r="G4" s="14">
        <v>19033.810000000001</v>
      </c>
      <c r="H4" s="14">
        <f>IF(AND(ISNUMBER(C4),ISNUMBER(G4)), C4-G4, "")</f>
        <v>9594.3149999999987</v>
      </c>
      <c r="I4" s="15">
        <f>IFERROR(H4/G4, "")</f>
        <v>0.5040669734540798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G4" activePane="bottomRight" state="frozen"/>
      <selection pane="bottomRight" activeCell="G4" sqref="G4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34</v>
      </c>
      <c r="E1" s="50"/>
      <c r="F1" s="50"/>
      <c r="G1" s="48" t="s">
        <v>35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22650.125</v>
      </c>
      <c r="D2" s="5">
        <f>SUM(D4:D77)</f>
        <v>23832.06</v>
      </c>
      <c r="E2" s="5">
        <f>C2-D2</f>
        <v>-1181.9350000000013</v>
      </c>
      <c r="F2" s="6">
        <f>IFERROR(E2/D2, 0)</f>
        <v>-4.9594327976683561E-2</v>
      </c>
      <c r="G2" s="5">
        <f>SUM(G4:G77)</f>
        <v>17748.07</v>
      </c>
      <c r="H2" s="7">
        <f>C2-G2</f>
        <v>4902.0550000000003</v>
      </c>
      <c r="I2" s="6">
        <f>IFERROR(H2/G2, 0)</f>
        <v>0.27620214479658917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22650.125</v>
      </c>
      <c r="D4" s="12">
        <v>23832.06</v>
      </c>
      <c r="E4" s="12">
        <f>IF(AND(ISNUMBER(C4),ISNUMBER(D4)), C4-D4, "")</f>
        <v>-1181.9350000000013</v>
      </c>
      <c r="F4" s="13">
        <f>IFERROR(E4/D4, "")</f>
        <v>-4.9594327976683561E-2</v>
      </c>
      <c r="G4" s="14">
        <v>17748.07</v>
      </c>
      <c r="H4" s="14">
        <f>IF(AND(ISNUMBER(C4),ISNUMBER(G4)), C4-G4, "")</f>
        <v>4902.0550000000003</v>
      </c>
      <c r="I4" s="15">
        <f>IFERROR(H4/G4, "")</f>
        <v>0.27620214479658917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E4" activePane="bottomRight" state="frozen"/>
      <selection pane="bottomRight" activeCell="E23" sqref="E23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36</v>
      </c>
      <c r="E1" s="50"/>
      <c r="F1" s="50"/>
      <c r="G1" s="48" t="s">
        <v>37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20703.75</v>
      </c>
      <c r="D2" s="5">
        <f>SUM(D4:D77)</f>
        <v>22219.95</v>
      </c>
      <c r="E2" s="5">
        <f>C2-D2</f>
        <v>-1516.2000000000007</v>
      </c>
      <c r="F2" s="6">
        <f>IFERROR(E2/D2, 0)</f>
        <v>-6.8235977128661432E-2</v>
      </c>
      <c r="G2" s="5">
        <f>SUM(G4:G77)</f>
        <v>15646.66</v>
      </c>
      <c r="H2" s="7">
        <f>C2-G2</f>
        <v>5057.09</v>
      </c>
      <c r="I2" s="6">
        <f>IFERROR(H2/G2, 0)</f>
        <v>0.32320571930367248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20703.75</v>
      </c>
      <c r="D4" s="12">
        <v>22219.95</v>
      </c>
      <c r="E4" s="12">
        <f>IF(AND(ISNUMBER(C4),ISNUMBER(D4)), C4-D4, "")</f>
        <v>-1516.2000000000007</v>
      </c>
      <c r="F4" s="13">
        <f>IFERROR(E4/D4, "")</f>
        <v>-6.8235977128661432E-2</v>
      </c>
      <c r="G4" s="14">
        <v>15646.66</v>
      </c>
      <c r="H4" s="14">
        <f>IF(AND(ISNUMBER(C4),ISNUMBER(G4)), C4-G4, "")</f>
        <v>5057.09</v>
      </c>
      <c r="I4" s="15">
        <f>IFERROR(H4/G4, "")</f>
        <v>0.32320571930367248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38</v>
      </c>
      <c r="E1" s="50"/>
      <c r="F1" s="50"/>
      <c r="G1" s="48" t="s">
        <v>39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40</v>
      </c>
      <c r="E1" s="50"/>
      <c r="F1" s="50"/>
      <c r="G1" s="48" t="s">
        <v>41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42</v>
      </c>
      <c r="E1" s="50"/>
      <c r="F1" s="50"/>
      <c r="G1" s="48" t="s">
        <v>43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44" t="s">
        <v>49</v>
      </c>
      <c r="B4" t="s">
        <v>50</v>
      </c>
      <c r="C4" s="42" t="s">
        <v>51</v>
      </c>
      <c r="D4" s="46" t="s">
        <v>52</v>
      </c>
      <c r="E4" s="47" t="s">
        <v>53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C0BCDC1E-6052-4E48-9BAF-94A40814E7C2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2024-10-15T11:58:27Z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