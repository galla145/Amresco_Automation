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24" documentId="13_ncr:1_{4AF4A514-D6D0-436B-BB50-D32BCE1F0EDF}" xr6:coauthVersionLast="47" xr6:coauthVersionMax="47" xr10:uidLastSave="{D6BF4911-7607-47AE-A9C2-19B017928927}"/>
  <bookViews>
    <workbookView xWindow="-108" yWindow="-108" windowWidth="23256" windowHeight="12456" tabRatio="866" firstSheet="11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6" i="29"/>
  <c r="G7" i="29"/>
  <c r="G8" i="29"/>
  <c r="G9" i="29"/>
  <c r="G10" i="29"/>
  <c r="G11" i="29"/>
  <c r="G12" i="29"/>
  <c r="G4" i="29"/>
  <c r="I10" i="72"/>
  <c r="I11" i="72"/>
  <c r="F9" i="72"/>
  <c r="F10" i="72"/>
  <c r="F11" i="72"/>
  <c r="B4" i="33" a="1"/>
  <c r="B4" i="33" s="1"/>
  <c r="B4" i="32" a="1"/>
  <c r="B4" i="32" s="1"/>
  <c r="B4" i="31" a="1"/>
  <c r="B4" i="31" s="1"/>
  <c r="B4" i="19" a="1"/>
  <c r="B4" i="19" s="1"/>
  <c r="B4" i="20" a="1"/>
  <c r="B4" i="20" s="1"/>
  <c r="B4" i="21" a="1"/>
  <c r="B4" i="21" s="1"/>
  <c r="B4" i="4" a="1"/>
  <c r="B4" i="4" s="1"/>
  <c r="B4" i="3" a="1"/>
  <c r="B4" i="3" s="1"/>
  <c r="B4" i="27" a="1"/>
  <c r="B4" i="27" s="1"/>
  <c r="B4" i="26" a="1"/>
  <c r="B4" i="26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G6" i="1"/>
  <c r="G7" i="1"/>
  <c r="G7" i="34" s="1"/>
  <c r="G8" i="1"/>
  <c r="G8" i="34" s="1"/>
  <c r="G9" i="1"/>
  <c r="G9" i="34" s="1"/>
  <c r="G10" i="1"/>
  <c r="G10" i="34" s="1"/>
  <c r="G11" i="1"/>
  <c r="G12" i="1"/>
  <c r="G5" i="1"/>
  <c r="G4" i="1"/>
  <c r="D12" i="34"/>
  <c r="D11" i="34"/>
  <c r="D10" i="34"/>
  <c r="D9" i="34"/>
  <c r="D8" i="34"/>
  <c r="D7" i="34"/>
  <c r="D6" i="34"/>
  <c r="D5" i="34"/>
  <c r="C12" i="34"/>
  <c r="C11" i="34"/>
  <c r="C10" i="34"/>
  <c r="C9" i="34"/>
  <c r="C8" i="34"/>
  <c r="C7" i="34"/>
  <c r="C6" i="34"/>
  <c r="C5" i="34"/>
  <c r="B4" i="34" a="1"/>
  <c r="B4" i="34" s="1"/>
  <c r="A1" i="34" a="1"/>
  <c r="A1" i="34" s="1"/>
  <c r="D12" i="30"/>
  <c r="C12" i="30"/>
  <c r="D11" i="30"/>
  <c r="E11" i="30" s="1"/>
  <c r="F11" i="30" s="1"/>
  <c r="C11" i="30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D5" i="30"/>
  <c r="C5" i="30"/>
  <c r="E5" i="30" s="1"/>
  <c r="F5" i="30" s="1"/>
  <c r="D4" i="30"/>
  <c r="C4" i="30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1" i="29" a="1"/>
  <c r="A1" i="29" s="1"/>
  <c r="B4" i="18" a="1"/>
  <c r="B4" i="18" s="1"/>
  <c r="G2" i="18"/>
  <c r="A1" i="18" a="1"/>
  <c r="A1" i="18" s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5" i="1"/>
  <c r="D4" i="1"/>
  <c r="B4" i="1" a="1"/>
  <c r="B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G2" i="28"/>
  <c r="D2" i="28"/>
  <c r="C2" i="28"/>
  <c r="J2" i="28" s="1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E10" i="72"/>
  <c r="E11" i="72"/>
  <c r="E12" i="72"/>
  <c r="F12" i="72" s="1"/>
  <c r="H6" i="72"/>
  <c r="I6" i="72" s="1"/>
  <c r="H7" i="72"/>
  <c r="I7" i="72" s="1"/>
  <c r="H8" i="72"/>
  <c r="I8" i="72" s="1"/>
  <c r="H9" i="72"/>
  <c r="I9" i="72" s="1"/>
  <c r="H10" i="72"/>
  <c r="H11" i="72"/>
  <c r="H12" i="72"/>
  <c r="I12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6" i="34" l="1"/>
  <c r="G2" i="29"/>
  <c r="G5" i="34"/>
  <c r="G12" i="34"/>
  <c r="G11" i="34"/>
  <c r="G4" i="34"/>
  <c r="E9" i="29"/>
  <c r="F9" i="29" s="1"/>
  <c r="E5" i="29"/>
  <c r="F5" i="29" s="1"/>
  <c r="H2" i="20"/>
  <c r="I2" i="20" s="1"/>
  <c r="E7" i="18"/>
  <c r="F7" i="18" s="1"/>
  <c r="E11" i="18"/>
  <c r="F11" i="18" s="1"/>
  <c r="E9" i="18"/>
  <c r="F9" i="18" s="1"/>
  <c r="E5" i="18"/>
  <c r="F5" i="18" s="1"/>
  <c r="D2" i="18"/>
  <c r="H2" i="19"/>
  <c r="I2" i="19" s="1"/>
  <c r="H7" i="29"/>
  <c r="I7" i="29" s="1"/>
  <c r="E11" i="29"/>
  <c r="F11" i="29" s="1"/>
  <c r="D2" i="30"/>
  <c r="H6" i="30"/>
  <c r="I6" i="30" s="1"/>
  <c r="H2" i="21"/>
  <c r="I2" i="21" s="1"/>
  <c r="H2" i="31"/>
  <c r="I2" i="31" s="1"/>
  <c r="H2" i="32"/>
  <c r="I2" i="32" s="1"/>
  <c r="J2" i="31"/>
  <c r="H12" i="29"/>
  <c r="I12" i="29" s="1"/>
  <c r="H10" i="29"/>
  <c r="I10" i="29" s="1"/>
  <c r="E4" i="18"/>
  <c r="F4" i="18" s="1"/>
  <c r="E8" i="18"/>
  <c r="F8" i="18" s="1"/>
  <c r="E12" i="18"/>
  <c r="F12" i="18" s="1"/>
  <c r="E6" i="29"/>
  <c r="F6" i="29" s="1"/>
  <c r="E10" i="29"/>
  <c r="F10" i="29" s="1"/>
  <c r="E4" i="30"/>
  <c r="F4" i="30" s="1"/>
  <c r="J2" i="32"/>
  <c r="D4" i="34"/>
  <c r="D2" i="34" s="1"/>
  <c r="E2" i="20"/>
  <c r="F2" i="20" s="1"/>
  <c r="I10" i="27"/>
  <c r="E8" i="30"/>
  <c r="F8" i="30" s="1"/>
  <c r="E12" i="30"/>
  <c r="F12" i="30" s="1"/>
  <c r="J2" i="21"/>
  <c r="H9" i="29"/>
  <c r="I9" i="29" s="1"/>
  <c r="H2" i="28"/>
  <c r="I2" i="28" s="1"/>
  <c r="J2" i="20"/>
  <c r="D2" i="29"/>
  <c r="H2" i="4"/>
  <c r="I2" i="4" s="1"/>
  <c r="E9" i="30"/>
  <c r="F9" i="30" s="1"/>
  <c r="J2" i="19"/>
  <c r="H2" i="26"/>
  <c r="I2" i="26" s="1"/>
  <c r="H6" i="29"/>
  <c r="I6" i="29" s="1"/>
  <c r="H2" i="27"/>
  <c r="I2" i="27" s="1"/>
  <c r="E2" i="28"/>
  <c r="F2" i="28" s="1"/>
  <c r="E6" i="18"/>
  <c r="F6" i="18" s="1"/>
  <c r="E10" i="18"/>
  <c r="F10" i="18" s="1"/>
  <c r="E8" i="29"/>
  <c r="F8" i="29" s="1"/>
  <c r="E12" i="29"/>
  <c r="F12" i="29" s="1"/>
  <c r="E6" i="30"/>
  <c r="F6" i="30" s="1"/>
  <c r="J2" i="26"/>
  <c r="H2" i="3"/>
  <c r="I2" i="3" s="1"/>
  <c r="E11" i="34"/>
  <c r="F11" i="34" s="1"/>
  <c r="E7" i="1"/>
  <c r="F7" i="1" s="1"/>
  <c r="E12" i="34"/>
  <c r="F12" i="34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0" i="34"/>
  <c r="F10" i="34" s="1"/>
  <c r="E6" i="1"/>
  <c r="F6" i="1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8" i="18"/>
  <c r="I8" i="18" s="1"/>
  <c r="H11" i="18"/>
  <c r="I11" i="18" s="1"/>
  <c r="H6" i="34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I4" i="1" s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I6" i="34"/>
  <c r="E2" i="29"/>
  <c r="F2" i="29" s="1"/>
  <c r="E4" i="34"/>
  <c r="F4" i="34" s="1"/>
  <c r="H2" i="1"/>
  <c r="I2" i="1" s="1"/>
  <c r="C2" i="34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<sst xmlns="http://schemas.openxmlformats.org/spreadsheetml/2006/main" count="469" uniqueCount="111">
  <si>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</si>
  <si>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</si>
  <si>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</si>
  <si>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</si>
  <si>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</si>
  <si>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</si>
  <si>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</si>
  <si>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</si>
  <si>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</si>
  <si>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</si>
  <si>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AZ: Marana - Degrazia ES</t>
  </si>
  <si>
    <t>AZ: Marana - Gladden Farms Ph 2</t>
  </si>
  <si>
    <t>AZ: Marana - Marana High School</t>
  </si>
  <si>
    <t>AZ: Marana - Mountain View HS Exp.</t>
  </si>
  <si>
    <t>AZ: Marana - Rattlesnake Ridge ES</t>
  </si>
  <si>
    <t>AZ: Marana - Roadrunner ES</t>
  </si>
  <si>
    <t>AZ: Marana - Thornydale Elementary</t>
  </si>
  <si>
    <t>AZ: Marana - Tortolita MS</t>
  </si>
  <si>
    <t>AZ: Marana - Picture Rocks Intermediat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</si>
  <si>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</si>
  <si>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</si>
  <si>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</si>
  <si>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</si>
  <si>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</si>
  <si>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</si>
  <si>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</si>
  <si>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</si>
  <si>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</si>
  <si>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</si>
  <si>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</si>
  <si>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</si>
  <si>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C2 was offline for whole month and the inverter RMA'd 
2. Inverter A1 was offline for whole month</t>
  </si>
  <si>
    <t>1. SR077925
2. SR079708</t>
  </si>
  <si>
    <t xml:space="preserve">1. Array A and C are running but not communicating, and Array B and G are offline due to Structure damage </t>
  </si>
  <si>
    <t>1. SR075233, SR075779</t>
  </si>
  <si>
    <t>1. Site was offline due to fire accident from May 2023 and back online on 01/18/2024</t>
  </si>
  <si>
    <t>1. SR071245</t>
  </si>
  <si>
    <t>1. Inverter A2 was offline on 01/22 and 1/23 due to ground faults</t>
  </si>
  <si>
    <t>1. SR078885</t>
  </si>
  <si>
    <t>1. Inverter C2 was back online from 01/23</t>
  </si>
  <si>
    <t>1. SRO75975</t>
  </si>
  <si>
    <t>February Actual v. Expected</t>
  </si>
  <si>
    <t>February Actual v. Forecasted</t>
  </si>
  <si>
    <t>1. Inverter C2 was offline for whole month 
2. Inverter A1 was offline from 01/09 replaced on 02/28</t>
  </si>
  <si>
    <t>1.Inverter A3 tripped offline at 10:15 on 02/15 &amp; back online at 02/20 at 15:00</t>
  </si>
  <si>
    <t>1.SR081030</t>
  </si>
  <si>
    <t>March Actual v. Expected</t>
  </si>
  <si>
    <t>March Actual v. Forecasted</t>
  </si>
  <si>
    <t>1. Inverter C2 was replaced on 03/19</t>
  </si>
  <si>
    <t>1. SR077925</t>
  </si>
  <si>
    <t>1. Inverter A5 replaced on 03/18 but not communicating in AP
2. Inverter C1 replaced on 03/12 but not communicating in AP
3. Inverter A2 replaced on 03/19 but not communicating in AP</t>
  </si>
  <si>
    <t>1. SR081612
2. SR081791
3. SR081996</t>
  </si>
  <si>
    <t>1. Inverter A4 is tripped offline mid of the day from 03/04 almost through out the month</t>
  </si>
  <si>
    <t>1. SR082498</t>
  </si>
  <si>
    <t xml:space="preserve">1. Meter is capturing around 80% production of inverters </t>
  </si>
  <si>
    <t>1. SR082837</t>
  </si>
  <si>
    <t>April Actual v. Expected</t>
  </si>
  <si>
    <t>April Actual v. Forecasted</t>
  </si>
  <si>
    <t>1. Site stopped communicating at 20:30 on 04/05 and is still not communicating. Data logger need to be replaced</t>
  </si>
  <si>
    <t>1. 	SR080878</t>
  </si>
  <si>
    <t>1. Meter stopped communicating from 03/25 and is being RMA'd</t>
  </si>
  <si>
    <t>1. SR081189</t>
  </si>
  <si>
    <t>May Actual v. Expected</t>
  </si>
  <si>
    <t>May Actual v. Forecasted</t>
  </si>
  <si>
    <t>1. Site stopped communicating at 20:30 on 04/05 throughout the month. Data logger need to be replaced</t>
  </si>
  <si>
    <t>1. Site tripped offline at 07:00 on 05/26 due to arc event on B phase on PV utility meter and is still offline</t>
  </si>
  <si>
    <t>1. 	SR085173</t>
  </si>
  <si>
    <t>June Actual v. Expected</t>
  </si>
  <si>
    <t>June Actual v. Forecasted</t>
  </si>
  <si>
    <t>1. Site stopped communicating at 20:30 on 04/05 and throughout the month. Data logger need to be replaced</t>
  </si>
  <si>
    <t>1. Inverter A4 tripped offline on 06/11,06/13,06/14,06/15 and back online from 06/16</t>
  </si>
  <si>
    <t>1. SR085956</t>
  </si>
  <si>
    <t>1. Site is offline from 05/26 throughout the month due to arc event on B phase on PV utility meter.</t>
  </si>
  <si>
    <t>July Actual v. Expected</t>
  </si>
  <si>
    <t>July Actual v. Forecasted</t>
  </si>
  <si>
    <t>1.  Inverter C2 is offline from 07/04.</t>
  </si>
  <si>
    <t>1. SR087379</t>
  </si>
  <si>
    <t>1. Inverter D1 tripped offline at 10:15AM on 07/05 being RMA'd.</t>
  </si>
  <si>
    <t>1. SR087401</t>
  </si>
  <si>
    <t>August Actual v. Expected</t>
  </si>
  <si>
    <t>August Actual v. Forecasted</t>
  </si>
  <si>
    <t>1.  Inverter C2 is offline from 07/04 being RMA'd.</t>
  </si>
  <si>
    <t>1. Inverters G1 &amp; G2 RMAd from 08/13.</t>
  </si>
  <si>
    <t>1. SR088993</t>
  </si>
  <si>
    <t>1. Inverter D1 tripped offline on 07/05 and back online on 08/09.
2. Some modules are damaged and needs to be replaced.
3. Inverter A4 tripped offline at 01:15PM on 08/24 and back online on 08/28.</t>
  </si>
  <si>
    <t>1. SR087401
2. SR088847
3. SR089499</t>
  </si>
  <si>
    <t>1. Inverter 3 tripped offline at 5:30-5:45am on 08/01/2024
2.Meter stopped communicating from 03/25 and later replaced on 08/13</t>
  </si>
  <si>
    <t>1.SR088498
2.SR081189</t>
  </si>
  <si>
    <t>1. Meter 2 is not communicating from 08/01</t>
  </si>
  <si>
    <t>1. SR088507</t>
  </si>
  <si>
    <t>September Actual v. Expected</t>
  </si>
  <si>
    <t>September Actual v. Forecasted</t>
  </si>
  <si>
    <t>1. Inverter C2 is offline from 07/04 and back online from 09/10.
2. Inverters B1 and C1 is underperforming approximately 5kW compared to its peers from 09/06 and resolved on 09/10.</t>
  </si>
  <si>
    <t>1. SR087379
2. SR090068</t>
  </si>
  <si>
    <t>1. Inverter G3 is offline from 09/17 and  back online on 09/18.</t>
  </si>
  <si>
    <t>1. SR090657</t>
  </si>
  <si>
    <t>1. Meter is showing negative readings from 09/12 and meter is back to normal reading from 09/18.</t>
  </si>
  <si>
    <t>1. SR090317</t>
  </si>
  <si>
    <t>1. Meter 2 is not communicating from 08/01 and communication resolved from 09/18.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</si>
  <si>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</si>
  <si>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</si>
  <si>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</si>
  <si>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</si>
  <si>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</si>
  <si>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</si>
  <si>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</si>
  <si>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Marana USD</t>
  </si>
  <si>
    <t>Site DAS Name</t>
  </si>
  <si>
    <t>Update</t>
  </si>
  <si>
    <t>DAS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</si>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</sst>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8"/>
      <color rgb="FF000000"/>
      <name val="Arial"/>
      <charset val="1"/>
    </font>
    <font>
      <sz val="11"/>
      <color rgb="FF00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22" fillId="40" borderId="12" xfId="43" applyFont="1" applyFill="1" applyBorder="1"/>
    <xf numFmtId="0" fontId="22" fillId="0" borderId="12" xfId="43" applyFont="1" applyBorder="1"/>
    <xf numFmtId="9" fontId="30" fillId="3" borderId="0" xfId="2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4" borderId="0" xfId="2" applyFont="1" applyFill="1" applyBorder="1" applyAlignment="1">
      <alignment horizontal="center" vertical="center"/>
    </xf>
    <xf numFmtId="0" fontId="30" fillId="37" borderId="0" xfId="2" applyNumberFormat="1" applyFont="1" applyFill="1" applyBorder="1" applyAlignment="1">
      <alignment horizontal="right" vertical="center"/>
    </xf>
    <xf numFmtId="0" fontId="30" fillId="0" borderId="0" xfId="2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0" fontId="22" fillId="40" borderId="12" xfId="0" applyFont="1" applyFill="1" applyBorder="1"/>
    <xf numFmtId="0" fontId="22" fillId="0" borderId="12" xfId="0" applyFont="1" applyBorder="1"/>
    <xf numFmtId="49" fontId="28" fillId="0" borderId="0" xfId="0" applyNumberFormat="1" applyFont="1" applyAlignment="1">
      <alignment horizontal="left" vertical="top" wrapText="1"/>
    </xf>
    <xf numFmtId="3" fontId="0" fillId="0" borderId="0" xfId="0" applyNumberFormat="1" applyAlignment="1">
      <alignment horizontal="right"/>
    </xf>
    <xf numFmtId="0" fontId="34" fillId="0" borderId="0" xfId="0" applyFont="1"/>
    <xf numFmtId="49" fontId="27" fillId="0" borderId="0" xfId="0" applyNumberFormat="1" applyFont="1" applyAlignment="1">
      <alignment horizontal="left" vertical="top"/>
    </xf>
    <xf numFmtId="0" fontId="35" fillId="0" borderId="0" xfId="0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D12" totalsRowShown="0">
  <autoFilter ref="A3:D12" xr:uid="{C9C95D9E-67ED-41E0-9F41-9C3DA4ACF4CD}"/>
  <sortState xmlns:xlrd2="http://schemas.microsoft.com/office/spreadsheetml/2017/richdata2" ref="A4:C6">
    <sortCondition ref="B3:B6"/>
  </sortState>
  <tableColumns count="4">
    <tableColumn id="3" xr3:uid="{3FB6FBC9-911C-415A-89D1-91E602B41CD0}" name="Site DAS Nam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8"/>
  <sheetViews>
    <sheetView workbookViewId="0">
      <pane ySplit="2" topLeftCell="A3" activePane="bottomLeft" state="frozen"/>
      <selection pane="bottomLeft" activeCell="D20" sqref="D20"/>
      <selection activeCell="D18" sqref="D1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Marana USD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6">
        <f>SUM(C4:C96)</f>
        <v>1013800</v>
      </c>
      <c r="D2" s="6">
        <f>SUM(D4:D96)</f>
        <v>0</v>
      </c>
      <c r="E2" s="6">
        <f>C2-D2</f>
        <v>1013800</v>
      </c>
      <c r="F2" s="7">
        <f>IFERROR(E2/D2, 0)</f>
        <v>0</v>
      </c>
      <c r="G2" s="6">
        <f>SUM(G4:G96)</f>
        <v>0</v>
      </c>
      <c r="H2" s="8">
        <f>C2-G2</f>
        <v>1013800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45">
      <c r="A4" s="52" t="s">
        <v>10</v>
      </c>
      <c r="B4" s="10" t="str" cm="1">
        <f t="array" ref="B4:B12">Sites[State]</f>
        <v>AZ</v>
      </c>
      <c r="C4" s="25">
        <f>SUM('1st Qtr'!C4, '2nd Qtr'!C4, '3rd Qtr'!C4, '4th Qtr'!C4)</f>
        <v>210784</v>
      </c>
      <c r="D4" s="13">
        <f>SUM('1st Qtr'!D4, '2nd Qtr'!D4, '3rd Qtr'!D4, '4th Qtr'!D4)</f>
        <v>0</v>
      </c>
      <c r="E4" s="13">
        <f>IF(AND(ISNUMBER(C4),ISNUMBER(D4)), C4-D4, "")</f>
        <v>210784</v>
      </c>
      <c r="F4" s="44">
        <f>IFERROR(E4/D4, 0)</f>
        <v>0</v>
      </c>
      <c r="G4" s="47">
        <f>SUM('1st Qtr'!G4,'2nd Qtr'!G4,'3rd Qtr'!G4,'4th Qtr'!G4)</f>
        <v>0</v>
      </c>
      <c r="H4" s="15">
        <f>SUM('1st Qtr'!H4, '2nd Qtr'!H4, '3rd Qtr'!H4, '4th Qtr'!H4)</f>
        <v>210784</v>
      </c>
      <c r="I4" s="16">
        <f>IFERROR(H4/G4, 0)</f>
        <v>0</v>
      </c>
    </row>
    <row r="5" spans="1:9" ht="14.45">
      <c r="A5" s="53" t="s">
        <v>11</v>
      </c>
      <c r="B5" s="11" t="str">
        <v>AZ</v>
      </c>
      <c r="C5" s="12">
        <f>SUM(Jan!C5, Feb!C5, Mar!C5)</f>
        <v>49713</v>
      </c>
      <c r="D5" s="19">
        <f>SUM(Jan!D5, Feb!D5, Mar!D5)</f>
        <v>0</v>
      </c>
      <c r="E5" s="19">
        <f t="shared" ref="E5:E12" si="0">IF(AND(ISNUMBER(C5),ISNUMBER(D5)), C5-D5, "")</f>
        <v>49713</v>
      </c>
      <c r="F5" s="45">
        <f t="shared" ref="F5:F12" si="1">IFERROR(E5/D5, 0)</f>
        <v>0</v>
      </c>
      <c r="G5" s="48">
        <f>SUM('1st Qtr'!G5,'2nd Qtr'!G5,'3rd Qtr'!G5,'4th Qtr'!G5)</f>
        <v>0</v>
      </c>
      <c r="H5" s="21">
        <f>SUM(Jan!H5, Feb!H5, Mar!H5)</f>
        <v>49713</v>
      </c>
      <c r="I5" s="20">
        <f t="shared" ref="I5:I12" si="2">IFERROR(H5/G5, 0)</f>
        <v>0</v>
      </c>
    </row>
    <row r="6" spans="1:9" ht="14.45">
      <c r="A6" s="52" t="s">
        <v>12</v>
      </c>
      <c r="B6" s="10" t="str">
        <v>AZ</v>
      </c>
      <c r="C6" s="25">
        <f>SUM(Jan!C6, Feb!C6, Mar!C6)</f>
        <v>92114</v>
      </c>
      <c r="D6" s="13">
        <f>SUM(Jan!D6, Feb!D6, Mar!D6)</f>
        <v>0</v>
      </c>
      <c r="E6" s="13">
        <f t="shared" si="0"/>
        <v>92114</v>
      </c>
      <c r="F6" s="44">
        <f t="shared" si="1"/>
        <v>0</v>
      </c>
      <c r="G6" s="47">
        <f>SUM('1st Qtr'!G6,'2nd Qtr'!G6,'3rd Qtr'!G6,'4th Qtr'!G6)</f>
        <v>0</v>
      </c>
      <c r="H6" s="15">
        <f>SUM(Jan!H6, Feb!H6, Mar!H6)</f>
        <v>92114</v>
      </c>
      <c r="I6" s="16">
        <f t="shared" si="2"/>
        <v>0</v>
      </c>
    </row>
    <row r="7" spans="1:9" ht="14.45">
      <c r="A7" s="53" t="s">
        <v>13</v>
      </c>
      <c r="B7" s="11" t="str">
        <v>AZ</v>
      </c>
      <c r="C7" s="12">
        <f>SUM(Jan!C7, Feb!C7, Mar!C7)</f>
        <v>340237</v>
      </c>
      <c r="D7" s="19">
        <f>SUM(Jan!D7, Feb!D7, Mar!D7)</f>
        <v>0</v>
      </c>
      <c r="E7" s="19">
        <f t="shared" si="0"/>
        <v>340237</v>
      </c>
      <c r="F7" s="45">
        <f t="shared" si="1"/>
        <v>0</v>
      </c>
      <c r="G7" s="48">
        <f>SUM('1st Qtr'!G7,'2nd Qtr'!G7,'3rd Qtr'!G7,'4th Qtr'!G7)</f>
        <v>0</v>
      </c>
      <c r="H7" s="21">
        <f>SUM(Jan!H7, Feb!H7, Mar!H7)</f>
        <v>340237</v>
      </c>
      <c r="I7" s="20">
        <f t="shared" si="2"/>
        <v>0</v>
      </c>
    </row>
    <row r="8" spans="1:9" ht="14.45">
      <c r="A8" s="42" t="s">
        <v>14</v>
      </c>
      <c r="B8" s="10" t="str">
        <v>AZ</v>
      </c>
      <c r="C8" s="25">
        <f>SUM(Jan!C8, Feb!C8, Mar!C8)</f>
        <v>42567</v>
      </c>
      <c r="D8" s="13">
        <f>SUM(Jan!D8, Feb!D8, Mar!D8)</f>
        <v>0</v>
      </c>
      <c r="E8" s="13">
        <f t="shared" si="0"/>
        <v>42567</v>
      </c>
      <c r="F8" s="44">
        <f t="shared" si="1"/>
        <v>0</v>
      </c>
      <c r="G8" s="47">
        <f>SUM('1st Qtr'!G8,'2nd Qtr'!G8,'3rd Qtr'!G8,'4th Qtr'!G8)</f>
        <v>0</v>
      </c>
      <c r="H8" s="15">
        <f>SUM(Jan!H8, Feb!H8, Mar!H8)</f>
        <v>42567</v>
      </c>
      <c r="I8" s="16">
        <f t="shared" si="2"/>
        <v>0</v>
      </c>
    </row>
    <row r="9" spans="1:9" ht="14.45">
      <c r="A9" s="43" t="s">
        <v>15</v>
      </c>
      <c r="B9" s="11" t="str">
        <v>AZ</v>
      </c>
      <c r="C9" s="12">
        <f>SUM(Jan!C9, Feb!C9, Mar!C9)</f>
        <v>50827</v>
      </c>
      <c r="D9" s="19">
        <f>SUM(Jan!D9, Feb!D9, Mar!D9)</f>
        <v>0</v>
      </c>
      <c r="E9" s="19">
        <f t="shared" si="0"/>
        <v>50827</v>
      </c>
      <c r="F9" s="45">
        <f t="shared" si="1"/>
        <v>0</v>
      </c>
      <c r="G9" s="48">
        <f>SUM('1st Qtr'!G9,'2nd Qtr'!G9,'3rd Qtr'!G9,'4th Qtr'!G9)</f>
        <v>0</v>
      </c>
      <c r="H9" s="21">
        <f>SUM(Jan!H9, Feb!H9, Mar!H9)</f>
        <v>50827</v>
      </c>
      <c r="I9" s="20">
        <f t="shared" si="2"/>
        <v>0</v>
      </c>
    </row>
    <row r="10" spans="1:9" ht="14.45">
      <c r="A10" s="42" t="s">
        <v>16</v>
      </c>
      <c r="B10" s="10" t="str">
        <v>AZ</v>
      </c>
      <c r="C10" s="25">
        <f>SUM(Jan!C10, Feb!C10, Mar!C10)</f>
        <v>36998</v>
      </c>
      <c r="D10" s="13">
        <f>SUM(Jan!D10, Feb!D10, Mar!D10)</f>
        <v>0</v>
      </c>
      <c r="E10" s="13">
        <f t="shared" si="0"/>
        <v>36998</v>
      </c>
      <c r="F10" s="44">
        <f t="shared" si="1"/>
        <v>0</v>
      </c>
      <c r="G10" s="47">
        <f>SUM('1st Qtr'!G10,'2nd Qtr'!G10,'3rd Qtr'!G10,'4th Qtr'!G10)</f>
        <v>0</v>
      </c>
      <c r="H10" s="15">
        <f>SUM(Jan!H10, Feb!H10, Mar!H10)</f>
        <v>36998</v>
      </c>
      <c r="I10" s="16">
        <f t="shared" si="2"/>
        <v>0</v>
      </c>
    </row>
    <row r="11" spans="1:9" ht="14.45">
      <c r="A11" s="43" t="s">
        <v>17</v>
      </c>
      <c r="B11" s="11" t="str">
        <v>AZ</v>
      </c>
      <c r="C11" s="12">
        <f>SUM(Jan!C11, Feb!C11, Mar!C11)</f>
        <v>104614</v>
      </c>
      <c r="D11" s="19">
        <f>SUM(Jan!D11, Feb!D11, Mar!D11)</f>
        <v>0</v>
      </c>
      <c r="E11" s="19">
        <f t="shared" si="0"/>
        <v>104614</v>
      </c>
      <c r="F11" s="45">
        <f t="shared" si="1"/>
        <v>0</v>
      </c>
      <c r="G11" s="48">
        <f>SUM('1st Qtr'!G11,'2nd Qtr'!G11,'3rd Qtr'!G11,'4th Qtr'!G11)</f>
        <v>0</v>
      </c>
      <c r="H11" s="21">
        <f>SUM(Jan!H11, Feb!H11, Mar!H11)</f>
        <v>104614</v>
      </c>
      <c r="I11" s="20">
        <f t="shared" si="2"/>
        <v>0</v>
      </c>
    </row>
    <row r="12" spans="1:9" ht="14.45">
      <c r="A12" s="42" t="s">
        <v>18</v>
      </c>
      <c r="B12" s="10" t="str">
        <v>AZ</v>
      </c>
      <c r="C12" s="25">
        <f>SUM(Jan!C12, Feb!C12, Mar!C12)</f>
        <v>85946</v>
      </c>
      <c r="D12" s="13">
        <f>SUM(Jan!D12, Feb!D12, Mar!D12)</f>
        <v>0</v>
      </c>
      <c r="E12" s="13">
        <f t="shared" si="0"/>
        <v>85946</v>
      </c>
      <c r="F12" s="44">
        <f t="shared" si="1"/>
        <v>0</v>
      </c>
      <c r="G12" s="47">
        <f>SUM('1st Qtr'!G12,'2nd Qtr'!G12,'3rd Qtr'!G12,'4th Qtr'!G12)</f>
        <v>0</v>
      </c>
      <c r="H12" s="15">
        <f>SUM(Jan!H12, Feb!H12, Mar!H12)</f>
        <v>85946</v>
      </c>
      <c r="I12" s="16">
        <f t="shared" si="2"/>
        <v>0</v>
      </c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9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9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9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9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9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9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9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9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9">
      <c r="A338" s="22"/>
      <c r="B338" s="22"/>
      <c r="C338" s="22"/>
      <c r="D338" s="22"/>
      <c r="E338" s="22"/>
      <c r="F338" s="23"/>
      <c r="G338" s="22"/>
      <c r="H338" s="22"/>
      <c r="I338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13:F96">
    <cfRule type="cellIs" dxfId="39" priority="5" stopIfTrue="1" operator="lessThanOrEqual">
      <formula>-0.1</formula>
    </cfRule>
    <cfRule type="expression" dxfId="38" priority="6">
      <formula>AND(ISNUMBER(F2), F2&gt;=0.1)</formula>
    </cfRule>
  </conditionalFormatting>
  <conditionalFormatting sqref="G4:G12">
    <cfRule type="cellIs" dxfId="37" priority="3" stopIfTrue="1" operator="lessThanOrEqual">
      <formula>-0.1</formula>
    </cfRule>
    <cfRule type="expression" dxfId="36" priority="4">
      <formula>AND(ISNUMBER(G4), G4&gt;=0.1)</formula>
    </cfRule>
  </conditionalFormatting>
  <conditionalFormatting sqref="I4:I96">
    <cfRule type="cellIs" dxfId="35" priority="1" stopIfTrue="1" operator="lessThanOrEqual">
      <formula>-0.1</formula>
    </cfRule>
    <cfRule type="expression" dxfId="34" priority="2">
      <formula>AND(ISNUMBER(I4), I4&gt;=0.1)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8"/>
  <sheetViews>
    <sheetView workbookViewId="0">
      <pane ySplit="2" topLeftCell="A3" activePane="bottomLeft" state="frozen"/>
      <selection pane="bottomLeft" activeCell="G19" sqref="G19"/>
      <selection activeCell="D18" sqref="D1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Marana USD</v>
      </c>
      <c r="B1" s="61"/>
      <c r="C1" s="61"/>
      <c r="D1" s="62" t="s">
        <v>19</v>
      </c>
      <c r="E1" s="62"/>
      <c r="F1" s="62"/>
      <c r="G1" s="60" t="s">
        <v>20</v>
      </c>
      <c r="H1" s="60"/>
      <c r="I1" s="60"/>
    </row>
    <row r="2" spans="1:9" ht="19.5" customHeight="1">
      <c r="A2" s="63" t="s">
        <v>2</v>
      </c>
      <c r="B2" s="63"/>
      <c r="C2" s="6">
        <f>SUM(C4:C96)</f>
        <v>857250</v>
      </c>
      <c r="D2" s="6">
        <f>SUM(D4:D96)</f>
        <v>0</v>
      </c>
      <c r="E2" s="6">
        <f>C2-D2</f>
        <v>857250</v>
      </c>
      <c r="F2" s="7">
        <f>IFERROR(E2/D2, 0)</f>
        <v>0</v>
      </c>
      <c r="G2" s="6">
        <f>SUM(G4:G96)</f>
        <v>0</v>
      </c>
      <c r="H2" s="8">
        <f>C2-G2</f>
        <v>857250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45">
      <c r="A4" s="52" t="s">
        <v>10</v>
      </c>
      <c r="B4" s="10" t="str" cm="1">
        <f t="array" ref="B4:B12">Sites[State]</f>
        <v>AZ</v>
      </c>
      <c r="C4" s="25">
        <f>SUM(Jan!C4, Feb!C4, Mar!C4)</f>
        <v>54234</v>
      </c>
      <c r="D4" s="13">
        <f>SUM(Jan!D4, Feb!D4, Mar!D4)</f>
        <v>0</v>
      </c>
      <c r="E4" s="13">
        <f>IF(AND(ISNUMBER(C4),ISNUMBER(D4)), C4-D4, "")</f>
        <v>54234</v>
      </c>
      <c r="F4" s="44">
        <f>IFERROR(E4/D4, 0)</f>
        <v>0</v>
      </c>
      <c r="G4" s="15">
        <f>SUM(Jan!G4, Feb!G4, Mar!G4)</f>
        <v>0</v>
      </c>
      <c r="H4" s="15">
        <f>SUM(Jan!H4, Feb!H4, Mar!H4)</f>
        <v>54234</v>
      </c>
      <c r="I4" s="46">
        <f>IFERROR(H4/G4, 0)</f>
        <v>0</v>
      </c>
    </row>
    <row r="5" spans="1:9" ht="14.45">
      <c r="A5" s="53" t="s">
        <v>11</v>
      </c>
      <c r="B5" s="11" t="str">
        <v>AZ</v>
      </c>
      <c r="C5" s="12">
        <f>SUM(Jan!C5, Feb!C5, Mar!C5)</f>
        <v>49713</v>
      </c>
      <c r="D5" s="19">
        <f>SUM(Jan!D5, Feb!D5, Mar!D5)</f>
        <v>0</v>
      </c>
      <c r="E5" s="19">
        <f t="shared" ref="E5:E12" si="0">IF(AND(ISNUMBER(C5),ISNUMBER(D5)), C5-D5, "")</f>
        <v>49713</v>
      </c>
      <c r="F5" s="45">
        <f t="shared" ref="F5:F12" si="1">IFERROR(E5/D5, 0)</f>
        <v>0</v>
      </c>
      <c r="G5" s="21">
        <f>SUM(Jan!G5, Feb!G5, Mar!G5)</f>
        <v>0</v>
      </c>
      <c r="H5" s="21">
        <f>SUM(Jan!H5, Feb!H5, Mar!H5)</f>
        <v>49713</v>
      </c>
      <c r="I5" s="20">
        <f t="shared" ref="I5:I12" si="2">IFERROR(H5/G5, 0)</f>
        <v>0</v>
      </c>
    </row>
    <row r="6" spans="1:9" ht="14.45">
      <c r="A6" s="52" t="s">
        <v>12</v>
      </c>
      <c r="B6" s="10" t="str">
        <v>AZ</v>
      </c>
      <c r="C6" s="25">
        <f>SUM(Jan!C6, Feb!C6, Mar!C6)</f>
        <v>92114</v>
      </c>
      <c r="D6" s="13">
        <f>SUM(Jan!D6, Feb!D6, Mar!D6)</f>
        <v>0</v>
      </c>
      <c r="E6" s="13">
        <f t="shared" si="0"/>
        <v>92114</v>
      </c>
      <c r="F6" s="44">
        <f t="shared" si="1"/>
        <v>0</v>
      </c>
      <c r="G6" s="15">
        <f>SUM(Jan!G6, Feb!G6, Mar!G6)</f>
        <v>0</v>
      </c>
      <c r="H6" s="15">
        <f>SUM(Jan!H6, Feb!H6, Mar!H6)</f>
        <v>92114</v>
      </c>
      <c r="I6" s="46">
        <f t="shared" si="2"/>
        <v>0</v>
      </c>
    </row>
    <row r="7" spans="1:9" ht="14.45">
      <c r="A7" s="53" t="s">
        <v>13</v>
      </c>
      <c r="B7" s="11" t="str">
        <v>AZ</v>
      </c>
      <c r="C7" s="12">
        <f>SUM(Jan!C7, Feb!C7, Mar!C7)</f>
        <v>340237</v>
      </c>
      <c r="D7" s="19">
        <f>SUM(Jan!D7, Feb!D7, Mar!D7)</f>
        <v>0</v>
      </c>
      <c r="E7" s="19">
        <f t="shared" si="0"/>
        <v>340237</v>
      </c>
      <c r="F7" s="45">
        <f t="shared" si="1"/>
        <v>0</v>
      </c>
      <c r="G7" s="21">
        <f>SUM(Jan!G7, Feb!G7, Mar!G7)</f>
        <v>0</v>
      </c>
      <c r="H7" s="21">
        <f>SUM(Jan!H7, Feb!H7, Mar!H7)</f>
        <v>340237</v>
      </c>
      <c r="I7" s="20">
        <f t="shared" si="2"/>
        <v>0</v>
      </c>
    </row>
    <row r="8" spans="1:9" ht="14.45">
      <c r="A8" s="42" t="s">
        <v>14</v>
      </c>
      <c r="B8" s="10" t="str">
        <v>AZ</v>
      </c>
      <c r="C8" s="25">
        <f>SUM(Jan!C8, Feb!C8, Mar!C8)</f>
        <v>42567</v>
      </c>
      <c r="D8" s="13">
        <f>SUM(Jan!D8, Feb!D8, Mar!D8)</f>
        <v>0</v>
      </c>
      <c r="E8" s="13">
        <f t="shared" si="0"/>
        <v>42567</v>
      </c>
      <c r="F8" s="44">
        <f t="shared" si="1"/>
        <v>0</v>
      </c>
      <c r="G8" s="15">
        <f>SUM(Jan!G8, Feb!G8, Mar!G8)</f>
        <v>0</v>
      </c>
      <c r="H8" s="15">
        <f>SUM(Jan!H8, Feb!H8, Mar!H8)</f>
        <v>42567</v>
      </c>
      <c r="I8" s="46">
        <f t="shared" si="2"/>
        <v>0</v>
      </c>
    </row>
    <row r="9" spans="1:9" ht="14.45">
      <c r="A9" s="43" t="s">
        <v>15</v>
      </c>
      <c r="B9" s="11" t="str">
        <v>AZ</v>
      </c>
      <c r="C9" s="12">
        <f>SUM(Jan!C9, Feb!C9, Mar!C9)</f>
        <v>50827</v>
      </c>
      <c r="D9" s="19">
        <f>SUM(Jan!D9, Feb!D9, Mar!D9)</f>
        <v>0</v>
      </c>
      <c r="E9" s="19">
        <f t="shared" si="0"/>
        <v>50827</v>
      </c>
      <c r="F9" s="45">
        <f t="shared" si="1"/>
        <v>0</v>
      </c>
      <c r="G9" s="21">
        <f>SUM(Jan!G9, Feb!G9, Mar!G9)</f>
        <v>0</v>
      </c>
      <c r="H9" s="21">
        <f>SUM(Jan!H9, Feb!H9, Mar!H9)</f>
        <v>50827</v>
      </c>
      <c r="I9" s="20">
        <f t="shared" si="2"/>
        <v>0</v>
      </c>
    </row>
    <row r="10" spans="1:9" ht="14.45">
      <c r="A10" s="42" t="s">
        <v>16</v>
      </c>
      <c r="B10" s="10" t="str">
        <v>AZ</v>
      </c>
      <c r="C10" s="25">
        <f>SUM(Jan!C10, Feb!C10, Mar!C10)</f>
        <v>36998</v>
      </c>
      <c r="D10" s="13">
        <f>SUM(Jan!D10, Feb!D10, Mar!D10)</f>
        <v>0</v>
      </c>
      <c r="E10" s="13">
        <f t="shared" si="0"/>
        <v>36998</v>
      </c>
      <c r="F10" s="44">
        <f t="shared" si="1"/>
        <v>0</v>
      </c>
      <c r="G10" s="15">
        <f>SUM(Jan!G10, Feb!G10, Mar!G10)</f>
        <v>0</v>
      </c>
      <c r="H10" s="15">
        <f>SUM(Jan!H10, Feb!H10, Mar!H10)</f>
        <v>36998</v>
      </c>
      <c r="I10" s="46">
        <f t="shared" si="2"/>
        <v>0</v>
      </c>
    </row>
    <row r="11" spans="1:9" ht="14.45">
      <c r="A11" s="43" t="s">
        <v>17</v>
      </c>
      <c r="B11" s="11" t="str">
        <v>AZ</v>
      </c>
      <c r="C11" s="12">
        <f>SUM(Jan!C11, Feb!C11, Mar!C11)</f>
        <v>104614</v>
      </c>
      <c r="D11" s="19">
        <f>SUM(Jan!D11, Feb!D11, Mar!D11)</f>
        <v>0</v>
      </c>
      <c r="E11" s="19">
        <f t="shared" si="0"/>
        <v>104614</v>
      </c>
      <c r="F11" s="45">
        <f t="shared" si="1"/>
        <v>0</v>
      </c>
      <c r="G11" s="21">
        <f>SUM(Jan!G11, Feb!G11, Mar!G11)</f>
        <v>0</v>
      </c>
      <c r="H11" s="21">
        <f>SUM(Jan!H11, Feb!H11, Mar!H11)</f>
        <v>104614</v>
      </c>
      <c r="I11" s="20">
        <f t="shared" si="2"/>
        <v>0</v>
      </c>
    </row>
    <row r="12" spans="1:9" ht="14.45">
      <c r="A12" s="42" t="s">
        <v>18</v>
      </c>
      <c r="B12" s="10" t="str">
        <v>AZ</v>
      </c>
      <c r="C12" s="25">
        <f>SUM(Jan!C12, Feb!C12, Mar!C12)</f>
        <v>85946</v>
      </c>
      <c r="D12" s="13">
        <f>SUM(Jan!D12, Feb!D12, Mar!D12)</f>
        <v>0</v>
      </c>
      <c r="E12" s="13">
        <f t="shared" si="0"/>
        <v>85946</v>
      </c>
      <c r="F12" s="44">
        <f t="shared" si="1"/>
        <v>0</v>
      </c>
      <c r="G12" s="15">
        <f>SUM(Jan!G12, Feb!G12, Mar!G12)</f>
        <v>0</v>
      </c>
      <c r="H12" s="15">
        <f>SUM(Jan!H12, Feb!H12, Mar!H12)</f>
        <v>85946</v>
      </c>
      <c r="I12" s="46">
        <f t="shared" si="2"/>
        <v>0</v>
      </c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9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9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9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9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9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9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9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9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9">
      <c r="A338" s="22"/>
      <c r="B338" s="22"/>
      <c r="C338" s="22"/>
      <c r="D338" s="22"/>
      <c r="E338" s="22"/>
      <c r="F338" s="23"/>
      <c r="G338" s="22"/>
      <c r="H338" s="22"/>
      <c r="I338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13:F96 I13:I96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8"/>
  <sheetViews>
    <sheetView zoomScale="90" zoomScaleNormal="90" workbookViewId="0">
      <pane ySplit="2" topLeftCell="A3" activePane="bottomLeft" state="frozen"/>
      <selection pane="bottomLeft" activeCell="C20" sqref="C20"/>
      <selection activeCell="D18" sqref="D1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Marana USD</v>
      </c>
      <c r="B1" s="61"/>
      <c r="C1" s="61"/>
      <c r="D1" s="62" t="s">
        <v>21</v>
      </c>
      <c r="E1" s="62"/>
      <c r="F1" s="62"/>
      <c r="G1" s="60" t="s">
        <v>22</v>
      </c>
      <c r="H1" s="60"/>
      <c r="I1" s="60"/>
    </row>
    <row r="2" spans="1:9" ht="19.5" customHeight="1">
      <c r="A2" s="63" t="s">
        <v>2</v>
      </c>
      <c r="B2" s="63"/>
      <c r="C2" s="6">
        <f>SUM(C4:C96)</f>
        <v>1068298</v>
      </c>
      <c r="D2" s="6">
        <f>SUM(D4:D96)</f>
        <v>0</v>
      </c>
      <c r="E2" s="6">
        <f>C2-D2</f>
        <v>1068298</v>
      </c>
      <c r="F2" s="7">
        <f>IFERROR(E2/D2, 0)</f>
        <v>0</v>
      </c>
      <c r="G2" s="6">
        <f>SUM(G4:G96)</f>
        <v>0</v>
      </c>
      <c r="H2" s="8">
        <f>C2-G2</f>
        <v>1068298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45">
      <c r="A4" s="52" t="s">
        <v>10</v>
      </c>
      <c r="B4" s="10" t="str" cm="1">
        <f t="array" ref="B4:B12">Sites[State]</f>
        <v>AZ</v>
      </c>
      <c r="C4" s="25">
        <f>SUM(Apr!C4, May!C4, Jun!C4)</f>
        <v>92600</v>
      </c>
      <c r="D4" s="13">
        <f>SUM(Apr!D4, May!D4, Jun!D4)</f>
        <v>0</v>
      </c>
      <c r="E4" s="13">
        <f>IF(AND(ISNUMBER(C4),ISNUMBER(D4)), C4-D4, "")</f>
        <v>92600</v>
      </c>
      <c r="F4" s="14" t="str">
        <f>IFERROR(E4/D4, "")</f>
        <v/>
      </c>
      <c r="G4" s="15"/>
      <c r="H4" s="15">
        <f>SUM(Apr!H4, May!H4, Jun!H4)</f>
        <v>92600</v>
      </c>
      <c r="I4" s="16" t="str">
        <f>IFERROR(H4/G4, "")</f>
        <v/>
      </c>
    </row>
    <row r="5" spans="1:9" ht="14.45">
      <c r="A5" s="53" t="s">
        <v>11</v>
      </c>
      <c r="B5" s="11" t="str">
        <v>AZ</v>
      </c>
      <c r="C5" s="12">
        <f>SUM(Apr!C5, May!C5, Jun!C5)</f>
        <v>99569</v>
      </c>
      <c r="D5" s="19">
        <f>SUM(Apr!D5, May!D5, Jun!D5)</f>
        <v>0</v>
      </c>
      <c r="E5" s="19">
        <f t="shared" ref="E5:E12" si="0">IF(AND(ISNUMBER(C5),ISNUMBER(D5)), C5-D5, "")</f>
        <v>99569</v>
      </c>
      <c r="F5" s="20" t="str">
        <f>IFERROR(E5/D5, "")</f>
        <v/>
      </c>
      <c r="G5" s="21"/>
      <c r="H5" s="21">
        <f>SUM(Apr!H5, May!H5, Jun!H5)</f>
        <v>99569</v>
      </c>
      <c r="I5" s="20" t="str">
        <f>IFERROR(H5/G5, "")</f>
        <v/>
      </c>
    </row>
    <row r="6" spans="1:9" ht="14.45">
      <c r="A6" s="52" t="s">
        <v>12</v>
      </c>
      <c r="B6" s="10" t="str">
        <v>AZ</v>
      </c>
      <c r="C6" s="25">
        <f>SUM(Apr!C6, May!C6, Jun!C6)</f>
        <v>8609</v>
      </c>
      <c r="D6" s="13">
        <f>SUM(Apr!D6, May!D6, Jun!D6)</f>
        <v>0</v>
      </c>
      <c r="E6" s="13">
        <f t="shared" si="0"/>
        <v>8609</v>
      </c>
      <c r="F6" s="14" t="str">
        <f t="shared" ref="F6:F12" si="1">IFERROR(E6/D6, "")</f>
        <v/>
      </c>
      <c r="G6" s="15"/>
      <c r="H6" s="15">
        <f>SUM(Apr!H6, May!H6, Jun!H6)</f>
        <v>8609</v>
      </c>
      <c r="I6" s="16" t="str">
        <f t="shared" ref="I6:I12" si="2">IFERROR(H6/G6, "")</f>
        <v/>
      </c>
    </row>
    <row r="7" spans="1:9" ht="14.45">
      <c r="A7" s="53" t="s">
        <v>13</v>
      </c>
      <c r="B7" s="11" t="str">
        <v>AZ</v>
      </c>
      <c r="C7" s="12">
        <f>SUM(Apr!C7, May!C7, Jun!C7)</f>
        <v>485458</v>
      </c>
      <c r="D7" s="19">
        <f>SUM(Apr!D7, May!D7, Jun!D7)</f>
        <v>0</v>
      </c>
      <c r="E7" s="19">
        <f t="shared" si="0"/>
        <v>485458</v>
      </c>
      <c r="F7" s="20" t="str">
        <f t="shared" si="1"/>
        <v/>
      </c>
      <c r="G7" s="21"/>
      <c r="H7" s="21">
        <f>SUM(Apr!H7, May!H7, Jun!H7)</f>
        <v>485458</v>
      </c>
      <c r="I7" s="20" t="str">
        <f t="shared" si="2"/>
        <v/>
      </c>
    </row>
    <row r="8" spans="1:9" ht="14.45">
      <c r="A8" s="42" t="s">
        <v>14</v>
      </c>
      <c r="B8" s="10" t="str">
        <v>AZ</v>
      </c>
      <c r="C8" s="25">
        <f>SUM(Apr!C8, May!C8, Jun!C8)</f>
        <v>56115</v>
      </c>
      <c r="D8" s="13">
        <f>SUM(Apr!D8, May!D8, Jun!D8)</f>
        <v>0</v>
      </c>
      <c r="E8" s="13">
        <f t="shared" si="0"/>
        <v>56115</v>
      </c>
      <c r="F8" s="14" t="str">
        <f t="shared" si="1"/>
        <v/>
      </c>
      <c r="G8" s="15"/>
      <c r="H8" s="15">
        <f>SUM(Apr!H8, May!H8, Jun!H8)</f>
        <v>56115</v>
      </c>
      <c r="I8" s="16" t="str">
        <f t="shared" si="2"/>
        <v/>
      </c>
    </row>
    <row r="9" spans="1:9" ht="14.45">
      <c r="A9" s="43" t="s">
        <v>15</v>
      </c>
      <c r="B9" s="11" t="str">
        <v>AZ</v>
      </c>
      <c r="C9" s="12">
        <f>SUM(Apr!C9, May!C9, Jun!C9)</f>
        <v>0</v>
      </c>
      <c r="D9" s="19">
        <f>SUM(Apr!D9, May!D9, Jun!D9)</f>
        <v>0</v>
      </c>
      <c r="E9" s="19">
        <f t="shared" si="0"/>
        <v>0</v>
      </c>
      <c r="F9" s="20" t="str">
        <f t="shared" si="1"/>
        <v/>
      </c>
      <c r="G9" s="21"/>
      <c r="H9" s="21">
        <f>SUM(Apr!H9, May!H9, Jun!H9)</f>
        <v>0</v>
      </c>
      <c r="I9" s="20" t="str">
        <f t="shared" si="2"/>
        <v/>
      </c>
    </row>
    <row r="10" spans="1:9" ht="14.45">
      <c r="A10" s="42" t="s">
        <v>16</v>
      </c>
      <c r="B10" s="10" t="str">
        <v>AZ</v>
      </c>
      <c r="C10" s="25">
        <f>SUM(Apr!C10, May!C10, Jun!C10)</f>
        <v>64914</v>
      </c>
      <c r="D10" s="13">
        <f>SUM(Apr!D10, May!D10, Jun!D10)</f>
        <v>0</v>
      </c>
      <c r="E10" s="13">
        <f t="shared" si="0"/>
        <v>64914</v>
      </c>
      <c r="F10" s="14" t="str">
        <f t="shared" si="1"/>
        <v/>
      </c>
      <c r="G10" s="15"/>
      <c r="H10" s="15">
        <f>SUM(Apr!H10, May!H10, Jun!H10)</f>
        <v>64914</v>
      </c>
      <c r="I10" s="16" t="str">
        <f t="shared" si="2"/>
        <v/>
      </c>
    </row>
    <row r="11" spans="1:9" ht="14.45">
      <c r="A11" s="43" t="s">
        <v>17</v>
      </c>
      <c r="B11" s="11" t="str">
        <v>AZ</v>
      </c>
      <c r="C11" s="12">
        <f>SUM(Apr!C11, May!C11, Jun!C11)</f>
        <v>140325</v>
      </c>
      <c r="D11" s="19">
        <f>SUM(Apr!D11, May!D11, Jun!D11)</f>
        <v>0</v>
      </c>
      <c r="E11" s="19">
        <f t="shared" si="0"/>
        <v>140325</v>
      </c>
      <c r="F11" s="20" t="str">
        <f t="shared" si="1"/>
        <v/>
      </c>
      <c r="G11" s="21"/>
      <c r="H11" s="21">
        <f>SUM(Apr!H11, May!H11, Jun!H11)</f>
        <v>140325</v>
      </c>
      <c r="I11" s="20" t="str">
        <f t="shared" si="2"/>
        <v/>
      </c>
    </row>
    <row r="12" spans="1:9" ht="14.45">
      <c r="A12" s="42" t="s">
        <v>18</v>
      </c>
      <c r="B12" s="10" t="str">
        <v>AZ</v>
      </c>
      <c r="C12" s="25">
        <f>SUM(Apr!C12, May!C12, Jun!C12)</f>
        <v>120708</v>
      </c>
      <c r="D12" s="13">
        <f>SUM(Apr!D12, May!D12, Jun!D12)</f>
        <v>0</v>
      </c>
      <c r="E12" s="13">
        <f t="shared" si="0"/>
        <v>120708</v>
      </c>
      <c r="F12" s="14" t="str">
        <f t="shared" si="1"/>
        <v/>
      </c>
      <c r="G12" s="15"/>
      <c r="H12" s="15">
        <f>SUM(Apr!H12, May!H12, Jun!H12)</f>
        <v>120708</v>
      </c>
      <c r="I12" s="16" t="str">
        <f t="shared" si="2"/>
        <v/>
      </c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9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9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9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9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9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9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9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9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9">
      <c r="A338" s="22"/>
      <c r="B338" s="22"/>
      <c r="C338" s="22"/>
      <c r="D338" s="22"/>
      <c r="E338" s="22"/>
      <c r="F338" s="23"/>
      <c r="G338" s="22"/>
      <c r="H338" s="22"/>
      <c r="I338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6 I4:I96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8"/>
  <sheetViews>
    <sheetView workbookViewId="0">
      <pane ySplit="2" topLeftCell="A3" activePane="bottomLeft" state="frozen"/>
      <selection pane="bottomLeft" activeCell="G4" sqref="G4"/>
      <selection activeCell="D18" sqref="D1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Marana USD</v>
      </c>
      <c r="B1" s="61"/>
      <c r="C1" s="61"/>
      <c r="D1" s="62" t="s">
        <v>23</v>
      </c>
      <c r="E1" s="62"/>
      <c r="F1" s="62"/>
      <c r="G1" s="60" t="s">
        <v>24</v>
      </c>
      <c r="H1" s="60"/>
      <c r="I1" s="60"/>
    </row>
    <row r="2" spans="1:9" ht="19.5" customHeight="1">
      <c r="A2" s="63" t="s">
        <v>2</v>
      </c>
      <c r="B2" s="63"/>
      <c r="C2" s="6">
        <f>SUM(C4:C96)</f>
        <v>870375</v>
      </c>
      <c r="D2" s="6">
        <f>SUM(D4:D96)</f>
        <v>0</v>
      </c>
      <c r="E2" s="6">
        <f>C2-D2</f>
        <v>870375</v>
      </c>
      <c r="F2" s="7">
        <f>IFERROR(E2/D2, 0)</f>
        <v>0</v>
      </c>
      <c r="G2" s="6">
        <f>SUM(G4:G96)</f>
        <v>0</v>
      </c>
      <c r="H2" s="8">
        <f>C2-G2</f>
        <v>870375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45">
      <c r="A4" s="52" t="s">
        <v>10</v>
      </c>
      <c r="B4" s="10" t="str" cm="1">
        <f t="array" ref="B4:B12">Sites[State]</f>
        <v>AZ</v>
      </c>
      <c r="C4" s="25">
        <f>SUM(Jul!C4, Aug!C4, Sep!C4)</f>
        <v>63950</v>
      </c>
      <c r="D4" s="13">
        <f>SUM(Jul!D4, Aug!D4, Sep!D4)</f>
        <v>0</v>
      </c>
      <c r="E4" s="13">
        <f>IF(AND(ISNUMBER(C4),ISNUMBER(D4)), C4-D4, "")</f>
        <v>63950</v>
      </c>
      <c r="F4" s="14" t="str">
        <f>IFERROR(E4/D4, "")</f>
        <v/>
      </c>
      <c r="G4" s="15">
        <f>SUM(Jul!G4,Aug!G4,Sep!G4)</f>
        <v>0</v>
      </c>
      <c r="H4" s="15">
        <f>SUM(Jul!H4, Aug!H4, Sep!H4)</f>
        <v>63950</v>
      </c>
      <c r="I4" s="16" t="str">
        <f>IFERROR(H4/G4, "")</f>
        <v/>
      </c>
    </row>
    <row r="5" spans="1:9" ht="14.45">
      <c r="A5" s="53" t="s">
        <v>11</v>
      </c>
      <c r="B5" s="11" t="str">
        <v>AZ</v>
      </c>
      <c r="C5" s="12">
        <f>SUM(Jul!C5, Aug!C5, Sep!C5)</f>
        <v>87265</v>
      </c>
      <c r="D5" s="19">
        <f>SUM(Jul!D5, Aug!D5, Sep!D5)</f>
        <v>0</v>
      </c>
      <c r="E5" s="19">
        <f t="shared" ref="E5:E12" si="0">IF(AND(ISNUMBER(C5),ISNUMBER(D5)), C5-D5, "")</f>
        <v>87265</v>
      </c>
      <c r="F5" s="20" t="str">
        <f>IFERROR(E5/D5, "")</f>
        <v/>
      </c>
      <c r="G5" s="19">
        <f>SUM(Jul!G5,Aug!G5,Sep!G5)</f>
        <v>0</v>
      </c>
      <c r="H5" s="21">
        <f>SUM(Jul!H5, Aug!H5, Sep!H5)</f>
        <v>87265</v>
      </c>
      <c r="I5" s="20" t="str">
        <f>IFERROR(H5/G5, "")</f>
        <v/>
      </c>
    </row>
    <row r="6" spans="1:9" ht="14.45">
      <c r="A6" s="52" t="s">
        <v>12</v>
      </c>
      <c r="B6" s="10" t="str">
        <v>AZ</v>
      </c>
      <c r="C6" s="25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2" si="1">IFERROR(E6/D6, "")</f>
        <v/>
      </c>
      <c r="G6" s="15">
        <f>SUM(Jul!G6,Aug!G6,Sep!G6)</f>
        <v>0</v>
      </c>
      <c r="H6" s="15">
        <f>SUM(Jul!H6, Aug!H6, Sep!H6)</f>
        <v>0</v>
      </c>
      <c r="I6" s="16" t="str">
        <f t="shared" ref="I6:I12" si="2">IFERROR(H6/G6, "")</f>
        <v/>
      </c>
    </row>
    <row r="7" spans="1:9" ht="14.45">
      <c r="A7" s="53" t="s">
        <v>13</v>
      </c>
      <c r="B7" s="11" t="str">
        <v>AZ</v>
      </c>
      <c r="C7" s="12">
        <f>SUM(Jul!C7, Aug!C7, Sep!C7)</f>
        <v>438518</v>
      </c>
      <c r="D7" s="19">
        <f>SUM(Jul!D7, Aug!D7, Sep!D7)</f>
        <v>0</v>
      </c>
      <c r="E7" s="19">
        <f t="shared" si="0"/>
        <v>438518</v>
      </c>
      <c r="F7" s="20" t="str">
        <f t="shared" si="1"/>
        <v/>
      </c>
      <c r="G7" s="19">
        <f>SUM(Jul!G7,Aug!G7,Sep!G7)</f>
        <v>0</v>
      </c>
      <c r="H7" s="21">
        <f>SUM(Jul!H7, Aug!H7, Sep!H7)</f>
        <v>438518</v>
      </c>
      <c r="I7" s="20" t="str">
        <f t="shared" si="2"/>
        <v/>
      </c>
    </row>
    <row r="8" spans="1:9" ht="14.45">
      <c r="A8" s="42" t="s">
        <v>14</v>
      </c>
      <c r="B8" s="10" t="str">
        <v>AZ</v>
      </c>
      <c r="C8" s="25">
        <f>SUM(Jul!C8, Aug!C8, Sep!C8)</f>
        <v>3659</v>
      </c>
      <c r="D8" s="13">
        <f>SUM(Jul!D8, Aug!D8, Sep!D8)</f>
        <v>0</v>
      </c>
      <c r="E8" s="13">
        <f t="shared" si="0"/>
        <v>3659</v>
      </c>
      <c r="F8" s="14" t="str">
        <f t="shared" si="1"/>
        <v/>
      </c>
      <c r="G8" s="15">
        <f>SUM(Jul!G8,Aug!G8,Sep!G8)</f>
        <v>0</v>
      </c>
      <c r="H8" s="15">
        <f>SUM(Jul!H8, Aug!H8, Sep!H8)</f>
        <v>3659</v>
      </c>
      <c r="I8" s="16" t="str">
        <f t="shared" si="2"/>
        <v/>
      </c>
    </row>
    <row r="9" spans="1:9" ht="14.45">
      <c r="A9" s="53" t="s">
        <v>15</v>
      </c>
      <c r="B9" s="11" t="str">
        <v>AZ</v>
      </c>
      <c r="C9" s="12">
        <f>SUM(Jul!C9, Aug!C9, Sep!C9)</f>
        <v>10845</v>
      </c>
      <c r="D9" s="19">
        <f>SUM(Jul!D9, Aug!D9, Sep!D9)</f>
        <v>0</v>
      </c>
      <c r="E9" s="19">
        <f t="shared" si="0"/>
        <v>10845</v>
      </c>
      <c r="F9" s="20" t="str">
        <f t="shared" si="1"/>
        <v/>
      </c>
      <c r="G9" s="19">
        <f>SUM(Jul!G9,Aug!G9,Sep!G9)</f>
        <v>0</v>
      </c>
      <c r="H9" s="21">
        <f>SUM(Jul!H9, Aug!H9, Sep!H9)</f>
        <v>10845</v>
      </c>
      <c r="I9" s="20" t="str">
        <f t="shared" si="2"/>
        <v/>
      </c>
    </row>
    <row r="10" spans="1:9" ht="14.45">
      <c r="A10" s="42" t="s">
        <v>16</v>
      </c>
      <c r="B10" s="10" t="str">
        <v>AZ</v>
      </c>
      <c r="C10" s="25">
        <f>SUM(Jul!C10, Aug!C10, Sep!C10)</f>
        <v>39653</v>
      </c>
      <c r="D10" s="13">
        <f>SUM(Jul!D10, Aug!D10, Sep!D10)</f>
        <v>0</v>
      </c>
      <c r="E10" s="13">
        <f t="shared" si="0"/>
        <v>39653</v>
      </c>
      <c r="F10" s="14" t="str">
        <f t="shared" si="1"/>
        <v/>
      </c>
      <c r="G10" s="15">
        <f>SUM(Jul!G10,Aug!G10,Sep!G10)</f>
        <v>0</v>
      </c>
      <c r="H10" s="15">
        <f>SUM(Jul!H10, Aug!H10, Sep!H10)</f>
        <v>39653</v>
      </c>
      <c r="I10" s="16" t="str">
        <f t="shared" si="2"/>
        <v/>
      </c>
    </row>
    <row r="11" spans="1:9" ht="14.45">
      <c r="A11" s="53" t="s">
        <v>17</v>
      </c>
      <c r="B11" s="11" t="str">
        <v>AZ</v>
      </c>
      <c r="C11" s="12">
        <f>SUM(Jul!C11, Aug!C11, Sep!C11)</f>
        <v>132968</v>
      </c>
      <c r="D11" s="19">
        <f>SUM(Jul!D11, Aug!D11, Sep!D11)</f>
        <v>0</v>
      </c>
      <c r="E11" s="19">
        <f t="shared" si="0"/>
        <v>132968</v>
      </c>
      <c r="F11" s="20" t="str">
        <f t="shared" si="1"/>
        <v/>
      </c>
      <c r="G11" s="19">
        <f>SUM(Jul!G11,Aug!G11,Sep!G11)</f>
        <v>0</v>
      </c>
      <c r="H11" s="21">
        <f>SUM(Jul!H11, Aug!H11, Sep!H11)</f>
        <v>132968</v>
      </c>
      <c r="I11" s="20" t="str">
        <f t="shared" si="2"/>
        <v/>
      </c>
    </row>
    <row r="12" spans="1:9" ht="14.45">
      <c r="A12" s="42" t="s">
        <v>18</v>
      </c>
      <c r="B12" s="10" t="str">
        <v>AZ</v>
      </c>
      <c r="C12" s="25">
        <f>SUM(Jul!C12, Aug!C12, Sep!C12)</f>
        <v>93517</v>
      </c>
      <c r="D12" s="13">
        <f>SUM(Jul!D12, Aug!D12, Sep!D12)</f>
        <v>0</v>
      </c>
      <c r="E12" s="13">
        <f t="shared" si="0"/>
        <v>93517</v>
      </c>
      <c r="F12" s="14" t="str">
        <f t="shared" si="1"/>
        <v/>
      </c>
      <c r="G12" s="15">
        <f>SUM(Jul!G12,Aug!G12,Sep!G12)</f>
        <v>0</v>
      </c>
      <c r="H12" s="15">
        <f>SUM(Jul!H12, Aug!H12, Sep!H12)</f>
        <v>93517</v>
      </c>
      <c r="I12" s="16" t="str">
        <f t="shared" si="2"/>
        <v/>
      </c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9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9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9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9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9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9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9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9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9">
      <c r="A338" s="22"/>
      <c r="B338" s="22"/>
      <c r="C338" s="22"/>
      <c r="D338" s="22"/>
      <c r="E338" s="22"/>
      <c r="F338" s="23"/>
      <c r="G338" s="22"/>
      <c r="H338" s="22"/>
      <c r="I338" s="23"/>
    </row>
  </sheetData>
  <mergeCells count="4">
    <mergeCell ref="G1:I1"/>
    <mergeCell ref="A1:C1"/>
    <mergeCell ref="D1:F1"/>
    <mergeCell ref="A2:B2"/>
  </mergeCells>
  <conditionalFormatting sqref="F2 I2 F4:F96 I4:I96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Marana USD</v>
      </c>
      <c r="B1" s="61"/>
      <c r="C1" s="61"/>
      <c r="D1" s="62" t="s">
        <v>25</v>
      </c>
      <c r="E1" s="62"/>
      <c r="F1" s="62"/>
      <c r="G1" s="60" t="s">
        <v>26</v>
      </c>
      <c r="H1" s="60"/>
      <c r="I1" s="60"/>
    </row>
    <row r="2" spans="1:9" ht="19.5" customHeight="1">
      <c r="A2" s="63" t="s">
        <v>2</v>
      </c>
      <c r="B2" s="63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45">
      <c r="A4" s="52" t="s">
        <v>10</v>
      </c>
      <c r="B4" s="10" t="str" cm="1">
        <f t="array" ref="B4:B12">Sites[State]</f>
        <v>AZ</v>
      </c>
      <c r="C4" s="25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4.45">
      <c r="A5" s="53" t="s">
        <v>11</v>
      </c>
      <c r="B5" s="11" t="str">
        <v>AZ</v>
      </c>
      <c r="C5" s="12">
        <f>SUM(Oct!C5, Nov!C5, Dec!C5)</f>
        <v>0</v>
      </c>
      <c r="D5" s="19">
        <f>SUM(Oct!D5, Nov!D5, Dec!D5)</f>
        <v>0</v>
      </c>
      <c r="E5" s="19">
        <f t="shared" ref="E5:E12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4.45">
      <c r="A6" s="52" t="s">
        <v>12</v>
      </c>
      <c r="B6" s="10" t="str">
        <v>AZ</v>
      </c>
      <c r="C6" s="25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2" si="1">IFERROR(E6/D6, "")</f>
        <v/>
      </c>
      <c r="G6" s="15"/>
      <c r="H6" s="15">
        <f>SUM(Oct!H6, Nov!H6, Dec!H6)</f>
        <v>0</v>
      </c>
      <c r="I6" s="16" t="str">
        <f t="shared" ref="I6:I12" si="2">IFERROR(H6/G6, "")</f>
        <v/>
      </c>
    </row>
    <row r="7" spans="1:9" ht="14.45">
      <c r="A7" s="53" t="s">
        <v>13</v>
      </c>
      <c r="B7" s="11" t="str">
        <v>AZ</v>
      </c>
      <c r="C7" s="12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4.45">
      <c r="A8" s="42" t="s">
        <v>14</v>
      </c>
      <c r="B8" s="10" t="str">
        <v>AZ</v>
      </c>
      <c r="C8" s="25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4.45">
      <c r="A9" s="43" t="s">
        <v>15</v>
      </c>
      <c r="B9" s="11" t="str">
        <v>AZ</v>
      </c>
      <c r="C9" s="12">
        <f>SUM(Oct!C9, Nov!C9, Dec!C9)</f>
        <v>0</v>
      </c>
      <c r="D9" s="19">
        <f>SUM(Oct!D9, Nov!D9, Dec!D9)</f>
        <v>0</v>
      </c>
      <c r="E9" s="19">
        <f t="shared" si="0"/>
        <v>0</v>
      </c>
      <c r="F9" s="20" t="str">
        <f t="shared" si="1"/>
        <v/>
      </c>
      <c r="G9" s="21"/>
      <c r="H9" s="21">
        <f>SUM(Oct!H9, Nov!H9, Dec!H9)</f>
        <v>0</v>
      </c>
      <c r="I9" s="20" t="str">
        <f t="shared" si="2"/>
        <v/>
      </c>
    </row>
    <row r="10" spans="1:9" ht="14.45">
      <c r="A10" s="42" t="s">
        <v>16</v>
      </c>
      <c r="B10" s="10" t="str">
        <v>AZ</v>
      </c>
      <c r="C10" s="25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4.45">
      <c r="A11" s="43" t="s">
        <v>17</v>
      </c>
      <c r="B11" s="11" t="str">
        <v>AZ</v>
      </c>
      <c r="C11" s="12">
        <f>SUM(Oct!C11, Nov!C11, Dec!C11)</f>
        <v>0</v>
      </c>
      <c r="D11" s="19">
        <f>SUM(Oct!D11, Nov!D11, Dec!D11)</f>
        <v>0</v>
      </c>
      <c r="E11" s="19">
        <f t="shared" si="0"/>
        <v>0</v>
      </c>
      <c r="F11" s="20" t="str">
        <f t="shared" si="1"/>
        <v/>
      </c>
      <c r="G11" s="21"/>
      <c r="H11" s="21">
        <f>SUM(Oct!H11, Nov!H11, Dec!H11)</f>
        <v>0</v>
      </c>
      <c r="I11" s="20" t="str">
        <f t="shared" si="2"/>
        <v/>
      </c>
    </row>
    <row r="12" spans="1:9" ht="14.45">
      <c r="A12" s="42" t="s">
        <v>18</v>
      </c>
      <c r="B12" s="10" t="str">
        <v>AZ</v>
      </c>
      <c r="C12" s="25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9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9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9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9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9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9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9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9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9">
      <c r="A338" s="22"/>
      <c r="B338" s="22"/>
      <c r="C338" s="22"/>
      <c r="D338" s="22"/>
      <c r="E338" s="22"/>
      <c r="F338" s="23"/>
      <c r="G338" s="22"/>
      <c r="H338" s="22"/>
      <c r="I338" s="23"/>
    </row>
  </sheetData>
  <mergeCells count="4">
    <mergeCell ref="G1:I1"/>
    <mergeCell ref="A1:C1"/>
    <mergeCell ref="D1:F1"/>
    <mergeCell ref="A2:B2"/>
  </mergeCells>
  <conditionalFormatting sqref="F2 I2 F4:F96 I4:I96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ySplit="3" topLeftCell="A4" activePane="bottomLeft" state="frozen"/>
      <selection pane="bottomLeft" activeCell="L27" sqref="L27"/>
      <selection activeCell="D18" sqref="D1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Marana USD</v>
      </c>
      <c r="B1" s="61"/>
      <c r="C1" s="61"/>
      <c r="D1" s="62" t="s">
        <v>27</v>
      </c>
      <c r="E1" s="62"/>
      <c r="F1" s="62"/>
      <c r="G1" s="60" t="s">
        <v>28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SUM(C4:C94)</f>
        <v>240925</v>
      </c>
      <c r="D2" s="6">
        <f>SUM(D4:D94)</f>
        <v>0</v>
      </c>
      <c r="E2" s="6">
        <f>C2-D2</f>
        <v>240925</v>
      </c>
      <c r="F2" s="7">
        <f>IFERROR(E2/D2, 0)</f>
        <v>0</v>
      </c>
      <c r="G2" s="6">
        <f>SUM(G4:G94)</f>
        <v>0</v>
      </c>
      <c r="H2" s="8">
        <f>C2-G2</f>
        <v>240925</v>
      </c>
      <c r="I2" s="7">
        <f>IFERROR(H2/G2, 0)</f>
        <v>0</v>
      </c>
      <c r="J2" s="27" t="str">
        <f ca="1">IF(AND(TODAY()&gt;DATE(2024, 1,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8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>
        <v>15252</v>
      </c>
      <c r="D4" s="13">
        <v>0</v>
      </c>
      <c r="E4" s="13">
        <f>IF(AND(ISNUMBER(C4),ISNUMBER(D4)), C4-D4, "")</f>
        <v>15252</v>
      </c>
      <c r="F4" s="44">
        <f>IFERROR(E4/D4, 0)</f>
        <v>0</v>
      </c>
      <c r="G4" s="15">
        <v>0</v>
      </c>
      <c r="H4" s="15">
        <f>IF(AND(ISNUMBER(C4),ISNUMBER(G4)), C4-G4, "")</f>
        <v>15252</v>
      </c>
      <c r="I4" s="46">
        <f>IFERROR(H4/G4, 0)</f>
        <v>0</v>
      </c>
      <c r="J4" s="17"/>
      <c r="K4" s="17"/>
    </row>
    <row r="5" spans="1:11" ht="28.9">
      <c r="A5" s="53" t="s">
        <v>11</v>
      </c>
      <c r="B5" s="32" t="str">
        <v>AZ</v>
      </c>
      <c r="C5" s="12">
        <v>12109</v>
      </c>
      <c r="D5" s="19">
        <v>0</v>
      </c>
      <c r="E5" s="19">
        <f t="shared" ref="E5:E6" si="0">IF(AND(ISNUMBER(C5),ISNUMBER(D5)), C5-D5, "")</f>
        <v>12109</v>
      </c>
      <c r="F5" s="45">
        <f t="shared" ref="F5:F12" si="1">IFERROR(E5/D5, 0)</f>
        <v>0</v>
      </c>
      <c r="G5" s="21">
        <v>0</v>
      </c>
      <c r="H5" s="21">
        <f t="shared" ref="H5:H6" si="2">IF(AND(ISNUMBER(C5),ISNUMBER(G5)), C5-G5, "")</f>
        <v>12109</v>
      </c>
      <c r="I5" s="20">
        <f t="shared" ref="I5:I12" si="3">IFERROR(H5/G5, 0)</f>
        <v>0</v>
      </c>
      <c r="J5" s="49" t="s">
        <v>31</v>
      </c>
      <c r="K5" s="49" t="s">
        <v>32</v>
      </c>
    </row>
    <row r="6" spans="1:11" ht="28.9">
      <c r="A6" s="52" t="s">
        <v>12</v>
      </c>
      <c r="B6" s="30" t="str">
        <v>AZ</v>
      </c>
      <c r="C6" s="25">
        <v>23382</v>
      </c>
      <c r="D6" s="13">
        <v>0</v>
      </c>
      <c r="E6" s="13">
        <f t="shared" si="0"/>
        <v>23382</v>
      </c>
      <c r="F6" s="44">
        <f t="shared" si="1"/>
        <v>0</v>
      </c>
      <c r="G6" s="15">
        <v>0</v>
      </c>
      <c r="H6" s="15">
        <f t="shared" si="2"/>
        <v>23382</v>
      </c>
      <c r="I6" s="46">
        <f t="shared" si="3"/>
        <v>0</v>
      </c>
      <c r="J6" s="17" t="s">
        <v>33</v>
      </c>
      <c r="K6" s="17" t="s">
        <v>34</v>
      </c>
    </row>
    <row r="7" spans="1:11" ht="15.6">
      <c r="A7" s="53" t="s">
        <v>13</v>
      </c>
      <c r="B7" s="32" t="str">
        <v>AZ</v>
      </c>
      <c r="C7" s="12">
        <v>100460</v>
      </c>
      <c r="D7" s="19">
        <v>0</v>
      </c>
      <c r="E7" s="19">
        <f t="shared" ref="E7:E12" si="4">IF(AND(ISNUMBER(C7),ISNUMBER(D7)), C7-D7, "")</f>
        <v>100460</v>
      </c>
      <c r="F7" s="45">
        <f t="shared" si="1"/>
        <v>0</v>
      </c>
      <c r="G7" s="21">
        <v>0</v>
      </c>
      <c r="H7" s="21">
        <f t="shared" ref="H7:H12" si="5">IF(AND(ISNUMBER(C7),ISNUMBER(G7)), C7-G7, "")</f>
        <v>100460</v>
      </c>
      <c r="I7" s="20">
        <f t="shared" si="3"/>
        <v>0</v>
      </c>
      <c r="J7" s="11"/>
      <c r="K7" s="18"/>
    </row>
    <row r="8" spans="1:11" ht="28.9">
      <c r="A8" s="42" t="s">
        <v>14</v>
      </c>
      <c r="B8" s="30" t="str">
        <v>AZ</v>
      </c>
      <c r="C8" s="25">
        <v>4897</v>
      </c>
      <c r="D8" s="13">
        <v>0</v>
      </c>
      <c r="E8" s="13">
        <f t="shared" si="4"/>
        <v>4897</v>
      </c>
      <c r="F8" s="44">
        <f t="shared" si="1"/>
        <v>0</v>
      </c>
      <c r="G8" s="15">
        <v>0</v>
      </c>
      <c r="H8" s="15">
        <f t="shared" si="5"/>
        <v>4897</v>
      </c>
      <c r="I8" s="46">
        <f t="shared" si="3"/>
        <v>0</v>
      </c>
      <c r="J8" s="17" t="s">
        <v>35</v>
      </c>
      <c r="K8" s="17" t="s">
        <v>36</v>
      </c>
    </row>
    <row r="9" spans="1:11" ht="14.45">
      <c r="A9" s="43" t="s">
        <v>15</v>
      </c>
      <c r="B9" s="32" t="str">
        <v>AZ</v>
      </c>
      <c r="C9" s="12">
        <v>21507</v>
      </c>
      <c r="D9" s="19">
        <v>0</v>
      </c>
      <c r="E9" s="19">
        <f t="shared" si="4"/>
        <v>21507</v>
      </c>
      <c r="F9" s="45">
        <f t="shared" si="1"/>
        <v>0</v>
      </c>
      <c r="G9" s="21">
        <v>0</v>
      </c>
      <c r="H9" s="21">
        <f t="shared" si="5"/>
        <v>21507</v>
      </c>
      <c r="I9" s="20">
        <f t="shared" si="3"/>
        <v>0</v>
      </c>
      <c r="J9" s="50" t="s">
        <v>37</v>
      </c>
      <c r="K9" s="50" t="s">
        <v>38</v>
      </c>
    </row>
    <row r="10" spans="1:11" ht="14.45">
      <c r="A10" s="42" t="s">
        <v>16</v>
      </c>
      <c r="B10" s="30" t="str">
        <v>AZ</v>
      </c>
      <c r="C10" s="25">
        <v>10517</v>
      </c>
      <c r="D10" s="13">
        <v>0</v>
      </c>
      <c r="E10" s="13">
        <f t="shared" si="4"/>
        <v>10517</v>
      </c>
      <c r="F10" s="44">
        <f t="shared" si="1"/>
        <v>0</v>
      </c>
      <c r="G10" s="15">
        <v>0</v>
      </c>
      <c r="H10" s="15">
        <f t="shared" si="5"/>
        <v>10517</v>
      </c>
      <c r="I10" s="46">
        <f t="shared" si="3"/>
        <v>0</v>
      </c>
      <c r="J10" s="17"/>
      <c r="K10" s="17"/>
    </row>
    <row r="11" spans="1:11" ht="14.45">
      <c r="A11" s="43" t="s">
        <v>17</v>
      </c>
      <c r="B11" s="32" t="str">
        <v>AZ</v>
      </c>
      <c r="C11" s="12">
        <v>28275</v>
      </c>
      <c r="D11" s="19">
        <v>0</v>
      </c>
      <c r="E11" s="19">
        <f t="shared" si="4"/>
        <v>28275</v>
      </c>
      <c r="F11" s="45">
        <f t="shared" si="1"/>
        <v>0</v>
      </c>
      <c r="G11" s="21">
        <v>0</v>
      </c>
      <c r="H11" s="21">
        <f t="shared" si="5"/>
        <v>28275</v>
      </c>
      <c r="I11" s="20">
        <f t="shared" si="3"/>
        <v>0</v>
      </c>
      <c r="J11" s="51" t="s">
        <v>39</v>
      </c>
      <c r="K11" s="51" t="s">
        <v>40</v>
      </c>
    </row>
    <row r="12" spans="1:11" ht="14.45">
      <c r="A12" s="42" t="s">
        <v>18</v>
      </c>
      <c r="B12" s="30" t="str">
        <v>AZ</v>
      </c>
      <c r="C12" s="25">
        <v>24526</v>
      </c>
      <c r="D12" s="13">
        <v>0</v>
      </c>
      <c r="E12" s="13">
        <f t="shared" si="4"/>
        <v>24526</v>
      </c>
      <c r="F12" s="44">
        <f t="shared" si="1"/>
        <v>0</v>
      </c>
      <c r="G12" s="15">
        <v>0</v>
      </c>
      <c r="H12" s="15">
        <f t="shared" si="5"/>
        <v>24526</v>
      </c>
      <c r="I12" s="46">
        <f t="shared" si="3"/>
        <v>0</v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</sheetData>
  <mergeCells count="4">
    <mergeCell ref="D1:F1"/>
    <mergeCell ref="A1:C1"/>
    <mergeCell ref="G1:I1"/>
    <mergeCell ref="A2:B2"/>
  </mergeCells>
  <conditionalFormatting sqref="F2 I2 F13:F94 I13:I94">
    <cfRule type="cellIs" dxfId="25" priority="2" stopIfTrue="1" operator="lessThanOrEqual">
      <formula>-0.1</formula>
    </cfRule>
    <cfRule type="expression" dxfId="24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8"/>
  <sheetViews>
    <sheetView topLeftCell="B1" zoomScale="90" zoomScaleNormal="90" workbookViewId="0">
      <pane ySplit="2" topLeftCell="A3" activePane="bottomLeft" state="frozen"/>
      <selection pane="bottomLeft" activeCell="J15" sqref="J15"/>
      <selection activeCell="D18" sqref="D1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Marana USD</v>
      </c>
      <c r="B1" s="61"/>
      <c r="C1" s="61"/>
      <c r="D1" s="62" t="s">
        <v>41</v>
      </c>
      <c r="E1" s="62"/>
      <c r="F1" s="62"/>
      <c r="G1" s="60" t="s">
        <v>42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SUM(C4:C96)</f>
        <v>264671</v>
      </c>
      <c r="D2" s="6">
        <f>SUM(D4:D96)</f>
        <v>0</v>
      </c>
      <c r="E2" s="6">
        <f>C2-D2</f>
        <v>264671</v>
      </c>
      <c r="F2" s="7">
        <f>IFERROR(E2/D2, 0)</f>
        <v>0</v>
      </c>
      <c r="G2" s="6">
        <f>SUM(G4:G96)</f>
        <v>0</v>
      </c>
      <c r="H2" s="8">
        <f>C2-G2</f>
        <v>264671</v>
      </c>
      <c r="I2" s="7">
        <f>IFERROR(H2/G2, 0)</f>
        <v>0</v>
      </c>
      <c r="J2" s="27" t="str">
        <f ca="1">IF(AND(TODAY()&gt;DATE(2024, 2,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>
        <v>16822</v>
      </c>
      <c r="D4" s="13">
        <v>0</v>
      </c>
      <c r="E4" s="13">
        <f>IF(AND(ISNUMBER(C4),ISNUMBER(D4)), C4-D4, "")</f>
        <v>16822</v>
      </c>
      <c r="F4" s="14" t="str">
        <f>IFERROR(E4/D4, "")</f>
        <v/>
      </c>
      <c r="G4" s="15">
        <v>0</v>
      </c>
      <c r="H4" s="15">
        <f>IF(AND(ISNUMBER(C4),ISNUMBER(G4)), C4-G4, "")</f>
        <v>16822</v>
      </c>
      <c r="I4" s="16" t="str">
        <f>IFERROR(H4/G4, "")</f>
        <v/>
      </c>
      <c r="J4" s="17"/>
      <c r="K4" s="17"/>
    </row>
    <row r="5" spans="1:11" ht="28.9">
      <c r="A5" s="53" t="s">
        <v>11</v>
      </c>
      <c r="B5" s="32" t="str">
        <v>AZ</v>
      </c>
      <c r="C5" s="12">
        <v>13631</v>
      </c>
      <c r="D5" s="19">
        <v>0</v>
      </c>
      <c r="E5" s="19">
        <f t="shared" ref="E5:E12" si="0">IF(AND(ISNUMBER(C5),ISNUMBER(D5)), C5-D5, "")</f>
        <v>13631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13631</v>
      </c>
      <c r="I5" s="20" t="str">
        <f t="shared" ref="I5:I12" si="2">IFERROR(H5/G5, "")</f>
        <v/>
      </c>
      <c r="J5" s="54" t="s">
        <v>43</v>
      </c>
      <c r="K5" s="54" t="s">
        <v>32</v>
      </c>
    </row>
    <row r="6" spans="1:11" ht="14.45">
      <c r="A6" s="52" t="s">
        <v>12</v>
      </c>
      <c r="B6" s="30" t="str">
        <v>AZ</v>
      </c>
      <c r="C6" s="25">
        <v>25498</v>
      </c>
      <c r="D6" s="13">
        <v>0</v>
      </c>
      <c r="E6" s="13">
        <f t="shared" si="0"/>
        <v>25498</v>
      </c>
      <c r="F6" s="14" t="str">
        <f t="shared" ref="F6:F12" si="3">IFERROR(E6/D6, "")</f>
        <v/>
      </c>
      <c r="G6" s="15">
        <v>0</v>
      </c>
      <c r="H6" s="15">
        <f t="shared" si="1"/>
        <v>25498</v>
      </c>
      <c r="I6" s="16" t="str">
        <f t="shared" si="2"/>
        <v/>
      </c>
      <c r="J6" s="17"/>
      <c r="K6" s="17"/>
    </row>
    <row r="7" spans="1:11" ht="15.6">
      <c r="A7" s="53" t="s">
        <v>13</v>
      </c>
      <c r="B7" s="32" t="str">
        <v>AZ</v>
      </c>
      <c r="C7" s="12">
        <v>108379</v>
      </c>
      <c r="D7" s="19">
        <v>0</v>
      </c>
      <c r="E7" s="19">
        <f t="shared" si="0"/>
        <v>108379</v>
      </c>
      <c r="F7" s="20" t="str">
        <f t="shared" si="3"/>
        <v/>
      </c>
      <c r="G7" s="21">
        <v>0</v>
      </c>
      <c r="H7" s="21">
        <f t="shared" si="1"/>
        <v>108379</v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>
        <v>16195</v>
      </c>
      <c r="D8" s="13">
        <v>0</v>
      </c>
      <c r="E8" s="13">
        <f t="shared" si="0"/>
        <v>16195</v>
      </c>
      <c r="F8" s="14" t="str">
        <f t="shared" si="3"/>
        <v/>
      </c>
      <c r="G8" s="15">
        <v>0</v>
      </c>
      <c r="H8" s="15">
        <f t="shared" si="1"/>
        <v>16195</v>
      </c>
      <c r="I8" s="16" t="str">
        <f t="shared" si="2"/>
        <v/>
      </c>
      <c r="J8" s="17"/>
      <c r="K8" s="17"/>
    </row>
    <row r="9" spans="1:11" ht="15.6">
      <c r="A9" s="43" t="s">
        <v>15</v>
      </c>
      <c r="B9" s="32" t="str">
        <v>AZ</v>
      </c>
      <c r="C9" s="12">
        <v>13863</v>
      </c>
      <c r="D9" s="19">
        <v>0</v>
      </c>
      <c r="E9" s="19">
        <f t="shared" si="0"/>
        <v>13863</v>
      </c>
      <c r="F9" s="20" t="str">
        <f t="shared" si="3"/>
        <v/>
      </c>
      <c r="G9" s="21">
        <v>0</v>
      </c>
      <c r="H9" s="21">
        <f t="shared" si="1"/>
        <v>13863</v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>
        <v>9239</v>
      </c>
      <c r="D10" s="13">
        <v>0</v>
      </c>
      <c r="E10" s="13">
        <f t="shared" si="0"/>
        <v>9239</v>
      </c>
      <c r="F10" s="14" t="str">
        <f t="shared" si="3"/>
        <v/>
      </c>
      <c r="G10" s="15">
        <v>0</v>
      </c>
      <c r="H10" s="15">
        <f t="shared" si="1"/>
        <v>9239</v>
      </c>
      <c r="I10" s="16" t="str">
        <f t="shared" si="2"/>
        <v/>
      </c>
      <c r="J10" s="17" t="s">
        <v>44</v>
      </c>
      <c r="K10" s="17" t="s">
        <v>45</v>
      </c>
    </row>
    <row r="11" spans="1:11" ht="15.6">
      <c r="A11" s="43" t="s">
        <v>17</v>
      </c>
      <c r="B11" s="32" t="str">
        <v>AZ</v>
      </c>
      <c r="C11" s="12">
        <v>34032</v>
      </c>
      <c r="D11" s="19">
        <v>0</v>
      </c>
      <c r="E11" s="19">
        <f t="shared" si="0"/>
        <v>34032</v>
      </c>
      <c r="F11" s="20" t="str">
        <f t="shared" si="3"/>
        <v/>
      </c>
      <c r="G11" s="21">
        <v>0</v>
      </c>
      <c r="H11" s="21">
        <f t="shared" si="1"/>
        <v>34032</v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>
        <v>27012</v>
      </c>
      <c r="D12" s="13">
        <v>0</v>
      </c>
      <c r="E12" s="13">
        <f t="shared" si="0"/>
        <v>27012</v>
      </c>
      <c r="F12" s="14" t="str">
        <f t="shared" si="3"/>
        <v/>
      </c>
      <c r="G12" s="15">
        <v>0</v>
      </c>
      <c r="H12" s="15">
        <f t="shared" si="1"/>
        <v>27012</v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23" priority="1" stopIfTrue="1" operator="lessThanOrEqual">
      <formula>-0.1</formula>
    </cfRule>
    <cfRule type="expression" dxfId="2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8"/>
  <sheetViews>
    <sheetView topLeftCell="B1" zoomScale="90" zoomScaleNormal="90" workbookViewId="0">
      <pane ySplit="2" topLeftCell="A3" activePane="bottomLeft" state="frozen"/>
      <selection pane="bottomLeft" activeCell="J25" sqref="J25"/>
      <selection activeCell="D18" sqref="D1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Marana USD</v>
      </c>
      <c r="B1" s="61"/>
      <c r="C1" s="61"/>
      <c r="D1" s="62" t="s">
        <v>46</v>
      </c>
      <c r="E1" s="62"/>
      <c r="F1" s="62"/>
      <c r="G1" s="60" t="s">
        <v>47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SUM(C4:C96)</f>
        <v>351654</v>
      </c>
      <c r="D2" s="6">
        <f>SUM(D4:D96)</f>
        <v>0</v>
      </c>
      <c r="E2" s="6">
        <f>C2-D2</f>
        <v>351654</v>
      </c>
      <c r="F2" s="7">
        <f>IFERROR(E2/D2, 0)</f>
        <v>0</v>
      </c>
      <c r="G2" s="6">
        <f>SUM(G4:G96)</f>
        <v>0</v>
      </c>
      <c r="H2" s="8">
        <f>C2-G2</f>
        <v>351654</v>
      </c>
      <c r="I2" s="7">
        <f>IFERROR(H2/G2, 0)</f>
        <v>0</v>
      </c>
      <c r="J2" s="27" t="str">
        <f ca="1">IF(AND(TODAY()&gt;DATE(2024, 3,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>
        <v>22160</v>
      </c>
      <c r="D4" s="13">
        <v>0</v>
      </c>
      <c r="E4" s="13">
        <f>IF(AND(ISNUMBER(C4),ISNUMBER(D4)), C4-D4, "")</f>
        <v>22160</v>
      </c>
      <c r="F4" s="14" t="str">
        <f>IFERROR(E4/D4, "")</f>
        <v/>
      </c>
      <c r="G4" s="15">
        <v>0</v>
      </c>
      <c r="H4" s="15">
        <f>IF(AND(ISNUMBER(C4),ISNUMBER(G4)), C4-G4, "")</f>
        <v>22160</v>
      </c>
      <c r="I4" s="16" t="str">
        <f>IFERROR(H4/G4, "")</f>
        <v/>
      </c>
      <c r="J4" s="17"/>
      <c r="K4" s="17"/>
    </row>
    <row r="5" spans="1:11" ht="14.45">
      <c r="A5" s="53" t="s">
        <v>11</v>
      </c>
      <c r="B5" s="32" t="str">
        <v>AZ</v>
      </c>
      <c r="C5" s="12">
        <v>23973</v>
      </c>
      <c r="D5" s="19">
        <v>0</v>
      </c>
      <c r="E5" s="19">
        <f t="shared" ref="E5:E12" si="0">IF(AND(ISNUMBER(C5),ISNUMBER(D5)), C5-D5, "")</f>
        <v>23973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23973</v>
      </c>
      <c r="I5" s="20" t="str">
        <f t="shared" ref="I5:I12" si="2">IFERROR(H5/G5, "")</f>
        <v/>
      </c>
      <c r="J5" s="50" t="s">
        <v>48</v>
      </c>
      <c r="K5" s="50" t="s">
        <v>49</v>
      </c>
    </row>
    <row r="6" spans="1:11" ht="43.15">
      <c r="A6" s="52" t="s">
        <v>12</v>
      </c>
      <c r="B6" s="30" t="str">
        <v>AZ</v>
      </c>
      <c r="C6" s="25">
        <v>43234</v>
      </c>
      <c r="D6" s="13">
        <v>0</v>
      </c>
      <c r="E6" s="13">
        <f t="shared" si="0"/>
        <v>43234</v>
      </c>
      <c r="F6" s="14" t="str">
        <f t="shared" ref="F6:F12" si="3">IFERROR(E6/D6, "")</f>
        <v/>
      </c>
      <c r="G6" s="15">
        <v>0</v>
      </c>
      <c r="H6" s="15">
        <f t="shared" si="1"/>
        <v>43234</v>
      </c>
      <c r="I6" s="16" t="str">
        <f t="shared" si="2"/>
        <v/>
      </c>
      <c r="J6" s="17" t="s">
        <v>50</v>
      </c>
      <c r="K6" s="17" t="s">
        <v>51</v>
      </c>
    </row>
    <row r="7" spans="1:11" ht="28.9">
      <c r="A7" s="53" t="s">
        <v>13</v>
      </c>
      <c r="B7" s="32" t="str">
        <v>AZ</v>
      </c>
      <c r="C7" s="12">
        <v>131398</v>
      </c>
      <c r="D7" s="19">
        <v>0</v>
      </c>
      <c r="E7" s="19">
        <f t="shared" si="0"/>
        <v>131398</v>
      </c>
      <c r="F7" s="20" t="str">
        <f t="shared" si="3"/>
        <v/>
      </c>
      <c r="G7" s="21">
        <v>0</v>
      </c>
      <c r="H7" s="21">
        <f t="shared" si="1"/>
        <v>131398</v>
      </c>
      <c r="I7" s="20" t="str">
        <f t="shared" si="2"/>
        <v/>
      </c>
      <c r="J7" s="54" t="s">
        <v>52</v>
      </c>
      <c r="K7" s="50" t="s">
        <v>53</v>
      </c>
    </row>
    <row r="8" spans="1:11" ht="14.45">
      <c r="A8" s="42" t="s">
        <v>14</v>
      </c>
      <c r="B8" s="30" t="str">
        <v>AZ</v>
      </c>
      <c r="C8" s="25">
        <v>21475</v>
      </c>
      <c r="D8" s="13">
        <v>0</v>
      </c>
      <c r="E8" s="13">
        <f t="shared" si="0"/>
        <v>21475</v>
      </c>
      <c r="F8" s="14" t="str">
        <f t="shared" si="3"/>
        <v/>
      </c>
      <c r="G8" s="15">
        <v>0</v>
      </c>
      <c r="H8" s="15">
        <f t="shared" si="1"/>
        <v>21475</v>
      </c>
      <c r="I8" s="16" t="str">
        <f t="shared" si="2"/>
        <v/>
      </c>
      <c r="J8" s="17"/>
      <c r="K8" s="17"/>
    </row>
    <row r="9" spans="1:11" ht="14.45">
      <c r="A9" s="43" t="s">
        <v>15</v>
      </c>
      <c r="B9" s="32" t="str">
        <v>AZ</v>
      </c>
      <c r="C9" s="12">
        <v>15457</v>
      </c>
      <c r="D9" s="19">
        <v>0</v>
      </c>
      <c r="E9" s="19">
        <f t="shared" si="0"/>
        <v>15457</v>
      </c>
      <c r="F9" s="20" t="str">
        <f t="shared" si="3"/>
        <v/>
      </c>
      <c r="G9" s="21">
        <v>0</v>
      </c>
      <c r="H9" s="21">
        <f t="shared" si="1"/>
        <v>15457</v>
      </c>
      <c r="I9" s="20" t="str">
        <f t="shared" si="2"/>
        <v/>
      </c>
      <c r="J9" s="11"/>
      <c r="K9" s="11"/>
    </row>
    <row r="10" spans="1:11" ht="14.45">
      <c r="A10" s="42" t="s">
        <v>16</v>
      </c>
      <c r="B10" s="30" t="str">
        <v>AZ</v>
      </c>
      <c r="C10" s="25">
        <v>17242</v>
      </c>
      <c r="D10" s="13">
        <v>0</v>
      </c>
      <c r="E10" s="13">
        <f t="shared" si="0"/>
        <v>17242</v>
      </c>
      <c r="F10" s="14" t="str">
        <f t="shared" si="3"/>
        <v/>
      </c>
      <c r="G10" s="15">
        <v>0</v>
      </c>
      <c r="H10" s="15">
        <f t="shared" si="1"/>
        <v>17242</v>
      </c>
      <c r="I10" s="16" t="str">
        <f t="shared" si="2"/>
        <v/>
      </c>
      <c r="J10" s="17"/>
      <c r="K10" s="17"/>
    </row>
    <row r="11" spans="1:11" ht="14.45">
      <c r="A11" s="43" t="s">
        <v>17</v>
      </c>
      <c r="B11" s="32" t="str">
        <v>AZ</v>
      </c>
      <c r="C11" s="12">
        <v>42307</v>
      </c>
      <c r="D11" s="19">
        <v>0</v>
      </c>
      <c r="E11" s="19">
        <f t="shared" si="0"/>
        <v>42307</v>
      </c>
      <c r="F11" s="20" t="str">
        <f t="shared" si="3"/>
        <v/>
      </c>
      <c r="G11" s="21">
        <v>0</v>
      </c>
      <c r="H11" s="21">
        <f t="shared" si="1"/>
        <v>42307</v>
      </c>
      <c r="I11" s="20" t="str">
        <f t="shared" si="2"/>
        <v/>
      </c>
      <c r="J11" s="50" t="s">
        <v>54</v>
      </c>
      <c r="K11" s="50" t="s">
        <v>55</v>
      </c>
    </row>
    <row r="12" spans="1:11" ht="14.45">
      <c r="A12" s="42" t="s">
        <v>18</v>
      </c>
      <c r="B12" s="30" t="str">
        <v>AZ</v>
      </c>
      <c r="C12" s="25">
        <v>34408</v>
      </c>
      <c r="D12" s="13">
        <v>0</v>
      </c>
      <c r="E12" s="13">
        <f t="shared" si="0"/>
        <v>34408</v>
      </c>
      <c r="F12" s="14" t="str">
        <f t="shared" si="3"/>
        <v/>
      </c>
      <c r="G12" s="15">
        <v>0</v>
      </c>
      <c r="H12" s="15">
        <f t="shared" si="1"/>
        <v>34408</v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8"/>
  <sheetViews>
    <sheetView zoomScale="70" zoomScaleNormal="70" workbookViewId="0">
      <pane ySplit="2" topLeftCell="A3" activePane="bottomLeft" state="frozen"/>
      <selection pane="bottomLeft" activeCell="F19" sqref="F19"/>
      <selection activeCell="D18" sqref="D1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Marana USD</v>
      </c>
      <c r="B1" s="61"/>
      <c r="C1" s="61"/>
      <c r="D1" s="62" t="s">
        <v>56</v>
      </c>
      <c r="E1" s="62"/>
      <c r="F1" s="62"/>
      <c r="G1" s="60" t="s">
        <v>57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SUM(C4:C96)</f>
        <v>370051</v>
      </c>
      <c r="D2" s="6">
        <f>SUM(D4:D96)</f>
        <v>0</v>
      </c>
      <c r="E2" s="6">
        <f>C2-D2</f>
        <v>370051</v>
      </c>
      <c r="F2" s="7">
        <f>IFERROR(E2/D2, 0)</f>
        <v>0</v>
      </c>
      <c r="G2" s="6">
        <f>SUM(G4:G96)</f>
        <v>0</v>
      </c>
      <c r="H2" s="8">
        <f>C2-G2</f>
        <v>370051</v>
      </c>
      <c r="I2" s="7">
        <f>IFERROR(H2/G2, 0)</f>
        <v>0</v>
      </c>
      <c r="J2" s="27" t="str">
        <f ca="1">IF(AND(TODAY()&gt;DATE(2024, 4,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>
        <v>28307</v>
      </c>
      <c r="D4" s="13">
        <v>0</v>
      </c>
      <c r="E4" s="13">
        <f>IF(AND(ISNUMBER(C4),ISNUMBER(D4)), C4-D4, "")</f>
        <v>28307</v>
      </c>
      <c r="F4" s="14" t="str">
        <f>IFERROR(E4/D4, "")</f>
        <v/>
      </c>
      <c r="G4" s="15">
        <v>0</v>
      </c>
      <c r="H4" s="15">
        <f>IF(AND(ISNUMBER(C4),ISNUMBER(G4)), C4-G4, "")</f>
        <v>28307</v>
      </c>
      <c r="I4" s="16" t="str">
        <f>IFERROR(H4/G4, "")</f>
        <v/>
      </c>
      <c r="J4" s="17"/>
      <c r="K4" s="17"/>
    </row>
    <row r="5" spans="1:11" ht="14.45">
      <c r="A5" s="53" t="s">
        <v>11</v>
      </c>
      <c r="B5" s="32" t="str">
        <v>AZ</v>
      </c>
      <c r="C5" s="12">
        <v>33231</v>
      </c>
      <c r="D5" s="19">
        <v>0</v>
      </c>
      <c r="E5" s="19">
        <f t="shared" ref="E5:E12" si="0">IF(AND(ISNUMBER(C5),ISNUMBER(D5)), C5-D5, "")</f>
        <v>33231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33231</v>
      </c>
      <c r="I5" s="20" t="str">
        <f t="shared" ref="I5:I12" si="2">IFERROR(H5/G5, "")</f>
        <v/>
      </c>
      <c r="J5" s="50"/>
      <c r="K5" s="50"/>
    </row>
    <row r="6" spans="1:11" ht="28.9">
      <c r="A6" s="52" t="s">
        <v>12</v>
      </c>
      <c r="B6" s="30" t="str">
        <v>AZ</v>
      </c>
      <c r="C6" s="25">
        <v>8609</v>
      </c>
      <c r="D6" s="13">
        <v>0</v>
      </c>
      <c r="E6" s="13">
        <f t="shared" si="0"/>
        <v>8609</v>
      </c>
      <c r="F6" s="14" t="str">
        <f t="shared" ref="F6:F12" si="3">IFERROR(E6/D6, "")</f>
        <v/>
      </c>
      <c r="G6" s="15">
        <v>0</v>
      </c>
      <c r="H6" s="15">
        <f t="shared" si="1"/>
        <v>8609</v>
      </c>
      <c r="I6" s="16" t="str">
        <f t="shared" si="2"/>
        <v/>
      </c>
      <c r="J6" s="17" t="s">
        <v>58</v>
      </c>
      <c r="K6" s="17" t="s">
        <v>59</v>
      </c>
    </row>
    <row r="7" spans="1:11" ht="14.45">
      <c r="A7" s="53" t="s">
        <v>13</v>
      </c>
      <c r="B7" s="32" t="str">
        <v>AZ</v>
      </c>
      <c r="C7" s="12">
        <v>158739</v>
      </c>
      <c r="D7" s="19">
        <v>0</v>
      </c>
      <c r="E7" s="19">
        <f t="shared" si="0"/>
        <v>158739</v>
      </c>
      <c r="F7" s="20" t="str">
        <f t="shared" si="3"/>
        <v/>
      </c>
      <c r="G7" s="21">
        <v>0</v>
      </c>
      <c r="H7" s="21">
        <f t="shared" si="1"/>
        <v>158739</v>
      </c>
      <c r="I7" s="20" t="str">
        <f t="shared" si="2"/>
        <v/>
      </c>
      <c r="J7" s="50"/>
      <c r="K7" s="50"/>
    </row>
    <row r="8" spans="1:11" ht="14.45">
      <c r="A8" s="42" t="s">
        <v>14</v>
      </c>
      <c r="B8" s="30" t="str">
        <v>AZ</v>
      </c>
      <c r="C8" s="25">
        <v>28996</v>
      </c>
      <c r="D8" s="13">
        <v>0</v>
      </c>
      <c r="E8" s="13">
        <f t="shared" si="0"/>
        <v>28996</v>
      </c>
      <c r="F8" s="14" t="str">
        <f t="shared" si="3"/>
        <v/>
      </c>
      <c r="G8" s="15">
        <v>0</v>
      </c>
      <c r="H8" s="15">
        <f t="shared" si="1"/>
        <v>28996</v>
      </c>
      <c r="I8" s="16" t="str">
        <f t="shared" si="2"/>
        <v/>
      </c>
      <c r="J8" s="17"/>
      <c r="K8" s="17"/>
    </row>
    <row r="9" spans="1:11" ht="14.45">
      <c r="A9" s="43" t="s">
        <v>15</v>
      </c>
      <c r="B9" s="32" t="str">
        <v>AZ</v>
      </c>
      <c r="C9" s="12">
        <v>0</v>
      </c>
      <c r="D9" s="19">
        <v>0</v>
      </c>
      <c r="E9" s="19">
        <f t="shared" si="0"/>
        <v>0</v>
      </c>
      <c r="F9" s="20" t="str">
        <f t="shared" si="3"/>
        <v/>
      </c>
      <c r="G9" s="21">
        <v>0</v>
      </c>
      <c r="H9" s="21">
        <f t="shared" si="1"/>
        <v>0</v>
      </c>
      <c r="I9" s="20" t="str">
        <f t="shared" si="2"/>
        <v/>
      </c>
      <c r="J9" s="50" t="s">
        <v>60</v>
      </c>
      <c r="K9" s="50" t="s">
        <v>61</v>
      </c>
    </row>
    <row r="10" spans="1:11" ht="14.45">
      <c r="A10" s="42" t="s">
        <v>16</v>
      </c>
      <c r="B10" s="30" t="str">
        <v>AZ</v>
      </c>
      <c r="C10" s="25">
        <v>21773</v>
      </c>
      <c r="D10" s="13">
        <v>0</v>
      </c>
      <c r="E10" s="13">
        <f t="shared" si="0"/>
        <v>21773</v>
      </c>
      <c r="F10" s="14" t="str">
        <f t="shared" si="3"/>
        <v/>
      </c>
      <c r="G10" s="15">
        <v>0</v>
      </c>
      <c r="H10" s="15">
        <f t="shared" si="1"/>
        <v>21773</v>
      </c>
      <c r="I10" s="16" t="str">
        <f t="shared" si="2"/>
        <v/>
      </c>
      <c r="J10" s="17"/>
      <c r="K10" s="17"/>
    </row>
    <row r="11" spans="1:11" ht="14.45">
      <c r="A11" s="43" t="s">
        <v>17</v>
      </c>
      <c r="B11" s="32" t="str">
        <v>AZ</v>
      </c>
      <c r="C11" s="12">
        <v>49894</v>
      </c>
      <c r="D11" s="19">
        <v>0</v>
      </c>
      <c r="E11" s="19">
        <f t="shared" si="0"/>
        <v>49894</v>
      </c>
      <c r="F11" s="20" t="str">
        <f t="shared" si="3"/>
        <v/>
      </c>
      <c r="G11" s="21">
        <v>0</v>
      </c>
      <c r="H11" s="21">
        <f t="shared" si="1"/>
        <v>49894</v>
      </c>
      <c r="I11" s="20" t="str">
        <f t="shared" si="2"/>
        <v/>
      </c>
      <c r="J11" s="50"/>
      <c r="K11" s="50"/>
    </row>
    <row r="12" spans="1:11" ht="14.45">
      <c r="A12" s="42" t="s">
        <v>18</v>
      </c>
      <c r="B12" s="30" t="str">
        <v>AZ</v>
      </c>
      <c r="C12" s="25">
        <v>40502</v>
      </c>
      <c r="D12" s="13">
        <v>0</v>
      </c>
      <c r="E12" s="13">
        <f t="shared" si="0"/>
        <v>40502</v>
      </c>
      <c r="F12" s="14" t="str">
        <f t="shared" si="3"/>
        <v/>
      </c>
      <c r="G12" s="15">
        <v>0</v>
      </c>
      <c r="H12" s="15">
        <f t="shared" si="1"/>
        <v>40502</v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8"/>
  <sheetViews>
    <sheetView zoomScale="80" zoomScaleNormal="80" workbookViewId="0">
      <pane ySplit="2" topLeftCell="K18" activePane="bottomLeft" state="frozen"/>
      <selection pane="bottomLeft" activeCell="K18" sqref="K18"/>
      <selection activeCell="D18" sqref="D1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Marana USD</v>
      </c>
      <c r="B1" s="61"/>
      <c r="C1" s="61"/>
      <c r="D1" s="62" t="s">
        <v>62</v>
      </c>
      <c r="E1" s="62"/>
      <c r="F1" s="62"/>
      <c r="G1" s="60" t="s">
        <v>63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SUM(C4:C96)</f>
        <v>385438</v>
      </c>
      <c r="D2" s="6">
        <f>SUM(D4:D96)</f>
        <v>0</v>
      </c>
      <c r="E2" s="6">
        <f>C2-D2</f>
        <v>385438</v>
      </c>
      <c r="F2" s="7">
        <f>IFERROR(E2/D2, 0)</f>
        <v>0</v>
      </c>
      <c r="G2" s="6">
        <f>SUM(G4:G96)</f>
        <v>0</v>
      </c>
      <c r="H2" s="8">
        <f>C2-G2</f>
        <v>385438</v>
      </c>
      <c r="I2" s="7">
        <f>IFERROR(H2/G2, 0)</f>
        <v>0</v>
      </c>
      <c r="J2" s="27" t="str">
        <f ca="1">IF(AND(TODAY()&gt;DATE(2024, 5,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>
        <v>34811</v>
      </c>
      <c r="D4" s="13">
        <v>0</v>
      </c>
      <c r="E4" s="13">
        <f>IF(AND(ISNUMBER(C4),ISNUMBER(D4)), C4-D4, "")</f>
        <v>34811</v>
      </c>
      <c r="F4" s="14" t="str">
        <f>IFERROR(E4/D4, "")</f>
        <v/>
      </c>
      <c r="G4" s="15">
        <v>0</v>
      </c>
      <c r="H4" s="15">
        <f>IF(AND(ISNUMBER(C4),ISNUMBER(G4)), C4-G4, "")</f>
        <v>34811</v>
      </c>
      <c r="I4" s="16" t="str">
        <f>IFERROR(H4/G4, "")</f>
        <v/>
      </c>
      <c r="J4" s="17"/>
      <c r="K4" s="17"/>
    </row>
    <row r="5" spans="1:11" ht="14.45">
      <c r="A5" s="53" t="s">
        <v>11</v>
      </c>
      <c r="B5" s="32" t="str">
        <v>AZ</v>
      </c>
      <c r="C5" s="12">
        <v>35553</v>
      </c>
      <c r="D5" s="19">
        <v>0</v>
      </c>
      <c r="E5" s="19">
        <f t="shared" ref="E5:E12" si="0">IF(AND(ISNUMBER(C5),ISNUMBER(D5)), C5-D5, "")</f>
        <v>35553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35553</v>
      </c>
      <c r="I5" s="20" t="str">
        <f t="shared" ref="I5:I12" si="2">IFERROR(H5/G5, "")</f>
        <v/>
      </c>
      <c r="J5" s="50"/>
      <c r="K5" s="50"/>
    </row>
    <row r="6" spans="1:11" ht="28.9">
      <c r="A6" s="52" t="s">
        <v>12</v>
      </c>
      <c r="B6" s="30" t="str">
        <v>AZ</v>
      </c>
      <c r="C6" s="25">
        <v>0</v>
      </c>
      <c r="D6" s="13">
        <v>0</v>
      </c>
      <c r="E6" s="13">
        <f t="shared" si="0"/>
        <v>0</v>
      </c>
      <c r="F6" s="14" t="str">
        <f t="shared" ref="F6:F12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17" t="s">
        <v>64</v>
      </c>
      <c r="K6" s="17" t="s">
        <v>59</v>
      </c>
    </row>
    <row r="7" spans="1:11" ht="14.45">
      <c r="A7" s="53" t="s">
        <v>13</v>
      </c>
      <c r="B7" s="32" t="str">
        <v>AZ</v>
      </c>
      <c r="C7" s="12">
        <v>175229</v>
      </c>
      <c r="D7" s="19">
        <v>0</v>
      </c>
      <c r="E7" s="19">
        <f t="shared" si="0"/>
        <v>175229</v>
      </c>
      <c r="F7" s="20" t="str">
        <f t="shared" si="3"/>
        <v/>
      </c>
      <c r="G7" s="21">
        <v>0</v>
      </c>
      <c r="H7" s="21">
        <f t="shared" si="1"/>
        <v>175229</v>
      </c>
      <c r="I7" s="20" t="str">
        <f t="shared" si="2"/>
        <v/>
      </c>
      <c r="J7" s="50"/>
      <c r="K7" s="50"/>
    </row>
    <row r="8" spans="1:11" ht="28.9">
      <c r="A8" s="42" t="s">
        <v>14</v>
      </c>
      <c r="B8" s="30" t="str">
        <v>AZ</v>
      </c>
      <c r="C8" s="25">
        <v>27119</v>
      </c>
      <c r="D8" s="13">
        <v>0</v>
      </c>
      <c r="E8" s="13">
        <f t="shared" si="0"/>
        <v>27119</v>
      </c>
      <c r="F8" s="14" t="str">
        <f t="shared" si="3"/>
        <v/>
      </c>
      <c r="G8" s="15">
        <v>0</v>
      </c>
      <c r="H8" s="15">
        <f t="shared" si="1"/>
        <v>27119</v>
      </c>
      <c r="I8" s="16" t="str">
        <f t="shared" si="2"/>
        <v/>
      </c>
      <c r="J8" s="17" t="s">
        <v>65</v>
      </c>
      <c r="K8" s="17" t="s">
        <v>66</v>
      </c>
    </row>
    <row r="9" spans="1:11" ht="14.45">
      <c r="A9" s="43" t="s">
        <v>15</v>
      </c>
      <c r="B9" s="32" t="str">
        <v>AZ</v>
      </c>
      <c r="C9" s="12">
        <v>0</v>
      </c>
      <c r="D9" s="19">
        <v>0</v>
      </c>
      <c r="E9" s="19">
        <f t="shared" si="0"/>
        <v>0</v>
      </c>
      <c r="F9" s="20" t="str">
        <f t="shared" si="3"/>
        <v/>
      </c>
      <c r="G9" s="21">
        <v>0</v>
      </c>
      <c r="H9" s="21">
        <f t="shared" si="1"/>
        <v>0</v>
      </c>
      <c r="I9" s="20" t="str">
        <f t="shared" si="2"/>
        <v/>
      </c>
      <c r="J9" s="50" t="s">
        <v>60</v>
      </c>
      <c r="K9" s="50" t="s">
        <v>61</v>
      </c>
    </row>
    <row r="10" spans="1:11" ht="14.45">
      <c r="A10" s="42" t="s">
        <v>16</v>
      </c>
      <c r="B10" s="30" t="str">
        <v>AZ</v>
      </c>
      <c r="C10" s="25">
        <v>23247</v>
      </c>
      <c r="D10" s="13">
        <v>0</v>
      </c>
      <c r="E10" s="13">
        <f t="shared" si="0"/>
        <v>23247</v>
      </c>
      <c r="F10" s="14" t="str">
        <f t="shared" si="3"/>
        <v/>
      </c>
      <c r="G10" s="15">
        <v>0</v>
      </c>
      <c r="H10" s="15">
        <f t="shared" si="1"/>
        <v>23247</v>
      </c>
      <c r="I10" s="16" t="str">
        <f t="shared" si="2"/>
        <v/>
      </c>
      <c r="J10" s="17"/>
      <c r="K10" s="17"/>
    </row>
    <row r="11" spans="1:11" ht="14.45">
      <c r="A11" s="43" t="s">
        <v>17</v>
      </c>
      <c r="B11" s="32" t="str">
        <v>AZ</v>
      </c>
      <c r="C11" s="12">
        <v>46390</v>
      </c>
      <c r="D11" s="19">
        <v>0</v>
      </c>
      <c r="E11" s="19">
        <f t="shared" si="0"/>
        <v>46390</v>
      </c>
      <c r="F11" s="20" t="str">
        <f t="shared" si="3"/>
        <v/>
      </c>
      <c r="G11" s="21">
        <v>0</v>
      </c>
      <c r="H11" s="21">
        <f t="shared" si="1"/>
        <v>46390</v>
      </c>
      <c r="I11" s="20" t="str">
        <f t="shared" si="2"/>
        <v/>
      </c>
      <c r="J11" s="50"/>
      <c r="K11" s="50"/>
    </row>
    <row r="12" spans="1:11" ht="14.45">
      <c r="A12" s="42" t="s">
        <v>18</v>
      </c>
      <c r="B12" s="30" t="str">
        <v>AZ</v>
      </c>
      <c r="C12" s="25">
        <v>43089</v>
      </c>
      <c r="D12" s="13">
        <v>0</v>
      </c>
      <c r="E12" s="13">
        <f t="shared" si="0"/>
        <v>43089</v>
      </c>
      <c r="F12" s="14" t="str">
        <f t="shared" si="3"/>
        <v/>
      </c>
      <c r="G12" s="15">
        <v>0</v>
      </c>
      <c r="H12" s="15">
        <f t="shared" si="1"/>
        <v>43089</v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8"/>
  <sheetViews>
    <sheetView zoomScale="90" zoomScaleNormal="90" workbookViewId="0">
      <pane ySplit="2" topLeftCell="A3" activePane="bottomLeft" state="frozen"/>
      <selection pane="bottomLeft" activeCell="K9" sqref="K9"/>
      <selection activeCell="D18" sqref="D1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Marana USD</v>
      </c>
      <c r="B1" s="61"/>
      <c r="C1" s="61"/>
      <c r="D1" s="62" t="s">
        <v>67</v>
      </c>
      <c r="E1" s="62"/>
      <c r="F1" s="62"/>
      <c r="G1" s="60" t="s">
        <v>68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SUM(C4:C96)</f>
        <v>312809</v>
      </c>
      <c r="D2" s="6">
        <f>SUM(D4:D96)</f>
        <v>0</v>
      </c>
      <c r="E2" s="6">
        <f>C2-D2</f>
        <v>312809</v>
      </c>
      <c r="F2" s="7">
        <f>IFERROR(E2/D2, 0)</f>
        <v>0</v>
      </c>
      <c r="G2" s="6">
        <f>SUM(G4:G96)</f>
        <v>0</v>
      </c>
      <c r="H2" s="8">
        <f>C2-G2</f>
        <v>312809</v>
      </c>
      <c r="I2" s="7">
        <f>IFERROR(H2/G2, 0)</f>
        <v>0</v>
      </c>
      <c r="J2" s="27" t="str">
        <f ca="1">IF(AND(TODAY()&gt;DATE(2024, 6,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>
        <v>29482</v>
      </c>
      <c r="D4" s="13">
        <v>0</v>
      </c>
      <c r="E4" s="13">
        <f>IF(AND(ISNUMBER(C4),ISNUMBER(D4)), C4-D4, "")</f>
        <v>29482</v>
      </c>
      <c r="F4" s="14" t="str">
        <f>IFERROR(E4/D4, "")</f>
        <v/>
      </c>
      <c r="G4" s="15">
        <v>0</v>
      </c>
      <c r="H4" s="15">
        <f>IF(AND(ISNUMBER(C4),ISNUMBER(G4)), C4-G4, "")</f>
        <v>29482</v>
      </c>
      <c r="I4" s="16" t="str">
        <f>IFERROR(H4/G4, "")</f>
        <v/>
      </c>
      <c r="J4" s="17"/>
      <c r="K4" s="17"/>
    </row>
    <row r="5" spans="1:11" ht="14.45">
      <c r="A5" s="53" t="s">
        <v>11</v>
      </c>
      <c r="B5" s="32" t="str">
        <v>AZ</v>
      </c>
      <c r="C5" s="12">
        <v>30785</v>
      </c>
      <c r="D5" s="19">
        <v>0</v>
      </c>
      <c r="E5" s="19">
        <f t="shared" ref="E5:E12" si="0">IF(AND(ISNUMBER(C5),ISNUMBER(D5)), C5-D5, "")</f>
        <v>30785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30785</v>
      </c>
      <c r="I5" s="20" t="str">
        <f t="shared" ref="I5:I12" si="2">IFERROR(H5/G5, "")</f>
        <v/>
      </c>
      <c r="J5" s="50"/>
      <c r="K5" s="50"/>
    </row>
    <row r="6" spans="1:11" ht="64.5" customHeight="1">
      <c r="A6" s="52" t="s">
        <v>12</v>
      </c>
      <c r="B6" s="30" t="str">
        <v>AZ</v>
      </c>
      <c r="C6" s="25">
        <v>0</v>
      </c>
      <c r="D6" s="13">
        <v>0</v>
      </c>
      <c r="E6" s="13">
        <f t="shared" si="0"/>
        <v>0</v>
      </c>
      <c r="F6" s="14" t="str">
        <f t="shared" ref="F6:F12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17" t="s">
        <v>69</v>
      </c>
      <c r="K6" s="17" t="s">
        <v>59</v>
      </c>
    </row>
    <row r="7" spans="1:11" ht="30.75">
      <c r="A7" s="53" t="s">
        <v>13</v>
      </c>
      <c r="B7" s="32" t="str">
        <v>AZ</v>
      </c>
      <c r="C7" s="12">
        <v>151490</v>
      </c>
      <c r="D7" s="19">
        <v>0</v>
      </c>
      <c r="E7" s="19">
        <f t="shared" si="0"/>
        <v>151490</v>
      </c>
      <c r="F7" s="20" t="str">
        <f t="shared" si="3"/>
        <v/>
      </c>
      <c r="G7" s="21">
        <v>0</v>
      </c>
      <c r="H7" s="21">
        <f t="shared" si="1"/>
        <v>151490</v>
      </c>
      <c r="I7" s="20" t="str">
        <f t="shared" si="2"/>
        <v/>
      </c>
      <c r="J7" s="54" t="s">
        <v>70</v>
      </c>
      <c r="K7" s="50" t="s">
        <v>71</v>
      </c>
    </row>
    <row r="8" spans="1:11" ht="30.75">
      <c r="A8" s="42" t="s">
        <v>14</v>
      </c>
      <c r="B8" s="30" t="str">
        <v>AZ</v>
      </c>
      <c r="C8" s="25">
        <v>0</v>
      </c>
      <c r="D8" s="13">
        <v>0</v>
      </c>
      <c r="E8" s="13">
        <f t="shared" si="0"/>
        <v>0</v>
      </c>
      <c r="F8" s="14" t="str">
        <f t="shared" si="3"/>
        <v/>
      </c>
      <c r="G8" s="15">
        <v>0</v>
      </c>
      <c r="H8" s="15">
        <f t="shared" si="1"/>
        <v>0</v>
      </c>
      <c r="I8" s="16" t="str">
        <f t="shared" si="2"/>
        <v/>
      </c>
      <c r="J8" s="17" t="s">
        <v>72</v>
      </c>
      <c r="K8" s="17" t="s">
        <v>66</v>
      </c>
    </row>
    <row r="9" spans="1:11" ht="14.45">
      <c r="A9" s="43" t="s">
        <v>15</v>
      </c>
      <c r="B9" s="32" t="str">
        <v>AZ</v>
      </c>
      <c r="C9" s="12">
        <v>0</v>
      </c>
      <c r="D9" s="19">
        <v>0</v>
      </c>
      <c r="E9" s="19">
        <f t="shared" si="0"/>
        <v>0</v>
      </c>
      <c r="F9" s="20" t="str">
        <f t="shared" si="3"/>
        <v/>
      </c>
      <c r="G9" s="21">
        <v>0</v>
      </c>
      <c r="H9" s="21">
        <f t="shared" si="1"/>
        <v>0</v>
      </c>
      <c r="I9" s="20" t="str">
        <f t="shared" si="2"/>
        <v/>
      </c>
      <c r="J9" s="50" t="s">
        <v>60</v>
      </c>
      <c r="K9" s="50" t="s">
        <v>61</v>
      </c>
    </row>
    <row r="10" spans="1:11" ht="14.45">
      <c r="A10" s="42" t="s">
        <v>16</v>
      </c>
      <c r="B10" s="30" t="str">
        <v>AZ</v>
      </c>
      <c r="C10" s="25">
        <v>19894</v>
      </c>
      <c r="D10" s="13">
        <v>0</v>
      </c>
      <c r="E10" s="13">
        <f t="shared" si="0"/>
        <v>19894</v>
      </c>
      <c r="F10" s="14" t="str">
        <f t="shared" si="3"/>
        <v/>
      </c>
      <c r="G10" s="15">
        <v>0</v>
      </c>
      <c r="H10" s="15">
        <f t="shared" si="1"/>
        <v>19894</v>
      </c>
      <c r="I10" s="16" t="str">
        <f t="shared" si="2"/>
        <v/>
      </c>
      <c r="J10" s="17"/>
      <c r="K10" s="17"/>
    </row>
    <row r="11" spans="1:11" ht="14.45">
      <c r="A11" s="43" t="s">
        <v>17</v>
      </c>
      <c r="B11" s="32" t="str">
        <v>AZ</v>
      </c>
      <c r="C11" s="12">
        <v>44041</v>
      </c>
      <c r="D11" s="19">
        <v>0</v>
      </c>
      <c r="E11" s="19">
        <f t="shared" si="0"/>
        <v>44041</v>
      </c>
      <c r="F11" s="20" t="str">
        <f t="shared" si="3"/>
        <v/>
      </c>
      <c r="G11" s="21">
        <v>0</v>
      </c>
      <c r="H11" s="21">
        <f t="shared" si="1"/>
        <v>44041</v>
      </c>
      <c r="I11" s="20" t="str">
        <f t="shared" si="2"/>
        <v/>
      </c>
      <c r="J11" s="50"/>
      <c r="K11" s="50"/>
    </row>
    <row r="12" spans="1:11" ht="14.45">
      <c r="A12" s="42" t="s">
        <v>18</v>
      </c>
      <c r="B12" s="30" t="str">
        <v>AZ</v>
      </c>
      <c r="C12" s="25">
        <v>37117</v>
      </c>
      <c r="D12" s="13">
        <v>0</v>
      </c>
      <c r="E12" s="13">
        <f t="shared" si="0"/>
        <v>37117</v>
      </c>
      <c r="F12" s="14" t="str">
        <f t="shared" si="3"/>
        <v/>
      </c>
      <c r="G12" s="15">
        <v>0</v>
      </c>
      <c r="H12" s="15">
        <f t="shared" si="1"/>
        <v>37117</v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8"/>
  <sheetViews>
    <sheetView workbookViewId="0">
      <pane ySplit="2" topLeftCell="A3" activePane="bottomLeft" state="frozen"/>
      <selection pane="bottomLeft" activeCell="J9" sqref="J9"/>
      <selection activeCell="D18" sqref="D1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Marana USD</v>
      </c>
      <c r="B1" s="61"/>
      <c r="C1" s="61"/>
      <c r="D1" s="62" t="s">
        <v>73</v>
      </c>
      <c r="E1" s="62"/>
      <c r="F1" s="62"/>
      <c r="G1" s="60" t="s">
        <v>74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SUM(C4:C96)</f>
        <v>315907</v>
      </c>
      <c r="D2" s="6">
        <f>SUM(D4:D96)</f>
        <v>0</v>
      </c>
      <c r="E2" s="6">
        <f>C2-D2</f>
        <v>315907</v>
      </c>
      <c r="F2" s="7">
        <f>IFERROR(E2/D2, 0)</f>
        <v>0</v>
      </c>
      <c r="G2" s="6">
        <f>SUM(G4:G96)</f>
        <v>0</v>
      </c>
      <c r="H2" s="8">
        <f>C2-G2</f>
        <v>315907</v>
      </c>
      <c r="I2" s="7">
        <f>IFERROR(H2/G2, 0)</f>
        <v>0</v>
      </c>
      <c r="J2" s="27" t="str">
        <f ca="1">IF(AND(TODAY()&gt;DATE(2024, 7,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>
        <v>29307</v>
      </c>
      <c r="D4" s="13">
        <v>0</v>
      </c>
      <c r="E4" s="13">
        <f>IF(AND(ISNUMBER(C4),ISNUMBER(D4)), C4-D4, "")</f>
        <v>29307</v>
      </c>
      <c r="F4" s="14" t="str">
        <f>IFERROR(E4/D4, "")</f>
        <v/>
      </c>
      <c r="G4" s="15">
        <v>0</v>
      </c>
      <c r="H4" s="15">
        <f>IF(AND(ISNUMBER(C4),ISNUMBER(G4)), C4-G4, "")</f>
        <v>29307</v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>
        <v>31498</v>
      </c>
      <c r="D5" s="19">
        <v>0</v>
      </c>
      <c r="E5" s="19">
        <f t="shared" ref="E5:E12" si="0">IF(AND(ISNUMBER(C5),ISNUMBER(D5)), C5-D5, "")</f>
        <v>31498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31498</v>
      </c>
      <c r="I5" s="20" t="str">
        <f t="shared" ref="I5:I12" si="2">IFERROR(H5/G5, "")</f>
        <v/>
      </c>
      <c r="J5" s="50" t="s">
        <v>75</v>
      </c>
      <c r="K5" s="57" t="s">
        <v>76</v>
      </c>
    </row>
    <row r="6" spans="1:11" ht="14.45">
      <c r="A6" s="52" t="s">
        <v>12</v>
      </c>
      <c r="B6" s="30" t="str">
        <v>AZ</v>
      </c>
      <c r="C6" s="25">
        <v>0</v>
      </c>
      <c r="D6" s="13">
        <v>0</v>
      </c>
      <c r="E6" s="13">
        <f t="shared" si="0"/>
        <v>0</v>
      </c>
      <c r="F6" s="14" t="str">
        <f t="shared" ref="F6:F12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>
        <v>148548</v>
      </c>
      <c r="D7" s="19">
        <v>0</v>
      </c>
      <c r="E7" s="19">
        <f t="shared" si="0"/>
        <v>148548</v>
      </c>
      <c r="F7" s="20" t="str">
        <f t="shared" si="3"/>
        <v/>
      </c>
      <c r="G7" s="21">
        <v>0</v>
      </c>
      <c r="H7" s="21">
        <f t="shared" si="1"/>
        <v>148548</v>
      </c>
      <c r="I7" s="20" t="str">
        <f t="shared" si="2"/>
        <v/>
      </c>
      <c r="J7" s="50" t="s">
        <v>77</v>
      </c>
      <c r="K7" s="57" t="s">
        <v>78</v>
      </c>
    </row>
    <row r="8" spans="1:11" ht="14.45">
      <c r="A8" s="42" t="s">
        <v>14</v>
      </c>
      <c r="B8" s="30" t="str">
        <v>AZ</v>
      </c>
      <c r="C8" s="25">
        <v>0</v>
      </c>
      <c r="D8" s="13">
        <v>0</v>
      </c>
      <c r="E8" s="13">
        <f t="shared" si="0"/>
        <v>0</v>
      </c>
      <c r="F8" s="14" t="str">
        <f t="shared" si="3"/>
        <v/>
      </c>
      <c r="G8" s="15">
        <v>0</v>
      </c>
      <c r="H8" s="15">
        <f t="shared" si="1"/>
        <v>0</v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>
        <v>218</v>
      </c>
      <c r="D9" s="19">
        <v>0</v>
      </c>
      <c r="E9" s="19">
        <f t="shared" si="0"/>
        <v>218</v>
      </c>
      <c r="F9" s="20" t="str">
        <f t="shared" si="3"/>
        <v/>
      </c>
      <c r="G9" s="21">
        <v>0</v>
      </c>
      <c r="H9" s="21">
        <f t="shared" si="1"/>
        <v>218</v>
      </c>
      <c r="I9" s="20" t="str">
        <f t="shared" si="2"/>
        <v/>
      </c>
      <c r="J9" s="50" t="s">
        <v>60</v>
      </c>
      <c r="K9" s="18" t="s">
        <v>61</v>
      </c>
    </row>
    <row r="10" spans="1:11" ht="14.45">
      <c r="A10" s="42" t="s">
        <v>16</v>
      </c>
      <c r="B10" s="30" t="str">
        <v>AZ</v>
      </c>
      <c r="C10" s="25">
        <v>20929</v>
      </c>
      <c r="D10" s="13">
        <v>0</v>
      </c>
      <c r="E10" s="13">
        <f t="shared" si="0"/>
        <v>20929</v>
      </c>
      <c r="F10" s="14" t="str">
        <f t="shared" si="3"/>
        <v/>
      </c>
      <c r="G10" s="15">
        <v>0</v>
      </c>
      <c r="H10" s="15">
        <f t="shared" si="1"/>
        <v>20929</v>
      </c>
      <c r="I10" s="16" t="str">
        <f t="shared" si="2"/>
        <v/>
      </c>
      <c r="J10" s="17"/>
      <c r="K10" s="17"/>
    </row>
    <row r="11" spans="1:11" ht="15.6">
      <c r="A11" s="43" t="s">
        <v>17</v>
      </c>
      <c r="B11" s="32" t="str">
        <v>AZ</v>
      </c>
      <c r="C11" s="55">
        <v>46916</v>
      </c>
      <c r="D11" s="19">
        <v>0</v>
      </c>
      <c r="E11" s="19">
        <f t="shared" si="0"/>
        <v>46916</v>
      </c>
      <c r="F11" s="20" t="str">
        <f t="shared" si="3"/>
        <v/>
      </c>
      <c r="G11" s="21">
        <v>0</v>
      </c>
      <c r="H11" s="21">
        <f t="shared" si="1"/>
        <v>46916</v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>
        <v>38491</v>
      </c>
      <c r="D12" s="13">
        <v>0</v>
      </c>
      <c r="E12" s="13">
        <f t="shared" si="0"/>
        <v>38491</v>
      </c>
      <c r="F12" s="14" t="str">
        <f t="shared" si="3"/>
        <v/>
      </c>
      <c r="G12" s="15">
        <v>0</v>
      </c>
      <c r="H12" s="15">
        <f t="shared" si="1"/>
        <v>38491</v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96 I4:I96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8"/>
  <sheetViews>
    <sheetView tabSelected="1" workbookViewId="0">
      <pane ySplit="2" topLeftCell="A3" activePane="bottomLeft" state="frozen"/>
      <selection pane="bottomLeft" activeCell="J10" sqref="J10"/>
      <selection activeCell="D18" sqref="D1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Marana USD</v>
      </c>
      <c r="B1" s="61"/>
      <c r="C1" s="61"/>
      <c r="D1" s="62" t="s">
        <v>79</v>
      </c>
      <c r="E1" s="62"/>
      <c r="F1" s="62"/>
      <c r="G1" s="60" t="s">
        <v>80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SUM(C4:C96)</f>
        <v>260147</v>
      </c>
      <c r="D2" s="6">
        <f>SUM(D4:D96)</f>
        <v>0</v>
      </c>
      <c r="E2" s="6">
        <f>C2-D2</f>
        <v>260147</v>
      </c>
      <c r="F2" s="7">
        <f>IFERROR(E2/D2, 0)</f>
        <v>0</v>
      </c>
      <c r="G2" s="6">
        <f>SUM(G4:G96)</f>
        <v>0</v>
      </c>
      <c r="H2" s="8">
        <f>C2-G2</f>
        <v>260147</v>
      </c>
      <c r="I2" s="7">
        <f>IFERROR(H2/G2, 0)</f>
        <v>0</v>
      </c>
      <c r="J2" s="27" t="str">
        <f ca="1">IF(AND(TODAY()&gt;DATE(2024, 8,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>
        <v>21754</v>
      </c>
      <c r="D4" s="13">
        <v>0</v>
      </c>
      <c r="E4" s="13">
        <f>IF(AND(ISNUMBER(C4),ISNUMBER(D4)), C4-D4, "")</f>
        <v>21754</v>
      </c>
      <c r="F4" s="14" t="str">
        <f>IFERROR(E4/D4, "")</f>
        <v/>
      </c>
      <c r="G4" s="15">
        <v>0</v>
      </c>
      <c r="H4" s="15">
        <f>IF(AND(ISNUMBER(C4),ISNUMBER(G4)), C4-G4, "")</f>
        <v>21754</v>
      </c>
      <c r="I4" s="16" t="str">
        <f>IFERROR(H4/G4, "")</f>
        <v/>
      </c>
      <c r="J4" s="17"/>
      <c r="K4" s="17"/>
    </row>
    <row r="5" spans="1:11" ht="15">
      <c r="A5" s="53" t="s">
        <v>11</v>
      </c>
      <c r="B5" s="32" t="str">
        <v>AZ</v>
      </c>
      <c r="C5" s="12">
        <v>27759</v>
      </c>
      <c r="D5" s="19">
        <v>0</v>
      </c>
      <c r="E5" s="19">
        <f t="shared" ref="E5:E12" si="0">IF(AND(ISNUMBER(C5),ISNUMBER(D5)), C5-D5, "")</f>
        <v>27759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27759</v>
      </c>
      <c r="I5" s="20" t="str">
        <f t="shared" ref="I5:I12" si="2">IFERROR(H5/G5, "")</f>
        <v/>
      </c>
      <c r="J5" s="50" t="s">
        <v>81</v>
      </c>
      <c r="K5" s="50" t="s">
        <v>76</v>
      </c>
    </row>
    <row r="6" spans="1:11" ht="15">
      <c r="A6" s="52" t="s">
        <v>12</v>
      </c>
      <c r="B6" s="30" t="str">
        <v>AZ</v>
      </c>
      <c r="C6" s="25">
        <v>0</v>
      </c>
      <c r="D6" s="13">
        <v>0</v>
      </c>
      <c r="E6" s="13">
        <f t="shared" si="0"/>
        <v>0</v>
      </c>
      <c r="F6" s="14" t="str">
        <f t="shared" ref="F6:F12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17" t="s">
        <v>82</v>
      </c>
      <c r="K6" s="17" t="s">
        <v>83</v>
      </c>
    </row>
    <row r="7" spans="1:11" ht="46.5" customHeight="1">
      <c r="A7" s="53" t="s">
        <v>13</v>
      </c>
      <c r="B7" s="32" t="str">
        <v>AZ</v>
      </c>
      <c r="C7" s="12">
        <v>142121</v>
      </c>
      <c r="D7" s="19">
        <v>0</v>
      </c>
      <c r="E7" s="19">
        <f t="shared" si="0"/>
        <v>142121</v>
      </c>
      <c r="F7" s="20" t="str">
        <f t="shared" si="3"/>
        <v/>
      </c>
      <c r="G7" s="21">
        <v>0</v>
      </c>
      <c r="H7" s="21">
        <f t="shared" si="1"/>
        <v>142121</v>
      </c>
      <c r="I7" s="20" t="str">
        <f t="shared" si="2"/>
        <v/>
      </c>
      <c r="J7" s="54" t="s">
        <v>84</v>
      </c>
      <c r="K7" s="54" t="s">
        <v>85</v>
      </c>
    </row>
    <row r="8" spans="1:11" ht="15">
      <c r="A8" s="42" t="s">
        <v>14</v>
      </c>
      <c r="B8" s="30" t="str">
        <v>AZ</v>
      </c>
      <c r="C8" s="25">
        <v>0</v>
      </c>
      <c r="D8" s="13">
        <v>0</v>
      </c>
      <c r="E8" s="13">
        <f t="shared" si="0"/>
        <v>0</v>
      </c>
      <c r="F8" s="14" t="str">
        <f t="shared" si="3"/>
        <v/>
      </c>
      <c r="G8" s="15">
        <v>0</v>
      </c>
      <c r="H8" s="15">
        <f t="shared" si="1"/>
        <v>0</v>
      </c>
      <c r="I8" s="16" t="str">
        <f t="shared" si="2"/>
        <v/>
      </c>
      <c r="J8" s="17"/>
      <c r="K8" s="17"/>
    </row>
    <row r="9" spans="1:11" ht="30.75">
      <c r="A9" s="43" t="s">
        <v>15</v>
      </c>
      <c r="B9" s="32" t="str">
        <v>AZ</v>
      </c>
      <c r="C9" s="12">
        <v>330</v>
      </c>
      <c r="D9" s="19">
        <v>0</v>
      </c>
      <c r="E9" s="19">
        <f t="shared" si="0"/>
        <v>330</v>
      </c>
      <c r="F9" s="20" t="str">
        <f t="shared" si="3"/>
        <v/>
      </c>
      <c r="G9" s="21">
        <v>0</v>
      </c>
      <c r="H9" s="21">
        <f t="shared" si="1"/>
        <v>330</v>
      </c>
      <c r="I9" s="20" t="str">
        <f t="shared" si="2"/>
        <v/>
      </c>
      <c r="J9" s="54" t="s">
        <v>86</v>
      </c>
      <c r="K9" s="54" t="s">
        <v>87</v>
      </c>
    </row>
    <row r="10" spans="1:11" ht="15">
      <c r="A10" s="42" t="s">
        <v>16</v>
      </c>
      <c r="B10" s="30" t="str">
        <v>AZ</v>
      </c>
      <c r="C10" s="25">
        <v>0</v>
      </c>
      <c r="D10" s="13">
        <v>0</v>
      </c>
      <c r="E10" s="13">
        <f t="shared" si="0"/>
        <v>0</v>
      </c>
      <c r="F10" s="14" t="str">
        <f t="shared" si="3"/>
        <v/>
      </c>
      <c r="G10" s="15">
        <v>0</v>
      </c>
      <c r="H10" s="15">
        <f t="shared" si="1"/>
        <v>0</v>
      </c>
      <c r="I10" s="16" t="str">
        <f t="shared" si="2"/>
        <v/>
      </c>
      <c r="J10" s="17"/>
      <c r="K10" s="17"/>
    </row>
    <row r="11" spans="1:11" ht="15">
      <c r="A11" s="43" t="s">
        <v>17</v>
      </c>
      <c r="B11" s="32" t="str">
        <v>AZ</v>
      </c>
      <c r="C11" s="12">
        <v>42590</v>
      </c>
      <c r="D11" s="19">
        <v>0</v>
      </c>
      <c r="E11" s="19">
        <f t="shared" si="0"/>
        <v>42590</v>
      </c>
      <c r="F11" s="20" t="str">
        <f t="shared" si="3"/>
        <v/>
      </c>
      <c r="G11" s="21">
        <v>0</v>
      </c>
      <c r="H11" s="21">
        <f t="shared" si="1"/>
        <v>42590</v>
      </c>
      <c r="I11" s="20" t="str">
        <f t="shared" si="2"/>
        <v/>
      </c>
      <c r="J11" s="11"/>
      <c r="K11" s="11"/>
    </row>
    <row r="12" spans="1:11" ht="15">
      <c r="A12" s="42" t="s">
        <v>18</v>
      </c>
      <c r="B12" s="30" t="str">
        <v>AZ</v>
      </c>
      <c r="C12" s="25">
        <v>25593</v>
      </c>
      <c r="D12" s="13">
        <v>0</v>
      </c>
      <c r="E12" s="13">
        <f t="shared" si="0"/>
        <v>25593</v>
      </c>
      <c r="F12" s="14" t="str">
        <f t="shared" si="3"/>
        <v/>
      </c>
      <c r="G12" s="15">
        <v>0</v>
      </c>
      <c r="H12" s="15">
        <f t="shared" si="1"/>
        <v>25593</v>
      </c>
      <c r="I12" s="16" t="str">
        <f t="shared" si="2"/>
        <v/>
      </c>
      <c r="J12" s="17" t="s">
        <v>88</v>
      </c>
      <c r="K12" s="17" t="s">
        <v>89</v>
      </c>
    </row>
    <row r="13" spans="1:11" ht="1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33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8"/>
  <sheetViews>
    <sheetView workbookViewId="0">
      <pane ySplit="2" topLeftCell="A3" activePane="bottomLeft" state="frozen"/>
      <selection pane="bottomLeft" activeCell="J12" sqref="J12"/>
      <selection activeCell="D18" sqref="D1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Marana USD</v>
      </c>
      <c r="B1" s="61"/>
      <c r="C1" s="61"/>
      <c r="D1" s="62" t="s">
        <v>90</v>
      </c>
      <c r="E1" s="62"/>
      <c r="F1" s="62"/>
      <c r="G1" s="60" t="s">
        <v>91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SUM(C4:C96)</f>
        <v>294321</v>
      </c>
      <c r="D2" s="6">
        <f>SUM(D4:D96)</f>
        <v>0</v>
      </c>
      <c r="E2" s="6">
        <f>C2-D2</f>
        <v>294321</v>
      </c>
      <c r="F2" s="7">
        <f>IFERROR(E2/D2, 0)</f>
        <v>0</v>
      </c>
      <c r="G2" s="6">
        <f>SUM(G4:G96)</f>
        <v>0</v>
      </c>
      <c r="H2" s="8">
        <f>C2-G2</f>
        <v>294321</v>
      </c>
      <c r="I2" s="7">
        <f>IFERROR(H2/G2, 0)</f>
        <v>0</v>
      </c>
      <c r="J2" s="27" t="str">
        <f ca="1">IF(AND(TODAY()&gt;DATE(2024, 9,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5">
      <c r="A4" s="52" t="s">
        <v>10</v>
      </c>
      <c r="B4" s="30" t="str" cm="1">
        <f t="array" ref="B4:B12">Sites[State]</f>
        <v>AZ</v>
      </c>
      <c r="C4" s="25">
        <v>12889</v>
      </c>
      <c r="D4" s="13">
        <v>0</v>
      </c>
      <c r="E4" s="13">
        <f>IF(AND(ISNUMBER(C4),ISNUMBER(D4)), C4-D4, "")</f>
        <v>12889</v>
      </c>
      <c r="F4" s="14" t="str">
        <f>IFERROR(E4/D4, "")</f>
        <v/>
      </c>
      <c r="G4" s="15">
        <v>0</v>
      </c>
      <c r="H4" s="15">
        <f>IF(AND(ISNUMBER(C4),ISNUMBER(G4)), C4-G4, "")</f>
        <v>12889</v>
      </c>
      <c r="I4" s="16" t="str">
        <f>IFERROR(H4/G4, "")</f>
        <v/>
      </c>
      <c r="J4" s="56"/>
      <c r="K4" s="17"/>
    </row>
    <row r="5" spans="1:11" ht="57.75" customHeight="1">
      <c r="A5" s="53" t="s">
        <v>11</v>
      </c>
      <c r="B5" s="32" t="str">
        <v>AZ</v>
      </c>
      <c r="C5" s="12">
        <v>28008</v>
      </c>
      <c r="D5" s="19">
        <v>0</v>
      </c>
      <c r="E5" s="19">
        <f t="shared" ref="E5:E12" si="0">IF(AND(ISNUMBER(C5),ISNUMBER(D5)), C5-D5, "")</f>
        <v>28008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28008</v>
      </c>
      <c r="I5" s="20" t="str">
        <f t="shared" ref="I5:I12" si="2">IFERROR(H5/G5, "")</f>
        <v/>
      </c>
      <c r="J5" s="58" t="s">
        <v>92</v>
      </c>
      <c r="K5" s="59" t="s">
        <v>93</v>
      </c>
    </row>
    <row r="6" spans="1:11" ht="15">
      <c r="A6" s="52" t="s">
        <v>12</v>
      </c>
      <c r="B6" s="30" t="str">
        <v>AZ</v>
      </c>
      <c r="C6" s="25">
        <v>0</v>
      </c>
      <c r="D6" s="13">
        <v>0</v>
      </c>
      <c r="E6" s="13">
        <f t="shared" si="0"/>
        <v>0</v>
      </c>
      <c r="F6" s="14" t="str">
        <f t="shared" ref="F6:F12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17" t="s">
        <v>94</v>
      </c>
      <c r="K6" s="17" t="s">
        <v>95</v>
      </c>
    </row>
    <row r="7" spans="1:11" ht="15.6">
      <c r="A7" s="53" t="s">
        <v>13</v>
      </c>
      <c r="B7" s="32" t="str">
        <v>AZ</v>
      </c>
      <c r="C7" s="12">
        <v>147849</v>
      </c>
      <c r="D7" s="19">
        <v>0</v>
      </c>
      <c r="E7" s="19">
        <f t="shared" si="0"/>
        <v>147849</v>
      </c>
      <c r="F7" s="20" t="str">
        <f t="shared" si="3"/>
        <v/>
      </c>
      <c r="G7" s="21">
        <v>0</v>
      </c>
      <c r="H7" s="21">
        <f t="shared" si="1"/>
        <v>147849</v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>
        <v>3659</v>
      </c>
      <c r="D8" s="13">
        <v>0</v>
      </c>
      <c r="E8" s="13">
        <f t="shared" si="0"/>
        <v>3659</v>
      </c>
      <c r="F8" s="14" t="str">
        <f t="shared" si="3"/>
        <v/>
      </c>
      <c r="G8" s="15">
        <v>0</v>
      </c>
      <c r="H8" s="15">
        <f t="shared" si="1"/>
        <v>3659</v>
      </c>
      <c r="I8" s="16" t="str">
        <f t="shared" si="2"/>
        <v/>
      </c>
      <c r="J8" s="17"/>
      <c r="K8" s="17"/>
    </row>
    <row r="9" spans="1:11" ht="51.75" customHeight="1">
      <c r="A9" s="43" t="s">
        <v>15</v>
      </c>
      <c r="B9" s="32" t="str">
        <v>AZ</v>
      </c>
      <c r="C9" s="12">
        <v>10297</v>
      </c>
      <c r="D9" s="19">
        <v>0</v>
      </c>
      <c r="E9" s="19">
        <f t="shared" si="0"/>
        <v>10297</v>
      </c>
      <c r="F9" s="20" t="str">
        <f t="shared" si="3"/>
        <v/>
      </c>
      <c r="G9" s="21">
        <v>0</v>
      </c>
      <c r="H9" s="21">
        <f t="shared" si="1"/>
        <v>10297</v>
      </c>
      <c r="I9" s="20" t="str">
        <f t="shared" si="2"/>
        <v/>
      </c>
      <c r="J9" s="54" t="s">
        <v>96</v>
      </c>
      <c r="K9" s="57" t="s">
        <v>97</v>
      </c>
    </row>
    <row r="10" spans="1:11" ht="14.45">
      <c r="A10" s="42" t="s">
        <v>16</v>
      </c>
      <c r="B10" s="30" t="str">
        <v>AZ</v>
      </c>
      <c r="C10" s="25">
        <v>18724</v>
      </c>
      <c r="D10" s="13">
        <v>0</v>
      </c>
      <c r="E10" s="13">
        <f t="shared" si="0"/>
        <v>18724</v>
      </c>
      <c r="F10" s="14" t="str">
        <f t="shared" si="3"/>
        <v/>
      </c>
      <c r="G10" s="15">
        <v>0</v>
      </c>
      <c r="H10" s="15">
        <f t="shared" si="1"/>
        <v>18724</v>
      </c>
      <c r="I10" s="16" t="str">
        <f t="shared" si="2"/>
        <v/>
      </c>
      <c r="J10" s="17"/>
      <c r="K10" s="17"/>
    </row>
    <row r="11" spans="1:11" ht="15.6">
      <c r="A11" s="43" t="s">
        <v>17</v>
      </c>
      <c r="B11" s="32" t="str">
        <v>AZ</v>
      </c>
      <c r="C11" s="12">
        <v>43462</v>
      </c>
      <c r="D11" s="19">
        <v>0</v>
      </c>
      <c r="E11" s="19">
        <f t="shared" si="0"/>
        <v>43462</v>
      </c>
      <c r="F11" s="20" t="str">
        <f t="shared" si="3"/>
        <v/>
      </c>
      <c r="G11" s="21">
        <v>0</v>
      </c>
      <c r="H11" s="21">
        <f t="shared" si="1"/>
        <v>43462</v>
      </c>
      <c r="I11" s="20" t="str">
        <f t="shared" si="2"/>
        <v/>
      </c>
      <c r="J11" s="11"/>
      <c r="K11" s="18"/>
    </row>
    <row r="12" spans="1:11" ht="30.75">
      <c r="A12" s="42" t="s">
        <v>18</v>
      </c>
      <c r="B12" s="30" t="str">
        <v>AZ</v>
      </c>
      <c r="C12" s="25">
        <v>29433</v>
      </c>
      <c r="D12" s="13">
        <v>0</v>
      </c>
      <c r="E12" s="13">
        <f t="shared" si="0"/>
        <v>29433</v>
      </c>
      <c r="F12" s="14" t="str">
        <f t="shared" si="3"/>
        <v/>
      </c>
      <c r="G12" s="15">
        <v>0</v>
      </c>
      <c r="H12" s="15">
        <f t="shared" si="1"/>
        <v>29433</v>
      </c>
      <c r="I12" s="16" t="str">
        <f t="shared" si="2"/>
        <v/>
      </c>
      <c r="J12" s="17" t="s">
        <v>98</v>
      </c>
      <c r="K12" s="17" t="s">
        <v>89</v>
      </c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Marana USD</v>
      </c>
      <c r="B1" s="61"/>
      <c r="C1" s="61"/>
      <c r="D1" s="62" t="s">
        <v>99</v>
      </c>
      <c r="E1" s="62"/>
      <c r="F1" s="62"/>
      <c r="G1" s="60" t="s">
        <v>100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10,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4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Marana USD</v>
      </c>
      <c r="B1" s="61"/>
      <c r="C1" s="61"/>
      <c r="D1" s="62" t="s">
        <v>101</v>
      </c>
      <c r="E1" s="62"/>
      <c r="F1" s="62"/>
      <c r="G1" s="60" t="s">
        <v>102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11,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4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4" sqref="A4:A12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Marana USD</v>
      </c>
      <c r="B1" s="61"/>
      <c r="C1" s="61"/>
      <c r="D1" s="62" t="s">
        <v>103</v>
      </c>
      <c r="E1" s="62"/>
      <c r="F1" s="62"/>
      <c r="G1" s="60" t="s">
        <v>104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12,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53" t="s">
        <v>11</v>
      </c>
      <c r="B5" s="32" t="str">
        <v>AZ</v>
      </c>
      <c r="C5" s="12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1"/>
      <c r="K5" s="18"/>
    </row>
    <row r="6" spans="1:11" ht="14.4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1"/>
      <c r="K13" s="18"/>
    </row>
    <row r="14" spans="1:11" ht="15.6">
      <c r="A14" s="29"/>
      <c r="B14" s="30"/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6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1"/>
      <c r="K15" s="18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12"/>
  <sheetViews>
    <sheetView workbookViewId="0">
      <pane ySplit="3" topLeftCell="A4" activePane="bottomLeft" state="frozen"/>
      <selection pane="bottomLeft" activeCell="B28" sqref="B2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6" ht="12.75" customHeight="1">
      <c r="A1" t="s">
        <v>105</v>
      </c>
      <c r="B1" s="35" t="s">
        <v>106</v>
      </c>
    </row>
    <row r="3" spans="1:6" ht="13.15">
      <c r="A3" t="s">
        <v>107</v>
      </c>
      <c r="B3" t="s">
        <v>4</v>
      </c>
      <c r="C3" t="s">
        <v>108</v>
      </c>
      <c r="D3" s="2" t="s">
        <v>109</v>
      </c>
    </row>
    <row r="4" spans="1:6" ht="14.45">
      <c r="A4" t="s">
        <v>10</v>
      </c>
      <c r="B4" s="4" t="s">
        <v>110</v>
      </c>
      <c r="F4" s="3"/>
    </row>
    <row r="5" spans="1:6" ht="14.45">
      <c r="A5" t="s">
        <v>11</v>
      </c>
      <c r="B5" s="4" t="s">
        <v>110</v>
      </c>
      <c r="F5" s="3"/>
    </row>
    <row r="6" spans="1:6" ht="14.45">
      <c r="A6" t="s">
        <v>12</v>
      </c>
      <c r="B6" s="4" t="s">
        <v>110</v>
      </c>
      <c r="F6" s="3"/>
    </row>
    <row r="7" spans="1:6" ht="12.75" customHeight="1">
      <c r="A7" t="s">
        <v>13</v>
      </c>
      <c r="B7" s="4" t="s">
        <v>110</v>
      </c>
    </row>
    <row r="8" spans="1:6" ht="12.75" customHeight="1">
      <c r="A8" s="4" t="s">
        <v>14</v>
      </c>
      <c r="B8" s="4" t="s">
        <v>110</v>
      </c>
    </row>
    <row r="9" spans="1:6" ht="12.75" customHeight="1">
      <c r="A9" s="4" t="s">
        <v>15</v>
      </c>
      <c r="B9" s="4" t="s">
        <v>110</v>
      </c>
    </row>
    <row r="10" spans="1:6" ht="12.75" customHeight="1">
      <c r="A10" s="4" t="s">
        <v>16</v>
      </c>
      <c r="B10" s="4" t="s">
        <v>110</v>
      </c>
    </row>
    <row r="11" spans="1:6" ht="12.75" customHeight="1">
      <c r="A11" s="4" t="s">
        <v>17</v>
      </c>
      <c r="B11" s="4" t="s">
        <v>110</v>
      </c>
    </row>
    <row r="12" spans="1:6" ht="12.75" customHeight="1">
      <c r="A12" s="4" t="s">
        <v>18</v>
      </c>
      <c r="B12" s="4" t="s">
        <v>110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[AGS]</cp:lastModifiedBy>
  <cp:revision/>
  <dcterms:created xsi:type="dcterms:W3CDTF">2021-01-01T16:39:53Z</dcterms:created>
  <dcterms:modified xsi:type="dcterms:W3CDTF">2024-10-12T11:17:44Z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