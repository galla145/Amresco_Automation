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76" documentId="13_ncr:1_{C2E06972-9B9A-44F7-8429-A560B9C8F0F4}" xr6:coauthVersionLast="47" xr6:coauthVersionMax="47" xr10:uidLastSave="{C01BC652-EF33-4D37-BEE0-650F49512833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7" l="1"/>
  <c r="H21" i="27"/>
  <c r="I21" i="26"/>
  <c r="H20" i="26"/>
  <c r="E20" i="26"/>
  <c r="E21" i="26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4" i="30"/>
  <c r="D4" i="30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D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4" i="18"/>
  <c r="D4" i="18"/>
  <c r="E18" i="33" l="1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/>
  <c r="H21" i="28"/>
  <c r="I21" i="28"/>
  <c r="E18" i="27"/>
  <c r="F18" i="27"/>
  <c r="H18" i="27"/>
  <c r="I18" i="27"/>
  <c r="E19" i="27"/>
  <c r="F19" i="27"/>
  <c r="H19" i="27"/>
  <c r="I19" i="27" s="1"/>
  <c r="E20" i="27"/>
  <c r="F20" i="27" s="1"/>
  <c r="H20" i="27"/>
  <c r="I20" i="27" s="1"/>
  <c r="E21" i="27"/>
  <c r="F21" i="27"/>
  <c r="E18" i="26"/>
  <c r="F18" i="26"/>
  <c r="H18" i="26"/>
  <c r="H18" i="29" s="1"/>
  <c r="I18" i="29" s="1"/>
  <c r="I18" i="26"/>
  <c r="E19" i="26"/>
  <c r="F19" i="26" s="1"/>
  <c r="H19" i="26"/>
  <c r="I19" i="26" s="1"/>
  <c r="F20" i="26"/>
  <c r="I20" i="26"/>
  <c r="F21" i="26"/>
  <c r="H21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8" i="29"/>
  <c r="D18" i="29"/>
  <c r="D18" i="34" s="1"/>
  <c r="C19" i="29"/>
  <c r="D19" i="29"/>
  <c r="D19" i="34" s="1"/>
  <c r="C20" i="29"/>
  <c r="D20" i="29"/>
  <c r="D20" i="34" s="1"/>
  <c r="C21" i="29"/>
  <c r="D21" i="29"/>
  <c r="D21" i="34" s="1"/>
  <c r="E21" i="29"/>
  <c r="F21" i="29"/>
  <c r="H21" i="29"/>
  <c r="I21" i="29"/>
  <c r="C18" i="18"/>
  <c r="C18" i="34" s="1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C21" i="34" s="1"/>
  <c r="D21" i="18"/>
  <c r="E21" i="18"/>
  <c r="F21" i="18"/>
  <c r="H21" i="18"/>
  <c r="I21" i="18"/>
  <c r="C18" i="1"/>
  <c r="D18" i="1"/>
  <c r="E18" i="1"/>
  <c r="F18" i="1"/>
  <c r="G18" i="1"/>
  <c r="G18" i="34" s="1"/>
  <c r="H18" i="1"/>
  <c r="I18" i="1"/>
  <c r="C19" i="1"/>
  <c r="D19" i="1"/>
  <c r="E19" i="1"/>
  <c r="F19" i="1"/>
  <c r="G19" i="1"/>
  <c r="G19" i="34" s="1"/>
  <c r="I19" i="34" s="1"/>
  <c r="H19" i="1"/>
  <c r="I19" i="1"/>
  <c r="C20" i="1"/>
  <c r="D20" i="1"/>
  <c r="E20" i="1"/>
  <c r="F20" i="1"/>
  <c r="G20" i="1"/>
  <c r="G20" i="34" s="1"/>
  <c r="I20" i="34" s="1"/>
  <c r="H20" i="1"/>
  <c r="I20" i="1"/>
  <c r="C21" i="1"/>
  <c r="D21" i="1"/>
  <c r="E21" i="1"/>
  <c r="F21" i="1"/>
  <c r="G21" i="1"/>
  <c r="G21" i="34" s="1"/>
  <c r="H21" i="1"/>
  <c r="I21" i="1"/>
  <c r="H18" i="34"/>
  <c r="I18" i="34"/>
  <c r="H19" i="34"/>
  <c r="H20" i="34"/>
  <c r="E21" i="34"/>
  <c r="F21" i="34"/>
  <c r="H21" i="34"/>
  <c r="I21" i="34"/>
  <c r="C16" i="30"/>
  <c r="D16" i="30"/>
  <c r="E16" i="30"/>
  <c r="F16" i="30"/>
  <c r="C17" i="30"/>
  <c r="D17" i="30"/>
  <c r="E17" i="30"/>
  <c r="F17" i="30"/>
  <c r="C16" i="29"/>
  <c r="D16" i="29"/>
  <c r="D16" i="34" s="1"/>
  <c r="C17" i="29"/>
  <c r="D17" i="29"/>
  <c r="D17" i="34" s="1"/>
  <c r="C16" i="18"/>
  <c r="D16" i="18"/>
  <c r="E16" i="18"/>
  <c r="F16" i="18"/>
  <c r="C17" i="18"/>
  <c r="D17" i="18"/>
  <c r="E17" i="18"/>
  <c r="F17" i="18"/>
  <c r="C16" i="1"/>
  <c r="D16" i="1"/>
  <c r="E16" i="1"/>
  <c r="F16" i="1"/>
  <c r="G16" i="1"/>
  <c r="G16" i="34" s="1"/>
  <c r="C17" i="1"/>
  <c r="D17" i="1"/>
  <c r="E17" i="1"/>
  <c r="F17" i="1"/>
  <c r="G17" i="1"/>
  <c r="G17" i="34" s="1"/>
  <c r="H17" i="33"/>
  <c r="E17" i="33"/>
  <c r="F17" i="33" s="1"/>
  <c r="H16" i="33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E17" i="26"/>
  <c r="F17" i="26" s="1"/>
  <c r="H16" i="26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C4" i="30"/>
  <c r="E4" i="30" s="1"/>
  <c r="F4" i="30" s="1"/>
  <c r="D15" i="29"/>
  <c r="D15" i="34" s="1"/>
  <c r="C15" i="29"/>
  <c r="D14" i="29"/>
  <c r="D14" i="34" s="1"/>
  <c r="C14" i="29"/>
  <c r="E14" i="29" s="1"/>
  <c r="F14" i="29" s="1"/>
  <c r="D13" i="29"/>
  <c r="D13" i="34" s="1"/>
  <c r="C13" i="29"/>
  <c r="D12" i="29"/>
  <c r="D12" i="34" s="1"/>
  <c r="C12" i="29"/>
  <c r="D11" i="29"/>
  <c r="D11" i="34" s="1"/>
  <c r="C11" i="29"/>
  <c r="D10" i="29"/>
  <c r="D10" i="34" s="1"/>
  <c r="C10" i="29"/>
  <c r="E10" i="29" s="1"/>
  <c r="F10" i="29" s="1"/>
  <c r="D9" i="29"/>
  <c r="D9" i="34" s="1"/>
  <c r="C9" i="29"/>
  <c r="D8" i="29"/>
  <c r="D8" i="34" s="1"/>
  <c r="C8" i="29"/>
  <c r="D7" i="29"/>
  <c r="D7" i="34" s="1"/>
  <c r="C7" i="29"/>
  <c r="D6" i="29"/>
  <c r="D6" i="34" s="1"/>
  <c r="C6" i="29"/>
  <c r="D5" i="29"/>
  <c r="D5" i="34" s="1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C4" i="18"/>
  <c r="E11" i="30"/>
  <c r="F11" i="30" s="1"/>
  <c r="D2" i="30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20" i="34" l="1"/>
  <c r="C16" i="34"/>
  <c r="E16" i="34" s="1"/>
  <c r="F16" i="34" s="1"/>
  <c r="H15" i="29"/>
  <c r="I15" i="29" s="1"/>
  <c r="H9" i="29"/>
  <c r="I9" i="29" s="1"/>
  <c r="H6" i="29"/>
  <c r="I6" i="29" s="1"/>
  <c r="E20" i="29"/>
  <c r="F20" i="29" s="1"/>
  <c r="E13" i="29"/>
  <c r="F13" i="29" s="1"/>
  <c r="E20" i="34"/>
  <c r="F20" i="34" s="1"/>
  <c r="E16" i="29"/>
  <c r="F16" i="29" s="1"/>
  <c r="E5" i="29"/>
  <c r="F5" i="29" s="1"/>
  <c r="C19" i="34"/>
  <c r="E19" i="34" s="1"/>
  <c r="F19" i="34" s="1"/>
  <c r="H12" i="29"/>
  <c r="I12" i="29" s="1"/>
  <c r="H7" i="29"/>
  <c r="I7" i="29" s="1"/>
  <c r="H20" i="29"/>
  <c r="I20" i="29" s="1"/>
  <c r="H19" i="29"/>
  <c r="I19" i="29" s="1"/>
  <c r="E19" i="29"/>
  <c r="F19" i="29" s="1"/>
  <c r="E18" i="29"/>
  <c r="F18" i="29" s="1"/>
  <c r="E18" i="34"/>
  <c r="F18" i="34" s="1"/>
  <c r="E17" i="29"/>
  <c r="F17" i="29" s="1"/>
  <c r="E12" i="29"/>
  <c r="F12" i="29" s="1"/>
  <c r="E11" i="29"/>
  <c r="F11" i="29" s="1"/>
  <c r="E9" i="29"/>
  <c r="F9" i="29" s="1"/>
  <c r="E8" i="29"/>
  <c r="F8" i="29" s="1"/>
  <c r="C17" i="34"/>
  <c r="E17" i="34" s="1"/>
  <c r="F17" i="34" s="1"/>
  <c r="C9" i="34"/>
  <c r="E9" i="34" s="1"/>
  <c r="F9" i="34" s="1"/>
  <c r="G2" i="34"/>
  <c r="E6" i="29"/>
  <c r="F6" i="29" s="1"/>
  <c r="D2" i="29"/>
  <c r="E5" i="18"/>
  <c r="F5" i="18" s="1"/>
  <c r="C5" i="34"/>
  <c r="E6" i="18"/>
  <c r="F6" i="18" s="1"/>
  <c r="C6" i="34"/>
  <c r="E7" i="18"/>
  <c r="F7" i="18" s="1"/>
  <c r="C7" i="34"/>
  <c r="E7" i="34" s="1"/>
  <c r="F7" i="34" s="1"/>
  <c r="E8" i="18"/>
  <c r="F8" i="18" s="1"/>
  <c r="C8" i="34"/>
  <c r="E8" i="34" s="1"/>
  <c r="F8" i="34" s="1"/>
  <c r="E10" i="18"/>
  <c r="F10" i="18" s="1"/>
  <c r="C10" i="34"/>
  <c r="E10" i="34" s="1"/>
  <c r="F10" i="34" s="1"/>
  <c r="E11" i="18"/>
  <c r="F11" i="18" s="1"/>
  <c r="C11" i="34"/>
  <c r="E11" i="34" s="1"/>
  <c r="F11" i="34" s="1"/>
  <c r="E12" i="18"/>
  <c r="F12" i="18" s="1"/>
  <c r="C12" i="34"/>
  <c r="E12" i="34" s="1"/>
  <c r="F12" i="34" s="1"/>
  <c r="E13" i="18"/>
  <c r="F13" i="18" s="1"/>
  <c r="C13" i="34"/>
  <c r="E13" i="34" s="1"/>
  <c r="F13" i="34" s="1"/>
  <c r="E14" i="18"/>
  <c r="F14" i="18" s="1"/>
  <c r="C14" i="34"/>
  <c r="E14" i="34" s="1"/>
  <c r="F14" i="34" s="1"/>
  <c r="E15" i="18"/>
  <c r="F15" i="18" s="1"/>
  <c r="C15" i="34"/>
  <c r="E15" i="34" s="1"/>
  <c r="F15" i="34" s="1"/>
  <c r="H10" i="29"/>
  <c r="I10" i="29" s="1"/>
  <c r="H13" i="29"/>
  <c r="I13" i="29" s="1"/>
  <c r="I16" i="26"/>
  <c r="H16" i="29"/>
  <c r="I16" i="29" s="1"/>
  <c r="I17" i="26"/>
  <c r="H17" i="29"/>
  <c r="I17" i="29" s="1"/>
  <c r="H6" i="30"/>
  <c r="I6" i="30" s="1"/>
  <c r="I6" i="33"/>
  <c r="I16" i="33"/>
  <c r="H16" i="30"/>
  <c r="I16" i="30" s="1"/>
  <c r="I17" i="33"/>
  <c r="H17" i="30"/>
  <c r="I17" i="30" s="1"/>
  <c r="I17" i="21"/>
  <c r="H17" i="18"/>
  <c r="I17" i="18" s="1"/>
  <c r="I16" i="21"/>
  <c r="H16" i="18"/>
  <c r="I16" i="18" s="1"/>
  <c r="E4" i="18"/>
  <c r="F4" i="18" s="1"/>
  <c r="C4" i="34"/>
  <c r="E4" i="34" s="1"/>
  <c r="F4" i="34" s="1"/>
  <c r="H17" i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<sst xmlns="http://schemas.openxmlformats.org/spreadsheetml/2006/main" count="368" uniqueCount="129">
  <si>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</si>
  <si>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</si>
  <si>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</si>
  <si>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</si>
  <si>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</si>
  <si>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</si>
  <si>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</si>
  <si>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</si>
  <si>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</si>
  <si>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</si>
  <si>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</si>
  <si>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</si>
  <si>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</si>
  <si>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</si>
  <si>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</si>
  <si>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</si>
  <si>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</si>
  <si>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</si>
  <si>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</si>
  <si>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</si>
  <si>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</si>
  <si>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</si>
  <si>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</si>
  <si>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</si>
  <si>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</si>
  <si>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</si>
  <si>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</si>
  <si>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</si>
  <si>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1.Site is not communicating</t>
  </si>
  <si>
    <t>1.Site is only producing 0.4kW</t>
  </si>
  <si>
    <t>1.Site is offline whole month</t>
  </si>
  <si>
    <t>May Actual v. Expected</t>
  </si>
  <si>
    <t>May Actual v. Forecasted</t>
  </si>
  <si>
    <t xml:space="preserve">1.Site is back online from 05/06 </t>
  </si>
  <si>
    <t>June Actual v. Expected</t>
  </si>
  <si>
    <t>June Actual v. Forecasted</t>
  </si>
  <si>
    <t>1. 1 Micro-inverter -202051003663 offline since 6/8/24. Micro inverter being RMA'd</t>
  </si>
  <si>
    <t>1. SR086851</t>
  </si>
  <si>
    <t>1. 25 Micro-inverters offine since 6/25/2024 at 2:05 pm. Micro-inverters being RMA'd</t>
  </si>
  <si>
    <t>1. 	SR087006</t>
  </si>
  <si>
    <t>1. 12 microinverters are offline. Enphase dashboard does not have microinverters assigned</t>
  </si>
  <si>
    <t>1. SR086370</t>
  </si>
  <si>
    <t>July Actual v. Expected</t>
  </si>
  <si>
    <t>July Actual v. Forecasted</t>
  </si>
  <si>
    <t>1. Gateway has not reported since 7/27.</t>
  </si>
  <si>
    <t>1. SR091354</t>
  </si>
  <si>
    <t>1.  The two Microinverters are not reporting on 7/12/24 possibly offline</t>
  </si>
  <si>
    <t>1. SR087721</t>
  </si>
  <si>
    <t>1. The Gateway is not reporting from 07/03.</t>
  </si>
  <si>
    <t>1. SR087352</t>
  </si>
  <si>
    <t>1. 7 Microinverters are not reporting and are offline since 07/17.</t>
  </si>
  <si>
    <t>1. SR088463, SR089660</t>
  </si>
  <si>
    <t>1. 25 Microinverters are offline since 06/25.</t>
  </si>
  <si>
    <t>1. SR087006</t>
  </si>
  <si>
    <t>1. Site is not reporting since 09/14/2023.</t>
  </si>
  <si>
    <t>1. SR086377</t>
  </si>
  <si>
    <t>1. Site is offline since 07/28/2023 and Gateway is not reporting from 05/14/2024.</t>
  </si>
  <si>
    <t>1. SR086379</t>
  </si>
  <si>
    <t>August Actual v. Expected</t>
  </si>
  <si>
    <t>August Actual v. Forecasted</t>
  </si>
  <si>
    <t>1. 44 microinverters are tripping offline on 08/02 and self-resolve the next day.</t>
  </si>
  <si>
    <t>1. SR088539</t>
  </si>
  <si>
    <t>1.  The two Microinverters are not reporting on 8/08/24 possibly offline</t>
  </si>
  <si>
    <t xml:space="preserve">1.SR087721 </t>
  </si>
  <si>
    <t>1. The Gateway is not reporting from 07/03 and back on 08/02/2024.</t>
  </si>
  <si>
    <t>1. Site is not reporting since 09/14/2023 and back on 08/29/2024.</t>
  </si>
  <si>
    <t>September Actual v. Expected</t>
  </si>
  <si>
    <t>September Actual v. Forecasted</t>
  </si>
  <si>
    <t>1. Site is reporting its production at the meter as a negative value, but inverter production is positive from 09/11.</t>
  </si>
  <si>
    <t>1. SR090283</t>
  </si>
  <si>
    <t>1.  The two Microinverters are not reporting from 7/12/24 and back on 9/12/24</t>
  </si>
  <si>
    <t>1. 90 Microinverters are offline from 09/13 and back online on 09/16.</t>
  </si>
  <si>
    <t>1. SR090374</t>
  </si>
  <si>
    <t>1. Site is offline on 09/06/2024.</t>
  </si>
  <si>
    <r>
      <rPr>
        <sz val="11"/>
        <color rgb="FF000000"/>
        <rFont val="Calibri"/>
      </rPr>
      <t>1.</t>
    </r>
    <r>
      <rPr>
        <sz val="12"/>
        <color rgb="FF000000"/>
        <rFont val="Calibri"/>
      </rPr>
      <t xml:space="preserve"> </t>
    </r>
    <r>
      <rPr>
        <sz val="11"/>
        <color rgb="FF000000"/>
        <rFont val="Calibri"/>
      </rPr>
      <t>SR090049</t>
    </r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</si>
  <si>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</si>
  <si>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</si>
  <si>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</si>
  <si>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</si>
  <si>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</si>
  <si>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</si>
  <si>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</si>
  <si>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JLL</t>
  </si>
  <si>
    <t>Site DAS Name</t>
  </si>
  <si>
    <t>Update</t>
  </si>
  <si>
    <t>DAS</t>
  </si>
  <si>
    <t>Bank of America - AZW-167 (Bullhead City, AZ)</t>
  </si>
  <si>
    <t>Bullhead</t>
  </si>
  <si>
    <t>AZ</t>
  </si>
  <si>
    <t>Enlighten</t>
  </si>
  <si>
    <t>Bank of America - AZW-166 (Peoria, AZ)</t>
  </si>
  <si>
    <t>Peoria</t>
  </si>
  <si>
    <t>Bank of America - AZ5-135 (Midvale Park, AZ)</t>
  </si>
  <si>
    <t>Tucson</t>
  </si>
  <si>
    <t>Bank of America - FL7-551 (Hialeah Miami Springs, FL)</t>
  </si>
  <si>
    <t>Hialeah</t>
  </si>
  <si>
    <t>FL</t>
  </si>
  <si>
    <t>Bank of America - FLW-B75 (Jacksonville, FL)</t>
  </si>
  <si>
    <t>Jacksonville</t>
  </si>
  <si>
    <t>Bank of America - FLW-B89 (Miami Gardens, FL)</t>
  </si>
  <si>
    <t>Miami Gardens</t>
  </si>
  <si>
    <t>Bank of America - FL4-199 (North Fort Myers, FL)</t>
  </si>
  <si>
    <t>Fort Myers</t>
  </si>
  <si>
    <t>Bank of America - FLW-D01 (Orlando, FL)</t>
  </si>
  <si>
    <t>Orlando</t>
  </si>
  <si>
    <t>Bank of America - FL5-644 (Port St. Lucie, FL)</t>
  </si>
  <si>
    <t>Port St. Lucie</t>
  </si>
  <si>
    <t>Bank of America - FL2-201 (Tampa, FL)</t>
  </si>
  <si>
    <t>Tampa</t>
  </si>
  <si>
    <t>Bank of America - GA7-247 (Roswell, GA)</t>
  </si>
  <si>
    <t>Roswell</t>
  </si>
  <si>
    <t>GA</t>
  </si>
  <si>
    <t>Bank of America - NC2-225 (Charlotte, NC)</t>
  </si>
  <si>
    <t>Charlotte</t>
  </si>
  <si>
    <t>NC</t>
  </si>
  <si>
    <t>Bank of America - NC7-430 (Raleigh, NC)</t>
  </si>
  <si>
    <t>Raleigh</t>
  </si>
  <si>
    <t>Bank of America - TN3-844 (Cordova, TN)</t>
  </si>
  <si>
    <t>Cordova</t>
  </si>
  <si>
    <t>TN</t>
  </si>
  <si>
    <t>Bank of America - TX9-794 (Austin, TX)</t>
  </si>
  <si>
    <t>Austin</t>
  </si>
  <si>
    <t>TX</t>
  </si>
  <si>
    <t>Bank of America - TX2-736 (Frisco, TX)</t>
  </si>
  <si>
    <t>Frisco</t>
  </si>
  <si>
    <t>Bank of America - TX5-204 (Copperfield, TX) (240 VAC High Leg Delta) (FC - Copperfield (High Leg Delta))</t>
  </si>
  <si>
    <t>Copperfield</t>
  </si>
  <si>
    <t>Bank of America - TX2-796 (Plano, TX)</t>
  </si>
  <si>
    <t>Plano Bldg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</si>
</sst>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0" borderId="12" xfId="43" applyFont="1" applyBorder="1"/>
    <xf numFmtId="0" fontId="22" fillId="0" borderId="13" xfId="43" applyFont="1" applyBorder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49" fontId="34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1" totalsRowShown="0">
  <autoFilter ref="A3:E21" xr:uid="{C9C95D9E-67ED-41E0-9F41-9C3DA4ACF4CD}"/>
  <sortState xmlns:xlrd2="http://schemas.microsoft.com/office/spreadsheetml/2017/richdata2" ref="A4:E21">
    <sortCondition ref="C3:C21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:G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JLL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SUM(C4:C98)</f>
        <v>239951.02900000007</v>
      </c>
      <c r="D2" s="5">
        <f>SUM(D4:D98)</f>
        <v>0</v>
      </c>
      <c r="E2" s="5">
        <f>C2-D2</f>
        <v>239951.02900000007</v>
      </c>
      <c r="F2" s="6">
        <f>IFERROR(E2/D2, 0)</f>
        <v>0</v>
      </c>
      <c r="G2" s="5">
        <f>SUM(G4:G98)</f>
        <v>0</v>
      </c>
      <c r="H2" s="7">
        <f>C2-G2</f>
        <v>239951.02900000007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SUM('1st Qtr'!C4, '2nd Qtr'!C4, '3rd Qtr'!C4, '4th Qtr'!C4)</f>
        <v>879.46</v>
      </c>
      <c r="D4" s="13">
        <f>SUM('1st Qtr'!D4, '2nd Qtr'!D4, '3rd Qtr'!D4, '4th Qtr'!D4)</f>
        <v>0</v>
      </c>
      <c r="E4" s="13">
        <f>IF(AND(ISNUMBER(C4),ISNUMBER(D4)), C4-D4, "")</f>
        <v>879.46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879.46</v>
      </c>
      <c r="I4" s="16" t="str">
        <f>IFERROR(H4/G4, "")</f>
        <v/>
      </c>
    </row>
    <row r="5" spans="1:9" ht="15.6">
      <c r="A5" s="17" t="str">
        <v>Peoria</v>
      </c>
      <c r="B5" s="10" t="str">
        <v>AZ</v>
      </c>
      <c r="C5" s="11">
        <f>SUM('1st Qtr'!C5, '2nd Qtr'!C5, '3rd Qtr'!C5, '4th Qtr'!C5)</f>
        <v>0</v>
      </c>
      <c r="D5" s="18">
        <f>SUM('1st Qtr'!D5, '2nd Qtr'!D5, '3rd Qtr'!D5, '4th Qtr'!D5)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Tucson</v>
      </c>
      <c r="B6" s="9" t="str">
        <v>AZ</v>
      </c>
      <c r="C6" s="24">
        <f>SUM('1st Qtr'!C6, '2nd Qtr'!C6, '3rd Qtr'!C6, '4th Qtr'!C6)</f>
        <v>0</v>
      </c>
      <c r="D6" s="13">
        <f>SUM('1st Qtr'!D6, '2nd Qtr'!D6, '3rd Qtr'!D6, '4th Qtr'!D6)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Hialeah</v>
      </c>
      <c r="B7" s="10" t="str">
        <v>FL</v>
      </c>
      <c r="C7" s="11">
        <f>SUM('1st Qtr'!C7, '2nd Qtr'!C7, '3rd Qtr'!C7, '4th Qtr'!C7)</f>
        <v>1302.3240000000001</v>
      </c>
      <c r="D7" s="18">
        <f>SUM('1st Qtr'!D7, '2nd Qtr'!D7, '3rd Qtr'!D7, '4th Qtr'!D7)</f>
        <v>0</v>
      </c>
      <c r="E7" s="18">
        <f t="shared" si="0"/>
        <v>1302.3240000000001</v>
      </c>
      <c r="F7" s="19" t="str">
        <f t="shared" si="1"/>
        <v/>
      </c>
      <c r="G7" s="20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Jacksonville</v>
      </c>
      <c r="B8" s="9" t="str">
        <v>FL</v>
      </c>
      <c r="C8" s="24">
        <f>SUM('1st Qtr'!C8, '2nd Qtr'!C8, '3rd Qtr'!C8, '4th Qtr'!C8)</f>
        <v>590.20600000000002</v>
      </c>
      <c r="D8" s="13">
        <f>SUM('1st Qtr'!D8, '2nd Qtr'!D8, '3rd Qtr'!D8, '4th Qtr'!D8)</f>
        <v>0</v>
      </c>
      <c r="E8" s="13">
        <f t="shared" si="0"/>
        <v>590.20600000000002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Miami Gardens</v>
      </c>
      <c r="B9" s="10" t="str">
        <v>FL</v>
      </c>
      <c r="C9" s="11">
        <f>SUM('1st Qtr'!C9, '2nd Qtr'!C9, '3rd Qtr'!C9, '4th Qtr'!C9)</f>
        <v>524.46600000000001</v>
      </c>
      <c r="D9" s="18">
        <f>SUM('1st Qtr'!D9, '2nd Qtr'!D9, '3rd Qtr'!D9, '4th Qtr'!D9)</f>
        <v>0</v>
      </c>
      <c r="E9" s="18">
        <f t="shared" si="0"/>
        <v>524.46600000000001</v>
      </c>
      <c r="F9" s="19" t="str">
        <f t="shared" si="1"/>
        <v/>
      </c>
      <c r="G9" s="20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Fort Myers</v>
      </c>
      <c r="B10" s="9" t="str">
        <v>FL</v>
      </c>
      <c r="C10" s="24">
        <f>SUM('1st Qtr'!C10, '2nd Qtr'!C10, '3rd Qtr'!C10, '4th Qtr'!C10)</f>
        <v>31237.434999999998</v>
      </c>
      <c r="D10" s="13">
        <f>SUM('1st Qtr'!D10, '2nd Qtr'!D10, '3rd Qtr'!D10, '4th Qtr'!D10)</f>
        <v>0</v>
      </c>
      <c r="E10" s="13">
        <f t="shared" si="0"/>
        <v>31237.434999999998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Orlando</v>
      </c>
      <c r="B11" s="10" t="str">
        <v>FL</v>
      </c>
      <c r="C11" s="11">
        <f>SUM('1st Qtr'!C11, '2nd Qtr'!C11, '3rd Qtr'!C11, '4th Qtr'!C11)</f>
        <v>32384.817000000003</v>
      </c>
      <c r="D11" s="18">
        <f>SUM('1st Qtr'!D11, '2nd Qtr'!D11, '3rd Qtr'!D11, '4th Qtr'!D11)</f>
        <v>0</v>
      </c>
      <c r="E11" s="18">
        <f t="shared" si="0"/>
        <v>32384.817000000003</v>
      </c>
      <c r="F11" s="19" t="str">
        <f t="shared" si="1"/>
        <v/>
      </c>
      <c r="G11" s="20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Port St. Lucie</v>
      </c>
      <c r="B12" s="9" t="str">
        <v>FL</v>
      </c>
      <c r="C12" s="24">
        <f>SUM('1st Qtr'!C12, '2nd Qtr'!C12, '3rd Qtr'!C12, '4th Qtr'!C12)</f>
        <v>41090.588000000003</v>
      </c>
      <c r="D12" s="13">
        <f>SUM('1st Qtr'!D12, '2nd Qtr'!D12, '3rd Qtr'!D12, '4th Qtr'!D12)</f>
        <v>0</v>
      </c>
      <c r="E12" s="13">
        <f t="shared" si="0"/>
        <v>41090.588000000003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Tampa</v>
      </c>
      <c r="B13" s="10" t="str">
        <v>FL</v>
      </c>
      <c r="C13" s="11">
        <f>SUM('1st Qtr'!C13, '2nd Qtr'!C13, '3rd Qtr'!C13, '4th Qtr'!C13)</f>
        <v>21757.722000000005</v>
      </c>
      <c r="D13" s="18">
        <f>SUM('1st Qtr'!D13, '2nd Qtr'!D13, '3rd Qtr'!D13, '4th Qtr'!D13)</f>
        <v>0</v>
      </c>
      <c r="E13" s="18">
        <f t="shared" si="0"/>
        <v>21757.722000000005</v>
      </c>
      <c r="F13" s="19" t="str">
        <f t="shared" si="1"/>
        <v/>
      </c>
      <c r="G13" s="20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Roswell</v>
      </c>
      <c r="B14" s="9" t="str">
        <v>GA</v>
      </c>
      <c r="C14" s="24">
        <f>SUM('1st Qtr'!C14, '2nd Qtr'!C14, '3rd Qtr'!C14, '4th Qtr'!C14)</f>
        <v>25438.893</v>
      </c>
      <c r="D14" s="13">
        <f>SUM('1st Qtr'!D14, '2nd Qtr'!D14, '3rd Qtr'!D14, '4th Qtr'!D14)</f>
        <v>0</v>
      </c>
      <c r="E14" s="13">
        <f t="shared" si="0"/>
        <v>25438.893</v>
      </c>
      <c r="F14" s="14" t="str">
        <f t="shared" si="1"/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Charlotte</v>
      </c>
      <c r="B15" s="10" t="str">
        <v>NC</v>
      </c>
      <c r="C15" s="11">
        <f>SUM('1st Qtr'!C15, '2nd Qtr'!C15, '3rd Qtr'!C15, '4th Qtr'!C15)</f>
        <v>14502.431</v>
      </c>
      <c r="D15" s="18">
        <f>SUM('1st Qtr'!D15, '2nd Qtr'!D15, '3rd Qtr'!D15, '4th Qtr'!D15)</f>
        <v>0</v>
      </c>
      <c r="E15" s="18">
        <f t="shared" si="0"/>
        <v>14502.431</v>
      </c>
      <c r="F15" s="19" t="str">
        <f t="shared" si="1"/>
        <v/>
      </c>
      <c r="G15" s="20">
        <f>SUM('1st Qtr'!G15, '2nd Qtr'!G15, '3rd Qtr'!G15, '4th Qtr'!G15)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Raleigh</v>
      </c>
      <c r="B16" s="9" t="str">
        <v>NC</v>
      </c>
      <c r="C16" s="24">
        <f>SUM('1st Qtr'!C16, '2nd Qtr'!C16, '3rd Qtr'!C16, '4th Qtr'!C16)</f>
        <v>19965.728000000003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19965.728000000003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9" si="5">IFERROR(H16/G16, "")</f>
        <v/>
      </c>
    </row>
    <row r="17" spans="1:9" ht="15.6">
      <c r="A17" s="17" t="str">
        <v>Cordova</v>
      </c>
      <c r="B17" s="10" t="str">
        <v>TN</v>
      </c>
      <c r="C17" s="11">
        <f>SUM('1st Qtr'!C17, '2nd Qtr'!C17, '3rd Qtr'!C17, '4th Qtr'!C17)</f>
        <v>14933.744999999999</v>
      </c>
      <c r="D17" s="18">
        <f>SUM('1st Qtr'!D17, '2nd Qtr'!D17, '3rd Qtr'!D17, '4th Qtr'!D17)</f>
        <v>0</v>
      </c>
      <c r="E17" s="18">
        <f t="shared" si="3"/>
        <v>14933.744999999999</v>
      </c>
      <c r="F17" s="19" t="str">
        <f t="shared" si="4"/>
        <v/>
      </c>
      <c r="G17" s="20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SUM('1st Qtr'!C18, '2nd Qtr'!C18, '3rd Qtr'!C18, '4th Qtr'!C18)</f>
        <v>6850.0239999999994</v>
      </c>
      <c r="D18" s="13">
        <f>SUM('1st Qtr'!D18, '2nd Qtr'!D18, '3rd Qtr'!D18, '4th Qtr'!D18)</f>
        <v>0</v>
      </c>
      <c r="E18" s="13">
        <f t="shared" si="3"/>
        <v>6850.0239999999994</v>
      </c>
      <c r="F18" s="14" t="str">
        <f t="shared" si="4"/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si="5"/>
        <v/>
      </c>
    </row>
    <row r="19" spans="1:9" ht="15.6">
      <c r="A19" s="17" t="str">
        <v>Frisco</v>
      </c>
      <c r="B19" s="10" t="str">
        <v>TX</v>
      </c>
      <c r="C19" s="11">
        <f>SUM('1st Qtr'!C19, '2nd Qtr'!C19, '3rd Qtr'!C19, '4th Qtr'!C19)</f>
        <v>12258.977000000001</v>
      </c>
      <c r="D19" s="18">
        <f>SUM('1st Qtr'!D19, '2nd Qtr'!D19, '3rd Qtr'!D19, '4th Qtr'!D19)</f>
        <v>0</v>
      </c>
      <c r="E19" s="18">
        <f t="shared" si="3"/>
        <v>12258.977000000001</v>
      </c>
      <c r="F19" s="19" t="str">
        <f t="shared" si="4"/>
        <v/>
      </c>
      <c r="G19" s="20">
        <f>SUM('1st Qtr'!G19, '2nd Qtr'!G19, '3rd Qtr'!G19, '4th Qtr'!G19)</f>
        <v>0</v>
      </c>
      <c r="H19" s="20">
        <f>SUM(Jan!H19, Feb!H19, Mar!H19)</f>
        <v>0</v>
      </c>
      <c r="I19" s="19" t="str">
        <f t="shared" si="5"/>
        <v/>
      </c>
    </row>
    <row r="20" spans="1:9" ht="15.6">
      <c r="A20" s="12" t="str">
        <v>Copperfield</v>
      </c>
      <c r="B20" s="9" t="str">
        <v>TX</v>
      </c>
      <c r="C20" s="24">
        <f>SUM('1st Qtr'!C20, '2nd Qtr'!C20, '3rd Qtr'!C20, '4th Qtr'!C20)</f>
        <v>595.79</v>
      </c>
      <c r="D20" s="13">
        <f>SUM('1st Qtr'!D20, '2nd Qtr'!D20, '3rd Qtr'!D20, '4th Qtr'!D20)</f>
        <v>0</v>
      </c>
      <c r="E20" s="13">
        <f t="shared" ref="E20:E21" si="6">IF(AND(ISNUMBER(C20),ISNUMBER(D20)), C20-D20, "")</f>
        <v>595.79</v>
      </c>
      <c r="F20" s="14" t="str">
        <f t="shared" ref="F20:F21" si="7">IFERROR(E20/D20, "")</f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ref="I20:I21" si="8">IFERROR(H20/G20, "")</f>
        <v/>
      </c>
    </row>
    <row r="21" spans="1:9" ht="15.6">
      <c r="A21" s="17" t="str">
        <v>Plano Bldg A</v>
      </c>
      <c r="B21" s="10" t="str">
        <v>TX</v>
      </c>
      <c r="C21" s="11">
        <f>SUM('1st Qtr'!C21, '2nd Qtr'!C21, '3rd Qtr'!C21, '4th Qtr'!C21)</f>
        <v>15638.422999999999</v>
      </c>
      <c r="D21" s="18">
        <f>SUM('1st Qtr'!D21, '2nd Qtr'!D21, '3rd Qtr'!D21, '4th Qtr'!D21)</f>
        <v>0</v>
      </c>
      <c r="E21" s="18">
        <f t="shared" si="6"/>
        <v>15638.422999999999</v>
      </c>
      <c r="F21" s="19" t="str">
        <f t="shared" si="7"/>
        <v/>
      </c>
      <c r="G21" s="20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3.9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9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9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9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8 I4:I98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JLL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Peoria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Tucson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Hialeah</v>
      </c>
      <c r="B7" s="10" t="str">
        <v>FL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Jacksonville</v>
      </c>
      <c r="B8" s="9" t="str">
        <v>FL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Miami Gardens</v>
      </c>
      <c r="B9" s="10" t="str">
        <v>FL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Fort Myers</v>
      </c>
      <c r="B10" s="9" t="str">
        <v>FL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Orlando</v>
      </c>
      <c r="B11" s="10" t="str">
        <v>FL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Port St. Lucie</v>
      </c>
      <c r="B12" s="9" t="str">
        <v>FL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Tampa</v>
      </c>
      <c r="B13" s="10" t="str">
        <v>FL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Roswell</v>
      </c>
      <c r="B14" s="9" t="str">
        <v>GA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Charlotte</v>
      </c>
      <c r="B15" s="10" t="str">
        <v>NC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Raleigh</v>
      </c>
      <c r="B16" s="9" t="str">
        <v>NC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Cordova</v>
      </c>
      <c r="B17" s="10" t="str">
        <v>TN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SUM(Jan!C18, Feb!C18, Mar!C18)</f>
        <v>0</v>
      </c>
      <c r="D18" s="13">
        <f>SUM(Jan!D18, Feb!D18, Mar!D18)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1" si="8">IFERROR(H18/G18, "")</f>
        <v/>
      </c>
    </row>
    <row r="19" spans="1:9" ht="15.6">
      <c r="A19" s="17" t="str">
        <v>Frisco</v>
      </c>
      <c r="B19" s="10" t="str">
        <v>TX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Copperfield</v>
      </c>
      <c r="B20" s="9" t="str">
        <v>TX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Plano Bldg A</v>
      </c>
      <c r="B21" s="10" t="str">
        <v>TX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3.9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9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9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9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8 I4:I9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0"/>
  <sheetViews>
    <sheetView workbookViewId="0">
      <pane xSplit="2" ySplit="3" topLeftCell="C4" activePane="bottomRight" state="frozen"/>
      <selection pane="bottomRight" activeCell="I7" sqref="I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JLL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SUM(C4:C98)</f>
        <v>88649.44200000001</v>
      </c>
      <c r="D2" s="5">
        <f>SUM(D4:D98)</f>
        <v>0</v>
      </c>
      <c r="E2" s="5">
        <f>C2-D2</f>
        <v>88649.44200000001</v>
      </c>
      <c r="F2" s="6">
        <f>IFERROR(E2/D2, 0)</f>
        <v>0</v>
      </c>
      <c r="G2" s="5">
        <f>SUM(G4:G98)</f>
        <v>0</v>
      </c>
      <c r="H2" s="7">
        <f>C2-G2</f>
        <v>88649.44200000001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SUM(Apr!C4, May!C4, Jun!C4)</f>
        <v>472.64400000000001</v>
      </c>
      <c r="D4" s="13">
        <f>SUM(Apr!D4, May!D4, Jun!D4)</f>
        <v>0</v>
      </c>
      <c r="E4" s="13">
        <f>IF(AND(ISNUMBER(C4),ISNUMBER(D4)), C4-D4, "")</f>
        <v>472.64400000000001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472.64400000000001</v>
      </c>
      <c r="I4" s="16" t="str">
        <f>IFERROR(H4/G4, "")</f>
        <v/>
      </c>
    </row>
    <row r="5" spans="1:9" ht="15.6">
      <c r="A5" s="17" t="str">
        <v>Peoria</v>
      </c>
      <c r="B5" s="10" t="str">
        <v>AZ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Tucson</v>
      </c>
      <c r="B6" s="9" t="str">
        <v>AZ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Hialeah</v>
      </c>
      <c r="B7" s="10" t="str">
        <v>FL</v>
      </c>
      <c r="C7" s="11">
        <f>SUM(Apr!C7, May!C7, Jun!C7)</f>
        <v>974.18300000000011</v>
      </c>
      <c r="D7" s="18">
        <f>SUM(Apr!D7, May!D7, Jun!D7)</f>
        <v>0</v>
      </c>
      <c r="E7" s="18">
        <f t="shared" si="0"/>
        <v>974.18300000000011</v>
      </c>
      <c r="F7" s="19" t="str">
        <f t="shared" si="1"/>
        <v/>
      </c>
      <c r="G7" s="19">
        <f>SUM(Apr!G7, May!G7, Jun!G7)</f>
        <v>0</v>
      </c>
      <c r="H7" s="20">
        <f>SUM(Apr!H7, May!H7, Jun!H7)</f>
        <v>974.18300000000011</v>
      </c>
      <c r="I7" s="19" t="str">
        <f t="shared" si="2"/>
        <v/>
      </c>
    </row>
    <row r="8" spans="1:9" ht="15.6">
      <c r="A8" s="12" t="str">
        <v>Jacksonville</v>
      </c>
      <c r="B8" s="9" t="str">
        <v>FL</v>
      </c>
      <c r="C8" s="24">
        <f>SUM(Apr!C8, May!C8, Jun!C8)</f>
        <v>346.05599999999998</v>
      </c>
      <c r="D8" s="13">
        <f>SUM(Apr!D8, May!D8, Jun!D8)</f>
        <v>0</v>
      </c>
      <c r="E8" s="13">
        <f t="shared" si="0"/>
        <v>346.05599999999998</v>
      </c>
      <c r="F8" s="14" t="str">
        <f t="shared" si="1"/>
        <v/>
      </c>
      <c r="G8" s="16">
        <f>SUM(Apr!G8, May!G8, Jun!G8)</f>
        <v>0</v>
      </c>
      <c r="H8" s="15">
        <f>SUM(Apr!H8, May!H8, Jun!H8)</f>
        <v>346.05599999999998</v>
      </c>
      <c r="I8" s="16" t="str">
        <f t="shared" si="2"/>
        <v/>
      </c>
    </row>
    <row r="9" spans="1:9" ht="15.6">
      <c r="A9" s="17" t="str">
        <v>Miami Gardens</v>
      </c>
      <c r="B9" s="10" t="str">
        <v>FL</v>
      </c>
      <c r="C9" s="11">
        <f>SUM(Apr!C9, May!C9, Jun!C9)</f>
        <v>351.56600000000003</v>
      </c>
      <c r="D9" s="18">
        <f>SUM(Apr!D9, May!D9, Jun!D9)</f>
        <v>0</v>
      </c>
      <c r="E9" s="18">
        <f t="shared" si="0"/>
        <v>351.56600000000003</v>
      </c>
      <c r="F9" s="19" t="str">
        <f t="shared" si="1"/>
        <v/>
      </c>
      <c r="G9" s="19">
        <f>SUM(Apr!G9, May!G9, Jun!G9)</f>
        <v>0</v>
      </c>
      <c r="H9" s="20">
        <f>SUM(Apr!H9, May!H9, Jun!H9)</f>
        <v>351.56600000000003</v>
      </c>
      <c r="I9" s="19" t="str">
        <f t="shared" si="2"/>
        <v/>
      </c>
    </row>
    <row r="10" spans="1:9" ht="15.6">
      <c r="A10" s="12" t="str">
        <v>Fort Myers</v>
      </c>
      <c r="B10" s="9" t="str">
        <v>FL</v>
      </c>
      <c r="C10" s="24">
        <f>SUM(Apr!C10, May!C10, Jun!C10)</f>
        <v>12961.553</v>
      </c>
      <c r="D10" s="13">
        <f>SUM(Apr!D10, May!D10, Jun!D10)</f>
        <v>0</v>
      </c>
      <c r="E10" s="13">
        <f t="shared" si="0"/>
        <v>12961.553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12961.553</v>
      </c>
      <c r="I10" s="16" t="str">
        <f t="shared" si="2"/>
        <v/>
      </c>
    </row>
    <row r="11" spans="1:9" ht="15.6">
      <c r="A11" s="17" t="str">
        <v>Orlando</v>
      </c>
      <c r="B11" s="10" t="str">
        <v>FL</v>
      </c>
      <c r="C11" s="11">
        <f>SUM(Apr!C11, May!C11, Jun!C11)</f>
        <v>17304.517</v>
      </c>
      <c r="D11" s="18">
        <f>SUM(Apr!D11, May!D11, Jun!D11)</f>
        <v>0</v>
      </c>
      <c r="E11" s="18">
        <f t="shared" si="0"/>
        <v>17304.517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17304.517</v>
      </c>
      <c r="I11" s="19" t="str">
        <f t="shared" si="2"/>
        <v/>
      </c>
    </row>
    <row r="12" spans="1:9" ht="15.6">
      <c r="A12" s="12" t="str">
        <v>Port St. Lucie</v>
      </c>
      <c r="B12" s="9" t="str">
        <v>FL</v>
      </c>
      <c r="C12" s="24">
        <f>SUM(Apr!C12, May!C12, Jun!C12)</f>
        <v>13831.498</v>
      </c>
      <c r="D12" s="13">
        <f>SUM(Apr!D12, May!D12, Jun!D12)</f>
        <v>0</v>
      </c>
      <c r="E12" s="13">
        <f t="shared" si="0"/>
        <v>13831.498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13831.498</v>
      </c>
      <c r="I12" s="16" t="str">
        <f t="shared" si="2"/>
        <v/>
      </c>
    </row>
    <row r="13" spans="1:9" ht="15.6">
      <c r="A13" s="17" t="str">
        <v>Tampa</v>
      </c>
      <c r="B13" s="10" t="str">
        <v>FL</v>
      </c>
      <c r="C13" s="11">
        <f>SUM(Apr!C13, May!C13, Jun!C13)</f>
        <v>1221.1500000000001</v>
      </c>
      <c r="D13" s="18">
        <f>SUM(Apr!D13, May!D13, Jun!D13)</f>
        <v>0</v>
      </c>
      <c r="E13" s="18">
        <f t="shared" si="0"/>
        <v>1221.1500000000001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1221.1500000000001</v>
      </c>
      <c r="I13" s="19" t="str">
        <f t="shared" si="2"/>
        <v/>
      </c>
    </row>
    <row r="14" spans="1:9" ht="15.6">
      <c r="A14" s="12" t="str">
        <v>Roswell</v>
      </c>
      <c r="B14" s="9" t="str">
        <v>GA</v>
      </c>
      <c r="C14" s="24">
        <f>SUM(Apr!C14, May!C14, Jun!C14)</f>
        <v>5984.7629999999999</v>
      </c>
      <c r="D14" s="13">
        <f>SUM(Apr!D14, May!D14, Jun!D14)</f>
        <v>0</v>
      </c>
      <c r="E14" s="13">
        <f t="shared" si="0"/>
        <v>5984.7629999999999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5984.7629999999999</v>
      </c>
      <c r="I14" s="16" t="str">
        <f t="shared" si="2"/>
        <v/>
      </c>
    </row>
    <row r="15" spans="1:9" ht="15.6">
      <c r="A15" s="17" t="str">
        <v>Charlotte</v>
      </c>
      <c r="B15" s="10" t="str">
        <v>NC</v>
      </c>
      <c r="C15" s="11">
        <f>SUM(Apr!C15, May!C15, Jun!C15)</f>
        <v>7544.2309999999998</v>
      </c>
      <c r="D15" s="18">
        <f>SUM(Apr!D15, May!D15, Jun!D15)</f>
        <v>0</v>
      </c>
      <c r="E15" s="18">
        <f t="shared" si="0"/>
        <v>7544.2309999999998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7544.2309999999998</v>
      </c>
      <c r="I15" s="19" t="str">
        <f t="shared" si="2"/>
        <v/>
      </c>
    </row>
    <row r="16" spans="1:9" ht="15.6">
      <c r="A16" s="12" t="str">
        <v>Raleigh</v>
      </c>
      <c r="B16" s="9" t="str">
        <v>NC</v>
      </c>
      <c r="C16" s="24">
        <f>SUM(Apr!C16, May!C16, Jun!C16)</f>
        <v>10733.628000000001</v>
      </c>
      <c r="D16" s="13">
        <f>SUM(Apr!D16, May!D16, Jun!D16)</f>
        <v>0</v>
      </c>
      <c r="E16" s="13">
        <f t="shared" ref="E16:E17" si="3">IF(AND(ISNUMBER(C16),ISNUMBER(D16)), C16-D16, "")</f>
        <v>10733.628000000001</v>
      </c>
      <c r="F16" s="14" t="str">
        <f t="shared" ref="F16:F17" si="4">IFERROR(E16/D16, "")</f>
        <v/>
      </c>
      <c r="G16" s="16">
        <f>SUM(Apr!G16, May!G16, Jun!G16)</f>
        <v>0</v>
      </c>
      <c r="H16" s="15">
        <f>SUM(Apr!H16, May!H16, Jun!H16)</f>
        <v>10733.628000000001</v>
      </c>
      <c r="I16" s="16" t="str">
        <f t="shared" ref="I16:I17" si="5">IFERROR(H16/G16, "")</f>
        <v/>
      </c>
    </row>
    <row r="17" spans="1:9" ht="15.6">
      <c r="A17" s="17" t="str">
        <v>Cordova</v>
      </c>
      <c r="B17" s="10" t="str">
        <v>TN</v>
      </c>
      <c r="C17" s="11">
        <f>SUM(Apr!C17, May!C17, Jun!C17)</f>
        <v>3129.145</v>
      </c>
      <c r="D17" s="18">
        <f>SUM(Apr!D17, May!D17, Jun!D17)</f>
        <v>0</v>
      </c>
      <c r="E17" s="18">
        <f t="shared" si="3"/>
        <v>3129.145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3129.145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SUM(Apr!C18, May!C18, Jun!C18)</f>
        <v>3117.6239999999998</v>
      </c>
      <c r="D18" s="13">
        <f>SUM(Apr!D18, May!D18, Jun!D18)</f>
        <v>0</v>
      </c>
      <c r="E18" s="13">
        <f t="shared" ref="E18:E21" si="6">IF(AND(ISNUMBER(C18),ISNUMBER(D18)), C18-D18, "")</f>
        <v>3117.6239999999998</v>
      </c>
      <c r="F18" s="14" t="str">
        <f t="shared" ref="F18:F21" si="7">IFERROR(E18/D18, "")</f>
        <v/>
      </c>
      <c r="G18" s="16">
        <f>SUM(Apr!G18, May!G18, Jun!G18)</f>
        <v>0</v>
      </c>
      <c r="H18" s="15">
        <f>SUM(Apr!H18, May!H18, Jun!H18)</f>
        <v>3117.6239999999998</v>
      </c>
      <c r="I18" s="16" t="str">
        <f t="shared" ref="I18:I21" si="8">IFERROR(H18/G18, "")</f>
        <v/>
      </c>
    </row>
    <row r="19" spans="1:9" ht="15.6">
      <c r="A19" s="17" t="str">
        <v>Frisco</v>
      </c>
      <c r="B19" s="10" t="str">
        <v>TX</v>
      </c>
      <c r="C19" s="11">
        <f>SUM(Apr!C19, May!C19, Jun!C19)</f>
        <v>3247.777</v>
      </c>
      <c r="D19" s="18">
        <f>SUM(Apr!D19, May!D19, Jun!D19)</f>
        <v>0</v>
      </c>
      <c r="E19" s="18">
        <f t="shared" si="6"/>
        <v>3247.777</v>
      </c>
      <c r="F19" s="19" t="str">
        <f t="shared" si="7"/>
        <v/>
      </c>
      <c r="G19" s="19">
        <f>SUM(Apr!G19, May!G19, Jun!G19)</f>
        <v>0</v>
      </c>
      <c r="H19" s="20">
        <f>SUM(Apr!H19, May!H19, Jun!H19)</f>
        <v>3247.777</v>
      </c>
      <c r="I19" s="19" t="str">
        <f t="shared" si="8"/>
        <v/>
      </c>
    </row>
    <row r="20" spans="1:9" ht="15.6">
      <c r="A20" s="12" t="str">
        <v>Copperfield</v>
      </c>
      <c r="B20" s="9" t="str">
        <v>TX</v>
      </c>
      <c r="C20" s="24">
        <f>SUM(Apr!C20, May!C20, Jun!C20)</f>
        <v>0.58400000000000007</v>
      </c>
      <c r="D20" s="13">
        <f>SUM(Apr!D20, May!D20, Jun!D20)</f>
        <v>0</v>
      </c>
      <c r="E20" s="13">
        <f t="shared" si="6"/>
        <v>0.58400000000000007</v>
      </c>
      <c r="F20" s="14" t="str">
        <f t="shared" si="7"/>
        <v/>
      </c>
      <c r="G20" s="16">
        <f>SUM(Apr!G20, May!G20, Jun!G20)</f>
        <v>0</v>
      </c>
      <c r="H20" s="15">
        <f>SUM(Apr!H20, May!H20, Jun!H20)</f>
        <v>0.58400000000000007</v>
      </c>
      <c r="I20" s="16" t="str">
        <f t="shared" si="8"/>
        <v/>
      </c>
    </row>
    <row r="21" spans="1:9" ht="15.6">
      <c r="A21" s="17" t="str">
        <v>Plano Bldg A</v>
      </c>
      <c r="B21" s="10" t="str">
        <v>TX</v>
      </c>
      <c r="C21" s="11">
        <f>SUM(Apr!C21, May!C21, Jun!C21)</f>
        <v>7428.5230000000001</v>
      </c>
      <c r="D21" s="18">
        <f>SUM(Apr!D21, May!D21, Jun!D21)</f>
        <v>0</v>
      </c>
      <c r="E21" s="18">
        <f t="shared" si="6"/>
        <v>7428.5230000000001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7428.5230000000001</v>
      </c>
      <c r="I21" s="19" t="str">
        <f t="shared" si="8"/>
        <v/>
      </c>
    </row>
    <row r="22" spans="1:9" ht="13.9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9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9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9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G4:G21">
    <cfRule type="cellIs" dxfId="32" priority="1" stopIfTrue="1" operator="lessThanOrEqual">
      <formula>-0.1</formula>
    </cfRule>
    <cfRule type="expression" dxfId="3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0"/>
  <sheetViews>
    <sheetView tabSelected="1" workbookViewId="0">
      <pane xSplit="2" ySplit="3" topLeftCell="C4" activePane="bottomRight" state="frozen"/>
      <selection pane="bottomRight" activeCell="F33" sqref="F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JLL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SUM(C4:C98)</f>
        <v>151301.587</v>
      </c>
      <c r="D2" s="5">
        <f>SUM(D4:D98)</f>
        <v>0</v>
      </c>
      <c r="E2" s="5">
        <f>C2-D2</f>
        <v>151301.587</v>
      </c>
      <c r="F2" s="6">
        <f>IFERROR(E2/D2, 0)</f>
        <v>0</v>
      </c>
      <c r="G2" s="5">
        <f>SUM(G4:G98)</f>
        <v>0</v>
      </c>
      <c r="H2" s="7">
        <f>C2-G2</f>
        <v>151301.587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SUM(Jul!C4, Aug!C4, Sep!C4)</f>
        <v>406.81600000000003</v>
      </c>
      <c r="D4" s="13">
        <f>SUM(Jul!D4, Aug!D4, Sep!D4)</f>
        <v>0</v>
      </c>
      <c r="E4" s="13">
        <f>IF(AND(ISNUMBER(C4),ISNUMBER(D4)), C4-D4, "")</f>
        <v>406.81600000000003</v>
      </c>
      <c r="F4" s="14" t="str">
        <f>IFERROR(E4/D4, "")</f>
        <v/>
      </c>
      <c r="G4" s="15">
        <f>SUM(Jul!G4, Aug!G4, Sep!G4)</f>
        <v>0</v>
      </c>
      <c r="H4" s="15">
        <f>SUM(Jul!H4, Aug!H4, Sep!H4)</f>
        <v>406.81600000000003</v>
      </c>
      <c r="I4" s="16" t="str">
        <f>IFERROR(H4/G4, "")</f>
        <v/>
      </c>
    </row>
    <row r="5" spans="1:9" ht="15.6">
      <c r="A5" s="17" t="str">
        <v>Peoria</v>
      </c>
      <c r="B5" s="10" t="str">
        <v>AZ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Tucson</v>
      </c>
      <c r="B6" s="9" t="str">
        <v>AZ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Hialeah</v>
      </c>
      <c r="B7" s="10" t="str">
        <v>FL</v>
      </c>
      <c r="C7" s="11">
        <f>SUM(Jul!C7, Aug!C7, Sep!C7)</f>
        <v>328.14100000000002</v>
      </c>
      <c r="D7" s="18">
        <f>SUM(Jul!D7, Aug!D7, Sep!D7)</f>
        <v>0</v>
      </c>
      <c r="E7" s="18">
        <f t="shared" si="0"/>
        <v>328.14100000000002</v>
      </c>
      <c r="F7" s="19" t="str">
        <f t="shared" si="1"/>
        <v/>
      </c>
      <c r="G7" s="20">
        <f>SUM(Jul!G7, Aug!G7, Sep!G7)</f>
        <v>0</v>
      </c>
      <c r="H7" s="20">
        <f>SUM(Jul!H7, Aug!H7, Sep!H7)</f>
        <v>328.14100000000002</v>
      </c>
      <c r="I7" s="19" t="str">
        <f t="shared" si="2"/>
        <v/>
      </c>
    </row>
    <row r="8" spans="1:9" ht="15.6">
      <c r="A8" s="12" t="str">
        <v>Jacksonville</v>
      </c>
      <c r="B8" s="9" t="str">
        <v>FL</v>
      </c>
      <c r="C8" s="24">
        <f>SUM(Jul!C8, Aug!C8, Sep!C8)</f>
        <v>244.15</v>
      </c>
      <c r="D8" s="13">
        <f>SUM(Jul!D8, Aug!D8, Sep!D8)</f>
        <v>0</v>
      </c>
      <c r="E8" s="13">
        <f t="shared" si="0"/>
        <v>244.15</v>
      </c>
      <c r="F8" s="14" t="str">
        <f t="shared" si="1"/>
        <v/>
      </c>
      <c r="G8" s="15">
        <f>SUM(Jul!G8, Aug!G8, Sep!G8)</f>
        <v>0</v>
      </c>
      <c r="H8" s="15">
        <f>SUM(Jul!H8, Aug!H8, Sep!H8)</f>
        <v>244.15</v>
      </c>
      <c r="I8" s="16" t="str">
        <f t="shared" si="2"/>
        <v/>
      </c>
    </row>
    <row r="9" spans="1:9" ht="15.6">
      <c r="A9" s="17" t="str">
        <v>Miami Gardens</v>
      </c>
      <c r="B9" s="10" t="str">
        <v>FL</v>
      </c>
      <c r="C9" s="11">
        <f>SUM(Jul!C9, Aug!C9, Sep!C9)</f>
        <v>172.89999999999998</v>
      </c>
      <c r="D9" s="18">
        <f>SUM(Jul!D9, Aug!D9, Sep!D9)</f>
        <v>0</v>
      </c>
      <c r="E9" s="18">
        <f t="shared" si="0"/>
        <v>172.89999999999998</v>
      </c>
      <c r="F9" s="19" t="str">
        <f t="shared" si="1"/>
        <v/>
      </c>
      <c r="G9" s="20">
        <f>SUM(Jul!G9, Aug!G9, Sep!G9)</f>
        <v>0</v>
      </c>
      <c r="H9" s="20">
        <f>SUM(Jul!H9, Aug!H9, Sep!H9)</f>
        <v>172.89999999999998</v>
      </c>
      <c r="I9" s="19" t="str">
        <f t="shared" si="2"/>
        <v/>
      </c>
    </row>
    <row r="10" spans="1:9" ht="15.6">
      <c r="A10" s="12" t="str">
        <v>Fort Myers</v>
      </c>
      <c r="B10" s="9" t="str">
        <v>FL</v>
      </c>
      <c r="C10" s="24">
        <f>SUM(Jul!C10, Aug!C10, Sep!C10)</f>
        <v>18275.881999999998</v>
      </c>
      <c r="D10" s="13">
        <f>SUM(Jul!D10, Aug!D10, Sep!D10)</f>
        <v>0</v>
      </c>
      <c r="E10" s="13">
        <f t="shared" si="0"/>
        <v>18275.881999999998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18275.881999999998</v>
      </c>
      <c r="I10" s="16" t="str">
        <f t="shared" si="2"/>
        <v/>
      </c>
    </row>
    <row r="11" spans="1:9" ht="15.6">
      <c r="A11" s="17" t="str">
        <v>Orlando</v>
      </c>
      <c r="B11" s="10" t="str">
        <v>FL</v>
      </c>
      <c r="C11" s="11">
        <f>SUM(Jul!C11, Aug!C11, Sep!C11)</f>
        <v>15080.300000000001</v>
      </c>
      <c r="D11" s="18">
        <f>SUM(Jul!D11, Aug!D11, Sep!D11)</f>
        <v>0</v>
      </c>
      <c r="E11" s="18">
        <f t="shared" si="0"/>
        <v>15080.300000000001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15080.300000000001</v>
      </c>
      <c r="I11" s="19" t="str">
        <f t="shared" si="2"/>
        <v/>
      </c>
    </row>
    <row r="12" spans="1:9" ht="15.6">
      <c r="A12" s="12" t="str">
        <v>Port St. Lucie</v>
      </c>
      <c r="B12" s="9" t="str">
        <v>FL</v>
      </c>
      <c r="C12" s="24">
        <f>SUM(Jul!C12, Aug!C12, Sep!C12)</f>
        <v>27259.09</v>
      </c>
      <c r="D12" s="13">
        <f>SUM(Jul!D12, Aug!D12, Sep!D12)</f>
        <v>0</v>
      </c>
      <c r="E12" s="13">
        <f t="shared" si="0"/>
        <v>27259.09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27259.09</v>
      </c>
      <c r="I12" s="16" t="str">
        <f t="shared" si="2"/>
        <v/>
      </c>
    </row>
    <row r="13" spans="1:9" ht="15.6">
      <c r="A13" s="17" t="str">
        <v>Tampa</v>
      </c>
      <c r="B13" s="10" t="str">
        <v>FL</v>
      </c>
      <c r="C13" s="11">
        <f>SUM(Jul!C13, Aug!C13, Sep!C13)</f>
        <v>20536.572000000004</v>
      </c>
      <c r="D13" s="18">
        <f>SUM(Jul!D13, Aug!D13, Sep!D13)</f>
        <v>0</v>
      </c>
      <c r="E13" s="18">
        <f t="shared" si="0"/>
        <v>20536.572000000004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20536.572000000004</v>
      </c>
      <c r="I13" s="19" t="str">
        <f t="shared" si="2"/>
        <v/>
      </c>
    </row>
    <row r="14" spans="1:9" ht="15.6">
      <c r="A14" s="12" t="str">
        <v>Roswell</v>
      </c>
      <c r="B14" s="9" t="str">
        <v>GA</v>
      </c>
      <c r="C14" s="24">
        <f>SUM(Jul!C14, Aug!C14, Sep!C14)</f>
        <v>19454.13</v>
      </c>
      <c r="D14" s="13">
        <f>SUM(Jul!D14, Aug!D14, Sep!D14)</f>
        <v>0</v>
      </c>
      <c r="E14" s="13">
        <f t="shared" si="0"/>
        <v>19454.13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19454.13</v>
      </c>
      <c r="I14" s="16" t="str">
        <f t="shared" si="2"/>
        <v/>
      </c>
    </row>
    <row r="15" spans="1:9" ht="15.6">
      <c r="A15" s="17" t="str">
        <v>Charlotte</v>
      </c>
      <c r="B15" s="10" t="str">
        <v>NC</v>
      </c>
      <c r="C15" s="11">
        <f>SUM(Jul!C15, Aug!C15, Sep!C15)</f>
        <v>6958.2</v>
      </c>
      <c r="D15" s="18">
        <f>SUM(Jul!D15, Aug!D15, Sep!D15)</f>
        <v>0</v>
      </c>
      <c r="E15" s="18">
        <f t="shared" si="0"/>
        <v>6958.2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6958.2</v>
      </c>
      <c r="I15" s="19" t="str">
        <f t="shared" si="2"/>
        <v/>
      </c>
    </row>
    <row r="16" spans="1:9" ht="15.6">
      <c r="A16" s="12" t="str">
        <v>Raleigh</v>
      </c>
      <c r="B16" s="9" t="str">
        <v>NC</v>
      </c>
      <c r="C16" s="24">
        <f>SUM(Jul!C16, Aug!C16, Sep!C16)</f>
        <v>9232.1</v>
      </c>
      <c r="D16" s="13">
        <f>SUM(Jul!D16, Aug!D16, Sep!D16)</f>
        <v>0</v>
      </c>
      <c r="E16" s="13">
        <f t="shared" ref="E16:E17" si="3">IF(AND(ISNUMBER(C16),ISNUMBER(D16)), C16-D16, "")</f>
        <v>9232.1</v>
      </c>
      <c r="F16" s="14" t="str">
        <f t="shared" ref="F16:F17" si="4">IFERROR(E16/D16, "")</f>
        <v/>
      </c>
      <c r="G16" s="15">
        <f>SUM(Jul!G16, Aug!G16, Sep!G16)</f>
        <v>0</v>
      </c>
      <c r="H16" s="15">
        <f>SUM(Jul!H16, Aug!H16, Sep!H16)</f>
        <v>9232.1</v>
      </c>
      <c r="I16" s="16" t="str">
        <f t="shared" ref="I16:I17" si="5">IFERROR(H16/G16, "")</f>
        <v/>
      </c>
    </row>
    <row r="17" spans="1:9" ht="15.6">
      <c r="A17" s="17" t="str">
        <v>Cordova</v>
      </c>
      <c r="B17" s="10" t="str">
        <v>TN</v>
      </c>
      <c r="C17" s="11">
        <f>SUM(Jul!C17, Aug!C17, Sep!C17)</f>
        <v>11804.599999999999</v>
      </c>
      <c r="D17" s="18">
        <f>SUM(Jul!D17, Aug!D17, Sep!D17)</f>
        <v>0</v>
      </c>
      <c r="E17" s="18">
        <f t="shared" si="3"/>
        <v>11804.599999999999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11804.599999999999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SUM(Jul!C18, Aug!C18, Sep!C18)</f>
        <v>3732.4</v>
      </c>
      <c r="D18" s="13">
        <f>SUM(Jul!D18, Aug!D18, Sep!D18)</f>
        <v>0</v>
      </c>
      <c r="E18" s="13">
        <f t="shared" ref="E18:E21" si="6">IF(AND(ISNUMBER(C18),ISNUMBER(D18)), C18-D18, "")</f>
        <v>3732.4</v>
      </c>
      <c r="F18" s="14" t="str">
        <f t="shared" ref="F18:F21" si="7">IFERROR(E18/D18, "")</f>
        <v/>
      </c>
      <c r="G18" s="15">
        <f>SUM(Jul!G18, Aug!G18, Sep!G18)</f>
        <v>0</v>
      </c>
      <c r="H18" s="15">
        <f>SUM(Jul!H18, Aug!H18, Sep!H18)</f>
        <v>3732.4</v>
      </c>
      <c r="I18" s="16" t="str">
        <f t="shared" ref="I18:I21" si="8">IFERROR(H18/G18, "")</f>
        <v/>
      </c>
    </row>
    <row r="19" spans="1:9" ht="15.6">
      <c r="A19" s="17" t="str">
        <v>Frisco</v>
      </c>
      <c r="B19" s="10" t="str">
        <v>TX</v>
      </c>
      <c r="C19" s="11">
        <f>SUM(Jul!C19, Aug!C19, Sep!C19)</f>
        <v>9011.2000000000007</v>
      </c>
      <c r="D19" s="18">
        <f>SUM(Jul!D19, Aug!D19, Sep!D19)</f>
        <v>0</v>
      </c>
      <c r="E19" s="18">
        <f t="shared" si="6"/>
        <v>9011.2000000000007</v>
      </c>
      <c r="F19" s="19" t="str">
        <f t="shared" si="7"/>
        <v/>
      </c>
      <c r="G19" s="20">
        <f>SUM(Jul!G19, Aug!G19, Sep!G19)</f>
        <v>0</v>
      </c>
      <c r="H19" s="20">
        <f>SUM(Jul!H19, Aug!H19, Sep!H19)</f>
        <v>9011.2000000000007</v>
      </c>
      <c r="I19" s="19" t="str">
        <f t="shared" si="8"/>
        <v/>
      </c>
    </row>
    <row r="20" spans="1:9" ht="15.6">
      <c r="A20" s="12" t="str">
        <v>Copperfield</v>
      </c>
      <c r="B20" s="9" t="str">
        <v>TX</v>
      </c>
      <c r="C20" s="24">
        <f>SUM(Jul!C20, Aug!C20, Sep!C20)</f>
        <v>595.20600000000002</v>
      </c>
      <c r="D20" s="13">
        <f>SUM(Jul!D20, Aug!D20, Sep!D20)</f>
        <v>0</v>
      </c>
      <c r="E20" s="13">
        <f t="shared" si="6"/>
        <v>595.20600000000002</v>
      </c>
      <c r="F20" s="14" t="str">
        <f t="shared" si="7"/>
        <v/>
      </c>
      <c r="G20" s="15">
        <f>SUM(Jul!G20, Aug!G20, Sep!G20)</f>
        <v>0</v>
      </c>
      <c r="H20" s="15">
        <f>SUM(Jul!H20, Aug!H20, Sep!H20)</f>
        <v>595.20600000000002</v>
      </c>
      <c r="I20" s="16" t="str">
        <f t="shared" si="8"/>
        <v/>
      </c>
    </row>
    <row r="21" spans="1:9" ht="15.6">
      <c r="A21" s="17" t="str">
        <v>Plano Bldg A</v>
      </c>
      <c r="B21" s="10" t="str">
        <v>TX</v>
      </c>
      <c r="C21" s="11">
        <f>SUM(Jul!C21, Aug!C21, Sep!C21)</f>
        <v>8209.9</v>
      </c>
      <c r="D21" s="18">
        <f>SUM(Jul!D21, Aug!D21, Sep!D21)</f>
        <v>0</v>
      </c>
      <c r="E21" s="18">
        <f t="shared" si="6"/>
        <v>8209.9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8209.9</v>
      </c>
      <c r="I21" s="19" t="str">
        <f t="shared" si="8"/>
        <v/>
      </c>
    </row>
    <row r="22" spans="1:9" ht="13.9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9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9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9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: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JLL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Peoria</v>
      </c>
      <c r="B5" s="10" t="str">
        <v>AZ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Tucson</v>
      </c>
      <c r="B6" s="9" t="str">
        <v>AZ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Hialeah</v>
      </c>
      <c r="B7" s="10" t="str">
        <v>FL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Jacksonville</v>
      </c>
      <c r="B8" s="9" t="str">
        <v>FL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Miami Gardens</v>
      </c>
      <c r="B9" s="10" t="str">
        <v>FL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Fort Myers</v>
      </c>
      <c r="B10" s="9" t="str">
        <v>FL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Orlando</v>
      </c>
      <c r="B11" s="10" t="str">
        <v>FL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Port St. Lucie</v>
      </c>
      <c r="B12" s="9" t="str">
        <v>FL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Tampa</v>
      </c>
      <c r="B13" s="10" t="str">
        <v>FL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Roswell</v>
      </c>
      <c r="B14" s="9" t="str">
        <v>GA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Charlotte</v>
      </c>
      <c r="B15" s="10" t="str">
        <v>NC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Raleigh</v>
      </c>
      <c r="B16" s="9" t="str">
        <v>NC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Cordova</v>
      </c>
      <c r="B17" s="10" t="str">
        <v>TN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SUM(Oct!C18, Nov!C18, Dec!C18)</f>
        <v>0</v>
      </c>
      <c r="D18" s="13">
        <f>SUM(Oct!D18, Nov!D18, Dec!D18)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1" si="8">IFERROR(H18/G18, "")</f>
        <v/>
      </c>
    </row>
    <row r="19" spans="1:9" ht="15.6">
      <c r="A19" s="17" t="str">
        <v>Frisco</v>
      </c>
      <c r="B19" s="10" t="str">
        <v>TX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Copperfield</v>
      </c>
      <c r="B20" s="9" t="str">
        <v>TX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Plano Bldg A</v>
      </c>
      <c r="B21" s="10" t="str">
        <v>TX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3.9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9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9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9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9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SUM(C4:C97)</f>
        <v>0</v>
      </c>
      <c r="D2" s="5">
        <f>SUM(D4:D97)</f>
        <v>0</v>
      </c>
      <c r="E2" s="5">
        <f>C2-D2</f>
        <v>0</v>
      </c>
      <c r="F2" s="6">
        <f>IFERROR(E2/D2, 0)</f>
        <v>0</v>
      </c>
      <c r="G2" s="5">
        <f>SUM(G4:G97)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6">
      <c r="A18" s="28" t="str">
        <v>Austin</v>
      </c>
      <c r="B18" s="29" t="str">
        <v>TX</v>
      </c>
      <c r="C18" s="24"/>
      <c r="D18" s="13"/>
      <c r="E18" s="13" t="str">
        <f t="shared" ref="E18:E21" si="10">IF(AND(ISNUMBER(C18),ISNUMBER(D18)), C18-D18, "")</f>
        <v/>
      </c>
      <c r="F18" s="14" t="str">
        <f t="shared" ref="F18:F21" si="11">IFERROR(E18/D18, "")</f>
        <v/>
      </c>
      <c r="G18" s="15"/>
      <c r="H18" s="15" t="str">
        <f t="shared" ref="H18:H21" si="12">IF(AND(ISNUMBER(C18),ISNUMBER(G18)), C18-G18, "")</f>
        <v/>
      </c>
      <c r="I18" s="16" t="str">
        <f t="shared" ref="I18:I21" si="13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</sheetData>
  <mergeCells count="4">
    <mergeCell ref="D1:F1"/>
    <mergeCell ref="A1:C1"/>
    <mergeCell ref="G1:I1"/>
    <mergeCell ref="A2:B2"/>
  </mergeCells>
  <conditionalFormatting sqref="F2 I2 F4:F97 I4:I9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0"/>
  <sheetViews>
    <sheetView workbookViewId="0">
      <pane xSplit="2" ySplit="3" topLeftCell="C4" activePane="bottomRight" state="frozen"/>
      <selection pane="bottomRight" activeCell="E27" sqref="E2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8">IF(AND(ISNUMBER(C18),ISNUMBER(D18)), C18-D18, "")</f>
        <v/>
      </c>
      <c r="F18" s="14" t="str">
        <f t="shared" ref="F18:F21" si="9">IFERROR(E18/D18, "")</f>
        <v/>
      </c>
      <c r="G18" s="15"/>
      <c r="H18" s="15" t="str">
        <f t="shared" ref="H18:H21" si="10">IF(AND(ISNUMBER(C18),ISNUMBER(G18)), C18-G18, "")</f>
        <v/>
      </c>
      <c r="I18" s="16" t="str">
        <f t="shared" ref="I18:I21" si="11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80" zoomScaleNormal="80" workbookViewId="0">
      <pane xSplit="2" ySplit="3" topLeftCell="C4" activePane="bottomRight" state="frozen"/>
      <selection pane="bottomRight" activeCell="J27" sqref="J2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4" t="str" cm="1">
        <f t="array" ref="A1">portfolio</f>
        <v>JLL</v>
      </c>
      <c r="B1" s="54"/>
      <c r="C1" s="54"/>
      <c r="D1" s="55" t="s">
        <v>26</v>
      </c>
      <c r="E1" s="55"/>
      <c r="F1" s="55"/>
      <c r="G1" s="53" t="s">
        <v>27</v>
      </c>
      <c r="H1" s="53"/>
      <c r="I1" s="53"/>
      <c r="J1" s="4"/>
      <c r="K1" s="4"/>
    </row>
    <row r="2" spans="1:12" ht="19.5" customHeight="1">
      <c r="A2" s="56" t="s">
        <v>2</v>
      </c>
      <c r="B2" s="56"/>
      <c r="C2" s="5">
        <f>SUM(C4:C98)</f>
        <v>15684.719000000001</v>
      </c>
      <c r="D2" s="5">
        <f>SUM(D4:D98)</f>
        <v>0</v>
      </c>
      <c r="E2" s="5">
        <f>C2-D2</f>
        <v>15684.719000000001</v>
      </c>
      <c r="F2" s="6">
        <f>IFERROR(E2/D2, 0)</f>
        <v>0</v>
      </c>
      <c r="G2" s="5">
        <f>SUM(G4:G98)</f>
        <v>0</v>
      </c>
      <c r="H2" s="7">
        <f>C2-G2</f>
        <v>15684.719000000001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141.108</v>
      </c>
      <c r="D4" s="13">
        <v>0</v>
      </c>
      <c r="E4" s="13">
        <f>IF(AND(ISNUMBER(C4),ISNUMBER(D4)), C4-D4, "")</f>
        <v>141.108</v>
      </c>
      <c r="F4" s="14" t="str">
        <f>IFERROR(E4/D4, "")</f>
        <v/>
      </c>
      <c r="G4" s="15">
        <v>0</v>
      </c>
      <c r="H4" s="15">
        <f>IF(AND(ISNUMBER(C4),ISNUMBER(G4)), C4-G4, "")</f>
        <v>141.108</v>
      </c>
      <c r="I4" s="16" t="str">
        <f>IFERROR(H4/G4, "")</f>
        <v/>
      </c>
      <c r="J4" s="41"/>
      <c r="K4" s="41"/>
      <c r="L4" s="46"/>
    </row>
    <row r="5" spans="1:12" ht="15.6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6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6">
      <c r="A7" s="30" t="str">
        <v>Hialeah</v>
      </c>
      <c r="B7" s="31" t="str">
        <v>FL</v>
      </c>
      <c r="C7" s="11">
        <v>324.36900000000003</v>
      </c>
      <c r="D7" s="18">
        <v>0</v>
      </c>
      <c r="E7" s="18">
        <f t="shared" si="0"/>
        <v>324.36900000000003</v>
      </c>
      <c r="F7" s="19" t="str">
        <f t="shared" si="3"/>
        <v/>
      </c>
      <c r="G7" s="20">
        <v>0</v>
      </c>
      <c r="H7" s="20">
        <f t="shared" si="1"/>
        <v>324.36900000000003</v>
      </c>
      <c r="I7" s="19" t="str">
        <f t="shared" si="2"/>
        <v/>
      </c>
      <c r="J7" s="42" t="s">
        <v>29</v>
      </c>
      <c r="K7" s="43"/>
      <c r="L7" s="46"/>
    </row>
    <row r="8" spans="1:12" ht="15.6">
      <c r="A8" s="28" t="str">
        <v>Jacksonville</v>
      </c>
      <c r="B8" s="29" t="str">
        <v>FL</v>
      </c>
      <c r="C8" s="24">
        <v>118.379</v>
      </c>
      <c r="D8" s="13">
        <v>0</v>
      </c>
      <c r="E8" s="13">
        <f t="shared" si="0"/>
        <v>118.379</v>
      </c>
      <c r="F8" s="14" t="str">
        <f t="shared" si="3"/>
        <v/>
      </c>
      <c r="G8" s="15">
        <v>0</v>
      </c>
      <c r="H8" s="15">
        <f t="shared" si="1"/>
        <v>118.379</v>
      </c>
      <c r="I8" s="16" t="str">
        <f t="shared" si="2"/>
        <v/>
      </c>
      <c r="J8" s="41"/>
      <c r="K8" s="41"/>
      <c r="L8" s="46"/>
    </row>
    <row r="9" spans="1:12" ht="15.6">
      <c r="A9" s="30" t="str">
        <v>Miami Gardens</v>
      </c>
      <c r="B9" s="31" t="str">
        <v>FL</v>
      </c>
      <c r="C9" s="11">
        <v>125.39100000000001</v>
      </c>
      <c r="D9" s="18">
        <v>0</v>
      </c>
      <c r="E9" s="18">
        <f t="shared" si="0"/>
        <v>125.39100000000001</v>
      </c>
      <c r="F9" s="19" t="str">
        <f t="shared" si="3"/>
        <v/>
      </c>
      <c r="G9" s="20">
        <v>0</v>
      </c>
      <c r="H9" s="20">
        <f t="shared" si="1"/>
        <v>125.39100000000001</v>
      </c>
      <c r="I9" s="19" t="str">
        <f t="shared" si="2"/>
        <v/>
      </c>
      <c r="J9" s="42"/>
      <c r="K9" s="43"/>
      <c r="L9" s="46"/>
    </row>
    <row r="10" spans="1:12" ht="15.6">
      <c r="A10" s="28" t="str">
        <v>Fort Myers</v>
      </c>
      <c r="B10" s="29" t="str">
        <v>FL</v>
      </c>
      <c r="C10" s="24">
        <v>11.273999999999999</v>
      </c>
      <c r="D10" s="13">
        <v>0</v>
      </c>
      <c r="E10" s="13">
        <f t="shared" si="0"/>
        <v>11.273999999999999</v>
      </c>
      <c r="F10" s="14" t="str">
        <f t="shared" si="3"/>
        <v/>
      </c>
      <c r="G10" s="15">
        <v>0</v>
      </c>
      <c r="H10" s="15">
        <f t="shared" si="1"/>
        <v>11.273999999999999</v>
      </c>
      <c r="I10" s="16" t="str">
        <f t="shared" si="2"/>
        <v/>
      </c>
      <c r="J10" s="41" t="s">
        <v>30</v>
      </c>
      <c r="K10" s="41"/>
      <c r="L10" s="46"/>
    </row>
    <row r="11" spans="1:12" ht="15.6">
      <c r="A11" s="30" t="str">
        <v>Orlando</v>
      </c>
      <c r="B11" s="31" t="str">
        <v>FL</v>
      </c>
      <c r="C11" s="11">
        <v>5857.1670000000004</v>
      </c>
      <c r="D11" s="18">
        <v>0</v>
      </c>
      <c r="E11" s="18">
        <f t="shared" si="0"/>
        <v>5857.1670000000004</v>
      </c>
      <c r="F11" s="19" t="str">
        <f t="shared" si="3"/>
        <v/>
      </c>
      <c r="G11" s="20">
        <v>0</v>
      </c>
      <c r="H11" s="20">
        <f t="shared" si="1"/>
        <v>5857.1670000000004</v>
      </c>
      <c r="I11" s="19" t="str">
        <f t="shared" si="2"/>
        <v/>
      </c>
      <c r="J11" s="42"/>
      <c r="K11" s="43"/>
      <c r="L11" s="46"/>
    </row>
    <row r="12" spans="1:12" ht="15.6">
      <c r="A12" s="28" t="str">
        <v>Port St. Lucie</v>
      </c>
      <c r="B12" s="29" t="str">
        <v>FL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/>
      <c r="K12" s="41"/>
      <c r="L12" s="46"/>
    </row>
    <row r="13" spans="1:12" ht="15.6">
      <c r="A13" s="30" t="str">
        <v>Tampa</v>
      </c>
      <c r="B13" s="31" t="str">
        <v>FL</v>
      </c>
      <c r="C13" s="11">
        <v>11.939</v>
      </c>
      <c r="D13" s="18">
        <v>0</v>
      </c>
      <c r="E13" s="18">
        <f t="shared" si="0"/>
        <v>11.939</v>
      </c>
      <c r="F13" s="19" t="str">
        <f t="shared" si="3"/>
        <v/>
      </c>
      <c r="G13" s="20">
        <v>0</v>
      </c>
      <c r="H13" s="20">
        <f t="shared" si="1"/>
        <v>11.939</v>
      </c>
      <c r="I13" s="19" t="str">
        <f t="shared" si="2"/>
        <v/>
      </c>
      <c r="J13" s="42"/>
      <c r="K13" s="43"/>
      <c r="L13" s="46"/>
    </row>
    <row r="14" spans="1:12" ht="15.6">
      <c r="A14" s="28" t="str">
        <v>Roswell</v>
      </c>
      <c r="B14" s="29" t="str">
        <v>GA</v>
      </c>
      <c r="C14" s="24">
        <v>15.507999999999999</v>
      </c>
      <c r="D14" s="13">
        <v>0</v>
      </c>
      <c r="E14" s="13">
        <f t="shared" si="0"/>
        <v>15.507999999999999</v>
      </c>
      <c r="F14" s="14" t="str">
        <f t="shared" si="3"/>
        <v/>
      </c>
      <c r="G14" s="15">
        <v>0</v>
      </c>
      <c r="H14" s="15">
        <f t="shared" si="1"/>
        <v>15.507999999999999</v>
      </c>
      <c r="I14" s="16" t="str">
        <f t="shared" si="2"/>
        <v/>
      </c>
      <c r="J14" s="41"/>
      <c r="K14" s="41"/>
      <c r="L14" s="46"/>
    </row>
    <row r="15" spans="1:12" ht="15.6">
      <c r="A15" s="30" t="str">
        <v>Charlotte</v>
      </c>
      <c r="B15" s="31" t="str">
        <v>NC</v>
      </c>
      <c r="C15" s="11">
        <v>2483.3679999999999</v>
      </c>
      <c r="D15" s="18">
        <v>0</v>
      </c>
      <c r="E15" s="18">
        <f t="shared" si="0"/>
        <v>2483.3679999999999</v>
      </c>
      <c r="F15" s="19" t="str">
        <f t="shared" si="3"/>
        <v/>
      </c>
      <c r="G15" s="20">
        <v>0</v>
      </c>
      <c r="H15" s="20">
        <f t="shared" si="1"/>
        <v>2483.3679999999999</v>
      </c>
      <c r="I15" s="19" t="str">
        <f t="shared" si="2"/>
        <v/>
      </c>
      <c r="J15" s="42"/>
      <c r="K15" s="43"/>
      <c r="L15" s="46"/>
    </row>
    <row r="16" spans="1:12" ht="15.6">
      <c r="A16" s="28" t="str">
        <v>Raleigh</v>
      </c>
      <c r="B16" s="29" t="str">
        <v>NC</v>
      </c>
      <c r="C16" s="24">
        <v>3366.3029999999999</v>
      </c>
      <c r="D16" s="13">
        <v>0</v>
      </c>
      <c r="E16" s="13">
        <f t="shared" si="0"/>
        <v>3366.3029999999999</v>
      </c>
      <c r="F16" s="14" t="str">
        <f t="shared" si="3"/>
        <v/>
      </c>
      <c r="G16" s="15">
        <v>0</v>
      </c>
      <c r="H16" s="15">
        <f t="shared" si="1"/>
        <v>3366.3029999999999</v>
      </c>
      <c r="I16" s="16" t="str">
        <f t="shared" si="2"/>
        <v/>
      </c>
      <c r="J16" s="41"/>
      <c r="K16" s="41"/>
      <c r="L16" s="46"/>
    </row>
    <row r="17" spans="1:12" ht="15.6">
      <c r="A17" s="30" t="str">
        <v>Cordova</v>
      </c>
      <c r="B17" s="31" t="str">
        <v>TN</v>
      </c>
      <c r="C17" s="11">
        <v>10.539</v>
      </c>
      <c r="D17" s="18">
        <v>0</v>
      </c>
      <c r="E17" s="18">
        <f t="shared" si="0"/>
        <v>10.539</v>
      </c>
      <c r="F17" s="19" t="str">
        <f t="shared" si="3"/>
        <v/>
      </c>
      <c r="G17" s="20">
        <v>0</v>
      </c>
      <c r="H17" s="20">
        <f t="shared" si="1"/>
        <v>10.539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970.52700000000004</v>
      </c>
      <c r="D18" s="13">
        <v>0</v>
      </c>
      <c r="E18" s="13">
        <f t="shared" ref="E18:E21" si="4">IF(AND(ISNUMBER(C18),ISNUMBER(D18)), C18-D18, "")</f>
        <v>970.52700000000004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970.52700000000004</v>
      </c>
      <c r="I18" s="16" t="str">
        <f t="shared" ref="I18:I21" si="7">IFERROR(H18/G18, "")</f>
        <v/>
      </c>
      <c r="J18" s="41"/>
      <c r="K18" s="41"/>
      <c r="L18" s="46"/>
    </row>
    <row r="19" spans="1:12" ht="15.6">
      <c r="A19" s="30" t="str">
        <v>Frisco</v>
      </c>
      <c r="B19" s="31" t="str">
        <v>TX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/>
      <c r="K19" s="43"/>
      <c r="L19" s="46"/>
    </row>
    <row r="20" spans="1:12" ht="15.6">
      <c r="A20" s="28" t="str">
        <v>Copperfield</v>
      </c>
      <c r="B20" s="29" t="str">
        <v>TX</v>
      </c>
      <c r="C20" s="24">
        <v>0.13100000000000001</v>
      </c>
      <c r="D20" s="13">
        <v>0</v>
      </c>
      <c r="E20" s="13">
        <f t="shared" si="4"/>
        <v>0.13100000000000001</v>
      </c>
      <c r="F20" s="14" t="str">
        <f t="shared" si="5"/>
        <v/>
      </c>
      <c r="G20" s="15">
        <v>0</v>
      </c>
      <c r="H20" s="15">
        <f t="shared" si="6"/>
        <v>0.13100000000000001</v>
      </c>
      <c r="I20" s="16" t="str">
        <f t="shared" si="7"/>
        <v/>
      </c>
      <c r="J20" s="41"/>
      <c r="K20" s="41"/>
      <c r="L20" s="46"/>
    </row>
    <row r="21" spans="1:12" ht="15.6">
      <c r="A21" s="30" t="str">
        <v>Plano Bldg A</v>
      </c>
      <c r="B21" s="31" t="str">
        <v>TX</v>
      </c>
      <c r="C21" s="11">
        <v>2248.7159999999999</v>
      </c>
      <c r="D21" s="18">
        <v>0</v>
      </c>
      <c r="E21" s="18">
        <f t="shared" si="4"/>
        <v>2248.7159999999999</v>
      </c>
      <c r="F21" s="19" t="str">
        <f t="shared" si="5"/>
        <v/>
      </c>
      <c r="G21" s="20">
        <v>0</v>
      </c>
      <c r="H21" s="20">
        <f t="shared" si="6"/>
        <v>2248.7159999999999</v>
      </c>
      <c r="I21" s="19" t="str">
        <f t="shared" si="7"/>
        <v/>
      </c>
      <c r="J21" s="42"/>
      <c r="K21" s="43"/>
      <c r="L21" s="46"/>
    </row>
    <row r="22" spans="1:12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4" activePane="bottomRight" state="frozen"/>
      <selection pane="bottomRight" activeCell="J20" sqref="J20:K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4" t="str" cm="1">
        <f t="array" ref="A1">portfolio</f>
        <v>JLL</v>
      </c>
      <c r="B1" s="54"/>
      <c r="C1" s="54"/>
      <c r="D1" s="55" t="s">
        <v>31</v>
      </c>
      <c r="E1" s="55"/>
      <c r="F1" s="55"/>
      <c r="G1" s="53" t="s">
        <v>32</v>
      </c>
      <c r="H1" s="53"/>
      <c r="I1" s="53"/>
      <c r="J1" s="4"/>
      <c r="K1" s="4"/>
    </row>
    <row r="2" spans="1:12" ht="19.5" customHeight="1">
      <c r="A2" s="56" t="s">
        <v>2</v>
      </c>
      <c r="B2" s="56"/>
      <c r="C2" s="5">
        <f>SUM(C4:C98)</f>
        <v>26332.021999999997</v>
      </c>
      <c r="D2" s="5">
        <f>SUM(D4:D98)</f>
        <v>0</v>
      </c>
      <c r="E2" s="5">
        <f>C2-D2</f>
        <v>26332.021999999997</v>
      </c>
      <c r="F2" s="6">
        <f>IFERROR(E2/D2, 0)</f>
        <v>0</v>
      </c>
      <c r="G2" s="5">
        <f>SUM(G4:G98)</f>
        <v>0</v>
      </c>
      <c r="H2" s="7">
        <f>C2-G2</f>
        <v>26332.021999999997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166.428</v>
      </c>
      <c r="D4" s="13">
        <v>0</v>
      </c>
      <c r="E4" s="13">
        <f>IF(AND(ISNUMBER(C4),ISNUMBER(D4)), C4-D4, "")</f>
        <v>166.428</v>
      </c>
      <c r="F4" s="14" t="str">
        <f>IFERROR(E4/D4, "")</f>
        <v/>
      </c>
      <c r="G4" s="15">
        <v>0</v>
      </c>
      <c r="H4" s="15">
        <f>IF(AND(ISNUMBER(C4),ISNUMBER(G4)), C4-G4, "")</f>
        <v>166.428</v>
      </c>
      <c r="I4" s="16" t="str">
        <f>IFERROR(H4/G4, "")</f>
        <v/>
      </c>
      <c r="J4" s="41"/>
      <c r="K4" s="41"/>
      <c r="L4" s="46"/>
    </row>
    <row r="5" spans="1:12" ht="15.6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6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6">
      <c r="A7" s="30" t="str">
        <v>Hialeah</v>
      </c>
      <c r="B7" s="31" t="str">
        <v>FL</v>
      </c>
      <c r="C7" s="11">
        <v>329.81900000000002</v>
      </c>
      <c r="D7" s="18">
        <v>0</v>
      </c>
      <c r="E7" s="18">
        <f t="shared" si="0"/>
        <v>329.81900000000002</v>
      </c>
      <c r="F7" s="19" t="str">
        <f t="shared" si="3"/>
        <v/>
      </c>
      <c r="G7" s="20">
        <v>0</v>
      </c>
      <c r="H7" s="20">
        <f t="shared" si="1"/>
        <v>329.81900000000002</v>
      </c>
      <c r="I7" s="19" t="str">
        <f t="shared" si="2"/>
        <v/>
      </c>
      <c r="J7" s="42"/>
      <c r="K7" s="43"/>
      <c r="L7" s="46"/>
    </row>
    <row r="8" spans="1:12" ht="15.6">
      <c r="A8" s="28" t="str">
        <v>Jacksonville</v>
      </c>
      <c r="B8" s="29" t="str">
        <v>FL</v>
      </c>
      <c r="C8" s="24">
        <v>115.501</v>
      </c>
      <c r="D8" s="13">
        <v>0</v>
      </c>
      <c r="E8" s="13">
        <f t="shared" si="0"/>
        <v>115.501</v>
      </c>
      <c r="F8" s="14" t="str">
        <f t="shared" si="3"/>
        <v/>
      </c>
      <c r="G8" s="15">
        <v>0</v>
      </c>
      <c r="H8" s="15">
        <f t="shared" si="1"/>
        <v>115.501</v>
      </c>
      <c r="I8" s="16" t="str">
        <f t="shared" si="2"/>
        <v/>
      </c>
      <c r="J8" s="41"/>
      <c r="K8" s="41"/>
      <c r="L8" s="46"/>
    </row>
    <row r="9" spans="1:12" ht="15.6">
      <c r="A9" s="30" t="str">
        <v>Miami Gardens</v>
      </c>
      <c r="B9" s="31" t="str">
        <v>FL</v>
      </c>
      <c r="C9" s="11">
        <v>129.053</v>
      </c>
      <c r="D9" s="18">
        <v>0</v>
      </c>
      <c r="E9" s="18">
        <f t="shared" si="0"/>
        <v>129.053</v>
      </c>
      <c r="F9" s="19" t="str">
        <f t="shared" si="3"/>
        <v/>
      </c>
      <c r="G9" s="20">
        <v>0</v>
      </c>
      <c r="H9" s="20">
        <f t="shared" si="1"/>
        <v>129.053</v>
      </c>
      <c r="I9" s="19" t="str">
        <f t="shared" si="2"/>
        <v/>
      </c>
      <c r="J9" s="42"/>
      <c r="K9" s="43"/>
      <c r="L9" s="46"/>
    </row>
    <row r="10" spans="1:12" ht="15.6">
      <c r="A10" s="28" t="str">
        <v>Fort Myers</v>
      </c>
      <c r="B10" s="29" t="str">
        <v>FL</v>
      </c>
      <c r="C10" s="24">
        <v>6522.57</v>
      </c>
      <c r="D10" s="13">
        <v>0</v>
      </c>
      <c r="E10" s="13">
        <f t="shared" si="0"/>
        <v>6522.57</v>
      </c>
      <c r="F10" s="14" t="str">
        <f t="shared" si="3"/>
        <v/>
      </c>
      <c r="G10" s="15">
        <v>0</v>
      </c>
      <c r="H10" s="15">
        <f t="shared" si="1"/>
        <v>6522.57</v>
      </c>
      <c r="I10" s="16" t="str">
        <f t="shared" si="2"/>
        <v/>
      </c>
      <c r="J10" s="41" t="s">
        <v>33</v>
      </c>
      <c r="K10" s="41"/>
      <c r="L10" s="46"/>
    </row>
    <row r="11" spans="1:12" ht="15.6">
      <c r="A11" s="30" t="str">
        <v>Orlando</v>
      </c>
      <c r="B11" s="31" t="str">
        <v>FL</v>
      </c>
      <c r="C11" s="11">
        <v>6133.7049999999999</v>
      </c>
      <c r="D11" s="18">
        <v>0</v>
      </c>
      <c r="E11" s="18">
        <f t="shared" si="0"/>
        <v>6133.7049999999999</v>
      </c>
      <c r="F11" s="19" t="str">
        <f t="shared" si="3"/>
        <v/>
      </c>
      <c r="G11" s="20">
        <v>0</v>
      </c>
      <c r="H11" s="20">
        <f t="shared" si="1"/>
        <v>6133.7049999999999</v>
      </c>
      <c r="I11" s="19" t="str">
        <f t="shared" si="2"/>
        <v/>
      </c>
      <c r="J11" s="42"/>
      <c r="K11" s="43"/>
      <c r="L11" s="46"/>
    </row>
    <row r="12" spans="1:12" ht="15.6">
      <c r="A12" s="28" t="str">
        <v>Port St. Lucie</v>
      </c>
      <c r="B12" s="29" t="str">
        <v>FL</v>
      </c>
      <c r="C12" s="24">
        <v>3494.1909999999998</v>
      </c>
      <c r="D12" s="13">
        <v>0</v>
      </c>
      <c r="E12" s="13">
        <f t="shared" si="0"/>
        <v>3494.1909999999998</v>
      </c>
      <c r="F12" s="14" t="str">
        <f t="shared" si="3"/>
        <v/>
      </c>
      <c r="G12" s="15">
        <v>0</v>
      </c>
      <c r="H12" s="15">
        <f t="shared" si="1"/>
        <v>3494.1909999999998</v>
      </c>
      <c r="I12" s="16" t="str">
        <f t="shared" si="2"/>
        <v/>
      </c>
      <c r="J12" s="41"/>
      <c r="K12" s="41"/>
      <c r="L12" s="46"/>
    </row>
    <row r="13" spans="1:12" ht="15.6">
      <c r="A13" s="30" t="str">
        <v>Tampa</v>
      </c>
      <c r="B13" s="31" t="str">
        <v>FL</v>
      </c>
      <c r="C13" s="11">
        <v>12.154</v>
      </c>
      <c r="D13" s="18">
        <v>0</v>
      </c>
      <c r="E13" s="18">
        <f t="shared" si="0"/>
        <v>12.154</v>
      </c>
      <c r="F13" s="19" t="str">
        <f t="shared" si="3"/>
        <v/>
      </c>
      <c r="G13" s="20">
        <v>0</v>
      </c>
      <c r="H13" s="20">
        <f t="shared" si="1"/>
        <v>12.154</v>
      </c>
      <c r="I13" s="19" t="str">
        <f t="shared" si="2"/>
        <v/>
      </c>
      <c r="J13" s="42"/>
      <c r="K13" s="43"/>
      <c r="L13" s="46"/>
    </row>
    <row r="14" spans="1:12" ht="15.6">
      <c r="A14" s="28" t="str">
        <v>Roswell</v>
      </c>
      <c r="B14" s="29" t="str">
        <v>GA</v>
      </c>
      <c r="C14" s="24">
        <v>17.024999999999999</v>
      </c>
      <c r="D14" s="13">
        <v>0</v>
      </c>
      <c r="E14" s="13">
        <f t="shared" si="0"/>
        <v>17.024999999999999</v>
      </c>
      <c r="F14" s="14" t="str">
        <f t="shared" si="3"/>
        <v/>
      </c>
      <c r="G14" s="15">
        <v>0</v>
      </c>
      <c r="H14" s="15">
        <f t="shared" si="1"/>
        <v>17.024999999999999</v>
      </c>
      <c r="I14" s="16" t="str">
        <f t="shared" si="2"/>
        <v/>
      </c>
      <c r="J14" s="41"/>
      <c r="K14" s="41"/>
      <c r="L14" s="46"/>
    </row>
    <row r="15" spans="1:12" ht="15.6">
      <c r="A15" s="30" t="str">
        <v>Charlotte</v>
      </c>
      <c r="B15" s="31" t="str">
        <v>NC</v>
      </c>
      <c r="C15" s="11">
        <v>2474.12</v>
      </c>
      <c r="D15" s="18">
        <v>0</v>
      </c>
      <c r="E15" s="18">
        <f t="shared" si="0"/>
        <v>2474.12</v>
      </c>
      <c r="F15" s="19" t="str">
        <f t="shared" si="3"/>
        <v/>
      </c>
      <c r="G15" s="20">
        <v>0</v>
      </c>
      <c r="H15" s="20">
        <f t="shared" si="1"/>
        <v>2474.12</v>
      </c>
      <c r="I15" s="19" t="str">
        <f t="shared" si="2"/>
        <v/>
      </c>
      <c r="J15" s="42"/>
      <c r="K15" s="43"/>
      <c r="L15" s="46"/>
    </row>
    <row r="16" spans="1:12" ht="15.6">
      <c r="A16" s="28" t="str">
        <v>Raleigh</v>
      </c>
      <c r="B16" s="29" t="str">
        <v>NC</v>
      </c>
      <c r="C16" s="24">
        <v>3501.7689999999998</v>
      </c>
      <c r="D16" s="13">
        <v>0</v>
      </c>
      <c r="E16" s="13">
        <f t="shared" si="0"/>
        <v>3501.7689999999998</v>
      </c>
      <c r="F16" s="14" t="str">
        <f t="shared" si="3"/>
        <v/>
      </c>
      <c r="G16" s="15">
        <v>0</v>
      </c>
      <c r="H16" s="15">
        <f t="shared" si="1"/>
        <v>3501.7689999999998</v>
      </c>
      <c r="I16" s="16" t="str">
        <f t="shared" si="2"/>
        <v/>
      </c>
      <c r="J16" s="41"/>
      <c r="K16" s="41"/>
      <c r="L16" s="46"/>
    </row>
    <row r="17" spans="1:12" ht="15.6">
      <c r="A17" s="30" t="str">
        <v>Cordova</v>
      </c>
      <c r="B17" s="31" t="str">
        <v>TN</v>
      </c>
      <c r="C17" s="11">
        <v>9.6080000000000005</v>
      </c>
      <c r="D17" s="18">
        <v>0</v>
      </c>
      <c r="E17" s="18">
        <f t="shared" si="0"/>
        <v>9.6080000000000005</v>
      </c>
      <c r="F17" s="19" t="str">
        <f t="shared" si="3"/>
        <v/>
      </c>
      <c r="G17" s="20">
        <v>0</v>
      </c>
      <c r="H17" s="20">
        <f t="shared" si="1"/>
        <v>9.6080000000000005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978.07299999999998</v>
      </c>
      <c r="D18" s="13">
        <v>0</v>
      </c>
      <c r="E18" s="13">
        <f t="shared" ref="E18:E21" si="4">IF(AND(ISNUMBER(C18),ISNUMBER(D18)), C18-D18, "")</f>
        <v>978.07299999999998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978.07299999999998</v>
      </c>
      <c r="I18" s="16" t="str">
        <f t="shared" ref="I18:I21" si="7">IFERROR(H18/G18, "")</f>
        <v/>
      </c>
      <c r="J18" s="41"/>
      <c r="K18" s="41"/>
      <c r="L18" s="46"/>
    </row>
    <row r="19" spans="1:12" ht="15.6">
      <c r="A19" s="30" t="str">
        <v>Frisco</v>
      </c>
      <c r="B19" s="31" t="str">
        <v>TX</v>
      </c>
      <c r="C19" s="11">
        <v>38.636000000000003</v>
      </c>
      <c r="D19" s="18">
        <v>0</v>
      </c>
      <c r="E19" s="18">
        <f t="shared" si="4"/>
        <v>38.636000000000003</v>
      </c>
      <c r="F19" s="19" t="str">
        <f t="shared" si="5"/>
        <v/>
      </c>
      <c r="G19" s="20">
        <v>0</v>
      </c>
      <c r="H19" s="20">
        <f t="shared" si="6"/>
        <v>38.636000000000003</v>
      </c>
      <c r="I19" s="19" t="str">
        <f t="shared" si="7"/>
        <v/>
      </c>
      <c r="J19" s="42"/>
      <c r="K19" s="43"/>
      <c r="L19" s="46"/>
    </row>
    <row r="20" spans="1:12" ht="15.6">
      <c r="A20" s="28" t="str">
        <v>Copperfield</v>
      </c>
      <c r="B20" s="29" t="str">
        <v>TX</v>
      </c>
      <c r="C20" s="24">
        <v>0.32600000000000001</v>
      </c>
      <c r="D20" s="13">
        <v>0</v>
      </c>
      <c r="E20" s="13">
        <f t="shared" si="4"/>
        <v>0.32600000000000001</v>
      </c>
      <c r="F20" s="14" t="str">
        <f t="shared" si="5"/>
        <v/>
      </c>
      <c r="G20" s="15">
        <v>0</v>
      </c>
      <c r="H20" s="15">
        <f t="shared" si="6"/>
        <v>0.32600000000000001</v>
      </c>
      <c r="I20" s="16" t="str">
        <f t="shared" si="7"/>
        <v/>
      </c>
      <c r="J20" s="41"/>
      <c r="K20" s="41"/>
      <c r="L20" s="46"/>
    </row>
    <row r="21" spans="1:12" ht="15.6">
      <c r="A21" s="30" t="str">
        <v>Plano Bldg A</v>
      </c>
      <c r="B21" s="31" t="str">
        <v>TX</v>
      </c>
      <c r="C21" s="11">
        <v>2409.0439999999999</v>
      </c>
      <c r="D21" s="18">
        <v>0</v>
      </c>
      <c r="E21" s="18">
        <f t="shared" si="4"/>
        <v>2409.0439999999999</v>
      </c>
      <c r="F21" s="19" t="str">
        <f t="shared" si="5"/>
        <v/>
      </c>
      <c r="G21" s="20">
        <v>0</v>
      </c>
      <c r="H21" s="20">
        <f t="shared" si="6"/>
        <v>2409.0439999999999</v>
      </c>
      <c r="I21" s="19" t="str">
        <f t="shared" si="7"/>
        <v/>
      </c>
      <c r="J21" s="42"/>
      <c r="K21" s="43"/>
      <c r="L21" s="46"/>
    </row>
    <row r="22" spans="1:12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5" zoomScaleNormal="85" workbookViewId="0">
      <pane xSplit="2" ySplit="3" topLeftCell="C14" activePane="bottomRight" state="frozen"/>
      <selection pane="bottomRight" activeCell="C21" sqref="C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5.285156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4" t="str" cm="1">
        <f t="array" ref="A1">portfolio</f>
        <v>JLL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4"/>
      <c r="K1" s="4"/>
    </row>
    <row r="2" spans="1:12" ht="19.5" customHeight="1">
      <c r="A2" s="56" t="s">
        <v>2</v>
      </c>
      <c r="B2" s="56"/>
      <c r="C2" s="5">
        <f>SUM(C4:C98)</f>
        <v>46632.701000000001</v>
      </c>
      <c r="D2" s="5">
        <f>SUM(D4:D98)</f>
        <v>0</v>
      </c>
      <c r="E2" s="5">
        <f>C2-D2</f>
        <v>46632.701000000001</v>
      </c>
      <c r="F2" s="6">
        <f>IFERROR(E2/D2, 0)</f>
        <v>0</v>
      </c>
      <c r="G2" s="5">
        <f>SUM(G4:G98)</f>
        <v>0</v>
      </c>
      <c r="H2" s="7">
        <f>C2-G2</f>
        <v>46632.701000000001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165.108</v>
      </c>
      <c r="D4" s="13">
        <v>0</v>
      </c>
      <c r="E4" s="13">
        <f>IF(AND(ISNUMBER(C4),ISNUMBER(D4)), C4-D4, "")</f>
        <v>165.108</v>
      </c>
      <c r="F4" s="14" t="str">
        <f>IFERROR(E4/D4, "")</f>
        <v/>
      </c>
      <c r="G4" s="15">
        <v>0</v>
      </c>
      <c r="H4" s="15">
        <f>IF(AND(ISNUMBER(C4),ISNUMBER(G4)), C4-G4, "")</f>
        <v>165.108</v>
      </c>
      <c r="I4" s="16" t="str">
        <f>IFERROR(H4/G4, "")</f>
        <v/>
      </c>
      <c r="J4" s="41"/>
      <c r="K4" s="41"/>
      <c r="L4" s="46"/>
    </row>
    <row r="5" spans="1:12" ht="15.6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6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6">
      <c r="A7" s="30" t="str">
        <v>Hialeah</v>
      </c>
      <c r="B7" s="31" t="str">
        <v>FL</v>
      </c>
      <c r="C7" s="11">
        <v>319.995</v>
      </c>
      <c r="D7" s="18">
        <v>0</v>
      </c>
      <c r="E7" s="18">
        <f t="shared" si="0"/>
        <v>319.995</v>
      </c>
      <c r="F7" s="19" t="str">
        <f t="shared" si="3"/>
        <v/>
      </c>
      <c r="G7" s="20">
        <v>0</v>
      </c>
      <c r="H7" s="20">
        <f t="shared" si="1"/>
        <v>319.995</v>
      </c>
      <c r="I7" s="19" t="str">
        <f t="shared" si="2"/>
        <v/>
      </c>
      <c r="J7" s="42"/>
      <c r="K7" s="43"/>
      <c r="L7" s="46"/>
    </row>
    <row r="8" spans="1:12" ht="15.6">
      <c r="A8" s="28" t="str">
        <v>Jacksonville</v>
      </c>
      <c r="B8" s="29" t="str">
        <v>FL</v>
      </c>
      <c r="C8" s="24">
        <v>112.176</v>
      </c>
      <c r="D8" s="13">
        <v>0</v>
      </c>
      <c r="E8" s="13">
        <f t="shared" si="0"/>
        <v>112.176</v>
      </c>
      <c r="F8" s="14" t="str">
        <f t="shared" si="3"/>
        <v/>
      </c>
      <c r="G8" s="15">
        <v>0</v>
      </c>
      <c r="H8" s="15">
        <f t="shared" si="1"/>
        <v>112.176</v>
      </c>
      <c r="I8" s="16" t="str">
        <f t="shared" si="2"/>
        <v/>
      </c>
      <c r="J8" s="41"/>
      <c r="K8" s="41"/>
      <c r="L8" s="46"/>
    </row>
    <row r="9" spans="1:12" ht="15.6">
      <c r="A9" s="30" t="str">
        <v>Miami Gardens</v>
      </c>
      <c r="B9" s="31" t="str">
        <v>FL</v>
      </c>
      <c r="C9" s="11">
        <v>97.122</v>
      </c>
      <c r="D9" s="18">
        <v>0</v>
      </c>
      <c r="E9" s="18">
        <f t="shared" si="0"/>
        <v>97.122</v>
      </c>
      <c r="F9" s="19" t="str">
        <f t="shared" si="3"/>
        <v/>
      </c>
      <c r="G9" s="20">
        <v>0</v>
      </c>
      <c r="H9" s="20">
        <f t="shared" si="1"/>
        <v>97.122</v>
      </c>
      <c r="I9" s="19" t="str">
        <f t="shared" si="2"/>
        <v/>
      </c>
      <c r="J9" s="42"/>
      <c r="K9" s="43"/>
      <c r="L9" s="46"/>
    </row>
    <row r="10" spans="1:12" ht="15.6">
      <c r="A10" s="28" t="str">
        <v>Fort Myers</v>
      </c>
      <c r="B10" s="29" t="str">
        <v>FL</v>
      </c>
      <c r="C10" s="24">
        <v>6427.7089999999998</v>
      </c>
      <c r="D10" s="13">
        <v>0</v>
      </c>
      <c r="E10" s="13">
        <f t="shared" si="0"/>
        <v>6427.7089999999998</v>
      </c>
      <c r="F10" s="14" t="str">
        <f t="shared" si="3"/>
        <v/>
      </c>
      <c r="G10" s="15">
        <v>0</v>
      </c>
      <c r="H10" s="15">
        <f t="shared" si="1"/>
        <v>6427.7089999999998</v>
      </c>
      <c r="I10" s="16" t="str">
        <f t="shared" si="2"/>
        <v/>
      </c>
      <c r="J10" s="41"/>
      <c r="K10" s="41"/>
      <c r="L10" s="46"/>
    </row>
    <row r="11" spans="1:12" ht="15.6">
      <c r="A11" s="30" t="str">
        <v>Orlando</v>
      </c>
      <c r="B11" s="31" t="str">
        <v>FL</v>
      </c>
      <c r="C11" s="11">
        <v>5313.6450000000004</v>
      </c>
      <c r="D11" s="18">
        <v>0</v>
      </c>
      <c r="E11" s="18">
        <f t="shared" si="0"/>
        <v>5313.6450000000004</v>
      </c>
      <c r="F11" s="19" t="str">
        <f t="shared" si="3"/>
        <v/>
      </c>
      <c r="G11" s="20">
        <v>0</v>
      </c>
      <c r="H11" s="20">
        <f t="shared" si="1"/>
        <v>5313.6450000000004</v>
      </c>
      <c r="I11" s="19" t="str">
        <f t="shared" si="2"/>
        <v/>
      </c>
      <c r="J11" s="42"/>
      <c r="K11" s="43"/>
      <c r="L11" s="46"/>
    </row>
    <row r="12" spans="1:12" ht="15.6">
      <c r="A12" s="28" t="str">
        <v>Port St. Lucie</v>
      </c>
      <c r="B12" s="29" t="str">
        <v>FL</v>
      </c>
      <c r="C12" s="24">
        <v>10337.307000000001</v>
      </c>
      <c r="D12" s="13">
        <v>0</v>
      </c>
      <c r="E12" s="13">
        <f t="shared" si="0"/>
        <v>10337.307000000001</v>
      </c>
      <c r="F12" s="14" t="str">
        <f t="shared" si="3"/>
        <v/>
      </c>
      <c r="G12" s="15">
        <v>0</v>
      </c>
      <c r="H12" s="15">
        <f t="shared" si="1"/>
        <v>10337.307000000001</v>
      </c>
      <c r="I12" s="16" t="str">
        <f t="shared" si="2"/>
        <v/>
      </c>
      <c r="J12" s="41" t="s">
        <v>36</v>
      </c>
      <c r="K12" s="41" t="s">
        <v>37</v>
      </c>
      <c r="L12" s="46"/>
    </row>
    <row r="13" spans="1:12" ht="15.6">
      <c r="A13" s="30" t="str">
        <v>Tampa</v>
      </c>
      <c r="B13" s="31" t="str">
        <v>FL</v>
      </c>
      <c r="C13" s="11">
        <v>1197.057</v>
      </c>
      <c r="D13" s="18">
        <v>0</v>
      </c>
      <c r="E13" s="18">
        <f t="shared" si="0"/>
        <v>1197.057</v>
      </c>
      <c r="F13" s="19" t="str">
        <f t="shared" si="3"/>
        <v/>
      </c>
      <c r="G13" s="20">
        <v>0</v>
      </c>
      <c r="H13" s="20">
        <f t="shared" si="1"/>
        <v>1197.057</v>
      </c>
      <c r="I13" s="19" t="str">
        <f t="shared" si="2"/>
        <v/>
      </c>
      <c r="J13" s="42"/>
      <c r="K13" s="43"/>
      <c r="L13" s="46"/>
    </row>
    <row r="14" spans="1:12" ht="28.9">
      <c r="A14" s="28" t="str">
        <v>Roswell</v>
      </c>
      <c r="B14" s="29" t="str">
        <v>GA</v>
      </c>
      <c r="C14" s="24">
        <v>5952.23</v>
      </c>
      <c r="D14" s="13">
        <v>0</v>
      </c>
      <c r="E14" s="13">
        <f t="shared" si="0"/>
        <v>5952.23</v>
      </c>
      <c r="F14" s="14" t="str">
        <f t="shared" si="3"/>
        <v/>
      </c>
      <c r="G14" s="15">
        <v>0</v>
      </c>
      <c r="H14" s="15">
        <f t="shared" si="1"/>
        <v>5952.23</v>
      </c>
      <c r="I14" s="16" t="str">
        <f t="shared" si="2"/>
        <v/>
      </c>
      <c r="J14" s="41" t="s">
        <v>38</v>
      </c>
      <c r="K14" s="41" t="s">
        <v>39</v>
      </c>
      <c r="L14" s="46"/>
    </row>
    <row r="15" spans="1:12" ht="15.6">
      <c r="A15" s="30" t="str">
        <v>Charlotte</v>
      </c>
      <c r="B15" s="31" t="str">
        <v>NC</v>
      </c>
      <c r="C15" s="11">
        <v>2586.7429999999999</v>
      </c>
      <c r="D15" s="18">
        <v>0</v>
      </c>
      <c r="E15" s="18">
        <f t="shared" si="0"/>
        <v>2586.7429999999999</v>
      </c>
      <c r="F15" s="19" t="str">
        <f t="shared" si="3"/>
        <v/>
      </c>
      <c r="G15" s="20">
        <v>0</v>
      </c>
      <c r="H15" s="20">
        <f t="shared" si="1"/>
        <v>2586.7429999999999</v>
      </c>
      <c r="I15" s="19" t="str">
        <f t="shared" si="2"/>
        <v/>
      </c>
      <c r="J15" s="42"/>
      <c r="K15" s="43"/>
      <c r="L15" s="46"/>
    </row>
    <row r="16" spans="1:12" ht="15.6">
      <c r="A16" s="28" t="str">
        <v>Raleigh</v>
      </c>
      <c r="B16" s="29" t="str">
        <v>NC</v>
      </c>
      <c r="C16" s="24">
        <v>3865.556</v>
      </c>
      <c r="D16" s="13">
        <v>0</v>
      </c>
      <c r="E16" s="13">
        <f t="shared" si="0"/>
        <v>3865.556</v>
      </c>
      <c r="F16" s="14" t="str">
        <f t="shared" si="3"/>
        <v/>
      </c>
      <c r="G16" s="15">
        <v>0</v>
      </c>
      <c r="H16" s="15">
        <f t="shared" si="1"/>
        <v>3865.556</v>
      </c>
      <c r="I16" s="16" t="str">
        <f t="shared" si="2"/>
        <v/>
      </c>
      <c r="J16" s="41"/>
      <c r="K16" s="41"/>
      <c r="L16" s="46"/>
    </row>
    <row r="17" spans="1:12" ht="15.6">
      <c r="A17" s="30" t="str">
        <v>Cordova</v>
      </c>
      <c r="B17" s="31" t="str">
        <v>TN</v>
      </c>
      <c r="C17" s="11">
        <v>3108.998</v>
      </c>
      <c r="D17" s="18">
        <v>0</v>
      </c>
      <c r="E17" s="18">
        <f t="shared" si="0"/>
        <v>3108.998</v>
      </c>
      <c r="F17" s="19" t="str">
        <f t="shared" si="3"/>
        <v/>
      </c>
      <c r="G17" s="20">
        <v>0</v>
      </c>
      <c r="H17" s="20">
        <f t="shared" si="1"/>
        <v>3108.998</v>
      </c>
      <c r="I17" s="19" t="str">
        <f t="shared" si="2"/>
        <v/>
      </c>
      <c r="J17" s="42"/>
      <c r="K17" s="43"/>
      <c r="L17" s="46"/>
    </row>
    <row r="18" spans="1:12" ht="30" customHeight="1">
      <c r="A18" s="28" t="str">
        <v>Austin</v>
      </c>
      <c r="B18" s="29" t="str">
        <v>TX</v>
      </c>
      <c r="C18" s="24">
        <v>1169.0239999999999</v>
      </c>
      <c r="D18" s="13">
        <v>0</v>
      </c>
      <c r="E18" s="13">
        <f t="shared" ref="E18:E21" si="4">IF(AND(ISNUMBER(C18),ISNUMBER(D18)), C18-D18, "")</f>
        <v>1169.0239999999999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1169.0239999999999</v>
      </c>
      <c r="I18" s="16" t="str">
        <f t="shared" ref="I18:I21" si="7">IFERROR(H18/G18, "")</f>
        <v/>
      </c>
      <c r="J18" s="41" t="s">
        <v>40</v>
      </c>
      <c r="K18" s="41" t="s">
        <v>41</v>
      </c>
      <c r="L18" s="46"/>
    </row>
    <row r="19" spans="1:12" ht="15.6">
      <c r="A19" s="30" t="str">
        <v>Frisco</v>
      </c>
      <c r="B19" s="31" t="str">
        <v>TX</v>
      </c>
      <c r="C19" s="11">
        <v>3209.1410000000001</v>
      </c>
      <c r="D19" s="18">
        <v>0</v>
      </c>
      <c r="E19" s="18">
        <f t="shared" si="4"/>
        <v>3209.1410000000001</v>
      </c>
      <c r="F19" s="19" t="str">
        <f t="shared" si="5"/>
        <v/>
      </c>
      <c r="G19" s="20">
        <v>0</v>
      </c>
      <c r="H19" s="20">
        <f t="shared" si="6"/>
        <v>3209.1410000000001</v>
      </c>
      <c r="I19" s="19" t="str">
        <f t="shared" si="7"/>
        <v/>
      </c>
      <c r="J19" s="42"/>
      <c r="K19" s="43"/>
      <c r="L19" s="46"/>
    </row>
    <row r="20" spans="1:12" ht="15.6">
      <c r="A20" s="28" t="str">
        <v>Copperfield</v>
      </c>
      <c r="B20" s="29" t="str">
        <v>TX</v>
      </c>
      <c r="C20" s="24">
        <v>0.127</v>
      </c>
      <c r="D20" s="13">
        <v>0</v>
      </c>
      <c r="E20" s="13">
        <f t="shared" si="4"/>
        <v>0.127</v>
      </c>
      <c r="F20" s="14" t="str">
        <f t="shared" si="5"/>
        <v/>
      </c>
      <c r="G20" s="15">
        <v>0</v>
      </c>
      <c r="H20" s="15">
        <f t="shared" si="6"/>
        <v>0.127</v>
      </c>
      <c r="I20" s="16" t="str">
        <f t="shared" si="7"/>
        <v/>
      </c>
      <c r="J20" s="41"/>
      <c r="K20" s="41"/>
      <c r="L20" s="46"/>
    </row>
    <row r="21" spans="1:12" ht="15.6">
      <c r="A21" s="30" t="str">
        <v>Plano Bldg A</v>
      </c>
      <c r="B21" s="31" t="str">
        <v>TX</v>
      </c>
      <c r="C21" s="11">
        <v>2770.7629999999999</v>
      </c>
      <c r="D21" s="18">
        <v>0</v>
      </c>
      <c r="E21" s="18">
        <f t="shared" si="4"/>
        <v>2770.7629999999999</v>
      </c>
      <c r="F21" s="19" t="str">
        <f t="shared" si="5"/>
        <v/>
      </c>
      <c r="G21" s="20">
        <v>0</v>
      </c>
      <c r="H21" s="20">
        <f t="shared" si="6"/>
        <v>2770.7629999999999</v>
      </c>
      <c r="I21" s="19" t="str">
        <f t="shared" si="7"/>
        <v/>
      </c>
      <c r="J21" s="42"/>
      <c r="K21" s="43"/>
      <c r="L21" s="46"/>
    </row>
    <row r="22" spans="1:12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0"/>
  <sheetViews>
    <sheetView workbookViewId="0">
      <pane xSplit="2" ySplit="3" topLeftCell="C17" activePane="bottomRight" state="frozen"/>
      <selection pane="bottomRight" activeCell="J21" sqref="J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64254.249000000003</v>
      </c>
      <c r="D2" s="5">
        <f>SUM(D4:D98)</f>
        <v>0</v>
      </c>
      <c r="E2" s="5">
        <f>C2-D2</f>
        <v>64254.249000000003</v>
      </c>
      <c r="F2" s="6">
        <f>IFERROR(E2/D2, 0)</f>
        <v>0</v>
      </c>
      <c r="G2" s="5">
        <f>SUM(G4:G98)</f>
        <v>0</v>
      </c>
      <c r="H2" s="7">
        <f>C2-G2</f>
        <v>64254.249000000003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157.786</v>
      </c>
      <c r="D4" s="13">
        <v>0</v>
      </c>
      <c r="E4" s="13">
        <f>IF(AND(ISNUMBER(C4),ISNUMBER(D4)), C4-D4, "")</f>
        <v>157.786</v>
      </c>
      <c r="F4" s="14" t="str">
        <f>IFERROR(E4/D4, "")</f>
        <v/>
      </c>
      <c r="G4" s="15">
        <v>0</v>
      </c>
      <c r="H4" s="15">
        <f>IF(AND(ISNUMBER(C4),ISNUMBER(G4)), C4-G4, "")</f>
        <v>157.786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15.75">
      <c r="A7" s="30" t="str">
        <v>Hialeah</v>
      </c>
      <c r="B7" s="31" t="str">
        <v>FL</v>
      </c>
      <c r="C7" s="11">
        <v>328.14100000000002</v>
      </c>
      <c r="D7" s="18">
        <v>0</v>
      </c>
      <c r="E7" s="18">
        <f t="shared" si="0"/>
        <v>328.14100000000002</v>
      </c>
      <c r="F7" s="19" t="str">
        <f t="shared" si="3"/>
        <v/>
      </c>
      <c r="G7" s="20">
        <v>0</v>
      </c>
      <c r="H7" s="20">
        <f t="shared" si="1"/>
        <v>328.14100000000002</v>
      </c>
      <c r="I7" s="19" t="str">
        <f t="shared" si="2"/>
        <v/>
      </c>
      <c r="J7" s="47"/>
      <c r="K7" s="48"/>
    </row>
    <row r="8" spans="1:11" ht="15.75">
      <c r="A8" s="28" t="str">
        <v>Jacksonville</v>
      </c>
      <c r="B8" s="29" t="str">
        <v>FL</v>
      </c>
      <c r="C8" s="24">
        <v>104.75</v>
      </c>
      <c r="D8" s="13">
        <v>0</v>
      </c>
      <c r="E8" s="13">
        <f t="shared" si="0"/>
        <v>104.75</v>
      </c>
      <c r="F8" s="14" t="str">
        <f t="shared" si="3"/>
        <v/>
      </c>
      <c r="G8" s="15">
        <v>0</v>
      </c>
      <c r="H8" s="15">
        <f t="shared" si="1"/>
        <v>104.75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43</v>
      </c>
      <c r="D9" s="18">
        <v>0</v>
      </c>
      <c r="E9" s="18">
        <f t="shared" si="0"/>
        <v>43</v>
      </c>
      <c r="F9" s="19" t="str">
        <f t="shared" si="3"/>
        <v/>
      </c>
      <c r="G9" s="20">
        <v>0</v>
      </c>
      <c r="H9" s="20">
        <f t="shared" si="1"/>
        <v>43</v>
      </c>
      <c r="I9" s="19" t="str">
        <f t="shared" si="2"/>
        <v/>
      </c>
      <c r="J9" s="47" t="s">
        <v>46</v>
      </c>
      <c r="K9" s="47" t="s">
        <v>47</v>
      </c>
    </row>
    <row r="10" spans="1:11" ht="15.75">
      <c r="A10" s="28" t="str">
        <v>Fort Myers</v>
      </c>
      <c r="B10" s="29" t="str">
        <v>FL</v>
      </c>
      <c r="C10" s="24">
        <v>6372.1819999999998</v>
      </c>
      <c r="D10" s="13">
        <v>0</v>
      </c>
      <c r="E10" s="13">
        <f t="shared" si="0"/>
        <v>6372.1819999999998</v>
      </c>
      <c r="F10" s="14" t="str">
        <f t="shared" si="3"/>
        <v/>
      </c>
      <c r="G10" s="15">
        <v>0</v>
      </c>
      <c r="H10" s="15">
        <f t="shared" si="1"/>
        <v>6372.1819999999998</v>
      </c>
      <c r="I10" s="16" t="str">
        <f t="shared" si="2"/>
        <v/>
      </c>
      <c r="J10" s="50" t="s">
        <v>48</v>
      </c>
      <c r="K10" s="50" t="s">
        <v>49</v>
      </c>
    </row>
    <row r="11" spans="1:11" ht="15.75">
      <c r="A11" s="30" t="str">
        <v>Orlando</v>
      </c>
      <c r="B11" s="31" t="str">
        <v>FL</v>
      </c>
      <c r="C11" s="11">
        <v>5707</v>
      </c>
      <c r="D11" s="18">
        <v>0</v>
      </c>
      <c r="E11" s="18">
        <f t="shared" si="0"/>
        <v>5707</v>
      </c>
      <c r="F11" s="19" t="str">
        <f t="shared" si="3"/>
        <v/>
      </c>
      <c r="G11" s="20">
        <v>0</v>
      </c>
      <c r="H11" s="20">
        <f t="shared" si="1"/>
        <v>5707</v>
      </c>
      <c r="I11" s="19" t="str">
        <f t="shared" si="2"/>
        <v/>
      </c>
      <c r="J11" s="47"/>
      <c r="K11" s="48"/>
    </row>
    <row r="12" spans="1:11" ht="30.75">
      <c r="A12" s="28" t="str">
        <v>Port St. Lucie</v>
      </c>
      <c r="B12" s="29" t="str">
        <v>FL</v>
      </c>
      <c r="C12" s="24">
        <v>10343.09</v>
      </c>
      <c r="D12" s="13">
        <v>0</v>
      </c>
      <c r="E12" s="13">
        <f t="shared" si="0"/>
        <v>10343.09</v>
      </c>
      <c r="F12" s="14" t="str">
        <f t="shared" si="3"/>
        <v/>
      </c>
      <c r="G12" s="15">
        <v>0</v>
      </c>
      <c r="H12" s="15">
        <f t="shared" si="1"/>
        <v>10343.09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17337.400000000001</v>
      </c>
      <c r="D13" s="18">
        <v>0</v>
      </c>
      <c r="E13" s="18">
        <f t="shared" si="0"/>
        <v>17337.400000000001</v>
      </c>
      <c r="F13" s="19" t="str">
        <f t="shared" si="3"/>
        <v/>
      </c>
      <c r="G13" s="20">
        <v>0</v>
      </c>
      <c r="H13" s="20">
        <f t="shared" si="1"/>
        <v>17337.400000000001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6677.3</v>
      </c>
      <c r="D14" s="13">
        <v>0</v>
      </c>
      <c r="E14" s="13">
        <f t="shared" si="0"/>
        <v>6677.3</v>
      </c>
      <c r="F14" s="14" t="str">
        <f t="shared" si="3"/>
        <v/>
      </c>
      <c r="G14" s="15">
        <v>0</v>
      </c>
      <c r="H14" s="15">
        <f t="shared" si="1"/>
        <v>6677.3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2612.1999999999998</v>
      </c>
      <c r="D15" s="18">
        <v>0</v>
      </c>
      <c r="E15" s="18">
        <f t="shared" si="0"/>
        <v>2612.1999999999998</v>
      </c>
      <c r="F15" s="19" t="str">
        <f t="shared" si="3"/>
        <v/>
      </c>
      <c r="G15" s="20">
        <v>0</v>
      </c>
      <c r="H15" s="20">
        <f t="shared" si="1"/>
        <v>2612.1999999999998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3255</v>
      </c>
      <c r="D16" s="13">
        <v>0</v>
      </c>
      <c r="E16" s="13">
        <f t="shared" si="0"/>
        <v>3255</v>
      </c>
      <c r="F16" s="14" t="str">
        <f t="shared" si="3"/>
        <v/>
      </c>
      <c r="G16" s="15">
        <v>0</v>
      </c>
      <c r="H16" s="15">
        <f t="shared" si="1"/>
        <v>3255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4221.3999999999996</v>
      </c>
      <c r="D17" s="18">
        <v>0</v>
      </c>
      <c r="E17" s="18">
        <f t="shared" si="0"/>
        <v>4221.3999999999996</v>
      </c>
      <c r="F17" s="19" t="str">
        <f t="shared" si="3"/>
        <v/>
      </c>
      <c r="G17" s="20">
        <v>0</v>
      </c>
      <c r="H17" s="20">
        <f t="shared" si="1"/>
        <v>4221.3999999999996</v>
      </c>
      <c r="I17" s="19" t="str">
        <f t="shared" si="2"/>
        <v/>
      </c>
      <c r="J17" s="47"/>
      <c r="K17" s="48"/>
    </row>
    <row r="18" spans="1:11" ht="12.75" customHeight="1">
      <c r="A18" s="28" t="str">
        <v>Austin</v>
      </c>
      <c r="B18" s="29" t="str">
        <v>TX</v>
      </c>
      <c r="C18" s="24">
        <v>1193.9000000000001</v>
      </c>
      <c r="D18" s="13">
        <v>0</v>
      </c>
      <c r="E18" s="13">
        <f t="shared" ref="E18:E21" si="4">IF(AND(ISNUMBER(C18),ISNUMBER(D18)), C18-D18, "")</f>
        <v>1193.9000000000001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1193.9000000000001</v>
      </c>
      <c r="I18" s="16" t="str">
        <f t="shared" ref="I18:I21" si="7">IFERROR(H18/G18, "")</f>
        <v/>
      </c>
      <c r="J18" s="50"/>
      <c r="K18" s="50"/>
    </row>
    <row r="19" spans="1:11" ht="15.75">
      <c r="A19" s="30" t="str">
        <v>Frisco</v>
      </c>
      <c r="B19" s="31" t="str">
        <v>TX</v>
      </c>
      <c r="C19" s="11">
        <v>3114</v>
      </c>
      <c r="D19" s="18">
        <v>0</v>
      </c>
      <c r="E19" s="18">
        <f t="shared" si="4"/>
        <v>3114</v>
      </c>
      <c r="F19" s="19" t="str">
        <f t="shared" si="5"/>
        <v/>
      </c>
      <c r="G19" s="20">
        <v>0</v>
      </c>
      <c r="H19" s="20">
        <f t="shared" si="6"/>
        <v>3114</v>
      </c>
      <c r="I19" s="19" t="str">
        <f t="shared" si="7"/>
        <v/>
      </c>
      <c r="J19" s="47" t="s">
        <v>54</v>
      </c>
      <c r="K19" s="49" t="s">
        <v>55</v>
      </c>
    </row>
    <row r="20" spans="1:11" ht="15.75">
      <c r="A20" s="28" t="str">
        <v>Copperfield</v>
      </c>
      <c r="B20" s="29" t="str">
        <v>TX</v>
      </c>
      <c r="C20" s="24">
        <v>0</v>
      </c>
      <c r="D20" s="13">
        <v>0</v>
      </c>
      <c r="E20" s="13">
        <f t="shared" si="4"/>
        <v>0</v>
      </c>
      <c r="F20" s="14" t="str">
        <f t="shared" si="5"/>
        <v/>
      </c>
      <c r="G20" s="15">
        <v>0</v>
      </c>
      <c r="H20" s="15">
        <f t="shared" si="6"/>
        <v>0</v>
      </c>
      <c r="I20" s="16" t="str">
        <f t="shared" si="7"/>
        <v/>
      </c>
      <c r="J20" s="50" t="s">
        <v>56</v>
      </c>
      <c r="K20" s="50" t="s">
        <v>57</v>
      </c>
    </row>
    <row r="21" spans="1:11" ht="15.6">
      <c r="A21" s="30" t="str">
        <v>Plano Bldg A</v>
      </c>
      <c r="B21" s="31" t="str">
        <v>TX</v>
      </c>
      <c r="C21" s="11">
        <v>2787.1</v>
      </c>
      <c r="D21" s="18">
        <v>0</v>
      </c>
      <c r="E21" s="18">
        <f t="shared" si="4"/>
        <v>2787.1</v>
      </c>
      <c r="F21" s="19" t="str">
        <f t="shared" si="5"/>
        <v/>
      </c>
      <c r="G21" s="20">
        <v>0</v>
      </c>
      <c r="H21" s="20">
        <f t="shared" si="6"/>
        <v>2787.1</v>
      </c>
      <c r="I21" s="19" t="str">
        <f t="shared" si="7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8 I4:I9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0"/>
  <sheetViews>
    <sheetView workbookViewId="0">
      <pane xSplit="2" ySplit="3" topLeftCell="C12" activePane="bottomRight" state="frozen"/>
      <selection pane="bottomRight" activeCell="J21" sqref="J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58</v>
      </c>
      <c r="E1" s="55"/>
      <c r="F1" s="55"/>
      <c r="G1" s="53" t="s">
        <v>59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47815.529999999992</v>
      </c>
      <c r="D2" s="5">
        <f>SUM(D4:D98)</f>
        <v>0</v>
      </c>
      <c r="E2" s="5">
        <f>C2-D2</f>
        <v>47815.529999999992</v>
      </c>
      <c r="F2" s="6">
        <f>IFERROR(E2/D2, 0)</f>
        <v>0</v>
      </c>
      <c r="G2" s="5">
        <f>SUM(G4:G98)</f>
        <v>0</v>
      </c>
      <c r="H2" s="7">
        <f>C2-G2</f>
        <v>47815.529999999992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139.30000000000001</v>
      </c>
      <c r="D4" s="13">
        <v>0</v>
      </c>
      <c r="E4" s="13">
        <f>IF(AND(ISNUMBER(C4),ISNUMBER(D4)), C4-D4, "")</f>
        <v>139.30000000000001</v>
      </c>
      <c r="F4" s="14" t="str">
        <f>IFERROR(E4/D4, "")</f>
        <v/>
      </c>
      <c r="G4" s="15">
        <v>0</v>
      </c>
      <c r="H4" s="15">
        <f>IF(AND(ISNUMBER(C4),ISNUMBER(G4)), C4-G4, "")</f>
        <v>139.30000000000001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15.75">
      <c r="A7" s="30" t="str">
        <v>Hialeah</v>
      </c>
      <c r="B7" s="31" t="str">
        <v>FL</v>
      </c>
      <c r="C7" s="11">
        <v>0</v>
      </c>
      <c r="D7" s="18">
        <v>0</v>
      </c>
      <c r="E7" s="18">
        <f t="shared" si="0"/>
        <v>0</v>
      </c>
      <c r="F7" s="19" t="str">
        <f t="shared" si="3"/>
        <v/>
      </c>
      <c r="G7" s="20">
        <v>0</v>
      </c>
      <c r="H7" s="20">
        <f t="shared" si="1"/>
        <v>0</v>
      </c>
      <c r="I7" s="19" t="str">
        <f t="shared" si="2"/>
        <v/>
      </c>
      <c r="J7" s="47" t="s">
        <v>60</v>
      </c>
      <c r="K7" s="49" t="s">
        <v>61</v>
      </c>
    </row>
    <row r="8" spans="1:11" ht="15.75">
      <c r="A8" s="28" t="str">
        <v>Jacksonville</v>
      </c>
      <c r="B8" s="29" t="str">
        <v>FL</v>
      </c>
      <c r="C8" s="24">
        <v>59.4</v>
      </c>
      <c r="D8" s="13">
        <v>0</v>
      </c>
      <c r="E8" s="13">
        <f t="shared" si="0"/>
        <v>59.4</v>
      </c>
      <c r="F8" s="14" t="str">
        <f t="shared" si="3"/>
        <v/>
      </c>
      <c r="G8" s="15">
        <v>0</v>
      </c>
      <c r="H8" s="15">
        <f t="shared" si="1"/>
        <v>59.4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30.8</v>
      </c>
      <c r="D9" s="18">
        <v>0</v>
      </c>
      <c r="E9" s="18">
        <f t="shared" si="0"/>
        <v>30.8</v>
      </c>
      <c r="F9" s="19" t="str">
        <f t="shared" si="3"/>
        <v/>
      </c>
      <c r="G9" s="20">
        <v>0</v>
      </c>
      <c r="H9" s="20">
        <f t="shared" si="1"/>
        <v>30.8</v>
      </c>
      <c r="I9" s="19" t="str">
        <f t="shared" si="2"/>
        <v/>
      </c>
      <c r="J9" s="47" t="s">
        <v>62</v>
      </c>
      <c r="K9" s="47" t="s">
        <v>63</v>
      </c>
    </row>
    <row r="10" spans="1:11" ht="15.75">
      <c r="A10" s="28" t="str">
        <v>Fort Myers</v>
      </c>
      <c r="B10" s="29" t="str">
        <v>FL</v>
      </c>
      <c r="C10" s="24">
        <v>6060.4</v>
      </c>
      <c r="D10" s="13">
        <v>0</v>
      </c>
      <c r="E10" s="13">
        <f t="shared" si="0"/>
        <v>6060.4</v>
      </c>
      <c r="F10" s="14" t="str">
        <f t="shared" si="3"/>
        <v/>
      </c>
      <c r="G10" s="15">
        <v>0</v>
      </c>
      <c r="H10" s="15">
        <f t="shared" si="1"/>
        <v>6060.4</v>
      </c>
      <c r="I10" s="16" t="str">
        <f t="shared" si="2"/>
        <v/>
      </c>
      <c r="J10" s="50" t="s">
        <v>64</v>
      </c>
      <c r="K10" s="50" t="s">
        <v>49</v>
      </c>
    </row>
    <row r="11" spans="1:11" ht="15.75">
      <c r="A11" s="30" t="str">
        <v>Orlando</v>
      </c>
      <c r="B11" s="31" t="str">
        <v>FL</v>
      </c>
      <c r="C11" s="11">
        <v>4899.7</v>
      </c>
      <c r="D11" s="18">
        <v>0</v>
      </c>
      <c r="E11" s="18">
        <f t="shared" si="0"/>
        <v>4899.7</v>
      </c>
      <c r="F11" s="19" t="str">
        <f t="shared" si="3"/>
        <v/>
      </c>
      <c r="G11" s="20">
        <v>0</v>
      </c>
      <c r="H11" s="20">
        <f t="shared" si="1"/>
        <v>4899.7</v>
      </c>
      <c r="I11" s="19" t="str">
        <f t="shared" si="2"/>
        <v/>
      </c>
      <c r="J11" s="47"/>
      <c r="K11" s="48"/>
    </row>
    <row r="12" spans="1:11" ht="30.75">
      <c r="A12" s="28" t="str">
        <v>Port St. Lucie</v>
      </c>
      <c r="B12" s="29" t="str">
        <v>FL</v>
      </c>
      <c r="C12" s="24">
        <v>9156.2000000000007</v>
      </c>
      <c r="D12" s="13">
        <v>0</v>
      </c>
      <c r="E12" s="13">
        <f t="shared" si="0"/>
        <v>9156.2000000000007</v>
      </c>
      <c r="F12" s="14" t="str">
        <f t="shared" si="3"/>
        <v/>
      </c>
      <c r="G12" s="15">
        <v>0</v>
      </c>
      <c r="H12" s="15">
        <f t="shared" si="1"/>
        <v>9156.2000000000007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1661.7</v>
      </c>
      <c r="D13" s="18">
        <v>0</v>
      </c>
      <c r="E13" s="18">
        <f t="shared" si="0"/>
        <v>1661.7</v>
      </c>
      <c r="F13" s="19" t="str">
        <f t="shared" si="3"/>
        <v/>
      </c>
      <c r="G13" s="20">
        <v>0</v>
      </c>
      <c r="H13" s="20">
        <f t="shared" si="1"/>
        <v>1661.7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7827.83</v>
      </c>
      <c r="D14" s="13">
        <v>0</v>
      </c>
      <c r="E14" s="13">
        <f t="shared" si="0"/>
        <v>7827.83</v>
      </c>
      <c r="F14" s="14" t="str">
        <f t="shared" si="3"/>
        <v/>
      </c>
      <c r="G14" s="15">
        <v>0</v>
      </c>
      <c r="H14" s="15">
        <f t="shared" si="1"/>
        <v>7827.83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2484.3000000000002</v>
      </c>
      <c r="D15" s="18">
        <v>0</v>
      </c>
      <c r="E15" s="18">
        <f t="shared" si="0"/>
        <v>2484.3000000000002</v>
      </c>
      <c r="F15" s="19" t="str">
        <f t="shared" si="3"/>
        <v/>
      </c>
      <c r="G15" s="20">
        <v>0</v>
      </c>
      <c r="H15" s="20">
        <f t="shared" si="1"/>
        <v>2484.3000000000002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3427.3</v>
      </c>
      <c r="D16" s="13">
        <v>0</v>
      </c>
      <c r="E16" s="13">
        <f t="shared" si="0"/>
        <v>3427.3</v>
      </c>
      <c r="F16" s="14" t="str">
        <f t="shared" si="3"/>
        <v/>
      </c>
      <c r="G16" s="15">
        <v>0</v>
      </c>
      <c r="H16" s="15">
        <f t="shared" si="1"/>
        <v>3427.3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4586.7</v>
      </c>
      <c r="D17" s="18">
        <v>0</v>
      </c>
      <c r="E17" s="18">
        <f t="shared" si="0"/>
        <v>4586.7</v>
      </c>
      <c r="F17" s="19" t="str">
        <f t="shared" si="3"/>
        <v/>
      </c>
      <c r="G17" s="20">
        <v>0</v>
      </c>
      <c r="H17" s="20">
        <f t="shared" si="1"/>
        <v>4586.7</v>
      </c>
      <c r="I17" s="19" t="str">
        <f t="shared" si="2"/>
        <v/>
      </c>
      <c r="J17" s="47"/>
      <c r="K17" s="48"/>
    </row>
    <row r="18" spans="1:11" ht="12.75" customHeight="1">
      <c r="A18" s="28" t="str">
        <v>Austin</v>
      </c>
      <c r="B18" s="29" t="str">
        <v>TX</v>
      </c>
      <c r="C18" s="24">
        <v>1347.1</v>
      </c>
      <c r="D18" s="13">
        <v>0</v>
      </c>
      <c r="E18" s="13">
        <f t="shared" ref="E18:E21" si="4">IF(AND(ISNUMBER(C18),ISNUMBER(D18)), C18-D18, "")</f>
        <v>1347.1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1347.1</v>
      </c>
      <c r="I18" s="16" t="str">
        <f t="shared" ref="I18:I21" si="7">IFERROR(H18/G18, "")</f>
        <v/>
      </c>
      <c r="J18" s="50"/>
      <c r="K18" s="50"/>
    </row>
    <row r="19" spans="1:11" ht="15.75">
      <c r="A19" s="30" t="str">
        <v>Frisco</v>
      </c>
      <c r="B19" s="31" t="str">
        <v>TX</v>
      </c>
      <c r="C19" s="11">
        <v>3166.6</v>
      </c>
      <c r="D19" s="18">
        <v>0</v>
      </c>
      <c r="E19" s="18">
        <f t="shared" si="4"/>
        <v>3166.6</v>
      </c>
      <c r="F19" s="19" t="str">
        <f t="shared" si="5"/>
        <v/>
      </c>
      <c r="G19" s="20">
        <v>0</v>
      </c>
      <c r="H19" s="20">
        <f t="shared" si="6"/>
        <v>3166.6</v>
      </c>
      <c r="I19" s="19" t="str">
        <f t="shared" si="7"/>
        <v/>
      </c>
      <c r="J19" s="47" t="s">
        <v>65</v>
      </c>
      <c r="K19" s="49" t="s">
        <v>55</v>
      </c>
    </row>
    <row r="20" spans="1:11" ht="15.75">
      <c r="A20" s="28" t="str">
        <v>Copperfield</v>
      </c>
      <c r="B20" s="29" t="str">
        <v>TX</v>
      </c>
      <c r="C20" s="24">
        <v>0</v>
      </c>
      <c r="D20" s="13">
        <v>0</v>
      </c>
      <c r="E20" s="13">
        <f t="shared" si="4"/>
        <v>0</v>
      </c>
      <c r="F20" s="14" t="str">
        <f t="shared" si="5"/>
        <v/>
      </c>
      <c r="G20" s="15">
        <v>0</v>
      </c>
      <c r="H20" s="15">
        <f t="shared" si="6"/>
        <v>0</v>
      </c>
      <c r="I20" s="16" t="str">
        <f t="shared" si="7"/>
        <v/>
      </c>
      <c r="J20" s="50" t="s">
        <v>56</v>
      </c>
      <c r="K20" s="50" t="s">
        <v>57</v>
      </c>
    </row>
    <row r="21" spans="1:11" ht="15.75">
      <c r="A21" s="30" t="str">
        <v>Plano Bldg A</v>
      </c>
      <c r="B21" s="31" t="str">
        <v>TX</v>
      </c>
      <c r="C21" s="11">
        <v>2968.2</v>
      </c>
      <c r="D21" s="18">
        <v>0</v>
      </c>
      <c r="E21" s="18">
        <f t="shared" si="4"/>
        <v>2968.2</v>
      </c>
      <c r="F21" s="19" t="str">
        <f t="shared" si="5"/>
        <v/>
      </c>
      <c r="G21" s="20">
        <v>0</v>
      </c>
      <c r="H21" s="18">
        <f t="shared" si="6"/>
        <v>2968.2</v>
      </c>
      <c r="I21" s="18" t="str">
        <f t="shared" si="7"/>
        <v/>
      </c>
      <c r="J21" s="42"/>
      <c r="K21" s="48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20 I22:I9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0"/>
  <sheetViews>
    <sheetView workbookViewId="0">
      <pane xSplit="2" ySplit="3" topLeftCell="C4" activePane="bottomRight" state="frozen"/>
      <selection pane="bottomRight" activeCell="F55" sqref="F5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66</v>
      </c>
      <c r="E1" s="55"/>
      <c r="F1" s="55"/>
      <c r="G1" s="53" t="s">
        <v>67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39231.807999999997</v>
      </c>
      <c r="D2" s="5">
        <f>SUM(D4:D98)</f>
        <v>0</v>
      </c>
      <c r="E2" s="5">
        <f>C2-D2</f>
        <v>39231.807999999997</v>
      </c>
      <c r="F2" s="6">
        <f>IFERROR(E2/D2, 0)</f>
        <v>0</v>
      </c>
      <c r="G2" s="5">
        <f>SUM(G4:G98)</f>
        <v>0</v>
      </c>
      <c r="H2" s="7">
        <f>C2-G2</f>
        <v>39231.807999999997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109.73</v>
      </c>
      <c r="D4" s="13">
        <v>0</v>
      </c>
      <c r="E4" s="13">
        <f>IF(AND(ISNUMBER(C4),ISNUMBER(D4)), C4-D4, "")</f>
        <v>109.73</v>
      </c>
      <c r="F4" s="14" t="str">
        <f>IFERROR(E4/D4, "")</f>
        <v/>
      </c>
      <c r="G4" s="15">
        <v>0</v>
      </c>
      <c r="H4" s="15">
        <f>IF(AND(ISNUMBER(C4),ISNUMBER(G4)), C4-G4, "")</f>
        <v>109.73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30.75">
      <c r="A7" s="30" t="str">
        <v>Hialeah</v>
      </c>
      <c r="B7" s="31" t="str">
        <v>FL</v>
      </c>
      <c r="C7" s="11">
        <v>0</v>
      </c>
      <c r="D7" s="18">
        <v>0</v>
      </c>
      <c r="E7" s="18">
        <f t="shared" si="0"/>
        <v>0</v>
      </c>
      <c r="F7" s="19" t="str">
        <f t="shared" si="3"/>
        <v/>
      </c>
      <c r="G7" s="20">
        <v>0</v>
      </c>
      <c r="H7" s="20">
        <f t="shared" si="1"/>
        <v>0</v>
      </c>
      <c r="I7" s="19" t="str">
        <f t="shared" si="2"/>
        <v/>
      </c>
      <c r="J7" s="47" t="s">
        <v>68</v>
      </c>
      <c r="K7" s="49" t="s">
        <v>69</v>
      </c>
    </row>
    <row r="8" spans="1:11" ht="15.75">
      <c r="A8" s="28" t="str">
        <v>Jacksonville</v>
      </c>
      <c r="B8" s="29" t="str">
        <v>FL</v>
      </c>
      <c r="C8" s="24">
        <v>80</v>
      </c>
      <c r="D8" s="13">
        <v>0</v>
      </c>
      <c r="E8" s="13">
        <f t="shared" si="0"/>
        <v>80</v>
      </c>
      <c r="F8" s="14" t="str">
        <f t="shared" si="3"/>
        <v/>
      </c>
      <c r="G8" s="15">
        <v>0</v>
      </c>
      <c r="H8" s="15">
        <f t="shared" si="1"/>
        <v>80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99.1</v>
      </c>
      <c r="D9" s="18">
        <v>0</v>
      </c>
      <c r="E9" s="18">
        <f t="shared" si="0"/>
        <v>99.1</v>
      </c>
      <c r="F9" s="19" t="str">
        <f t="shared" si="3"/>
        <v/>
      </c>
      <c r="G9" s="20">
        <v>0</v>
      </c>
      <c r="H9" s="20">
        <f t="shared" si="1"/>
        <v>99.1</v>
      </c>
      <c r="I9" s="19" t="str">
        <f t="shared" si="2"/>
        <v/>
      </c>
      <c r="J9" s="47" t="s">
        <v>70</v>
      </c>
      <c r="K9" s="47" t="s">
        <v>63</v>
      </c>
    </row>
    <row r="10" spans="1:11" ht="15.75">
      <c r="A10" s="28" t="str">
        <v>Fort Myers</v>
      </c>
      <c r="B10" s="29" t="str">
        <v>FL</v>
      </c>
      <c r="C10" s="24">
        <v>5843.3</v>
      </c>
      <c r="D10" s="13">
        <v>0</v>
      </c>
      <c r="E10" s="13">
        <f t="shared" si="0"/>
        <v>5843.3</v>
      </c>
      <c r="F10" s="14" t="str">
        <f t="shared" si="3"/>
        <v/>
      </c>
      <c r="G10" s="15">
        <v>0</v>
      </c>
      <c r="H10" s="15">
        <f t="shared" si="1"/>
        <v>5843.3</v>
      </c>
      <c r="I10" s="16" t="str">
        <f t="shared" si="2"/>
        <v/>
      </c>
      <c r="J10" s="50"/>
      <c r="K10" s="50"/>
    </row>
    <row r="11" spans="1:11" ht="15.75">
      <c r="A11" s="30" t="str">
        <v>Orlando</v>
      </c>
      <c r="B11" s="31" t="str">
        <v>FL</v>
      </c>
      <c r="C11" s="11">
        <v>4473.6000000000004</v>
      </c>
      <c r="D11" s="18">
        <v>0</v>
      </c>
      <c r="E11" s="18">
        <f t="shared" si="0"/>
        <v>4473.6000000000004</v>
      </c>
      <c r="F11" s="19" t="str">
        <f t="shared" si="3"/>
        <v/>
      </c>
      <c r="G11" s="20">
        <v>0</v>
      </c>
      <c r="H11" s="20">
        <f t="shared" si="1"/>
        <v>4473.6000000000004</v>
      </c>
      <c r="I11" s="19" t="str">
        <f t="shared" si="2"/>
        <v/>
      </c>
      <c r="J11" s="47"/>
      <c r="K11" s="48"/>
    </row>
    <row r="12" spans="1:11" ht="30.75">
      <c r="A12" s="28" t="str">
        <v>Port St. Lucie</v>
      </c>
      <c r="B12" s="29" t="str">
        <v>FL</v>
      </c>
      <c r="C12" s="24">
        <v>7759.8</v>
      </c>
      <c r="D12" s="13">
        <v>0</v>
      </c>
      <c r="E12" s="13">
        <f t="shared" si="0"/>
        <v>7759.8</v>
      </c>
      <c r="F12" s="14" t="str">
        <f t="shared" si="3"/>
        <v/>
      </c>
      <c r="G12" s="15">
        <v>0</v>
      </c>
      <c r="H12" s="15">
        <f t="shared" si="1"/>
        <v>7759.8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1537.472</v>
      </c>
      <c r="D13" s="18">
        <v>0</v>
      </c>
      <c r="E13" s="18">
        <f t="shared" si="0"/>
        <v>1537.472</v>
      </c>
      <c r="F13" s="19" t="str">
        <f t="shared" si="3"/>
        <v/>
      </c>
      <c r="G13" s="20">
        <v>0</v>
      </c>
      <c r="H13" s="20">
        <f t="shared" si="1"/>
        <v>1537.472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4949</v>
      </c>
      <c r="D14" s="13">
        <v>0</v>
      </c>
      <c r="E14" s="13">
        <f t="shared" si="0"/>
        <v>4949</v>
      </c>
      <c r="F14" s="14" t="str">
        <f t="shared" si="3"/>
        <v/>
      </c>
      <c r="G14" s="15">
        <v>0</v>
      </c>
      <c r="H14" s="15">
        <f t="shared" si="1"/>
        <v>4949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1861.7</v>
      </c>
      <c r="D15" s="18">
        <v>0</v>
      </c>
      <c r="E15" s="18">
        <f t="shared" si="0"/>
        <v>1861.7</v>
      </c>
      <c r="F15" s="19" t="str">
        <f t="shared" si="3"/>
        <v/>
      </c>
      <c r="G15" s="20">
        <v>0</v>
      </c>
      <c r="H15" s="20">
        <f t="shared" si="1"/>
        <v>1861.7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2549.8000000000002</v>
      </c>
      <c r="D16" s="13">
        <v>0</v>
      </c>
      <c r="E16" s="13">
        <f t="shared" si="0"/>
        <v>2549.8000000000002</v>
      </c>
      <c r="F16" s="14" t="str">
        <f t="shared" si="3"/>
        <v/>
      </c>
      <c r="G16" s="15">
        <v>0</v>
      </c>
      <c r="H16" s="15">
        <f t="shared" si="1"/>
        <v>2549.8000000000002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2996.5</v>
      </c>
      <c r="D17" s="18">
        <v>0</v>
      </c>
      <c r="E17" s="18">
        <f t="shared" si="0"/>
        <v>2996.5</v>
      </c>
      <c r="F17" s="19" t="str">
        <f t="shared" si="3"/>
        <v/>
      </c>
      <c r="G17" s="20">
        <v>0</v>
      </c>
      <c r="H17" s="20">
        <f t="shared" si="1"/>
        <v>2996.5</v>
      </c>
      <c r="I17" s="19" t="str">
        <f t="shared" si="2"/>
        <v/>
      </c>
      <c r="J17" s="47" t="s">
        <v>71</v>
      </c>
      <c r="K17" s="51" t="s">
        <v>72</v>
      </c>
    </row>
    <row r="18" spans="1:11" ht="12.75" customHeight="1">
      <c r="A18" s="28" t="str">
        <v>Austin</v>
      </c>
      <c r="B18" s="29" t="str">
        <v>TX</v>
      </c>
      <c r="C18" s="24">
        <v>1191.4000000000001</v>
      </c>
      <c r="D18" s="13">
        <v>0</v>
      </c>
      <c r="E18" s="13">
        <f t="shared" ref="E18:E21" si="4">IF(AND(ISNUMBER(C18),ISNUMBER(D18)), C18-D18, "")</f>
        <v>1191.4000000000001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1191.4000000000001</v>
      </c>
      <c r="I18" s="16" t="str">
        <f t="shared" ref="I18:I21" si="7">IFERROR(H18/G18, "")</f>
        <v/>
      </c>
      <c r="J18" s="50"/>
      <c r="K18" s="50"/>
    </row>
    <row r="19" spans="1:11" ht="16.5">
      <c r="A19" s="30" t="str">
        <v>Frisco</v>
      </c>
      <c r="B19" s="31" t="str">
        <v>TX</v>
      </c>
      <c r="C19" s="11">
        <v>2730.6</v>
      </c>
      <c r="D19" s="18">
        <v>0</v>
      </c>
      <c r="E19" s="18">
        <f t="shared" si="4"/>
        <v>2730.6</v>
      </c>
      <c r="F19" s="19" t="str">
        <f t="shared" si="5"/>
        <v/>
      </c>
      <c r="G19" s="20">
        <v>0</v>
      </c>
      <c r="H19" s="20">
        <f t="shared" si="6"/>
        <v>2730.6</v>
      </c>
      <c r="I19" s="19" t="str">
        <f t="shared" si="7"/>
        <v/>
      </c>
      <c r="J19" s="47" t="s">
        <v>73</v>
      </c>
      <c r="K19" s="52" t="s">
        <v>74</v>
      </c>
    </row>
    <row r="20" spans="1:11" ht="15.75">
      <c r="A20" s="28" t="str">
        <v>Copperfield</v>
      </c>
      <c r="B20" s="29" t="str">
        <v>TX</v>
      </c>
      <c r="C20" s="24">
        <v>595.20600000000002</v>
      </c>
      <c r="D20" s="13">
        <v>0</v>
      </c>
      <c r="E20" s="13">
        <f t="shared" si="4"/>
        <v>595.20600000000002</v>
      </c>
      <c r="F20" s="14" t="str">
        <f t="shared" si="5"/>
        <v/>
      </c>
      <c r="G20" s="15">
        <v>0</v>
      </c>
      <c r="H20" s="15">
        <f t="shared" si="6"/>
        <v>595.20600000000002</v>
      </c>
      <c r="I20" s="16" t="str">
        <f t="shared" si="7"/>
        <v/>
      </c>
      <c r="J20" s="50" t="s">
        <v>56</v>
      </c>
      <c r="K20" s="50" t="s">
        <v>57</v>
      </c>
    </row>
    <row r="21" spans="1:11" ht="15.75">
      <c r="A21" s="30" t="str">
        <v>Plano Bldg A</v>
      </c>
      <c r="B21" s="31" t="str">
        <v>TX</v>
      </c>
      <c r="C21" s="11">
        <v>2454.6</v>
      </c>
      <c r="D21" s="18">
        <v>0</v>
      </c>
      <c r="E21" s="18">
        <f t="shared" si="4"/>
        <v>2454.6</v>
      </c>
      <c r="F21" s="19" t="str">
        <f t="shared" si="5"/>
        <v/>
      </c>
      <c r="G21" s="20">
        <v>0</v>
      </c>
      <c r="H21" s="20">
        <f t="shared" si="6"/>
        <v>2454.6</v>
      </c>
      <c r="I21" s="19" t="str">
        <f t="shared" si="7"/>
        <v/>
      </c>
      <c r="J21" s="47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0"/>
  <sheetViews>
    <sheetView workbookViewId="0">
      <pane xSplit="2" ySplit="3" topLeftCell="C22" activePane="bottomRight" state="frozen"/>
      <selection pane="bottomRight" activeCell="A22" sqref="A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75</v>
      </c>
      <c r="E1" s="55"/>
      <c r="F1" s="55"/>
      <c r="G1" s="53" t="s">
        <v>76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77</v>
      </c>
      <c r="E1" s="55"/>
      <c r="F1" s="55"/>
      <c r="G1" s="53" t="s">
        <v>78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0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JLL</v>
      </c>
      <c r="B1" s="54"/>
      <c r="C1" s="54"/>
      <c r="D1" s="55" t="s">
        <v>79</v>
      </c>
      <c r="E1" s="55"/>
      <c r="F1" s="55"/>
      <c r="G1" s="53" t="s">
        <v>80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6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1"/>
  <sheetViews>
    <sheetView workbookViewId="0">
      <pane ySplit="3" topLeftCell="A9" activePane="bottomLeft" state="frozen"/>
      <selection pane="bottomLeft" activeCell="A21" sqref="A21"/>
    </sheetView>
  </sheetViews>
  <sheetFormatPr defaultRowHeight="12.75" customHeight="1"/>
  <cols>
    <col min="1" max="1" width="48.5703125" customWidth="1"/>
    <col min="2" max="2" width="17.4257812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81</v>
      </c>
      <c r="B1" t="s">
        <v>82</v>
      </c>
    </row>
    <row r="3" spans="1:7" ht="13.15">
      <c r="A3" t="s">
        <v>83</v>
      </c>
      <c r="B3" t="s">
        <v>3</v>
      </c>
      <c r="C3" t="s">
        <v>4</v>
      </c>
      <c r="D3" t="s">
        <v>84</v>
      </c>
      <c r="E3" s="2" t="s">
        <v>85</v>
      </c>
    </row>
    <row r="4" spans="1:7" ht="14.45">
      <c r="A4" s="44" t="s">
        <v>86</v>
      </c>
      <c r="B4" s="45" t="s">
        <v>87</v>
      </c>
      <c r="C4" s="45" t="s">
        <v>88</v>
      </c>
      <c r="E4" t="s">
        <v>89</v>
      </c>
      <c r="G4" s="3"/>
    </row>
    <row r="5" spans="1:7" ht="14.45">
      <c r="A5" s="44" t="s">
        <v>90</v>
      </c>
      <c r="B5" s="45" t="s">
        <v>91</v>
      </c>
      <c r="C5" s="45" t="s">
        <v>88</v>
      </c>
      <c r="E5" t="s">
        <v>89</v>
      </c>
      <c r="G5" s="3"/>
    </row>
    <row r="6" spans="1:7" ht="14.45">
      <c r="A6" s="44" t="s">
        <v>92</v>
      </c>
      <c r="B6" s="45" t="s">
        <v>93</v>
      </c>
      <c r="C6" s="45" t="s">
        <v>88</v>
      </c>
      <c r="E6" t="s">
        <v>89</v>
      </c>
      <c r="G6" s="3"/>
    </row>
    <row r="7" spans="1:7" ht="12.75" customHeight="1">
      <c r="A7" s="44" t="s">
        <v>94</v>
      </c>
      <c r="B7" s="45" t="s">
        <v>95</v>
      </c>
      <c r="C7" s="45" t="s">
        <v>96</v>
      </c>
      <c r="E7" t="s">
        <v>89</v>
      </c>
    </row>
    <row r="8" spans="1:7" ht="12.75" customHeight="1">
      <c r="A8" s="44" t="s">
        <v>97</v>
      </c>
      <c r="B8" s="45" t="s">
        <v>98</v>
      </c>
      <c r="C8" s="45" t="s">
        <v>96</v>
      </c>
      <c r="E8" t="s">
        <v>89</v>
      </c>
    </row>
    <row r="9" spans="1:7" ht="12.75" customHeight="1">
      <c r="A9" s="44" t="s">
        <v>99</v>
      </c>
      <c r="B9" s="45" t="s">
        <v>100</v>
      </c>
      <c r="C9" s="45" t="s">
        <v>96</v>
      </c>
      <c r="E9" t="s">
        <v>89</v>
      </c>
    </row>
    <row r="10" spans="1:7" ht="12.75" customHeight="1">
      <c r="A10" s="44" t="s">
        <v>101</v>
      </c>
      <c r="B10" s="45" t="s">
        <v>102</v>
      </c>
      <c r="C10" s="45" t="s">
        <v>96</v>
      </c>
      <c r="E10" t="s">
        <v>89</v>
      </c>
    </row>
    <row r="11" spans="1:7" ht="12.75" customHeight="1">
      <c r="A11" s="44" t="s">
        <v>103</v>
      </c>
      <c r="B11" s="45" t="s">
        <v>104</v>
      </c>
      <c r="C11" s="45" t="s">
        <v>96</v>
      </c>
      <c r="E11" t="s">
        <v>89</v>
      </c>
    </row>
    <row r="12" spans="1:7" ht="12.75" customHeight="1">
      <c r="A12" s="44" t="s">
        <v>105</v>
      </c>
      <c r="B12" s="45" t="s">
        <v>106</v>
      </c>
      <c r="C12" s="45" t="s">
        <v>96</v>
      </c>
      <c r="E12" t="s">
        <v>89</v>
      </c>
    </row>
    <row r="13" spans="1:7" ht="12.75" customHeight="1">
      <c r="A13" s="44" t="s">
        <v>107</v>
      </c>
      <c r="B13" s="45" t="s">
        <v>108</v>
      </c>
      <c r="C13" s="45" t="s">
        <v>96</v>
      </c>
      <c r="E13" t="s">
        <v>89</v>
      </c>
    </row>
    <row r="14" spans="1:7" ht="12.75" customHeight="1">
      <c r="A14" s="44" t="s">
        <v>109</v>
      </c>
      <c r="B14" s="45" t="s">
        <v>110</v>
      </c>
      <c r="C14" s="45" t="s">
        <v>111</v>
      </c>
      <c r="E14" t="s">
        <v>89</v>
      </c>
    </row>
    <row r="15" spans="1:7" ht="12.75" customHeight="1">
      <c r="A15" s="44" t="s">
        <v>112</v>
      </c>
      <c r="B15" s="45" t="s">
        <v>113</v>
      </c>
      <c r="C15" s="45" t="s">
        <v>114</v>
      </c>
      <c r="E15" t="s">
        <v>89</v>
      </c>
    </row>
    <row r="16" spans="1:7" ht="12.75" customHeight="1">
      <c r="A16" s="44" t="s">
        <v>115</v>
      </c>
      <c r="B16" s="45" t="s">
        <v>116</v>
      </c>
      <c r="C16" s="45" t="s">
        <v>114</v>
      </c>
      <c r="E16" t="s">
        <v>89</v>
      </c>
    </row>
    <row r="17" spans="1:5" ht="12.75" customHeight="1">
      <c r="A17" s="44" t="s">
        <v>117</v>
      </c>
      <c r="B17" s="45" t="s">
        <v>118</v>
      </c>
      <c r="C17" s="45" t="s">
        <v>119</v>
      </c>
      <c r="E17" t="s">
        <v>89</v>
      </c>
    </row>
    <row r="18" spans="1:5" ht="12.75" customHeight="1">
      <c r="A18" s="44" t="s">
        <v>120</v>
      </c>
      <c r="B18" s="45" t="s">
        <v>121</v>
      </c>
      <c r="C18" s="45" t="s">
        <v>122</v>
      </c>
      <c r="E18" t="s">
        <v>89</v>
      </c>
    </row>
    <row r="19" spans="1:5" ht="12.75" customHeight="1">
      <c r="A19" s="44" t="s">
        <v>123</v>
      </c>
      <c r="B19" s="45" t="s">
        <v>124</v>
      </c>
      <c r="C19" s="45" t="s">
        <v>122</v>
      </c>
      <c r="E19" t="s">
        <v>89</v>
      </c>
    </row>
    <row r="20" spans="1:5" ht="12.75" customHeight="1">
      <c r="A20" s="44" t="s">
        <v>125</v>
      </c>
      <c r="B20" s="45" t="s">
        <v>126</v>
      </c>
      <c r="C20" s="45" t="s">
        <v>122</v>
      </c>
      <c r="E20" t="s">
        <v>89</v>
      </c>
    </row>
    <row r="21" spans="1:5" ht="12.75" customHeight="1">
      <c r="A21" s="44" t="s">
        <v>127</v>
      </c>
      <c r="B21" s="45" t="s">
        <v>128</v>
      </c>
      <c r="C21" s="45" t="s">
        <v>122</v>
      </c>
      <c r="E21" t="s">
        <v>89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2024-10-17T19:54:53Z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2024-10-17T19:45:42Z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940bdbbc-2637-4ce1-81c0-d59093b4d809</vt:lpwstr>
  </property>
  <property fmtid="{D5CDD505-2E9C-101B-9397-08002B2CF9AE}" pid="9" name="MSIP_Label_9d817c99-0b37-4a07-8277-96aa1f96b74b_ContentBits">
    <vt:lpwstr>0</vt:lpwstr>
  </property>
</Properties>
</file>