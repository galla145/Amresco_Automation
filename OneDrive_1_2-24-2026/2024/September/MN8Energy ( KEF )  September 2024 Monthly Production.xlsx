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7" documentId="13_ncr:1_{29EC594B-E56B-4D85-80BB-FB5DBA0C33B7}" xr6:coauthVersionLast="47" xr6:coauthVersionMax="47" xr10:uidLastSave="{7E2A59D1-29B7-467A-A747-D69FEE4985CA}"/>
  <bookViews>
    <workbookView xWindow="286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8" l="1"/>
  <c r="I18" i="28" s="1"/>
  <c r="H19" i="28"/>
  <c r="I19" i="28" s="1"/>
  <c r="H20" i="28"/>
  <c r="I20" i="28" s="1"/>
  <c r="E18" i="28"/>
  <c r="F18" i="28" s="1"/>
  <c r="E19" i="28"/>
  <c r="F19" i="28" s="1"/>
  <c r="E20" i="28"/>
  <c r="F20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4" i="29"/>
  <c r="H18" i="27"/>
  <c r="I18" i="27" s="1"/>
  <c r="H19" i="27"/>
  <c r="I19" i="27" s="1"/>
  <c r="H20" i="27"/>
  <c r="I20" i="27" s="1"/>
  <c r="E18" i="27"/>
  <c r="F18" i="27" s="1"/>
  <c r="E19" i="27"/>
  <c r="F19" i="27" s="1"/>
  <c r="E20" i="27"/>
  <c r="F20" i="27" s="1"/>
  <c r="I19" i="26"/>
  <c r="H18" i="26"/>
  <c r="I18" i="26" s="1"/>
  <c r="H19" i="26"/>
  <c r="H20" i="26"/>
  <c r="I20" i="26" s="1"/>
  <c r="F19" i="26"/>
  <c r="E18" i="26"/>
  <c r="F18" i="26" s="1"/>
  <c r="E19" i="26"/>
  <c r="E20" i="26"/>
  <c r="F20" i="26" s="1"/>
  <c r="I17" i="19"/>
  <c r="I18" i="19"/>
  <c r="I19" i="19"/>
  <c r="I20" i="19"/>
  <c r="H17" i="19"/>
  <c r="H18" i="19"/>
  <c r="H19" i="19"/>
  <c r="H20" i="19"/>
  <c r="F18" i="19"/>
  <c r="F19" i="19"/>
  <c r="F20" i="19"/>
  <c r="E16" i="19"/>
  <c r="E17" i="19"/>
  <c r="E18" i="19"/>
  <c r="E19" i="19"/>
  <c r="E20" i="19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18" i="29" l="1"/>
  <c r="F18" i="29" s="1"/>
  <c r="E20" i="18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C20" i="34" s="1"/>
  <c r="E20" i="34" s="1"/>
  <c r="F20" i="34" s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C17" i="29"/>
  <c r="D17" i="29"/>
  <c r="E16" i="18"/>
  <c r="F16" i="18" s="1"/>
  <c r="C16" i="1"/>
  <c r="C16" i="34" s="1"/>
  <c r="D16" i="1"/>
  <c r="G16" i="1"/>
  <c r="G16" i="34" s="1"/>
  <c r="C17" i="1"/>
  <c r="C17" i="34" s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1" i="34" s="1"/>
  <c r="C10" i="1"/>
  <c r="C10" i="34" s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7" i="29" l="1"/>
  <c r="F17" i="29" s="1"/>
  <c r="H15" i="29"/>
  <c r="I15" i="29" s="1"/>
  <c r="H13" i="29"/>
  <c r="I13" i="29" s="1"/>
  <c r="H12" i="29"/>
  <c r="I12" i="29" s="1"/>
  <c r="H9" i="29"/>
  <c r="I9" i="29" s="1"/>
  <c r="H7" i="29"/>
  <c r="I7" i="29" s="1"/>
  <c r="H6" i="29"/>
  <c r="I6" i="29" s="1"/>
  <c r="E16" i="29"/>
  <c r="F16" i="29" s="1"/>
  <c r="E14" i="29"/>
  <c r="F14" i="29" s="1"/>
  <c r="E10" i="29"/>
  <c r="F10" i="29" s="1"/>
  <c r="C6" i="34"/>
  <c r="C15" i="34"/>
  <c r="E15" i="34" s="1"/>
  <c r="F15" i="34" s="1"/>
  <c r="C14" i="34"/>
  <c r="E14" i="34" s="1"/>
  <c r="F14" i="34" s="1"/>
  <c r="C13" i="34"/>
  <c r="E13" i="34" s="1"/>
  <c r="F13" i="34" s="1"/>
  <c r="C12" i="34"/>
  <c r="E12" i="34" s="1"/>
  <c r="F12" i="34" s="1"/>
  <c r="C7" i="34"/>
  <c r="E6" i="29"/>
  <c r="F6" i="29" s="1"/>
  <c r="E5" i="29"/>
  <c r="F5" i="29" s="1"/>
  <c r="D2" i="29"/>
  <c r="H17" i="29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5" i="34"/>
  <c r="F5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<sst xmlns="http://schemas.openxmlformats.org/spreadsheetml/2006/main" count="484" uniqueCount="229">
  <si>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</si>
  <si>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</si>
  <si>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</si>
  <si>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</si>
  <si>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</si>
  <si>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</si>
  <si>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</si>
  <si>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</si>
  <si>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</si>
  <si>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</si>
  <si>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</si>
  <si>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</si>
  <si>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</si>
  <si>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</si>
  <si>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</si>
  <si>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</si>
  <si>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</si>
  <si>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</si>
  <si>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</si>
  <si>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</si>
  <si>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</si>
  <si>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</si>
  <si>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</si>
  <si>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</si>
  <si>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</si>
  <si>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</si>
  <si>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</si>
  <si>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</si>
  <si>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</si>
  <si>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</si>
  <si>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</si>
  <si>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</si>
  <si>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</si>
  <si>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</si>
  <si>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</si>
  <si>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</si>
  <si>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</si>
  <si>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</si>
  <si>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</si>
  <si>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</si>
  <si>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</si>
  <si>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</si>
  <si>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</si>
  <si>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</si>
  <si>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</si>
  <si>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</si>
  <si>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</si>
  <si>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</si>
  <si>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</si>
  <si>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</si>
  <si>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</si>
  <si>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</si>
  <si>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</si>
  <si>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</si>
  <si>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</si>
  <si>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</si>
  <si>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</si>
  <si>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</si>
  <si>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</si>
  <si>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</si>
  <si>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</si>
  <si>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</si>
  <si>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</si>
  <si>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</si>
  <si>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</si>
  <si>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</si>
  <si>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</si>
  <si>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</si>
  <si>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</si>
  <si>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</si>
  <si>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</si>
  <si>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</si>
  <si>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</si>
  <si>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</si>
  <si>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</si>
  <si>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</si>
  <si>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</si>
  <si>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</si>
  <si>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</si>
  <si>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</si>
  <si>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</si>
  <si>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</si>
  <si>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</si>
  <si>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</si>
  <si>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</si>
  <si>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</si>
  <si>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</si>
  <si>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</si>
  <si>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</si>
  <si>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</si>
  <si>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</si>
  <si>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</si>
  <si>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</si>
  <si>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</si>
  <si>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</si>
  <si>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</si>
  <si>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</si>
  <si>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</si>
  <si>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</si>
  <si>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</si>
  <si>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</si>
  <si>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</si>
  <si>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</si>
  <si>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</si>
  <si>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</si>
  <si>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1. Site was offline from 18:45 on 06/19 and back online at 22:15 on 06/19</t>
  </si>
  <si>
    <t>1. SR086454</t>
  </si>
  <si>
    <t>1. Site was offline from 19:45 on 06/05 and back online at 08:15AM on 06/06
2. Site was offline from 18:53 on 06/19 and back online on 06/20</t>
  </si>
  <si>
    <t>1. SR085605
2. SR086451</t>
  </si>
  <si>
    <t>1. Site has experienced a brief outage from 17:42 to 18:02 on 06/ 19 and auto reclosed.
2.  Inverter 1.2 was underperforming compared to its peers</t>
  </si>
  <si>
    <t>1. SR086449
2.SR086155,SR084740</t>
  </si>
  <si>
    <t>1. Inverter 2.1 tripped offline at 13:00 on 06/02 and back online on 06/03</t>
  </si>
  <si>
    <t>1. SR085431</t>
  </si>
  <si>
    <t>1. Site was offline from 01:45am to 6am on 06/24</t>
  </si>
  <si>
    <t>1. SR086817</t>
  </si>
  <si>
    <t>1. Site was offline from 1:45am to 8:45am on 06/24</t>
  </si>
  <si>
    <t>1. SR086818</t>
  </si>
  <si>
    <t>1. Inverter 3.16 down a string from 05/13/2024
2.Site was offline from 7:50am of 06/20 to 9am of 06/21</t>
  </si>
  <si>
    <t>1. SR085098
2.SR086465</t>
  </si>
  <si>
    <t>1. Inverter 1-1 was offline on 06/01, 06/24 and 06/29</t>
  </si>
  <si>
    <t>1. SR086837</t>
  </si>
  <si>
    <t>1. Inverter 1.6 dropped a string on 5/22/24. Underproduced 2kW for the whole month and inverter 3.1 dropped a string on 5/22/24. Underproduced 6kW for the whole month</t>
  </si>
  <si>
    <t>1. SR085079</t>
  </si>
  <si>
    <t>1.  Inverter 22 underproducing by 4kW.
 inverter 2 underproducing by 3kW
 inverter 5 underproducing by 4kW.
 inverter 13 underproducing by 5kW
Inverter 25 was underperforming by 6kW
All mentioned inverters underproduced for the whole month</t>
  </si>
  <si>
    <t>1. SR083764</t>
  </si>
  <si>
    <t>1.  Inverters 3, 17, 21, 41, 46 underproduced for the whole month</t>
  </si>
  <si>
    <t>1. SR083330</t>
  </si>
  <si>
    <t>July Actual v. Expected</t>
  </si>
  <si>
    <t>July Actual v. Forecasted</t>
  </si>
  <si>
    <t>1.Site tripped offline from 7/7 at 07:45 and back online on 7/9 at 13:15.
2.Site tripped offline from 15:30 to 16:00 on 7/24.</t>
  </si>
  <si>
    <t>1.SR087437
2.SR088137</t>
  </si>
  <si>
    <t>1.Site was offline from 06:00 to 11:00 on 7/17.</t>
  </si>
  <si>
    <t>1.SR088536</t>
  </si>
  <si>
    <t>1.Site tripped offline from 7/16 at 20:00 back online on 7/17 at 18:15
2.Site was offline from 16:30 to 18:00 on 7/21</t>
  </si>
  <si>
    <t>1.SR087792
2.SR087975</t>
  </si>
  <si>
    <t>1.Site tripped offline from 08:15 to 14:45 on 7/20
2.Site tripped offline from 17:45 to 18:00 on 7/30</t>
  </si>
  <si>
    <t>1.SR087954
2.SR088424</t>
  </si>
  <si>
    <t>1.Inverter 1.2 tripped offline from 7/15 at 15:00 and back online at 15:00 on 7/162
2.Site tripped offline from 09:00 to 10:15 on 7/26</t>
  </si>
  <si>
    <t>1.SR087729
2.SR088257</t>
  </si>
  <si>
    <t>1.Site tripped offline from 09:00 to 10:15 on 7/26
2. Weather station stopped communicating from 7/16 at 18:15 through out the month</t>
  </si>
  <si>
    <t>1.SR088258
2.SR087828</t>
  </si>
  <si>
    <t>1.Site tripped offline from 7/16 at 18:30 and back online on 7/17 at 17:00
2.Site tripped offline from 7/21 at 13:30 and back online on 7/22 at 08:30</t>
  </si>
  <si>
    <t>1.SR087791
2.SR087972</t>
  </si>
  <si>
    <t xml:space="preserve">1.Inverter 1.1 offline on 7/1 , 7/3  and 7/6 to 7/8 </t>
  </si>
  <si>
    <t>1.SR086837</t>
  </si>
  <si>
    <t>1.Inverters 1.4 and 4.2 are derating and reporting external fan fault from 7/15</t>
  </si>
  <si>
    <t>1.SR087711</t>
  </si>
  <si>
    <t>1.Inverter 22 underproducing by 4kW.
 inverter 2 underproducing by 3kW
 inverter 5 underproducing by 4kW.
 inverter 13 underproducing by 5kW
Inverter 25 was underperforming by 6kW
All mentioned inverters underproduced for the whole month</t>
  </si>
  <si>
    <t>1.SR083764</t>
  </si>
  <si>
    <t>1.Inverters 3, 17, 21, 41, 46 underproduced for the whole month</t>
  </si>
  <si>
    <t>1.SR083330</t>
  </si>
  <si>
    <t>1.Inverter 13 underperforming 4kW from 7/3 through out the month
2.Inverter 4 has multiple strings down resolved from 7/24</t>
  </si>
  <si>
    <t>1.	SR087430
2.SR087992</t>
  </si>
  <si>
    <t>August Actual v. Expected</t>
  </si>
  <si>
    <t>August Actual v. Forecasted</t>
  </si>
  <si>
    <t>1.Site tripped offline on 08/08 at 18:45 and back online on 08/09 at 08:30</t>
  </si>
  <si>
    <t>1.SR088809</t>
  </si>
  <si>
    <t>1.Site tripped offline on 08/02 from 11:15 to 13:15
2.Site tripped offline on 08/08 at 19:00 and back online on 08/09 at 07:30</t>
  </si>
  <si>
    <t>1.SR088536
2.SR088807</t>
  </si>
  <si>
    <t>1. Inverter 5.01 is offline from 08/21 through out the month.
2.Site tripped on 06/24 at 18:00 and back online on 06/25 at 11:00, site take offline for UNSE on 09:00 to 11:00 on 08/28 for repairs</t>
  </si>
  <si>
    <t>1.SR089367
2.SR089502</t>
  </si>
  <si>
    <t>1.Site tripped offline at 10:15 to 10:30 on 08/01</t>
  </si>
  <si>
    <t>1.SR088492</t>
  </si>
  <si>
    <t>1.Site tripped offline at 10:15 to 15:30 on 08/01
2.Weather station stopped communicating from 7/16 at 18:15 through out the month</t>
  </si>
  <si>
    <t>1.SR088493
2.SR087828</t>
  </si>
  <si>
    <t>1.Inverter 2.21 tripped offline at 12:00 on 08/17 and back online on 08/18</t>
  </si>
  <si>
    <t>1.SR089198</t>
  </si>
  <si>
    <t>1.Inverter 7.6 tripped offline at 15:44 and back online at 16:00 on 08/09
2.Inverter 7.7 tripped offline at 09:00AM and back online at 13:15 on 0827</t>
  </si>
  <si>
    <t xml:space="preserve">1.SR088852
2.SR089610	</t>
  </si>
  <si>
    <t>1.Inverter 8 is offline 08/11, 08/13, 08/15 and again tripped offline on 08/16 at 15:30 and back online on 08/17 and offline on 08/21,08/22,08/30,08/31</t>
  </si>
  <si>
    <t>1.SR088896</t>
  </si>
  <si>
    <t>1.Inverter 6 is offline on 08/31</t>
  </si>
  <si>
    <t>1.SR089797</t>
  </si>
  <si>
    <t>September Actual v. Expected</t>
  </si>
  <si>
    <t>September Actual v. Forecasted</t>
  </si>
  <si>
    <t>1. Pad 2 has tripped offline at 14:30 on 09/19 and back online at 08:15 on 09/20</t>
  </si>
  <si>
    <t>1.SR090860</t>
  </si>
  <si>
    <t>1.Inverter 8 being RMA'd
2.Inverter 10 tripped offline at 8:00 on 09/03 and back online at 07:00 on 09/04
3.Inverter 10 offline for whole day on 09/21 and back online at 07:00 at 09/22</t>
  </si>
  <si>
    <t>1.SR088896
2.SR089858
3.SR091024</t>
  </si>
  <si>
    <t>1.Inverter 6 is offline on 08/31
2.Inverter 1 is offline from 09/26
3.Inverter 26 is derating about 17kW at 10:15 on 09/12 and back to normal production at 16:00 on 09/12</t>
  </si>
  <si>
    <t>1.SR089797
2.SR091292
3.SR090334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</si>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</sst>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SUM(C4:C95)</f>
        <v>10386355.019982122</v>
      </c>
      <c r="D2" s="5">
        <f>SUM(D4:D95)</f>
        <v>6751306.6100000013</v>
      </c>
      <c r="E2" s="5">
        <f>C2-D2</f>
        <v>3635048.4099821206</v>
      </c>
      <c r="F2" s="6">
        <f>IFERROR(E2/D2, 0)</f>
        <v>0.53842146712725281</v>
      </c>
      <c r="G2" s="5">
        <f>SUM(G4:G95)</f>
        <v>24420072.41</v>
      </c>
      <c r="H2" s="7">
        <f>C2-G2</f>
        <v>-14033717.390017878</v>
      </c>
      <c r="I2" s="6">
        <f>IFERROR(H2/G2, 0)</f>
        <v>-0.57467959776692068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1276979.8243128306</v>
      </c>
      <c r="D4" s="45">
        <f>SUM('1st Qtr'!D4, '2nd Qtr'!D4, '3rd Qtr'!D4, '4th Qtr'!D4)</f>
        <v>1351701.44</v>
      </c>
      <c r="E4" s="45">
        <f>IF(AND(ISNUMBER(C4),ISNUMBER(D4)), C4-D4, "")</f>
        <v>-74721.615687169367</v>
      </c>
      <c r="F4" s="58">
        <f>IFERROR(E4/D4, "")</f>
        <v>-5.5279674546451156E-2</v>
      </c>
      <c r="G4" s="47">
        <f>SUM('1st Qtr'!G4, '2nd Qtr'!G4, '3rd Qtr'!G4, '4th Qtr'!G4)</f>
        <v>1396534.29</v>
      </c>
      <c r="H4" s="47">
        <f>SUM('1st Qtr'!H4, '2nd Qtr'!H4, '3rd Qtr'!H4, '4th Qtr'!H4)</f>
        <v>-119554.46568716939</v>
      </c>
      <c r="I4" s="46">
        <f>IFERROR(H4/G4, "")</f>
        <v>-8.5607970060777652E-2</v>
      </c>
    </row>
    <row r="5" spans="1:9" ht="15.6">
      <c r="A5" s="63" t="str">
        <v>Orange A KB</v>
      </c>
      <c r="B5" s="64" t="str">
        <v>MA</v>
      </c>
      <c r="C5" s="59">
        <f>SUM('1st Qtr'!C5, '2nd Qtr'!C5, '3rd Qtr'!C5, '4th Qtr'!C5)</f>
        <v>1038241.9956692911</v>
      </c>
      <c r="D5" s="51">
        <f>SUM(Jan!D5, Feb!D5, Mar!D5)</f>
        <v>258904.44999999998</v>
      </c>
      <c r="E5" s="51">
        <f t="shared" ref="E5:E15" si="0">IF(AND(ISNUMBER(C5),ISNUMBER(D5)), C5-D5, "")</f>
        <v>779337.54566929117</v>
      </c>
      <c r="F5" s="52">
        <f>IFERROR(E5/D5, "")</f>
        <v>3.0101357688880634</v>
      </c>
      <c r="G5" s="53">
        <f>SUM('1st Qtr'!G5, '2nd Qtr'!G5, '3rd Qtr'!G5, '4th Qtr'!G5)</f>
        <v>1113444.8900000001</v>
      </c>
      <c r="H5" s="53">
        <f>SUM(Jan!H5, Feb!H5, Mar!H5)</f>
        <v>-50872.194330708902</v>
      </c>
      <c r="I5" s="52">
        <f>IFERROR(H5/G5, "")</f>
        <v>-4.5689009656067391E-2</v>
      </c>
    </row>
    <row r="6" spans="1:9" ht="15.6">
      <c r="A6" s="61" t="str">
        <v>Goshen A</v>
      </c>
      <c r="B6" s="62" t="str">
        <v>MA</v>
      </c>
      <c r="C6" s="57">
        <f>SUM('1st Qtr'!C6, '2nd Qtr'!C6, '3rd Qtr'!C6, '4th Qtr'!C6)</f>
        <v>-10845336.75</v>
      </c>
      <c r="D6" s="45">
        <f>SUM(Jan!D6, Feb!D6, Mar!D6)</f>
        <v>308555.5</v>
      </c>
      <c r="E6" s="45">
        <f t="shared" si="0"/>
        <v>-11153892.25</v>
      </c>
      <c r="F6" s="58">
        <f t="shared" ref="F6:F15" si="1">IFERROR(E6/D6, "")</f>
        <v>-36.148739043705262</v>
      </c>
      <c r="G6" s="47">
        <f>SUM('1st Qtr'!G6, '2nd Qtr'!G6, '3rd Qtr'!G6, '4th Qtr'!G6)</f>
        <v>869807.81</v>
      </c>
      <c r="H6" s="47">
        <f>SUM(Jan!H6, Feb!H6, Mar!H6)</f>
        <v>70756.84</v>
      </c>
      <c r="I6" s="46">
        <f t="shared" ref="I6:I15" si="2">IFERROR(H6/G6, "")</f>
        <v>8.1347671504582136E-2</v>
      </c>
    </row>
    <row r="7" spans="1:9" ht="15.6">
      <c r="A7" s="63" t="str">
        <v>Phillipston A KB</v>
      </c>
      <c r="B7" s="64" t="str">
        <v>MA</v>
      </c>
      <c r="C7" s="59">
        <f>SUM('1st Qtr'!C7, '2nd Qtr'!C7, '3rd Qtr'!C7, '4th Qtr'!C7)</f>
        <v>1266710</v>
      </c>
      <c r="D7" s="51">
        <f>SUM(Jan!D7, Feb!D7, Mar!D7)</f>
        <v>395445.18</v>
      </c>
      <c r="E7" s="51">
        <f t="shared" si="0"/>
        <v>871264.82000000007</v>
      </c>
      <c r="F7" s="52">
        <f t="shared" si="1"/>
        <v>2.2032505744538349</v>
      </c>
      <c r="G7" s="53">
        <f>SUM('1st Qtr'!G7, '2nd Qtr'!G7, '3rd Qtr'!G7, '4th Qtr'!G7)</f>
        <v>987209.1</v>
      </c>
      <c r="H7" s="53">
        <f>SUM(Jan!H7, Feb!H7, Mar!H7)</f>
        <v>63957.32</v>
      </c>
      <c r="I7" s="52">
        <f t="shared" si="2"/>
        <v>6.4785991133995829E-2</v>
      </c>
    </row>
    <row r="8" spans="1:9" ht="15.6">
      <c r="A8" s="61" t="str">
        <v>Uxbridge D</v>
      </c>
      <c r="B8" s="62" t="str">
        <v>MA</v>
      </c>
      <c r="C8" s="57">
        <f>SUM('1st Qtr'!C8, '2nd Qtr'!C8, '3rd Qtr'!C8, '4th Qtr'!C8)</f>
        <v>1280469</v>
      </c>
      <c r="D8" s="45">
        <f>SUM(Jan!D8, Feb!D8, Mar!D8)</f>
        <v>356457.4</v>
      </c>
      <c r="E8" s="45">
        <f t="shared" si="0"/>
        <v>924011.6</v>
      </c>
      <c r="F8" s="58">
        <f t="shared" si="1"/>
        <v>2.5922076523029118</v>
      </c>
      <c r="G8" s="47">
        <f>SUM('1st Qtr'!G8, '2nd Qtr'!G8, '3rd Qtr'!G8, '4th Qtr'!G8)</f>
        <v>1457101.4</v>
      </c>
      <c r="H8" s="47">
        <f>SUM(Jan!H8, Feb!H8, Mar!H8)</f>
        <v>-77950.400000000009</v>
      </c>
      <c r="I8" s="46">
        <f t="shared" si="2"/>
        <v>-5.3496894588118585E-2</v>
      </c>
    </row>
    <row r="9" spans="1:9" ht="15.6">
      <c r="A9" s="63" t="str">
        <v>West Bridgewater A&amp;B</v>
      </c>
      <c r="B9" s="64" t="str">
        <v>MA</v>
      </c>
      <c r="C9" s="59">
        <f>SUM('1st Qtr'!C9, '2nd Qtr'!C9, '3rd Qtr'!C9, '4th Qtr'!C9)</f>
        <v>2115667.5</v>
      </c>
      <c r="D9" s="51">
        <f>SUM(Jan!D9, Feb!D9, Mar!D9)</f>
        <v>566022.19999999995</v>
      </c>
      <c r="E9" s="51">
        <f t="shared" si="0"/>
        <v>1549645.3</v>
      </c>
      <c r="F9" s="52">
        <f t="shared" si="1"/>
        <v>2.737781839652226</v>
      </c>
      <c r="G9" s="53">
        <f>SUM('1st Qtr'!G9, '2nd Qtr'!G9, '3rd Qtr'!G9, '4th Qtr'!G9)</f>
        <v>2472650.2000000002</v>
      </c>
      <c r="H9" s="53">
        <f>SUM(Jan!H9, Feb!H9, Mar!H9)</f>
        <v>-146117.19999999998</v>
      </c>
      <c r="I9" s="52">
        <f t="shared" si="2"/>
        <v>-5.9093356593666171E-2</v>
      </c>
    </row>
    <row r="10" spans="1:9" ht="15.6">
      <c r="A10" s="61" t="str">
        <v>Sutton A</v>
      </c>
      <c r="B10" s="62" t="str">
        <v>MA</v>
      </c>
      <c r="C10" s="57">
        <f>SUM('1st Qtr'!C10, '2nd Qtr'!C10, '3rd Qtr'!C10, '4th Qtr'!C10)</f>
        <v>1160960</v>
      </c>
      <c r="D10" s="45">
        <f>SUM(Jan!D10, Feb!D10, Mar!D10)</f>
        <v>302395.95</v>
      </c>
      <c r="E10" s="45">
        <f t="shared" si="0"/>
        <v>858564.05</v>
      </c>
      <c r="F10" s="58">
        <f t="shared" si="1"/>
        <v>2.8392048570756323</v>
      </c>
      <c r="G10" s="47">
        <f>SUM('1st Qtr'!G10, '2nd Qtr'!G10, '3rd Qtr'!G10, '4th Qtr'!G10)</f>
        <v>1392251.3199999998</v>
      </c>
      <c r="H10" s="47">
        <f>SUM(Jan!H10, Feb!H10, Mar!H10)</f>
        <v>-109860.32</v>
      </c>
      <c r="I10" s="46">
        <f t="shared" si="2"/>
        <v>-7.89083970845149E-2</v>
      </c>
    </row>
    <row r="11" spans="1:9" ht="15.6">
      <c r="A11" s="63" t="str">
        <v>North Adams A</v>
      </c>
      <c r="B11" s="64" t="str">
        <v>MA</v>
      </c>
      <c r="C11" s="59">
        <f>SUM('1st Qtr'!C11, '2nd Qtr'!C11, '3rd Qtr'!C11, '4th Qtr'!C11)</f>
        <v>1236402</v>
      </c>
      <c r="D11" s="51">
        <f>SUM(Jan!D11, Feb!D11, Mar!D11)</f>
        <v>294516.74</v>
      </c>
      <c r="E11" s="51">
        <f t="shared" si="0"/>
        <v>941885.26</v>
      </c>
      <c r="F11" s="52">
        <f t="shared" si="1"/>
        <v>3.1980703711442686</v>
      </c>
      <c r="G11" s="53">
        <f>SUM('1st Qtr'!G11, '2nd Qtr'!G11, '3rd Qtr'!G11, '4th Qtr'!G11)</f>
        <v>1444462.56</v>
      </c>
      <c r="H11" s="53">
        <f>SUM(Jan!H11, Feb!H11, Mar!H11)</f>
        <v>-104920.85999999999</v>
      </c>
      <c r="I11" s="52">
        <f t="shared" si="2"/>
        <v>-7.2636607486731938E-2</v>
      </c>
    </row>
    <row r="12" spans="1:9" ht="15.6">
      <c r="A12" s="61" t="str">
        <v>North Adams B</v>
      </c>
      <c r="B12" s="62" t="str">
        <v>MA</v>
      </c>
      <c r="C12" s="57">
        <f>SUM('1st Qtr'!C12, '2nd Qtr'!C12, '3rd Qtr'!C12, '4th Qtr'!C12)</f>
        <v>1200847</v>
      </c>
      <c r="D12" s="45">
        <f>SUM(Jan!D12, Feb!D12, Mar!D12)</f>
        <v>254351.52999999997</v>
      </c>
      <c r="E12" s="45">
        <f t="shared" si="0"/>
        <v>946495.47</v>
      </c>
      <c r="F12" s="58">
        <f t="shared" si="1"/>
        <v>3.7212100513018345</v>
      </c>
      <c r="G12" s="47">
        <f>SUM('1st Qtr'!G12, '2nd Qtr'!G12, '3rd Qtr'!G12, '4th Qtr'!G12)</f>
        <v>1444462.56</v>
      </c>
      <c r="H12" s="47">
        <f>SUM(Jan!H12, Feb!H12, Mar!H12)</f>
        <v>-122625.85999999999</v>
      </c>
      <c r="I12" s="46">
        <f t="shared" si="2"/>
        <v>-8.48937614554717E-2</v>
      </c>
    </row>
    <row r="13" spans="1:9" ht="15.6">
      <c r="A13" s="63" t="str">
        <v>Clarksburg A</v>
      </c>
      <c r="B13" s="64" t="str">
        <v>MA</v>
      </c>
      <c r="C13" s="59">
        <f>SUM('1st Qtr'!C13, '2nd Qtr'!C13, '3rd Qtr'!C13, '4th Qtr'!C13)</f>
        <v>1219367</v>
      </c>
      <c r="D13" s="51">
        <f>SUM(Jan!D13, Feb!D13, Mar!D13)</f>
        <v>280640.43000000005</v>
      </c>
      <c r="E13" s="51">
        <f t="shared" si="0"/>
        <v>938726.57</v>
      </c>
      <c r="F13" s="52">
        <f t="shared" si="1"/>
        <v>3.3449441693058972</v>
      </c>
      <c r="G13" s="53">
        <f>SUM('1st Qtr'!G13, '2nd Qtr'!G13, '3rd Qtr'!G13, '4th Qtr'!G13)</f>
        <v>1437901.89</v>
      </c>
      <c r="H13" s="53">
        <f>SUM(Jan!H13, Feb!H13, Mar!H13)</f>
        <v>-108476.99</v>
      </c>
      <c r="I13" s="52">
        <f t="shared" si="2"/>
        <v>-7.5441162400864514E-2</v>
      </c>
    </row>
    <row r="14" spans="1:9" ht="15.6">
      <c r="A14" s="61" t="str">
        <v>Swansea B</v>
      </c>
      <c r="B14" s="62" t="str">
        <v>MA</v>
      </c>
      <c r="C14" s="57">
        <f>SUM('1st Qtr'!C14, '2nd Qtr'!C14, '3rd Qtr'!C14, '4th Qtr'!C14)</f>
        <v>1371505</v>
      </c>
      <c r="D14" s="45">
        <f>SUM(Jan!D14, Feb!D14, Mar!D14)</f>
        <v>361411.34</v>
      </c>
      <c r="E14" s="45">
        <f t="shared" si="0"/>
        <v>1010093.6599999999</v>
      </c>
      <c r="F14" s="58">
        <f t="shared" si="1"/>
        <v>2.7948587888802821</v>
      </c>
      <c r="G14" s="47">
        <f>SUM('1st Qtr'!G14, '2nd Qtr'!G14, '3rd Qtr'!G14, '4th Qtr'!G14)</f>
        <v>1018540.22</v>
      </c>
      <c r="H14" s="47">
        <f>SUM(Jan!H14, Feb!H14, Mar!H14)</f>
        <v>99719.689999999988</v>
      </c>
      <c r="I14" s="46">
        <f t="shared" si="2"/>
        <v>9.7904518684593517E-2</v>
      </c>
    </row>
    <row r="15" spans="1:9" ht="15.6">
      <c r="A15" s="63" t="str">
        <v>Wareham 2</v>
      </c>
      <c r="B15" s="64" t="str">
        <v>MA</v>
      </c>
      <c r="C15" s="59">
        <f>SUM('1st Qtr'!C15, '2nd Qtr'!C15, '3rd Qtr'!C15, '4th Qtr'!C15)</f>
        <v>1203735.45</v>
      </c>
      <c r="D15" s="51">
        <f>SUM(Jan!D15, Feb!D15, Mar!D15)</f>
        <v>287011.73</v>
      </c>
      <c r="E15" s="51">
        <f t="shared" si="0"/>
        <v>916723.72</v>
      </c>
      <c r="F15" s="52">
        <f t="shared" si="1"/>
        <v>3.1940287597304824</v>
      </c>
      <c r="G15" s="53">
        <f>SUM('1st Qtr'!G15, '2nd Qtr'!G15, '3rd Qtr'!G15, '4th Qtr'!G15)</f>
        <v>1558991.1999999997</v>
      </c>
      <c r="H15" s="53">
        <f>SUM(Jan!H15, Feb!H15, Mar!H15)</f>
        <v>-123800.45</v>
      </c>
      <c r="I15" s="52">
        <f t="shared" si="2"/>
        <v>-7.941061501822462E-2</v>
      </c>
    </row>
    <row r="16" spans="1:9" ht="15.6">
      <c r="A16" s="61" t="str">
        <v>Kingston 1 KB</v>
      </c>
      <c r="B16" s="62" t="str">
        <v>MA</v>
      </c>
      <c r="C16" s="57">
        <f>SUM('1st Qtr'!C16, '2nd Qtr'!C16, '3rd Qtr'!C16, '4th Qtr'!C16)</f>
        <v>1103797</v>
      </c>
      <c r="D16" s="45">
        <f>SUM(Jan!D16, Feb!D16, Mar!D16)</f>
        <v>280103.39</v>
      </c>
      <c r="E16" s="45">
        <f t="shared" ref="E16:E19" si="3">IF(AND(ISNUMBER(C16),ISNUMBER(D16)), C16-D16, "")</f>
        <v>823693.61</v>
      </c>
      <c r="F16" s="58">
        <f t="shared" ref="F16:F19" si="4">IFERROR(E16/D16, "")</f>
        <v>2.9406770478572213</v>
      </c>
      <c r="G16" s="47">
        <f>SUM('1st Qtr'!G16, '2nd Qtr'!G16, '3rd Qtr'!G16, '4th Qtr'!G16)</f>
        <v>1217807.79</v>
      </c>
      <c r="H16" s="47">
        <f>SUM(Jan!H16, Feb!H16, Mar!H16)</f>
        <v>-50948.990000000005</v>
      </c>
      <c r="I16" s="46">
        <f t="shared" ref="I16:I19" si="5">IFERROR(H16/G16, "")</f>
        <v>-4.1836643202947492E-2</v>
      </c>
    </row>
    <row r="17" spans="1:9" ht="15.6">
      <c r="A17" s="63" t="str">
        <v>Kingston 2 KB</v>
      </c>
      <c r="B17" s="64" t="str">
        <v>MA</v>
      </c>
      <c r="C17" s="59">
        <f>SUM('1st Qtr'!C17, '2nd Qtr'!C17, '3rd Qtr'!C17, '4th Qtr'!C17)</f>
        <v>918675</v>
      </c>
      <c r="D17" s="51">
        <f>SUM(Jan!D17, Feb!D17, Mar!D17)</f>
        <v>180108.57</v>
      </c>
      <c r="E17" s="51">
        <f t="shared" si="3"/>
        <v>738566.42999999993</v>
      </c>
      <c r="F17" s="52">
        <f t="shared" si="4"/>
        <v>4.1006734438011465</v>
      </c>
      <c r="G17" s="53">
        <f>SUM('1st Qtr'!G17, '2nd Qtr'!G17, '3rd Qtr'!G17, '4th Qtr'!G17)</f>
        <v>977488.67</v>
      </c>
      <c r="H17" s="53">
        <f>SUM(Jan!H17, Feb!H17, Mar!H17)</f>
        <v>-33449.769999999997</v>
      </c>
      <c r="I17" s="52">
        <f t="shared" si="5"/>
        <v>-3.4220110193195381E-2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1270880</v>
      </c>
      <c r="D18" s="45">
        <f>SUM(Jan!D18, Feb!D18, Mar!D18)</f>
        <v>324177.82</v>
      </c>
      <c r="E18" s="45">
        <f t="shared" si="3"/>
        <v>946702.17999999993</v>
      </c>
      <c r="F18" s="58">
        <f t="shared" si="4"/>
        <v>2.9203175590483021</v>
      </c>
      <c r="G18" s="47">
        <f>SUM('1st Qtr'!G18, '2nd Qtr'!G18, '3rd Qtr'!G18, '4th Qtr'!G18)</f>
        <v>1462418.97</v>
      </c>
      <c r="H18" s="47">
        <f>SUM(Jan!H18, Feb!H18, Mar!H18)</f>
        <v>-97796.77</v>
      </c>
      <c r="I18" s="46">
        <f t="shared" si="5"/>
        <v>-6.6873291448072511E-2</v>
      </c>
    </row>
    <row r="19" spans="1:9" ht="15.6">
      <c r="A19" s="63" t="str">
        <v>Fairhaven C</v>
      </c>
      <c r="B19" s="63" t="str">
        <v>MA</v>
      </c>
      <c r="C19" s="59">
        <f>SUM('1st Qtr'!C19, '2nd Qtr'!C19, '3rd Qtr'!C19, '4th Qtr'!C19)</f>
        <v>2286024</v>
      </c>
      <c r="D19" s="51">
        <f>SUM(Jan!D19, Feb!D19, Mar!D19)</f>
        <v>619098.5</v>
      </c>
      <c r="E19" s="51">
        <f t="shared" si="3"/>
        <v>1666925.5</v>
      </c>
      <c r="F19" s="52">
        <f t="shared" si="4"/>
        <v>2.6925045045336082</v>
      </c>
      <c r="G19" s="53">
        <f>SUM('1st Qtr'!G19, '2nd Qtr'!G19, '3rd Qtr'!G19, '4th Qtr'!G19)</f>
        <v>2679936.8000000003</v>
      </c>
      <c r="H19" s="53">
        <f>SUM(Jan!H19, Feb!H19, Mar!H19)</f>
        <v>-135592.90000000002</v>
      </c>
      <c r="I19" s="52">
        <f t="shared" si="5"/>
        <v>-5.0595558820640846E-2</v>
      </c>
    </row>
    <row r="20" spans="1:9" ht="15.6">
      <c r="A20" s="63" t="str">
        <v>Plympton A-2</v>
      </c>
      <c r="B20" s="63" t="str">
        <v>MA</v>
      </c>
      <c r="C20" s="57">
        <f>SUM('1st Qtr'!C20, '2nd Qtr'!C20, '3rd Qtr'!C20, '4th Qtr'!C20)</f>
        <v>1281431</v>
      </c>
      <c r="D20" s="45">
        <f>SUM(Jan!D20, Feb!D20, Mar!D20)</f>
        <v>330404.44</v>
      </c>
      <c r="E20" s="45">
        <f t="shared" ref="E20" si="6">IF(AND(ISNUMBER(C20),ISNUMBER(D20)), C20-D20, "")</f>
        <v>951026.56</v>
      </c>
      <c r="F20" s="58">
        <f t="shared" ref="F20" si="7">IFERROR(E20/D20, "")</f>
        <v>2.8783710049417013</v>
      </c>
      <c r="G20" s="47">
        <f>SUM('1st Qtr'!G20, '2nd Qtr'!G20, '3rd Qtr'!G20, '4th Qtr'!G20)</f>
        <v>1489062.74</v>
      </c>
      <c r="H20" s="47">
        <f>SUM(Jan!H20, Feb!H20, Mar!H20)</f>
        <v>-84032.239999999991</v>
      </c>
      <c r="I20" s="46">
        <f t="shared" ref="I20" si="8">IFERROR(H20/G20, "")</f>
        <v>-5.6432974744905641E-2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6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6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6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6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6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6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6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6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6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6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6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6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6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6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6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4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G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SUM(C4:C95)</f>
        <v>-3174999.473760671</v>
      </c>
      <c r="D2" s="5">
        <f>SUM(D4:D95)</f>
        <v>8875549.6899999995</v>
      </c>
      <c r="E2" s="5">
        <f>C2-D2</f>
        <v>-12050549.16376067</v>
      </c>
      <c r="F2" s="6">
        <f>IFERROR(E2/D2, 0)</f>
        <v>-1.357724263246243</v>
      </c>
      <c r="G2" s="5">
        <f>SUM(G4:G95)</f>
        <v>9282034.5000000019</v>
      </c>
      <c r="H2" s="7">
        <f>C2-G2</f>
        <v>-12457033.973760672</v>
      </c>
      <c r="I2" s="6">
        <f>IFERROR(H2/G2, 0)</f>
        <v>-1.3420585728011105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498520.71793893201</v>
      </c>
      <c r="D4" s="45">
        <f>SUM(Apr!D4, May!D4, Jun!D4)</f>
        <v>504149.6</v>
      </c>
      <c r="E4" s="45">
        <f>IF(AND(ISNUMBER(C4),ISNUMBER(D4)), C4-D4, "")</f>
        <v>-5628.8820610679686</v>
      </c>
      <c r="F4" s="58">
        <f>IFERROR(E4/D4, "")</f>
        <v>-1.1165102701793215E-2</v>
      </c>
      <c r="G4" s="47">
        <f>SUM(Apr!G4+May!G4+Jun!G4)</f>
        <v>533040.19999999995</v>
      </c>
      <c r="H4" s="47">
        <f>SUM(Apr!H4, May!H4, Jun!H4)</f>
        <v>-34519.482061068004</v>
      </c>
      <c r="I4" s="46">
        <f>IFERROR(H4/G4, "")</f>
        <v>-6.4759622371948697E-2</v>
      </c>
    </row>
    <row r="5" spans="1:9" ht="15.6">
      <c r="A5" s="67" t="str">
        <v>Orange A KB</v>
      </c>
      <c r="B5" s="64" t="str">
        <v>MA</v>
      </c>
      <c r="C5" s="59">
        <f>SUM(Apr!C5, May!C5, Jun!C5)</f>
        <v>394631.10830039601</v>
      </c>
      <c r="D5" s="51">
        <f>SUM(Apr!D5, May!D5, Jun!D5)</f>
        <v>372297.3</v>
      </c>
      <c r="E5" s="51">
        <f t="shared" ref="E5:E15" si="0">IF(AND(ISNUMBER(C5),ISNUMBER(D5)), C5-D5, "")</f>
        <v>22333.80830039602</v>
      </c>
      <c r="F5" s="52">
        <f>IFERROR(E5/D5, "")</f>
        <v>5.9989176124554275E-2</v>
      </c>
      <c r="G5" s="47">
        <f>SUM(Apr!G5+May!G5+Jun!G5)</f>
        <v>410401.4</v>
      </c>
      <c r="H5" s="53">
        <f>SUM(Apr!H5, May!H5, Jun!H5)</f>
        <v>-15770.291699604</v>
      </c>
      <c r="I5" s="52">
        <f>IFERROR(H5/G5, "")</f>
        <v>-3.8426505610370726E-2</v>
      </c>
    </row>
    <row r="6" spans="1:9" ht="15.6">
      <c r="A6" s="66" t="str">
        <v>Goshen A</v>
      </c>
      <c r="B6" s="62" t="str">
        <v>MA</v>
      </c>
      <c r="C6" s="57">
        <f>SUM(Apr!C6, May!C6, Jun!C6)</f>
        <v>-11552112.75</v>
      </c>
      <c r="D6" s="45">
        <f>SUM(Apr!D6, May!D6, Jun!D6)</f>
        <v>440291.7</v>
      </c>
      <c r="E6" s="45">
        <f t="shared" si="0"/>
        <v>-11992404.449999999</v>
      </c>
      <c r="F6" s="58">
        <f t="shared" ref="F6:F15" si="1">IFERROR(E6/D6, "")</f>
        <v>-27.237407495985046</v>
      </c>
      <c r="G6" s="47">
        <f>SUM(Apr!G6+May!G6+Jun!G6)</f>
        <v>353502.1</v>
      </c>
      <c r="H6" s="47">
        <f>SUM(Apr!H6, May!H6, Jun!H6)</f>
        <v>-11905614.85</v>
      </c>
      <c r="I6" s="46">
        <f t="shared" ref="I6:I15" si="2">IFERROR(H6/G6, "")</f>
        <v>-33.679049855715142</v>
      </c>
    </row>
    <row r="7" spans="1:9" ht="15.6">
      <c r="A7" s="67" t="str">
        <v>Phillipston A KB</v>
      </c>
      <c r="B7" s="64" t="str">
        <v>MA</v>
      </c>
      <c r="C7" s="59">
        <f>SUM(Apr!C7, May!C7, Jun!C7)</f>
        <v>493666</v>
      </c>
      <c r="D7" s="51">
        <f>SUM(Apr!D7, May!D7, Jun!D7)</f>
        <v>519707.3</v>
      </c>
      <c r="E7" s="51">
        <f t="shared" si="0"/>
        <v>-26041.299999999988</v>
      </c>
      <c r="F7" s="52">
        <f t="shared" si="1"/>
        <v>-5.010762788977563E-2</v>
      </c>
      <c r="G7" s="47">
        <f>SUM(Apr!G7+May!G7+Jun!G7)</f>
        <v>394661.3</v>
      </c>
      <c r="H7" s="53">
        <f>SUM(Apr!H7, May!H7, Jun!H7)</f>
        <v>99004.7</v>
      </c>
      <c r="I7" s="52">
        <f t="shared" si="2"/>
        <v>0.25085991456471662</v>
      </c>
    </row>
    <row r="8" spans="1:9" ht="15.6">
      <c r="A8" s="66" t="str">
        <v>Uxbridge D</v>
      </c>
      <c r="B8" s="62" t="str">
        <v>MA</v>
      </c>
      <c r="C8" s="57">
        <f>SUM(Apr!C8, May!C8, Jun!C8)</f>
        <v>496714</v>
      </c>
      <c r="D8" s="45">
        <f>SUM(Apr!D8, May!D8, Jun!D8)</f>
        <v>506512.1</v>
      </c>
      <c r="E8" s="45">
        <f t="shared" si="0"/>
        <v>-9798.0999999999767</v>
      </c>
      <c r="F8" s="58">
        <f t="shared" si="1"/>
        <v>-1.9344256534049191E-2</v>
      </c>
      <c r="G8" s="47">
        <f>SUM(Apr!G8+May!G8+Jun!G8)</f>
        <v>537075.80000000005</v>
      </c>
      <c r="H8" s="47">
        <f>SUM(Apr!H8, May!H8, Jun!H8)</f>
        <v>-40361.799999999988</v>
      </c>
      <c r="I8" s="46">
        <f t="shared" si="2"/>
        <v>-7.5151030822837264E-2</v>
      </c>
    </row>
    <row r="9" spans="1:9" ht="15.6">
      <c r="A9" s="67" t="str">
        <v>West Bridgewater A&amp;B</v>
      </c>
      <c r="B9" s="64" t="str">
        <v>MA</v>
      </c>
      <c r="C9" s="59">
        <f>SUM(Apr!C9, May!C9, Jun!C9)</f>
        <v>849504.5</v>
      </c>
      <c r="D9" s="51">
        <f>SUM(Apr!D9, May!D9, Jun!D9)</f>
        <v>880783.7</v>
      </c>
      <c r="E9" s="51">
        <f t="shared" si="0"/>
        <v>-31279.199999999953</v>
      </c>
      <c r="F9" s="52">
        <f t="shared" si="1"/>
        <v>-3.5512918779037297E-2</v>
      </c>
      <c r="G9" s="47">
        <f>SUM(Apr!G9+May!G9+Jun!G9)</f>
        <v>916917.8</v>
      </c>
      <c r="H9" s="53">
        <f>SUM(Apr!H9, May!H9, Jun!H9)</f>
        <v>-67413.299999999988</v>
      </c>
      <c r="I9" s="52">
        <f t="shared" si="2"/>
        <v>-7.3521639562455859E-2</v>
      </c>
    </row>
    <row r="10" spans="1:9" ht="15.6">
      <c r="A10" s="66" t="str">
        <v>Sutton A</v>
      </c>
      <c r="B10" s="62" t="str">
        <v>MA</v>
      </c>
      <c r="C10" s="57">
        <f>SUM(Apr!C10, May!C10, Jun!C10)</f>
        <v>468615</v>
      </c>
      <c r="D10" s="45">
        <f>SUM(Apr!D10, May!D10, Jun!D10)</f>
        <v>469893.5</v>
      </c>
      <c r="E10" s="45">
        <f t="shared" si="0"/>
        <v>-1278.5</v>
      </c>
      <c r="F10" s="58">
        <f t="shared" si="1"/>
        <v>-2.7208292942975374E-3</v>
      </c>
      <c r="G10" s="47">
        <f>SUM(Apr!G10+May!G10+Jun!G10)</f>
        <v>520824.69999999995</v>
      </c>
      <c r="H10" s="47">
        <f>SUM(Apr!H10, May!H10, Jun!H10)</f>
        <v>-52209.700000000012</v>
      </c>
      <c r="I10" s="46">
        <f t="shared" si="2"/>
        <v>-0.10024428564927895</v>
      </c>
    </row>
    <row r="11" spans="1:9" ht="15.6">
      <c r="A11" s="67" t="str">
        <v>North Adams A</v>
      </c>
      <c r="B11" s="64" t="str">
        <v>MA</v>
      </c>
      <c r="C11" s="59">
        <f>SUM(Apr!C11, May!C11, Jun!C11)</f>
        <v>483760</v>
      </c>
      <c r="D11" s="51">
        <f>SUM(Apr!D11, May!D11, Jun!D11)</f>
        <v>489760.4</v>
      </c>
      <c r="E11" s="51">
        <f t="shared" si="0"/>
        <v>-6000.4000000000233</v>
      </c>
      <c r="F11" s="52">
        <f t="shared" si="1"/>
        <v>-1.2251705119482962E-2</v>
      </c>
      <c r="G11" s="47">
        <f>SUM(Apr!G11+May!G11+Jun!G11)</f>
        <v>546419.9</v>
      </c>
      <c r="H11" s="53">
        <f>SUM(Apr!H11, May!H11, Jun!H11)</f>
        <v>-62659.900000000023</v>
      </c>
      <c r="I11" s="52">
        <f t="shared" si="2"/>
        <v>-0.11467353220481176</v>
      </c>
    </row>
    <row r="12" spans="1:9" ht="15.6">
      <c r="A12" s="66" t="str">
        <v>North Adams B</v>
      </c>
      <c r="B12" s="62" t="str">
        <v>MA</v>
      </c>
      <c r="C12" s="57">
        <f>SUM(Apr!C12, May!C12, Jun!C12)</f>
        <v>479379</v>
      </c>
      <c r="D12" s="45">
        <f>SUM(Apr!D12, May!D12, Jun!D12)</f>
        <v>425848.29999999993</v>
      </c>
      <c r="E12" s="45">
        <f t="shared" si="0"/>
        <v>53530.70000000007</v>
      </c>
      <c r="F12" s="58">
        <f t="shared" si="1"/>
        <v>0.12570368368266371</v>
      </c>
      <c r="G12" s="47">
        <f>SUM(Apr!G12+May!G12+Jun!G12)</f>
        <v>546419.9</v>
      </c>
      <c r="H12" s="47">
        <f>SUM(Apr!H12, May!H12, Jun!H12)</f>
        <v>-67040.900000000023</v>
      </c>
      <c r="I12" s="46">
        <f t="shared" si="2"/>
        <v>-0.12269117577892025</v>
      </c>
    </row>
    <row r="13" spans="1:9" ht="15.6">
      <c r="A13" s="67" t="str">
        <v>Clarksburg A</v>
      </c>
      <c r="B13" s="64" t="str">
        <v>MA</v>
      </c>
      <c r="C13" s="59">
        <f>SUM(Apr!C13, May!C13, Jun!C13)</f>
        <v>481458</v>
      </c>
      <c r="D13" s="51">
        <f>SUM(Apr!D13, May!D13, Jun!D13)</f>
        <v>491558</v>
      </c>
      <c r="E13" s="51">
        <f t="shared" si="0"/>
        <v>-10100</v>
      </c>
      <c r="F13" s="52">
        <f t="shared" si="1"/>
        <v>-2.054691409762429E-2</v>
      </c>
      <c r="G13" s="47">
        <f>SUM(Apr!G13+May!G13+Jun!G13)</f>
        <v>543939.19999999995</v>
      </c>
      <c r="H13" s="53">
        <f>SUM(Apr!H13, May!H13, Jun!H13)</f>
        <v>-62481.199999999983</v>
      </c>
      <c r="I13" s="52">
        <f t="shared" si="2"/>
        <v>-0.11486798524540975</v>
      </c>
    </row>
    <row r="14" spans="1:9" ht="15.6">
      <c r="A14" s="66" t="str">
        <v>Swansea B</v>
      </c>
      <c r="B14" s="62" t="str">
        <v>MA</v>
      </c>
      <c r="C14" s="57">
        <f>SUM(Apr!C14, May!C14, Jun!C14)</f>
        <v>538216</v>
      </c>
      <c r="D14" s="45">
        <f>SUM(Apr!D14, May!D14, Jun!D14)</f>
        <v>550332.60000000009</v>
      </c>
      <c r="E14" s="45">
        <f t="shared" si="0"/>
        <v>-12116.600000000093</v>
      </c>
      <c r="F14" s="58">
        <f t="shared" si="1"/>
        <v>-2.2016867617873428E-2</v>
      </c>
      <c r="G14" s="47">
        <f>SUM(Apr!G14+May!G14+Jun!G14)</f>
        <v>413930.8</v>
      </c>
      <c r="H14" s="47">
        <f>SUM(Apr!H14, May!H14, Jun!H14)</f>
        <v>124285.19999999998</v>
      </c>
      <c r="I14" s="46">
        <f t="shared" si="2"/>
        <v>0.30025598481678578</v>
      </c>
    </row>
    <row r="15" spans="1:9" ht="15.6">
      <c r="A15" s="67" t="str">
        <v>Wareham 2</v>
      </c>
      <c r="B15" s="64" t="str">
        <v>MA</v>
      </c>
      <c r="C15" s="59">
        <f>SUM(Apr!C15, May!C15, Jun!C15)</f>
        <v>477540.95</v>
      </c>
      <c r="D15" s="51">
        <f>SUM(Apr!D15, May!D15, Jun!D15)</f>
        <v>472395.3</v>
      </c>
      <c r="E15" s="51">
        <f t="shared" si="0"/>
        <v>5145.6500000000233</v>
      </c>
      <c r="F15" s="52">
        <f t="shared" si="1"/>
        <v>1.089267822944052E-2</v>
      </c>
      <c r="G15" s="47">
        <f>SUM(Apr!G15+May!G15+Jun!G15)</f>
        <v>594290.69999999995</v>
      </c>
      <c r="H15" s="53">
        <f>SUM(Apr!H15, May!H15, Jun!H15)</f>
        <v>-116749.75</v>
      </c>
      <c r="I15" s="52">
        <f t="shared" si="2"/>
        <v>-0.19645225812889217</v>
      </c>
    </row>
    <row r="16" spans="1:9" ht="15.6">
      <c r="A16" s="66" t="str">
        <v>Kingston 1 KB</v>
      </c>
      <c r="B16" s="62" t="str">
        <v>MA</v>
      </c>
      <c r="C16" s="57">
        <f>SUM(Apr!C16, May!C16, Jun!C16)</f>
        <v>444393</v>
      </c>
      <c r="D16" s="45">
        <f>SUM(Apr!D16, May!D16, Jun!D16)</f>
        <v>445463.69999999995</v>
      </c>
      <c r="E16" s="45">
        <f t="shared" ref="E16:E18" si="3">IF(AND(ISNUMBER(C16),ISNUMBER(D16)), C16-D16, "")</f>
        <v>-1070.6999999999534</v>
      </c>
      <c r="F16" s="58">
        <f t="shared" ref="F16:F18" si="4">IFERROR(E16/D16, "")</f>
        <v>-2.403562849228688E-3</v>
      </c>
      <c r="G16" s="47">
        <f>SUM(Apr!G16+May!G16+Jun!G16)</f>
        <v>467290.80000000005</v>
      </c>
      <c r="H16" s="47">
        <f>SUM(Apr!H16, May!H16, Jun!H16)</f>
        <v>-22897.800000000017</v>
      </c>
      <c r="I16" s="46">
        <f t="shared" ref="I16:I18" si="5">IFERROR(H16/G16, "")</f>
        <v>-4.9001178709274854E-2</v>
      </c>
    </row>
    <row r="17" spans="1:9" ht="15.6">
      <c r="A17" s="67" t="str">
        <v>Kingston 2 KB</v>
      </c>
      <c r="B17" s="64" t="str">
        <v>MA</v>
      </c>
      <c r="C17" s="57">
        <f>SUM(Apr!C17, May!C17, Jun!C17)</f>
        <v>364390</v>
      </c>
      <c r="D17" s="45">
        <f>SUM(Apr!D17, May!D17, Jun!D17)</f>
        <v>312674.89</v>
      </c>
      <c r="E17" s="45">
        <f t="shared" si="3"/>
        <v>51715.109999999986</v>
      </c>
      <c r="F17" s="58">
        <f t="shared" si="4"/>
        <v>0.165395788577714</v>
      </c>
      <c r="G17" s="47">
        <f>SUM(Apr!G17+May!G17+Jun!G17)</f>
        <v>375076.30000000005</v>
      </c>
      <c r="H17" s="47">
        <f>SUM(Apr!H17, May!H17, Jun!H17)</f>
        <v>-10686.300000000003</v>
      </c>
      <c r="I17" s="46">
        <f t="shared" si="5"/>
        <v>-2.849100303058338E-2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514161</v>
      </c>
      <c r="D18" s="51">
        <f>SUM(Apr!D18, May!D18, Jun!D18)</f>
        <v>498830</v>
      </c>
      <c r="E18" s="51">
        <f t="shared" si="3"/>
        <v>15331</v>
      </c>
      <c r="F18" s="52">
        <f t="shared" si="4"/>
        <v>3.0733917366637931E-2</v>
      </c>
      <c r="G18" s="47">
        <f>SUM(Apr!G18+May!G18+Jun!G18)</f>
        <v>547085.39999999991</v>
      </c>
      <c r="H18" s="53">
        <f>SUM(Apr!H18, May!H18, Jun!H18)</f>
        <v>-32924.399999999994</v>
      </c>
      <c r="I18" s="52">
        <f t="shared" si="5"/>
        <v>-6.0181463442453405E-2</v>
      </c>
    </row>
    <row r="19" spans="1:9" ht="15.6">
      <c r="A19" s="67" t="str">
        <v>Fairhaven C</v>
      </c>
      <c r="B19" s="64" t="str">
        <v>MA</v>
      </c>
      <c r="C19" s="57">
        <f>SUM(Apr!C19, May!C19, Jun!C19)</f>
        <v>884042</v>
      </c>
      <c r="D19" s="45">
        <f>SUM(Apr!D19, May!D19, Jun!D19)</f>
        <v>967431.7</v>
      </c>
      <c r="E19" s="45">
        <f t="shared" ref="E19:E20" si="6">IF(AND(ISNUMBER(C19),ISNUMBER(D19)), C19-D19, "")</f>
        <v>-83389.699999999953</v>
      </c>
      <c r="F19" s="58">
        <f t="shared" ref="F19:F20" si="7">IFERROR(E19/D19, "")</f>
        <v>-8.6196989410208452E-2</v>
      </c>
      <c r="G19" s="47">
        <f>SUM(Apr!G19+May!G19+Jun!G19)</f>
        <v>1023979.3</v>
      </c>
      <c r="H19" s="47">
        <f>SUM(Apr!H19, May!H19, Jun!H19)</f>
        <v>-139937.30000000005</v>
      </c>
      <c r="I19" s="46">
        <f t="shared" ref="I19:I20" si="8">IFERROR(H19/G19, "")</f>
        <v>-0.13666028209749947</v>
      </c>
    </row>
    <row r="20" spans="1:9" ht="15.6">
      <c r="A20" s="66" t="str">
        <v>Plympton A-2</v>
      </c>
      <c r="B20" s="62" t="str">
        <v>MA</v>
      </c>
      <c r="C20" s="57">
        <f>SUM(Apr!C20, May!C20, Jun!C20)</f>
        <v>508122</v>
      </c>
      <c r="D20" s="45">
        <f>SUM(Apr!D20, May!D20, Jun!D20)</f>
        <v>527619.6</v>
      </c>
      <c r="E20" s="45">
        <f t="shared" si="6"/>
        <v>-19497.599999999977</v>
      </c>
      <c r="F20" s="58">
        <f t="shared" si="7"/>
        <v>-3.6953896329855788E-2</v>
      </c>
      <c r="G20" s="47">
        <f>SUM(Apr!G20+May!G20+Jun!G20)</f>
        <v>557178.9</v>
      </c>
      <c r="H20" s="47">
        <f>SUM(Apr!H20, May!H20, Jun!H20)</f>
        <v>-49056.899999999994</v>
      </c>
      <c r="I20" s="46">
        <f t="shared" si="8"/>
        <v>-8.8045150309891476E-2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A17" sqref="A17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SUM(C4:C95)</f>
        <v>8499455.4537986945</v>
      </c>
      <c r="D2" s="5">
        <f>SUM(D4:D95)</f>
        <v>8328964</v>
      </c>
      <c r="E2" s="5">
        <f>C2-D2</f>
        <v>170491.45379869454</v>
      </c>
      <c r="F2" s="6">
        <f>IFERROR(E2/D2, 0)</f>
        <v>2.0469707132687157E-2</v>
      </c>
      <c r="G2" s="5">
        <f>SUM(G4:G95)</f>
        <v>9005428.379999999</v>
      </c>
      <c r="H2" s="7">
        <f>C2-G2</f>
        <v>-505972.92620130442</v>
      </c>
      <c r="I2" s="6">
        <f>IFERROR(H2/G2, 0)</f>
        <v>-5.618532565591338E-2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478945.01209909096</v>
      </c>
      <c r="D4" s="45">
        <f>SUM(Jul!D4, Aug!D4, Sep!D4)</f>
        <v>504220.1</v>
      </c>
      <c r="E4" s="45">
        <f>IF(AND(ISNUMBER(C4),ISNUMBER(D4)), C4-D4, "")</f>
        <v>-25275.087900909013</v>
      </c>
      <c r="F4" s="58">
        <f>IFERROR(E4/D4, "")</f>
        <v>-5.0127093110546396E-2</v>
      </c>
      <c r="G4" s="47">
        <f>SUM(Jul!G4,Aug!G4,Sep!G4)</f>
        <v>505280.6</v>
      </c>
      <c r="H4" s="47">
        <f>SUM(Jul!H4, Aug!H4, Sep!H4)</f>
        <v>-26335.587900908984</v>
      </c>
      <c r="I4" s="46">
        <f>IFERROR(H4/G4, "")</f>
        <v>-5.2120718469913521E-2</v>
      </c>
    </row>
    <row r="5" spans="1:9" ht="15.6">
      <c r="A5" s="67" t="str">
        <v>Orange A KB</v>
      </c>
      <c r="B5" s="64" t="str">
        <v>MA</v>
      </c>
      <c r="C5" s="59">
        <f>SUM(Jul!C5, Aug!C5, Sep!C5)</f>
        <v>396331.19169960404</v>
      </c>
      <c r="D5" s="51">
        <f>SUM(Jul!D5, Aug!D5, Sep!D5)</f>
        <v>373291.7</v>
      </c>
      <c r="E5" s="51">
        <f t="shared" ref="E5:E15" si="0">IF(AND(ISNUMBER(C5),ISNUMBER(D5)), C5-D5, "")</f>
        <v>23039.491699604027</v>
      </c>
      <c r="F5" s="52">
        <f>IFERROR(E5/D5, "")</f>
        <v>6.1719807055994079E-2</v>
      </c>
      <c r="G5" s="53">
        <f>SUM(Jul!G5,Aug!G5,Sep!G5)</f>
        <v>404891.60000000003</v>
      </c>
      <c r="H5" s="53">
        <f>SUM(Jul!H5, Aug!H5, Sep!H5)</f>
        <v>-8560.4083003959822</v>
      </c>
      <c r="I5" s="52">
        <f>IFERROR(H5/G5, "")</f>
        <v>-2.1142469491577453E-2</v>
      </c>
    </row>
    <row r="6" spans="1:9" ht="15.6">
      <c r="A6" s="66" t="str">
        <v>Goshen A</v>
      </c>
      <c r="B6" s="62" t="str">
        <v>MA</v>
      </c>
      <c r="C6" s="57">
        <f>SUM(Jul!C6, Aug!C6, Sep!C6)</f>
        <v>444931</v>
      </c>
      <c r="D6" s="45">
        <f>SUM(Jul!D6, Aug!D6, Sep!D6)</f>
        <v>442533.89999999997</v>
      </c>
      <c r="E6" s="45">
        <f t="shared" si="0"/>
        <v>2397.1000000000349</v>
      </c>
      <c r="F6" s="58">
        <f t="shared" ref="F6:F15" si="1">IFERROR(E6/D6, "")</f>
        <v>5.4167601623288861E-3</v>
      </c>
      <c r="G6" s="47">
        <f>SUM(Jul!G6,Aug!G6,Sep!G6)</f>
        <v>325217.55</v>
      </c>
      <c r="H6" s="47">
        <f>SUM(Jul!H6, Aug!H6, Sep!H6)</f>
        <v>119713.45000000001</v>
      </c>
      <c r="I6" s="46">
        <f t="shared" ref="I6:I15" si="2">IFERROR(H6/G6, "")</f>
        <v>0.36810267465578045</v>
      </c>
    </row>
    <row r="7" spans="1:9" ht="15.6">
      <c r="A7" s="67" t="str">
        <v>Phillipston A KB</v>
      </c>
      <c r="B7" s="64" t="str">
        <v>MA</v>
      </c>
      <c r="C7" s="59">
        <f>SUM(Jul!C7, Aug!C7, Sep!C7)</f>
        <v>490777</v>
      </c>
      <c r="D7" s="51">
        <f>SUM(Jul!D7, Aug!D7, Sep!D7)</f>
        <v>538080.60000000009</v>
      </c>
      <c r="E7" s="51">
        <f t="shared" si="0"/>
        <v>-47303.600000000093</v>
      </c>
      <c r="F7" s="52">
        <f t="shared" si="1"/>
        <v>-8.79117366431722E-2</v>
      </c>
      <c r="G7" s="53">
        <f>SUM(Jul!G7,Aug!G7,Sep!G7)</f>
        <v>374238.12</v>
      </c>
      <c r="H7" s="53">
        <f>SUM(Jul!H7, Aug!H7, Sep!H7)</f>
        <v>116538.88</v>
      </c>
      <c r="I7" s="52">
        <f t="shared" si="2"/>
        <v>0.31140301795017572</v>
      </c>
    </row>
    <row r="8" spans="1:9" ht="15.6">
      <c r="A8" s="66" t="str">
        <v>Uxbridge D</v>
      </c>
      <c r="B8" s="62" t="str">
        <v>MA</v>
      </c>
      <c r="C8" s="57">
        <f>SUM(Jul!C8, Aug!C8, Sep!C8)</f>
        <v>471528</v>
      </c>
      <c r="D8" s="45">
        <f>SUM(Jul!D8, Aug!D8, Sep!D8)</f>
        <v>484692.3</v>
      </c>
      <c r="E8" s="45">
        <f t="shared" si="0"/>
        <v>-13164.299999999988</v>
      </c>
      <c r="F8" s="58">
        <f t="shared" si="1"/>
        <v>-2.7160117872720463E-2</v>
      </c>
      <c r="G8" s="47">
        <f>SUM(Jul!G8,Aug!G8,Sep!G8)</f>
        <v>529848.19999999995</v>
      </c>
      <c r="H8" s="47">
        <f>SUM(Jul!H8, Aug!H8, Sep!H8)</f>
        <v>-58320.200000000012</v>
      </c>
      <c r="I8" s="46">
        <f t="shared" si="2"/>
        <v>-0.11006963881353191</v>
      </c>
    </row>
    <row r="9" spans="1:9" ht="15.6">
      <c r="A9" s="67" t="str">
        <v>West Bridgewater A&amp;B</v>
      </c>
      <c r="B9" s="64" t="str">
        <v>MA</v>
      </c>
      <c r="C9" s="59">
        <f>SUM(Jul!C9, Aug!C9, Sep!C9)</f>
        <v>772841</v>
      </c>
      <c r="D9" s="51">
        <f>SUM(Jul!D9, Aug!D9, Sep!D9)</f>
        <v>843504.5</v>
      </c>
      <c r="E9" s="51">
        <f t="shared" si="0"/>
        <v>-70663.5</v>
      </c>
      <c r="F9" s="52">
        <f t="shared" si="1"/>
        <v>-8.3773708379741893E-2</v>
      </c>
      <c r="G9" s="53">
        <f>SUM(Jul!G9,Aug!G9,Sep!G9)</f>
        <v>916293.2</v>
      </c>
      <c r="H9" s="53">
        <f>SUM(Jul!H9, Aug!H9, Sep!H9)</f>
        <v>-143452.20000000001</v>
      </c>
      <c r="I9" s="52">
        <f t="shared" si="2"/>
        <v>-0.15655709329721101</v>
      </c>
    </row>
    <row r="10" spans="1:9" ht="15.6">
      <c r="A10" s="66" t="str">
        <v>Sutton A</v>
      </c>
      <c r="B10" s="62" t="str">
        <v>MA</v>
      </c>
      <c r="C10" s="57">
        <f>SUM(Jul!C10, Aug!C10, Sep!C10)</f>
        <v>440872</v>
      </c>
      <c r="D10" s="45">
        <f>SUM(Jul!D10, Aug!D10, Sep!D10)</f>
        <v>437111.8</v>
      </c>
      <c r="E10" s="45">
        <f t="shared" si="0"/>
        <v>3760.2000000000116</v>
      </c>
      <c r="F10" s="58">
        <f t="shared" si="1"/>
        <v>8.6023758681417692E-3</v>
      </c>
      <c r="G10" s="47">
        <f>SUM(Jul!G10,Aug!G10,Sep!G10)</f>
        <v>510093.29999999993</v>
      </c>
      <c r="H10" s="47">
        <f>SUM(Jul!H10, Aug!H10, Sep!H10)</f>
        <v>-69221.299999999988</v>
      </c>
      <c r="I10" s="46">
        <f t="shared" si="2"/>
        <v>-0.13570321351015588</v>
      </c>
    </row>
    <row r="11" spans="1:9" ht="15.6">
      <c r="A11" s="67" t="str">
        <v>North Adams A</v>
      </c>
      <c r="B11" s="64" t="str">
        <v>MA</v>
      </c>
      <c r="C11" s="59">
        <f>SUM(Jul!C11, Aug!C11, Sep!C11)</f>
        <v>493857</v>
      </c>
      <c r="D11" s="51">
        <f>SUM(Jul!D11, Aug!D11, Sep!D11)</f>
        <v>497546.30000000005</v>
      </c>
      <c r="E11" s="51">
        <f t="shared" si="0"/>
        <v>-3689.3000000000466</v>
      </c>
      <c r="F11" s="52">
        <f t="shared" si="1"/>
        <v>-7.4149883136505005E-3</v>
      </c>
      <c r="G11" s="53">
        <f>SUM(Jul!G11,Aug!G11,Sep!G11)</f>
        <v>534336.80000000005</v>
      </c>
      <c r="H11" s="53">
        <f>SUM(Jul!H11, Aug!H11, Sep!H11)</f>
        <v>-40479.799999999988</v>
      </c>
      <c r="I11" s="52">
        <f t="shared" si="2"/>
        <v>-7.5757088038854864E-2</v>
      </c>
    </row>
    <row r="12" spans="1:9" ht="15.6">
      <c r="A12" s="66" t="str">
        <v>North Adams B</v>
      </c>
      <c r="B12" s="62" t="str">
        <v>MA</v>
      </c>
      <c r="C12" s="57">
        <f>SUM(Jul!C12, Aug!C12, Sep!C12)</f>
        <v>480388</v>
      </c>
      <c r="D12" s="45">
        <f>SUM(Jul!D12, Aug!D12, Sep!D12)</f>
        <v>88447.37</v>
      </c>
      <c r="E12" s="45">
        <f t="shared" si="0"/>
        <v>391940.63</v>
      </c>
      <c r="F12" s="58">
        <f t="shared" si="1"/>
        <v>4.4313429557034878</v>
      </c>
      <c r="G12" s="47">
        <f>SUM(Jul!G12,Aug!G12,Sep!G12)</f>
        <v>534336.80000000005</v>
      </c>
      <c r="H12" s="47">
        <f>SUM(Jul!H12, Aug!H12, Sep!H12)</f>
        <v>-53948.799999999988</v>
      </c>
      <c r="I12" s="46">
        <f t="shared" si="2"/>
        <v>-0.10096403616595373</v>
      </c>
    </row>
    <row r="13" spans="1:9" ht="15.6">
      <c r="A13" s="67" t="str">
        <v>Clarksburg A</v>
      </c>
      <c r="B13" s="64" t="str">
        <v>MA</v>
      </c>
      <c r="C13" s="59">
        <f>SUM(Jul!C13, Aug!C13, Sep!C13)</f>
        <v>484333</v>
      </c>
      <c r="D13" s="51">
        <f>SUM(Jul!D13, Aug!D13, Sep!D13)</f>
        <v>494272.80000000005</v>
      </c>
      <c r="E13" s="51">
        <f t="shared" si="0"/>
        <v>-9939.8000000000466</v>
      </c>
      <c r="F13" s="52">
        <f t="shared" si="1"/>
        <v>-2.0109947381284275E-2</v>
      </c>
      <c r="G13" s="53">
        <f>SUM(Jul!G13,Aug!G13,Sep!G13)</f>
        <v>531909.69999999995</v>
      </c>
      <c r="H13" s="53">
        <f>SUM(Jul!H13, Aug!H13, Sep!H13)</f>
        <v>-47576.699999999983</v>
      </c>
      <c r="I13" s="52">
        <f t="shared" si="2"/>
        <v>-8.9445069341657024E-2</v>
      </c>
    </row>
    <row r="14" spans="1:9" ht="15.6">
      <c r="A14" s="66" t="str">
        <v>Swansea B</v>
      </c>
      <c r="B14" s="62" t="str">
        <v>MA</v>
      </c>
      <c r="C14" s="57">
        <f>SUM(Jul!C14, Aug!C14, Sep!C14)</f>
        <v>514615</v>
      </c>
      <c r="D14" s="45">
        <f>SUM(Jul!D14, Aug!D14, Sep!D14)</f>
        <v>525418.80000000005</v>
      </c>
      <c r="E14" s="45">
        <f t="shared" si="0"/>
        <v>-10803.800000000047</v>
      </c>
      <c r="F14" s="58">
        <f t="shared" si="1"/>
        <v>-2.0562263855042961E-2</v>
      </c>
      <c r="G14" s="47">
        <f>SUM(Jul!G14,Aug!G14,Sep!G14)</f>
        <v>385655.11</v>
      </c>
      <c r="H14" s="47">
        <f>SUM(Jul!H14, Aug!H14, Sep!H14)</f>
        <v>128959.88999999998</v>
      </c>
      <c r="I14" s="46">
        <f t="shared" si="2"/>
        <v>0.33439175744358735</v>
      </c>
    </row>
    <row r="15" spans="1:9" ht="15.6">
      <c r="A15" s="67" t="str">
        <v>Wareham 2</v>
      </c>
      <c r="B15" s="64" t="str">
        <v>MA</v>
      </c>
      <c r="C15" s="59">
        <f>SUM(Jul!C15, Aug!C15, Sep!C15)</f>
        <v>454440.25</v>
      </c>
      <c r="D15" s="51">
        <f>SUM(Jul!D15, Aug!D15, Sep!D15)</f>
        <v>450491.4</v>
      </c>
      <c r="E15" s="51">
        <f t="shared" si="0"/>
        <v>3948.8499999999767</v>
      </c>
      <c r="F15" s="52">
        <f t="shared" si="1"/>
        <v>8.7656501322777233E-3</v>
      </c>
      <c r="G15" s="53">
        <f>SUM(Jul!G15,Aug!G15,Sep!G15)</f>
        <v>569145.79999999993</v>
      </c>
      <c r="H15" s="53">
        <f>SUM(Jul!H15, Aug!H15, Sep!H15)</f>
        <v>-114705.54999999999</v>
      </c>
      <c r="I15" s="52">
        <f t="shared" si="2"/>
        <v>-0.20153983390547731</v>
      </c>
    </row>
    <row r="16" spans="1:9" ht="15.6">
      <c r="A16" s="66" t="str">
        <v>Kingston 1 KB</v>
      </c>
      <c r="B16" s="62" t="str">
        <v>MA</v>
      </c>
      <c r="C16" s="57">
        <f>SUM(Jul!C16, Aug!C16, Sep!C16)</f>
        <v>413042</v>
      </c>
      <c r="D16" s="45">
        <f>SUM(Jul!D16, Aug!D16, Sep!D16)</f>
        <v>430529.80000000005</v>
      </c>
      <c r="E16" s="45">
        <f t="shared" ref="E16:E19" si="3">IF(AND(ISNUMBER(C16),ISNUMBER(D16)), C16-D16, "")</f>
        <v>-17487.800000000047</v>
      </c>
      <c r="F16" s="58">
        <f t="shared" ref="F16:F19" si="4">IFERROR(E16/D16, "")</f>
        <v>-4.0619255624117181E-2</v>
      </c>
      <c r="G16" s="47">
        <f>SUM(Jul!G16,Aug!G16,Sep!G16)</f>
        <v>453206</v>
      </c>
      <c r="H16" s="47">
        <f>SUM(Jul!H16, Aug!H16, Sep!H16)</f>
        <v>-40164</v>
      </c>
      <c r="I16" s="46">
        <f t="shared" ref="I16:I19" si="5">IFERROR(H16/G16, "")</f>
        <v>-8.8621951165695073E-2</v>
      </c>
    </row>
    <row r="17" spans="1:9" ht="15.6">
      <c r="A17" s="67" t="str">
        <v>Kingston 2 KB</v>
      </c>
      <c r="B17" s="64" t="str">
        <v>MA</v>
      </c>
      <c r="C17" s="59">
        <f>SUM(Jul!C17, Aug!C17, Sep!C17)</f>
        <v>349093</v>
      </c>
      <c r="D17" s="51">
        <f>SUM(Jul!D17, Aug!D17, Sep!D17)</f>
        <v>305141.93</v>
      </c>
      <c r="E17" s="51">
        <f t="shared" si="3"/>
        <v>43951.070000000007</v>
      </c>
      <c r="F17" s="52">
        <f t="shared" si="4"/>
        <v>0.14403484306466832</v>
      </c>
      <c r="G17" s="53">
        <f>SUM(Jul!G17,Aug!G17,Sep!G17)</f>
        <v>363770.6</v>
      </c>
      <c r="H17" s="53">
        <f>SUM(Jul!H17, Aug!H17, Sep!H17)</f>
        <v>-14677.600000000006</v>
      </c>
      <c r="I17" s="52">
        <f t="shared" si="5"/>
        <v>-4.0348505349250344E-2</v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474976</v>
      </c>
      <c r="D18" s="45">
        <f>SUM(Jul!D18, Aug!D18, Sep!D18)</f>
        <v>476191.39999999997</v>
      </c>
      <c r="E18" s="45">
        <f t="shared" si="3"/>
        <v>-1215.3999999999651</v>
      </c>
      <c r="F18" s="58">
        <f t="shared" si="4"/>
        <v>-2.5523350484699327E-3</v>
      </c>
      <c r="G18" s="47">
        <f>SUM(Jul!G18,Aug!G18,Sep!G18)</f>
        <v>535793.80000000005</v>
      </c>
      <c r="H18" s="47">
        <f>SUM(Jul!H18, Aug!H18, Sep!H18)</f>
        <v>-60817.799999999988</v>
      </c>
      <c r="I18" s="46">
        <f t="shared" si="5"/>
        <v>-0.11350971213179395</v>
      </c>
    </row>
    <row r="19" spans="1:9" ht="15.6">
      <c r="A19" s="67" t="str">
        <v>Fairhaven C</v>
      </c>
      <c r="B19" s="63" t="str">
        <v>MA</v>
      </c>
      <c r="C19" s="59">
        <f>SUM(Jul!C19, Aug!C19, Sep!C19)</f>
        <v>859346</v>
      </c>
      <c r="D19" s="51">
        <f>SUM(Jul!D19, Aug!D19, Sep!D19)</f>
        <v>927707.20000000007</v>
      </c>
      <c r="E19" s="51">
        <f t="shared" si="3"/>
        <v>-68361.20000000007</v>
      </c>
      <c r="F19" s="52">
        <f t="shared" si="4"/>
        <v>-7.3688336147439693E-2</v>
      </c>
      <c r="G19" s="47">
        <f>SUM(Jul!G19,Aug!G19,Sep!G19)</f>
        <v>977728.60000000009</v>
      </c>
      <c r="H19" s="53">
        <f>SUM(Jul!H19, Aug!H19, Sep!H19)</f>
        <v>-118382.60000000003</v>
      </c>
      <c r="I19" s="52">
        <f t="shared" si="5"/>
        <v>-0.12107920336993315</v>
      </c>
    </row>
    <row r="20" spans="1:9" ht="15.6">
      <c r="A20" s="66" t="str">
        <v>Plympton A-2</v>
      </c>
      <c r="B20" s="61" t="str">
        <v>MA</v>
      </c>
      <c r="C20" s="57">
        <f>SUM(Jul!C20, Aug!C20, Sep!C20)</f>
        <v>479140</v>
      </c>
      <c r="D20" s="45">
        <f>SUM(Jul!D20, Aug!D20, Sep!D20)</f>
        <v>509782.10000000003</v>
      </c>
      <c r="E20" s="45">
        <f t="shared" ref="E20" si="6">IF(AND(ISNUMBER(C20),ISNUMBER(D20)), C20-D20, "")</f>
        <v>-30642.100000000035</v>
      </c>
      <c r="F20" s="58">
        <f t="shared" ref="F20" si="7">IFERROR(E20/D20, "")</f>
        <v>-6.0108230555761047E-2</v>
      </c>
      <c r="G20" s="47">
        <f>SUM(Jul!G20,Aug!G20,Sep!G20)</f>
        <v>553682.6</v>
      </c>
      <c r="H20" s="47">
        <f>SUM(Jul!H20, Aug!H20, Sep!H20)</f>
        <v>-74542.600000000006</v>
      </c>
      <c r="I20" s="46">
        <f t="shared" ref="I20" si="8">IFERROR(H20/G20, "")</f>
        <v>-0.13463056270867102</v>
      </c>
    </row>
    <row r="21" spans="1:9" ht="15.6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6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6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6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6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6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6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6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6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6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6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6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6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6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6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6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6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6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6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6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6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6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4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4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4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4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9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9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6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6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6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6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9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6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6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6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6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3.1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3.1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6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57.6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28.9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4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38</v>
      </c>
      <c r="E1" s="80"/>
      <c r="F1" s="80"/>
      <c r="G1" s="78" t="s">
        <v>39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9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6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6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6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6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9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6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6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6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6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6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6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53</v>
      </c>
      <c r="E1" s="80"/>
      <c r="F1" s="80"/>
      <c r="G1" s="78" t="s">
        <v>54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6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6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6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6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9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6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6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6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6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6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D4" activePane="bottomRight" state="frozen"/>
      <selection pane="bottomRight" activeCell="J27" sqref="J27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60</v>
      </c>
      <c r="E1" s="80"/>
      <c r="F1" s="80"/>
      <c r="G1" s="78" t="s">
        <v>61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6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6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6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6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6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6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2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6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2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6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J20" sqref="J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84</v>
      </c>
      <c r="E1" s="80"/>
      <c r="F1" s="80"/>
      <c r="G1" s="78" t="s">
        <v>85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6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2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6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6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6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6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28.9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28.9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6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6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6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6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15.6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6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K18" sqref="K18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103</v>
      </c>
      <c r="E1" s="80"/>
      <c r="F1" s="80"/>
      <c r="G1" s="78" t="s">
        <v>104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3259907.1934148991</v>
      </c>
      <c r="D2" s="5">
        <f>SUM(D4:D95)</f>
        <v>3290534.9000000004</v>
      </c>
      <c r="E2" s="5">
        <f>C2-D2</f>
        <v>-30627.706585101318</v>
      </c>
      <c r="F2" s="6">
        <f>IFERROR(E2/D2, 0)</f>
        <v>-9.3078200097805718E-3</v>
      </c>
      <c r="G2" s="5">
        <f>SUM(G4:G95)</f>
        <v>3192289.4000000004</v>
      </c>
      <c r="H2" s="7">
        <f>C2-G2</f>
        <v>67617.793414898682</v>
      </c>
      <c r="I2" s="6">
        <f>IFERROR(H2/G2, 0)</f>
        <v>2.1181598828382751E-2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181297.035114503</v>
      </c>
      <c r="D4" s="45">
        <v>182127</v>
      </c>
      <c r="E4" s="45">
        <f>IF(AND(ISNUMBER(C4),ISNUMBER(D4)), C4-D4, "")</f>
        <v>-829.96488549700007</v>
      </c>
      <c r="F4" s="58">
        <f>IFERROR(E4/D4, "")</f>
        <v>-4.5570666924563633E-3</v>
      </c>
      <c r="G4" s="47">
        <v>186744.6</v>
      </c>
      <c r="H4" s="47">
        <f>IF(AND(ISNUMBER(C4),ISNUMBER(G4)), C4-G4, "")</f>
        <v>-5447.5648854970059</v>
      </c>
      <c r="I4" s="46">
        <f>IFERROR(H4/G4, "")</f>
        <v>-2.9171204337351687E-2</v>
      </c>
      <c r="J4" s="27" t="s">
        <v>105</v>
      </c>
      <c r="K4" s="27" t="s">
        <v>106</v>
      </c>
    </row>
    <row r="5" spans="1:11" ht="15.6">
      <c r="A5" s="55" t="str">
        <v>Orange A KB</v>
      </c>
      <c r="B5" s="50" t="str">
        <v>MA</v>
      </c>
      <c r="C5" s="59">
        <v>142027.408300396</v>
      </c>
      <c r="D5" s="51">
        <v>133790.29999999999</v>
      </c>
      <c r="E5" s="51">
        <f t="shared" ref="E5:E20" si="0">IF(AND(ISNUMBER(C5),ISNUMBER(D5)), C5-D5, "")</f>
        <v>8237.1083003960084</v>
      </c>
      <c r="F5" s="52">
        <f>IFERROR(E5/D5, "")</f>
        <v>6.1567305704494341E-2</v>
      </c>
      <c r="G5" s="53">
        <v>140518.39999999999</v>
      </c>
      <c r="H5" s="53">
        <f t="shared" ref="H5:H20" si="1">IF(AND(ISNUMBER(C5),ISNUMBER(G5)), C5-G5, "")</f>
        <v>1509.0083003960026</v>
      </c>
      <c r="I5" s="52">
        <f t="shared" ref="I5:I20" si="2">IFERROR(H5/G5, "")</f>
        <v>1.073886622958988E-2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162665</v>
      </c>
      <c r="D6" s="45">
        <v>157629.20000000001</v>
      </c>
      <c r="E6" s="45">
        <f t="shared" si="0"/>
        <v>5035.7999999999884</v>
      </c>
      <c r="F6" s="58">
        <f t="shared" ref="F6:F20" si="3">IFERROR(E6/D6, "")</f>
        <v>3.1947126547619276E-2</v>
      </c>
      <c r="G6" s="47">
        <v>127715.7</v>
      </c>
      <c r="H6" s="47">
        <f t="shared" si="1"/>
        <v>34949.300000000003</v>
      </c>
      <c r="I6" s="46">
        <f t="shared" si="2"/>
        <v>0.27364920679290022</v>
      </c>
      <c r="J6" s="27" t="s">
        <v>107</v>
      </c>
      <c r="K6" s="27" t="s">
        <v>108</v>
      </c>
    </row>
    <row r="7" spans="1:11" ht="54.6" customHeight="1">
      <c r="A7" s="55" t="str">
        <v>Phillipston A KB</v>
      </c>
      <c r="B7" s="50" t="str">
        <v>MA</v>
      </c>
      <c r="C7" s="59">
        <v>184462</v>
      </c>
      <c r="D7" s="51">
        <v>189192.3</v>
      </c>
      <c r="E7" s="51">
        <f t="shared" si="0"/>
        <v>-4730.2999999999884</v>
      </c>
      <c r="F7" s="52">
        <f t="shared" si="3"/>
        <v>-2.5002603171482077E-2</v>
      </c>
      <c r="G7" s="53">
        <v>140663.29999999999</v>
      </c>
      <c r="H7" s="53">
        <f t="shared" si="1"/>
        <v>43798.700000000012</v>
      </c>
      <c r="I7" s="52">
        <f t="shared" si="2"/>
        <v>0.31137261815981865</v>
      </c>
      <c r="J7" s="28" t="s">
        <v>109</v>
      </c>
      <c r="K7" s="74" t="s">
        <v>110</v>
      </c>
    </row>
    <row r="8" spans="1:11" ht="15.6">
      <c r="A8" s="56" t="str">
        <v>Uxbridge D</v>
      </c>
      <c r="B8" s="44" t="str">
        <v>MA</v>
      </c>
      <c r="C8" s="57">
        <v>184896</v>
      </c>
      <c r="D8" s="45">
        <v>189125.4</v>
      </c>
      <c r="E8" s="45">
        <f t="shared" si="0"/>
        <v>-4229.3999999999942</v>
      </c>
      <c r="F8" s="58">
        <f t="shared" si="3"/>
        <v>-2.236294014447554E-2</v>
      </c>
      <c r="G8" s="47">
        <v>183894.5</v>
      </c>
      <c r="H8" s="47">
        <f t="shared" si="1"/>
        <v>1001.5</v>
      </c>
      <c r="I8" s="46">
        <f t="shared" si="2"/>
        <v>5.4460573861643494E-3</v>
      </c>
      <c r="J8" s="27" t="s">
        <v>111</v>
      </c>
      <c r="K8" s="27" t="s">
        <v>112</v>
      </c>
    </row>
    <row r="9" spans="1:11" ht="15.6">
      <c r="A9" s="55" t="str">
        <v>West Bridgewater A&amp;B</v>
      </c>
      <c r="B9" s="50" t="str">
        <v>MA</v>
      </c>
      <c r="C9" s="59">
        <v>315635</v>
      </c>
      <c r="D9" s="51">
        <v>330947.20000000001</v>
      </c>
      <c r="E9" s="51">
        <f t="shared" si="0"/>
        <v>-15312.200000000012</v>
      </c>
      <c r="F9" s="52">
        <f t="shared" si="3"/>
        <v>-4.6267803444174811E-2</v>
      </c>
      <c r="G9" s="53">
        <v>315957.3</v>
      </c>
      <c r="H9" s="53">
        <f t="shared" si="1"/>
        <v>-322.29999999998836</v>
      </c>
      <c r="I9" s="52">
        <f t="shared" si="2"/>
        <v>-1.0200745480480698E-3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175687</v>
      </c>
      <c r="D10" s="45">
        <v>175040.1</v>
      </c>
      <c r="E10" s="45">
        <f t="shared" si="0"/>
        <v>646.89999999999418</v>
      </c>
      <c r="F10" s="58">
        <f t="shared" si="3"/>
        <v>3.6957245796819939E-3</v>
      </c>
      <c r="G10" s="47">
        <v>179696.6</v>
      </c>
      <c r="H10" s="47">
        <f t="shared" si="1"/>
        <v>-4009.6000000000058</v>
      </c>
      <c r="I10" s="46">
        <f t="shared" si="2"/>
        <v>-2.2313165635855135E-2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175275</v>
      </c>
      <c r="D11" s="51">
        <v>176595</v>
      </c>
      <c r="E11" s="51">
        <f t="shared" si="0"/>
        <v>-1320</v>
      </c>
      <c r="F11" s="52">
        <f t="shared" si="3"/>
        <v>-7.474730315127835E-3</v>
      </c>
      <c r="G11" s="53">
        <v>182658.6</v>
      </c>
      <c r="H11" s="53">
        <f t="shared" si="1"/>
        <v>-7383.6000000000058</v>
      </c>
      <c r="I11" s="52">
        <f t="shared" si="2"/>
        <v>-4.0422952984420148E-2</v>
      </c>
      <c r="J11" s="28" t="s">
        <v>113</v>
      </c>
      <c r="K11" s="29" t="s">
        <v>114</v>
      </c>
    </row>
    <row r="12" spans="1:11" ht="15.6">
      <c r="A12" s="56" t="str">
        <v>North Adams B</v>
      </c>
      <c r="B12" s="44" t="str">
        <v>MA</v>
      </c>
      <c r="C12" s="57">
        <v>173476</v>
      </c>
      <c r="D12" s="45">
        <v>153892.6</v>
      </c>
      <c r="E12" s="45">
        <f t="shared" si="0"/>
        <v>19583.399999999994</v>
      </c>
      <c r="F12" s="58">
        <f t="shared" si="3"/>
        <v>0.12725368211336993</v>
      </c>
      <c r="G12" s="47">
        <v>182658.6</v>
      </c>
      <c r="H12" s="47">
        <f t="shared" si="1"/>
        <v>-9182.6000000000058</v>
      </c>
      <c r="I12" s="46">
        <f t="shared" si="2"/>
        <v>-5.0271928066896412E-2</v>
      </c>
      <c r="J12" s="27" t="s">
        <v>115</v>
      </c>
      <c r="K12" s="27" t="s">
        <v>116</v>
      </c>
    </row>
    <row r="13" spans="1:11" ht="31.15">
      <c r="A13" s="55" t="str">
        <v>Clarksburg A</v>
      </c>
      <c r="B13" s="50" t="str">
        <v>MA</v>
      </c>
      <c r="C13" s="59">
        <v>167342</v>
      </c>
      <c r="D13" s="51">
        <v>175618</v>
      </c>
      <c r="E13" s="51">
        <f t="shared" si="0"/>
        <v>-8276</v>
      </c>
      <c r="F13" s="52">
        <f t="shared" si="3"/>
        <v>-4.7125009964809984E-2</v>
      </c>
      <c r="G13" s="53">
        <v>181829.1</v>
      </c>
      <c r="H13" s="53">
        <f t="shared" si="1"/>
        <v>-14487.100000000006</v>
      </c>
      <c r="I13" s="52">
        <f t="shared" si="2"/>
        <v>-7.9674265560353133E-2</v>
      </c>
      <c r="J13" s="28" t="s">
        <v>117</v>
      </c>
      <c r="K13" s="76" t="s">
        <v>118</v>
      </c>
    </row>
    <row r="14" spans="1:11" ht="15.6">
      <c r="A14" s="56" t="str">
        <v>Swansea B</v>
      </c>
      <c r="B14" s="44" t="str">
        <v>MA</v>
      </c>
      <c r="C14" s="57">
        <v>203535</v>
      </c>
      <c r="D14" s="45">
        <v>208333.7</v>
      </c>
      <c r="E14" s="45">
        <f t="shared" si="0"/>
        <v>-4798.7000000000116</v>
      </c>
      <c r="F14" s="58">
        <f t="shared" si="3"/>
        <v>-2.3033719460653804E-2</v>
      </c>
      <c r="G14" s="47">
        <v>147117.20000000001</v>
      </c>
      <c r="H14" s="47">
        <f t="shared" si="1"/>
        <v>56417.799999999988</v>
      </c>
      <c r="I14" s="46">
        <f t="shared" si="2"/>
        <v>0.38348881028187037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175958.75</v>
      </c>
      <c r="D15" s="51">
        <v>178069.2</v>
      </c>
      <c r="E15" s="51">
        <f t="shared" si="0"/>
        <v>-2110.4500000000116</v>
      </c>
      <c r="F15" s="52">
        <f t="shared" si="3"/>
        <v>-1.1851853099806207E-2</v>
      </c>
      <c r="G15" s="53">
        <v>204614.2</v>
      </c>
      <c r="H15" s="53">
        <f t="shared" si="1"/>
        <v>-28655.450000000012</v>
      </c>
      <c r="I15" s="52">
        <f t="shared" si="2"/>
        <v>-0.14004624312486627</v>
      </c>
      <c r="J15" s="28" t="s">
        <v>119</v>
      </c>
      <c r="K15" s="29" t="s">
        <v>120</v>
      </c>
    </row>
    <row r="16" spans="1:11" ht="43.15">
      <c r="A16" s="56" t="str">
        <v>Kingston 1 KB</v>
      </c>
      <c r="B16" s="44" t="str">
        <v>MA</v>
      </c>
      <c r="C16" s="57">
        <v>162804</v>
      </c>
      <c r="D16" s="45">
        <v>167001</v>
      </c>
      <c r="E16" s="51">
        <f t="shared" si="0"/>
        <v>-4197</v>
      </c>
      <c r="F16" s="58">
        <f t="shared" si="3"/>
        <v>-2.5131586038406956E-2</v>
      </c>
      <c r="G16" s="47">
        <v>157451.9</v>
      </c>
      <c r="H16" s="47">
        <f t="shared" si="1"/>
        <v>5352.1000000000058</v>
      </c>
      <c r="I16" s="46">
        <f t="shared" si="2"/>
        <v>3.3991968340807609E-2</v>
      </c>
      <c r="J16" s="27" t="s">
        <v>121</v>
      </c>
      <c r="K16" s="27" t="s">
        <v>122</v>
      </c>
    </row>
    <row r="17" spans="1:11" ht="15.6">
      <c r="A17" s="55" t="str">
        <v>Kingston 2 KB</v>
      </c>
      <c r="B17" s="50" t="str">
        <v>MA</v>
      </c>
      <c r="C17" s="59">
        <v>135033</v>
      </c>
      <c r="D17" s="51">
        <v>119906.9</v>
      </c>
      <c r="E17" s="51">
        <f t="shared" si="0"/>
        <v>15126.100000000006</v>
      </c>
      <c r="F17" s="52">
        <f t="shared" si="3"/>
        <v>0.12614870370262268</v>
      </c>
      <c r="G17" s="53">
        <v>126380.4</v>
      </c>
      <c r="H17" s="47">
        <f t="shared" si="1"/>
        <v>8652.6000000000058</v>
      </c>
      <c r="I17" s="46">
        <f t="shared" si="2"/>
        <v>6.846473029045648E-2</v>
      </c>
      <c r="J17" s="28"/>
      <c r="K17" s="29"/>
    </row>
    <row r="18" spans="1:11" ht="89.1" customHeight="1">
      <c r="A18" s="77" t="str">
        <v>Holliston B</v>
      </c>
      <c r="B18" s="44" t="str">
        <v>MA</v>
      </c>
      <c r="C18" s="57">
        <v>189160</v>
      </c>
      <c r="D18" s="45">
        <v>184580.1</v>
      </c>
      <c r="E18" s="51">
        <f t="shared" si="0"/>
        <v>4579.8999999999942</v>
      </c>
      <c r="F18" s="52">
        <f t="shared" si="3"/>
        <v>2.4812533962220162E-2</v>
      </c>
      <c r="G18" s="47">
        <v>188764.3</v>
      </c>
      <c r="H18" s="47">
        <f t="shared" si="1"/>
        <v>395.70000000001164</v>
      </c>
      <c r="I18" s="46">
        <f t="shared" si="2"/>
        <v>2.0962650246895819E-3</v>
      </c>
      <c r="J18" s="27" t="s">
        <v>123</v>
      </c>
      <c r="K18" s="27" t="s">
        <v>124</v>
      </c>
    </row>
    <row r="19" spans="1:11" ht="15.6">
      <c r="A19" s="55" t="str">
        <v>Fairhaven C</v>
      </c>
      <c r="B19" s="50" t="str">
        <v>MA</v>
      </c>
      <c r="C19" s="59">
        <v>345514</v>
      </c>
      <c r="D19" s="51">
        <v>370667.3</v>
      </c>
      <c r="E19" s="51">
        <f t="shared" si="0"/>
        <v>-25153.299999999988</v>
      </c>
      <c r="F19" s="52">
        <f t="shared" si="3"/>
        <v>-6.7859506355159971E-2</v>
      </c>
      <c r="G19" s="53">
        <v>352742.2</v>
      </c>
      <c r="H19" s="47">
        <f t="shared" si="1"/>
        <v>-7228.2000000000116</v>
      </c>
      <c r="I19" s="46">
        <f t="shared" si="2"/>
        <v>-2.0491452397813505E-2</v>
      </c>
      <c r="J19" s="28" t="s">
        <v>125</v>
      </c>
      <c r="K19" s="28" t="s">
        <v>126</v>
      </c>
    </row>
    <row r="20" spans="1:11" ht="15.6">
      <c r="A20" s="56" t="str">
        <v>Plympton A-2</v>
      </c>
      <c r="B20" s="44" t="str">
        <v>MA</v>
      </c>
      <c r="C20" s="57">
        <v>185140</v>
      </c>
      <c r="D20" s="45">
        <v>198019.6</v>
      </c>
      <c r="E20" s="51">
        <f t="shared" si="0"/>
        <v>-12879.600000000006</v>
      </c>
      <c r="F20" s="52">
        <f t="shared" si="3"/>
        <v>-6.5042046342887294E-2</v>
      </c>
      <c r="G20" s="47">
        <v>192882.5</v>
      </c>
      <c r="H20" s="47">
        <f t="shared" si="1"/>
        <v>-7742.5</v>
      </c>
      <c r="I20" s="46">
        <f t="shared" si="2"/>
        <v>-4.0141018495716302E-2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zoomScale="80" zoomScaleNormal="80" workbookViewId="0">
      <pane xSplit="2" ySplit="3" topLeftCell="C4" activePane="bottomRight" state="frozen"/>
      <selection pane="bottomRight" activeCell="A7" sqref="A7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127</v>
      </c>
      <c r="E1" s="80"/>
      <c r="F1" s="80"/>
      <c r="G1" s="78" t="s">
        <v>128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3051060.923760673</v>
      </c>
      <c r="D2" s="5">
        <f>SUM(D4:D95)</f>
        <v>3037233.0700000003</v>
      </c>
      <c r="E2" s="5">
        <f>C2-D2</f>
        <v>13827.853760672733</v>
      </c>
      <c r="F2" s="6">
        <f>IFERROR(E2/D2, 0)</f>
        <v>4.5527799289610434E-3</v>
      </c>
      <c r="G2" s="5">
        <f>SUM(G4:G95)</f>
        <v>3362531.6</v>
      </c>
      <c r="H2" s="7">
        <f>C2-G2</f>
        <v>-311470.67623932706</v>
      </c>
      <c r="I2" s="6">
        <f>IFERROR(H2/G2, 0)</f>
        <v>-9.2629813869801861E-2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28.9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164380.582061069</v>
      </c>
      <c r="D4" s="45">
        <v>184498.6</v>
      </c>
      <c r="E4" s="45">
        <f>IF(AND(ISNUMBER(C4),ISNUMBER(D4)), C4-D4, "")</f>
        <v>-20118.017938931007</v>
      </c>
      <c r="F4" s="58">
        <f>IFERROR(E4/D4, "")</f>
        <v>-0.10904157505222807</v>
      </c>
      <c r="G4" s="47">
        <v>184706.3</v>
      </c>
      <c r="H4" s="47">
        <f>IF(AND(ISNUMBER(C4),ISNUMBER(G4)), C4-G4, "")</f>
        <v>-20325.717938930989</v>
      </c>
      <c r="I4" s="46">
        <f>IFERROR(H4/G4, "")</f>
        <v>-0.11004344702336082</v>
      </c>
      <c r="J4" s="27" t="s">
        <v>129</v>
      </c>
      <c r="K4" s="27" t="s">
        <v>130</v>
      </c>
    </row>
    <row r="5" spans="1:11" ht="15.6">
      <c r="A5" s="55" t="str">
        <v>Orange A KB</v>
      </c>
      <c r="B5" s="50" t="str">
        <v>MA</v>
      </c>
      <c r="C5" s="59">
        <v>147346.091699604</v>
      </c>
      <c r="D5" s="51">
        <v>139239.70000000001</v>
      </c>
      <c r="E5" s="51">
        <f t="shared" ref="E5:E20" si="0">IF(AND(ISNUMBER(C5),ISNUMBER(D5)), C5-D5, "")</f>
        <v>8106.3916996039916</v>
      </c>
      <c r="F5" s="52">
        <f>IFERROR(E5/D5, "")</f>
        <v>5.8218968437909524E-2</v>
      </c>
      <c r="G5" s="53">
        <v>149978.5</v>
      </c>
      <c r="H5" s="53">
        <f t="shared" ref="H5:H20" si="1">IF(AND(ISNUMBER(C5),ISNUMBER(G5)), C5-G5, "")</f>
        <v>-2632.4083003959968</v>
      </c>
      <c r="I5" s="52">
        <f t="shared" ref="I5:I20" si="2">IFERROR(H5/G5, "")</f>
        <v>-1.7551904442276705E-2</v>
      </c>
      <c r="J5" s="28"/>
      <c r="K5" s="28"/>
    </row>
    <row r="6" spans="1:11" ht="15.6">
      <c r="A6" s="56" t="str">
        <v>Goshen A</v>
      </c>
      <c r="B6" s="44" t="str">
        <v>MA</v>
      </c>
      <c r="C6" s="57">
        <v>158425</v>
      </c>
      <c r="D6" s="45">
        <v>160075.70000000001</v>
      </c>
      <c r="E6" s="45">
        <f t="shared" si="0"/>
        <v>-1650.7000000000116</v>
      </c>
      <c r="F6" s="58">
        <f t="shared" ref="F6:F20" si="3">IFERROR(E6/D6, "")</f>
        <v>-1.0311996136827836E-2</v>
      </c>
      <c r="G6" s="47">
        <v>125257.5</v>
      </c>
      <c r="H6" s="47">
        <f t="shared" si="1"/>
        <v>33167.5</v>
      </c>
      <c r="I6" s="46">
        <f t="shared" si="2"/>
        <v>0.26479452328203901</v>
      </c>
      <c r="J6" s="27" t="s">
        <v>131</v>
      </c>
      <c r="K6" s="27" t="s">
        <v>132</v>
      </c>
    </row>
    <row r="7" spans="1:11" ht="31.15">
      <c r="A7" s="55" t="str">
        <v>Phillipston A KB</v>
      </c>
      <c r="B7" s="50" t="str">
        <v>MA</v>
      </c>
      <c r="C7" s="59">
        <v>175322</v>
      </c>
      <c r="D7" s="51">
        <v>192389.7</v>
      </c>
      <c r="E7" s="51">
        <f t="shared" si="0"/>
        <v>-17067.700000000012</v>
      </c>
      <c r="F7" s="52">
        <f t="shared" si="3"/>
        <v>-8.8714208712836556E-2</v>
      </c>
      <c r="G7" s="53">
        <v>147727.29999999999</v>
      </c>
      <c r="H7" s="53">
        <f t="shared" si="1"/>
        <v>27594.700000000012</v>
      </c>
      <c r="I7" s="52">
        <f t="shared" si="2"/>
        <v>0.18679485782248789</v>
      </c>
      <c r="J7" s="28" t="s">
        <v>133</v>
      </c>
      <c r="K7" s="74" t="s">
        <v>134</v>
      </c>
    </row>
    <row r="8" spans="1:11" ht="15.6">
      <c r="A8" s="56" t="str">
        <v>Uxbridge D</v>
      </c>
      <c r="B8" s="44" t="str">
        <v>MA</v>
      </c>
      <c r="C8" s="57">
        <v>169926</v>
      </c>
      <c r="D8" s="45">
        <v>173364.2</v>
      </c>
      <c r="E8" s="45">
        <f t="shared" si="0"/>
        <v>-3438.2000000000116</v>
      </c>
      <c r="F8" s="58">
        <f t="shared" si="3"/>
        <v>-1.9832237566925648E-2</v>
      </c>
      <c r="G8" s="47">
        <v>196269.2</v>
      </c>
      <c r="H8" s="47">
        <f t="shared" si="1"/>
        <v>-26343.200000000012</v>
      </c>
      <c r="I8" s="46">
        <f t="shared" si="2"/>
        <v>-0.13421973493548661</v>
      </c>
      <c r="J8" s="27"/>
      <c r="K8" s="27"/>
    </row>
    <row r="9" spans="1:11" ht="31.15">
      <c r="A9" s="55" t="str">
        <v>West Bridgewater A&amp;B</v>
      </c>
      <c r="B9" s="50" t="str">
        <v>MA</v>
      </c>
      <c r="C9" s="59">
        <v>282860</v>
      </c>
      <c r="D9" s="51">
        <v>297276.79999999999</v>
      </c>
      <c r="E9" s="51">
        <f t="shared" si="0"/>
        <v>-14416.799999999988</v>
      </c>
      <c r="F9" s="52">
        <f t="shared" si="3"/>
        <v>-4.8496216320950671E-2</v>
      </c>
      <c r="G9" s="53">
        <v>331617.59999999998</v>
      </c>
      <c r="H9" s="53">
        <f t="shared" si="1"/>
        <v>-48757.599999999977</v>
      </c>
      <c r="I9" s="52">
        <f t="shared" si="2"/>
        <v>-0.14702959070929883</v>
      </c>
      <c r="J9" s="28" t="s">
        <v>135</v>
      </c>
      <c r="K9" s="29" t="s">
        <v>136</v>
      </c>
    </row>
    <row r="10" spans="1:11" ht="15.6">
      <c r="A10" s="56" t="str">
        <v>Sutton A</v>
      </c>
      <c r="B10" s="44" t="str">
        <v>MA</v>
      </c>
      <c r="C10" s="57">
        <v>161016</v>
      </c>
      <c r="D10" s="45">
        <v>159388.5</v>
      </c>
      <c r="E10" s="45">
        <f t="shared" si="0"/>
        <v>1627.5</v>
      </c>
      <c r="F10" s="58">
        <f t="shared" si="3"/>
        <v>1.021089978260665E-2</v>
      </c>
      <c r="G10" s="47">
        <v>191228.4</v>
      </c>
      <c r="H10" s="47">
        <f t="shared" si="1"/>
        <v>-30212.399999999994</v>
      </c>
      <c r="I10" s="46">
        <f t="shared" si="2"/>
        <v>-0.15799117704274049</v>
      </c>
      <c r="J10" s="27"/>
      <c r="K10" s="27"/>
    </row>
    <row r="11" spans="1:11" ht="31.15">
      <c r="A11" s="55" t="str">
        <v>North Adams A</v>
      </c>
      <c r="B11" s="50" t="str">
        <v>MA</v>
      </c>
      <c r="C11" s="59">
        <v>184732</v>
      </c>
      <c r="D11" s="51">
        <v>187479.2</v>
      </c>
      <c r="E11" s="51">
        <f t="shared" si="0"/>
        <v>-2747.2000000000116</v>
      </c>
      <c r="F11" s="52">
        <f t="shared" si="3"/>
        <v>-1.4653358879278402E-2</v>
      </c>
      <c r="G11" s="53">
        <v>196290.6</v>
      </c>
      <c r="H11" s="53">
        <f t="shared" si="1"/>
        <v>-11558.600000000006</v>
      </c>
      <c r="I11" s="52">
        <f t="shared" si="2"/>
        <v>-5.8885142742444135E-2</v>
      </c>
      <c r="J11" s="28" t="s">
        <v>137</v>
      </c>
      <c r="K11" s="29" t="s">
        <v>138</v>
      </c>
    </row>
    <row r="12" spans="1:11" ht="43.15">
      <c r="A12" s="56" t="str">
        <v>North Adams B</v>
      </c>
      <c r="B12" s="44" t="str">
        <v>MA</v>
      </c>
      <c r="C12" s="57">
        <v>184274</v>
      </c>
      <c r="D12" s="45">
        <v>88447.37</v>
      </c>
      <c r="E12" s="45">
        <f t="shared" si="0"/>
        <v>95826.63</v>
      </c>
      <c r="F12" s="58">
        <f t="shared" si="3"/>
        <v>1.0834310844969162</v>
      </c>
      <c r="G12" s="47">
        <v>196290.6</v>
      </c>
      <c r="H12" s="47">
        <f t="shared" si="1"/>
        <v>-12016.600000000006</v>
      </c>
      <c r="I12" s="46">
        <f t="shared" si="2"/>
        <v>-6.121841799862044E-2</v>
      </c>
      <c r="J12" s="27" t="s">
        <v>139</v>
      </c>
      <c r="K12" s="27" t="s">
        <v>140</v>
      </c>
    </row>
    <row r="13" spans="1:11" ht="31.15">
      <c r="A13" s="55" t="str">
        <v>Clarksburg A</v>
      </c>
      <c r="B13" s="50" t="str">
        <v>MA</v>
      </c>
      <c r="C13" s="59">
        <v>175951</v>
      </c>
      <c r="D13" s="51">
        <v>186107.1</v>
      </c>
      <c r="E13" s="51">
        <f t="shared" si="0"/>
        <v>-10156.100000000006</v>
      </c>
      <c r="F13" s="52">
        <f t="shared" si="3"/>
        <v>-5.457126568518883E-2</v>
      </c>
      <c r="G13" s="53">
        <v>195398.3</v>
      </c>
      <c r="H13" s="53">
        <f t="shared" si="1"/>
        <v>-19447.299999999988</v>
      </c>
      <c r="I13" s="52">
        <f t="shared" si="2"/>
        <v>-9.9526454426676125E-2</v>
      </c>
      <c r="J13" s="28" t="s">
        <v>141</v>
      </c>
      <c r="K13" s="29" t="s">
        <v>142</v>
      </c>
    </row>
    <row r="14" spans="1:11" ht="15.6">
      <c r="A14" s="56" t="str">
        <v>Swansea B</v>
      </c>
      <c r="B14" s="44" t="str">
        <v>MA</v>
      </c>
      <c r="C14" s="57">
        <v>177869</v>
      </c>
      <c r="D14" s="45">
        <v>180192.2</v>
      </c>
      <c r="E14" s="45">
        <f t="shared" si="0"/>
        <v>-2323.2000000000116</v>
      </c>
      <c r="F14" s="58">
        <f t="shared" si="3"/>
        <v>-1.2892899914646757E-2</v>
      </c>
      <c r="G14" s="47">
        <v>153720.70000000001</v>
      </c>
      <c r="H14" s="47">
        <f t="shared" si="1"/>
        <v>24148.299999999988</v>
      </c>
      <c r="I14" s="46">
        <f t="shared" si="2"/>
        <v>0.15709205071275362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157002.25</v>
      </c>
      <c r="D15" s="51">
        <v>155884</v>
      </c>
      <c r="E15" s="51">
        <f t="shared" si="0"/>
        <v>1118.25</v>
      </c>
      <c r="F15" s="52">
        <f t="shared" si="3"/>
        <v>7.1736034487182776E-3</v>
      </c>
      <c r="G15" s="53">
        <v>216031.9</v>
      </c>
      <c r="H15" s="53">
        <f t="shared" si="1"/>
        <v>-59029.649999999994</v>
      </c>
      <c r="I15" s="52">
        <f t="shared" si="2"/>
        <v>-0.27324506241902236</v>
      </c>
      <c r="J15" s="28" t="s">
        <v>143</v>
      </c>
      <c r="K15" s="29" t="s">
        <v>144</v>
      </c>
    </row>
    <row r="16" spans="1:11" ht="15.6">
      <c r="A16" s="56" t="str">
        <v>Kingston 1 KB</v>
      </c>
      <c r="B16" s="44" t="str">
        <v>MA</v>
      </c>
      <c r="C16" s="57">
        <v>150565</v>
      </c>
      <c r="D16" s="45">
        <v>153965.9</v>
      </c>
      <c r="E16" s="45">
        <f t="shared" si="0"/>
        <v>-3400.8999999999942</v>
      </c>
      <c r="F16" s="58">
        <f t="shared" si="3"/>
        <v>-2.2088657293595493E-2</v>
      </c>
      <c r="G16" s="47">
        <v>168431</v>
      </c>
      <c r="H16" s="47">
        <f t="shared" si="1"/>
        <v>-17866</v>
      </c>
      <c r="I16" s="46">
        <f t="shared" si="2"/>
        <v>-0.10607311005693726</v>
      </c>
      <c r="J16" s="27" t="s">
        <v>145</v>
      </c>
      <c r="K16" s="27" t="s">
        <v>146</v>
      </c>
    </row>
    <row r="17" spans="1:11" ht="15.6">
      <c r="A17" s="55" t="str">
        <v>Kingston 2 KB</v>
      </c>
      <c r="B17" s="50" t="str">
        <v>MA</v>
      </c>
      <c r="C17" s="59">
        <v>125538</v>
      </c>
      <c r="D17" s="51">
        <v>110264</v>
      </c>
      <c r="E17" s="51">
        <f t="shared" si="0"/>
        <v>15274</v>
      </c>
      <c r="F17" s="52">
        <f t="shared" si="3"/>
        <v>0.13852209243270697</v>
      </c>
      <c r="G17" s="53">
        <v>135192</v>
      </c>
      <c r="H17" s="53">
        <f t="shared" si="1"/>
        <v>-9654</v>
      </c>
      <c r="I17" s="52">
        <f t="shared" si="2"/>
        <v>-7.1409550860997692E-2</v>
      </c>
      <c r="J17" s="28"/>
      <c r="K17" s="29"/>
    </row>
    <row r="18" spans="1:11" ht="86.45">
      <c r="A18" s="56" t="str">
        <v>Holliston B</v>
      </c>
      <c r="B18" s="44" t="str">
        <v>MA</v>
      </c>
      <c r="C18" s="57">
        <v>172873</v>
      </c>
      <c r="D18" s="45">
        <v>170088.8</v>
      </c>
      <c r="E18" s="45">
        <f t="shared" si="0"/>
        <v>2784.2000000000116</v>
      </c>
      <c r="F18" s="58">
        <f t="shared" si="3"/>
        <v>1.6369096613063364E-2</v>
      </c>
      <c r="G18" s="47">
        <v>200859</v>
      </c>
      <c r="H18" s="47">
        <f t="shared" si="1"/>
        <v>-27986</v>
      </c>
      <c r="I18" s="46">
        <f t="shared" si="2"/>
        <v>-0.13933157090297174</v>
      </c>
      <c r="J18" s="27" t="s">
        <v>147</v>
      </c>
      <c r="K18" s="27" t="s">
        <v>148</v>
      </c>
    </row>
    <row r="19" spans="1:11" ht="15.6">
      <c r="A19" s="55" t="str">
        <v>Fairhaven C</v>
      </c>
      <c r="B19" s="50" t="str">
        <v>MA</v>
      </c>
      <c r="C19" s="59">
        <v>292980</v>
      </c>
      <c r="D19" s="51">
        <v>317161.2</v>
      </c>
      <c r="E19" s="51">
        <f t="shared" si="0"/>
        <v>-24181.200000000012</v>
      </c>
      <c r="F19" s="52">
        <f t="shared" si="3"/>
        <v>-7.6242617318890232E-2</v>
      </c>
      <c r="G19" s="53">
        <v>371840.2</v>
      </c>
      <c r="H19" s="53">
        <f t="shared" si="1"/>
        <v>-78860.200000000012</v>
      </c>
      <c r="I19" s="52">
        <f t="shared" si="2"/>
        <v>-0.21208088851070972</v>
      </c>
      <c r="J19" s="28" t="s">
        <v>149</v>
      </c>
      <c r="K19" s="28" t="s">
        <v>150</v>
      </c>
    </row>
    <row r="20" spans="1:11" ht="28.9">
      <c r="A20" s="56" t="str">
        <v>Plympton A-2</v>
      </c>
      <c r="B20" s="44" t="str">
        <v>MA</v>
      </c>
      <c r="C20" s="57">
        <v>170001</v>
      </c>
      <c r="D20" s="45">
        <v>181410.1</v>
      </c>
      <c r="E20" s="45">
        <f t="shared" si="0"/>
        <v>-11409.100000000006</v>
      </c>
      <c r="F20" s="58">
        <f t="shared" si="3"/>
        <v>-6.2891206167683081E-2</v>
      </c>
      <c r="G20" s="47">
        <v>201692.5</v>
      </c>
      <c r="H20" s="47">
        <f t="shared" si="1"/>
        <v>-31691.5</v>
      </c>
      <c r="I20" s="46">
        <f t="shared" si="2"/>
        <v>-0.15712780594221401</v>
      </c>
      <c r="J20" s="27" t="s">
        <v>151</v>
      </c>
      <c r="K20" s="27" t="s">
        <v>152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F8" activePane="bottomRight" state="frozen"/>
      <selection pane="bottomRight" activeCell="J20" sqref="J20:K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153</v>
      </c>
      <c r="E1" s="80"/>
      <c r="F1" s="80"/>
      <c r="G1" s="78" t="s">
        <v>154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2858540.1</v>
      </c>
      <c r="D2" s="5">
        <f>SUM(D4:D95)</f>
        <v>2794987</v>
      </c>
      <c r="E2" s="5">
        <f>C2-D2</f>
        <v>63553.100000000093</v>
      </c>
      <c r="F2" s="6">
        <f>IFERROR(E2/D2, 0)</f>
        <v>2.2738245294164194E-2</v>
      </c>
      <c r="G2" s="5">
        <f>SUM(G4:G95)</f>
        <v>3109247.5</v>
      </c>
      <c r="H2" s="7">
        <f>C2-G2</f>
        <v>-250707.39999999991</v>
      </c>
      <c r="I2" s="6">
        <f>IFERROR(H2/G2, 0)</f>
        <v>-8.0632821928778561E-2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56" t="str" cm="1">
        <f t="array" ref="A4:A20">Sites[Site]</f>
        <v>Williamsburg A</v>
      </c>
      <c r="B4" s="44" t="str" cm="1">
        <f t="array" ref="B4:B20">Sites[State]</f>
        <v>MA</v>
      </c>
      <c r="C4" s="57">
        <v>161248.299999999</v>
      </c>
      <c r="D4" s="45">
        <v>163403.4</v>
      </c>
      <c r="E4" s="45">
        <f>IF(AND(ISNUMBER(C4),ISNUMBER(D4)), C4-D4, "")</f>
        <v>-2155.1000000009954</v>
      </c>
      <c r="F4" s="58">
        <f>IFERROR(E4/D4, "")</f>
        <v>-1.318883205613222E-2</v>
      </c>
      <c r="G4" s="47">
        <v>173432</v>
      </c>
      <c r="H4" s="47">
        <f>IF(AND(ISNUMBER(C4),ISNUMBER(G4)), C4-G4, "")</f>
        <v>-12183.700000001001</v>
      </c>
      <c r="I4" s="46">
        <f>IFERROR(H4/G4, "")</f>
        <v>-7.0250588126764393E-2</v>
      </c>
      <c r="J4" s="27" t="s">
        <v>155</v>
      </c>
      <c r="K4" s="27" t="s">
        <v>156</v>
      </c>
    </row>
    <row r="5" spans="1:11" ht="15.6">
      <c r="A5" s="55" t="str">
        <v>Orange A KB</v>
      </c>
      <c r="B5" s="50" t="str">
        <v>MA</v>
      </c>
      <c r="C5" s="59">
        <v>126471.80000000101</v>
      </c>
      <c r="D5" s="51">
        <v>117726.6</v>
      </c>
      <c r="E5" s="51">
        <f t="shared" ref="E5:E20" si="0">IF(AND(ISNUMBER(C5),ISNUMBER(D5)), C5-D5, "")</f>
        <v>8745.2000000010012</v>
      </c>
      <c r="F5" s="52">
        <f>IFERROR(E5/D5, "")</f>
        <v>7.4283976603426935E-2</v>
      </c>
      <c r="G5" s="53">
        <v>137250.9</v>
      </c>
      <c r="H5" s="53">
        <f t="shared" ref="H5:H20" si="1">IF(AND(ISNUMBER(C5),ISNUMBER(G5)), C5-G5, "")</f>
        <v>-10779.099999998987</v>
      </c>
      <c r="I5" s="52">
        <f t="shared" ref="I5:I20" si="2">IFERROR(H5/G5, "")</f>
        <v>-7.8535732734714217E-2</v>
      </c>
      <c r="J5" s="28"/>
      <c r="K5" s="29"/>
    </row>
    <row r="6" spans="1:11" ht="28.9">
      <c r="A6" s="56" t="str">
        <v>Goshen A</v>
      </c>
      <c r="B6" s="44" t="str">
        <v>MA</v>
      </c>
      <c r="C6" s="57">
        <v>144946</v>
      </c>
      <c r="D6" s="45">
        <v>142753.9</v>
      </c>
      <c r="E6" s="45">
        <f t="shared" si="0"/>
        <v>2192.1000000000058</v>
      </c>
      <c r="F6" s="58">
        <f t="shared" ref="F6:F20" si="3">IFERROR(E6/D6, "")</f>
        <v>1.535579763495082E-2</v>
      </c>
      <c r="G6" s="47">
        <v>112320.9</v>
      </c>
      <c r="H6" s="47">
        <f t="shared" si="1"/>
        <v>32625.100000000006</v>
      </c>
      <c r="I6" s="46">
        <f t="shared" si="2"/>
        <v>0.29046330647279367</v>
      </c>
      <c r="J6" s="27" t="s">
        <v>157</v>
      </c>
      <c r="K6" s="27" t="s">
        <v>158</v>
      </c>
    </row>
    <row r="7" spans="1:11" ht="15.6">
      <c r="A7" s="55" t="str">
        <v>Phillipston A KB</v>
      </c>
      <c r="B7" s="50" t="str">
        <v>MA</v>
      </c>
      <c r="C7" s="59">
        <v>162810</v>
      </c>
      <c r="D7" s="51">
        <v>173724.1</v>
      </c>
      <c r="E7" s="51">
        <f t="shared" si="0"/>
        <v>-10914.100000000006</v>
      </c>
      <c r="F7" s="52">
        <f t="shared" si="3"/>
        <v>-6.2824328921548628E-2</v>
      </c>
      <c r="G7" s="53">
        <v>127720.6</v>
      </c>
      <c r="H7" s="53">
        <f t="shared" si="1"/>
        <v>35089.399999999994</v>
      </c>
      <c r="I7" s="52">
        <f t="shared" si="2"/>
        <v>0.27473563387581951</v>
      </c>
      <c r="J7" s="28"/>
      <c r="K7" s="29"/>
    </row>
    <row r="8" spans="1:11" ht="15.6">
      <c r="A8" s="56" t="str">
        <v>Uxbridge D</v>
      </c>
      <c r="B8" s="44" t="str">
        <v>MA</v>
      </c>
      <c r="C8" s="57">
        <v>162331</v>
      </c>
      <c r="D8" s="45">
        <v>167814.3</v>
      </c>
      <c r="E8" s="45">
        <f t="shared" si="0"/>
        <v>-5483.2999999999884</v>
      </c>
      <c r="F8" s="58">
        <f t="shared" si="3"/>
        <v>-3.2674807808392901E-2</v>
      </c>
      <c r="G8" s="47">
        <v>179615.2</v>
      </c>
      <c r="H8" s="47">
        <f t="shared" si="1"/>
        <v>-17284.200000000012</v>
      </c>
      <c r="I8" s="46">
        <f t="shared" si="2"/>
        <v>-9.6229049657267376E-2</v>
      </c>
      <c r="J8" s="27"/>
      <c r="K8" s="27"/>
    </row>
    <row r="9" spans="1:11" ht="43.15">
      <c r="A9" s="55" t="str">
        <v>West Bridgewater A&amp;B</v>
      </c>
      <c r="B9" s="50" t="str">
        <v>MA</v>
      </c>
      <c r="C9" s="59">
        <v>254905</v>
      </c>
      <c r="D9" s="51">
        <v>291617.2</v>
      </c>
      <c r="E9" s="51">
        <f t="shared" si="0"/>
        <v>-36712.200000000012</v>
      </c>
      <c r="F9" s="52">
        <f t="shared" si="3"/>
        <v>-0.12589175124101051</v>
      </c>
      <c r="G9" s="53">
        <v>318051.40000000002</v>
      </c>
      <c r="H9" s="53">
        <f t="shared" si="1"/>
        <v>-63146.400000000023</v>
      </c>
      <c r="I9" s="52">
        <f t="shared" si="2"/>
        <v>-0.19854149360763707</v>
      </c>
      <c r="J9" s="28" t="s">
        <v>159</v>
      </c>
      <c r="K9" s="28" t="s">
        <v>160</v>
      </c>
    </row>
    <row r="10" spans="1:11" ht="15.6">
      <c r="A10" s="56" t="str">
        <v>Sutton A</v>
      </c>
      <c r="B10" s="44" t="str">
        <v>MA</v>
      </c>
      <c r="C10" s="57">
        <v>151028</v>
      </c>
      <c r="D10" s="45">
        <v>149166.1</v>
      </c>
      <c r="E10" s="45">
        <f t="shared" si="0"/>
        <v>1861.8999999999942</v>
      </c>
      <c r="F10" s="58">
        <f t="shared" si="3"/>
        <v>1.2482058591060529E-2</v>
      </c>
      <c r="G10" s="47">
        <v>173114.3</v>
      </c>
      <c r="H10" s="47">
        <f t="shared" si="1"/>
        <v>-22086.299999999988</v>
      </c>
      <c r="I10" s="46">
        <f t="shared" si="2"/>
        <v>-0.1275821812525019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150807</v>
      </c>
      <c r="D11" s="51">
        <v>151935.6</v>
      </c>
      <c r="E11" s="51">
        <f t="shared" si="0"/>
        <v>-1128.6000000000058</v>
      </c>
      <c r="F11" s="52">
        <f t="shared" si="3"/>
        <v>-7.4281471886773458E-3</v>
      </c>
      <c r="G11" s="53">
        <v>183377.3</v>
      </c>
      <c r="H11" s="53">
        <f t="shared" si="1"/>
        <v>-32570.299999999988</v>
      </c>
      <c r="I11" s="52">
        <f t="shared" si="2"/>
        <v>-0.17761358685071701</v>
      </c>
      <c r="J11" s="28" t="s">
        <v>161</v>
      </c>
      <c r="K11" s="73" t="s">
        <v>162</v>
      </c>
    </row>
    <row r="12" spans="1:11" ht="43.15">
      <c r="A12" s="56" t="str">
        <v>North Adams B</v>
      </c>
      <c r="B12" s="44" t="str">
        <v>MA</v>
      </c>
      <c r="C12" s="57">
        <v>145410</v>
      </c>
      <c r="D12" s="45">
        <v>0</v>
      </c>
      <c r="E12" s="45">
        <f t="shared" si="0"/>
        <v>145410</v>
      </c>
      <c r="F12" s="58" t="str">
        <f t="shared" si="3"/>
        <v/>
      </c>
      <c r="G12" s="47">
        <v>183377.3</v>
      </c>
      <c r="H12" s="47">
        <f t="shared" si="1"/>
        <v>-37967.299999999988</v>
      </c>
      <c r="I12" s="46">
        <f t="shared" si="2"/>
        <v>-0.20704471055032433</v>
      </c>
      <c r="J12" s="27" t="s">
        <v>163</v>
      </c>
      <c r="K12" s="27" t="s">
        <v>164</v>
      </c>
    </row>
    <row r="13" spans="1:11" ht="15.6">
      <c r="A13" s="55" t="str">
        <v>Clarksburg A</v>
      </c>
      <c r="B13" s="50" t="str">
        <v>MA</v>
      </c>
      <c r="C13" s="59">
        <v>151245</v>
      </c>
      <c r="D13" s="51">
        <v>151766.6</v>
      </c>
      <c r="E13" s="51">
        <f t="shared" si="0"/>
        <v>-521.60000000000582</v>
      </c>
      <c r="F13" s="52">
        <f t="shared" si="3"/>
        <v>-3.436856330707849E-3</v>
      </c>
      <c r="G13" s="53">
        <v>182544.6</v>
      </c>
      <c r="H13" s="53">
        <f t="shared" si="1"/>
        <v>-31299.600000000006</v>
      </c>
      <c r="I13" s="52">
        <f t="shared" si="2"/>
        <v>-0.17146275485552576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185329</v>
      </c>
      <c r="D14" s="45">
        <v>190344.2</v>
      </c>
      <c r="E14" s="45">
        <f t="shared" si="0"/>
        <v>-5015.2000000000116</v>
      </c>
      <c r="F14" s="58">
        <f t="shared" si="3"/>
        <v>-2.6348057886712656E-2</v>
      </c>
      <c r="G14" s="47">
        <v>135930.5</v>
      </c>
      <c r="H14" s="47">
        <f t="shared" si="1"/>
        <v>49398.5</v>
      </c>
      <c r="I14" s="46">
        <f t="shared" si="2"/>
        <v>0.36340997789311452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162855</v>
      </c>
      <c r="D15" s="51">
        <v>160657</v>
      </c>
      <c r="E15" s="51">
        <f t="shared" si="0"/>
        <v>2198</v>
      </c>
      <c r="F15" s="52">
        <f t="shared" si="3"/>
        <v>1.3681321075334409E-2</v>
      </c>
      <c r="G15" s="53">
        <v>201599.3</v>
      </c>
      <c r="H15" s="53">
        <f t="shared" si="1"/>
        <v>-38744.299999999988</v>
      </c>
      <c r="I15" s="52">
        <f t="shared" si="2"/>
        <v>-0.19218469508574679</v>
      </c>
      <c r="J15" s="28" t="s">
        <v>165</v>
      </c>
      <c r="K15" s="28" t="s">
        <v>166</v>
      </c>
    </row>
    <row r="16" spans="1:11" ht="15.6">
      <c r="A16" s="56" t="str">
        <v>Kingston 1 KB</v>
      </c>
      <c r="B16" s="44" t="str">
        <v>MA</v>
      </c>
      <c r="C16" s="57">
        <v>144738</v>
      </c>
      <c r="D16" s="45">
        <v>151114</v>
      </c>
      <c r="E16" s="45">
        <f t="shared" si="0"/>
        <v>-6376</v>
      </c>
      <c r="F16" s="58">
        <f t="shared" si="3"/>
        <v>-4.2193311010230689E-2</v>
      </c>
      <c r="G16" s="47">
        <v>155666.5</v>
      </c>
      <c r="H16" s="47">
        <f t="shared" si="1"/>
        <v>-10928.5</v>
      </c>
      <c r="I16" s="46">
        <f t="shared" si="2"/>
        <v>-7.0204571953503159E-2</v>
      </c>
      <c r="J16" s="27"/>
      <c r="K16" s="27"/>
    </row>
    <row r="17" spans="1:11" ht="28.9">
      <c r="A17" s="55" t="str">
        <v>Kingston 2 KB</v>
      </c>
      <c r="B17" s="50" t="str">
        <v>MA</v>
      </c>
      <c r="C17" s="59">
        <v>122014</v>
      </c>
      <c r="D17" s="51">
        <v>107995.7</v>
      </c>
      <c r="E17" s="51">
        <f t="shared" si="0"/>
        <v>14018.300000000003</v>
      </c>
      <c r="F17" s="52">
        <f t="shared" si="3"/>
        <v>0.12980424220593972</v>
      </c>
      <c r="G17" s="53">
        <v>124948.3</v>
      </c>
      <c r="H17" s="53">
        <f t="shared" si="1"/>
        <v>-2934.3000000000029</v>
      </c>
      <c r="I17" s="52">
        <f t="shared" si="2"/>
        <v>-2.3484113029148879E-2</v>
      </c>
      <c r="J17" s="28" t="s">
        <v>167</v>
      </c>
      <c r="K17" s="28" t="s">
        <v>168</v>
      </c>
    </row>
    <row r="18" spans="1:11" ht="12.75" customHeight="1">
      <c r="A18" s="56" t="str">
        <v>Holliston B</v>
      </c>
      <c r="B18" s="44" t="str">
        <v>MA</v>
      </c>
      <c r="C18" s="57">
        <v>161583</v>
      </c>
      <c r="D18" s="45">
        <v>162860.4</v>
      </c>
      <c r="E18" s="45">
        <f t="shared" si="0"/>
        <v>-1277.3999999999942</v>
      </c>
      <c r="F18" s="58">
        <f t="shared" si="3"/>
        <v>-7.8435273399794815E-3</v>
      </c>
      <c r="G18" s="47">
        <v>181835.3</v>
      </c>
      <c r="H18" s="47">
        <f t="shared" si="1"/>
        <v>-20252.299999999988</v>
      </c>
      <c r="I18" s="46">
        <f t="shared" si="2"/>
        <v>-0.1113771638400244</v>
      </c>
      <c r="J18" s="27"/>
      <c r="K18" s="27"/>
    </row>
    <row r="19" spans="1:11" ht="28.9">
      <c r="A19" s="55" t="str">
        <v>Fairhaven C</v>
      </c>
      <c r="B19" s="50" t="str">
        <v>MA</v>
      </c>
      <c r="C19" s="59">
        <v>305350</v>
      </c>
      <c r="D19" s="51">
        <v>334806.59999999998</v>
      </c>
      <c r="E19" s="51">
        <f t="shared" si="0"/>
        <v>-29456.599999999977</v>
      </c>
      <c r="F19" s="52">
        <f t="shared" si="3"/>
        <v>-8.7980941833285184E-2</v>
      </c>
      <c r="G19" s="53">
        <v>346029.9</v>
      </c>
      <c r="H19" s="53">
        <f t="shared" si="1"/>
        <v>-40679.900000000023</v>
      </c>
      <c r="I19" s="52">
        <f t="shared" si="2"/>
        <v>-0.1175618060751398</v>
      </c>
      <c r="J19" s="28" t="s">
        <v>169</v>
      </c>
      <c r="K19" s="73" t="s">
        <v>170</v>
      </c>
    </row>
    <row r="20" spans="1:11" ht="15.6">
      <c r="A20" s="56" t="str">
        <v>Plympton A-2</v>
      </c>
      <c r="B20" s="44" t="str">
        <v>MA</v>
      </c>
      <c r="C20" s="57">
        <v>165469</v>
      </c>
      <c r="D20" s="45">
        <v>177301.3</v>
      </c>
      <c r="E20" s="45">
        <f t="shared" si="0"/>
        <v>-11832.299999999988</v>
      </c>
      <c r="F20" s="58">
        <f t="shared" si="3"/>
        <v>-6.6735551290374007E-2</v>
      </c>
      <c r="G20" s="47">
        <v>192433.2</v>
      </c>
      <c r="H20" s="47">
        <f t="shared" si="1"/>
        <v>-26964.200000000012</v>
      </c>
      <c r="I20" s="46">
        <f t="shared" si="2"/>
        <v>-0.14012239052304909</v>
      </c>
      <c r="J20" s="27" t="s">
        <v>171</v>
      </c>
      <c r="K20" s="27" t="s">
        <v>172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D28" sqref="D28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173</v>
      </c>
      <c r="E1" s="80"/>
      <c r="F1" s="80"/>
      <c r="G1" s="78" t="s">
        <v>174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2589854.4300380219</v>
      </c>
      <c r="D2" s="5">
        <f>SUM(D4:D95)</f>
        <v>2496743.9299999997</v>
      </c>
      <c r="E2" s="5">
        <f>C2-D2</f>
        <v>93110.500038022175</v>
      </c>
      <c r="F2" s="6">
        <f>IFERROR(E2/D2, 0)</f>
        <v>3.7292771164571206E-2</v>
      </c>
      <c r="G2" s="5">
        <f>SUM(G4:G95)</f>
        <v>2533649.2799999998</v>
      </c>
      <c r="H2" s="7">
        <f>C2-G2</f>
        <v>56205.150038022082</v>
      </c>
      <c r="I2" s="6">
        <f>IFERROR(H2/G2, 0)</f>
        <v>2.2183476806238188E-2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153316.13003802299</v>
      </c>
      <c r="D4" s="45">
        <v>156318.1</v>
      </c>
      <c r="E4" s="45">
        <f>IF(AND(ISNUMBER(C4),ISNUMBER(D4)), C4-D4, "")</f>
        <v>-3001.9699619770108</v>
      </c>
      <c r="F4" s="58">
        <f>IFERROR(E4/D4, "")</f>
        <v>-1.9204237781658112E-2</v>
      </c>
      <c r="G4" s="47">
        <v>147142.29999999999</v>
      </c>
      <c r="H4" s="47">
        <f>IF(AND(ISNUMBER(C4),ISNUMBER(G4)), C4-G4, "")</f>
        <v>6173.8300380230066</v>
      </c>
      <c r="I4" s="46">
        <f>IFERROR(H4/G4, "")</f>
        <v>4.1958227090530778E-2</v>
      </c>
      <c r="J4" s="27"/>
      <c r="K4" s="27"/>
    </row>
    <row r="5" spans="1:11" ht="15.6">
      <c r="A5" s="55" t="str">
        <v>Orange A KB</v>
      </c>
      <c r="B5" s="50" t="str">
        <v>MA</v>
      </c>
      <c r="C5" s="59">
        <v>122513.299999999</v>
      </c>
      <c r="D5" s="51">
        <v>116325.4</v>
      </c>
      <c r="E5" s="51">
        <f t="shared" ref="E5:E20" si="0">IF(AND(ISNUMBER(C5),ISNUMBER(D5)), C5-D5, "")</f>
        <v>6187.8999999990046</v>
      </c>
      <c r="F5" s="52">
        <f>IFERROR(E5/D5, "")</f>
        <v>5.3194745085759471E-2</v>
      </c>
      <c r="G5" s="53">
        <v>117662.2</v>
      </c>
      <c r="H5" s="53">
        <f t="shared" ref="H5:H20" si="1">IF(AND(ISNUMBER(C5),ISNUMBER(G5)), C5-G5, "")</f>
        <v>4851.0999999990017</v>
      </c>
      <c r="I5" s="52">
        <f t="shared" ref="I5:I20" si="2">IFERROR(H5/G5, "")</f>
        <v>4.1229043822051621E-2</v>
      </c>
      <c r="J5" s="28"/>
      <c r="K5" s="28"/>
    </row>
    <row r="6" spans="1:11" ht="15.6">
      <c r="A6" s="56" t="str">
        <v>Goshen A</v>
      </c>
      <c r="B6" s="44" t="str">
        <v>MA</v>
      </c>
      <c r="C6" s="57">
        <v>141560</v>
      </c>
      <c r="D6" s="45">
        <v>139704.29999999999</v>
      </c>
      <c r="E6" s="45">
        <f t="shared" si="0"/>
        <v>1855.7000000000116</v>
      </c>
      <c r="F6" s="58">
        <f t="shared" ref="F6:F20" si="3">IFERROR(E6/D6, "")</f>
        <v>1.3283055711241614E-2</v>
      </c>
      <c r="G6" s="47">
        <v>87639.15</v>
      </c>
      <c r="H6" s="47">
        <f t="shared" si="1"/>
        <v>53920.850000000006</v>
      </c>
      <c r="I6" s="46">
        <f t="shared" si="2"/>
        <v>0.61525984676939482</v>
      </c>
      <c r="J6" s="27"/>
      <c r="K6" s="27"/>
    </row>
    <row r="7" spans="1:11" ht="15.6">
      <c r="A7" s="55" t="str">
        <v>Phillipston A KB</v>
      </c>
      <c r="B7" s="50" t="str">
        <v>MA</v>
      </c>
      <c r="C7" s="59">
        <v>152645</v>
      </c>
      <c r="D7" s="51">
        <v>171966.8</v>
      </c>
      <c r="E7" s="51">
        <f t="shared" si="0"/>
        <v>-19321.799999999988</v>
      </c>
      <c r="F7" s="52">
        <f t="shared" si="3"/>
        <v>-0.11235773416729269</v>
      </c>
      <c r="G7" s="53">
        <v>98790.22</v>
      </c>
      <c r="H7" s="53">
        <f t="shared" si="1"/>
        <v>53854.78</v>
      </c>
      <c r="I7" s="52">
        <f t="shared" si="2"/>
        <v>0.5451428289156558</v>
      </c>
      <c r="J7" s="28"/>
      <c r="K7" s="29"/>
    </row>
    <row r="8" spans="1:11" ht="15.6">
      <c r="A8" s="56" t="str">
        <v>Uxbridge D</v>
      </c>
      <c r="B8" s="44" t="str">
        <v>MA</v>
      </c>
      <c r="C8" s="57">
        <v>139271</v>
      </c>
      <c r="D8" s="45">
        <v>143513.79999999999</v>
      </c>
      <c r="E8" s="45">
        <f t="shared" si="0"/>
        <v>-4242.7999999999884</v>
      </c>
      <c r="F8" s="58">
        <f t="shared" si="3"/>
        <v>-2.9563707462278811E-2</v>
      </c>
      <c r="G8" s="47">
        <v>153963.79999999999</v>
      </c>
      <c r="H8" s="47">
        <f t="shared" si="1"/>
        <v>-14692.799999999988</v>
      </c>
      <c r="I8" s="46">
        <f t="shared" si="2"/>
        <v>-9.5430224507319181E-2</v>
      </c>
      <c r="J8" s="27"/>
      <c r="K8" s="27"/>
    </row>
    <row r="9" spans="1:11" ht="16.5">
      <c r="A9" s="55" t="str">
        <v>West Bridgewater A&amp;B</v>
      </c>
      <c r="B9" s="50" t="str">
        <v>MA</v>
      </c>
      <c r="C9" s="59">
        <v>235076</v>
      </c>
      <c r="D9" s="51">
        <v>254610.5</v>
      </c>
      <c r="E9" s="51">
        <f t="shared" si="0"/>
        <v>-19534.5</v>
      </c>
      <c r="F9" s="52">
        <f t="shared" si="3"/>
        <v>-7.6723073086145302E-2</v>
      </c>
      <c r="G9" s="53">
        <v>266624.2</v>
      </c>
      <c r="H9" s="53">
        <f t="shared" si="1"/>
        <v>-31548.200000000012</v>
      </c>
      <c r="I9" s="52">
        <f t="shared" si="2"/>
        <v>-0.11832459319146578</v>
      </c>
      <c r="J9" s="28" t="s">
        <v>175</v>
      </c>
      <c r="K9" s="29" t="s">
        <v>176</v>
      </c>
    </row>
    <row r="10" spans="1:11" ht="15.6">
      <c r="A10" s="56" t="str">
        <v>Sutton A</v>
      </c>
      <c r="B10" s="44" t="str">
        <v>MA</v>
      </c>
      <c r="C10" s="57">
        <v>128828</v>
      </c>
      <c r="D10" s="45">
        <v>128557.2</v>
      </c>
      <c r="E10" s="45">
        <f t="shared" si="0"/>
        <v>270.80000000000291</v>
      </c>
      <c r="F10" s="58">
        <f t="shared" si="3"/>
        <v>2.1064553366128302E-3</v>
      </c>
      <c r="G10" s="47">
        <v>145750.6</v>
      </c>
      <c r="H10" s="47">
        <f t="shared" si="1"/>
        <v>-16922.600000000006</v>
      </c>
      <c r="I10" s="46">
        <f t="shared" si="2"/>
        <v>-0.11610655462138753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158318</v>
      </c>
      <c r="D11" s="51">
        <v>158131.5</v>
      </c>
      <c r="E11" s="51">
        <f t="shared" si="0"/>
        <v>186.5</v>
      </c>
      <c r="F11" s="52">
        <f t="shared" si="3"/>
        <v>1.1793981591270556E-3</v>
      </c>
      <c r="G11" s="53">
        <v>154668.9</v>
      </c>
      <c r="H11" s="53">
        <f t="shared" si="1"/>
        <v>3649.1000000000058</v>
      </c>
      <c r="I11" s="52">
        <f t="shared" si="2"/>
        <v>2.3592978291046268E-2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150704</v>
      </c>
      <c r="D12" s="45">
        <v>0</v>
      </c>
      <c r="E12" s="45">
        <f t="shared" si="0"/>
        <v>150704</v>
      </c>
      <c r="F12" s="58" t="str">
        <f t="shared" si="3"/>
        <v/>
      </c>
      <c r="G12" s="47">
        <v>154668.9</v>
      </c>
      <c r="H12" s="47">
        <f t="shared" si="1"/>
        <v>-3964.8999999999942</v>
      </c>
      <c r="I12" s="46">
        <f t="shared" si="2"/>
        <v>-2.5634759153262191E-2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157137</v>
      </c>
      <c r="D13" s="51">
        <v>156399.1</v>
      </c>
      <c r="E13" s="51">
        <f t="shared" si="0"/>
        <v>737.89999999999418</v>
      </c>
      <c r="F13" s="52">
        <f t="shared" si="3"/>
        <v>4.7180578404862573E-3</v>
      </c>
      <c r="G13" s="53">
        <v>153966.79999999999</v>
      </c>
      <c r="H13" s="53">
        <f t="shared" si="1"/>
        <v>3170.2000000000116</v>
      </c>
      <c r="I13" s="52">
        <f t="shared" si="2"/>
        <v>2.0590153201859179E-2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151417</v>
      </c>
      <c r="D14" s="45">
        <v>154882.4</v>
      </c>
      <c r="E14" s="45">
        <f t="shared" si="0"/>
        <v>-3465.3999999999942</v>
      </c>
      <c r="F14" s="58">
        <f t="shared" si="3"/>
        <v>-2.2374395024870444E-2</v>
      </c>
      <c r="G14" s="47">
        <v>96003.91</v>
      </c>
      <c r="H14" s="47">
        <f t="shared" si="1"/>
        <v>55413.09</v>
      </c>
      <c r="I14" s="46">
        <f t="shared" si="2"/>
        <v>0.57719617878063501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134583</v>
      </c>
      <c r="D15" s="51">
        <v>133950.39999999999</v>
      </c>
      <c r="E15" s="51">
        <f t="shared" si="0"/>
        <v>632.60000000000582</v>
      </c>
      <c r="F15" s="52">
        <f t="shared" si="3"/>
        <v>4.7226436053942793E-3</v>
      </c>
      <c r="G15" s="53">
        <v>151514.6</v>
      </c>
      <c r="H15" s="53">
        <f t="shared" si="1"/>
        <v>-16931.600000000006</v>
      </c>
      <c r="I15" s="52">
        <f t="shared" si="2"/>
        <v>-0.11174896676623906</v>
      </c>
      <c r="J15" s="28"/>
      <c r="K15" s="29"/>
    </row>
    <row r="16" spans="1:11" ht="15.6">
      <c r="A16" s="56" t="str">
        <v>Kingston 1 KB</v>
      </c>
      <c r="B16" s="44" t="str">
        <v>MA</v>
      </c>
      <c r="C16" s="57">
        <v>117739</v>
      </c>
      <c r="D16" s="45">
        <v>125449.9</v>
      </c>
      <c r="E16" s="45">
        <f t="shared" si="0"/>
        <v>-7710.8999999999942</v>
      </c>
      <c r="F16" s="58">
        <f t="shared" si="3"/>
        <v>-6.1465971674748203E-2</v>
      </c>
      <c r="G16" s="47">
        <v>129108.5</v>
      </c>
      <c r="H16" s="47">
        <f t="shared" si="1"/>
        <v>-11369.5</v>
      </c>
      <c r="I16" s="46">
        <f t="shared" si="2"/>
        <v>-8.8061591607059175E-2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101541</v>
      </c>
      <c r="D17" s="51">
        <v>86882.23</v>
      </c>
      <c r="E17" s="51">
        <f t="shared" si="0"/>
        <v>14658.770000000004</v>
      </c>
      <c r="F17" s="52">
        <f t="shared" si="3"/>
        <v>0.16872000177711835</v>
      </c>
      <c r="G17" s="53">
        <v>103630.3</v>
      </c>
      <c r="H17" s="53">
        <f t="shared" si="1"/>
        <v>-2089.3000000000029</v>
      </c>
      <c r="I17" s="52">
        <f t="shared" si="2"/>
        <v>-2.016109188142853E-2</v>
      </c>
      <c r="J17" s="28"/>
      <c r="K17" s="29"/>
    </row>
    <row r="18" spans="1:11" ht="15.6">
      <c r="A18" s="56" t="str">
        <v>Holliston B</v>
      </c>
      <c r="B18" s="44" t="str">
        <v>MA</v>
      </c>
      <c r="C18" s="57">
        <v>140520</v>
      </c>
      <c r="D18" s="45">
        <v>143242.20000000001</v>
      </c>
      <c r="E18" s="45">
        <f t="shared" si="0"/>
        <v>-2722.2000000000116</v>
      </c>
      <c r="F18" s="58">
        <f t="shared" si="3"/>
        <v>-1.9004176143622559E-2</v>
      </c>
      <c r="G18" s="47">
        <v>153099.5</v>
      </c>
      <c r="H18" s="47">
        <f t="shared" si="1"/>
        <v>-12579.5</v>
      </c>
      <c r="I18" s="46">
        <f t="shared" si="2"/>
        <v>-8.2165519809013099E-2</v>
      </c>
      <c r="J18" s="27"/>
      <c r="K18" s="27"/>
    </row>
    <row r="19" spans="1:11" ht="45.75">
      <c r="A19" s="55" t="str">
        <v>Fairhaven C</v>
      </c>
      <c r="B19" s="50" t="str">
        <v>MA</v>
      </c>
      <c r="C19" s="59">
        <v>261016</v>
      </c>
      <c r="D19" s="51">
        <v>275739.40000000002</v>
      </c>
      <c r="E19" s="51">
        <f t="shared" si="0"/>
        <v>-14723.400000000023</v>
      </c>
      <c r="F19" s="52">
        <f t="shared" si="3"/>
        <v>-5.3396068896936828E-2</v>
      </c>
      <c r="G19" s="53">
        <v>259858.5</v>
      </c>
      <c r="H19" s="53">
        <f t="shared" si="1"/>
        <v>1157.5</v>
      </c>
      <c r="I19" s="52">
        <f t="shared" si="2"/>
        <v>4.4543472697641216E-3</v>
      </c>
      <c r="J19" s="28" t="s">
        <v>177</v>
      </c>
      <c r="K19" s="28" t="s">
        <v>178</v>
      </c>
    </row>
    <row r="20" spans="1:11" ht="60.75">
      <c r="A20" s="56" t="str">
        <v>Plympton A-2</v>
      </c>
      <c r="B20" s="44" t="str">
        <v>MA</v>
      </c>
      <c r="C20" s="57">
        <v>143670</v>
      </c>
      <c r="D20" s="45">
        <v>151070.70000000001</v>
      </c>
      <c r="E20" s="45">
        <f t="shared" si="0"/>
        <v>-7400.7000000000116</v>
      </c>
      <c r="F20" s="58">
        <f t="shared" si="3"/>
        <v>-4.8988321362117282E-2</v>
      </c>
      <c r="G20" s="47">
        <v>159556.9</v>
      </c>
      <c r="H20" s="47">
        <f t="shared" si="1"/>
        <v>-15886.899999999994</v>
      </c>
      <c r="I20" s="46">
        <f t="shared" si="2"/>
        <v>-9.956886853529992E-2</v>
      </c>
      <c r="J20" s="27" t="s">
        <v>179</v>
      </c>
      <c r="K20" s="27" t="s">
        <v>180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181</v>
      </c>
      <c r="E1" s="80"/>
      <c r="F1" s="80"/>
      <c r="G1" s="78" t="s">
        <v>182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24" sqref="A24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183</v>
      </c>
      <c r="E1" s="80"/>
      <c r="F1" s="80"/>
      <c r="G1" s="78" t="s">
        <v>184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185</v>
      </c>
      <c r="E1" s="80"/>
      <c r="F1" s="80"/>
      <c r="G1" s="78" t="s">
        <v>186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187</v>
      </c>
      <c r="B1" t="s">
        <v>188</v>
      </c>
    </row>
    <row r="3" spans="1:12" ht="13.15">
      <c r="A3" t="s">
        <v>189</v>
      </c>
      <c r="B3" t="s">
        <v>3</v>
      </c>
      <c r="C3" t="s">
        <v>4</v>
      </c>
      <c r="D3" t="s">
        <v>190</v>
      </c>
      <c r="E3" s="2" t="s">
        <v>191</v>
      </c>
    </row>
    <row r="4" spans="1:12" ht="14.45">
      <c r="A4" s="35" t="s">
        <v>192</v>
      </c>
      <c r="B4" t="s">
        <v>193</v>
      </c>
      <c r="C4" s="34" t="s">
        <v>194</v>
      </c>
      <c r="D4" s="33" t="s">
        <v>195</v>
      </c>
      <c r="E4" t="s">
        <v>196</v>
      </c>
      <c r="G4" s="3"/>
    </row>
    <row r="5" spans="1:12" ht="14.45">
      <c r="A5" s="35" t="s">
        <v>197</v>
      </c>
      <c r="B5" t="s">
        <v>198</v>
      </c>
      <c r="C5" s="34" t="s">
        <v>194</v>
      </c>
      <c r="D5" s="33" t="s">
        <v>195</v>
      </c>
      <c r="E5" t="s">
        <v>196</v>
      </c>
      <c r="G5" s="3"/>
    </row>
    <row r="6" spans="1:12" ht="14.45">
      <c r="A6" s="35" t="s">
        <v>199</v>
      </c>
      <c r="B6" t="s">
        <v>200</v>
      </c>
      <c r="C6" s="34" t="s">
        <v>194</v>
      </c>
      <c r="D6" s="33" t="s">
        <v>195</v>
      </c>
      <c r="E6" t="s">
        <v>196</v>
      </c>
      <c r="G6" s="3"/>
    </row>
    <row r="7" spans="1:12" ht="12.75" customHeight="1">
      <c r="A7" s="35" t="s">
        <v>201</v>
      </c>
      <c r="B7" t="s">
        <v>202</v>
      </c>
      <c r="C7" s="34" t="s">
        <v>194</v>
      </c>
      <c r="D7" s="33" t="s">
        <v>195</v>
      </c>
      <c r="E7" t="s">
        <v>196</v>
      </c>
    </row>
    <row r="8" spans="1:12" ht="12.75" customHeight="1">
      <c r="A8" s="35" t="s">
        <v>203</v>
      </c>
      <c r="B8" t="s">
        <v>204</v>
      </c>
      <c r="C8" s="34" t="s">
        <v>194</v>
      </c>
      <c r="D8" s="33" t="s">
        <v>195</v>
      </c>
      <c r="E8" t="s">
        <v>196</v>
      </c>
    </row>
    <row r="9" spans="1:12" ht="12.75" customHeight="1">
      <c r="A9" s="35" t="s">
        <v>205</v>
      </c>
      <c r="B9" t="s">
        <v>206</v>
      </c>
      <c r="C9" s="34" t="s">
        <v>194</v>
      </c>
      <c r="D9" s="33" t="s">
        <v>195</v>
      </c>
      <c r="E9" t="s">
        <v>196</v>
      </c>
    </row>
    <row r="10" spans="1:12" ht="12.75" customHeight="1">
      <c r="A10" s="35" t="s">
        <v>207</v>
      </c>
      <c r="B10" t="s">
        <v>208</v>
      </c>
      <c r="C10" s="34" t="s">
        <v>194</v>
      </c>
      <c r="D10" s="33" t="s">
        <v>195</v>
      </c>
      <c r="E10" t="s">
        <v>196</v>
      </c>
      <c r="K10" s="30"/>
      <c r="L10" s="30"/>
    </row>
    <row r="11" spans="1:12" ht="12.75" customHeight="1">
      <c r="A11" s="35" t="s">
        <v>209</v>
      </c>
      <c r="B11" t="s">
        <v>210</v>
      </c>
      <c r="C11" s="34" t="s">
        <v>194</v>
      </c>
      <c r="D11" s="33" t="s">
        <v>195</v>
      </c>
      <c r="E11" t="s">
        <v>196</v>
      </c>
      <c r="K11" s="30"/>
      <c r="L11" s="30"/>
    </row>
    <row r="12" spans="1:12" ht="12.75" customHeight="1">
      <c r="A12" s="35" t="s">
        <v>211</v>
      </c>
      <c r="B12" t="s">
        <v>212</v>
      </c>
      <c r="C12" s="34" t="s">
        <v>194</v>
      </c>
      <c r="D12" s="33" t="s">
        <v>195</v>
      </c>
      <c r="E12" t="s">
        <v>196</v>
      </c>
      <c r="K12" s="30"/>
      <c r="L12" s="30"/>
    </row>
    <row r="13" spans="1:12" ht="12.75" customHeight="1">
      <c r="A13" s="35" t="s">
        <v>213</v>
      </c>
      <c r="B13" t="s">
        <v>214</v>
      </c>
      <c r="C13" s="34" t="s">
        <v>194</v>
      </c>
      <c r="D13" s="33" t="s">
        <v>195</v>
      </c>
      <c r="E13" t="s">
        <v>196</v>
      </c>
      <c r="K13" s="30"/>
      <c r="L13" s="30"/>
    </row>
    <row r="14" spans="1:12" ht="12.75" customHeight="1">
      <c r="A14" s="35" t="s">
        <v>215</v>
      </c>
      <c r="B14" t="s">
        <v>216</v>
      </c>
      <c r="C14" s="34" t="s">
        <v>194</v>
      </c>
      <c r="D14" s="33" t="s">
        <v>195</v>
      </c>
      <c r="E14" t="s">
        <v>196</v>
      </c>
      <c r="K14" s="30"/>
      <c r="L14" s="30"/>
    </row>
    <row r="15" spans="1:12" ht="12.75" customHeight="1">
      <c r="A15" s="35" t="s">
        <v>217</v>
      </c>
      <c r="B15" t="s">
        <v>218</v>
      </c>
      <c r="C15" s="34" t="s">
        <v>194</v>
      </c>
      <c r="D15" s="33" t="s">
        <v>195</v>
      </c>
      <c r="E15" t="s">
        <v>196</v>
      </c>
      <c r="K15" s="30"/>
      <c r="L15" s="30"/>
    </row>
    <row r="16" spans="1:12" ht="12.75" customHeight="1">
      <c r="A16" s="35" t="s">
        <v>219</v>
      </c>
      <c r="B16" t="s">
        <v>220</v>
      </c>
      <c r="C16" s="34" t="s">
        <v>194</v>
      </c>
      <c r="D16" s="33" t="s">
        <v>195</v>
      </c>
      <c r="E16" t="s">
        <v>196</v>
      </c>
      <c r="K16" s="30"/>
      <c r="L16" s="30"/>
    </row>
    <row r="17" spans="1:12" ht="12.75" customHeight="1">
      <c r="A17" s="35" t="s">
        <v>221</v>
      </c>
      <c r="B17" t="s">
        <v>222</v>
      </c>
      <c r="C17" s="34" t="s">
        <v>194</v>
      </c>
      <c r="D17" s="33" t="s">
        <v>195</v>
      </c>
      <c r="E17" t="s">
        <v>196</v>
      </c>
      <c r="K17" s="30"/>
      <c r="L17" s="30"/>
    </row>
    <row r="18" spans="1:12" ht="12.75" customHeight="1">
      <c r="A18" s="35" t="s">
        <v>223</v>
      </c>
      <c r="B18" t="s">
        <v>224</v>
      </c>
      <c r="C18" s="34" t="s">
        <v>194</v>
      </c>
      <c r="D18" s="33" t="s">
        <v>195</v>
      </c>
      <c r="E18" t="s">
        <v>196</v>
      </c>
      <c r="K18" s="30"/>
      <c r="L18" s="30"/>
    </row>
    <row r="19" spans="1:12" ht="12.75" customHeight="1">
      <c r="A19" s="35" t="s">
        <v>225</v>
      </c>
      <c r="B19" t="s">
        <v>226</v>
      </c>
      <c r="C19" s="34" t="s">
        <v>194</v>
      </c>
      <c r="D19" s="33" t="s">
        <v>195</v>
      </c>
      <c r="E19" t="s">
        <v>196</v>
      </c>
      <c r="K19" s="30"/>
      <c r="L19" s="30"/>
    </row>
    <row r="20" spans="1:12" ht="12.75" customHeight="1">
      <c r="A20" s="35" t="s">
        <v>227</v>
      </c>
      <c r="B20" t="s">
        <v>228</v>
      </c>
      <c r="C20" s="34" t="s">
        <v>194</v>
      </c>
      <c r="D20" s="33" t="s">
        <v>195</v>
      </c>
      <c r="E20" t="s">
        <v>196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2024-10-15T14:34:20Z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cbf6262e-4442-4902-aec0-831db2169552</vt:lpwstr>
  </property>
  <property fmtid="{D5CDD505-2E9C-101B-9397-08002B2CF9AE}" pid="9" name="MSIP_Label_9d817c99-0b37-4a07-8277-96aa1f96b74b_ContentBits">
    <vt:lpwstr>0</vt:lpwstr>
  </property>
</Properties>
</file>