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9F040E28-692F-4DEA-88E8-445A479DD6E7}" xr6:coauthVersionLast="47" xr6:coauthVersionMax="47" xr10:uidLastSave="{484EFEF5-8E9F-4CA8-84D7-D7A0237FA149}"/>
  <bookViews>
    <workbookView xWindow="-108" yWindow="-108" windowWidth="23256" windowHeight="12456" tabRatio="866" firstSheet="1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4" i="18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<sst xmlns="http://schemas.openxmlformats.org/spreadsheetml/2006/main" count="244" uniqueCount="57">
  <si>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</si>
  <si>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</si>
  <si>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</si>
  <si>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</si>
  <si>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</si>
  <si>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</si>
  <si>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</si>
  <si>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</si>
  <si>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</si>
  <si>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</si>
  <si>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</si>
  <si>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</si>
  <si>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</si>
  <si>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</si>
  <si>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</si>
  <si>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</si>
  <si>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</si>
  <si>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</si>
  <si>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</si>
  <si>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</si>
  <si>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</si>
  <si>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</si>
  <si>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12 was offline on 01/23 and back online on next day
2. Invetrer 16 was offline on 01/25,01/27, 01/29</t>
  </si>
  <si>
    <t>1. SR080427
2. SR080467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</si>
  <si>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</si>
  <si>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</si>
  <si>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</si>
  <si>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</si>
  <si>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</si>
  <si>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</si>
  <si>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</si>
  <si>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</si>
  <si>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</si>
  <si>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</si>
  <si>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1. Inverter 12 is offline at 07:00AM on 06/03 and back online at 07:00AM on 06/04</t>
  </si>
  <si>
    <t>1. SR084496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</si>
  <si>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</si>
  <si>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</si>
  <si>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</si>
  <si>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</si>
  <si>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</si>
  <si>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</si>
  <si>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</si>
  <si>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</si>
  <si>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</si>
  <si>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</si>
  <si>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</si>
  <si>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</si>
  <si>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</si>
  <si>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MA: Norton - Wheaton College</t>
  </si>
  <si>
    <t>Site DAS Name</t>
  </si>
  <si>
    <t>Update</t>
  </si>
  <si>
    <t>DAS</t>
  </si>
  <si>
    <t>Wheaton College</t>
  </si>
  <si>
    <t>MA</t>
  </si>
  <si>
    <t>A</t>
  </si>
  <si>
    <t>Solrenview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</si>
</sst>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9" fontId="30" fillId="38" borderId="12" xfId="2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Norton - Wheaton College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SUM(C4:C79)</f>
        <v>307440</v>
      </c>
      <c r="D2" s="5">
        <f>SUM(D4:D79)</f>
        <v>0</v>
      </c>
      <c r="E2" s="5">
        <f>C2-D2</f>
        <v>307440</v>
      </c>
      <c r="F2" s="6">
        <f>IFERROR(E2/D2, 0)</f>
        <v>0</v>
      </c>
      <c r="G2" s="5">
        <f>SUM(G4:G79)</f>
        <v>0</v>
      </c>
      <c r="H2" s="7">
        <f>C2-G2</f>
        <v>307440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Norton - Wheaton College</v>
      </c>
      <c r="B4" s="9" t="str" cm="1">
        <f t="array" ref="B4">Sites[State]</f>
        <v>MA</v>
      </c>
      <c r="C4" s="23">
        <f>SUM('1st Qtr'!C4, '2nd Qtr'!C4, '3rd Qtr'!C4, '4th Qtr'!C4)</f>
        <v>307440</v>
      </c>
      <c r="D4" s="12">
        <f>SUM('1st Qtr'!D4, '2nd Qtr'!D4, '3rd Qtr'!D4, '4th Qtr'!D4)</f>
        <v>0</v>
      </c>
      <c r="E4" s="12">
        <f>IF(AND(ISNUMBER(C4),ISNUMBER(D4)), C4-D4, "")</f>
        <v>307440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307440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Norton - Wheaton College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SUM(C4:C79)</f>
        <v>59219</v>
      </c>
      <c r="D2" s="5">
        <f>SUM(D4:D79)</f>
        <v>0</v>
      </c>
      <c r="E2" s="5">
        <f>C2-D2</f>
        <v>59219</v>
      </c>
      <c r="F2" s="6">
        <f>IFERROR(E2/D2, 0)</f>
        <v>0</v>
      </c>
      <c r="G2" s="5">
        <f>SUM(G4:G79)</f>
        <v>0</v>
      </c>
      <c r="H2" s="7">
        <f>C2-G2</f>
        <v>59219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Norton - Wheaton College</v>
      </c>
      <c r="B4" s="9" t="str" cm="1">
        <f t="array" ref="B4">Sites[State]</f>
        <v>MA</v>
      </c>
      <c r="C4" s="23">
        <f>SUM(Jan!C4, Feb!C4, Mar!C4)</f>
        <v>59219</v>
      </c>
      <c r="D4" s="12">
        <f>SUM(Jan!D4, Feb!D4, Mar!D4)</f>
        <v>0</v>
      </c>
      <c r="E4" s="12">
        <f>IF(AND(ISNUMBER(C4),ISNUMBER(D4)), C4-D4, "")</f>
        <v>59219</v>
      </c>
      <c r="F4" s="13" t="str">
        <f>IFERROR(E4/D4, "")</f>
        <v/>
      </c>
      <c r="G4" s="14">
        <f>SUM(Jan!G4, Feb!G4, Mar!G4)</f>
        <v>0</v>
      </c>
      <c r="H4" s="14">
        <f>SUM(Jan!H4, Feb!H4, Mar!H4)</f>
        <v>59219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Norton - Wheaton College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SUM(C4:C79)</f>
        <v>130419</v>
      </c>
      <c r="D2" s="5">
        <f>SUM(D4:D79)</f>
        <v>0</v>
      </c>
      <c r="E2" s="5">
        <f>C2-D2</f>
        <v>130419</v>
      </c>
      <c r="F2" s="6">
        <f>IFERROR(E2/D2, 0)</f>
        <v>0</v>
      </c>
      <c r="G2" s="5">
        <f>SUM(G4:G79)</f>
        <v>0</v>
      </c>
      <c r="H2" s="7">
        <f>C2-G2</f>
        <v>130419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Norton - Wheaton College</v>
      </c>
      <c r="B4" s="9" t="str" cm="1">
        <f t="array" ref="B4">Sites[State]</f>
        <v>MA</v>
      </c>
      <c r="C4" s="23">
        <f>SUM(Apr!C4, May!C4, Jun!C4)</f>
        <v>130419</v>
      </c>
      <c r="D4" s="12">
        <f>SUM(Apr!D4, May!D4, Jun!D4)</f>
        <v>0</v>
      </c>
      <c r="E4" s="12">
        <f>IF(AND(ISNUMBER(C4),ISNUMBER(D4)), C4-D4, "")</f>
        <v>130419</v>
      </c>
      <c r="F4" s="13" t="str">
        <f>IFERROR(E4/D4, "")</f>
        <v/>
      </c>
      <c r="G4" s="14">
        <f>SUM(Apr!G4,May!G4,Jun!G4)</f>
        <v>0</v>
      </c>
      <c r="H4" s="14">
        <f>SUM(Apr!H4, May!H4, Jun!H4)</f>
        <v>130419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tabSelected="1"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Norton - Wheaton College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SUM(C4:C79)</f>
        <v>117802</v>
      </c>
      <c r="D2" s="5">
        <f>SUM(D4:D79)</f>
        <v>0</v>
      </c>
      <c r="E2" s="5">
        <f>C2-D2</f>
        <v>117802</v>
      </c>
      <c r="F2" s="6">
        <f>IFERROR(E2/D2, 0)</f>
        <v>0</v>
      </c>
      <c r="G2" s="5">
        <f>SUM(G4:G79)</f>
        <v>0</v>
      </c>
      <c r="H2" s="7">
        <f>C2-G2</f>
        <v>117802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Norton - Wheaton College</v>
      </c>
      <c r="B4" s="9" t="str" cm="1">
        <f t="array" ref="B4">Sites[State]</f>
        <v>MA</v>
      </c>
      <c r="C4" s="23">
        <f>SUM(Jul!C4, Aug!C4, Sep!C4)</f>
        <v>117802</v>
      </c>
      <c r="D4" s="12">
        <f>SUM(Jul!D4, Aug!D4, Sep!D4)</f>
        <v>0</v>
      </c>
      <c r="E4" s="12">
        <f>IF(AND(ISNUMBER(C4),ISNUMBER(D4)), C4-D4, "")</f>
        <v>117802</v>
      </c>
      <c r="F4" s="13" t="str">
        <f>IFERROR(E4/D4, "")</f>
        <v/>
      </c>
      <c r="G4" s="14">
        <f>SUM(Jul!G4,Aug!G4,Sep!G4)</f>
        <v>0</v>
      </c>
      <c r="H4" s="14">
        <f>SUM(Jul!H4, Aug!H4, Sep!H4)</f>
        <v>117802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Norton - Wheaton College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Norton - Wheaton College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G17" sqref="G17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SUM(C4:C78)</f>
        <v>8204</v>
      </c>
      <c r="D2" s="5">
        <f>SUM(D4:D78)</f>
        <v>0</v>
      </c>
      <c r="E2" s="5">
        <f>C2-D2</f>
        <v>8204</v>
      </c>
      <c r="F2" s="6">
        <f>IFERROR(E2/D2, 0)</f>
        <v>0</v>
      </c>
      <c r="G2" s="5">
        <f>SUM(G4:G78)</f>
        <v>0</v>
      </c>
      <c r="H2" s="7">
        <f>C2-G2</f>
        <v>8204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7" t="s">
        <v>5</v>
      </c>
      <c r="D3" s="48" t="s">
        <v>6</v>
      </c>
      <c r="E3" s="31" t="s">
        <v>7</v>
      </c>
      <c r="F3" s="32" t="s">
        <v>8</v>
      </c>
      <c r="G3" s="51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46" t="str" cm="1">
        <f t="array" ref="A4">Sites[Site]</f>
        <v>MA: Norton - Wheaton College</v>
      </c>
      <c r="B4" s="27" t="str" cm="1">
        <f t="array" ref="B4">Sites[State]</f>
        <v>MA</v>
      </c>
      <c r="C4" s="49">
        <v>8204</v>
      </c>
      <c r="D4" s="50">
        <v>0</v>
      </c>
      <c r="E4" s="12">
        <f>IF(AND(ISNUMBER(C4),ISNUMBER(D4)), C4-D4, "")</f>
        <v>8204</v>
      </c>
      <c r="F4" s="40" t="str">
        <f>IFERROR(E4/D4, "")</f>
        <v/>
      </c>
      <c r="G4" s="52">
        <v>0</v>
      </c>
      <c r="H4" s="14">
        <f>IF(AND(ISNUMBER(C4),ISNUMBER(G4)), C4-G4, "")</f>
        <v>8204</v>
      </c>
      <c r="I4" s="15" t="str">
        <f>IFERROR(H4/G4, "")</f>
        <v/>
      </c>
      <c r="J4" s="53" t="s">
        <v>22</v>
      </c>
      <c r="K4" s="53" t="s">
        <v>23</v>
      </c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24</v>
      </c>
      <c r="E1" s="56"/>
      <c r="F1" s="56"/>
      <c r="G1" s="54" t="s">
        <v>25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18206</v>
      </c>
      <c r="D2" s="5">
        <f>SUM(D4:D79)</f>
        <v>0</v>
      </c>
      <c r="E2" s="5">
        <f>C2-D2</f>
        <v>18206</v>
      </c>
      <c r="F2" s="6">
        <f>IFERROR(E2/D2, 0)</f>
        <v>0</v>
      </c>
      <c r="G2" s="5">
        <f>SUM(G4:G79)</f>
        <v>0</v>
      </c>
      <c r="H2" s="7">
        <f>C2-G2</f>
        <v>18206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Norton - Wheaton College</v>
      </c>
      <c r="B4" s="27" t="str" cm="1">
        <f t="array" ref="B4">Sites[State]</f>
        <v>MA</v>
      </c>
      <c r="C4" s="23">
        <v>18206</v>
      </c>
      <c r="D4" s="12">
        <v>0</v>
      </c>
      <c r="E4" s="12">
        <f>IF(AND(ISNUMBER(C4),ISNUMBER(D4)), C4-D4, "")</f>
        <v>18206</v>
      </c>
      <c r="F4" s="13" t="str">
        <f>IFERROR(E4/D4, "")</f>
        <v/>
      </c>
      <c r="G4" s="14">
        <v>0</v>
      </c>
      <c r="H4" s="14">
        <f>IF(AND(ISNUMBER(C4),ISNUMBER(G4)), C4-G4, "")</f>
        <v>18206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G23" sqref="G23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26</v>
      </c>
      <c r="E1" s="56"/>
      <c r="F1" s="56"/>
      <c r="G1" s="54" t="s">
        <v>27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32809</v>
      </c>
      <c r="D2" s="5">
        <f>SUM(D4:D79)</f>
        <v>0</v>
      </c>
      <c r="E2" s="5">
        <f>C2-D2</f>
        <v>32809</v>
      </c>
      <c r="F2" s="6">
        <f>IFERROR(E2/D2, 0)</f>
        <v>0</v>
      </c>
      <c r="G2" s="5">
        <f>SUM(G4:G79)</f>
        <v>0</v>
      </c>
      <c r="H2" s="7">
        <f>C2-G2</f>
        <v>32809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32809</v>
      </c>
      <c r="D4" s="12">
        <v>0</v>
      </c>
      <c r="E4" s="12">
        <f>IF(AND(ISNUMBER(C4),ISNUMBER(D4)), C4-D4, "")</f>
        <v>32809</v>
      </c>
      <c r="F4" s="13" t="str">
        <f>IFERROR(E4/D4, "")</f>
        <v/>
      </c>
      <c r="G4" s="14">
        <v>0</v>
      </c>
      <c r="H4" s="14">
        <f>IF(AND(ISNUMBER(C4),ISNUMBER(G4)), C4-G4, "")</f>
        <v>32809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28</v>
      </c>
      <c r="E1" s="56"/>
      <c r="F1" s="56"/>
      <c r="G1" s="54" t="s">
        <v>29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39250</v>
      </c>
      <c r="D2" s="5">
        <f>SUM(D4:D79)</f>
        <v>0</v>
      </c>
      <c r="E2" s="5">
        <f>C2-D2</f>
        <v>39250</v>
      </c>
      <c r="F2" s="6">
        <f>IFERROR(E2/D2, 0)</f>
        <v>0</v>
      </c>
      <c r="G2" s="5">
        <f>SUM(G4:G79)</f>
        <v>0</v>
      </c>
      <c r="H2" s="7">
        <f>C2-G2</f>
        <v>39250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39250</v>
      </c>
      <c r="D4" s="12">
        <v>0</v>
      </c>
      <c r="E4" s="12">
        <f>IF(AND(ISNUMBER(C4),ISNUMBER(D4)), C4-D4, "")</f>
        <v>39250</v>
      </c>
      <c r="F4" s="13" t="str">
        <f>IFERROR(E4/D4, "")</f>
        <v/>
      </c>
      <c r="G4" s="14">
        <v>0</v>
      </c>
      <c r="H4" s="14">
        <f>IF(AND(ISNUMBER(C4),ISNUMBER(G4)), C4-G4, "")</f>
        <v>39250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30</v>
      </c>
      <c r="E1" s="56"/>
      <c r="F1" s="56"/>
      <c r="G1" s="54" t="s">
        <v>31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43752</v>
      </c>
      <c r="D2" s="5">
        <f>SUM(D4:D79)</f>
        <v>0</v>
      </c>
      <c r="E2" s="5">
        <f>C2-D2</f>
        <v>43752</v>
      </c>
      <c r="F2" s="6">
        <f>IFERROR(E2/D2, 0)</f>
        <v>0</v>
      </c>
      <c r="G2" s="5">
        <f>SUM(G4:G79)</f>
        <v>0</v>
      </c>
      <c r="H2" s="7">
        <f>C2-G2</f>
        <v>43752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43752</v>
      </c>
      <c r="D4" s="12">
        <v>0</v>
      </c>
      <c r="E4" s="12">
        <f>IF(AND(ISNUMBER(C4),ISNUMBER(D4)), C4-D4, "")</f>
        <v>43752</v>
      </c>
      <c r="F4" s="13" t="str">
        <f>IFERROR(E4/D4, "")</f>
        <v/>
      </c>
      <c r="G4" s="14">
        <v>0</v>
      </c>
      <c r="H4" s="14">
        <f>IF(AND(ISNUMBER(C4),ISNUMBER(G4)), C4-G4, "")</f>
        <v>43752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E15" sqref="E15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32</v>
      </c>
      <c r="E1" s="56"/>
      <c r="F1" s="56"/>
      <c r="G1" s="54" t="s">
        <v>33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47417</v>
      </c>
      <c r="D2" s="5">
        <f>SUM(D4:D79)</f>
        <v>0</v>
      </c>
      <c r="E2" s="5">
        <f>C2-D2</f>
        <v>47417</v>
      </c>
      <c r="F2" s="6">
        <f>IFERROR(E2/D2, 0)</f>
        <v>0</v>
      </c>
      <c r="G2" s="5">
        <f>SUM(G4:G79)</f>
        <v>0</v>
      </c>
      <c r="H2" s="7">
        <f>C2-G2</f>
        <v>47417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47417</v>
      </c>
      <c r="D4" s="12">
        <v>0</v>
      </c>
      <c r="E4" s="12">
        <f>IF(AND(ISNUMBER(C4),ISNUMBER(D4)), C4-D4, "")</f>
        <v>47417</v>
      </c>
      <c r="F4" s="13" t="str">
        <f>IFERROR(E4/D4, "")</f>
        <v/>
      </c>
      <c r="G4" s="14">
        <v>0</v>
      </c>
      <c r="H4" s="14">
        <f>IF(AND(ISNUMBER(C4),ISNUMBER(G4)), C4-G4, "")</f>
        <v>47417</v>
      </c>
      <c r="I4" s="15" t="str">
        <f>IFERROR(H4/G4, "")</f>
        <v/>
      </c>
      <c r="J4" s="36" t="s">
        <v>34</v>
      </c>
      <c r="K4" s="36" t="s">
        <v>35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G9" sqref="G9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36</v>
      </c>
      <c r="E1" s="56"/>
      <c r="F1" s="56"/>
      <c r="G1" s="54" t="s">
        <v>37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43416</v>
      </c>
      <c r="D2" s="5">
        <f>SUM(D4:D79)</f>
        <v>0</v>
      </c>
      <c r="E2" s="5">
        <f>C2-D2</f>
        <v>43416</v>
      </c>
      <c r="F2" s="6">
        <f>IFERROR(E2/D2, 0)</f>
        <v>0</v>
      </c>
      <c r="G2" s="5">
        <f>SUM(G4:G79)</f>
        <v>0</v>
      </c>
      <c r="H2" s="7">
        <f>C2-G2</f>
        <v>43416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43416</v>
      </c>
      <c r="D4" s="12">
        <v>0</v>
      </c>
      <c r="E4" s="12">
        <f>IF(AND(ISNUMBER(C4),ISNUMBER(D4)), C4-D4, "")</f>
        <v>43416</v>
      </c>
      <c r="F4" s="13" t="str">
        <f>IFERROR(E4/D4, "")</f>
        <v/>
      </c>
      <c r="G4" s="14">
        <v>0</v>
      </c>
      <c r="H4" s="14">
        <f>IF(AND(ISNUMBER(C4),ISNUMBER(G4)), C4-G4, "")</f>
        <v>43416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D14" sqref="D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38</v>
      </c>
      <c r="E1" s="56"/>
      <c r="F1" s="56"/>
      <c r="G1" s="54" t="s">
        <v>39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41081</v>
      </c>
      <c r="D2" s="5">
        <f>SUM(D4:D79)</f>
        <v>0</v>
      </c>
      <c r="E2" s="5">
        <f>C2-D2</f>
        <v>41081</v>
      </c>
      <c r="F2" s="6">
        <f>IFERROR(E2/D2, 0)</f>
        <v>0</v>
      </c>
      <c r="G2" s="5">
        <f>SUM(G4:G79)</f>
        <v>0</v>
      </c>
      <c r="H2" s="7">
        <f>C2-G2</f>
        <v>41081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41081</v>
      </c>
      <c r="D4" s="12">
        <v>0</v>
      </c>
      <c r="E4" s="12">
        <f>IF(AND(ISNUMBER(C4),ISNUMBER(D4)), C4-D4, "")</f>
        <v>41081</v>
      </c>
      <c r="F4" s="13" t="str">
        <f>IFERROR(E4/D4, "")</f>
        <v/>
      </c>
      <c r="G4" s="14">
        <v>0</v>
      </c>
      <c r="H4" s="14">
        <f>IF(AND(ISNUMBER(C4),ISNUMBER(G4)), C4-G4, "")</f>
        <v>41081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G9" sqref="G9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40</v>
      </c>
      <c r="E1" s="56"/>
      <c r="F1" s="56"/>
      <c r="G1" s="54" t="s">
        <v>41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33305</v>
      </c>
      <c r="D2" s="5">
        <f>SUM(D4:D79)</f>
        <v>0</v>
      </c>
      <c r="E2" s="5">
        <f>C2-D2</f>
        <v>33305</v>
      </c>
      <c r="F2" s="6">
        <f>IFERROR(E2/D2, 0)</f>
        <v>0</v>
      </c>
      <c r="G2" s="5">
        <f>SUM(G4:G79)</f>
        <v>0</v>
      </c>
      <c r="H2" s="7">
        <f>C2-G2</f>
        <v>33305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>
        <v>33305</v>
      </c>
      <c r="D4" s="12">
        <v>0</v>
      </c>
      <c r="E4" s="12">
        <f>IF(AND(ISNUMBER(C4),ISNUMBER(D4)), C4-D4, "")</f>
        <v>33305</v>
      </c>
      <c r="F4" s="13" t="str">
        <f>IFERROR(E4/D4, "")</f>
        <v/>
      </c>
      <c r="G4" s="14">
        <v>0</v>
      </c>
      <c r="H4" s="14">
        <f>IF(AND(ISNUMBER(C4),ISNUMBER(G4)), C4-G4, "")</f>
        <v>33305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42</v>
      </c>
      <c r="E1" s="56"/>
      <c r="F1" s="56"/>
      <c r="G1" s="54" t="s">
        <v>43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44</v>
      </c>
      <c r="E1" s="56"/>
      <c r="F1" s="56"/>
      <c r="G1" s="54" t="s">
        <v>45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3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Norton - Wheaton College</v>
      </c>
      <c r="B1" s="55"/>
      <c r="C1" s="55"/>
      <c r="D1" s="56" t="s">
        <v>46</v>
      </c>
      <c r="E1" s="56"/>
      <c r="F1" s="56"/>
      <c r="G1" s="54" t="s">
        <v>47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Norton - Wheaton College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48</v>
      </c>
      <c r="B1" t="s">
        <v>49</v>
      </c>
    </row>
    <row r="3" spans="1:12" ht="13.15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12" ht="14.45">
      <c r="A4" s="45" t="s">
        <v>53</v>
      </c>
      <c r="B4" t="s">
        <v>49</v>
      </c>
      <c r="C4" s="43" t="s">
        <v>54</v>
      </c>
      <c r="D4" s="42" t="s">
        <v>55</v>
      </c>
      <c r="E4" t="s">
        <v>56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2BC74AAC-D69B-4AF1-9649-B21EF3C1C463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89CF5C07-45EB-4100-9AFB-2C6AF77FA787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14966E4F-347B-477B-B74C-9DAC05405806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CB52044A-5C0B-44A2-99D0-C1C315EC302D}"/>
</file>

<file path=customXml/itemProps12.xml><?xml version="1.0" encoding="utf-8"?>
<ds:datastoreItem xmlns:ds="http://schemas.openxmlformats.org/officeDocument/2006/customXml" ds:itemID="{C0BCDC1E-6052-4E48-9BAF-94A40814E7C2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98A113BB-8B7A-453C-8BD4-8EFC67FC2D3F}"/>
</file>

<file path=customXml/itemProps15.xml><?xml version="1.0" encoding="utf-8"?>
<ds:datastoreItem xmlns:ds="http://schemas.openxmlformats.org/officeDocument/2006/customXml" ds:itemID="{F12EFA50-0068-4A8C-85A0-F1B26389EBC3}"/>
</file>

<file path=customXml/itemProps16.xml><?xml version="1.0" encoding="utf-8"?>
<ds:datastoreItem xmlns:ds="http://schemas.openxmlformats.org/officeDocument/2006/customXml" ds:itemID="{E3716282-BFD2-4ED2-BA47-BFA1123827F0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2024-10-15T12:11:10Z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