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58" documentId="13_ncr:1_{E5C98C87-5C6A-4519-AD6C-34228A019AFA}" xr6:coauthVersionLast="47" xr6:coauthVersionMax="47" xr10:uidLastSave="{FB7DCE19-9722-46AB-9233-74A4D6606C0D}"/>
  <bookViews>
    <workbookView xWindow="-98" yWindow="-98" windowWidth="21795" windowHeight="12975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6" i="29"/>
  <c r="G7" i="29"/>
  <c r="G8" i="29"/>
  <c r="G9" i="29"/>
  <c r="G10" i="29"/>
  <c r="G11" i="29"/>
  <c r="G12" i="29"/>
  <c r="G13" i="29"/>
  <c r="G14" i="29"/>
  <c r="G15" i="29"/>
  <c r="G16" i="29"/>
  <c r="G4" i="29"/>
  <c r="G5" i="18"/>
  <c r="G6" i="18"/>
  <c r="G7" i="18"/>
  <c r="G8" i="18"/>
  <c r="G9" i="18"/>
  <c r="G10" i="18"/>
  <c r="G11" i="18"/>
  <c r="G12" i="18"/>
  <c r="G13" i="18"/>
  <c r="G14" i="18"/>
  <c r="G15" i="18"/>
  <c r="G16" i="18"/>
  <c r="G4" i="18"/>
  <c r="G4" i="1"/>
  <c r="H10" i="4"/>
  <c r="I10" i="4" s="1"/>
  <c r="H11" i="4"/>
  <c r="I11" i="4" s="1"/>
  <c r="C16" i="30"/>
  <c r="E16" i="30" s="1"/>
  <c r="F16" i="30" s="1"/>
  <c r="D16" i="30"/>
  <c r="C16" i="29"/>
  <c r="D16" i="29"/>
  <c r="C16" i="18"/>
  <c r="D16" i="18"/>
  <c r="C16" i="1"/>
  <c r="D16" i="1"/>
  <c r="G16" i="1"/>
  <c r="H16" i="33"/>
  <c r="I16" i="33" s="1"/>
  <c r="E16" i="33"/>
  <c r="F16" i="33" s="1"/>
  <c r="H16" i="32"/>
  <c r="I16" i="32" s="1"/>
  <c r="E16" i="32"/>
  <c r="F16" i="32" s="1"/>
  <c r="H16" i="31"/>
  <c r="I16" i="31" s="1"/>
  <c r="E16" i="31"/>
  <c r="F16" i="31" s="1"/>
  <c r="H16" i="28"/>
  <c r="I16" i="28" s="1"/>
  <c r="E16" i="28"/>
  <c r="F16" i="28" s="1"/>
  <c r="H16" i="27"/>
  <c r="I16" i="27" s="1"/>
  <c r="E16" i="27"/>
  <c r="F16" i="27" s="1"/>
  <c r="H16" i="26"/>
  <c r="I16" i="26" s="1"/>
  <c r="E16" i="26"/>
  <c r="F16" i="26" s="1"/>
  <c r="H16" i="19"/>
  <c r="I16" i="19" s="1"/>
  <c r="E16" i="19"/>
  <c r="F16" i="19" s="1"/>
  <c r="H16" i="20"/>
  <c r="I16" i="20" s="1"/>
  <c r="E16" i="20"/>
  <c r="F16" i="20" s="1"/>
  <c r="H16" i="21"/>
  <c r="I16" i="21" s="1"/>
  <c r="E16" i="21"/>
  <c r="F16" i="21" s="1"/>
  <c r="H16" i="4"/>
  <c r="I16" i="4" s="1"/>
  <c r="E16" i="4"/>
  <c r="F16" i="4" s="1"/>
  <c r="E16" i="3"/>
  <c r="F16" i="3" s="1"/>
  <c r="H16" i="3"/>
  <c r="I16" i="3" s="1"/>
  <c r="E16" i="72"/>
  <c r="F16" i="72" s="1"/>
  <c r="H16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9" i="1"/>
  <c r="G9" i="34" s="1"/>
  <c r="G10" i="1"/>
  <c r="G11" i="1"/>
  <c r="G12" i="1"/>
  <c r="G13" i="1"/>
  <c r="G14" i="1"/>
  <c r="G15" i="1"/>
  <c r="G5" i="1"/>
  <c r="G4" i="34"/>
  <c r="B4" i="34" a="1"/>
  <c r="B4" i="34" s="1"/>
  <c r="A4" i="34" a="1"/>
  <c r="A4" i="34" s="1"/>
  <c r="A1" i="34" a="1"/>
  <c r="A1" i="34" s="1"/>
  <c r="D15" i="30"/>
  <c r="E15" i="30" s="1"/>
  <c r="F15" i="30" s="1"/>
  <c r="C15" i="30"/>
  <c r="D14" i="30"/>
  <c r="C14" i="30"/>
  <c r="E14" i="30" s="1"/>
  <c r="F14" i="30" s="1"/>
  <c r="D13" i="30"/>
  <c r="C13" i="30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E9" i="30" s="1"/>
  <c r="F9" i="30" s="1"/>
  <c r="D8" i="30"/>
  <c r="C8" i="30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8" i="34" s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E11" i="4"/>
  <c r="F11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15" i="34" l="1"/>
  <c r="H9" i="29"/>
  <c r="I9" i="29" s="1"/>
  <c r="G2" i="29"/>
  <c r="E16" i="29"/>
  <c r="F16" i="29" s="1"/>
  <c r="E11" i="29"/>
  <c r="F11" i="29" s="1"/>
  <c r="C14" i="34"/>
  <c r="E12" i="29"/>
  <c r="F12" i="29" s="1"/>
  <c r="D11" i="34"/>
  <c r="E9" i="29"/>
  <c r="F9" i="29" s="1"/>
  <c r="E5" i="29"/>
  <c r="F5" i="29" s="1"/>
  <c r="G8" i="34"/>
  <c r="E6" i="18"/>
  <c r="F6" i="18" s="1"/>
  <c r="D12" i="34"/>
  <c r="G10" i="34"/>
  <c r="E9" i="18"/>
  <c r="F9" i="18" s="1"/>
  <c r="C9" i="34"/>
  <c r="G16" i="34"/>
  <c r="G14" i="34"/>
  <c r="D14" i="34"/>
  <c r="E14" i="34" s="1"/>
  <c r="F14" i="34" s="1"/>
  <c r="G13" i="34"/>
  <c r="E13" i="18"/>
  <c r="F13" i="18" s="1"/>
  <c r="G12" i="34"/>
  <c r="G11" i="34"/>
  <c r="E11" i="18"/>
  <c r="F11" i="18" s="1"/>
  <c r="D10" i="34"/>
  <c r="E10" i="18"/>
  <c r="F10" i="18" s="1"/>
  <c r="D8" i="34"/>
  <c r="E8" i="34" s="1"/>
  <c r="F8" i="34" s="1"/>
  <c r="E8" i="18"/>
  <c r="F8" i="18" s="1"/>
  <c r="G2" i="18"/>
  <c r="D7" i="34"/>
  <c r="G5" i="34"/>
  <c r="D5" i="34"/>
  <c r="E5" i="18"/>
  <c r="F5" i="18" s="1"/>
  <c r="H4" i="18"/>
  <c r="E16" i="18"/>
  <c r="F16" i="18" s="1"/>
  <c r="D16" i="34"/>
  <c r="C16" i="34"/>
  <c r="D15" i="34"/>
  <c r="E15" i="18"/>
  <c r="F15" i="18" s="1"/>
  <c r="C15" i="34"/>
  <c r="E14" i="18"/>
  <c r="F14" i="18" s="1"/>
  <c r="D13" i="34"/>
  <c r="C13" i="34"/>
  <c r="E12" i="18"/>
  <c r="F12" i="18" s="1"/>
  <c r="C12" i="34"/>
  <c r="C11" i="34"/>
  <c r="C10" i="34"/>
  <c r="D9" i="34"/>
  <c r="E7" i="18"/>
  <c r="F7" i="18" s="1"/>
  <c r="C7" i="34"/>
  <c r="D6" i="34"/>
  <c r="C6" i="34"/>
  <c r="D2" i="18"/>
  <c r="C5" i="34"/>
  <c r="E4" i="18"/>
  <c r="F4" i="18" s="1"/>
  <c r="D4" i="34"/>
  <c r="H12" i="29"/>
  <c r="I12" i="29" s="1"/>
  <c r="D2" i="29"/>
  <c r="E8" i="30"/>
  <c r="F8" i="30" s="1"/>
  <c r="E12" i="30"/>
  <c r="F12" i="30" s="1"/>
  <c r="E6" i="29"/>
  <c r="F6" i="29" s="1"/>
  <c r="E10" i="29"/>
  <c r="F10" i="29" s="1"/>
  <c r="E14" i="29"/>
  <c r="F14" i="29" s="1"/>
  <c r="E6" i="30"/>
  <c r="F6" i="30" s="1"/>
  <c r="H16" i="30"/>
  <c r="I16" i="30" s="1"/>
  <c r="H6" i="29"/>
  <c r="I6" i="29" s="1"/>
  <c r="H10" i="29"/>
  <c r="I10" i="29" s="1"/>
  <c r="H13" i="29"/>
  <c r="I13" i="29" s="1"/>
  <c r="H16" i="29"/>
  <c r="I16" i="29" s="1"/>
  <c r="I10" i="27"/>
  <c r="H6" i="30"/>
  <c r="I6" i="30" s="1"/>
  <c r="H7" i="29"/>
  <c r="I7" i="29" s="1"/>
  <c r="H15" i="29"/>
  <c r="I15" i="29" s="1"/>
  <c r="H16" i="1"/>
  <c r="I16" i="1" s="1"/>
  <c r="H16" i="18"/>
  <c r="I16" i="18" s="1"/>
  <c r="D2" i="30"/>
  <c r="E16" i="1"/>
  <c r="F16" i="1" s="1"/>
  <c r="H16" i="34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H5" i="34"/>
  <c r="H9" i="34"/>
  <c r="I9" i="34" s="1"/>
  <c r="H10" i="34"/>
  <c r="H11" i="34"/>
  <c r="H12" i="34"/>
  <c r="H13" i="34"/>
  <c r="H14" i="34"/>
  <c r="H15" i="34"/>
  <c r="I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4" i="34" l="1"/>
  <c r="I12" i="34"/>
  <c r="I10" i="34"/>
  <c r="I8" i="34"/>
  <c r="E9" i="34"/>
  <c r="F9" i="34" s="1"/>
  <c r="E11" i="34"/>
  <c r="F11" i="34" s="1"/>
  <c r="E2" i="29"/>
  <c r="F2" i="29" s="1"/>
  <c r="I16" i="34"/>
  <c r="I13" i="34"/>
  <c r="E13" i="34"/>
  <c r="F13" i="34" s="1"/>
  <c r="E12" i="34"/>
  <c r="F12" i="34" s="1"/>
  <c r="E7" i="34"/>
  <c r="F7" i="34" s="1"/>
  <c r="I5" i="34"/>
  <c r="E5" i="34"/>
  <c r="F5" i="34" s="1"/>
  <c r="E15" i="34"/>
  <c r="F15" i="34" s="1"/>
  <c r="I11" i="34"/>
  <c r="E10" i="34"/>
  <c r="F10" i="34" s="1"/>
  <c r="E4" i="34"/>
  <c r="F4" i="34" s="1"/>
  <c r="E16" i="34"/>
  <c r="F16" i="34" s="1"/>
  <c r="D2" i="34"/>
  <c r="E6" i="34"/>
  <c r="F6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<sst xmlns="http://schemas.openxmlformats.org/spreadsheetml/2006/main" count="473" uniqueCount="236">
  <si>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</si>
  <si>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</si>
  <si>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</si>
  <si>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</si>
  <si>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</si>
  <si>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</si>
  <si>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</si>
  <si>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</si>
  <si>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</si>
  <si>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</si>
  <si>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</si>
  <si>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</si>
  <si>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</si>
  <si>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</si>
  <si>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</si>
  <si>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</si>
  <si>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</si>
  <si>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</si>
  <si>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</si>
  <si>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</si>
  <si>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</si>
  <si>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</si>
  <si>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</si>
  <si>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</si>
  <si>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</si>
  <si>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</si>
  <si>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</si>
  <si>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</si>
  <si>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/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</si>
  <si>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</si>
  <si>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</si>
  <si>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</si>
  <si>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</si>
  <si>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</si>
  <si>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</si>
  <si>
    <t>February Actual v. Expected</t>
  </si>
  <si>
    <t>February Actual v. Forecasted</t>
  </si>
  <si>
    <t xml:space="preserve">1. Inverters 5.7B &amp; 6.5B tripped offline due to isolation failures and are detecting ground faults.
2. Inverter 3.2C tripped offline  and is reporting a generic "Error" code and back online on 02/20
3.  Inverter 9.7B is offline on 02/21 and back online on same day.
4.  Inverter 6.4b tripped offline on 02/22 and is reporting a generic inverter Error and back online on same day.
</t>
  </si>
  <si>
    <t>1. SR081002
2. SR081064
3. SR081151
4. SR081183</t>
  </si>
  <si>
    <t>1. Inverter 2.1 tripped offline at 08:00 on 02/20 and back online at 14:22 on 02/22. Inverter again tripped offline at 08:00 on 02/25, Inverter being RMA'd
2. Site tripped offline at 08:30 on 02/28 and back online at 08:00 on 02/29</t>
  </si>
  <si>
    <t>1. SR081306,SR081139
2. SR081400</t>
  </si>
  <si>
    <t>1. Inverter 2 tripped offline at 11:30 and back online at 15:45 by remote reset on 02/04
2. Inverter 41 is offline on 02/29 and back online at 08:15 on 03/01 by remote reset</t>
  </si>
  <si>
    <t>1. SR080714
2. SR081449</t>
  </si>
  <si>
    <t>1. Inverter SA-4 3-D was underperforming 4kW cpmpared to peers and was troubleshooted on 02/21</t>
  </si>
  <si>
    <t>1. 	SR081140</t>
  </si>
  <si>
    <t>1. Inverter 40 is underperforming 3kW compared to peers from 02/20/24</t>
  </si>
  <si>
    <t>1. SR081195</t>
  </si>
  <si>
    <t>1. Inverter 39 is offline several times in the month
2. Inverter 158 is offline from 01/28 and relay board was replaced on 02/07 at 15:00
3. Inverter 129 tripped offline at 10:00 on 02/12 and back online at 7:00 on 02/16
4. Inverters 106 and 141 are underperforming 4kW each compared to its peers
5. Inverter 76 was offline on 02/20,02/28 and back online by next day</t>
  </si>
  <si>
    <t>1. SR080867,SR080705
2. SR080754
3. SR080950
4. SR081033
5. SR081147</t>
  </si>
  <si>
    <t>1. Inverter 62-6B was offline on 02/12 and back online on 02/14
2. Inverter 97-6A was offline from 02/19 and back online on 02/21. Inverter 97 again offline from 02/24 and back online on 02/27
3. Inverter 68-6A is offline the entire month. Inverter being RMA'd
4. Inverter 60-6B is offline the entire month. Inverter being RMA'd</t>
  </si>
  <si>
    <t>1. SR080951
2. SR081119
3. SR081135
4. 	SR078134</t>
  </si>
  <si>
    <t>1. Inverter 20-4A was offline from 01/26 and back online on 02/05. Inverter 20 again 02/28 and back online on 03/01</t>
  </si>
  <si>
    <t xml:space="preserve">1.SR080709, SR081456	</t>
  </si>
  <si>
    <t>March Actual v. Expected</t>
  </si>
  <si>
    <t>March Actual v. Forecasted</t>
  </si>
  <si>
    <t>1. Inverters 5.7B, 6.4B &amp;  6.5B are offline due to Insulation failure on 03/05 and back online on 03/06 and 6.5B again  offline on 03/23 and back online at 14:45 on 03/23.
2. Inverters 5.7B, 9.3B  are offline today due to insulation failure on 03/23 and inverter 9.3B  back online at 16:15 on 03/23 and inverter 5.7B is back online on 03/24.
3. Inverter 5.3B tripped offline on an arc fault at 14:30 on 03/17 and back online at 15:15 and again tripped offline at 15:15 on 03/19 and back online at 16:30 and again  tripped offline again at 13:42 on 03/27 and back online at 17:00 on 03/27 and again tripped offline at 14:45 on 03/30 
4. Inverters 5.7b 6.4b 6.5b 7.7b 9.3b didn't start for production and reporting "Insulation failure" on 03/28 and back online on 03/29.
5. Inverter 9.7b is offline on 03/01, 03/2, 03/15 &amp; 03/23. Inverter being RMA'd</t>
  </si>
  <si>
    <t>1. SR081590
2. SR081590
3. SR081974
4. SR082875
5. SR081151</t>
  </si>
  <si>
    <t xml:space="preserve">1. Inverter 2.5 is offline due to  6411 interference device fault from 03/13
2. Inverter 4.6 tripping offline due to DC fault at 10:30 on 03/18 and back online at 15:15 on 03/18 and having several tripping events on multiple days.
3. Inverter 5.7 is offline on an arc fault at 12:00pm from 03/06  
4.  Inverter 21 is being RMA'd
5. Site tripped offline on 03/02 at 18:30 and back online on 03/03 at 08:00am </t>
  </si>
  <si>
    <t>1. SR081993
2. SR081994
3. SR082311
4. SR081306
5. SR081400</t>
  </si>
  <si>
    <t>1. Inverter 2 tripped offline at 10:15 on 03/08 and back online at 11:15 by remote reset on 03/08.</t>
  </si>
  <si>
    <t>1. SR081698</t>
  </si>
  <si>
    <t>1. Site offline due to utility planned outage from 03/28 at 13:15.
2. Inverter 1-8A was offline from 03/15 t and back online on 03/22 after replacing</t>
  </si>
  <si>
    <t>1. SR081605
2. SR081943</t>
  </si>
  <si>
    <t>1. Inverter 115 is offline on 03/17 and back online at 10:00am on 03/17</t>
  </si>
  <si>
    <t>1. SR081964</t>
  </si>
  <si>
    <t>1. Site was taken offline by USNE to install new transformer on 03/25between 07:30am to 16:00</t>
  </si>
  <si>
    <t>1. SR081807</t>
  </si>
  <si>
    <t>1. Inverter 54 is being RMA'd
2. Inverter 17 tripped offline on 03/22 at 11:45 and  back online on 03/23
3. Inverter 76 was offline on 03/03 &amp; 03/18
4. Inverter 39 is offline from 03/01 to 03/06
5.  Inverters 106 and 141 are underperforming 4kW each compared to its peers
6. Site is offline at 11:15 on 03/24  and back online at 10:45 on 03/30 a due to utility Planned outage.</t>
  </si>
  <si>
    <t>1. SR082907
2. SR082496
3. SR081147
4. SR080867
5. SR081033
6. SR082320</t>
  </si>
  <si>
    <t>1. Site is offline at 11:30 on 03/24  and back online at 12:15 on 03/29 a due to utility Planned outage.
2. Inverter 68-6A is offline the entire month. Inverter being RMA'd
3. Inverter 72 &amp; 84 are offline from 03/29 and back online on 04/01</t>
  </si>
  <si>
    <t>1. SR082321
2. SR081135
3. SR082909</t>
  </si>
  <si>
    <t>1. Site is offline at 11:15 on 03/24  and back online at 11:00 on 03/30 a due to utility Planned outage.</t>
  </si>
  <si>
    <t>1. SR082325, SR082326</t>
  </si>
  <si>
    <t>1. SR082327</t>
  </si>
  <si>
    <t>1. Site is offline at 11:15 on 03/24  and back online at 10:45 on 03/30 a due to utility Planned outage.</t>
  </si>
  <si>
    <t>1. SR082328</t>
  </si>
  <si>
    <t>April Actual v. Expected</t>
  </si>
  <si>
    <t>April Actual v. Forecasted</t>
  </si>
  <si>
    <t>1. Inverter 5.3B is tripped offline on 03/30 at 14:45 and back online on 04/01 with remote reset at 13:30 and again tripped offline on 14:45 on same day and back online on 9:00am on 04/05
2. Inverters 2.2B, 5.4B, 5.7B and 6.5B are offline and reporting insulation failure on 04/04 and later self resolved on afternoon.
3.  Inverter 4.1B is underproducing 9kW compared to its peers from 04/17 to 04/24</t>
  </si>
  <si>
    <t>1. SR081974
2. SR083073
3. SR083728</t>
  </si>
  <si>
    <t xml:space="preserve">1. Inverter 8.7 tripped offline on 04/9 at 1:45pm and back online on 04/11 and again offline on 04/12 to 04/17 and again offline on 04/21 and is being RMA'd
2. Inverter 6.7 is offline on 04/04, 04/12, 04/15, 04/17,04/18 and technician has replaced inverter and it is back online on 04/19.
3. Inverter 1.3 is offline on 04/01 and technician powercycled the inverter it is back online on 04/08 at 8:15am.
4. Site tripped offline and reporting A phase Voltages on 04/18 at 16:45 and is back online at 19:00 on same day and again offline with same fault on 04/30 at 5:30am and back online on same day at 8:15am.
</t>
  </si>
  <si>
    <t>1. SR083611
2. SR083420
3. SR083156
4. SR083608,
SR083988</t>
  </si>
  <si>
    <t>1.Site was offline due to utility outage on 04/07 from 12:00 to 15:00.
2. Site was offline due to utility outage from 04/08 at 09:00am to 14:45.
3. Inverter 5 tripped ofline on 04/13 from 11:45 to 15:00.
4. Site tripped offline on 04/16 at 11:45 and back online on 04/19 at 07:00 and again tripped offline on 04/20 from 10:15 to 16:00.
5.Inverter 30 tripped offline on 04/20 at 16:00 and back online on 04/21 at 07:00.</t>
  </si>
  <si>
    <t>1.SR083159
2.SR083168
3.SR083385
4.SR083490
5. SR083652</t>
  </si>
  <si>
    <t>1. Site was taken offline on 04/26 at 11:30am and reenergised at 12:30pm</t>
  </si>
  <si>
    <t>1. PM2819</t>
  </si>
  <si>
    <t>1. Site was taken offline on 04/26 at 07:00am and reenergised at 08:00am</t>
  </si>
  <si>
    <t>1. Site was taken offline on 04/26 at 08:30am and reenergised at 10:00am</t>
  </si>
  <si>
    <t>1. PM2820</t>
  </si>
  <si>
    <t xml:space="preserve">1. Inverter 54 is offline from 04/01 to 04/18
2. Inverter 123 is offline from 04/01 to 04/30
3. Inverter 165 is offline from 04/25 </t>
  </si>
  <si>
    <t>1. SR082907
2. SR082908
3. SR083837</t>
  </si>
  <si>
    <t>1. Inverter 10 6A tripped offline on 04/12 at 15:45 and back online on 04/15 at 08:45am
2. Inverter 98 6B was tripped offline on 04/08 at 13:30 and back online on  04/11 at 10:15am
3. Inverter 73 was offline on 04/07, 04/25 and self resolved on next day
4. Inverter 56 was offline on 04/02, 04/16, 04/18, 04/26 and self resolved on next day
5. Inverter 60 is offline for most of the days in month and being RMA'd</t>
  </si>
  <si>
    <t>1. SR083386
2. SR083203
3. SR083142
4. SR083028
5. SR078134</t>
  </si>
  <si>
    <t>1. Inverter 20 4A is offline from 04/11 to 04/14 and was offline on 04/05 and back online on 04/06
2. Inverter 14 4A tripped offline on 04/15 at 14:15</t>
  </si>
  <si>
    <t>1. SR083128
2. SR083462</t>
  </si>
  <si>
    <t>May Actual v. Expected</t>
  </si>
  <si>
    <t>May Actual v. Forecasted</t>
  </si>
  <si>
    <t>1. Inverters 5.7B &amp; 6.2B are offline between 07:00 to 16:30 on 05/16 
2. Inverter 10.2A  was offline from 05/24 to 06/02</t>
  </si>
  <si>
    <t>1. SR084771
2. SR085153</t>
  </si>
  <si>
    <t>1. Site was offline on 05/08 between 09:15am to 12:45pm
2. Site tripped offline on 05/27 and back online on 05/28 at 07:00am
3. Inverter 8.7 is offline and being RMA'd
4. Inverter 5.10 offline on from 05/26 and being RMA'd 
5. Inverter 5.8 offline from 05/26 and back online on 05/28
6. Inverter 4.1 offline from 05/26 and being RMA'd</t>
  </si>
  <si>
    <t>1. SR084424
2. SR085200
3. SR083611
4. SR085080
5. SR084869
6. SR085165</t>
  </si>
  <si>
    <t>1. Inverter 13 is offline from 05/25 and being RMA'd
2. Inverter 37 is offline on 05/26 &amp; 05/27
3. Inverter 26 is offline from 05/29 
4. Inverter 14 was offline from 05/31</t>
  </si>
  <si>
    <t>1. SR085068
2. SR085166
3. SR085290
4. SR085365</t>
  </si>
  <si>
    <t>1. Inverter 31C tripped offline at 10:30 on 05/16 and back online at 10:30 on 05/20</t>
  </si>
  <si>
    <t>1. SR084772</t>
  </si>
  <si>
    <t>1. Inverters 43,44,45 are underperforming 7 kW each on 05/21 and fuses were closed on 05/22</t>
  </si>
  <si>
    <t>1. 	SR084968</t>
  </si>
  <si>
    <t>1. Inverter 40 was underperforming offline from 05/31
2. Inverter 115 was offline throughout the month</t>
  </si>
  <si>
    <t>1. SR085387
2. SR083436</t>
  </si>
  <si>
    <t>1. Inverter 110 was offline from 05/17 and back online at 14:30 on 05/21</t>
  </si>
  <si>
    <t>1. 	SR084747</t>
  </si>
  <si>
    <t>1. Inverter 8-2C was offline throughout the month</t>
  </si>
  <si>
    <t>1. 	SR084088</t>
  </si>
  <si>
    <t>1. Inverter 14-4A is offline throughout the month
2. Inverter 22-4A is underperforming 3kW compared to peers.  Issue may be internal to the inverter.
3. Inverter 21-4A was offline on 05/13 and back online at 11:00am on 05/14. Inverter 8-4A tripped offline at 12:00pm on 05/15 and back online on 05/16.</t>
  </si>
  <si>
    <t>1. 	SR083462
2. SR083820
3. SR084629</t>
  </si>
  <si>
    <t>June Actual v. Expected</t>
  </si>
  <si>
    <t>June Actual v. Forecasted</t>
  </si>
  <si>
    <t>1. Inverter 10.2A  was offline from 05/25 to 06/02
2. Inverter 9.2B was offline from 06/06 to whole month
3. Inverter 6.2C tripped offline at 9:15am 0n 06/02 and back online at 13:00 on 06/03</t>
  </si>
  <si>
    <t>1. SR085153
2. SR085698
3. SR085422</t>
  </si>
  <si>
    <t>1. Inverter 6.5 has not started on 06/01 and was offline for whole month
2. Inverter 4.1 was offline from 05/26 and back online at 13:00 on 06/12
3. Inverter 5.10 was offline from 05/26 and back online at 13:00 on 06/12
4. Inverter 8.7 was offline from 04/21 and back online at 13:00 on 06/12
5. Site tripped offline at 20:26 on 06/26 and back online at 6am on 06/27</t>
  </si>
  <si>
    <t>1. SR085319
2. SR085165
3. SR085080
4. SR083611, SR085080
5. SR087011</t>
  </si>
  <si>
    <t>1. Inverter 14 tripped offline at 12:45pm on 05/31 and back online at 11am on 06/05
2.  Inverter 26 tripped offline at 14:00 on 05/29 and back online at 11am on 06/05; again tripped offline at 11:34am on 06/07 and back online on 06/13
3. Inverter 13 tripped offline at 11:30am on 05/31 and back online at 11;30am on 06/05
4. Inverter 15 was offline from 06/06
5. Site was offline from 13:00 of 06/12 to 7:30am of 06/13
6. Site was offline from 09:00 to 14:00 on 06/24
7. Inverters 8 &amp; 47 tripped offline at 13:00 on 06/14 and back online at 9am on 06/17</t>
  </si>
  <si>
    <t>1. SR085365
2. SR085290, SR085839
3. SR085364
4. SR085705
5. SR086107
6. SR086849
7. SR086248</t>
  </si>
  <si>
    <t>1.Site was taken offline from 9:45am to 10:20am for MV inspection on 06/03</t>
  </si>
  <si>
    <t>1. Inverters 139, 140 and 141 underproducing since 5/28 and resolved on 06/14
2. Inverter 115 was offlilne from 06/02 to 06/10 and again offline from 06/12 to 06/27 (till 13:00)
3. Inverter 40 tripped offline at 12pm on 05/31 and back online on 06/04 at 13:00
4. Inverter 42 tripped offline at 12pm on 06/07 and back online on 06/11 at 12pm</t>
  </si>
  <si>
    <t>1. SR086215
2. SR083436, SR086097
3. SR085387
4. SR085805</t>
  </si>
  <si>
    <t>1. Inverter 159 was offline for whole month
2. Inverter 82 tripped offline at 16:00 on 06/04 and was offline for whole month
3. Inverter 162 was offline since 6/20
4. Inverter 179 was offline from 06/13 to 11pm of 06/26
5. Inverter 189 was offline from 06/13 EOD to 9am of 07/03</t>
  </si>
  <si>
    <t>1. SR085403, SR086977
2. SR085562, SR086978
3. SR086905, SR087239, SR087346
4. SR086156
5. SR086177</t>
  </si>
  <si>
    <t>1. Inverter 100A tripped offline at 13:15 on 06/22 and was offline for whole month
2. Inverter 72B tripped offline at 11:30 on 05/22 and was back online on 07/03
3. Inverter 75B tripped offline at 15:00 on 06/20 and back online at 8am on 06/28
4. Inverter 93B was offline from 06/13 and was RMA'd</t>
  </si>
  <si>
    <t>1. SR086979
2. SR084982, SR087079
3. SR086845
4. SR086243</t>
  </si>
  <si>
    <t>1. Inverter 8C was offline on 06/23, 06/24 &amp; 06/27</t>
  </si>
  <si>
    <t>1. SR086858</t>
  </si>
  <si>
    <t xml:space="preserve">1. Inverter 42 tripped offline at 12:15pm on 06/06 and back online on 06/12 </t>
  </si>
  <si>
    <t>1. SR085724</t>
  </si>
  <si>
    <t>1. Inverter 4A was offline from 15:00 of 06/18 to 10am of 06/26
2.  Inverter 14A was offline throughout the month</t>
  </si>
  <si>
    <t xml:space="preserve">1. SR086456
2. SR087080, SR086309, SR083462, </t>
  </si>
  <si>
    <t>July Actual v. Expected</t>
  </si>
  <si>
    <t>July Actual v. Forecasted</t>
  </si>
  <si>
    <t>1.Inverter 9.2B was offline from 06/06
2. Inverter 3.1B is offline on 07/02 and back online  at 12:00 on 07/03
3.Site tripped offline at 17:45 on 07/11 and back online at 07:30 on 07/12</t>
  </si>
  <si>
    <t xml:space="preserve">1.SR085698
2.SR087310
3.SR087601	</t>
  </si>
  <si>
    <t>1.Inverter 3.1 is offline from 07/03 and back online at 06:00 on 07/13
2.Inverter 6.1 started late at 12:00 on 07/08 and at 14:00 on 07/09 and was offline on 07/10 and again started late at 14:30 on 07/11 and offline from 07/12 to 07/17
3.Site was offline from 3:30AM to 04:15AM on 07/18
4.Site tripped offline at 19:30 and back online at 21:00 on 07/31</t>
  </si>
  <si>
    <t>1.SR087350
2.SR087469
3.SR087866
4.SR088482</t>
  </si>
  <si>
    <t>1.Inverter 15 was offline through the month
2.Inverter 38 tripped offline at 10:30 on 07/02 and back online at 06:00 on 07/03
3.Inverters 1,12,21,25,28,29,40,41 &amp;49 are offline on 07/07 and back online at 06:00 on 07/08
4.Inverters 1,12,21,28,29 and 41 are tripped offline at 08:00 on 07/11  and back online at 06:00 on 07/12
5.Inverter 29 is offline on 07/13 and back online at 08:00 on 07/15
6. Inverter 55 tripped offline at 13:15 on 07/20 and back online at 07:15 on 07/22
7.Inverter 26 is offline on 07/27 through out the month</t>
  </si>
  <si>
    <t>1.SR085705
2.SR087247
3.SR087440
4.SR087585
5.SR087646
6.SR087963
7.SR088298</t>
  </si>
  <si>
    <t>1.Site tripped offline at 11:15 on 07/16 and back online at 10:15 on 07/17</t>
  </si>
  <si>
    <t>1.SR087757</t>
  </si>
  <si>
    <t>1. Inverter 28 is tripped offline at 14:00 on 07/09 throgh out the month</t>
  </si>
  <si>
    <t>1.SR087518</t>
  </si>
  <si>
    <t>1. Inverter 82 is offline for whole month
2.Inverter 126 is offline for whole day on 07/01
3.Inverter 159 was back online at 11:15 on 07/26
4.Inverter 162 is back online at 12:45 on 07/26
5.Inverter 77 tripped offline at 07:00 on 07/07 and back online at 15:45 on 07/22
6. Inverter 78 tripped offline at 15:00 on 07/05 and back online at 17:00 on 07/05
7.Inverter 111 was offline on 07/07 for whole day
8.Inverter 158 started late for production at 13:00 on 07/08
9.Inverter 134 has tripped offline at 16:00 on 07/08 and back online at 14:00 on 07/10
10.Inverter 132 tripped offline at 09:30 and back online 14:00 on 07/10
11Inverter 5 tripped offline at 10:00 on 07/11 and back online 10:00 on 07/23
12.Inverter 191 tripped offline at 16:00 on 07/13 and back online at 06:00 on 07/15
13.Inverter 109 tripped offline at 18:00 on 07/14 and back online at 15:30 on 07/17
14.Inverter 139 tripped offline at 08:15 on 07/24 back online at 12:15 on 07/25</t>
  </si>
  <si>
    <t>1.SR086978
2.SR087174
3.SR086977
4.SR087239
5.SR087375
6.SR087397
7.SR087448
8.SR087466
9.SR087488
10.SR087546
11.SR087587
12.SR087650
13.SR087698
14.SR088122</t>
  </si>
  <si>
    <t>1.Inverter 6A-100 is back online at 08:00 on 07/25
2.Inverter 72B  was back online on 07/03
3. Inverter 6A.83 was offline on 07/06 and back online on 07/07
4.Inverter 83 tripped offline at 10:36 on 07/26 and back online on 07/27 and again tripped offline at 10:00
5. Inverter 72A, 73A are tripped offline at 13:15 on 07/30 and back online on 07/31</t>
  </si>
  <si>
    <t>1.SR086979
2. SR084982, SR087079
3.SR087410
4.SR088283</t>
  </si>
  <si>
    <t xml:space="preserve">1.Inverter 8C started late at 14:30 on 07/05 and again  offline at 07/06 and back online on 07/07 at 12:30 and started late at 12:15 on 07/18 again started late at 14:30 on 07/25 again  offline at 07/29 and back online on 07/30 at 15:30 </t>
  </si>
  <si>
    <t>1.SR086858</t>
  </si>
  <si>
    <t>1.Inverter 17 tripped offline on 07/06 at 14:45 through out the month
2. Inverter 4B.11 is offline for whole day on 07/17 and back online at 13:30 on 07/18
3. Inverter 23-4B tripped offline at 08:15 on 07/24 and back online at 16:45 on 07/25</t>
  </si>
  <si>
    <t>1.SR087425
2.SR087841
3.SR088124</t>
  </si>
  <si>
    <t>August Actual v. Expected</t>
  </si>
  <si>
    <t>August Actual v. Forecasted</t>
  </si>
  <si>
    <t>1.Inverter 2.1B is offline from 08/22.
2.Inverter 9.2B was offline from 08/01 and back online at 10:00 on 08/29.</t>
  </si>
  <si>
    <t>1.SR089416</t>
  </si>
  <si>
    <t>1.Site tripped offline at 02:45 and back online at 06:45 on 08/03.
2.Site tripped offline at 10:15 and back online at 10:50 on 08/18.
3.Inverter 6.8 tripped offline at 8:45 and back online at 09:05 on 08/19.</t>
  </si>
  <si>
    <t>1.SR088482
2.SR089211</t>
  </si>
  <si>
    <t>1.Inverter 33 tripped offline at 13:30 on 08/04 and back online at 07:00 on 08/05.
2.Inverter 6 tripped offline at 13:30 and back online at 17:00 on 08/5.
3.Inverter 58 tripped offline at 13:30 on 08/11 and back online at 07:15 on 08/12.
4.Inverter 31 tripped offline at 12:00 on 08/22 and back online at 11:15 on 08/23.
5.Inverter 59 tripped offline at 10:45 on 08/26 and back online at 07:45 on 08/27.
6.Inverter 20 tripped offline from 08/30.
7.Inverter 26 is back online on 08/16 at 14:30</t>
  </si>
  <si>
    <t>1.SR088587
2.SR088657
3.SR088905
4.SR089417
5.SR089554
6.SR089764
7.SR088298</t>
  </si>
  <si>
    <t>1.Site tripped offline at 01:45 and back online at 09:45 on 08/10.</t>
  </si>
  <si>
    <t>1.SR088862</t>
  </si>
  <si>
    <t>1. Site stopped communicating later tripped offline, production cannot be confirmed at 12:15Pm on 08/22 and  back online at 9:00 Am on 08/23
2.Inverter 113 tripped offline at 11:45AM 08/26 and back online at 12:10Pm on 08/27</t>
  </si>
  <si>
    <t>1.SR089444
2.SR089569</t>
  </si>
  <si>
    <t>1.Inverter 132 tripped offline at 09:30 and back online 14:00 on 07/10</t>
  </si>
  <si>
    <t>1.SR087546</t>
  </si>
  <si>
    <t>1. Inverter 132 was offline for whole month.
2. Inverter 77 was offline on 08/24 and back online on 08/25 and again inverter 77 was offline on 08/26 and back online on 08/27.
3. Inverter 24 was offline from 08/01 to 08/24.
4. Inverter 184 tripped offline on 08/13 and back online on 08/29
5. Inverter 126 has late starting issue.
6. Inverter 36 has late starting issue.</t>
  </si>
  <si>
    <t>1. SR087546
2. SR089381
3. SR088457
4. SR089003
5. SR088742
6. 	SR089225</t>
  </si>
  <si>
    <t>1. Inverter 72 6A tripped offline on 08/03 and back online on 08/26
2. Inverter 83 6A was tripped offline on 08/07 and back online on 08/08 and again inverter 83 6A tripped offline on 08/19
3. Inverter 93 6B was offline for most of the days in the month
4. Inverter 49 6B was offline from 08/03 to 08/16 and again inverter was offline from 08/17 to 08/22
5. Inverter 84 6B was offline from 08/13 to End of month.
6.  Inverter 89-6B was offline on 08/22 and back online on 08/23
7. Inverter 62 6B was offline for most of the days in month.</t>
  </si>
  <si>
    <t>1. SR088830
2. SR088283
3. SR090102
4.SR089254
5. SR089000
6. 	SR089412
7. SR089673</t>
  </si>
  <si>
    <t>1. Inverter 8 2C was offline for whole month.</t>
  </si>
  <si>
    <t>1. SR088230</t>
  </si>
  <si>
    <t>1. Inverter 46 was tripped offline on 08/20 and back online on 08/27.</t>
  </si>
  <si>
    <t>1. SR089344</t>
  </si>
  <si>
    <t>1. Inverter 14 4A have been RMA'd.
2. Inverter 22 4A is underproducing 3 kW down compared to its peers for whole month.
3. Inverter 11 4B was tripped offline on 08/14 at 09:00am and back online on 08/21
4. Inverter 17 4B was offline from 08/01 at 09:00am to 08/15 16:00</t>
  </si>
  <si>
    <t>1. SR087080
2. SR083820
3. 	SR089025
4. 	SR087425</t>
  </si>
  <si>
    <t>September Actual v. Expected</t>
  </si>
  <si>
    <t>September Actual v. Forecasted</t>
  </si>
  <si>
    <t>1.Inverter 2.1B back online on 9/3
2.Inverter 9.7B tripped offline at 11:15AM to 14:45 on 9/27</t>
  </si>
  <si>
    <t>1.SR089901
2.SR091323</t>
  </si>
  <si>
    <t>1.Inverter 20 back online on 9/20 
2. Inverter 59 tripped offline at 11:45 from 9/6
3.Inverter 31 tripped offline from 13:15 on 9/8 back online on 9/9 
4.Inverter 41 offline from 07:00 to 11:00 on 9/23
5.Inverter 29 tripped offline at 15:30 on 9/26 back online on 9/27 at 11:00
6.Inverter 2 tripped offline at 11:45AM on 9/30</t>
  </si>
  <si>
    <t>1.SR089764
2.	SR090080
3.SR089417
4. SR091072
5.	SR091307
6.SR091500</t>
  </si>
  <si>
    <t>1.Inverter 28 is underperforming approximately 6kW.</t>
  </si>
  <si>
    <t>1.SR090925</t>
  </si>
  <si>
    <t>1.Inverter 132 offline whole month
2.Inverter 20 tripped offline at 15:15 on 9/5 back online on 9/9 at 15:00
3.Inverter  55 offline from 9/7
4.Inverter 126 offline multiple days
5.Inverter 184 offline multiple days
6.Inverter 10 offline  on 9/18</t>
  </si>
  <si>
    <t>1.SR087546
2.SR090025
3.SR090087
4.SR090681
5.SR090620
6.SR090726</t>
  </si>
  <si>
    <t>1.Inverter 8 2C back online on 9/24 at 14:15</t>
  </si>
  <si>
    <t>1.SR088230</t>
  </si>
  <si>
    <t>1.Inverter 46 underproducing by about 3kw since 8/27</t>
  </si>
  <si>
    <t>1.	SR090286,S089344</t>
  </si>
  <si>
    <t>1. Inverter 22 4A is underproducing 3 kW down compared to its peers for whole month.
2. Inverter 14 4A have been RMA'd.</t>
  </si>
  <si>
    <t>1.SR083820
2. SR087080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</si>
  <si>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</si>
  <si>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</si>
  <si>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</si>
  <si>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</si>
  <si>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</si>
  <si>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</si>
  <si>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</si>
  <si>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Bond</t>
  </si>
  <si>
    <t>Site DAS Name</t>
  </si>
  <si>
    <t>Update</t>
  </si>
  <si>
    <t>DAS</t>
  </si>
  <si>
    <t>MA-02-001 - Grafton II</t>
  </si>
  <si>
    <t>Grafton II</t>
  </si>
  <si>
    <t>MA</t>
  </si>
  <si>
    <t>AEF</t>
  </si>
  <si>
    <t>PowerTrack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</si>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</sst>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9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7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49" fontId="31" fillId="38" borderId="1" xfId="2" applyNumberFormat="1" applyFont="1" applyFill="1" applyBorder="1" applyAlignment="1">
      <alignment vertical="top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49" fontId="29" fillId="0" borderId="1" xfId="0" applyNumberFormat="1" applyFont="1" applyBorder="1" applyAlignment="1">
      <alignment vertical="center" wrapText="1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164" fontId="29" fillId="44" borderId="1" xfId="1" applyNumberFormat="1" applyFont="1" applyFill="1" applyBorder="1" applyAlignment="1">
      <alignment horizontal="center" vertical="center"/>
    </xf>
    <xf numFmtId="9" fontId="31" fillId="3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center" vertical="center"/>
    </xf>
    <xf numFmtId="0" fontId="28" fillId="40" borderId="1" xfId="0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vertical="center" wrapText="1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7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left" vertical="top"/>
    </xf>
    <xf numFmtId="164" fontId="29" fillId="0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0" fontId="31" fillId="0" borderId="0" xfId="0" applyFont="1" applyAlignment="1">
      <alignment wrapText="1"/>
    </xf>
    <xf numFmtId="49" fontId="29" fillId="0" borderId="0" xfId="0" applyNumberFormat="1" applyFont="1" applyAlignment="1">
      <alignment horizontal="left" vertical="top" wrapText="1"/>
    </xf>
    <xf numFmtId="0" fontId="38" fillId="0" borderId="0" xfId="0" applyFon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6" totalsRowShown="0">
  <autoFilter ref="A3:E1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E22" sqref="E2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MN8 Bond</v>
      </c>
      <c r="B1" s="94"/>
      <c r="C1" s="94"/>
      <c r="D1" s="95" t="s">
        <v>0</v>
      </c>
      <c r="E1" s="95"/>
      <c r="F1" s="95"/>
      <c r="G1" s="93" t="s">
        <v>1</v>
      </c>
      <c r="H1" s="93"/>
      <c r="I1" s="93"/>
    </row>
    <row r="2" spans="1:9" ht="19.5" customHeight="1">
      <c r="A2" s="96" t="s">
        <v>2</v>
      </c>
      <c r="B2" s="96"/>
      <c r="C2" s="5">
        <f>SUM(C4:C91)</f>
        <v>22669433.782821454</v>
      </c>
      <c r="D2" s="5">
        <f>SUM(D4:D91)</f>
        <v>23974892.780000001</v>
      </c>
      <c r="E2" s="5">
        <f>C2-D2</f>
        <v>-1305458.9971785471</v>
      </c>
      <c r="F2" s="6">
        <f>IFERROR(E2/D2, 0)</f>
        <v>-5.4451088026035668E-2</v>
      </c>
      <c r="G2" s="5">
        <f>SUM(G4:G91)</f>
        <v>23315212.839999996</v>
      </c>
      <c r="H2" s="7">
        <f>C2-G2</f>
        <v>-645779.05717854202</v>
      </c>
      <c r="I2" s="6">
        <f>IFERROR(H2/G2, 0)</f>
        <v>-2.769775517856873E-2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4" t="str" cm="1">
        <f t="array" ref="A4:A16">Sites[Site]</f>
        <v>Grafton II</v>
      </c>
      <c r="B4" s="75" t="str" cm="1">
        <f t="array" ref="B4:B16">Sites[State]</f>
        <v>MA</v>
      </c>
      <c r="C4" s="68">
        <f>SUM('1st Qtr'!C4, '2nd Qtr'!C4, '3rd Qtr'!C4, '4th Qtr'!C4)</f>
        <v>3574552.8407960208</v>
      </c>
      <c r="D4" s="56">
        <f>SUM('1st Qtr'!D4, '2nd Qtr'!D4, '3rd Qtr'!D4, '4th Qtr'!D4)</f>
        <v>3388155.4</v>
      </c>
      <c r="E4" s="56">
        <f>IF(AND(ISNUMBER(C4),ISNUMBER(D4)), C4-D4, "")</f>
        <v>186397.44079602091</v>
      </c>
      <c r="F4" s="69">
        <f>IFERROR(E4/D4, "")</f>
        <v>5.5014430800907455E-2</v>
      </c>
      <c r="G4" s="58">
        <f>SUM('1st Qtr'!G4, '2nd Qtr'!G4, '3rd Qtr'!G4, '4th Qtr'!G4)</f>
        <v>3736663</v>
      </c>
      <c r="H4" s="58">
        <f>SUM('1st Qtr'!H4, '2nd Qtr'!H4, '3rd Qtr'!H4, '4th Qtr'!H4)</f>
        <v>-162110.15920397901</v>
      </c>
      <c r="I4" s="57">
        <f>IFERROR(H4/G4, "")</f>
        <v>-4.3383671260688754E-2</v>
      </c>
    </row>
    <row r="5" spans="1:9" ht="15.75">
      <c r="A5" s="76" t="str">
        <v>Clara Barton</v>
      </c>
      <c r="B5" s="77" t="str">
        <v>MA</v>
      </c>
      <c r="C5" s="71">
        <f>SUM('1st Qtr'!C5, '2nd Qtr'!C5, '3rd Qtr'!C5, '4th Qtr'!C5)</f>
        <v>1312618.9995365879</v>
      </c>
      <c r="D5" s="62">
        <f>SUM('1st Qtr'!D5, '2nd Qtr'!D5, '3rd Qtr'!D5, '4th Qtr'!D5)</f>
        <v>1351311.7200000002</v>
      </c>
      <c r="E5" s="62">
        <f t="shared" ref="E5:E15" si="0">IF(AND(ISNUMBER(C5),ISNUMBER(D5)), C5-D5, "")</f>
        <v>-38692.720463412348</v>
      </c>
      <c r="F5" s="63">
        <f>IFERROR(E5/D5, "")</f>
        <v>-2.8633452881924492E-2</v>
      </c>
      <c r="G5" s="64">
        <f>SUM('1st Qtr'!G5, '2nd Qtr'!G5, '3rd Qtr'!G5, '4th Qtr'!G5)</f>
        <v>1369271.28</v>
      </c>
      <c r="H5" s="64">
        <f>SUM(Jan!H5, Feb!H5, Mar!H5)</f>
        <v>-59831.780463412106</v>
      </c>
      <c r="I5" s="63">
        <f>IFERROR(H5/G5, "")</f>
        <v>-4.3696074939519734E-2</v>
      </c>
    </row>
    <row r="6" spans="1:9" ht="15.75">
      <c r="A6" s="74" t="str">
        <v>Fairhaven Solar</v>
      </c>
      <c r="B6" s="75" t="str">
        <v>MA</v>
      </c>
      <c r="C6" s="68">
        <f>SUM('1st Qtr'!C6, '2nd Qtr'!C6, '3rd Qtr'!C6, '4th Qtr'!C6)</f>
        <v>1011621</v>
      </c>
      <c r="D6" s="56">
        <f>SUM('1st Qtr'!D6, '2nd Qtr'!D6, '3rd Qtr'!D6, '4th Qtr'!D6)</f>
        <v>1067544.6400000001</v>
      </c>
      <c r="E6" s="56">
        <f t="shared" si="0"/>
        <v>-55923.64000000013</v>
      </c>
      <c r="F6" s="69">
        <f t="shared" ref="F6:F15" si="1">IFERROR(E6/D6, "")</f>
        <v>-5.2385294164373424E-2</v>
      </c>
      <c r="G6" s="58">
        <f>SUM('1st Qtr'!G6, '2nd Qtr'!G6, '3rd Qtr'!G6, '4th Qtr'!G6)</f>
        <v>1037086.8899999999</v>
      </c>
      <c r="H6" s="58">
        <f>SUM(Jan!H6, Feb!H6, Mar!H6)</f>
        <v>1599.6099999999933</v>
      </c>
      <c r="I6" s="57">
        <f t="shared" ref="I6:I15" si="2">IFERROR(H6/G6, "")</f>
        <v>1.5424069240717077E-3</v>
      </c>
    </row>
    <row r="7" spans="1:9" ht="15.75">
      <c r="A7" s="76" t="str">
        <v>Plympton-1</v>
      </c>
      <c r="B7" s="77" t="str">
        <v>MA</v>
      </c>
      <c r="C7" s="71">
        <f>SUM('1st Qtr'!C7, '2nd Qtr'!C7, '3rd Qtr'!C7, '4th Qtr'!C7)</f>
        <v>1356311.9950888441</v>
      </c>
      <c r="D7" s="62">
        <f>SUM('1st Qtr'!D7, '2nd Qtr'!D7, '3rd Qtr'!D7, '4th Qtr'!D7)</f>
        <v>1400489.33</v>
      </c>
      <c r="E7" s="62">
        <f t="shared" si="0"/>
        <v>-44177.33491115598</v>
      </c>
      <c r="F7" s="63">
        <f t="shared" si="1"/>
        <v>-3.1544213843568501E-2</v>
      </c>
      <c r="G7" s="64">
        <f>SUM('1st Qtr'!G7, '2nd Qtr'!G7, '3rd Qtr'!G7, '4th Qtr'!G7)</f>
        <v>1352277.5299999998</v>
      </c>
      <c r="H7" s="64">
        <f>SUM(Jan!H7, Feb!H7, Mar!H7)</f>
        <v>-21065.929999999993</v>
      </c>
      <c r="I7" s="63">
        <f t="shared" si="2"/>
        <v>-1.5578111395521003E-2</v>
      </c>
    </row>
    <row r="8" spans="1:9" ht="15.75">
      <c r="A8" s="74" t="str">
        <v>French River 2</v>
      </c>
      <c r="B8" s="75" t="str">
        <v>MA</v>
      </c>
      <c r="C8" s="68">
        <f>SUM('1st Qtr'!C8, '2nd Qtr'!C8, '3rd Qtr'!C8, '4th Qtr'!C8)</f>
        <v>1349964.1099999999</v>
      </c>
      <c r="D8" s="56">
        <f>SUM('1st Qtr'!D8, '2nd Qtr'!D8, '3rd Qtr'!D8, '4th Qtr'!D8)</f>
        <v>1500426.37</v>
      </c>
      <c r="E8" s="56">
        <f t="shared" si="0"/>
        <v>-150462.26000000024</v>
      </c>
      <c r="F8" s="69">
        <f t="shared" si="1"/>
        <v>-0.10027966917163701</v>
      </c>
      <c r="G8" s="58">
        <f>SUM('1st Qtr'!G8, '2nd Qtr'!G8, '3rd Qtr'!G8, '4th Qtr'!G8)</f>
        <v>1356796</v>
      </c>
      <c r="H8" s="58">
        <f>SUM(Jan!H8, Feb!H8, Mar!H8)</f>
        <v>-12609.89</v>
      </c>
      <c r="I8" s="57">
        <f t="shared" si="2"/>
        <v>-9.2938732130696134E-3</v>
      </c>
    </row>
    <row r="9" spans="1:9" ht="15.75">
      <c r="A9" s="76" t="str">
        <v>French River 3</v>
      </c>
      <c r="B9" s="77" t="str">
        <v>MA</v>
      </c>
      <c r="C9" s="71">
        <f>SUM('1st Qtr'!C9, '2nd Qtr'!C9, '3rd Qtr'!C9, '4th Qtr'!C9)</f>
        <v>2638740.12</v>
      </c>
      <c r="D9" s="62">
        <f>SUM('1st Qtr'!D9, '2nd Qtr'!D9, '3rd Qtr'!D9, '4th Qtr'!D9)</f>
        <v>2702154.3999999994</v>
      </c>
      <c r="E9" s="62">
        <f t="shared" si="0"/>
        <v>-63414.279999999329</v>
      </c>
      <c r="F9" s="63">
        <f t="shared" si="1"/>
        <v>-2.3468044609145703E-2</v>
      </c>
      <c r="G9" s="64">
        <f>SUM('1st Qtr'!G9, '2nd Qtr'!G9, '3rd Qtr'!G9, '4th Qtr'!G9)</f>
        <v>2596697.6000000006</v>
      </c>
      <c r="H9" s="64">
        <f>SUM(Jan!H9, Feb!H9, Mar!H9)</f>
        <v>-5460.9800000000105</v>
      </c>
      <c r="I9" s="63">
        <f t="shared" si="2"/>
        <v>-2.103048117732311E-3</v>
      </c>
    </row>
    <row r="10" spans="1:9" ht="15.75">
      <c r="A10" s="74" t="str">
        <v>French River 4</v>
      </c>
      <c r="B10" s="75" t="str">
        <v>MA</v>
      </c>
      <c r="C10" s="68">
        <f>SUM('1st Qtr'!C10, '2nd Qtr'!C10, '3rd Qtr'!C10, '4th Qtr'!C10)</f>
        <v>2675501.6364000011</v>
      </c>
      <c r="D10" s="56">
        <f>SUM('1st Qtr'!D10, '2nd Qtr'!D10, '3rd Qtr'!D10, '4th Qtr'!D10)</f>
        <v>2907051.5</v>
      </c>
      <c r="E10" s="56">
        <f t="shared" si="0"/>
        <v>-231549.86359999888</v>
      </c>
      <c r="F10" s="69">
        <f t="shared" si="1"/>
        <v>-7.9651104770589329E-2</v>
      </c>
      <c r="G10" s="58">
        <f>SUM('1st Qtr'!G10, '2nd Qtr'!G10, '3rd Qtr'!G10, '4th Qtr'!G10)</f>
        <v>2706848.2</v>
      </c>
      <c r="H10" s="58">
        <f>SUM(Jan!H10, Feb!H10, Mar!H10)</f>
        <v>-37845.963599998795</v>
      </c>
      <c r="I10" s="57">
        <f t="shared" si="2"/>
        <v>-1.3981561138152776E-2</v>
      </c>
    </row>
    <row r="11" spans="1:9" ht="15.75">
      <c r="A11" s="76" t="str">
        <v>French River 5</v>
      </c>
      <c r="B11" s="77" t="str">
        <v>MA</v>
      </c>
      <c r="C11" s="71">
        <f>SUM('1st Qtr'!C11, '2nd Qtr'!C11, '3rd Qtr'!C11, '4th Qtr'!C11)</f>
        <v>2468115.39</v>
      </c>
      <c r="D11" s="62">
        <f>SUM('1st Qtr'!D11, '2nd Qtr'!D11, '3rd Qtr'!D11, '4th Qtr'!D11)</f>
        <v>2810949.5</v>
      </c>
      <c r="E11" s="62">
        <f t="shared" si="0"/>
        <v>-342834.10999999987</v>
      </c>
      <c r="F11" s="63">
        <f t="shared" si="1"/>
        <v>-0.12196380973759929</v>
      </c>
      <c r="G11" s="64">
        <f>SUM('1st Qtr'!G11, '2nd Qtr'!G11, '3rd Qtr'!G11, '4th Qtr'!G11)</f>
        <v>2657812.2000000002</v>
      </c>
      <c r="H11" s="64">
        <f>SUM(Jan!H11, Feb!H11, Mar!H11)</f>
        <v>-90612.409999999974</v>
      </c>
      <c r="I11" s="63">
        <f t="shared" si="2"/>
        <v>-3.4092856523120774E-2</v>
      </c>
    </row>
    <row r="12" spans="1:9" ht="15.75">
      <c r="A12" s="74" t="str">
        <v>French River 6</v>
      </c>
      <c r="B12" s="75" t="str">
        <v>MA</v>
      </c>
      <c r="C12" s="68">
        <f>SUM('1st Qtr'!C12, '2nd Qtr'!C12, '3rd Qtr'!C12, '4th Qtr'!C12)</f>
        <v>2401200.4299999997</v>
      </c>
      <c r="D12" s="56">
        <f>SUM('1st Qtr'!D12, '2nd Qtr'!D12, '3rd Qtr'!D12, '4th Qtr'!D12)</f>
        <v>2395863.9</v>
      </c>
      <c r="E12" s="56">
        <f t="shared" si="0"/>
        <v>5336.5299999997951</v>
      </c>
      <c r="F12" s="69">
        <f t="shared" si="1"/>
        <v>2.2273927997328211E-3</v>
      </c>
      <c r="G12" s="58">
        <f>SUM('1st Qtr'!G12, '2nd Qtr'!G12, '3rd Qtr'!G12, '4th Qtr'!G12)</f>
        <v>2549940.2999999998</v>
      </c>
      <c r="H12" s="58">
        <f>SUM(Jan!H12, Feb!H12, Mar!H12)</f>
        <v>-80776.570000000036</v>
      </c>
      <c r="I12" s="57">
        <f t="shared" si="2"/>
        <v>-3.1677827908363203E-2</v>
      </c>
    </row>
    <row r="13" spans="1:9" ht="15.75">
      <c r="A13" s="76" t="str">
        <v>Stillwater River 1A</v>
      </c>
      <c r="B13" s="77" t="str">
        <v>MA</v>
      </c>
      <c r="C13" s="71">
        <f>SUM('1st Qtr'!C13, '2nd Qtr'!C13, '3rd Qtr'!C13, '4th Qtr'!C13)</f>
        <v>673868.02749999997</v>
      </c>
      <c r="D13" s="62">
        <f>SUM('1st Qtr'!D13, '2nd Qtr'!D13, '3rd Qtr'!D13, '4th Qtr'!D13)</f>
        <v>679092.8</v>
      </c>
      <c r="E13" s="62">
        <f t="shared" si="0"/>
        <v>-5224.7725000000792</v>
      </c>
      <c r="F13" s="63">
        <f t="shared" si="1"/>
        <v>-7.6937533426949586E-3</v>
      </c>
      <c r="G13" s="64">
        <f>SUM('1st Qtr'!G13, '2nd Qtr'!G13, '3rd Qtr'!G13, '4th Qtr'!G13)</f>
        <v>654316.5</v>
      </c>
      <c r="H13" s="64">
        <f>SUM(Jan!H13, Feb!H13, Mar!H13)</f>
        <v>3513.7800000000134</v>
      </c>
      <c r="I13" s="63">
        <f t="shared" si="2"/>
        <v>5.3701534349202768E-3</v>
      </c>
    </row>
    <row r="14" spans="1:9" ht="15.75">
      <c r="A14" s="74" t="str">
        <v>Stillwater River 2</v>
      </c>
      <c r="B14" s="75" t="str">
        <v>MA</v>
      </c>
      <c r="C14" s="68">
        <f>SUM('1st Qtr'!C14, '2nd Qtr'!C14, '3rd Qtr'!C14, '4th Qtr'!C14)</f>
        <v>1329452.1200000001</v>
      </c>
      <c r="D14" s="56">
        <f>SUM('1st Qtr'!D14, '2nd Qtr'!D14, '3rd Qtr'!D14, '4th Qtr'!D14)</f>
        <v>1545078.9800000002</v>
      </c>
      <c r="E14" s="56">
        <f t="shared" si="0"/>
        <v>-215626.8600000001</v>
      </c>
      <c r="F14" s="69">
        <f t="shared" si="1"/>
        <v>-0.13955717655287761</v>
      </c>
      <c r="G14" s="58">
        <f>SUM('1st Qtr'!G14, '2nd Qtr'!G14, '3rd Qtr'!G14, '4th Qtr'!G14)</f>
        <v>1370189.49</v>
      </c>
      <c r="H14" s="58">
        <f>SUM(Jan!H14, Feb!H14, Mar!H14)</f>
        <v>-38015.669999999911</v>
      </c>
      <c r="I14" s="57">
        <f t="shared" si="2"/>
        <v>-2.7744826739256271E-2</v>
      </c>
    </row>
    <row r="15" spans="1:9" ht="15.75">
      <c r="A15" s="76" t="str">
        <v>Stillwater River 3</v>
      </c>
      <c r="B15" s="77" t="str">
        <v>MA</v>
      </c>
      <c r="C15" s="71">
        <f>SUM('1st Qtr'!C15, '2nd Qtr'!C15, '3rd Qtr'!C15, '4th Qtr'!C15)</f>
        <v>1331818.3999999999</v>
      </c>
      <c r="D15" s="62">
        <f>SUM('1st Qtr'!D15, '2nd Qtr'!D15, '3rd Qtr'!D15, '4th Qtr'!D15)</f>
        <v>1493545.1600000001</v>
      </c>
      <c r="E15" s="62">
        <f t="shared" si="0"/>
        <v>-161726.76000000024</v>
      </c>
      <c r="F15" s="63">
        <f t="shared" si="1"/>
        <v>-0.10828380977780426</v>
      </c>
      <c r="G15" s="64">
        <f>SUM('1st Qtr'!G15, '2nd Qtr'!G15, '3rd Qtr'!G15, '4th Qtr'!G15)</f>
        <v>1348929.29</v>
      </c>
      <c r="H15" s="64">
        <f>SUM(Jan!H15, Feb!H15, Mar!H15)</f>
        <v>-30572.690000000017</v>
      </c>
      <c r="I15" s="63">
        <f t="shared" si="2"/>
        <v>-2.2664412602383343E-2</v>
      </c>
    </row>
    <row r="16" spans="1:9" ht="15.75">
      <c r="A16" s="74" t="str">
        <v>Stillwater River 4</v>
      </c>
      <c r="B16" s="75" t="str">
        <v>MA</v>
      </c>
      <c r="C16" s="68">
        <f>SUM('1st Qtr'!C16, '2nd Qtr'!C16, '3rd Qtr'!C16, '4th Qtr'!C16)</f>
        <v>545668.71350000007</v>
      </c>
      <c r="D16" s="56">
        <f>SUM('1st Qtr'!D16, '2nd Qtr'!D16, '3rd Qtr'!D16, '4th Qtr'!D16)</f>
        <v>733229.08000000007</v>
      </c>
      <c r="E16" s="56">
        <f t="shared" ref="E16" si="3">IF(AND(ISNUMBER(C16),ISNUMBER(D16)), C16-D16, "")</f>
        <v>-187560.3665</v>
      </c>
      <c r="F16" s="69">
        <f t="shared" ref="F16" si="4">IFERROR(E16/D16, "")</f>
        <v>-0.2558005016658641</v>
      </c>
      <c r="G16" s="58">
        <f>SUM('1st Qtr'!G16, '2nd Qtr'!G16, '3rd Qtr'!G16, '4th Qtr'!G16)</f>
        <v>578384.56000000006</v>
      </c>
      <c r="H16" s="58">
        <f>SUM(Jan!H16, Feb!H16, Mar!H16)</f>
        <v>-28589.281500000005</v>
      </c>
      <c r="I16" s="57">
        <f t="shared" ref="I16" si="5">IFERROR(H16/G16, "")</f>
        <v>-4.9429537849350613E-2</v>
      </c>
    </row>
    <row r="17" spans="1:9" ht="14.25">
      <c r="A17" s="19"/>
      <c r="B17" s="19"/>
      <c r="C17" s="86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D4" sqref="D4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MN8 Bond</v>
      </c>
      <c r="B1" s="94"/>
      <c r="C1" s="94"/>
      <c r="D1" s="95" t="s">
        <v>10</v>
      </c>
      <c r="E1" s="95"/>
      <c r="F1" s="95"/>
      <c r="G1" s="93" t="s">
        <v>11</v>
      </c>
      <c r="H1" s="93"/>
      <c r="I1" s="93"/>
    </row>
    <row r="2" spans="1:9" ht="19.5" customHeight="1">
      <c r="A2" s="96" t="s">
        <v>2</v>
      </c>
      <c r="B2" s="96"/>
      <c r="C2" s="5">
        <f>SUM(C4:C91)</f>
        <v>5209766.1952326093</v>
      </c>
      <c r="D2" s="5">
        <f>SUM(D4:D91)</f>
        <v>5804753.6400000015</v>
      </c>
      <c r="E2" s="5">
        <f>C2-D2</f>
        <v>-594987.44476739224</v>
      </c>
      <c r="F2" s="6">
        <f>IFERROR(E2/D2, 0)</f>
        <v>-0.10250003388040291</v>
      </c>
      <c r="G2" s="5">
        <f>SUM(G4:G91)</f>
        <v>5740352.129999999</v>
      </c>
      <c r="H2" s="7">
        <f>C2-G2</f>
        <v>-530585.93476738967</v>
      </c>
      <c r="I2" s="6">
        <f>IFERROR(H2/G2, 0)</f>
        <v>-9.2430903671303133E-2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SUM(Jan!C4, Feb!C4, Mar!C4)</f>
        <v>816220.84079602</v>
      </c>
      <c r="D4" s="56">
        <f>SUM(Jan!D4, Feb!D4, Mar!D4)</f>
        <v>874147.8</v>
      </c>
      <c r="E4" s="56">
        <f>IF(AND(ISNUMBER(C4),ISNUMBER(D4)), C4-D4, "")</f>
        <v>-57926.959203980048</v>
      </c>
      <c r="F4" s="69">
        <f>IFERROR(E4/D4, "")</f>
        <v>-6.626677914647848E-2</v>
      </c>
      <c r="G4" s="58">
        <f>SUM(Jan!G4, Feb!G4, Mar!G4)</f>
        <v>946539</v>
      </c>
      <c r="H4" s="58">
        <f>SUM(Jan!H4, Feb!H4, Mar!H4)</f>
        <v>-130318.15920398</v>
      </c>
      <c r="I4" s="57">
        <f>IFERROR(H4/G4, "")</f>
        <v>-0.13767859454706038</v>
      </c>
    </row>
    <row r="5" spans="1:9" ht="15.75">
      <c r="A5" s="79" t="str">
        <v>Clara Barton</v>
      </c>
      <c r="B5" s="77" t="str">
        <v>MA</v>
      </c>
      <c r="C5" s="71">
        <f>SUM(Jan!C5, Feb!C5, Mar!C5)</f>
        <v>271481.99953658786</v>
      </c>
      <c r="D5" s="62">
        <f>SUM(Jan!D5, Feb!D5, Mar!D5)</f>
        <v>311908.02</v>
      </c>
      <c r="E5" s="62">
        <f t="shared" ref="E5:E15" si="0">IF(AND(ISNUMBER(C5),ISNUMBER(D5)), C5-D5, "")</f>
        <v>-40426.020463412162</v>
      </c>
      <c r="F5" s="63">
        <f>IFERROR(E5/D5, "")</f>
        <v>-0.12960878807608781</v>
      </c>
      <c r="G5" s="64">
        <f>SUM(Jan!G5, Feb!G5, Mar!G5)</f>
        <v>331313.78000000003</v>
      </c>
      <c r="H5" s="64">
        <f>SUM(Jan!H5, Feb!H5, Mar!H5)</f>
        <v>-59831.780463412106</v>
      </c>
      <c r="I5" s="63">
        <f>IFERROR(H5/G5, "")</f>
        <v>-0.18058947159822963</v>
      </c>
    </row>
    <row r="6" spans="1:9" ht="15.75">
      <c r="A6" s="78" t="str">
        <v>Fairhaven Solar</v>
      </c>
      <c r="B6" s="75" t="str">
        <v>MA</v>
      </c>
      <c r="C6" s="68">
        <f>SUM(Jan!C6, Feb!C6, Mar!C6)</f>
        <v>250961</v>
      </c>
      <c r="D6" s="56">
        <f>SUM(Jan!D6, Feb!D6, Mar!D6)</f>
        <v>274575.83999999997</v>
      </c>
      <c r="E6" s="56">
        <f t="shared" si="0"/>
        <v>-23614.839999999967</v>
      </c>
      <c r="F6" s="69">
        <f t="shared" ref="F6:F15" si="1">IFERROR(E6/D6, "")</f>
        <v>-8.6004799256919215E-2</v>
      </c>
      <c r="G6" s="58">
        <f>SUM(Jan!G6, Feb!G6, Mar!G6)</f>
        <v>249361.39</v>
      </c>
      <c r="H6" s="58">
        <f>SUM(Jan!H6, Feb!H6, Mar!H6)</f>
        <v>1599.6099999999933</v>
      </c>
      <c r="I6" s="57">
        <f t="shared" ref="I6:I15" si="2">IFERROR(H6/G6, "")</f>
        <v>6.4148262888653017E-3</v>
      </c>
    </row>
    <row r="7" spans="1:9" ht="15.75">
      <c r="A7" s="79" t="str">
        <v>Plympton-1</v>
      </c>
      <c r="B7" s="77" t="str">
        <v>MA</v>
      </c>
      <c r="C7" s="71">
        <f>SUM(Jan!C7, Feb!C7, Mar!C7)</f>
        <v>297435</v>
      </c>
      <c r="D7" s="62">
        <f>SUM(Jan!D7, Feb!D7, Mar!D7)</f>
        <v>317931.23</v>
      </c>
      <c r="E7" s="62">
        <f t="shared" si="0"/>
        <v>-20496.229999999981</v>
      </c>
      <c r="F7" s="63">
        <f t="shared" si="1"/>
        <v>-6.4467495061746469E-2</v>
      </c>
      <c r="G7" s="64">
        <f>SUM(Jan!G7, Feb!G7, Mar!G7)</f>
        <v>318500.93</v>
      </c>
      <c r="H7" s="64">
        <f>SUM(Jan!H7, Feb!H7, Mar!H7)</f>
        <v>-21065.929999999993</v>
      </c>
      <c r="I7" s="63">
        <f t="shared" si="2"/>
        <v>-6.6140874376724723E-2</v>
      </c>
    </row>
    <row r="8" spans="1:9" ht="15.75">
      <c r="A8" s="78" t="str">
        <v>French River 2</v>
      </c>
      <c r="B8" s="75" t="str">
        <v>MA</v>
      </c>
      <c r="C8" s="68">
        <f>SUM(Jan!C8, Feb!C8, Mar!C8)</f>
        <v>320252.11</v>
      </c>
      <c r="D8" s="56">
        <f>SUM(Jan!D8, Feb!D8, Mar!D8)</f>
        <v>372903.77</v>
      </c>
      <c r="E8" s="56">
        <f t="shared" si="0"/>
        <v>-52651.660000000033</v>
      </c>
      <c r="F8" s="69">
        <f t="shared" si="1"/>
        <v>-0.14119369187391168</v>
      </c>
      <c r="G8" s="58">
        <f>SUM(Jan!G8, Feb!G8, Mar!G8)</f>
        <v>332862</v>
      </c>
      <c r="H8" s="58">
        <f>SUM(Jan!H8, Feb!H8, Mar!H8)</f>
        <v>-12609.89</v>
      </c>
      <c r="I8" s="57">
        <f t="shared" si="2"/>
        <v>-3.7883236896972317E-2</v>
      </c>
    </row>
    <row r="9" spans="1:9" ht="15.75">
      <c r="A9" s="79" t="str">
        <v>French River 3</v>
      </c>
      <c r="B9" s="77" t="str">
        <v>MA</v>
      </c>
      <c r="C9" s="71">
        <f>SUM(Jan!C9, Feb!C9, Mar!C9)</f>
        <v>632578.12</v>
      </c>
      <c r="D9" s="62">
        <f>SUM(Jan!D9, Feb!D9, Mar!D9)</f>
        <v>566613.69999999995</v>
      </c>
      <c r="E9" s="62">
        <f t="shared" si="0"/>
        <v>65964.420000000042</v>
      </c>
      <c r="F9" s="63">
        <f t="shared" si="1"/>
        <v>0.11641868172266227</v>
      </c>
      <c r="G9" s="64">
        <f>SUM(Jan!G9, Feb!G9, Mar!G9)</f>
        <v>638039.10000000009</v>
      </c>
      <c r="H9" s="64">
        <f>SUM(Jan!H9, Feb!H9, Mar!H9)</f>
        <v>-5460.9800000000105</v>
      </c>
      <c r="I9" s="63">
        <f t="shared" si="2"/>
        <v>-8.5590052396475533E-3</v>
      </c>
    </row>
    <row r="10" spans="1:9" ht="15.75">
      <c r="A10" s="78" t="str">
        <v>French River 4</v>
      </c>
      <c r="B10" s="75" t="str">
        <v>MA</v>
      </c>
      <c r="C10" s="68">
        <f>SUM(Jan!C10, Feb!C10, Mar!C10)</f>
        <v>627309.63640000112</v>
      </c>
      <c r="D10" s="56">
        <f>SUM(Jan!D10, Feb!D10, Mar!D10)</f>
        <v>724748.1</v>
      </c>
      <c r="E10" s="56">
        <f t="shared" si="0"/>
        <v>-97438.463599998853</v>
      </c>
      <c r="F10" s="69">
        <f t="shared" si="1"/>
        <v>-0.13444459336974993</v>
      </c>
      <c r="G10" s="58">
        <f>SUM(Jan!G10, Feb!G10, Mar!G10)</f>
        <v>665155.6</v>
      </c>
      <c r="H10" s="58">
        <f>SUM(Jan!H10, Feb!H10, Mar!H10)</f>
        <v>-37845.963599998795</v>
      </c>
      <c r="I10" s="57">
        <f t="shared" si="2"/>
        <v>-5.6897910203264915E-2</v>
      </c>
    </row>
    <row r="11" spans="1:9" ht="15.75">
      <c r="A11" s="79" t="str">
        <v>French River 5</v>
      </c>
      <c r="B11" s="77" t="str">
        <v>MA</v>
      </c>
      <c r="C11" s="71">
        <f>SUM(Jan!C11, Feb!C11, Mar!C11)</f>
        <v>562261.39</v>
      </c>
      <c r="D11" s="62">
        <f>SUM(Jan!D11, Feb!D11, Mar!D11)</f>
        <v>701281.3</v>
      </c>
      <c r="E11" s="62">
        <f t="shared" si="0"/>
        <v>-139019.91000000003</v>
      </c>
      <c r="F11" s="63">
        <f t="shared" si="1"/>
        <v>-0.19823701273654384</v>
      </c>
      <c r="G11" s="64">
        <f>SUM(Jan!G11, Feb!G11, Mar!G11)</f>
        <v>652873.80000000005</v>
      </c>
      <c r="H11" s="64">
        <f>SUM(Jan!H11, Feb!H11, Mar!H11)</f>
        <v>-90612.409999999974</v>
      </c>
      <c r="I11" s="63">
        <f t="shared" si="2"/>
        <v>-0.13879008469937065</v>
      </c>
    </row>
    <row r="12" spans="1:9" ht="15.75">
      <c r="A12" s="78" t="str">
        <v>French River 6</v>
      </c>
      <c r="B12" s="75" t="str">
        <v>MA</v>
      </c>
      <c r="C12" s="68">
        <f>SUM(Jan!C12, Feb!C12, Mar!C12)</f>
        <v>545632.42999999993</v>
      </c>
      <c r="D12" s="56">
        <f>SUM(Jan!D12, Feb!D12, Mar!D12)</f>
        <v>605090.4</v>
      </c>
      <c r="E12" s="56">
        <f t="shared" si="0"/>
        <v>-59457.970000000088</v>
      </c>
      <c r="F12" s="69">
        <f t="shared" si="1"/>
        <v>-9.8262953766908356E-2</v>
      </c>
      <c r="G12" s="58">
        <f>SUM(Jan!G12, Feb!G12, Mar!G12)</f>
        <v>626409</v>
      </c>
      <c r="H12" s="58">
        <f>SUM(Jan!H12, Feb!H12, Mar!H12)</f>
        <v>-80776.570000000036</v>
      </c>
      <c r="I12" s="57">
        <f t="shared" si="2"/>
        <v>-0.12895180305519244</v>
      </c>
    </row>
    <row r="13" spans="1:9" ht="15.75">
      <c r="A13" s="79" t="str">
        <v>Stillwater River 1A</v>
      </c>
      <c r="B13" s="77" t="str">
        <v>MA</v>
      </c>
      <c r="C13" s="71">
        <f>SUM(Jan!C13, Feb!C13, Mar!C13)</f>
        <v>164251.25</v>
      </c>
      <c r="D13" s="62">
        <f>SUM(Jan!D13, Feb!D13, Mar!D13)</f>
        <v>145917.63</v>
      </c>
      <c r="E13" s="62">
        <f t="shared" si="0"/>
        <v>18333.619999999995</v>
      </c>
      <c r="F13" s="63">
        <f t="shared" si="1"/>
        <v>0.125643625105479</v>
      </c>
      <c r="G13" s="64">
        <f>SUM(Jan!G13, Feb!G13, Mar!G13)</f>
        <v>160737.47</v>
      </c>
      <c r="H13" s="64">
        <f>SUM(Jan!H13, Feb!H13, Mar!H13)</f>
        <v>3513.7800000000134</v>
      </c>
      <c r="I13" s="63">
        <f t="shared" si="2"/>
        <v>2.1860366472111408E-2</v>
      </c>
    </row>
    <row r="14" spans="1:9" ht="15.75">
      <c r="A14" s="78" t="str">
        <v>Stillwater River 2</v>
      </c>
      <c r="B14" s="75" t="str">
        <v>MA</v>
      </c>
      <c r="C14" s="68">
        <f>SUM(Jan!C14, Feb!C14, Mar!C14)</f>
        <v>298612.12000000011</v>
      </c>
      <c r="D14" s="56">
        <f>SUM(Jan!D14, Feb!D14, Mar!D14)</f>
        <v>373006.08000000002</v>
      </c>
      <c r="E14" s="56">
        <f t="shared" si="0"/>
        <v>-74393.959999999905</v>
      </c>
      <c r="F14" s="69">
        <f t="shared" si="1"/>
        <v>-0.19944436294443216</v>
      </c>
      <c r="G14" s="58">
        <f>SUM(Jan!G14, Feb!G14, Mar!G14)</f>
        <v>336627.79000000004</v>
      </c>
      <c r="H14" s="58">
        <f>SUM(Jan!H14, Feb!H14, Mar!H14)</f>
        <v>-38015.669999999911</v>
      </c>
      <c r="I14" s="57">
        <f t="shared" si="2"/>
        <v>-0.11293087240361203</v>
      </c>
    </row>
    <row r="15" spans="1:9" ht="15.75">
      <c r="A15" s="79" t="str">
        <v>Stillwater River 3</v>
      </c>
      <c r="B15" s="77" t="str">
        <v>MA</v>
      </c>
      <c r="C15" s="71">
        <f>SUM(Jan!C15, Feb!C15, Mar!C15)</f>
        <v>300820.40000000002</v>
      </c>
      <c r="D15" s="62">
        <f>SUM(Jan!D15, Feb!D15, Mar!D15)</f>
        <v>371261.36</v>
      </c>
      <c r="E15" s="62">
        <f t="shared" si="0"/>
        <v>-70440.959999999963</v>
      </c>
      <c r="F15" s="63">
        <f t="shared" si="1"/>
        <v>-0.18973415385861853</v>
      </c>
      <c r="G15" s="64">
        <f>SUM(Jan!G15, Feb!G15, Mar!G15)</f>
        <v>331393.08999999997</v>
      </c>
      <c r="H15" s="64">
        <f>SUM(Jan!H15, Feb!H15, Mar!H15)</f>
        <v>-30572.690000000017</v>
      </c>
      <c r="I15" s="63">
        <f t="shared" si="2"/>
        <v>-9.225506180590555E-2</v>
      </c>
    </row>
    <row r="16" spans="1:9" ht="15.75">
      <c r="A16" s="78" t="str">
        <v>Stillwater River 4</v>
      </c>
      <c r="B16" s="75" t="str">
        <v>MA</v>
      </c>
      <c r="C16" s="68">
        <f>SUM(Jan!C16, Feb!C16, Mar!C16)</f>
        <v>121949.89850000001</v>
      </c>
      <c r="D16" s="56">
        <f>SUM(Jan!D16, Feb!D16, Mar!D16)</f>
        <v>165368.40999999997</v>
      </c>
      <c r="E16" s="56">
        <f t="shared" ref="E16" si="3">IF(AND(ISNUMBER(C16),ISNUMBER(D16)), C16-D16, "")</f>
        <v>-43418.511499999964</v>
      </c>
      <c r="F16" s="69">
        <f t="shared" ref="F16" si="4">IFERROR(E16/D16, "")</f>
        <v>-0.26255626150121397</v>
      </c>
      <c r="G16" s="58">
        <f>SUM(Jan!G16, Feb!G16, Mar!G16)</f>
        <v>150539.18</v>
      </c>
      <c r="H16" s="58">
        <f>SUM(Jan!H16, Feb!H16, Mar!H16)</f>
        <v>-28589.281500000005</v>
      </c>
      <c r="I16" s="57">
        <f t="shared" ref="I16" si="5">IFERROR(H16/G16, "")</f>
        <v>-0.18991256296201431</v>
      </c>
    </row>
    <row r="17" spans="1:9" ht="14.25">
      <c r="A17" s="19"/>
      <c r="B17" s="9"/>
      <c r="C17" s="19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O29" sqref="O29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MN8 Bond</v>
      </c>
      <c r="B1" s="94"/>
      <c r="C1" s="94"/>
      <c r="D1" s="95" t="s">
        <v>12</v>
      </c>
      <c r="E1" s="95"/>
      <c r="F1" s="95"/>
      <c r="G1" s="93" t="s">
        <v>13</v>
      </c>
      <c r="H1" s="93"/>
      <c r="I1" s="93"/>
    </row>
    <row r="2" spans="1:9" ht="19.5" customHeight="1">
      <c r="A2" s="96" t="s">
        <v>2</v>
      </c>
      <c r="B2" s="96"/>
      <c r="C2" s="5">
        <f>SUM(C4:C91)</f>
        <v>8871453.4288388435</v>
      </c>
      <c r="D2" s="5">
        <f>SUM(D4:D91)</f>
        <v>9219914.8599999994</v>
      </c>
      <c r="E2" s="5">
        <f>C2-D2</f>
        <v>-348461.43116115592</v>
      </c>
      <c r="F2" s="6">
        <f>IFERROR(E2/D2, 0)</f>
        <v>-3.7794430474942145E-2</v>
      </c>
      <c r="G2" s="5">
        <f>SUM(G4:G91)</f>
        <v>8773584.0299999993</v>
      </c>
      <c r="H2" s="7">
        <f>C2-G2</f>
        <v>97869.39883884415</v>
      </c>
      <c r="I2" s="6">
        <f>IFERROR(H2/G2, 0)</f>
        <v>1.1155007862715388E-2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SUM(Apr!C4, May!C4, Jun!C4)</f>
        <v>1401773.810000001</v>
      </c>
      <c r="D4" s="56">
        <f>SUM(Apr!D4, May!D4, Jun!D4)</f>
        <v>1290931.7000000002</v>
      </c>
      <c r="E4" s="56">
        <f>IF(AND(ISNUMBER(C4),ISNUMBER(D4)), C4-D4, "")</f>
        <v>110842.1100000008</v>
      </c>
      <c r="F4" s="69">
        <f>IFERROR(E4/D4, "")</f>
        <v>8.5862102541908902E-2</v>
      </c>
      <c r="G4" s="58">
        <f>SUM(Apr!G4+May!G4+Jun!G4)</f>
        <v>1379105</v>
      </c>
      <c r="H4" s="58">
        <f>SUM(Apr!H4, May!H4, Jun!H4)</f>
        <v>22668.810000000987</v>
      </c>
      <c r="I4" s="57">
        <f>IFERROR(H4/G4, "")</f>
        <v>1.6437334358153286E-2</v>
      </c>
    </row>
    <row r="5" spans="1:9" ht="15.75">
      <c r="A5" s="79" t="str">
        <v>Clara Barton</v>
      </c>
      <c r="B5" s="77" t="str">
        <v>MA</v>
      </c>
      <c r="C5" s="71">
        <f>SUM(Apr!C5, May!C5, Jun!C5)</f>
        <v>526097</v>
      </c>
      <c r="D5" s="62">
        <f>SUM(Apr!D5, May!D5, Jun!D5)</f>
        <v>525286.30000000005</v>
      </c>
      <c r="E5" s="62">
        <f t="shared" ref="E5:E15" si="0">IF(AND(ISNUMBER(C5),ISNUMBER(D5)), C5-D5, "")</f>
        <v>810.69999999995343</v>
      </c>
      <c r="F5" s="63">
        <f>IFERROR(E5/D5, "")</f>
        <v>1.5433488366248147E-3</v>
      </c>
      <c r="G5" s="89">
        <f>SUM(Apr!G5+May!G5+Jun!G5)</f>
        <v>515243.2</v>
      </c>
      <c r="H5" s="64">
        <f>SUM(Apr!H5, May!H5, Jun!H5)</f>
        <v>10853.799999999988</v>
      </c>
      <c r="I5" s="63">
        <f>IFERROR(H5/G5, "")</f>
        <v>2.1065392032345091E-2</v>
      </c>
    </row>
    <row r="6" spans="1:9" ht="15.75">
      <c r="A6" s="78" t="str">
        <v>Fairhaven Solar</v>
      </c>
      <c r="B6" s="75" t="str">
        <v>MA</v>
      </c>
      <c r="C6" s="68">
        <f>SUM(Apr!C6, May!C6, Jun!C6)</f>
        <v>384318</v>
      </c>
      <c r="D6" s="56">
        <f>SUM(Apr!D6, May!D6, Jun!D6)</f>
        <v>393613.2</v>
      </c>
      <c r="E6" s="56">
        <f t="shared" si="0"/>
        <v>-9295.2000000000116</v>
      </c>
      <c r="F6" s="69">
        <f t="shared" ref="F6:F15" si="1">IFERROR(E6/D6, "")</f>
        <v>-2.3615061690004328E-2</v>
      </c>
      <c r="G6" s="58">
        <f>SUM(Apr!G6+May!G6+Jun!G6)</f>
        <v>397372.6</v>
      </c>
      <c r="H6" s="58">
        <f>SUM(Apr!H6, May!H6, Jun!H6)</f>
        <v>-13054.600000000006</v>
      </c>
      <c r="I6" s="57">
        <f t="shared" ref="I6:I15" si="2">IFERROR(H6/G6, "")</f>
        <v>-3.2852290268629507E-2</v>
      </c>
    </row>
    <row r="7" spans="1:9" ht="15.75">
      <c r="A7" s="79" t="str">
        <v>Plympton-1</v>
      </c>
      <c r="B7" s="77" t="str">
        <v>MA</v>
      </c>
      <c r="C7" s="71">
        <f>SUM(Apr!C7, May!C7, Jun!C7)</f>
        <v>543586.99508884398</v>
      </c>
      <c r="D7" s="62">
        <f>SUM(Apr!D7, May!D7, Jun!D7)</f>
        <v>551321.5</v>
      </c>
      <c r="E7" s="62">
        <f t="shared" si="0"/>
        <v>-7734.504911156022</v>
      </c>
      <c r="F7" s="63">
        <f t="shared" si="1"/>
        <v>-1.4029028273259836E-2</v>
      </c>
      <c r="G7" s="89">
        <f>SUM(Apr!G7+May!G7+Jun!G7)</f>
        <v>515103.99999999994</v>
      </c>
      <c r="H7" s="64">
        <f>SUM(Apr!H7, May!H7, Jun!H7)</f>
        <v>28482.995088844036</v>
      </c>
      <c r="I7" s="63">
        <f t="shared" si="2"/>
        <v>5.5295620086126374E-2</v>
      </c>
    </row>
    <row r="8" spans="1:9" ht="15.75">
      <c r="A8" s="78" t="str">
        <v>French River 2</v>
      </c>
      <c r="B8" s="75" t="str">
        <v>MA</v>
      </c>
      <c r="C8" s="68">
        <f>SUM(Apr!C8, May!C8, Jun!C8)</f>
        <v>521028</v>
      </c>
      <c r="D8" s="56">
        <f>SUM(Apr!D8, May!D8, Jun!D8)</f>
        <v>570681.4</v>
      </c>
      <c r="E8" s="56">
        <f t="shared" si="0"/>
        <v>-49653.400000000023</v>
      </c>
      <c r="F8" s="69">
        <f t="shared" si="1"/>
        <v>-8.7007216285654346E-2</v>
      </c>
      <c r="G8" s="58">
        <f>SUM(Apr!G8+May!G8+Jun!G8)</f>
        <v>510569</v>
      </c>
      <c r="H8" s="58">
        <f>SUM(Apr!H8, May!H8, Jun!H8)</f>
        <v>10459</v>
      </c>
      <c r="I8" s="57">
        <f t="shared" si="2"/>
        <v>2.0484988316956179E-2</v>
      </c>
    </row>
    <row r="9" spans="1:9" ht="15.75">
      <c r="A9" s="79" t="str">
        <v>French River 3</v>
      </c>
      <c r="B9" s="77" t="str">
        <v>MA</v>
      </c>
      <c r="C9" s="71">
        <f>SUM(Apr!C9, May!C9, Jun!C9)</f>
        <v>1022134</v>
      </c>
      <c r="D9" s="62">
        <f>SUM(Apr!D9, May!D9, Jun!D9)</f>
        <v>1083611.0999999999</v>
      </c>
      <c r="E9" s="62">
        <f t="shared" si="0"/>
        <v>-61477.09999999986</v>
      </c>
      <c r="F9" s="63">
        <f t="shared" si="1"/>
        <v>-5.6733545826542262E-2</v>
      </c>
      <c r="G9" s="89">
        <f>SUM(Apr!G9+May!G9+Jun!G9)</f>
        <v>977193.1</v>
      </c>
      <c r="H9" s="64">
        <f>SUM(Apr!H9, May!H9, Jun!H9)</f>
        <v>44940.900000000023</v>
      </c>
      <c r="I9" s="63">
        <f t="shared" si="2"/>
        <v>4.5989784414155223E-2</v>
      </c>
    </row>
    <row r="10" spans="1:9" ht="15.75">
      <c r="A10" s="78" t="str">
        <v>French River 4</v>
      </c>
      <c r="B10" s="75" t="str">
        <v>MA</v>
      </c>
      <c r="C10" s="68">
        <f>SUM(Apr!C10, May!C10, Jun!C10)</f>
        <v>1038020</v>
      </c>
      <c r="D10" s="56">
        <f>SUM(Apr!D10, May!D10, Jun!D10)</f>
        <v>1106160.3</v>
      </c>
      <c r="E10" s="56">
        <f t="shared" si="0"/>
        <v>-68140.300000000047</v>
      </c>
      <c r="F10" s="69">
        <f t="shared" si="1"/>
        <v>-6.1600746293281404E-2</v>
      </c>
      <c r="G10" s="58">
        <f>SUM(Apr!G10+May!G10+Jun!G10)</f>
        <v>1018616.5</v>
      </c>
      <c r="H10" s="58">
        <f>SUM(Apr!H10, May!H10, Jun!H10)</f>
        <v>19403.5</v>
      </c>
      <c r="I10" s="57">
        <f t="shared" si="2"/>
        <v>1.9048876588981231E-2</v>
      </c>
    </row>
    <row r="11" spans="1:9" ht="15.75">
      <c r="A11" s="79" t="str">
        <v>French River 5</v>
      </c>
      <c r="B11" s="77" t="str">
        <v>MA</v>
      </c>
      <c r="C11" s="71">
        <f>SUM(Apr!C11, May!C11, Jun!C11)</f>
        <v>966230</v>
      </c>
      <c r="D11" s="62">
        <f>SUM(Apr!D11, May!D11, Jun!D11)</f>
        <v>1071581.8</v>
      </c>
      <c r="E11" s="62">
        <f t="shared" si="0"/>
        <v>-105351.80000000005</v>
      </c>
      <c r="F11" s="63">
        <f t="shared" si="1"/>
        <v>-9.8314286412852517E-2</v>
      </c>
      <c r="G11" s="89">
        <f>SUM(Apr!G11+May!G11+Jun!G11)</f>
        <v>1000309.0999999999</v>
      </c>
      <c r="H11" s="64">
        <f>SUM(Apr!H11, May!H11, Jun!H11)</f>
        <v>-34079.099999999977</v>
      </c>
      <c r="I11" s="63">
        <f t="shared" si="2"/>
        <v>-3.4068569405196834E-2</v>
      </c>
    </row>
    <row r="12" spans="1:9" ht="15.75">
      <c r="A12" s="78" t="str">
        <v>French River 6</v>
      </c>
      <c r="B12" s="75" t="str">
        <v>MA</v>
      </c>
      <c r="C12" s="68">
        <f>SUM(Apr!C12, May!C12, Jun!C12)</f>
        <v>946130</v>
      </c>
      <c r="D12" s="56">
        <f>SUM(Apr!D12, May!D12, Jun!D12)</f>
        <v>915179.1</v>
      </c>
      <c r="E12" s="56">
        <f t="shared" si="0"/>
        <v>30950.900000000023</v>
      </c>
      <c r="F12" s="69">
        <f t="shared" si="1"/>
        <v>3.3819500467176342E-2</v>
      </c>
      <c r="G12" s="58">
        <f>SUM(Apr!G12+May!G12+Jun!G12)</f>
        <v>959687.1</v>
      </c>
      <c r="H12" s="58">
        <f>SUM(Apr!H12, May!H12, Jun!H12)</f>
        <v>-13557.099999999977</v>
      </c>
      <c r="I12" s="57">
        <f t="shared" si="2"/>
        <v>-1.4126583549992468E-2</v>
      </c>
    </row>
    <row r="13" spans="1:9" ht="15.75">
      <c r="A13" s="79" t="str">
        <v>Stillwater River 1A</v>
      </c>
      <c r="B13" s="77" t="str">
        <v>MA</v>
      </c>
      <c r="C13" s="71">
        <f>SUM(Apr!C13, May!C13, Jun!C13)</f>
        <v>257903.5275</v>
      </c>
      <c r="D13" s="62">
        <f>SUM(Apr!D13, May!D13, Jun!D13)</f>
        <v>269560.55</v>
      </c>
      <c r="E13" s="62">
        <f t="shared" si="0"/>
        <v>-11657.022499999992</v>
      </c>
      <c r="F13" s="63">
        <f t="shared" si="1"/>
        <v>-4.3244541903479546E-2</v>
      </c>
      <c r="G13" s="89">
        <f>SUM(Apr!G13+May!G13+Jun!G13)</f>
        <v>246265.03999999998</v>
      </c>
      <c r="H13" s="64">
        <f>SUM(Apr!H13, May!H13, Jun!H13)</f>
        <v>11638.487500000003</v>
      </c>
      <c r="I13" s="63">
        <f t="shared" si="2"/>
        <v>4.7260006942114088E-2</v>
      </c>
    </row>
    <row r="14" spans="1:9" ht="15.75">
      <c r="A14" s="78" t="str">
        <v>Stillwater River 2</v>
      </c>
      <c r="B14" s="75" t="str">
        <v>MA</v>
      </c>
      <c r="C14" s="68">
        <f>SUM(Apr!C14, May!C14, Jun!C14)</f>
        <v>524893</v>
      </c>
      <c r="D14" s="56">
        <f>SUM(Apr!D14, May!D14, Jun!D14)</f>
        <v>588997.60000000009</v>
      </c>
      <c r="E14" s="56">
        <f t="shared" si="0"/>
        <v>-64104.600000000093</v>
      </c>
      <c r="F14" s="69">
        <f t="shared" si="1"/>
        <v>-0.10883677624492881</v>
      </c>
      <c r="G14" s="58">
        <f>SUM(Apr!G14+May!G14+Jun!G14)</f>
        <v>515679.2</v>
      </c>
      <c r="H14" s="58">
        <f>SUM(Apr!H14, May!H14, Jun!H14)</f>
        <v>9213.7999999999884</v>
      </c>
      <c r="I14" s="57">
        <f t="shared" si="2"/>
        <v>1.7867309753815914E-2</v>
      </c>
    </row>
    <row r="15" spans="1:9" ht="15.75">
      <c r="A15" s="79" t="str">
        <v>Stillwater River 3</v>
      </c>
      <c r="B15" s="77" t="str">
        <v>MA</v>
      </c>
      <c r="C15" s="71">
        <f>SUM(Apr!C15, May!C15, Jun!C15)</f>
        <v>522670</v>
      </c>
      <c r="D15" s="62">
        <f>SUM(Apr!D15, May!D15, Jun!D15)</f>
        <v>566398.9</v>
      </c>
      <c r="E15" s="62">
        <f t="shared" si="0"/>
        <v>-43728.900000000023</v>
      </c>
      <c r="F15" s="63">
        <f t="shared" si="1"/>
        <v>-7.7205128752898394E-2</v>
      </c>
      <c r="G15" s="89">
        <f>SUM(Apr!G15+May!G15+Jun!G15)</f>
        <v>507684.5</v>
      </c>
      <c r="H15" s="64">
        <f>SUM(Apr!H15, May!H15, Jun!H15)</f>
        <v>14985.5</v>
      </c>
      <c r="I15" s="63">
        <f t="shared" si="2"/>
        <v>2.9517347880425735E-2</v>
      </c>
    </row>
    <row r="16" spans="1:9" ht="15.75">
      <c r="A16" s="78" t="str">
        <v>Stillwater River 4</v>
      </c>
      <c r="B16" s="75" t="str">
        <v>MA</v>
      </c>
      <c r="C16" s="68">
        <f>SUM(Apr!C16, May!C16, Jun!C16)</f>
        <v>216669.09625</v>
      </c>
      <c r="D16" s="56">
        <f>SUM(Apr!D16, May!D16, Jun!D16)</f>
        <v>286591.41000000003</v>
      </c>
      <c r="E16" s="56">
        <f t="shared" ref="E16" si="3">IF(AND(ISNUMBER(C16),ISNUMBER(D16)), C16-D16, "")</f>
        <v>-69922.31375000003</v>
      </c>
      <c r="F16" s="69">
        <f t="shared" ref="F16" si="4">IFERROR(E16/D16, "")</f>
        <v>-0.24397909815231386</v>
      </c>
      <c r="G16" s="58">
        <f>SUM(Apr!G16+May!G16+Jun!G16)</f>
        <v>230755.69</v>
      </c>
      <c r="H16" s="58">
        <f>SUM(Apr!H16, May!H16, Jun!H16)</f>
        <v>-14086.59375</v>
      </c>
      <c r="I16" s="57">
        <f t="shared" ref="I16" si="5">IFERROR(H16/G16, "")</f>
        <v>-6.1045488195762367E-2</v>
      </c>
    </row>
    <row r="17" spans="1:9" ht="13.1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L15" sqref="L15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MN8 Bond</v>
      </c>
      <c r="B1" s="94"/>
      <c r="C1" s="94"/>
      <c r="D1" s="95" t="s">
        <v>14</v>
      </c>
      <c r="E1" s="95"/>
      <c r="F1" s="95"/>
      <c r="G1" s="93" t="s">
        <v>15</v>
      </c>
      <c r="H1" s="93"/>
      <c r="I1" s="93"/>
    </row>
    <row r="2" spans="1:9" ht="19.5" customHeight="1">
      <c r="A2" s="96" t="s">
        <v>2</v>
      </c>
      <c r="B2" s="96"/>
      <c r="C2" s="5">
        <f>SUM(C4:C91)</f>
        <v>8588214.1587499995</v>
      </c>
      <c r="D2" s="5">
        <f>SUM(D4:D91)</f>
        <v>8950224.2800000012</v>
      </c>
      <c r="E2" s="5">
        <f>C2-D2</f>
        <v>-362010.12125000171</v>
      </c>
      <c r="F2" s="6">
        <f>IFERROR(E2/D2, 0)</f>
        <v>-4.0447044668918804E-2</v>
      </c>
      <c r="G2" s="5">
        <f>SUM(G4:G91)</f>
        <v>8801276.6799999997</v>
      </c>
      <c r="H2" s="7">
        <f>C2-G2</f>
        <v>-213062.52125000022</v>
      </c>
      <c r="I2" s="6">
        <f>IFERROR(H2/G2, 0)</f>
        <v>-2.4208138091393376E-2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SUM(Jul!C4, Aug!C4, Sep!C4)</f>
        <v>1356558.19</v>
      </c>
      <c r="D4" s="56">
        <f>SUM(Jul!D4, Aug!D4, Sep!D4)</f>
        <v>1223075.8999999999</v>
      </c>
      <c r="E4" s="56">
        <f>IF(AND(ISNUMBER(C4),ISNUMBER(D4)), C4-D4, "")</f>
        <v>133482.29000000004</v>
      </c>
      <c r="F4" s="69">
        <f>IFERROR(E4/D4, "")</f>
        <v>0.10913655481233835</v>
      </c>
      <c r="G4" s="58">
        <f>SUM(Jul!G4,Aug!G4,Sep!G4)</f>
        <v>1411019</v>
      </c>
      <c r="H4" s="58">
        <f>SUM(Jul!H4, Aug!H4, Sep!H4)</f>
        <v>-54460.81</v>
      </c>
      <c r="I4" s="57">
        <f>IFERROR(H4/G4, "")</f>
        <v>-3.8596794231686458E-2</v>
      </c>
    </row>
    <row r="5" spans="1:9" ht="15.75">
      <c r="A5" s="79" t="str">
        <v>Clara Barton</v>
      </c>
      <c r="B5" s="77" t="str">
        <v>MA</v>
      </c>
      <c r="C5" s="71">
        <f>SUM(Jul!C5, Aug!C5, Sep!C5)</f>
        <v>515040</v>
      </c>
      <c r="D5" s="62">
        <f>SUM(Jul!D5, Aug!D5, Sep!D5)</f>
        <v>514117.4</v>
      </c>
      <c r="E5" s="62">
        <f t="shared" ref="E5:E15" si="0">IF(AND(ISNUMBER(C5),ISNUMBER(D5)), C5-D5, "")</f>
        <v>922.59999999997672</v>
      </c>
      <c r="F5" s="63">
        <f>IFERROR(E5/D5, "")</f>
        <v>1.7945317548092648E-3</v>
      </c>
      <c r="G5" s="64">
        <f>SUM(Jul!G5,Aug!G5,Sep!G5)</f>
        <v>522714.3</v>
      </c>
      <c r="H5" s="64">
        <f>SUM(Jul!H5, Aug!H5, Sep!H5)</f>
        <v>-7674.3000000000175</v>
      </c>
      <c r="I5" s="63">
        <f>IFERROR(H5/G5, "")</f>
        <v>-1.4681633925071531E-2</v>
      </c>
    </row>
    <row r="6" spans="1:9" ht="15.75">
      <c r="A6" s="78" t="str">
        <v>Fairhaven Solar</v>
      </c>
      <c r="B6" s="75" t="str">
        <v>MA</v>
      </c>
      <c r="C6" s="68">
        <f>SUM(Jul!C6, Aug!C6, Sep!C6)</f>
        <v>376341.99999999994</v>
      </c>
      <c r="D6" s="56">
        <f>SUM(Jul!D6, Aug!D6, Sep!D6)</f>
        <v>399355.6</v>
      </c>
      <c r="E6" s="56">
        <f t="shared" si="0"/>
        <v>-23013.600000000035</v>
      </c>
      <c r="F6" s="69">
        <f t="shared" ref="F6:F15" si="1">IFERROR(E6/D6, "")</f>
        <v>-5.762683683413989E-2</v>
      </c>
      <c r="G6" s="58">
        <f>SUM(Jul!G6,Aug!G6,Sep!G6)</f>
        <v>390352.89999999997</v>
      </c>
      <c r="H6" s="58">
        <f>SUM(Jul!H6, Aug!H6, Sep!H6)</f>
        <v>-14010.899999999994</v>
      </c>
      <c r="I6" s="57">
        <f t="shared" ref="I6:I15" si="2">IFERROR(H6/G6, "")</f>
        <v>-3.5892906136985266E-2</v>
      </c>
    </row>
    <row r="7" spans="1:9" ht="15.75">
      <c r="A7" s="79" t="str">
        <v>Plympton-1</v>
      </c>
      <c r="B7" s="77" t="str">
        <v>MA</v>
      </c>
      <c r="C7" s="71">
        <f>SUM(Jul!C7, Aug!C7, Sep!C7)</f>
        <v>515290</v>
      </c>
      <c r="D7" s="62">
        <f>SUM(Jul!D7, Aug!D7, Sep!D7)</f>
        <v>531236.60000000009</v>
      </c>
      <c r="E7" s="62">
        <f t="shared" si="0"/>
        <v>-15946.600000000093</v>
      </c>
      <c r="F7" s="63">
        <f t="shared" si="1"/>
        <v>-3.0017886568809625E-2</v>
      </c>
      <c r="G7" s="64">
        <f>SUM(Jul!G7,Aug!G7,Sep!G7)</f>
        <v>518672.6</v>
      </c>
      <c r="H7" s="64">
        <f>SUM(Jul!H7, Aug!H7, Sep!H7)</f>
        <v>-3382.6000000000058</v>
      </c>
      <c r="I7" s="63">
        <f t="shared" si="2"/>
        <v>-6.5216477600706221E-3</v>
      </c>
    </row>
    <row r="8" spans="1:9" ht="15.75">
      <c r="A8" s="78" t="str">
        <v>French River 2</v>
      </c>
      <c r="B8" s="75" t="str">
        <v>MA</v>
      </c>
      <c r="C8" s="68">
        <f>SUM(Jul!C8, Aug!C8, Sep!C8)</f>
        <v>508684</v>
      </c>
      <c r="D8" s="56">
        <f>SUM(Jul!D8, Aug!D8, Sep!D8)</f>
        <v>556841.19999999995</v>
      </c>
      <c r="E8" s="56">
        <f t="shared" si="0"/>
        <v>-48157.199999999953</v>
      </c>
      <c r="F8" s="69">
        <f t="shared" si="1"/>
        <v>-8.6482824905915648E-2</v>
      </c>
      <c r="G8" s="58">
        <f>SUM(Jul!G8,Aug!G8,Sep!G8)</f>
        <v>513365</v>
      </c>
      <c r="H8" s="58">
        <f>SUM(Jul!H8, Aug!H8, Sep!H8)</f>
        <v>-4681</v>
      </c>
      <c r="I8" s="57">
        <f t="shared" si="2"/>
        <v>-9.1182686782308887E-3</v>
      </c>
    </row>
    <row r="9" spans="1:9" ht="15.75">
      <c r="A9" s="79" t="str">
        <v>French River 3</v>
      </c>
      <c r="B9" s="77" t="str">
        <v>MA</v>
      </c>
      <c r="C9" s="71">
        <f>SUM(Jul!C9, Aug!C9, Sep!C9)</f>
        <v>984028</v>
      </c>
      <c r="D9" s="62">
        <f>SUM(Jul!D9, Aug!D9, Sep!D9)</f>
        <v>1051929.5999999999</v>
      </c>
      <c r="E9" s="62">
        <f t="shared" si="0"/>
        <v>-67901.59999999986</v>
      </c>
      <c r="F9" s="63">
        <f t="shared" si="1"/>
        <v>-6.4549566815117546E-2</v>
      </c>
      <c r="G9" s="64">
        <f>SUM(Jul!G9,Aug!G9,Sep!G9)</f>
        <v>981465.40000000014</v>
      </c>
      <c r="H9" s="64">
        <f>SUM(Jul!H9, Aug!H9, Sep!H9)</f>
        <v>2562.5999999999767</v>
      </c>
      <c r="I9" s="63">
        <f t="shared" si="2"/>
        <v>2.6109937242820547E-3</v>
      </c>
    </row>
    <row r="10" spans="1:9" ht="15.75">
      <c r="A10" s="78" t="str">
        <v>French River 4</v>
      </c>
      <c r="B10" s="75" t="str">
        <v>MA</v>
      </c>
      <c r="C10" s="68">
        <f>SUM(Jul!C10, Aug!C10, Sep!C10)</f>
        <v>1010172</v>
      </c>
      <c r="D10" s="56">
        <f>SUM(Jul!D10, Aug!D10, Sep!D10)</f>
        <v>1076143.1000000001</v>
      </c>
      <c r="E10" s="56">
        <f t="shared" si="0"/>
        <v>-65971.100000000093</v>
      </c>
      <c r="F10" s="69">
        <f t="shared" si="1"/>
        <v>-6.130327834653225E-2</v>
      </c>
      <c r="G10" s="58">
        <f>SUM(Jul!G10,Aug!G10,Sep!G10)</f>
        <v>1023076.0999999999</v>
      </c>
      <c r="H10" s="58">
        <f>SUM(Jul!H10, Aug!H10, Sep!H10)</f>
        <v>-12904.099999999977</v>
      </c>
      <c r="I10" s="57">
        <f t="shared" si="2"/>
        <v>-1.261304022252106E-2</v>
      </c>
    </row>
    <row r="11" spans="1:9" ht="15.75">
      <c r="A11" s="79" t="str">
        <v>French River 5</v>
      </c>
      <c r="B11" s="77" t="str">
        <v>MA</v>
      </c>
      <c r="C11" s="71">
        <f>SUM(Jul!C11, Aug!C11, Sep!C11)</f>
        <v>939624</v>
      </c>
      <c r="D11" s="62">
        <f>SUM(Jul!D11, Aug!D11, Sep!D11)</f>
        <v>1038086.3999999999</v>
      </c>
      <c r="E11" s="62">
        <f t="shared" si="0"/>
        <v>-98462.399999999907</v>
      </c>
      <c r="F11" s="63">
        <f t="shared" si="1"/>
        <v>-9.4849908446926881E-2</v>
      </c>
      <c r="G11" s="64">
        <f>SUM(Jul!G11,Aug!G11,Sep!G11)</f>
        <v>1004629.3</v>
      </c>
      <c r="H11" s="64">
        <f>SUM(Jul!H11, Aug!H11, Sep!H11)</f>
        <v>-65005.299999999988</v>
      </c>
      <c r="I11" s="63">
        <f t="shared" si="2"/>
        <v>-6.4705757636174838E-2</v>
      </c>
    </row>
    <row r="12" spans="1:9" ht="15.75">
      <c r="A12" s="78" t="str">
        <v>French River 6</v>
      </c>
      <c r="B12" s="75" t="str">
        <v>MA</v>
      </c>
      <c r="C12" s="68">
        <f>SUM(Jul!C12, Aug!C12, Sep!C12)</f>
        <v>909438</v>
      </c>
      <c r="D12" s="56">
        <f>SUM(Jul!D12, Aug!D12, Sep!D12)</f>
        <v>875594.39999999991</v>
      </c>
      <c r="E12" s="56">
        <f t="shared" si="0"/>
        <v>33843.600000000093</v>
      </c>
      <c r="F12" s="69">
        <f t="shared" si="1"/>
        <v>3.8652143047054777E-2</v>
      </c>
      <c r="G12" s="58">
        <f>SUM(Jul!G12,Aug!G12,Sep!G12)</f>
        <v>963844.2</v>
      </c>
      <c r="H12" s="58">
        <f>SUM(Jul!H12, Aug!H12, Sep!H12)</f>
        <v>-54406.200000000012</v>
      </c>
      <c r="I12" s="57">
        <f t="shared" si="2"/>
        <v>-5.6447089685241675E-2</v>
      </c>
    </row>
    <row r="13" spans="1:9" ht="15.75">
      <c r="A13" s="79" t="str">
        <v>Stillwater River 1A</v>
      </c>
      <c r="B13" s="77" t="str">
        <v>MA</v>
      </c>
      <c r="C13" s="71">
        <f>SUM(Jul!C13, Aug!C13, Sep!C13)</f>
        <v>251713.25</v>
      </c>
      <c r="D13" s="62">
        <f>SUM(Jul!D13, Aug!D13, Sep!D13)</f>
        <v>263614.62</v>
      </c>
      <c r="E13" s="62">
        <f t="shared" si="0"/>
        <v>-11901.369999999995</v>
      </c>
      <c r="F13" s="63">
        <f t="shared" si="1"/>
        <v>-4.5146851111672014E-2</v>
      </c>
      <c r="G13" s="64">
        <f>SUM(Jul!G13,Aug!G13,Sep!G13)</f>
        <v>247313.99</v>
      </c>
      <c r="H13" s="64">
        <f>SUM(Jul!H13, Aug!H13, Sep!H13)</f>
        <v>4399.2600000000093</v>
      </c>
      <c r="I13" s="63">
        <f t="shared" si="2"/>
        <v>1.7788156666753908E-2</v>
      </c>
    </row>
    <row r="14" spans="1:9" ht="15.75">
      <c r="A14" s="78" t="str">
        <v>Stillwater River 2</v>
      </c>
      <c r="B14" s="75" t="str">
        <v>MA</v>
      </c>
      <c r="C14" s="68">
        <f>SUM(Jul!C14, Aug!C14, Sep!C14)</f>
        <v>505947</v>
      </c>
      <c r="D14" s="56">
        <f>SUM(Jul!D14, Aug!D14, Sep!D14)</f>
        <v>583075.30000000005</v>
      </c>
      <c r="E14" s="56">
        <f t="shared" si="0"/>
        <v>-77128.300000000047</v>
      </c>
      <c r="F14" s="69">
        <f t="shared" si="1"/>
        <v>-0.13227845528699303</v>
      </c>
      <c r="G14" s="58">
        <f>SUM(Jul!G14,Aug!G14,Sep!G14)</f>
        <v>517882.5</v>
      </c>
      <c r="H14" s="58">
        <f>SUM(Jul!H14, Aug!H14, Sep!H14)</f>
        <v>-11935.5</v>
      </c>
      <c r="I14" s="57">
        <f t="shared" si="2"/>
        <v>-2.3046733573735354E-2</v>
      </c>
    </row>
    <row r="15" spans="1:9" ht="15.75">
      <c r="A15" s="79" t="str">
        <v>Stillwater River 3</v>
      </c>
      <c r="B15" s="77" t="str">
        <v>MA</v>
      </c>
      <c r="C15" s="71">
        <f>SUM(Jul!C15, Aug!C15, Sep!C15)</f>
        <v>508328</v>
      </c>
      <c r="D15" s="62">
        <f>SUM(Jul!D15, Aug!D15, Sep!D15)</f>
        <v>555884.9</v>
      </c>
      <c r="E15" s="62">
        <f t="shared" si="0"/>
        <v>-47556.900000000023</v>
      </c>
      <c r="F15" s="63">
        <f t="shared" si="1"/>
        <v>-8.5551703239285723E-2</v>
      </c>
      <c r="G15" s="64">
        <f>SUM(Jul!G15,Aug!G15,Sep!G15)</f>
        <v>509851.69999999995</v>
      </c>
      <c r="H15" s="64">
        <f>SUM(Jul!H15, Aug!H15, Sep!H15)</f>
        <v>-1523.6999999999825</v>
      </c>
      <c r="I15" s="63">
        <f t="shared" si="2"/>
        <v>-2.9885160724186714E-3</v>
      </c>
    </row>
    <row r="16" spans="1:9" ht="15.75">
      <c r="A16" s="78" t="str">
        <v>Stillwater River 4</v>
      </c>
      <c r="B16" s="75" t="str">
        <v>MA</v>
      </c>
      <c r="C16" s="68">
        <f>SUM(Jul!C16, Aug!C16, Sep!C16)</f>
        <v>207049.71875</v>
      </c>
      <c r="D16" s="56">
        <f>SUM(Jul!D16, Aug!D16, Sep!D16)</f>
        <v>281269.26</v>
      </c>
      <c r="E16" s="56">
        <f t="shared" ref="E16" si="3">IF(AND(ISNUMBER(C16),ISNUMBER(D16)), C16-D16, "")</f>
        <v>-74219.541250000009</v>
      </c>
      <c r="F16" s="69">
        <f t="shared" ref="F16" si="4">IFERROR(E16/D16, "")</f>
        <v>-0.26387363215589221</v>
      </c>
      <c r="G16" s="58">
        <f>SUM(Jul!G16,Aug!G16,Sep!G16)</f>
        <v>197089.69</v>
      </c>
      <c r="H16" s="58">
        <f>SUM(Jul!H16, Aug!H16, Sep!H16)</f>
        <v>9960.0287499999977</v>
      </c>
      <c r="I16" s="57">
        <f t="shared" ref="I16" si="5">IFERROR(H16/G16, "")</f>
        <v>5.0535513805922562E-2</v>
      </c>
    </row>
    <row r="17" spans="1:9" ht="15.75">
      <c r="A17" s="15"/>
      <c r="B17" s="19"/>
      <c r="C17" s="19"/>
      <c r="D17" s="19"/>
      <c r="E17" s="19"/>
      <c r="F17" s="19"/>
      <c r="G17" s="19"/>
      <c r="H17" s="19"/>
      <c r="I17" s="19"/>
    </row>
    <row r="18" spans="1:9" ht="15.75">
      <c r="A18" s="15"/>
      <c r="B18" s="19"/>
      <c r="C18" s="19"/>
      <c r="D18" s="19"/>
      <c r="E18" s="19"/>
      <c r="F18" s="19"/>
      <c r="G18" s="19"/>
      <c r="H18" s="19"/>
      <c r="I18" s="19"/>
    </row>
    <row r="19" spans="1:9" ht="15.75">
      <c r="A19" s="15"/>
      <c r="B19" s="19"/>
      <c r="C19" s="19"/>
      <c r="D19" s="19"/>
      <c r="E19" s="19"/>
      <c r="F19" s="19"/>
      <c r="G19" s="19"/>
      <c r="H19" s="19"/>
      <c r="I19" s="19"/>
    </row>
    <row r="20" spans="1:9" ht="15.75">
      <c r="A20" s="15"/>
      <c r="B20" s="19"/>
      <c r="C20" s="19"/>
      <c r="D20" s="19"/>
      <c r="E20" s="19"/>
      <c r="F20" s="19"/>
      <c r="G20" s="19"/>
      <c r="H20" s="19"/>
      <c r="I20" s="19"/>
    </row>
    <row r="21" spans="1:9" ht="15.75">
      <c r="A21" s="15"/>
      <c r="B21" s="19"/>
      <c r="C21" s="19"/>
      <c r="D21" s="19"/>
      <c r="E21" s="19"/>
      <c r="F21" s="19"/>
      <c r="G21" s="19"/>
      <c r="H21" s="19"/>
      <c r="I21" s="19"/>
    </row>
    <row r="22" spans="1:9" ht="15.75">
      <c r="A22" s="15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MN8 Bond</v>
      </c>
      <c r="B1" s="94"/>
      <c r="C1" s="94"/>
      <c r="D1" s="95" t="s">
        <v>16</v>
      </c>
      <c r="E1" s="95"/>
      <c r="F1" s="95"/>
      <c r="G1" s="93" t="s">
        <v>17</v>
      </c>
      <c r="H1" s="93"/>
      <c r="I1" s="93"/>
    </row>
    <row r="2" spans="1:9" ht="19.5" customHeight="1">
      <c r="A2" s="96" t="s">
        <v>2</v>
      </c>
      <c r="B2" s="96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SUM(Oct!C4, Nov!C4, Dec!C4)</f>
        <v>0</v>
      </c>
      <c r="D4" s="56">
        <f>SUM(Oct!D4, Nov!D4, Dec!D4)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SUM(Oct!H4, Nov!H4, Dec!H4)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SUM(Oct!C5, Nov!C5, Dec!C5)</f>
        <v>0</v>
      </c>
      <c r="D5" s="62">
        <f>SUM(Oct!D5, Nov!D5, Dec!D5)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SUM(Oct!H5, Nov!H5, Dec!H5)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SUM(Oct!C6, Nov!C6, Dec!C6)</f>
        <v>0</v>
      </c>
      <c r="D6" s="56">
        <f>SUM(Oct!D6, Nov!D6, Dec!D6)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SUM(Oct!H6, Nov!H6, Dec!H6)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SUM(Oct!C7, Nov!C7, Dec!C7)</f>
        <v>0</v>
      </c>
      <c r="D7" s="62">
        <f>SUM(Oct!D7, Nov!D7, Dec!D7)</f>
        <v>0</v>
      </c>
      <c r="E7" s="62">
        <f t="shared" si="0"/>
        <v>0</v>
      </c>
      <c r="F7" s="63" t="str">
        <f t="shared" si="1"/>
        <v/>
      </c>
      <c r="G7" s="64"/>
      <c r="H7" s="64">
        <f>SUM(Oct!H7, Nov!H7, Dec!H7)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SUM(Oct!C8, Nov!C8, Dec!C8)</f>
        <v>0</v>
      </c>
      <c r="D8" s="56">
        <f>SUM(Oct!D8, Nov!D8, Dec!D8)</f>
        <v>0</v>
      </c>
      <c r="E8" s="56">
        <f t="shared" si="0"/>
        <v>0</v>
      </c>
      <c r="F8" s="69" t="str">
        <f t="shared" si="1"/>
        <v/>
      </c>
      <c r="G8" s="58"/>
      <c r="H8" s="58">
        <f>SUM(Oct!H8, Nov!H8, Dec!H8)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SUM(Oct!C9, Nov!C9, Dec!C9)</f>
        <v>0</v>
      </c>
      <c r="D9" s="62">
        <f>SUM(Oct!D9, Nov!D9, Dec!D9)</f>
        <v>0</v>
      </c>
      <c r="E9" s="62">
        <f t="shared" si="0"/>
        <v>0</v>
      </c>
      <c r="F9" s="63" t="str">
        <f t="shared" si="1"/>
        <v/>
      </c>
      <c r="G9" s="64"/>
      <c r="H9" s="64">
        <f>SUM(Oct!H9, Nov!H9, Dec!H9)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SUM(Oct!C10, Nov!C10, Dec!C10)</f>
        <v>0</v>
      </c>
      <c r="D10" s="56">
        <f>SUM(Oct!D10, Nov!D10, Dec!D10)</f>
        <v>0</v>
      </c>
      <c r="E10" s="56">
        <f t="shared" si="0"/>
        <v>0</v>
      </c>
      <c r="F10" s="69" t="str">
        <f t="shared" si="1"/>
        <v/>
      </c>
      <c r="G10" s="58"/>
      <c r="H10" s="58">
        <f>SUM(Oct!H10, Nov!H10, Dec!H10)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SUM(Oct!C11, Nov!C11, Dec!C11)</f>
        <v>0</v>
      </c>
      <c r="D11" s="62">
        <f>SUM(Oct!D11, Nov!D11, Dec!D11)</f>
        <v>0</v>
      </c>
      <c r="E11" s="62">
        <f t="shared" si="0"/>
        <v>0</v>
      </c>
      <c r="F11" s="63" t="str">
        <f t="shared" si="1"/>
        <v/>
      </c>
      <c r="G11" s="64"/>
      <c r="H11" s="64">
        <f>SUM(Oct!H11, Nov!H11, Dec!H11)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SUM(Oct!C12, Nov!C12, Dec!C12)</f>
        <v>0</v>
      </c>
      <c r="D12" s="56">
        <f>SUM(Oct!D12, Nov!D12, Dec!D12)</f>
        <v>0</v>
      </c>
      <c r="E12" s="56">
        <f t="shared" si="0"/>
        <v>0</v>
      </c>
      <c r="F12" s="69" t="str">
        <f t="shared" si="1"/>
        <v/>
      </c>
      <c r="G12" s="58"/>
      <c r="H12" s="58">
        <f>SUM(Oct!H12, Nov!H12, Dec!H12)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SUM(Oct!C13, Nov!C13, Dec!C13)</f>
        <v>0</v>
      </c>
      <c r="D13" s="62">
        <f>SUM(Oct!D13, Nov!D13, Dec!D13)</f>
        <v>0</v>
      </c>
      <c r="E13" s="62">
        <f t="shared" si="0"/>
        <v>0</v>
      </c>
      <c r="F13" s="63" t="str">
        <f t="shared" si="1"/>
        <v/>
      </c>
      <c r="G13" s="64"/>
      <c r="H13" s="64">
        <f>SUM(Oct!H13, Nov!H13, Dec!H13)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SUM(Oct!C14, Nov!C14, Dec!C14)</f>
        <v>0</v>
      </c>
      <c r="D14" s="56">
        <f>SUM(Oct!D14, Nov!D14, Dec!D14)</f>
        <v>0</v>
      </c>
      <c r="E14" s="56">
        <f t="shared" si="0"/>
        <v>0</v>
      </c>
      <c r="F14" s="69" t="str">
        <f t="shared" si="1"/>
        <v/>
      </c>
      <c r="G14" s="58"/>
      <c r="H14" s="58">
        <f>SUM(Oct!H14, Nov!H14, Dec!H14)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SUM(Oct!C15, Nov!C15, Dec!C15)</f>
        <v>0</v>
      </c>
      <c r="D15" s="62">
        <f>SUM(Oct!D15, Nov!D15, Dec!D15)</f>
        <v>0</v>
      </c>
      <c r="E15" s="62">
        <f t="shared" si="0"/>
        <v>0</v>
      </c>
      <c r="F15" s="63" t="str">
        <f t="shared" si="1"/>
        <v/>
      </c>
      <c r="G15" s="64"/>
      <c r="H15" s="64">
        <f>SUM(Oct!H15, Nov!H15, Dec!H15)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SUM(Oct!C16, Nov!C16, Dec!C16)</f>
        <v>0</v>
      </c>
      <c r="D16" s="56">
        <f>SUM(Oct!D16, Nov!D16, Dec!D16)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SUM(Oct!H16, Nov!H16, Dec!H16)</f>
        <v>0</v>
      </c>
      <c r="I16" s="57" t="str">
        <f t="shared" ref="I16" si="5">IFERROR(H16/G16, "")</f>
        <v/>
      </c>
    </row>
    <row r="17" spans="1:9" ht="15.75">
      <c r="A17" s="15"/>
      <c r="B17" s="9"/>
      <c r="C17" s="43"/>
      <c r="D17" s="16"/>
      <c r="E17" s="16"/>
      <c r="F17" s="17"/>
      <c r="G17" s="18"/>
      <c r="H17" s="18"/>
      <c r="I17" s="17"/>
    </row>
    <row r="18" spans="1:9" ht="14.25">
      <c r="A18" s="19"/>
      <c r="B18" s="9"/>
      <c r="C18" s="43"/>
      <c r="D18" s="16"/>
      <c r="E18" s="16"/>
      <c r="F18" s="17"/>
      <c r="G18" s="18"/>
      <c r="H18" s="18"/>
      <c r="I18" s="17"/>
    </row>
    <row r="19" spans="1:9" ht="14.25">
      <c r="A19" s="19"/>
      <c r="B19" s="9"/>
      <c r="C19" s="43"/>
      <c r="D19" s="16"/>
      <c r="E19" s="16"/>
      <c r="F19" s="17"/>
      <c r="G19" s="18"/>
      <c r="H19" s="18"/>
      <c r="I19" s="17"/>
    </row>
    <row r="20" spans="1:9" ht="14.25">
      <c r="A20" s="19"/>
      <c r="B20" s="9"/>
      <c r="C20" s="43"/>
      <c r="D20" s="16"/>
      <c r="E20" s="16"/>
      <c r="F20" s="17"/>
      <c r="G20" s="18"/>
      <c r="H20" s="18"/>
      <c r="I20" s="17"/>
    </row>
    <row r="21" spans="1:9" ht="14.25">
      <c r="A21" s="19"/>
      <c r="B21" s="9"/>
      <c r="C21" s="43"/>
      <c r="D21" s="16"/>
      <c r="E21" s="16"/>
      <c r="F21" s="17"/>
      <c r="G21" s="18"/>
      <c r="H21" s="18"/>
      <c r="I21" s="17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zoomScale="80" zoomScaleNormal="80" workbookViewId="0">
      <pane xSplit="2" ySplit="3" topLeftCell="E4" activePane="bottomRight" state="frozen"/>
      <selection pane="bottomRight" activeCell="A10" sqref="A10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5.28515625" customWidth="1"/>
    <col min="11" max="11" width="20.5703125" bestFit="1" customWidth="1"/>
  </cols>
  <sheetData>
    <row r="1" spans="1:11" ht="15">
      <c r="A1" s="94" t="str" cm="1">
        <f t="array" ref="A1">portfolio</f>
        <v>MN8 Bond</v>
      </c>
      <c r="B1" s="94"/>
      <c r="C1" s="94"/>
      <c r="D1" s="95" t="s">
        <v>18</v>
      </c>
      <c r="E1" s="95"/>
      <c r="F1" s="95"/>
      <c r="G1" s="93" t="s">
        <v>19</v>
      </c>
      <c r="H1" s="93"/>
      <c r="I1" s="93"/>
      <c r="J1" s="4"/>
      <c r="K1" s="4"/>
    </row>
    <row r="2" spans="1:11" ht="15">
      <c r="A2" s="96" t="s">
        <v>2</v>
      </c>
      <c r="B2" s="96"/>
      <c r="C2" s="5">
        <f>SUM(C4:C90)</f>
        <v>777232.61437687522</v>
      </c>
      <c r="D2" s="5">
        <f>SUM(D4:D90)</f>
        <v>1271145.1299999999</v>
      </c>
      <c r="E2" s="5">
        <f>C2-D2</f>
        <v>-493912.51562312467</v>
      </c>
      <c r="F2" s="6">
        <f>IFERROR(E2/D2, 0)</f>
        <v>-0.38855713951649623</v>
      </c>
      <c r="G2" s="5">
        <f>SUM(G4:G90)</f>
        <v>1396020.46</v>
      </c>
      <c r="H2" s="7">
        <f>C2-G2</f>
        <v>-618787.84562312474</v>
      </c>
      <c r="I2" s="6">
        <f>IFERROR(H2/G2, 0)</f>
        <v>-0.44325127270923004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">
      <c r="A3" s="25" t="s">
        <v>3</v>
      </c>
      <c r="B3" s="25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63.75" customHeight="1">
      <c r="A4" s="54" t="str" cm="1">
        <f t="array" ref="A4:A16">Sites[Site]</f>
        <v>Grafton II</v>
      </c>
      <c r="B4" s="55" t="str" cm="1">
        <f t="array" ref="B4:B16">Sites[State]</f>
        <v>MA</v>
      </c>
      <c r="C4" s="56">
        <v>108788.84079602</v>
      </c>
      <c r="D4" s="56">
        <v>176557</v>
      </c>
      <c r="E4" s="56">
        <f>IF(AND(ISNUMBER(C4),ISNUMBER(D4)), C4-D4, "")</f>
        <v>-67768.159203980002</v>
      </c>
      <c r="F4" s="57">
        <f>IFERROR(E4/D4, "")</f>
        <v>-0.38383161927298265</v>
      </c>
      <c r="G4" s="58">
        <v>245116</v>
      </c>
      <c r="H4" s="58">
        <f>IF(AND(ISNUMBER(C4),ISNUMBER(G4)), C4-G4, "")</f>
        <v>-136327.15920398</v>
      </c>
      <c r="I4" s="57">
        <f>IFERROR(H4/G4, "")</f>
        <v>-0.55617405311762591</v>
      </c>
      <c r="J4" s="59" t="s">
        <v>22</v>
      </c>
      <c r="K4" s="59" t="s">
        <v>23</v>
      </c>
    </row>
    <row r="5" spans="1:11" ht="28.5">
      <c r="A5" s="60" t="str">
        <v>Clara Barton</v>
      </c>
      <c r="B5" s="61" t="str">
        <v>MA</v>
      </c>
      <c r="C5" s="62">
        <v>41686.144680853897</v>
      </c>
      <c r="D5" s="62">
        <v>61398.720000000001</v>
      </c>
      <c r="E5" s="62">
        <f t="shared" ref="E5:E15" si="0">IF(AND(ISNUMBER(C5),ISNUMBER(D5)), C5-D5, "")</f>
        <v>-19712.575319146104</v>
      </c>
      <c r="F5" s="63">
        <f t="shared" ref="F5:F16" si="1">IFERROR(E5/D5, "")</f>
        <v>-0.32105840836985045</v>
      </c>
      <c r="G5" s="64">
        <v>84576.48</v>
      </c>
      <c r="H5" s="64">
        <f t="shared" ref="H5:H6" si="2">IF(AND(ISNUMBER(C5),ISNUMBER(G5)), C5-G5, "")</f>
        <v>-42890.335319146099</v>
      </c>
      <c r="I5" s="63">
        <f t="shared" ref="I5:I6" si="3">IFERROR(H5/G5, "")</f>
        <v>-0.50711894511507338</v>
      </c>
      <c r="J5" s="65" t="s">
        <v>24</v>
      </c>
      <c r="K5" s="65" t="s">
        <v>25</v>
      </c>
    </row>
    <row r="6" spans="1:11" ht="60.75" customHeight="1">
      <c r="A6" s="66" t="str">
        <v>Fairhaven Solar</v>
      </c>
      <c r="B6" s="55" t="str">
        <v>MA</v>
      </c>
      <c r="C6" s="56">
        <v>55436</v>
      </c>
      <c r="D6" s="56">
        <v>67352.87</v>
      </c>
      <c r="E6" s="56">
        <f t="shared" si="0"/>
        <v>-11916.869999999995</v>
      </c>
      <c r="F6" s="57">
        <f t="shared" si="1"/>
        <v>-0.17693188129919329</v>
      </c>
      <c r="G6" s="58">
        <v>63727.01</v>
      </c>
      <c r="H6" s="58">
        <f t="shared" si="2"/>
        <v>-8291.010000000002</v>
      </c>
      <c r="I6" s="57">
        <f t="shared" si="3"/>
        <v>-0.13010197716792302</v>
      </c>
      <c r="J6" s="59" t="s">
        <v>26</v>
      </c>
      <c r="K6" s="59" t="s">
        <v>27</v>
      </c>
    </row>
    <row r="7" spans="1:11" ht="15.75">
      <c r="A7" s="60" t="str">
        <v>Plympton-1</v>
      </c>
      <c r="B7" s="61" t="str">
        <v>MA</v>
      </c>
      <c r="C7" s="62">
        <v>67619</v>
      </c>
      <c r="D7" s="62">
        <v>73871.03</v>
      </c>
      <c r="E7" s="62">
        <f t="shared" si="0"/>
        <v>-6252.0299999999988</v>
      </c>
      <c r="F7" s="63">
        <f t="shared" si="1"/>
        <v>-8.4634395919482894E-2</v>
      </c>
      <c r="G7" s="64">
        <v>79420.95</v>
      </c>
      <c r="H7" s="64">
        <f t="shared" ref="H7:H15" si="4">IF(AND(ISNUMBER(C7),ISNUMBER(G7)), C7-G7, "")</f>
        <v>-11801.949999999997</v>
      </c>
      <c r="I7" s="63">
        <f t="shared" ref="I7:I15" si="5">IFERROR(H7/G7, "")</f>
        <v>-0.14859996008609816</v>
      </c>
      <c r="J7" s="65" t="s">
        <v>28</v>
      </c>
      <c r="K7" s="65" t="s">
        <v>28</v>
      </c>
    </row>
    <row r="8" spans="1:11" ht="15.75">
      <c r="A8" s="66" t="str">
        <v>French River 2</v>
      </c>
      <c r="B8" s="55" t="str">
        <v>MA</v>
      </c>
      <c r="C8" s="56">
        <v>41541.11</v>
      </c>
      <c r="D8" s="56">
        <v>80016.27</v>
      </c>
      <c r="E8" s="56">
        <f t="shared" si="0"/>
        <v>-38475.160000000003</v>
      </c>
      <c r="F8" s="57">
        <f t="shared" si="1"/>
        <v>-0.48084170881746929</v>
      </c>
      <c r="G8" s="58">
        <v>78833</v>
      </c>
      <c r="H8" s="58">
        <f t="shared" si="4"/>
        <v>-37291.89</v>
      </c>
      <c r="I8" s="57">
        <f t="shared" si="5"/>
        <v>-0.47304923065213805</v>
      </c>
      <c r="J8" s="59" t="s">
        <v>29</v>
      </c>
      <c r="K8" s="59" t="s">
        <v>30</v>
      </c>
    </row>
    <row r="9" spans="1:11" ht="15.75">
      <c r="A9" s="60" t="str">
        <v>French River 3</v>
      </c>
      <c r="B9" s="61" t="str">
        <v>MA</v>
      </c>
      <c r="C9" s="62">
        <v>86149.119999999995</v>
      </c>
      <c r="D9" s="62">
        <v>150506.79999999999</v>
      </c>
      <c r="E9" s="62">
        <f t="shared" si="0"/>
        <v>-64357.679999999993</v>
      </c>
      <c r="F9" s="63">
        <f t="shared" si="1"/>
        <v>-0.42760646030611238</v>
      </c>
      <c r="G9" s="64">
        <v>151308.70000000001</v>
      </c>
      <c r="H9" s="64">
        <f t="shared" si="4"/>
        <v>-65159.580000000016</v>
      </c>
      <c r="I9" s="63">
        <f t="shared" si="5"/>
        <v>-0.43064000946409564</v>
      </c>
      <c r="J9" s="65" t="s">
        <v>29</v>
      </c>
      <c r="K9" s="65" t="s">
        <v>30</v>
      </c>
    </row>
    <row r="10" spans="1:11" ht="15.75">
      <c r="A10" s="66" t="str">
        <v>French River 4</v>
      </c>
      <c r="B10" s="55" t="str">
        <v>MA</v>
      </c>
      <c r="C10" s="56">
        <v>85549.466400001198</v>
      </c>
      <c r="D10" s="56">
        <v>154184.79999999999</v>
      </c>
      <c r="E10" s="56">
        <f t="shared" si="0"/>
        <v>-68635.33359999879</v>
      </c>
      <c r="F10" s="57">
        <f t="shared" si="1"/>
        <v>-0.44514980464999659</v>
      </c>
      <c r="G10" s="58">
        <v>157760</v>
      </c>
      <c r="H10" s="58">
        <f t="shared" si="4"/>
        <v>-72210.533599998802</v>
      </c>
      <c r="I10" s="57">
        <f t="shared" si="5"/>
        <v>-0.45772397058822772</v>
      </c>
      <c r="J10" s="59" t="s">
        <v>29</v>
      </c>
      <c r="K10" s="59" t="s">
        <v>30</v>
      </c>
    </row>
    <row r="11" spans="1:11" ht="28.5">
      <c r="A11" s="60" t="str">
        <v>French River 5</v>
      </c>
      <c r="B11" s="61" t="str">
        <v>MA</v>
      </c>
      <c r="C11" s="62">
        <v>83292.5</v>
      </c>
      <c r="D11" s="62">
        <v>147678.6</v>
      </c>
      <c r="E11" s="62">
        <f t="shared" si="0"/>
        <v>-64386.100000000006</v>
      </c>
      <c r="F11" s="63">
        <f t="shared" si="1"/>
        <v>-0.43598801722118169</v>
      </c>
      <c r="G11" s="64">
        <v>154754.9</v>
      </c>
      <c r="H11" s="64">
        <f t="shared" si="4"/>
        <v>-71462.399999999994</v>
      </c>
      <c r="I11" s="63">
        <f t="shared" si="5"/>
        <v>-0.46177794693415197</v>
      </c>
      <c r="J11" s="65" t="s">
        <v>31</v>
      </c>
      <c r="K11" s="65" t="s">
        <v>32</v>
      </c>
    </row>
    <row r="12" spans="1:11" ht="77.25" customHeight="1">
      <c r="A12" s="66" t="str">
        <v>French River 6</v>
      </c>
      <c r="B12" s="55" t="str">
        <v>MA</v>
      </c>
      <c r="C12" s="56">
        <v>78703</v>
      </c>
      <c r="D12" s="56">
        <v>125159</v>
      </c>
      <c r="E12" s="56">
        <f t="shared" si="0"/>
        <v>-46456</v>
      </c>
      <c r="F12" s="57">
        <f t="shared" si="1"/>
        <v>-0.37117586430060961</v>
      </c>
      <c r="G12" s="58">
        <v>148483.1</v>
      </c>
      <c r="H12" s="58">
        <f t="shared" si="4"/>
        <v>-69780.100000000006</v>
      </c>
      <c r="I12" s="57">
        <f t="shared" si="5"/>
        <v>-0.4699531461829663</v>
      </c>
      <c r="J12" s="59" t="s">
        <v>33</v>
      </c>
      <c r="K12" s="59" t="s">
        <v>34</v>
      </c>
    </row>
    <row r="13" spans="1:11" ht="15.75">
      <c r="A13" s="60" t="str">
        <v>Stillwater River 1A</v>
      </c>
      <c r="B13" s="61" t="str">
        <v>MA</v>
      </c>
      <c r="C13" s="62">
        <v>21302</v>
      </c>
      <c r="D13" s="62">
        <v>36938.76</v>
      </c>
      <c r="E13" s="62">
        <f t="shared" si="0"/>
        <v>-15636.760000000002</v>
      </c>
      <c r="F13" s="63">
        <f t="shared" si="1"/>
        <v>-0.42331577995579717</v>
      </c>
      <c r="G13" s="64">
        <v>38086.07</v>
      </c>
      <c r="H13" s="64">
        <f t="shared" si="4"/>
        <v>-16784.07</v>
      </c>
      <c r="I13" s="63">
        <f t="shared" si="5"/>
        <v>-0.44068789455042223</v>
      </c>
      <c r="J13" s="65" t="s">
        <v>29</v>
      </c>
      <c r="K13" s="65" t="s">
        <v>30</v>
      </c>
    </row>
    <row r="14" spans="1:11" ht="15.75">
      <c r="A14" s="66" t="str">
        <v>Stillwater River 2</v>
      </c>
      <c r="B14" s="55" t="str">
        <v>MA</v>
      </c>
      <c r="C14" s="56">
        <v>44604.120000000097</v>
      </c>
      <c r="D14" s="56">
        <v>82849.679999999993</v>
      </c>
      <c r="E14" s="56">
        <f t="shared" si="0"/>
        <v>-38245.559999999896</v>
      </c>
      <c r="F14" s="57">
        <f t="shared" si="1"/>
        <v>-0.46162592299692529</v>
      </c>
      <c r="G14" s="58">
        <v>79775.59</v>
      </c>
      <c r="H14" s="58">
        <f t="shared" si="4"/>
        <v>-35171.469999999899</v>
      </c>
      <c r="I14" s="57">
        <f t="shared" si="5"/>
        <v>-0.44088009878710893</v>
      </c>
      <c r="J14" s="59" t="s">
        <v>29</v>
      </c>
      <c r="K14" s="59" t="s">
        <v>30</v>
      </c>
    </row>
    <row r="15" spans="1:11" ht="15.75">
      <c r="A15" s="60" t="str">
        <v>Stillwater River 3</v>
      </c>
      <c r="B15" s="61" t="str">
        <v>MA</v>
      </c>
      <c r="C15" s="62">
        <v>44552</v>
      </c>
      <c r="D15" s="62">
        <v>81817.759999999995</v>
      </c>
      <c r="E15" s="62">
        <f t="shared" si="0"/>
        <v>-37265.759999999995</v>
      </c>
      <c r="F15" s="63">
        <f t="shared" si="1"/>
        <v>-0.45547274821505745</v>
      </c>
      <c r="G15" s="64">
        <v>78530.19</v>
      </c>
      <c r="H15" s="64">
        <f t="shared" si="4"/>
        <v>-33978.19</v>
      </c>
      <c r="I15" s="63">
        <f t="shared" si="5"/>
        <v>-0.43267678328551096</v>
      </c>
      <c r="J15" s="65" t="s">
        <v>29</v>
      </c>
      <c r="K15" s="65" t="s">
        <v>30</v>
      </c>
    </row>
    <row r="16" spans="1:11" ht="15.75">
      <c r="A16" s="66" t="str">
        <v>Stillwater River 4</v>
      </c>
      <c r="B16" s="55" t="str">
        <v>MA</v>
      </c>
      <c r="C16" s="56">
        <v>18009.3125</v>
      </c>
      <c r="D16" s="56">
        <v>32813.839999999997</v>
      </c>
      <c r="E16" s="56">
        <f t="shared" ref="E16" si="6">IF(AND(ISNUMBER(C16),ISNUMBER(D16)), C16-D16, "")</f>
        <v>-14804.527499999997</v>
      </c>
      <c r="F16" s="57">
        <f t="shared" si="1"/>
        <v>-0.45116717519193117</v>
      </c>
      <c r="G16" s="58">
        <v>35648.47</v>
      </c>
      <c r="H16" s="58">
        <f t="shared" ref="H16" si="7">IF(AND(ISNUMBER(C16),ISNUMBER(G16)), C16-G16, "")</f>
        <v>-17639.157500000001</v>
      </c>
      <c r="I16" s="57">
        <f t="shared" ref="I16" si="8">IFERROR(H16/G16, "")</f>
        <v>-0.49480826245838883</v>
      </c>
      <c r="J16" s="59" t="s">
        <v>29</v>
      </c>
      <c r="K16" s="59" t="s">
        <v>30</v>
      </c>
    </row>
    <row r="17" spans="1:11" ht="14.25">
      <c r="A17" s="19"/>
      <c r="B17" s="31"/>
      <c r="C17" s="41"/>
      <c r="D17" s="19"/>
      <c r="E17" s="19"/>
      <c r="F17" s="19"/>
      <c r="G17" s="19"/>
      <c r="H17" s="19"/>
      <c r="I17" s="19"/>
      <c r="J17" s="42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3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D1:F1"/>
    <mergeCell ref="A1:C1"/>
    <mergeCell ref="G1:I1"/>
    <mergeCell ref="A2:B2"/>
  </mergeCells>
  <conditionalFormatting sqref="F2 I2 I4:I90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13" sqref="J13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35</v>
      </c>
      <c r="E1" s="95"/>
      <c r="F1" s="95"/>
      <c r="G1" s="93" t="s">
        <v>36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2159606.8768557338</v>
      </c>
      <c r="D2" s="5">
        <f>SUM(D4:D91)</f>
        <v>2449165.73</v>
      </c>
      <c r="E2" s="5">
        <f>C2-D2</f>
        <v>-289558.85314426618</v>
      </c>
      <c r="F2" s="6">
        <f>IFERROR(E2/D2, 0)</f>
        <v>-0.11822754564847932</v>
      </c>
      <c r="G2" s="5">
        <f>SUM(G4:G91)</f>
        <v>1818738.41</v>
      </c>
      <c r="H2" s="7">
        <f>C2-G2</f>
        <v>340868.46685573389</v>
      </c>
      <c r="I2" s="6">
        <f>IFERROR(H2/G2, 0)</f>
        <v>0.18742028264291943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14">
      <c r="A4" s="67" t="str" cm="1">
        <f t="array" ref="A4:A16">Sites[Site]</f>
        <v>Grafton II</v>
      </c>
      <c r="B4" s="55" t="str" cm="1">
        <f t="array" ref="B4:B16">Sites[State]</f>
        <v>MA</v>
      </c>
      <c r="C4" s="68">
        <v>323940</v>
      </c>
      <c r="D4" s="56">
        <v>341873.5</v>
      </c>
      <c r="E4" s="56">
        <f>IF(AND(ISNUMBER(C4),ISNUMBER(D4)), C4-D4, "")</f>
        <v>-17933.5</v>
      </c>
      <c r="F4" s="69">
        <f>IFERROR(E4/D4, "")</f>
        <v>-5.2456537286452443E-2</v>
      </c>
      <c r="G4" s="58">
        <v>295886</v>
      </c>
      <c r="H4" s="58">
        <f>IF(AND(ISNUMBER(C4),ISNUMBER(G4)), C4-G4, "")</f>
        <v>28054</v>
      </c>
      <c r="I4" s="57">
        <f>IFERROR(H4/G4, "")</f>
        <v>9.4813543053743676E-2</v>
      </c>
      <c r="J4" s="59" t="s">
        <v>37</v>
      </c>
      <c r="K4" s="59" t="s">
        <v>38</v>
      </c>
    </row>
    <row r="5" spans="1:11" ht="46.5" customHeight="1">
      <c r="A5" s="70" t="str">
        <v>Clara Barton</v>
      </c>
      <c r="B5" s="61" t="str">
        <v>MA</v>
      </c>
      <c r="C5" s="71">
        <v>116495.313855734</v>
      </c>
      <c r="D5" s="62">
        <v>126875.4</v>
      </c>
      <c r="E5" s="62">
        <f t="shared" ref="E5:E15" si="0">IF(AND(ISNUMBER(C5),ISNUMBER(D5)), C5-D5, "")</f>
        <v>-10380.086144265995</v>
      </c>
      <c r="F5" s="63">
        <f>IFERROR(E5/D5, "")</f>
        <v>-8.1813228918025047E-2</v>
      </c>
      <c r="G5" s="64">
        <v>101882.3</v>
      </c>
      <c r="H5" s="64">
        <f t="shared" ref="H5:H15" si="1">IF(AND(ISNUMBER(C5),ISNUMBER(G5)), C5-G5, "")</f>
        <v>14613.013855733996</v>
      </c>
      <c r="I5" s="63">
        <f t="shared" ref="I5:I15" si="2">IFERROR(H5/G5, "")</f>
        <v>0.14343034909630029</v>
      </c>
      <c r="J5" s="81" t="s">
        <v>39</v>
      </c>
      <c r="K5" s="81" t="s">
        <v>40</v>
      </c>
    </row>
    <row r="6" spans="1:11" ht="28.5">
      <c r="A6" s="72" t="str">
        <v>Fairhaven Solar</v>
      </c>
      <c r="B6" s="55" t="str">
        <v>MA</v>
      </c>
      <c r="C6" s="68">
        <v>89525</v>
      </c>
      <c r="D6" s="56">
        <v>98220.97</v>
      </c>
      <c r="E6" s="56">
        <f t="shared" si="0"/>
        <v>-8695.9700000000012</v>
      </c>
      <c r="F6" s="69">
        <f t="shared" ref="F6:F15" si="3">IFERROR(E6/D6, "")</f>
        <v>-8.853475993975625E-2</v>
      </c>
      <c r="G6" s="58">
        <v>78120.28</v>
      </c>
      <c r="H6" s="58">
        <f t="shared" si="1"/>
        <v>11404.720000000001</v>
      </c>
      <c r="I6" s="57">
        <f t="shared" si="2"/>
        <v>0.14598923608568737</v>
      </c>
      <c r="J6" s="82" t="s">
        <v>41</v>
      </c>
      <c r="K6" s="82" t="s">
        <v>42</v>
      </c>
    </row>
    <row r="7" spans="1:11" ht="28.5">
      <c r="A7" s="70" t="str">
        <v>Plympton-1</v>
      </c>
      <c r="B7" s="61" t="str">
        <v>MA</v>
      </c>
      <c r="C7" s="71">
        <v>114034</v>
      </c>
      <c r="D7" s="62">
        <v>124223.6</v>
      </c>
      <c r="E7" s="62">
        <f t="shared" si="0"/>
        <v>-10189.600000000006</v>
      </c>
      <c r="F7" s="63">
        <f t="shared" si="3"/>
        <v>-8.2026281640525681E-2</v>
      </c>
      <c r="G7" s="64">
        <v>98091.58</v>
      </c>
      <c r="H7" s="64">
        <f t="shared" si="1"/>
        <v>15942.419999999998</v>
      </c>
      <c r="I7" s="63">
        <f t="shared" si="2"/>
        <v>0.16252587632903862</v>
      </c>
      <c r="J7" s="83" t="s">
        <v>43</v>
      </c>
      <c r="K7" s="83" t="s">
        <v>44</v>
      </c>
    </row>
    <row r="8" spans="1:11" ht="15.75">
      <c r="A8" s="72" t="str">
        <v>French River 2</v>
      </c>
      <c r="B8" s="55" t="str">
        <v>MA</v>
      </c>
      <c r="C8" s="68">
        <v>132153</v>
      </c>
      <c r="D8" s="56">
        <v>156172.9</v>
      </c>
      <c r="E8" s="56">
        <f t="shared" si="0"/>
        <v>-24019.899999999994</v>
      </c>
      <c r="F8" s="69">
        <f t="shared" si="3"/>
        <v>-0.1538032526770009</v>
      </c>
      <c r="G8" s="58">
        <v>106405</v>
      </c>
      <c r="H8" s="58">
        <f t="shared" si="1"/>
        <v>25748</v>
      </c>
      <c r="I8" s="57">
        <f t="shared" si="2"/>
        <v>0.24198110991024857</v>
      </c>
      <c r="J8" s="82"/>
      <c r="K8" s="82"/>
    </row>
    <row r="9" spans="1:11" ht="15.75">
      <c r="A9" s="70" t="str">
        <v>French River 3</v>
      </c>
      <c r="B9" s="61" t="str">
        <v>MA</v>
      </c>
      <c r="C9" s="71">
        <v>257405</v>
      </c>
      <c r="D9" s="62">
        <v>299390.09999999998</v>
      </c>
      <c r="E9" s="62">
        <f t="shared" si="0"/>
        <v>-41985.099999999977</v>
      </c>
      <c r="F9" s="63">
        <f t="shared" si="3"/>
        <v>-0.14023543196652122</v>
      </c>
      <c r="G9" s="64">
        <v>203894.6</v>
      </c>
      <c r="H9" s="64">
        <f t="shared" si="1"/>
        <v>53510.399999999994</v>
      </c>
      <c r="I9" s="63">
        <f t="shared" si="2"/>
        <v>0.26244147711611782</v>
      </c>
      <c r="J9" s="83" t="s">
        <v>45</v>
      </c>
      <c r="K9" s="83" t="s">
        <v>46</v>
      </c>
    </row>
    <row r="10" spans="1:11" ht="15.75">
      <c r="A10" s="72" t="str">
        <v>French River 4</v>
      </c>
      <c r="B10" s="55" t="str">
        <v>MA</v>
      </c>
      <c r="C10" s="68">
        <v>265549.75</v>
      </c>
      <c r="D10" s="56">
        <v>304548.2</v>
      </c>
      <c r="E10" s="56">
        <f t="shared" si="0"/>
        <v>-38998.450000000012</v>
      </c>
      <c r="F10" s="69">
        <f t="shared" si="3"/>
        <v>-0.12805345754793498</v>
      </c>
      <c r="G10" s="58">
        <v>212563.8</v>
      </c>
      <c r="H10" s="58">
        <f t="shared" si="1"/>
        <v>52985.950000000012</v>
      </c>
      <c r="I10" s="57">
        <f t="shared" si="2"/>
        <v>0.24927080716471955</v>
      </c>
      <c r="J10" s="82"/>
      <c r="K10" s="82"/>
    </row>
    <row r="11" spans="1:11" ht="78" customHeight="1">
      <c r="A11" s="70" t="str">
        <v>French River 5</v>
      </c>
      <c r="B11" s="61" t="str">
        <v>MA</v>
      </c>
      <c r="C11" s="71">
        <v>243741</v>
      </c>
      <c r="D11" s="62">
        <v>295557.5</v>
      </c>
      <c r="E11" s="62">
        <f t="shared" si="0"/>
        <v>-51816.5</v>
      </c>
      <c r="F11" s="63">
        <f t="shared" si="3"/>
        <v>-0.17531783155561947</v>
      </c>
      <c r="G11" s="64">
        <v>208635.1</v>
      </c>
      <c r="H11" s="64">
        <f t="shared" si="1"/>
        <v>35105.899999999994</v>
      </c>
      <c r="I11" s="63">
        <f t="shared" si="2"/>
        <v>0.16826459210362971</v>
      </c>
      <c r="J11" s="80" t="s">
        <v>47</v>
      </c>
      <c r="K11" s="80" t="s">
        <v>48</v>
      </c>
    </row>
    <row r="12" spans="1:11" ht="75.75" customHeight="1">
      <c r="A12" s="72" t="str">
        <v>French River 6</v>
      </c>
      <c r="B12" s="55" t="str">
        <v>MA</v>
      </c>
      <c r="C12" s="68">
        <v>230604</v>
      </c>
      <c r="D12" s="56">
        <v>254770</v>
      </c>
      <c r="E12" s="56">
        <f t="shared" si="0"/>
        <v>-24166</v>
      </c>
      <c r="F12" s="69">
        <f t="shared" si="3"/>
        <v>-9.4854182203556153E-2</v>
      </c>
      <c r="G12" s="58">
        <v>200185.5</v>
      </c>
      <c r="H12" s="58">
        <f t="shared" si="1"/>
        <v>30418.5</v>
      </c>
      <c r="I12" s="57">
        <f t="shared" si="2"/>
        <v>0.15195156492353343</v>
      </c>
      <c r="J12" s="59" t="s">
        <v>49</v>
      </c>
      <c r="K12" s="59" t="s">
        <v>50</v>
      </c>
    </row>
    <row r="13" spans="1:11" ht="15.75">
      <c r="A13" s="70" t="str">
        <v>Stillwater River 1A</v>
      </c>
      <c r="B13" s="61" t="str">
        <v>MA</v>
      </c>
      <c r="C13" s="71">
        <v>65138.813000000002</v>
      </c>
      <c r="D13" s="62">
        <v>63898.28</v>
      </c>
      <c r="E13" s="62">
        <f t="shared" si="0"/>
        <v>1240.5330000000031</v>
      </c>
      <c r="F13" s="63">
        <f t="shared" si="3"/>
        <v>1.9414184544560561E-2</v>
      </c>
      <c r="G13" s="64">
        <v>51386.81</v>
      </c>
      <c r="H13" s="64">
        <f t="shared" si="1"/>
        <v>13752.003000000004</v>
      </c>
      <c r="I13" s="63">
        <f t="shared" si="2"/>
        <v>0.26761737107246014</v>
      </c>
      <c r="J13" s="65"/>
      <c r="K13" s="73"/>
    </row>
    <row r="14" spans="1:11" ht="15.75">
      <c r="A14" s="72" t="str">
        <v>Stillwater River 2</v>
      </c>
      <c r="B14" s="55" t="str">
        <v>MA</v>
      </c>
      <c r="C14" s="68">
        <v>134132</v>
      </c>
      <c r="D14" s="56">
        <v>158022.20000000001</v>
      </c>
      <c r="E14" s="56">
        <f t="shared" si="0"/>
        <v>-23890.200000000012</v>
      </c>
      <c r="F14" s="69">
        <f t="shared" si="3"/>
        <v>-0.15118255536247444</v>
      </c>
      <c r="G14" s="58">
        <v>107616.5</v>
      </c>
      <c r="H14" s="58">
        <f t="shared" si="1"/>
        <v>26515.5</v>
      </c>
      <c r="I14" s="57">
        <f t="shared" si="2"/>
        <v>0.24638879725692622</v>
      </c>
      <c r="J14" s="82"/>
      <c r="K14" s="82"/>
    </row>
    <row r="15" spans="1:11" ht="15.75">
      <c r="A15" s="70" t="str">
        <v>Stillwater River 3</v>
      </c>
      <c r="B15" s="61" t="str">
        <v>MA</v>
      </c>
      <c r="C15" s="71">
        <v>134092</v>
      </c>
      <c r="D15" s="62">
        <v>158570.9</v>
      </c>
      <c r="E15" s="62">
        <f t="shared" si="0"/>
        <v>-24478.899999999994</v>
      </c>
      <c r="F15" s="63">
        <f t="shared" si="3"/>
        <v>-0.15437195601462814</v>
      </c>
      <c r="G15" s="64">
        <v>105943.3</v>
      </c>
      <c r="H15" s="64">
        <f t="shared" si="1"/>
        <v>28148.699999999997</v>
      </c>
      <c r="I15" s="63">
        <f t="shared" si="2"/>
        <v>0.26569589582352066</v>
      </c>
      <c r="J15" s="84"/>
      <c r="K15" s="82"/>
    </row>
    <row r="16" spans="1:11" ht="28.5">
      <c r="A16" s="72" t="str">
        <v>Stillwater River 4</v>
      </c>
      <c r="B16" s="55" t="str">
        <v>MA</v>
      </c>
      <c r="C16" s="68">
        <v>52797</v>
      </c>
      <c r="D16" s="56">
        <v>67042.179999999993</v>
      </c>
      <c r="E16" s="56">
        <f t="shared" ref="E16" si="4">IF(AND(ISNUMBER(C16),ISNUMBER(D16)), C16-D16, "")</f>
        <v>-14245.179999999993</v>
      </c>
      <c r="F16" s="69">
        <f t="shared" ref="F16" si="5">IFERROR(E16/D16, "")</f>
        <v>-0.21248085906514369</v>
      </c>
      <c r="G16" s="58">
        <v>48127.64</v>
      </c>
      <c r="H16" s="58">
        <f t="shared" ref="H16" si="6">IF(AND(ISNUMBER(C16),ISNUMBER(G16)), C16-G16, "")</f>
        <v>4669.3600000000006</v>
      </c>
      <c r="I16" s="57">
        <f t="shared" ref="I16" si="7">IFERROR(H16/G16, "")</f>
        <v>9.702034007900659E-2</v>
      </c>
      <c r="J16" s="83" t="s">
        <v>51</v>
      </c>
      <c r="K16" s="85" t="s">
        <v>52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xSplit="2" ySplit="3" topLeftCell="F9" activePane="bottomRight" state="frozen"/>
      <selection pane="bottomRight" activeCell="J5" sqref="J5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53</v>
      </c>
      <c r="E1" s="95"/>
      <c r="F1" s="95"/>
      <c r="G1" s="93" t="s">
        <v>54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2272926.7039999994</v>
      </c>
      <c r="D2" s="5">
        <f>SUM(D4:D91)</f>
        <v>2084442.7799999996</v>
      </c>
      <c r="E2" s="5">
        <f>C2-D2</f>
        <v>188483.92399999988</v>
      </c>
      <c r="F2" s="6">
        <f>IFERROR(E2/D2, 0)</f>
        <v>9.0424129560418981E-2</v>
      </c>
      <c r="G2" s="5">
        <f>SUM(G4:G91)</f>
        <v>2525593.2600000002</v>
      </c>
      <c r="H2" s="7">
        <f>C2-G2</f>
        <v>-252666.5560000008</v>
      </c>
      <c r="I2" s="6">
        <f>IFERROR(H2/G2, 0)</f>
        <v>-0.10004245735118915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84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383492</v>
      </c>
      <c r="D4" s="11">
        <v>355717.3</v>
      </c>
      <c r="E4" s="11">
        <f>IF(AND(ISNUMBER(C4),ISNUMBER(D4)), C4-D4, "")</f>
        <v>27774.700000000012</v>
      </c>
      <c r="F4" s="12">
        <f>IFERROR(E4/D4, "")</f>
        <v>7.8080824295023082E-2</v>
      </c>
      <c r="G4" s="13">
        <v>405537</v>
      </c>
      <c r="H4" s="13">
        <f>IF(AND(ISNUMBER(C4),ISNUMBER(G4)), C4-G4, "")</f>
        <v>-22045</v>
      </c>
      <c r="I4" s="14">
        <f>IFERROR(H4/G4, "")</f>
        <v>-5.4360021403719018E-2</v>
      </c>
      <c r="J4" s="38" t="s">
        <v>55</v>
      </c>
      <c r="K4" s="38" t="s">
        <v>56</v>
      </c>
    </row>
    <row r="5" spans="1:11" ht="85.5">
      <c r="A5" s="28" t="str">
        <v>Clara Barton</v>
      </c>
      <c r="B5" s="29" t="str">
        <v>MA</v>
      </c>
      <c r="C5" s="10">
        <v>113300.541</v>
      </c>
      <c r="D5" s="16">
        <v>123633.9</v>
      </c>
      <c r="E5" s="16">
        <f t="shared" ref="E5:E16" si="0">IF(AND(ISNUMBER(C5),ISNUMBER(D5)), C5-D5, "")</f>
        <v>-10333.358999999997</v>
      </c>
      <c r="F5" s="17">
        <f>IFERROR(E5/D5, "")</f>
        <v>-8.3580304431066219E-2</v>
      </c>
      <c r="G5" s="18">
        <v>144855</v>
      </c>
      <c r="H5" s="18">
        <f t="shared" ref="H5:H16" si="1">IF(AND(ISNUMBER(C5),ISNUMBER(G5)), C5-G5, "")</f>
        <v>-31554.459000000003</v>
      </c>
      <c r="I5" s="17">
        <f t="shared" ref="I5:I16" si="2">IFERROR(H5/G5, "")</f>
        <v>-0.21783479341410378</v>
      </c>
      <c r="J5" s="87" t="s">
        <v>57</v>
      </c>
      <c r="K5" s="87" t="s">
        <v>58</v>
      </c>
    </row>
    <row r="6" spans="1:11" ht="28.5">
      <c r="A6" s="26" t="str">
        <v>Fairhaven Solar</v>
      </c>
      <c r="B6" s="27" t="str">
        <v>MA</v>
      </c>
      <c r="C6" s="22">
        <v>106000</v>
      </c>
      <c r="D6" s="11">
        <v>109002</v>
      </c>
      <c r="E6" s="11">
        <f t="shared" si="0"/>
        <v>-3002</v>
      </c>
      <c r="F6" s="12">
        <f t="shared" ref="F6:F16" si="3">IFERROR(E6/D6, "")</f>
        <v>-2.7540779068273978E-2</v>
      </c>
      <c r="G6" s="13">
        <v>107514.1</v>
      </c>
      <c r="H6" s="13">
        <f t="shared" si="1"/>
        <v>-1514.1000000000058</v>
      </c>
      <c r="I6" s="14">
        <f t="shared" si="2"/>
        <v>-1.4082804022914256E-2</v>
      </c>
      <c r="J6" s="38" t="s">
        <v>59</v>
      </c>
      <c r="K6" s="38" t="s">
        <v>60</v>
      </c>
    </row>
    <row r="7" spans="1:11" ht="28.5">
      <c r="A7" s="28" t="str">
        <v>Plympton-1</v>
      </c>
      <c r="B7" s="29" t="str">
        <v>MA</v>
      </c>
      <c r="C7" s="10">
        <v>115782</v>
      </c>
      <c r="D7" s="16">
        <v>119836.6</v>
      </c>
      <c r="E7" s="16">
        <f t="shared" si="0"/>
        <v>-4054.6000000000058</v>
      </c>
      <c r="F7" s="17">
        <f t="shared" si="3"/>
        <v>-3.3834404514146807E-2</v>
      </c>
      <c r="G7" s="18">
        <v>140988.4</v>
      </c>
      <c r="H7" s="18">
        <f t="shared" si="1"/>
        <v>-25206.399999999994</v>
      </c>
      <c r="I7" s="17">
        <f t="shared" si="2"/>
        <v>-0.1787835027562551</v>
      </c>
      <c r="J7" s="87" t="s">
        <v>61</v>
      </c>
      <c r="K7" s="87" t="s">
        <v>62</v>
      </c>
    </row>
    <row r="8" spans="1:11" ht="15.75">
      <c r="A8" s="26" t="str">
        <v>French River 2</v>
      </c>
      <c r="B8" s="27" t="str">
        <v>MA</v>
      </c>
      <c r="C8" s="22">
        <v>146558</v>
      </c>
      <c r="D8" s="11">
        <v>136714.6</v>
      </c>
      <c r="E8" s="11">
        <f t="shared" si="0"/>
        <v>9843.3999999999942</v>
      </c>
      <c r="F8" s="12">
        <f t="shared" si="3"/>
        <v>7.1999625497203623E-2</v>
      </c>
      <c r="G8" s="13">
        <v>147624</v>
      </c>
      <c r="H8" s="13">
        <f t="shared" si="1"/>
        <v>-1066</v>
      </c>
      <c r="I8" s="14">
        <f t="shared" si="2"/>
        <v>-7.2210480680648132E-3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289024</v>
      </c>
      <c r="D9" s="16">
        <v>116716.8</v>
      </c>
      <c r="E9" s="16">
        <f t="shared" si="0"/>
        <v>172307.20000000001</v>
      </c>
      <c r="F9" s="17">
        <f t="shared" si="3"/>
        <v>1.4762844766134782</v>
      </c>
      <c r="G9" s="18">
        <v>282835.8</v>
      </c>
      <c r="H9" s="18">
        <f t="shared" si="1"/>
        <v>6188.2000000000116</v>
      </c>
      <c r="I9" s="17">
        <f t="shared" si="2"/>
        <v>2.1879125626953915E-2</v>
      </c>
      <c r="J9" s="87" t="s">
        <v>63</v>
      </c>
      <c r="K9" s="87" t="s">
        <v>64</v>
      </c>
    </row>
    <row r="10" spans="1:11" ht="28.5">
      <c r="A10" s="26" t="str">
        <v>French River 4</v>
      </c>
      <c r="B10" s="27" t="str">
        <v>MA</v>
      </c>
      <c r="C10" s="22">
        <v>276210.42</v>
      </c>
      <c r="D10" s="11">
        <v>266015.09999999998</v>
      </c>
      <c r="E10" s="11">
        <f t="shared" si="0"/>
        <v>10195.320000000007</v>
      </c>
      <c r="F10" s="12">
        <f t="shared" si="3"/>
        <v>3.8326095022425448E-2</v>
      </c>
      <c r="G10" s="13">
        <v>294831.8</v>
      </c>
      <c r="H10" s="13">
        <f t="shared" si="1"/>
        <v>-18621.380000000005</v>
      </c>
      <c r="I10" s="14">
        <f t="shared" si="2"/>
        <v>-6.3159333558998748E-2</v>
      </c>
      <c r="J10" s="38" t="s">
        <v>65</v>
      </c>
      <c r="K10" s="38" t="s">
        <v>66</v>
      </c>
    </row>
    <row r="11" spans="1:11" ht="99.75">
      <c r="A11" s="28" t="str">
        <v>French River 5</v>
      </c>
      <c r="B11" s="29" t="str">
        <v>MA</v>
      </c>
      <c r="C11" s="10">
        <v>235227.89</v>
      </c>
      <c r="D11" s="16">
        <v>258045.2</v>
      </c>
      <c r="E11" s="16">
        <f t="shared" si="0"/>
        <v>-22817.309999999998</v>
      </c>
      <c r="F11" s="17">
        <f t="shared" si="3"/>
        <v>-8.8423694763553037E-2</v>
      </c>
      <c r="G11" s="18">
        <v>289483.8</v>
      </c>
      <c r="H11" s="18">
        <f t="shared" si="1"/>
        <v>-54255.909999999974</v>
      </c>
      <c r="I11" s="17">
        <f t="shared" si="2"/>
        <v>-0.18742295769227837</v>
      </c>
      <c r="J11" s="87" t="s">
        <v>67</v>
      </c>
      <c r="K11" s="87" t="s">
        <v>68</v>
      </c>
    </row>
    <row r="12" spans="1:11" ht="57">
      <c r="A12" s="26" t="str">
        <v>French River 6</v>
      </c>
      <c r="B12" s="27" t="str">
        <v>MA</v>
      </c>
      <c r="C12" s="22">
        <v>236325.43</v>
      </c>
      <c r="D12" s="11">
        <v>225161.4</v>
      </c>
      <c r="E12" s="11">
        <f t="shared" si="0"/>
        <v>11164.029999999999</v>
      </c>
      <c r="F12" s="12">
        <f t="shared" si="3"/>
        <v>4.9582344042984276E-2</v>
      </c>
      <c r="G12" s="13">
        <v>277740.40000000002</v>
      </c>
      <c r="H12" s="13">
        <f t="shared" si="1"/>
        <v>-41414.97000000003</v>
      </c>
      <c r="I12" s="14">
        <f t="shared" si="2"/>
        <v>-0.14911395677402361</v>
      </c>
      <c r="J12" s="38" t="s">
        <v>69</v>
      </c>
      <c r="K12" s="38" t="s">
        <v>70</v>
      </c>
    </row>
    <row r="13" spans="1:11" ht="15.75">
      <c r="A13" s="28" t="str">
        <v>Stillwater River 1A</v>
      </c>
      <c r="B13" s="29" t="str">
        <v>MA</v>
      </c>
      <c r="C13" s="10">
        <v>77810.437000000005</v>
      </c>
      <c r="D13" s="16">
        <v>45080.59</v>
      </c>
      <c r="E13" s="16">
        <f t="shared" si="0"/>
        <v>32729.847000000009</v>
      </c>
      <c r="F13" s="17">
        <f t="shared" si="3"/>
        <v>0.72602969481987722</v>
      </c>
      <c r="G13" s="18">
        <v>71264.59</v>
      </c>
      <c r="H13" s="18">
        <f t="shared" si="1"/>
        <v>6545.8470000000088</v>
      </c>
      <c r="I13" s="17">
        <f t="shared" si="2"/>
        <v>9.1852727981736923E-2</v>
      </c>
      <c r="J13" s="87"/>
      <c r="K13" s="87"/>
    </row>
    <row r="14" spans="1:11" ht="28.5">
      <c r="A14" s="26" t="str">
        <v>Stillwater River 2</v>
      </c>
      <c r="B14" s="27" t="str">
        <v>MA</v>
      </c>
      <c r="C14" s="22">
        <v>119876</v>
      </c>
      <c r="D14" s="11">
        <v>132134.20000000001</v>
      </c>
      <c r="E14" s="11">
        <f t="shared" si="0"/>
        <v>-12258.200000000012</v>
      </c>
      <c r="F14" s="12">
        <f t="shared" si="3"/>
        <v>-9.2770834500076518E-2</v>
      </c>
      <c r="G14" s="13">
        <v>149235.70000000001</v>
      </c>
      <c r="H14" s="13">
        <f t="shared" si="1"/>
        <v>-29359.700000000012</v>
      </c>
      <c r="I14" s="14">
        <f t="shared" si="2"/>
        <v>-0.19673375740523219</v>
      </c>
      <c r="J14" s="38" t="s">
        <v>71</v>
      </c>
      <c r="K14" s="38" t="s">
        <v>72</v>
      </c>
    </row>
    <row r="15" spans="1:11" ht="28.5">
      <c r="A15" s="28" t="str">
        <v>Stillwater River 3</v>
      </c>
      <c r="B15" s="29" t="str">
        <v>MA</v>
      </c>
      <c r="C15" s="10">
        <v>122176.4</v>
      </c>
      <c r="D15" s="16">
        <v>130872.7</v>
      </c>
      <c r="E15" s="16">
        <f t="shared" si="0"/>
        <v>-8696.3000000000029</v>
      </c>
      <c r="F15" s="17">
        <f t="shared" si="3"/>
        <v>-6.6448541216006116E-2</v>
      </c>
      <c r="G15" s="18">
        <v>146919.6</v>
      </c>
      <c r="H15" s="18">
        <f t="shared" si="1"/>
        <v>-24743.200000000012</v>
      </c>
      <c r="I15" s="17">
        <f t="shared" si="2"/>
        <v>-0.16841320014484121</v>
      </c>
      <c r="J15" s="87" t="s">
        <v>71</v>
      </c>
      <c r="K15" s="87" t="s">
        <v>73</v>
      </c>
    </row>
    <row r="16" spans="1:11" ht="28.5">
      <c r="A16" s="26" t="str">
        <v>Stillwater River 4</v>
      </c>
      <c r="B16" s="27" t="str">
        <v>MA</v>
      </c>
      <c r="C16" s="22">
        <v>51143.586000000003</v>
      </c>
      <c r="D16" s="11">
        <v>65512.39</v>
      </c>
      <c r="E16" s="11">
        <f t="shared" si="0"/>
        <v>-14368.803999999996</v>
      </c>
      <c r="F16" s="12">
        <f t="shared" si="3"/>
        <v>-0.21932956498763054</v>
      </c>
      <c r="G16" s="13">
        <v>66763.070000000007</v>
      </c>
      <c r="H16" s="13">
        <f t="shared" si="1"/>
        <v>-15619.484000000004</v>
      </c>
      <c r="I16" s="14">
        <f t="shared" si="2"/>
        <v>-0.23395395088931653</v>
      </c>
      <c r="J16" s="38" t="s">
        <v>74</v>
      </c>
      <c r="K16" s="38" t="s">
        <v>75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3"/>
  <sheetViews>
    <sheetView workbookViewId="0">
      <pane xSplit="2" ySplit="3" topLeftCell="F7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94" t="str" cm="1">
        <f t="array" ref="A1">portfolio</f>
        <v>MN8 Bond</v>
      </c>
      <c r="B1" s="94"/>
      <c r="C1" s="94"/>
      <c r="D1" s="95" t="s">
        <v>76</v>
      </c>
      <c r="E1" s="95"/>
      <c r="F1" s="95"/>
      <c r="G1" s="93" t="s">
        <v>77</v>
      </c>
      <c r="H1" s="93"/>
      <c r="I1" s="93"/>
      <c r="J1" s="4"/>
      <c r="K1" s="4"/>
    </row>
    <row r="2" spans="1:12" ht="19.5" customHeight="1">
      <c r="A2" s="96" t="s">
        <v>2</v>
      </c>
      <c r="B2" s="96"/>
      <c r="C2" s="5">
        <f>SUM(C4:C91)</f>
        <v>2585724.0950888437</v>
      </c>
      <c r="D2" s="5">
        <f>SUM(D4:D91)</f>
        <v>2705253.3000000003</v>
      </c>
      <c r="E2" s="5">
        <f>C2-D2</f>
        <v>-119529.20491115656</v>
      </c>
      <c r="F2" s="6">
        <f>IFERROR(E2/D2, 0)</f>
        <v>-4.418410834621532E-2</v>
      </c>
      <c r="G2" s="5">
        <f>SUM(G4:G91)</f>
        <v>2704748.7399999998</v>
      </c>
      <c r="H2" s="7">
        <f>C2-G2</f>
        <v>-119024.64491115604</v>
      </c>
      <c r="I2" s="6">
        <f>IFERROR(H2/G2, 0)</f>
        <v>-4.400580473554673E-2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0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406325.32</v>
      </c>
      <c r="D4" s="11">
        <v>383163.7</v>
      </c>
      <c r="E4" s="11">
        <f>IF(AND(ISNUMBER(C4),ISNUMBER(D4)), C4-D4, "")</f>
        <v>23161.619999999995</v>
      </c>
      <c r="F4" s="12">
        <f>IFERROR(E4/D4, "")</f>
        <v>6.0448367107844493E-2</v>
      </c>
      <c r="G4" s="13">
        <v>444997</v>
      </c>
      <c r="H4" s="13">
        <f>IF(AND(ISNUMBER(C4),ISNUMBER(G4)), C4-G4, "")</f>
        <v>-38671.679999999993</v>
      </c>
      <c r="I4" s="14">
        <f>IFERROR(H4/G4, "")</f>
        <v>-8.6903237549916051E-2</v>
      </c>
      <c r="J4" s="38" t="s">
        <v>78</v>
      </c>
      <c r="K4" s="38" t="s">
        <v>79</v>
      </c>
    </row>
    <row r="5" spans="1:12" ht="142.5">
      <c r="A5" s="28" t="str">
        <v>Clara Barton</v>
      </c>
      <c r="B5" s="29" t="str">
        <v>MA</v>
      </c>
      <c r="C5" s="10">
        <v>151790</v>
      </c>
      <c r="D5" s="16">
        <v>150612.29999999999</v>
      </c>
      <c r="E5" s="16">
        <f t="shared" ref="E5:E16" si="0">IF(AND(ISNUMBER(C5),ISNUMBER(D5)), C5-D5, "")</f>
        <v>1177.7000000000116</v>
      </c>
      <c r="F5" s="17">
        <f>IFERROR(E5/D5, "")</f>
        <v>7.8194144834121231E-3</v>
      </c>
      <c r="G5" s="18">
        <v>163762</v>
      </c>
      <c r="H5" s="18">
        <f t="shared" ref="H5:H16" si="1">IF(AND(ISNUMBER(C5),ISNUMBER(G5)), C5-G5, "")</f>
        <v>-11972</v>
      </c>
      <c r="I5" s="17">
        <f t="shared" ref="I5:I16" si="2">IFERROR(H5/G5, "")</f>
        <v>-7.3106092988605417E-2</v>
      </c>
      <c r="J5" s="39" t="s">
        <v>80</v>
      </c>
      <c r="K5" s="39" t="s">
        <v>81</v>
      </c>
    </row>
    <row r="6" spans="1:12" ht="91.5" customHeight="1">
      <c r="A6" s="26" t="str">
        <v>Fairhaven Solar</v>
      </c>
      <c r="B6" s="27" t="str">
        <v>MA</v>
      </c>
      <c r="C6" s="22">
        <v>104937</v>
      </c>
      <c r="D6" s="11">
        <v>105598</v>
      </c>
      <c r="E6" s="11">
        <f t="shared" si="0"/>
        <v>-661</v>
      </c>
      <c r="F6" s="12">
        <f t="shared" ref="F6:F16" si="3">IFERROR(E6/D6, "")</f>
        <v>-6.2595882497774582E-3</v>
      </c>
      <c r="G6" s="13">
        <v>123663.1</v>
      </c>
      <c r="H6" s="13">
        <f t="shared" si="1"/>
        <v>-18726.100000000006</v>
      </c>
      <c r="I6" s="14">
        <f t="shared" si="2"/>
        <v>-0.15142835655907061</v>
      </c>
      <c r="J6" s="38" t="s">
        <v>82</v>
      </c>
      <c r="K6" s="38" t="s">
        <v>83</v>
      </c>
    </row>
    <row r="7" spans="1:12" ht="15.75">
      <c r="A7" s="28" t="str">
        <v>Plympton-1</v>
      </c>
      <c r="B7" s="29" t="str">
        <v>MA</v>
      </c>
      <c r="C7" s="10">
        <v>161073.99508884401</v>
      </c>
      <c r="D7" s="16">
        <v>160586.20000000001</v>
      </c>
      <c r="E7" s="16">
        <f t="shared" si="0"/>
        <v>487.79508884399547</v>
      </c>
      <c r="F7" s="17">
        <f t="shared" si="3"/>
        <v>3.0375903336899148E-3</v>
      </c>
      <c r="G7" s="18">
        <v>162902.39999999999</v>
      </c>
      <c r="H7" s="18">
        <f t="shared" si="1"/>
        <v>-1828.4049111559871</v>
      </c>
      <c r="I7" s="17">
        <f t="shared" si="2"/>
        <v>-1.1223928629387824E-2</v>
      </c>
      <c r="J7" s="39"/>
      <c r="K7" s="40"/>
    </row>
    <row r="8" spans="1:12" ht="15.75">
      <c r="A8" s="26" t="str">
        <v>French River 2</v>
      </c>
      <c r="B8" s="27" t="str">
        <v>MA</v>
      </c>
      <c r="C8" s="22">
        <v>152350</v>
      </c>
      <c r="D8" s="11">
        <v>168447.2</v>
      </c>
      <c r="E8" s="11">
        <f t="shared" si="0"/>
        <v>-16097.200000000012</v>
      </c>
      <c r="F8" s="12">
        <f t="shared" si="3"/>
        <v>-9.5562288954639849E-2</v>
      </c>
      <c r="G8" s="13">
        <v>154735</v>
      </c>
      <c r="H8" s="13">
        <f t="shared" si="1"/>
        <v>-2385</v>
      </c>
      <c r="I8" s="14">
        <f t="shared" si="2"/>
        <v>-1.5413448799560539E-2</v>
      </c>
      <c r="J8" s="38" t="s">
        <v>84</v>
      </c>
      <c r="K8" s="38" t="s">
        <v>85</v>
      </c>
    </row>
    <row r="9" spans="1:12" ht="15.75">
      <c r="A9" s="28" t="str">
        <v>French River 3</v>
      </c>
      <c r="B9" s="29" t="str">
        <v>MA</v>
      </c>
      <c r="C9" s="10">
        <v>301481</v>
      </c>
      <c r="D9" s="16">
        <v>320682.3</v>
      </c>
      <c r="E9" s="16">
        <f t="shared" si="0"/>
        <v>-19201.299999999988</v>
      </c>
      <c r="F9" s="17">
        <f t="shared" si="3"/>
        <v>-5.9876394799463488E-2</v>
      </c>
      <c r="G9" s="18">
        <v>296383.2</v>
      </c>
      <c r="H9" s="18">
        <f t="shared" si="1"/>
        <v>5097.7999999999884</v>
      </c>
      <c r="I9" s="17">
        <f t="shared" si="2"/>
        <v>1.720003023113317E-2</v>
      </c>
      <c r="J9" s="39" t="s">
        <v>86</v>
      </c>
      <c r="K9" s="40" t="s">
        <v>85</v>
      </c>
      <c r="L9" s="40"/>
    </row>
    <row r="10" spans="1:12" ht="15.75">
      <c r="A10" s="26" t="str">
        <v>French River 4</v>
      </c>
      <c r="B10" s="27" t="str">
        <v>MA</v>
      </c>
      <c r="C10" s="22">
        <v>302821</v>
      </c>
      <c r="D10" s="11">
        <v>326893.3</v>
      </c>
      <c r="E10" s="11">
        <f t="shared" si="0"/>
        <v>-24072.299999999988</v>
      </c>
      <c r="F10" s="12">
        <f t="shared" si="3"/>
        <v>-7.3639624917365976E-2</v>
      </c>
      <c r="G10" s="13">
        <v>308948</v>
      </c>
      <c r="H10" s="13">
        <f t="shared" si="1"/>
        <v>-6127</v>
      </c>
      <c r="I10" s="14">
        <f t="shared" si="2"/>
        <v>-1.9831816357445266E-2</v>
      </c>
      <c r="J10" s="38" t="s">
        <v>87</v>
      </c>
      <c r="K10" s="38" t="s">
        <v>88</v>
      </c>
    </row>
    <row r="11" spans="1:12" ht="42.75">
      <c r="A11" s="28" t="str">
        <v>French River 5</v>
      </c>
      <c r="B11" s="29" t="str">
        <v>MA</v>
      </c>
      <c r="C11" s="10">
        <v>280833</v>
      </c>
      <c r="D11" s="16">
        <v>316928.7</v>
      </c>
      <c r="E11" s="16">
        <f t="shared" si="0"/>
        <v>-36095.700000000012</v>
      </c>
      <c r="F11" s="17">
        <f t="shared" si="3"/>
        <v>-0.11389217827227389</v>
      </c>
      <c r="G11" s="18">
        <v>303377.09999999998</v>
      </c>
      <c r="H11" s="18">
        <f t="shared" si="1"/>
        <v>-22544.099999999977</v>
      </c>
      <c r="I11" s="17">
        <f t="shared" si="2"/>
        <v>-7.4310486849534715E-2</v>
      </c>
      <c r="J11" s="90" t="s">
        <v>89</v>
      </c>
      <c r="K11" s="90" t="s">
        <v>90</v>
      </c>
    </row>
    <row r="12" spans="1:12" ht="85.5">
      <c r="A12" s="26" t="str">
        <v>French River 6</v>
      </c>
      <c r="B12" s="27" t="str">
        <v>MA</v>
      </c>
      <c r="C12" s="22">
        <v>276927</v>
      </c>
      <c r="D12" s="11">
        <v>274522.2</v>
      </c>
      <c r="E12" s="11">
        <f t="shared" si="0"/>
        <v>2404.7999999999884</v>
      </c>
      <c r="F12" s="12">
        <f t="shared" si="3"/>
        <v>8.7599472829519368E-3</v>
      </c>
      <c r="G12" s="13">
        <v>291071.40000000002</v>
      </c>
      <c r="H12" s="13">
        <f t="shared" si="1"/>
        <v>-14144.400000000023</v>
      </c>
      <c r="I12" s="14">
        <f t="shared" si="2"/>
        <v>-4.8594262438700686E-2</v>
      </c>
      <c r="J12" s="38" t="s">
        <v>91</v>
      </c>
      <c r="K12" s="38" t="s">
        <v>92</v>
      </c>
    </row>
    <row r="13" spans="1:12" ht="15.75">
      <c r="A13" s="28" t="str">
        <v>Stillwater River 1A</v>
      </c>
      <c r="B13" s="29" t="str">
        <v>MA</v>
      </c>
      <c r="C13" s="10">
        <v>75569.09</v>
      </c>
      <c r="D13" s="16">
        <v>79753.7</v>
      </c>
      <c r="E13" s="16">
        <f t="shared" si="0"/>
        <v>-4184.6100000000006</v>
      </c>
      <c r="F13" s="17">
        <f t="shared" si="3"/>
        <v>-5.2469164440019721E-2</v>
      </c>
      <c r="G13" s="18">
        <v>74666.539999999994</v>
      </c>
      <c r="H13" s="18">
        <f t="shared" si="1"/>
        <v>902.55000000000291</v>
      </c>
      <c r="I13" s="17">
        <f t="shared" si="2"/>
        <v>1.2087743720279565E-2</v>
      </c>
      <c r="J13" s="39"/>
      <c r="K13" s="40"/>
    </row>
    <row r="14" spans="1:12" ht="15.75">
      <c r="A14" s="26" t="str">
        <v>Stillwater River 2</v>
      </c>
      <c r="B14" s="27" t="str">
        <v>MA</v>
      </c>
      <c r="C14" s="22">
        <v>154773</v>
      </c>
      <c r="D14" s="11">
        <v>170679</v>
      </c>
      <c r="E14" s="11">
        <f t="shared" si="0"/>
        <v>-15906</v>
      </c>
      <c r="F14" s="12">
        <f t="shared" si="3"/>
        <v>-9.3192484136888548E-2</v>
      </c>
      <c r="G14" s="13">
        <v>156355.5</v>
      </c>
      <c r="H14" s="13">
        <f t="shared" si="1"/>
        <v>-1582.5</v>
      </c>
      <c r="I14" s="14">
        <f t="shared" si="2"/>
        <v>-1.0121166188589464E-2</v>
      </c>
      <c r="J14" s="38"/>
      <c r="K14" s="38"/>
    </row>
    <row r="15" spans="1:12" ht="15.75">
      <c r="A15" s="28" t="str">
        <v>Stillwater River 3</v>
      </c>
      <c r="B15" s="29" t="str">
        <v>MA</v>
      </c>
      <c r="C15" s="10">
        <v>153420</v>
      </c>
      <c r="D15" s="16">
        <v>166403.6</v>
      </c>
      <c r="E15" s="16">
        <f t="shared" si="0"/>
        <v>-12983.600000000006</v>
      </c>
      <c r="F15" s="17">
        <f t="shared" si="3"/>
        <v>-7.8024754272143185E-2</v>
      </c>
      <c r="G15" s="18">
        <v>153930.20000000001</v>
      </c>
      <c r="H15" s="18">
        <f t="shared" si="1"/>
        <v>-510.20000000001164</v>
      </c>
      <c r="I15" s="17">
        <f t="shared" si="2"/>
        <v>-3.314489294498491E-3</v>
      </c>
      <c r="J15" s="39"/>
      <c r="K15" s="40"/>
    </row>
    <row r="16" spans="1:12" ht="42.75">
      <c r="A16" s="26" t="str">
        <v>Stillwater River 4</v>
      </c>
      <c r="B16" s="27" t="str">
        <v>MA</v>
      </c>
      <c r="C16" s="22">
        <v>63423.69</v>
      </c>
      <c r="D16" s="11">
        <v>80983.100000000006</v>
      </c>
      <c r="E16" s="11">
        <f t="shared" si="0"/>
        <v>-17559.410000000003</v>
      </c>
      <c r="F16" s="12">
        <f t="shared" si="3"/>
        <v>-0.2168280789448663</v>
      </c>
      <c r="G16" s="13">
        <v>69957.3</v>
      </c>
      <c r="H16" s="13">
        <f t="shared" si="1"/>
        <v>-6533.6100000000006</v>
      </c>
      <c r="I16" s="14">
        <f t="shared" si="2"/>
        <v>-9.3394256210574164E-2</v>
      </c>
      <c r="J16" s="38" t="s">
        <v>93</v>
      </c>
      <c r="K16" s="38" t="s">
        <v>94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xSplit="2" ySplit="3" topLeftCell="C10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95</v>
      </c>
      <c r="E1" s="95"/>
      <c r="F1" s="95"/>
      <c r="G1" s="93" t="s">
        <v>96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2997080.8049999997</v>
      </c>
      <c r="D2" s="5">
        <f>SUM(D4:D91)</f>
        <v>3076133.86</v>
      </c>
      <c r="E2" s="5">
        <f>C2-D2</f>
        <v>-79053.055000000168</v>
      </c>
      <c r="F2" s="6">
        <f>IFERROR(E2/D2, 0)</f>
        <v>-2.569883451040722E-2</v>
      </c>
      <c r="G2" s="5">
        <f>SUM(G4:G91)</f>
        <v>3037038.1000000006</v>
      </c>
      <c r="H2" s="7">
        <f>C2-G2</f>
        <v>-39957.295000000857</v>
      </c>
      <c r="I2" s="6">
        <f>IFERROR(H2/G2, 0)</f>
        <v>-1.3156665700045334E-2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482443.68</v>
      </c>
      <c r="D4" s="11">
        <v>433338.9</v>
      </c>
      <c r="E4" s="11">
        <f>IF(AND(ISNUMBER(C4),ISNUMBER(D4)), C4-D4, "")</f>
        <v>49104.77999999997</v>
      </c>
      <c r="F4" s="12">
        <f>IFERROR(E4/D4, "")</f>
        <v>0.11331726738587274</v>
      </c>
      <c r="G4" s="13">
        <v>468050</v>
      </c>
      <c r="H4" s="13">
        <f>IF(AND(ISNUMBER(C4),ISNUMBER(G4)), C4-G4, "")</f>
        <v>14393.679999999993</v>
      </c>
      <c r="I4" s="14">
        <f>IFERROR(H4/G4, "")</f>
        <v>3.0752440978527921E-2</v>
      </c>
      <c r="J4" s="38" t="s">
        <v>97</v>
      </c>
      <c r="K4" s="38" t="s">
        <v>98</v>
      </c>
    </row>
    <row r="5" spans="1:11" ht="85.5">
      <c r="A5" s="28" t="str">
        <v>Clara Barton</v>
      </c>
      <c r="B5" s="29" t="str">
        <v>MA</v>
      </c>
      <c r="C5" s="10">
        <v>178515</v>
      </c>
      <c r="D5" s="16">
        <v>175637.8</v>
      </c>
      <c r="E5" s="16">
        <f t="shared" ref="E5:E16" si="0">IF(AND(ISNUMBER(C5),ISNUMBER(D5)), C5-D5, "")</f>
        <v>2877.2000000000116</v>
      </c>
      <c r="F5" s="17">
        <f>IFERROR(E5/D5, "")</f>
        <v>1.6381439530670571E-2</v>
      </c>
      <c r="G5" s="18">
        <v>174462</v>
      </c>
      <c r="H5" s="18">
        <f t="shared" ref="H5:H16" si="1">IF(AND(ISNUMBER(C5),ISNUMBER(G5)), C5-G5, "")</f>
        <v>4053</v>
      </c>
      <c r="I5" s="17">
        <f t="shared" ref="I5:I16" si="2">IFERROR(H5/G5, "")</f>
        <v>2.3231420022698353E-2</v>
      </c>
      <c r="J5" s="39" t="s">
        <v>99</v>
      </c>
      <c r="K5" s="39" t="s">
        <v>100</v>
      </c>
    </row>
    <row r="6" spans="1:11" ht="57">
      <c r="A6" s="26" t="str">
        <v>Fairhaven Solar</v>
      </c>
      <c r="B6" s="27" t="str">
        <v>MA</v>
      </c>
      <c r="C6" s="22">
        <v>135590</v>
      </c>
      <c r="D6" s="11">
        <v>135996.6</v>
      </c>
      <c r="E6" s="11">
        <f t="shared" si="0"/>
        <v>-406.60000000000582</v>
      </c>
      <c r="F6" s="12">
        <f t="shared" ref="F6:F16" si="3">IFERROR(E6/D6, "")</f>
        <v>-2.9897806268686556E-3</v>
      </c>
      <c r="G6" s="13">
        <v>136467.29999999999</v>
      </c>
      <c r="H6" s="13">
        <f t="shared" si="1"/>
        <v>-877.29999999998836</v>
      </c>
      <c r="I6" s="14">
        <f t="shared" si="2"/>
        <v>-6.4286462764339032E-3</v>
      </c>
      <c r="J6" s="38" t="s">
        <v>101</v>
      </c>
      <c r="K6" s="38" t="s">
        <v>102</v>
      </c>
    </row>
    <row r="7" spans="1:11" ht="15.75">
      <c r="A7" s="28" t="str">
        <v>Plympton-1</v>
      </c>
      <c r="B7" s="29" t="str">
        <v>MA</v>
      </c>
      <c r="C7" s="10">
        <v>180284</v>
      </c>
      <c r="D7" s="16">
        <v>182321.4</v>
      </c>
      <c r="E7" s="16">
        <f t="shared" si="0"/>
        <v>-2037.3999999999942</v>
      </c>
      <c r="F7" s="17">
        <f t="shared" si="3"/>
        <v>-1.1174771584685035E-2</v>
      </c>
      <c r="G7" s="18">
        <v>176437.3</v>
      </c>
      <c r="H7" s="18">
        <f t="shared" si="1"/>
        <v>3846.7000000000116</v>
      </c>
      <c r="I7" s="17">
        <f t="shared" si="2"/>
        <v>2.1802079265552193E-2</v>
      </c>
      <c r="J7" s="39" t="s">
        <v>103</v>
      </c>
      <c r="K7" s="39" t="s">
        <v>104</v>
      </c>
    </row>
    <row r="8" spans="1:11" ht="28.5">
      <c r="A8" s="26" t="str">
        <v>French River 2</v>
      </c>
      <c r="B8" s="27" t="str">
        <v>MA</v>
      </c>
      <c r="C8" s="22">
        <v>173798</v>
      </c>
      <c r="D8" s="11">
        <v>189859.6</v>
      </c>
      <c r="E8" s="11">
        <f t="shared" si="0"/>
        <v>-16061.600000000006</v>
      </c>
      <c r="F8" s="12">
        <f t="shared" si="3"/>
        <v>-8.4597249757189019E-2</v>
      </c>
      <c r="G8" s="13">
        <v>178136</v>
      </c>
      <c r="H8" s="13">
        <f t="shared" si="1"/>
        <v>-4338</v>
      </c>
      <c r="I8" s="14">
        <f t="shared" si="2"/>
        <v>-2.4352180356581488E-2</v>
      </c>
      <c r="J8" s="38" t="s">
        <v>105</v>
      </c>
      <c r="K8" s="38" t="s">
        <v>106</v>
      </c>
    </row>
    <row r="9" spans="1:11" ht="28.5">
      <c r="A9" s="28" t="str">
        <v>French River 3</v>
      </c>
      <c r="B9" s="29" t="str">
        <v>MA</v>
      </c>
      <c r="C9" s="10">
        <v>342706</v>
      </c>
      <c r="D9" s="16">
        <v>360003.1</v>
      </c>
      <c r="E9" s="16">
        <f t="shared" si="0"/>
        <v>-17297.099999999977</v>
      </c>
      <c r="F9" s="17">
        <f t="shared" si="3"/>
        <v>-4.8047086261201577E-2</v>
      </c>
      <c r="G9" s="18">
        <v>340894.3</v>
      </c>
      <c r="H9" s="18">
        <f t="shared" si="1"/>
        <v>1811.7000000000116</v>
      </c>
      <c r="I9" s="17">
        <f t="shared" si="2"/>
        <v>5.3145505806345599E-3</v>
      </c>
      <c r="J9" s="39" t="s">
        <v>107</v>
      </c>
      <c r="K9" s="39" t="s">
        <v>108</v>
      </c>
    </row>
    <row r="10" spans="1:11" ht="15.75">
      <c r="A10" s="26" t="str">
        <v>French River 4</v>
      </c>
      <c r="B10" s="27" t="str">
        <v>MA</v>
      </c>
      <c r="C10" s="22">
        <v>348062</v>
      </c>
      <c r="D10" s="11">
        <v>367665.5</v>
      </c>
      <c r="E10" s="11">
        <f t="shared" si="0"/>
        <v>-19603.5</v>
      </c>
      <c r="F10" s="12">
        <f t="shared" si="3"/>
        <v>-5.3318845526708382E-2</v>
      </c>
      <c r="G10" s="13">
        <v>355344.7</v>
      </c>
      <c r="H10" s="13">
        <f t="shared" si="1"/>
        <v>-7282.7000000000116</v>
      </c>
      <c r="I10" s="14">
        <f t="shared" si="2"/>
        <v>-2.0494747775892004E-2</v>
      </c>
      <c r="J10" s="38"/>
      <c r="K10" s="38"/>
    </row>
    <row r="11" spans="1:11" ht="15.75">
      <c r="A11" s="28" t="str">
        <v>French River 5</v>
      </c>
      <c r="B11" s="29" t="str">
        <v>MA</v>
      </c>
      <c r="C11" s="10">
        <v>326568</v>
      </c>
      <c r="D11" s="16">
        <v>356494.8</v>
      </c>
      <c r="E11" s="16">
        <f t="shared" si="0"/>
        <v>-29926.799999999988</v>
      </c>
      <c r="F11" s="17">
        <f t="shared" si="3"/>
        <v>-8.3947367535234699E-2</v>
      </c>
      <c r="G11" s="18">
        <v>348966.3</v>
      </c>
      <c r="H11" s="18">
        <f t="shared" si="1"/>
        <v>-22398.299999999988</v>
      </c>
      <c r="I11" s="17">
        <f t="shared" si="2"/>
        <v>-6.4184707807028896E-2</v>
      </c>
      <c r="J11" s="39" t="s">
        <v>109</v>
      </c>
      <c r="K11" s="39" t="s">
        <v>110</v>
      </c>
    </row>
    <row r="12" spans="1:11" ht="15.75">
      <c r="A12" s="26" t="str">
        <v>French River 6</v>
      </c>
      <c r="B12" s="27" t="str">
        <v>MA</v>
      </c>
      <c r="C12" s="22">
        <v>318681</v>
      </c>
      <c r="D12" s="11">
        <v>303071</v>
      </c>
      <c r="E12" s="11">
        <f t="shared" si="0"/>
        <v>15610</v>
      </c>
      <c r="F12" s="12">
        <f t="shared" si="3"/>
        <v>5.1506082733088945E-2</v>
      </c>
      <c r="G12" s="13">
        <v>334789.09999999998</v>
      </c>
      <c r="H12" s="13">
        <f t="shared" si="1"/>
        <v>-16108.099999999977</v>
      </c>
      <c r="I12" s="14">
        <f t="shared" si="2"/>
        <v>-4.8114170981074289E-2</v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>
        <v>86181.625</v>
      </c>
      <c r="D13" s="16">
        <v>89111.65</v>
      </c>
      <c r="E13" s="16">
        <f t="shared" si="0"/>
        <v>-2930.0249999999942</v>
      </c>
      <c r="F13" s="17">
        <f t="shared" si="3"/>
        <v>-3.288038096028964E-2</v>
      </c>
      <c r="G13" s="18">
        <v>85923.199999999997</v>
      </c>
      <c r="H13" s="18">
        <f t="shared" si="1"/>
        <v>258.42500000000291</v>
      </c>
      <c r="I13" s="17">
        <f t="shared" si="2"/>
        <v>3.0076277419835728E-3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175262</v>
      </c>
      <c r="D14" s="11">
        <v>197484.9</v>
      </c>
      <c r="E14" s="11">
        <f t="shared" si="0"/>
        <v>-22222.899999999994</v>
      </c>
      <c r="F14" s="12">
        <f t="shared" si="3"/>
        <v>-0.11252961618837691</v>
      </c>
      <c r="G14" s="13">
        <v>179921.2</v>
      </c>
      <c r="H14" s="13">
        <f t="shared" si="1"/>
        <v>-4659.2000000000116</v>
      </c>
      <c r="I14" s="14">
        <f t="shared" si="2"/>
        <v>-2.5895781041922861E-2</v>
      </c>
      <c r="J14" s="38" t="s">
        <v>111</v>
      </c>
      <c r="K14" s="38" t="s">
        <v>112</v>
      </c>
    </row>
    <row r="15" spans="1:11" ht="15.75">
      <c r="A15" s="28" t="str">
        <v>Stillwater River 3</v>
      </c>
      <c r="B15" s="29" t="str">
        <v>MA</v>
      </c>
      <c r="C15" s="10">
        <v>175939</v>
      </c>
      <c r="D15" s="16">
        <v>188956.7</v>
      </c>
      <c r="E15" s="16">
        <f t="shared" si="0"/>
        <v>-13017.700000000012</v>
      </c>
      <c r="F15" s="17">
        <f t="shared" si="3"/>
        <v>-6.8892502885581783E-2</v>
      </c>
      <c r="G15" s="18">
        <v>177132.5</v>
      </c>
      <c r="H15" s="18">
        <f t="shared" si="1"/>
        <v>-1193.5</v>
      </c>
      <c r="I15" s="17">
        <f t="shared" si="2"/>
        <v>-6.7378939494446245E-3</v>
      </c>
      <c r="J15" s="39"/>
      <c r="K15" s="40"/>
    </row>
    <row r="16" spans="1:11" ht="71.25">
      <c r="A16" s="26" t="str">
        <v>Stillwater River 4</v>
      </c>
      <c r="B16" s="27" t="str">
        <v>MA</v>
      </c>
      <c r="C16" s="22">
        <v>73050.5</v>
      </c>
      <c r="D16" s="11">
        <v>96191.91</v>
      </c>
      <c r="E16" s="11">
        <f t="shared" si="0"/>
        <v>-23141.410000000003</v>
      </c>
      <c r="F16" s="12">
        <f t="shared" si="3"/>
        <v>-0.24057542884843436</v>
      </c>
      <c r="G16" s="13">
        <v>80514.2</v>
      </c>
      <c r="H16" s="13">
        <f t="shared" si="1"/>
        <v>-7463.6999999999971</v>
      </c>
      <c r="I16" s="14">
        <f t="shared" si="2"/>
        <v>-9.2700418062900677E-2</v>
      </c>
      <c r="J16" s="38" t="s">
        <v>113</v>
      </c>
      <c r="K16" s="38" t="s">
        <v>114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zoomScale="90" zoomScaleNormal="90" workbookViewId="0">
      <pane xSplit="2" ySplit="3" topLeftCell="C4" activePane="bottomRight" state="frozen"/>
      <selection pane="bottomRight" activeCell="K12" sqref="K12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56" customWidth="1"/>
    <col min="11" max="11" width="23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115</v>
      </c>
      <c r="E1" s="95"/>
      <c r="F1" s="95"/>
      <c r="G1" s="93" t="s">
        <v>116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3288648.528750001</v>
      </c>
      <c r="D2" s="5">
        <f>SUM(D4:D91)</f>
        <v>3438527.7</v>
      </c>
      <c r="E2" s="5">
        <f>C2-D2</f>
        <v>-149879.1712499992</v>
      </c>
      <c r="F2" s="6">
        <f>IFERROR(E2/D2, 0)</f>
        <v>-4.3588182014645163E-2</v>
      </c>
      <c r="G2" s="5">
        <f>SUM(G4:G91)</f>
        <v>3031797.1899999995</v>
      </c>
      <c r="H2" s="7">
        <f>C2-G2</f>
        <v>256851.33875000151</v>
      </c>
      <c r="I2" s="6">
        <f>IFERROR(H2/G2, 0)</f>
        <v>8.4719169078061429E-2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63.75" customHeight="1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513004.81000000099</v>
      </c>
      <c r="D4" s="11">
        <v>474429.1</v>
      </c>
      <c r="E4" s="11">
        <f>IF(AND(ISNUMBER(C4),ISNUMBER(D4)), C4-D4, "")</f>
        <v>38575.71000000101</v>
      </c>
      <c r="F4" s="12">
        <f>IFERROR(E4/D4, "")</f>
        <v>8.1309746809377872E-2</v>
      </c>
      <c r="G4" s="13">
        <v>466058</v>
      </c>
      <c r="H4" s="13">
        <f>IF(AND(ISNUMBER(C4),ISNUMBER(G4)), C4-G4, "")</f>
        <v>46946.810000000987</v>
      </c>
      <c r="I4" s="14">
        <f>IFERROR(H4/G4, "")</f>
        <v>0.10073169004716363</v>
      </c>
      <c r="J4" s="38" t="s">
        <v>117</v>
      </c>
      <c r="K4" s="38" t="s">
        <v>118</v>
      </c>
    </row>
    <row r="5" spans="1:11" ht="123.75" customHeight="1">
      <c r="A5" s="28" t="str">
        <v>Clara Barton</v>
      </c>
      <c r="B5" s="29" t="str">
        <v>MA</v>
      </c>
      <c r="C5" s="10">
        <v>195792</v>
      </c>
      <c r="D5" s="16">
        <v>199036.2</v>
      </c>
      <c r="E5" s="16">
        <f t="shared" ref="E5:E16" si="0">IF(AND(ISNUMBER(C5),ISNUMBER(D5)), C5-D5, "")</f>
        <v>-3244.2000000000116</v>
      </c>
      <c r="F5" s="17">
        <f>IFERROR(E5/D5, "")</f>
        <v>-1.6299547519496509E-2</v>
      </c>
      <c r="G5" s="18">
        <v>177019.2</v>
      </c>
      <c r="H5" s="18">
        <f t="shared" ref="H5:H16" si="1">IF(AND(ISNUMBER(C5),ISNUMBER(G5)), C5-G5, "")</f>
        <v>18772.799999999988</v>
      </c>
      <c r="I5" s="17">
        <f t="shared" ref="I5:I16" si="2">IFERROR(H5/G5, "")</f>
        <v>0.1060495132731364</v>
      </c>
      <c r="J5" s="87" t="s">
        <v>119</v>
      </c>
      <c r="K5" s="87" t="s">
        <v>120</v>
      </c>
    </row>
    <row r="6" spans="1:11" ht="171">
      <c r="A6" s="26" t="str">
        <v>Fairhaven Solar</v>
      </c>
      <c r="B6" s="27" t="str">
        <v>MA</v>
      </c>
      <c r="C6" s="22">
        <v>143791</v>
      </c>
      <c r="D6" s="11">
        <v>152018.6</v>
      </c>
      <c r="E6" s="11">
        <f t="shared" si="0"/>
        <v>-8227.6000000000058</v>
      </c>
      <c r="F6" s="12">
        <f t="shared" ref="F6:F16" si="3">IFERROR(E6/D6, "")</f>
        <v>-5.4122324505027714E-2</v>
      </c>
      <c r="G6" s="13">
        <v>137242.20000000001</v>
      </c>
      <c r="H6" s="13">
        <f t="shared" si="1"/>
        <v>6548.7999999999884</v>
      </c>
      <c r="I6" s="14">
        <f t="shared" si="2"/>
        <v>4.7717101591201454E-2</v>
      </c>
      <c r="J6" s="38" t="s">
        <v>121</v>
      </c>
      <c r="K6" s="38" t="s">
        <v>122</v>
      </c>
    </row>
    <row r="7" spans="1:11" ht="28.5">
      <c r="A7" s="28" t="str">
        <v>Plympton-1</v>
      </c>
      <c r="B7" s="29" t="str">
        <v>MA</v>
      </c>
      <c r="C7" s="10">
        <v>202229</v>
      </c>
      <c r="D7" s="16">
        <v>208413.9</v>
      </c>
      <c r="E7" s="16">
        <f t="shared" si="0"/>
        <v>-6184.8999999999942</v>
      </c>
      <c r="F7" s="17">
        <f t="shared" si="3"/>
        <v>-2.9676043680387895E-2</v>
      </c>
      <c r="G7" s="18">
        <v>175764.3</v>
      </c>
      <c r="H7" s="18">
        <f t="shared" si="1"/>
        <v>26464.700000000012</v>
      </c>
      <c r="I7" s="17">
        <f t="shared" si="2"/>
        <v>0.15056925666930096</v>
      </c>
      <c r="J7" s="39" t="s">
        <v>123</v>
      </c>
      <c r="K7" s="40"/>
    </row>
    <row r="8" spans="1:11" ht="128.25" customHeight="1">
      <c r="A8" s="26" t="str">
        <v>French River 2</v>
      </c>
      <c r="B8" s="27" t="str">
        <v>MA</v>
      </c>
      <c r="C8" s="22">
        <v>194880</v>
      </c>
      <c r="D8" s="11">
        <v>212374.6</v>
      </c>
      <c r="E8" s="11">
        <f t="shared" si="0"/>
        <v>-17494.600000000006</v>
      </c>
      <c r="F8" s="12">
        <f t="shared" si="3"/>
        <v>-8.237614102628095E-2</v>
      </c>
      <c r="G8" s="13">
        <v>177698</v>
      </c>
      <c r="H8" s="13">
        <f t="shared" si="1"/>
        <v>17182</v>
      </c>
      <c r="I8" s="14">
        <f t="shared" si="2"/>
        <v>9.669214059809339E-2</v>
      </c>
      <c r="J8" s="38" t="s">
        <v>124</v>
      </c>
      <c r="K8" s="38" t="s">
        <v>125</v>
      </c>
    </row>
    <row r="9" spans="1:11" ht="15.75">
      <c r="A9" s="28" t="str">
        <v>French River 3</v>
      </c>
      <c r="B9" s="29" t="str">
        <v>MA</v>
      </c>
      <c r="C9" s="10">
        <v>377947</v>
      </c>
      <c r="D9" s="16">
        <v>402925.7</v>
      </c>
      <c r="E9" s="16">
        <f t="shared" si="0"/>
        <v>-24978.700000000012</v>
      </c>
      <c r="F9" s="17">
        <f t="shared" si="3"/>
        <v>-6.1993315392887598E-2</v>
      </c>
      <c r="G9" s="18">
        <v>339915.6</v>
      </c>
      <c r="H9" s="18">
        <f t="shared" si="1"/>
        <v>38031.400000000023</v>
      </c>
      <c r="I9" s="17">
        <f t="shared" si="2"/>
        <v>0.11188483258785424</v>
      </c>
      <c r="J9" s="39"/>
      <c r="K9" s="40"/>
    </row>
    <row r="10" spans="1:11" ht="15.75">
      <c r="A10" s="26" t="str">
        <v>French River 4</v>
      </c>
      <c r="B10" s="27" t="str">
        <v>MA</v>
      </c>
      <c r="C10" s="22">
        <v>387137</v>
      </c>
      <c r="D10" s="11">
        <v>411601.5</v>
      </c>
      <c r="E10" s="11">
        <f t="shared" si="0"/>
        <v>-24464.5</v>
      </c>
      <c r="F10" s="12">
        <f t="shared" si="3"/>
        <v>-5.9437344130184172E-2</v>
      </c>
      <c r="G10" s="13">
        <v>354323.8</v>
      </c>
      <c r="H10" s="13">
        <f t="shared" si="1"/>
        <v>32813.200000000012</v>
      </c>
      <c r="I10" s="14">
        <f t="shared" si="2"/>
        <v>9.2607947871410315E-2</v>
      </c>
      <c r="J10" s="38"/>
      <c r="K10" s="38"/>
    </row>
    <row r="11" spans="1:11" ht="107.25" customHeight="1">
      <c r="A11" s="28" t="str">
        <v>French River 5</v>
      </c>
      <c r="B11" s="29" t="str">
        <v>MA</v>
      </c>
      <c r="C11" s="10">
        <v>358829</v>
      </c>
      <c r="D11" s="16">
        <v>398158.3</v>
      </c>
      <c r="E11" s="16">
        <f t="shared" si="0"/>
        <v>-39329.299999999988</v>
      </c>
      <c r="F11" s="17">
        <f t="shared" si="3"/>
        <v>-9.8778048831331636E-2</v>
      </c>
      <c r="G11" s="18">
        <v>347965.7</v>
      </c>
      <c r="H11" s="18">
        <f t="shared" si="1"/>
        <v>10863.299999999988</v>
      </c>
      <c r="I11" s="17">
        <f t="shared" si="2"/>
        <v>3.1219456400444032E-2</v>
      </c>
      <c r="J11" s="87" t="s">
        <v>126</v>
      </c>
      <c r="K11" s="87" t="s">
        <v>127</v>
      </c>
    </row>
    <row r="12" spans="1:11" ht="99.75">
      <c r="A12" s="26" t="str">
        <v>French River 6</v>
      </c>
      <c r="B12" s="27" t="str">
        <v>MA</v>
      </c>
      <c r="C12" s="22">
        <v>350522</v>
      </c>
      <c r="D12" s="11">
        <v>337585.9</v>
      </c>
      <c r="E12" s="11">
        <f t="shared" si="0"/>
        <v>12936.099999999977</v>
      </c>
      <c r="F12" s="12">
        <f t="shared" si="3"/>
        <v>3.831943218007617E-2</v>
      </c>
      <c r="G12" s="13">
        <v>333826.59999999998</v>
      </c>
      <c r="H12" s="13">
        <f t="shared" si="1"/>
        <v>16695.400000000023</v>
      </c>
      <c r="I12" s="14">
        <f t="shared" si="2"/>
        <v>5.001219195834012E-2</v>
      </c>
      <c r="J12" s="38" t="s">
        <v>128</v>
      </c>
      <c r="K12" s="38" t="s">
        <v>129</v>
      </c>
    </row>
    <row r="13" spans="1:11" ht="15.75">
      <c r="A13" s="28" t="str">
        <v>Stillwater River 1A</v>
      </c>
      <c r="B13" s="29" t="str">
        <v>MA</v>
      </c>
      <c r="C13" s="10">
        <v>96152.8125</v>
      </c>
      <c r="D13" s="16">
        <v>100695.2</v>
      </c>
      <c r="E13" s="16">
        <f t="shared" si="0"/>
        <v>-4542.3874999999971</v>
      </c>
      <c r="F13" s="17">
        <f t="shared" si="3"/>
        <v>-4.5110268413985945E-2</v>
      </c>
      <c r="G13" s="18">
        <v>85675.3</v>
      </c>
      <c r="H13" s="18">
        <f t="shared" si="1"/>
        <v>10477.512499999997</v>
      </c>
      <c r="I13" s="17">
        <f t="shared" si="2"/>
        <v>0.12229326888846606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194858</v>
      </c>
      <c r="D14" s="11">
        <v>220833.7</v>
      </c>
      <c r="E14" s="11">
        <f t="shared" si="0"/>
        <v>-25975.700000000012</v>
      </c>
      <c r="F14" s="12">
        <f t="shared" si="3"/>
        <v>-0.11762561601784514</v>
      </c>
      <c r="G14" s="13">
        <v>179402.5</v>
      </c>
      <c r="H14" s="13">
        <f t="shared" si="1"/>
        <v>15455.5</v>
      </c>
      <c r="I14" s="14">
        <f t="shared" si="2"/>
        <v>8.6149858558269815E-2</v>
      </c>
      <c r="J14" s="38" t="s">
        <v>130</v>
      </c>
      <c r="K14" s="38" t="s">
        <v>131</v>
      </c>
    </row>
    <row r="15" spans="1:11" ht="28.5">
      <c r="A15" s="28" t="str">
        <v>Stillwater River 3</v>
      </c>
      <c r="B15" s="29" t="str">
        <v>MA</v>
      </c>
      <c r="C15" s="10">
        <v>193311</v>
      </c>
      <c r="D15" s="16">
        <v>211038.6</v>
      </c>
      <c r="E15" s="16">
        <f t="shared" si="0"/>
        <v>-17727.600000000006</v>
      </c>
      <c r="F15" s="17">
        <f t="shared" si="3"/>
        <v>-8.4001694476745034E-2</v>
      </c>
      <c r="G15" s="18">
        <v>176621.8</v>
      </c>
      <c r="H15" s="18">
        <f t="shared" si="1"/>
        <v>16689.200000000012</v>
      </c>
      <c r="I15" s="17">
        <f t="shared" si="2"/>
        <v>9.4491167002034929E-2</v>
      </c>
      <c r="J15" s="87" t="s">
        <v>132</v>
      </c>
      <c r="K15" s="87" t="s">
        <v>133</v>
      </c>
    </row>
    <row r="16" spans="1:11" ht="42.75">
      <c r="A16" s="26" t="str">
        <v>Stillwater River 4</v>
      </c>
      <c r="B16" s="27" t="str">
        <v>MA</v>
      </c>
      <c r="C16" s="22">
        <v>80194.90625</v>
      </c>
      <c r="D16" s="11">
        <v>109416.4</v>
      </c>
      <c r="E16" s="11">
        <f t="shared" si="0"/>
        <v>-29221.493749999994</v>
      </c>
      <c r="F16" s="12">
        <f t="shared" si="3"/>
        <v>-0.26706685423757315</v>
      </c>
      <c r="G16" s="13">
        <v>80284.19</v>
      </c>
      <c r="H16" s="13">
        <f t="shared" si="1"/>
        <v>-89.283750000002328</v>
      </c>
      <c r="I16" s="14">
        <f t="shared" si="2"/>
        <v>-1.1120962919349666E-3</v>
      </c>
      <c r="J16" s="38" t="s">
        <v>134</v>
      </c>
      <c r="K16" s="38" t="s">
        <v>135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6" sqref="J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136</v>
      </c>
      <c r="E1" s="95"/>
      <c r="F1" s="95"/>
      <c r="G1" s="93" t="s">
        <v>137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3058623.406609627</v>
      </c>
      <c r="D2" s="5">
        <f>SUM(D4:D91)</f>
        <v>3174638.6799999997</v>
      </c>
      <c r="E2" s="5">
        <f>C2-D2</f>
        <v>-116015.27339037275</v>
      </c>
      <c r="F2" s="6">
        <f>IFERROR(E2/D2, 0)</f>
        <v>-3.6544402398062122E-2</v>
      </c>
      <c r="G2" s="5">
        <f>SUM(G4:G91)</f>
        <v>3246713.1899999995</v>
      </c>
      <c r="H2" s="7">
        <f>C2-G2</f>
        <v>-188089.78339037253</v>
      </c>
      <c r="I2" s="6">
        <f>IFERROR(H2/G2, 0)</f>
        <v>-5.7932368023666594E-2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42.7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486745.85820276302</v>
      </c>
      <c r="D4" s="11">
        <v>440191.6</v>
      </c>
      <c r="E4" s="11">
        <f>IF(AND(ISNUMBER(C4),ISNUMBER(D4)), C4-D4, "")</f>
        <v>46554.258202763041</v>
      </c>
      <c r="F4" s="12">
        <f>IFERROR(E4/D4, "")</f>
        <v>0.10575907900733009</v>
      </c>
      <c r="G4" s="13">
        <v>510758</v>
      </c>
      <c r="H4" s="13">
        <f>IF(AND(ISNUMBER(C4),ISNUMBER(G4)), C4-G4, "")</f>
        <v>-24012.141797236982</v>
      </c>
      <c r="I4" s="14">
        <f>IFERROR(H4/G4, "")</f>
        <v>-4.7012757112442648E-2</v>
      </c>
      <c r="J4" s="38" t="s">
        <v>138</v>
      </c>
      <c r="K4" s="38" t="s">
        <v>139</v>
      </c>
    </row>
    <row r="5" spans="1:11" ht="71.25">
      <c r="A5" s="28" t="str">
        <v>Clara Barton</v>
      </c>
      <c r="B5" s="29" t="str">
        <v>MA</v>
      </c>
      <c r="C5" s="10">
        <v>184876.14215686399</v>
      </c>
      <c r="D5" s="16">
        <v>187364.2</v>
      </c>
      <c r="E5" s="16">
        <f t="shared" ref="E5:E16" si="0">IF(AND(ISNUMBER(C5),ISNUMBER(D5)), C5-D5, "")</f>
        <v>-2488.0578431360191</v>
      </c>
      <c r="F5" s="17">
        <f>IFERROR(E5/D5, "")</f>
        <v>-1.3279259555112551E-2</v>
      </c>
      <c r="G5" s="18">
        <v>192129.5</v>
      </c>
      <c r="H5" s="18">
        <f t="shared" ref="H5:H16" si="1">IF(AND(ISNUMBER(C5),ISNUMBER(G5)), C5-G5, "")</f>
        <v>-7253.3578431360074</v>
      </c>
      <c r="I5" s="17">
        <f t="shared" ref="I5:I16" si="2">IFERROR(H5/G5, "")</f>
        <v>-3.7752442197247209E-2</v>
      </c>
      <c r="J5" s="91" t="s">
        <v>140</v>
      </c>
      <c r="K5" s="91" t="s">
        <v>141</v>
      </c>
    </row>
    <row r="6" spans="1:11" ht="128.25">
      <c r="A6" s="26" t="str">
        <v>Fairhaven Solar</v>
      </c>
      <c r="B6" s="27" t="str">
        <v>MA</v>
      </c>
      <c r="C6" s="22">
        <v>127982</v>
      </c>
      <c r="D6" s="11">
        <v>134285.1</v>
      </c>
      <c r="E6" s="11">
        <f t="shared" si="0"/>
        <v>-6303.1000000000058</v>
      </c>
      <c r="F6" s="12">
        <f t="shared" ref="F6:F16" si="3">IFERROR(E6/D6, "")</f>
        <v>-4.6938193440672162E-2</v>
      </c>
      <c r="G6" s="13">
        <v>142715.9</v>
      </c>
      <c r="H6" s="13">
        <f t="shared" si="1"/>
        <v>-14733.899999999994</v>
      </c>
      <c r="I6" s="14">
        <f t="shared" si="2"/>
        <v>-0.10323937276785554</v>
      </c>
      <c r="J6" s="38" t="s">
        <v>142</v>
      </c>
      <c r="K6" s="38" t="s">
        <v>143</v>
      </c>
    </row>
    <row r="7" spans="1:11" ht="15.75">
      <c r="A7" s="28" t="str">
        <v>Plympton-1</v>
      </c>
      <c r="B7" s="29" t="str">
        <v>MA</v>
      </c>
      <c r="C7" s="10">
        <v>179785</v>
      </c>
      <c r="D7" s="16">
        <v>187563.7</v>
      </c>
      <c r="E7" s="16">
        <f t="shared" si="0"/>
        <v>-7778.7000000000116</v>
      </c>
      <c r="F7" s="17">
        <f t="shared" si="3"/>
        <v>-4.1472310473721789E-2</v>
      </c>
      <c r="G7" s="18">
        <v>186487.5</v>
      </c>
      <c r="H7" s="18">
        <f t="shared" si="1"/>
        <v>-6702.5</v>
      </c>
      <c r="I7" s="17">
        <f t="shared" si="2"/>
        <v>-3.5940746698840405E-2</v>
      </c>
      <c r="J7" s="39" t="s">
        <v>144</v>
      </c>
      <c r="K7" s="39" t="s">
        <v>145</v>
      </c>
    </row>
    <row r="8" spans="1:11" ht="15.75">
      <c r="A8" s="26" t="str">
        <v>French River 2</v>
      </c>
      <c r="B8" s="27" t="str">
        <v>MA</v>
      </c>
      <c r="C8" s="22">
        <v>181691</v>
      </c>
      <c r="D8" s="11">
        <v>196897.2</v>
      </c>
      <c r="E8" s="11">
        <f t="shared" si="0"/>
        <v>-15206.200000000012</v>
      </c>
      <c r="F8" s="12">
        <f t="shared" si="3"/>
        <v>-7.7229132765727557E-2</v>
      </c>
      <c r="G8" s="13">
        <v>189634</v>
      </c>
      <c r="H8" s="13">
        <f t="shared" si="1"/>
        <v>-7943</v>
      </c>
      <c r="I8" s="14">
        <f t="shared" si="2"/>
        <v>-4.1885948722275544E-2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355233.75</v>
      </c>
      <c r="D9" s="16">
        <v>371355.6</v>
      </c>
      <c r="E9" s="16">
        <f t="shared" si="0"/>
        <v>-16121.849999999977</v>
      </c>
      <c r="F9" s="17">
        <f t="shared" si="3"/>
        <v>-4.3413509854166671E-2</v>
      </c>
      <c r="G9" s="18">
        <v>362679.2</v>
      </c>
      <c r="H9" s="18">
        <f t="shared" si="1"/>
        <v>-7445.4500000000116</v>
      </c>
      <c r="I9" s="17">
        <f t="shared" si="2"/>
        <v>-2.0529023996964841E-2</v>
      </c>
      <c r="J9" s="39" t="s">
        <v>146</v>
      </c>
      <c r="K9" s="40" t="s">
        <v>147</v>
      </c>
    </row>
    <row r="10" spans="1:11" ht="15.75">
      <c r="A10" s="26" t="str">
        <v>French River 4</v>
      </c>
      <c r="B10" s="27" t="str">
        <v>MA</v>
      </c>
      <c r="C10" s="22">
        <v>360195</v>
      </c>
      <c r="D10" s="11">
        <v>380111.8</v>
      </c>
      <c r="E10" s="11">
        <f t="shared" si="0"/>
        <v>-19916.799999999988</v>
      </c>
      <c r="F10" s="12">
        <f t="shared" si="3"/>
        <v>-5.2397215766519192E-2</v>
      </c>
      <c r="G10" s="13">
        <v>378047.8</v>
      </c>
      <c r="H10" s="13">
        <f t="shared" si="1"/>
        <v>-17852.799999999988</v>
      </c>
      <c r="I10" s="14">
        <f t="shared" si="2"/>
        <v>-4.7223657960712873E-2</v>
      </c>
      <c r="J10" s="38"/>
      <c r="K10" s="38"/>
    </row>
    <row r="11" spans="1:11" ht="199.5">
      <c r="A11" s="28" t="str">
        <v>French River 5</v>
      </c>
      <c r="B11" s="29" t="str">
        <v>MA</v>
      </c>
      <c r="C11" s="10">
        <v>332622</v>
      </c>
      <c r="D11" s="16">
        <v>366566.7</v>
      </c>
      <c r="E11" s="16">
        <f t="shared" si="0"/>
        <v>-33944.700000000012</v>
      </c>
      <c r="F11" s="17">
        <f t="shared" si="3"/>
        <v>-9.2601701136518971E-2</v>
      </c>
      <c r="G11" s="18">
        <v>371263</v>
      </c>
      <c r="H11" s="18">
        <f t="shared" si="1"/>
        <v>-38641</v>
      </c>
      <c r="I11" s="17">
        <f t="shared" si="2"/>
        <v>-0.10407985713631576</v>
      </c>
      <c r="J11" s="39" t="s">
        <v>148</v>
      </c>
      <c r="K11" s="91" t="s">
        <v>149</v>
      </c>
    </row>
    <row r="12" spans="1:11" ht="85.5">
      <c r="A12" s="26" t="str">
        <v>French River 6</v>
      </c>
      <c r="B12" s="27" t="str">
        <v>MA</v>
      </c>
      <c r="C12" s="22">
        <v>324462</v>
      </c>
      <c r="D12" s="11">
        <v>309330.09999999998</v>
      </c>
      <c r="E12" s="11">
        <f t="shared" si="0"/>
        <v>15131.900000000023</v>
      </c>
      <c r="F12" s="12">
        <f t="shared" si="3"/>
        <v>4.8918291495072819E-2</v>
      </c>
      <c r="G12" s="13">
        <v>356180.5</v>
      </c>
      <c r="H12" s="13">
        <f t="shared" si="1"/>
        <v>-31718.5</v>
      </c>
      <c r="I12" s="14">
        <f t="shared" si="2"/>
        <v>-8.9051758869449618E-2</v>
      </c>
      <c r="J12" s="38" t="s">
        <v>150</v>
      </c>
      <c r="K12" s="38" t="s">
        <v>151</v>
      </c>
    </row>
    <row r="13" spans="1:11" ht="15.75">
      <c r="A13" s="28" t="str">
        <v>Stillwater River 1A</v>
      </c>
      <c r="B13" s="29" t="str">
        <v>MA</v>
      </c>
      <c r="C13" s="10">
        <v>89895.25</v>
      </c>
      <c r="D13" s="16">
        <v>92359.28</v>
      </c>
      <c r="E13" s="16">
        <f t="shared" si="0"/>
        <v>-2464.0299999999988</v>
      </c>
      <c r="F13" s="17">
        <f t="shared" si="3"/>
        <v>-2.6678748470104995E-2</v>
      </c>
      <c r="G13" s="18">
        <v>91392.93</v>
      </c>
      <c r="H13" s="18">
        <f t="shared" si="1"/>
        <v>-1497.679999999993</v>
      </c>
      <c r="I13" s="17">
        <f t="shared" si="2"/>
        <v>-1.6387263216093337E-2</v>
      </c>
      <c r="J13" s="39"/>
      <c r="K13" s="40"/>
    </row>
    <row r="14" spans="1:11" ht="42.75">
      <c r="A14" s="26" t="str">
        <v>Stillwater River 2</v>
      </c>
      <c r="B14" s="27" t="str">
        <v>MA</v>
      </c>
      <c r="C14" s="22">
        <v>181299</v>
      </c>
      <c r="D14" s="11">
        <v>208466.5</v>
      </c>
      <c r="E14" s="11">
        <f t="shared" si="0"/>
        <v>-27167.5</v>
      </c>
      <c r="F14" s="12">
        <f t="shared" si="3"/>
        <v>-0.13032069900919332</v>
      </c>
      <c r="G14" s="13">
        <v>191373.8</v>
      </c>
      <c r="H14" s="13">
        <f t="shared" si="1"/>
        <v>-10074.799999999988</v>
      </c>
      <c r="I14" s="14">
        <f t="shared" si="2"/>
        <v>-5.264461488458707E-2</v>
      </c>
      <c r="J14" s="38" t="s">
        <v>152</v>
      </c>
      <c r="K14" s="38" t="s">
        <v>153</v>
      </c>
    </row>
    <row r="15" spans="1:11" ht="15.75">
      <c r="A15" s="28" t="str">
        <v>Stillwater River 3</v>
      </c>
      <c r="B15" s="29" t="str">
        <v>MA</v>
      </c>
      <c r="C15" s="10">
        <v>180272</v>
      </c>
      <c r="D15" s="16">
        <v>196561.6</v>
      </c>
      <c r="E15" s="16">
        <f t="shared" si="0"/>
        <v>-16289.600000000006</v>
      </c>
      <c r="F15" s="17">
        <f t="shared" si="3"/>
        <v>-8.2872748288577242E-2</v>
      </c>
      <c r="G15" s="18">
        <v>188408.3</v>
      </c>
      <c r="H15" s="18">
        <f t="shared" si="1"/>
        <v>-8136.2999999999884</v>
      </c>
      <c r="I15" s="17">
        <f t="shared" si="2"/>
        <v>-4.3184403234889271E-2</v>
      </c>
      <c r="J15" s="39"/>
      <c r="K15" s="40"/>
    </row>
    <row r="16" spans="1:11" ht="42.75">
      <c r="A16" s="26" t="str">
        <v>Stillwater River 4</v>
      </c>
      <c r="B16" s="27" t="str">
        <v>MA</v>
      </c>
      <c r="C16" s="22">
        <v>73564.40625</v>
      </c>
      <c r="D16" s="11">
        <v>103585.3</v>
      </c>
      <c r="E16" s="11">
        <f t="shared" si="0"/>
        <v>-30020.893750000003</v>
      </c>
      <c r="F16" s="12">
        <f t="shared" si="3"/>
        <v>-0.28981808953587046</v>
      </c>
      <c r="G16" s="13">
        <v>85642.76</v>
      </c>
      <c r="H16" s="13">
        <f t="shared" si="1"/>
        <v>-12078.353749999995</v>
      </c>
      <c r="I16" s="14">
        <f t="shared" si="2"/>
        <v>-0.14103181343058066</v>
      </c>
      <c r="J16" s="38" t="s">
        <v>154</v>
      </c>
      <c r="K16" s="38" t="s">
        <v>155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1 I4:I9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33"/>
  <sheetViews>
    <sheetView zoomScale="70" zoomScaleNormal="70" workbookViewId="0">
      <pane xSplit="2" ySplit="3" topLeftCell="C6" activePane="bottomRight" state="frozen"/>
      <selection pane="bottomRight" activeCell="J19" sqref="J19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4" t="str" cm="1">
        <f t="array" ref="A1">portfolio</f>
        <v>MN8 Bond</v>
      </c>
      <c r="B1" s="94"/>
      <c r="C1" s="94"/>
      <c r="D1" s="95" t="s">
        <v>156</v>
      </c>
      <c r="E1" s="95"/>
      <c r="F1" s="95"/>
      <c r="G1" s="93" t="s">
        <v>157</v>
      </c>
      <c r="H1" s="93"/>
      <c r="I1" s="93"/>
      <c r="J1" s="4"/>
      <c r="K1" s="4"/>
    </row>
    <row r="2" spans="1:13" ht="19.5" customHeight="1">
      <c r="A2" s="96" t="s">
        <v>2</v>
      </c>
      <c r="B2" s="96"/>
      <c r="C2" s="5">
        <f>SUM(C4:C91)</f>
        <v>2909641.2058147239</v>
      </c>
      <c r="D2" s="5">
        <f>SUM(D4:D91)</f>
        <v>3057942.0400000005</v>
      </c>
      <c r="E2" s="5">
        <f>C2-D2</f>
        <v>-148300.83418527665</v>
      </c>
      <c r="F2" s="6">
        <f>IFERROR(E2/D2, 0)</f>
        <v>-4.8496940833213639E-2</v>
      </c>
      <c r="G2" s="5">
        <f>SUM(G4:G91)</f>
        <v>2999052.19</v>
      </c>
      <c r="H2" s="7">
        <f>C2-G2</f>
        <v>-89410.984185276087</v>
      </c>
      <c r="I2" s="6">
        <f>IFERROR(H2/G2, 0)</f>
        <v>-2.9813080440349419E-2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28.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454966.98179723701</v>
      </c>
      <c r="D4" s="11">
        <v>414521.59999999998</v>
      </c>
      <c r="E4" s="11">
        <f>IF(AND(ISNUMBER(C4),ISNUMBER(D4)), C4-D4, "")</f>
        <v>40445.381797237031</v>
      </c>
      <c r="F4" s="12">
        <f>IFERROR(E4/D4, "")</f>
        <v>9.7571228609647925E-2</v>
      </c>
      <c r="G4" s="13">
        <v>482624</v>
      </c>
      <c r="H4" s="13">
        <f>IF(AND(ISNUMBER(C4),ISNUMBER(G4)), C4-G4, "")</f>
        <v>-27657.018202762993</v>
      </c>
      <c r="I4" s="14">
        <f>IFERROR(H4/G4, "")</f>
        <v>-5.7305517758675477E-2</v>
      </c>
      <c r="J4" s="38" t="s">
        <v>158</v>
      </c>
      <c r="K4" s="38" t="s">
        <v>159</v>
      </c>
    </row>
    <row r="5" spans="1:13" ht="42.75">
      <c r="A5" s="28" t="str">
        <v>Clara Barton</v>
      </c>
      <c r="B5" s="29" t="str">
        <v>MA</v>
      </c>
      <c r="C5" s="10">
        <v>175048.85784313601</v>
      </c>
      <c r="D5" s="16">
        <v>173994</v>
      </c>
      <c r="E5" s="16">
        <f t="shared" ref="E5:E16" si="0">IF(AND(ISNUMBER(C5),ISNUMBER(D5)), C5-D5, "")</f>
        <v>1054.8578431360074</v>
      </c>
      <c r="F5" s="17">
        <f>IFERROR(E5/D5, "")</f>
        <v>6.0626104528662336E-3</v>
      </c>
      <c r="G5" s="18">
        <v>179739.1</v>
      </c>
      <c r="H5" s="18">
        <f t="shared" ref="H5:H16" si="1">IF(AND(ISNUMBER(C5),ISNUMBER(G5)), C5-G5, "")</f>
        <v>-4690.2421568639984</v>
      </c>
      <c r="I5" s="17">
        <f t="shared" ref="I5:I16" si="2">IFERROR(H5/G5, "")</f>
        <v>-2.6094723723797428E-2</v>
      </c>
      <c r="J5" s="39" t="s">
        <v>160</v>
      </c>
      <c r="K5" s="39" t="s">
        <v>161</v>
      </c>
    </row>
    <row r="6" spans="1:13" ht="99.75">
      <c r="A6" s="26" t="str">
        <v>Fairhaven Solar</v>
      </c>
      <c r="B6" s="27" t="str">
        <v>MA</v>
      </c>
      <c r="C6" s="22">
        <v>134803.17867435099</v>
      </c>
      <c r="D6" s="11">
        <v>145427.4</v>
      </c>
      <c r="E6" s="11">
        <f t="shared" si="0"/>
        <v>-10624.221325649007</v>
      </c>
      <c r="F6" s="12">
        <f t="shared" ref="F6:F16" si="3">IFERROR(E6/D6, "")</f>
        <v>-7.3055155532238125E-2</v>
      </c>
      <c r="G6" s="13">
        <v>134690.29999999999</v>
      </c>
      <c r="H6" s="13">
        <f t="shared" si="1"/>
        <v>112.87867435099906</v>
      </c>
      <c r="I6" s="14">
        <f t="shared" si="2"/>
        <v>8.3806090231441368E-4</v>
      </c>
      <c r="J6" s="38" t="s">
        <v>162</v>
      </c>
      <c r="K6" s="38" t="s">
        <v>163</v>
      </c>
    </row>
    <row r="7" spans="1:13" ht="15.75">
      <c r="A7" s="28" t="str">
        <v>Plympton-1</v>
      </c>
      <c r="B7" s="29" t="str">
        <v>MA</v>
      </c>
      <c r="C7" s="10">
        <v>180811</v>
      </c>
      <c r="D7" s="16">
        <v>186794.6</v>
      </c>
      <c r="E7" s="16">
        <f t="shared" si="0"/>
        <v>-5983.6000000000058</v>
      </c>
      <c r="F7" s="17">
        <f t="shared" si="3"/>
        <v>-3.2033045923169114E-2</v>
      </c>
      <c r="G7" s="18">
        <v>178084.1</v>
      </c>
      <c r="H7" s="18">
        <f t="shared" si="1"/>
        <v>2726.8999999999942</v>
      </c>
      <c r="I7" s="17">
        <f t="shared" si="2"/>
        <v>1.5312428229134404E-2</v>
      </c>
      <c r="J7" s="39" t="s">
        <v>164</v>
      </c>
      <c r="K7" s="39" t="s">
        <v>165</v>
      </c>
    </row>
    <row r="8" spans="1:13" ht="15.75">
      <c r="A8" s="26" t="str">
        <v>French River 2</v>
      </c>
      <c r="B8" s="27" t="str">
        <v>MA</v>
      </c>
      <c r="C8" s="22">
        <v>172036</v>
      </c>
      <c r="D8" s="11">
        <v>189602.3</v>
      </c>
      <c r="E8" s="11">
        <f t="shared" si="0"/>
        <v>-17566.299999999988</v>
      </c>
      <c r="F8" s="12">
        <f t="shared" si="3"/>
        <v>-9.2648137707190201E-2</v>
      </c>
      <c r="G8" s="13">
        <v>173372</v>
      </c>
      <c r="H8" s="13">
        <f t="shared" si="1"/>
        <v>-1336</v>
      </c>
      <c r="I8" s="14">
        <f t="shared" si="2"/>
        <v>-7.7059732828830491E-3</v>
      </c>
      <c r="J8" s="38"/>
      <c r="K8" s="38"/>
    </row>
    <row r="9" spans="1:13" ht="42.75">
      <c r="A9" s="28" t="str">
        <v>French River 3</v>
      </c>
      <c r="B9" s="29" t="str">
        <v>MA</v>
      </c>
      <c r="C9" s="10">
        <v>328039.25</v>
      </c>
      <c r="D9" s="16">
        <v>357655.8</v>
      </c>
      <c r="E9" s="16">
        <f t="shared" si="0"/>
        <v>-29616.549999999988</v>
      </c>
      <c r="F9" s="17">
        <f t="shared" si="3"/>
        <v>-8.2807408687346859E-2</v>
      </c>
      <c r="G9" s="18">
        <v>331443.90000000002</v>
      </c>
      <c r="H9" s="18">
        <f t="shared" si="1"/>
        <v>-3404.6500000000233</v>
      </c>
      <c r="I9" s="17">
        <f t="shared" si="2"/>
        <v>-1.027217577393949E-2</v>
      </c>
      <c r="J9" s="39" t="s">
        <v>166</v>
      </c>
      <c r="K9" s="40" t="s">
        <v>167</v>
      </c>
    </row>
    <row r="10" spans="1:13" ht="15.75">
      <c r="A10" s="26" t="str">
        <v>French River 4</v>
      </c>
      <c r="B10" s="27" t="str">
        <v>MA</v>
      </c>
      <c r="C10" s="22">
        <v>341836</v>
      </c>
      <c r="D10" s="11">
        <v>366046</v>
      </c>
      <c r="E10" s="11">
        <f t="shared" si="0"/>
        <v>-24210</v>
      </c>
      <c r="F10" s="12">
        <f t="shared" si="3"/>
        <v>-6.6139228402987596E-2</v>
      </c>
      <c r="G10" s="13">
        <v>345496.6</v>
      </c>
      <c r="H10" s="13">
        <f t="shared" si="1"/>
        <v>-3660.5999999999767</v>
      </c>
      <c r="I10" s="14">
        <f t="shared" si="2"/>
        <v>-1.059518385998582E-2</v>
      </c>
      <c r="J10" s="38" t="s">
        <v>168</v>
      </c>
      <c r="K10" s="38" t="s">
        <v>169</v>
      </c>
    </row>
    <row r="11" spans="1:13" ht="99.75">
      <c r="A11" s="28" t="str">
        <v>French River 5</v>
      </c>
      <c r="B11" s="29" t="str">
        <v>MA</v>
      </c>
      <c r="C11" s="10">
        <v>318337</v>
      </c>
      <c r="D11" s="16">
        <v>352878</v>
      </c>
      <c r="E11" s="16">
        <f t="shared" si="0"/>
        <v>-34541</v>
      </c>
      <c r="F11" s="17">
        <f t="shared" si="3"/>
        <v>-9.7883687846791245E-2</v>
      </c>
      <c r="G11" s="18">
        <v>339264.5</v>
      </c>
      <c r="H11" s="18">
        <f t="shared" si="1"/>
        <v>-20927.5</v>
      </c>
      <c r="I11" s="17">
        <f t="shared" si="2"/>
        <v>-6.1684909561713651E-2</v>
      </c>
      <c r="J11" s="39" t="s">
        <v>170</v>
      </c>
      <c r="K11" s="39" t="s">
        <v>171</v>
      </c>
      <c r="L11" s="92"/>
    </row>
    <row r="12" spans="1:13" ht="128.25">
      <c r="A12" s="26" t="str">
        <v>French River 6</v>
      </c>
      <c r="B12" s="27" t="str">
        <v>MA</v>
      </c>
      <c r="C12" s="22">
        <v>306023</v>
      </c>
      <c r="D12" s="11">
        <v>297042.59999999998</v>
      </c>
      <c r="E12" s="11">
        <f t="shared" si="0"/>
        <v>8980.4000000000233</v>
      </c>
      <c r="F12" s="12">
        <f t="shared" si="3"/>
        <v>3.0232700629472083E-2</v>
      </c>
      <c r="G12" s="13">
        <v>325491.5</v>
      </c>
      <c r="H12" s="13">
        <f t="shared" si="1"/>
        <v>-19468.5</v>
      </c>
      <c r="I12" s="14">
        <f t="shared" si="2"/>
        <v>-5.9812621834978791E-2</v>
      </c>
      <c r="J12" s="38" t="s">
        <v>172</v>
      </c>
      <c r="K12" s="38" t="s">
        <v>173</v>
      </c>
    </row>
    <row r="13" spans="1:13" ht="15.75">
      <c r="A13" s="28" t="str">
        <v>Stillwater River 1A</v>
      </c>
      <c r="B13" s="29" t="str">
        <v>MA</v>
      </c>
      <c r="C13" s="10">
        <v>85150.8125</v>
      </c>
      <c r="D13" s="16">
        <v>89643.39</v>
      </c>
      <c r="E13" s="16">
        <f t="shared" si="0"/>
        <v>-4492.5774999999994</v>
      </c>
      <c r="F13" s="17">
        <f t="shared" si="3"/>
        <v>-5.0116104489131875E-2</v>
      </c>
      <c r="G13" s="18">
        <v>83519.09</v>
      </c>
      <c r="H13" s="18">
        <f t="shared" si="1"/>
        <v>1631.7225000000035</v>
      </c>
      <c r="I13" s="17">
        <f t="shared" si="2"/>
        <v>1.953712019611329E-2</v>
      </c>
      <c r="J13" s="39"/>
      <c r="K13" s="40"/>
    </row>
    <row r="14" spans="1:13" ht="15.75">
      <c r="A14" s="26" t="str">
        <v>Stillwater River 2</v>
      </c>
      <c r="B14" s="27" t="str">
        <v>MA</v>
      </c>
      <c r="C14" s="22">
        <v>170522</v>
      </c>
      <c r="D14" s="11">
        <v>199521.3</v>
      </c>
      <c r="E14" s="11">
        <f t="shared" si="0"/>
        <v>-28999.299999999988</v>
      </c>
      <c r="F14" s="12">
        <f t="shared" si="3"/>
        <v>-0.14534438177778508</v>
      </c>
      <c r="G14" s="13">
        <v>174891.6</v>
      </c>
      <c r="H14" s="13">
        <f t="shared" si="1"/>
        <v>-4369.6000000000058</v>
      </c>
      <c r="I14" s="14">
        <f t="shared" si="2"/>
        <v>-2.4984619044025016E-2</v>
      </c>
      <c r="J14" s="38" t="s">
        <v>174</v>
      </c>
      <c r="K14" s="38" t="s">
        <v>175</v>
      </c>
    </row>
    <row r="15" spans="1:13" ht="15.75">
      <c r="A15" s="28" t="str">
        <v>Stillwater River 3</v>
      </c>
      <c r="B15" s="29" t="str">
        <v>MA</v>
      </c>
      <c r="C15" s="10">
        <v>172149</v>
      </c>
      <c r="D15" s="16">
        <v>189276.1</v>
      </c>
      <c r="E15" s="16">
        <f t="shared" si="0"/>
        <v>-17127.100000000006</v>
      </c>
      <c r="F15" s="17">
        <f t="shared" si="3"/>
        <v>-9.0487388529243817E-2</v>
      </c>
      <c r="G15" s="18">
        <v>172179.4</v>
      </c>
      <c r="H15" s="18">
        <f t="shared" si="1"/>
        <v>-30.399999999994179</v>
      </c>
      <c r="I15" s="17">
        <f t="shared" si="2"/>
        <v>-1.765600298293186E-4</v>
      </c>
      <c r="J15" s="39" t="s">
        <v>176</v>
      </c>
      <c r="K15" s="39" t="s">
        <v>177</v>
      </c>
    </row>
    <row r="16" spans="1:13" ht="57">
      <c r="A16" s="26" t="str">
        <v>Stillwater River 4</v>
      </c>
      <c r="B16" s="27" t="str">
        <v>MA</v>
      </c>
      <c r="C16" s="22">
        <v>69918.125</v>
      </c>
      <c r="D16" s="11">
        <v>95538.95</v>
      </c>
      <c r="E16" s="11">
        <f t="shared" si="0"/>
        <v>-25620.824999999997</v>
      </c>
      <c r="F16" s="12">
        <f t="shared" si="3"/>
        <v>-0.26817151538717976</v>
      </c>
      <c r="G16" s="13">
        <v>78256.100000000006</v>
      </c>
      <c r="H16" s="13">
        <f t="shared" si="1"/>
        <v>-8337.9750000000058</v>
      </c>
      <c r="I16" s="14">
        <f t="shared" si="2"/>
        <v>-0.10654728513176616</v>
      </c>
      <c r="J16" s="38" t="s">
        <v>178</v>
      </c>
      <c r="K16" s="38" t="s">
        <v>179</v>
      </c>
      <c r="M16" s="92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tabSelected="1" zoomScale="80" zoomScaleNormal="80" workbookViewId="0">
      <pane xSplit="2" ySplit="3" topLeftCell="C4" activePane="bottomRight" state="frozen"/>
      <selection pane="bottomRight" activeCell="G20" sqref="G20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180</v>
      </c>
      <c r="E1" s="95"/>
      <c r="F1" s="95"/>
      <c r="G1" s="93" t="s">
        <v>181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2619949.5463256491</v>
      </c>
      <c r="D2" s="5">
        <f>SUM(D4:D91)</f>
        <v>2717643.56</v>
      </c>
      <c r="E2" s="5">
        <f>C2-D2</f>
        <v>-97694.013674350921</v>
      </c>
      <c r="F2" s="6">
        <f>IFERROR(E2/D2, 0)</f>
        <v>-3.5948059970878195E-2</v>
      </c>
      <c r="G2" s="5">
        <f>SUM(G4:G91)</f>
        <v>2555511.3000000003</v>
      </c>
      <c r="H2" s="7">
        <f>C2-G2</f>
        <v>64438.246325648855</v>
      </c>
      <c r="I2" s="6">
        <f>IFERROR(H2/G2, 0)</f>
        <v>2.5215402618508808E-2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414845.35</v>
      </c>
      <c r="D4" s="11">
        <v>368362.7</v>
      </c>
      <c r="E4" s="11">
        <f>IF(AND(ISNUMBER(C4),ISNUMBER(D4)), C4-D4, "")</f>
        <v>46482.649999999965</v>
      </c>
      <c r="F4" s="12">
        <f>IFERROR(E4/D4, "")</f>
        <v>0.12618717910363877</v>
      </c>
      <c r="G4" s="13">
        <v>417637</v>
      </c>
      <c r="H4" s="13">
        <f>IF(AND(ISNUMBER(C4),ISNUMBER(G4)), C4-G4, "")</f>
        <v>-2791.6500000000233</v>
      </c>
      <c r="I4" s="14">
        <f>IFERROR(H4/G4, "")</f>
        <v>-6.6843933846858E-3</v>
      </c>
      <c r="J4" s="38" t="s">
        <v>182</v>
      </c>
      <c r="K4" s="38" t="s">
        <v>183</v>
      </c>
    </row>
    <row r="5" spans="1:11" ht="15.75">
      <c r="A5" s="28" t="str">
        <v>Clara Barton</v>
      </c>
      <c r="B5" s="29" t="str">
        <v>MA</v>
      </c>
      <c r="C5" s="10">
        <v>155115</v>
      </c>
      <c r="D5" s="16">
        <v>152759.20000000001</v>
      </c>
      <c r="E5" s="16">
        <f t="shared" ref="E5:E16" si="0">IF(AND(ISNUMBER(C5),ISNUMBER(D5)), C5-D5, "")</f>
        <v>2355.7999999999884</v>
      </c>
      <c r="F5" s="17">
        <f>IFERROR(E5/D5, "")</f>
        <v>1.5421657091684089E-2</v>
      </c>
      <c r="G5" s="18">
        <v>150845.70000000001</v>
      </c>
      <c r="H5" s="18">
        <f t="shared" ref="H5:H16" si="1">IF(AND(ISNUMBER(C5),ISNUMBER(G5)), C5-G5, "")</f>
        <v>4269.2999999999884</v>
      </c>
      <c r="I5" s="17">
        <f t="shared" ref="I5:I16" si="2">IFERROR(H5/G5, "")</f>
        <v>2.8302430894616076E-2</v>
      </c>
      <c r="J5" s="39"/>
      <c r="K5" s="39"/>
    </row>
    <row r="6" spans="1:11" ht="85.5">
      <c r="A6" s="26" t="str">
        <v>Fairhaven Solar</v>
      </c>
      <c r="B6" s="27" t="str">
        <v>MA</v>
      </c>
      <c r="C6" s="22">
        <v>113556.821325649</v>
      </c>
      <c r="D6" s="11">
        <v>119643.1</v>
      </c>
      <c r="E6" s="11">
        <f t="shared" si="0"/>
        <v>-6086.2786743510078</v>
      </c>
      <c r="F6" s="12">
        <f t="shared" ref="F6:F16" si="3">IFERROR(E6/D6, "")</f>
        <v>-5.0870285660861408E-2</v>
      </c>
      <c r="G6" s="13">
        <v>112946.7</v>
      </c>
      <c r="H6" s="13">
        <f t="shared" si="1"/>
        <v>610.12132564900094</v>
      </c>
      <c r="I6" s="14">
        <f t="shared" si="2"/>
        <v>5.4018517198731872E-3</v>
      </c>
      <c r="J6" s="38" t="s">
        <v>184</v>
      </c>
      <c r="K6" s="38" t="s">
        <v>185</v>
      </c>
    </row>
    <row r="7" spans="1:11" ht="15.75">
      <c r="A7" s="28" t="str">
        <v>Plympton-1</v>
      </c>
      <c r="B7" s="29" t="str">
        <v>MA</v>
      </c>
      <c r="C7" s="10">
        <v>154694</v>
      </c>
      <c r="D7" s="16">
        <v>156878.29999999999</v>
      </c>
      <c r="E7" s="16">
        <f t="shared" si="0"/>
        <v>-2184.2999999999884</v>
      </c>
      <c r="F7" s="17">
        <f t="shared" si="3"/>
        <v>-1.3923531807777037E-2</v>
      </c>
      <c r="G7" s="18">
        <v>154101</v>
      </c>
      <c r="H7" s="18">
        <f t="shared" si="1"/>
        <v>593</v>
      </c>
      <c r="I7" s="17">
        <f t="shared" si="2"/>
        <v>3.8481255799767684E-3</v>
      </c>
      <c r="J7" s="39"/>
      <c r="K7" s="40"/>
    </row>
    <row r="8" spans="1:11" ht="15.75">
      <c r="A8" s="26" t="str">
        <v>French River 2</v>
      </c>
      <c r="B8" s="27" t="str">
        <v>MA</v>
      </c>
      <c r="C8" s="22">
        <v>154957</v>
      </c>
      <c r="D8" s="11">
        <v>170341.7</v>
      </c>
      <c r="E8" s="11">
        <f t="shared" si="0"/>
        <v>-15384.700000000012</v>
      </c>
      <c r="F8" s="12">
        <f t="shared" si="3"/>
        <v>-9.0316698729671074E-2</v>
      </c>
      <c r="G8" s="13">
        <v>150359</v>
      </c>
      <c r="H8" s="13">
        <f t="shared" si="1"/>
        <v>4598</v>
      </c>
      <c r="I8" s="14">
        <f t="shared" si="2"/>
        <v>3.0580144853317726E-2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300755</v>
      </c>
      <c r="D9" s="16">
        <v>322918.2</v>
      </c>
      <c r="E9" s="16">
        <f t="shared" si="0"/>
        <v>-22163.200000000012</v>
      </c>
      <c r="F9" s="17">
        <f t="shared" si="3"/>
        <v>-6.8634099905177257E-2</v>
      </c>
      <c r="G9" s="18">
        <v>287342.3</v>
      </c>
      <c r="H9" s="18">
        <f t="shared" si="1"/>
        <v>13412.700000000012</v>
      </c>
      <c r="I9" s="17">
        <f t="shared" si="2"/>
        <v>4.6678473722803822E-2</v>
      </c>
      <c r="J9" s="39" t="s">
        <v>186</v>
      </c>
      <c r="K9" s="40" t="s">
        <v>187</v>
      </c>
    </row>
    <row r="10" spans="1:11" ht="15.75">
      <c r="A10" s="26" t="str">
        <v>French River 4</v>
      </c>
      <c r="B10" s="27" t="str">
        <v>MA</v>
      </c>
      <c r="C10" s="22">
        <v>308141</v>
      </c>
      <c r="D10" s="11">
        <v>329985.3</v>
      </c>
      <c r="E10" s="11">
        <f t="shared" si="0"/>
        <v>-21844.299999999988</v>
      </c>
      <c r="F10" s="12">
        <f t="shared" si="3"/>
        <v>-6.61977972958189E-2</v>
      </c>
      <c r="G10" s="13">
        <v>299531.7</v>
      </c>
      <c r="H10" s="13">
        <f t="shared" si="1"/>
        <v>8609.2999999999884</v>
      </c>
      <c r="I10" s="14">
        <f t="shared" si="2"/>
        <v>2.8742533761868905E-2</v>
      </c>
      <c r="J10" s="38"/>
      <c r="K10" s="38"/>
    </row>
    <row r="11" spans="1:11" ht="94.5">
      <c r="A11" s="28" t="str">
        <v>French River 5</v>
      </c>
      <c r="B11" s="29" t="str">
        <v>MA</v>
      </c>
      <c r="C11" s="10">
        <v>288665</v>
      </c>
      <c r="D11" s="16">
        <v>318641.7</v>
      </c>
      <c r="E11" s="16">
        <f t="shared" si="0"/>
        <v>-29976.700000000012</v>
      </c>
      <c r="F11" s="17">
        <f t="shared" si="3"/>
        <v>-9.407651289834322E-2</v>
      </c>
      <c r="G11" s="18">
        <v>294101.8</v>
      </c>
      <c r="H11" s="18">
        <f t="shared" si="1"/>
        <v>-5436.7999999999884</v>
      </c>
      <c r="I11" s="17">
        <f t="shared" si="2"/>
        <v>-1.8486116031931763E-2</v>
      </c>
      <c r="J11" s="39" t="s">
        <v>188</v>
      </c>
      <c r="K11" s="40" t="s">
        <v>189</v>
      </c>
    </row>
    <row r="12" spans="1:11" ht="15.75">
      <c r="A12" s="26" t="str">
        <v>French River 6</v>
      </c>
      <c r="B12" s="27" t="str">
        <v>MA</v>
      </c>
      <c r="C12" s="22">
        <v>278953</v>
      </c>
      <c r="D12" s="11">
        <v>269221.7</v>
      </c>
      <c r="E12" s="11">
        <f t="shared" si="0"/>
        <v>9731.2999999999884</v>
      </c>
      <c r="F12" s="12">
        <f t="shared" si="3"/>
        <v>3.61460461768126E-2</v>
      </c>
      <c r="G12" s="13">
        <v>282172.2</v>
      </c>
      <c r="H12" s="13">
        <f t="shared" si="1"/>
        <v>-3219.2000000000116</v>
      </c>
      <c r="I12" s="14">
        <f t="shared" si="2"/>
        <v>-1.1408636286636357E-2</v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>
        <v>76667.1875</v>
      </c>
      <c r="D13" s="16">
        <v>81611.95</v>
      </c>
      <c r="E13" s="16">
        <f t="shared" si="0"/>
        <v>-4944.7624999999971</v>
      </c>
      <c r="F13" s="17">
        <f t="shared" si="3"/>
        <v>-6.0588706678372434E-2</v>
      </c>
      <c r="G13" s="18">
        <v>72401.97</v>
      </c>
      <c r="H13" s="18">
        <f t="shared" si="1"/>
        <v>4265.2174999999988</v>
      </c>
      <c r="I13" s="17">
        <f t="shared" si="2"/>
        <v>5.8910240978249609E-2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154126</v>
      </c>
      <c r="D14" s="11">
        <v>175087.5</v>
      </c>
      <c r="E14" s="11">
        <f t="shared" si="0"/>
        <v>-20961.5</v>
      </c>
      <c r="F14" s="12">
        <f t="shared" si="3"/>
        <v>-0.11972013993003498</v>
      </c>
      <c r="G14" s="13">
        <v>151617.1</v>
      </c>
      <c r="H14" s="13">
        <f t="shared" si="1"/>
        <v>2508.8999999999942</v>
      </c>
      <c r="I14" s="14">
        <f t="shared" si="2"/>
        <v>1.654760577797619E-2</v>
      </c>
      <c r="J14" s="38" t="s">
        <v>190</v>
      </c>
      <c r="K14" s="38" t="s">
        <v>191</v>
      </c>
    </row>
    <row r="15" spans="1:11" ht="15.75">
      <c r="A15" s="28" t="str">
        <v>Stillwater River 3</v>
      </c>
      <c r="B15" s="29" t="str">
        <v>MA</v>
      </c>
      <c r="C15" s="10">
        <v>155907</v>
      </c>
      <c r="D15" s="16">
        <v>170047.2</v>
      </c>
      <c r="E15" s="16">
        <f t="shared" si="0"/>
        <v>-14140.200000000012</v>
      </c>
      <c r="F15" s="17">
        <f t="shared" si="3"/>
        <v>-8.3154559439967315E-2</v>
      </c>
      <c r="G15" s="18">
        <v>149264</v>
      </c>
      <c r="H15" s="18">
        <f t="shared" si="1"/>
        <v>6643</v>
      </c>
      <c r="I15" s="17">
        <f t="shared" si="2"/>
        <v>4.4505038053381928E-2</v>
      </c>
      <c r="J15" s="39" t="s">
        <v>192</v>
      </c>
      <c r="K15" s="40" t="s">
        <v>193</v>
      </c>
    </row>
    <row r="16" spans="1:11" ht="28.5">
      <c r="A16" s="26" t="str">
        <v>Stillwater River 4</v>
      </c>
      <c r="B16" s="27" t="str">
        <v>MA</v>
      </c>
      <c r="C16" s="22">
        <v>63567.1875</v>
      </c>
      <c r="D16" s="11">
        <v>82145.009999999995</v>
      </c>
      <c r="E16" s="11">
        <f t="shared" si="0"/>
        <v>-18577.822499999995</v>
      </c>
      <c r="F16" s="12">
        <f t="shared" si="3"/>
        <v>-0.22615886832322493</v>
      </c>
      <c r="G16" s="13">
        <v>33190.83</v>
      </c>
      <c r="H16" s="13">
        <f t="shared" si="1"/>
        <v>30376.357499999998</v>
      </c>
      <c r="I16" s="14">
        <f t="shared" si="2"/>
        <v>0.91520331067346006</v>
      </c>
      <c r="J16" s="38" t="s">
        <v>194</v>
      </c>
      <c r="K16" s="38" t="s">
        <v>195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196</v>
      </c>
      <c r="E1" s="95"/>
      <c r="F1" s="95"/>
      <c r="G1" s="93" t="s">
        <v>197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198</v>
      </c>
      <c r="E1" s="95"/>
      <c r="F1" s="95"/>
      <c r="G1" s="93" t="s">
        <v>199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200</v>
      </c>
      <c r="E1" s="95"/>
      <c r="F1" s="95"/>
      <c r="G1" s="93" t="s">
        <v>201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2"/>
  <sheetViews>
    <sheetView workbookViewId="0">
      <pane ySplit="3" topLeftCell="A4" activePane="bottomLeft" state="frozen"/>
      <selection pane="bottomLeft" activeCell="A13" sqref="A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202</v>
      </c>
      <c r="B1" t="s">
        <v>203</v>
      </c>
    </row>
    <row r="3" spans="1:12">
      <c r="A3" t="s">
        <v>204</v>
      </c>
      <c r="B3" t="s">
        <v>3</v>
      </c>
      <c r="C3" t="s">
        <v>4</v>
      </c>
      <c r="D3" t="s">
        <v>205</v>
      </c>
      <c r="E3" s="2" t="s">
        <v>206</v>
      </c>
    </row>
    <row r="4" spans="1:12" ht="14.25">
      <c r="A4" s="46" t="s">
        <v>207</v>
      </c>
      <c r="B4" t="s">
        <v>208</v>
      </c>
      <c r="C4" s="45" t="s">
        <v>209</v>
      </c>
      <c r="D4" s="44" t="s">
        <v>210</v>
      </c>
      <c r="E4" t="s">
        <v>211</v>
      </c>
      <c r="G4" s="3"/>
    </row>
    <row r="5" spans="1:12" ht="14.25">
      <c r="A5" s="46" t="s">
        <v>212</v>
      </c>
      <c r="B5" t="s">
        <v>213</v>
      </c>
      <c r="C5" s="45" t="s">
        <v>209</v>
      </c>
      <c r="D5" s="44" t="s">
        <v>210</v>
      </c>
      <c r="E5" t="s">
        <v>211</v>
      </c>
      <c r="G5" s="3"/>
    </row>
    <row r="6" spans="1:12" ht="14.25">
      <c r="A6" s="46" t="s">
        <v>214</v>
      </c>
      <c r="B6" t="s">
        <v>215</v>
      </c>
      <c r="C6" s="45" t="s">
        <v>209</v>
      </c>
      <c r="D6" s="44" t="s">
        <v>210</v>
      </c>
      <c r="E6" t="s">
        <v>211</v>
      </c>
      <c r="G6" s="3"/>
    </row>
    <row r="7" spans="1:12" ht="12.75" customHeight="1">
      <c r="A7" s="46" t="s">
        <v>216</v>
      </c>
      <c r="B7" t="s">
        <v>217</v>
      </c>
      <c r="C7" s="45" t="s">
        <v>209</v>
      </c>
      <c r="D7" s="44" t="s">
        <v>210</v>
      </c>
      <c r="E7" t="s">
        <v>211</v>
      </c>
    </row>
    <row r="8" spans="1:12" ht="12.75" customHeight="1">
      <c r="A8" s="46" t="s">
        <v>218</v>
      </c>
      <c r="B8" t="s">
        <v>219</v>
      </c>
      <c r="C8" s="45" t="s">
        <v>209</v>
      </c>
      <c r="D8" s="44" t="s">
        <v>210</v>
      </c>
      <c r="E8" t="s">
        <v>211</v>
      </c>
    </row>
    <row r="9" spans="1:12" ht="12.75" customHeight="1">
      <c r="A9" s="46" t="s">
        <v>220</v>
      </c>
      <c r="B9" t="s">
        <v>221</v>
      </c>
      <c r="C9" s="45" t="s">
        <v>209</v>
      </c>
      <c r="D9" s="44" t="s">
        <v>210</v>
      </c>
      <c r="E9" t="s">
        <v>211</v>
      </c>
    </row>
    <row r="10" spans="1:12" ht="12.75" customHeight="1">
      <c r="A10" s="46" t="s">
        <v>222</v>
      </c>
      <c r="B10" t="s">
        <v>223</v>
      </c>
      <c r="C10" s="45" t="s">
        <v>209</v>
      </c>
      <c r="D10" s="44" t="s">
        <v>210</v>
      </c>
      <c r="E10" t="s">
        <v>211</v>
      </c>
      <c r="K10" s="41"/>
      <c r="L10" s="41"/>
    </row>
    <row r="11" spans="1:12" ht="12.75" customHeight="1">
      <c r="A11" s="46" t="s">
        <v>224</v>
      </c>
      <c r="B11" t="s">
        <v>225</v>
      </c>
      <c r="C11" s="45" t="s">
        <v>209</v>
      </c>
      <c r="D11" s="44" t="s">
        <v>210</v>
      </c>
      <c r="E11" t="s">
        <v>211</v>
      </c>
      <c r="K11" s="41"/>
      <c r="L11" s="41"/>
    </row>
    <row r="12" spans="1:12" ht="12.75" customHeight="1">
      <c r="A12" s="46" t="s">
        <v>226</v>
      </c>
      <c r="B12" t="s">
        <v>227</v>
      </c>
      <c r="C12" s="45" t="s">
        <v>209</v>
      </c>
      <c r="D12" s="44" t="s">
        <v>210</v>
      </c>
      <c r="E12" t="s">
        <v>211</v>
      </c>
      <c r="K12" s="41"/>
      <c r="L12" s="41"/>
    </row>
    <row r="13" spans="1:12" ht="12.75" customHeight="1">
      <c r="A13" s="46" t="s">
        <v>228</v>
      </c>
      <c r="B13" t="s">
        <v>229</v>
      </c>
      <c r="C13" s="45" t="s">
        <v>209</v>
      </c>
      <c r="D13" s="44" t="s">
        <v>210</v>
      </c>
      <c r="E13" t="s">
        <v>211</v>
      </c>
      <c r="K13" s="41"/>
      <c r="L13" s="41"/>
    </row>
    <row r="14" spans="1:12" ht="12.75" customHeight="1">
      <c r="A14" s="46" t="s">
        <v>230</v>
      </c>
      <c r="B14" t="s">
        <v>231</v>
      </c>
      <c r="C14" s="45" t="s">
        <v>209</v>
      </c>
      <c r="D14" s="44" t="s">
        <v>210</v>
      </c>
      <c r="E14" t="s">
        <v>211</v>
      </c>
      <c r="K14" s="41"/>
      <c r="L14" s="41"/>
    </row>
    <row r="15" spans="1:12" ht="12.75" customHeight="1">
      <c r="A15" s="46" t="s">
        <v>232</v>
      </c>
      <c r="B15" t="s">
        <v>233</v>
      </c>
      <c r="C15" s="45" t="s">
        <v>209</v>
      </c>
      <c r="D15" s="44" t="s">
        <v>210</v>
      </c>
      <c r="E15" t="s">
        <v>211</v>
      </c>
      <c r="K15" s="41"/>
      <c r="L15" s="41"/>
    </row>
    <row r="16" spans="1:12" ht="12.75" customHeight="1">
      <c r="A16" s="46" t="s">
        <v>234</v>
      </c>
      <c r="B16" t="s">
        <v>235</v>
      </c>
      <c r="C16" s="45" t="s">
        <v>209</v>
      </c>
      <c r="D16" s="44" t="s">
        <v>210</v>
      </c>
      <c r="E16" t="s">
        <v>211</v>
      </c>
      <c r="K16" s="41"/>
      <c r="L16" s="41"/>
    </row>
    <row r="17" spans="11:12" ht="12.75" customHeight="1">
      <c r="K17" s="41"/>
      <c r="L17" s="41"/>
    </row>
    <row r="18" spans="11:12" ht="12.75" customHeight="1">
      <c r="K18" s="41"/>
      <c r="L18" s="41"/>
    </row>
    <row r="19" spans="11:12" ht="12.75" customHeight="1">
      <c r="K19" s="41"/>
      <c r="L19" s="41"/>
    </row>
    <row r="20" spans="11:12" ht="12.75" customHeight="1">
      <c r="K20" s="41"/>
      <c r="L20" s="41"/>
    </row>
    <row r="21" spans="11:12" ht="12.75" customHeight="1">
      <c r="K21" s="41"/>
      <c r="L21" s="41"/>
    </row>
    <row r="22" spans="11:12" ht="12.75" customHeight="1">
      <c r="K22" s="41"/>
      <c r="L22" s="41"/>
    </row>
  </sheetData>
  <phoneticPr fontId="36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2024-10-15T14:34:21Z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2024-09-18T22:53:26Z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14c1357c-7e3f-4b4b-8508-3273848b879e</vt:lpwstr>
  </property>
  <property fmtid="{D5CDD505-2E9C-101B-9397-08002B2CF9AE}" pid="9" name="MSIP_Label_9d817c99-0b37-4a07-8277-96aa1f96b74b_ContentBits">
    <vt:lpwstr>0</vt:lpwstr>
  </property>
</Properties>
</file>