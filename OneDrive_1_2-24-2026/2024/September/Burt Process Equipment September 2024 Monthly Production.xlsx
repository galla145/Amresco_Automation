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AC1091CD-2C2F-4263-B1E8-3FF8526910AF}" xr6:coauthVersionLast="47" xr6:coauthVersionMax="47" xr10:uidLastSave="{F503180E-4BAA-4CF4-B340-25215D5CEBAC}"/>
  <bookViews>
    <workbookView xWindow="28680" yWindow="-120" windowWidth="29040" windowHeight="15720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<sst xmlns="http://schemas.openxmlformats.org/spreadsheetml/2006/main" count="240" uniqueCount="53">
  <si>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</si>
  <si>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</si>
  <si>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</si>
  <si>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</si>
  <si>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</si>
  <si>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</si>
  <si>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</si>
  <si>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</si>
  <si>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</si>
  <si>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</si>
  <si>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</si>
  <si>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</si>
  <si>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</si>
  <si>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</si>
  <si>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</si>
  <si>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</si>
  <si>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</si>
  <si>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</si>
  <si>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</si>
  <si>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</si>
  <si>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</si>
  <si>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</si>
  <si>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</si>
  <si>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</si>
  <si>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</si>
  <si>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</si>
  <si>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</si>
  <si>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</si>
  <si>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</si>
  <si>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</si>
  <si>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</si>
  <si>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</si>
  <si>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</si>
  <si>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</si>
  <si>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</si>
  <si>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</si>
  <si>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</si>
  <si>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</si>
  <si>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</si>
  <si>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</si>
  <si>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</si>
  <si>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</si>
  <si>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</si>
  <si>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</si>
  <si>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</si>
  <si>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Burt Process Equipment</t>
  </si>
  <si>
    <t>Site DAS Name</t>
  </si>
  <si>
    <t>Update</t>
  </si>
  <si>
    <t>DAS</t>
  </si>
  <si>
    <t>CT: Hamden - Burt Process Equipment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</si>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</sst>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3" borderId="0" xfId="0" applyNumberFormat="1" applyFont="1" applyFill="1" applyAlignment="1">
      <alignment horizontal="right"/>
    </xf>
    <xf numFmtId="0" fontId="36" fillId="46" borderId="0" xfId="0" applyFont="1" applyFill="1" applyAlignment="1">
      <alignment horizontal="right"/>
    </xf>
    <xf numFmtId="0" fontId="24" fillId="42" borderId="11" xfId="0" applyFont="1" applyFill="1" applyBorder="1" applyAlignment="1">
      <alignment horizontal="center" vertical="center"/>
    </xf>
    <xf numFmtId="164" fontId="36" fillId="47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D7" sqref="D7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SUM(C4:C65)</f>
        <v>208957.07011425629</v>
      </c>
      <c r="D2" s="5">
        <f>SUM(D4:D65)</f>
        <v>0</v>
      </c>
      <c r="E2" s="5">
        <f>C2-D2</f>
        <v>208957.07011425629</v>
      </c>
      <c r="F2" s="6">
        <f>IFERROR(E2/D2, 0)</f>
        <v>0</v>
      </c>
      <c r="G2" s="5">
        <f>SUM(G4:G65)</f>
        <v>253808.53</v>
      </c>
      <c r="H2" s="7">
        <f>C2-G2</f>
        <v>-44851.459885743709</v>
      </c>
      <c r="I2" s="6">
        <f>IFERROR(H2/G2, 0)</f>
        <v>-0.17671376090371632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Hamden - Burt Process Equipment</v>
      </c>
      <c r="B4" s="9" t="str" cm="1">
        <f t="array" ref="B4">Sites[State]</f>
        <v>CT</v>
      </c>
      <c r="C4" s="18">
        <f>SUM('1st Qtr'!C4, '2nd Qtr'!C4, '3rd Qtr'!C4, '4th Qtr'!C4)</f>
        <v>208957.07011425629</v>
      </c>
      <c r="D4" s="11">
        <f>SUM('1st Qtr'!D4, '2nd Qtr'!D4, '3rd Qtr'!D4, '4th Qtr'!D4)</f>
        <v>0</v>
      </c>
      <c r="E4" s="11">
        <f>IF(AND(ISNUMBER(C4),ISNUMBER(D4)), C4-D4, "")</f>
        <v>208957.07011425629</v>
      </c>
      <c r="F4" s="12" t="str">
        <f>IFERROR(E4/D4, "")</f>
        <v/>
      </c>
      <c r="G4" s="13">
        <f>SUM('1st Qtr'!G4, '2nd Qtr'!G4, '3rd Qtr'!G4, '4th Qtr'!G4)</f>
        <v>253808.53</v>
      </c>
      <c r="H4" s="13">
        <f>SUM('1st Qtr'!H4, '2nd Qtr'!H4, '3rd Qtr'!H4, '4th Qtr'!H4)</f>
        <v>-44851.459885743709</v>
      </c>
      <c r="I4" s="14">
        <f>IFERROR(H4/G4, "")</f>
        <v>-0.17671376090371632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SUM(C4:C65)</f>
        <v>38675.96970296889</v>
      </c>
      <c r="D2" s="5">
        <f>SUM(D4:D65)</f>
        <v>0</v>
      </c>
      <c r="E2" s="5">
        <f>C2-D2</f>
        <v>38675.96970296889</v>
      </c>
      <c r="F2" s="6">
        <f>IFERROR(E2/D2, 0)</f>
        <v>0</v>
      </c>
      <c r="G2" s="5">
        <f>SUM(G4:G65)</f>
        <v>54189.87</v>
      </c>
      <c r="H2" s="7">
        <f>C2-G2</f>
        <v>-15513.900297031112</v>
      </c>
      <c r="I2" s="6">
        <f>IFERROR(H2/G2, 0)</f>
        <v>-0.28628783012454379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SUM(Jan!C4, Feb!C4, Mar!C4)</f>
        <v>38675.96970296889</v>
      </c>
      <c r="D4" s="11">
        <f>SUM(Jan!D4, Feb!D4, Mar!D4)</f>
        <v>0</v>
      </c>
      <c r="E4" s="11">
        <f>IF(AND(ISNUMBER(C4),ISNUMBER(D4)), C4-D4, "")</f>
        <v>38675.96970296889</v>
      </c>
      <c r="F4" s="12" t="str">
        <f>IFERROR(E4/D4, "")</f>
        <v/>
      </c>
      <c r="G4" s="13">
        <f>SUM(Jan!G4, Feb!G4, Mar!G4)</f>
        <v>54189.87</v>
      </c>
      <c r="H4" s="13">
        <f>SUM(Jan!H4, Feb!H4, Mar!H4)</f>
        <v>-15513.900297031112</v>
      </c>
      <c r="I4" s="14">
        <f>IFERROR(H4/G4, "")</f>
        <v>-0.28628783012454379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I4" sqref="I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SUM(C4:C65)</f>
        <v>89393.709785610394</v>
      </c>
      <c r="D2" s="5">
        <f>SUM(D4:D65)</f>
        <v>0</v>
      </c>
      <c r="E2" s="5">
        <f>C2-D2</f>
        <v>89393.709785610394</v>
      </c>
      <c r="F2" s="6">
        <f>IFERROR(E2/D2, 0)</f>
        <v>0</v>
      </c>
      <c r="G2" s="5">
        <f>SUM(G4:G65)</f>
        <v>104715.32</v>
      </c>
      <c r="H2" s="7">
        <f>C2-G2</f>
        <v>-15321.610214389613</v>
      </c>
      <c r="I2" s="6">
        <f>IFERROR(H2/G2, 0)</f>
        <v>-0.14631679695377536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SUM(Apr!C4, May!C4, Jun!C4)</f>
        <v>89393.709785610394</v>
      </c>
      <c r="D4" s="11">
        <f>SUM(Apr!D4, May!D4, Jun!D4)</f>
        <v>0</v>
      </c>
      <c r="E4" s="11">
        <f>IF(AND(ISNUMBER(C4),ISNUMBER(D4)), C4-D4, "")</f>
        <v>89393.709785610394</v>
      </c>
      <c r="F4" s="12" t="str">
        <f>IFERROR(E4/D4, "")</f>
        <v/>
      </c>
      <c r="G4" s="13">
        <f>SUM(Apr!G4,May!G4,Jun!G4)</f>
        <v>104715.32</v>
      </c>
      <c r="H4" s="13">
        <f>SUM(Apr!H4, May!H4, Jun!H4)</f>
        <v>-15321.610214389599</v>
      </c>
      <c r="I4" s="14">
        <f>IFERROR(H4/G4, "")</f>
        <v>-0.14631679695377522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tabSelected="1"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SUM(C4:C65)</f>
        <v>80887.390625676999</v>
      </c>
      <c r="D2" s="5">
        <f>SUM(D4:D65)</f>
        <v>0</v>
      </c>
      <c r="E2" s="5">
        <f>C2-D2</f>
        <v>80887.390625676999</v>
      </c>
      <c r="F2" s="6">
        <f>IFERROR(E2/D2, 0)</f>
        <v>0</v>
      </c>
      <c r="G2" s="5">
        <f>SUM(G4:G65)</f>
        <v>94903.34</v>
      </c>
      <c r="H2" s="7">
        <f>C2-G2</f>
        <v>-14015.949374322998</v>
      </c>
      <c r="I2" s="6">
        <f>IFERROR(H2/G2, 0)</f>
        <v>-0.14768657640840668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SUM(Jul!C4, Aug!C4, Sep!C4)</f>
        <v>80887.390625676999</v>
      </c>
      <c r="D4" s="11">
        <f>SUM(Jul!D4, Aug!D4, Sep!D4)</f>
        <v>0</v>
      </c>
      <c r="E4" s="11">
        <f>IF(AND(ISNUMBER(C4),ISNUMBER(D4)), C4-D4, "")</f>
        <v>80887.390625676999</v>
      </c>
      <c r="F4" s="12" t="str">
        <f>IFERROR(E4/D4, "")</f>
        <v/>
      </c>
      <c r="G4" s="13">
        <f>SUM(Jul!G4,Aug!G4,Sep!G4)</f>
        <v>94903.34</v>
      </c>
      <c r="H4" s="13">
        <f>SUM(Jul!H4, Aug!H4, Sep!H4)</f>
        <v>-14015.949374322998</v>
      </c>
      <c r="I4" s="14">
        <f>IFERROR(H4/G4, "")</f>
        <v>-0.14768657640840668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F10" sqref="F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5651.2002929688897</v>
      </c>
      <c r="D2" s="5">
        <f>SUM(D4:D64)</f>
        <v>0</v>
      </c>
      <c r="E2" s="5">
        <f>C2-D2</f>
        <v>5651.2002929688897</v>
      </c>
      <c r="F2" s="6">
        <f>IFERROR(E2/D2, 0)</f>
        <v>0</v>
      </c>
      <c r="G2" s="5">
        <f>SUM(G4:G64)</f>
        <v>12999</v>
      </c>
      <c r="H2" s="7">
        <f>C2-G2</f>
        <v>-7347.7997070311103</v>
      </c>
      <c r="I2" s="6">
        <f>IFERROR(H2/G2, 0)</f>
        <v>-0.56525884352881839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9" t="s">
        <v>5</v>
      </c>
      <c r="D3" s="40" t="s">
        <v>6</v>
      </c>
      <c r="E3" s="26" t="s">
        <v>7</v>
      </c>
      <c r="F3" s="27" t="s">
        <v>8</v>
      </c>
      <c r="G3" s="43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Hamden - Burt Process Equipment</v>
      </c>
      <c r="B4" s="22" t="str" cm="1">
        <f t="array" ref="B4">Sites[State]</f>
        <v>CT</v>
      </c>
      <c r="C4" s="41">
        <v>5651.2002929688897</v>
      </c>
      <c r="D4" s="42">
        <v>0</v>
      </c>
      <c r="E4" s="11">
        <f>IF(AND(ISNUMBER(C4),ISNUMBER(D4)), C4-D4, "")</f>
        <v>5651.2002929688897</v>
      </c>
      <c r="F4" s="33" t="str">
        <f>IFERROR(E4/D4, "")</f>
        <v/>
      </c>
      <c r="G4" s="44">
        <v>12999</v>
      </c>
      <c r="H4" s="13">
        <f>IF(AND(ISNUMBER(C4),ISNUMBER(G4)), C4-G4, "")</f>
        <v>-7347.7997070311103</v>
      </c>
      <c r="I4" s="14">
        <f>IFERROR(H4/G4, "")</f>
        <v>-0.56525884352881839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 I4:I64 F5:F6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C4" activePane="bottomRight" state="frozen"/>
      <selection pane="bottomRight" activeCell="E8" sqref="E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22</v>
      </c>
      <c r="E1" s="47"/>
      <c r="F1" s="47"/>
      <c r="G1" s="45" t="s">
        <v>23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10070.834999999999</v>
      </c>
      <c r="D2" s="5">
        <f>SUM(D4:D65)</f>
        <v>0</v>
      </c>
      <c r="E2" s="5">
        <f>C2-D2</f>
        <v>10070.834999999999</v>
      </c>
      <c r="F2" s="6">
        <f>IFERROR(E2/D2, 0)</f>
        <v>0</v>
      </c>
      <c r="G2" s="5">
        <f>SUM(G4:G65)</f>
        <v>16998.150000000001</v>
      </c>
      <c r="H2" s="7">
        <f>C2-G2</f>
        <v>-6927.3150000000023</v>
      </c>
      <c r="I2" s="6">
        <f>IFERROR(H2/G2, 0)</f>
        <v>-0.40753346687727793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Hamden - Burt Process Equipment</v>
      </c>
      <c r="B4" s="22" t="str" cm="1">
        <f t="array" ref="B4">Sites[State]</f>
        <v>CT</v>
      </c>
      <c r="C4" s="18">
        <v>10070.834999999999</v>
      </c>
      <c r="D4" s="11">
        <v>0</v>
      </c>
      <c r="E4" s="11">
        <f>IF(AND(ISNUMBER(C4),ISNUMBER(D4)), C4-D4, "")</f>
        <v>10070.834999999999</v>
      </c>
      <c r="F4" s="12" t="str">
        <f>IFERROR(E4/D4, "")</f>
        <v/>
      </c>
      <c r="G4" s="13">
        <v>16998.150000000001</v>
      </c>
      <c r="H4" s="13">
        <f>IF(AND(ISNUMBER(C4),ISNUMBER(G4)), C4-G4, "")</f>
        <v>-6927.3150000000023</v>
      </c>
      <c r="I4" s="14">
        <f>IFERROR(H4/G4, "")</f>
        <v>-0.40753346687727793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workbookViewId="0">
      <pane xSplit="2" ySplit="3" topLeftCell="C4" activePane="bottomRight" state="frozen"/>
      <selection pane="bottomRight" activeCell="E8" sqref="E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22953.934410000002</v>
      </c>
      <c r="D2" s="5">
        <f>SUM(D4:D65)</f>
        <v>0</v>
      </c>
      <c r="E2" s="5">
        <f>C2-D2</f>
        <v>22953.934410000002</v>
      </c>
      <c r="F2" s="6">
        <f>IFERROR(E2/D2, 0)</f>
        <v>0</v>
      </c>
      <c r="G2" s="5">
        <f>SUM(G4:G65)</f>
        <v>24192.720000000001</v>
      </c>
      <c r="H2" s="7">
        <f>C2-G2</f>
        <v>-1238.7855899999995</v>
      </c>
      <c r="I2" s="6">
        <f>IFERROR(H2/G2, 0)</f>
        <v>-5.1204890975466974E-2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22953.934410000002</v>
      </c>
      <c r="D4" s="11">
        <v>0</v>
      </c>
      <c r="E4" s="11">
        <f>IF(AND(ISNUMBER(C4),ISNUMBER(D4)), C4-D4, "")</f>
        <v>22953.934410000002</v>
      </c>
      <c r="F4" s="12" t="str">
        <f>IFERROR(E4/D4, "")</f>
        <v/>
      </c>
      <c r="G4" s="13">
        <v>24192.720000000001</v>
      </c>
      <c r="H4" s="13">
        <f>IF(AND(ISNUMBER(C4),ISNUMBER(G4)), C4-G4, "")</f>
        <v>-1238.7855899999995</v>
      </c>
      <c r="I4" s="14">
        <f>IFERROR(H4/G4, "")</f>
        <v>-5.1204890975466974E-2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D4" activePane="bottomRight" state="frozen"/>
      <selection pane="bottomRight" activeCell="G5" sqref="G5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25240.4197856104</v>
      </c>
      <c r="D2" s="5">
        <f>SUM(D4:D65)</f>
        <v>0</v>
      </c>
      <c r="E2" s="5">
        <f>C2-D2</f>
        <v>25240.4197856104</v>
      </c>
      <c r="F2" s="6">
        <f>IFERROR(E2/D2, 0)</f>
        <v>0</v>
      </c>
      <c r="G2" s="5">
        <f>SUM(G4:G65)</f>
        <v>31609.98</v>
      </c>
      <c r="H2" s="7">
        <f>C2-G2</f>
        <v>-6369.5602143895994</v>
      </c>
      <c r="I2" s="6">
        <f>IFERROR(H2/G2, 0)</f>
        <v>-0.20150472143258552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25240.4197856104</v>
      </c>
      <c r="D4" s="11">
        <v>0</v>
      </c>
      <c r="E4" s="11">
        <f>IF(AND(ISNUMBER(C4),ISNUMBER(D4)), C4-D4, "")</f>
        <v>25240.4197856104</v>
      </c>
      <c r="F4" s="12" t="str">
        <f>IFERROR(E4/D4, "")</f>
        <v/>
      </c>
      <c r="G4" s="13">
        <v>31609.98</v>
      </c>
      <c r="H4" s="13">
        <f>IF(AND(ISNUMBER(C4),ISNUMBER(G4)), C4-G4, "")</f>
        <v>-6369.5602143895994</v>
      </c>
      <c r="I4" s="14">
        <f>IFERROR(H4/G4, "")</f>
        <v>-0.20150472143258552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D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30040.23</v>
      </c>
      <c r="D2" s="5">
        <f>SUM(D4:D65)</f>
        <v>0</v>
      </c>
      <c r="E2" s="5">
        <f>C2-D2</f>
        <v>30040.23</v>
      </c>
      <c r="F2" s="6">
        <f>IFERROR(E2/D2, 0)</f>
        <v>0</v>
      </c>
      <c r="G2" s="5">
        <f>SUM(G4:G65)</f>
        <v>36237.879999999997</v>
      </c>
      <c r="H2" s="7">
        <f>C2-G2</f>
        <v>-6197.6499999999978</v>
      </c>
      <c r="I2" s="6">
        <f>IFERROR(H2/G2, 0)</f>
        <v>-0.17102683711078015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30040.23</v>
      </c>
      <c r="D4" s="11">
        <v>0</v>
      </c>
      <c r="E4" s="11">
        <f>IF(AND(ISNUMBER(C4),ISNUMBER(D4)), C4-D4, "")</f>
        <v>30040.23</v>
      </c>
      <c r="F4" s="12" t="str">
        <f>IFERROR(E4/D4, "")</f>
        <v/>
      </c>
      <c r="G4" s="13">
        <v>36237.879999999997</v>
      </c>
      <c r="H4" s="13">
        <f>IF(AND(ISNUMBER(C4),ISNUMBER(G4)), C4-G4, "")</f>
        <v>-6197.6499999999978</v>
      </c>
      <c r="I4" s="14">
        <f>IFERROR(H4/G4, "")</f>
        <v>-0.17102683711078015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E11" sqref="E11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34113.06</v>
      </c>
      <c r="D2" s="5">
        <f>SUM(D4:D65)</f>
        <v>0</v>
      </c>
      <c r="E2" s="5">
        <f>C2-D2</f>
        <v>34113.06</v>
      </c>
      <c r="F2" s="6">
        <f>IFERROR(E2/D2, 0)</f>
        <v>0</v>
      </c>
      <c r="G2" s="5">
        <f>SUM(G4:G65)</f>
        <v>36867.46</v>
      </c>
      <c r="H2" s="7">
        <f>C2-G2</f>
        <v>-2754.4000000000015</v>
      </c>
      <c r="I2" s="6">
        <f>IFERROR(H2/G2, 0)</f>
        <v>-7.4710869693762505E-2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34113.06</v>
      </c>
      <c r="D4" s="11">
        <v>0</v>
      </c>
      <c r="E4" s="11">
        <f>IF(AND(ISNUMBER(C4),ISNUMBER(D4)), C4-D4, "")</f>
        <v>34113.06</v>
      </c>
      <c r="F4" s="12" t="str">
        <f>IFERROR(E4/D4, "")</f>
        <v/>
      </c>
      <c r="G4" s="13">
        <v>36867.46</v>
      </c>
      <c r="H4" s="13">
        <f>IF(AND(ISNUMBER(C4),ISNUMBER(G4)), C4-G4, "")</f>
        <v>-2754.4000000000015</v>
      </c>
      <c r="I4" s="14">
        <f>IFERROR(H4/G4, "")</f>
        <v>-7.4710869693762505E-2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G4" sqref="G4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30766.910256490799</v>
      </c>
      <c r="D2" s="5">
        <f>SUM(D4:D65)</f>
        <v>0</v>
      </c>
      <c r="E2" s="5">
        <f>C2-D2</f>
        <v>30766.910256490799</v>
      </c>
      <c r="F2" s="6">
        <f>IFERROR(E2/D2, 0)</f>
        <v>0</v>
      </c>
      <c r="G2" s="5">
        <f>SUM(G4:G65)</f>
        <v>36568.639999999999</v>
      </c>
      <c r="H2" s="7">
        <f>C2-G2</f>
        <v>-5801.7297435092005</v>
      </c>
      <c r="I2" s="6">
        <f>IFERROR(H2/G2, 0)</f>
        <v>-0.15865314497638416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30766.910256490799</v>
      </c>
      <c r="D4" s="11">
        <v>0</v>
      </c>
      <c r="E4" s="11">
        <f>IF(AND(ISNUMBER(C4),ISNUMBER(D4)), C4-D4, "")</f>
        <v>30766.910256490799</v>
      </c>
      <c r="F4" s="12" t="str">
        <f>IFERROR(E4/D4, "")</f>
        <v/>
      </c>
      <c r="G4" s="13">
        <v>36568.639999999999</v>
      </c>
      <c r="H4" s="13">
        <f>IF(AND(ISNUMBER(C4),ISNUMBER(G4)), C4-G4, "")</f>
        <v>-5801.7297435092005</v>
      </c>
      <c r="I4" s="14">
        <f>IFERROR(H4/G4, "")</f>
        <v>-0.15865314497638416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E20" sqref="E20:E21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27152.430658222602</v>
      </c>
      <c r="D2" s="5">
        <f>SUM(D4:D65)</f>
        <v>0</v>
      </c>
      <c r="E2" s="5">
        <f>C2-D2</f>
        <v>27152.430658222602</v>
      </c>
      <c r="F2" s="6">
        <f>IFERROR(E2/D2, 0)</f>
        <v>0</v>
      </c>
      <c r="G2" s="5">
        <f>SUM(G4:G65)</f>
        <v>32709.57</v>
      </c>
      <c r="H2" s="7">
        <f>C2-G2</f>
        <v>-5557.1393417773979</v>
      </c>
      <c r="I2" s="6">
        <f>IFERROR(H2/G2, 0)</f>
        <v>-0.16989337804738486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27152.430658222602</v>
      </c>
      <c r="D4" s="11">
        <v>0</v>
      </c>
      <c r="E4" s="11">
        <f>IF(AND(ISNUMBER(C4),ISNUMBER(D4)), C4-D4, "")</f>
        <v>27152.430658222602</v>
      </c>
      <c r="F4" s="12" t="str">
        <f>IFERROR(E4/D4, "")</f>
        <v/>
      </c>
      <c r="G4" s="13">
        <v>32709.57</v>
      </c>
      <c r="H4" s="13">
        <f>IF(AND(ISNUMBER(C4),ISNUMBER(G4)), C4-G4, "")</f>
        <v>-5557.1393417773979</v>
      </c>
      <c r="I4" s="14">
        <f>IFERROR(H4/G4, "")</f>
        <v>-0.16989337804738486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D12" sqref="D12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22968.049710963602</v>
      </c>
      <c r="D2" s="5">
        <f>SUM(D4:D65)</f>
        <v>0</v>
      </c>
      <c r="E2" s="5">
        <f>C2-D2</f>
        <v>22968.049710963602</v>
      </c>
      <c r="F2" s="6">
        <f>IFERROR(E2/D2, 0)</f>
        <v>0</v>
      </c>
      <c r="G2" s="5">
        <f>SUM(G4:G65)</f>
        <v>25625.13</v>
      </c>
      <c r="H2" s="7">
        <f>C2-G2</f>
        <v>-2657.0802890363993</v>
      </c>
      <c r="I2" s="6">
        <f>IFERROR(H2/G2, 0)</f>
        <v>-0.10369041206957386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22968.049710963602</v>
      </c>
      <c r="D4" s="11">
        <v>0</v>
      </c>
      <c r="E4" s="11">
        <f>IF(AND(ISNUMBER(C4),ISNUMBER(D4)), C4-D4, "")</f>
        <v>22968.049710963602</v>
      </c>
      <c r="F4" s="12" t="str">
        <f>IFERROR(E4/D4, "")</f>
        <v/>
      </c>
      <c r="G4" s="13">
        <v>25625.13</v>
      </c>
      <c r="H4" s="13">
        <f>IF(AND(ISNUMBER(C4),ISNUMBER(G4)), C4-G4, "")</f>
        <v>-2657.0802890363993</v>
      </c>
      <c r="I4" s="14">
        <f>IFERROR(H4/G4, "")</f>
        <v>-0.10369041206957386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4" sqref="C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7" t="s">
        <v>45</v>
      </c>
      <c r="B4" t="s">
        <v>49</v>
      </c>
      <c r="C4" s="35" t="s">
        <v>50</v>
      </c>
      <c r="D4" s="34" t="s">
        <v>51</v>
      </c>
      <c r="E4" t="s">
        <v>52</v>
      </c>
      <c r="G4" s="3"/>
    </row>
    <row r="5" spans="1:12" ht="14.45">
      <c r="A5" s="37"/>
      <c r="C5" s="35"/>
      <c r="D5" s="34"/>
      <c r="G5" s="3"/>
    </row>
    <row r="6" spans="1:12" ht="14.4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2"/>
      <c r="L10" s="32"/>
    </row>
    <row r="11" spans="1:12" ht="12.75" customHeight="1">
      <c r="A11" s="37"/>
      <c r="C11" s="35"/>
      <c r="D11" s="34"/>
      <c r="K11" s="32"/>
      <c r="L11" s="32"/>
    </row>
    <row r="12" spans="1:12" ht="12.75" customHeight="1">
      <c r="A12" s="37"/>
      <c r="C12" s="35"/>
      <c r="D12" s="34"/>
      <c r="K12" s="32"/>
      <c r="L12" s="32"/>
    </row>
    <row r="13" spans="1:12" ht="12.75" customHeight="1">
      <c r="A13" s="37"/>
      <c r="C13" s="35"/>
      <c r="D13" s="34"/>
      <c r="K13" s="32"/>
      <c r="L13" s="32"/>
    </row>
    <row r="14" spans="1:12" ht="12.75" customHeight="1">
      <c r="A14" s="37"/>
      <c r="C14" s="35"/>
      <c r="D14" s="34"/>
      <c r="K14" s="32"/>
      <c r="L14" s="32"/>
    </row>
    <row r="15" spans="1:12" ht="12.75" customHeight="1">
      <c r="A15" s="37"/>
      <c r="C15" s="35"/>
      <c r="D15" s="34"/>
      <c r="K15" s="32"/>
      <c r="L15" s="32"/>
    </row>
    <row r="16" spans="1:12" ht="12.75" customHeight="1">
      <c r="A16" s="37"/>
      <c r="C16" s="35"/>
      <c r="D16" s="34"/>
      <c r="K16" s="32"/>
      <c r="L16" s="32"/>
    </row>
    <row r="17" spans="1:12" ht="12.75" customHeight="1">
      <c r="A17" s="37"/>
      <c r="C17" s="35"/>
      <c r="D17" s="34"/>
      <c r="K17" s="32"/>
      <c r="L17" s="32"/>
    </row>
    <row r="18" spans="1:12" ht="12.75" customHeight="1">
      <c r="A18" s="37"/>
      <c r="C18" s="35"/>
      <c r="D18" s="34"/>
      <c r="K18" s="32"/>
      <c r="L18" s="32"/>
    </row>
    <row r="19" spans="1:12" ht="12.75" customHeight="1">
      <c r="A19" s="37"/>
      <c r="C19" s="35"/>
      <c r="D19" s="34"/>
      <c r="K19" s="32"/>
      <c r="L19" s="32"/>
    </row>
    <row r="20" spans="1:12" ht="12.75" customHeight="1">
      <c r="A20" s="37"/>
      <c r="C20" s="35"/>
      <c r="D20" s="34"/>
      <c r="K20" s="32"/>
      <c r="L20" s="32"/>
    </row>
    <row r="21" spans="1:12" ht="12.75" customHeight="1">
      <c r="A21" s="37"/>
      <c r="C21" s="35"/>
      <c r="D21" s="34"/>
      <c r="K21" s="32"/>
      <c r="L21" s="32"/>
    </row>
    <row r="22" spans="1:12" ht="12.75" customHeight="1">
      <c r="A22" s="37"/>
      <c r="C22" s="35"/>
      <c r="D22" s="34"/>
      <c r="K22" s="32"/>
      <c r="L22" s="32"/>
    </row>
    <row r="23" spans="1:12" ht="12.75" customHeight="1">
      <c r="A23" s="37"/>
      <c r="C23" s="35"/>
      <c r="D23" s="34"/>
      <c r="K23" s="32"/>
      <c r="L23" s="32"/>
    </row>
    <row r="24" spans="1:12" ht="12.75" customHeight="1">
      <c r="A24" s="37"/>
      <c r="C24" s="35"/>
      <c r="D24" s="34"/>
      <c r="K24" s="32"/>
      <c r="L24" s="32"/>
    </row>
    <row r="25" spans="1:12" ht="12.75" customHeight="1">
      <c r="A25" s="37"/>
      <c r="C25" s="35"/>
      <c r="D25" s="34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8D732231-4216-4543-A665-18A2886B0EB7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2024-10-15T11:54:47Z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