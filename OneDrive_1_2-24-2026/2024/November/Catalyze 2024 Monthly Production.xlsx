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codeName="ThisWorkbook" defaultThemeVersion="166925"/>
  <mc:AlternateContent xmlns:mc="http://schemas.openxmlformats.org/markup-compatibility/2006">
    <mc:Choice Requires="x15">
      <x15ac:absPath xmlns:x15ac="http://schemas.microsoft.com/office/spreadsheetml/2010/11/ac" url="C:\Users\LibsysAdmin\Downloads\Catalyze\"/>
    </mc:Choice>
  </mc:AlternateContent>
  <xr:revisionPtr revIDLastSave="217" documentId="13_ncr:1_{2FA3AC50-FAC2-47CB-8CFA-5BD388C50286}" xr6:coauthVersionLast="47" xr6:coauthVersionMax="47" xr10:uidLastSave="{B3146DDF-EA9B-44FD-B563-7E0D5A5B7918}"/>
  <bookViews>
    <workbookView xWindow="2190" yWindow="990" windowWidth="16200" windowHeight="9307"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29" l="1"/>
  <c r="H20" i="29"/>
  <c r="G20" i="29"/>
  <c r="F20" i="29"/>
  <c r="E20" i="29"/>
  <c r="D20" i="29"/>
  <c r="E18" i="29"/>
  <c r="E19" i="29"/>
  <c r="C20" i="29"/>
  <c r="I20" i="30"/>
  <c r="H20" i="30"/>
  <c r="G20" i="30"/>
  <c r="F20" i="30"/>
  <c r="E20" i="30"/>
  <c r="D20" i="30"/>
  <c r="C20" i="30"/>
  <c r="C7" i="34"/>
  <c r="C8" i="34"/>
  <c r="C9" i="34"/>
  <c r="C10" i="34"/>
  <c r="C11" i="34"/>
  <c r="C13" i="34"/>
  <c r="C14" i="34"/>
  <c r="C15" i="34"/>
  <c r="C16" i="34"/>
  <c r="C17" i="34"/>
  <c r="C18" i="34"/>
  <c r="C19" i="34"/>
  <c r="C20" i="34"/>
  <c r="C5" i="34"/>
  <c r="D6" i="34"/>
  <c r="D7" i="34"/>
  <c r="D8" i="34"/>
  <c r="D9" i="34"/>
  <c r="D10" i="34"/>
  <c r="D11" i="34"/>
  <c r="D12" i="34"/>
  <c r="D13" i="34"/>
  <c r="D14" i="34"/>
  <c r="D15" i="34"/>
  <c r="D16" i="34"/>
  <c r="D17" i="34"/>
  <c r="D18" i="34"/>
  <c r="D19" i="34"/>
  <c r="D20" i="34"/>
  <c r="D5" i="34"/>
  <c r="H20" i="34"/>
  <c r="G20" i="34"/>
  <c r="E20" i="34"/>
  <c r="F20" i="34" s="1"/>
  <c r="H7" i="34"/>
  <c r="H8" i="34"/>
  <c r="H9" i="34"/>
  <c r="H10" i="34"/>
  <c r="H11" i="34"/>
  <c r="H13" i="34"/>
  <c r="H14" i="34"/>
  <c r="H15" i="34"/>
  <c r="H16" i="34"/>
  <c r="H17" i="34"/>
  <c r="H18" i="34"/>
  <c r="H19" i="34"/>
  <c r="H5" i="34"/>
  <c r="I18" i="1"/>
  <c r="I19" i="1"/>
  <c r="I20" i="1"/>
  <c r="H18" i="1"/>
  <c r="H19" i="1"/>
  <c r="H20" i="1"/>
  <c r="G18" i="1"/>
  <c r="G19" i="1"/>
  <c r="G20" i="1"/>
  <c r="F18" i="1"/>
  <c r="F19" i="1"/>
  <c r="F20" i="1"/>
  <c r="E20" i="1"/>
  <c r="E18" i="1"/>
  <c r="D20" i="1"/>
  <c r="C20" i="1"/>
  <c r="I18" i="18"/>
  <c r="I19" i="18"/>
  <c r="I20" i="18"/>
  <c r="I16" i="18"/>
  <c r="H18" i="18"/>
  <c r="H19" i="18"/>
  <c r="H20" i="18"/>
  <c r="G18" i="18"/>
  <c r="G19" i="18"/>
  <c r="G20" i="18"/>
  <c r="F18" i="18"/>
  <c r="F19" i="18"/>
  <c r="F20" i="18"/>
  <c r="E18" i="18"/>
  <c r="E19" i="18"/>
  <c r="E20" i="18"/>
  <c r="D18" i="18"/>
  <c r="D19" i="18"/>
  <c r="D20" i="18"/>
  <c r="C18" i="18"/>
  <c r="C19" i="18"/>
  <c r="C20" i="18"/>
  <c r="H18" i="32"/>
  <c r="I18" i="32" s="1"/>
  <c r="H19" i="32"/>
  <c r="I19" i="32" s="1"/>
  <c r="H20" i="32"/>
  <c r="I20" i="32" s="1"/>
  <c r="H16" i="32"/>
  <c r="E18" i="32"/>
  <c r="F18" i="32" s="1"/>
  <c r="E19" i="32"/>
  <c r="F19" i="32" s="1"/>
  <c r="E20" i="32"/>
  <c r="F20" i="32" s="1"/>
  <c r="G6" i="30"/>
  <c r="G7" i="30"/>
  <c r="G8" i="30"/>
  <c r="G9" i="30"/>
  <c r="G10" i="30"/>
  <c r="G11" i="30"/>
  <c r="G12" i="30"/>
  <c r="G13" i="30"/>
  <c r="G14" i="30"/>
  <c r="G15" i="30"/>
  <c r="G16" i="30"/>
  <c r="G17" i="30"/>
  <c r="G18" i="30"/>
  <c r="G19" i="30"/>
  <c r="G5" i="30"/>
  <c r="G4" i="30"/>
  <c r="I18" i="31"/>
  <c r="I19" i="31"/>
  <c r="H18" i="31"/>
  <c r="H19" i="31"/>
  <c r="F18" i="31"/>
  <c r="F19" i="31"/>
  <c r="F16" i="31"/>
  <c r="E18" i="31"/>
  <c r="E19" i="31"/>
  <c r="E5" i="28"/>
  <c r="E5" i="27"/>
  <c r="F5" i="28"/>
  <c r="H18" i="30"/>
  <c r="I18" i="30" s="1"/>
  <c r="H19" i="30"/>
  <c r="I19" i="30" s="1"/>
  <c r="D18" i="30"/>
  <c r="D19" i="30"/>
  <c r="C18" i="30"/>
  <c r="C19" i="30"/>
  <c r="E19" i="30" s="1"/>
  <c r="F19" i="30" s="1"/>
  <c r="E19" i="1"/>
  <c r="D18" i="1"/>
  <c r="D19" i="1"/>
  <c r="C18" i="1"/>
  <c r="C19" i="1"/>
  <c r="G19" i="34"/>
  <c r="I19" i="34" s="1"/>
  <c r="E18" i="34"/>
  <c r="F18" i="34" s="1"/>
  <c r="E19" i="34"/>
  <c r="F19" i="34" s="1"/>
  <c r="I19" i="29"/>
  <c r="H19" i="29"/>
  <c r="G18" i="29"/>
  <c r="G19" i="29"/>
  <c r="F19" i="29"/>
  <c r="D18" i="29"/>
  <c r="D19" i="29"/>
  <c r="C18" i="29"/>
  <c r="F18" i="29" s="1"/>
  <c r="C19" i="29"/>
  <c r="H19" i="28"/>
  <c r="I19" i="28" s="1"/>
  <c r="E19" i="28"/>
  <c r="F19" i="28" s="1"/>
  <c r="H18" i="28"/>
  <c r="E18" i="28"/>
  <c r="F18" i="28" s="1"/>
  <c r="G5" i="29"/>
  <c r="G6" i="29"/>
  <c r="G7" i="29"/>
  <c r="G8" i="29"/>
  <c r="G9" i="29"/>
  <c r="G10" i="29"/>
  <c r="G11" i="29"/>
  <c r="G12" i="29"/>
  <c r="G13" i="29"/>
  <c r="G14" i="29"/>
  <c r="G15" i="29"/>
  <c r="G16" i="29"/>
  <c r="G17" i="29"/>
  <c r="G4" i="29"/>
  <c r="H15" i="26"/>
  <c r="E15" i="26"/>
  <c r="H14" i="26"/>
  <c r="E14" i="26"/>
  <c r="E12" i="19"/>
  <c r="E13" i="19"/>
  <c r="E14" i="19"/>
  <c r="E15" i="19"/>
  <c r="E5" i="20"/>
  <c r="G5" i="18"/>
  <c r="G6" i="18"/>
  <c r="G7" i="18"/>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20" i="34" l="1"/>
  <c r="G18" i="34"/>
  <c r="I18" i="34" s="1"/>
  <c r="E18" i="30"/>
  <c r="F18" i="30" s="1"/>
  <c r="I18" i="28"/>
  <c r="H18" i="29"/>
  <c r="I18" i="29" s="1"/>
  <c r="E17" i="18"/>
  <c r="F17" i="18" s="1"/>
  <c r="C16" i="30"/>
  <c r="D16" i="30"/>
  <c r="C17" i="30"/>
  <c r="D17" i="30"/>
  <c r="C16" i="29"/>
  <c r="D16" i="29"/>
  <c r="C17" i="29"/>
  <c r="D17" i="29"/>
  <c r="E17" i="29" s="1"/>
  <c r="F17" i="29" s="1"/>
  <c r="C16" i="18"/>
  <c r="D16" i="18"/>
  <c r="C16" i="1"/>
  <c r="D16" i="1"/>
  <c r="G16" i="1"/>
  <c r="G16" i="34" s="1"/>
  <c r="C17" i="1"/>
  <c r="D17" i="1"/>
  <c r="G17" i="1"/>
  <c r="G17" i="34" s="1"/>
  <c r="H17" i="33"/>
  <c r="I17" i="33" s="1"/>
  <c r="E17" i="33"/>
  <c r="F17" i="33" s="1"/>
  <c r="H16" i="33"/>
  <c r="I16" i="33" s="1"/>
  <c r="E16" i="33"/>
  <c r="F16" i="33" s="1"/>
  <c r="H17" i="32"/>
  <c r="I17" i="32" s="1"/>
  <c r="E17" i="32"/>
  <c r="F17" i="32" s="1"/>
  <c r="I16" i="32"/>
  <c r="E16" i="32"/>
  <c r="F16" i="32" s="1"/>
  <c r="H17" i="31"/>
  <c r="I17" i="31" s="1"/>
  <c r="E17" i="31"/>
  <c r="F17" i="31" s="1"/>
  <c r="H16" i="31"/>
  <c r="I16" i="31" s="1"/>
  <c r="E16" i="3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H17" i="19"/>
  <c r="I17" i="19" s="1"/>
  <c r="E17" i="19"/>
  <c r="F17" i="19" s="1"/>
  <c r="H16" i="19"/>
  <c r="I16" i="19" s="1"/>
  <c r="E16" i="19"/>
  <c r="F16" i="19" s="1"/>
  <c r="H17" i="20"/>
  <c r="I17" i="20" s="1"/>
  <c r="E17" i="20"/>
  <c r="F17" i="20" s="1"/>
  <c r="H16" i="20"/>
  <c r="I16" i="20" s="1"/>
  <c r="E16" i="20"/>
  <c r="F16" i="20" s="1"/>
  <c r="H17" i="21"/>
  <c r="E17" i="21"/>
  <c r="F17" i="21" s="1"/>
  <c r="H16" i="21"/>
  <c r="I16" i="21" s="1"/>
  <c r="E16" i="21"/>
  <c r="F16" i="21" s="1"/>
  <c r="E16" i="3"/>
  <c r="F16" i="3"/>
  <c r="H16" i="3"/>
  <c r="I16" i="3"/>
  <c r="E17" i="3"/>
  <c r="F17" i="3" s="1"/>
  <c r="H17" i="3"/>
  <c r="I17" i="3" s="1"/>
  <c r="E16" i="72"/>
  <c r="F16" i="72" s="1"/>
  <c r="H16" i="72"/>
  <c r="E17" i="72"/>
  <c r="F17" i="72" s="1"/>
  <c r="H17" i="72"/>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s="1"/>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D13" i="30"/>
  <c r="C13" i="30"/>
  <c r="D12" i="30"/>
  <c r="C12" i="30"/>
  <c r="C12" i="34" s="1"/>
  <c r="D11" i="30"/>
  <c r="C11" i="30"/>
  <c r="D10" i="30"/>
  <c r="C10" i="30"/>
  <c r="D9" i="30"/>
  <c r="C9" i="30"/>
  <c r="D8" i="30"/>
  <c r="C8" i="30"/>
  <c r="D7" i="30"/>
  <c r="C7" i="30"/>
  <c r="D6" i="30"/>
  <c r="C6" i="30"/>
  <c r="C6" i="34" s="1"/>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E15" i="18" s="1"/>
  <c r="F15" i="18" s="1"/>
  <c r="D14" i="18"/>
  <c r="C14" i="18"/>
  <c r="D13" i="18"/>
  <c r="C13" i="18"/>
  <c r="D12" i="18"/>
  <c r="C12" i="18"/>
  <c r="D11" i="18"/>
  <c r="C11" i="18"/>
  <c r="D10" i="18"/>
  <c r="C10" i="18"/>
  <c r="D9" i="18"/>
  <c r="C9" i="18"/>
  <c r="D8" i="18"/>
  <c r="C8" i="18"/>
  <c r="D7" i="18"/>
  <c r="C7" i="18"/>
  <c r="D6" i="18"/>
  <c r="C6" i="18"/>
  <c r="D5" i="18"/>
  <c r="C5" i="18"/>
  <c r="D4" i="18"/>
  <c r="C4" i="18"/>
  <c r="E13" i="29"/>
  <c r="F13" i="29" s="1"/>
  <c r="E13" i="30"/>
  <c r="F13" i="30" s="1"/>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F5" i="27"/>
  <c r="H4" i="27"/>
  <c r="I4" i="27" s="1"/>
  <c r="E4" i="27"/>
  <c r="F4" i="27" s="1"/>
  <c r="G2" i="27"/>
  <c r="D2" i="27"/>
  <c r="C2" i="27"/>
  <c r="A1" i="27" a="1"/>
  <c r="A1" i="27" s="1"/>
  <c r="F15" i="26"/>
  <c r="I14" i="26"/>
  <c r="F14" i="26"/>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F15" i="19"/>
  <c r="H14" i="19"/>
  <c r="I14" i="19" s="1"/>
  <c r="F14" i="19"/>
  <c r="H13" i="19"/>
  <c r="I13" i="19" s="1"/>
  <c r="F13" i="19"/>
  <c r="H12" i="19"/>
  <c r="I12" i="19" s="1"/>
  <c r="F12" i="19"/>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F5" i="20"/>
  <c r="H4" i="20"/>
  <c r="I4" i="20" s="1"/>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E11" i="30" l="1"/>
  <c r="F11" i="30" s="1"/>
  <c r="E17" i="30"/>
  <c r="F17" i="30" s="1"/>
  <c r="E16" i="30"/>
  <c r="F16" i="30" s="1"/>
  <c r="H13" i="29"/>
  <c r="I13" i="29" s="1"/>
  <c r="H6" i="29"/>
  <c r="I6" i="29" s="1"/>
  <c r="E11" i="29"/>
  <c r="F11" i="29" s="1"/>
  <c r="E7" i="18"/>
  <c r="F7" i="18" s="1"/>
  <c r="E11" i="18"/>
  <c r="F11" i="18" s="1"/>
  <c r="E9" i="18"/>
  <c r="F9" i="18" s="1"/>
  <c r="D4" i="34"/>
  <c r="D2" i="34" s="1"/>
  <c r="D2" i="18"/>
  <c r="E15" i="30"/>
  <c r="F15" i="30" s="1"/>
  <c r="H16" i="18"/>
  <c r="E16" i="29"/>
  <c r="F16" i="29" s="1"/>
  <c r="E16" i="18"/>
  <c r="F16" i="18" s="1"/>
  <c r="E8" i="30"/>
  <c r="F8" i="30" s="1"/>
  <c r="E12" i="30"/>
  <c r="F12" i="30" s="1"/>
  <c r="H16" i="30"/>
  <c r="I16" i="30" s="1"/>
  <c r="E10" i="30"/>
  <c r="F10" i="30" s="1"/>
  <c r="E14" i="30"/>
  <c r="F14" i="30" s="1"/>
  <c r="H16" i="1"/>
  <c r="I16" i="1" s="1"/>
  <c r="H6" i="30"/>
  <c r="I13" i="27"/>
  <c r="H17" i="1"/>
  <c r="I17" i="1" s="1"/>
  <c r="H10" i="29"/>
  <c r="I10" i="29" s="1"/>
  <c r="H7" i="29"/>
  <c r="I7" i="29" s="1"/>
  <c r="E4" i="18"/>
  <c r="F4" i="18" s="1"/>
  <c r="E8" i="18"/>
  <c r="F8" i="18" s="1"/>
  <c r="E12" i="18"/>
  <c r="F12" i="18" s="1"/>
  <c r="E8" i="29"/>
  <c r="F8" i="29" s="1"/>
  <c r="E12" i="29"/>
  <c r="F12" i="29" s="1"/>
  <c r="E4" i="30"/>
  <c r="F4" i="30" s="1"/>
  <c r="H17" i="30"/>
  <c r="I17" i="30" s="1"/>
  <c r="H15" i="29"/>
  <c r="I15" i="29" s="1"/>
  <c r="H12" i="29"/>
  <c r="I12" i="29" s="1"/>
  <c r="D2" i="29"/>
  <c r="I10" i="27"/>
  <c r="E5" i="18"/>
  <c r="F5" i="18" s="1"/>
  <c r="E13" i="18"/>
  <c r="F13" i="18" s="1"/>
  <c r="E5" i="29"/>
  <c r="F5" i="29" s="1"/>
  <c r="E9" i="29"/>
  <c r="F9" i="29" s="1"/>
  <c r="E5" i="30"/>
  <c r="F5" i="30" s="1"/>
  <c r="I17" i="21"/>
  <c r="H17" i="18"/>
  <c r="I17" i="18" s="1"/>
  <c r="H16" i="29"/>
  <c r="I16" i="29" s="1"/>
  <c r="H9" i="29"/>
  <c r="I9" i="29" s="1"/>
  <c r="E9" i="30"/>
  <c r="F9" i="30" s="1"/>
  <c r="E6" i="18"/>
  <c r="F6" i="18" s="1"/>
  <c r="E10" i="18"/>
  <c r="F10" i="18" s="1"/>
  <c r="E14" i="18"/>
  <c r="F14" i="18" s="1"/>
  <c r="E6" i="29"/>
  <c r="F6" i="29" s="1"/>
  <c r="E10" i="29"/>
  <c r="F10" i="29" s="1"/>
  <c r="E14" i="29"/>
  <c r="F14" i="29" s="1"/>
  <c r="E6" i="30"/>
  <c r="F6" i="30" s="1"/>
  <c r="H17" i="29"/>
  <c r="I17" i="29" s="1"/>
  <c r="D2" i="30"/>
  <c r="E16" i="34"/>
  <c r="F16" i="34" s="1"/>
  <c r="E17" i="1"/>
  <c r="F17" i="1" s="1"/>
  <c r="E17" i="34"/>
  <c r="F17" i="34" s="1"/>
  <c r="E16" i="1"/>
  <c r="F16" i="1" s="1"/>
  <c r="I17" i="72"/>
  <c r="I16" i="34"/>
  <c r="I16" i="72"/>
  <c r="I17" i="34"/>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11" i="34"/>
  <c r="F11" i="34" s="1"/>
  <c r="E7" i="1"/>
  <c r="F7" i="1" s="1"/>
  <c r="E15" i="1"/>
  <c r="F15" i="1" s="1"/>
  <c r="E12" i="34"/>
  <c r="F12" i="34" s="1"/>
  <c r="E5" i="34"/>
  <c r="F5" i="34" s="1"/>
  <c r="E13" i="34"/>
  <c r="F13" i="34" s="1"/>
  <c r="G2" i="1"/>
  <c r="E6" i="34"/>
  <c r="F6" i="34" s="1"/>
  <c r="E8" i="1"/>
  <c r="F8" i="1" s="1"/>
  <c r="E11" i="1"/>
  <c r="F11" i="1" s="1"/>
  <c r="E9" i="1"/>
  <c r="F9" i="1" s="1"/>
  <c r="E10" i="1"/>
  <c r="F10" i="1" s="1"/>
  <c r="E12" i="1"/>
  <c r="F12" i="1" s="1"/>
  <c r="E9" i="34"/>
  <c r="F9" i="34" s="1"/>
  <c r="E5" i="1"/>
  <c r="F5" i="1" s="1"/>
  <c r="E13" i="1"/>
  <c r="F13" i="1" s="1"/>
  <c r="E10" i="34"/>
  <c r="F10" i="34" s="1"/>
  <c r="E6" i="1"/>
  <c r="F6" i="1" s="1"/>
  <c r="E14" i="1"/>
  <c r="F14" i="1" s="1"/>
  <c r="H14" i="30"/>
  <c r="I14" i="30" s="1"/>
  <c r="H9" i="30"/>
  <c r="I9" i="30" s="1"/>
  <c r="H4" i="30"/>
  <c r="I4" i="30" s="1"/>
  <c r="E7" i="30"/>
  <c r="F7" i="30" s="1"/>
  <c r="H12" i="30"/>
  <c r="H7" i="30"/>
  <c r="I7" i="30" s="1"/>
  <c r="H15" i="30"/>
  <c r="I15" i="30" s="1"/>
  <c r="H10" i="30"/>
  <c r="I10" i="30" s="1"/>
  <c r="H5" i="30"/>
  <c r="I5" i="30" s="1"/>
  <c r="H13" i="30"/>
  <c r="I13" i="30" s="1"/>
  <c r="H8" i="30"/>
  <c r="I8" i="30" s="1"/>
  <c r="H11" i="30"/>
  <c r="I11" i="30" s="1"/>
  <c r="E7" i="29"/>
  <c r="F7" i="29" s="1"/>
  <c r="H8" i="29"/>
  <c r="I8" i="29" s="1"/>
  <c r="H11" i="29"/>
  <c r="I11" i="29" s="1"/>
  <c r="I6" i="26"/>
  <c r="I9" i="26"/>
  <c r="I12" i="26"/>
  <c r="I15" i="26"/>
  <c r="H14" i="29"/>
  <c r="I14" i="29" s="1"/>
  <c r="H4" i="29"/>
  <c r="I4" i="29" s="1"/>
  <c r="E15" i="29"/>
  <c r="F15" i="29" s="1"/>
  <c r="H5" i="29"/>
  <c r="I5" i="29" s="1"/>
  <c r="I7" i="26"/>
  <c r="H14" i="18"/>
  <c r="I14" i="18" s="1"/>
  <c r="H9" i="18"/>
  <c r="I9" i="18" s="1"/>
  <c r="H6" i="18"/>
  <c r="I6" i="18" s="1"/>
  <c r="H4" i="18"/>
  <c r="I4" i="18" s="1"/>
  <c r="H12" i="18"/>
  <c r="I12" i="18" s="1"/>
  <c r="H7" i="18"/>
  <c r="I7" i="18" s="1"/>
  <c r="H15" i="18"/>
  <c r="I15" i="18" s="1"/>
  <c r="H10" i="18"/>
  <c r="I10" i="18" s="1"/>
  <c r="C4" i="34"/>
  <c r="H5" i="18"/>
  <c r="I5" i="18" s="1"/>
  <c r="H13" i="18"/>
  <c r="I13" i="18" s="1"/>
  <c r="H8" i="18"/>
  <c r="I8" i="18" s="1"/>
  <c r="H11" i="18"/>
  <c r="I11" i="18" s="1"/>
  <c r="I7" i="34"/>
  <c r="I8" i="34"/>
  <c r="I5" i="34"/>
  <c r="I9" i="34"/>
  <c r="I10" i="34"/>
  <c r="I11" i="34"/>
  <c r="I13" i="34"/>
  <c r="I14" i="34"/>
  <c r="I15" i="34"/>
  <c r="E7" i="34"/>
  <c r="F7" i="34" s="1"/>
  <c r="E8" i="34"/>
  <c r="F8" i="34" s="1"/>
  <c r="E14" i="34"/>
  <c r="F14" i="34" s="1"/>
  <c r="E15" i="34"/>
  <c r="F15" i="34"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F2" i="4" s="1"/>
  <c r="H2" i="72"/>
  <c r="I12" i="30" l="1"/>
  <c r="H12" i="34"/>
  <c r="I12" i="34" s="1"/>
  <c r="I6" i="30"/>
  <c r="H6" i="34"/>
  <c r="I6" i="34" s="1"/>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<sst xmlns="http://schemas.openxmlformats.org/spreadsheetml/2006/main" count="515" uniqueCount="267">
  <si>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</si>
  <si>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</si>
  <si>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</si>
  <si>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</si>
  <si>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</si>
  <si>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</si>
  <si>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</si>
  <si>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</si>
  <si>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</si>
  <si>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</si>
  <si>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</si>
  <si>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</si>
  <si>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</si>
  <si>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</si>
  <si>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</si>
  <si>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</si>
  <si>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</si>
  <si>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</si>
  <si>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</si>
  <si>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</si>
  <si>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</si>
  <si>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</si>
  <si>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1.Inverter 5 tripped offline on 01/19/2024 at 12:30 &amp; back online at 14:00. </t>
  </si>
  <si>
    <t>1.SR080353</t>
  </si>
  <si>
    <t>1. Site frequently experiencing outages due to its ongoing curtailment by CAISO</t>
  </si>
  <si>
    <t xml:space="preserve">1. SR077480, SR079342 </t>
  </si>
  <si>
    <t xml:space="preserve">1. SIte was offline from 01/15/2024 - 01/17/2024. </t>
  </si>
  <si>
    <t>1. SR080251</t>
  </si>
  <si>
    <t xml:space="preserve">1. Site was offline on 01/27/2024 &amp; back online on 01/29/2024. </t>
  </si>
  <si>
    <t>1. SR080523</t>
  </si>
  <si>
    <t/>
  </si>
  <si>
    <t xml:space="preserve">1. Site tripped offlline at 01/31/2024 at 09:30 &amp; back online at 11:41. 
2. Inverter 1 was offline on 01/10/2024 &amp; back online at 01/11/2024 at 16:30. </t>
  </si>
  <si>
    <t>1.SR080616
2. SR080129</t>
  </si>
  <si>
    <t xml:space="preserve"> </t>
  </si>
  <si>
    <t xml:space="preserve">1. Inverter 6 tripping on &amp; off throught out the month. 
2. Inverter 7 has tripping event on 01/12,1/14,1/16,1/19. </t>
  </si>
  <si>
    <t>1. SR074295
2. SR079995</t>
  </si>
  <si>
    <t>February Actual v. Expected</t>
  </si>
  <si>
    <t>February Actual v. Forecasted</t>
  </si>
  <si>
    <t xml:space="preserve">1. Inverter 5 tripped offline most of the days. </t>
  </si>
  <si>
    <t>1. SR080353</t>
  </si>
  <si>
    <t>1. Expected data was not populated for multiple days due to a weather station issue.
2. Inverter 4 turned offline on 02/23 &amp; continued. 
3. Site frequently experiencing outages due to its ongoing curtailment by CAISO</t>
  </si>
  <si>
    <t>1. SR081023
2. SR081269
3. SR081208</t>
  </si>
  <si>
    <t xml:space="preserve">1. Inverter tripped offline on 02/23/2024 &amp; back online on 02/26/2024. </t>
  </si>
  <si>
    <t>1. SR081287</t>
  </si>
  <si>
    <t>1. Inverter 1 is offline from 02/05 to 02/14 &amp; tripped offline from 02/20 at 10:30 &amp; back online on 02/26 at 16:30. 
2. Inverter 13 tripping on and off during high irradiance days.</t>
  </si>
  <si>
    <t>1.SR080728
2. SR081303</t>
  </si>
  <si>
    <t xml:space="preserve">1. Inverter 2  tripping on &amp; off on 02/03 &amp; 02/04 &amp; continued offline from 02/05 to 02/28. 
2. Site was taken offline on 02/27/2023 at 12:53 &amp; back online on 02/28. </t>
  </si>
  <si>
    <t>1. SR080713
2. SR081369</t>
  </si>
  <si>
    <t xml:space="preserve">1. Site tripped offline on 02/10 &amp; back online on 02/12 at 15:15. </t>
  </si>
  <si>
    <t>1.SR080915</t>
  </si>
  <si>
    <t xml:space="preserve">1. Site tripped offline on 02/10 &amp; back online on 02/12 at 15:15. 
2. Inverter 4.4 is offline on 02/18 and back online next day.
3. Inverter 4.4 was derating on multiple days this month due to a fan fault... 
3. Inverters 3.1 through 3.6, and inverters 3.8 through 3.10 started derating on 02/25 &amp; continued. </t>
  </si>
  <si>
    <t>1. SR080916
2. SR081087
3. SR081047
4. SR081344</t>
  </si>
  <si>
    <t>1. Inverter 6 tripping on &amp; off throught out the month.</t>
  </si>
  <si>
    <t>1.SR074295</t>
  </si>
  <si>
    <t>March Actual v. Expected</t>
  </si>
  <si>
    <t>March Actual v. Forecasted</t>
  </si>
  <si>
    <t xml:space="preserve">1. Site was offline on 03/20 between 10:50am to 12:15pm 
2. Inverter 5 has tripping events on daily bases </t>
  </si>
  <si>
    <t>1. SR082279
2. SR082780</t>
  </si>
  <si>
    <t>1. Weather station reporting zero from 03/01 and resolved on 03/20 at 13:00 due to that expected energy is low
2. Sit was offline on 03/27 between 08:00am to 12:00 pm
3. Inverter 4 is offline throughout the month, breaker need to be replaced</t>
  </si>
  <si>
    <t>1. SR081023
2. SR082819
3. SR081269</t>
  </si>
  <si>
    <t xml:space="preserve">1. Inverter tripped offline on 03/24 at 12:00pm and back online on 03/25 at 10:15am </t>
  </si>
  <si>
    <t>1. SR082618</t>
  </si>
  <si>
    <t>1. Site tripped offline on 03/10 at 17:30 and back online on 03/11 at 11:00am
2. Site tripped offline on 03/13 at 12:25pm and back online on 03/14 at 08:35am</t>
  </si>
  <si>
    <t xml:space="preserve">1. SR081733
2. SR081870
</t>
  </si>
  <si>
    <t>1.  Inverters 3.1 to 3.10  are derating from 02/26 to 03/09.
2. Site tripped offline, Voltages available at the meter. Possible main breaker trip at 12:15 on 03/13 and back online at 8:30 on 03/14.</t>
  </si>
  <si>
    <t>1. SR081344
2. SR081871</t>
  </si>
  <si>
    <t>1. Inverter 3 is derating on sunny days resolved on 03/26
2. Site was offline on 03/13 between 08:30am to 09:15</t>
  </si>
  <si>
    <t>1. SR081571
2. SR081844</t>
  </si>
  <si>
    <t>1. Site tripped offline due to  missing "Phase A voltages" at 11:45 on 03/17 and back online at 10:30 on 03/25.</t>
  </si>
  <si>
    <t>1. SR081970</t>
  </si>
  <si>
    <t>1. Inverter 6 tripping on &amp; off on 03/05, 03/18, 03/25, 03/26.</t>
  </si>
  <si>
    <t>1. SR074295</t>
  </si>
  <si>
    <t>April Actual v. Expected</t>
  </si>
  <si>
    <t>April Actual v. Forecasted</t>
  </si>
  <si>
    <t>1. Inverter 5 has tripping events on daily bases.</t>
  </si>
  <si>
    <t>1.  SR082780</t>
  </si>
  <si>
    <t>1. Inverter 4 is offline throughout the month, breaker need to be replaced</t>
  </si>
  <si>
    <t>1. SR081269</t>
  </si>
  <si>
    <t xml:space="preserve">1. Inverter 6 tripped offline on 04/28 at 6:30AM and back online  on 04/28 at 7:45am </t>
  </si>
  <si>
    <t>1. SR083896</t>
  </si>
  <si>
    <t>1. Site was offline from 13:15 to 15:00 on 04/29.
2. Site is offline on 04/03 at 18:45 and back online on 9:30am on 04/05 and again offline on 04/07 10:00am and back online on 04/07 at 12:30pm.</t>
  </si>
  <si>
    <t>1. SR083973
2. SR082599</t>
  </si>
  <si>
    <t xml:space="preserve">1. Site tripped offline on 04/09 at 17:52 and back online on 04/10 at 16:00
2. Site tripped offline on 04/17 at 10:52 and back online on 12:00pm </t>
  </si>
  <si>
    <t>1. SR083278
2. SR083540</t>
  </si>
  <si>
    <t>1. Inverter 1.3 is offline on 04/08 and back online on 04/08 at 15:15
2. All inverters tripped offline at 15:02 on 04/19 and back online on 04/22 at 8:30am</t>
  </si>
  <si>
    <t>1. SR083167
2. SR083639</t>
  </si>
  <si>
    <t>1. All inverters tripped offline at 15:02 on 04/19 and back online on 04/22 at 8:30am</t>
  </si>
  <si>
    <t>1. SR083640</t>
  </si>
  <si>
    <t>1.  Site is offline on 04/13 at 21:00 on 04/13/2024 and back online on 04/13 at 23:00.</t>
  </si>
  <si>
    <t>1. SR083388</t>
  </si>
  <si>
    <t xml:space="preserve">1. Inverter 6 tripping on and off on 04/02, 04/06, 04/20, 04/22, 04/27, 04/29 &amp; 04/30  with fault "Fault to stop DC wrong polarity." </t>
  </si>
  <si>
    <t>1. SR083891</t>
  </si>
  <si>
    <t>1. Inverter 6 tripping on &amp; off 04/12, 04/14, 04/17, 04/18, 04/20, 04/21 &amp; 04/27</t>
  </si>
  <si>
    <t>May Actual v. Expected</t>
  </si>
  <si>
    <t>May Actual v. Forecasted</t>
  </si>
  <si>
    <t>1. Site tripped offline at 15:15 on 05/15 and back online at 18:00 on 05/19.</t>
  </si>
  <si>
    <t>1. SR084815</t>
  </si>
  <si>
    <t>1. Site tripped offline at 16:15 on 05/22 and back online at 08:45AM on 05/23.</t>
  </si>
  <si>
    <t>1. SR085032</t>
  </si>
  <si>
    <t>1. Inverter 4.7 tripped offline at 14:53 on 05/03 additionally it stopped communicating, later data got backfilled and issue resolved on 05/15.
2. Inverter 4.7 tripped offline at 14:30 on 05/19 and back online at 07:00AM on 05/20
inverter tripped offline at 13:15 on 05/20 and back online at 07:00AM on 05/21 inverter again tripped offline at 14:00 on 05/26 and back online at 07:00AM on 05/27.
3. Site tripped offline at 16:15 on 05/22 and back online at 08:45AM on 05/23.
4. Inverter 3.2 tripped offline at 13:15 on 05/26 and back online at 15:30 on 5/29.</t>
  </si>
  <si>
    <t>1. SR084244
2. SR084914
3. SR085033
4. SR085171</t>
  </si>
  <si>
    <t>1. Inverter 6 is offline from 08:00AM to 13:00 on 05/08.</t>
  </si>
  <si>
    <t>1. Site is offline from 13:00 to 14:45 on 05/16 and again site is offline 10:00AM from 12:15PM on 05/22 but inverters still not communicating.</t>
  </si>
  <si>
    <t>1. SR084785</t>
  </si>
  <si>
    <t>June Actual v. Expected</t>
  </si>
  <si>
    <t>June Actual v. Forecasted</t>
  </si>
  <si>
    <t>1.Weather station stopped communicating from 06/21 at 10:00 throghout the month</t>
  </si>
  <si>
    <t>1.SR086598</t>
  </si>
  <si>
    <t>1. Meter was replaced on 06/14.
2. Site tripped offline at 11:30 on 06/26 and back online at 16:23 on same day</t>
  </si>
  <si>
    <t>1. SR084901	
2. SR086820</t>
  </si>
  <si>
    <t>1. Inverter 1 was offline on 06/16 and back online on 06/17</t>
  </si>
  <si>
    <t xml:space="preserve">1. SR086284	</t>
  </si>
  <si>
    <t>1. Inverter 2 primary unit was offline from 06/06 and was being RMA'd</t>
  </si>
  <si>
    <t>1. SR085732</t>
  </si>
  <si>
    <t>1. SEL relay opened at 22:30 and was remotely reclosed at 23:00 on 06/28</t>
  </si>
  <si>
    <t>1. SR083540</t>
  </si>
  <si>
    <t>1. Site tripped offline at 11:30 on 06/27 due to utility outage and was still offline</t>
  </si>
  <si>
    <t>1. SR087032</t>
  </si>
  <si>
    <t>1. Site tripped offline at 11:30 on 06/27 due to utility outage and was still offline
2. Inverters 3.6, 3.10, 4.5 and 4.7 are derating compared to peers thorughout the month from 06/13</t>
  </si>
  <si>
    <t>1. SR087033
2. SR086289, SR086502</t>
  </si>
  <si>
    <t>1. Inverter 2 tripped offline at 13:07 on 06/29 and back online on 06/30</t>
  </si>
  <si>
    <t>1. SR087133</t>
  </si>
  <si>
    <t>1. Inverter 6 tripping on and off throughout the month</t>
  </si>
  <si>
    <t>July Actual v. Expected</t>
  </si>
  <si>
    <t>July Actual v. Forecasted</t>
  </si>
  <si>
    <t>1.Inverter 2 is underproducing compared to its rated capacity on 7/25
2. Inverters 1, 5, 6, 7 are down strings. 100kW inverters producing roughly 60-65 kW through out the month</t>
  </si>
  <si>
    <t>1.SR088244
2.SR088370</t>
  </si>
  <si>
    <t>1.Weather station stopped communicating from 06/21 at 10:00 and not communicated till 07/03</t>
  </si>
  <si>
    <t>1.Inverter tripped offline from 7/16 at 11:15AM and back online on 7/17 at 07:30AM</t>
  </si>
  <si>
    <t>1.SR087755</t>
  </si>
  <si>
    <t>1.Inverter 3 started to underperform by 15kW through out the month.</t>
  </si>
  <si>
    <t>1.SR087481</t>
  </si>
  <si>
    <t>1.Inverter 2 primary unit was offline from 06/06 and was being RMA'd</t>
  </si>
  <si>
    <t>1.SR085732</t>
  </si>
  <si>
    <t>1.Site tripped offline from 06/27 at 11:30 due to utility outage and back online on 7/9 at 16:45.</t>
  </si>
  <si>
    <t>1.SR087032</t>
  </si>
  <si>
    <t>1.Site tripped offline from 06/27 at 11:30 due to utility outage and back online on 7/10 at 19:30.
2.Inverters 3.6, 3.10, 4.5 and 4.7 are derating compared to peers thorughout the month from 06/13</t>
  </si>
  <si>
    <t>1.SR087033
2. SR086289, SR088216</t>
  </si>
  <si>
    <t>1.Inverter 6 having multilpe tripping events</t>
  </si>
  <si>
    <t>1.SR088483</t>
  </si>
  <si>
    <t>1.Inverter 6 has a history of tripping intermittently
2.Inverter 2 tripped offline from 7/20 at 14:45 through out the month</t>
  </si>
  <si>
    <t>1.SR087629
2.SR087961</t>
  </si>
  <si>
    <t>August Actual v. Expected</t>
  </si>
  <si>
    <t>August Actual v. Forecasted</t>
  </si>
  <si>
    <t xml:space="preserve">1.Site offline from 12:00 to 13:00 </t>
  </si>
  <si>
    <t>1.SR089164</t>
  </si>
  <si>
    <t>1. Inverters 12, 14, 16, and 19 have been RMA’d.
Weather station stopped communications on 08/22 and regained communications on 08/27</t>
  </si>
  <si>
    <t>1 SR089438</t>
  </si>
  <si>
    <t>1.Site tripped offline from 09:45AM to 18:00PM on 8/27</t>
  </si>
  <si>
    <t>1.SR089606</t>
  </si>
  <si>
    <t>1.Inverter 12 tripped offline at 11:45 from 8/17 and back online on 8/19</t>
  </si>
  <si>
    <t>1.	SR089195</t>
  </si>
  <si>
    <t>1.Inverter 2 back online on 8/13 at 12:30.
2.Inverter 7 offline on 8/4</t>
  </si>
  <si>
    <t>1.SR085732
2.SR088588</t>
  </si>
  <si>
    <t>1. Site was tripped offline on 08/05 at 07:00am and back online at 09:00am on 08/05</t>
  </si>
  <si>
    <t>1. 	SR088603</t>
  </si>
  <si>
    <t>1.Site offline from 8/13 at 12:15 and back online on 8/16 at 14:45.</t>
  </si>
  <si>
    <t>1.SR088990</t>
  </si>
  <si>
    <t>1.Inverter 04.6 has started derating on 8/4 from 13:00 and is producing only 45kW.
2.Inverter 3.6 is underperforming by 15 Kw
3.Inverter 4.6, 4.8 are being RMAD</t>
  </si>
  <si>
    <t>1.SR088597
2.	SR089161
3.	SR088420</t>
  </si>
  <si>
    <t>1.Site had a brief outage from 23:45 on 08/06 to 00:02 on 08/07.</t>
  </si>
  <si>
    <t>1.SR088714</t>
  </si>
  <si>
    <t>1. Site tripped offline at 11:55 from 8/14 due to on going roof fire investigations. Per Catalyze the site is to remain off</t>
  </si>
  <si>
    <t>1.SR089036</t>
  </si>
  <si>
    <t>1.Inverter 2 back online on 08/05
2.Inverter 4 being RMAD
3.Site is offline. Meter has voltage - possible main breaker trip. Per Catalyze the site is to remain off from 08/14</t>
  </si>
  <si>
    <t>1.SR087961
2.SR088579
3.SR089026</t>
  </si>
  <si>
    <t>September Actual v. Expected</t>
  </si>
  <si>
    <t>September Actual v. Forecasted</t>
  </si>
  <si>
    <t>1. Inverters 6 and 13 are offline from 10/16 inverter 6 is back online on 10/21 and inverter 13 back online on 10/29</t>
  </si>
  <si>
    <t>1. SR092228</t>
  </si>
  <si>
    <t>1. Inverters tripped offline at 11:30am and back online at 14:15am on 09/09.</t>
  </si>
  <si>
    <t>1. SR090037.</t>
  </si>
  <si>
    <t>1. Inverter 4.8 are being RMAD</t>
  </si>
  <si>
    <t>1. SR088420</t>
  </si>
  <si>
    <t>1. Site tripped offline at 11:55 from 8/14 and is back online on 09/12.
2. Inverter 6 is having tripping issue from 09/20 and inverter being RMAD from 10/01.</t>
  </si>
  <si>
    <t>1. SR089036.
2. SR090993.</t>
  </si>
  <si>
    <t>1. Site tripped offline at 12:30 from 8/14  and is back online on 09/10.
2. Inverter 4 being RMAD
3. Inverter 6 is having tripping issue from 09/23.</t>
  </si>
  <si>
    <t>1. SR089026.
2. SR088579, SR090275.
3. SR091081.</t>
  </si>
  <si>
    <t>October Actual v. Expected</t>
  </si>
  <si>
    <t>October Actual v. Forecasted</t>
  </si>
  <si>
    <t>1. Inverters 6 and 13 are offline from 10/16, inverter 6 back online on 10/21, inverter 14 is being RMA'd from 10/28 and inverter 13 and 14 are back online on 10/29.
2. BOM temperature sensor reporting zero value from 10/18.
3. Site appears to be curtailed. The site is not reaching past 370 kW on 10/30 and 
Curtailment period has ended at 2:15PM on 10/30</t>
  </si>
  <si>
    <t>1. SR092228
2. SR092324
3. SR092807</t>
  </si>
  <si>
    <t>1. Inverter tripped offline at 11:00 AM from 10/15 through out the month</t>
  </si>
  <si>
    <t>1.SR092161</t>
  </si>
  <si>
    <t>1. Site taken offline on 10/21 at 18:00 approximately 1hour
2. Inverter 1 under performance. Previous thermal flight attached, but there are likely more strings offline</t>
  </si>
  <si>
    <t>1. SR092384
2. SR092466</t>
  </si>
  <si>
    <t>1. Site offline from 10/23 and back onine at 08:00AM on 10/25.
2.Site was taken offline from 10:45AM to 12:30PM on 10/17 for transformer work.</t>
  </si>
  <si>
    <t>1. SR092464
2. SR092035</t>
  </si>
  <si>
    <t>1. Site offline from 10/23 and back onine at 08:00AM on 10/25</t>
  </si>
  <si>
    <t>1. SR092465</t>
  </si>
  <si>
    <t>1. Inverter 6 is offline on 10/30.
2. Inverter 3 is underperforming approximately 49kW from 10/21</t>
  </si>
  <si>
    <t>1. SR090993
2. SR092377</t>
  </si>
  <si>
    <t>1. Inverter 4 is offline from 08/03 and back online on 10/16.
2. Inverter 7 is having multiple tripping event fom 10/06 and issue resolved on 10/22.
3. Inverter 6 is experiencing multiple tripping from 10/04</t>
  </si>
  <si>
    <t>1. SR090275, SR088579
2. SR091081
3. SR091081, SR092449</t>
  </si>
  <si>
    <t>1. Inverter 1 is underproducing approximately 15-25kw from 10/04</t>
  </si>
  <si>
    <t>1. SR092361</t>
  </si>
  <si>
    <t>1. Weather station is not communicating from 10/11 and later started communication on 10/30.</t>
  </si>
  <si>
    <t>1. SR092453</t>
  </si>
  <si>
    <t>November Actual v. Expected</t>
  </si>
  <si>
    <t>November Actual v. Forecasted</t>
  </si>
  <si>
    <t>1. Site tripped offline at 10:35 and back online at 11:59 on 11/19/2024.</t>
  </si>
  <si>
    <t>1.SR093418</t>
  </si>
  <si>
    <t>1. Inverter tripped offline at 11:00 AM from 10/15 and remained offline through out this month.</t>
  </si>
  <si>
    <t>1.SR092161, SR093563</t>
  </si>
  <si>
    <t>1. POA sensor is to be re-callibarated.</t>
  </si>
  <si>
    <t>1.SR086960</t>
  </si>
  <si>
    <t>1. Site has started production late at 15:00 on 11/04/2024.
2. There is an issue with the DC zone configuration, and AE and Ameresco are working to resolve it. Due to this, multiple strings are showing as offline.
3. The site was migrated from Acuity DAS to PowerTrack. Due to this, the net energy was configured with negative values until 11/13. After that, it was configured with correct values. As a result, we considered the negative energy values until 11/13 as positive values and manually added them together.</t>
  </si>
  <si>
    <t>1. SR092928
2. SR093132
3. SR089691</t>
  </si>
  <si>
    <t>1. Site was tripped offline at 13:45 and back online at 15:45 on 11/16/2024 due to tech at site</t>
  </si>
  <si>
    <t>1.SR093339</t>
  </si>
  <si>
    <t xml:space="preserve">1. Site tripped offline at 11:00 on 11/14 and back online at 8:30 on 11/15.
2. Site was offline from 12:00 to 15:45 on 11/16 due tech at site.
3. Site tripped offline at 11:30 on 11/18 and back online at 9:00AM on 11/19 and again tripped offline at 11:30 and back online at 12:00 on 11/22 and also the site is running at 50% with 1 pad bypassed.
</t>
  </si>
  <si>
    <t>1. SR093255
2. SR093338
3. SR093380, SR093435,SR093642.</t>
  </si>
  <si>
    <t>1. Inverter 5 was offline from 11:00 to 13:15 on 11/14 and Inverter 3 has shading issue.</t>
  </si>
  <si>
    <t>1.SR093259</t>
  </si>
  <si>
    <t>1. Inverter 7 was offline at 8:45AM on 10/31 and back online at 7:45AM on 11/05.
2. Inverter 6 experiencing multiple tripping issues on 11/21, 11/24 and 11/27.</t>
  </si>
  <si>
    <t>1.SR092834
2.SR093503</t>
  </si>
  <si>
    <t>1. Site tripped offline at 6:30AM on 11/24 and back online at 07:15AM on 11/25.</t>
  </si>
  <si>
    <t>1.SR093573</t>
  </si>
  <si>
    <t>1. Inverter 1 is underperforming approximately 15kw from 11/01 and it is also having seasonal shading history.</t>
  </si>
  <si>
    <t>December Actual v. Expected</t>
  </si>
  <si>
    <t>December Actual v. Forecasted</t>
  </si>
  <si>
    <t>Portfolio:</t>
  </si>
  <si>
    <t>Catalyze</t>
  </si>
  <si>
    <t>Site DAS Name</t>
  </si>
  <si>
    <t>Update</t>
  </si>
  <si>
    <t>DAS</t>
  </si>
  <si>
    <t>CA Fresno - 3150 Shaw Ave - 19600</t>
  </si>
  <si>
    <t>Fresno - 3150 Shaw Ave</t>
  </si>
  <si>
    <t>CA</t>
  </si>
  <si>
    <t>PowerTrack</t>
  </si>
  <si>
    <t>Sheep Creek Solar</t>
  </si>
  <si>
    <t>Adelanto - 1 Sheep Creek Road</t>
  </si>
  <si>
    <t>Aderis</t>
  </si>
  <si>
    <t>MA Blackstone - 83 Federal St - 18170</t>
  </si>
  <si>
    <t>Blackstone - 83 Federal Street</t>
  </si>
  <si>
    <t>MA</t>
  </si>
  <si>
    <t>AEF</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</si>
  <si>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</si>
  <si>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</si>
  <si>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</si>
  <si>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</si>
  <si>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</si>
  <si>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</si>
  <si>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</si>
  <si>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</si>
  <si>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</si>
  <si>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</si>
  <si>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</si>
  <si>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Amherst Community Solar</t>
  </si>
  <si>
    <t>Amherst - 595 Scholles Road</t>
  </si>
  <si>
    <t>Lancaster 1 - Gunnville Road</t>
  </si>
  <si>
    <t>Lancaster 2 - Shisler Road</t>
  </si>
  <si>
    <t>Fullerton - 200 W Orangethorpe - 19603</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</si>
  <si>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</si>
  <si>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</si>
  <si>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</si>
  <si>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</si>
  <si>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</si>
  <si>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</si>
  <si>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</si>
  <si>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</si>
  <si>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</si>
  <si>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 xml:space="preserve">CA Santa Ana - 1441 W 17th St - 21198 </t>
  </si>
  <si>
    <t xml:space="preserve">Santa Ana - 1441 West </t>
  </si>
  <si>
    <t>MD Jessup 7950 Oceano Ave - 22337</t>
  </si>
  <si>
    <t>Jessup -7950 Oceano Ave</t>
  </si>
  <si>
    <t>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</si>
</sst>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scheme val="minor"/>
    </font>
    <font>
      <sz val="11"/>
      <color rgb="FF000000"/>
      <name val="Calibri"/>
      <scheme val="minor"/>
    </font>
    <font>
      <sz val="11"/>
      <color rgb="FF000000"/>
      <name val="Calibri"/>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cellStyleXfs>
  <cellXfs count="85">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0" fontId="24" fillId="0" borderId="12" xfId="0" applyFont="1" applyBorder="1"/>
    <xf numFmtId="49" fontId="29" fillId="0" borderId="13" xfId="0" applyNumberFormat="1" applyFont="1" applyBorder="1" applyAlignment="1">
      <alignmen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49" fontId="38" fillId="0" borderId="1" xfId="0" applyNumberFormat="1" applyFont="1" applyBorder="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0" totalsRowShown="0">
  <autoFilter ref="A3:E2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bottomRight" activeCell="I8" sqref="I8"/>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0</v>
      </c>
      <c r="E1" s="81"/>
      <c r="F1" s="81"/>
      <c r="G1" s="79" t="s">
        <v>1</v>
      </c>
      <c r="H1" s="79"/>
      <c r="I1" s="79"/>
    </row>
    <row r="2" spans="1:9" ht="19.5" customHeight="1">
      <c r="A2" s="82" t="s">
        <v>2</v>
      </c>
      <c r="B2" s="82"/>
      <c r="C2" s="5">
        <f>SUM(C4:C92)</f>
        <v>48191177.492066845</v>
      </c>
      <c r="D2" s="5">
        <f>SUM(D4:D92)</f>
        <v>41185561.155000009</v>
      </c>
      <c r="E2" s="5">
        <f>C2-D2</f>
        <v>7005616.3370668367</v>
      </c>
      <c r="F2" s="6">
        <f>IFERROR(E2/D2, 0)</f>
        <v>0.17009884388126981</v>
      </c>
      <c r="G2" s="5">
        <f>SUM(G4:G92)</f>
        <v>46829871.985000007</v>
      </c>
      <c r="H2" s="7">
        <f>C2-G2</f>
        <v>1361305.5070668384</v>
      </c>
      <c r="I2" s="6">
        <f>IFERROR(H2/G2, 0)</f>
        <v>2.9069169941418498E-2</v>
      </c>
    </row>
    <row r="3" spans="1:9" ht="14.25" customHeight="1">
      <c r="A3" s="17" t="s">
        <v>3</v>
      </c>
      <c r="B3" s="17" t="s">
        <v>4</v>
      </c>
      <c r="C3" s="25" t="s">
        <v>5</v>
      </c>
      <c r="D3" s="26" t="s">
        <v>6</v>
      </c>
      <c r="E3" s="26" t="s">
        <v>7</v>
      </c>
      <c r="F3" s="27" t="s">
        <v>8</v>
      </c>
      <c r="G3" s="28" t="s">
        <v>9</v>
      </c>
      <c r="H3" s="29" t="s">
        <v>7</v>
      </c>
      <c r="I3" s="30" t="s">
        <v>8</v>
      </c>
    </row>
    <row r="4" spans="1:9" ht="15.75">
      <c r="A4" s="32" t="str" cm="1">
        <f t="array" ref="A4:A20">Sites[Site]</f>
        <v>Fresno - 3150 Shaw Ave</v>
      </c>
      <c r="B4" s="33" t="str" cm="1">
        <f t="array" ref="B4:B20">Sites[State]</f>
        <v>CA</v>
      </c>
      <c r="C4" s="34">
        <f>SUM('1st Qtr'!C4, '2nd Qtr'!C4, '3rd Qtr'!C4, '4th Qtr'!C4)</f>
        <v>993885.56249999988</v>
      </c>
      <c r="D4" s="35">
        <f>SUM('1st Qtr'!D4, '2nd Qtr'!D4, '3rd Qtr'!D4, '4th Qtr'!D4)</f>
        <v>1041024.007</v>
      </c>
      <c r="E4" s="35">
        <f>IF(AND(ISNUMBER(C4),ISNUMBER(D4)), C4-D4, "")</f>
        <v>-47138.4445000001</v>
      </c>
      <c r="F4" s="36">
        <f>IFERROR(E4/D4, "")</f>
        <v>-4.5280842884538874E-2</v>
      </c>
      <c r="G4" s="37">
        <f>SUM('1st Qtr'!G4, '2nd Qtr'!G4, '3rd Qtr'!G4, '4th Qtr'!G4)</f>
        <v>1118490.6529999999</v>
      </c>
      <c r="H4" s="37">
        <f>SUM('1st Qtr'!H4, '2nd Qtr'!H4, '3rd Qtr'!H4, '4th Qtr'!H4)</f>
        <v>-124605.09050000008</v>
      </c>
      <c r="I4" s="38">
        <f>IFERROR(H4/G4, "")</f>
        <v>-0.11140467751409996</v>
      </c>
    </row>
    <row r="5" spans="1:9" ht="15.75">
      <c r="A5" s="39" t="str">
        <v>Adelanto - 1 Sheep Creek Road</v>
      </c>
      <c r="B5" s="40" t="str">
        <v>CA</v>
      </c>
      <c r="C5" s="41">
        <f>SUM('1st Qtr'!C5, '2nd Qtr'!C5, '3rd Qtr'!C5, '4th Qtr'!C5)</f>
        <v>4899206.1899999995</v>
      </c>
      <c r="D5" s="41">
        <f>SUM('1st Qtr'!D5, '2nd Qtr'!D5, '3rd Qtr'!D5, '4th Qtr'!D5)</f>
        <v>4816941.7300000004</v>
      </c>
      <c r="E5" s="42">
        <f t="shared" ref="E5:E15" si="0">IF(AND(ISNUMBER(C5),ISNUMBER(D5)), C5-D5, "")</f>
        <v>82264.459999999031</v>
      </c>
      <c r="F5" s="43">
        <f>IFERROR(E5/D5, "")</f>
        <v>1.7078151368876745E-2</v>
      </c>
      <c r="G5" s="44">
        <f>SUM('1st Qtr'!G5, '2nd Qtr'!G5, '3rd Qtr'!G5, '4th Qtr'!G5)</f>
        <v>8540324.0800000001</v>
      </c>
      <c r="H5" s="44">
        <f>SUM('1st Qtr'!H5, '2nd Qtr'!H5, '3rd Qtr'!H5, '4th Qtr'!H5)</f>
        <v>-3641117.89</v>
      </c>
      <c r="I5" s="43">
        <f>IFERROR(H5/G5, "")</f>
        <v>-0.4263442295505957</v>
      </c>
    </row>
    <row r="6" spans="1:9" ht="15.75">
      <c r="A6" s="32" t="str">
        <v>Blackstone - 83 Federal Street</v>
      </c>
      <c r="B6" s="33" t="str">
        <v>MA</v>
      </c>
      <c r="C6" s="34">
        <f>SUM('1st Qtr'!C6, '2nd Qtr'!C6, '3rd Qtr'!C6, '4th Qtr'!C6)</f>
        <v>16866769.899999999</v>
      </c>
      <c r="D6" s="35">
        <f>SUM('1st Qtr'!D6, '2nd Qtr'!D6, '3rd Qtr'!D6, '4th Qtr'!D6)</f>
        <v>6898119.4000000004</v>
      </c>
      <c r="E6" s="35">
        <f t="shared" si="0"/>
        <v>9968650.4999999981</v>
      </c>
      <c r="F6" s="36">
        <f t="shared" ref="F6:F15" si="1">IFERROR(E6/D6, "")</f>
        <v>1.4451258266129747</v>
      </c>
      <c r="G6" s="37">
        <f>SUM('1st Qtr'!G6, '2nd Qtr'!G6, '3rd Qtr'!G6, '4th Qtr'!G6)</f>
        <v>7479801.4000000004</v>
      </c>
      <c r="H6" s="37">
        <f>SUM('1st Qtr'!H6, '2nd Qtr'!H6, '3rd Qtr'!H6, '4th Qtr'!H6)</f>
        <v>9386968.5</v>
      </c>
      <c r="I6" s="38">
        <f t="shared" ref="I6:I15" si="2">IFERROR(H6/G6, "")</f>
        <v>1.2549756334439575</v>
      </c>
    </row>
    <row r="7" spans="1:9" ht="15.75">
      <c r="A7" s="39" t="str">
        <v>Charlton - 299 Worcester Road</v>
      </c>
      <c r="B7" s="40" t="str">
        <v>MA</v>
      </c>
      <c r="C7" s="41">
        <f>SUM('1st Qtr'!C7, '2nd Qtr'!C7, '3rd Qtr'!C7, '4th Qtr'!C7)</f>
        <v>565750.5</v>
      </c>
      <c r="D7" s="41">
        <f>SUM('1st Qtr'!D7, '2nd Qtr'!D7, '3rd Qtr'!D7, '4th Qtr'!D7)</f>
        <v>605759.16999999993</v>
      </c>
      <c r="E7" s="42">
        <f t="shared" si="0"/>
        <v>-40008.669999999925</v>
      </c>
      <c r="F7" s="43">
        <f t="shared" si="1"/>
        <v>-6.6047155340628078E-2</v>
      </c>
      <c r="G7" s="44">
        <f>SUM('1st Qtr'!G7, '2nd Qtr'!G7, '3rd Qtr'!G7, '4th Qtr'!G7)</f>
        <v>602029.79999999993</v>
      </c>
      <c r="H7" s="44">
        <f>SUM('1st Qtr'!H7, '2nd Qtr'!H7, '3rd Qtr'!H7, '4th Qtr'!H7)</f>
        <v>-36279.299999999988</v>
      </c>
      <c r="I7" s="43">
        <f t="shared" si="2"/>
        <v>-6.0261634889169927E-2</v>
      </c>
    </row>
    <row r="8" spans="1:9" ht="15.75">
      <c r="A8" s="32" t="str">
        <v>Wareham - 8 Thatcher Drive</v>
      </c>
      <c r="B8" s="33" t="str">
        <v>MA</v>
      </c>
      <c r="C8" s="34">
        <f>SUM('1st Qtr'!C8, '2nd Qtr'!C8, '3rd Qtr'!C8, '4th Qtr'!C8)</f>
        <v>159648.06249999965</v>
      </c>
      <c r="D8" s="35">
        <f>SUM('1st Qtr'!D8, '2nd Qtr'!D8, '3rd Qtr'!D8, '4th Qtr'!D8)</f>
        <v>172190.109</v>
      </c>
      <c r="E8" s="35">
        <f t="shared" si="0"/>
        <v>-12542.046500000346</v>
      </c>
      <c r="F8" s="36">
        <f t="shared" si="1"/>
        <v>-7.2838367853059124E-2</v>
      </c>
      <c r="G8" s="37">
        <f>SUM('1st Qtr'!G8, '2nd Qtr'!G8, '3rd Qtr'!G8, '4th Qtr'!G8)</f>
        <v>173420.83399999997</v>
      </c>
      <c r="H8" s="37">
        <f>SUM('1st Qtr'!H8, '2nd Qtr'!H8, '3rd Qtr'!H8, '4th Qtr'!H8)</f>
        <v>-13772.771500000352</v>
      </c>
      <c r="I8" s="38">
        <f t="shared" si="2"/>
        <v>-7.9418205888690127E-2</v>
      </c>
    </row>
    <row r="9" spans="1:9" ht="15.75">
      <c r="A9" s="39" t="str">
        <v>West Yarmouth - 42 Mid Tech</v>
      </c>
      <c r="B9" s="40" t="str">
        <v>MA</v>
      </c>
      <c r="C9" s="41">
        <f>SUM('1st Qtr'!C9, '2nd Qtr'!C9, '3rd Qtr'!C9, '4th Qtr'!C9)</f>
        <v>141057.89505627227</v>
      </c>
      <c r="D9" s="41">
        <f>SUM('1st Qtr'!D9, '2nd Qtr'!D9, '3rd Qtr'!D9, '4th Qtr'!D9)</f>
        <v>153017.07499999998</v>
      </c>
      <c r="E9" s="42">
        <f t="shared" si="0"/>
        <v>-11959.179943727708</v>
      </c>
      <c r="F9" s="43">
        <f t="shared" si="1"/>
        <v>-7.8155852500302395E-2</v>
      </c>
      <c r="G9" s="44">
        <f>SUM('1st Qtr'!G9, '2nd Qtr'!G9, '3rd Qtr'!G9, '4th Qtr'!G9)</f>
        <v>166567.33800000002</v>
      </c>
      <c r="H9" s="44">
        <f>SUM('1st Qtr'!H9, '2nd Qtr'!H9, '3rd Qtr'!H9, '4th Qtr'!H9)</f>
        <v>-25509.442943727718</v>
      </c>
      <c r="I9" s="43">
        <f t="shared" si="2"/>
        <v>-0.15314792954023024</v>
      </c>
    </row>
    <row r="10" spans="1:9" ht="15.75">
      <c r="A10" s="32" t="str">
        <v>Harrison - 130 Union Street</v>
      </c>
      <c r="B10" s="33" t="str">
        <v>NY</v>
      </c>
      <c r="C10" s="34">
        <f>SUM('1st Qtr'!C10, '2nd Qtr'!C10, '3rd Qtr'!C10, '4th Qtr'!C10)</f>
        <v>229777.63</v>
      </c>
      <c r="D10" s="35">
        <f>SUM('1st Qtr'!D10, '2nd Qtr'!D10, '3rd Qtr'!D10, '4th Qtr'!D10)</f>
        <v>260999.70599999998</v>
      </c>
      <c r="E10" s="35">
        <f t="shared" si="0"/>
        <v>-31222.075999999972</v>
      </c>
      <c r="F10" s="36">
        <f t="shared" si="1"/>
        <v>-0.11962494701047661</v>
      </c>
      <c r="G10" s="37">
        <f>SUM('1st Qtr'!G10, '2nd Qtr'!G10, '3rd Qtr'!G10, '4th Qtr'!G10)</f>
        <v>248460.76</v>
      </c>
      <c r="H10" s="37">
        <f>SUM('1st Qtr'!H10, '2nd Qtr'!H10, '3rd Qtr'!H10, '4th Qtr'!H10)</f>
        <v>-18683.130000000005</v>
      </c>
      <c r="I10" s="38">
        <f t="shared" si="2"/>
        <v>-7.5195495658952366E-2</v>
      </c>
    </row>
    <row r="11" spans="1:9" ht="15.75">
      <c r="A11" s="39" t="str">
        <v>Staten Island - Ellis Storage</v>
      </c>
      <c r="B11" s="40" t="str">
        <v>NY</v>
      </c>
      <c r="C11" s="41">
        <f>SUM('1st Qtr'!C11, '2nd Qtr'!C11, '3rd Qtr'!C11, '4th Qtr'!C11)</f>
        <v>534373.25</v>
      </c>
      <c r="D11" s="41">
        <f>SUM('1st Qtr'!D11, '2nd Qtr'!D11, '3rd Qtr'!D11, '4th Qtr'!D11)</f>
        <v>597150.81000000006</v>
      </c>
      <c r="E11" s="42">
        <f t="shared" si="0"/>
        <v>-62777.560000000056</v>
      </c>
      <c r="F11" s="43">
        <f t="shared" si="1"/>
        <v>-0.10512848504718607</v>
      </c>
      <c r="G11" s="44">
        <f>SUM('1st Qtr'!G11, '2nd Qtr'!G11, '3rd Qtr'!G11, '4th Qtr'!G11)</f>
        <v>569794.73</v>
      </c>
      <c r="H11" s="44">
        <f>SUM('1st Qtr'!H11, '2nd Qtr'!H11, '3rd Qtr'!H11, '4th Qtr'!H11)</f>
        <v>-35421.48000000001</v>
      </c>
      <c r="I11" s="43">
        <f t="shared" si="2"/>
        <v>-6.2165334523188745E-2</v>
      </c>
    </row>
    <row r="12" spans="1:9" ht="15.75">
      <c r="A12" s="32" t="str">
        <v>Amherst - 595 Scholles Road</v>
      </c>
      <c r="B12" s="33" t="str">
        <v>NY</v>
      </c>
      <c r="C12" s="34">
        <f>SUM('1st Qtr'!C12, '2nd Qtr'!C12, '3rd Qtr'!C12, '4th Qtr'!C12)</f>
        <v>7636356</v>
      </c>
      <c r="D12" s="35">
        <f>SUM('1st Qtr'!D12, '2nd Qtr'!D12, '3rd Qtr'!D12, '4th Qtr'!D12)</f>
        <v>7983169.6699999999</v>
      </c>
      <c r="E12" s="35">
        <f t="shared" si="0"/>
        <v>-346813.66999999993</v>
      </c>
      <c r="F12" s="36">
        <f t="shared" si="1"/>
        <v>-4.3443103972009144E-2</v>
      </c>
      <c r="G12" s="37">
        <f>SUM('1st Qtr'!G12, '2nd Qtr'!G12, '3rd Qtr'!G12, '4th Qtr'!G12)</f>
        <v>8959046.4000000004</v>
      </c>
      <c r="H12" s="37">
        <f>SUM('1st Qtr'!H12, '2nd Qtr'!H12, '3rd Qtr'!H12, '4th Qtr'!H12)</f>
        <v>-1322690.3999999999</v>
      </c>
      <c r="I12" s="38">
        <f t="shared" si="2"/>
        <v>-0.14763740926712912</v>
      </c>
    </row>
    <row r="13" spans="1:9" ht="15.75">
      <c r="A13" s="39" t="str">
        <v>Lancaster 1 - Gunnville Road</v>
      </c>
      <c r="B13" s="40" t="str">
        <v>NY</v>
      </c>
      <c r="C13" s="41">
        <f>SUM('1st Qtr'!C13, '2nd Qtr'!C13, '3rd Qtr'!C13, '4th Qtr'!C13)</f>
        <v>5926213</v>
      </c>
      <c r="D13" s="41">
        <f>SUM('1st Qtr'!D13, '2nd Qtr'!D13, '3rd Qtr'!D13, '4th Qtr'!D13)</f>
        <v>6864709.3459999999</v>
      </c>
      <c r="E13" s="42">
        <f t="shared" si="0"/>
        <v>-938496.3459999999</v>
      </c>
      <c r="F13" s="43">
        <f t="shared" si="1"/>
        <v>-0.13671319479051983</v>
      </c>
      <c r="G13" s="44">
        <f>SUM('1st Qtr'!G13, '2nd Qtr'!G13, '3rd Qtr'!G13, '4th Qtr'!G13)</f>
        <v>6822911.8099999996</v>
      </c>
      <c r="H13" s="44">
        <f>SUM('1st Qtr'!H13, '2nd Qtr'!H13, '3rd Qtr'!H13, '4th Qtr'!H13)</f>
        <v>-896698.81</v>
      </c>
      <c r="I13" s="43">
        <f t="shared" si="2"/>
        <v>-0.13142465196248815</v>
      </c>
    </row>
    <row r="14" spans="1:9" ht="15.75">
      <c r="A14" s="32" t="str">
        <v>Lancaster 2 - Shisler Road</v>
      </c>
      <c r="B14" s="33" t="str">
        <v>NY</v>
      </c>
      <c r="C14" s="34">
        <f>SUM('1st Qtr'!C14, '2nd Qtr'!C14, '3rd Qtr'!C14, '4th Qtr'!C14)</f>
        <v>6041058</v>
      </c>
      <c r="D14" s="35">
        <f>SUM('1st Qtr'!D14, '2nd Qtr'!D14, '3rd Qtr'!D14, '4th Qtr'!D14)</f>
        <v>7385986.0240000002</v>
      </c>
      <c r="E14" s="35">
        <f t="shared" si="0"/>
        <v>-1344928.0240000002</v>
      </c>
      <c r="F14" s="36">
        <f t="shared" si="1"/>
        <v>-0.18209187231465038</v>
      </c>
      <c r="G14" s="37">
        <f>SUM('1st Qtr'!G14, '2nd Qtr'!G14, '3rd Qtr'!G14, '4th Qtr'!G14)</f>
        <v>7467031.0800000001</v>
      </c>
      <c r="H14" s="37">
        <f>SUM('1st Qtr'!H14, '2nd Qtr'!H14, '3rd Qtr'!H14, '4th Qtr'!H14)</f>
        <v>-1425973.08</v>
      </c>
      <c r="I14" s="38">
        <f t="shared" si="2"/>
        <v>-0.1909692171791523</v>
      </c>
    </row>
    <row r="15" spans="1:9" ht="15.75">
      <c r="A15" s="39" t="str">
        <v>Fullerton - 200 W Orangethorpe</v>
      </c>
      <c r="B15" s="40" t="str">
        <v>CA</v>
      </c>
      <c r="C15" s="41">
        <f>SUM('1st Qtr'!C15, '2nd Qtr'!C15, '3rd Qtr'!C15, '4th Qtr'!C15)</f>
        <v>1105075.3134999999</v>
      </c>
      <c r="D15" s="41">
        <f>SUM('1st Qtr'!D15, '2nd Qtr'!D15, '3rd Qtr'!D15, '4th Qtr'!D15)</f>
        <v>1154556.6980000001</v>
      </c>
      <c r="E15" s="42">
        <f t="shared" si="0"/>
        <v>-49481.38450000016</v>
      </c>
      <c r="F15" s="43">
        <f t="shared" si="1"/>
        <v>-4.2857474722302599E-2</v>
      </c>
      <c r="G15" s="44">
        <f>SUM('1st Qtr'!G15, '2nd Qtr'!G15, '3rd Qtr'!G15, '4th Qtr'!G15)</f>
        <v>1247717.83</v>
      </c>
      <c r="H15" s="44">
        <f>SUM('1st Qtr'!H15, '2nd Qtr'!H15, '3rd Qtr'!H15, '4th Qtr'!H15)</f>
        <v>-142642.51650000003</v>
      </c>
      <c r="I15" s="43">
        <f t="shared" si="2"/>
        <v>-0.11432273633534597</v>
      </c>
    </row>
    <row r="16" spans="1:9" ht="15.75">
      <c r="A16" s="32" t="str">
        <v>El Paso - 10500 Railroad Drive</v>
      </c>
      <c r="B16" s="33" t="str">
        <v>TX</v>
      </c>
      <c r="C16" s="34">
        <f>SUM('1st Qtr'!C16, '2nd Qtr'!C16, '3rd Qtr'!C16, '4th Qtr'!C16)</f>
        <v>1336401.7500000007</v>
      </c>
      <c r="D16" s="35">
        <f>SUM('1st Qtr'!D16, '2nd Qtr'!D16, '3rd Qtr'!D16, '4th Qtr'!D16)</f>
        <v>1420466.9299999997</v>
      </c>
      <c r="E16" s="35">
        <f t="shared" ref="E16:E20" si="3">IF(AND(ISNUMBER(C16),ISNUMBER(D16)), C16-D16, "")</f>
        <v>-84065.179999999003</v>
      </c>
      <c r="F16" s="36">
        <f t="shared" ref="F16:F20" si="4">IFERROR(E16/D16, "")</f>
        <v>-5.9181370734198664E-2</v>
      </c>
      <c r="G16" s="37">
        <f>SUM('1st Qtr'!G16, '2nd Qtr'!G16, '3rd Qtr'!G16, '4th Qtr'!G16)</f>
        <v>1454530.43</v>
      </c>
      <c r="H16" s="37">
        <f>SUM('1st Qtr'!H16, '2nd Qtr'!H16, '3rd Qtr'!H16, '4th Qtr'!H16)</f>
        <v>-118128.6799999994</v>
      </c>
      <c r="I16" s="38">
        <f t="shared" ref="I16:I20" si="5">IFERROR(H16/G16, "")</f>
        <v>-8.1214306393025681E-2</v>
      </c>
    </row>
    <row r="17" spans="1:9" ht="15.75">
      <c r="A17" s="39" t="str">
        <v>Friona - 900 Millard Ave</v>
      </c>
      <c r="B17" s="40" t="str">
        <v>TX</v>
      </c>
      <c r="C17" s="41">
        <f>SUM('1st Qtr'!C17, '2nd Qtr'!C17, '3rd Qtr'!C17, '4th Qtr'!C17)</f>
        <v>1064577.125</v>
      </c>
      <c r="D17" s="41">
        <f>SUM('1st Qtr'!D17, '2nd Qtr'!D17, '3rd Qtr'!D17, '4th Qtr'!D17)</f>
        <v>1143012.03</v>
      </c>
      <c r="E17" s="42">
        <f t="shared" si="3"/>
        <v>-78434.905000000028</v>
      </c>
      <c r="F17" s="43">
        <f t="shared" si="4"/>
        <v>-6.8621241895415588E-2</v>
      </c>
      <c r="G17" s="44">
        <f>SUM('1st Qtr'!G17, '2nd Qtr'!G17, '3rd Qtr'!G17, '4th Qtr'!G17)</f>
        <v>1237353.03</v>
      </c>
      <c r="H17" s="44">
        <f>SUM('1st Qtr'!H17, '2nd Qtr'!H17, '3rd Qtr'!H17, '4th Qtr'!H17)</f>
        <v>-172775.905</v>
      </c>
      <c r="I17" s="43">
        <f t="shared" si="5"/>
        <v>-0.13963347630869744</v>
      </c>
    </row>
    <row r="18" spans="1:9" ht="15.75">
      <c r="A18" s="32" t="str">
        <v>Augusta - 13 York Farm Road</v>
      </c>
      <c r="B18" s="33" t="str">
        <v>ME</v>
      </c>
      <c r="C18" s="34">
        <f>SUM('1st Qtr'!C18, '2nd Qtr'!C18, '3rd Qtr'!C18, '4th Qtr'!C18)</f>
        <v>397392.1875</v>
      </c>
      <c r="D18" s="35">
        <f>SUM('1st Qtr'!D18, '2nd Qtr'!D18, '3rd Qtr'!D18, '4th Qtr'!D18)</f>
        <v>418000.87</v>
      </c>
      <c r="E18" s="35">
        <f t="shared" si="3"/>
        <v>-20608.682499999995</v>
      </c>
      <c r="F18" s="36">
        <f t="shared" si="4"/>
        <v>-4.9302965565597975E-2</v>
      </c>
      <c r="G18" s="37">
        <f>SUM('1st Qtr'!G18, '2nd Qtr'!G18, '3rd Qtr'!G18, '4th Qtr'!G18)</f>
        <v>408627.19999999995</v>
      </c>
      <c r="H18" s="37">
        <f>SUM('1st Qtr'!H18, '2nd Qtr'!H18, '3rd Qtr'!H18, '4th Qtr'!H18)</f>
        <v>-11235.012499999997</v>
      </c>
      <c r="I18" s="38">
        <f t="shared" si="5"/>
        <v>-2.7494529243280913E-2</v>
      </c>
    </row>
    <row r="19" spans="1:9" ht="15.75">
      <c r="A19" s="39" t="str">
        <v xml:space="preserve">Santa Ana - 1441 West </v>
      </c>
      <c r="B19" s="40" t="str">
        <v>CA</v>
      </c>
      <c r="C19" s="41">
        <f>SUM('1st Qtr'!C19, '2nd Qtr'!C19, '3rd Qtr'!C19, '4th Qtr'!C19)</f>
        <v>158505.46976057219</v>
      </c>
      <c r="D19" s="41">
        <f>SUM('1st Qtr'!D19, '2nd Qtr'!D19, '3rd Qtr'!D19, '4th Qtr'!D19)</f>
        <v>127298.88</v>
      </c>
      <c r="E19" s="42">
        <f t="shared" si="3"/>
        <v>31206.589760572184</v>
      </c>
      <c r="F19" s="43">
        <f t="shared" si="4"/>
        <v>0.24514426018965904</v>
      </c>
      <c r="G19" s="44">
        <f>SUM('1st Qtr'!G19, '2nd Qtr'!G19, '3rd Qtr'!G19, '4th Qtr'!G19)</f>
        <v>188214.61</v>
      </c>
      <c r="H19" s="44">
        <f>SUM('1st Qtr'!H19, '2nd Qtr'!H19, '3rd Qtr'!H19, '4th Qtr'!H19)</f>
        <v>-29709.140239427797</v>
      </c>
      <c r="I19" s="43">
        <f t="shared" si="5"/>
        <v>-0.15784715245765352</v>
      </c>
    </row>
    <row r="20" spans="1:9" ht="15.75">
      <c r="A20" s="32" t="str">
        <v>Jessup -7950 Oceano Ave</v>
      </c>
      <c r="B20" s="33" t="str">
        <v>MD</v>
      </c>
      <c r="C20" s="34">
        <f>SUM('1st Qtr'!C20, '2nd Qtr'!C20, '3rd Qtr'!C20, '4th Qtr'!C20)</f>
        <v>135129.65625</v>
      </c>
      <c r="D20" s="35">
        <f>SUM('1st Qtr'!D20, '2nd Qtr'!D20, '3rd Qtr'!D20, '4th Qtr'!D20)</f>
        <v>143158.70000000001</v>
      </c>
      <c r="E20" s="35">
        <f t="shared" si="3"/>
        <v>-8029.0437500000116</v>
      </c>
      <c r="F20" s="36">
        <f t="shared" si="4"/>
        <v>-5.6084916599550089E-2</v>
      </c>
      <c r="G20" s="37">
        <f>SUM('1st Qtr'!G20, '2nd Qtr'!G20, '3rd Qtr'!G20, '4th Qtr'!G20)</f>
        <v>145550</v>
      </c>
      <c r="H20" s="37">
        <f>SUM('1st Qtr'!H20, '2nd Qtr'!H20, '3rd Qtr'!H20, '4th Qtr'!H20)</f>
        <v>-10420.34375</v>
      </c>
      <c r="I20" s="38">
        <f t="shared" si="5"/>
        <v>-7.1592880453452426E-2</v>
      </c>
    </row>
    <row r="21" spans="1:9" ht="13.15">
      <c r="A21" s="13"/>
      <c r="B21" s="13"/>
      <c r="C21" s="13"/>
      <c r="D21" s="13"/>
      <c r="E21" s="13"/>
      <c r="F21" s="13"/>
      <c r="G21" s="13"/>
      <c r="H21" s="13"/>
      <c r="I21" s="13"/>
    </row>
    <row r="22" spans="1:9" ht="13.15">
      <c r="A22" s="13"/>
      <c r="B22" s="13"/>
      <c r="C22" s="13"/>
      <c r="D22" s="13"/>
      <c r="E22" s="13"/>
      <c r="F22" s="13"/>
      <c r="G22" s="13"/>
      <c r="H22" s="13"/>
      <c r="I22" s="13"/>
    </row>
    <row r="23" spans="1:9" ht="13.15">
      <c r="A23" s="13"/>
      <c r="B23" s="13"/>
      <c r="C23" s="13"/>
      <c r="D23" s="13"/>
      <c r="E23" s="13"/>
      <c r="F23" s="13"/>
      <c r="G23" s="13"/>
      <c r="H23" s="13"/>
      <c r="I23" s="13"/>
    </row>
    <row r="24" spans="1:9" ht="13.15">
      <c r="A24" s="13"/>
      <c r="B24" s="13"/>
      <c r="C24" s="13"/>
      <c r="D24" s="13"/>
      <c r="E24" s="13"/>
      <c r="F24" s="13"/>
      <c r="G24" s="13"/>
      <c r="H24" s="13"/>
      <c r="I24" s="13"/>
    </row>
    <row r="25" spans="1:9" ht="13.15">
      <c r="A25" s="13"/>
      <c r="B25" s="13"/>
      <c r="C25" s="13"/>
      <c r="D25" s="13"/>
      <c r="E25" s="13"/>
      <c r="F25" s="14"/>
      <c r="G25" s="13"/>
      <c r="H25" s="13"/>
      <c r="I25" s="14"/>
    </row>
    <row r="26" spans="1:9" ht="13.15">
      <c r="A26" s="13"/>
      <c r="B26" s="13"/>
      <c r="C26" s="13"/>
      <c r="D26" s="13"/>
      <c r="E26" s="13"/>
      <c r="F26" s="14"/>
      <c r="G26" s="13"/>
      <c r="H26" s="13"/>
      <c r="I26" s="14"/>
    </row>
    <row r="27" spans="1:9" ht="13.15">
      <c r="A27" s="13"/>
      <c r="B27" s="13"/>
      <c r="C27" s="13"/>
      <c r="D27" s="13"/>
      <c r="E27" s="13"/>
      <c r="F27" s="14"/>
      <c r="G27" s="13"/>
      <c r="H27" s="13"/>
      <c r="I27" s="14"/>
    </row>
    <row r="28" spans="1:9" ht="13.15">
      <c r="A28" s="13"/>
      <c r="B28" s="13"/>
      <c r="C28" s="13"/>
      <c r="D28" s="13"/>
      <c r="E28" s="13"/>
      <c r="F28" s="14"/>
      <c r="G28" s="13"/>
      <c r="H28" s="13"/>
      <c r="I28" s="14"/>
    </row>
    <row r="29" spans="1:9" ht="13.15">
      <c r="A29" s="13"/>
      <c r="B29" s="13"/>
      <c r="C29" s="13"/>
      <c r="D29" s="13"/>
      <c r="E29" s="13"/>
      <c r="F29" s="14"/>
      <c r="G29" s="13"/>
      <c r="H29" s="13"/>
      <c r="I29" s="14"/>
    </row>
    <row r="30" spans="1:9" ht="13.15">
      <c r="A30" s="13"/>
      <c r="B30" s="13"/>
      <c r="C30" s="13"/>
      <c r="D30" s="13"/>
      <c r="E30" s="13"/>
      <c r="F30" s="14"/>
      <c r="G30" s="13"/>
      <c r="H30" s="13"/>
      <c r="I30" s="14"/>
    </row>
    <row r="31" spans="1:9" ht="13.15">
      <c r="A31" s="13"/>
      <c r="B31" s="13"/>
      <c r="C31" s="13"/>
      <c r="D31" s="13"/>
      <c r="E31" s="13"/>
      <c r="F31" s="14"/>
      <c r="G31" s="13"/>
      <c r="H31" s="13"/>
      <c r="I31" s="14"/>
    </row>
    <row r="32" spans="1:9" ht="13.15">
      <c r="A32" s="13"/>
      <c r="B32" s="13"/>
      <c r="C32" s="13"/>
      <c r="D32" s="13"/>
      <c r="E32" s="13"/>
      <c r="F32" s="14"/>
      <c r="G32" s="13"/>
      <c r="H32" s="13"/>
      <c r="I32" s="14"/>
    </row>
    <row r="33" spans="1:9" ht="13.15">
      <c r="A33" s="13"/>
      <c r="B33" s="13"/>
      <c r="C33" s="13"/>
      <c r="D33" s="13"/>
      <c r="E33" s="13"/>
      <c r="F33" s="14"/>
      <c r="G33" s="13"/>
      <c r="H33" s="13"/>
      <c r="I33" s="14"/>
    </row>
    <row r="34" spans="1:9" ht="13.15">
      <c r="A34" s="13"/>
      <c r="B34" s="13"/>
      <c r="C34" s="13"/>
      <c r="D34" s="13"/>
      <c r="E34" s="13"/>
      <c r="F34" s="14"/>
      <c r="G34" s="13"/>
      <c r="H34" s="13"/>
      <c r="I34" s="14"/>
    </row>
    <row r="35" spans="1:9" ht="13.15">
      <c r="A35" s="13"/>
      <c r="B35" s="13"/>
      <c r="C35" s="13"/>
      <c r="D35" s="13"/>
      <c r="E35" s="13"/>
      <c r="F35" s="14"/>
      <c r="G35" s="13"/>
      <c r="H35" s="13"/>
      <c r="I35" s="14"/>
    </row>
    <row r="36" spans="1:9" ht="13.15">
      <c r="A36" s="13"/>
      <c r="B36" s="13"/>
      <c r="C36" s="13"/>
      <c r="D36" s="13"/>
      <c r="E36" s="13"/>
      <c r="F36" s="14"/>
      <c r="G36" s="13"/>
      <c r="H36" s="13"/>
      <c r="I36" s="14"/>
    </row>
    <row r="37" spans="1:9" ht="13.15">
      <c r="A37" s="13"/>
      <c r="B37" s="13"/>
      <c r="C37" s="13"/>
      <c r="D37" s="13"/>
      <c r="E37" s="13"/>
      <c r="F37" s="14"/>
      <c r="G37" s="13"/>
      <c r="H37" s="13"/>
      <c r="I37" s="14"/>
    </row>
    <row r="38" spans="1:9" ht="13.15">
      <c r="A38" s="13"/>
      <c r="B38" s="13"/>
      <c r="C38" s="13"/>
      <c r="D38" s="13"/>
      <c r="E38" s="13"/>
      <c r="F38" s="14"/>
      <c r="G38" s="13"/>
      <c r="H38" s="13"/>
      <c r="I38" s="14"/>
    </row>
    <row r="39" spans="1:9" ht="13.15">
      <c r="A39" s="13"/>
      <c r="B39" s="13"/>
      <c r="C39" s="13"/>
      <c r="D39" s="13"/>
      <c r="E39" s="13"/>
      <c r="F39" s="14"/>
      <c r="G39" s="13"/>
      <c r="H39" s="13"/>
      <c r="I39" s="14"/>
    </row>
    <row r="40" spans="1:9" ht="13.15">
      <c r="A40" s="13"/>
      <c r="B40" s="13"/>
      <c r="C40" s="13"/>
      <c r="D40" s="13"/>
      <c r="E40" s="13"/>
      <c r="F40" s="14"/>
      <c r="G40" s="13"/>
      <c r="H40" s="13"/>
      <c r="I40" s="14"/>
    </row>
    <row r="41" spans="1:9" ht="13.15">
      <c r="A41" s="13"/>
      <c r="B41" s="13"/>
      <c r="C41" s="13"/>
      <c r="D41" s="13"/>
      <c r="E41" s="13"/>
      <c r="F41" s="14"/>
      <c r="G41" s="13"/>
      <c r="H41" s="13"/>
      <c r="I41" s="14"/>
    </row>
    <row r="42" spans="1:9" ht="13.15">
      <c r="A42" s="13"/>
      <c r="B42" s="13"/>
      <c r="C42" s="13"/>
      <c r="D42" s="13"/>
      <c r="E42" s="13"/>
      <c r="F42" s="14"/>
      <c r="G42" s="13"/>
      <c r="H42" s="13"/>
      <c r="I42" s="14"/>
    </row>
    <row r="43" spans="1:9" ht="13.15">
      <c r="A43" s="13"/>
      <c r="B43" s="13"/>
      <c r="C43" s="13"/>
      <c r="D43" s="13"/>
      <c r="E43" s="13"/>
      <c r="F43" s="14"/>
      <c r="G43" s="13"/>
      <c r="H43" s="13"/>
      <c r="I43" s="14"/>
    </row>
    <row r="44" spans="1:9" ht="13.15">
      <c r="A44" s="13"/>
      <c r="B44" s="13"/>
      <c r="C44" s="13"/>
      <c r="D44" s="13"/>
      <c r="E44" s="13"/>
      <c r="F44" s="14"/>
      <c r="G44" s="13"/>
      <c r="H44" s="13"/>
      <c r="I44" s="14"/>
    </row>
    <row r="45" spans="1:9" ht="13.15">
      <c r="A45" s="13"/>
      <c r="B45" s="13"/>
      <c r="C45" s="13"/>
      <c r="D45" s="13"/>
      <c r="E45" s="13"/>
      <c r="F45" s="14"/>
      <c r="G45" s="13"/>
      <c r="H45" s="13"/>
      <c r="I45" s="14"/>
    </row>
    <row r="46" spans="1:9" ht="13.15">
      <c r="A46" s="13"/>
      <c r="B46" s="13"/>
      <c r="C46" s="13"/>
      <c r="D46" s="13"/>
      <c r="E46" s="13"/>
      <c r="F46" s="14"/>
      <c r="G46" s="13"/>
      <c r="H46" s="13"/>
      <c r="I46" s="14"/>
    </row>
    <row r="47" spans="1:9" ht="13.15">
      <c r="A47" s="13"/>
      <c r="B47" s="13"/>
      <c r="C47" s="13"/>
      <c r="D47" s="13"/>
      <c r="E47" s="13"/>
      <c r="F47" s="14"/>
      <c r="G47" s="13"/>
      <c r="H47" s="13"/>
      <c r="I47" s="14"/>
    </row>
    <row r="48" spans="1:9" ht="13.15">
      <c r="A48" s="13"/>
      <c r="B48" s="13"/>
      <c r="C48" s="13"/>
      <c r="D48" s="13"/>
      <c r="E48" s="13"/>
      <c r="F48" s="14"/>
      <c r="G48" s="13"/>
      <c r="H48" s="13"/>
      <c r="I48" s="14"/>
    </row>
    <row r="49" spans="1:9" ht="13.15">
      <c r="A49" s="13"/>
      <c r="B49" s="13"/>
      <c r="C49" s="13"/>
      <c r="D49" s="13"/>
      <c r="E49" s="13"/>
      <c r="F49" s="14"/>
      <c r="G49" s="13"/>
      <c r="H49" s="13"/>
      <c r="I49" s="14"/>
    </row>
    <row r="50" spans="1:9" ht="13.15">
      <c r="A50" s="13"/>
      <c r="B50" s="13"/>
      <c r="C50" s="13"/>
      <c r="D50" s="13"/>
      <c r="E50" s="13"/>
      <c r="F50" s="14"/>
      <c r="G50" s="13"/>
      <c r="H50" s="13"/>
      <c r="I50" s="14"/>
    </row>
    <row r="51" spans="1:9" ht="13.15">
      <c r="A51" s="13"/>
      <c r="B51" s="13"/>
      <c r="C51" s="13"/>
      <c r="D51" s="13"/>
      <c r="E51" s="13"/>
      <c r="F51" s="14"/>
      <c r="G51" s="13"/>
      <c r="H51" s="13"/>
      <c r="I51" s="14"/>
    </row>
    <row r="52" spans="1:9" ht="13.15">
      <c r="A52" s="13"/>
      <c r="B52" s="13"/>
      <c r="C52" s="13"/>
      <c r="D52" s="13"/>
      <c r="E52" s="13"/>
      <c r="F52" s="14"/>
      <c r="G52" s="13"/>
      <c r="H52" s="13"/>
      <c r="I52" s="14"/>
    </row>
    <row r="53" spans="1:9" ht="13.15">
      <c r="A53" s="13"/>
      <c r="B53" s="13"/>
      <c r="C53" s="13"/>
      <c r="D53" s="13"/>
      <c r="E53" s="13"/>
      <c r="F53" s="14"/>
      <c r="G53" s="13"/>
      <c r="H53" s="13"/>
      <c r="I53" s="14"/>
    </row>
    <row r="54" spans="1:9" ht="13.15">
      <c r="A54" s="13"/>
      <c r="B54" s="13"/>
      <c r="C54" s="13"/>
      <c r="D54" s="13"/>
      <c r="E54" s="13"/>
      <c r="F54" s="14"/>
      <c r="G54" s="13"/>
      <c r="H54" s="13"/>
      <c r="I54" s="14"/>
    </row>
    <row r="55" spans="1:9" ht="13.15">
      <c r="A55" s="13"/>
      <c r="B55" s="13"/>
      <c r="C55" s="13"/>
      <c r="D55" s="13"/>
      <c r="E55" s="13"/>
      <c r="F55" s="14"/>
      <c r="G55" s="13"/>
      <c r="H55" s="13"/>
      <c r="I55" s="14"/>
    </row>
    <row r="56" spans="1:9" ht="13.15">
      <c r="A56" s="13"/>
      <c r="B56" s="13"/>
      <c r="C56" s="13"/>
      <c r="D56" s="13"/>
      <c r="E56" s="13"/>
      <c r="F56" s="14"/>
      <c r="G56" s="13"/>
      <c r="H56" s="13"/>
      <c r="I56" s="14"/>
    </row>
    <row r="57" spans="1:9" ht="13.15">
      <c r="A57" s="13"/>
      <c r="B57" s="13"/>
      <c r="C57" s="13"/>
      <c r="D57" s="13"/>
      <c r="E57" s="13"/>
      <c r="F57" s="14"/>
      <c r="G57" s="13"/>
      <c r="H57" s="13"/>
      <c r="I57" s="14"/>
    </row>
    <row r="58" spans="1:9" ht="13.15">
      <c r="A58" s="13"/>
      <c r="B58" s="13"/>
      <c r="C58" s="13"/>
      <c r="D58" s="13"/>
      <c r="E58" s="13"/>
      <c r="F58" s="14"/>
      <c r="G58" s="13"/>
      <c r="H58" s="13"/>
      <c r="I58" s="14"/>
    </row>
    <row r="59" spans="1:9" ht="13.15">
      <c r="A59" s="13"/>
      <c r="B59" s="13"/>
      <c r="C59" s="13"/>
      <c r="D59" s="13"/>
      <c r="E59" s="13"/>
      <c r="F59" s="14"/>
      <c r="G59" s="13"/>
      <c r="H59" s="13"/>
      <c r="I59" s="14"/>
    </row>
    <row r="60" spans="1:9" ht="13.15">
      <c r="A60" s="13"/>
      <c r="B60" s="13"/>
      <c r="C60" s="13"/>
      <c r="D60" s="13"/>
      <c r="E60" s="13"/>
      <c r="F60" s="14"/>
      <c r="G60" s="13"/>
      <c r="H60" s="13"/>
      <c r="I60" s="14"/>
    </row>
    <row r="61" spans="1:9" ht="13.15">
      <c r="A61" s="13"/>
      <c r="B61" s="13"/>
      <c r="C61" s="13"/>
      <c r="D61" s="13"/>
      <c r="E61" s="13"/>
      <c r="F61" s="14"/>
      <c r="G61" s="13"/>
      <c r="H61" s="13"/>
      <c r="I61" s="14"/>
    </row>
    <row r="62" spans="1:9" ht="13.15">
      <c r="A62" s="13"/>
      <c r="B62" s="13"/>
      <c r="C62" s="13"/>
      <c r="D62" s="13"/>
      <c r="E62" s="13"/>
      <c r="F62" s="14"/>
      <c r="G62" s="13"/>
      <c r="H62" s="13"/>
      <c r="I62" s="14"/>
    </row>
    <row r="63" spans="1:9" ht="13.15">
      <c r="A63" s="13"/>
      <c r="B63" s="13"/>
      <c r="C63" s="13"/>
      <c r="D63" s="13"/>
      <c r="E63" s="13"/>
      <c r="F63" s="14"/>
      <c r="G63" s="13"/>
      <c r="H63" s="13"/>
      <c r="I63" s="14"/>
    </row>
    <row r="64" spans="1:9" ht="13.15">
      <c r="A64" s="13"/>
      <c r="B64" s="13"/>
      <c r="C64" s="13"/>
      <c r="D64" s="13"/>
      <c r="E64" s="13"/>
      <c r="F64" s="14"/>
      <c r="G64" s="13"/>
      <c r="H64" s="13"/>
      <c r="I64" s="14"/>
    </row>
    <row r="65" spans="1:9" ht="13.15">
      <c r="A65" s="13"/>
      <c r="B65" s="13"/>
      <c r="C65" s="13"/>
      <c r="D65" s="13"/>
      <c r="E65" s="13"/>
      <c r="F65" s="14"/>
      <c r="G65" s="13"/>
      <c r="H65" s="13"/>
      <c r="I65" s="14"/>
    </row>
    <row r="66" spans="1:9" ht="13.15">
      <c r="A66" s="13"/>
      <c r="B66" s="13"/>
      <c r="C66" s="13"/>
      <c r="D66" s="13"/>
      <c r="E66" s="13"/>
      <c r="F66" s="14"/>
      <c r="G66" s="13"/>
      <c r="H66" s="13"/>
      <c r="I66" s="14"/>
    </row>
    <row r="67" spans="1:9" ht="13.15">
      <c r="A67" s="13"/>
      <c r="B67" s="13"/>
      <c r="C67" s="13"/>
      <c r="D67" s="13"/>
      <c r="E67" s="13"/>
      <c r="F67" s="14"/>
      <c r="G67" s="13"/>
      <c r="H67" s="13"/>
      <c r="I67" s="14"/>
    </row>
    <row r="68" spans="1:9" ht="13.15">
      <c r="A68" s="13"/>
      <c r="B68" s="13"/>
      <c r="C68" s="13"/>
      <c r="D68" s="13"/>
      <c r="E68" s="13"/>
      <c r="F68" s="14"/>
      <c r="G68" s="13"/>
      <c r="H68" s="13"/>
      <c r="I68" s="14"/>
    </row>
    <row r="69" spans="1:9" ht="13.15">
      <c r="A69" s="13"/>
      <c r="B69" s="13"/>
      <c r="C69" s="13"/>
      <c r="D69" s="13"/>
      <c r="E69" s="13"/>
      <c r="F69" s="14"/>
      <c r="G69" s="13"/>
      <c r="H69" s="13"/>
      <c r="I69" s="14"/>
    </row>
    <row r="70" spans="1:9" ht="13.15">
      <c r="A70" s="13"/>
      <c r="B70" s="13"/>
      <c r="C70" s="13"/>
      <c r="D70" s="13"/>
      <c r="E70" s="13"/>
      <c r="F70" s="14"/>
      <c r="G70" s="13"/>
      <c r="H70" s="13"/>
      <c r="I70" s="14"/>
    </row>
    <row r="71" spans="1:9" ht="13.15">
      <c r="A71" s="13"/>
      <c r="B71" s="13"/>
      <c r="C71" s="13"/>
      <c r="D71" s="13"/>
      <c r="E71" s="13"/>
      <c r="F71" s="14"/>
      <c r="G71" s="13"/>
      <c r="H71" s="13"/>
      <c r="I71" s="14"/>
    </row>
    <row r="72" spans="1:9" ht="13.15">
      <c r="A72" s="13"/>
      <c r="B72" s="13"/>
      <c r="C72" s="13"/>
      <c r="D72" s="13"/>
      <c r="E72" s="13"/>
      <c r="F72" s="14"/>
      <c r="G72" s="13"/>
      <c r="H72" s="13"/>
      <c r="I72" s="14"/>
    </row>
    <row r="73" spans="1:9" ht="13.15">
      <c r="A73" s="13"/>
      <c r="B73" s="13"/>
      <c r="C73" s="13"/>
      <c r="D73" s="13"/>
      <c r="E73" s="13"/>
      <c r="F73" s="14"/>
      <c r="G73" s="13"/>
      <c r="H73" s="13"/>
      <c r="I73" s="14"/>
    </row>
    <row r="74" spans="1:9" ht="13.15">
      <c r="A74" s="13"/>
      <c r="B74" s="13"/>
      <c r="C74" s="13"/>
      <c r="D74" s="13"/>
      <c r="E74" s="13"/>
      <c r="F74" s="14"/>
      <c r="G74" s="13"/>
      <c r="H74" s="13"/>
      <c r="I74" s="14"/>
    </row>
    <row r="75" spans="1:9" ht="13.15">
      <c r="A75" s="13"/>
      <c r="B75" s="13"/>
      <c r="C75" s="13"/>
      <c r="D75" s="13"/>
      <c r="E75" s="13"/>
      <c r="F75" s="14"/>
      <c r="G75" s="13"/>
      <c r="H75" s="13"/>
      <c r="I75" s="14"/>
    </row>
    <row r="76" spans="1:9" ht="13.15">
      <c r="A76" s="13"/>
      <c r="B76" s="13"/>
      <c r="C76" s="13"/>
      <c r="D76" s="13"/>
      <c r="E76" s="13"/>
      <c r="F76" s="14"/>
      <c r="G76" s="13"/>
      <c r="H76" s="13"/>
      <c r="I76" s="14"/>
    </row>
    <row r="77" spans="1:9" ht="13.15">
      <c r="A77" s="13"/>
      <c r="B77" s="13"/>
      <c r="C77" s="13"/>
      <c r="D77" s="13"/>
      <c r="E77" s="13"/>
      <c r="F77" s="14"/>
      <c r="G77" s="13"/>
      <c r="H77" s="13"/>
      <c r="I77" s="14"/>
    </row>
    <row r="78" spans="1:9" ht="13.15">
      <c r="A78" s="13"/>
      <c r="B78" s="13"/>
      <c r="C78" s="13"/>
      <c r="D78" s="13"/>
      <c r="E78" s="13"/>
      <c r="F78" s="14"/>
      <c r="G78" s="13"/>
      <c r="H78" s="13"/>
      <c r="I78" s="14"/>
    </row>
    <row r="79" spans="1:9" ht="13.15">
      <c r="A79" s="13"/>
      <c r="B79" s="13"/>
      <c r="C79" s="13"/>
      <c r="D79" s="13"/>
      <c r="E79" s="13"/>
      <c r="F79" s="14"/>
      <c r="G79" s="13"/>
      <c r="H79" s="13"/>
      <c r="I79" s="14"/>
    </row>
    <row r="80" spans="1:9" ht="13.15">
      <c r="A80" s="13"/>
      <c r="B80" s="13"/>
      <c r="C80" s="13"/>
      <c r="D80" s="13"/>
      <c r="E80" s="13"/>
      <c r="F80" s="14"/>
      <c r="G80" s="13"/>
      <c r="H80" s="13"/>
      <c r="I80" s="14"/>
    </row>
    <row r="81" spans="1:9" ht="13.15">
      <c r="A81" s="13"/>
      <c r="B81" s="13"/>
      <c r="C81" s="13"/>
      <c r="D81" s="13"/>
      <c r="E81" s="13"/>
      <c r="F81" s="14"/>
      <c r="G81" s="13"/>
      <c r="H81" s="13"/>
      <c r="I81" s="14"/>
    </row>
    <row r="82" spans="1:9" ht="13.15">
      <c r="A82" s="13"/>
      <c r="B82" s="13"/>
      <c r="C82" s="13"/>
      <c r="D82" s="13"/>
      <c r="E82" s="13"/>
      <c r="F82" s="14"/>
      <c r="G82" s="13"/>
      <c r="H82" s="13"/>
      <c r="I82" s="14"/>
    </row>
    <row r="83" spans="1:9" ht="13.15">
      <c r="A83" s="13"/>
      <c r="B83" s="13"/>
      <c r="C83" s="13"/>
      <c r="D83" s="13"/>
      <c r="E83" s="13"/>
      <c r="F83" s="14"/>
      <c r="G83" s="13"/>
      <c r="H83" s="13"/>
      <c r="I83" s="14"/>
    </row>
    <row r="84" spans="1:9" ht="13.15">
      <c r="A84" s="13"/>
      <c r="B84" s="13"/>
      <c r="C84" s="13"/>
      <c r="D84" s="13"/>
      <c r="E84" s="13"/>
      <c r="F84" s="14"/>
      <c r="G84" s="13"/>
      <c r="H84" s="13"/>
      <c r="I84" s="14"/>
    </row>
    <row r="85" spans="1:9" ht="13.15">
      <c r="A85" s="13"/>
      <c r="B85" s="13"/>
      <c r="C85" s="13"/>
      <c r="D85" s="13"/>
      <c r="E85" s="13"/>
      <c r="F85" s="14"/>
      <c r="G85" s="13"/>
      <c r="H85" s="13"/>
      <c r="I85" s="14"/>
    </row>
    <row r="86" spans="1:9" ht="13.15">
      <c r="A86" s="13"/>
      <c r="B86" s="13"/>
      <c r="C86" s="13"/>
      <c r="D86" s="13"/>
      <c r="E86" s="13"/>
      <c r="F86" s="14"/>
      <c r="G86" s="13"/>
      <c r="H86" s="13"/>
      <c r="I86" s="14"/>
    </row>
    <row r="87" spans="1:9" ht="13.15">
      <c r="A87" s="13"/>
      <c r="B87" s="13"/>
      <c r="C87" s="13"/>
      <c r="D87" s="13"/>
      <c r="E87" s="13"/>
      <c r="F87" s="14"/>
      <c r="G87" s="13"/>
      <c r="H87" s="13"/>
      <c r="I87" s="14"/>
    </row>
    <row r="88" spans="1:9" ht="13.15">
      <c r="A88" s="13"/>
      <c r="B88" s="13"/>
      <c r="C88" s="13"/>
      <c r="D88" s="13"/>
      <c r="E88" s="13"/>
      <c r="F88" s="14"/>
      <c r="G88" s="13"/>
      <c r="H88" s="13"/>
      <c r="I88" s="14"/>
    </row>
    <row r="89" spans="1:9" ht="13.15">
      <c r="A89" s="13"/>
      <c r="B89" s="13"/>
      <c r="C89" s="13"/>
      <c r="D89" s="13"/>
      <c r="E89" s="13"/>
      <c r="F89" s="14"/>
      <c r="G89" s="13"/>
      <c r="H89" s="13"/>
      <c r="I89" s="14"/>
    </row>
    <row r="90" spans="1:9" ht="13.15">
      <c r="A90" s="13"/>
      <c r="B90" s="13"/>
      <c r="C90" s="13"/>
      <c r="D90" s="13"/>
      <c r="E90" s="13"/>
      <c r="F90" s="14"/>
      <c r="G90" s="13"/>
      <c r="H90" s="13"/>
      <c r="I90" s="14"/>
    </row>
    <row r="91" spans="1:9" ht="13.15">
      <c r="A91" s="13"/>
      <c r="B91" s="13"/>
      <c r="C91" s="13"/>
      <c r="D91" s="13"/>
      <c r="E91" s="13"/>
      <c r="F91" s="14"/>
      <c r="G91" s="13"/>
      <c r="H91" s="13"/>
      <c r="I91" s="14"/>
    </row>
    <row r="92" spans="1:9" ht="13.15">
      <c r="A92" s="13"/>
      <c r="B92" s="13"/>
      <c r="C92" s="13"/>
      <c r="D92" s="13"/>
      <c r="E92" s="13"/>
      <c r="F92" s="14"/>
      <c r="G92" s="13"/>
      <c r="H92" s="13"/>
      <c r="I92" s="14"/>
    </row>
    <row r="93" spans="1:9" ht="13.15">
      <c r="A93" s="13"/>
      <c r="B93" s="13"/>
      <c r="C93" s="13"/>
      <c r="D93" s="13"/>
      <c r="E93" s="13"/>
      <c r="F93" s="14"/>
      <c r="G93" s="13"/>
      <c r="H93" s="13"/>
      <c r="I93" s="14"/>
    </row>
    <row r="94" spans="1:9" ht="13.15">
      <c r="A94" s="13"/>
      <c r="B94" s="13"/>
      <c r="C94" s="13"/>
      <c r="D94" s="13"/>
      <c r="E94" s="13"/>
      <c r="F94" s="14"/>
      <c r="G94" s="13"/>
      <c r="H94" s="13"/>
      <c r="I94" s="14"/>
    </row>
    <row r="95" spans="1:9" ht="13.15">
      <c r="A95" s="13"/>
      <c r="B95" s="13"/>
      <c r="C95" s="13"/>
      <c r="D95" s="13"/>
      <c r="E95" s="13"/>
      <c r="F95" s="14"/>
      <c r="G95" s="13"/>
      <c r="H95" s="13"/>
      <c r="I95" s="14"/>
    </row>
    <row r="96" spans="1:9" ht="13.15">
      <c r="A96" s="13"/>
      <c r="B96" s="13"/>
      <c r="C96" s="13"/>
      <c r="D96" s="13"/>
      <c r="E96" s="13"/>
      <c r="F96" s="14"/>
      <c r="G96" s="13"/>
      <c r="H96" s="13"/>
      <c r="I96" s="14"/>
    </row>
    <row r="97" spans="1:9" ht="13.15">
      <c r="A97" s="13"/>
      <c r="B97" s="13"/>
      <c r="C97" s="13"/>
      <c r="D97" s="13"/>
      <c r="E97" s="13"/>
      <c r="F97" s="14"/>
      <c r="G97" s="13"/>
      <c r="H97" s="13"/>
      <c r="I97" s="14"/>
    </row>
    <row r="98" spans="1:9" ht="13.15">
      <c r="A98" s="13"/>
      <c r="B98" s="13"/>
      <c r="C98" s="13"/>
      <c r="D98" s="13"/>
      <c r="E98" s="13"/>
      <c r="F98" s="14"/>
      <c r="G98" s="13"/>
      <c r="H98" s="13"/>
      <c r="I98" s="14"/>
    </row>
    <row r="99" spans="1:9" ht="13.15">
      <c r="A99" s="13"/>
      <c r="B99" s="13"/>
      <c r="C99" s="13"/>
      <c r="D99" s="13"/>
      <c r="E99" s="13"/>
      <c r="F99" s="14"/>
      <c r="G99" s="13"/>
      <c r="H99" s="13"/>
      <c r="I99" s="14"/>
    </row>
    <row r="100" spans="1:9" ht="13.15">
      <c r="A100" s="13"/>
      <c r="B100" s="13"/>
      <c r="C100" s="13"/>
      <c r="D100" s="13"/>
      <c r="E100" s="13"/>
      <c r="F100" s="14"/>
      <c r="G100" s="13"/>
      <c r="H100" s="13"/>
      <c r="I100" s="14"/>
    </row>
    <row r="101" spans="1:9" ht="13.15">
      <c r="A101" s="13"/>
      <c r="B101" s="13"/>
      <c r="C101" s="13"/>
      <c r="D101" s="13"/>
      <c r="E101" s="13"/>
      <c r="F101" s="14"/>
      <c r="G101" s="13"/>
      <c r="H101" s="13"/>
      <c r="I101" s="14"/>
    </row>
    <row r="102" spans="1:9" ht="13.15">
      <c r="A102" s="13"/>
      <c r="B102" s="13"/>
      <c r="C102" s="13"/>
      <c r="D102" s="13"/>
      <c r="E102" s="13"/>
      <c r="F102" s="14"/>
      <c r="G102" s="13"/>
      <c r="H102" s="13"/>
      <c r="I102" s="14"/>
    </row>
    <row r="103" spans="1:9" ht="13.15">
      <c r="A103" s="13"/>
      <c r="B103" s="13"/>
      <c r="C103" s="13"/>
      <c r="D103" s="13"/>
      <c r="E103" s="13"/>
      <c r="F103" s="14"/>
      <c r="G103" s="13"/>
      <c r="H103" s="13"/>
      <c r="I103" s="14"/>
    </row>
    <row r="104" spans="1:9" ht="13.15">
      <c r="A104" s="13"/>
      <c r="B104" s="13"/>
      <c r="C104" s="13"/>
      <c r="D104" s="13"/>
      <c r="E104" s="13"/>
      <c r="F104" s="14"/>
      <c r="G104" s="13"/>
      <c r="H104" s="13"/>
      <c r="I104" s="14"/>
    </row>
    <row r="105" spans="1:9" ht="13.15">
      <c r="A105" s="13"/>
      <c r="B105" s="13"/>
      <c r="C105" s="13"/>
      <c r="D105" s="13"/>
      <c r="E105" s="13"/>
      <c r="F105" s="14"/>
      <c r="G105" s="13"/>
      <c r="H105" s="13"/>
      <c r="I105" s="14"/>
    </row>
    <row r="106" spans="1:9" ht="13.15">
      <c r="A106" s="13"/>
      <c r="B106" s="13"/>
      <c r="C106" s="13"/>
      <c r="D106" s="13"/>
      <c r="E106" s="13"/>
      <c r="F106" s="14"/>
      <c r="G106" s="13"/>
      <c r="H106" s="13"/>
      <c r="I106" s="14"/>
    </row>
    <row r="107" spans="1:9" ht="13.15">
      <c r="A107" s="13"/>
      <c r="B107" s="13"/>
      <c r="C107" s="13"/>
      <c r="D107" s="13"/>
      <c r="E107" s="13"/>
      <c r="F107" s="14"/>
      <c r="G107" s="13"/>
      <c r="H107" s="13"/>
      <c r="I107" s="14"/>
    </row>
    <row r="108" spans="1:9" ht="13.15">
      <c r="A108" s="13"/>
      <c r="B108" s="13"/>
      <c r="C108" s="13"/>
      <c r="D108" s="13"/>
      <c r="E108" s="13"/>
      <c r="F108" s="14"/>
      <c r="G108" s="13"/>
      <c r="H108" s="13"/>
      <c r="I108" s="14"/>
    </row>
    <row r="109" spans="1:9" ht="13.15">
      <c r="A109" s="13"/>
      <c r="B109" s="13"/>
      <c r="C109" s="13"/>
      <c r="D109" s="13"/>
      <c r="E109" s="13"/>
      <c r="F109" s="14"/>
      <c r="G109" s="13"/>
      <c r="H109" s="13"/>
      <c r="I109" s="14"/>
    </row>
    <row r="110" spans="1:9" ht="13.15">
      <c r="A110" s="13"/>
      <c r="B110" s="13"/>
      <c r="C110" s="13"/>
      <c r="D110" s="13"/>
      <c r="E110" s="13"/>
      <c r="F110" s="14"/>
      <c r="G110" s="13"/>
      <c r="H110" s="13"/>
      <c r="I110" s="14"/>
    </row>
    <row r="111" spans="1:9" ht="13.15">
      <c r="A111" s="13"/>
      <c r="B111" s="13"/>
      <c r="C111" s="13"/>
      <c r="D111" s="13"/>
      <c r="E111" s="13"/>
      <c r="F111" s="14"/>
      <c r="G111" s="13"/>
      <c r="H111" s="13"/>
      <c r="I111" s="14"/>
    </row>
    <row r="112" spans="1:9" ht="13.15">
      <c r="A112" s="13"/>
      <c r="B112" s="13"/>
      <c r="C112" s="13"/>
      <c r="D112" s="13"/>
      <c r="E112" s="13"/>
      <c r="F112" s="14"/>
      <c r="G112" s="13"/>
      <c r="H112" s="13"/>
      <c r="I112" s="14"/>
    </row>
    <row r="113" spans="1:9" ht="13.15">
      <c r="A113" s="13"/>
      <c r="B113" s="13"/>
      <c r="C113" s="13"/>
      <c r="D113" s="13"/>
      <c r="E113" s="13"/>
      <c r="F113" s="14"/>
      <c r="G113" s="13"/>
      <c r="H113" s="13"/>
      <c r="I113" s="14"/>
    </row>
    <row r="114" spans="1:9" ht="13.15">
      <c r="A114" s="13"/>
      <c r="B114" s="13"/>
      <c r="C114" s="13"/>
      <c r="D114" s="13"/>
      <c r="E114" s="13"/>
      <c r="F114" s="14"/>
      <c r="G114" s="13"/>
      <c r="H114" s="13"/>
      <c r="I114" s="14"/>
    </row>
    <row r="115" spans="1:9" ht="13.15">
      <c r="A115" s="13"/>
      <c r="B115" s="13"/>
      <c r="C115" s="13"/>
      <c r="D115" s="13"/>
      <c r="E115" s="13"/>
      <c r="F115" s="14"/>
      <c r="G115" s="13"/>
      <c r="H115" s="13"/>
      <c r="I115" s="14"/>
    </row>
    <row r="116" spans="1:9" ht="13.15">
      <c r="A116" s="13"/>
      <c r="B116" s="13"/>
      <c r="C116" s="13"/>
      <c r="D116" s="13"/>
      <c r="E116" s="13"/>
      <c r="F116" s="14"/>
      <c r="G116" s="13"/>
      <c r="H116" s="13"/>
      <c r="I116" s="14"/>
    </row>
    <row r="117" spans="1:9" ht="13.15">
      <c r="A117" s="13"/>
      <c r="B117" s="13"/>
      <c r="C117" s="13"/>
      <c r="D117" s="13"/>
      <c r="E117" s="13"/>
      <c r="F117" s="14"/>
      <c r="G117" s="13"/>
      <c r="H117" s="13"/>
      <c r="I117" s="14"/>
    </row>
    <row r="118" spans="1:9" ht="13.15">
      <c r="A118" s="13"/>
      <c r="B118" s="13"/>
      <c r="C118" s="13"/>
      <c r="D118" s="13"/>
      <c r="E118" s="13"/>
      <c r="F118" s="14"/>
      <c r="G118" s="13"/>
      <c r="H118" s="13"/>
      <c r="I118" s="14"/>
    </row>
    <row r="119" spans="1:9" ht="13.15">
      <c r="A119" s="13"/>
      <c r="B119" s="13"/>
      <c r="C119" s="13"/>
      <c r="D119" s="13"/>
      <c r="E119" s="13"/>
      <c r="F119" s="14"/>
      <c r="G119" s="13"/>
      <c r="H119" s="13"/>
      <c r="I119" s="14"/>
    </row>
    <row r="120" spans="1:9" ht="13.15">
      <c r="A120" s="13"/>
      <c r="B120" s="13"/>
      <c r="C120" s="13"/>
      <c r="D120" s="13"/>
      <c r="E120" s="13"/>
      <c r="F120" s="14"/>
      <c r="G120" s="13"/>
      <c r="H120" s="13"/>
      <c r="I120" s="14"/>
    </row>
    <row r="121" spans="1:9" ht="13.15">
      <c r="A121" s="13"/>
      <c r="B121" s="13"/>
      <c r="C121" s="13"/>
      <c r="D121" s="13"/>
      <c r="E121" s="13"/>
      <c r="F121" s="14"/>
      <c r="G121" s="13"/>
      <c r="H121" s="13"/>
      <c r="I121" s="14"/>
    </row>
    <row r="122" spans="1:9" ht="13.15">
      <c r="A122" s="13"/>
      <c r="B122" s="13"/>
      <c r="C122" s="13"/>
      <c r="D122" s="13"/>
      <c r="E122" s="13"/>
      <c r="F122" s="14"/>
      <c r="G122" s="13"/>
      <c r="H122" s="13"/>
      <c r="I122" s="14"/>
    </row>
    <row r="123" spans="1:9" ht="13.15">
      <c r="A123" s="13"/>
      <c r="B123" s="13"/>
      <c r="C123" s="13"/>
      <c r="D123" s="13"/>
      <c r="E123" s="13"/>
      <c r="F123" s="14"/>
      <c r="G123" s="13"/>
      <c r="H123" s="13"/>
      <c r="I123" s="14"/>
    </row>
    <row r="124" spans="1:9" ht="13.15">
      <c r="A124" s="13"/>
      <c r="B124" s="13"/>
      <c r="C124" s="13"/>
      <c r="D124" s="13"/>
      <c r="E124" s="13"/>
      <c r="F124" s="14"/>
      <c r="G124" s="13"/>
      <c r="H124" s="13"/>
      <c r="I124" s="14"/>
    </row>
    <row r="125" spans="1:9" ht="13.15">
      <c r="A125" s="13"/>
      <c r="B125" s="13"/>
      <c r="C125" s="13"/>
      <c r="D125" s="13"/>
      <c r="E125" s="13"/>
      <c r="F125" s="14"/>
      <c r="G125" s="13"/>
      <c r="H125" s="13"/>
      <c r="I125" s="14"/>
    </row>
    <row r="126" spans="1:9" ht="13.15">
      <c r="A126" s="13"/>
      <c r="B126" s="13"/>
      <c r="C126" s="13"/>
      <c r="D126" s="13"/>
      <c r="E126" s="13"/>
      <c r="F126" s="14"/>
      <c r="G126" s="13"/>
      <c r="H126" s="13"/>
      <c r="I126" s="14"/>
    </row>
    <row r="127" spans="1:9" ht="13.15">
      <c r="A127" s="13"/>
      <c r="B127" s="13"/>
      <c r="C127" s="13"/>
      <c r="D127" s="13"/>
      <c r="E127" s="13"/>
      <c r="F127" s="14"/>
      <c r="G127" s="13"/>
      <c r="H127" s="13"/>
      <c r="I127" s="14"/>
    </row>
    <row r="128" spans="1:9" ht="13.15">
      <c r="A128" s="13"/>
      <c r="B128" s="13"/>
      <c r="C128" s="13"/>
      <c r="D128" s="13"/>
      <c r="E128" s="13"/>
      <c r="F128" s="14"/>
      <c r="G128" s="13"/>
      <c r="H128" s="13"/>
      <c r="I128" s="14"/>
    </row>
    <row r="129" spans="1:9" ht="13.15">
      <c r="A129" s="13"/>
      <c r="B129" s="13"/>
      <c r="C129" s="13"/>
      <c r="D129" s="13"/>
      <c r="E129" s="13"/>
      <c r="F129" s="14"/>
      <c r="G129" s="13"/>
      <c r="H129" s="13"/>
      <c r="I129" s="14"/>
    </row>
    <row r="130" spans="1:9" ht="13.15">
      <c r="A130" s="13"/>
      <c r="B130" s="13"/>
      <c r="C130" s="13"/>
      <c r="D130" s="13"/>
      <c r="E130" s="13"/>
      <c r="F130" s="14"/>
      <c r="G130" s="13"/>
      <c r="H130" s="13"/>
      <c r="I130" s="14"/>
    </row>
    <row r="131" spans="1:9" ht="13.15">
      <c r="A131" s="13"/>
      <c r="B131" s="13"/>
      <c r="C131" s="13"/>
      <c r="D131" s="13"/>
      <c r="E131" s="13"/>
      <c r="F131" s="14"/>
      <c r="G131" s="13"/>
      <c r="H131" s="13"/>
      <c r="I131" s="14"/>
    </row>
    <row r="132" spans="1:9" ht="13.15">
      <c r="A132" s="13"/>
      <c r="B132" s="13"/>
      <c r="C132" s="13"/>
      <c r="D132" s="13"/>
      <c r="E132" s="13"/>
      <c r="F132" s="14"/>
      <c r="G132" s="13"/>
      <c r="H132" s="13"/>
      <c r="I132" s="14"/>
    </row>
    <row r="133" spans="1:9" ht="13.15">
      <c r="A133" s="13"/>
      <c r="B133" s="13"/>
      <c r="C133" s="13"/>
      <c r="D133" s="13"/>
      <c r="E133" s="13"/>
      <c r="F133" s="14"/>
      <c r="G133" s="13"/>
      <c r="H133" s="13"/>
      <c r="I133" s="14"/>
    </row>
    <row r="134" spans="1:9" ht="13.15">
      <c r="A134" s="13"/>
      <c r="B134" s="13"/>
      <c r="C134" s="13"/>
      <c r="D134" s="13"/>
      <c r="E134" s="13"/>
      <c r="F134" s="14"/>
      <c r="G134" s="13"/>
      <c r="H134" s="13"/>
      <c r="I134" s="14"/>
    </row>
    <row r="135" spans="1:9" ht="13.15">
      <c r="A135" s="13"/>
      <c r="B135" s="13"/>
      <c r="C135" s="13"/>
      <c r="D135" s="13"/>
      <c r="E135" s="13"/>
      <c r="F135" s="14"/>
      <c r="G135" s="13"/>
      <c r="H135" s="13"/>
      <c r="I135" s="14"/>
    </row>
    <row r="136" spans="1:9" ht="13.15">
      <c r="A136" s="13"/>
      <c r="B136" s="13"/>
      <c r="C136" s="13"/>
      <c r="D136" s="13"/>
      <c r="E136" s="13"/>
      <c r="F136" s="14"/>
      <c r="G136" s="13"/>
      <c r="H136" s="13"/>
      <c r="I136" s="14"/>
    </row>
    <row r="137" spans="1:9" ht="13.15">
      <c r="A137" s="13"/>
      <c r="B137" s="13"/>
      <c r="C137" s="13"/>
      <c r="D137" s="13"/>
      <c r="E137" s="13"/>
      <c r="F137" s="14"/>
      <c r="G137" s="13"/>
      <c r="H137" s="13"/>
      <c r="I137" s="14"/>
    </row>
    <row r="138" spans="1:9" ht="13.15">
      <c r="A138" s="13"/>
      <c r="B138" s="13"/>
      <c r="C138" s="13"/>
      <c r="D138" s="13"/>
      <c r="E138" s="13"/>
      <c r="F138" s="14"/>
      <c r="G138" s="13"/>
      <c r="H138" s="13"/>
      <c r="I138" s="14"/>
    </row>
    <row r="139" spans="1:9" ht="13.15">
      <c r="A139" s="13"/>
      <c r="B139" s="13"/>
      <c r="C139" s="13"/>
      <c r="D139" s="13"/>
      <c r="E139" s="13"/>
      <c r="F139" s="14"/>
      <c r="G139" s="13"/>
      <c r="H139" s="13"/>
      <c r="I139" s="14"/>
    </row>
    <row r="140" spans="1:9" ht="13.15">
      <c r="A140" s="13"/>
      <c r="B140" s="13"/>
      <c r="C140" s="13"/>
      <c r="D140" s="13"/>
      <c r="E140" s="13"/>
      <c r="F140" s="14"/>
      <c r="G140" s="13"/>
      <c r="H140" s="13"/>
      <c r="I140" s="14"/>
    </row>
    <row r="141" spans="1:9" ht="13.15">
      <c r="A141" s="13"/>
      <c r="B141" s="13"/>
      <c r="C141" s="13"/>
      <c r="D141" s="13"/>
      <c r="E141" s="13"/>
      <c r="F141" s="14"/>
      <c r="G141" s="13"/>
      <c r="H141" s="13"/>
      <c r="I141" s="14"/>
    </row>
    <row r="142" spans="1:9" ht="13.15">
      <c r="A142" s="13"/>
      <c r="B142" s="13"/>
      <c r="C142" s="13"/>
      <c r="D142" s="13"/>
      <c r="E142" s="13"/>
      <c r="F142" s="14"/>
      <c r="G142" s="13"/>
      <c r="H142" s="13"/>
      <c r="I142" s="14"/>
    </row>
    <row r="143" spans="1:9" ht="13.15">
      <c r="A143" s="13"/>
      <c r="B143" s="13"/>
      <c r="C143" s="13"/>
      <c r="D143" s="13"/>
      <c r="E143" s="13"/>
      <c r="F143" s="14"/>
      <c r="G143" s="13"/>
      <c r="H143" s="13"/>
      <c r="I143" s="14"/>
    </row>
    <row r="144" spans="1:9" ht="13.15">
      <c r="A144" s="13"/>
      <c r="B144" s="13"/>
      <c r="C144" s="13"/>
      <c r="D144" s="13"/>
      <c r="E144" s="13"/>
      <c r="F144" s="14"/>
      <c r="G144" s="13"/>
      <c r="H144" s="13"/>
      <c r="I144" s="14"/>
    </row>
    <row r="145" spans="1:9" ht="13.15">
      <c r="A145" s="13"/>
      <c r="B145" s="13"/>
      <c r="C145" s="13"/>
      <c r="D145" s="13"/>
      <c r="E145" s="13"/>
      <c r="F145" s="14"/>
      <c r="G145" s="13"/>
      <c r="H145" s="13"/>
      <c r="I145" s="14"/>
    </row>
    <row r="146" spans="1:9" ht="13.15">
      <c r="A146" s="13"/>
      <c r="B146" s="13"/>
      <c r="C146" s="13"/>
      <c r="D146" s="13"/>
      <c r="E146" s="13"/>
      <c r="F146" s="14"/>
      <c r="G146" s="13"/>
      <c r="H146" s="13"/>
      <c r="I146" s="14"/>
    </row>
    <row r="147" spans="1:9" ht="13.15">
      <c r="A147" s="13"/>
      <c r="B147" s="13"/>
      <c r="C147" s="13"/>
      <c r="D147" s="13"/>
      <c r="E147" s="13"/>
      <c r="F147" s="14"/>
      <c r="G147" s="13"/>
      <c r="H147" s="13"/>
      <c r="I147" s="14"/>
    </row>
    <row r="148" spans="1:9" ht="13.15">
      <c r="A148" s="13"/>
      <c r="B148" s="13"/>
      <c r="C148" s="13"/>
      <c r="D148" s="13"/>
      <c r="E148" s="13"/>
      <c r="F148" s="14"/>
      <c r="G148" s="13"/>
      <c r="H148" s="13"/>
      <c r="I148" s="14"/>
    </row>
    <row r="149" spans="1:9" ht="13.15">
      <c r="A149" s="13"/>
      <c r="B149" s="13"/>
      <c r="C149" s="13"/>
      <c r="D149" s="13"/>
      <c r="E149" s="13"/>
      <c r="F149" s="14"/>
      <c r="G149" s="13"/>
      <c r="H149" s="13"/>
      <c r="I149" s="14"/>
    </row>
    <row r="150" spans="1:9" ht="13.15">
      <c r="A150" s="13"/>
      <c r="B150" s="13"/>
      <c r="C150" s="13"/>
      <c r="D150" s="13"/>
      <c r="E150" s="13"/>
      <c r="F150" s="14"/>
      <c r="G150" s="13"/>
      <c r="H150" s="13"/>
      <c r="I150" s="14"/>
    </row>
    <row r="151" spans="1:9" ht="13.15">
      <c r="A151" s="13"/>
      <c r="B151" s="13"/>
      <c r="C151" s="13"/>
      <c r="D151" s="13"/>
      <c r="E151" s="13"/>
      <c r="F151" s="14"/>
      <c r="G151" s="13"/>
      <c r="H151" s="13"/>
      <c r="I151" s="14"/>
    </row>
    <row r="152" spans="1:9" ht="13.15">
      <c r="A152" s="13"/>
      <c r="B152" s="13"/>
      <c r="C152" s="13"/>
      <c r="D152" s="13"/>
      <c r="E152" s="13"/>
      <c r="F152" s="14"/>
      <c r="G152" s="13"/>
      <c r="H152" s="13"/>
      <c r="I152" s="14"/>
    </row>
    <row r="153" spans="1:9" ht="13.15">
      <c r="A153" s="13"/>
      <c r="B153" s="13"/>
      <c r="C153" s="13"/>
      <c r="D153" s="13"/>
      <c r="E153" s="13"/>
      <c r="F153" s="14"/>
      <c r="G153" s="13"/>
      <c r="H153" s="13"/>
      <c r="I153" s="14"/>
    </row>
    <row r="154" spans="1:9" ht="13.15">
      <c r="A154" s="13"/>
      <c r="B154" s="13"/>
      <c r="C154" s="13"/>
      <c r="D154" s="13"/>
      <c r="E154" s="13"/>
      <c r="F154" s="14"/>
      <c r="G154" s="13"/>
      <c r="H154" s="13"/>
      <c r="I154" s="14"/>
    </row>
    <row r="155" spans="1:9" ht="13.15">
      <c r="A155" s="13"/>
      <c r="B155" s="13"/>
      <c r="C155" s="13"/>
      <c r="D155" s="13"/>
      <c r="E155" s="13"/>
      <c r="F155" s="14"/>
      <c r="G155" s="13"/>
      <c r="H155" s="13"/>
      <c r="I155" s="14"/>
    </row>
    <row r="156" spans="1:9" ht="13.15">
      <c r="A156" s="13"/>
      <c r="B156" s="13"/>
      <c r="C156" s="13"/>
      <c r="D156" s="13"/>
      <c r="E156" s="13"/>
      <c r="F156" s="14"/>
      <c r="G156" s="13"/>
      <c r="H156" s="13"/>
      <c r="I156" s="14"/>
    </row>
    <row r="157" spans="1:9" ht="13.15">
      <c r="A157" s="13"/>
      <c r="B157" s="13"/>
      <c r="C157" s="13"/>
      <c r="D157" s="13"/>
      <c r="E157" s="13"/>
      <c r="F157" s="14"/>
      <c r="G157" s="13"/>
      <c r="H157" s="13"/>
      <c r="I157" s="14"/>
    </row>
    <row r="158" spans="1:9" ht="13.15">
      <c r="A158" s="13"/>
      <c r="B158" s="13"/>
      <c r="C158" s="13"/>
      <c r="D158" s="13"/>
      <c r="E158" s="13"/>
      <c r="F158" s="14"/>
      <c r="G158" s="13"/>
      <c r="H158" s="13"/>
      <c r="I158" s="14"/>
    </row>
    <row r="159" spans="1:9" ht="13.15">
      <c r="A159" s="13"/>
      <c r="B159" s="13"/>
      <c r="C159" s="13"/>
      <c r="D159" s="13"/>
      <c r="E159" s="13"/>
      <c r="F159" s="14"/>
      <c r="G159" s="13"/>
      <c r="H159" s="13"/>
      <c r="I159" s="14"/>
    </row>
    <row r="160" spans="1:9" ht="13.15">
      <c r="A160" s="13"/>
      <c r="B160" s="13"/>
      <c r="C160" s="13"/>
      <c r="D160" s="13"/>
      <c r="E160" s="13"/>
      <c r="F160" s="14"/>
      <c r="G160" s="13"/>
      <c r="H160" s="13"/>
      <c r="I160" s="14"/>
    </row>
    <row r="161" spans="1:9" ht="13.15">
      <c r="A161" s="13"/>
      <c r="B161" s="13"/>
      <c r="C161" s="13"/>
      <c r="D161" s="13"/>
      <c r="E161" s="13"/>
      <c r="F161" s="14"/>
      <c r="G161" s="13"/>
      <c r="H161" s="13"/>
      <c r="I161" s="14"/>
    </row>
    <row r="162" spans="1:9" ht="13.15">
      <c r="A162" s="13"/>
      <c r="B162" s="13"/>
      <c r="C162" s="13"/>
      <c r="D162" s="13"/>
      <c r="E162" s="13"/>
      <c r="F162" s="14"/>
      <c r="G162" s="13"/>
      <c r="H162" s="13"/>
      <c r="I162" s="14"/>
    </row>
    <row r="163" spans="1:9" ht="13.15">
      <c r="A163" s="13"/>
      <c r="B163" s="13"/>
      <c r="C163" s="13"/>
      <c r="D163" s="13"/>
      <c r="E163" s="13"/>
      <c r="F163" s="14"/>
      <c r="G163" s="13"/>
      <c r="H163" s="13"/>
      <c r="I163" s="14"/>
    </row>
    <row r="164" spans="1:9" ht="13.15">
      <c r="A164" s="13"/>
      <c r="B164" s="13"/>
      <c r="C164" s="13"/>
      <c r="D164" s="13"/>
      <c r="E164" s="13"/>
      <c r="F164" s="14"/>
      <c r="G164" s="13"/>
      <c r="H164" s="13"/>
      <c r="I164" s="14"/>
    </row>
    <row r="165" spans="1:9" ht="13.15">
      <c r="A165" s="13"/>
      <c r="B165" s="13"/>
      <c r="C165" s="13"/>
      <c r="D165" s="13"/>
      <c r="E165" s="13"/>
      <c r="F165" s="14"/>
      <c r="G165" s="13"/>
      <c r="H165" s="13"/>
      <c r="I165" s="14"/>
    </row>
    <row r="166" spans="1:9" ht="13.15">
      <c r="A166" s="13"/>
      <c r="B166" s="13"/>
      <c r="C166" s="13"/>
      <c r="D166" s="13"/>
      <c r="E166" s="13"/>
      <c r="F166" s="14"/>
      <c r="G166" s="13"/>
      <c r="H166" s="13"/>
      <c r="I166" s="14"/>
    </row>
    <row r="167" spans="1:9" ht="13.15">
      <c r="A167" s="13"/>
      <c r="B167" s="13"/>
      <c r="C167" s="13"/>
      <c r="D167" s="13"/>
      <c r="E167" s="13"/>
      <c r="F167" s="14"/>
      <c r="G167" s="13"/>
      <c r="H167" s="13"/>
      <c r="I167" s="14"/>
    </row>
    <row r="168" spans="1:9" ht="13.15">
      <c r="A168" s="13"/>
      <c r="B168" s="13"/>
      <c r="C168" s="13"/>
      <c r="D168" s="13"/>
      <c r="E168" s="13"/>
      <c r="F168" s="14"/>
      <c r="G168" s="13"/>
      <c r="H168" s="13"/>
      <c r="I168" s="14"/>
    </row>
    <row r="169" spans="1:9" ht="13.15">
      <c r="A169" s="13"/>
      <c r="B169" s="13"/>
      <c r="C169" s="13"/>
      <c r="D169" s="13"/>
      <c r="E169" s="13"/>
      <c r="F169" s="14"/>
      <c r="G169" s="13"/>
      <c r="H169" s="13"/>
      <c r="I169" s="14"/>
    </row>
    <row r="170" spans="1:9" ht="13.15">
      <c r="A170" s="13"/>
      <c r="B170" s="13"/>
      <c r="C170" s="13"/>
      <c r="D170" s="13"/>
      <c r="E170" s="13"/>
      <c r="F170" s="14"/>
      <c r="G170" s="13"/>
      <c r="H170" s="13"/>
      <c r="I170" s="14"/>
    </row>
    <row r="171" spans="1:9" ht="13.15">
      <c r="A171" s="13"/>
      <c r="B171" s="13"/>
      <c r="C171" s="13"/>
      <c r="D171" s="13"/>
      <c r="E171" s="13"/>
      <c r="F171" s="14"/>
      <c r="G171" s="13"/>
      <c r="H171" s="13"/>
      <c r="I171" s="14"/>
    </row>
    <row r="172" spans="1:9" ht="13.15">
      <c r="A172" s="13"/>
      <c r="B172" s="13"/>
      <c r="C172" s="13"/>
      <c r="D172" s="13"/>
      <c r="E172" s="13"/>
      <c r="F172" s="14"/>
      <c r="G172" s="13"/>
      <c r="H172" s="13"/>
      <c r="I172" s="14"/>
    </row>
    <row r="173" spans="1:9" ht="13.15">
      <c r="A173" s="13"/>
      <c r="B173" s="13"/>
      <c r="C173" s="13"/>
      <c r="D173" s="13"/>
      <c r="E173" s="13"/>
      <c r="F173" s="14"/>
      <c r="G173" s="13"/>
      <c r="H173" s="13"/>
      <c r="I173" s="14"/>
    </row>
    <row r="174" spans="1:9" ht="13.15">
      <c r="A174" s="13"/>
      <c r="B174" s="13"/>
      <c r="C174" s="13"/>
      <c r="D174" s="13"/>
      <c r="E174" s="13"/>
      <c r="F174" s="14"/>
      <c r="G174" s="13"/>
      <c r="H174" s="13"/>
      <c r="I174" s="14"/>
    </row>
    <row r="175" spans="1:9" ht="13.15">
      <c r="A175" s="13"/>
      <c r="B175" s="13"/>
      <c r="C175" s="13"/>
      <c r="D175" s="13"/>
      <c r="E175" s="13"/>
      <c r="F175" s="14"/>
      <c r="G175" s="13"/>
      <c r="H175" s="13"/>
      <c r="I175" s="14"/>
    </row>
    <row r="176" spans="1:9" ht="13.15">
      <c r="A176" s="13"/>
      <c r="B176" s="13"/>
      <c r="C176" s="13"/>
      <c r="D176" s="13"/>
      <c r="E176" s="13"/>
      <c r="F176" s="14"/>
      <c r="G176" s="13"/>
      <c r="H176" s="13"/>
      <c r="I176" s="14"/>
    </row>
    <row r="177" spans="1:9" ht="13.15">
      <c r="A177" s="13"/>
      <c r="B177" s="13"/>
      <c r="C177" s="13"/>
      <c r="D177" s="13"/>
      <c r="E177" s="13"/>
      <c r="F177" s="14"/>
      <c r="G177" s="13"/>
      <c r="H177" s="13"/>
      <c r="I177" s="14"/>
    </row>
    <row r="178" spans="1:9" ht="13.15">
      <c r="A178" s="13"/>
      <c r="B178" s="13"/>
      <c r="C178" s="13"/>
      <c r="D178" s="13"/>
      <c r="E178" s="13"/>
      <c r="F178" s="14"/>
      <c r="G178" s="13"/>
      <c r="H178" s="13"/>
      <c r="I178" s="14"/>
    </row>
    <row r="179" spans="1:9" ht="13.15">
      <c r="A179" s="13"/>
      <c r="B179" s="13"/>
      <c r="C179" s="13"/>
      <c r="D179" s="13"/>
      <c r="E179" s="13"/>
      <c r="F179" s="14"/>
      <c r="G179" s="13"/>
      <c r="H179" s="13"/>
      <c r="I179" s="14"/>
    </row>
    <row r="180" spans="1:9" ht="13.15">
      <c r="A180" s="13"/>
      <c r="B180" s="13"/>
      <c r="C180" s="13"/>
      <c r="D180" s="13"/>
      <c r="E180" s="13"/>
      <c r="F180" s="14"/>
      <c r="G180" s="13"/>
      <c r="H180" s="13"/>
      <c r="I180" s="14"/>
    </row>
    <row r="181" spans="1:9" ht="13.15">
      <c r="A181" s="13"/>
      <c r="B181" s="13"/>
      <c r="C181" s="13"/>
      <c r="D181" s="13"/>
      <c r="E181" s="13"/>
      <c r="F181" s="14"/>
      <c r="G181" s="13"/>
      <c r="H181" s="13"/>
      <c r="I181" s="14"/>
    </row>
    <row r="182" spans="1:9" ht="13.15">
      <c r="A182" s="13"/>
      <c r="B182" s="13"/>
      <c r="C182" s="13"/>
      <c r="D182" s="13"/>
      <c r="E182" s="13"/>
      <c r="F182" s="14"/>
      <c r="G182" s="13"/>
      <c r="H182" s="13"/>
      <c r="I182" s="14"/>
    </row>
    <row r="183" spans="1:9" ht="13.15">
      <c r="A183" s="13"/>
      <c r="B183" s="13"/>
      <c r="C183" s="13"/>
      <c r="D183" s="13"/>
      <c r="E183" s="13"/>
      <c r="F183" s="14"/>
      <c r="G183" s="13"/>
      <c r="H183" s="13"/>
      <c r="I183" s="14"/>
    </row>
    <row r="184" spans="1:9" ht="13.15">
      <c r="A184" s="13"/>
      <c r="B184" s="13"/>
      <c r="C184" s="13"/>
      <c r="D184" s="13"/>
      <c r="E184" s="13"/>
      <c r="F184" s="14"/>
      <c r="G184" s="13"/>
      <c r="H184" s="13"/>
      <c r="I184" s="14"/>
    </row>
    <row r="185" spans="1:9" ht="13.15">
      <c r="A185" s="13"/>
      <c r="B185" s="13"/>
      <c r="C185" s="13"/>
      <c r="D185" s="13"/>
      <c r="E185" s="13"/>
      <c r="F185" s="14"/>
      <c r="G185" s="13"/>
      <c r="H185" s="13"/>
      <c r="I185" s="14"/>
    </row>
    <row r="186" spans="1:9" ht="13.15">
      <c r="A186" s="13"/>
      <c r="B186" s="13"/>
      <c r="C186" s="13"/>
      <c r="D186" s="13"/>
      <c r="E186" s="13"/>
      <c r="F186" s="14"/>
      <c r="G186" s="13"/>
      <c r="H186" s="13"/>
      <c r="I186" s="14"/>
    </row>
    <row r="187" spans="1:9" ht="13.15">
      <c r="A187" s="13"/>
      <c r="B187" s="13"/>
      <c r="C187" s="13"/>
      <c r="D187" s="13"/>
      <c r="E187" s="13"/>
      <c r="F187" s="14"/>
      <c r="G187" s="13"/>
      <c r="H187" s="13"/>
      <c r="I187" s="14"/>
    </row>
    <row r="188" spans="1:9" ht="13.15">
      <c r="A188" s="13"/>
      <c r="B188" s="13"/>
      <c r="C188" s="13"/>
      <c r="D188" s="13"/>
      <c r="E188" s="13"/>
      <c r="F188" s="14"/>
      <c r="G188" s="13"/>
      <c r="H188" s="13"/>
      <c r="I188" s="14"/>
    </row>
    <row r="189" spans="1:9" ht="13.15">
      <c r="A189" s="13"/>
      <c r="B189" s="13"/>
      <c r="C189" s="13"/>
      <c r="D189" s="13"/>
      <c r="E189" s="13"/>
      <c r="F189" s="14"/>
      <c r="G189" s="13"/>
      <c r="H189" s="13"/>
      <c r="I189" s="14"/>
    </row>
    <row r="190" spans="1:9" ht="13.15">
      <c r="A190" s="13"/>
      <c r="B190" s="13"/>
      <c r="C190" s="13"/>
      <c r="D190" s="13"/>
      <c r="E190" s="13"/>
      <c r="F190" s="14"/>
      <c r="G190" s="13"/>
      <c r="H190" s="13"/>
      <c r="I190" s="14"/>
    </row>
    <row r="191" spans="1:9" ht="13.15">
      <c r="A191" s="13"/>
      <c r="B191" s="13"/>
      <c r="C191" s="13"/>
      <c r="D191" s="13"/>
      <c r="E191" s="13"/>
      <c r="F191" s="14"/>
      <c r="G191" s="13"/>
      <c r="H191" s="13"/>
      <c r="I191" s="14"/>
    </row>
    <row r="192" spans="1:9" ht="13.15">
      <c r="A192" s="13"/>
      <c r="B192" s="13"/>
      <c r="C192" s="13"/>
      <c r="D192" s="13"/>
      <c r="E192" s="13"/>
      <c r="F192" s="14"/>
      <c r="G192" s="13"/>
      <c r="H192" s="13"/>
      <c r="I192" s="14"/>
    </row>
    <row r="193" spans="1:9" ht="13.15">
      <c r="A193" s="13"/>
      <c r="B193" s="13"/>
      <c r="C193" s="13"/>
      <c r="D193" s="13"/>
      <c r="E193" s="13"/>
      <c r="F193" s="14"/>
      <c r="G193" s="13"/>
      <c r="H193" s="13"/>
      <c r="I193" s="14"/>
    </row>
    <row r="194" spans="1:9" ht="13.15">
      <c r="A194" s="13"/>
      <c r="B194" s="13"/>
      <c r="C194" s="13"/>
      <c r="D194" s="13"/>
      <c r="E194" s="13"/>
      <c r="F194" s="14"/>
      <c r="G194" s="13"/>
      <c r="H194" s="13"/>
      <c r="I194" s="14"/>
    </row>
    <row r="195" spans="1:9" ht="13.15">
      <c r="A195" s="13"/>
      <c r="B195" s="13"/>
      <c r="C195" s="13"/>
      <c r="D195" s="13"/>
      <c r="E195" s="13"/>
      <c r="F195" s="14"/>
      <c r="G195" s="13"/>
      <c r="H195" s="13"/>
      <c r="I195" s="14"/>
    </row>
    <row r="196" spans="1:9" ht="13.15">
      <c r="A196" s="13"/>
      <c r="B196" s="13"/>
      <c r="C196" s="13"/>
      <c r="D196" s="13"/>
      <c r="E196" s="13"/>
      <c r="F196" s="14"/>
      <c r="G196" s="13"/>
      <c r="H196" s="13"/>
      <c r="I196" s="14"/>
    </row>
    <row r="197" spans="1:9" ht="13.15">
      <c r="A197" s="13"/>
      <c r="B197" s="13"/>
      <c r="C197" s="13"/>
      <c r="D197" s="13"/>
      <c r="E197" s="13"/>
      <c r="F197" s="14"/>
      <c r="G197" s="13"/>
      <c r="H197" s="13"/>
      <c r="I197" s="14"/>
    </row>
    <row r="198" spans="1:9" ht="13.15">
      <c r="A198" s="13"/>
      <c r="B198" s="13"/>
      <c r="C198" s="13"/>
      <c r="D198" s="13"/>
      <c r="E198" s="13"/>
      <c r="F198" s="14"/>
      <c r="G198" s="13"/>
      <c r="H198" s="13"/>
      <c r="I198" s="14"/>
    </row>
    <row r="199" spans="1:9" ht="13.15">
      <c r="A199" s="13"/>
      <c r="B199" s="13"/>
      <c r="C199" s="13"/>
      <c r="D199" s="13"/>
      <c r="E199" s="13"/>
      <c r="F199" s="14"/>
      <c r="G199" s="13"/>
      <c r="H199" s="13"/>
      <c r="I199" s="14"/>
    </row>
    <row r="200" spans="1:9" ht="13.15">
      <c r="A200" s="13"/>
      <c r="B200" s="13"/>
      <c r="C200" s="13"/>
      <c r="D200" s="13"/>
      <c r="E200" s="13"/>
      <c r="F200" s="14"/>
      <c r="G200" s="13"/>
      <c r="H200" s="13"/>
      <c r="I200" s="14"/>
    </row>
    <row r="201" spans="1:9" ht="13.15">
      <c r="A201" s="13"/>
      <c r="B201" s="13"/>
      <c r="C201" s="13"/>
      <c r="D201" s="13"/>
      <c r="E201" s="13"/>
      <c r="F201" s="14"/>
      <c r="G201" s="13"/>
      <c r="H201" s="13"/>
      <c r="I201" s="14"/>
    </row>
    <row r="202" spans="1:9" ht="13.15">
      <c r="A202" s="13"/>
      <c r="B202" s="13"/>
      <c r="C202" s="13"/>
      <c r="D202" s="13"/>
      <c r="E202" s="13"/>
      <c r="F202" s="14"/>
      <c r="G202" s="13"/>
      <c r="H202" s="13"/>
      <c r="I202" s="14"/>
    </row>
    <row r="203" spans="1:9" ht="13.15">
      <c r="A203" s="13"/>
      <c r="B203" s="13"/>
      <c r="C203" s="13"/>
      <c r="D203" s="13"/>
      <c r="E203" s="13"/>
      <c r="F203" s="14"/>
      <c r="G203" s="13"/>
      <c r="H203" s="13"/>
      <c r="I203" s="14"/>
    </row>
    <row r="204" spans="1:9" ht="13.15">
      <c r="A204" s="13"/>
      <c r="B204" s="13"/>
      <c r="C204" s="13"/>
      <c r="D204" s="13"/>
      <c r="E204" s="13"/>
      <c r="F204" s="14"/>
      <c r="G204" s="13"/>
      <c r="H204" s="13"/>
      <c r="I204" s="14"/>
    </row>
    <row r="205" spans="1:9" ht="13.15">
      <c r="A205" s="13"/>
      <c r="B205" s="13"/>
      <c r="C205" s="13"/>
      <c r="D205" s="13"/>
      <c r="E205" s="13"/>
      <c r="F205" s="14"/>
      <c r="G205" s="13"/>
      <c r="H205" s="13"/>
      <c r="I205" s="14"/>
    </row>
    <row r="206" spans="1:9" ht="13.15">
      <c r="A206" s="13"/>
      <c r="B206" s="13"/>
      <c r="C206" s="13"/>
      <c r="D206" s="13"/>
      <c r="E206" s="13"/>
      <c r="F206" s="14"/>
      <c r="G206" s="13"/>
      <c r="H206" s="13"/>
      <c r="I206" s="14"/>
    </row>
    <row r="207" spans="1:9" ht="13.15">
      <c r="A207" s="13"/>
      <c r="B207" s="13"/>
      <c r="C207" s="13"/>
      <c r="D207" s="13"/>
      <c r="E207" s="13"/>
      <c r="F207" s="14"/>
      <c r="G207" s="13"/>
      <c r="H207" s="13"/>
      <c r="I207" s="14"/>
    </row>
    <row r="208" spans="1:9" ht="13.15">
      <c r="A208" s="13"/>
      <c r="B208" s="13"/>
      <c r="C208" s="13"/>
      <c r="D208" s="13"/>
      <c r="E208" s="13"/>
      <c r="F208" s="14"/>
      <c r="G208" s="13"/>
      <c r="H208" s="13"/>
      <c r="I208" s="14"/>
    </row>
    <row r="209" spans="1:9" ht="13.15">
      <c r="A209" s="13"/>
      <c r="B209" s="13"/>
      <c r="C209" s="13"/>
      <c r="D209" s="13"/>
      <c r="E209" s="13"/>
      <c r="F209" s="14"/>
      <c r="G209" s="13"/>
      <c r="H209" s="13"/>
      <c r="I209" s="14"/>
    </row>
    <row r="210" spans="1:9" ht="13.15">
      <c r="A210" s="13"/>
      <c r="B210" s="13"/>
      <c r="C210" s="13"/>
      <c r="D210" s="13"/>
      <c r="E210" s="13"/>
      <c r="F210" s="14"/>
      <c r="G210" s="13"/>
      <c r="H210" s="13"/>
      <c r="I210" s="14"/>
    </row>
    <row r="211" spans="1:9" ht="13.15">
      <c r="A211" s="13"/>
      <c r="B211" s="13"/>
      <c r="C211" s="13"/>
      <c r="D211" s="13"/>
      <c r="E211" s="13"/>
      <c r="F211" s="14"/>
      <c r="G211" s="13"/>
      <c r="H211" s="13"/>
      <c r="I211" s="14"/>
    </row>
    <row r="212" spans="1:9" ht="13.15">
      <c r="A212" s="13"/>
      <c r="B212" s="13"/>
      <c r="C212" s="13"/>
      <c r="D212" s="13"/>
      <c r="E212" s="13"/>
      <c r="F212" s="14"/>
      <c r="G212" s="13"/>
      <c r="H212" s="13"/>
      <c r="I212" s="14"/>
    </row>
    <row r="213" spans="1:9" ht="13.15">
      <c r="A213" s="13"/>
      <c r="B213" s="13"/>
      <c r="C213" s="13"/>
      <c r="D213" s="13"/>
      <c r="E213" s="13"/>
      <c r="F213" s="14"/>
      <c r="G213" s="13"/>
      <c r="H213" s="13"/>
      <c r="I213" s="14"/>
    </row>
    <row r="214" spans="1:9" ht="13.15">
      <c r="A214" s="13"/>
      <c r="B214" s="13"/>
      <c r="C214" s="13"/>
      <c r="D214" s="13"/>
      <c r="E214" s="13"/>
      <c r="F214" s="14"/>
      <c r="G214" s="13"/>
      <c r="H214" s="13"/>
      <c r="I214" s="14"/>
    </row>
    <row r="215" spans="1:9" ht="13.15">
      <c r="A215" s="13"/>
      <c r="B215" s="13"/>
      <c r="C215" s="13"/>
      <c r="D215" s="13"/>
      <c r="E215" s="13"/>
      <c r="F215" s="14"/>
      <c r="G215" s="13"/>
      <c r="H215" s="13"/>
      <c r="I215" s="14"/>
    </row>
    <row r="216" spans="1:9" ht="13.15">
      <c r="A216" s="13"/>
      <c r="B216" s="13"/>
      <c r="C216" s="13"/>
      <c r="D216" s="13"/>
      <c r="E216" s="13"/>
      <c r="F216" s="14"/>
      <c r="G216" s="13"/>
      <c r="H216" s="13"/>
      <c r="I216" s="14"/>
    </row>
    <row r="217" spans="1:9" ht="13.15">
      <c r="A217" s="13"/>
      <c r="B217" s="13"/>
      <c r="C217" s="13"/>
      <c r="D217" s="13"/>
      <c r="E217" s="13"/>
      <c r="F217" s="14"/>
      <c r="G217" s="13"/>
      <c r="H217" s="13"/>
      <c r="I217" s="14"/>
    </row>
    <row r="218" spans="1:9" ht="13.15">
      <c r="A218" s="13"/>
      <c r="B218" s="13"/>
      <c r="C218" s="13"/>
      <c r="D218" s="13"/>
      <c r="E218" s="13"/>
      <c r="F218" s="14"/>
      <c r="G218" s="13"/>
      <c r="H218" s="13"/>
      <c r="I218" s="14"/>
    </row>
    <row r="219" spans="1:9" ht="13.15">
      <c r="A219" s="13"/>
      <c r="B219" s="13"/>
      <c r="C219" s="13"/>
      <c r="D219" s="13"/>
      <c r="E219" s="13"/>
      <c r="F219" s="14"/>
      <c r="G219" s="13"/>
      <c r="H219" s="13"/>
      <c r="I219" s="14"/>
    </row>
    <row r="220" spans="1:9" ht="13.15">
      <c r="A220" s="13"/>
      <c r="B220" s="13"/>
      <c r="C220" s="13"/>
      <c r="D220" s="13"/>
      <c r="E220" s="13"/>
      <c r="F220" s="14"/>
      <c r="G220" s="13"/>
      <c r="H220" s="13"/>
      <c r="I220" s="14"/>
    </row>
    <row r="221" spans="1:9" ht="13.15">
      <c r="A221" s="13"/>
      <c r="B221" s="13"/>
      <c r="C221" s="13"/>
      <c r="D221" s="13"/>
      <c r="E221" s="13"/>
      <c r="F221" s="14"/>
      <c r="G221" s="13"/>
      <c r="H221" s="13"/>
      <c r="I221" s="14"/>
    </row>
    <row r="222" spans="1:9" ht="13.15">
      <c r="A222" s="13"/>
      <c r="B222" s="13"/>
      <c r="C222" s="13"/>
      <c r="D222" s="13"/>
      <c r="E222" s="13"/>
      <c r="F222" s="14"/>
      <c r="G222" s="13"/>
      <c r="H222" s="13"/>
      <c r="I222" s="14"/>
    </row>
    <row r="223" spans="1:9" ht="13.15">
      <c r="A223" s="13"/>
      <c r="B223" s="13"/>
      <c r="C223" s="13"/>
      <c r="D223" s="13"/>
      <c r="E223" s="13"/>
      <c r="F223" s="14"/>
      <c r="G223" s="13"/>
      <c r="H223" s="13"/>
      <c r="I223" s="14"/>
    </row>
    <row r="224" spans="1:9" ht="13.15">
      <c r="A224" s="13"/>
      <c r="B224" s="13"/>
      <c r="C224" s="13"/>
      <c r="D224" s="13"/>
      <c r="E224" s="13"/>
      <c r="F224" s="14"/>
      <c r="G224" s="13"/>
      <c r="H224" s="13"/>
      <c r="I224" s="14"/>
    </row>
    <row r="225" spans="1:9" ht="13.15">
      <c r="A225" s="13"/>
      <c r="B225" s="13"/>
      <c r="C225" s="13"/>
      <c r="D225" s="13"/>
      <c r="E225" s="13"/>
      <c r="F225" s="14"/>
      <c r="G225" s="13"/>
      <c r="H225" s="13"/>
      <c r="I225" s="14"/>
    </row>
    <row r="226" spans="1:9" ht="13.15">
      <c r="A226" s="13"/>
      <c r="B226" s="13"/>
      <c r="C226" s="13"/>
      <c r="D226" s="13"/>
      <c r="E226" s="13"/>
      <c r="F226" s="14"/>
      <c r="G226" s="13"/>
      <c r="H226" s="13"/>
      <c r="I226" s="14"/>
    </row>
    <row r="227" spans="1:9" ht="13.15">
      <c r="A227" s="13"/>
      <c r="B227" s="13"/>
      <c r="C227" s="13"/>
      <c r="D227" s="13"/>
      <c r="E227" s="13"/>
      <c r="F227" s="14"/>
      <c r="G227" s="13"/>
      <c r="H227" s="13"/>
      <c r="I227" s="14"/>
    </row>
    <row r="228" spans="1:9" ht="13.15">
      <c r="A228" s="13"/>
      <c r="B228" s="13"/>
      <c r="C228" s="13"/>
      <c r="D228" s="13"/>
      <c r="E228" s="13"/>
      <c r="F228" s="14"/>
      <c r="G228" s="13"/>
      <c r="H228" s="13"/>
      <c r="I228" s="14"/>
    </row>
    <row r="229" spans="1:9" ht="13.15">
      <c r="A229" s="13"/>
      <c r="B229" s="13"/>
      <c r="C229" s="13"/>
      <c r="D229" s="13"/>
      <c r="E229" s="13"/>
      <c r="F229" s="14"/>
      <c r="G229" s="13"/>
      <c r="H229" s="13"/>
      <c r="I229" s="14"/>
    </row>
    <row r="230" spans="1:9" ht="13.15">
      <c r="A230" s="13"/>
      <c r="B230" s="13"/>
      <c r="C230" s="13"/>
      <c r="D230" s="13"/>
      <c r="E230" s="13"/>
      <c r="F230" s="14"/>
      <c r="G230" s="13"/>
      <c r="H230" s="13"/>
      <c r="I230" s="14"/>
    </row>
    <row r="231" spans="1:9" ht="13.15">
      <c r="A231" s="13"/>
      <c r="B231" s="13"/>
      <c r="C231" s="13"/>
      <c r="D231" s="13"/>
      <c r="E231" s="13"/>
      <c r="F231" s="14"/>
      <c r="G231" s="13"/>
      <c r="H231" s="13"/>
      <c r="I231" s="14"/>
    </row>
    <row r="232" spans="1:9" ht="13.15">
      <c r="A232" s="13"/>
      <c r="B232" s="13"/>
      <c r="C232" s="13"/>
      <c r="D232" s="13"/>
      <c r="E232" s="13"/>
      <c r="F232" s="14"/>
      <c r="G232" s="13"/>
      <c r="H232" s="13"/>
      <c r="I232" s="14"/>
    </row>
    <row r="233" spans="1:9" ht="13.15">
      <c r="A233" s="13"/>
      <c r="B233" s="13"/>
      <c r="C233" s="13"/>
      <c r="D233" s="13"/>
      <c r="E233" s="13"/>
      <c r="F233" s="14"/>
      <c r="G233" s="13"/>
      <c r="H233" s="13"/>
      <c r="I233" s="14"/>
    </row>
    <row r="234" spans="1:9" ht="13.15">
      <c r="A234" s="13"/>
      <c r="B234" s="13"/>
      <c r="C234" s="13"/>
      <c r="D234" s="13"/>
      <c r="E234" s="13"/>
      <c r="F234" s="14"/>
      <c r="G234" s="13"/>
      <c r="H234" s="13"/>
      <c r="I234" s="14"/>
    </row>
    <row r="235" spans="1:9" ht="13.15">
      <c r="A235" s="13"/>
      <c r="B235" s="13"/>
      <c r="C235" s="13"/>
      <c r="D235" s="13"/>
      <c r="E235" s="13"/>
      <c r="F235" s="14"/>
      <c r="G235" s="13"/>
      <c r="H235" s="13"/>
      <c r="I235" s="14"/>
    </row>
    <row r="236" spans="1:9" ht="13.15">
      <c r="A236" s="13"/>
      <c r="B236" s="13"/>
      <c r="C236" s="13"/>
      <c r="D236" s="13"/>
      <c r="E236" s="13"/>
      <c r="F236" s="14"/>
      <c r="G236" s="13"/>
      <c r="H236" s="13"/>
      <c r="I236" s="14"/>
    </row>
    <row r="237" spans="1:9" ht="13.15">
      <c r="A237" s="13"/>
      <c r="B237" s="13"/>
      <c r="C237" s="13"/>
      <c r="D237" s="13"/>
      <c r="E237" s="13"/>
      <c r="F237" s="14"/>
      <c r="G237" s="13"/>
      <c r="H237" s="13"/>
      <c r="I237" s="14"/>
    </row>
    <row r="238" spans="1:9" ht="13.15">
      <c r="A238" s="13"/>
      <c r="B238" s="13"/>
      <c r="C238" s="13"/>
      <c r="D238" s="13"/>
      <c r="E238" s="13"/>
      <c r="F238" s="14"/>
      <c r="G238" s="13"/>
      <c r="H238" s="13"/>
      <c r="I238" s="14"/>
    </row>
    <row r="239" spans="1:9" ht="13.15">
      <c r="A239" s="13"/>
      <c r="B239" s="13"/>
      <c r="C239" s="13"/>
      <c r="D239" s="13"/>
      <c r="E239" s="13"/>
      <c r="F239" s="14"/>
      <c r="G239" s="13"/>
      <c r="H239" s="13"/>
      <c r="I239" s="14"/>
    </row>
    <row r="240" spans="1:9" ht="13.15">
      <c r="A240" s="13"/>
      <c r="B240" s="13"/>
      <c r="C240" s="13"/>
      <c r="D240" s="13"/>
      <c r="E240" s="13"/>
      <c r="F240" s="14"/>
      <c r="G240" s="13"/>
      <c r="H240" s="13"/>
      <c r="I240" s="14"/>
    </row>
    <row r="241" spans="1:9" ht="13.15">
      <c r="A241" s="13"/>
      <c r="B241" s="13"/>
      <c r="C241" s="13"/>
      <c r="D241" s="13"/>
      <c r="E241" s="13"/>
      <c r="F241" s="14"/>
      <c r="G241" s="13"/>
      <c r="H241" s="13"/>
      <c r="I241" s="14"/>
    </row>
    <row r="242" spans="1:9" ht="13.15">
      <c r="A242" s="13"/>
      <c r="B242" s="13"/>
      <c r="C242" s="13"/>
      <c r="D242" s="13"/>
      <c r="E242" s="13"/>
      <c r="F242" s="14"/>
      <c r="G242" s="13"/>
      <c r="H242" s="13"/>
      <c r="I242" s="14"/>
    </row>
    <row r="243" spans="1:9" ht="13.15">
      <c r="A243" s="13"/>
      <c r="B243" s="13"/>
      <c r="C243" s="13"/>
      <c r="D243" s="13"/>
      <c r="E243" s="13"/>
      <c r="F243" s="14"/>
      <c r="G243" s="13"/>
      <c r="H243" s="13"/>
      <c r="I243" s="14"/>
    </row>
    <row r="244" spans="1:9" ht="13.15">
      <c r="A244" s="13"/>
      <c r="B244" s="13"/>
      <c r="C244" s="13"/>
      <c r="D244" s="13"/>
      <c r="E244" s="13"/>
      <c r="F244" s="14"/>
      <c r="G244" s="13"/>
      <c r="H244" s="13"/>
      <c r="I244" s="14"/>
    </row>
    <row r="245" spans="1:9" ht="13.15">
      <c r="A245" s="13"/>
      <c r="B245" s="13"/>
      <c r="C245" s="13"/>
      <c r="D245" s="13"/>
      <c r="E245" s="13"/>
      <c r="F245" s="14"/>
      <c r="G245" s="13"/>
      <c r="H245" s="13"/>
      <c r="I245" s="14"/>
    </row>
    <row r="246" spans="1:9" ht="13.15">
      <c r="A246" s="13"/>
      <c r="B246" s="13"/>
      <c r="C246" s="13"/>
      <c r="D246" s="13"/>
      <c r="E246" s="13"/>
      <c r="F246" s="14"/>
      <c r="G246" s="13"/>
      <c r="H246" s="13"/>
      <c r="I246" s="14"/>
    </row>
    <row r="247" spans="1:9" ht="13.15">
      <c r="A247" s="13"/>
      <c r="B247" s="13"/>
      <c r="C247" s="13"/>
      <c r="D247" s="13"/>
      <c r="E247" s="13"/>
      <c r="F247" s="14"/>
      <c r="G247" s="13"/>
      <c r="H247" s="13"/>
      <c r="I247" s="14"/>
    </row>
    <row r="248" spans="1:9" ht="13.15">
      <c r="A248" s="13"/>
      <c r="B248" s="13"/>
      <c r="C248" s="13"/>
      <c r="D248" s="13"/>
      <c r="E248" s="13"/>
      <c r="F248" s="14"/>
      <c r="G248" s="13"/>
      <c r="H248" s="13"/>
      <c r="I248" s="14"/>
    </row>
    <row r="249" spans="1:9" ht="13.15">
      <c r="A249" s="13"/>
      <c r="B249" s="13"/>
      <c r="C249" s="13"/>
      <c r="D249" s="13"/>
      <c r="E249" s="13"/>
      <c r="F249" s="14"/>
      <c r="G249" s="13"/>
      <c r="H249" s="13"/>
      <c r="I249" s="14"/>
    </row>
    <row r="250" spans="1:9" ht="13.15">
      <c r="A250" s="13"/>
      <c r="B250" s="13"/>
      <c r="C250" s="13"/>
      <c r="D250" s="13"/>
      <c r="E250" s="13"/>
      <c r="F250" s="14"/>
      <c r="G250" s="13"/>
      <c r="H250" s="13"/>
      <c r="I250" s="14"/>
    </row>
    <row r="251" spans="1:9" ht="13.15">
      <c r="A251" s="13"/>
      <c r="B251" s="13"/>
      <c r="C251" s="13"/>
      <c r="D251" s="13"/>
      <c r="E251" s="13"/>
      <c r="F251" s="14"/>
      <c r="G251" s="13"/>
      <c r="H251" s="13"/>
      <c r="I251" s="14"/>
    </row>
    <row r="252" spans="1:9" ht="13.15">
      <c r="A252" s="13"/>
      <c r="B252" s="13"/>
      <c r="C252" s="13"/>
      <c r="D252" s="13"/>
      <c r="E252" s="13"/>
      <c r="F252" s="14"/>
      <c r="G252" s="13"/>
      <c r="H252" s="13"/>
      <c r="I252" s="14"/>
    </row>
    <row r="253" spans="1:9" ht="13.15">
      <c r="A253" s="13"/>
      <c r="B253" s="13"/>
      <c r="C253" s="13"/>
      <c r="D253" s="13"/>
      <c r="E253" s="13"/>
      <c r="F253" s="14"/>
      <c r="G253" s="13"/>
      <c r="H253" s="13"/>
      <c r="I253" s="14"/>
    </row>
    <row r="254" spans="1:9" ht="13.15">
      <c r="A254" s="13"/>
      <c r="B254" s="13"/>
      <c r="C254" s="13"/>
      <c r="D254" s="13"/>
      <c r="E254" s="13"/>
      <c r="F254" s="14"/>
      <c r="G254" s="13"/>
      <c r="H254" s="13"/>
      <c r="I254" s="14"/>
    </row>
    <row r="255" spans="1:9" ht="13.15">
      <c r="A255" s="13"/>
      <c r="B255" s="13"/>
      <c r="C255" s="13"/>
      <c r="D255" s="13"/>
      <c r="E255" s="13"/>
      <c r="F255" s="14"/>
      <c r="G255" s="13"/>
      <c r="H255" s="13"/>
      <c r="I255" s="14"/>
    </row>
    <row r="256" spans="1:9" ht="13.15">
      <c r="A256" s="13"/>
      <c r="B256" s="13"/>
      <c r="C256" s="13"/>
      <c r="D256" s="13"/>
      <c r="E256" s="13"/>
      <c r="F256" s="14"/>
      <c r="G256" s="13"/>
      <c r="H256" s="13"/>
      <c r="I256" s="14"/>
    </row>
    <row r="257" spans="1:9" ht="13.15">
      <c r="A257" s="13"/>
      <c r="B257" s="13"/>
      <c r="C257" s="13"/>
      <c r="D257" s="13"/>
      <c r="E257" s="13"/>
      <c r="F257" s="14"/>
      <c r="G257" s="13"/>
      <c r="H257" s="13"/>
      <c r="I257" s="14"/>
    </row>
    <row r="258" spans="1:9" ht="13.15">
      <c r="A258" s="13"/>
      <c r="B258" s="13"/>
      <c r="C258" s="13"/>
      <c r="D258" s="13"/>
      <c r="E258" s="13"/>
      <c r="F258" s="14"/>
      <c r="G258" s="13"/>
      <c r="H258" s="13"/>
      <c r="I258" s="14"/>
    </row>
    <row r="259" spans="1:9" ht="13.15">
      <c r="A259" s="13"/>
      <c r="B259" s="13"/>
      <c r="C259" s="13"/>
      <c r="D259" s="13"/>
      <c r="E259" s="13"/>
      <c r="F259" s="14"/>
      <c r="G259" s="13"/>
      <c r="H259" s="13"/>
      <c r="I259" s="14"/>
    </row>
    <row r="260" spans="1:9" ht="13.15">
      <c r="A260" s="13"/>
      <c r="B260" s="13"/>
      <c r="C260" s="13"/>
      <c r="D260" s="13"/>
      <c r="E260" s="13"/>
      <c r="F260" s="14"/>
      <c r="G260" s="13"/>
      <c r="H260" s="13"/>
      <c r="I260" s="14"/>
    </row>
    <row r="261" spans="1:9" ht="13.15">
      <c r="A261" s="13"/>
      <c r="B261" s="13"/>
      <c r="C261" s="13"/>
      <c r="D261" s="13"/>
      <c r="E261" s="13"/>
      <c r="F261" s="14"/>
      <c r="G261" s="13"/>
      <c r="H261" s="13"/>
      <c r="I261" s="14"/>
    </row>
    <row r="262" spans="1:9" ht="13.15">
      <c r="A262" s="13"/>
      <c r="B262" s="13"/>
      <c r="C262" s="13"/>
      <c r="D262" s="13"/>
      <c r="E262" s="13"/>
      <c r="F262" s="14"/>
      <c r="G262" s="13"/>
      <c r="H262" s="13"/>
      <c r="I262" s="14"/>
    </row>
    <row r="263" spans="1:9" ht="13.15">
      <c r="A263" s="13"/>
      <c r="B263" s="13"/>
      <c r="C263" s="13"/>
      <c r="D263" s="13"/>
      <c r="E263" s="13"/>
      <c r="F263" s="14"/>
      <c r="G263" s="13"/>
      <c r="H263" s="13"/>
      <c r="I263" s="14"/>
    </row>
    <row r="264" spans="1:9" ht="13.15">
      <c r="A264" s="13"/>
      <c r="B264" s="13"/>
      <c r="C264" s="13"/>
      <c r="D264" s="13"/>
      <c r="E264" s="13"/>
      <c r="F264" s="14"/>
      <c r="G264" s="13"/>
      <c r="H264" s="13"/>
      <c r="I264" s="14"/>
    </row>
    <row r="265" spans="1:9" ht="13.15">
      <c r="A265" s="13"/>
      <c r="B265" s="13"/>
      <c r="C265" s="13"/>
      <c r="D265" s="13"/>
      <c r="E265" s="13"/>
      <c r="F265" s="14"/>
      <c r="G265" s="13"/>
      <c r="H265" s="13"/>
      <c r="I265" s="14"/>
    </row>
    <row r="266" spans="1:9" ht="13.15">
      <c r="A266" s="13"/>
      <c r="B266" s="13"/>
      <c r="C266" s="13"/>
      <c r="D266" s="13"/>
      <c r="E266" s="13"/>
      <c r="F266" s="14"/>
      <c r="G266" s="13"/>
      <c r="H266" s="13"/>
      <c r="I266" s="14"/>
    </row>
    <row r="267" spans="1:9" ht="13.15">
      <c r="A267" s="13"/>
      <c r="B267" s="13"/>
      <c r="C267" s="13"/>
      <c r="D267" s="13"/>
      <c r="E267" s="13"/>
      <c r="F267" s="14"/>
      <c r="G267" s="13"/>
      <c r="H267" s="13"/>
      <c r="I267" s="14"/>
    </row>
    <row r="268" spans="1:9" ht="13.15">
      <c r="A268" s="13"/>
      <c r="B268" s="13"/>
      <c r="C268" s="13"/>
      <c r="D268" s="13"/>
      <c r="E268" s="13"/>
      <c r="F268" s="14"/>
      <c r="G268" s="13"/>
      <c r="H268" s="13"/>
      <c r="I268" s="14"/>
    </row>
    <row r="269" spans="1:9" ht="13.15">
      <c r="A269" s="13"/>
      <c r="B269" s="13"/>
      <c r="C269" s="13"/>
      <c r="D269" s="13"/>
      <c r="E269" s="13"/>
      <c r="F269" s="14"/>
      <c r="G269" s="13"/>
      <c r="H269" s="13"/>
      <c r="I269" s="14"/>
    </row>
    <row r="270" spans="1:9" ht="13.15">
      <c r="A270" s="13"/>
      <c r="B270" s="13"/>
      <c r="C270" s="13"/>
      <c r="D270" s="13"/>
      <c r="E270" s="13"/>
      <c r="F270" s="14"/>
      <c r="G270" s="13"/>
      <c r="H270" s="13"/>
      <c r="I270" s="14"/>
    </row>
    <row r="271" spans="1:9" ht="13.15">
      <c r="A271" s="13"/>
      <c r="B271" s="13"/>
      <c r="C271" s="13"/>
      <c r="D271" s="13"/>
      <c r="E271" s="13"/>
      <c r="F271" s="14"/>
      <c r="G271" s="13"/>
      <c r="H271" s="13"/>
      <c r="I271" s="14"/>
    </row>
    <row r="272" spans="1:9" ht="13.15">
      <c r="A272" s="13"/>
      <c r="B272" s="13"/>
      <c r="C272" s="13"/>
      <c r="D272" s="13"/>
      <c r="E272" s="13"/>
      <c r="F272" s="14"/>
      <c r="G272" s="13"/>
      <c r="H272" s="13"/>
      <c r="I272" s="14"/>
    </row>
    <row r="273" spans="1:9" ht="13.15">
      <c r="A273" s="13"/>
      <c r="B273" s="13"/>
      <c r="C273" s="13"/>
      <c r="D273" s="13"/>
      <c r="E273" s="13"/>
      <c r="F273" s="14"/>
      <c r="G273" s="13"/>
      <c r="H273" s="13"/>
      <c r="I273" s="14"/>
    </row>
    <row r="274" spans="1:9" ht="13.15">
      <c r="A274" s="13"/>
      <c r="B274" s="13"/>
      <c r="C274" s="13"/>
      <c r="D274" s="13"/>
      <c r="E274" s="13"/>
      <c r="F274" s="14"/>
      <c r="G274" s="13"/>
      <c r="H274" s="13"/>
      <c r="I274" s="14"/>
    </row>
    <row r="275" spans="1:9" ht="13.15">
      <c r="A275" s="13"/>
      <c r="B275" s="13"/>
      <c r="C275" s="13"/>
      <c r="D275" s="13"/>
      <c r="E275" s="13"/>
      <c r="F275" s="14"/>
      <c r="G275" s="13"/>
      <c r="H275" s="13"/>
      <c r="I275" s="14"/>
    </row>
    <row r="276" spans="1:9" ht="13.15">
      <c r="A276" s="13"/>
      <c r="B276" s="13"/>
      <c r="C276" s="13"/>
      <c r="D276" s="13"/>
      <c r="E276" s="13"/>
      <c r="F276" s="14"/>
      <c r="G276" s="13"/>
      <c r="H276" s="13"/>
      <c r="I276" s="14"/>
    </row>
    <row r="277" spans="1:9" ht="13.15">
      <c r="A277" s="13"/>
      <c r="B277" s="13"/>
      <c r="C277" s="13"/>
      <c r="D277" s="13"/>
      <c r="E277" s="13"/>
      <c r="F277" s="14"/>
      <c r="G277" s="13"/>
      <c r="H277" s="13"/>
      <c r="I277" s="14"/>
    </row>
    <row r="278" spans="1:9" ht="13.15">
      <c r="A278" s="13"/>
      <c r="B278" s="13"/>
      <c r="C278" s="13"/>
      <c r="D278" s="13"/>
      <c r="E278" s="13"/>
      <c r="F278" s="14"/>
      <c r="G278" s="13"/>
      <c r="H278" s="13"/>
      <c r="I278" s="14"/>
    </row>
    <row r="279" spans="1:9" ht="13.15">
      <c r="A279" s="13"/>
      <c r="B279" s="13"/>
      <c r="C279" s="13"/>
      <c r="D279" s="13"/>
      <c r="E279" s="13"/>
      <c r="F279" s="14"/>
      <c r="G279" s="13"/>
      <c r="H279" s="13"/>
      <c r="I279" s="14"/>
    </row>
    <row r="280" spans="1:9" ht="13.15">
      <c r="A280" s="13"/>
      <c r="B280" s="13"/>
      <c r="C280" s="13"/>
      <c r="D280" s="13"/>
      <c r="E280" s="13"/>
      <c r="F280" s="14"/>
      <c r="G280" s="13"/>
      <c r="H280" s="13"/>
      <c r="I280" s="14"/>
    </row>
    <row r="281" spans="1:9" ht="13.15">
      <c r="A281" s="13"/>
      <c r="B281" s="13"/>
      <c r="C281" s="13"/>
      <c r="D281" s="13"/>
      <c r="E281" s="13"/>
      <c r="F281" s="14"/>
      <c r="G281" s="13"/>
      <c r="H281" s="13"/>
      <c r="I281" s="14"/>
    </row>
    <row r="282" spans="1:9" ht="13.15">
      <c r="A282" s="13"/>
      <c r="B282" s="13"/>
      <c r="C282" s="13"/>
      <c r="D282" s="13"/>
      <c r="E282" s="13"/>
      <c r="F282" s="14"/>
      <c r="G282" s="13"/>
      <c r="H282" s="13"/>
      <c r="I282" s="14"/>
    </row>
    <row r="283" spans="1:9" ht="13.15">
      <c r="A283" s="13"/>
      <c r="B283" s="13"/>
      <c r="C283" s="13"/>
      <c r="D283" s="13"/>
      <c r="E283" s="13"/>
      <c r="F283" s="14"/>
      <c r="G283" s="13"/>
      <c r="H283" s="13"/>
      <c r="I283" s="14"/>
    </row>
    <row r="284" spans="1:9" ht="13.15">
      <c r="A284" s="13"/>
      <c r="B284" s="13"/>
      <c r="C284" s="13"/>
      <c r="D284" s="13"/>
      <c r="E284" s="13"/>
      <c r="F284" s="14"/>
      <c r="G284" s="13"/>
      <c r="H284" s="13"/>
      <c r="I284" s="14"/>
    </row>
    <row r="285" spans="1:9" ht="13.15">
      <c r="A285" s="13"/>
      <c r="B285" s="13"/>
      <c r="C285" s="13"/>
      <c r="D285" s="13"/>
      <c r="E285" s="13"/>
      <c r="F285" s="14"/>
      <c r="G285" s="13"/>
      <c r="H285" s="13"/>
      <c r="I285" s="14"/>
    </row>
    <row r="286" spans="1:9" ht="13.15">
      <c r="A286" s="13"/>
      <c r="B286" s="13"/>
      <c r="C286" s="13"/>
      <c r="D286" s="13"/>
      <c r="E286" s="13"/>
      <c r="F286" s="14"/>
      <c r="G286" s="13"/>
      <c r="H286" s="13"/>
      <c r="I286" s="14"/>
    </row>
    <row r="287" spans="1:9" ht="13.15">
      <c r="A287" s="13"/>
      <c r="B287" s="13"/>
      <c r="C287" s="13"/>
      <c r="D287" s="13"/>
      <c r="E287" s="13"/>
      <c r="F287" s="14"/>
      <c r="G287" s="13"/>
      <c r="H287" s="13"/>
      <c r="I287" s="14"/>
    </row>
    <row r="288" spans="1:9" ht="13.15">
      <c r="A288" s="13"/>
      <c r="B288" s="13"/>
      <c r="C288" s="13"/>
      <c r="D288" s="13"/>
      <c r="E288" s="13"/>
      <c r="F288" s="14"/>
      <c r="G288" s="13"/>
      <c r="H288" s="13"/>
      <c r="I288" s="14"/>
    </row>
    <row r="289" spans="1:9" ht="13.15">
      <c r="A289" s="13"/>
      <c r="B289" s="13"/>
      <c r="C289" s="13"/>
      <c r="D289" s="13"/>
      <c r="E289" s="13"/>
      <c r="F289" s="14"/>
      <c r="G289" s="13"/>
      <c r="H289" s="13"/>
      <c r="I289" s="14"/>
    </row>
    <row r="290" spans="1:9" ht="13.15">
      <c r="A290" s="13"/>
      <c r="B290" s="13"/>
      <c r="C290" s="13"/>
      <c r="D290" s="13"/>
      <c r="E290" s="13"/>
      <c r="F290" s="14"/>
      <c r="G290" s="13"/>
      <c r="H290" s="13"/>
      <c r="I290" s="14"/>
    </row>
    <row r="291" spans="1:9" ht="13.15">
      <c r="A291" s="13"/>
      <c r="B291" s="13"/>
      <c r="C291" s="13"/>
      <c r="D291" s="13"/>
      <c r="E291" s="13"/>
      <c r="F291" s="14"/>
      <c r="G291" s="13"/>
      <c r="H291" s="13"/>
      <c r="I291" s="14"/>
    </row>
    <row r="292" spans="1:9" ht="13.15">
      <c r="A292" s="13"/>
      <c r="B292" s="13"/>
      <c r="C292" s="13"/>
      <c r="D292" s="13"/>
      <c r="E292" s="13"/>
      <c r="F292" s="14"/>
      <c r="G292" s="13"/>
      <c r="H292" s="13"/>
      <c r="I292" s="14"/>
    </row>
    <row r="293" spans="1:9" ht="13.15">
      <c r="A293" s="13"/>
      <c r="B293" s="13"/>
      <c r="C293" s="13"/>
      <c r="D293" s="13"/>
      <c r="E293" s="13"/>
      <c r="F293" s="14"/>
      <c r="G293" s="13"/>
      <c r="H293" s="13"/>
      <c r="I293" s="14"/>
    </row>
    <row r="294" spans="1:9" ht="13.15">
      <c r="A294" s="13"/>
      <c r="B294" s="13"/>
      <c r="C294" s="13"/>
      <c r="D294" s="13"/>
      <c r="E294" s="13"/>
      <c r="F294" s="14"/>
      <c r="G294" s="13"/>
      <c r="H294" s="13"/>
      <c r="I294" s="14"/>
    </row>
    <row r="295" spans="1:9" ht="13.15">
      <c r="A295" s="13"/>
      <c r="B295" s="13"/>
      <c r="C295" s="13"/>
      <c r="D295" s="13"/>
      <c r="E295" s="13"/>
      <c r="F295" s="14"/>
      <c r="G295" s="13"/>
      <c r="H295" s="13"/>
      <c r="I295" s="14"/>
    </row>
    <row r="296" spans="1:9" ht="13.15">
      <c r="A296" s="13"/>
      <c r="B296" s="13"/>
      <c r="C296" s="13"/>
      <c r="D296" s="13"/>
      <c r="E296" s="13"/>
      <c r="F296" s="14"/>
      <c r="G296" s="13"/>
      <c r="H296" s="13"/>
      <c r="I296" s="14"/>
    </row>
    <row r="297" spans="1:9" ht="13.15">
      <c r="A297" s="13"/>
      <c r="B297" s="13"/>
      <c r="C297" s="13"/>
      <c r="D297" s="13"/>
      <c r="E297" s="13"/>
      <c r="F297" s="14"/>
      <c r="G297" s="13"/>
      <c r="H297" s="13"/>
      <c r="I297" s="14"/>
    </row>
    <row r="298" spans="1:9" ht="13.15">
      <c r="A298" s="13"/>
      <c r="B298" s="13"/>
      <c r="C298" s="13"/>
      <c r="D298" s="13"/>
      <c r="E298" s="13"/>
      <c r="F298" s="14"/>
      <c r="G298" s="13"/>
      <c r="H298" s="13"/>
      <c r="I298" s="14"/>
    </row>
    <row r="299" spans="1:9" ht="13.15">
      <c r="A299" s="13"/>
      <c r="B299" s="13"/>
      <c r="C299" s="13"/>
      <c r="D299" s="13"/>
      <c r="E299" s="13"/>
      <c r="F299" s="14"/>
      <c r="G299" s="13"/>
      <c r="H299" s="13"/>
      <c r="I299" s="14"/>
    </row>
    <row r="300" spans="1:9" ht="13.15">
      <c r="A300" s="13"/>
      <c r="B300" s="13"/>
      <c r="C300" s="13"/>
      <c r="D300" s="13"/>
      <c r="E300" s="13"/>
      <c r="F300" s="14"/>
      <c r="G300" s="13"/>
      <c r="H300" s="13"/>
      <c r="I300" s="14"/>
    </row>
    <row r="301" spans="1:9" ht="13.15">
      <c r="A301" s="13"/>
      <c r="B301" s="13"/>
      <c r="C301" s="13"/>
      <c r="D301" s="13"/>
      <c r="E301" s="13"/>
      <c r="F301" s="14"/>
      <c r="G301" s="13"/>
      <c r="H301" s="13"/>
      <c r="I301" s="14"/>
    </row>
    <row r="302" spans="1:9" ht="13.15">
      <c r="A302" s="13"/>
      <c r="B302" s="13"/>
      <c r="C302" s="13"/>
      <c r="D302" s="13"/>
      <c r="E302" s="13"/>
      <c r="F302" s="14"/>
      <c r="G302" s="13"/>
      <c r="H302" s="13"/>
      <c r="I302" s="14"/>
    </row>
    <row r="303" spans="1:9" ht="13.15">
      <c r="A303" s="13"/>
      <c r="B303" s="13"/>
      <c r="C303" s="13"/>
      <c r="D303" s="13"/>
      <c r="E303" s="13"/>
      <c r="F303" s="14"/>
      <c r="G303" s="13"/>
      <c r="H303" s="13"/>
      <c r="I303" s="14"/>
    </row>
    <row r="304" spans="1:9" ht="13.15">
      <c r="A304" s="13"/>
      <c r="B304" s="13"/>
      <c r="C304" s="13"/>
      <c r="D304" s="13"/>
      <c r="E304" s="13"/>
      <c r="F304" s="14"/>
      <c r="G304" s="13"/>
      <c r="H304" s="13"/>
      <c r="I304" s="14"/>
    </row>
    <row r="305" spans="1:9" ht="13.15">
      <c r="A305" s="13"/>
      <c r="B305" s="13"/>
      <c r="C305" s="13"/>
      <c r="D305" s="13"/>
      <c r="E305" s="13"/>
      <c r="F305" s="14"/>
      <c r="G305" s="13"/>
      <c r="H305" s="13"/>
      <c r="I305" s="14"/>
    </row>
    <row r="306" spans="1:9" ht="13.15">
      <c r="A306" s="13"/>
      <c r="B306" s="13"/>
      <c r="C306" s="13"/>
      <c r="D306" s="13"/>
      <c r="E306" s="13"/>
      <c r="F306" s="14"/>
      <c r="G306" s="13"/>
      <c r="H306" s="13"/>
      <c r="I306" s="14"/>
    </row>
    <row r="307" spans="1:9" ht="13.15">
      <c r="A307" s="13"/>
      <c r="B307" s="13"/>
      <c r="C307" s="13"/>
      <c r="D307" s="13"/>
      <c r="E307" s="13"/>
      <c r="F307" s="14"/>
      <c r="G307" s="13"/>
      <c r="H307" s="13"/>
      <c r="I307" s="14"/>
    </row>
    <row r="308" spans="1:9" ht="13.15">
      <c r="A308" s="13"/>
      <c r="B308" s="13"/>
      <c r="C308" s="13"/>
      <c r="D308" s="13"/>
      <c r="E308" s="13"/>
      <c r="F308" s="14"/>
      <c r="G308" s="13"/>
      <c r="H308" s="13"/>
      <c r="I308" s="14"/>
    </row>
    <row r="309" spans="1:9" ht="13.15">
      <c r="A309" s="13"/>
      <c r="B309" s="13"/>
      <c r="C309" s="13"/>
      <c r="D309" s="13"/>
      <c r="E309" s="13"/>
      <c r="F309" s="14"/>
      <c r="G309" s="13"/>
      <c r="H309" s="13"/>
      <c r="I309" s="14"/>
    </row>
    <row r="310" spans="1:9" ht="13.15">
      <c r="A310" s="13"/>
      <c r="B310" s="13"/>
      <c r="C310" s="13"/>
      <c r="D310" s="13"/>
      <c r="E310" s="13"/>
      <c r="F310" s="14"/>
      <c r="G310" s="13"/>
      <c r="H310" s="13"/>
      <c r="I310" s="14"/>
    </row>
    <row r="311" spans="1:9" ht="13.15">
      <c r="A311" s="13"/>
      <c r="B311" s="13"/>
      <c r="C311" s="13"/>
      <c r="D311" s="13"/>
      <c r="E311" s="13"/>
      <c r="F311" s="14"/>
      <c r="G311" s="13"/>
      <c r="H311" s="13"/>
      <c r="I311" s="14"/>
    </row>
    <row r="312" spans="1:9" ht="13.15">
      <c r="A312" s="13"/>
      <c r="B312" s="13"/>
      <c r="C312" s="13"/>
      <c r="D312" s="13"/>
      <c r="E312" s="13"/>
      <c r="F312" s="14"/>
      <c r="G312" s="13"/>
      <c r="H312" s="13"/>
      <c r="I312" s="14"/>
    </row>
    <row r="313" spans="1:9" ht="13.15">
      <c r="A313" s="13"/>
      <c r="B313" s="13"/>
      <c r="C313" s="13"/>
      <c r="D313" s="13"/>
      <c r="E313" s="13"/>
      <c r="F313" s="14"/>
      <c r="G313" s="13"/>
      <c r="H313" s="13"/>
      <c r="I313" s="14"/>
    </row>
    <row r="314" spans="1:9" ht="13.15">
      <c r="A314" s="13"/>
      <c r="B314" s="13"/>
      <c r="C314" s="13"/>
      <c r="D314" s="13"/>
      <c r="E314" s="13"/>
      <c r="F314" s="14"/>
      <c r="G314" s="13"/>
      <c r="H314" s="13"/>
      <c r="I314" s="14"/>
    </row>
    <row r="315" spans="1:9" ht="13.15">
      <c r="A315" s="13"/>
      <c r="B315" s="13"/>
      <c r="C315" s="13"/>
      <c r="D315" s="13"/>
      <c r="E315" s="13"/>
      <c r="F315" s="14"/>
      <c r="G315" s="13"/>
      <c r="H315" s="13"/>
      <c r="I315" s="14"/>
    </row>
    <row r="316" spans="1:9" ht="13.15">
      <c r="A316" s="13"/>
      <c r="B316" s="13"/>
      <c r="C316" s="13"/>
      <c r="D316" s="13"/>
      <c r="E316" s="13"/>
      <c r="F316" s="14"/>
      <c r="G316" s="13"/>
      <c r="H316" s="13"/>
      <c r="I316" s="14"/>
    </row>
    <row r="317" spans="1:9" ht="13.15">
      <c r="A317" s="13"/>
      <c r="B317" s="13"/>
      <c r="C317" s="13"/>
      <c r="D317" s="13"/>
      <c r="E317" s="13"/>
      <c r="F317" s="14"/>
      <c r="G317" s="13"/>
      <c r="H317" s="13"/>
      <c r="I317" s="14"/>
    </row>
    <row r="318" spans="1:9" ht="13.15">
      <c r="A318" s="13"/>
      <c r="B318" s="13"/>
      <c r="C318" s="13"/>
      <c r="D318" s="13"/>
      <c r="E318" s="13"/>
      <c r="F318" s="14"/>
      <c r="G318" s="13"/>
      <c r="H318" s="13"/>
      <c r="I318" s="14"/>
    </row>
    <row r="319" spans="1:9" ht="13.15">
      <c r="A319" s="13"/>
      <c r="B319" s="13"/>
      <c r="C319" s="13"/>
      <c r="D319" s="13"/>
      <c r="E319" s="13"/>
      <c r="F319" s="14"/>
      <c r="G319" s="13"/>
      <c r="H319" s="13"/>
      <c r="I319" s="14"/>
    </row>
    <row r="320" spans="1:9" ht="13.15">
      <c r="A320" s="13"/>
      <c r="B320" s="13"/>
      <c r="C320" s="13"/>
      <c r="D320" s="13"/>
      <c r="E320" s="13"/>
      <c r="F320" s="14"/>
      <c r="G320" s="13"/>
      <c r="H320" s="13"/>
      <c r="I320" s="14"/>
    </row>
    <row r="321" spans="1:9" ht="13.15">
      <c r="A321" s="13"/>
      <c r="B321" s="13"/>
      <c r="C321" s="13"/>
      <c r="D321" s="13"/>
      <c r="E321" s="13"/>
      <c r="F321" s="14"/>
      <c r="G321" s="13"/>
      <c r="H321" s="13"/>
      <c r="I321" s="14"/>
    </row>
    <row r="322" spans="1:9" ht="13.15">
      <c r="A322" s="13"/>
      <c r="B322" s="13"/>
      <c r="C322" s="13"/>
      <c r="D322" s="13"/>
      <c r="E322" s="13"/>
      <c r="F322" s="14"/>
      <c r="G322" s="13"/>
      <c r="H322" s="13"/>
      <c r="I322" s="14"/>
    </row>
    <row r="323" spans="1:9" ht="13.15">
      <c r="A323" s="13"/>
      <c r="B323" s="13"/>
      <c r="C323" s="13"/>
      <c r="D323" s="13"/>
      <c r="E323" s="13"/>
      <c r="F323" s="14"/>
      <c r="G323" s="13"/>
      <c r="H323" s="13"/>
      <c r="I323" s="14"/>
    </row>
    <row r="324" spans="1:9" ht="13.15">
      <c r="A324" s="13"/>
      <c r="B324" s="13"/>
      <c r="C324" s="13"/>
      <c r="D324" s="13"/>
      <c r="E324" s="13"/>
      <c r="F324" s="14"/>
      <c r="G324" s="13"/>
      <c r="H324" s="13"/>
      <c r="I324" s="14"/>
    </row>
    <row r="325" spans="1:9" ht="13.15">
      <c r="A325" s="13"/>
      <c r="B325" s="13"/>
      <c r="C325" s="13"/>
      <c r="D325" s="13"/>
      <c r="E325" s="13"/>
      <c r="F325" s="14"/>
      <c r="G325" s="13"/>
      <c r="H325" s="13"/>
      <c r="I325" s="14"/>
    </row>
    <row r="326" spans="1:9" ht="13.15">
      <c r="A326" s="13"/>
      <c r="B326" s="13"/>
      <c r="C326" s="13"/>
      <c r="D326" s="13"/>
      <c r="E326" s="13"/>
      <c r="F326" s="14"/>
      <c r="G326" s="13"/>
      <c r="H326" s="13"/>
      <c r="I326" s="14"/>
    </row>
    <row r="327" spans="1:9" ht="13.15">
      <c r="A327" s="13"/>
      <c r="B327" s="13"/>
      <c r="C327" s="13"/>
      <c r="D327" s="13"/>
      <c r="E327" s="13"/>
      <c r="F327" s="14"/>
      <c r="G327" s="13"/>
      <c r="H327" s="13"/>
      <c r="I327" s="14"/>
    </row>
    <row r="328" spans="1:9" ht="13.15">
      <c r="A328" s="13"/>
      <c r="B328" s="13"/>
      <c r="C328" s="13"/>
      <c r="D328" s="13"/>
      <c r="E328" s="13"/>
      <c r="F328" s="14"/>
      <c r="G328" s="13"/>
      <c r="H328" s="13"/>
      <c r="I328" s="14"/>
    </row>
    <row r="329" spans="1:9" ht="13.15">
      <c r="A329" s="13"/>
      <c r="B329" s="13"/>
      <c r="C329" s="13"/>
      <c r="D329" s="13"/>
      <c r="E329" s="13"/>
      <c r="F329" s="14"/>
      <c r="G329" s="13"/>
      <c r="H329" s="13"/>
      <c r="I329" s="14"/>
    </row>
    <row r="330" spans="1:9" ht="13.15">
      <c r="A330" s="13"/>
      <c r="B330" s="13"/>
      <c r="C330" s="13"/>
      <c r="D330" s="13"/>
      <c r="E330" s="13"/>
      <c r="F330" s="14"/>
      <c r="G330" s="13"/>
      <c r="H330" s="13"/>
      <c r="I330" s="14"/>
    </row>
    <row r="331" spans="1:9" ht="13.15">
      <c r="A331" s="13"/>
      <c r="B331" s="13"/>
      <c r="C331" s="13"/>
      <c r="D331" s="13"/>
      <c r="E331" s="13"/>
      <c r="F331" s="14"/>
      <c r="G331" s="13"/>
      <c r="H331" s="13"/>
      <c r="I331" s="14"/>
    </row>
    <row r="332" spans="1:9" ht="13.15">
      <c r="A332" s="13"/>
      <c r="B332" s="13"/>
      <c r="C332" s="13"/>
      <c r="D332" s="13"/>
      <c r="E332" s="13"/>
      <c r="F332" s="14"/>
      <c r="G332" s="13"/>
      <c r="H332" s="13"/>
      <c r="I332" s="14"/>
    </row>
    <row r="333" spans="1:9" ht="13.15">
      <c r="A333" s="13"/>
      <c r="B333" s="13"/>
      <c r="C333" s="13"/>
      <c r="D333" s="13"/>
      <c r="E333" s="13"/>
      <c r="F333" s="14"/>
      <c r="G333" s="13"/>
      <c r="H333" s="13"/>
      <c r="I333" s="14"/>
    </row>
    <row r="334" spans="1:9" ht="13.15">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4" activePane="bottomRight" state="frozen"/>
      <selection pane="bottomRight" activeCell="H11" sqref="H11"/>
      <selection pane="bottomLeft" activeCell="A18" sqref="A18:XFD24"/>
      <selection pane="topRight" activeCell="A18" sqref="A18:XFD2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10</v>
      </c>
      <c r="E1" s="81"/>
      <c r="F1" s="81"/>
      <c r="G1" s="79" t="s">
        <v>11</v>
      </c>
      <c r="H1" s="79"/>
      <c r="I1" s="79"/>
    </row>
    <row r="2" spans="1:9" ht="19.5" customHeight="1">
      <c r="A2" s="82" t="s">
        <v>2</v>
      </c>
      <c r="B2" s="82"/>
      <c r="C2" s="5">
        <f>SUM(C4:C92)</f>
        <v>5923301.0999521436</v>
      </c>
      <c r="D2" s="5">
        <f>SUM(D4:D92)</f>
        <v>7368149.3230000008</v>
      </c>
      <c r="E2" s="5">
        <f>C2-D2</f>
        <v>-1444848.2230478572</v>
      </c>
      <c r="F2" s="6">
        <f>IFERROR(E2/D2, 0)</f>
        <v>-0.19609377602292888</v>
      </c>
      <c r="G2" s="5">
        <f>SUM(G4:G92)</f>
        <v>8460490.5099999979</v>
      </c>
      <c r="H2" s="7">
        <f>C2-G2</f>
        <v>-2537189.4100478543</v>
      </c>
      <c r="I2" s="6">
        <f>IFERROR(H2/G2, 0)</f>
        <v>-0.29988679817665265</v>
      </c>
    </row>
    <row r="3" spans="1:9" ht="14.25" customHeight="1">
      <c r="A3" s="17" t="s">
        <v>3</v>
      </c>
      <c r="B3" s="17" t="s">
        <v>4</v>
      </c>
      <c r="C3" s="25" t="s">
        <v>5</v>
      </c>
      <c r="D3" s="26" t="s">
        <v>6</v>
      </c>
      <c r="E3" s="26" t="s">
        <v>7</v>
      </c>
      <c r="F3" s="27" t="s">
        <v>8</v>
      </c>
      <c r="G3" s="28" t="s">
        <v>9</v>
      </c>
      <c r="H3" s="29" t="s">
        <v>7</v>
      </c>
      <c r="I3" s="30" t="s">
        <v>8</v>
      </c>
    </row>
    <row r="4" spans="1:9" ht="15.75">
      <c r="A4" s="53" t="str" cm="1">
        <f t="array" ref="A4:A20">Sites[Site]</f>
        <v>Fresno - 3150 Shaw Ave</v>
      </c>
      <c r="B4" s="33" t="str" cm="1">
        <f t="array" ref="B4:B20">Sites[State]</f>
        <v>CA</v>
      </c>
      <c r="C4" s="34">
        <f>SUM(Jan!C4, Feb!C4, Mar!C4)</f>
        <v>192358.5656249999</v>
      </c>
      <c r="D4" s="35">
        <f>SUM(Jan!D4, Feb!D4, Mar!D4)</f>
        <v>190192.12</v>
      </c>
      <c r="E4" s="35">
        <f>IF(AND(ISNUMBER(C4),ISNUMBER(D4)), C4-D4, "")</f>
        <v>2166.4456249999057</v>
      </c>
      <c r="F4" s="36">
        <f>IFERROR(E4/D4, "")</f>
        <v>1.1390827469612862E-2</v>
      </c>
      <c r="G4" s="37">
        <f>SUM(Jan!G4, Feb!G4, Mar!G4)</f>
        <v>217612.88</v>
      </c>
      <c r="H4" s="37">
        <f>SUM(Jan!H4, Feb!H4, Mar!H4)</f>
        <v>-25254.314375000096</v>
      </c>
      <c r="I4" s="38">
        <f>IFERROR(H4/G4, "")</f>
        <v>-0.11605156080375434</v>
      </c>
    </row>
    <row r="5" spans="1:9" ht="15.75">
      <c r="A5" s="54" t="str">
        <v>Adelanto - 1 Sheep Creek Road</v>
      </c>
      <c r="B5" s="40" t="str">
        <v>CA</v>
      </c>
      <c r="C5" s="41">
        <f>SUM(Jan!C5, Feb!C5, Mar!C5)</f>
        <v>698121</v>
      </c>
      <c r="D5" s="42">
        <f>SUM(Jan!D5, Feb!D5, Mar!D5)</f>
        <v>899827.54</v>
      </c>
      <c r="E5" s="42">
        <f t="shared" ref="E5:E15" si="0">IF(AND(ISNUMBER(C5),ISNUMBER(D5)), C5-D5, "")</f>
        <v>-201706.54000000004</v>
      </c>
      <c r="F5" s="43">
        <f>IFERROR(E5/D5, "")</f>
        <v>-0.22416133207036543</v>
      </c>
      <c r="G5" s="44">
        <f>SUM(Jan!G5, Feb!G5, Mar!G5)</f>
        <v>1896484.4500000002</v>
      </c>
      <c r="H5" s="44">
        <f>SUM(Jan!H5, Feb!H5, Mar!H5)</f>
        <v>-1198363.4500000002</v>
      </c>
      <c r="I5" s="43">
        <f>IFERROR(H5/G5, "")</f>
        <v>-0.63188677871838073</v>
      </c>
    </row>
    <row r="6" spans="1:9" ht="15.75">
      <c r="A6" s="53" t="str">
        <v>Blackstone - 83 Federal Street</v>
      </c>
      <c r="B6" s="33" t="str">
        <v>MA</v>
      </c>
      <c r="C6" s="34">
        <f>SUM(Jan!C6, Feb!C6, Mar!C6)</f>
        <v>1021429</v>
      </c>
      <c r="D6" s="35">
        <f>SUM(Jan!D6, Feb!D6, Mar!D6)</f>
        <v>1250983.5</v>
      </c>
      <c r="E6" s="35">
        <f t="shared" si="0"/>
        <v>-229554.5</v>
      </c>
      <c r="F6" s="36">
        <f t="shared" ref="F6:F15" si="1">IFERROR(E6/D6, "")</f>
        <v>-0.18349922281149192</v>
      </c>
      <c r="G6" s="37">
        <f>SUM(Jan!G6, Feb!G6, Mar!G6)</f>
        <v>1492708.2999999998</v>
      </c>
      <c r="H6" s="37">
        <f>SUM(Jan!H6, Feb!H6, Mar!H6)</f>
        <v>-471279.3</v>
      </c>
      <c r="I6" s="38">
        <f t="shared" ref="I6:I15" si="2">IFERROR(H6/G6, "")</f>
        <v>-0.31572096169090774</v>
      </c>
    </row>
    <row r="7" spans="1:9" ht="15.75">
      <c r="A7" s="54" t="str">
        <v>Charlton - 299 Worcester Road</v>
      </c>
      <c r="B7" s="40" t="str">
        <v>MA</v>
      </c>
      <c r="C7" s="41">
        <f>SUM(Jan!C7, Feb!C7, Mar!C7)</f>
        <v>106387.5</v>
      </c>
      <c r="D7" s="42">
        <f>SUM(Jan!D7, Feb!D7, Mar!D7)</f>
        <v>122897.92</v>
      </c>
      <c r="E7" s="42">
        <f t="shared" si="0"/>
        <v>-16510.419999999998</v>
      </c>
      <c r="F7" s="43">
        <f t="shared" si="1"/>
        <v>-0.13434255030516382</v>
      </c>
      <c r="G7" s="44">
        <f>SUM(Jan!G7, Feb!G7, Mar!G7)</f>
        <v>124156.29</v>
      </c>
      <c r="H7" s="44">
        <f>SUM(Jan!H7, Feb!H7, Mar!H7)</f>
        <v>-17768.789999999997</v>
      </c>
      <c r="I7" s="43">
        <f t="shared" si="2"/>
        <v>-0.14311630929049182</v>
      </c>
    </row>
    <row r="8" spans="1:9" ht="15.75">
      <c r="A8" s="53" t="str">
        <v>Wareham - 8 Thatcher Drive</v>
      </c>
      <c r="B8" s="33" t="str">
        <v>MA</v>
      </c>
      <c r="C8" s="34">
        <f>SUM(Jan!C8, Feb!C8, Mar!C8)</f>
        <v>26732.624999999651</v>
      </c>
      <c r="D8" s="35">
        <f>SUM(Jan!D8, Feb!D8, Mar!D8)</f>
        <v>32689.431</v>
      </c>
      <c r="E8" s="35">
        <f t="shared" si="0"/>
        <v>-5956.8060000003497</v>
      </c>
      <c r="F8" s="36">
        <f t="shared" si="1"/>
        <v>-0.18222421797431559</v>
      </c>
      <c r="G8" s="37">
        <f>SUM(Jan!G8, Feb!G8, Mar!G8)</f>
        <v>36054.828999999998</v>
      </c>
      <c r="H8" s="37">
        <f>SUM(Jan!H8, Feb!H8, Mar!H8)</f>
        <v>-9322.2040000003508</v>
      </c>
      <c r="I8" s="38">
        <f t="shared" si="2"/>
        <v>-0.25855632264960543</v>
      </c>
    </row>
    <row r="9" spans="1:9" ht="15.75">
      <c r="A9" s="54" t="str">
        <v>West Yarmouth - 42 Mid Tech</v>
      </c>
      <c r="B9" s="40" t="str">
        <v>MA</v>
      </c>
      <c r="C9" s="41">
        <f>SUM(Jan!C9, Feb!C9, Mar!C9)</f>
        <v>21092.294170894031</v>
      </c>
      <c r="D9" s="42">
        <f>SUM(Jan!D9, Feb!D9, Mar!D9)</f>
        <v>26594.646000000001</v>
      </c>
      <c r="E9" s="42">
        <f t="shared" si="0"/>
        <v>-5502.35182910597</v>
      </c>
      <c r="F9" s="43">
        <f t="shared" si="1"/>
        <v>-0.20689697577121235</v>
      </c>
      <c r="G9" s="44">
        <f>SUM(Jan!G9, Feb!G9, Mar!G9)</f>
        <v>27861.181</v>
      </c>
      <c r="H9" s="44">
        <f>SUM(Jan!H9, Feb!H9, Mar!H9)</f>
        <v>-6768.8868291059707</v>
      </c>
      <c r="I9" s="43">
        <f t="shared" si="2"/>
        <v>-0.24295046319486494</v>
      </c>
    </row>
    <row r="10" spans="1:9" ht="15.75">
      <c r="A10" s="53" t="str">
        <v>Harrison - 130 Union Street</v>
      </c>
      <c r="B10" s="33" t="str">
        <v>NY</v>
      </c>
      <c r="C10" s="34">
        <f>SUM(Jan!C10, Feb!C10, Mar!C10)</f>
        <v>38110</v>
      </c>
      <c r="D10" s="35">
        <f>SUM(Jan!D10, Feb!D10, Mar!D10)</f>
        <v>49114.895999999993</v>
      </c>
      <c r="E10" s="35">
        <f t="shared" si="0"/>
        <v>-11004.895999999993</v>
      </c>
      <c r="F10" s="36">
        <f t="shared" si="1"/>
        <v>-0.22406432459920092</v>
      </c>
      <c r="G10" s="37">
        <f>SUM(Jan!G10, Feb!G10, Mar!G10)</f>
        <v>46444.25</v>
      </c>
      <c r="H10" s="37">
        <f>SUM(Jan!H10, Feb!H10, Mar!H10)</f>
        <v>-8334.25</v>
      </c>
      <c r="I10" s="38">
        <f t="shared" si="2"/>
        <v>-0.17944632543318065</v>
      </c>
    </row>
    <row r="11" spans="1:9" ht="15.75">
      <c r="A11" s="54" t="str">
        <v>Staten Island - Ellis Storage</v>
      </c>
      <c r="B11" s="40" t="str">
        <v>NY</v>
      </c>
      <c r="C11" s="41">
        <f>SUM(Jan!C11, Feb!C11, Mar!C11)</f>
        <v>90871.75</v>
      </c>
      <c r="D11" s="42">
        <f>SUM(Jan!D11, Feb!D11, Mar!D11)</f>
        <v>116168.45999999999</v>
      </c>
      <c r="E11" s="42">
        <f t="shared" si="0"/>
        <v>-25296.709999999992</v>
      </c>
      <c r="F11" s="43">
        <f t="shared" si="1"/>
        <v>-0.21775884779741414</v>
      </c>
      <c r="G11" s="44">
        <f>SUM(Jan!G11, Feb!G11, Mar!G11)</f>
        <v>102799.02</v>
      </c>
      <c r="H11" s="44">
        <f>SUM(Jan!H11, Feb!H11, Mar!H11)</f>
        <v>-11927.27</v>
      </c>
      <c r="I11" s="43">
        <f t="shared" si="2"/>
        <v>-0.11602513331352769</v>
      </c>
    </row>
    <row r="12" spans="1:9" ht="15.75">
      <c r="A12" s="53" t="str">
        <v>Amherst - 595 Scholles Road</v>
      </c>
      <c r="B12" s="33" t="str">
        <v>NY</v>
      </c>
      <c r="C12" s="34">
        <f>SUM(Jan!C12, Feb!C12, Mar!C12)</f>
        <v>1004650</v>
      </c>
      <c r="D12" s="35">
        <f>SUM(Jan!D12, Feb!D12, Mar!D12)</f>
        <v>1305937.17</v>
      </c>
      <c r="E12" s="35">
        <f t="shared" si="0"/>
        <v>-301287.16999999993</v>
      </c>
      <c r="F12" s="36">
        <f t="shared" si="1"/>
        <v>-0.23070571611036994</v>
      </c>
      <c r="G12" s="37">
        <f>SUM(Jan!G12, Feb!G12, Mar!G12)</f>
        <v>1513702</v>
      </c>
      <c r="H12" s="37">
        <f>SUM(Jan!H12, Feb!H12, Mar!H12)</f>
        <v>-509052</v>
      </c>
      <c r="I12" s="38">
        <f t="shared" si="2"/>
        <v>-0.33629604770291643</v>
      </c>
    </row>
    <row r="13" spans="1:9" ht="15.75">
      <c r="A13" s="54" t="str">
        <v>Lancaster 1 - Gunnville Road</v>
      </c>
      <c r="B13" s="40" t="str">
        <v>NY</v>
      </c>
      <c r="C13" s="41">
        <f>SUM(Jan!C13, Feb!C13, Mar!C13)</f>
        <v>993680</v>
      </c>
      <c r="D13" s="42">
        <f>SUM(Jan!D13, Feb!D13, Mar!D13)</f>
        <v>1203596.5</v>
      </c>
      <c r="E13" s="42">
        <f t="shared" si="0"/>
        <v>-209916.5</v>
      </c>
      <c r="F13" s="43">
        <f t="shared" si="1"/>
        <v>-0.17440770224905108</v>
      </c>
      <c r="G13" s="44">
        <f>SUM(Jan!G13, Feb!G13, Mar!G13)</f>
        <v>1025700</v>
      </c>
      <c r="H13" s="44">
        <f>SUM(Jan!H13, Feb!H13, Mar!H13)</f>
        <v>-32019.999999999942</v>
      </c>
      <c r="I13" s="43">
        <f t="shared" si="2"/>
        <v>-3.1217704981963482E-2</v>
      </c>
    </row>
    <row r="14" spans="1:9" ht="15.75">
      <c r="A14" s="53" t="str">
        <v>Lancaster 2 - Shisler Road</v>
      </c>
      <c r="B14" s="33" t="str">
        <v>NY</v>
      </c>
      <c r="C14" s="34">
        <f>SUM(Jan!C14, Feb!C14, Mar!C14)</f>
        <v>951657</v>
      </c>
      <c r="D14" s="35">
        <f>SUM(Jan!D14, Feb!D14, Mar!D14)</f>
        <v>1317386.2</v>
      </c>
      <c r="E14" s="35">
        <f t="shared" si="0"/>
        <v>-365729.19999999995</v>
      </c>
      <c r="F14" s="36">
        <f t="shared" si="1"/>
        <v>-0.27761730007495145</v>
      </c>
      <c r="G14" s="37">
        <f>SUM(Jan!G14, Feb!G14, Mar!G14)</f>
        <v>1119615.1000000001</v>
      </c>
      <c r="H14" s="37">
        <f>SUM(Jan!H14, Feb!H14, Mar!H14)</f>
        <v>-167958.09999999998</v>
      </c>
      <c r="I14" s="38">
        <f t="shared" si="2"/>
        <v>-0.15001414325333765</v>
      </c>
    </row>
    <row r="15" spans="1:9" ht="15.75">
      <c r="A15" s="54" t="str">
        <v>Fullerton - 200 W Orangethorpe</v>
      </c>
      <c r="B15" s="40" t="str">
        <v>CA</v>
      </c>
      <c r="C15" s="41">
        <f>SUM(Jan!C15, Feb!C15, Mar!C15)</f>
        <v>228387.86515625002</v>
      </c>
      <c r="D15" s="42">
        <f>SUM(Jan!D15, Feb!D15, Mar!D15)</f>
        <v>237208.44</v>
      </c>
      <c r="E15" s="42">
        <f t="shared" si="0"/>
        <v>-8820.574843749986</v>
      </c>
      <c r="F15" s="43">
        <f t="shared" si="1"/>
        <v>-3.7184911480173242E-2</v>
      </c>
      <c r="G15" s="44">
        <f>SUM(Jan!G15, Feb!G15, Mar!G15)</f>
        <v>268566.67000000004</v>
      </c>
      <c r="H15" s="44">
        <f>SUM(Jan!H15, Feb!H15, Mar!H15)</f>
        <v>-40178.804843750004</v>
      </c>
      <c r="I15" s="43">
        <f t="shared" si="2"/>
        <v>-0.14960458363560153</v>
      </c>
    </row>
    <row r="16" spans="1:9" ht="15.75">
      <c r="A16" s="53" t="str">
        <v>El Paso - 10500 Railroad Drive</v>
      </c>
      <c r="B16" s="33" t="str">
        <v>TX</v>
      </c>
      <c r="C16" s="34">
        <f>SUM(Jan!C16, Feb!C16, Mar!C16)</f>
        <v>302499.25</v>
      </c>
      <c r="D16" s="35">
        <f>SUM(Jan!D16, Feb!D16, Mar!D16)</f>
        <v>350397.5</v>
      </c>
      <c r="E16" s="35">
        <f t="shared" ref="E16:F19" si="3">IF(AND(ISNUMBER(C16),ISNUMBER(D16)), C16-D16, "")</f>
        <v>-47898.25</v>
      </c>
      <c r="F16" s="36">
        <f t="shared" ref="F16:F20" si="4">IFERROR(E16/D16, "")</f>
        <v>-0.13669689424153997</v>
      </c>
      <c r="G16" s="37">
        <f>SUM(Jan!G16, Feb!G16, Mar!G16)</f>
        <v>330854.96999999997</v>
      </c>
      <c r="H16" s="37">
        <f>SUM(Jan!H16, Feb!H16, Mar!H16)</f>
        <v>-28355.72</v>
      </c>
      <c r="I16" s="38">
        <f t="shared" ref="I16:I20" si="5">IFERROR(H16/G16, "")</f>
        <v>-8.570437977703646E-2</v>
      </c>
    </row>
    <row r="17" spans="1:9" ht="15.75">
      <c r="A17" s="54" t="str">
        <v>Friona - 900 Millard Ave</v>
      </c>
      <c r="B17" s="40" t="str">
        <v>TX</v>
      </c>
      <c r="C17" s="41">
        <f>SUM(Jan!C17, Feb!C17, Mar!C17)</f>
        <v>247324.25</v>
      </c>
      <c r="D17" s="42">
        <f>SUM(Jan!D17, Feb!D17, Mar!D17)</f>
        <v>265155</v>
      </c>
      <c r="E17" s="42">
        <f t="shared" si="3"/>
        <v>-17830.75</v>
      </c>
      <c r="F17" s="43">
        <f t="shared" si="4"/>
        <v>-6.7246516188644384E-2</v>
      </c>
      <c r="G17" s="44">
        <f>SUM(Jan!G17, Feb!G17, Mar!G17)</f>
        <v>257930.57</v>
      </c>
      <c r="H17" s="44">
        <f>SUM(Jan!H17, Feb!H17, Mar!H17)</f>
        <v>-10606.319999999992</v>
      </c>
      <c r="I17" s="43">
        <f t="shared" si="5"/>
        <v>-4.1120833408773504E-2</v>
      </c>
    </row>
    <row r="18" spans="1:9" ht="15.75">
      <c r="A18" s="53" t="str">
        <v>Augusta - 13 York Farm Road</v>
      </c>
      <c r="B18" s="33" t="str">
        <v>ME</v>
      </c>
      <c r="C18" s="34">
        <f>SUM(Jan!C18, Feb!C18, Mar!C18)</f>
        <v>0</v>
      </c>
      <c r="D18" s="35">
        <f>SUM(Jan!D18, Feb!D18, Mar!D18)</f>
        <v>0</v>
      </c>
      <c r="E18" s="35">
        <f>IF(AND(ISNUMBER(C18),ISNUMBER(D18)), C18-D18, "")</f>
        <v>0</v>
      </c>
      <c r="F18" s="36" t="str">
        <f t="shared" si="4"/>
        <v/>
      </c>
      <c r="G18" s="37">
        <f>SUM(Jan!G18, Feb!G18, Mar!G18)</f>
        <v>0</v>
      </c>
      <c r="H18" s="37">
        <f>SUM(Jan!H18, Feb!H18, Mar!H18)</f>
        <v>0</v>
      </c>
      <c r="I18" s="38" t="str">
        <f t="shared" si="5"/>
        <v/>
      </c>
    </row>
    <row r="19" spans="1:9" ht="15.75">
      <c r="A19" s="54" t="str">
        <v xml:space="preserve">Santa Ana - 1441 West </v>
      </c>
      <c r="B19" s="40" t="str">
        <v>CA</v>
      </c>
      <c r="C19" s="41">
        <f>SUM(Jan!C19, Feb!C19, Mar!C19)</f>
        <v>0</v>
      </c>
      <c r="D19" s="42">
        <f>SUM(Jan!D19, Feb!D19, Mar!D19)</f>
        <v>0</v>
      </c>
      <c r="E19" s="42">
        <f t="shared" si="3"/>
        <v>0</v>
      </c>
      <c r="F19" s="43" t="str">
        <f t="shared" si="4"/>
        <v/>
      </c>
      <c r="G19" s="44">
        <f>SUM(Jan!G19, Feb!G19, Mar!G19)</f>
        <v>0</v>
      </c>
      <c r="H19" s="44">
        <f>SUM(Jan!H19, Feb!H19, Mar!H19)</f>
        <v>0</v>
      </c>
      <c r="I19" s="43" t="str">
        <f t="shared" si="5"/>
        <v/>
      </c>
    </row>
    <row r="20" spans="1:9" ht="15.75">
      <c r="A20" s="53" t="str">
        <v>Jessup -7950 Oceano Ave</v>
      </c>
      <c r="B20" s="33" t="str">
        <v>MD</v>
      </c>
      <c r="C20" s="34">
        <f>SUM(Jan!C20, Feb!C20, Mar!C20)</f>
        <v>0</v>
      </c>
      <c r="D20" s="35">
        <f>SUM(Jan!D20, Feb!D20, Mar!D20)</f>
        <v>0</v>
      </c>
      <c r="E20" s="35">
        <f>IF(AND(ISNUMBER(C20),ISNUMBER(D20)), C20-D20, "")</f>
        <v>0</v>
      </c>
      <c r="F20" s="36" t="str">
        <f t="shared" si="4"/>
        <v/>
      </c>
      <c r="G20" s="37">
        <f>SUM(Jan!G20, Feb!G20, Mar!G20)</f>
        <v>0</v>
      </c>
      <c r="H20" s="37">
        <f>SUM(Jan!H20, Feb!H20, Mar!H20)</f>
        <v>0</v>
      </c>
      <c r="I20" s="38" t="str">
        <f t="shared" si="5"/>
        <v/>
      </c>
    </row>
    <row r="21" spans="1:9" ht="13.15">
      <c r="A21" s="13"/>
      <c r="B21" s="13"/>
      <c r="C21" s="13"/>
      <c r="D21" s="13"/>
      <c r="E21" s="13"/>
      <c r="F21" s="13"/>
      <c r="G21" s="13"/>
      <c r="H21" s="13"/>
      <c r="I21" s="13"/>
    </row>
    <row r="22" spans="1:9" ht="13.15">
      <c r="A22" s="13"/>
      <c r="B22" s="13"/>
      <c r="C22" s="13"/>
      <c r="D22" s="13"/>
      <c r="E22" s="13"/>
      <c r="F22" s="13"/>
      <c r="G22" s="13"/>
      <c r="H22" s="13"/>
      <c r="I22" s="13"/>
    </row>
    <row r="23" spans="1:9" ht="13.15">
      <c r="A23" s="13"/>
      <c r="B23" s="13"/>
      <c r="C23" s="13"/>
      <c r="D23" s="13"/>
      <c r="E23" s="13"/>
      <c r="F23" s="13"/>
      <c r="G23" s="13"/>
      <c r="H23" s="13"/>
      <c r="I23" s="13"/>
    </row>
    <row r="24" spans="1:9" ht="13.15">
      <c r="A24" s="13"/>
      <c r="B24" s="13"/>
      <c r="C24" s="13"/>
      <c r="D24" s="13"/>
      <c r="E24" s="13"/>
      <c r="F24" s="13"/>
      <c r="G24" s="13"/>
      <c r="H24" s="13"/>
      <c r="I24" s="13"/>
    </row>
    <row r="25" spans="1:9" ht="13.15">
      <c r="A25" s="13"/>
      <c r="B25" s="13"/>
      <c r="C25" s="13"/>
      <c r="D25" s="13"/>
      <c r="E25" s="13"/>
      <c r="F25" s="14"/>
      <c r="G25" s="13"/>
      <c r="H25" s="13"/>
      <c r="I25" s="14"/>
    </row>
    <row r="26" spans="1:9" ht="13.15">
      <c r="A26" s="13"/>
      <c r="B26" s="13"/>
      <c r="C26" s="13"/>
      <c r="D26" s="13"/>
      <c r="E26" s="13"/>
      <c r="F26" s="14"/>
      <c r="G26" s="13"/>
      <c r="H26" s="13"/>
      <c r="I26" s="14"/>
    </row>
    <row r="27" spans="1:9" ht="13.15">
      <c r="A27" s="13"/>
      <c r="B27" s="13"/>
      <c r="C27" s="13"/>
      <c r="D27" s="13"/>
      <c r="E27" s="13"/>
      <c r="F27" s="14"/>
      <c r="G27" s="13"/>
      <c r="H27" s="13"/>
      <c r="I27" s="14"/>
    </row>
    <row r="28" spans="1:9" ht="13.15">
      <c r="A28" s="13"/>
      <c r="B28" s="13"/>
      <c r="C28" s="13"/>
      <c r="D28" s="13"/>
      <c r="E28" s="13"/>
      <c r="F28" s="14"/>
      <c r="G28" s="13"/>
      <c r="H28" s="13"/>
      <c r="I28" s="14"/>
    </row>
    <row r="29" spans="1:9" ht="13.15">
      <c r="A29" s="13"/>
      <c r="B29" s="13"/>
      <c r="C29" s="13"/>
      <c r="D29" s="13"/>
      <c r="E29" s="13"/>
      <c r="F29" s="14"/>
      <c r="G29" s="13"/>
      <c r="H29" s="13"/>
      <c r="I29" s="14"/>
    </row>
    <row r="30" spans="1:9" ht="13.15">
      <c r="A30" s="13"/>
      <c r="B30" s="13"/>
      <c r="C30" s="13"/>
      <c r="D30" s="13"/>
      <c r="E30" s="13"/>
      <c r="F30" s="14"/>
      <c r="G30" s="13"/>
      <c r="H30" s="13"/>
      <c r="I30" s="14"/>
    </row>
    <row r="31" spans="1:9" ht="13.15">
      <c r="A31" s="13"/>
      <c r="B31" s="13"/>
      <c r="C31" s="13"/>
      <c r="D31" s="13"/>
      <c r="E31" s="13"/>
      <c r="F31" s="14"/>
      <c r="G31" s="13"/>
      <c r="H31" s="13"/>
      <c r="I31" s="14"/>
    </row>
    <row r="32" spans="1:9" ht="13.15">
      <c r="A32" s="13"/>
      <c r="B32" s="13"/>
      <c r="C32" s="13"/>
      <c r="D32" s="13"/>
      <c r="E32" s="13"/>
      <c r="F32" s="14"/>
      <c r="G32" s="13"/>
      <c r="H32" s="13"/>
      <c r="I32" s="14"/>
    </row>
    <row r="33" spans="1:9" ht="13.15">
      <c r="A33" s="13"/>
      <c r="B33" s="13"/>
      <c r="C33" s="13"/>
      <c r="D33" s="13"/>
      <c r="E33" s="13"/>
      <c r="F33" s="14"/>
      <c r="G33" s="13"/>
      <c r="H33" s="13"/>
      <c r="I33" s="14"/>
    </row>
    <row r="34" spans="1:9" ht="13.15">
      <c r="A34" s="13"/>
      <c r="B34" s="13"/>
      <c r="C34" s="13"/>
      <c r="D34" s="13"/>
      <c r="E34" s="13"/>
      <c r="F34" s="14"/>
      <c r="G34" s="13"/>
      <c r="H34" s="13"/>
      <c r="I34" s="14"/>
    </row>
    <row r="35" spans="1:9" ht="13.15">
      <c r="A35" s="13"/>
      <c r="B35" s="13"/>
      <c r="C35" s="13"/>
      <c r="D35" s="13"/>
      <c r="E35" s="13"/>
      <c r="F35" s="14"/>
      <c r="G35" s="13"/>
      <c r="H35" s="13"/>
      <c r="I35" s="14"/>
    </row>
    <row r="36" spans="1:9" ht="13.15">
      <c r="A36" s="13"/>
      <c r="B36" s="13"/>
      <c r="C36" s="13"/>
      <c r="D36" s="13"/>
      <c r="E36" s="13"/>
      <c r="F36" s="14"/>
      <c r="G36" s="13"/>
      <c r="H36" s="13"/>
      <c r="I36" s="14"/>
    </row>
    <row r="37" spans="1:9" ht="13.15">
      <c r="A37" s="13"/>
      <c r="B37" s="13"/>
      <c r="C37" s="13"/>
      <c r="D37" s="13"/>
      <c r="E37" s="13"/>
      <c r="F37" s="14"/>
      <c r="G37" s="13"/>
      <c r="H37" s="13"/>
      <c r="I37" s="14"/>
    </row>
    <row r="38" spans="1:9" ht="13.15">
      <c r="A38" s="13"/>
      <c r="B38" s="13"/>
      <c r="C38" s="13"/>
      <c r="D38" s="13"/>
      <c r="E38" s="13"/>
      <c r="F38" s="14"/>
      <c r="G38" s="13"/>
      <c r="H38" s="13"/>
      <c r="I38" s="14"/>
    </row>
    <row r="39" spans="1:9" ht="13.15">
      <c r="A39" s="13"/>
      <c r="B39" s="13"/>
      <c r="C39" s="13"/>
      <c r="D39" s="13"/>
      <c r="E39" s="13"/>
      <c r="F39" s="14"/>
      <c r="G39" s="13"/>
      <c r="H39" s="13"/>
      <c r="I39" s="14"/>
    </row>
    <row r="40" spans="1:9" ht="13.15">
      <c r="A40" s="13"/>
      <c r="B40" s="13"/>
      <c r="C40" s="13"/>
      <c r="D40" s="13"/>
      <c r="E40" s="13"/>
      <c r="F40" s="14"/>
      <c r="G40" s="13"/>
      <c r="H40" s="13"/>
      <c r="I40" s="14"/>
    </row>
    <row r="41" spans="1:9" ht="13.15">
      <c r="A41" s="13"/>
      <c r="B41" s="13"/>
      <c r="C41" s="13"/>
      <c r="D41" s="13"/>
      <c r="E41" s="13"/>
      <c r="F41" s="14"/>
      <c r="G41" s="13"/>
      <c r="H41" s="13"/>
      <c r="I41" s="14"/>
    </row>
    <row r="42" spans="1:9" ht="13.15">
      <c r="A42" s="13"/>
      <c r="B42" s="13"/>
      <c r="C42" s="13"/>
      <c r="D42" s="13"/>
      <c r="E42" s="13"/>
      <c r="F42" s="14"/>
      <c r="G42" s="13"/>
      <c r="H42" s="13"/>
      <c r="I42" s="14"/>
    </row>
    <row r="43" spans="1:9" ht="13.15">
      <c r="A43" s="13"/>
      <c r="B43" s="13"/>
      <c r="C43" s="13"/>
      <c r="D43" s="13"/>
      <c r="E43" s="13"/>
      <c r="F43" s="14"/>
      <c r="G43" s="13"/>
      <c r="H43" s="13"/>
      <c r="I43" s="14"/>
    </row>
    <row r="44" spans="1:9" ht="13.15">
      <c r="A44" s="13"/>
      <c r="B44" s="13"/>
      <c r="C44" s="13"/>
      <c r="D44" s="13"/>
      <c r="E44" s="13"/>
      <c r="F44" s="14"/>
      <c r="G44" s="13"/>
      <c r="H44" s="13"/>
      <c r="I44" s="14"/>
    </row>
    <row r="45" spans="1:9" ht="13.15">
      <c r="A45" s="13"/>
      <c r="B45" s="13"/>
      <c r="C45" s="13"/>
      <c r="D45" s="13"/>
      <c r="E45" s="13"/>
      <c r="F45" s="14"/>
      <c r="G45" s="13"/>
      <c r="H45" s="13"/>
      <c r="I45" s="14"/>
    </row>
    <row r="46" spans="1:9" ht="13.15">
      <c r="A46" s="13"/>
      <c r="B46" s="13"/>
      <c r="C46" s="13"/>
      <c r="D46" s="13"/>
      <c r="E46" s="13"/>
      <c r="F46" s="14"/>
      <c r="G46" s="13"/>
      <c r="H46" s="13"/>
      <c r="I46" s="14"/>
    </row>
    <row r="47" spans="1:9" ht="13.15">
      <c r="A47" s="13"/>
      <c r="B47" s="13"/>
      <c r="C47" s="13"/>
      <c r="D47" s="13"/>
      <c r="E47" s="13"/>
      <c r="F47" s="14"/>
      <c r="G47" s="13"/>
      <c r="H47" s="13"/>
      <c r="I47" s="14"/>
    </row>
    <row r="48" spans="1:9" ht="13.15">
      <c r="A48" s="13"/>
      <c r="B48" s="13"/>
      <c r="C48" s="13"/>
      <c r="D48" s="13"/>
      <c r="E48" s="13"/>
      <c r="F48" s="14"/>
      <c r="G48" s="13"/>
      <c r="H48" s="13"/>
      <c r="I48" s="14"/>
    </row>
    <row r="49" spans="1:9" ht="13.15">
      <c r="A49" s="13"/>
      <c r="B49" s="13"/>
      <c r="C49" s="13"/>
      <c r="D49" s="13"/>
      <c r="E49" s="13"/>
      <c r="F49" s="14"/>
      <c r="G49" s="13"/>
      <c r="H49" s="13"/>
      <c r="I49" s="14"/>
    </row>
    <row r="50" spans="1:9" ht="13.15">
      <c r="A50" s="13"/>
      <c r="B50" s="13"/>
      <c r="C50" s="13"/>
      <c r="D50" s="13"/>
      <c r="E50" s="13"/>
      <c r="F50" s="14"/>
      <c r="G50" s="13"/>
      <c r="H50" s="13"/>
      <c r="I50" s="14"/>
    </row>
    <row r="51" spans="1:9" ht="13.15">
      <c r="A51" s="13"/>
      <c r="B51" s="13"/>
      <c r="C51" s="13"/>
      <c r="D51" s="13"/>
      <c r="E51" s="13"/>
      <c r="F51" s="14"/>
      <c r="G51" s="13"/>
      <c r="H51" s="13"/>
      <c r="I51" s="14"/>
    </row>
    <row r="52" spans="1:9" ht="13.15">
      <c r="A52" s="13"/>
      <c r="B52" s="13"/>
      <c r="C52" s="13"/>
      <c r="D52" s="13"/>
      <c r="E52" s="13"/>
      <c r="F52" s="14"/>
      <c r="G52" s="13"/>
      <c r="H52" s="13"/>
      <c r="I52" s="14"/>
    </row>
    <row r="53" spans="1:9" ht="13.15">
      <c r="A53" s="13"/>
      <c r="B53" s="13"/>
      <c r="C53" s="13"/>
      <c r="D53" s="13"/>
      <c r="E53" s="13"/>
      <c r="F53" s="14"/>
      <c r="G53" s="13"/>
      <c r="H53" s="13"/>
      <c r="I53" s="14"/>
    </row>
    <row r="54" spans="1:9" ht="13.15">
      <c r="A54" s="13"/>
      <c r="B54" s="13"/>
      <c r="C54" s="13"/>
      <c r="D54" s="13"/>
      <c r="E54" s="13"/>
      <c r="F54" s="14"/>
      <c r="G54" s="13"/>
      <c r="H54" s="13"/>
      <c r="I54" s="14"/>
    </row>
    <row r="55" spans="1:9" ht="13.15">
      <c r="A55" s="13"/>
      <c r="B55" s="13"/>
      <c r="C55" s="13"/>
      <c r="D55" s="13"/>
      <c r="E55" s="13"/>
      <c r="F55" s="14"/>
      <c r="G55" s="13"/>
      <c r="H55" s="13"/>
      <c r="I55" s="14"/>
    </row>
    <row r="56" spans="1:9" ht="13.15">
      <c r="A56" s="13"/>
      <c r="B56" s="13"/>
      <c r="C56" s="13"/>
      <c r="D56" s="13"/>
      <c r="E56" s="13"/>
      <c r="F56" s="14"/>
      <c r="G56" s="13"/>
      <c r="H56" s="13"/>
      <c r="I56" s="14"/>
    </row>
    <row r="57" spans="1:9" ht="13.15">
      <c r="A57" s="13"/>
      <c r="B57" s="13"/>
      <c r="C57" s="13"/>
      <c r="D57" s="13"/>
      <c r="E57" s="13"/>
      <c r="F57" s="14"/>
      <c r="G57" s="13"/>
      <c r="H57" s="13"/>
      <c r="I57" s="14"/>
    </row>
    <row r="58" spans="1:9" ht="13.15">
      <c r="A58" s="13"/>
      <c r="B58" s="13"/>
      <c r="C58" s="13"/>
      <c r="D58" s="13"/>
      <c r="E58" s="13"/>
      <c r="F58" s="14"/>
      <c r="G58" s="13"/>
      <c r="H58" s="13"/>
      <c r="I58" s="14"/>
    </row>
    <row r="59" spans="1:9" ht="13.15">
      <c r="A59" s="13"/>
      <c r="B59" s="13"/>
      <c r="C59" s="13"/>
      <c r="D59" s="13"/>
      <c r="E59" s="13"/>
      <c r="F59" s="14"/>
      <c r="G59" s="13"/>
      <c r="H59" s="13"/>
      <c r="I59" s="14"/>
    </row>
    <row r="60" spans="1:9" ht="13.15">
      <c r="A60" s="13"/>
      <c r="B60" s="13"/>
      <c r="C60" s="13"/>
      <c r="D60" s="13"/>
      <c r="E60" s="13"/>
      <c r="F60" s="14"/>
      <c r="G60" s="13"/>
      <c r="H60" s="13"/>
      <c r="I60" s="14"/>
    </row>
    <row r="61" spans="1:9" ht="13.15">
      <c r="A61" s="13"/>
      <c r="B61" s="13"/>
      <c r="C61" s="13"/>
      <c r="D61" s="13"/>
      <c r="E61" s="13"/>
      <c r="F61" s="14"/>
      <c r="G61" s="13"/>
      <c r="H61" s="13"/>
      <c r="I61" s="14"/>
    </row>
    <row r="62" spans="1:9" ht="13.15">
      <c r="A62" s="13"/>
      <c r="B62" s="13"/>
      <c r="C62" s="13"/>
      <c r="D62" s="13"/>
      <c r="E62" s="13"/>
      <c r="F62" s="14"/>
      <c r="G62" s="13"/>
      <c r="H62" s="13"/>
      <c r="I62" s="14"/>
    </row>
    <row r="63" spans="1:9" ht="13.15">
      <c r="A63" s="13"/>
      <c r="B63" s="13"/>
      <c r="C63" s="13"/>
      <c r="D63" s="13"/>
      <c r="E63" s="13"/>
      <c r="F63" s="14"/>
      <c r="G63" s="13"/>
      <c r="H63" s="13"/>
      <c r="I63" s="14"/>
    </row>
    <row r="64" spans="1:9" ht="13.15">
      <c r="A64" s="13"/>
      <c r="B64" s="13"/>
      <c r="C64" s="13"/>
      <c r="D64" s="13"/>
      <c r="E64" s="13"/>
      <c r="F64" s="14"/>
      <c r="G64" s="13"/>
      <c r="H64" s="13"/>
      <c r="I64" s="14"/>
    </row>
    <row r="65" spans="1:9" ht="13.15">
      <c r="A65" s="13"/>
      <c r="B65" s="13"/>
      <c r="C65" s="13"/>
      <c r="D65" s="13"/>
      <c r="E65" s="13"/>
      <c r="F65" s="14"/>
      <c r="G65" s="13"/>
      <c r="H65" s="13"/>
      <c r="I65" s="14"/>
    </row>
    <row r="66" spans="1:9" ht="13.15">
      <c r="A66" s="13"/>
      <c r="B66" s="13"/>
      <c r="C66" s="13"/>
      <c r="D66" s="13"/>
      <c r="E66" s="13"/>
      <c r="F66" s="14"/>
      <c r="G66" s="13"/>
      <c r="H66" s="13"/>
      <c r="I66" s="14"/>
    </row>
    <row r="67" spans="1:9" ht="13.15">
      <c r="A67" s="13"/>
      <c r="B67" s="13"/>
      <c r="C67" s="13"/>
      <c r="D67" s="13"/>
      <c r="E67" s="13"/>
      <c r="F67" s="14"/>
      <c r="G67" s="13"/>
      <c r="H67" s="13"/>
      <c r="I67" s="14"/>
    </row>
    <row r="68" spans="1:9" ht="13.15">
      <c r="A68" s="13"/>
      <c r="B68" s="13"/>
      <c r="C68" s="13"/>
      <c r="D68" s="13"/>
      <c r="E68" s="13"/>
      <c r="F68" s="14"/>
      <c r="G68" s="13"/>
      <c r="H68" s="13"/>
      <c r="I68" s="14"/>
    </row>
    <row r="69" spans="1:9" ht="13.15">
      <c r="A69" s="13"/>
      <c r="B69" s="13"/>
      <c r="C69" s="13"/>
      <c r="D69" s="13"/>
      <c r="E69" s="13"/>
      <c r="F69" s="14"/>
      <c r="G69" s="13"/>
      <c r="H69" s="13"/>
      <c r="I69" s="14"/>
    </row>
    <row r="70" spans="1:9" ht="13.15">
      <c r="A70" s="13"/>
      <c r="B70" s="13"/>
      <c r="C70" s="13"/>
      <c r="D70" s="13"/>
      <c r="E70" s="13"/>
      <c r="F70" s="14"/>
      <c r="G70" s="13"/>
      <c r="H70" s="13"/>
      <c r="I70" s="14"/>
    </row>
    <row r="71" spans="1:9" ht="13.15">
      <c r="A71" s="13"/>
      <c r="B71" s="13"/>
      <c r="C71" s="13"/>
      <c r="D71" s="13"/>
      <c r="E71" s="13"/>
      <c r="F71" s="14"/>
      <c r="G71" s="13"/>
      <c r="H71" s="13"/>
      <c r="I71" s="14"/>
    </row>
    <row r="72" spans="1:9" ht="13.15">
      <c r="A72" s="13"/>
      <c r="B72" s="13"/>
      <c r="C72" s="13"/>
      <c r="D72" s="13"/>
      <c r="E72" s="13"/>
      <c r="F72" s="14"/>
      <c r="G72" s="13"/>
      <c r="H72" s="13"/>
      <c r="I72" s="14"/>
    </row>
    <row r="73" spans="1:9" ht="13.15">
      <c r="A73" s="13"/>
      <c r="B73" s="13"/>
      <c r="C73" s="13"/>
      <c r="D73" s="13"/>
      <c r="E73" s="13"/>
      <c r="F73" s="14"/>
      <c r="G73" s="13"/>
      <c r="H73" s="13"/>
      <c r="I73" s="14"/>
    </row>
    <row r="74" spans="1:9" ht="13.15">
      <c r="A74" s="13"/>
      <c r="B74" s="13"/>
      <c r="C74" s="13"/>
      <c r="D74" s="13"/>
      <c r="E74" s="13"/>
      <c r="F74" s="14"/>
      <c r="G74" s="13"/>
      <c r="H74" s="13"/>
      <c r="I74" s="14"/>
    </row>
    <row r="75" spans="1:9" ht="13.15">
      <c r="A75" s="13"/>
      <c r="B75" s="13"/>
      <c r="C75" s="13"/>
      <c r="D75" s="13"/>
      <c r="E75" s="13"/>
      <c r="F75" s="14"/>
      <c r="G75" s="13"/>
      <c r="H75" s="13"/>
      <c r="I75" s="14"/>
    </row>
    <row r="76" spans="1:9" ht="13.15">
      <c r="A76" s="13"/>
      <c r="B76" s="13"/>
      <c r="C76" s="13"/>
      <c r="D76" s="13"/>
      <c r="E76" s="13"/>
      <c r="F76" s="14"/>
      <c r="G76" s="13"/>
      <c r="H76" s="13"/>
      <c r="I76" s="14"/>
    </row>
    <row r="77" spans="1:9" ht="13.15">
      <c r="A77" s="13"/>
      <c r="B77" s="13"/>
      <c r="C77" s="13"/>
      <c r="D77" s="13"/>
      <c r="E77" s="13"/>
      <c r="F77" s="14"/>
      <c r="G77" s="13"/>
      <c r="H77" s="13"/>
      <c r="I77" s="14"/>
    </row>
    <row r="78" spans="1:9" ht="13.15">
      <c r="A78" s="13"/>
      <c r="B78" s="13"/>
      <c r="C78" s="13"/>
      <c r="D78" s="13"/>
      <c r="E78" s="13"/>
      <c r="F78" s="14"/>
      <c r="G78" s="13"/>
      <c r="H78" s="13"/>
      <c r="I78" s="14"/>
    </row>
    <row r="79" spans="1:9" ht="13.15">
      <c r="A79" s="13"/>
      <c r="B79" s="13"/>
      <c r="C79" s="13"/>
      <c r="D79" s="13"/>
      <c r="E79" s="13"/>
      <c r="F79" s="14"/>
      <c r="G79" s="13"/>
      <c r="H79" s="13"/>
      <c r="I79" s="14"/>
    </row>
    <row r="80" spans="1:9" ht="13.15">
      <c r="A80" s="13"/>
      <c r="B80" s="13"/>
      <c r="C80" s="13"/>
      <c r="D80" s="13"/>
      <c r="E80" s="13"/>
      <c r="F80" s="14"/>
      <c r="G80" s="13"/>
      <c r="H80" s="13"/>
      <c r="I80" s="14"/>
    </row>
    <row r="81" spans="1:9" ht="13.15">
      <c r="A81" s="13"/>
      <c r="B81" s="13"/>
      <c r="C81" s="13"/>
      <c r="D81" s="13"/>
      <c r="E81" s="13"/>
      <c r="F81" s="14"/>
      <c r="G81" s="13"/>
      <c r="H81" s="13"/>
      <c r="I81" s="14"/>
    </row>
    <row r="82" spans="1:9" ht="13.15">
      <c r="A82" s="13"/>
      <c r="B82" s="13"/>
      <c r="C82" s="13"/>
      <c r="D82" s="13"/>
      <c r="E82" s="13"/>
      <c r="F82" s="14"/>
      <c r="G82" s="13"/>
      <c r="H82" s="13"/>
      <c r="I82" s="14"/>
    </row>
    <row r="83" spans="1:9" ht="13.15">
      <c r="A83" s="13"/>
      <c r="B83" s="13"/>
      <c r="C83" s="13"/>
      <c r="D83" s="13"/>
      <c r="E83" s="13"/>
      <c r="F83" s="14"/>
      <c r="G83" s="13"/>
      <c r="H83" s="13"/>
      <c r="I83" s="14"/>
    </row>
    <row r="84" spans="1:9" ht="13.15">
      <c r="A84" s="13"/>
      <c r="B84" s="13"/>
      <c r="C84" s="13"/>
      <c r="D84" s="13"/>
      <c r="E84" s="13"/>
      <c r="F84" s="14"/>
      <c r="G84" s="13"/>
      <c r="H84" s="13"/>
      <c r="I84" s="14"/>
    </row>
    <row r="85" spans="1:9" ht="13.15">
      <c r="A85" s="13"/>
      <c r="B85" s="13"/>
      <c r="C85" s="13"/>
      <c r="D85" s="13"/>
      <c r="E85" s="13"/>
      <c r="F85" s="14"/>
      <c r="G85" s="13"/>
      <c r="H85" s="13"/>
      <c r="I85" s="14"/>
    </row>
    <row r="86" spans="1:9" ht="13.15">
      <c r="A86" s="13"/>
      <c r="B86" s="13"/>
      <c r="C86" s="13"/>
      <c r="D86" s="13"/>
      <c r="E86" s="13"/>
      <c r="F86" s="14"/>
      <c r="G86" s="13"/>
      <c r="H86" s="13"/>
      <c r="I86" s="14"/>
    </row>
    <row r="87" spans="1:9" ht="13.15">
      <c r="A87" s="13"/>
      <c r="B87" s="13"/>
      <c r="C87" s="13"/>
      <c r="D87" s="13"/>
      <c r="E87" s="13"/>
      <c r="F87" s="14"/>
      <c r="G87" s="13"/>
      <c r="H87" s="13"/>
      <c r="I87" s="14"/>
    </row>
    <row r="88" spans="1:9" ht="13.15">
      <c r="A88" s="13"/>
      <c r="B88" s="13"/>
      <c r="C88" s="13"/>
      <c r="D88" s="13"/>
      <c r="E88" s="13"/>
      <c r="F88" s="14"/>
      <c r="G88" s="13"/>
      <c r="H88" s="13"/>
      <c r="I88" s="14"/>
    </row>
    <row r="89" spans="1:9" ht="13.15">
      <c r="A89" s="13"/>
      <c r="B89" s="13"/>
      <c r="C89" s="13"/>
      <c r="D89" s="13"/>
      <c r="E89" s="13"/>
      <c r="F89" s="14"/>
      <c r="G89" s="13"/>
      <c r="H89" s="13"/>
      <c r="I89" s="14"/>
    </row>
    <row r="90" spans="1:9" ht="13.15">
      <c r="A90" s="13"/>
      <c r="B90" s="13"/>
      <c r="C90" s="13"/>
      <c r="D90" s="13"/>
      <c r="E90" s="13"/>
      <c r="F90" s="14"/>
      <c r="G90" s="13"/>
      <c r="H90" s="13"/>
      <c r="I90" s="14"/>
    </row>
    <row r="91" spans="1:9" ht="13.15">
      <c r="A91" s="13"/>
      <c r="B91" s="13"/>
      <c r="C91" s="13"/>
      <c r="D91" s="13"/>
      <c r="E91" s="13"/>
      <c r="F91" s="14"/>
      <c r="G91" s="13"/>
      <c r="H91" s="13"/>
      <c r="I91" s="14"/>
    </row>
    <row r="92" spans="1:9" ht="13.15">
      <c r="A92" s="13"/>
      <c r="B92" s="13"/>
      <c r="C92" s="13"/>
      <c r="D92" s="13"/>
      <c r="E92" s="13"/>
      <c r="F92" s="14"/>
      <c r="G92" s="13"/>
      <c r="H92" s="13"/>
      <c r="I92" s="14"/>
    </row>
    <row r="93" spans="1:9" ht="13.15">
      <c r="A93" s="13"/>
      <c r="B93" s="13"/>
      <c r="C93" s="13"/>
      <c r="D93" s="13"/>
      <c r="E93" s="13"/>
      <c r="F93" s="14"/>
      <c r="G93" s="13"/>
      <c r="H93" s="13"/>
      <c r="I93" s="14"/>
    </row>
    <row r="94" spans="1:9" ht="13.15">
      <c r="A94" s="13"/>
      <c r="B94" s="13"/>
      <c r="C94" s="13"/>
      <c r="D94" s="13"/>
      <c r="E94" s="13"/>
      <c r="F94" s="14"/>
      <c r="G94" s="13"/>
      <c r="H94" s="13"/>
      <c r="I94" s="14"/>
    </row>
    <row r="95" spans="1:9" ht="13.15">
      <c r="A95" s="13"/>
      <c r="B95" s="13"/>
      <c r="C95" s="13"/>
      <c r="D95" s="13"/>
      <c r="E95" s="13"/>
      <c r="F95" s="14"/>
      <c r="G95" s="13"/>
      <c r="H95" s="13"/>
      <c r="I95" s="14"/>
    </row>
    <row r="96" spans="1:9" ht="13.15">
      <c r="A96" s="13"/>
      <c r="B96" s="13"/>
      <c r="C96" s="13"/>
      <c r="D96" s="13"/>
      <c r="E96" s="13"/>
      <c r="F96" s="14"/>
      <c r="G96" s="13"/>
      <c r="H96" s="13"/>
      <c r="I96" s="14"/>
    </row>
    <row r="97" spans="1:9" ht="13.15">
      <c r="A97" s="13"/>
      <c r="B97" s="13"/>
      <c r="C97" s="13"/>
      <c r="D97" s="13"/>
      <c r="E97" s="13"/>
      <c r="F97" s="14"/>
      <c r="G97" s="13"/>
      <c r="H97" s="13"/>
      <c r="I97" s="14"/>
    </row>
    <row r="98" spans="1:9" ht="13.15">
      <c r="A98" s="13"/>
      <c r="B98" s="13"/>
      <c r="C98" s="13"/>
      <c r="D98" s="13"/>
      <c r="E98" s="13"/>
      <c r="F98" s="14"/>
      <c r="G98" s="13"/>
      <c r="H98" s="13"/>
      <c r="I98" s="14"/>
    </row>
    <row r="99" spans="1:9" ht="13.15">
      <c r="A99" s="13"/>
      <c r="B99" s="13"/>
      <c r="C99" s="13"/>
      <c r="D99" s="13"/>
      <c r="E99" s="13"/>
      <c r="F99" s="14"/>
      <c r="G99" s="13"/>
      <c r="H99" s="13"/>
      <c r="I99" s="14"/>
    </row>
    <row r="100" spans="1:9" ht="13.15">
      <c r="A100" s="13"/>
      <c r="B100" s="13"/>
      <c r="C100" s="13"/>
      <c r="D100" s="13"/>
      <c r="E100" s="13"/>
      <c r="F100" s="14"/>
      <c r="G100" s="13"/>
      <c r="H100" s="13"/>
      <c r="I100" s="14"/>
    </row>
    <row r="101" spans="1:9" ht="13.15">
      <c r="A101" s="13"/>
      <c r="B101" s="13"/>
      <c r="C101" s="13"/>
      <c r="D101" s="13"/>
      <c r="E101" s="13"/>
      <c r="F101" s="14"/>
      <c r="G101" s="13"/>
      <c r="H101" s="13"/>
      <c r="I101" s="14"/>
    </row>
    <row r="102" spans="1:9" ht="13.15">
      <c r="A102" s="13"/>
      <c r="B102" s="13"/>
      <c r="C102" s="13"/>
      <c r="D102" s="13"/>
      <c r="E102" s="13"/>
      <c r="F102" s="14"/>
      <c r="G102" s="13"/>
      <c r="H102" s="13"/>
      <c r="I102" s="14"/>
    </row>
    <row r="103" spans="1:9" ht="13.15">
      <c r="A103" s="13"/>
      <c r="B103" s="13"/>
      <c r="C103" s="13"/>
      <c r="D103" s="13"/>
      <c r="E103" s="13"/>
      <c r="F103" s="14"/>
      <c r="G103" s="13"/>
      <c r="H103" s="13"/>
      <c r="I103" s="14"/>
    </row>
    <row r="104" spans="1:9" ht="13.15">
      <c r="A104" s="13"/>
      <c r="B104" s="13"/>
      <c r="C104" s="13"/>
      <c r="D104" s="13"/>
      <c r="E104" s="13"/>
      <c r="F104" s="14"/>
      <c r="G104" s="13"/>
      <c r="H104" s="13"/>
      <c r="I104" s="14"/>
    </row>
    <row r="105" spans="1:9" ht="13.15">
      <c r="A105" s="13"/>
      <c r="B105" s="13"/>
      <c r="C105" s="13"/>
      <c r="D105" s="13"/>
      <c r="E105" s="13"/>
      <c r="F105" s="14"/>
      <c r="G105" s="13"/>
      <c r="H105" s="13"/>
      <c r="I105" s="14"/>
    </row>
    <row r="106" spans="1:9" ht="13.15">
      <c r="A106" s="13"/>
      <c r="B106" s="13"/>
      <c r="C106" s="13"/>
      <c r="D106" s="13"/>
      <c r="E106" s="13"/>
      <c r="F106" s="14"/>
      <c r="G106" s="13"/>
      <c r="H106" s="13"/>
      <c r="I106" s="14"/>
    </row>
    <row r="107" spans="1:9" ht="13.15">
      <c r="A107" s="13"/>
      <c r="B107" s="13"/>
      <c r="C107" s="13"/>
      <c r="D107" s="13"/>
      <c r="E107" s="13"/>
      <c r="F107" s="14"/>
      <c r="G107" s="13"/>
      <c r="H107" s="13"/>
      <c r="I107" s="14"/>
    </row>
    <row r="108" spans="1:9" ht="13.15">
      <c r="A108" s="13"/>
      <c r="B108" s="13"/>
      <c r="C108" s="13"/>
      <c r="D108" s="13"/>
      <c r="E108" s="13"/>
      <c r="F108" s="14"/>
      <c r="G108" s="13"/>
      <c r="H108" s="13"/>
      <c r="I108" s="14"/>
    </row>
    <row r="109" spans="1:9" ht="13.15">
      <c r="A109" s="13"/>
      <c r="B109" s="13"/>
      <c r="C109" s="13"/>
      <c r="D109" s="13"/>
      <c r="E109" s="13"/>
      <c r="F109" s="14"/>
      <c r="G109" s="13"/>
      <c r="H109" s="13"/>
      <c r="I109" s="14"/>
    </row>
    <row r="110" spans="1:9" ht="13.15">
      <c r="A110" s="13"/>
      <c r="B110" s="13"/>
      <c r="C110" s="13"/>
      <c r="D110" s="13"/>
      <c r="E110" s="13"/>
      <c r="F110" s="14"/>
      <c r="G110" s="13"/>
      <c r="H110" s="13"/>
      <c r="I110" s="14"/>
    </row>
    <row r="111" spans="1:9" ht="13.15">
      <c r="A111" s="13"/>
      <c r="B111" s="13"/>
      <c r="C111" s="13"/>
      <c r="D111" s="13"/>
      <c r="E111" s="13"/>
      <c r="F111" s="14"/>
      <c r="G111" s="13"/>
      <c r="H111" s="13"/>
      <c r="I111" s="14"/>
    </row>
    <row r="112" spans="1:9" ht="13.15">
      <c r="A112" s="13"/>
      <c r="B112" s="13"/>
      <c r="C112" s="13"/>
      <c r="D112" s="13"/>
      <c r="E112" s="13"/>
      <c r="F112" s="14"/>
      <c r="G112" s="13"/>
      <c r="H112" s="13"/>
      <c r="I112" s="14"/>
    </row>
    <row r="113" spans="1:9" ht="13.15">
      <c r="A113" s="13"/>
      <c r="B113" s="13"/>
      <c r="C113" s="13"/>
      <c r="D113" s="13"/>
      <c r="E113" s="13"/>
      <c r="F113" s="14"/>
      <c r="G113" s="13"/>
      <c r="H113" s="13"/>
      <c r="I113" s="14"/>
    </row>
    <row r="114" spans="1:9" ht="13.15">
      <c r="A114" s="13"/>
      <c r="B114" s="13"/>
      <c r="C114" s="13"/>
      <c r="D114" s="13"/>
      <c r="E114" s="13"/>
      <c r="F114" s="14"/>
      <c r="G114" s="13"/>
      <c r="H114" s="13"/>
      <c r="I114" s="14"/>
    </row>
    <row r="115" spans="1:9" ht="13.15">
      <c r="A115" s="13"/>
      <c r="B115" s="13"/>
      <c r="C115" s="13"/>
      <c r="D115" s="13"/>
      <c r="E115" s="13"/>
      <c r="F115" s="14"/>
      <c r="G115" s="13"/>
      <c r="H115" s="13"/>
      <c r="I115" s="14"/>
    </row>
    <row r="116" spans="1:9" ht="13.15">
      <c r="A116" s="13"/>
      <c r="B116" s="13"/>
      <c r="C116" s="13"/>
      <c r="D116" s="13"/>
      <c r="E116" s="13"/>
      <c r="F116" s="14"/>
      <c r="G116" s="13"/>
      <c r="H116" s="13"/>
      <c r="I116" s="14"/>
    </row>
    <row r="117" spans="1:9" ht="13.15">
      <c r="A117" s="13"/>
      <c r="B117" s="13"/>
      <c r="C117" s="13"/>
      <c r="D117" s="13"/>
      <c r="E117" s="13"/>
      <c r="F117" s="14"/>
      <c r="G117" s="13"/>
      <c r="H117" s="13"/>
      <c r="I117" s="14"/>
    </row>
    <row r="118" spans="1:9" ht="13.15">
      <c r="A118" s="13"/>
      <c r="B118" s="13"/>
      <c r="C118" s="13"/>
      <c r="D118" s="13"/>
      <c r="E118" s="13"/>
      <c r="F118" s="14"/>
      <c r="G118" s="13"/>
      <c r="H118" s="13"/>
      <c r="I118" s="14"/>
    </row>
    <row r="119" spans="1:9" ht="13.15">
      <c r="A119" s="13"/>
      <c r="B119" s="13"/>
      <c r="C119" s="13"/>
      <c r="D119" s="13"/>
      <c r="E119" s="13"/>
      <c r="F119" s="14"/>
      <c r="G119" s="13"/>
      <c r="H119" s="13"/>
      <c r="I119" s="14"/>
    </row>
    <row r="120" spans="1:9" ht="13.15">
      <c r="A120" s="13"/>
      <c r="B120" s="13"/>
      <c r="C120" s="13"/>
      <c r="D120" s="13"/>
      <c r="E120" s="13"/>
      <c r="F120" s="14"/>
      <c r="G120" s="13"/>
      <c r="H120" s="13"/>
      <c r="I120" s="14"/>
    </row>
    <row r="121" spans="1:9" ht="13.15">
      <c r="A121" s="13"/>
      <c r="B121" s="13"/>
      <c r="C121" s="13"/>
      <c r="D121" s="13"/>
      <c r="E121" s="13"/>
      <c r="F121" s="14"/>
      <c r="G121" s="13"/>
      <c r="H121" s="13"/>
      <c r="I121" s="14"/>
    </row>
    <row r="122" spans="1:9" ht="13.15">
      <c r="A122" s="13"/>
      <c r="B122" s="13"/>
      <c r="C122" s="13"/>
      <c r="D122" s="13"/>
      <c r="E122" s="13"/>
      <c r="F122" s="14"/>
      <c r="G122" s="13"/>
      <c r="H122" s="13"/>
      <c r="I122" s="14"/>
    </row>
    <row r="123" spans="1:9" ht="13.15">
      <c r="A123" s="13"/>
      <c r="B123" s="13"/>
      <c r="C123" s="13"/>
      <c r="D123" s="13"/>
      <c r="E123" s="13"/>
      <c r="F123" s="14"/>
      <c r="G123" s="13"/>
      <c r="H123" s="13"/>
      <c r="I123" s="14"/>
    </row>
    <row r="124" spans="1:9" ht="13.15">
      <c r="A124" s="13"/>
      <c r="B124" s="13"/>
      <c r="C124" s="13"/>
      <c r="D124" s="13"/>
      <c r="E124" s="13"/>
      <c r="F124" s="14"/>
      <c r="G124" s="13"/>
      <c r="H124" s="13"/>
      <c r="I124" s="14"/>
    </row>
    <row r="125" spans="1:9" ht="13.15">
      <c r="A125" s="13"/>
      <c r="B125" s="13"/>
      <c r="C125" s="13"/>
      <c r="D125" s="13"/>
      <c r="E125" s="13"/>
      <c r="F125" s="14"/>
      <c r="G125" s="13"/>
      <c r="H125" s="13"/>
      <c r="I125" s="14"/>
    </row>
    <row r="126" spans="1:9" ht="13.15">
      <c r="A126" s="13"/>
      <c r="B126" s="13"/>
      <c r="C126" s="13"/>
      <c r="D126" s="13"/>
      <c r="E126" s="13"/>
      <c r="F126" s="14"/>
      <c r="G126" s="13"/>
      <c r="H126" s="13"/>
      <c r="I126" s="14"/>
    </row>
    <row r="127" spans="1:9" ht="13.15">
      <c r="A127" s="13"/>
      <c r="B127" s="13"/>
      <c r="C127" s="13"/>
      <c r="D127" s="13"/>
      <c r="E127" s="13"/>
      <c r="F127" s="14"/>
      <c r="G127" s="13"/>
      <c r="H127" s="13"/>
      <c r="I127" s="14"/>
    </row>
    <row r="128" spans="1:9" ht="13.15">
      <c r="A128" s="13"/>
      <c r="B128" s="13"/>
      <c r="C128" s="13"/>
      <c r="D128" s="13"/>
      <c r="E128" s="13"/>
      <c r="F128" s="14"/>
      <c r="G128" s="13"/>
      <c r="H128" s="13"/>
      <c r="I128" s="14"/>
    </row>
    <row r="129" spans="1:9" ht="13.15">
      <c r="A129" s="13"/>
      <c r="B129" s="13"/>
      <c r="C129" s="13"/>
      <c r="D129" s="13"/>
      <c r="E129" s="13"/>
      <c r="F129" s="14"/>
      <c r="G129" s="13"/>
      <c r="H129" s="13"/>
      <c r="I129" s="14"/>
    </row>
    <row r="130" spans="1:9" ht="13.15">
      <c r="A130" s="13"/>
      <c r="B130" s="13"/>
      <c r="C130" s="13"/>
      <c r="D130" s="13"/>
      <c r="E130" s="13"/>
      <c r="F130" s="14"/>
      <c r="G130" s="13"/>
      <c r="H130" s="13"/>
      <c r="I130" s="14"/>
    </row>
    <row r="131" spans="1:9" ht="13.15">
      <c r="A131" s="13"/>
      <c r="B131" s="13"/>
      <c r="C131" s="13"/>
      <c r="D131" s="13"/>
      <c r="E131" s="13"/>
      <c r="F131" s="14"/>
      <c r="G131" s="13"/>
      <c r="H131" s="13"/>
      <c r="I131" s="14"/>
    </row>
    <row r="132" spans="1:9" ht="13.15">
      <c r="A132" s="13"/>
      <c r="B132" s="13"/>
      <c r="C132" s="13"/>
      <c r="D132" s="13"/>
      <c r="E132" s="13"/>
      <c r="F132" s="14"/>
      <c r="G132" s="13"/>
      <c r="H132" s="13"/>
      <c r="I132" s="14"/>
    </row>
    <row r="133" spans="1:9" ht="13.15">
      <c r="A133" s="13"/>
      <c r="B133" s="13"/>
      <c r="C133" s="13"/>
      <c r="D133" s="13"/>
      <c r="E133" s="13"/>
      <c r="F133" s="14"/>
      <c r="G133" s="13"/>
      <c r="H133" s="13"/>
      <c r="I133" s="14"/>
    </row>
    <row r="134" spans="1:9" ht="13.15">
      <c r="A134" s="13"/>
      <c r="B134" s="13"/>
      <c r="C134" s="13"/>
      <c r="D134" s="13"/>
      <c r="E134" s="13"/>
      <c r="F134" s="14"/>
      <c r="G134" s="13"/>
      <c r="H134" s="13"/>
      <c r="I134" s="14"/>
    </row>
    <row r="135" spans="1:9" ht="13.15">
      <c r="A135" s="13"/>
      <c r="B135" s="13"/>
      <c r="C135" s="13"/>
      <c r="D135" s="13"/>
      <c r="E135" s="13"/>
      <c r="F135" s="14"/>
      <c r="G135" s="13"/>
      <c r="H135" s="13"/>
      <c r="I135" s="14"/>
    </row>
    <row r="136" spans="1:9" ht="13.15">
      <c r="A136" s="13"/>
      <c r="B136" s="13"/>
      <c r="C136" s="13"/>
      <c r="D136" s="13"/>
      <c r="E136" s="13"/>
      <c r="F136" s="14"/>
      <c r="G136" s="13"/>
      <c r="H136" s="13"/>
      <c r="I136" s="14"/>
    </row>
    <row r="137" spans="1:9" ht="13.15">
      <c r="A137" s="13"/>
      <c r="B137" s="13"/>
      <c r="C137" s="13"/>
      <c r="D137" s="13"/>
      <c r="E137" s="13"/>
      <c r="F137" s="14"/>
      <c r="G137" s="13"/>
      <c r="H137" s="13"/>
      <c r="I137" s="14"/>
    </row>
    <row r="138" spans="1:9" ht="13.15">
      <c r="A138" s="13"/>
      <c r="B138" s="13"/>
      <c r="C138" s="13"/>
      <c r="D138" s="13"/>
      <c r="E138" s="13"/>
      <c r="F138" s="14"/>
      <c r="G138" s="13"/>
      <c r="H138" s="13"/>
      <c r="I138" s="14"/>
    </row>
    <row r="139" spans="1:9" ht="13.15">
      <c r="A139" s="13"/>
      <c r="B139" s="13"/>
      <c r="C139" s="13"/>
      <c r="D139" s="13"/>
      <c r="E139" s="13"/>
      <c r="F139" s="14"/>
      <c r="G139" s="13"/>
      <c r="H139" s="13"/>
      <c r="I139" s="14"/>
    </row>
    <row r="140" spans="1:9" ht="13.15">
      <c r="A140" s="13"/>
      <c r="B140" s="13"/>
      <c r="C140" s="13"/>
      <c r="D140" s="13"/>
      <c r="E140" s="13"/>
      <c r="F140" s="14"/>
      <c r="G140" s="13"/>
      <c r="H140" s="13"/>
      <c r="I140" s="14"/>
    </row>
    <row r="141" spans="1:9" ht="13.15">
      <c r="A141" s="13"/>
      <c r="B141" s="13"/>
      <c r="C141" s="13"/>
      <c r="D141" s="13"/>
      <c r="E141" s="13"/>
      <c r="F141" s="14"/>
      <c r="G141" s="13"/>
      <c r="H141" s="13"/>
      <c r="I141" s="14"/>
    </row>
    <row r="142" spans="1:9" ht="13.15">
      <c r="A142" s="13"/>
      <c r="B142" s="13"/>
      <c r="C142" s="13"/>
      <c r="D142" s="13"/>
      <c r="E142" s="13"/>
      <c r="F142" s="14"/>
      <c r="G142" s="13"/>
      <c r="H142" s="13"/>
      <c r="I142" s="14"/>
    </row>
    <row r="143" spans="1:9" ht="13.15">
      <c r="A143" s="13"/>
      <c r="B143" s="13"/>
      <c r="C143" s="13"/>
      <c r="D143" s="13"/>
      <c r="E143" s="13"/>
      <c r="F143" s="14"/>
      <c r="G143" s="13"/>
      <c r="H143" s="13"/>
      <c r="I143" s="14"/>
    </row>
    <row r="144" spans="1:9" ht="13.15">
      <c r="A144" s="13"/>
      <c r="B144" s="13"/>
      <c r="C144" s="13"/>
      <c r="D144" s="13"/>
      <c r="E144" s="13"/>
      <c r="F144" s="14"/>
      <c r="G144" s="13"/>
      <c r="H144" s="13"/>
      <c r="I144" s="14"/>
    </row>
    <row r="145" spans="1:9" ht="13.15">
      <c r="A145" s="13"/>
      <c r="B145" s="13"/>
      <c r="C145" s="13"/>
      <c r="D145" s="13"/>
      <c r="E145" s="13"/>
      <c r="F145" s="14"/>
      <c r="G145" s="13"/>
      <c r="H145" s="13"/>
      <c r="I145" s="14"/>
    </row>
    <row r="146" spans="1:9" ht="13.15">
      <c r="A146" s="13"/>
      <c r="B146" s="13"/>
      <c r="C146" s="13"/>
      <c r="D146" s="13"/>
      <c r="E146" s="13"/>
      <c r="F146" s="14"/>
      <c r="G146" s="13"/>
      <c r="H146" s="13"/>
      <c r="I146" s="14"/>
    </row>
    <row r="147" spans="1:9" ht="13.15">
      <c r="A147" s="13"/>
      <c r="B147" s="13"/>
      <c r="C147" s="13"/>
      <c r="D147" s="13"/>
      <c r="E147" s="13"/>
      <c r="F147" s="14"/>
      <c r="G147" s="13"/>
      <c r="H147" s="13"/>
      <c r="I147" s="14"/>
    </row>
    <row r="148" spans="1:9" ht="13.15">
      <c r="A148" s="13"/>
      <c r="B148" s="13"/>
      <c r="C148" s="13"/>
      <c r="D148" s="13"/>
      <c r="E148" s="13"/>
      <c r="F148" s="14"/>
      <c r="G148" s="13"/>
      <c r="H148" s="13"/>
      <c r="I148" s="14"/>
    </row>
    <row r="149" spans="1:9" ht="13.15">
      <c r="A149" s="13"/>
      <c r="B149" s="13"/>
      <c r="C149" s="13"/>
      <c r="D149" s="13"/>
      <c r="E149" s="13"/>
      <c r="F149" s="14"/>
      <c r="G149" s="13"/>
      <c r="H149" s="13"/>
      <c r="I149" s="14"/>
    </row>
    <row r="150" spans="1:9" ht="13.15">
      <c r="A150" s="13"/>
      <c r="B150" s="13"/>
      <c r="C150" s="13"/>
      <c r="D150" s="13"/>
      <c r="E150" s="13"/>
      <c r="F150" s="14"/>
      <c r="G150" s="13"/>
      <c r="H150" s="13"/>
      <c r="I150" s="14"/>
    </row>
    <row r="151" spans="1:9" ht="13.15">
      <c r="A151" s="13"/>
      <c r="B151" s="13"/>
      <c r="C151" s="13"/>
      <c r="D151" s="13"/>
      <c r="E151" s="13"/>
      <c r="F151" s="14"/>
      <c r="G151" s="13"/>
      <c r="H151" s="13"/>
      <c r="I151" s="14"/>
    </row>
    <row r="152" spans="1:9" ht="13.15">
      <c r="A152" s="13"/>
      <c r="B152" s="13"/>
      <c r="C152" s="13"/>
      <c r="D152" s="13"/>
      <c r="E152" s="13"/>
      <c r="F152" s="14"/>
      <c r="G152" s="13"/>
      <c r="H152" s="13"/>
      <c r="I152" s="14"/>
    </row>
    <row r="153" spans="1:9" ht="13.15">
      <c r="A153" s="13"/>
      <c r="B153" s="13"/>
      <c r="C153" s="13"/>
      <c r="D153" s="13"/>
      <c r="E153" s="13"/>
      <c r="F153" s="14"/>
      <c r="G153" s="13"/>
      <c r="H153" s="13"/>
      <c r="I153" s="14"/>
    </row>
    <row r="154" spans="1:9" ht="13.15">
      <c r="A154" s="13"/>
      <c r="B154" s="13"/>
      <c r="C154" s="13"/>
      <c r="D154" s="13"/>
      <c r="E154" s="13"/>
      <c r="F154" s="14"/>
      <c r="G154" s="13"/>
      <c r="H154" s="13"/>
      <c r="I154" s="14"/>
    </row>
    <row r="155" spans="1:9" ht="13.15">
      <c r="A155" s="13"/>
      <c r="B155" s="13"/>
      <c r="C155" s="13"/>
      <c r="D155" s="13"/>
      <c r="E155" s="13"/>
      <c r="F155" s="14"/>
      <c r="G155" s="13"/>
      <c r="H155" s="13"/>
      <c r="I155" s="14"/>
    </row>
    <row r="156" spans="1:9" ht="13.15">
      <c r="A156" s="13"/>
      <c r="B156" s="13"/>
      <c r="C156" s="13"/>
      <c r="D156" s="13"/>
      <c r="E156" s="13"/>
      <c r="F156" s="14"/>
      <c r="G156" s="13"/>
      <c r="H156" s="13"/>
      <c r="I156" s="14"/>
    </row>
    <row r="157" spans="1:9" ht="13.15">
      <c r="A157" s="13"/>
      <c r="B157" s="13"/>
      <c r="C157" s="13"/>
      <c r="D157" s="13"/>
      <c r="E157" s="13"/>
      <c r="F157" s="14"/>
      <c r="G157" s="13"/>
      <c r="H157" s="13"/>
      <c r="I157" s="14"/>
    </row>
    <row r="158" spans="1:9" ht="13.15">
      <c r="A158" s="13"/>
      <c r="B158" s="13"/>
      <c r="C158" s="13"/>
      <c r="D158" s="13"/>
      <c r="E158" s="13"/>
      <c r="F158" s="14"/>
      <c r="G158" s="13"/>
      <c r="H158" s="13"/>
      <c r="I158" s="14"/>
    </row>
    <row r="159" spans="1:9" ht="13.15">
      <c r="A159" s="13"/>
      <c r="B159" s="13"/>
      <c r="C159" s="13"/>
      <c r="D159" s="13"/>
      <c r="E159" s="13"/>
      <c r="F159" s="14"/>
      <c r="G159" s="13"/>
      <c r="H159" s="13"/>
      <c r="I159" s="14"/>
    </row>
    <row r="160" spans="1:9" ht="13.15">
      <c r="A160" s="13"/>
      <c r="B160" s="13"/>
      <c r="C160" s="13"/>
      <c r="D160" s="13"/>
      <c r="E160" s="13"/>
      <c r="F160" s="14"/>
      <c r="G160" s="13"/>
      <c r="H160" s="13"/>
      <c r="I160" s="14"/>
    </row>
    <row r="161" spans="1:9" ht="13.15">
      <c r="A161" s="13"/>
      <c r="B161" s="13"/>
      <c r="C161" s="13"/>
      <c r="D161" s="13"/>
      <c r="E161" s="13"/>
      <c r="F161" s="14"/>
      <c r="G161" s="13"/>
      <c r="H161" s="13"/>
      <c r="I161" s="14"/>
    </row>
    <row r="162" spans="1:9" ht="13.15">
      <c r="A162" s="13"/>
      <c r="B162" s="13"/>
      <c r="C162" s="13"/>
      <c r="D162" s="13"/>
      <c r="E162" s="13"/>
      <c r="F162" s="14"/>
      <c r="G162" s="13"/>
      <c r="H162" s="13"/>
      <c r="I162" s="14"/>
    </row>
    <row r="163" spans="1:9" ht="13.15">
      <c r="A163" s="13"/>
      <c r="B163" s="13"/>
      <c r="C163" s="13"/>
      <c r="D163" s="13"/>
      <c r="E163" s="13"/>
      <c r="F163" s="14"/>
      <c r="G163" s="13"/>
      <c r="H163" s="13"/>
      <c r="I163" s="14"/>
    </row>
    <row r="164" spans="1:9" ht="13.15">
      <c r="A164" s="13"/>
      <c r="B164" s="13"/>
      <c r="C164" s="13"/>
      <c r="D164" s="13"/>
      <c r="E164" s="13"/>
      <c r="F164" s="14"/>
      <c r="G164" s="13"/>
      <c r="H164" s="13"/>
      <c r="I164" s="14"/>
    </row>
    <row r="165" spans="1:9" ht="13.15">
      <c r="A165" s="13"/>
      <c r="B165" s="13"/>
      <c r="C165" s="13"/>
      <c r="D165" s="13"/>
      <c r="E165" s="13"/>
      <c r="F165" s="14"/>
      <c r="G165" s="13"/>
      <c r="H165" s="13"/>
      <c r="I165" s="14"/>
    </row>
    <row r="166" spans="1:9" ht="13.15">
      <c r="A166" s="13"/>
      <c r="B166" s="13"/>
      <c r="C166" s="13"/>
      <c r="D166" s="13"/>
      <c r="E166" s="13"/>
      <c r="F166" s="14"/>
      <c r="G166" s="13"/>
      <c r="H166" s="13"/>
      <c r="I166" s="14"/>
    </row>
    <row r="167" spans="1:9" ht="13.15">
      <c r="A167" s="13"/>
      <c r="B167" s="13"/>
      <c r="C167" s="13"/>
      <c r="D167" s="13"/>
      <c r="E167" s="13"/>
      <c r="F167" s="14"/>
      <c r="G167" s="13"/>
      <c r="H167" s="13"/>
      <c r="I167" s="14"/>
    </row>
    <row r="168" spans="1:9" ht="13.15">
      <c r="A168" s="13"/>
      <c r="B168" s="13"/>
      <c r="C168" s="13"/>
      <c r="D168" s="13"/>
      <c r="E168" s="13"/>
      <c r="F168" s="14"/>
      <c r="G168" s="13"/>
      <c r="H168" s="13"/>
      <c r="I168" s="14"/>
    </row>
    <row r="169" spans="1:9" ht="13.15">
      <c r="A169" s="13"/>
      <c r="B169" s="13"/>
      <c r="C169" s="13"/>
      <c r="D169" s="13"/>
      <c r="E169" s="13"/>
      <c r="F169" s="14"/>
      <c r="G169" s="13"/>
      <c r="H169" s="13"/>
      <c r="I169" s="14"/>
    </row>
    <row r="170" spans="1:9" ht="13.15">
      <c r="A170" s="13"/>
      <c r="B170" s="13"/>
      <c r="C170" s="13"/>
      <c r="D170" s="13"/>
      <c r="E170" s="13"/>
      <c r="F170" s="14"/>
      <c r="G170" s="13"/>
      <c r="H170" s="13"/>
      <c r="I170" s="14"/>
    </row>
    <row r="171" spans="1:9" ht="13.15">
      <c r="A171" s="13"/>
      <c r="B171" s="13"/>
      <c r="C171" s="13"/>
      <c r="D171" s="13"/>
      <c r="E171" s="13"/>
      <c r="F171" s="14"/>
      <c r="G171" s="13"/>
      <c r="H171" s="13"/>
      <c r="I171" s="14"/>
    </row>
    <row r="172" spans="1:9" ht="13.15">
      <c r="A172" s="13"/>
      <c r="B172" s="13"/>
      <c r="C172" s="13"/>
      <c r="D172" s="13"/>
      <c r="E172" s="13"/>
      <c r="F172" s="14"/>
      <c r="G172" s="13"/>
      <c r="H172" s="13"/>
      <c r="I172" s="14"/>
    </row>
    <row r="173" spans="1:9" ht="13.15">
      <c r="A173" s="13"/>
      <c r="B173" s="13"/>
      <c r="C173" s="13"/>
      <c r="D173" s="13"/>
      <c r="E173" s="13"/>
      <c r="F173" s="14"/>
      <c r="G173" s="13"/>
      <c r="H173" s="13"/>
      <c r="I173" s="14"/>
    </row>
    <row r="174" spans="1:9" ht="13.15">
      <c r="A174" s="13"/>
      <c r="B174" s="13"/>
      <c r="C174" s="13"/>
      <c r="D174" s="13"/>
      <c r="E174" s="13"/>
      <c r="F174" s="14"/>
      <c r="G174" s="13"/>
      <c r="H174" s="13"/>
      <c r="I174" s="14"/>
    </row>
    <row r="175" spans="1:9" ht="13.15">
      <c r="A175" s="13"/>
      <c r="B175" s="13"/>
      <c r="C175" s="13"/>
      <c r="D175" s="13"/>
      <c r="E175" s="13"/>
      <c r="F175" s="14"/>
      <c r="G175" s="13"/>
      <c r="H175" s="13"/>
      <c r="I175" s="14"/>
    </row>
    <row r="176" spans="1:9" ht="13.15">
      <c r="A176" s="13"/>
      <c r="B176" s="13"/>
      <c r="C176" s="13"/>
      <c r="D176" s="13"/>
      <c r="E176" s="13"/>
      <c r="F176" s="14"/>
      <c r="G176" s="13"/>
      <c r="H176" s="13"/>
      <c r="I176" s="14"/>
    </row>
    <row r="177" spans="1:9" ht="13.15">
      <c r="A177" s="13"/>
      <c r="B177" s="13"/>
      <c r="C177" s="13"/>
      <c r="D177" s="13"/>
      <c r="E177" s="13"/>
      <c r="F177" s="14"/>
      <c r="G177" s="13"/>
      <c r="H177" s="13"/>
      <c r="I177" s="14"/>
    </row>
    <row r="178" spans="1:9" ht="13.15">
      <c r="A178" s="13"/>
      <c r="B178" s="13"/>
      <c r="C178" s="13"/>
      <c r="D178" s="13"/>
      <c r="E178" s="13"/>
      <c r="F178" s="14"/>
      <c r="G178" s="13"/>
      <c r="H178" s="13"/>
      <c r="I178" s="14"/>
    </row>
    <row r="179" spans="1:9" ht="13.15">
      <c r="A179" s="13"/>
      <c r="B179" s="13"/>
      <c r="C179" s="13"/>
      <c r="D179" s="13"/>
      <c r="E179" s="13"/>
      <c r="F179" s="14"/>
      <c r="G179" s="13"/>
      <c r="H179" s="13"/>
      <c r="I179" s="14"/>
    </row>
    <row r="180" spans="1:9" ht="13.15">
      <c r="A180" s="13"/>
      <c r="B180" s="13"/>
      <c r="C180" s="13"/>
      <c r="D180" s="13"/>
      <c r="E180" s="13"/>
      <c r="F180" s="14"/>
      <c r="G180" s="13"/>
      <c r="H180" s="13"/>
      <c r="I180" s="14"/>
    </row>
    <row r="181" spans="1:9" ht="13.15">
      <c r="A181" s="13"/>
      <c r="B181" s="13"/>
      <c r="C181" s="13"/>
      <c r="D181" s="13"/>
      <c r="E181" s="13"/>
      <c r="F181" s="14"/>
      <c r="G181" s="13"/>
      <c r="H181" s="13"/>
      <c r="I181" s="14"/>
    </row>
    <row r="182" spans="1:9" ht="13.15">
      <c r="A182" s="13"/>
      <c r="B182" s="13"/>
      <c r="C182" s="13"/>
      <c r="D182" s="13"/>
      <c r="E182" s="13"/>
      <c r="F182" s="14"/>
      <c r="G182" s="13"/>
      <c r="H182" s="13"/>
      <c r="I182" s="14"/>
    </row>
    <row r="183" spans="1:9" ht="13.15">
      <c r="A183" s="13"/>
      <c r="B183" s="13"/>
      <c r="C183" s="13"/>
      <c r="D183" s="13"/>
      <c r="E183" s="13"/>
      <c r="F183" s="14"/>
      <c r="G183" s="13"/>
      <c r="H183" s="13"/>
      <c r="I183" s="14"/>
    </row>
    <row r="184" spans="1:9" ht="13.15">
      <c r="A184" s="13"/>
      <c r="B184" s="13"/>
      <c r="C184" s="13"/>
      <c r="D184" s="13"/>
      <c r="E184" s="13"/>
      <c r="F184" s="14"/>
      <c r="G184" s="13"/>
      <c r="H184" s="13"/>
      <c r="I184" s="14"/>
    </row>
    <row r="185" spans="1:9" ht="13.15">
      <c r="A185" s="13"/>
      <c r="B185" s="13"/>
      <c r="C185" s="13"/>
      <c r="D185" s="13"/>
      <c r="E185" s="13"/>
      <c r="F185" s="14"/>
      <c r="G185" s="13"/>
      <c r="H185" s="13"/>
      <c r="I185" s="14"/>
    </row>
    <row r="186" spans="1:9" ht="13.15">
      <c r="A186" s="13"/>
      <c r="B186" s="13"/>
      <c r="C186" s="13"/>
      <c r="D186" s="13"/>
      <c r="E186" s="13"/>
      <c r="F186" s="14"/>
      <c r="G186" s="13"/>
      <c r="H186" s="13"/>
      <c r="I186" s="14"/>
    </row>
    <row r="187" spans="1:9" ht="13.15">
      <c r="A187" s="13"/>
      <c r="B187" s="13"/>
      <c r="C187" s="13"/>
      <c r="D187" s="13"/>
      <c r="E187" s="13"/>
      <c r="F187" s="14"/>
      <c r="G187" s="13"/>
      <c r="H187" s="13"/>
      <c r="I187" s="14"/>
    </row>
    <row r="188" spans="1:9" ht="13.15">
      <c r="A188" s="13"/>
      <c r="B188" s="13"/>
      <c r="C188" s="13"/>
      <c r="D188" s="13"/>
      <c r="E188" s="13"/>
      <c r="F188" s="14"/>
      <c r="G188" s="13"/>
      <c r="H188" s="13"/>
      <c r="I188" s="14"/>
    </row>
    <row r="189" spans="1:9" ht="13.15">
      <c r="A189" s="13"/>
      <c r="B189" s="13"/>
      <c r="C189" s="13"/>
      <c r="D189" s="13"/>
      <c r="E189" s="13"/>
      <c r="F189" s="14"/>
      <c r="G189" s="13"/>
      <c r="H189" s="13"/>
      <c r="I189" s="14"/>
    </row>
    <row r="190" spans="1:9" ht="13.15">
      <c r="A190" s="13"/>
      <c r="B190" s="13"/>
      <c r="C190" s="13"/>
      <c r="D190" s="13"/>
      <c r="E190" s="13"/>
      <c r="F190" s="14"/>
      <c r="G190" s="13"/>
      <c r="H190" s="13"/>
      <c r="I190" s="14"/>
    </row>
    <row r="191" spans="1:9" ht="13.15">
      <c r="A191" s="13"/>
      <c r="B191" s="13"/>
      <c r="C191" s="13"/>
      <c r="D191" s="13"/>
      <c r="E191" s="13"/>
      <c r="F191" s="14"/>
      <c r="G191" s="13"/>
      <c r="H191" s="13"/>
      <c r="I191" s="14"/>
    </row>
    <row r="192" spans="1:9" ht="13.15">
      <c r="A192" s="13"/>
      <c r="B192" s="13"/>
      <c r="C192" s="13"/>
      <c r="D192" s="13"/>
      <c r="E192" s="13"/>
      <c r="F192" s="14"/>
      <c r="G192" s="13"/>
      <c r="H192" s="13"/>
      <c r="I192" s="14"/>
    </row>
    <row r="193" spans="1:9" ht="13.15">
      <c r="A193" s="13"/>
      <c r="B193" s="13"/>
      <c r="C193" s="13"/>
      <c r="D193" s="13"/>
      <c r="E193" s="13"/>
      <c r="F193" s="14"/>
      <c r="G193" s="13"/>
      <c r="H193" s="13"/>
      <c r="I193" s="14"/>
    </row>
    <row r="194" spans="1:9" ht="13.15">
      <c r="A194" s="13"/>
      <c r="B194" s="13"/>
      <c r="C194" s="13"/>
      <c r="D194" s="13"/>
      <c r="E194" s="13"/>
      <c r="F194" s="14"/>
      <c r="G194" s="13"/>
      <c r="H194" s="13"/>
      <c r="I194" s="14"/>
    </row>
    <row r="195" spans="1:9" ht="13.15">
      <c r="A195" s="13"/>
      <c r="B195" s="13"/>
      <c r="C195" s="13"/>
      <c r="D195" s="13"/>
      <c r="E195" s="13"/>
      <c r="F195" s="14"/>
      <c r="G195" s="13"/>
      <c r="H195" s="13"/>
      <c r="I195" s="14"/>
    </row>
    <row r="196" spans="1:9" ht="13.15">
      <c r="A196" s="13"/>
      <c r="B196" s="13"/>
      <c r="C196" s="13"/>
      <c r="D196" s="13"/>
      <c r="E196" s="13"/>
      <c r="F196" s="14"/>
      <c r="G196" s="13"/>
      <c r="H196" s="13"/>
      <c r="I196" s="14"/>
    </row>
    <row r="197" spans="1:9" ht="13.15">
      <c r="A197" s="13"/>
      <c r="B197" s="13"/>
      <c r="C197" s="13"/>
      <c r="D197" s="13"/>
      <c r="E197" s="13"/>
      <c r="F197" s="14"/>
      <c r="G197" s="13"/>
      <c r="H197" s="13"/>
      <c r="I197" s="14"/>
    </row>
    <row r="198" spans="1:9" ht="13.15">
      <c r="A198" s="13"/>
      <c r="B198" s="13"/>
      <c r="C198" s="13"/>
      <c r="D198" s="13"/>
      <c r="E198" s="13"/>
      <c r="F198" s="14"/>
      <c r="G198" s="13"/>
      <c r="H198" s="13"/>
      <c r="I198" s="14"/>
    </row>
    <row r="199" spans="1:9" ht="13.15">
      <c r="A199" s="13"/>
      <c r="B199" s="13"/>
      <c r="C199" s="13"/>
      <c r="D199" s="13"/>
      <c r="E199" s="13"/>
      <c r="F199" s="14"/>
      <c r="G199" s="13"/>
      <c r="H199" s="13"/>
      <c r="I199" s="14"/>
    </row>
    <row r="200" spans="1:9" ht="13.15">
      <c r="A200" s="13"/>
      <c r="B200" s="13"/>
      <c r="C200" s="13"/>
      <c r="D200" s="13"/>
      <c r="E200" s="13"/>
      <c r="F200" s="14"/>
      <c r="G200" s="13"/>
      <c r="H200" s="13"/>
      <c r="I200" s="14"/>
    </row>
    <row r="201" spans="1:9" ht="13.15">
      <c r="A201" s="13"/>
      <c r="B201" s="13"/>
      <c r="C201" s="13"/>
      <c r="D201" s="13"/>
      <c r="E201" s="13"/>
      <c r="F201" s="14"/>
      <c r="G201" s="13"/>
      <c r="H201" s="13"/>
      <c r="I201" s="14"/>
    </row>
    <row r="202" spans="1:9" ht="13.15">
      <c r="A202" s="13"/>
      <c r="B202" s="13"/>
      <c r="C202" s="13"/>
      <c r="D202" s="13"/>
      <c r="E202" s="13"/>
      <c r="F202" s="14"/>
      <c r="G202" s="13"/>
      <c r="H202" s="13"/>
      <c r="I202" s="14"/>
    </row>
    <row r="203" spans="1:9" ht="13.15">
      <c r="A203" s="13"/>
      <c r="B203" s="13"/>
      <c r="C203" s="13"/>
      <c r="D203" s="13"/>
      <c r="E203" s="13"/>
      <c r="F203" s="14"/>
      <c r="G203" s="13"/>
      <c r="H203" s="13"/>
      <c r="I203" s="14"/>
    </row>
    <row r="204" spans="1:9" ht="13.15">
      <c r="A204" s="13"/>
      <c r="B204" s="13"/>
      <c r="C204" s="13"/>
      <c r="D204" s="13"/>
      <c r="E204" s="13"/>
      <c r="F204" s="14"/>
      <c r="G204" s="13"/>
      <c r="H204" s="13"/>
      <c r="I204" s="14"/>
    </row>
    <row r="205" spans="1:9" ht="13.15">
      <c r="A205" s="13"/>
      <c r="B205" s="13"/>
      <c r="C205" s="13"/>
      <c r="D205" s="13"/>
      <c r="E205" s="13"/>
      <c r="F205" s="14"/>
      <c r="G205" s="13"/>
      <c r="H205" s="13"/>
      <c r="I205" s="14"/>
    </row>
    <row r="206" spans="1:9" ht="13.15">
      <c r="A206" s="13"/>
      <c r="B206" s="13"/>
      <c r="C206" s="13"/>
      <c r="D206" s="13"/>
      <c r="E206" s="13"/>
      <c r="F206" s="14"/>
      <c r="G206" s="13"/>
      <c r="H206" s="13"/>
      <c r="I206" s="14"/>
    </row>
    <row r="207" spans="1:9" ht="13.15">
      <c r="A207" s="13"/>
      <c r="B207" s="13"/>
      <c r="C207" s="13"/>
      <c r="D207" s="13"/>
      <c r="E207" s="13"/>
      <c r="F207" s="14"/>
      <c r="G207" s="13"/>
      <c r="H207" s="13"/>
      <c r="I207" s="14"/>
    </row>
    <row r="208" spans="1:9" ht="13.15">
      <c r="A208" s="13"/>
      <c r="B208" s="13"/>
      <c r="C208" s="13"/>
      <c r="D208" s="13"/>
      <c r="E208" s="13"/>
      <c r="F208" s="14"/>
      <c r="G208" s="13"/>
      <c r="H208" s="13"/>
      <c r="I208" s="14"/>
    </row>
    <row r="209" spans="1:9" ht="13.15">
      <c r="A209" s="13"/>
      <c r="B209" s="13"/>
      <c r="C209" s="13"/>
      <c r="D209" s="13"/>
      <c r="E209" s="13"/>
      <c r="F209" s="14"/>
      <c r="G209" s="13"/>
      <c r="H209" s="13"/>
      <c r="I209" s="14"/>
    </row>
    <row r="210" spans="1:9" ht="13.15">
      <c r="A210" s="13"/>
      <c r="B210" s="13"/>
      <c r="C210" s="13"/>
      <c r="D210" s="13"/>
      <c r="E210" s="13"/>
      <c r="F210" s="14"/>
      <c r="G210" s="13"/>
      <c r="H210" s="13"/>
      <c r="I210" s="14"/>
    </row>
    <row r="211" spans="1:9" ht="13.15">
      <c r="A211" s="13"/>
      <c r="B211" s="13"/>
      <c r="C211" s="13"/>
      <c r="D211" s="13"/>
      <c r="E211" s="13"/>
      <c r="F211" s="14"/>
      <c r="G211" s="13"/>
      <c r="H211" s="13"/>
      <c r="I211" s="14"/>
    </row>
    <row r="212" spans="1:9" ht="13.15">
      <c r="A212" s="13"/>
      <c r="B212" s="13"/>
      <c r="C212" s="13"/>
      <c r="D212" s="13"/>
      <c r="E212" s="13"/>
      <c r="F212" s="14"/>
      <c r="G212" s="13"/>
      <c r="H212" s="13"/>
      <c r="I212" s="14"/>
    </row>
    <row r="213" spans="1:9" ht="13.15">
      <c r="A213" s="13"/>
      <c r="B213" s="13"/>
      <c r="C213" s="13"/>
      <c r="D213" s="13"/>
      <c r="E213" s="13"/>
      <c r="F213" s="14"/>
      <c r="G213" s="13"/>
      <c r="H213" s="13"/>
      <c r="I213" s="14"/>
    </row>
    <row r="214" spans="1:9" ht="13.15">
      <c r="A214" s="13"/>
      <c r="B214" s="13"/>
      <c r="C214" s="13"/>
      <c r="D214" s="13"/>
      <c r="E214" s="13"/>
      <c r="F214" s="14"/>
      <c r="G214" s="13"/>
      <c r="H214" s="13"/>
      <c r="I214" s="14"/>
    </row>
    <row r="215" spans="1:9" ht="13.15">
      <c r="A215" s="13"/>
      <c r="B215" s="13"/>
      <c r="C215" s="13"/>
      <c r="D215" s="13"/>
      <c r="E215" s="13"/>
      <c r="F215" s="14"/>
      <c r="G215" s="13"/>
      <c r="H215" s="13"/>
      <c r="I215" s="14"/>
    </row>
    <row r="216" spans="1:9" ht="13.15">
      <c r="A216" s="13"/>
      <c r="B216" s="13"/>
      <c r="C216" s="13"/>
      <c r="D216" s="13"/>
      <c r="E216" s="13"/>
      <c r="F216" s="14"/>
      <c r="G216" s="13"/>
      <c r="H216" s="13"/>
      <c r="I216" s="14"/>
    </row>
    <row r="217" spans="1:9" ht="13.15">
      <c r="A217" s="13"/>
      <c r="B217" s="13"/>
      <c r="C217" s="13"/>
      <c r="D217" s="13"/>
      <c r="E217" s="13"/>
      <c r="F217" s="14"/>
      <c r="G217" s="13"/>
      <c r="H217" s="13"/>
      <c r="I217" s="14"/>
    </row>
    <row r="218" spans="1:9" ht="13.15">
      <c r="A218" s="13"/>
      <c r="B218" s="13"/>
      <c r="C218" s="13"/>
      <c r="D218" s="13"/>
      <c r="E218" s="13"/>
      <c r="F218" s="14"/>
      <c r="G218" s="13"/>
      <c r="H218" s="13"/>
      <c r="I218" s="14"/>
    </row>
    <row r="219" spans="1:9" ht="13.15">
      <c r="A219" s="13"/>
      <c r="B219" s="13"/>
      <c r="C219" s="13"/>
      <c r="D219" s="13"/>
      <c r="E219" s="13"/>
      <c r="F219" s="14"/>
      <c r="G219" s="13"/>
      <c r="H219" s="13"/>
      <c r="I219" s="14"/>
    </row>
    <row r="220" spans="1:9" ht="13.15">
      <c r="A220" s="13"/>
      <c r="B220" s="13"/>
      <c r="C220" s="13"/>
      <c r="D220" s="13"/>
      <c r="E220" s="13"/>
      <c r="F220" s="14"/>
      <c r="G220" s="13"/>
      <c r="H220" s="13"/>
      <c r="I220" s="14"/>
    </row>
    <row r="221" spans="1:9" ht="13.15">
      <c r="A221" s="13"/>
      <c r="B221" s="13"/>
      <c r="C221" s="13"/>
      <c r="D221" s="13"/>
      <c r="E221" s="13"/>
      <c r="F221" s="14"/>
      <c r="G221" s="13"/>
      <c r="H221" s="13"/>
      <c r="I221" s="14"/>
    </row>
    <row r="222" spans="1:9" ht="13.15">
      <c r="A222" s="13"/>
      <c r="B222" s="13"/>
      <c r="C222" s="13"/>
      <c r="D222" s="13"/>
      <c r="E222" s="13"/>
      <c r="F222" s="14"/>
      <c r="G222" s="13"/>
      <c r="H222" s="13"/>
      <c r="I222" s="14"/>
    </row>
    <row r="223" spans="1:9" ht="13.15">
      <c r="A223" s="13"/>
      <c r="B223" s="13"/>
      <c r="C223" s="13"/>
      <c r="D223" s="13"/>
      <c r="E223" s="13"/>
      <c r="F223" s="14"/>
      <c r="G223" s="13"/>
      <c r="H223" s="13"/>
      <c r="I223" s="14"/>
    </row>
    <row r="224" spans="1:9" ht="13.15">
      <c r="A224" s="13"/>
      <c r="B224" s="13"/>
      <c r="C224" s="13"/>
      <c r="D224" s="13"/>
      <c r="E224" s="13"/>
      <c r="F224" s="14"/>
      <c r="G224" s="13"/>
      <c r="H224" s="13"/>
      <c r="I224" s="14"/>
    </row>
    <row r="225" spans="1:9" ht="13.15">
      <c r="A225" s="13"/>
      <c r="B225" s="13"/>
      <c r="C225" s="13"/>
      <c r="D225" s="13"/>
      <c r="E225" s="13"/>
      <c r="F225" s="14"/>
      <c r="G225" s="13"/>
      <c r="H225" s="13"/>
      <c r="I225" s="14"/>
    </row>
    <row r="226" spans="1:9" ht="13.15">
      <c r="A226" s="13"/>
      <c r="B226" s="13"/>
      <c r="C226" s="13"/>
      <c r="D226" s="13"/>
      <c r="E226" s="13"/>
      <c r="F226" s="14"/>
      <c r="G226" s="13"/>
      <c r="H226" s="13"/>
      <c r="I226" s="14"/>
    </row>
    <row r="227" spans="1:9" ht="13.15">
      <c r="A227" s="13"/>
      <c r="B227" s="13"/>
      <c r="C227" s="13"/>
      <c r="D227" s="13"/>
      <c r="E227" s="13"/>
      <c r="F227" s="14"/>
      <c r="G227" s="13"/>
      <c r="H227" s="13"/>
      <c r="I227" s="14"/>
    </row>
    <row r="228" spans="1:9" ht="13.15">
      <c r="A228" s="13"/>
      <c r="B228" s="13"/>
      <c r="C228" s="13"/>
      <c r="D228" s="13"/>
      <c r="E228" s="13"/>
      <c r="F228" s="14"/>
      <c r="G228" s="13"/>
      <c r="H228" s="13"/>
      <c r="I228" s="14"/>
    </row>
    <row r="229" spans="1:9" ht="13.15">
      <c r="A229" s="13"/>
      <c r="B229" s="13"/>
      <c r="C229" s="13"/>
      <c r="D229" s="13"/>
      <c r="E229" s="13"/>
      <c r="F229" s="14"/>
      <c r="G229" s="13"/>
      <c r="H229" s="13"/>
      <c r="I229" s="14"/>
    </row>
    <row r="230" spans="1:9" ht="13.15">
      <c r="A230" s="13"/>
      <c r="B230" s="13"/>
      <c r="C230" s="13"/>
      <c r="D230" s="13"/>
      <c r="E230" s="13"/>
      <c r="F230" s="14"/>
      <c r="G230" s="13"/>
      <c r="H230" s="13"/>
      <c r="I230" s="14"/>
    </row>
    <row r="231" spans="1:9" ht="13.15">
      <c r="A231" s="13"/>
      <c r="B231" s="13"/>
      <c r="C231" s="13"/>
      <c r="D231" s="13"/>
      <c r="E231" s="13"/>
      <c r="F231" s="14"/>
      <c r="G231" s="13"/>
      <c r="H231" s="13"/>
      <c r="I231" s="14"/>
    </row>
    <row r="232" spans="1:9" ht="13.15">
      <c r="A232" s="13"/>
      <c r="B232" s="13"/>
      <c r="C232" s="13"/>
      <c r="D232" s="13"/>
      <c r="E232" s="13"/>
      <c r="F232" s="14"/>
      <c r="G232" s="13"/>
      <c r="H232" s="13"/>
      <c r="I232" s="14"/>
    </row>
    <row r="233" spans="1:9" ht="13.15">
      <c r="A233" s="13"/>
      <c r="B233" s="13"/>
      <c r="C233" s="13"/>
      <c r="D233" s="13"/>
      <c r="E233" s="13"/>
      <c r="F233" s="14"/>
      <c r="G233" s="13"/>
      <c r="H233" s="13"/>
      <c r="I233" s="14"/>
    </row>
    <row r="234" spans="1:9" ht="13.15">
      <c r="A234" s="13"/>
      <c r="B234" s="13"/>
      <c r="C234" s="13"/>
      <c r="D234" s="13"/>
      <c r="E234" s="13"/>
      <c r="F234" s="14"/>
      <c r="G234" s="13"/>
      <c r="H234" s="13"/>
      <c r="I234" s="14"/>
    </row>
    <row r="235" spans="1:9" ht="13.15">
      <c r="A235" s="13"/>
      <c r="B235" s="13"/>
      <c r="C235" s="13"/>
      <c r="D235" s="13"/>
      <c r="E235" s="13"/>
      <c r="F235" s="14"/>
      <c r="G235" s="13"/>
      <c r="H235" s="13"/>
      <c r="I235" s="14"/>
    </row>
    <row r="236" spans="1:9" ht="13.15">
      <c r="A236" s="13"/>
      <c r="B236" s="13"/>
      <c r="C236" s="13"/>
      <c r="D236" s="13"/>
      <c r="E236" s="13"/>
      <c r="F236" s="14"/>
      <c r="G236" s="13"/>
      <c r="H236" s="13"/>
      <c r="I236" s="14"/>
    </row>
    <row r="237" spans="1:9" ht="13.15">
      <c r="A237" s="13"/>
      <c r="B237" s="13"/>
      <c r="C237" s="13"/>
      <c r="D237" s="13"/>
      <c r="E237" s="13"/>
      <c r="F237" s="14"/>
      <c r="G237" s="13"/>
      <c r="H237" s="13"/>
      <c r="I237" s="14"/>
    </row>
    <row r="238" spans="1:9" ht="13.15">
      <c r="A238" s="13"/>
      <c r="B238" s="13"/>
      <c r="C238" s="13"/>
      <c r="D238" s="13"/>
      <c r="E238" s="13"/>
      <c r="F238" s="14"/>
      <c r="G238" s="13"/>
      <c r="H238" s="13"/>
      <c r="I238" s="14"/>
    </row>
    <row r="239" spans="1:9" ht="13.15">
      <c r="A239" s="13"/>
      <c r="B239" s="13"/>
      <c r="C239" s="13"/>
      <c r="D239" s="13"/>
      <c r="E239" s="13"/>
      <c r="F239" s="14"/>
      <c r="G239" s="13"/>
      <c r="H239" s="13"/>
      <c r="I239" s="14"/>
    </row>
    <row r="240" spans="1:9" ht="13.15">
      <c r="A240" s="13"/>
      <c r="B240" s="13"/>
      <c r="C240" s="13"/>
      <c r="D240" s="13"/>
      <c r="E240" s="13"/>
      <c r="F240" s="14"/>
      <c r="G240" s="13"/>
      <c r="H240" s="13"/>
      <c r="I240" s="14"/>
    </row>
    <row r="241" spans="1:9" ht="13.15">
      <c r="A241" s="13"/>
      <c r="B241" s="13"/>
      <c r="C241" s="13"/>
      <c r="D241" s="13"/>
      <c r="E241" s="13"/>
      <c r="F241" s="14"/>
      <c r="G241" s="13"/>
      <c r="H241" s="13"/>
      <c r="I241" s="14"/>
    </row>
    <row r="242" spans="1:9" ht="13.15">
      <c r="A242" s="13"/>
      <c r="B242" s="13"/>
      <c r="C242" s="13"/>
      <c r="D242" s="13"/>
      <c r="E242" s="13"/>
      <c r="F242" s="14"/>
      <c r="G242" s="13"/>
      <c r="H242" s="13"/>
      <c r="I242" s="14"/>
    </row>
    <row r="243" spans="1:9" ht="13.15">
      <c r="A243" s="13"/>
      <c r="B243" s="13"/>
      <c r="C243" s="13"/>
      <c r="D243" s="13"/>
      <c r="E243" s="13"/>
      <c r="F243" s="14"/>
      <c r="G243" s="13"/>
      <c r="H243" s="13"/>
      <c r="I243" s="14"/>
    </row>
    <row r="244" spans="1:9" ht="13.15">
      <c r="A244" s="13"/>
      <c r="B244" s="13"/>
      <c r="C244" s="13"/>
      <c r="D244" s="13"/>
      <c r="E244" s="13"/>
      <c r="F244" s="14"/>
      <c r="G244" s="13"/>
      <c r="H244" s="13"/>
      <c r="I244" s="14"/>
    </row>
    <row r="245" spans="1:9" ht="13.15">
      <c r="A245" s="13"/>
      <c r="B245" s="13"/>
      <c r="C245" s="13"/>
      <c r="D245" s="13"/>
      <c r="E245" s="13"/>
      <c r="F245" s="14"/>
      <c r="G245" s="13"/>
      <c r="H245" s="13"/>
      <c r="I245" s="14"/>
    </row>
    <row r="246" spans="1:9" ht="13.15">
      <c r="A246" s="13"/>
      <c r="B246" s="13"/>
      <c r="C246" s="13"/>
      <c r="D246" s="13"/>
      <c r="E246" s="13"/>
      <c r="F246" s="14"/>
      <c r="G246" s="13"/>
      <c r="H246" s="13"/>
      <c r="I246" s="14"/>
    </row>
    <row r="247" spans="1:9" ht="13.15">
      <c r="A247" s="13"/>
      <c r="B247" s="13"/>
      <c r="C247" s="13"/>
      <c r="D247" s="13"/>
      <c r="E247" s="13"/>
      <c r="F247" s="14"/>
      <c r="G247" s="13"/>
      <c r="H247" s="13"/>
      <c r="I247" s="14"/>
    </row>
    <row r="248" spans="1:9" ht="13.15">
      <c r="A248" s="13"/>
      <c r="B248" s="13"/>
      <c r="C248" s="13"/>
      <c r="D248" s="13"/>
      <c r="E248" s="13"/>
      <c r="F248" s="14"/>
      <c r="G248" s="13"/>
      <c r="H248" s="13"/>
      <c r="I248" s="14"/>
    </row>
    <row r="249" spans="1:9" ht="13.15">
      <c r="A249" s="13"/>
      <c r="B249" s="13"/>
      <c r="C249" s="13"/>
      <c r="D249" s="13"/>
      <c r="E249" s="13"/>
      <c r="F249" s="14"/>
      <c r="G249" s="13"/>
      <c r="H249" s="13"/>
      <c r="I249" s="14"/>
    </row>
    <row r="250" spans="1:9" ht="13.15">
      <c r="A250" s="13"/>
      <c r="B250" s="13"/>
      <c r="C250" s="13"/>
      <c r="D250" s="13"/>
      <c r="E250" s="13"/>
      <c r="F250" s="14"/>
      <c r="G250" s="13"/>
      <c r="H250" s="13"/>
      <c r="I250" s="14"/>
    </row>
    <row r="251" spans="1:9" ht="13.15">
      <c r="A251" s="13"/>
      <c r="B251" s="13"/>
      <c r="C251" s="13"/>
      <c r="D251" s="13"/>
      <c r="E251" s="13"/>
      <c r="F251" s="14"/>
      <c r="G251" s="13"/>
      <c r="H251" s="13"/>
      <c r="I251" s="14"/>
    </row>
    <row r="252" spans="1:9" ht="13.15">
      <c r="A252" s="13"/>
      <c r="B252" s="13"/>
      <c r="C252" s="13"/>
      <c r="D252" s="13"/>
      <c r="E252" s="13"/>
      <c r="F252" s="14"/>
      <c r="G252" s="13"/>
      <c r="H252" s="13"/>
      <c r="I252" s="14"/>
    </row>
    <row r="253" spans="1:9" ht="13.15">
      <c r="A253" s="13"/>
      <c r="B253" s="13"/>
      <c r="C253" s="13"/>
      <c r="D253" s="13"/>
      <c r="E253" s="13"/>
      <c r="F253" s="14"/>
      <c r="G253" s="13"/>
      <c r="H253" s="13"/>
      <c r="I253" s="14"/>
    </row>
    <row r="254" spans="1:9" ht="13.15">
      <c r="A254" s="13"/>
      <c r="B254" s="13"/>
      <c r="C254" s="13"/>
      <c r="D254" s="13"/>
      <c r="E254" s="13"/>
      <c r="F254" s="14"/>
      <c r="G254" s="13"/>
      <c r="H254" s="13"/>
      <c r="I254" s="14"/>
    </row>
    <row r="255" spans="1:9" ht="13.15">
      <c r="A255" s="13"/>
      <c r="B255" s="13"/>
      <c r="C255" s="13"/>
      <c r="D255" s="13"/>
      <c r="E255" s="13"/>
      <c r="F255" s="14"/>
      <c r="G255" s="13"/>
      <c r="H255" s="13"/>
      <c r="I255" s="14"/>
    </row>
    <row r="256" spans="1:9" ht="13.15">
      <c r="A256" s="13"/>
      <c r="B256" s="13"/>
      <c r="C256" s="13"/>
      <c r="D256" s="13"/>
      <c r="E256" s="13"/>
      <c r="F256" s="14"/>
      <c r="G256" s="13"/>
      <c r="H256" s="13"/>
      <c r="I256" s="14"/>
    </row>
    <row r="257" spans="1:9" ht="13.15">
      <c r="A257" s="13"/>
      <c r="B257" s="13"/>
      <c r="C257" s="13"/>
      <c r="D257" s="13"/>
      <c r="E257" s="13"/>
      <c r="F257" s="14"/>
      <c r="G257" s="13"/>
      <c r="H257" s="13"/>
      <c r="I257" s="14"/>
    </row>
    <row r="258" spans="1:9" ht="13.15">
      <c r="A258" s="13"/>
      <c r="B258" s="13"/>
      <c r="C258" s="13"/>
      <c r="D258" s="13"/>
      <c r="E258" s="13"/>
      <c r="F258" s="14"/>
      <c r="G258" s="13"/>
      <c r="H258" s="13"/>
      <c r="I258" s="14"/>
    </row>
    <row r="259" spans="1:9" ht="13.15">
      <c r="A259" s="13"/>
      <c r="B259" s="13"/>
      <c r="C259" s="13"/>
      <c r="D259" s="13"/>
      <c r="E259" s="13"/>
      <c r="F259" s="14"/>
      <c r="G259" s="13"/>
      <c r="H259" s="13"/>
      <c r="I259" s="14"/>
    </row>
    <row r="260" spans="1:9" ht="13.15">
      <c r="A260" s="13"/>
      <c r="B260" s="13"/>
      <c r="C260" s="13"/>
      <c r="D260" s="13"/>
      <c r="E260" s="13"/>
      <c r="F260" s="14"/>
      <c r="G260" s="13"/>
      <c r="H260" s="13"/>
      <c r="I260" s="14"/>
    </row>
    <row r="261" spans="1:9" ht="13.15">
      <c r="A261" s="13"/>
      <c r="B261" s="13"/>
      <c r="C261" s="13"/>
      <c r="D261" s="13"/>
      <c r="E261" s="13"/>
      <c r="F261" s="14"/>
      <c r="G261" s="13"/>
      <c r="H261" s="13"/>
      <c r="I261" s="14"/>
    </row>
    <row r="262" spans="1:9" ht="13.15">
      <c r="A262" s="13"/>
      <c r="B262" s="13"/>
      <c r="C262" s="13"/>
      <c r="D262" s="13"/>
      <c r="E262" s="13"/>
      <c r="F262" s="14"/>
      <c r="G262" s="13"/>
      <c r="H262" s="13"/>
      <c r="I262" s="14"/>
    </row>
    <row r="263" spans="1:9" ht="13.15">
      <c r="A263" s="13"/>
      <c r="B263" s="13"/>
      <c r="C263" s="13"/>
      <c r="D263" s="13"/>
      <c r="E263" s="13"/>
      <c r="F263" s="14"/>
      <c r="G263" s="13"/>
      <c r="H263" s="13"/>
      <c r="I263" s="14"/>
    </row>
    <row r="264" spans="1:9" ht="13.15">
      <c r="A264" s="13"/>
      <c r="B264" s="13"/>
      <c r="C264" s="13"/>
      <c r="D264" s="13"/>
      <c r="E264" s="13"/>
      <c r="F264" s="14"/>
      <c r="G264" s="13"/>
      <c r="H264" s="13"/>
      <c r="I264" s="14"/>
    </row>
    <row r="265" spans="1:9" ht="13.15">
      <c r="A265" s="13"/>
      <c r="B265" s="13"/>
      <c r="C265" s="13"/>
      <c r="D265" s="13"/>
      <c r="E265" s="13"/>
      <c r="F265" s="14"/>
      <c r="G265" s="13"/>
      <c r="H265" s="13"/>
      <c r="I265" s="14"/>
    </row>
    <row r="266" spans="1:9" ht="13.15">
      <c r="A266" s="13"/>
      <c r="B266" s="13"/>
      <c r="C266" s="13"/>
      <c r="D266" s="13"/>
      <c r="E266" s="13"/>
      <c r="F266" s="14"/>
      <c r="G266" s="13"/>
      <c r="H266" s="13"/>
      <c r="I266" s="14"/>
    </row>
    <row r="267" spans="1:9" ht="13.15">
      <c r="A267" s="13"/>
      <c r="B267" s="13"/>
      <c r="C267" s="13"/>
      <c r="D267" s="13"/>
      <c r="E267" s="13"/>
      <c r="F267" s="14"/>
      <c r="G267" s="13"/>
      <c r="H267" s="13"/>
      <c r="I267" s="14"/>
    </row>
    <row r="268" spans="1:9" ht="13.15">
      <c r="A268" s="13"/>
      <c r="B268" s="13"/>
      <c r="C268" s="13"/>
      <c r="D268" s="13"/>
      <c r="E268" s="13"/>
      <c r="F268" s="14"/>
      <c r="G268" s="13"/>
      <c r="H268" s="13"/>
      <c r="I268" s="14"/>
    </row>
    <row r="269" spans="1:9" ht="13.15">
      <c r="A269" s="13"/>
      <c r="B269" s="13"/>
      <c r="C269" s="13"/>
      <c r="D269" s="13"/>
      <c r="E269" s="13"/>
      <c r="F269" s="14"/>
      <c r="G269" s="13"/>
      <c r="H269" s="13"/>
      <c r="I269" s="14"/>
    </row>
    <row r="270" spans="1:9" ht="13.15">
      <c r="A270" s="13"/>
      <c r="B270" s="13"/>
      <c r="C270" s="13"/>
      <c r="D270" s="13"/>
      <c r="E270" s="13"/>
      <c r="F270" s="14"/>
      <c r="G270" s="13"/>
      <c r="H270" s="13"/>
      <c r="I270" s="14"/>
    </row>
    <row r="271" spans="1:9" ht="13.15">
      <c r="A271" s="13"/>
      <c r="B271" s="13"/>
      <c r="C271" s="13"/>
      <c r="D271" s="13"/>
      <c r="E271" s="13"/>
      <c r="F271" s="14"/>
      <c r="G271" s="13"/>
      <c r="H271" s="13"/>
      <c r="I271" s="14"/>
    </row>
    <row r="272" spans="1:9" ht="13.15">
      <c r="A272" s="13"/>
      <c r="B272" s="13"/>
      <c r="C272" s="13"/>
      <c r="D272" s="13"/>
      <c r="E272" s="13"/>
      <c r="F272" s="14"/>
      <c r="G272" s="13"/>
      <c r="H272" s="13"/>
      <c r="I272" s="14"/>
    </row>
    <row r="273" spans="1:9" ht="13.15">
      <c r="A273" s="13"/>
      <c r="B273" s="13"/>
      <c r="C273" s="13"/>
      <c r="D273" s="13"/>
      <c r="E273" s="13"/>
      <c r="F273" s="14"/>
      <c r="G273" s="13"/>
      <c r="H273" s="13"/>
      <c r="I273" s="14"/>
    </row>
    <row r="274" spans="1:9" ht="13.15">
      <c r="A274" s="13"/>
      <c r="B274" s="13"/>
      <c r="C274" s="13"/>
      <c r="D274" s="13"/>
      <c r="E274" s="13"/>
      <c r="F274" s="14"/>
      <c r="G274" s="13"/>
      <c r="H274" s="13"/>
      <c r="I274" s="14"/>
    </row>
    <row r="275" spans="1:9" ht="13.15">
      <c r="A275" s="13"/>
      <c r="B275" s="13"/>
      <c r="C275" s="13"/>
      <c r="D275" s="13"/>
      <c r="E275" s="13"/>
      <c r="F275" s="14"/>
      <c r="G275" s="13"/>
      <c r="H275" s="13"/>
      <c r="I275" s="14"/>
    </row>
    <row r="276" spans="1:9" ht="13.15">
      <c r="A276" s="13"/>
      <c r="B276" s="13"/>
      <c r="C276" s="13"/>
      <c r="D276" s="13"/>
      <c r="E276" s="13"/>
      <c r="F276" s="14"/>
      <c r="G276" s="13"/>
      <c r="H276" s="13"/>
      <c r="I276" s="14"/>
    </row>
    <row r="277" spans="1:9" ht="13.15">
      <c r="A277" s="13"/>
      <c r="B277" s="13"/>
      <c r="C277" s="13"/>
      <c r="D277" s="13"/>
      <c r="E277" s="13"/>
      <c r="F277" s="14"/>
      <c r="G277" s="13"/>
      <c r="H277" s="13"/>
      <c r="I277" s="14"/>
    </row>
    <row r="278" spans="1:9" ht="13.15">
      <c r="A278" s="13"/>
      <c r="B278" s="13"/>
      <c r="C278" s="13"/>
      <c r="D278" s="13"/>
      <c r="E278" s="13"/>
      <c r="F278" s="14"/>
      <c r="G278" s="13"/>
      <c r="H278" s="13"/>
      <c r="I278" s="14"/>
    </row>
    <row r="279" spans="1:9" ht="13.15">
      <c r="A279" s="13"/>
      <c r="B279" s="13"/>
      <c r="C279" s="13"/>
      <c r="D279" s="13"/>
      <c r="E279" s="13"/>
      <c r="F279" s="14"/>
      <c r="G279" s="13"/>
      <c r="H279" s="13"/>
      <c r="I279" s="14"/>
    </row>
    <row r="280" spans="1:9" ht="13.15">
      <c r="A280" s="13"/>
      <c r="B280" s="13"/>
      <c r="C280" s="13"/>
      <c r="D280" s="13"/>
      <c r="E280" s="13"/>
      <c r="F280" s="14"/>
      <c r="G280" s="13"/>
      <c r="H280" s="13"/>
      <c r="I280" s="14"/>
    </row>
    <row r="281" spans="1:9" ht="13.15">
      <c r="A281" s="13"/>
      <c r="B281" s="13"/>
      <c r="C281" s="13"/>
      <c r="D281" s="13"/>
      <c r="E281" s="13"/>
      <c r="F281" s="14"/>
      <c r="G281" s="13"/>
      <c r="H281" s="13"/>
      <c r="I281" s="14"/>
    </row>
    <row r="282" spans="1:9" ht="13.15">
      <c r="A282" s="13"/>
      <c r="B282" s="13"/>
      <c r="C282" s="13"/>
      <c r="D282" s="13"/>
      <c r="E282" s="13"/>
      <c r="F282" s="14"/>
      <c r="G282" s="13"/>
      <c r="H282" s="13"/>
      <c r="I282" s="14"/>
    </row>
    <row r="283" spans="1:9" ht="13.15">
      <c r="A283" s="13"/>
      <c r="B283" s="13"/>
      <c r="C283" s="13"/>
      <c r="D283" s="13"/>
      <c r="E283" s="13"/>
      <c r="F283" s="14"/>
      <c r="G283" s="13"/>
      <c r="H283" s="13"/>
      <c r="I283" s="14"/>
    </row>
    <row r="284" spans="1:9" ht="13.15">
      <c r="A284" s="13"/>
      <c r="B284" s="13"/>
      <c r="C284" s="13"/>
      <c r="D284" s="13"/>
      <c r="E284" s="13"/>
      <c r="F284" s="14"/>
      <c r="G284" s="13"/>
      <c r="H284" s="13"/>
      <c r="I284" s="14"/>
    </row>
    <row r="285" spans="1:9" ht="13.15">
      <c r="A285" s="13"/>
      <c r="B285" s="13"/>
      <c r="C285" s="13"/>
      <c r="D285" s="13"/>
      <c r="E285" s="13"/>
      <c r="F285" s="14"/>
      <c r="G285" s="13"/>
      <c r="H285" s="13"/>
      <c r="I285" s="14"/>
    </row>
    <row r="286" spans="1:9" ht="13.15">
      <c r="A286" s="13"/>
      <c r="B286" s="13"/>
      <c r="C286" s="13"/>
      <c r="D286" s="13"/>
      <c r="E286" s="13"/>
      <c r="F286" s="14"/>
      <c r="G286" s="13"/>
      <c r="H286" s="13"/>
      <c r="I286" s="14"/>
    </row>
    <row r="287" spans="1:9" ht="13.15">
      <c r="A287" s="13"/>
      <c r="B287" s="13"/>
      <c r="C287" s="13"/>
      <c r="D287" s="13"/>
      <c r="E287" s="13"/>
      <c r="F287" s="14"/>
      <c r="G287" s="13"/>
      <c r="H287" s="13"/>
      <c r="I287" s="14"/>
    </row>
    <row r="288" spans="1:9" ht="13.15">
      <c r="A288" s="13"/>
      <c r="B288" s="13"/>
      <c r="C288" s="13"/>
      <c r="D288" s="13"/>
      <c r="E288" s="13"/>
      <c r="F288" s="14"/>
      <c r="G288" s="13"/>
      <c r="H288" s="13"/>
      <c r="I288" s="14"/>
    </row>
    <row r="289" spans="1:9" ht="13.15">
      <c r="A289" s="13"/>
      <c r="B289" s="13"/>
      <c r="C289" s="13"/>
      <c r="D289" s="13"/>
      <c r="E289" s="13"/>
      <c r="F289" s="14"/>
      <c r="G289" s="13"/>
      <c r="H289" s="13"/>
      <c r="I289" s="14"/>
    </row>
    <row r="290" spans="1:9" ht="13.15">
      <c r="A290" s="13"/>
      <c r="B290" s="13"/>
      <c r="C290" s="13"/>
      <c r="D290" s="13"/>
      <c r="E290" s="13"/>
      <c r="F290" s="14"/>
      <c r="G290" s="13"/>
      <c r="H290" s="13"/>
      <c r="I290" s="14"/>
    </row>
    <row r="291" spans="1:9" ht="13.15">
      <c r="A291" s="13"/>
      <c r="B291" s="13"/>
      <c r="C291" s="13"/>
      <c r="D291" s="13"/>
      <c r="E291" s="13"/>
      <c r="F291" s="14"/>
      <c r="G291" s="13"/>
      <c r="H291" s="13"/>
      <c r="I291" s="14"/>
    </row>
    <row r="292" spans="1:9" ht="13.15">
      <c r="A292" s="13"/>
      <c r="B292" s="13"/>
      <c r="C292" s="13"/>
      <c r="D292" s="13"/>
      <c r="E292" s="13"/>
      <c r="F292" s="14"/>
      <c r="G292" s="13"/>
      <c r="H292" s="13"/>
      <c r="I292" s="14"/>
    </row>
    <row r="293" spans="1:9" ht="13.15">
      <c r="A293" s="13"/>
      <c r="B293" s="13"/>
      <c r="C293" s="13"/>
      <c r="D293" s="13"/>
      <c r="E293" s="13"/>
      <c r="F293" s="14"/>
      <c r="G293" s="13"/>
      <c r="H293" s="13"/>
      <c r="I293" s="14"/>
    </row>
    <row r="294" spans="1:9" ht="13.15">
      <c r="A294" s="13"/>
      <c r="B294" s="13"/>
      <c r="C294" s="13"/>
      <c r="D294" s="13"/>
      <c r="E294" s="13"/>
      <c r="F294" s="14"/>
      <c r="G294" s="13"/>
      <c r="H294" s="13"/>
      <c r="I294" s="14"/>
    </row>
    <row r="295" spans="1:9" ht="13.15">
      <c r="A295" s="13"/>
      <c r="B295" s="13"/>
      <c r="C295" s="13"/>
      <c r="D295" s="13"/>
      <c r="E295" s="13"/>
      <c r="F295" s="14"/>
      <c r="G295" s="13"/>
      <c r="H295" s="13"/>
      <c r="I295" s="14"/>
    </row>
    <row r="296" spans="1:9" ht="13.15">
      <c r="A296" s="13"/>
      <c r="B296" s="13"/>
      <c r="C296" s="13"/>
      <c r="D296" s="13"/>
      <c r="E296" s="13"/>
      <c r="F296" s="14"/>
      <c r="G296" s="13"/>
      <c r="H296" s="13"/>
      <c r="I296" s="14"/>
    </row>
    <row r="297" spans="1:9" ht="13.15">
      <c r="A297" s="13"/>
      <c r="B297" s="13"/>
      <c r="C297" s="13"/>
      <c r="D297" s="13"/>
      <c r="E297" s="13"/>
      <c r="F297" s="14"/>
      <c r="G297" s="13"/>
      <c r="H297" s="13"/>
      <c r="I297" s="14"/>
    </row>
    <row r="298" spans="1:9" ht="13.15">
      <c r="A298" s="13"/>
      <c r="B298" s="13"/>
      <c r="C298" s="13"/>
      <c r="D298" s="13"/>
      <c r="E298" s="13"/>
      <c r="F298" s="14"/>
      <c r="G298" s="13"/>
      <c r="H298" s="13"/>
      <c r="I298" s="14"/>
    </row>
    <row r="299" spans="1:9" ht="13.15">
      <c r="A299" s="13"/>
      <c r="B299" s="13"/>
      <c r="C299" s="13"/>
      <c r="D299" s="13"/>
      <c r="E299" s="13"/>
      <c r="F299" s="14"/>
      <c r="G299" s="13"/>
      <c r="H299" s="13"/>
      <c r="I299" s="14"/>
    </row>
    <row r="300" spans="1:9" ht="13.15">
      <c r="A300" s="13"/>
      <c r="B300" s="13"/>
      <c r="C300" s="13"/>
      <c r="D300" s="13"/>
      <c r="E300" s="13"/>
      <c r="F300" s="14"/>
      <c r="G300" s="13"/>
      <c r="H300" s="13"/>
      <c r="I300" s="14"/>
    </row>
    <row r="301" spans="1:9" ht="13.15">
      <c r="A301" s="13"/>
      <c r="B301" s="13"/>
      <c r="C301" s="13"/>
      <c r="D301" s="13"/>
      <c r="E301" s="13"/>
      <c r="F301" s="14"/>
      <c r="G301" s="13"/>
      <c r="H301" s="13"/>
      <c r="I301" s="14"/>
    </row>
    <row r="302" spans="1:9" ht="13.15">
      <c r="A302" s="13"/>
      <c r="B302" s="13"/>
      <c r="C302" s="13"/>
      <c r="D302" s="13"/>
      <c r="E302" s="13"/>
      <c r="F302" s="14"/>
      <c r="G302" s="13"/>
      <c r="H302" s="13"/>
      <c r="I302" s="14"/>
    </row>
    <row r="303" spans="1:9" ht="13.15">
      <c r="A303" s="13"/>
      <c r="B303" s="13"/>
      <c r="C303" s="13"/>
      <c r="D303" s="13"/>
      <c r="E303" s="13"/>
      <c r="F303" s="14"/>
      <c r="G303" s="13"/>
      <c r="H303" s="13"/>
      <c r="I303" s="14"/>
    </row>
    <row r="304" spans="1:9" ht="13.15">
      <c r="A304" s="13"/>
      <c r="B304" s="13"/>
      <c r="C304" s="13"/>
      <c r="D304" s="13"/>
      <c r="E304" s="13"/>
      <c r="F304" s="14"/>
      <c r="G304" s="13"/>
      <c r="H304" s="13"/>
      <c r="I304" s="14"/>
    </row>
    <row r="305" spans="1:9" ht="13.15">
      <c r="A305" s="13"/>
      <c r="B305" s="13"/>
      <c r="C305" s="13"/>
      <c r="D305" s="13"/>
      <c r="E305" s="13"/>
      <c r="F305" s="14"/>
      <c r="G305" s="13"/>
      <c r="H305" s="13"/>
      <c r="I305" s="14"/>
    </row>
    <row r="306" spans="1:9" ht="13.15">
      <c r="A306" s="13"/>
      <c r="B306" s="13"/>
      <c r="C306" s="13"/>
      <c r="D306" s="13"/>
      <c r="E306" s="13"/>
      <c r="F306" s="14"/>
      <c r="G306" s="13"/>
      <c r="H306" s="13"/>
      <c r="I306" s="14"/>
    </row>
    <row r="307" spans="1:9" ht="13.15">
      <c r="A307" s="13"/>
      <c r="B307" s="13"/>
      <c r="C307" s="13"/>
      <c r="D307" s="13"/>
      <c r="E307" s="13"/>
      <c r="F307" s="14"/>
      <c r="G307" s="13"/>
      <c r="H307" s="13"/>
      <c r="I307" s="14"/>
    </row>
    <row r="308" spans="1:9" ht="13.15">
      <c r="A308" s="13"/>
      <c r="B308" s="13"/>
      <c r="C308" s="13"/>
      <c r="D308" s="13"/>
      <c r="E308" s="13"/>
      <c r="F308" s="14"/>
      <c r="G308" s="13"/>
      <c r="H308" s="13"/>
      <c r="I308" s="14"/>
    </row>
    <row r="309" spans="1:9" ht="13.15">
      <c r="A309" s="13"/>
      <c r="B309" s="13"/>
      <c r="C309" s="13"/>
      <c r="D309" s="13"/>
      <c r="E309" s="13"/>
      <c r="F309" s="14"/>
      <c r="G309" s="13"/>
      <c r="H309" s="13"/>
      <c r="I309" s="14"/>
    </row>
    <row r="310" spans="1:9" ht="13.15">
      <c r="A310" s="13"/>
      <c r="B310" s="13"/>
      <c r="C310" s="13"/>
      <c r="D310" s="13"/>
      <c r="E310" s="13"/>
      <c r="F310" s="14"/>
      <c r="G310" s="13"/>
      <c r="H310" s="13"/>
      <c r="I310" s="14"/>
    </row>
    <row r="311" spans="1:9" ht="13.15">
      <c r="A311" s="13"/>
      <c r="B311" s="13"/>
      <c r="C311" s="13"/>
      <c r="D311" s="13"/>
      <c r="E311" s="13"/>
      <c r="F311" s="14"/>
      <c r="G311" s="13"/>
      <c r="H311" s="13"/>
      <c r="I311" s="14"/>
    </row>
    <row r="312" spans="1:9" ht="13.15">
      <c r="A312" s="13"/>
      <c r="B312" s="13"/>
      <c r="C312" s="13"/>
      <c r="D312" s="13"/>
      <c r="E312" s="13"/>
      <c r="F312" s="14"/>
      <c r="G312" s="13"/>
      <c r="H312" s="13"/>
      <c r="I312" s="14"/>
    </row>
    <row r="313" spans="1:9" ht="13.15">
      <c r="A313" s="13"/>
      <c r="B313" s="13"/>
      <c r="C313" s="13"/>
      <c r="D313" s="13"/>
      <c r="E313" s="13"/>
      <c r="F313" s="14"/>
      <c r="G313" s="13"/>
      <c r="H313" s="13"/>
      <c r="I313" s="14"/>
    </row>
    <row r="314" spans="1:9" ht="13.15">
      <c r="A314" s="13"/>
      <c r="B314" s="13"/>
      <c r="C314" s="13"/>
      <c r="D314" s="13"/>
      <c r="E314" s="13"/>
      <c r="F314" s="14"/>
      <c r="G314" s="13"/>
      <c r="H314" s="13"/>
      <c r="I314" s="14"/>
    </row>
    <row r="315" spans="1:9" ht="13.15">
      <c r="A315" s="13"/>
      <c r="B315" s="13"/>
      <c r="C315" s="13"/>
      <c r="D315" s="13"/>
      <c r="E315" s="13"/>
      <c r="F315" s="14"/>
      <c r="G315" s="13"/>
      <c r="H315" s="13"/>
      <c r="I315" s="14"/>
    </row>
    <row r="316" spans="1:9" ht="13.15">
      <c r="A316" s="13"/>
      <c r="B316" s="13"/>
      <c r="C316" s="13"/>
      <c r="D316" s="13"/>
      <c r="E316" s="13"/>
      <c r="F316" s="14"/>
      <c r="G316" s="13"/>
      <c r="H316" s="13"/>
      <c r="I316" s="14"/>
    </row>
    <row r="317" spans="1:9" ht="13.15">
      <c r="A317" s="13"/>
      <c r="B317" s="13"/>
      <c r="C317" s="13"/>
      <c r="D317" s="13"/>
      <c r="E317" s="13"/>
      <c r="F317" s="14"/>
      <c r="G317" s="13"/>
      <c r="H317" s="13"/>
      <c r="I317" s="14"/>
    </row>
    <row r="318" spans="1:9" ht="13.15">
      <c r="A318" s="13"/>
      <c r="B318" s="13"/>
      <c r="C318" s="13"/>
      <c r="D318" s="13"/>
      <c r="E318" s="13"/>
      <c r="F318" s="14"/>
      <c r="G318" s="13"/>
      <c r="H318" s="13"/>
      <c r="I318" s="14"/>
    </row>
    <row r="319" spans="1:9" ht="13.15">
      <c r="A319" s="13"/>
      <c r="B319" s="13"/>
      <c r="C319" s="13"/>
      <c r="D319" s="13"/>
      <c r="E319" s="13"/>
      <c r="F319" s="14"/>
      <c r="G319" s="13"/>
      <c r="H319" s="13"/>
      <c r="I319" s="14"/>
    </row>
    <row r="320" spans="1:9" ht="13.15">
      <c r="A320" s="13"/>
      <c r="B320" s="13"/>
      <c r="C320" s="13"/>
      <c r="D320" s="13"/>
      <c r="E320" s="13"/>
      <c r="F320" s="14"/>
      <c r="G320" s="13"/>
      <c r="H320" s="13"/>
      <c r="I320" s="14"/>
    </row>
    <row r="321" spans="1:9" ht="13.15">
      <c r="A321" s="13"/>
      <c r="B321" s="13"/>
      <c r="C321" s="13"/>
      <c r="D321" s="13"/>
      <c r="E321" s="13"/>
      <c r="F321" s="14"/>
      <c r="G321" s="13"/>
      <c r="H321" s="13"/>
      <c r="I321" s="14"/>
    </row>
    <row r="322" spans="1:9" ht="13.15">
      <c r="A322" s="13"/>
      <c r="B322" s="13"/>
      <c r="C322" s="13"/>
      <c r="D322" s="13"/>
      <c r="E322" s="13"/>
      <c r="F322" s="14"/>
      <c r="G322" s="13"/>
      <c r="H322" s="13"/>
      <c r="I322" s="14"/>
    </row>
    <row r="323" spans="1:9" ht="13.15">
      <c r="A323" s="13"/>
      <c r="B323" s="13"/>
      <c r="C323" s="13"/>
      <c r="D323" s="13"/>
      <c r="E323" s="13"/>
      <c r="F323" s="14"/>
      <c r="G323" s="13"/>
      <c r="H323" s="13"/>
      <c r="I323" s="14"/>
    </row>
    <row r="324" spans="1:9" ht="13.15">
      <c r="A324" s="13"/>
      <c r="B324" s="13"/>
      <c r="C324" s="13"/>
      <c r="D324" s="13"/>
      <c r="E324" s="13"/>
      <c r="F324" s="14"/>
      <c r="G324" s="13"/>
      <c r="H324" s="13"/>
      <c r="I324" s="14"/>
    </row>
    <row r="325" spans="1:9" ht="13.15">
      <c r="A325" s="13"/>
      <c r="B325" s="13"/>
      <c r="C325" s="13"/>
      <c r="D325" s="13"/>
      <c r="E325" s="13"/>
      <c r="F325" s="14"/>
      <c r="G325" s="13"/>
      <c r="H325" s="13"/>
      <c r="I325" s="14"/>
    </row>
    <row r="326" spans="1:9" ht="13.15">
      <c r="A326" s="13"/>
      <c r="B326" s="13"/>
      <c r="C326" s="13"/>
      <c r="D326" s="13"/>
      <c r="E326" s="13"/>
      <c r="F326" s="14"/>
      <c r="G326" s="13"/>
      <c r="H326" s="13"/>
      <c r="I326" s="14"/>
    </row>
    <row r="327" spans="1:9" ht="13.15">
      <c r="A327" s="13"/>
      <c r="B327" s="13"/>
      <c r="C327" s="13"/>
      <c r="D327" s="13"/>
      <c r="E327" s="13"/>
      <c r="F327" s="14"/>
      <c r="G327" s="13"/>
      <c r="H327" s="13"/>
      <c r="I327" s="14"/>
    </row>
    <row r="328" spans="1:9" ht="13.15">
      <c r="A328" s="13"/>
      <c r="B328" s="13"/>
      <c r="C328" s="13"/>
      <c r="D328" s="13"/>
      <c r="E328" s="13"/>
      <c r="F328" s="14"/>
      <c r="G328" s="13"/>
      <c r="H328" s="13"/>
      <c r="I328" s="14"/>
    </row>
    <row r="329" spans="1:9" ht="13.15">
      <c r="A329" s="13"/>
      <c r="B329" s="13"/>
      <c r="C329" s="13"/>
      <c r="D329" s="13"/>
      <c r="E329" s="13"/>
      <c r="F329" s="14"/>
      <c r="G329" s="13"/>
      <c r="H329" s="13"/>
      <c r="I329" s="14"/>
    </row>
    <row r="330" spans="1:9" ht="13.15">
      <c r="A330" s="13"/>
      <c r="B330" s="13"/>
      <c r="C330" s="13"/>
      <c r="D330" s="13"/>
      <c r="E330" s="13"/>
      <c r="F330" s="14"/>
      <c r="G330" s="13"/>
      <c r="H330" s="13"/>
      <c r="I330" s="14"/>
    </row>
    <row r="331" spans="1:9" ht="13.15">
      <c r="A331" s="13"/>
      <c r="B331" s="13"/>
      <c r="C331" s="13"/>
      <c r="D331" s="13"/>
      <c r="E331" s="13"/>
      <c r="F331" s="14"/>
      <c r="G331" s="13"/>
      <c r="H331" s="13"/>
      <c r="I331" s="14"/>
    </row>
    <row r="332" spans="1:9" ht="13.15">
      <c r="A332" s="13"/>
      <c r="B332" s="13"/>
      <c r="C332" s="13"/>
      <c r="D332" s="13"/>
      <c r="E332" s="13"/>
      <c r="F332" s="14"/>
      <c r="G332" s="13"/>
      <c r="H332" s="13"/>
      <c r="I332" s="14"/>
    </row>
    <row r="333" spans="1:9" ht="13.15">
      <c r="A333" s="13"/>
      <c r="B333" s="13"/>
      <c r="C333" s="13"/>
      <c r="D333" s="13"/>
      <c r="E333" s="13"/>
      <c r="F333" s="14"/>
      <c r="G333" s="13"/>
      <c r="H333" s="13"/>
      <c r="I333" s="14"/>
    </row>
    <row r="334" spans="1:9" ht="13.15">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0" priority="1" stopIfTrue="1" operator="lessThanOrEqual">
      <formula>-0.1</formula>
    </cfRule>
    <cfRule type="expression" dxfId="4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8" activePane="bottomRight" state="frozen"/>
      <selection pane="bottomRight" activeCell="I20" sqref="I20"/>
      <selection pane="bottomLeft" activeCell="A18" sqref="A18:XFD24"/>
      <selection pane="topRight" activeCell="A18" sqref="A18:XFD2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12</v>
      </c>
      <c r="E1" s="81"/>
      <c r="F1" s="81"/>
      <c r="G1" s="79" t="s">
        <v>13</v>
      </c>
      <c r="H1" s="79"/>
      <c r="I1" s="79"/>
    </row>
    <row r="2" spans="1:9" ht="19.5" customHeight="1">
      <c r="A2" s="82" t="s">
        <v>2</v>
      </c>
      <c r="B2" s="82"/>
      <c r="C2" s="5">
        <f>SUM(C4:C92)</f>
        <v>12687067.289289543</v>
      </c>
      <c r="D2" s="5">
        <f>SUM(D4:D92)</f>
        <v>13892911.389999999</v>
      </c>
      <c r="E2" s="5">
        <f>C2-D2</f>
        <v>-1205844.1007104553</v>
      </c>
      <c r="F2" s="6">
        <f>IFERROR(E2/D2, 0)</f>
        <v>-8.6795637491678804E-2</v>
      </c>
      <c r="G2" s="5">
        <f>SUM(G4:G92)</f>
        <v>16400042.040000001</v>
      </c>
      <c r="H2" s="7">
        <f>C2-G2</f>
        <v>-3712974.7507104576</v>
      </c>
      <c r="I2" s="6">
        <f>IFERROR(H2/G2, 0)</f>
        <v>-0.22640031907567337</v>
      </c>
    </row>
    <row r="3" spans="1:9" ht="14.25" customHeight="1">
      <c r="A3" s="17" t="s">
        <v>3</v>
      </c>
      <c r="B3" s="17" t="s">
        <v>4</v>
      </c>
      <c r="C3" s="25" t="s">
        <v>5</v>
      </c>
      <c r="D3" s="26" t="s">
        <v>6</v>
      </c>
      <c r="E3" s="26" t="s">
        <v>7</v>
      </c>
      <c r="F3" s="27" t="s">
        <v>8</v>
      </c>
      <c r="G3" s="28" t="s">
        <v>9</v>
      </c>
      <c r="H3" s="29" t="s">
        <v>7</v>
      </c>
      <c r="I3" s="30" t="s">
        <v>8</v>
      </c>
    </row>
    <row r="4" spans="1:9" ht="15.75">
      <c r="A4" s="53" t="str" cm="1">
        <f t="array" ref="A4:A20">Sites[Site]</f>
        <v>Fresno - 3150 Shaw Ave</v>
      </c>
      <c r="B4" s="33" t="str" cm="1">
        <f t="array" ref="B4:B20">Sites[State]</f>
        <v>CA</v>
      </c>
      <c r="C4" s="34">
        <f>SUM(Apr!C4, May!C4, Jun!C4)</f>
        <v>362194.62187500001</v>
      </c>
      <c r="D4" s="35">
        <f>SUM(Apr!D4, May!D4, Jun!D4)</f>
        <v>382377.8</v>
      </c>
      <c r="E4" s="35">
        <f>IF(AND(ISNUMBER(C4),ISNUMBER(D4)), C4-D4, "")</f>
        <v>-20183.178124999977</v>
      </c>
      <c r="F4" s="36">
        <f>IFERROR(E4/D4, "")</f>
        <v>-5.2783341828421988E-2</v>
      </c>
      <c r="G4" s="37">
        <f>SUM(Apr!G4+May!G4+Jun!G4)</f>
        <v>392007.1</v>
      </c>
      <c r="H4" s="37">
        <f>SUM(Apr!H4, May!H4, Jun!H4)</f>
        <v>-29812.478124999994</v>
      </c>
      <c r="I4" s="38">
        <f>IFERROR(H4/G4, "")</f>
        <v>-7.6050862662946653E-2</v>
      </c>
    </row>
    <row r="5" spans="1:9" ht="15.75">
      <c r="A5" s="54" t="str">
        <v>Adelanto - 1 Sheep Creek Road</v>
      </c>
      <c r="B5" s="40" t="str">
        <v>CA</v>
      </c>
      <c r="C5" s="41">
        <f>SUM(Apr!C5, May!C5, Jun!C5)</f>
        <v>1292585</v>
      </c>
      <c r="D5" s="42">
        <f>SUM(Apr!D5, May!D5, Jun!D5)</f>
        <v>1527342</v>
      </c>
      <c r="E5" s="42">
        <f t="shared" ref="E5:E15" si="0">IF(AND(ISNUMBER(C5),ISNUMBER(D5)), C5-D5, "")</f>
        <v>-234757</v>
      </c>
      <c r="F5" s="43">
        <f>IFERROR(E5/D5, "")</f>
        <v>-0.1537029689486703</v>
      </c>
      <c r="G5" s="44">
        <f>SUM(Apr!G5+May!G5+Jun!G5)</f>
        <v>2950734</v>
      </c>
      <c r="H5" s="44">
        <f>SUM(Apr!H5, May!H5, Jun!H5)</f>
        <v>-1658149</v>
      </c>
      <c r="I5" s="43">
        <f>IFERROR(H5/G5, "")</f>
        <v>-0.56194458734674158</v>
      </c>
    </row>
    <row r="6" spans="1:9" ht="15.75">
      <c r="A6" s="53" t="str">
        <v>Blackstone - 83 Federal Street</v>
      </c>
      <c r="B6" s="33" t="str">
        <v>MA</v>
      </c>
      <c r="C6" s="34">
        <f>SUM(Apr!C6, May!C6, Jun!C6)</f>
        <v>2014135</v>
      </c>
      <c r="D6" s="35">
        <f>SUM(Apr!D6, May!D6, Jun!D6)</f>
        <v>2344243.4</v>
      </c>
      <c r="E6" s="35">
        <f t="shared" si="0"/>
        <v>-330108.39999999991</v>
      </c>
      <c r="F6" s="36">
        <f t="shared" ref="F6:F15" si="1">IFERROR(E6/D6, "")</f>
        <v>-0.14081660633021295</v>
      </c>
      <c r="G6" s="37">
        <f>SUM(Apr!G6+May!G6+Jun!G6)</f>
        <v>2445554.4000000004</v>
      </c>
      <c r="H6" s="37">
        <f>SUM(Apr!H6, May!H6, Jun!H6)</f>
        <v>-431419.4</v>
      </c>
      <c r="I6" s="38">
        <f t="shared" ref="I6:I15" si="2">IFERROR(H6/G6, "")</f>
        <v>-0.17640965173377454</v>
      </c>
    </row>
    <row r="7" spans="1:9" ht="15.75">
      <c r="A7" s="54" t="str">
        <v>Charlton - 299 Worcester Road</v>
      </c>
      <c r="B7" s="40" t="str">
        <v>MA</v>
      </c>
      <c r="C7" s="41">
        <f>SUM(Apr!C7, May!C7, Jun!C7)</f>
        <v>189047.25</v>
      </c>
      <c r="D7" s="42">
        <f>SUM(Apr!D7, May!D7, Jun!D7)</f>
        <v>198845.99</v>
      </c>
      <c r="E7" s="42">
        <f t="shared" si="0"/>
        <v>-9798.7399999999907</v>
      </c>
      <c r="F7" s="43">
        <f t="shared" si="1"/>
        <v>-4.9278036735867753E-2</v>
      </c>
      <c r="G7" s="44">
        <f>SUM(Apr!G7+May!G7+Jun!G7)</f>
        <v>206105.8</v>
      </c>
      <c r="H7" s="44">
        <f>SUM(Apr!H7, May!H7, Jun!H7)</f>
        <v>-17058.550000000003</v>
      </c>
      <c r="I7" s="43">
        <f t="shared" si="2"/>
        <v>-8.2765987177459366E-2</v>
      </c>
    </row>
    <row r="8" spans="1:9" ht="15.75">
      <c r="A8" s="53" t="str">
        <v>Wareham - 8 Thatcher Drive</v>
      </c>
      <c r="B8" s="33" t="str">
        <v>MA</v>
      </c>
      <c r="C8" s="34">
        <f>SUM(Apr!C8, May!C8, Jun!C8)</f>
        <v>57729.125</v>
      </c>
      <c r="D8" s="35">
        <f>SUM(Apr!D8, May!D8, Jun!D8)</f>
        <v>59578.270000000004</v>
      </c>
      <c r="E8" s="35">
        <f t="shared" si="0"/>
        <v>-1849.1450000000041</v>
      </c>
      <c r="F8" s="36">
        <f t="shared" si="1"/>
        <v>-3.1037238912778164E-2</v>
      </c>
      <c r="G8" s="37">
        <f>SUM(Apr!G8+May!G8+Jun!G8)</f>
        <v>59234.58</v>
      </c>
      <c r="H8" s="37">
        <f>SUM(Apr!H8, May!H8, Jun!H8)</f>
        <v>-1505.4550000000017</v>
      </c>
      <c r="I8" s="38">
        <f t="shared" si="2"/>
        <v>-2.5415137576733079E-2</v>
      </c>
    </row>
    <row r="9" spans="1:9" ht="15.75">
      <c r="A9" s="54" t="str">
        <v>West Yarmouth - 42 Mid Tech</v>
      </c>
      <c r="B9" s="40" t="str">
        <v>MA</v>
      </c>
      <c r="C9" s="41">
        <f>SUM(Apr!C9, May!C9, Jun!C9)</f>
        <v>55410.907570793097</v>
      </c>
      <c r="D9" s="42">
        <f>SUM(Apr!D9, May!D9, Jun!D9)</f>
        <v>59560.35</v>
      </c>
      <c r="E9" s="42">
        <f t="shared" si="0"/>
        <v>-4149.4424292069016</v>
      </c>
      <c r="F9" s="43">
        <f t="shared" si="1"/>
        <v>-6.9667865101647353E-2</v>
      </c>
      <c r="G9" s="44">
        <f>SUM(Apr!G9+May!G9+Jun!G9)</f>
        <v>61214.37</v>
      </c>
      <c r="H9" s="44">
        <f>SUM(Apr!H9, May!H9, Jun!H9)</f>
        <v>-5803.4624292069038</v>
      </c>
      <c r="I9" s="43">
        <f t="shared" si="2"/>
        <v>-9.4805556754188655E-2</v>
      </c>
    </row>
    <row r="10" spans="1:9" ht="15.75">
      <c r="A10" s="53" t="str">
        <v>Harrison - 130 Union Street</v>
      </c>
      <c r="B10" s="33" t="str">
        <v>NY</v>
      </c>
      <c r="C10" s="34">
        <f>SUM(Apr!C10, May!C10, Jun!C10)</f>
        <v>82236.0625</v>
      </c>
      <c r="D10" s="35">
        <f>SUM(Apr!D10, May!D10, Jun!D10)</f>
        <v>88062.58</v>
      </c>
      <c r="E10" s="35">
        <f t="shared" si="0"/>
        <v>-5826.5175000000017</v>
      </c>
      <c r="F10" s="36">
        <f t="shared" si="1"/>
        <v>-6.6163374954492607E-2</v>
      </c>
      <c r="G10" s="37">
        <f>SUM(Apr!G10+May!G10+Jun!G10)</f>
        <v>87265.510000000009</v>
      </c>
      <c r="H10" s="37">
        <f>SUM(Apr!H10, May!H10, Jun!H10)</f>
        <v>-5029.447500000002</v>
      </c>
      <c r="I10" s="38">
        <f t="shared" si="2"/>
        <v>-5.7633852137001222E-2</v>
      </c>
    </row>
    <row r="11" spans="1:9" ht="15.75">
      <c r="A11" s="54" t="str">
        <v>Staten Island - Ellis Storage</v>
      </c>
      <c r="B11" s="40" t="str">
        <v>NY</v>
      </c>
      <c r="C11" s="41">
        <f>SUM(Apr!C11, May!C11, Jun!C11)</f>
        <v>191765.875</v>
      </c>
      <c r="D11" s="42">
        <f>SUM(Apr!D11, May!D11, Jun!D11)</f>
        <v>207822.32</v>
      </c>
      <c r="E11" s="42">
        <f t="shared" si="0"/>
        <v>-16056.445000000007</v>
      </c>
      <c r="F11" s="43">
        <f t="shared" si="1"/>
        <v>-7.7260445365059952E-2</v>
      </c>
      <c r="G11" s="44">
        <f>SUM(Apr!G11+May!G11+Jun!G11)</f>
        <v>204052.08000000002</v>
      </c>
      <c r="H11" s="44">
        <f>SUM(Apr!H11, May!H11, Jun!H11)</f>
        <v>-12286.205000000009</v>
      </c>
      <c r="I11" s="43">
        <f t="shared" si="2"/>
        <v>-6.0211123552379411E-2</v>
      </c>
    </row>
    <row r="12" spans="1:9" ht="15.75">
      <c r="A12" s="53" t="str">
        <v>Amherst - 595 Scholles Road</v>
      </c>
      <c r="B12" s="33" t="str">
        <v>NY</v>
      </c>
      <c r="C12" s="34">
        <f>SUM(Apr!C12, May!C12, Jun!C12)</f>
        <v>2867321</v>
      </c>
      <c r="D12" s="35">
        <f>SUM(Apr!D12, May!D12, Jun!D12)</f>
        <v>2878595.31</v>
      </c>
      <c r="E12" s="35">
        <f t="shared" si="0"/>
        <v>-11274.310000000056</v>
      </c>
      <c r="F12" s="36">
        <f t="shared" si="1"/>
        <v>-3.9166012536857968E-3</v>
      </c>
      <c r="G12" s="37">
        <f>SUM(Apr!G12+May!G12+Jun!G12)</f>
        <v>3401178</v>
      </c>
      <c r="H12" s="37">
        <f>SUM(Apr!H12, May!H12, Jun!H12)</f>
        <v>-533857</v>
      </c>
      <c r="I12" s="38">
        <f t="shared" si="2"/>
        <v>-0.15696238185710951</v>
      </c>
    </row>
    <row r="13" spans="1:9" ht="15.75">
      <c r="A13" s="54" t="str">
        <v>Lancaster 1 - Gunnville Road</v>
      </c>
      <c r="B13" s="40" t="str">
        <v>NY</v>
      </c>
      <c r="C13" s="41">
        <f>SUM(Apr!C13, May!C13, Jun!C13)</f>
        <v>2083516</v>
      </c>
      <c r="D13" s="42">
        <f>SUM(Apr!D13, May!D13, Jun!D13)</f>
        <v>2359960.67</v>
      </c>
      <c r="E13" s="42">
        <f t="shared" si="0"/>
        <v>-276444.66999999993</v>
      </c>
      <c r="F13" s="43">
        <f t="shared" si="1"/>
        <v>-0.11713952419385021</v>
      </c>
      <c r="G13" s="44">
        <f>SUM(Apr!G13+May!G13+Jun!G13)</f>
        <v>2540431.6</v>
      </c>
      <c r="H13" s="44">
        <f>SUM(Apr!H13, May!H13, Jun!H13)</f>
        <v>-456915.6</v>
      </c>
      <c r="I13" s="43">
        <f t="shared" si="2"/>
        <v>-0.17985746988818749</v>
      </c>
    </row>
    <row r="14" spans="1:9" ht="15.75">
      <c r="A14" s="53" t="str">
        <v>Lancaster 2 - Shisler Road</v>
      </c>
      <c r="B14" s="33" t="str">
        <v>NY</v>
      </c>
      <c r="C14" s="34">
        <f>SUM(Apr!C14, May!C14, Jun!C14)</f>
        <v>2235309</v>
      </c>
      <c r="D14" s="35">
        <f>SUM(Apr!D14, May!D14, Jun!D14)</f>
        <v>2491591.1</v>
      </c>
      <c r="E14" s="35">
        <f t="shared" si="0"/>
        <v>-256282.10000000009</v>
      </c>
      <c r="F14" s="36">
        <f t="shared" si="1"/>
        <v>-0.10285881178496747</v>
      </c>
      <c r="G14" s="37">
        <f>SUM(Apr!G14+May!G14+Jun!G14)</f>
        <v>2787145.4</v>
      </c>
      <c r="H14" s="37">
        <f>SUM(Apr!H14, May!H14, Jun!H14)</f>
        <v>-551836.4</v>
      </c>
      <c r="I14" s="38">
        <f t="shared" si="2"/>
        <v>-0.19799340213825947</v>
      </c>
    </row>
    <row r="15" spans="1:9" ht="15.75">
      <c r="A15" s="54" t="str">
        <v>Fullerton - 200 W Orangethorpe</v>
      </c>
      <c r="B15" s="40" t="str">
        <v>CA</v>
      </c>
      <c r="C15" s="41">
        <f>SUM(Apr!C15, May!C15, Jun!C15)</f>
        <v>354761.19734374998</v>
      </c>
      <c r="D15" s="42">
        <f>SUM(Apr!D15, May!D15, Jun!D15)</f>
        <v>367438.7</v>
      </c>
      <c r="E15" s="42">
        <f t="shared" si="0"/>
        <v>-12677.502656250028</v>
      </c>
      <c r="F15" s="43">
        <f t="shared" si="1"/>
        <v>-3.4502360955038287E-2</v>
      </c>
      <c r="G15" s="44">
        <f>SUM(Apr!G15+May!G15+Jun!G15)</f>
        <v>393892.4</v>
      </c>
      <c r="H15" s="44">
        <f>SUM(Apr!H15, May!H15, Jun!H15)</f>
        <v>-39131.202656249996</v>
      </c>
      <c r="I15" s="43">
        <f t="shared" si="2"/>
        <v>-9.9344903979487781E-2</v>
      </c>
    </row>
    <row r="16" spans="1:9" ht="15.75">
      <c r="A16" s="53" t="str">
        <v>El Paso - 10500 Railroad Drive</v>
      </c>
      <c r="B16" s="33" t="str">
        <v>TX</v>
      </c>
      <c r="C16" s="34">
        <f>SUM(Apr!C16, May!C16, Jun!C16)</f>
        <v>503296.5</v>
      </c>
      <c r="D16" s="35">
        <f>SUM(Apr!D16, May!D16, Jun!D16)</f>
        <v>500389.6</v>
      </c>
      <c r="E16" s="35">
        <f t="shared" ref="E16:E20" si="3">IF(AND(ISNUMBER(C16),ISNUMBER(D16)), C16-D16, "")</f>
        <v>2906.9000000000233</v>
      </c>
      <c r="F16" s="36">
        <f t="shared" ref="F16:F20" si="4">IFERROR(E16/D16, "")</f>
        <v>5.8092734141557368E-3</v>
      </c>
      <c r="G16" s="37">
        <f>SUM(Apr!G16+May!G16+Jun!G16)</f>
        <v>463380.80000000005</v>
      </c>
      <c r="H16" s="37">
        <f>SUM(Apr!H16, May!H16, Jun!H16)</f>
        <v>39915.700000000012</v>
      </c>
      <c r="I16" s="38">
        <f>IFERROR(H16/G16, "")</f>
        <v>8.6140168086377353E-2</v>
      </c>
    </row>
    <row r="17" spans="1:9" ht="15.75">
      <c r="A17" s="54" t="str">
        <v>Friona - 900 Millard Ave</v>
      </c>
      <c r="B17" s="40" t="str">
        <v>TX</v>
      </c>
      <c r="C17" s="41">
        <f>SUM(Apr!C17, May!C17, Jun!C17)</f>
        <v>397759.75</v>
      </c>
      <c r="D17" s="42">
        <f>SUM(Apr!D17, May!D17, Jun!D17)</f>
        <v>427103.30000000005</v>
      </c>
      <c r="E17" s="42">
        <f t="shared" si="3"/>
        <v>-29343.550000000047</v>
      </c>
      <c r="F17" s="63">
        <f t="shared" si="4"/>
        <v>-6.8703636801682511E-2</v>
      </c>
      <c r="G17" s="44">
        <f>SUM(Apr!G17+May!G17+Jun!G17)</f>
        <v>407846</v>
      </c>
      <c r="H17" s="44">
        <f>SUM(Apr!H17, May!H17, Jun!H17)</f>
        <v>-10086.25</v>
      </c>
      <c r="I17" s="64">
        <f t="shared" ref="I16:I20" si="5">IFERROR(H17/G17, "")</f>
        <v>-2.4730535545279344E-2</v>
      </c>
    </row>
    <row r="18" spans="1:9" ht="15.75">
      <c r="A18" s="53" t="str">
        <v>Augusta - 13 York Farm Road</v>
      </c>
      <c r="B18" s="33" t="str">
        <v>ME</v>
      </c>
      <c r="C18" s="34">
        <f>SUM(Apr!C18, May!C18, Jun!C18)</f>
        <v>0</v>
      </c>
      <c r="D18" s="35">
        <f>SUM(Apr!D18, May!D18, Jun!D18)</f>
        <v>0</v>
      </c>
      <c r="E18" s="35">
        <f t="shared" si="3"/>
        <v>0</v>
      </c>
      <c r="F18" s="36" t="str">
        <f t="shared" si="4"/>
        <v/>
      </c>
      <c r="G18" s="37">
        <f>SUM(Apr!G18+May!G18+Jun!G18)</f>
        <v>0</v>
      </c>
      <c r="H18" s="37">
        <f>SUM(Apr!H18, May!H18, Jun!H18)</f>
        <v>0</v>
      </c>
      <c r="I18" s="38" t="str">
        <f t="shared" si="5"/>
        <v/>
      </c>
    </row>
    <row r="19" spans="1:9" ht="15.75">
      <c r="A19" s="54" t="str">
        <v xml:space="preserve">Santa Ana - 1441 West </v>
      </c>
      <c r="B19" s="40" t="str">
        <v>CA</v>
      </c>
      <c r="C19" s="41">
        <f>SUM(Apr!C19, May!C19, Jun!C19)</f>
        <v>0</v>
      </c>
      <c r="D19" s="42">
        <f>SUM(Apr!D19, May!D19, Jun!D19)</f>
        <v>0</v>
      </c>
      <c r="E19" s="42">
        <f t="shared" si="3"/>
        <v>0</v>
      </c>
      <c r="F19" s="63" t="str">
        <f t="shared" si="4"/>
        <v/>
      </c>
      <c r="G19" s="44">
        <f>SUM(Apr!G19+May!G19+Jun!G19)</f>
        <v>0</v>
      </c>
      <c r="H19" s="44">
        <f>SUM(Apr!H19, May!H19, Jun!H19)</f>
        <v>0</v>
      </c>
      <c r="I19" s="64" t="str">
        <f t="shared" si="5"/>
        <v/>
      </c>
    </row>
    <row r="20" spans="1:9" ht="15.75">
      <c r="A20" s="53" t="str">
        <v>Jessup -7950 Oceano Ave</v>
      </c>
      <c r="B20" s="33" t="str">
        <v>MD</v>
      </c>
      <c r="C20" s="34">
        <f>SUM(Apr!C20, May!C20, Jun!C20)</f>
        <v>0</v>
      </c>
      <c r="D20" s="35">
        <f>SUM(Apr!D20, May!D20, Jun!D20)</f>
        <v>0</v>
      </c>
      <c r="E20" s="35">
        <f t="shared" si="3"/>
        <v>0</v>
      </c>
      <c r="F20" s="36" t="str">
        <f t="shared" si="4"/>
        <v/>
      </c>
      <c r="G20" s="37">
        <f>SUM(Apr!G20+May!G20+Jun!G20)</f>
        <v>0</v>
      </c>
      <c r="H20" s="37">
        <f>SUM(Apr!H20, May!H20, Jun!H20)</f>
        <v>0</v>
      </c>
      <c r="I20" s="38" t="str">
        <f t="shared" si="5"/>
        <v/>
      </c>
    </row>
    <row r="21" spans="1:9" ht="13.15">
      <c r="A21" s="13"/>
      <c r="B21" s="13"/>
      <c r="C21" s="13"/>
      <c r="D21" s="13"/>
      <c r="E21" s="13"/>
      <c r="F21" s="13"/>
      <c r="G21" s="13"/>
      <c r="H21" s="13"/>
      <c r="I21" s="13"/>
    </row>
    <row r="22" spans="1:9" ht="13.15">
      <c r="A22" s="13"/>
      <c r="B22" s="13"/>
      <c r="C22" s="13"/>
      <c r="D22" s="13"/>
      <c r="E22" s="13"/>
      <c r="F22" s="13"/>
      <c r="G22" s="13"/>
      <c r="H22" s="13"/>
      <c r="I22" s="13"/>
    </row>
    <row r="23" spans="1:9" ht="13.15">
      <c r="A23" s="13"/>
      <c r="B23" s="13"/>
      <c r="C23" s="13"/>
      <c r="D23" s="13"/>
      <c r="E23" s="13"/>
      <c r="F23" s="13"/>
      <c r="G23" s="13"/>
      <c r="H23" s="13"/>
      <c r="I23" s="13"/>
    </row>
    <row r="24" spans="1:9" ht="13.15">
      <c r="A24" s="13"/>
      <c r="B24" s="13"/>
      <c r="C24" s="13"/>
      <c r="D24" s="13"/>
      <c r="E24" s="13"/>
      <c r="F24" s="13"/>
      <c r="G24" s="13"/>
      <c r="H24" s="13"/>
      <c r="I24" s="13"/>
    </row>
    <row r="25" spans="1:9" ht="13.15">
      <c r="A25" s="13"/>
      <c r="B25" s="13"/>
      <c r="C25" s="13"/>
      <c r="D25" s="13"/>
      <c r="E25" s="13"/>
      <c r="F25" s="14"/>
      <c r="G25" s="13"/>
      <c r="H25" s="13"/>
      <c r="I25" s="14"/>
    </row>
    <row r="26" spans="1:9" ht="13.15">
      <c r="A26" s="13"/>
      <c r="B26" s="13"/>
      <c r="C26" s="13"/>
      <c r="D26" s="13"/>
      <c r="E26" s="13"/>
      <c r="F26" s="14"/>
      <c r="G26" s="13"/>
      <c r="H26" s="13"/>
      <c r="I26" s="14"/>
    </row>
    <row r="27" spans="1:9" ht="13.15">
      <c r="A27" s="13"/>
      <c r="B27" s="13"/>
      <c r="C27" s="13"/>
      <c r="D27" s="13"/>
      <c r="E27" s="13"/>
      <c r="F27" s="14"/>
      <c r="G27" s="13"/>
      <c r="H27" s="13"/>
      <c r="I27" s="14"/>
    </row>
    <row r="28" spans="1:9" ht="13.15">
      <c r="A28" s="13"/>
      <c r="B28" s="13"/>
      <c r="C28" s="13"/>
      <c r="D28" s="13"/>
      <c r="E28" s="13"/>
      <c r="F28" s="14"/>
      <c r="G28" s="13"/>
      <c r="H28" s="13"/>
      <c r="I28" s="14"/>
    </row>
    <row r="29" spans="1:9" ht="13.15">
      <c r="A29" s="13"/>
      <c r="B29" s="13"/>
      <c r="C29" s="13"/>
      <c r="D29" s="13"/>
      <c r="E29" s="13"/>
      <c r="F29" s="14"/>
      <c r="G29" s="13"/>
      <c r="H29" s="13"/>
      <c r="I29" s="14"/>
    </row>
    <row r="30" spans="1:9" ht="13.15">
      <c r="A30" s="13"/>
      <c r="B30" s="13"/>
      <c r="C30" s="13"/>
      <c r="D30" s="13"/>
      <c r="E30" s="13"/>
      <c r="F30" s="14"/>
      <c r="G30" s="13"/>
      <c r="H30" s="13"/>
      <c r="I30" s="14"/>
    </row>
    <row r="31" spans="1:9" ht="13.15">
      <c r="A31" s="13"/>
      <c r="B31" s="13"/>
      <c r="C31" s="13"/>
      <c r="D31" s="13"/>
      <c r="E31" s="13"/>
      <c r="F31" s="14"/>
      <c r="G31" s="13"/>
      <c r="H31" s="13"/>
      <c r="I31" s="14"/>
    </row>
    <row r="32" spans="1:9" ht="13.15">
      <c r="A32" s="13"/>
      <c r="B32" s="13"/>
      <c r="C32" s="13"/>
      <c r="D32" s="13"/>
      <c r="E32" s="13"/>
      <c r="F32" s="14"/>
      <c r="G32" s="13"/>
      <c r="H32" s="13"/>
      <c r="I32" s="14"/>
    </row>
    <row r="33" spans="1:9" ht="13.15">
      <c r="A33" s="13"/>
      <c r="B33" s="13"/>
      <c r="C33" s="13"/>
      <c r="D33" s="13"/>
      <c r="E33" s="13"/>
      <c r="F33" s="14"/>
      <c r="G33" s="13"/>
      <c r="H33" s="13"/>
      <c r="I33" s="14"/>
    </row>
    <row r="34" spans="1:9" ht="13.15">
      <c r="A34" s="13"/>
      <c r="B34" s="13"/>
      <c r="C34" s="13"/>
      <c r="D34" s="13"/>
      <c r="E34" s="13"/>
      <c r="F34" s="14"/>
      <c r="G34" s="13"/>
      <c r="H34" s="13"/>
      <c r="I34" s="14"/>
    </row>
    <row r="35" spans="1:9" ht="13.15">
      <c r="A35" s="13"/>
      <c r="B35" s="13"/>
      <c r="C35" s="13"/>
      <c r="D35" s="13"/>
      <c r="E35" s="13"/>
      <c r="F35" s="14"/>
      <c r="G35" s="13"/>
      <c r="H35" s="13"/>
      <c r="I35" s="14"/>
    </row>
    <row r="36" spans="1:9" ht="13.15">
      <c r="A36" s="13"/>
      <c r="B36" s="13"/>
      <c r="C36" s="13"/>
      <c r="D36" s="13"/>
      <c r="E36" s="13"/>
      <c r="F36" s="14"/>
      <c r="G36" s="13"/>
      <c r="H36" s="13"/>
      <c r="I36" s="14"/>
    </row>
    <row r="37" spans="1:9" ht="13.15">
      <c r="A37" s="13"/>
      <c r="B37" s="13"/>
      <c r="C37" s="13"/>
      <c r="D37" s="13"/>
      <c r="E37" s="13"/>
      <c r="F37" s="14"/>
      <c r="G37" s="13"/>
      <c r="H37" s="13"/>
      <c r="I37" s="14"/>
    </row>
    <row r="38" spans="1:9" ht="13.15">
      <c r="A38" s="13"/>
      <c r="B38" s="13"/>
      <c r="C38" s="13"/>
      <c r="D38" s="13"/>
      <c r="E38" s="13"/>
      <c r="F38" s="14"/>
      <c r="G38" s="13"/>
      <c r="H38" s="13"/>
      <c r="I38" s="14"/>
    </row>
    <row r="39" spans="1:9" ht="13.15">
      <c r="A39" s="13"/>
      <c r="B39" s="13"/>
      <c r="C39" s="13"/>
      <c r="D39" s="13"/>
      <c r="E39" s="13"/>
      <c r="F39" s="14"/>
      <c r="G39" s="13"/>
      <c r="H39" s="13"/>
      <c r="I39" s="14"/>
    </row>
    <row r="40" spans="1:9" ht="13.15">
      <c r="A40" s="13"/>
      <c r="B40" s="13"/>
      <c r="C40" s="13"/>
      <c r="D40" s="13"/>
      <c r="E40" s="13"/>
      <c r="F40" s="14"/>
      <c r="G40" s="13"/>
      <c r="H40" s="13"/>
      <c r="I40" s="14"/>
    </row>
    <row r="41" spans="1:9" ht="13.15">
      <c r="A41" s="13"/>
      <c r="B41" s="13"/>
      <c r="C41" s="13"/>
      <c r="D41" s="13"/>
      <c r="E41" s="13"/>
      <c r="F41" s="14"/>
      <c r="G41" s="13"/>
      <c r="H41" s="13"/>
      <c r="I41" s="14"/>
    </row>
    <row r="42" spans="1:9" ht="13.15">
      <c r="A42" s="13"/>
      <c r="B42" s="13"/>
      <c r="C42" s="13"/>
      <c r="D42" s="13"/>
      <c r="E42" s="13"/>
      <c r="F42" s="14"/>
      <c r="G42" s="13"/>
      <c r="H42" s="13"/>
      <c r="I42" s="14"/>
    </row>
    <row r="43" spans="1:9" ht="13.15">
      <c r="A43" s="13"/>
      <c r="B43" s="13"/>
      <c r="C43" s="13"/>
      <c r="D43" s="13"/>
      <c r="E43" s="13"/>
      <c r="F43" s="14"/>
      <c r="G43" s="13"/>
      <c r="H43" s="13"/>
      <c r="I43" s="14"/>
    </row>
    <row r="44" spans="1:9" ht="13.15">
      <c r="A44" s="13"/>
      <c r="B44" s="13"/>
      <c r="C44" s="13"/>
      <c r="D44" s="13"/>
      <c r="E44" s="13"/>
      <c r="F44" s="14"/>
      <c r="G44" s="13"/>
      <c r="H44" s="13"/>
      <c r="I44" s="14"/>
    </row>
    <row r="45" spans="1:9" ht="13.15">
      <c r="A45" s="13"/>
      <c r="B45" s="13"/>
      <c r="C45" s="13"/>
      <c r="D45" s="13"/>
      <c r="E45" s="13"/>
      <c r="F45" s="14"/>
      <c r="G45" s="13"/>
      <c r="H45" s="13"/>
      <c r="I45" s="14"/>
    </row>
    <row r="46" spans="1:9" ht="13.15">
      <c r="A46" s="13"/>
      <c r="B46" s="13"/>
      <c r="C46" s="13"/>
      <c r="D46" s="13"/>
      <c r="E46" s="13"/>
      <c r="F46" s="14"/>
      <c r="G46" s="13"/>
      <c r="H46" s="13"/>
      <c r="I46" s="14"/>
    </row>
    <row r="47" spans="1:9" ht="13.15">
      <c r="A47" s="13"/>
      <c r="B47" s="13"/>
      <c r="C47" s="13"/>
      <c r="D47" s="13"/>
      <c r="E47" s="13"/>
      <c r="F47" s="14"/>
      <c r="G47" s="13"/>
      <c r="H47" s="13"/>
      <c r="I47" s="14"/>
    </row>
    <row r="48" spans="1:9" ht="13.15">
      <c r="A48" s="13"/>
      <c r="B48" s="13"/>
      <c r="C48" s="13"/>
      <c r="D48" s="13"/>
      <c r="E48" s="13"/>
      <c r="F48" s="14"/>
      <c r="G48" s="13"/>
      <c r="H48" s="13"/>
      <c r="I48" s="14"/>
    </row>
    <row r="49" spans="1:9" ht="13.15">
      <c r="A49" s="13"/>
      <c r="B49" s="13"/>
      <c r="C49" s="13"/>
      <c r="D49" s="13"/>
      <c r="E49" s="13"/>
      <c r="F49" s="14"/>
      <c r="G49" s="13"/>
      <c r="H49" s="13"/>
      <c r="I49" s="14"/>
    </row>
    <row r="50" spans="1:9" ht="13.15">
      <c r="A50" s="13"/>
      <c r="B50" s="13"/>
      <c r="C50" s="13"/>
      <c r="D50" s="13"/>
      <c r="E50" s="13"/>
      <c r="F50" s="14"/>
      <c r="G50" s="13"/>
      <c r="H50" s="13"/>
      <c r="I50" s="14"/>
    </row>
    <row r="51" spans="1:9" ht="13.15">
      <c r="A51" s="13"/>
      <c r="B51" s="13"/>
      <c r="C51" s="13"/>
      <c r="D51" s="13"/>
      <c r="E51" s="13"/>
      <c r="F51" s="14"/>
      <c r="G51" s="13"/>
      <c r="H51" s="13"/>
      <c r="I51" s="14"/>
    </row>
    <row r="52" spans="1:9" ht="13.15">
      <c r="A52" s="13"/>
      <c r="B52" s="13"/>
      <c r="C52" s="13"/>
      <c r="D52" s="13"/>
      <c r="E52" s="13"/>
      <c r="F52" s="14"/>
      <c r="G52" s="13"/>
      <c r="H52" s="13"/>
      <c r="I52" s="14"/>
    </row>
    <row r="53" spans="1:9" ht="13.15">
      <c r="A53" s="13"/>
      <c r="B53" s="13"/>
      <c r="C53" s="13"/>
      <c r="D53" s="13"/>
      <c r="E53" s="13"/>
      <c r="F53" s="14"/>
      <c r="G53" s="13"/>
      <c r="H53" s="13"/>
      <c r="I53" s="14"/>
    </row>
    <row r="54" spans="1:9" ht="13.15">
      <c r="A54" s="13"/>
      <c r="B54" s="13"/>
      <c r="C54" s="13"/>
      <c r="D54" s="13"/>
      <c r="E54" s="13"/>
      <c r="F54" s="14"/>
      <c r="G54" s="13"/>
      <c r="H54" s="13"/>
      <c r="I54" s="14"/>
    </row>
    <row r="55" spans="1:9" ht="13.15">
      <c r="A55" s="13"/>
      <c r="B55" s="13"/>
      <c r="C55" s="13"/>
      <c r="D55" s="13"/>
      <c r="E55" s="13"/>
      <c r="F55" s="14"/>
      <c r="G55" s="13"/>
      <c r="H55" s="13"/>
      <c r="I55" s="14"/>
    </row>
    <row r="56" spans="1:9" ht="13.15">
      <c r="A56" s="13"/>
      <c r="B56" s="13"/>
      <c r="C56" s="13"/>
      <c r="D56" s="13"/>
      <c r="E56" s="13"/>
      <c r="F56" s="14"/>
      <c r="G56" s="13"/>
      <c r="H56" s="13"/>
      <c r="I56" s="14"/>
    </row>
    <row r="57" spans="1:9" ht="13.15">
      <c r="A57" s="13"/>
      <c r="B57" s="13"/>
      <c r="C57" s="13"/>
      <c r="D57" s="13"/>
      <c r="E57" s="13"/>
      <c r="F57" s="14"/>
      <c r="G57" s="13"/>
      <c r="H57" s="13"/>
      <c r="I57" s="14"/>
    </row>
    <row r="58" spans="1:9" ht="13.15">
      <c r="A58" s="13"/>
      <c r="B58" s="13"/>
      <c r="C58" s="13"/>
      <c r="D58" s="13"/>
      <c r="E58" s="13"/>
      <c r="F58" s="14"/>
      <c r="G58" s="13"/>
      <c r="H58" s="13"/>
      <c r="I58" s="14"/>
    </row>
    <row r="59" spans="1:9" ht="13.15">
      <c r="A59" s="13"/>
      <c r="B59" s="13"/>
      <c r="C59" s="13"/>
      <c r="D59" s="13"/>
      <c r="E59" s="13"/>
      <c r="F59" s="14"/>
      <c r="G59" s="13"/>
      <c r="H59" s="13"/>
      <c r="I59" s="14"/>
    </row>
    <row r="60" spans="1:9" ht="13.15">
      <c r="A60" s="13"/>
      <c r="B60" s="13"/>
      <c r="C60" s="13"/>
      <c r="D60" s="13"/>
      <c r="E60" s="13"/>
      <c r="F60" s="14"/>
      <c r="G60" s="13"/>
      <c r="H60" s="13"/>
      <c r="I60" s="14"/>
    </row>
    <row r="61" spans="1:9" ht="13.15">
      <c r="A61" s="13"/>
      <c r="B61" s="13"/>
      <c r="C61" s="13"/>
      <c r="D61" s="13"/>
      <c r="E61" s="13"/>
      <c r="F61" s="14"/>
      <c r="G61" s="13"/>
      <c r="H61" s="13"/>
      <c r="I61" s="14"/>
    </row>
    <row r="62" spans="1:9" ht="13.15">
      <c r="A62" s="13"/>
      <c r="B62" s="13"/>
      <c r="C62" s="13"/>
      <c r="D62" s="13"/>
      <c r="E62" s="13"/>
      <c r="F62" s="14"/>
      <c r="G62" s="13"/>
      <c r="H62" s="13"/>
      <c r="I62" s="14"/>
    </row>
    <row r="63" spans="1:9" ht="13.15">
      <c r="A63" s="13"/>
      <c r="B63" s="13"/>
      <c r="C63" s="13"/>
      <c r="D63" s="13"/>
      <c r="E63" s="13"/>
      <c r="F63" s="14"/>
      <c r="G63" s="13"/>
      <c r="H63" s="13"/>
      <c r="I63" s="14"/>
    </row>
    <row r="64" spans="1:9" ht="13.15">
      <c r="A64" s="13"/>
      <c r="B64" s="13"/>
      <c r="C64" s="13"/>
      <c r="D64" s="13"/>
      <c r="E64" s="13"/>
      <c r="F64" s="14"/>
      <c r="G64" s="13"/>
      <c r="H64" s="13"/>
      <c r="I64" s="14"/>
    </row>
    <row r="65" spans="1:9" ht="13.15">
      <c r="A65" s="13"/>
      <c r="B65" s="13"/>
      <c r="C65" s="13"/>
      <c r="D65" s="13"/>
      <c r="E65" s="13"/>
      <c r="F65" s="14"/>
      <c r="G65" s="13"/>
      <c r="H65" s="13"/>
      <c r="I65" s="14"/>
    </row>
    <row r="66" spans="1:9" ht="13.15">
      <c r="A66" s="13"/>
      <c r="B66" s="13"/>
      <c r="C66" s="13"/>
      <c r="D66" s="13"/>
      <c r="E66" s="13"/>
      <c r="F66" s="14"/>
      <c r="G66" s="13"/>
      <c r="H66" s="13"/>
      <c r="I66" s="14"/>
    </row>
    <row r="67" spans="1:9" ht="13.15">
      <c r="A67" s="13"/>
      <c r="B67" s="13"/>
      <c r="C67" s="13"/>
      <c r="D67" s="13"/>
      <c r="E67" s="13"/>
      <c r="F67" s="14"/>
      <c r="G67" s="13"/>
      <c r="H67" s="13"/>
      <c r="I67" s="14"/>
    </row>
    <row r="68" spans="1:9" ht="13.15">
      <c r="A68" s="13"/>
      <c r="B68" s="13"/>
      <c r="C68" s="13"/>
      <c r="D68" s="13"/>
      <c r="E68" s="13"/>
      <c r="F68" s="14"/>
      <c r="G68" s="13"/>
      <c r="H68" s="13"/>
      <c r="I68" s="14"/>
    </row>
    <row r="69" spans="1:9" ht="13.15">
      <c r="A69" s="13"/>
      <c r="B69" s="13"/>
      <c r="C69" s="13"/>
      <c r="D69" s="13"/>
      <c r="E69" s="13"/>
      <c r="F69" s="14"/>
      <c r="G69" s="13"/>
      <c r="H69" s="13"/>
      <c r="I69" s="14"/>
    </row>
    <row r="70" spans="1:9" ht="13.15">
      <c r="A70" s="13"/>
      <c r="B70" s="13"/>
      <c r="C70" s="13"/>
      <c r="D70" s="13"/>
      <c r="E70" s="13"/>
      <c r="F70" s="14"/>
      <c r="G70" s="13"/>
      <c r="H70" s="13"/>
      <c r="I70" s="14"/>
    </row>
    <row r="71" spans="1:9" ht="13.15">
      <c r="A71" s="13"/>
      <c r="B71" s="13"/>
      <c r="C71" s="13"/>
      <c r="D71" s="13"/>
      <c r="E71" s="13"/>
      <c r="F71" s="14"/>
      <c r="G71" s="13"/>
      <c r="H71" s="13"/>
      <c r="I71" s="14"/>
    </row>
    <row r="72" spans="1:9" ht="13.15">
      <c r="A72" s="13"/>
      <c r="B72" s="13"/>
      <c r="C72" s="13"/>
      <c r="D72" s="13"/>
      <c r="E72" s="13"/>
      <c r="F72" s="14"/>
      <c r="G72" s="13"/>
      <c r="H72" s="13"/>
      <c r="I72" s="14"/>
    </row>
    <row r="73" spans="1:9" ht="13.15">
      <c r="A73" s="13"/>
      <c r="B73" s="13"/>
      <c r="C73" s="13"/>
      <c r="D73" s="13"/>
      <c r="E73" s="13"/>
      <c r="F73" s="14"/>
      <c r="G73" s="13"/>
      <c r="H73" s="13"/>
      <c r="I73" s="14"/>
    </row>
    <row r="74" spans="1:9" ht="13.15">
      <c r="A74" s="13"/>
      <c r="B74" s="13"/>
      <c r="C74" s="13"/>
      <c r="D74" s="13"/>
      <c r="E74" s="13"/>
      <c r="F74" s="14"/>
      <c r="G74" s="13"/>
      <c r="H74" s="13"/>
      <c r="I74" s="14"/>
    </row>
    <row r="75" spans="1:9" ht="13.15">
      <c r="A75" s="13"/>
      <c r="B75" s="13"/>
      <c r="C75" s="13"/>
      <c r="D75" s="13"/>
      <c r="E75" s="13"/>
      <c r="F75" s="14"/>
      <c r="G75" s="13"/>
      <c r="H75" s="13"/>
      <c r="I75" s="14"/>
    </row>
    <row r="76" spans="1:9" ht="13.15">
      <c r="A76" s="13"/>
      <c r="B76" s="13"/>
      <c r="C76" s="13"/>
      <c r="D76" s="13"/>
      <c r="E76" s="13"/>
      <c r="F76" s="14"/>
      <c r="G76" s="13"/>
      <c r="H76" s="13"/>
      <c r="I76" s="14"/>
    </row>
    <row r="77" spans="1:9" ht="13.15">
      <c r="A77" s="13"/>
      <c r="B77" s="13"/>
      <c r="C77" s="13"/>
      <c r="D77" s="13"/>
      <c r="E77" s="13"/>
      <c r="F77" s="14"/>
      <c r="G77" s="13"/>
      <c r="H77" s="13"/>
      <c r="I77" s="14"/>
    </row>
    <row r="78" spans="1:9" ht="13.15">
      <c r="A78" s="13"/>
      <c r="B78" s="13"/>
      <c r="C78" s="13"/>
      <c r="D78" s="13"/>
      <c r="E78" s="13"/>
      <c r="F78" s="14"/>
      <c r="G78" s="13"/>
      <c r="H78" s="13"/>
      <c r="I78" s="14"/>
    </row>
    <row r="79" spans="1:9" ht="13.15">
      <c r="A79" s="13"/>
      <c r="B79" s="13"/>
      <c r="C79" s="13"/>
      <c r="D79" s="13"/>
      <c r="E79" s="13"/>
      <c r="F79" s="14"/>
      <c r="G79" s="13"/>
      <c r="H79" s="13"/>
      <c r="I79" s="14"/>
    </row>
    <row r="80" spans="1:9" ht="13.15">
      <c r="A80" s="13"/>
      <c r="B80" s="13"/>
      <c r="C80" s="13"/>
      <c r="D80" s="13"/>
      <c r="E80" s="13"/>
      <c r="F80" s="14"/>
      <c r="G80" s="13"/>
      <c r="H80" s="13"/>
      <c r="I80" s="14"/>
    </row>
    <row r="81" spans="1:9" ht="13.15">
      <c r="A81" s="13"/>
      <c r="B81" s="13"/>
      <c r="C81" s="13"/>
      <c r="D81" s="13"/>
      <c r="E81" s="13"/>
      <c r="F81" s="14"/>
      <c r="G81" s="13"/>
      <c r="H81" s="13"/>
      <c r="I81" s="14"/>
    </row>
    <row r="82" spans="1:9" ht="13.15">
      <c r="A82" s="13"/>
      <c r="B82" s="13"/>
      <c r="C82" s="13"/>
      <c r="D82" s="13"/>
      <c r="E82" s="13"/>
      <c r="F82" s="14"/>
      <c r="G82" s="13"/>
      <c r="H82" s="13"/>
      <c r="I82" s="14"/>
    </row>
    <row r="83" spans="1:9" ht="13.15">
      <c r="A83" s="13"/>
      <c r="B83" s="13"/>
      <c r="C83" s="13"/>
      <c r="D83" s="13"/>
      <c r="E83" s="13"/>
      <c r="F83" s="14"/>
      <c r="G83" s="13"/>
      <c r="H83" s="13"/>
      <c r="I83" s="14"/>
    </row>
    <row r="84" spans="1:9" ht="13.15">
      <c r="A84" s="13"/>
      <c r="B84" s="13"/>
      <c r="C84" s="13"/>
      <c r="D84" s="13"/>
      <c r="E84" s="13"/>
      <c r="F84" s="14"/>
      <c r="G84" s="13"/>
      <c r="H84" s="13"/>
      <c r="I84" s="14"/>
    </row>
    <row r="85" spans="1:9" ht="13.15">
      <c r="A85" s="13"/>
      <c r="B85" s="13"/>
      <c r="C85" s="13"/>
      <c r="D85" s="13"/>
      <c r="E85" s="13"/>
      <c r="F85" s="14"/>
      <c r="G85" s="13"/>
      <c r="H85" s="13"/>
      <c r="I85" s="14"/>
    </row>
    <row r="86" spans="1:9" ht="13.15">
      <c r="A86" s="13"/>
      <c r="B86" s="13"/>
      <c r="C86" s="13"/>
      <c r="D86" s="13"/>
      <c r="E86" s="13"/>
      <c r="F86" s="14"/>
      <c r="G86" s="13"/>
      <c r="H86" s="13"/>
      <c r="I86" s="14"/>
    </row>
    <row r="87" spans="1:9" ht="13.15">
      <c r="A87" s="13"/>
      <c r="B87" s="13"/>
      <c r="C87" s="13"/>
      <c r="D87" s="13"/>
      <c r="E87" s="13"/>
      <c r="F87" s="14"/>
      <c r="G87" s="13"/>
      <c r="H87" s="13"/>
      <c r="I87" s="14"/>
    </row>
    <row r="88" spans="1:9" ht="13.15">
      <c r="A88" s="13"/>
      <c r="B88" s="13"/>
      <c r="C88" s="13"/>
      <c r="D88" s="13"/>
      <c r="E88" s="13"/>
      <c r="F88" s="14"/>
      <c r="G88" s="13"/>
      <c r="H88" s="13"/>
      <c r="I88" s="14"/>
    </row>
    <row r="89" spans="1:9" ht="13.15">
      <c r="A89" s="13"/>
      <c r="B89" s="13"/>
      <c r="C89" s="13"/>
      <c r="D89" s="13"/>
      <c r="E89" s="13"/>
      <c r="F89" s="14"/>
      <c r="G89" s="13"/>
      <c r="H89" s="13"/>
      <c r="I89" s="14"/>
    </row>
    <row r="90" spans="1:9" ht="13.15">
      <c r="A90" s="13"/>
      <c r="B90" s="13"/>
      <c r="C90" s="13"/>
      <c r="D90" s="13"/>
      <c r="E90" s="13"/>
      <c r="F90" s="14"/>
      <c r="G90" s="13"/>
      <c r="H90" s="13"/>
      <c r="I90" s="14"/>
    </row>
    <row r="91" spans="1:9" ht="13.15">
      <c r="A91" s="13"/>
      <c r="B91" s="13"/>
      <c r="C91" s="13"/>
      <c r="D91" s="13"/>
      <c r="E91" s="13"/>
      <c r="F91" s="14"/>
      <c r="G91" s="13"/>
      <c r="H91" s="13"/>
      <c r="I91" s="14"/>
    </row>
    <row r="92" spans="1:9" ht="13.15">
      <c r="A92" s="13"/>
      <c r="B92" s="13"/>
      <c r="C92" s="13"/>
      <c r="D92" s="13"/>
      <c r="E92" s="13"/>
      <c r="F92" s="14"/>
      <c r="G92" s="13"/>
      <c r="H92" s="13"/>
      <c r="I92" s="14"/>
    </row>
    <row r="93" spans="1:9" ht="13.15">
      <c r="A93" s="13"/>
      <c r="B93" s="13"/>
      <c r="C93" s="13"/>
      <c r="D93" s="13"/>
      <c r="E93" s="13"/>
      <c r="F93" s="14"/>
      <c r="G93" s="13"/>
      <c r="H93" s="13"/>
      <c r="I93" s="14"/>
    </row>
    <row r="94" spans="1:9" ht="13.15">
      <c r="A94" s="13"/>
      <c r="B94" s="13"/>
      <c r="C94" s="13"/>
      <c r="D94" s="13"/>
      <c r="E94" s="13"/>
      <c r="F94" s="14"/>
      <c r="G94" s="13"/>
      <c r="H94" s="13"/>
      <c r="I94" s="14"/>
    </row>
    <row r="95" spans="1:9" ht="13.15">
      <c r="A95" s="13"/>
      <c r="B95" s="13"/>
      <c r="C95" s="13"/>
      <c r="D95" s="13"/>
      <c r="E95" s="13"/>
      <c r="F95" s="14"/>
      <c r="G95" s="13"/>
      <c r="H95" s="13"/>
      <c r="I95" s="14"/>
    </row>
    <row r="96" spans="1:9" ht="13.15">
      <c r="A96" s="13"/>
      <c r="B96" s="13"/>
      <c r="C96" s="13"/>
      <c r="D96" s="13"/>
      <c r="E96" s="13"/>
      <c r="F96" s="14"/>
      <c r="G96" s="13"/>
      <c r="H96" s="13"/>
      <c r="I96" s="14"/>
    </row>
    <row r="97" spans="1:9" ht="13.15">
      <c r="A97" s="13"/>
      <c r="B97" s="13"/>
      <c r="C97" s="13"/>
      <c r="D97" s="13"/>
      <c r="E97" s="13"/>
      <c r="F97" s="14"/>
      <c r="G97" s="13"/>
      <c r="H97" s="13"/>
      <c r="I97" s="14"/>
    </row>
    <row r="98" spans="1:9" ht="13.15">
      <c r="A98" s="13"/>
      <c r="B98" s="13"/>
      <c r="C98" s="13"/>
      <c r="D98" s="13"/>
      <c r="E98" s="13"/>
      <c r="F98" s="14"/>
      <c r="G98" s="13"/>
      <c r="H98" s="13"/>
      <c r="I98" s="14"/>
    </row>
    <row r="99" spans="1:9" ht="13.15">
      <c r="A99" s="13"/>
      <c r="B99" s="13"/>
      <c r="C99" s="13"/>
      <c r="D99" s="13"/>
      <c r="E99" s="13"/>
      <c r="F99" s="14"/>
      <c r="G99" s="13"/>
      <c r="H99" s="13"/>
      <c r="I99" s="14"/>
    </row>
    <row r="100" spans="1:9" ht="13.15">
      <c r="A100" s="13"/>
      <c r="B100" s="13"/>
      <c r="C100" s="13"/>
      <c r="D100" s="13"/>
      <c r="E100" s="13"/>
      <c r="F100" s="14"/>
      <c r="G100" s="13"/>
      <c r="H100" s="13"/>
      <c r="I100" s="14"/>
    </row>
    <row r="101" spans="1:9" ht="13.15">
      <c r="A101" s="13"/>
      <c r="B101" s="13"/>
      <c r="C101" s="13"/>
      <c r="D101" s="13"/>
      <c r="E101" s="13"/>
      <c r="F101" s="14"/>
      <c r="G101" s="13"/>
      <c r="H101" s="13"/>
      <c r="I101" s="14"/>
    </row>
    <row r="102" spans="1:9" ht="13.15">
      <c r="A102" s="13"/>
      <c r="B102" s="13"/>
      <c r="C102" s="13"/>
      <c r="D102" s="13"/>
      <c r="E102" s="13"/>
      <c r="F102" s="14"/>
      <c r="G102" s="13"/>
      <c r="H102" s="13"/>
      <c r="I102" s="14"/>
    </row>
    <row r="103" spans="1:9" ht="13.15">
      <c r="A103" s="13"/>
      <c r="B103" s="13"/>
      <c r="C103" s="13"/>
      <c r="D103" s="13"/>
      <c r="E103" s="13"/>
      <c r="F103" s="14"/>
      <c r="G103" s="13"/>
      <c r="H103" s="13"/>
      <c r="I103" s="14"/>
    </row>
    <row r="104" spans="1:9" ht="13.15">
      <c r="A104" s="13"/>
      <c r="B104" s="13"/>
      <c r="C104" s="13"/>
      <c r="D104" s="13"/>
      <c r="E104" s="13"/>
      <c r="F104" s="14"/>
      <c r="G104" s="13"/>
      <c r="H104" s="13"/>
      <c r="I104" s="14"/>
    </row>
    <row r="105" spans="1:9" ht="13.15">
      <c r="A105" s="13"/>
      <c r="B105" s="13"/>
      <c r="C105" s="13"/>
      <c r="D105" s="13"/>
      <c r="E105" s="13"/>
      <c r="F105" s="14"/>
      <c r="G105" s="13"/>
      <c r="H105" s="13"/>
      <c r="I105" s="14"/>
    </row>
    <row r="106" spans="1:9" ht="13.15">
      <c r="A106" s="13"/>
      <c r="B106" s="13"/>
      <c r="C106" s="13"/>
      <c r="D106" s="13"/>
      <c r="E106" s="13"/>
      <c r="F106" s="14"/>
      <c r="G106" s="13"/>
      <c r="H106" s="13"/>
      <c r="I106" s="14"/>
    </row>
    <row r="107" spans="1:9" ht="13.15">
      <c r="A107" s="13"/>
      <c r="B107" s="13"/>
      <c r="C107" s="13"/>
      <c r="D107" s="13"/>
      <c r="E107" s="13"/>
      <c r="F107" s="14"/>
      <c r="G107" s="13"/>
      <c r="H107" s="13"/>
      <c r="I107" s="14"/>
    </row>
    <row r="108" spans="1:9" ht="13.15">
      <c r="A108" s="13"/>
      <c r="B108" s="13"/>
      <c r="C108" s="13"/>
      <c r="D108" s="13"/>
      <c r="E108" s="13"/>
      <c r="F108" s="14"/>
      <c r="G108" s="13"/>
      <c r="H108" s="13"/>
      <c r="I108" s="14"/>
    </row>
    <row r="109" spans="1:9" ht="13.15">
      <c r="A109" s="13"/>
      <c r="B109" s="13"/>
      <c r="C109" s="13"/>
      <c r="D109" s="13"/>
      <c r="E109" s="13"/>
      <c r="F109" s="14"/>
      <c r="G109" s="13"/>
      <c r="H109" s="13"/>
      <c r="I109" s="14"/>
    </row>
    <row r="110" spans="1:9" ht="13.15">
      <c r="A110" s="13"/>
      <c r="B110" s="13"/>
      <c r="C110" s="13"/>
      <c r="D110" s="13"/>
      <c r="E110" s="13"/>
      <c r="F110" s="14"/>
      <c r="G110" s="13"/>
      <c r="H110" s="13"/>
      <c r="I110" s="14"/>
    </row>
    <row r="111" spans="1:9" ht="13.15">
      <c r="A111" s="13"/>
      <c r="B111" s="13"/>
      <c r="C111" s="13"/>
      <c r="D111" s="13"/>
      <c r="E111" s="13"/>
      <c r="F111" s="14"/>
      <c r="G111" s="13"/>
      <c r="H111" s="13"/>
      <c r="I111" s="14"/>
    </row>
    <row r="112" spans="1:9" ht="13.15">
      <c r="A112" s="13"/>
      <c r="B112" s="13"/>
      <c r="C112" s="13"/>
      <c r="D112" s="13"/>
      <c r="E112" s="13"/>
      <c r="F112" s="14"/>
      <c r="G112" s="13"/>
      <c r="H112" s="13"/>
      <c r="I112" s="14"/>
    </row>
    <row r="113" spans="1:9" ht="13.15">
      <c r="A113" s="13"/>
      <c r="B113" s="13"/>
      <c r="C113" s="13"/>
      <c r="D113" s="13"/>
      <c r="E113" s="13"/>
      <c r="F113" s="14"/>
      <c r="G113" s="13"/>
      <c r="H113" s="13"/>
      <c r="I113" s="14"/>
    </row>
    <row r="114" spans="1:9" ht="13.15">
      <c r="A114" s="13"/>
      <c r="B114" s="13"/>
      <c r="C114" s="13"/>
      <c r="D114" s="13"/>
      <c r="E114" s="13"/>
      <c r="F114" s="14"/>
      <c r="G114" s="13"/>
      <c r="H114" s="13"/>
      <c r="I114" s="14"/>
    </row>
    <row r="115" spans="1:9" ht="13.15">
      <c r="A115" s="13"/>
      <c r="B115" s="13"/>
      <c r="C115" s="13"/>
      <c r="D115" s="13"/>
      <c r="E115" s="13"/>
      <c r="F115" s="14"/>
      <c r="G115" s="13"/>
      <c r="H115" s="13"/>
      <c r="I115" s="14"/>
    </row>
    <row r="116" spans="1:9" ht="13.15">
      <c r="A116" s="13"/>
      <c r="B116" s="13"/>
      <c r="C116" s="13"/>
      <c r="D116" s="13"/>
      <c r="E116" s="13"/>
      <c r="F116" s="14"/>
      <c r="G116" s="13"/>
      <c r="H116" s="13"/>
      <c r="I116" s="14"/>
    </row>
    <row r="117" spans="1:9" ht="13.15">
      <c r="A117" s="13"/>
      <c r="B117" s="13"/>
      <c r="C117" s="13"/>
      <c r="D117" s="13"/>
      <c r="E117" s="13"/>
      <c r="F117" s="14"/>
      <c r="G117" s="13"/>
      <c r="H117" s="13"/>
      <c r="I117" s="14"/>
    </row>
    <row r="118" spans="1:9" ht="13.15">
      <c r="A118" s="13"/>
      <c r="B118" s="13"/>
      <c r="C118" s="13"/>
      <c r="D118" s="13"/>
      <c r="E118" s="13"/>
      <c r="F118" s="14"/>
      <c r="G118" s="13"/>
      <c r="H118" s="13"/>
      <c r="I118" s="14"/>
    </row>
    <row r="119" spans="1:9" ht="13.15">
      <c r="A119" s="13"/>
      <c r="B119" s="13"/>
      <c r="C119" s="13"/>
      <c r="D119" s="13"/>
      <c r="E119" s="13"/>
      <c r="F119" s="14"/>
      <c r="G119" s="13"/>
      <c r="H119" s="13"/>
      <c r="I119" s="14"/>
    </row>
    <row r="120" spans="1:9" ht="13.15">
      <c r="A120" s="13"/>
      <c r="B120" s="13"/>
      <c r="C120" s="13"/>
      <c r="D120" s="13"/>
      <c r="E120" s="13"/>
      <c r="F120" s="14"/>
      <c r="G120" s="13"/>
      <c r="H120" s="13"/>
      <c r="I120" s="14"/>
    </row>
    <row r="121" spans="1:9" ht="13.15">
      <c r="A121" s="13"/>
      <c r="B121" s="13"/>
      <c r="C121" s="13"/>
      <c r="D121" s="13"/>
      <c r="E121" s="13"/>
      <c r="F121" s="14"/>
      <c r="G121" s="13"/>
      <c r="H121" s="13"/>
      <c r="I121" s="14"/>
    </row>
    <row r="122" spans="1:9" ht="13.15">
      <c r="A122" s="13"/>
      <c r="B122" s="13"/>
      <c r="C122" s="13"/>
      <c r="D122" s="13"/>
      <c r="E122" s="13"/>
      <c r="F122" s="14"/>
      <c r="G122" s="13"/>
      <c r="H122" s="13"/>
      <c r="I122" s="14"/>
    </row>
    <row r="123" spans="1:9" ht="13.15">
      <c r="A123" s="13"/>
      <c r="B123" s="13"/>
      <c r="C123" s="13"/>
      <c r="D123" s="13"/>
      <c r="E123" s="13"/>
      <c r="F123" s="14"/>
      <c r="G123" s="13"/>
      <c r="H123" s="13"/>
      <c r="I123" s="14"/>
    </row>
    <row r="124" spans="1:9" ht="13.15">
      <c r="A124" s="13"/>
      <c r="B124" s="13"/>
      <c r="C124" s="13"/>
      <c r="D124" s="13"/>
      <c r="E124" s="13"/>
      <c r="F124" s="14"/>
      <c r="G124" s="13"/>
      <c r="H124" s="13"/>
      <c r="I124" s="14"/>
    </row>
    <row r="125" spans="1:9" ht="13.15">
      <c r="A125" s="13"/>
      <c r="B125" s="13"/>
      <c r="C125" s="13"/>
      <c r="D125" s="13"/>
      <c r="E125" s="13"/>
      <c r="F125" s="14"/>
      <c r="G125" s="13"/>
      <c r="H125" s="13"/>
      <c r="I125" s="14"/>
    </row>
    <row r="126" spans="1:9" ht="13.15">
      <c r="A126" s="13"/>
      <c r="B126" s="13"/>
      <c r="C126" s="13"/>
      <c r="D126" s="13"/>
      <c r="E126" s="13"/>
      <c r="F126" s="14"/>
      <c r="G126" s="13"/>
      <c r="H126" s="13"/>
      <c r="I126" s="14"/>
    </row>
    <row r="127" spans="1:9" ht="13.15">
      <c r="A127" s="13"/>
      <c r="B127" s="13"/>
      <c r="C127" s="13"/>
      <c r="D127" s="13"/>
      <c r="E127" s="13"/>
      <c r="F127" s="14"/>
      <c r="G127" s="13"/>
      <c r="H127" s="13"/>
      <c r="I127" s="14"/>
    </row>
    <row r="128" spans="1:9" ht="13.15">
      <c r="A128" s="13"/>
      <c r="B128" s="13"/>
      <c r="C128" s="13"/>
      <c r="D128" s="13"/>
      <c r="E128" s="13"/>
      <c r="F128" s="14"/>
      <c r="G128" s="13"/>
      <c r="H128" s="13"/>
      <c r="I128" s="14"/>
    </row>
    <row r="129" spans="1:9" ht="13.15">
      <c r="A129" s="13"/>
      <c r="B129" s="13"/>
      <c r="C129" s="13"/>
      <c r="D129" s="13"/>
      <c r="E129" s="13"/>
      <c r="F129" s="14"/>
      <c r="G129" s="13"/>
      <c r="H129" s="13"/>
      <c r="I129" s="14"/>
    </row>
    <row r="130" spans="1:9" ht="13.15">
      <c r="A130" s="13"/>
      <c r="B130" s="13"/>
      <c r="C130" s="13"/>
      <c r="D130" s="13"/>
      <c r="E130" s="13"/>
      <c r="F130" s="14"/>
      <c r="G130" s="13"/>
      <c r="H130" s="13"/>
      <c r="I130" s="14"/>
    </row>
    <row r="131" spans="1:9" ht="13.15">
      <c r="A131" s="13"/>
      <c r="B131" s="13"/>
      <c r="C131" s="13"/>
      <c r="D131" s="13"/>
      <c r="E131" s="13"/>
      <c r="F131" s="14"/>
      <c r="G131" s="13"/>
      <c r="H131" s="13"/>
      <c r="I131" s="14"/>
    </row>
    <row r="132" spans="1:9" ht="13.15">
      <c r="A132" s="13"/>
      <c r="B132" s="13"/>
      <c r="C132" s="13"/>
      <c r="D132" s="13"/>
      <c r="E132" s="13"/>
      <c r="F132" s="14"/>
      <c r="G132" s="13"/>
      <c r="H132" s="13"/>
      <c r="I132" s="14"/>
    </row>
    <row r="133" spans="1:9" ht="13.15">
      <c r="A133" s="13"/>
      <c r="B133" s="13"/>
      <c r="C133" s="13"/>
      <c r="D133" s="13"/>
      <c r="E133" s="13"/>
      <c r="F133" s="14"/>
      <c r="G133" s="13"/>
      <c r="H133" s="13"/>
      <c r="I133" s="14"/>
    </row>
    <row r="134" spans="1:9" ht="13.15">
      <c r="A134" s="13"/>
      <c r="B134" s="13"/>
      <c r="C134" s="13"/>
      <c r="D134" s="13"/>
      <c r="E134" s="13"/>
      <c r="F134" s="14"/>
      <c r="G134" s="13"/>
      <c r="H134" s="13"/>
      <c r="I134" s="14"/>
    </row>
    <row r="135" spans="1:9" ht="13.15">
      <c r="A135" s="13"/>
      <c r="B135" s="13"/>
      <c r="C135" s="13"/>
      <c r="D135" s="13"/>
      <c r="E135" s="13"/>
      <c r="F135" s="14"/>
      <c r="G135" s="13"/>
      <c r="H135" s="13"/>
      <c r="I135" s="14"/>
    </row>
    <row r="136" spans="1:9" ht="13.15">
      <c r="A136" s="13"/>
      <c r="B136" s="13"/>
      <c r="C136" s="13"/>
      <c r="D136" s="13"/>
      <c r="E136" s="13"/>
      <c r="F136" s="14"/>
      <c r="G136" s="13"/>
      <c r="H136" s="13"/>
      <c r="I136" s="14"/>
    </row>
    <row r="137" spans="1:9" ht="13.15">
      <c r="A137" s="13"/>
      <c r="B137" s="13"/>
      <c r="C137" s="13"/>
      <c r="D137" s="13"/>
      <c r="E137" s="13"/>
      <c r="F137" s="14"/>
      <c r="G137" s="13"/>
      <c r="H137" s="13"/>
      <c r="I137" s="14"/>
    </row>
    <row r="138" spans="1:9" ht="13.15">
      <c r="A138" s="13"/>
      <c r="B138" s="13"/>
      <c r="C138" s="13"/>
      <c r="D138" s="13"/>
      <c r="E138" s="13"/>
      <c r="F138" s="14"/>
      <c r="G138" s="13"/>
      <c r="H138" s="13"/>
      <c r="I138" s="14"/>
    </row>
    <row r="139" spans="1:9" ht="13.15">
      <c r="A139" s="13"/>
      <c r="B139" s="13"/>
      <c r="C139" s="13"/>
      <c r="D139" s="13"/>
      <c r="E139" s="13"/>
      <c r="F139" s="14"/>
      <c r="G139" s="13"/>
      <c r="H139" s="13"/>
      <c r="I139" s="14"/>
    </row>
    <row r="140" spans="1:9" ht="13.15">
      <c r="A140" s="13"/>
      <c r="B140" s="13"/>
      <c r="C140" s="13"/>
      <c r="D140" s="13"/>
      <c r="E140" s="13"/>
      <c r="F140" s="14"/>
      <c r="G140" s="13"/>
      <c r="H140" s="13"/>
      <c r="I140" s="14"/>
    </row>
    <row r="141" spans="1:9" ht="13.15">
      <c r="A141" s="13"/>
      <c r="B141" s="13"/>
      <c r="C141" s="13"/>
      <c r="D141" s="13"/>
      <c r="E141" s="13"/>
      <c r="F141" s="14"/>
      <c r="G141" s="13"/>
      <c r="H141" s="13"/>
      <c r="I141" s="14"/>
    </row>
    <row r="142" spans="1:9" ht="13.15">
      <c r="A142" s="13"/>
      <c r="B142" s="13"/>
      <c r="C142" s="13"/>
      <c r="D142" s="13"/>
      <c r="E142" s="13"/>
      <c r="F142" s="14"/>
      <c r="G142" s="13"/>
      <c r="H142" s="13"/>
      <c r="I142" s="14"/>
    </row>
    <row r="143" spans="1:9" ht="13.15">
      <c r="A143" s="13"/>
      <c r="B143" s="13"/>
      <c r="C143" s="13"/>
      <c r="D143" s="13"/>
      <c r="E143" s="13"/>
      <c r="F143" s="14"/>
      <c r="G143" s="13"/>
      <c r="H143" s="13"/>
      <c r="I143" s="14"/>
    </row>
    <row r="144" spans="1:9" ht="13.15">
      <c r="A144" s="13"/>
      <c r="B144" s="13"/>
      <c r="C144" s="13"/>
      <c r="D144" s="13"/>
      <c r="E144" s="13"/>
      <c r="F144" s="14"/>
      <c r="G144" s="13"/>
      <c r="H144" s="13"/>
      <c r="I144" s="14"/>
    </row>
    <row r="145" spans="1:9" ht="13.15">
      <c r="A145" s="13"/>
      <c r="B145" s="13"/>
      <c r="C145" s="13"/>
      <c r="D145" s="13"/>
      <c r="E145" s="13"/>
      <c r="F145" s="14"/>
      <c r="G145" s="13"/>
      <c r="H145" s="13"/>
      <c r="I145" s="14"/>
    </row>
    <row r="146" spans="1:9" ht="13.15">
      <c r="A146" s="13"/>
      <c r="B146" s="13"/>
      <c r="C146" s="13"/>
      <c r="D146" s="13"/>
      <c r="E146" s="13"/>
      <c r="F146" s="14"/>
      <c r="G146" s="13"/>
      <c r="H146" s="13"/>
      <c r="I146" s="14"/>
    </row>
    <row r="147" spans="1:9" ht="13.15">
      <c r="A147" s="13"/>
      <c r="B147" s="13"/>
      <c r="C147" s="13"/>
      <c r="D147" s="13"/>
      <c r="E147" s="13"/>
      <c r="F147" s="14"/>
      <c r="G147" s="13"/>
      <c r="H147" s="13"/>
      <c r="I147" s="14"/>
    </row>
    <row r="148" spans="1:9" ht="13.15">
      <c r="A148" s="13"/>
      <c r="B148" s="13"/>
      <c r="C148" s="13"/>
      <c r="D148" s="13"/>
      <c r="E148" s="13"/>
      <c r="F148" s="14"/>
      <c r="G148" s="13"/>
      <c r="H148" s="13"/>
      <c r="I148" s="14"/>
    </row>
    <row r="149" spans="1:9" ht="13.15">
      <c r="A149" s="13"/>
      <c r="B149" s="13"/>
      <c r="C149" s="13"/>
      <c r="D149" s="13"/>
      <c r="E149" s="13"/>
      <c r="F149" s="14"/>
      <c r="G149" s="13"/>
      <c r="H149" s="13"/>
      <c r="I149" s="14"/>
    </row>
    <row r="150" spans="1:9" ht="13.15">
      <c r="A150" s="13"/>
      <c r="B150" s="13"/>
      <c r="C150" s="13"/>
      <c r="D150" s="13"/>
      <c r="E150" s="13"/>
      <c r="F150" s="14"/>
      <c r="G150" s="13"/>
      <c r="H150" s="13"/>
      <c r="I150" s="14"/>
    </row>
    <row r="151" spans="1:9" ht="13.15">
      <c r="A151" s="13"/>
      <c r="B151" s="13"/>
      <c r="C151" s="13"/>
      <c r="D151" s="13"/>
      <c r="E151" s="13"/>
      <c r="F151" s="14"/>
      <c r="G151" s="13"/>
      <c r="H151" s="13"/>
      <c r="I151" s="14"/>
    </row>
    <row r="152" spans="1:9" ht="13.15">
      <c r="A152" s="13"/>
      <c r="B152" s="13"/>
      <c r="C152" s="13"/>
      <c r="D152" s="13"/>
      <c r="E152" s="13"/>
      <c r="F152" s="14"/>
      <c r="G152" s="13"/>
      <c r="H152" s="13"/>
      <c r="I152" s="14"/>
    </row>
    <row r="153" spans="1:9" ht="13.15">
      <c r="A153" s="13"/>
      <c r="B153" s="13"/>
      <c r="C153" s="13"/>
      <c r="D153" s="13"/>
      <c r="E153" s="13"/>
      <c r="F153" s="14"/>
      <c r="G153" s="13"/>
      <c r="H153" s="13"/>
      <c r="I153" s="14"/>
    </row>
    <row r="154" spans="1:9" ht="13.15">
      <c r="A154" s="13"/>
      <c r="B154" s="13"/>
      <c r="C154" s="13"/>
      <c r="D154" s="13"/>
      <c r="E154" s="13"/>
      <c r="F154" s="14"/>
      <c r="G154" s="13"/>
      <c r="H154" s="13"/>
      <c r="I154" s="14"/>
    </row>
    <row r="155" spans="1:9" ht="13.15">
      <c r="A155" s="13"/>
      <c r="B155" s="13"/>
      <c r="C155" s="13"/>
      <c r="D155" s="13"/>
      <c r="E155" s="13"/>
      <c r="F155" s="14"/>
      <c r="G155" s="13"/>
      <c r="H155" s="13"/>
      <c r="I155" s="14"/>
    </row>
    <row r="156" spans="1:9" ht="13.15">
      <c r="A156" s="13"/>
      <c r="B156" s="13"/>
      <c r="C156" s="13"/>
      <c r="D156" s="13"/>
      <c r="E156" s="13"/>
      <c r="F156" s="14"/>
      <c r="G156" s="13"/>
      <c r="H156" s="13"/>
      <c r="I156" s="14"/>
    </row>
    <row r="157" spans="1:9" ht="13.15">
      <c r="A157" s="13"/>
      <c r="B157" s="13"/>
      <c r="C157" s="13"/>
      <c r="D157" s="13"/>
      <c r="E157" s="13"/>
      <c r="F157" s="14"/>
      <c r="G157" s="13"/>
      <c r="H157" s="13"/>
      <c r="I157" s="14"/>
    </row>
    <row r="158" spans="1:9" ht="13.15">
      <c r="A158" s="13"/>
      <c r="B158" s="13"/>
      <c r="C158" s="13"/>
      <c r="D158" s="13"/>
      <c r="E158" s="13"/>
      <c r="F158" s="14"/>
      <c r="G158" s="13"/>
      <c r="H158" s="13"/>
      <c r="I158" s="14"/>
    </row>
    <row r="159" spans="1:9" ht="13.15">
      <c r="A159" s="13"/>
      <c r="B159" s="13"/>
      <c r="C159" s="13"/>
      <c r="D159" s="13"/>
      <c r="E159" s="13"/>
      <c r="F159" s="14"/>
      <c r="G159" s="13"/>
      <c r="H159" s="13"/>
      <c r="I159" s="14"/>
    </row>
    <row r="160" spans="1:9" ht="13.15">
      <c r="A160" s="13"/>
      <c r="B160" s="13"/>
      <c r="C160" s="13"/>
      <c r="D160" s="13"/>
      <c r="E160" s="13"/>
      <c r="F160" s="14"/>
      <c r="G160" s="13"/>
      <c r="H160" s="13"/>
      <c r="I160" s="14"/>
    </row>
    <row r="161" spans="1:9" ht="13.15">
      <c r="A161" s="13"/>
      <c r="B161" s="13"/>
      <c r="C161" s="13"/>
      <c r="D161" s="13"/>
      <c r="E161" s="13"/>
      <c r="F161" s="14"/>
      <c r="G161" s="13"/>
      <c r="H161" s="13"/>
      <c r="I161" s="14"/>
    </row>
    <row r="162" spans="1:9" ht="13.15">
      <c r="A162" s="13"/>
      <c r="B162" s="13"/>
      <c r="C162" s="13"/>
      <c r="D162" s="13"/>
      <c r="E162" s="13"/>
      <c r="F162" s="14"/>
      <c r="G162" s="13"/>
      <c r="H162" s="13"/>
      <c r="I162" s="14"/>
    </row>
    <row r="163" spans="1:9" ht="13.15">
      <c r="A163" s="13"/>
      <c r="B163" s="13"/>
      <c r="C163" s="13"/>
      <c r="D163" s="13"/>
      <c r="E163" s="13"/>
      <c r="F163" s="14"/>
      <c r="G163" s="13"/>
      <c r="H163" s="13"/>
      <c r="I163" s="14"/>
    </row>
    <row r="164" spans="1:9" ht="13.15">
      <c r="A164" s="13"/>
      <c r="B164" s="13"/>
      <c r="C164" s="13"/>
      <c r="D164" s="13"/>
      <c r="E164" s="13"/>
      <c r="F164" s="14"/>
      <c r="G164" s="13"/>
      <c r="H164" s="13"/>
      <c r="I164" s="14"/>
    </row>
    <row r="165" spans="1:9" ht="13.15">
      <c r="A165" s="13"/>
      <c r="B165" s="13"/>
      <c r="C165" s="13"/>
      <c r="D165" s="13"/>
      <c r="E165" s="13"/>
      <c r="F165" s="14"/>
      <c r="G165" s="13"/>
      <c r="H165" s="13"/>
      <c r="I165" s="14"/>
    </row>
    <row r="166" spans="1:9" ht="13.15">
      <c r="A166" s="13"/>
      <c r="B166" s="13"/>
      <c r="C166" s="13"/>
      <c r="D166" s="13"/>
      <c r="E166" s="13"/>
      <c r="F166" s="14"/>
      <c r="G166" s="13"/>
      <c r="H166" s="13"/>
      <c r="I166" s="14"/>
    </row>
    <row r="167" spans="1:9" ht="13.15">
      <c r="A167" s="13"/>
      <c r="B167" s="13"/>
      <c r="C167" s="13"/>
      <c r="D167" s="13"/>
      <c r="E167" s="13"/>
      <c r="F167" s="14"/>
      <c r="G167" s="13"/>
      <c r="H167" s="13"/>
      <c r="I167" s="14"/>
    </row>
    <row r="168" spans="1:9" ht="13.15">
      <c r="A168" s="13"/>
      <c r="B168" s="13"/>
      <c r="C168" s="13"/>
      <c r="D168" s="13"/>
      <c r="E168" s="13"/>
      <c r="F168" s="14"/>
      <c r="G168" s="13"/>
      <c r="H168" s="13"/>
      <c r="I168" s="14"/>
    </row>
    <row r="169" spans="1:9" ht="13.15">
      <c r="A169" s="13"/>
      <c r="B169" s="13"/>
      <c r="C169" s="13"/>
      <c r="D169" s="13"/>
      <c r="E169" s="13"/>
      <c r="F169" s="14"/>
      <c r="G169" s="13"/>
      <c r="H169" s="13"/>
      <c r="I169" s="14"/>
    </row>
    <row r="170" spans="1:9" ht="13.15">
      <c r="A170" s="13"/>
      <c r="B170" s="13"/>
      <c r="C170" s="13"/>
      <c r="D170" s="13"/>
      <c r="E170" s="13"/>
      <c r="F170" s="14"/>
      <c r="G170" s="13"/>
      <c r="H170" s="13"/>
      <c r="I170" s="14"/>
    </row>
    <row r="171" spans="1:9" ht="13.15">
      <c r="A171" s="13"/>
      <c r="B171" s="13"/>
      <c r="C171" s="13"/>
      <c r="D171" s="13"/>
      <c r="E171" s="13"/>
      <c r="F171" s="14"/>
      <c r="G171" s="13"/>
      <c r="H171" s="13"/>
      <c r="I171" s="14"/>
    </row>
    <row r="172" spans="1:9" ht="13.15">
      <c r="A172" s="13"/>
      <c r="B172" s="13"/>
      <c r="C172" s="13"/>
      <c r="D172" s="13"/>
      <c r="E172" s="13"/>
      <c r="F172" s="14"/>
      <c r="G172" s="13"/>
      <c r="H172" s="13"/>
      <c r="I172" s="14"/>
    </row>
    <row r="173" spans="1:9" ht="13.15">
      <c r="A173" s="13"/>
      <c r="B173" s="13"/>
      <c r="C173" s="13"/>
      <c r="D173" s="13"/>
      <c r="E173" s="13"/>
      <c r="F173" s="14"/>
      <c r="G173" s="13"/>
      <c r="H173" s="13"/>
      <c r="I173" s="14"/>
    </row>
    <row r="174" spans="1:9" ht="13.15">
      <c r="A174" s="13"/>
      <c r="B174" s="13"/>
      <c r="C174" s="13"/>
      <c r="D174" s="13"/>
      <c r="E174" s="13"/>
      <c r="F174" s="14"/>
      <c r="G174" s="13"/>
      <c r="H174" s="13"/>
      <c r="I174" s="14"/>
    </row>
    <row r="175" spans="1:9" ht="13.15">
      <c r="A175" s="13"/>
      <c r="B175" s="13"/>
      <c r="C175" s="13"/>
      <c r="D175" s="13"/>
      <c r="E175" s="13"/>
      <c r="F175" s="14"/>
      <c r="G175" s="13"/>
      <c r="H175" s="13"/>
      <c r="I175" s="14"/>
    </row>
    <row r="176" spans="1:9" ht="13.15">
      <c r="A176" s="13"/>
      <c r="B176" s="13"/>
      <c r="C176" s="13"/>
      <c r="D176" s="13"/>
      <c r="E176" s="13"/>
      <c r="F176" s="14"/>
      <c r="G176" s="13"/>
      <c r="H176" s="13"/>
      <c r="I176" s="14"/>
    </row>
    <row r="177" spans="1:9" ht="13.15">
      <c r="A177" s="13"/>
      <c r="B177" s="13"/>
      <c r="C177" s="13"/>
      <c r="D177" s="13"/>
      <c r="E177" s="13"/>
      <c r="F177" s="14"/>
      <c r="G177" s="13"/>
      <c r="H177" s="13"/>
      <c r="I177" s="14"/>
    </row>
    <row r="178" spans="1:9" ht="13.15">
      <c r="A178" s="13"/>
      <c r="B178" s="13"/>
      <c r="C178" s="13"/>
      <c r="D178" s="13"/>
      <c r="E178" s="13"/>
      <c r="F178" s="14"/>
      <c r="G178" s="13"/>
      <c r="H178" s="13"/>
      <c r="I178" s="14"/>
    </row>
    <row r="179" spans="1:9" ht="13.15">
      <c r="A179" s="13"/>
      <c r="B179" s="13"/>
      <c r="C179" s="13"/>
      <c r="D179" s="13"/>
      <c r="E179" s="13"/>
      <c r="F179" s="14"/>
      <c r="G179" s="13"/>
      <c r="H179" s="13"/>
      <c r="I179" s="14"/>
    </row>
    <row r="180" spans="1:9" ht="13.15">
      <c r="A180" s="13"/>
      <c r="B180" s="13"/>
      <c r="C180" s="13"/>
      <c r="D180" s="13"/>
      <c r="E180" s="13"/>
      <c r="F180" s="14"/>
      <c r="G180" s="13"/>
      <c r="H180" s="13"/>
      <c r="I180" s="14"/>
    </row>
    <row r="181" spans="1:9" ht="13.15">
      <c r="A181" s="13"/>
      <c r="B181" s="13"/>
      <c r="C181" s="13"/>
      <c r="D181" s="13"/>
      <c r="E181" s="13"/>
      <c r="F181" s="14"/>
      <c r="G181" s="13"/>
      <c r="H181" s="13"/>
      <c r="I181" s="14"/>
    </row>
    <row r="182" spans="1:9" ht="13.15">
      <c r="A182" s="13"/>
      <c r="B182" s="13"/>
      <c r="C182" s="13"/>
      <c r="D182" s="13"/>
      <c r="E182" s="13"/>
      <c r="F182" s="14"/>
      <c r="G182" s="13"/>
      <c r="H182" s="13"/>
      <c r="I182" s="14"/>
    </row>
    <row r="183" spans="1:9" ht="13.15">
      <c r="A183" s="13"/>
      <c r="B183" s="13"/>
      <c r="C183" s="13"/>
      <c r="D183" s="13"/>
      <c r="E183" s="13"/>
      <c r="F183" s="14"/>
      <c r="G183" s="13"/>
      <c r="H183" s="13"/>
      <c r="I183" s="14"/>
    </row>
    <row r="184" spans="1:9" ht="13.15">
      <c r="A184" s="13"/>
      <c r="B184" s="13"/>
      <c r="C184" s="13"/>
      <c r="D184" s="13"/>
      <c r="E184" s="13"/>
      <c r="F184" s="14"/>
      <c r="G184" s="13"/>
      <c r="H184" s="13"/>
      <c r="I184" s="14"/>
    </row>
    <row r="185" spans="1:9" ht="13.15">
      <c r="A185" s="13"/>
      <c r="B185" s="13"/>
      <c r="C185" s="13"/>
      <c r="D185" s="13"/>
      <c r="E185" s="13"/>
      <c r="F185" s="14"/>
      <c r="G185" s="13"/>
      <c r="H185" s="13"/>
      <c r="I185" s="14"/>
    </row>
    <row r="186" spans="1:9" ht="13.15">
      <c r="A186" s="13"/>
      <c r="B186" s="13"/>
      <c r="C186" s="13"/>
      <c r="D186" s="13"/>
      <c r="E186" s="13"/>
      <c r="F186" s="14"/>
      <c r="G186" s="13"/>
      <c r="H186" s="13"/>
      <c r="I186" s="14"/>
    </row>
    <row r="187" spans="1:9" ht="13.15">
      <c r="A187" s="13"/>
      <c r="B187" s="13"/>
      <c r="C187" s="13"/>
      <c r="D187" s="13"/>
      <c r="E187" s="13"/>
      <c r="F187" s="14"/>
      <c r="G187" s="13"/>
      <c r="H187" s="13"/>
      <c r="I187" s="14"/>
    </row>
    <row r="188" spans="1:9" ht="13.15">
      <c r="A188" s="13"/>
      <c r="B188" s="13"/>
      <c r="C188" s="13"/>
      <c r="D188" s="13"/>
      <c r="E188" s="13"/>
      <c r="F188" s="14"/>
      <c r="G188" s="13"/>
      <c r="H188" s="13"/>
      <c r="I188" s="14"/>
    </row>
    <row r="189" spans="1:9" ht="13.15">
      <c r="A189" s="13"/>
      <c r="B189" s="13"/>
      <c r="C189" s="13"/>
      <c r="D189" s="13"/>
      <c r="E189" s="13"/>
      <c r="F189" s="14"/>
      <c r="G189" s="13"/>
      <c r="H189" s="13"/>
      <c r="I189" s="14"/>
    </row>
    <row r="190" spans="1:9" ht="13.15">
      <c r="A190" s="13"/>
      <c r="B190" s="13"/>
      <c r="C190" s="13"/>
      <c r="D190" s="13"/>
      <c r="E190" s="13"/>
      <c r="F190" s="14"/>
      <c r="G190" s="13"/>
      <c r="H190" s="13"/>
      <c r="I190" s="14"/>
    </row>
    <row r="191" spans="1:9" ht="13.15">
      <c r="A191" s="13"/>
      <c r="B191" s="13"/>
      <c r="C191" s="13"/>
      <c r="D191" s="13"/>
      <c r="E191" s="13"/>
      <c r="F191" s="14"/>
      <c r="G191" s="13"/>
      <c r="H191" s="13"/>
      <c r="I191" s="14"/>
    </row>
    <row r="192" spans="1:9" ht="13.15">
      <c r="A192" s="13"/>
      <c r="B192" s="13"/>
      <c r="C192" s="13"/>
      <c r="D192" s="13"/>
      <c r="E192" s="13"/>
      <c r="F192" s="14"/>
      <c r="G192" s="13"/>
      <c r="H192" s="13"/>
      <c r="I192" s="14"/>
    </row>
    <row r="193" spans="1:9" ht="13.15">
      <c r="A193" s="13"/>
      <c r="B193" s="13"/>
      <c r="C193" s="13"/>
      <c r="D193" s="13"/>
      <c r="E193" s="13"/>
      <c r="F193" s="14"/>
      <c r="G193" s="13"/>
      <c r="H193" s="13"/>
      <c r="I193" s="14"/>
    </row>
    <row r="194" spans="1:9" ht="13.15">
      <c r="A194" s="13"/>
      <c r="B194" s="13"/>
      <c r="C194" s="13"/>
      <c r="D194" s="13"/>
      <c r="E194" s="13"/>
      <c r="F194" s="14"/>
      <c r="G194" s="13"/>
      <c r="H194" s="13"/>
      <c r="I194" s="14"/>
    </row>
    <row r="195" spans="1:9" ht="13.15">
      <c r="A195" s="13"/>
      <c r="B195" s="13"/>
      <c r="C195" s="13"/>
      <c r="D195" s="13"/>
      <c r="E195" s="13"/>
      <c r="F195" s="14"/>
      <c r="G195" s="13"/>
      <c r="H195" s="13"/>
      <c r="I195" s="14"/>
    </row>
    <row r="196" spans="1:9" ht="13.15">
      <c r="A196" s="13"/>
      <c r="B196" s="13"/>
      <c r="C196" s="13"/>
      <c r="D196" s="13"/>
      <c r="E196" s="13"/>
      <c r="F196" s="14"/>
      <c r="G196" s="13"/>
      <c r="H196" s="13"/>
      <c r="I196" s="14"/>
    </row>
    <row r="197" spans="1:9" ht="13.15">
      <c r="A197" s="13"/>
      <c r="B197" s="13"/>
      <c r="C197" s="13"/>
      <c r="D197" s="13"/>
      <c r="E197" s="13"/>
      <c r="F197" s="14"/>
      <c r="G197" s="13"/>
      <c r="H197" s="13"/>
      <c r="I197" s="14"/>
    </row>
    <row r="198" spans="1:9" ht="13.15">
      <c r="A198" s="13"/>
      <c r="B198" s="13"/>
      <c r="C198" s="13"/>
      <c r="D198" s="13"/>
      <c r="E198" s="13"/>
      <c r="F198" s="14"/>
      <c r="G198" s="13"/>
      <c r="H198" s="13"/>
      <c r="I198" s="14"/>
    </row>
    <row r="199" spans="1:9" ht="13.15">
      <c r="A199" s="13"/>
      <c r="B199" s="13"/>
      <c r="C199" s="13"/>
      <c r="D199" s="13"/>
      <c r="E199" s="13"/>
      <c r="F199" s="14"/>
      <c r="G199" s="13"/>
      <c r="H199" s="13"/>
      <c r="I199" s="14"/>
    </row>
    <row r="200" spans="1:9" ht="13.15">
      <c r="A200" s="13"/>
      <c r="B200" s="13"/>
      <c r="C200" s="13"/>
      <c r="D200" s="13"/>
      <c r="E200" s="13"/>
      <c r="F200" s="14"/>
      <c r="G200" s="13"/>
      <c r="H200" s="13"/>
      <c r="I200" s="14"/>
    </row>
    <row r="201" spans="1:9" ht="13.15">
      <c r="A201" s="13"/>
      <c r="B201" s="13"/>
      <c r="C201" s="13"/>
      <c r="D201" s="13"/>
      <c r="E201" s="13"/>
      <c r="F201" s="14"/>
      <c r="G201" s="13"/>
      <c r="H201" s="13"/>
      <c r="I201" s="14"/>
    </row>
    <row r="202" spans="1:9" ht="13.15">
      <c r="A202" s="13"/>
      <c r="B202" s="13"/>
      <c r="C202" s="13"/>
      <c r="D202" s="13"/>
      <c r="E202" s="13"/>
      <c r="F202" s="14"/>
      <c r="G202" s="13"/>
      <c r="H202" s="13"/>
      <c r="I202" s="14"/>
    </row>
    <row r="203" spans="1:9" ht="13.15">
      <c r="A203" s="13"/>
      <c r="B203" s="13"/>
      <c r="C203" s="13"/>
      <c r="D203" s="13"/>
      <c r="E203" s="13"/>
      <c r="F203" s="14"/>
      <c r="G203" s="13"/>
      <c r="H203" s="13"/>
      <c r="I203" s="14"/>
    </row>
    <row r="204" spans="1:9" ht="13.15">
      <c r="A204" s="13"/>
      <c r="B204" s="13"/>
      <c r="C204" s="13"/>
      <c r="D204" s="13"/>
      <c r="E204" s="13"/>
      <c r="F204" s="14"/>
      <c r="G204" s="13"/>
      <c r="H204" s="13"/>
      <c r="I204" s="14"/>
    </row>
    <row r="205" spans="1:9" ht="13.15">
      <c r="A205" s="13"/>
      <c r="B205" s="13"/>
      <c r="C205" s="13"/>
      <c r="D205" s="13"/>
      <c r="E205" s="13"/>
      <c r="F205" s="14"/>
      <c r="G205" s="13"/>
      <c r="H205" s="13"/>
      <c r="I205" s="14"/>
    </row>
    <row r="206" spans="1:9" ht="13.15">
      <c r="A206" s="13"/>
      <c r="B206" s="13"/>
      <c r="C206" s="13"/>
      <c r="D206" s="13"/>
      <c r="E206" s="13"/>
      <c r="F206" s="14"/>
      <c r="G206" s="13"/>
      <c r="H206" s="13"/>
      <c r="I206" s="14"/>
    </row>
    <row r="207" spans="1:9" ht="13.15">
      <c r="A207" s="13"/>
      <c r="B207" s="13"/>
      <c r="C207" s="13"/>
      <c r="D207" s="13"/>
      <c r="E207" s="13"/>
      <c r="F207" s="14"/>
      <c r="G207" s="13"/>
      <c r="H207" s="13"/>
      <c r="I207" s="14"/>
    </row>
    <row r="208" spans="1:9" ht="13.15">
      <c r="A208" s="13"/>
      <c r="B208" s="13"/>
      <c r="C208" s="13"/>
      <c r="D208" s="13"/>
      <c r="E208" s="13"/>
      <c r="F208" s="14"/>
      <c r="G208" s="13"/>
      <c r="H208" s="13"/>
      <c r="I208" s="14"/>
    </row>
    <row r="209" spans="1:9" ht="13.15">
      <c r="A209" s="13"/>
      <c r="B209" s="13"/>
      <c r="C209" s="13"/>
      <c r="D209" s="13"/>
      <c r="E209" s="13"/>
      <c r="F209" s="14"/>
      <c r="G209" s="13"/>
      <c r="H209" s="13"/>
      <c r="I209" s="14"/>
    </row>
    <row r="210" spans="1:9" ht="13.15">
      <c r="A210" s="13"/>
      <c r="B210" s="13"/>
      <c r="C210" s="13"/>
      <c r="D210" s="13"/>
      <c r="E210" s="13"/>
      <c r="F210" s="14"/>
      <c r="G210" s="13"/>
      <c r="H210" s="13"/>
      <c r="I210" s="14"/>
    </row>
    <row r="211" spans="1:9" ht="13.15">
      <c r="A211" s="13"/>
      <c r="B211" s="13"/>
      <c r="C211" s="13"/>
      <c r="D211" s="13"/>
      <c r="E211" s="13"/>
      <c r="F211" s="14"/>
      <c r="G211" s="13"/>
      <c r="H211" s="13"/>
      <c r="I211" s="14"/>
    </row>
    <row r="212" spans="1:9" ht="13.15">
      <c r="A212" s="13"/>
      <c r="B212" s="13"/>
      <c r="C212" s="13"/>
      <c r="D212" s="13"/>
      <c r="E212" s="13"/>
      <c r="F212" s="14"/>
      <c r="G212" s="13"/>
      <c r="H212" s="13"/>
      <c r="I212" s="14"/>
    </row>
    <row r="213" spans="1:9" ht="13.15">
      <c r="A213" s="13"/>
      <c r="B213" s="13"/>
      <c r="C213" s="13"/>
      <c r="D213" s="13"/>
      <c r="E213" s="13"/>
      <c r="F213" s="14"/>
      <c r="G213" s="13"/>
      <c r="H213" s="13"/>
      <c r="I213" s="14"/>
    </row>
    <row r="214" spans="1:9" ht="13.15">
      <c r="A214" s="13"/>
      <c r="B214" s="13"/>
      <c r="C214" s="13"/>
      <c r="D214" s="13"/>
      <c r="E214" s="13"/>
      <c r="F214" s="14"/>
      <c r="G214" s="13"/>
      <c r="H214" s="13"/>
      <c r="I214" s="14"/>
    </row>
    <row r="215" spans="1:9" ht="13.15">
      <c r="A215" s="13"/>
      <c r="B215" s="13"/>
      <c r="C215" s="13"/>
      <c r="D215" s="13"/>
      <c r="E215" s="13"/>
      <c r="F215" s="14"/>
      <c r="G215" s="13"/>
      <c r="H215" s="13"/>
      <c r="I215" s="14"/>
    </row>
    <row r="216" spans="1:9" ht="13.15">
      <c r="A216" s="13"/>
      <c r="B216" s="13"/>
      <c r="C216" s="13"/>
      <c r="D216" s="13"/>
      <c r="E216" s="13"/>
      <c r="F216" s="14"/>
      <c r="G216" s="13"/>
      <c r="H216" s="13"/>
      <c r="I216" s="14"/>
    </row>
    <row r="217" spans="1:9" ht="13.15">
      <c r="A217" s="13"/>
      <c r="B217" s="13"/>
      <c r="C217" s="13"/>
      <c r="D217" s="13"/>
      <c r="E217" s="13"/>
      <c r="F217" s="14"/>
      <c r="G217" s="13"/>
      <c r="H217" s="13"/>
      <c r="I217" s="14"/>
    </row>
    <row r="218" spans="1:9" ht="13.15">
      <c r="A218" s="13"/>
      <c r="B218" s="13"/>
      <c r="C218" s="13"/>
      <c r="D218" s="13"/>
      <c r="E218" s="13"/>
      <c r="F218" s="14"/>
      <c r="G218" s="13"/>
      <c r="H218" s="13"/>
      <c r="I218" s="14"/>
    </row>
    <row r="219" spans="1:9" ht="13.15">
      <c r="A219" s="13"/>
      <c r="B219" s="13"/>
      <c r="C219" s="13"/>
      <c r="D219" s="13"/>
      <c r="E219" s="13"/>
      <c r="F219" s="14"/>
      <c r="G219" s="13"/>
      <c r="H219" s="13"/>
      <c r="I219" s="14"/>
    </row>
    <row r="220" spans="1:9" ht="13.15">
      <c r="A220" s="13"/>
      <c r="B220" s="13"/>
      <c r="C220" s="13"/>
      <c r="D220" s="13"/>
      <c r="E220" s="13"/>
      <c r="F220" s="14"/>
      <c r="G220" s="13"/>
      <c r="H220" s="13"/>
      <c r="I220" s="14"/>
    </row>
    <row r="221" spans="1:9" ht="13.15">
      <c r="A221" s="13"/>
      <c r="B221" s="13"/>
      <c r="C221" s="13"/>
      <c r="D221" s="13"/>
      <c r="E221" s="13"/>
      <c r="F221" s="14"/>
      <c r="G221" s="13"/>
      <c r="H221" s="13"/>
      <c r="I221" s="14"/>
    </row>
    <row r="222" spans="1:9" ht="13.15">
      <c r="A222" s="13"/>
      <c r="B222" s="13"/>
      <c r="C222" s="13"/>
      <c r="D222" s="13"/>
      <c r="E222" s="13"/>
      <c r="F222" s="14"/>
      <c r="G222" s="13"/>
      <c r="H222" s="13"/>
      <c r="I222" s="14"/>
    </row>
    <row r="223" spans="1:9" ht="13.15">
      <c r="A223" s="13"/>
      <c r="B223" s="13"/>
      <c r="C223" s="13"/>
      <c r="D223" s="13"/>
      <c r="E223" s="13"/>
      <c r="F223" s="14"/>
      <c r="G223" s="13"/>
      <c r="H223" s="13"/>
      <c r="I223" s="14"/>
    </row>
    <row r="224" spans="1:9" ht="13.15">
      <c r="A224" s="13"/>
      <c r="B224" s="13"/>
      <c r="C224" s="13"/>
      <c r="D224" s="13"/>
      <c r="E224" s="13"/>
      <c r="F224" s="14"/>
      <c r="G224" s="13"/>
      <c r="H224" s="13"/>
      <c r="I224" s="14"/>
    </row>
    <row r="225" spans="1:9" ht="13.15">
      <c r="A225" s="13"/>
      <c r="B225" s="13"/>
      <c r="C225" s="13"/>
      <c r="D225" s="13"/>
      <c r="E225" s="13"/>
      <c r="F225" s="14"/>
      <c r="G225" s="13"/>
      <c r="H225" s="13"/>
      <c r="I225" s="14"/>
    </row>
    <row r="226" spans="1:9" ht="13.15">
      <c r="A226" s="13"/>
      <c r="B226" s="13"/>
      <c r="C226" s="13"/>
      <c r="D226" s="13"/>
      <c r="E226" s="13"/>
      <c r="F226" s="14"/>
      <c r="G226" s="13"/>
      <c r="H226" s="13"/>
      <c r="I226" s="14"/>
    </row>
    <row r="227" spans="1:9" ht="13.15">
      <c r="A227" s="13"/>
      <c r="B227" s="13"/>
      <c r="C227" s="13"/>
      <c r="D227" s="13"/>
      <c r="E227" s="13"/>
      <c r="F227" s="14"/>
      <c r="G227" s="13"/>
      <c r="H227" s="13"/>
      <c r="I227" s="14"/>
    </row>
    <row r="228" spans="1:9" ht="13.15">
      <c r="A228" s="13"/>
      <c r="B228" s="13"/>
      <c r="C228" s="13"/>
      <c r="D228" s="13"/>
      <c r="E228" s="13"/>
      <c r="F228" s="14"/>
      <c r="G228" s="13"/>
      <c r="H228" s="13"/>
      <c r="I228" s="14"/>
    </row>
    <row r="229" spans="1:9" ht="13.15">
      <c r="A229" s="13"/>
      <c r="B229" s="13"/>
      <c r="C229" s="13"/>
      <c r="D229" s="13"/>
      <c r="E229" s="13"/>
      <c r="F229" s="14"/>
      <c r="G229" s="13"/>
      <c r="H229" s="13"/>
      <c r="I229" s="14"/>
    </row>
    <row r="230" spans="1:9" ht="13.15">
      <c r="A230" s="13"/>
      <c r="B230" s="13"/>
      <c r="C230" s="13"/>
      <c r="D230" s="13"/>
      <c r="E230" s="13"/>
      <c r="F230" s="14"/>
      <c r="G230" s="13"/>
      <c r="H230" s="13"/>
      <c r="I230" s="14"/>
    </row>
    <row r="231" spans="1:9" ht="13.15">
      <c r="A231" s="13"/>
      <c r="B231" s="13"/>
      <c r="C231" s="13"/>
      <c r="D231" s="13"/>
      <c r="E231" s="13"/>
      <c r="F231" s="14"/>
      <c r="G231" s="13"/>
      <c r="H231" s="13"/>
      <c r="I231" s="14"/>
    </row>
    <row r="232" spans="1:9" ht="13.15">
      <c r="A232" s="13"/>
      <c r="B232" s="13"/>
      <c r="C232" s="13"/>
      <c r="D232" s="13"/>
      <c r="E232" s="13"/>
      <c r="F232" s="14"/>
      <c r="G232" s="13"/>
      <c r="H232" s="13"/>
      <c r="I232" s="14"/>
    </row>
    <row r="233" spans="1:9" ht="13.15">
      <c r="A233" s="13"/>
      <c r="B233" s="13"/>
      <c r="C233" s="13"/>
      <c r="D233" s="13"/>
      <c r="E233" s="13"/>
      <c r="F233" s="14"/>
      <c r="G233" s="13"/>
      <c r="H233" s="13"/>
      <c r="I233" s="14"/>
    </row>
    <row r="234" spans="1:9" ht="13.15">
      <c r="A234" s="13"/>
      <c r="B234" s="13"/>
      <c r="C234" s="13"/>
      <c r="D234" s="13"/>
      <c r="E234" s="13"/>
      <c r="F234" s="14"/>
      <c r="G234" s="13"/>
      <c r="H234" s="13"/>
      <c r="I234" s="14"/>
    </row>
    <row r="235" spans="1:9" ht="13.15">
      <c r="A235" s="13"/>
      <c r="B235" s="13"/>
      <c r="C235" s="13"/>
      <c r="D235" s="13"/>
      <c r="E235" s="13"/>
      <c r="F235" s="14"/>
      <c r="G235" s="13"/>
      <c r="H235" s="13"/>
      <c r="I235" s="14"/>
    </row>
    <row r="236" spans="1:9" ht="13.15">
      <c r="A236" s="13"/>
      <c r="B236" s="13"/>
      <c r="C236" s="13"/>
      <c r="D236" s="13"/>
      <c r="E236" s="13"/>
      <c r="F236" s="14"/>
      <c r="G236" s="13"/>
      <c r="H236" s="13"/>
      <c r="I236" s="14"/>
    </row>
    <row r="237" spans="1:9" ht="13.15">
      <c r="A237" s="13"/>
      <c r="B237" s="13"/>
      <c r="C237" s="13"/>
      <c r="D237" s="13"/>
      <c r="E237" s="13"/>
      <c r="F237" s="14"/>
      <c r="G237" s="13"/>
      <c r="H237" s="13"/>
      <c r="I237" s="14"/>
    </row>
    <row r="238" spans="1:9" ht="13.15">
      <c r="A238" s="13"/>
      <c r="B238" s="13"/>
      <c r="C238" s="13"/>
      <c r="D238" s="13"/>
      <c r="E238" s="13"/>
      <c r="F238" s="14"/>
      <c r="G238" s="13"/>
      <c r="H238" s="13"/>
      <c r="I238" s="14"/>
    </row>
    <row r="239" spans="1:9" ht="13.15">
      <c r="A239" s="13"/>
      <c r="B239" s="13"/>
      <c r="C239" s="13"/>
      <c r="D239" s="13"/>
      <c r="E239" s="13"/>
      <c r="F239" s="14"/>
      <c r="G239" s="13"/>
      <c r="H239" s="13"/>
      <c r="I239" s="14"/>
    </row>
    <row r="240" spans="1:9" ht="13.15">
      <c r="A240" s="13"/>
      <c r="B240" s="13"/>
      <c r="C240" s="13"/>
      <c r="D240" s="13"/>
      <c r="E240" s="13"/>
      <c r="F240" s="14"/>
      <c r="G240" s="13"/>
      <c r="H240" s="13"/>
      <c r="I240" s="14"/>
    </row>
    <row r="241" spans="1:9" ht="13.15">
      <c r="A241" s="13"/>
      <c r="B241" s="13"/>
      <c r="C241" s="13"/>
      <c r="D241" s="13"/>
      <c r="E241" s="13"/>
      <c r="F241" s="14"/>
      <c r="G241" s="13"/>
      <c r="H241" s="13"/>
      <c r="I241" s="14"/>
    </row>
    <row r="242" spans="1:9" ht="13.15">
      <c r="A242" s="13"/>
      <c r="B242" s="13"/>
      <c r="C242" s="13"/>
      <c r="D242" s="13"/>
      <c r="E242" s="13"/>
      <c r="F242" s="14"/>
      <c r="G242" s="13"/>
      <c r="H242" s="13"/>
      <c r="I242" s="14"/>
    </row>
    <row r="243" spans="1:9" ht="13.15">
      <c r="A243" s="13"/>
      <c r="B243" s="13"/>
      <c r="C243" s="13"/>
      <c r="D243" s="13"/>
      <c r="E243" s="13"/>
      <c r="F243" s="14"/>
      <c r="G243" s="13"/>
      <c r="H243" s="13"/>
      <c r="I243" s="14"/>
    </row>
    <row r="244" spans="1:9" ht="13.15">
      <c r="A244" s="13"/>
      <c r="B244" s="13"/>
      <c r="C244" s="13"/>
      <c r="D244" s="13"/>
      <c r="E244" s="13"/>
      <c r="F244" s="14"/>
      <c r="G244" s="13"/>
      <c r="H244" s="13"/>
      <c r="I244" s="14"/>
    </row>
    <row r="245" spans="1:9" ht="13.15">
      <c r="A245" s="13"/>
      <c r="B245" s="13"/>
      <c r="C245" s="13"/>
      <c r="D245" s="13"/>
      <c r="E245" s="13"/>
      <c r="F245" s="14"/>
      <c r="G245" s="13"/>
      <c r="H245" s="13"/>
      <c r="I245" s="14"/>
    </row>
    <row r="246" spans="1:9" ht="13.15">
      <c r="A246" s="13"/>
      <c r="B246" s="13"/>
      <c r="C246" s="13"/>
      <c r="D246" s="13"/>
      <c r="E246" s="13"/>
      <c r="F246" s="14"/>
      <c r="G246" s="13"/>
      <c r="H246" s="13"/>
      <c r="I246" s="14"/>
    </row>
    <row r="247" spans="1:9" ht="13.15">
      <c r="A247" s="13"/>
      <c r="B247" s="13"/>
      <c r="C247" s="13"/>
      <c r="D247" s="13"/>
      <c r="E247" s="13"/>
      <c r="F247" s="14"/>
      <c r="G247" s="13"/>
      <c r="H247" s="13"/>
      <c r="I247" s="14"/>
    </row>
    <row r="248" spans="1:9" ht="13.15">
      <c r="A248" s="13"/>
      <c r="B248" s="13"/>
      <c r="C248" s="13"/>
      <c r="D248" s="13"/>
      <c r="E248" s="13"/>
      <c r="F248" s="14"/>
      <c r="G248" s="13"/>
      <c r="H248" s="13"/>
      <c r="I248" s="14"/>
    </row>
    <row r="249" spans="1:9" ht="13.15">
      <c r="A249" s="13"/>
      <c r="B249" s="13"/>
      <c r="C249" s="13"/>
      <c r="D249" s="13"/>
      <c r="E249" s="13"/>
      <c r="F249" s="14"/>
      <c r="G249" s="13"/>
      <c r="H249" s="13"/>
      <c r="I249" s="14"/>
    </row>
    <row r="250" spans="1:9" ht="13.15">
      <c r="A250" s="13"/>
      <c r="B250" s="13"/>
      <c r="C250" s="13"/>
      <c r="D250" s="13"/>
      <c r="E250" s="13"/>
      <c r="F250" s="14"/>
      <c r="G250" s="13"/>
      <c r="H250" s="13"/>
      <c r="I250" s="14"/>
    </row>
    <row r="251" spans="1:9" ht="13.15">
      <c r="A251" s="13"/>
      <c r="B251" s="13"/>
      <c r="C251" s="13"/>
      <c r="D251" s="13"/>
      <c r="E251" s="13"/>
      <c r="F251" s="14"/>
      <c r="G251" s="13"/>
      <c r="H251" s="13"/>
      <c r="I251" s="14"/>
    </row>
    <row r="252" spans="1:9" ht="13.15">
      <c r="A252" s="13"/>
      <c r="B252" s="13"/>
      <c r="C252" s="13"/>
      <c r="D252" s="13"/>
      <c r="E252" s="13"/>
      <c r="F252" s="14"/>
      <c r="G252" s="13"/>
      <c r="H252" s="13"/>
      <c r="I252" s="14"/>
    </row>
    <row r="253" spans="1:9" ht="13.15">
      <c r="A253" s="13"/>
      <c r="B253" s="13"/>
      <c r="C253" s="13"/>
      <c r="D253" s="13"/>
      <c r="E253" s="13"/>
      <c r="F253" s="14"/>
      <c r="G253" s="13"/>
      <c r="H253" s="13"/>
      <c r="I253" s="14"/>
    </row>
    <row r="254" spans="1:9" ht="13.15">
      <c r="A254" s="13"/>
      <c r="B254" s="13"/>
      <c r="C254" s="13"/>
      <c r="D254" s="13"/>
      <c r="E254" s="13"/>
      <c r="F254" s="14"/>
      <c r="G254" s="13"/>
      <c r="H254" s="13"/>
      <c r="I254" s="14"/>
    </row>
    <row r="255" spans="1:9" ht="13.15">
      <c r="A255" s="13"/>
      <c r="B255" s="13"/>
      <c r="C255" s="13"/>
      <c r="D255" s="13"/>
      <c r="E255" s="13"/>
      <c r="F255" s="14"/>
      <c r="G255" s="13"/>
      <c r="H255" s="13"/>
      <c r="I255" s="14"/>
    </row>
    <row r="256" spans="1:9" ht="13.15">
      <c r="A256" s="13"/>
      <c r="B256" s="13"/>
      <c r="C256" s="13"/>
      <c r="D256" s="13"/>
      <c r="E256" s="13"/>
      <c r="F256" s="14"/>
      <c r="G256" s="13"/>
      <c r="H256" s="13"/>
      <c r="I256" s="14"/>
    </row>
    <row r="257" spans="1:9" ht="13.15">
      <c r="A257" s="13"/>
      <c r="B257" s="13"/>
      <c r="C257" s="13"/>
      <c r="D257" s="13"/>
      <c r="E257" s="13"/>
      <c r="F257" s="14"/>
      <c r="G257" s="13"/>
      <c r="H257" s="13"/>
      <c r="I257" s="14"/>
    </row>
    <row r="258" spans="1:9" ht="13.15">
      <c r="A258" s="13"/>
      <c r="B258" s="13"/>
      <c r="C258" s="13"/>
      <c r="D258" s="13"/>
      <c r="E258" s="13"/>
      <c r="F258" s="14"/>
      <c r="G258" s="13"/>
      <c r="H258" s="13"/>
      <c r="I258" s="14"/>
    </row>
    <row r="259" spans="1:9" ht="13.15">
      <c r="A259" s="13"/>
      <c r="B259" s="13"/>
      <c r="C259" s="13"/>
      <c r="D259" s="13"/>
      <c r="E259" s="13"/>
      <c r="F259" s="14"/>
      <c r="G259" s="13"/>
      <c r="H259" s="13"/>
      <c r="I259" s="14"/>
    </row>
    <row r="260" spans="1:9" ht="13.15">
      <c r="A260" s="13"/>
      <c r="B260" s="13"/>
      <c r="C260" s="13"/>
      <c r="D260" s="13"/>
      <c r="E260" s="13"/>
      <c r="F260" s="14"/>
      <c r="G260" s="13"/>
      <c r="H260" s="13"/>
      <c r="I260" s="14"/>
    </row>
    <row r="261" spans="1:9" ht="13.15">
      <c r="A261" s="13"/>
      <c r="B261" s="13"/>
      <c r="C261" s="13"/>
      <c r="D261" s="13"/>
      <c r="E261" s="13"/>
      <c r="F261" s="14"/>
      <c r="G261" s="13"/>
      <c r="H261" s="13"/>
      <c r="I261" s="14"/>
    </row>
    <row r="262" spans="1:9" ht="13.15">
      <c r="A262" s="13"/>
      <c r="B262" s="13"/>
      <c r="C262" s="13"/>
      <c r="D262" s="13"/>
      <c r="E262" s="13"/>
      <c r="F262" s="14"/>
      <c r="G262" s="13"/>
      <c r="H262" s="13"/>
      <c r="I262" s="14"/>
    </row>
    <row r="263" spans="1:9" ht="13.15">
      <c r="A263" s="13"/>
      <c r="B263" s="13"/>
      <c r="C263" s="13"/>
      <c r="D263" s="13"/>
      <c r="E263" s="13"/>
      <c r="F263" s="14"/>
      <c r="G263" s="13"/>
      <c r="H263" s="13"/>
      <c r="I263" s="14"/>
    </row>
    <row r="264" spans="1:9" ht="13.15">
      <c r="A264" s="13"/>
      <c r="B264" s="13"/>
      <c r="C264" s="13"/>
      <c r="D264" s="13"/>
      <c r="E264" s="13"/>
      <c r="F264" s="14"/>
      <c r="G264" s="13"/>
      <c r="H264" s="13"/>
      <c r="I264" s="14"/>
    </row>
    <row r="265" spans="1:9" ht="13.15">
      <c r="A265" s="13"/>
      <c r="B265" s="13"/>
      <c r="C265" s="13"/>
      <c r="D265" s="13"/>
      <c r="E265" s="13"/>
      <c r="F265" s="14"/>
      <c r="G265" s="13"/>
      <c r="H265" s="13"/>
      <c r="I265" s="14"/>
    </row>
    <row r="266" spans="1:9" ht="13.15">
      <c r="A266" s="13"/>
      <c r="B266" s="13"/>
      <c r="C266" s="13"/>
      <c r="D266" s="13"/>
      <c r="E266" s="13"/>
      <c r="F266" s="14"/>
      <c r="G266" s="13"/>
      <c r="H266" s="13"/>
      <c r="I266" s="14"/>
    </row>
    <row r="267" spans="1:9" ht="13.15">
      <c r="A267" s="13"/>
      <c r="B267" s="13"/>
      <c r="C267" s="13"/>
      <c r="D267" s="13"/>
      <c r="E267" s="13"/>
      <c r="F267" s="14"/>
      <c r="G267" s="13"/>
      <c r="H267" s="13"/>
      <c r="I267" s="14"/>
    </row>
    <row r="268" spans="1:9" ht="13.15">
      <c r="A268" s="13"/>
      <c r="B268" s="13"/>
      <c r="C268" s="13"/>
      <c r="D268" s="13"/>
      <c r="E268" s="13"/>
      <c r="F268" s="14"/>
      <c r="G268" s="13"/>
      <c r="H268" s="13"/>
      <c r="I268" s="14"/>
    </row>
    <row r="269" spans="1:9" ht="13.15">
      <c r="A269" s="13"/>
      <c r="B269" s="13"/>
      <c r="C269" s="13"/>
      <c r="D269" s="13"/>
      <c r="E269" s="13"/>
      <c r="F269" s="14"/>
      <c r="G269" s="13"/>
      <c r="H269" s="13"/>
      <c r="I269" s="14"/>
    </row>
    <row r="270" spans="1:9" ht="13.15">
      <c r="A270" s="13"/>
      <c r="B270" s="13"/>
      <c r="C270" s="13"/>
      <c r="D270" s="13"/>
      <c r="E270" s="13"/>
      <c r="F270" s="14"/>
      <c r="G270" s="13"/>
      <c r="H270" s="13"/>
      <c r="I270" s="14"/>
    </row>
    <row r="271" spans="1:9" ht="13.15">
      <c r="A271" s="13"/>
      <c r="B271" s="13"/>
      <c r="C271" s="13"/>
      <c r="D271" s="13"/>
      <c r="E271" s="13"/>
      <c r="F271" s="14"/>
      <c r="G271" s="13"/>
      <c r="H271" s="13"/>
      <c r="I271" s="14"/>
    </row>
    <row r="272" spans="1:9" ht="13.15">
      <c r="A272" s="13"/>
      <c r="B272" s="13"/>
      <c r="C272" s="13"/>
      <c r="D272" s="13"/>
      <c r="E272" s="13"/>
      <c r="F272" s="14"/>
      <c r="G272" s="13"/>
      <c r="H272" s="13"/>
      <c r="I272" s="14"/>
    </row>
    <row r="273" spans="1:9" ht="13.15">
      <c r="A273" s="13"/>
      <c r="B273" s="13"/>
      <c r="C273" s="13"/>
      <c r="D273" s="13"/>
      <c r="E273" s="13"/>
      <c r="F273" s="14"/>
      <c r="G273" s="13"/>
      <c r="H273" s="13"/>
      <c r="I273" s="14"/>
    </row>
    <row r="274" spans="1:9" ht="13.15">
      <c r="A274" s="13"/>
      <c r="B274" s="13"/>
      <c r="C274" s="13"/>
      <c r="D274" s="13"/>
      <c r="E274" s="13"/>
      <c r="F274" s="14"/>
      <c r="G274" s="13"/>
      <c r="H274" s="13"/>
      <c r="I274" s="14"/>
    </row>
    <row r="275" spans="1:9" ht="13.15">
      <c r="A275" s="13"/>
      <c r="B275" s="13"/>
      <c r="C275" s="13"/>
      <c r="D275" s="13"/>
      <c r="E275" s="13"/>
      <c r="F275" s="14"/>
      <c r="G275" s="13"/>
      <c r="H275" s="13"/>
      <c r="I275" s="14"/>
    </row>
    <row r="276" spans="1:9" ht="13.15">
      <c r="A276" s="13"/>
      <c r="B276" s="13"/>
      <c r="C276" s="13"/>
      <c r="D276" s="13"/>
      <c r="E276" s="13"/>
      <c r="F276" s="14"/>
      <c r="G276" s="13"/>
      <c r="H276" s="13"/>
      <c r="I276" s="14"/>
    </row>
    <row r="277" spans="1:9" ht="13.15">
      <c r="A277" s="13"/>
      <c r="B277" s="13"/>
      <c r="C277" s="13"/>
      <c r="D277" s="13"/>
      <c r="E277" s="13"/>
      <c r="F277" s="14"/>
      <c r="G277" s="13"/>
      <c r="H277" s="13"/>
      <c r="I277" s="14"/>
    </row>
    <row r="278" spans="1:9" ht="13.15">
      <c r="A278" s="13"/>
      <c r="B278" s="13"/>
      <c r="C278" s="13"/>
      <c r="D278" s="13"/>
      <c r="E278" s="13"/>
      <c r="F278" s="14"/>
      <c r="G278" s="13"/>
      <c r="H278" s="13"/>
      <c r="I278" s="14"/>
    </row>
    <row r="279" spans="1:9" ht="13.15">
      <c r="A279" s="13"/>
      <c r="B279" s="13"/>
      <c r="C279" s="13"/>
      <c r="D279" s="13"/>
      <c r="E279" s="13"/>
      <c r="F279" s="14"/>
      <c r="G279" s="13"/>
      <c r="H279" s="13"/>
      <c r="I279" s="14"/>
    </row>
    <row r="280" spans="1:9" ht="13.15">
      <c r="A280" s="13"/>
      <c r="B280" s="13"/>
      <c r="C280" s="13"/>
      <c r="D280" s="13"/>
      <c r="E280" s="13"/>
      <c r="F280" s="14"/>
      <c r="G280" s="13"/>
      <c r="H280" s="13"/>
      <c r="I280" s="14"/>
    </row>
    <row r="281" spans="1:9" ht="13.15">
      <c r="A281" s="13"/>
      <c r="B281" s="13"/>
      <c r="C281" s="13"/>
      <c r="D281" s="13"/>
      <c r="E281" s="13"/>
      <c r="F281" s="14"/>
      <c r="G281" s="13"/>
      <c r="H281" s="13"/>
      <c r="I281" s="14"/>
    </row>
    <row r="282" spans="1:9" ht="13.15">
      <c r="A282" s="13"/>
      <c r="B282" s="13"/>
      <c r="C282" s="13"/>
      <c r="D282" s="13"/>
      <c r="E282" s="13"/>
      <c r="F282" s="14"/>
      <c r="G282" s="13"/>
      <c r="H282" s="13"/>
      <c r="I282" s="14"/>
    </row>
    <row r="283" spans="1:9" ht="13.15">
      <c r="A283" s="13"/>
      <c r="B283" s="13"/>
      <c r="C283" s="13"/>
      <c r="D283" s="13"/>
      <c r="E283" s="13"/>
      <c r="F283" s="14"/>
      <c r="G283" s="13"/>
      <c r="H283" s="13"/>
      <c r="I283" s="14"/>
    </row>
    <row r="284" spans="1:9" ht="13.15">
      <c r="A284" s="13"/>
      <c r="B284" s="13"/>
      <c r="C284" s="13"/>
      <c r="D284" s="13"/>
      <c r="E284" s="13"/>
      <c r="F284" s="14"/>
      <c r="G284" s="13"/>
      <c r="H284" s="13"/>
      <c r="I284" s="14"/>
    </row>
    <row r="285" spans="1:9" ht="13.15">
      <c r="A285" s="13"/>
      <c r="B285" s="13"/>
      <c r="C285" s="13"/>
      <c r="D285" s="13"/>
      <c r="E285" s="13"/>
      <c r="F285" s="14"/>
      <c r="G285" s="13"/>
      <c r="H285" s="13"/>
      <c r="I285" s="14"/>
    </row>
    <row r="286" spans="1:9" ht="13.15">
      <c r="A286" s="13"/>
      <c r="B286" s="13"/>
      <c r="C286" s="13"/>
      <c r="D286" s="13"/>
      <c r="E286" s="13"/>
      <c r="F286" s="14"/>
      <c r="G286" s="13"/>
      <c r="H286" s="13"/>
      <c r="I286" s="14"/>
    </row>
    <row r="287" spans="1:9" ht="13.15">
      <c r="A287" s="13"/>
      <c r="B287" s="13"/>
      <c r="C287" s="13"/>
      <c r="D287" s="13"/>
      <c r="E287" s="13"/>
      <c r="F287" s="14"/>
      <c r="G287" s="13"/>
      <c r="H287" s="13"/>
      <c r="I287" s="14"/>
    </row>
    <row r="288" spans="1:9" ht="13.15">
      <c r="A288" s="13"/>
      <c r="B288" s="13"/>
      <c r="C288" s="13"/>
      <c r="D288" s="13"/>
      <c r="E288" s="13"/>
      <c r="F288" s="14"/>
      <c r="G288" s="13"/>
      <c r="H288" s="13"/>
      <c r="I288" s="14"/>
    </row>
    <row r="289" spans="1:9" ht="13.15">
      <c r="A289" s="13"/>
      <c r="B289" s="13"/>
      <c r="C289" s="13"/>
      <c r="D289" s="13"/>
      <c r="E289" s="13"/>
      <c r="F289" s="14"/>
      <c r="G289" s="13"/>
      <c r="H289" s="13"/>
      <c r="I289" s="14"/>
    </row>
    <row r="290" spans="1:9" ht="13.15">
      <c r="A290" s="13"/>
      <c r="B290" s="13"/>
      <c r="C290" s="13"/>
      <c r="D290" s="13"/>
      <c r="E290" s="13"/>
      <c r="F290" s="14"/>
      <c r="G290" s="13"/>
      <c r="H290" s="13"/>
      <c r="I290" s="14"/>
    </row>
    <row r="291" spans="1:9" ht="13.15">
      <c r="A291" s="13"/>
      <c r="B291" s="13"/>
      <c r="C291" s="13"/>
      <c r="D291" s="13"/>
      <c r="E291" s="13"/>
      <c r="F291" s="14"/>
      <c r="G291" s="13"/>
      <c r="H291" s="13"/>
      <c r="I291" s="14"/>
    </row>
    <row r="292" spans="1:9" ht="13.15">
      <c r="A292" s="13"/>
      <c r="B292" s="13"/>
      <c r="C292" s="13"/>
      <c r="D292" s="13"/>
      <c r="E292" s="13"/>
      <c r="F292" s="14"/>
      <c r="G292" s="13"/>
      <c r="H292" s="13"/>
      <c r="I292" s="14"/>
    </row>
    <row r="293" spans="1:9" ht="13.15">
      <c r="A293" s="13"/>
      <c r="B293" s="13"/>
      <c r="C293" s="13"/>
      <c r="D293" s="13"/>
      <c r="E293" s="13"/>
      <c r="F293" s="14"/>
      <c r="G293" s="13"/>
      <c r="H293" s="13"/>
      <c r="I293" s="14"/>
    </row>
    <row r="294" spans="1:9" ht="13.15">
      <c r="A294" s="13"/>
      <c r="B294" s="13"/>
      <c r="C294" s="13"/>
      <c r="D294" s="13"/>
      <c r="E294" s="13"/>
      <c r="F294" s="14"/>
      <c r="G294" s="13"/>
      <c r="H294" s="13"/>
      <c r="I294" s="14"/>
    </row>
    <row r="295" spans="1:9" ht="13.15">
      <c r="A295" s="13"/>
      <c r="B295" s="13"/>
      <c r="C295" s="13"/>
      <c r="D295" s="13"/>
      <c r="E295" s="13"/>
      <c r="F295" s="14"/>
      <c r="G295" s="13"/>
      <c r="H295" s="13"/>
      <c r="I295" s="14"/>
    </row>
    <row r="296" spans="1:9" ht="13.15">
      <c r="A296" s="13"/>
      <c r="B296" s="13"/>
      <c r="C296" s="13"/>
      <c r="D296" s="13"/>
      <c r="E296" s="13"/>
      <c r="F296" s="14"/>
      <c r="G296" s="13"/>
      <c r="H296" s="13"/>
      <c r="I296" s="14"/>
    </row>
    <row r="297" spans="1:9" ht="13.15">
      <c r="A297" s="13"/>
      <c r="B297" s="13"/>
      <c r="C297" s="13"/>
      <c r="D297" s="13"/>
      <c r="E297" s="13"/>
      <c r="F297" s="14"/>
      <c r="G297" s="13"/>
      <c r="H297" s="13"/>
      <c r="I297" s="14"/>
    </row>
    <row r="298" spans="1:9" ht="13.15">
      <c r="A298" s="13"/>
      <c r="B298" s="13"/>
      <c r="C298" s="13"/>
      <c r="D298" s="13"/>
      <c r="E298" s="13"/>
      <c r="F298" s="14"/>
      <c r="G298" s="13"/>
      <c r="H298" s="13"/>
      <c r="I298" s="14"/>
    </row>
    <row r="299" spans="1:9" ht="13.15">
      <c r="A299" s="13"/>
      <c r="B299" s="13"/>
      <c r="C299" s="13"/>
      <c r="D299" s="13"/>
      <c r="E299" s="13"/>
      <c r="F299" s="14"/>
      <c r="G299" s="13"/>
      <c r="H299" s="13"/>
      <c r="I299" s="14"/>
    </row>
    <row r="300" spans="1:9" ht="13.15">
      <c r="A300" s="13"/>
      <c r="B300" s="13"/>
      <c r="C300" s="13"/>
      <c r="D300" s="13"/>
      <c r="E300" s="13"/>
      <c r="F300" s="14"/>
      <c r="G300" s="13"/>
      <c r="H300" s="13"/>
      <c r="I300" s="14"/>
    </row>
    <row r="301" spans="1:9" ht="13.15">
      <c r="A301" s="13"/>
      <c r="B301" s="13"/>
      <c r="C301" s="13"/>
      <c r="D301" s="13"/>
      <c r="E301" s="13"/>
      <c r="F301" s="14"/>
      <c r="G301" s="13"/>
      <c r="H301" s="13"/>
      <c r="I301" s="14"/>
    </row>
    <row r="302" spans="1:9" ht="13.15">
      <c r="A302" s="13"/>
      <c r="B302" s="13"/>
      <c r="C302" s="13"/>
      <c r="D302" s="13"/>
      <c r="E302" s="13"/>
      <c r="F302" s="14"/>
      <c r="G302" s="13"/>
      <c r="H302" s="13"/>
      <c r="I302" s="14"/>
    </row>
    <row r="303" spans="1:9" ht="13.15">
      <c r="A303" s="13"/>
      <c r="B303" s="13"/>
      <c r="C303" s="13"/>
      <c r="D303" s="13"/>
      <c r="E303" s="13"/>
      <c r="F303" s="14"/>
      <c r="G303" s="13"/>
      <c r="H303" s="13"/>
      <c r="I303" s="14"/>
    </row>
    <row r="304" spans="1:9" ht="13.15">
      <c r="A304" s="13"/>
      <c r="B304" s="13"/>
      <c r="C304" s="13"/>
      <c r="D304" s="13"/>
      <c r="E304" s="13"/>
      <c r="F304" s="14"/>
      <c r="G304" s="13"/>
      <c r="H304" s="13"/>
      <c r="I304" s="14"/>
    </row>
    <row r="305" spans="1:9" ht="13.15">
      <c r="A305" s="13"/>
      <c r="B305" s="13"/>
      <c r="C305" s="13"/>
      <c r="D305" s="13"/>
      <c r="E305" s="13"/>
      <c r="F305" s="14"/>
      <c r="G305" s="13"/>
      <c r="H305" s="13"/>
      <c r="I305" s="14"/>
    </row>
    <row r="306" spans="1:9" ht="13.15">
      <c r="A306" s="13"/>
      <c r="B306" s="13"/>
      <c r="C306" s="13"/>
      <c r="D306" s="13"/>
      <c r="E306" s="13"/>
      <c r="F306" s="14"/>
      <c r="G306" s="13"/>
      <c r="H306" s="13"/>
      <c r="I306" s="14"/>
    </row>
    <row r="307" spans="1:9" ht="13.15">
      <c r="A307" s="13"/>
      <c r="B307" s="13"/>
      <c r="C307" s="13"/>
      <c r="D307" s="13"/>
      <c r="E307" s="13"/>
      <c r="F307" s="14"/>
      <c r="G307" s="13"/>
      <c r="H307" s="13"/>
      <c r="I307" s="14"/>
    </row>
    <row r="308" spans="1:9" ht="13.15">
      <c r="A308" s="13"/>
      <c r="B308" s="13"/>
      <c r="C308" s="13"/>
      <c r="D308" s="13"/>
      <c r="E308" s="13"/>
      <c r="F308" s="14"/>
      <c r="G308" s="13"/>
      <c r="H308" s="13"/>
      <c r="I308" s="14"/>
    </row>
    <row r="309" spans="1:9" ht="13.15">
      <c r="A309" s="13"/>
      <c r="B309" s="13"/>
      <c r="C309" s="13"/>
      <c r="D309" s="13"/>
      <c r="E309" s="13"/>
      <c r="F309" s="14"/>
      <c r="G309" s="13"/>
      <c r="H309" s="13"/>
      <c r="I309" s="14"/>
    </row>
    <row r="310" spans="1:9" ht="13.15">
      <c r="A310" s="13"/>
      <c r="B310" s="13"/>
      <c r="C310" s="13"/>
      <c r="D310" s="13"/>
      <c r="E310" s="13"/>
      <c r="F310" s="14"/>
      <c r="G310" s="13"/>
      <c r="H310" s="13"/>
      <c r="I310" s="14"/>
    </row>
    <row r="311" spans="1:9" ht="13.15">
      <c r="A311" s="13"/>
      <c r="B311" s="13"/>
      <c r="C311" s="13"/>
      <c r="D311" s="13"/>
      <c r="E311" s="13"/>
      <c r="F311" s="14"/>
      <c r="G311" s="13"/>
      <c r="H311" s="13"/>
      <c r="I311" s="14"/>
    </row>
    <row r="312" spans="1:9" ht="13.15">
      <c r="A312" s="13"/>
      <c r="B312" s="13"/>
      <c r="C312" s="13"/>
      <c r="D312" s="13"/>
      <c r="E312" s="13"/>
      <c r="F312" s="14"/>
      <c r="G312" s="13"/>
      <c r="H312" s="13"/>
      <c r="I312" s="14"/>
    </row>
    <row r="313" spans="1:9" ht="13.15">
      <c r="A313" s="13"/>
      <c r="B313" s="13"/>
      <c r="C313" s="13"/>
      <c r="D313" s="13"/>
      <c r="E313" s="13"/>
      <c r="F313" s="14"/>
      <c r="G313" s="13"/>
      <c r="H313" s="13"/>
      <c r="I313" s="14"/>
    </row>
    <row r="314" spans="1:9" ht="13.15">
      <c r="A314" s="13"/>
      <c r="B314" s="13"/>
      <c r="C314" s="13"/>
      <c r="D314" s="13"/>
      <c r="E314" s="13"/>
      <c r="F314" s="14"/>
      <c r="G314" s="13"/>
      <c r="H314" s="13"/>
      <c r="I314" s="14"/>
    </row>
    <row r="315" spans="1:9" ht="13.15">
      <c r="A315" s="13"/>
      <c r="B315" s="13"/>
      <c r="C315" s="13"/>
      <c r="D315" s="13"/>
      <c r="E315" s="13"/>
      <c r="F315" s="14"/>
      <c r="G315" s="13"/>
      <c r="H315" s="13"/>
      <c r="I315" s="14"/>
    </row>
    <row r="316" spans="1:9" ht="13.15">
      <c r="A316" s="13"/>
      <c r="B316" s="13"/>
      <c r="C316" s="13"/>
      <c r="D316" s="13"/>
      <c r="E316" s="13"/>
      <c r="F316" s="14"/>
      <c r="G316" s="13"/>
      <c r="H316" s="13"/>
      <c r="I316" s="14"/>
    </row>
    <row r="317" spans="1:9" ht="13.15">
      <c r="A317" s="13"/>
      <c r="B317" s="13"/>
      <c r="C317" s="13"/>
      <c r="D317" s="13"/>
      <c r="E317" s="13"/>
      <c r="F317" s="14"/>
      <c r="G317" s="13"/>
      <c r="H317" s="13"/>
      <c r="I317" s="14"/>
    </row>
    <row r="318" spans="1:9" ht="13.15">
      <c r="A318" s="13"/>
      <c r="B318" s="13"/>
      <c r="C318" s="13"/>
      <c r="D318" s="13"/>
      <c r="E318" s="13"/>
      <c r="F318" s="14"/>
      <c r="G318" s="13"/>
      <c r="H318" s="13"/>
      <c r="I318" s="14"/>
    </row>
    <row r="319" spans="1:9" ht="13.15">
      <c r="A319" s="13"/>
      <c r="B319" s="13"/>
      <c r="C319" s="13"/>
      <c r="D319" s="13"/>
      <c r="E319" s="13"/>
      <c r="F319" s="14"/>
      <c r="G319" s="13"/>
      <c r="H319" s="13"/>
      <c r="I319" s="14"/>
    </row>
    <row r="320" spans="1:9" ht="13.15">
      <c r="A320" s="13"/>
      <c r="B320" s="13"/>
      <c r="C320" s="13"/>
      <c r="D320" s="13"/>
      <c r="E320" s="13"/>
      <c r="F320" s="14"/>
      <c r="G320" s="13"/>
      <c r="H320" s="13"/>
      <c r="I320" s="14"/>
    </row>
    <row r="321" spans="1:9" ht="13.15">
      <c r="A321" s="13"/>
      <c r="B321" s="13"/>
      <c r="C321" s="13"/>
      <c r="D321" s="13"/>
      <c r="E321" s="13"/>
      <c r="F321" s="14"/>
      <c r="G321" s="13"/>
      <c r="H321" s="13"/>
      <c r="I321" s="14"/>
    </row>
    <row r="322" spans="1:9" ht="13.15">
      <c r="A322" s="13"/>
      <c r="B322" s="13"/>
      <c r="C322" s="13"/>
      <c r="D322" s="13"/>
      <c r="E322" s="13"/>
      <c r="F322" s="14"/>
      <c r="G322" s="13"/>
      <c r="H322" s="13"/>
      <c r="I322" s="14"/>
    </row>
    <row r="323" spans="1:9" ht="13.15">
      <c r="A323" s="13"/>
      <c r="B323" s="13"/>
      <c r="C323" s="13"/>
      <c r="D323" s="13"/>
      <c r="E323" s="13"/>
      <c r="F323" s="14"/>
      <c r="G323" s="13"/>
      <c r="H323" s="13"/>
      <c r="I323" s="14"/>
    </row>
    <row r="324" spans="1:9" ht="13.15">
      <c r="A324" s="13"/>
      <c r="B324" s="13"/>
      <c r="C324" s="13"/>
      <c r="D324" s="13"/>
      <c r="E324" s="13"/>
      <c r="F324" s="14"/>
      <c r="G324" s="13"/>
      <c r="H324" s="13"/>
      <c r="I324" s="14"/>
    </row>
    <row r="325" spans="1:9" ht="13.15">
      <c r="A325" s="13"/>
      <c r="B325" s="13"/>
      <c r="C325" s="13"/>
      <c r="D325" s="13"/>
      <c r="E325" s="13"/>
      <c r="F325" s="14"/>
      <c r="G325" s="13"/>
      <c r="H325" s="13"/>
      <c r="I325" s="14"/>
    </row>
    <row r="326" spans="1:9" ht="13.15">
      <c r="A326" s="13"/>
      <c r="B326" s="13"/>
      <c r="C326" s="13"/>
      <c r="D326" s="13"/>
      <c r="E326" s="13"/>
      <c r="F326" s="14"/>
      <c r="G326" s="13"/>
      <c r="H326" s="13"/>
      <c r="I326" s="14"/>
    </row>
    <row r="327" spans="1:9" ht="13.15">
      <c r="A327" s="13"/>
      <c r="B327" s="13"/>
      <c r="C327" s="13"/>
      <c r="D327" s="13"/>
      <c r="E327" s="13"/>
      <c r="F327" s="14"/>
      <c r="G327" s="13"/>
      <c r="H327" s="13"/>
      <c r="I327" s="14"/>
    </row>
    <row r="328" spans="1:9" ht="13.15">
      <c r="A328" s="13"/>
      <c r="B328" s="13"/>
      <c r="C328" s="13"/>
      <c r="D328" s="13"/>
      <c r="E328" s="13"/>
      <c r="F328" s="14"/>
      <c r="G328" s="13"/>
      <c r="H328" s="13"/>
      <c r="I328" s="14"/>
    </row>
    <row r="329" spans="1:9" ht="13.15">
      <c r="A329" s="13"/>
      <c r="B329" s="13"/>
      <c r="C329" s="13"/>
      <c r="D329" s="13"/>
      <c r="E329" s="13"/>
      <c r="F329" s="14"/>
      <c r="G329" s="13"/>
      <c r="H329" s="13"/>
      <c r="I329" s="14"/>
    </row>
    <row r="330" spans="1:9" ht="13.15">
      <c r="A330" s="13"/>
      <c r="B330" s="13"/>
      <c r="C330" s="13"/>
      <c r="D330" s="13"/>
      <c r="E330" s="13"/>
      <c r="F330" s="14"/>
      <c r="G330" s="13"/>
      <c r="H330" s="13"/>
      <c r="I330" s="14"/>
    </row>
    <row r="331" spans="1:9" ht="13.15">
      <c r="A331" s="13"/>
      <c r="B331" s="13"/>
      <c r="C331" s="13"/>
      <c r="D331" s="13"/>
      <c r="E331" s="13"/>
      <c r="F331" s="14"/>
      <c r="G331" s="13"/>
      <c r="H331" s="13"/>
      <c r="I331" s="14"/>
    </row>
    <row r="332" spans="1:9" ht="13.15">
      <c r="A332" s="13"/>
      <c r="B332" s="13"/>
      <c r="C332" s="13"/>
      <c r="D332" s="13"/>
      <c r="E332" s="13"/>
      <c r="F332" s="14"/>
      <c r="G332" s="13"/>
      <c r="H332" s="13"/>
      <c r="I332" s="14"/>
    </row>
    <row r="333" spans="1:9" ht="13.15">
      <c r="A333" s="13"/>
      <c r="B333" s="13"/>
      <c r="C333" s="13"/>
      <c r="D333" s="13"/>
      <c r="E333" s="13"/>
      <c r="F333" s="14"/>
      <c r="G333" s="13"/>
      <c r="H333" s="13"/>
      <c r="I333" s="14"/>
    </row>
    <row r="334" spans="1:9" ht="13.15">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16 I4:I16 F18 F20:F92 I18 I20: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4" activePane="bottomRight" state="frozen"/>
      <selection pane="bottomRight" activeCell="G10" sqref="G10"/>
      <selection pane="bottomLeft" activeCell="A18" sqref="A18:XFD24"/>
      <selection pane="topRight" activeCell="A18" sqref="A18:XFD2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14</v>
      </c>
      <c r="E1" s="81"/>
      <c r="F1" s="81"/>
      <c r="G1" s="79" t="s">
        <v>15</v>
      </c>
      <c r="H1" s="79"/>
      <c r="I1" s="79"/>
    </row>
    <row r="2" spans="1:9" ht="19.5" customHeight="1">
      <c r="A2" s="82" t="s">
        <v>2</v>
      </c>
      <c r="B2" s="82"/>
      <c r="C2" s="5">
        <f>SUM(C4:C92)</f>
        <v>24556373.364704706</v>
      </c>
      <c r="D2" s="5">
        <f>SUM(D4:D92)</f>
        <v>13338415.564999999</v>
      </c>
      <c r="E2" s="5">
        <f>C2-D2</f>
        <v>11217957.799704706</v>
      </c>
      <c r="F2" s="6">
        <f>IFERROR(E2/D2, 0)</f>
        <v>0.84102626320480112</v>
      </c>
      <c r="G2" s="5">
        <f>SUM(G4:G92)</f>
        <v>16091335.063000001</v>
      </c>
      <c r="H2" s="7">
        <f>C2-G2</f>
        <v>8465038.3017047048</v>
      </c>
      <c r="I2" s="6">
        <f>IFERROR(H2/G2, 0)</f>
        <v>0.52606190030614641</v>
      </c>
    </row>
    <row r="3" spans="1:9" ht="14.25" customHeight="1">
      <c r="A3" s="17" t="s">
        <v>3</v>
      </c>
      <c r="B3" s="17" t="s">
        <v>4</v>
      </c>
      <c r="C3" s="25" t="s">
        <v>5</v>
      </c>
      <c r="D3" s="26" t="s">
        <v>6</v>
      </c>
      <c r="E3" s="26" t="s">
        <v>7</v>
      </c>
      <c r="F3" s="27" t="s">
        <v>8</v>
      </c>
      <c r="G3" s="28" t="s">
        <v>9</v>
      </c>
      <c r="H3" s="29" t="s">
        <v>7</v>
      </c>
      <c r="I3" s="30" t="s">
        <v>8</v>
      </c>
    </row>
    <row r="4" spans="1:9" ht="15.75">
      <c r="A4" s="53" t="str" cm="1">
        <f t="array" ref="A4:A20">Sites[Site]</f>
        <v>Fresno - 3150 Shaw Ave</v>
      </c>
      <c r="B4" s="33" t="str" cm="1">
        <f t="array" ref="B4:B20">Sites[State]</f>
        <v>CA</v>
      </c>
      <c r="C4" s="34">
        <f>SUM(Jul!C4, Aug!C4, Sep!C4)</f>
        <v>327335.75</v>
      </c>
      <c r="D4" s="35">
        <f>SUM(Jul!D4, Aug!D4, Sep!D4)</f>
        <v>356125.75699999998</v>
      </c>
      <c r="E4" s="35">
        <f>IF(AND(ISNUMBER(C4),ISNUMBER(D4)), C4-D4, "")</f>
        <v>-28790.006999999983</v>
      </c>
      <c r="F4" s="36">
        <f>IFERROR(E4/D4, "")</f>
        <v>-8.084224865543771E-2</v>
      </c>
      <c r="G4" s="37">
        <f>SUM(Jul!G4,Aug!G4,Sep!G4)</f>
        <v>356900.59299999999</v>
      </c>
      <c r="H4" s="37">
        <f>SUM(Jul!H4, Aug!H4, Sep!H4)</f>
        <v>-29564.842999999993</v>
      </c>
      <c r="I4" s="38">
        <f>IFERROR(H4/G4, "")</f>
        <v>-8.2837752527914671E-2</v>
      </c>
    </row>
    <row r="5" spans="1:9" ht="15.75">
      <c r="A5" s="54" t="str">
        <v>Adelanto - 1 Sheep Creek Road</v>
      </c>
      <c r="B5" s="40" t="str">
        <v>CA</v>
      </c>
      <c r="C5" s="41">
        <f>SUM(Jul!C5, Aug!C5, Sep!C5)</f>
        <v>2114215</v>
      </c>
      <c r="D5" s="42">
        <f>SUM(Jul!D5, Aug!D5, Sep!D5)</f>
        <v>1461106.78</v>
      </c>
      <c r="E5" s="42">
        <f t="shared" ref="E5:E15" si="0">IF(AND(ISNUMBER(C5),ISNUMBER(D5)), C5-D5, "")</f>
        <v>653108.22</v>
      </c>
      <c r="F5" s="43">
        <f>IFERROR(E5/D5, "")</f>
        <v>0.44699554402177227</v>
      </c>
      <c r="G5" s="44">
        <f>SUM(Jul!G5,Aug!G5,Sep!G5)</f>
        <v>2614830</v>
      </c>
      <c r="H5" s="44">
        <f>SUM(Jul!H5, Aug!H5, Sep!H5)</f>
        <v>-500615</v>
      </c>
      <c r="I5" s="43">
        <f>IFERROR(H5/G5, "")</f>
        <v>-0.19145221677891106</v>
      </c>
    </row>
    <row r="6" spans="1:9" ht="15.75">
      <c r="A6" s="53" t="str">
        <v>Blackstone - 83 Federal Street</v>
      </c>
      <c r="B6" s="33" t="str">
        <v>MA</v>
      </c>
      <c r="C6" s="34">
        <f>SUM(Jul!C6, Aug!C6, Sep!C6)</f>
        <v>13578462.9</v>
      </c>
      <c r="D6" s="35">
        <f>SUM(Jul!D6, Aug!D6, Sep!D6)</f>
        <v>2158752.5</v>
      </c>
      <c r="E6" s="35">
        <f t="shared" si="0"/>
        <v>11419710.4</v>
      </c>
      <c r="F6" s="36">
        <f t="shared" ref="F6:F15" si="1">IFERROR(E6/D6, "")</f>
        <v>5.2899581587050859</v>
      </c>
      <c r="G6" s="37">
        <f>SUM(Jul!G6,Aug!G6,Sep!G6)</f>
        <v>2524794.7000000002</v>
      </c>
      <c r="H6" s="37">
        <f>SUM(Jul!H6, Aug!H6, Sep!H6)</f>
        <v>11053668.199999999</v>
      </c>
      <c r="I6" s="38">
        <f t="shared" ref="I6:I15" si="2">IFERROR(H6/G6, "")</f>
        <v>4.378046341748103</v>
      </c>
    </row>
    <row r="7" spans="1:9" ht="15.75">
      <c r="A7" s="54" t="str">
        <v>Charlton - 299 Worcester Road</v>
      </c>
      <c r="B7" s="40" t="str">
        <v>MA</v>
      </c>
      <c r="C7" s="41">
        <f>SUM(Jul!C7, Aug!C7, Sep!C7)</f>
        <v>177889.25</v>
      </c>
      <c r="D7" s="42">
        <f>SUM(Jul!D7, Aug!D7, Sep!D7)</f>
        <v>187940.82</v>
      </c>
      <c r="E7" s="42">
        <f t="shared" si="0"/>
        <v>-10051.570000000007</v>
      </c>
      <c r="F7" s="43">
        <f t="shared" si="1"/>
        <v>-5.3482633522616355E-2</v>
      </c>
      <c r="G7" s="44">
        <f>SUM(Jul!G7,Aug!G7,Sep!G7)</f>
        <v>193805.18</v>
      </c>
      <c r="H7" s="44">
        <f>SUM(Jul!H7, Aug!H7, Sep!H7)</f>
        <v>-15915.929999999993</v>
      </c>
      <c r="I7" s="43">
        <f t="shared" si="2"/>
        <v>-8.2123346754715193E-2</v>
      </c>
    </row>
    <row r="8" spans="1:9" ht="15.75">
      <c r="A8" s="53" t="str">
        <v>Wareham - 8 Thatcher Drive</v>
      </c>
      <c r="B8" s="33" t="str">
        <v>MA</v>
      </c>
      <c r="C8" s="34">
        <f>SUM(Jul!C8, Aug!C8, Sep!C8)</f>
        <v>53263.1875</v>
      </c>
      <c r="D8" s="35">
        <f>SUM(Jul!D8, Aug!D8, Sep!D8)</f>
        <v>56020.57</v>
      </c>
      <c r="E8" s="35">
        <f t="shared" si="0"/>
        <v>-2757.3824999999997</v>
      </c>
      <c r="F8" s="36">
        <f t="shared" si="1"/>
        <v>-4.9220893325433848E-2</v>
      </c>
      <c r="G8" s="37">
        <f>SUM(Jul!G8,Aug!G8,Sep!G8)</f>
        <v>56817.75</v>
      </c>
      <c r="H8" s="37">
        <f>SUM(Jul!H8, Aug!H8, Sep!H8)</f>
        <v>-3554.5625</v>
      </c>
      <c r="I8" s="38">
        <f t="shared" si="2"/>
        <v>-6.2560775461893509E-2</v>
      </c>
    </row>
    <row r="9" spans="1:9" ht="15.75">
      <c r="A9" s="54" t="str">
        <v>West Yarmouth - 42 Mid Tech</v>
      </c>
      <c r="B9" s="40" t="str">
        <v>MA</v>
      </c>
      <c r="C9" s="41">
        <f>SUM(Jul!C9, Aug!C9, Sep!C9)</f>
        <v>48266.431444134498</v>
      </c>
      <c r="D9" s="42">
        <f>SUM(Jul!D9, Aug!D9, Sep!D9)</f>
        <v>50053.630000000005</v>
      </c>
      <c r="E9" s="42">
        <f t="shared" si="0"/>
        <v>-1787.1985558655069</v>
      </c>
      <c r="F9" s="43">
        <f t="shared" si="1"/>
        <v>-3.5705673212222705E-2</v>
      </c>
      <c r="G9" s="44">
        <f>SUM(Jul!G9,Aug!G9,Sep!G9)</f>
        <v>59052.350000000006</v>
      </c>
      <c r="H9" s="44">
        <f>SUM(Jul!H9, Aug!H9, Sep!H9)</f>
        <v>-10785.918555865499</v>
      </c>
      <c r="I9" s="43">
        <f t="shared" si="2"/>
        <v>-0.18265011563240918</v>
      </c>
    </row>
    <row r="10" spans="1:9" ht="15.75">
      <c r="A10" s="53" t="str">
        <v>Harrison - 130 Union Street</v>
      </c>
      <c r="B10" s="33" t="str">
        <v>NY</v>
      </c>
      <c r="C10" s="34">
        <f>SUM(Jul!C10, Aug!C10, Sep!C10)</f>
        <v>76723.875</v>
      </c>
      <c r="D10" s="35">
        <f>SUM(Jul!D10, Aug!D10, Sep!D10)</f>
        <v>84368.2</v>
      </c>
      <c r="E10" s="35">
        <f t="shared" si="0"/>
        <v>-7644.3249999999971</v>
      </c>
      <c r="F10" s="36">
        <f t="shared" si="1"/>
        <v>-9.0606709637043314E-2</v>
      </c>
      <c r="G10" s="37">
        <f>SUM(Jul!G10,Aug!G10,Sep!G10)</f>
        <v>84686.16</v>
      </c>
      <c r="H10" s="37">
        <f>SUM(Jul!H10, Aug!H10, Sep!H10)</f>
        <v>-7962.2849999999999</v>
      </c>
      <c r="I10" s="38">
        <f t="shared" si="2"/>
        <v>-9.4021089160259474E-2</v>
      </c>
    </row>
    <row r="11" spans="1:9" ht="15.75">
      <c r="A11" s="54" t="str">
        <v>Staten Island - Ellis Storage</v>
      </c>
      <c r="B11" s="40" t="str">
        <v>NY</v>
      </c>
      <c r="C11" s="41">
        <f>SUM(Jul!C11, Aug!C11, Sep!C11)</f>
        <v>176827.75</v>
      </c>
      <c r="D11" s="42">
        <f>SUM(Jul!D11, Aug!D11, Sep!D11)</f>
        <v>197643.68</v>
      </c>
      <c r="E11" s="42">
        <f t="shared" si="0"/>
        <v>-20815.929999999993</v>
      </c>
      <c r="F11" s="43">
        <f t="shared" si="1"/>
        <v>-0.10532049393130098</v>
      </c>
      <c r="G11" s="44">
        <f>SUM(Jul!G11,Aug!G11,Sep!G11)</f>
        <v>192599.3</v>
      </c>
      <c r="H11" s="44">
        <f>SUM(Jul!H11, Aug!H11, Sep!H11)</f>
        <v>-15771.549999999996</v>
      </c>
      <c r="I11" s="43">
        <f t="shared" si="2"/>
        <v>-8.1887888481422297E-2</v>
      </c>
    </row>
    <row r="12" spans="1:9" ht="15.75">
      <c r="A12" s="53" t="str">
        <v>Amherst - 595 Scholles Road</v>
      </c>
      <c r="B12" s="33" t="str">
        <v>NY</v>
      </c>
      <c r="C12" s="34">
        <f>SUM(Jul!C12, Aug!C12, Sep!C12)</f>
        <v>2877859</v>
      </c>
      <c r="D12" s="35">
        <f>SUM(Jul!D12, Aug!D12, Sep!D12)</f>
        <v>2974616.59</v>
      </c>
      <c r="E12" s="35">
        <f t="shared" si="0"/>
        <v>-96757.589999999851</v>
      </c>
      <c r="F12" s="36">
        <f t="shared" si="1"/>
        <v>-3.2527751753041845E-2</v>
      </c>
      <c r="G12" s="37">
        <f>SUM(Jul!G12,Aug!G12,Sep!G12)</f>
        <v>3227692.3</v>
      </c>
      <c r="H12" s="37">
        <f>SUM(Jul!H12, Aug!H12, Sep!H12)</f>
        <v>-349833.30000000005</v>
      </c>
      <c r="I12" s="38">
        <f t="shared" si="2"/>
        <v>-0.10838495974352948</v>
      </c>
    </row>
    <row r="13" spans="1:9" ht="15.75">
      <c r="A13" s="54" t="str">
        <v>Lancaster 1 - Gunnville Road</v>
      </c>
      <c r="B13" s="40" t="str">
        <v>NY</v>
      </c>
      <c r="C13" s="41">
        <f>SUM(Jul!C13, Aug!C13, Sep!C13)</f>
        <v>1949345</v>
      </c>
      <c r="D13" s="42">
        <f>SUM(Jul!D13, Aug!D13, Sep!D13)</f>
        <v>2223602.676</v>
      </c>
      <c r="E13" s="42">
        <f t="shared" si="0"/>
        <v>-274257.67599999998</v>
      </c>
      <c r="F13" s="43">
        <f t="shared" si="1"/>
        <v>-0.12333933528689456</v>
      </c>
      <c r="G13" s="44">
        <f>SUM(Jul!G13,Aug!G13,Sep!G13)</f>
        <v>2521779.91</v>
      </c>
      <c r="H13" s="44">
        <f>SUM(Jul!H13, Aug!H13, Sep!H13)</f>
        <v>-572434.91</v>
      </c>
      <c r="I13" s="43">
        <f t="shared" si="2"/>
        <v>-0.2269963797118203</v>
      </c>
    </row>
    <row r="14" spans="1:9" ht="15.75">
      <c r="A14" s="53" t="str">
        <v>Lancaster 2 - Shisler Road</v>
      </c>
      <c r="B14" s="33" t="str">
        <v>NY</v>
      </c>
      <c r="C14" s="34">
        <f>SUM(Jul!C14, Aug!C14, Sep!C14)</f>
        <v>2002886</v>
      </c>
      <c r="D14" s="35">
        <f>SUM(Jul!D14, Aug!D14, Sep!D14)</f>
        <v>2352331.324</v>
      </c>
      <c r="E14" s="35">
        <f t="shared" si="0"/>
        <v>-349445.32400000002</v>
      </c>
      <c r="F14" s="36">
        <f t="shared" si="1"/>
        <v>-0.14855276569024681</v>
      </c>
      <c r="G14" s="37">
        <f>SUM(Jul!G14,Aug!G14,Sep!G14)</f>
        <v>2763271.9800000004</v>
      </c>
      <c r="H14" s="37">
        <f>SUM(Jul!H14, Aug!H14, Sep!H14)</f>
        <v>-760385.9800000001</v>
      </c>
      <c r="I14" s="38">
        <f t="shared" si="2"/>
        <v>-0.27517594558317782</v>
      </c>
    </row>
    <row r="15" spans="1:9" ht="15.75">
      <c r="A15" s="54" t="str">
        <v>Fullerton - 200 W Orangethorpe</v>
      </c>
      <c r="B15" s="40" t="str">
        <v>CA</v>
      </c>
      <c r="C15" s="41">
        <f>SUM(Jul!C15, Aug!C15, Sep!C15)</f>
        <v>365346.00099999999</v>
      </c>
      <c r="D15" s="42">
        <f>SUM(Jul!D15, Aug!D15, Sep!D15)</f>
        <v>377445.99800000002</v>
      </c>
      <c r="E15" s="42">
        <f t="shared" si="0"/>
        <v>-12099.997000000032</v>
      </c>
      <c r="F15" s="43">
        <f t="shared" si="1"/>
        <v>-3.20575580721882E-2</v>
      </c>
      <c r="G15" s="44">
        <f>SUM(Jul!G15,Aug!G15,Sep!G15)</f>
        <v>407532.61</v>
      </c>
      <c r="H15" s="44">
        <f>SUM(Jul!H15, Aug!H15, Sep!H15)</f>
        <v>-42186.609000000026</v>
      </c>
      <c r="I15" s="43">
        <f t="shared" si="2"/>
        <v>-0.10351713694764213</v>
      </c>
    </row>
    <row r="16" spans="1:9" ht="15.75">
      <c r="A16" s="53" t="str">
        <v>El Paso - 10500 Railroad Drive</v>
      </c>
      <c r="B16" s="33" t="str">
        <v>TX</v>
      </c>
      <c r="C16" s="34">
        <f>SUM(Jul!C16, Aug!C16, Sep!C16)</f>
        <v>316759</v>
      </c>
      <c r="D16" s="35">
        <f>SUM(Jul!D16, Aug!D16, Sep!D16)</f>
        <v>332052.46999999997</v>
      </c>
      <c r="E16" s="35">
        <f t="shared" ref="E16:E20" si="3">IF(AND(ISNUMBER(C16),ISNUMBER(D16)), C16-D16, "")</f>
        <v>-15293.469999999972</v>
      </c>
      <c r="F16" s="36">
        <f t="shared" ref="F16:F20" si="4">IFERROR(E16/D16, "")</f>
        <v>-4.6057389664952569E-2</v>
      </c>
      <c r="G16" s="37">
        <f>SUM(Jul!G16,Aug!G16,Sep!G16)</f>
        <v>440187.4</v>
      </c>
      <c r="H16" s="37">
        <f>SUM(Jul!H16, Aug!H16, Sep!H16)</f>
        <v>-123428.40000000002</v>
      </c>
      <c r="I16" s="38">
        <f t="shared" ref="I16:I20" si="5">IFERROR(H16/G16, "")</f>
        <v>-0.28039966614219314</v>
      </c>
    </row>
    <row r="17" spans="1:9" ht="15.75">
      <c r="A17" s="54" t="str">
        <v>Friona - 900 Millard Ave</v>
      </c>
      <c r="B17" s="40" t="str">
        <v>TX</v>
      </c>
      <c r="C17" s="41">
        <f>SUM(Jul!C17, Aug!C17, Sep!C17)</f>
        <v>250550.375</v>
      </c>
      <c r="D17" s="42">
        <f>SUM(Jul!D17, Aug!D17, Sep!D17)</f>
        <v>284730.52</v>
      </c>
      <c r="E17" s="42">
        <f t="shared" si="3"/>
        <v>-34180.145000000019</v>
      </c>
      <c r="F17" s="43">
        <f t="shared" si="4"/>
        <v>-0.12004384004918059</v>
      </c>
      <c r="G17" s="44">
        <f>SUM(Jul!G17,Aug!G17,Sep!G17)</f>
        <v>393920.80000000005</v>
      </c>
      <c r="H17" s="44">
        <f>SUM(Jul!H17, Aug!H17, Sep!H17)</f>
        <v>-143370.42500000002</v>
      </c>
      <c r="I17" s="43">
        <f t="shared" si="5"/>
        <v>-0.36395748840883752</v>
      </c>
    </row>
    <row r="18" spans="1:9" ht="15.75">
      <c r="A18" s="53" t="str">
        <v>Augusta - 13 York Farm Road</v>
      </c>
      <c r="B18" s="33" t="str">
        <v>ME</v>
      </c>
      <c r="C18" s="34">
        <f>SUM(Jul!C18, Aug!C18, Sep!C18)</f>
        <v>175245</v>
      </c>
      <c r="D18" s="35">
        <f>SUM(Jul!D18, Aug!D18, Sep!D18)</f>
        <v>177556.3</v>
      </c>
      <c r="E18" s="35">
        <f t="shared" si="3"/>
        <v>-2311.2999999999884</v>
      </c>
      <c r="F18" s="36">
        <f t="shared" si="4"/>
        <v>-1.3017279589628689E-2</v>
      </c>
      <c r="G18" s="37">
        <f>SUM(Jul!G18,Aug!G18,Sep!G18)</f>
        <v>179724.4</v>
      </c>
      <c r="H18" s="37">
        <f>SUM(Jul!H18, Aug!H18, Sep!H18)</f>
        <v>-4479.3999999999942</v>
      </c>
      <c r="I18" s="38">
        <f t="shared" si="5"/>
        <v>-2.4923716534872249E-2</v>
      </c>
    </row>
    <row r="19" spans="1:9" ht="15.75">
      <c r="A19" s="54" t="str">
        <v xml:space="preserve">Santa Ana - 1441 West </v>
      </c>
      <c r="B19" s="40" t="str">
        <v>CA</v>
      </c>
      <c r="C19" s="41">
        <f>SUM(Jul!C19, Aug!C19, Sep!C19)</f>
        <v>65398.844760572203</v>
      </c>
      <c r="D19" s="42">
        <f>SUM(Jul!D19, Aug!D19, Sep!D19)</f>
        <v>64067.75</v>
      </c>
      <c r="E19" s="42">
        <f t="shared" si="3"/>
        <v>1331.0947605722031</v>
      </c>
      <c r="F19" s="43">
        <f t="shared" si="4"/>
        <v>2.0776361907078104E-2</v>
      </c>
      <c r="G19" s="44">
        <f>SUM(Jul!G19,Aug!G19,Sep!G19)</f>
        <v>73739.63</v>
      </c>
      <c r="H19" s="44">
        <f>SUM(Jul!H19, Aug!H19, Sep!H19)</f>
        <v>-8340.7852394278016</v>
      </c>
      <c r="I19" s="43">
        <f t="shared" si="5"/>
        <v>-0.11311129767572473</v>
      </c>
    </row>
    <row r="20" spans="1:9" ht="15.75">
      <c r="A20" s="53" t="str">
        <v>Jessup -7950 Oceano Ave</v>
      </c>
      <c r="B20" s="33" t="str">
        <v>MD</v>
      </c>
      <c r="C20" s="34">
        <f>SUM(Jul!C20, Aug!C20, Sep!C20)</f>
        <v>0</v>
      </c>
      <c r="D20" s="35">
        <f>SUM(Jul!D20, Aug!D20, Sep!D20)</f>
        <v>0</v>
      </c>
      <c r="E20" s="35">
        <f t="shared" si="3"/>
        <v>0</v>
      </c>
      <c r="F20" s="36" t="str">
        <f t="shared" si="4"/>
        <v/>
      </c>
      <c r="G20" s="37">
        <f>SUM(Jul!G20,Aug!G20,Sep!G20)</f>
        <v>0</v>
      </c>
      <c r="H20" s="37">
        <f>SUM(Jul!H20, Aug!H20, Sep!H20)</f>
        <v>0</v>
      </c>
      <c r="I20" s="38" t="str">
        <f t="shared" si="5"/>
        <v/>
      </c>
    </row>
    <row r="21" spans="1:9" ht="15.75">
      <c r="A21" s="9"/>
      <c r="B21" s="13"/>
      <c r="C21" s="13"/>
      <c r="D21" s="13"/>
      <c r="E21" s="13"/>
      <c r="F21" s="13"/>
      <c r="G21" s="13"/>
      <c r="H21" s="13"/>
      <c r="I21" s="13"/>
    </row>
    <row r="22" spans="1:9" ht="15.75">
      <c r="A22" s="9"/>
      <c r="B22" s="13"/>
      <c r="C22" s="13"/>
      <c r="D22" s="13"/>
      <c r="E22" s="13"/>
      <c r="F22" s="13"/>
      <c r="G22" s="13"/>
      <c r="H22" s="13"/>
      <c r="I22" s="13"/>
    </row>
    <row r="23" spans="1:9" ht="15.75">
      <c r="A23" s="9"/>
      <c r="B23" s="13"/>
      <c r="C23" s="13"/>
      <c r="D23" s="13"/>
      <c r="E23" s="13"/>
      <c r="F23" s="13"/>
      <c r="G23" s="13"/>
      <c r="H23" s="13"/>
      <c r="I23" s="13"/>
    </row>
    <row r="24" spans="1:9" ht="13.15">
      <c r="A24" s="13"/>
      <c r="B24" s="13"/>
      <c r="C24" s="13"/>
      <c r="D24" s="13"/>
      <c r="E24" s="13"/>
      <c r="F24" s="13"/>
      <c r="G24" s="13"/>
      <c r="H24" s="13"/>
      <c r="I24" s="13"/>
    </row>
    <row r="25" spans="1:9" ht="13.15">
      <c r="A25" s="13"/>
      <c r="B25" s="13"/>
      <c r="C25" s="13"/>
      <c r="D25" s="13"/>
      <c r="E25" s="13"/>
      <c r="F25" s="14"/>
      <c r="G25" s="13"/>
      <c r="H25" s="13"/>
      <c r="I25" s="14"/>
    </row>
    <row r="26" spans="1:9" ht="13.15">
      <c r="A26" s="13"/>
      <c r="B26" s="13"/>
      <c r="C26" s="13"/>
      <c r="D26" s="13"/>
      <c r="E26" s="13"/>
      <c r="F26" s="14"/>
      <c r="G26" s="13"/>
      <c r="H26" s="13"/>
      <c r="I26" s="14"/>
    </row>
    <row r="27" spans="1:9" ht="13.15">
      <c r="A27" s="13"/>
      <c r="B27" s="13"/>
      <c r="C27" s="13"/>
      <c r="D27" s="13"/>
      <c r="E27" s="13"/>
      <c r="F27" s="14"/>
      <c r="G27" s="13"/>
      <c r="H27" s="13"/>
      <c r="I27" s="14"/>
    </row>
    <row r="28" spans="1:9" ht="13.15">
      <c r="A28" s="13"/>
      <c r="B28" s="13"/>
      <c r="C28" s="13"/>
      <c r="D28" s="13"/>
      <c r="E28" s="13"/>
      <c r="F28" s="14"/>
      <c r="G28" s="13"/>
      <c r="H28" s="13"/>
      <c r="I28" s="14"/>
    </row>
    <row r="29" spans="1:9" ht="13.15">
      <c r="A29" s="13"/>
      <c r="B29" s="13"/>
      <c r="C29" s="13"/>
      <c r="D29" s="13"/>
      <c r="E29" s="13"/>
      <c r="F29" s="14"/>
      <c r="G29" s="13"/>
      <c r="H29" s="13"/>
      <c r="I29" s="14"/>
    </row>
    <row r="30" spans="1:9" ht="13.15">
      <c r="A30" s="13"/>
      <c r="B30" s="13"/>
      <c r="C30" s="13"/>
      <c r="D30" s="13"/>
      <c r="E30" s="13"/>
      <c r="F30" s="14"/>
      <c r="G30" s="13"/>
      <c r="H30" s="13"/>
      <c r="I30" s="14"/>
    </row>
    <row r="31" spans="1:9" ht="13.15">
      <c r="A31" s="13"/>
      <c r="B31" s="13"/>
      <c r="C31" s="13"/>
      <c r="D31" s="13"/>
      <c r="E31" s="13"/>
      <c r="F31" s="14"/>
      <c r="G31" s="13"/>
      <c r="H31" s="13"/>
      <c r="I31" s="14"/>
    </row>
    <row r="32" spans="1:9" ht="13.15">
      <c r="A32" s="13"/>
      <c r="B32" s="13"/>
      <c r="C32" s="13"/>
      <c r="D32" s="13"/>
      <c r="E32" s="13"/>
      <c r="F32" s="14"/>
      <c r="G32" s="13"/>
      <c r="H32" s="13"/>
      <c r="I32" s="14"/>
    </row>
    <row r="33" spans="1:9" ht="13.15">
      <c r="A33" s="13"/>
      <c r="B33" s="13"/>
      <c r="C33" s="13"/>
      <c r="D33" s="13"/>
      <c r="E33" s="13"/>
      <c r="F33" s="14"/>
      <c r="G33" s="13"/>
      <c r="H33" s="13"/>
      <c r="I33" s="14"/>
    </row>
    <row r="34" spans="1:9" ht="13.15">
      <c r="A34" s="13"/>
      <c r="B34" s="13"/>
      <c r="C34" s="13"/>
      <c r="D34" s="13"/>
      <c r="E34" s="13"/>
      <c r="F34" s="14"/>
      <c r="G34" s="13"/>
      <c r="H34" s="13"/>
      <c r="I34" s="14"/>
    </row>
    <row r="35" spans="1:9" ht="13.15">
      <c r="A35" s="13"/>
      <c r="B35" s="13"/>
      <c r="C35" s="13"/>
      <c r="D35" s="13"/>
      <c r="E35" s="13"/>
      <c r="F35" s="14"/>
      <c r="G35" s="13"/>
      <c r="H35" s="13"/>
      <c r="I35" s="14"/>
    </row>
    <row r="36" spans="1:9" ht="13.15">
      <c r="A36" s="13"/>
      <c r="B36" s="13"/>
      <c r="C36" s="13"/>
      <c r="D36" s="13"/>
      <c r="E36" s="13"/>
      <c r="F36" s="14"/>
      <c r="G36" s="13"/>
      <c r="H36" s="13"/>
      <c r="I36" s="14"/>
    </row>
    <row r="37" spans="1:9" ht="13.15">
      <c r="A37" s="13"/>
      <c r="B37" s="13"/>
      <c r="C37" s="13"/>
      <c r="D37" s="13"/>
      <c r="E37" s="13"/>
      <c r="F37" s="14"/>
      <c r="G37" s="13"/>
      <c r="H37" s="13"/>
      <c r="I37" s="14"/>
    </row>
    <row r="38" spans="1:9" ht="13.15">
      <c r="A38" s="13"/>
      <c r="B38" s="13"/>
      <c r="C38" s="13"/>
      <c r="D38" s="13"/>
      <c r="E38" s="13"/>
      <c r="F38" s="14"/>
      <c r="G38" s="13"/>
      <c r="H38" s="13"/>
      <c r="I38" s="14"/>
    </row>
    <row r="39" spans="1:9" ht="13.15">
      <c r="A39" s="13"/>
      <c r="B39" s="13"/>
      <c r="C39" s="13"/>
      <c r="D39" s="13"/>
      <c r="E39" s="13"/>
      <c r="F39" s="14"/>
      <c r="G39" s="13"/>
      <c r="H39" s="13"/>
      <c r="I39" s="14"/>
    </row>
    <row r="40" spans="1:9" ht="13.15">
      <c r="A40" s="13"/>
      <c r="B40" s="13"/>
      <c r="C40" s="13"/>
      <c r="D40" s="13"/>
      <c r="E40" s="13"/>
      <c r="F40" s="14"/>
      <c r="G40" s="13"/>
      <c r="H40" s="13"/>
      <c r="I40" s="14"/>
    </row>
    <row r="41" spans="1:9" ht="13.15">
      <c r="A41" s="13"/>
      <c r="B41" s="13"/>
      <c r="C41" s="13"/>
      <c r="D41" s="13"/>
      <c r="E41" s="13"/>
      <c r="F41" s="14"/>
      <c r="G41" s="13"/>
      <c r="H41" s="13"/>
      <c r="I41" s="14"/>
    </row>
    <row r="42" spans="1:9" ht="13.15">
      <c r="A42" s="13"/>
      <c r="B42" s="13"/>
      <c r="C42" s="13"/>
      <c r="D42" s="13"/>
      <c r="E42" s="13"/>
      <c r="F42" s="14"/>
      <c r="G42" s="13"/>
      <c r="H42" s="13"/>
      <c r="I42" s="14"/>
    </row>
    <row r="43" spans="1:9" ht="13.15">
      <c r="A43" s="13"/>
      <c r="B43" s="13"/>
      <c r="C43" s="13"/>
      <c r="D43" s="13"/>
      <c r="E43" s="13"/>
      <c r="F43" s="14"/>
      <c r="G43" s="13"/>
      <c r="H43" s="13"/>
      <c r="I43" s="14"/>
    </row>
    <row r="44" spans="1:9" ht="13.15">
      <c r="A44" s="13"/>
      <c r="B44" s="13"/>
      <c r="C44" s="13"/>
      <c r="D44" s="13"/>
      <c r="E44" s="13"/>
      <c r="F44" s="14"/>
      <c r="G44" s="13"/>
      <c r="H44" s="13"/>
      <c r="I44" s="14"/>
    </row>
    <row r="45" spans="1:9" ht="13.15">
      <c r="A45" s="13"/>
      <c r="B45" s="13"/>
      <c r="C45" s="13"/>
      <c r="D45" s="13"/>
      <c r="E45" s="13"/>
      <c r="F45" s="14"/>
      <c r="G45" s="13"/>
      <c r="H45" s="13"/>
      <c r="I45" s="14"/>
    </row>
    <row r="46" spans="1:9" ht="13.15">
      <c r="A46" s="13"/>
      <c r="B46" s="13"/>
      <c r="C46" s="13"/>
      <c r="D46" s="13"/>
      <c r="E46" s="13"/>
      <c r="F46" s="14"/>
      <c r="G46" s="13"/>
      <c r="H46" s="13"/>
      <c r="I46" s="14"/>
    </row>
    <row r="47" spans="1:9" ht="13.15">
      <c r="A47" s="13"/>
      <c r="B47" s="13"/>
      <c r="C47" s="13"/>
      <c r="D47" s="13"/>
      <c r="E47" s="13"/>
      <c r="F47" s="14"/>
      <c r="G47" s="13"/>
      <c r="H47" s="13"/>
      <c r="I47" s="14"/>
    </row>
    <row r="48" spans="1:9" ht="13.15">
      <c r="A48" s="13"/>
      <c r="B48" s="13"/>
      <c r="C48" s="13"/>
      <c r="D48" s="13"/>
      <c r="E48" s="13"/>
      <c r="F48" s="14"/>
      <c r="G48" s="13"/>
      <c r="H48" s="13"/>
      <c r="I48" s="14"/>
    </row>
    <row r="49" spans="1:9" ht="13.15">
      <c r="A49" s="13"/>
      <c r="B49" s="13"/>
      <c r="C49" s="13"/>
      <c r="D49" s="13"/>
      <c r="E49" s="13"/>
      <c r="F49" s="14"/>
      <c r="G49" s="13"/>
      <c r="H49" s="13"/>
      <c r="I49" s="14"/>
    </row>
    <row r="50" spans="1:9" ht="13.15">
      <c r="A50" s="13"/>
      <c r="B50" s="13"/>
      <c r="C50" s="13"/>
      <c r="D50" s="13"/>
      <c r="E50" s="13"/>
      <c r="F50" s="14"/>
      <c r="G50" s="13"/>
      <c r="H50" s="13"/>
      <c r="I50" s="14"/>
    </row>
    <row r="51" spans="1:9" ht="13.15">
      <c r="A51" s="13"/>
      <c r="B51" s="13"/>
      <c r="C51" s="13"/>
      <c r="D51" s="13"/>
      <c r="E51" s="13"/>
      <c r="F51" s="14"/>
      <c r="G51" s="13"/>
      <c r="H51" s="13"/>
      <c r="I51" s="14"/>
    </row>
    <row r="52" spans="1:9" ht="13.15">
      <c r="A52" s="13"/>
      <c r="B52" s="13"/>
      <c r="C52" s="13"/>
      <c r="D52" s="13"/>
      <c r="E52" s="13"/>
      <c r="F52" s="14"/>
      <c r="G52" s="13"/>
      <c r="H52" s="13"/>
      <c r="I52" s="14"/>
    </row>
    <row r="53" spans="1:9" ht="13.15">
      <c r="A53" s="13"/>
      <c r="B53" s="13"/>
      <c r="C53" s="13"/>
      <c r="D53" s="13"/>
      <c r="E53" s="13"/>
      <c r="F53" s="14"/>
      <c r="G53" s="13"/>
      <c r="H53" s="13"/>
      <c r="I53" s="14"/>
    </row>
    <row r="54" spans="1:9" ht="13.15">
      <c r="A54" s="13"/>
      <c r="B54" s="13"/>
      <c r="C54" s="13"/>
      <c r="D54" s="13"/>
      <c r="E54" s="13"/>
      <c r="F54" s="14"/>
      <c r="G54" s="13"/>
      <c r="H54" s="13"/>
      <c r="I54" s="14"/>
    </row>
    <row r="55" spans="1:9" ht="13.15">
      <c r="A55" s="13"/>
      <c r="B55" s="13"/>
      <c r="C55" s="13"/>
      <c r="D55" s="13"/>
      <c r="E55" s="13"/>
      <c r="F55" s="14"/>
      <c r="G55" s="13"/>
      <c r="H55" s="13"/>
      <c r="I55" s="14"/>
    </row>
    <row r="56" spans="1:9" ht="13.15">
      <c r="A56" s="13"/>
      <c r="B56" s="13"/>
      <c r="C56" s="13"/>
      <c r="D56" s="13"/>
      <c r="E56" s="13"/>
      <c r="F56" s="14"/>
      <c r="G56" s="13"/>
      <c r="H56" s="13"/>
      <c r="I56" s="14"/>
    </row>
    <row r="57" spans="1:9" ht="13.15">
      <c r="A57" s="13"/>
      <c r="B57" s="13"/>
      <c r="C57" s="13"/>
      <c r="D57" s="13"/>
      <c r="E57" s="13"/>
      <c r="F57" s="14"/>
      <c r="G57" s="13"/>
      <c r="H57" s="13"/>
      <c r="I57" s="14"/>
    </row>
    <row r="58" spans="1:9" ht="13.15">
      <c r="A58" s="13"/>
      <c r="B58" s="13"/>
      <c r="C58" s="13"/>
      <c r="D58" s="13"/>
      <c r="E58" s="13"/>
      <c r="F58" s="14"/>
      <c r="G58" s="13"/>
      <c r="H58" s="13"/>
      <c r="I58" s="14"/>
    </row>
    <row r="59" spans="1:9" ht="13.15">
      <c r="A59" s="13"/>
      <c r="B59" s="13"/>
      <c r="C59" s="13"/>
      <c r="D59" s="13"/>
      <c r="E59" s="13"/>
      <c r="F59" s="14"/>
      <c r="G59" s="13"/>
      <c r="H59" s="13"/>
      <c r="I59" s="14"/>
    </row>
    <row r="60" spans="1:9" ht="13.15">
      <c r="A60" s="13"/>
      <c r="B60" s="13"/>
      <c r="C60" s="13"/>
      <c r="D60" s="13"/>
      <c r="E60" s="13"/>
      <c r="F60" s="14"/>
      <c r="G60" s="13"/>
      <c r="H60" s="13"/>
      <c r="I60" s="14"/>
    </row>
    <row r="61" spans="1:9" ht="13.15">
      <c r="A61" s="13"/>
      <c r="B61" s="13"/>
      <c r="C61" s="13"/>
      <c r="D61" s="13"/>
      <c r="E61" s="13"/>
      <c r="F61" s="14"/>
      <c r="G61" s="13"/>
      <c r="H61" s="13"/>
      <c r="I61" s="14"/>
    </row>
    <row r="62" spans="1:9" ht="13.15">
      <c r="A62" s="13"/>
      <c r="B62" s="13"/>
      <c r="C62" s="13"/>
      <c r="D62" s="13"/>
      <c r="E62" s="13"/>
      <c r="F62" s="14"/>
      <c r="G62" s="13"/>
      <c r="H62" s="13"/>
      <c r="I62" s="14"/>
    </row>
    <row r="63" spans="1:9" ht="13.15">
      <c r="A63" s="13"/>
      <c r="B63" s="13"/>
      <c r="C63" s="13"/>
      <c r="D63" s="13"/>
      <c r="E63" s="13"/>
      <c r="F63" s="14"/>
      <c r="G63" s="13"/>
      <c r="H63" s="13"/>
      <c r="I63" s="14"/>
    </row>
    <row r="64" spans="1:9" ht="13.15">
      <c r="A64" s="13"/>
      <c r="B64" s="13"/>
      <c r="C64" s="13"/>
      <c r="D64" s="13"/>
      <c r="E64" s="13"/>
      <c r="F64" s="14"/>
      <c r="G64" s="13"/>
      <c r="H64" s="13"/>
      <c r="I64" s="14"/>
    </row>
    <row r="65" spans="1:9" ht="13.15">
      <c r="A65" s="13"/>
      <c r="B65" s="13"/>
      <c r="C65" s="13"/>
      <c r="D65" s="13"/>
      <c r="E65" s="13"/>
      <c r="F65" s="14"/>
      <c r="G65" s="13"/>
      <c r="H65" s="13"/>
      <c r="I65" s="14"/>
    </row>
    <row r="66" spans="1:9" ht="13.15">
      <c r="A66" s="13"/>
      <c r="B66" s="13"/>
      <c r="C66" s="13"/>
      <c r="D66" s="13"/>
      <c r="E66" s="13"/>
      <c r="F66" s="14"/>
      <c r="G66" s="13"/>
      <c r="H66" s="13"/>
      <c r="I66" s="14"/>
    </row>
    <row r="67" spans="1:9" ht="13.15">
      <c r="A67" s="13"/>
      <c r="B67" s="13"/>
      <c r="C67" s="13"/>
      <c r="D67" s="13"/>
      <c r="E67" s="13"/>
      <c r="F67" s="14"/>
      <c r="G67" s="13"/>
      <c r="H67" s="13"/>
      <c r="I67" s="14"/>
    </row>
    <row r="68" spans="1:9" ht="13.15">
      <c r="A68" s="13"/>
      <c r="B68" s="13"/>
      <c r="C68" s="13"/>
      <c r="D68" s="13"/>
      <c r="E68" s="13"/>
      <c r="F68" s="14"/>
      <c r="G68" s="13"/>
      <c r="H68" s="13"/>
      <c r="I68" s="14"/>
    </row>
    <row r="69" spans="1:9" ht="13.15">
      <c r="A69" s="13"/>
      <c r="B69" s="13"/>
      <c r="C69" s="13"/>
      <c r="D69" s="13"/>
      <c r="E69" s="13"/>
      <c r="F69" s="14"/>
      <c r="G69" s="13"/>
      <c r="H69" s="13"/>
      <c r="I69" s="14"/>
    </row>
    <row r="70" spans="1:9" ht="13.15">
      <c r="A70" s="13"/>
      <c r="B70" s="13"/>
      <c r="C70" s="13"/>
      <c r="D70" s="13"/>
      <c r="E70" s="13"/>
      <c r="F70" s="14"/>
      <c r="G70" s="13"/>
      <c r="H70" s="13"/>
      <c r="I70" s="14"/>
    </row>
    <row r="71" spans="1:9" ht="13.15">
      <c r="A71" s="13"/>
      <c r="B71" s="13"/>
      <c r="C71" s="13"/>
      <c r="D71" s="13"/>
      <c r="E71" s="13"/>
      <c r="F71" s="14"/>
      <c r="G71" s="13"/>
      <c r="H71" s="13"/>
      <c r="I71" s="14"/>
    </row>
    <row r="72" spans="1:9" ht="13.15">
      <c r="A72" s="13"/>
      <c r="B72" s="13"/>
      <c r="C72" s="13"/>
      <c r="D72" s="13"/>
      <c r="E72" s="13"/>
      <c r="F72" s="14"/>
      <c r="G72" s="13"/>
      <c r="H72" s="13"/>
      <c r="I72" s="14"/>
    </row>
    <row r="73" spans="1:9" ht="13.15">
      <c r="A73" s="13"/>
      <c r="B73" s="13"/>
      <c r="C73" s="13"/>
      <c r="D73" s="13"/>
      <c r="E73" s="13"/>
      <c r="F73" s="14"/>
      <c r="G73" s="13"/>
      <c r="H73" s="13"/>
      <c r="I73" s="14"/>
    </row>
    <row r="74" spans="1:9" ht="13.15">
      <c r="A74" s="13"/>
      <c r="B74" s="13"/>
      <c r="C74" s="13"/>
      <c r="D74" s="13"/>
      <c r="E74" s="13"/>
      <c r="F74" s="14"/>
      <c r="G74" s="13"/>
      <c r="H74" s="13"/>
      <c r="I74" s="14"/>
    </row>
    <row r="75" spans="1:9" ht="13.15">
      <c r="A75" s="13"/>
      <c r="B75" s="13"/>
      <c r="C75" s="13"/>
      <c r="D75" s="13"/>
      <c r="E75" s="13"/>
      <c r="F75" s="14"/>
      <c r="G75" s="13"/>
      <c r="H75" s="13"/>
      <c r="I75" s="14"/>
    </row>
    <row r="76" spans="1:9" ht="13.15">
      <c r="A76" s="13"/>
      <c r="B76" s="13"/>
      <c r="C76" s="13"/>
      <c r="D76" s="13"/>
      <c r="E76" s="13"/>
      <c r="F76" s="14"/>
      <c r="G76" s="13"/>
      <c r="H76" s="13"/>
      <c r="I76" s="14"/>
    </row>
    <row r="77" spans="1:9" ht="13.15">
      <c r="A77" s="13"/>
      <c r="B77" s="13"/>
      <c r="C77" s="13"/>
      <c r="D77" s="13"/>
      <c r="E77" s="13"/>
      <c r="F77" s="14"/>
      <c r="G77" s="13"/>
      <c r="H77" s="13"/>
      <c r="I77" s="14"/>
    </row>
    <row r="78" spans="1:9" ht="13.15">
      <c r="A78" s="13"/>
      <c r="B78" s="13"/>
      <c r="C78" s="13"/>
      <c r="D78" s="13"/>
      <c r="E78" s="13"/>
      <c r="F78" s="14"/>
      <c r="G78" s="13"/>
      <c r="H78" s="13"/>
      <c r="I78" s="14"/>
    </row>
    <row r="79" spans="1:9" ht="13.15">
      <c r="A79" s="13"/>
      <c r="B79" s="13"/>
      <c r="C79" s="13"/>
      <c r="D79" s="13"/>
      <c r="E79" s="13"/>
      <c r="F79" s="14"/>
      <c r="G79" s="13"/>
      <c r="H79" s="13"/>
      <c r="I79" s="14"/>
    </row>
    <row r="80" spans="1:9" ht="13.15">
      <c r="A80" s="13"/>
      <c r="B80" s="13"/>
      <c r="C80" s="13"/>
      <c r="D80" s="13"/>
      <c r="E80" s="13"/>
      <c r="F80" s="14"/>
      <c r="G80" s="13"/>
      <c r="H80" s="13"/>
      <c r="I80" s="14"/>
    </row>
    <row r="81" spans="1:9" ht="13.15">
      <c r="A81" s="13"/>
      <c r="B81" s="13"/>
      <c r="C81" s="13"/>
      <c r="D81" s="13"/>
      <c r="E81" s="13"/>
      <c r="F81" s="14"/>
      <c r="G81" s="13"/>
      <c r="H81" s="13"/>
      <c r="I81" s="14"/>
    </row>
    <row r="82" spans="1:9" ht="13.15">
      <c r="A82" s="13"/>
      <c r="B82" s="13"/>
      <c r="C82" s="13"/>
      <c r="D82" s="13"/>
      <c r="E82" s="13"/>
      <c r="F82" s="14"/>
      <c r="G82" s="13"/>
      <c r="H82" s="13"/>
      <c r="I82" s="14"/>
    </row>
    <row r="83" spans="1:9" ht="13.15">
      <c r="A83" s="13"/>
      <c r="B83" s="13"/>
      <c r="C83" s="13"/>
      <c r="D83" s="13"/>
      <c r="E83" s="13"/>
      <c r="F83" s="14"/>
      <c r="G83" s="13"/>
      <c r="H83" s="13"/>
      <c r="I83" s="14"/>
    </row>
    <row r="84" spans="1:9" ht="13.15">
      <c r="A84" s="13"/>
      <c r="B84" s="13"/>
      <c r="C84" s="13"/>
      <c r="D84" s="13"/>
      <c r="E84" s="13"/>
      <c r="F84" s="14"/>
      <c r="G84" s="13"/>
      <c r="H84" s="13"/>
      <c r="I84" s="14"/>
    </row>
    <row r="85" spans="1:9" ht="13.15">
      <c r="A85" s="13"/>
      <c r="B85" s="13"/>
      <c r="C85" s="13"/>
      <c r="D85" s="13"/>
      <c r="E85" s="13"/>
      <c r="F85" s="14"/>
      <c r="G85" s="13"/>
      <c r="H85" s="13"/>
      <c r="I85" s="14"/>
    </row>
    <row r="86" spans="1:9" ht="13.15">
      <c r="A86" s="13"/>
      <c r="B86" s="13"/>
      <c r="C86" s="13"/>
      <c r="D86" s="13"/>
      <c r="E86" s="13"/>
      <c r="F86" s="14"/>
      <c r="G86" s="13"/>
      <c r="H86" s="13"/>
      <c r="I86" s="14"/>
    </row>
    <row r="87" spans="1:9" ht="13.15">
      <c r="A87" s="13"/>
      <c r="B87" s="13"/>
      <c r="C87" s="13"/>
      <c r="D87" s="13"/>
      <c r="E87" s="13"/>
      <c r="F87" s="14"/>
      <c r="G87" s="13"/>
      <c r="H87" s="13"/>
      <c r="I87" s="14"/>
    </row>
    <row r="88" spans="1:9" ht="13.15">
      <c r="A88" s="13"/>
      <c r="B88" s="13"/>
      <c r="C88" s="13"/>
      <c r="D88" s="13"/>
      <c r="E88" s="13"/>
      <c r="F88" s="14"/>
      <c r="G88" s="13"/>
      <c r="H88" s="13"/>
      <c r="I88" s="14"/>
    </row>
    <row r="89" spans="1:9" ht="13.15">
      <c r="A89" s="13"/>
      <c r="B89" s="13"/>
      <c r="C89" s="13"/>
      <c r="D89" s="13"/>
      <c r="E89" s="13"/>
      <c r="F89" s="14"/>
      <c r="G89" s="13"/>
      <c r="H89" s="13"/>
      <c r="I89" s="14"/>
    </row>
    <row r="90" spans="1:9" ht="13.15">
      <c r="A90" s="13"/>
      <c r="B90" s="13"/>
      <c r="C90" s="13"/>
      <c r="D90" s="13"/>
      <c r="E90" s="13"/>
      <c r="F90" s="14"/>
      <c r="G90" s="13"/>
      <c r="H90" s="13"/>
      <c r="I90" s="14"/>
    </row>
    <row r="91" spans="1:9" ht="13.15">
      <c r="A91" s="13"/>
      <c r="B91" s="13"/>
      <c r="C91" s="13"/>
      <c r="D91" s="13"/>
      <c r="E91" s="13"/>
      <c r="F91" s="14"/>
      <c r="G91" s="13"/>
      <c r="H91" s="13"/>
      <c r="I91" s="14"/>
    </row>
    <row r="92" spans="1:9" ht="13.15">
      <c r="A92" s="13"/>
      <c r="B92" s="13"/>
      <c r="C92" s="13"/>
      <c r="D92" s="13"/>
      <c r="E92" s="13"/>
      <c r="F92" s="14"/>
      <c r="G92" s="13"/>
      <c r="H92" s="13"/>
      <c r="I92" s="14"/>
    </row>
    <row r="93" spans="1:9" ht="13.15">
      <c r="A93" s="13"/>
      <c r="B93" s="13"/>
      <c r="C93" s="13"/>
      <c r="D93" s="13"/>
      <c r="E93" s="13"/>
      <c r="F93" s="14"/>
      <c r="G93" s="13"/>
      <c r="H93" s="13"/>
      <c r="I93" s="14"/>
    </row>
    <row r="94" spans="1:9" ht="13.15">
      <c r="A94" s="13"/>
      <c r="B94" s="13"/>
      <c r="C94" s="13"/>
      <c r="D94" s="13"/>
      <c r="E94" s="13"/>
      <c r="F94" s="14"/>
      <c r="G94" s="13"/>
      <c r="H94" s="13"/>
      <c r="I94" s="14"/>
    </row>
    <row r="95" spans="1:9" ht="13.15">
      <c r="A95" s="13"/>
      <c r="B95" s="13"/>
      <c r="C95" s="13"/>
      <c r="D95" s="13"/>
      <c r="E95" s="13"/>
      <c r="F95" s="14"/>
      <c r="G95" s="13"/>
      <c r="H95" s="13"/>
      <c r="I95" s="14"/>
    </row>
    <row r="96" spans="1:9" ht="13.15">
      <c r="A96" s="13"/>
      <c r="B96" s="13"/>
      <c r="C96" s="13"/>
      <c r="D96" s="13"/>
      <c r="E96" s="13"/>
      <c r="F96" s="14"/>
      <c r="G96" s="13"/>
      <c r="H96" s="13"/>
      <c r="I96" s="14"/>
    </row>
    <row r="97" spans="1:9" ht="13.15">
      <c r="A97" s="13"/>
      <c r="B97" s="13"/>
      <c r="C97" s="13"/>
      <c r="D97" s="13"/>
      <c r="E97" s="13"/>
      <c r="F97" s="14"/>
      <c r="G97" s="13"/>
      <c r="H97" s="13"/>
      <c r="I97" s="14"/>
    </row>
    <row r="98" spans="1:9" ht="13.15">
      <c r="A98" s="13"/>
      <c r="B98" s="13"/>
      <c r="C98" s="13"/>
      <c r="D98" s="13"/>
      <c r="E98" s="13"/>
      <c r="F98" s="14"/>
      <c r="G98" s="13"/>
      <c r="H98" s="13"/>
      <c r="I98" s="14"/>
    </row>
    <row r="99" spans="1:9" ht="13.15">
      <c r="A99" s="13"/>
      <c r="B99" s="13"/>
      <c r="C99" s="13"/>
      <c r="D99" s="13"/>
      <c r="E99" s="13"/>
      <c r="F99" s="14"/>
      <c r="G99" s="13"/>
      <c r="H99" s="13"/>
      <c r="I99" s="14"/>
    </row>
    <row r="100" spans="1:9" ht="13.15">
      <c r="A100" s="13"/>
      <c r="B100" s="13"/>
      <c r="C100" s="13"/>
      <c r="D100" s="13"/>
      <c r="E100" s="13"/>
      <c r="F100" s="14"/>
      <c r="G100" s="13"/>
      <c r="H100" s="13"/>
      <c r="I100" s="14"/>
    </row>
    <row r="101" spans="1:9" ht="13.15">
      <c r="A101" s="13"/>
      <c r="B101" s="13"/>
      <c r="C101" s="13"/>
      <c r="D101" s="13"/>
      <c r="E101" s="13"/>
      <c r="F101" s="14"/>
      <c r="G101" s="13"/>
      <c r="H101" s="13"/>
      <c r="I101" s="14"/>
    </row>
    <row r="102" spans="1:9" ht="13.15">
      <c r="A102" s="13"/>
      <c r="B102" s="13"/>
      <c r="C102" s="13"/>
      <c r="D102" s="13"/>
      <c r="E102" s="13"/>
      <c r="F102" s="14"/>
      <c r="G102" s="13"/>
      <c r="H102" s="13"/>
      <c r="I102" s="14"/>
    </row>
    <row r="103" spans="1:9" ht="13.15">
      <c r="A103" s="13"/>
      <c r="B103" s="13"/>
      <c r="C103" s="13"/>
      <c r="D103" s="13"/>
      <c r="E103" s="13"/>
      <c r="F103" s="14"/>
      <c r="G103" s="13"/>
      <c r="H103" s="13"/>
      <c r="I103" s="14"/>
    </row>
    <row r="104" spans="1:9" ht="13.15">
      <c r="A104" s="13"/>
      <c r="B104" s="13"/>
      <c r="C104" s="13"/>
      <c r="D104" s="13"/>
      <c r="E104" s="13"/>
      <c r="F104" s="14"/>
      <c r="G104" s="13"/>
      <c r="H104" s="13"/>
      <c r="I104" s="14"/>
    </row>
    <row r="105" spans="1:9" ht="13.15">
      <c r="A105" s="13"/>
      <c r="B105" s="13"/>
      <c r="C105" s="13"/>
      <c r="D105" s="13"/>
      <c r="E105" s="13"/>
      <c r="F105" s="14"/>
      <c r="G105" s="13"/>
      <c r="H105" s="13"/>
      <c r="I105" s="14"/>
    </row>
    <row r="106" spans="1:9" ht="13.15">
      <c r="A106" s="13"/>
      <c r="B106" s="13"/>
      <c r="C106" s="13"/>
      <c r="D106" s="13"/>
      <c r="E106" s="13"/>
      <c r="F106" s="14"/>
      <c r="G106" s="13"/>
      <c r="H106" s="13"/>
      <c r="I106" s="14"/>
    </row>
    <row r="107" spans="1:9" ht="13.15">
      <c r="A107" s="13"/>
      <c r="B107" s="13"/>
      <c r="C107" s="13"/>
      <c r="D107" s="13"/>
      <c r="E107" s="13"/>
      <c r="F107" s="14"/>
      <c r="G107" s="13"/>
      <c r="H107" s="13"/>
      <c r="I107" s="14"/>
    </row>
    <row r="108" spans="1:9" ht="13.15">
      <c r="A108" s="13"/>
      <c r="B108" s="13"/>
      <c r="C108" s="13"/>
      <c r="D108" s="13"/>
      <c r="E108" s="13"/>
      <c r="F108" s="14"/>
      <c r="G108" s="13"/>
      <c r="H108" s="13"/>
      <c r="I108" s="14"/>
    </row>
    <row r="109" spans="1:9" ht="13.15">
      <c r="A109" s="13"/>
      <c r="B109" s="13"/>
      <c r="C109" s="13"/>
      <c r="D109" s="13"/>
      <c r="E109" s="13"/>
      <c r="F109" s="14"/>
      <c r="G109" s="13"/>
      <c r="H109" s="13"/>
      <c r="I109" s="14"/>
    </row>
    <row r="110" spans="1:9" ht="13.15">
      <c r="A110" s="13"/>
      <c r="B110" s="13"/>
      <c r="C110" s="13"/>
      <c r="D110" s="13"/>
      <c r="E110" s="13"/>
      <c r="F110" s="14"/>
      <c r="G110" s="13"/>
      <c r="H110" s="13"/>
      <c r="I110" s="14"/>
    </row>
    <row r="111" spans="1:9" ht="13.15">
      <c r="A111" s="13"/>
      <c r="B111" s="13"/>
      <c r="C111" s="13"/>
      <c r="D111" s="13"/>
      <c r="E111" s="13"/>
      <c r="F111" s="14"/>
      <c r="G111" s="13"/>
      <c r="H111" s="13"/>
      <c r="I111" s="14"/>
    </row>
    <row r="112" spans="1:9" ht="13.15">
      <c r="A112" s="13"/>
      <c r="B112" s="13"/>
      <c r="C112" s="13"/>
      <c r="D112" s="13"/>
      <c r="E112" s="13"/>
      <c r="F112" s="14"/>
      <c r="G112" s="13"/>
      <c r="H112" s="13"/>
      <c r="I112" s="14"/>
    </row>
    <row r="113" spans="1:9" ht="13.15">
      <c r="A113" s="13"/>
      <c r="B113" s="13"/>
      <c r="C113" s="13"/>
      <c r="D113" s="13"/>
      <c r="E113" s="13"/>
      <c r="F113" s="14"/>
      <c r="G113" s="13"/>
      <c r="H113" s="13"/>
      <c r="I113" s="14"/>
    </row>
    <row r="114" spans="1:9" ht="13.15">
      <c r="A114" s="13"/>
      <c r="B114" s="13"/>
      <c r="C114" s="13"/>
      <c r="D114" s="13"/>
      <c r="E114" s="13"/>
      <c r="F114" s="14"/>
      <c r="G114" s="13"/>
      <c r="H114" s="13"/>
      <c r="I114" s="14"/>
    </row>
    <row r="115" spans="1:9" ht="13.15">
      <c r="A115" s="13"/>
      <c r="B115" s="13"/>
      <c r="C115" s="13"/>
      <c r="D115" s="13"/>
      <c r="E115" s="13"/>
      <c r="F115" s="14"/>
      <c r="G115" s="13"/>
      <c r="H115" s="13"/>
      <c r="I115" s="14"/>
    </row>
    <row r="116" spans="1:9" ht="13.15">
      <c r="A116" s="13"/>
      <c r="B116" s="13"/>
      <c r="C116" s="13"/>
      <c r="D116" s="13"/>
      <c r="E116" s="13"/>
      <c r="F116" s="14"/>
      <c r="G116" s="13"/>
      <c r="H116" s="13"/>
      <c r="I116" s="14"/>
    </row>
    <row r="117" spans="1:9" ht="13.15">
      <c r="A117" s="13"/>
      <c r="B117" s="13"/>
      <c r="C117" s="13"/>
      <c r="D117" s="13"/>
      <c r="E117" s="13"/>
      <c r="F117" s="14"/>
      <c r="G117" s="13"/>
      <c r="H117" s="13"/>
      <c r="I117" s="14"/>
    </row>
    <row r="118" spans="1:9" ht="13.15">
      <c r="A118" s="13"/>
      <c r="B118" s="13"/>
      <c r="C118" s="13"/>
      <c r="D118" s="13"/>
      <c r="E118" s="13"/>
      <c r="F118" s="14"/>
      <c r="G118" s="13"/>
      <c r="H118" s="13"/>
      <c r="I118" s="14"/>
    </row>
    <row r="119" spans="1:9" ht="13.15">
      <c r="A119" s="13"/>
      <c r="B119" s="13"/>
      <c r="C119" s="13"/>
      <c r="D119" s="13"/>
      <c r="E119" s="13"/>
      <c r="F119" s="14"/>
      <c r="G119" s="13"/>
      <c r="H119" s="13"/>
      <c r="I119" s="14"/>
    </row>
    <row r="120" spans="1:9" ht="13.15">
      <c r="A120" s="13"/>
      <c r="B120" s="13"/>
      <c r="C120" s="13"/>
      <c r="D120" s="13"/>
      <c r="E120" s="13"/>
      <c r="F120" s="14"/>
      <c r="G120" s="13"/>
      <c r="H120" s="13"/>
      <c r="I120" s="14"/>
    </row>
    <row r="121" spans="1:9" ht="13.15">
      <c r="A121" s="13"/>
      <c r="B121" s="13"/>
      <c r="C121" s="13"/>
      <c r="D121" s="13"/>
      <c r="E121" s="13"/>
      <c r="F121" s="14"/>
      <c r="G121" s="13"/>
      <c r="H121" s="13"/>
      <c r="I121" s="14"/>
    </row>
    <row r="122" spans="1:9" ht="13.15">
      <c r="A122" s="13"/>
      <c r="B122" s="13"/>
      <c r="C122" s="13"/>
      <c r="D122" s="13"/>
      <c r="E122" s="13"/>
      <c r="F122" s="14"/>
      <c r="G122" s="13"/>
      <c r="H122" s="13"/>
      <c r="I122" s="14"/>
    </row>
    <row r="123" spans="1:9" ht="13.15">
      <c r="A123" s="13"/>
      <c r="B123" s="13"/>
      <c r="C123" s="13"/>
      <c r="D123" s="13"/>
      <c r="E123" s="13"/>
      <c r="F123" s="14"/>
      <c r="G123" s="13"/>
      <c r="H123" s="13"/>
      <c r="I123" s="14"/>
    </row>
    <row r="124" spans="1:9" ht="13.15">
      <c r="A124" s="13"/>
      <c r="B124" s="13"/>
      <c r="C124" s="13"/>
      <c r="D124" s="13"/>
      <c r="E124" s="13"/>
      <c r="F124" s="14"/>
      <c r="G124" s="13"/>
      <c r="H124" s="13"/>
      <c r="I124" s="14"/>
    </row>
    <row r="125" spans="1:9" ht="13.15">
      <c r="A125" s="13"/>
      <c r="B125" s="13"/>
      <c r="C125" s="13"/>
      <c r="D125" s="13"/>
      <c r="E125" s="13"/>
      <c r="F125" s="14"/>
      <c r="G125" s="13"/>
      <c r="H125" s="13"/>
      <c r="I125" s="14"/>
    </row>
    <row r="126" spans="1:9" ht="13.15">
      <c r="A126" s="13"/>
      <c r="B126" s="13"/>
      <c r="C126" s="13"/>
      <c r="D126" s="13"/>
      <c r="E126" s="13"/>
      <c r="F126" s="14"/>
      <c r="G126" s="13"/>
      <c r="H126" s="13"/>
      <c r="I126" s="14"/>
    </row>
    <row r="127" spans="1:9" ht="13.15">
      <c r="A127" s="13"/>
      <c r="B127" s="13"/>
      <c r="C127" s="13"/>
      <c r="D127" s="13"/>
      <c r="E127" s="13"/>
      <c r="F127" s="14"/>
      <c r="G127" s="13"/>
      <c r="H127" s="13"/>
      <c r="I127" s="14"/>
    </row>
    <row r="128" spans="1:9" ht="13.15">
      <c r="A128" s="13"/>
      <c r="B128" s="13"/>
      <c r="C128" s="13"/>
      <c r="D128" s="13"/>
      <c r="E128" s="13"/>
      <c r="F128" s="14"/>
      <c r="G128" s="13"/>
      <c r="H128" s="13"/>
      <c r="I128" s="14"/>
    </row>
    <row r="129" spans="1:9" ht="13.15">
      <c r="A129" s="13"/>
      <c r="B129" s="13"/>
      <c r="C129" s="13"/>
      <c r="D129" s="13"/>
      <c r="E129" s="13"/>
      <c r="F129" s="14"/>
      <c r="G129" s="13"/>
      <c r="H129" s="13"/>
      <c r="I129" s="14"/>
    </row>
    <row r="130" spans="1:9" ht="13.15">
      <c r="A130" s="13"/>
      <c r="B130" s="13"/>
      <c r="C130" s="13"/>
      <c r="D130" s="13"/>
      <c r="E130" s="13"/>
      <c r="F130" s="14"/>
      <c r="G130" s="13"/>
      <c r="H130" s="13"/>
      <c r="I130" s="14"/>
    </row>
    <row r="131" spans="1:9" ht="13.15">
      <c r="A131" s="13"/>
      <c r="B131" s="13"/>
      <c r="C131" s="13"/>
      <c r="D131" s="13"/>
      <c r="E131" s="13"/>
      <c r="F131" s="14"/>
      <c r="G131" s="13"/>
      <c r="H131" s="13"/>
      <c r="I131" s="14"/>
    </row>
    <row r="132" spans="1:9" ht="13.15">
      <c r="A132" s="13"/>
      <c r="B132" s="13"/>
      <c r="C132" s="13"/>
      <c r="D132" s="13"/>
      <c r="E132" s="13"/>
      <c r="F132" s="14"/>
      <c r="G132" s="13"/>
      <c r="H132" s="13"/>
      <c r="I132" s="14"/>
    </row>
    <row r="133" spans="1:9" ht="13.15">
      <c r="A133" s="13"/>
      <c r="B133" s="13"/>
      <c r="C133" s="13"/>
      <c r="D133" s="13"/>
      <c r="E133" s="13"/>
      <c r="F133" s="14"/>
      <c r="G133" s="13"/>
      <c r="H133" s="13"/>
      <c r="I133" s="14"/>
    </row>
    <row r="134" spans="1:9" ht="13.15">
      <c r="A134" s="13"/>
      <c r="B134" s="13"/>
      <c r="C134" s="13"/>
      <c r="D134" s="13"/>
      <c r="E134" s="13"/>
      <c r="F134" s="14"/>
      <c r="G134" s="13"/>
      <c r="H134" s="13"/>
      <c r="I134" s="14"/>
    </row>
    <row r="135" spans="1:9" ht="13.15">
      <c r="A135" s="13"/>
      <c r="B135" s="13"/>
      <c r="C135" s="13"/>
      <c r="D135" s="13"/>
      <c r="E135" s="13"/>
      <c r="F135" s="14"/>
      <c r="G135" s="13"/>
      <c r="H135" s="13"/>
      <c r="I135" s="14"/>
    </row>
    <row r="136" spans="1:9" ht="13.15">
      <c r="A136" s="13"/>
      <c r="B136" s="13"/>
      <c r="C136" s="13"/>
      <c r="D136" s="13"/>
      <c r="E136" s="13"/>
      <c r="F136" s="14"/>
      <c r="G136" s="13"/>
      <c r="H136" s="13"/>
      <c r="I136" s="14"/>
    </row>
    <row r="137" spans="1:9" ht="13.15">
      <c r="A137" s="13"/>
      <c r="B137" s="13"/>
      <c r="C137" s="13"/>
      <c r="D137" s="13"/>
      <c r="E137" s="13"/>
      <c r="F137" s="14"/>
      <c r="G137" s="13"/>
      <c r="H137" s="13"/>
      <c r="I137" s="14"/>
    </row>
    <row r="138" spans="1:9" ht="13.15">
      <c r="A138" s="13"/>
      <c r="B138" s="13"/>
      <c r="C138" s="13"/>
      <c r="D138" s="13"/>
      <c r="E138" s="13"/>
      <c r="F138" s="14"/>
      <c r="G138" s="13"/>
      <c r="H138" s="13"/>
      <c r="I138" s="14"/>
    </row>
    <row r="139" spans="1:9" ht="13.15">
      <c r="A139" s="13"/>
      <c r="B139" s="13"/>
      <c r="C139" s="13"/>
      <c r="D139" s="13"/>
      <c r="E139" s="13"/>
      <c r="F139" s="14"/>
      <c r="G139" s="13"/>
      <c r="H139" s="13"/>
      <c r="I139" s="14"/>
    </row>
    <row r="140" spans="1:9" ht="13.15">
      <c r="A140" s="13"/>
      <c r="B140" s="13"/>
      <c r="C140" s="13"/>
      <c r="D140" s="13"/>
      <c r="E140" s="13"/>
      <c r="F140" s="14"/>
      <c r="G140" s="13"/>
      <c r="H140" s="13"/>
      <c r="I140" s="14"/>
    </row>
    <row r="141" spans="1:9" ht="13.15">
      <c r="A141" s="13"/>
      <c r="B141" s="13"/>
      <c r="C141" s="13"/>
      <c r="D141" s="13"/>
      <c r="E141" s="13"/>
      <c r="F141" s="14"/>
      <c r="G141" s="13"/>
      <c r="H141" s="13"/>
      <c r="I141" s="14"/>
    </row>
    <row r="142" spans="1:9" ht="13.15">
      <c r="A142" s="13"/>
      <c r="B142" s="13"/>
      <c r="C142" s="13"/>
      <c r="D142" s="13"/>
      <c r="E142" s="13"/>
      <c r="F142" s="14"/>
      <c r="G142" s="13"/>
      <c r="H142" s="13"/>
      <c r="I142" s="14"/>
    </row>
    <row r="143" spans="1:9" ht="13.15">
      <c r="A143" s="13"/>
      <c r="B143" s="13"/>
      <c r="C143" s="13"/>
      <c r="D143" s="13"/>
      <c r="E143" s="13"/>
      <c r="F143" s="14"/>
      <c r="G143" s="13"/>
      <c r="H143" s="13"/>
      <c r="I143" s="14"/>
    </row>
    <row r="144" spans="1:9" ht="13.15">
      <c r="A144" s="13"/>
      <c r="B144" s="13"/>
      <c r="C144" s="13"/>
      <c r="D144" s="13"/>
      <c r="E144" s="13"/>
      <c r="F144" s="14"/>
      <c r="G144" s="13"/>
      <c r="H144" s="13"/>
      <c r="I144" s="14"/>
    </row>
    <row r="145" spans="1:9" ht="13.15">
      <c r="A145" s="13"/>
      <c r="B145" s="13"/>
      <c r="C145" s="13"/>
      <c r="D145" s="13"/>
      <c r="E145" s="13"/>
      <c r="F145" s="14"/>
      <c r="G145" s="13"/>
      <c r="H145" s="13"/>
      <c r="I145" s="14"/>
    </row>
    <row r="146" spans="1:9" ht="13.15">
      <c r="A146" s="13"/>
      <c r="B146" s="13"/>
      <c r="C146" s="13"/>
      <c r="D146" s="13"/>
      <c r="E146" s="13"/>
      <c r="F146" s="14"/>
      <c r="G146" s="13"/>
      <c r="H146" s="13"/>
      <c r="I146" s="14"/>
    </row>
    <row r="147" spans="1:9" ht="13.15">
      <c r="A147" s="13"/>
      <c r="B147" s="13"/>
      <c r="C147" s="13"/>
      <c r="D147" s="13"/>
      <c r="E147" s="13"/>
      <c r="F147" s="14"/>
      <c r="G147" s="13"/>
      <c r="H147" s="13"/>
      <c r="I147" s="14"/>
    </row>
    <row r="148" spans="1:9" ht="13.15">
      <c r="A148" s="13"/>
      <c r="B148" s="13"/>
      <c r="C148" s="13"/>
      <c r="D148" s="13"/>
      <c r="E148" s="13"/>
      <c r="F148" s="14"/>
      <c r="G148" s="13"/>
      <c r="H148" s="13"/>
      <c r="I148" s="14"/>
    </row>
    <row r="149" spans="1:9" ht="13.15">
      <c r="A149" s="13"/>
      <c r="B149" s="13"/>
      <c r="C149" s="13"/>
      <c r="D149" s="13"/>
      <c r="E149" s="13"/>
      <c r="F149" s="14"/>
      <c r="G149" s="13"/>
      <c r="H149" s="13"/>
      <c r="I149" s="14"/>
    </row>
    <row r="150" spans="1:9" ht="13.15">
      <c r="A150" s="13"/>
      <c r="B150" s="13"/>
      <c r="C150" s="13"/>
      <c r="D150" s="13"/>
      <c r="E150" s="13"/>
      <c r="F150" s="14"/>
      <c r="G150" s="13"/>
      <c r="H150" s="13"/>
      <c r="I150" s="14"/>
    </row>
    <row r="151" spans="1:9" ht="13.15">
      <c r="A151" s="13"/>
      <c r="B151" s="13"/>
      <c r="C151" s="13"/>
      <c r="D151" s="13"/>
      <c r="E151" s="13"/>
      <c r="F151" s="14"/>
      <c r="G151" s="13"/>
      <c r="H151" s="13"/>
      <c r="I151" s="14"/>
    </row>
    <row r="152" spans="1:9" ht="13.15">
      <c r="A152" s="13"/>
      <c r="B152" s="13"/>
      <c r="C152" s="13"/>
      <c r="D152" s="13"/>
      <c r="E152" s="13"/>
      <c r="F152" s="14"/>
      <c r="G152" s="13"/>
      <c r="H152" s="13"/>
      <c r="I152" s="14"/>
    </row>
    <row r="153" spans="1:9" ht="13.15">
      <c r="A153" s="13"/>
      <c r="B153" s="13"/>
      <c r="C153" s="13"/>
      <c r="D153" s="13"/>
      <c r="E153" s="13"/>
      <c r="F153" s="14"/>
      <c r="G153" s="13"/>
      <c r="H153" s="13"/>
      <c r="I153" s="14"/>
    </row>
    <row r="154" spans="1:9" ht="13.15">
      <c r="A154" s="13"/>
      <c r="B154" s="13"/>
      <c r="C154" s="13"/>
      <c r="D154" s="13"/>
      <c r="E154" s="13"/>
      <c r="F154" s="14"/>
      <c r="G154" s="13"/>
      <c r="H154" s="13"/>
      <c r="I154" s="14"/>
    </row>
    <row r="155" spans="1:9" ht="13.15">
      <c r="A155" s="13"/>
      <c r="B155" s="13"/>
      <c r="C155" s="13"/>
      <c r="D155" s="13"/>
      <c r="E155" s="13"/>
      <c r="F155" s="14"/>
      <c r="G155" s="13"/>
      <c r="H155" s="13"/>
      <c r="I155" s="14"/>
    </row>
    <row r="156" spans="1:9" ht="13.15">
      <c r="A156" s="13"/>
      <c r="B156" s="13"/>
      <c r="C156" s="13"/>
      <c r="D156" s="13"/>
      <c r="E156" s="13"/>
      <c r="F156" s="14"/>
      <c r="G156" s="13"/>
      <c r="H156" s="13"/>
      <c r="I156" s="14"/>
    </row>
    <row r="157" spans="1:9" ht="13.15">
      <c r="A157" s="13"/>
      <c r="B157" s="13"/>
      <c r="C157" s="13"/>
      <c r="D157" s="13"/>
      <c r="E157" s="13"/>
      <c r="F157" s="14"/>
      <c r="G157" s="13"/>
      <c r="H157" s="13"/>
      <c r="I157" s="14"/>
    </row>
    <row r="158" spans="1:9" ht="13.15">
      <c r="A158" s="13"/>
      <c r="B158" s="13"/>
      <c r="C158" s="13"/>
      <c r="D158" s="13"/>
      <c r="E158" s="13"/>
      <c r="F158" s="14"/>
      <c r="G158" s="13"/>
      <c r="H158" s="13"/>
      <c r="I158" s="14"/>
    </row>
    <row r="159" spans="1:9" ht="13.15">
      <c r="A159" s="13"/>
      <c r="B159" s="13"/>
      <c r="C159" s="13"/>
      <c r="D159" s="13"/>
      <c r="E159" s="13"/>
      <c r="F159" s="14"/>
      <c r="G159" s="13"/>
      <c r="H159" s="13"/>
      <c r="I159" s="14"/>
    </row>
    <row r="160" spans="1:9" ht="13.15">
      <c r="A160" s="13"/>
      <c r="B160" s="13"/>
      <c r="C160" s="13"/>
      <c r="D160" s="13"/>
      <c r="E160" s="13"/>
      <c r="F160" s="14"/>
      <c r="G160" s="13"/>
      <c r="H160" s="13"/>
      <c r="I160" s="14"/>
    </row>
    <row r="161" spans="1:9" ht="13.15">
      <c r="A161" s="13"/>
      <c r="B161" s="13"/>
      <c r="C161" s="13"/>
      <c r="D161" s="13"/>
      <c r="E161" s="13"/>
      <c r="F161" s="14"/>
      <c r="G161" s="13"/>
      <c r="H161" s="13"/>
      <c r="I161" s="14"/>
    </row>
    <row r="162" spans="1:9" ht="13.15">
      <c r="A162" s="13"/>
      <c r="B162" s="13"/>
      <c r="C162" s="13"/>
      <c r="D162" s="13"/>
      <c r="E162" s="13"/>
      <c r="F162" s="14"/>
      <c r="G162" s="13"/>
      <c r="H162" s="13"/>
      <c r="I162" s="14"/>
    </row>
    <row r="163" spans="1:9" ht="13.15">
      <c r="A163" s="13"/>
      <c r="B163" s="13"/>
      <c r="C163" s="13"/>
      <c r="D163" s="13"/>
      <c r="E163" s="13"/>
      <c r="F163" s="14"/>
      <c r="G163" s="13"/>
      <c r="H163" s="13"/>
      <c r="I163" s="14"/>
    </row>
    <row r="164" spans="1:9" ht="13.15">
      <c r="A164" s="13"/>
      <c r="B164" s="13"/>
      <c r="C164" s="13"/>
      <c r="D164" s="13"/>
      <c r="E164" s="13"/>
      <c r="F164" s="14"/>
      <c r="G164" s="13"/>
      <c r="H164" s="13"/>
      <c r="I164" s="14"/>
    </row>
    <row r="165" spans="1:9" ht="13.15">
      <c r="A165" s="13"/>
      <c r="B165" s="13"/>
      <c r="C165" s="13"/>
      <c r="D165" s="13"/>
      <c r="E165" s="13"/>
      <c r="F165" s="14"/>
      <c r="G165" s="13"/>
      <c r="H165" s="13"/>
      <c r="I165" s="14"/>
    </row>
    <row r="166" spans="1:9" ht="13.15">
      <c r="A166" s="13"/>
      <c r="B166" s="13"/>
      <c r="C166" s="13"/>
      <c r="D166" s="13"/>
      <c r="E166" s="13"/>
      <c r="F166" s="14"/>
      <c r="G166" s="13"/>
      <c r="H166" s="13"/>
      <c r="I166" s="14"/>
    </row>
    <row r="167" spans="1:9" ht="13.15">
      <c r="A167" s="13"/>
      <c r="B167" s="13"/>
      <c r="C167" s="13"/>
      <c r="D167" s="13"/>
      <c r="E167" s="13"/>
      <c r="F167" s="14"/>
      <c r="G167" s="13"/>
      <c r="H167" s="13"/>
      <c r="I167" s="14"/>
    </row>
    <row r="168" spans="1:9" ht="13.15">
      <c r="A168" s="13"/>
      <c r="B168" s="13"/>
      <c r="C168" s="13"/>
      <c r="D168" s="13"/>
      <c r="E168" s="13"/>
      <c r="F168" s="14"/>
      <c r="G168" s="13"/>
      <c r="H168" s="13"/>
      <c r="I168" s="14"/>
    </row>
    <row r="169" spans="1:9" ht="13.15">
      <c r="A169" s="13"/>
      <c r="B169" s="13"/>
      <c r="C169" s="13"/>
      <c r="D169" s="13"/>
      <c r="E169" s="13"/>
      <c r="F169" s="14"/>
      <c r="G169" s="13"/>
      <c r="H169" s="13"/>
      <c r="I169" s="14"/>
    </row>
    <row r="170" spans="1:9" ht="13.15">
      <c r="A170" s="13"/>
      <c r="B170" s="13"/>
      <c r="C170" s="13"/>
      <c r="D170" s="13"/>
      <c r="E170" s="13"/>
      <c r="F170" s="14"/>
      <c r="G170" s="13"/>
      <c r="H170" s="13"/>
      <c r="I170" s="14"/>
    </row>
    <row r="171" spans="1:9" ht="13.15">
      <c r="A171" s="13"/>
      <c r="B171" s="13"/>
      <c r="C171" s="13"/>
      <c r="D171" s="13"/>
      <c r="E171" s="13"/>
      <c r="F171" s="14"/>
      <c r="G171" s="13"/>
      <c r="H171" s="13"/>
      <c r="I171" s="14"/>
    </row>
    <row r="172" spans="1:9" ht="13.15">
      <c r="A172" s="13"/>
      <c r="B172" s="13"/>
      <c r="C172" s="13"/>
      <c r="D172" s="13"/>
      <c r="E172" s="13"/>
      <c r="F172" s="14"/>
      <c r="G172" s="13"/>
      <c r="H172" s="13"/>
      <c r="I172" s="14"/>
    </row>
    <row r="173" spans="1:9" ht="13.15">
      <c r="A173" s="13"/>
      <c r="B173" s="13"/>
      <c r="C173" s="13"/>
      <c r="D173" s="13"/>
      <c r="E173" s="13"/>
      <c r="F173" s="14"/>
      <c r="G173" s="13"/>
      <c r="H173" s="13"/>
      <c r="I173" s="14"/>
    </row>
    <row r="174" spans="1:9" ht="13.15">
      <c r="A174" s="13"/>
      <c r="B174" s="13"/>
      <c r="C174" s="13"/>
      <c r="D174" s="13"/>
      <c r="E174" s="13"/>
      <c r="F174" s="14"/>
      <c r="G174" s="13"/>
      <c r="H174" s="13"/>
      <c r="I174" s="14"/>
    </row>
    <row r="175" spans="1:9" ht="13.15">
      <c r="A175" s="13"/>
      <c r="B175" s="13"/>
      <c r="C175" s="13"/>
      <c r="D175" s="13"/>
      <c r="E175" s="13"/>
      <c r="F175" s="14"/>
      <c r="G175" s="13"/>
      <c r="H175" s="13"/>
      <c r="I175" s="14"/>
    </row>
    <row r="176" spans="1:9" ht="13.15">
      <c r="A176" s="13"/>
      <c r="B176" s="13"/>
      <c r="C176" s="13"/>
      <c r="D176" s="13"/>
      <c r="E176" s="13"/>
      <c r="F176" s="14"/>
      <c r="G176" s="13"/>
      <c r="H176" s="13"/>
      <c r="I176" s="14"/>
    </row>
    <row r="177" spans="1:9" ht="13.15">
      <c r="A177" s="13"/>
      <c r="B177" s="13"/>
      <c r="C177" s="13"/>
      <c r="D177" s="13"/>
      <c r="E177" s="13"/>
      <c r="F177" s="14"/>
      <c r="G177" s="13"/>
      <c r="H177" s="13"/>
      <c r="I177" s="14"/>
    </row>
    <row r="178" spans="1:9" ht="13.15">
      <c r="A178" s="13"/>
      <c r="B178" s="13"/>
      <c r="C178" s="13"/>
      <c r="D178" s="13"/>
      <c r="E178" s="13"/>
      <c r="F178" s="14"/>
      <c r="G178" s="13"/>
      <c r="H178" s="13"/>
      <c r="I178" s="14"/>
    </row>
    <row r="179" spans="1:9" ht="13.15">
      <c r="A179" s="13"/>
      <c r="B179" s="13"/>
      <c r="C179" s="13"/>
      <c r="D179" s="13"/>
      <c r="E179" s="13"/>
      <c r="F179" s="14"/>
      <c r="G179" s="13"/>
      <c r="H179" s="13"/>
      <c r="I179" s="14"/>
    </row>
    <row r="180" spans="1:9" ht="13.15">
      <c r="A180" s="13"/>
      <c r="B180" s="13"/>
      <c r="C180" s="13"/>
      <c r="D180" s="13"/>
      <c r="E180" s="13"/>
      <c r="F180" s="14"/>
      <c r="G180" s="13"/>
      <c r="H180" s="13"/>
      <c r="I180" s="14"/>
    </row>
    <row r="181" spans="1:9" ht="13.15">
      <c r="A181" s="13"/>
      <c r="B181" s="13"/>
      <c r="C181" s="13"/>
      <c r="D181" s="13"/>
      <c r="E181" s="13"/>
      <c r="F181" s="14"/>
      <c r="G181" s="13"/>
      <c r="H181" s="13"/>
      <c r="I181" s="14"/>
    </row>
    <row r="182" spans="1:9" ht="13.15">
      <c r="A182" s="13"/>
      <c r="B182" s="13"/>
      <c r="C182" s="13"/>
      <c r="D182" s="13"/>
      <c r="E182" s="13"/>
      <c r="F182" s="14"/>
      <c r="G182" s="13"/>
      <c r="H182" s="13"/>
      <c r="I182" s="14"/>
    </row>
    <row r="183" spans="1:9" ht="13.15">
      <c r="A183" s="13"/>
      <c r="B183" s="13"/>
      <c r="C183" s="13"/>
      <c r="D183" s="13"/>
      <c r="E183" s="13"/>
      <c r="F183" s="14"/>
      <c r="G183" s="13"/>
      <c r="H183" s="13"/>
      <c r="I183" s="14"/>
    </row>
    <row r="184" spans="1:9" ht="13.15">
      <c r="A184" s="13"/>
      <c r="B184" s="13"/>
      <c r="C184" s="13"/>
      <c r="D184" s="13"/>
      <c r="E184" s="13"/>
      <c r="F184" s="14"/>
      <c r="G184" s="13"/>
      <c r="H184" s="13"/>
      <c r="I184" s="14"/>
    </row>
    <row r="185" spans="1:9" ht="13.15">
      <c r="A185" s="13"/>
      <c r="B185" s="13"/>
      <c r="C185" s="13"/>
      <c r="D185" s="13"/>
      <c r="E185" s="13"/>
      <c r="F185" s="14"/>
      <c r="G185" s="13"/>
      <c r="H185" s="13"/>
      <c r="I185" s="14"/>
    </row>
    <row r="186" spans="1:9" ht="13.15">
      <c r="A186" s="13"/>
      <c r="B186" s="13"/>
      <c r="C186" s="13"/>
      <c r="D186" s="13"/>
      <c r="E186" s="13"/>
      <c r="F186" s="14"/>
      <c r="G186" s="13"/>
      <c r="H186" s="13"/>
      <c r="I186" s="14"/>
    </row>
    <row r="187" spans="1:9" ht="13.15">
      <c r="A187" s="13"/>
      <c r="B187" s="13"/>
      <c r="C187" s="13"/>
      <c r="D187" s="13"/>
      <c r="E187" s="13"/>
      <c r="F187" s="14"/>
      <c r="G187" s="13"/>
      <c r="H187" s="13"/>
      <c r="I187" s="14"/>
    </row>
    <row r="188" spans="1:9" ht="13.15">
      <c r="A188" s="13"/>
      <c r="B188" s="13"/>
      <c r="C188" s="13"/>
      <c r="D188" s="13"/>
      <c r="E188" s="13"/>
      <c r="F188" s="14"/>
      <c r="G188" s="13"/>
      <c r="H188" s="13"/>
      <c r="I188" s="14"/>
    </row>
    <row r="189" spans="1:9" ht="13.15">
      <c r="A189" s="13"/>
      <c r="B189" s="13"/>
      <c r="C189" s="13"/>
      <c r="D189" s="13"/>
      <c r="E189" s="13"/>
      <c r="F189" s="14"/>
      <c r="G189" s="13"/>
      <c r="H189" s="13"/>
      <c r="I189" s="14"/>
    </row>
    <row r="190" spans="1:9" ht="13.15">
      <c r="A190" s="13"/>
      <c r="B190" s="13"/>
      <c r="C190" s="13"/>
      <c r="D190" s="13"/>
      <c r="E190" s="13"/>
      <c r="F190" s="14"/>
      <c r="G190" s="13"/>
      <c r="H190" s="13"/>
      <c r="I190" s="14"/>
    </row>
    <row r="191" spans="1:9" ht="13.15">
      <c r="A191" s="13"/>
      <c r="B191" s="13"/>
      <c r="C191" s="13"/>
      <c r="D191" s="13"/>
      <c r="E191" s="13"/>
      <c r="F191" s="14"/>
      <c r="G191" s="13"/>
      <c r="H191" s="13"/>
      <c r="I191" s="14"/>
    </row>
    <row r="192" spans="1:9" ht="13.15">
      <c r="A192" s="13"/>
      <c r="B192" s="13"/>
      <c r="C192" s="13"/>
      <c r="D192" s="13"/>
      <c r="E192" s="13"/>
      <c r="F192" s="14"/>
      <c r="G192" s="13"/>
      <c r="H192" s="13"/>
      <c r="I192" s="14"/>
    </row>
    <row r="193" spans="1:9" ht="13.15">
      <c r="A193" s="13"/>
      <c r="B193" s="13"/>
      <c r="C193" s="13"/>
      <c r="D193" s="13"/>
      <c r="E193" s="13"/>
      <c r="F193" s="14"/>
      <c r="G193" s="13"/>
      <c r="H193" s="13"/>
      <c r="I193" s="14"/>
    </row>
    <row r="194" spans="1:9" ht="13.15">
      <c r="A194" s="13"/>
      <c r="B194" s="13"/>
      <c r="C194" s="13"/>
      <c r="D194" s="13"/>
      <c r="E194" s="13"/>
      <c r="F194" s="14"/>
      <c r="G194" s="13"/>
      <c r="H194" s="13"/>
      <c r="I194" s="14"/>
    </row>
    <row r="195" spans="1:9" ht="13.15">
      <c r="A195" s="13"/>
      <c r="B195" s="13"/>
      <c r="C195" s="13"/>
      <c r="D195" s="13"/>
      <c r="E195" s="13"/>
      <c r="F195" s="14"/>
      <c r="G195" s="13"/>
      <c r="H195" s="13"/>
      <c r="I195" s="14"/>
    </row>
    <row r="196" spans="1:9" ht="13.15">
      <c r="A196" s="13"/>
      <c r="B196" s="13"/>
      <c r="C196" s="13"/>
      <c r="D196" s="13"/>
      <c r="E196" s="13"/>
      <c r="F196" s="14"/>
      <c r="G196" s="13"/>
      <c r="H196" s="13"/>
      <c r="I196" s="14"/>
    </row>
    <row r="197" spans="1:9" ht="13.15">
      <c r="A197" s="13"/>
      <c r="B197" s="13"/>
      <c r="C197" s="13"/>
      <c r="D197" s="13"/>
      <c r="E197" s="13"/>
      <c r="F197" s="14"/>
      <c r="G197" s="13"/>
      <c r="H197" s="13"/>
      <c r="I197" s="14"/>
    </row>
    <row r="198" spans="1:9" ht="13.15">
      <c r="A198" s="13"/>
      <c r="B198" s="13"/>
      <c r="C198" s="13"/>
      <c r="D198" s="13"/>
      <c r="E198" s="13"/>
      <c r="F198" s="14"/>
      <c r="G198" s="13"/>
      <c r="H198" s="13"/>
      <c r="I198" s="14"/>
    </row>
    <row r="199" spans="1:9" ht="13.15">
      <c r="A199" s="13"/>
      <c r="B199" s="13"/>
      <c r="C199" s="13"/>
      <c r="D199" s="13"/>
      <c r="E199" s="13"/>
      <c r="F199" s="14"/>
      <c r="G199" s="13"/>
      <c r="H199" s="13"/>
      <c r="I199" s="14"/>
    </row>
    <row r="200" spans="1:9" ht="13.15">
      <c r="A200" s="13"/>
      <c r="B200" s="13"/>
      <c r="C200" s="13"/>
      <c r="D200" s="13"/>
      <c r="E200" s="13"/>
      <c r="F200" s="14"/>
      <c r="G200" s="13"/>
      <c r="H200" s="13"/>
      <c r="I200" s="14"/>
    </row>
    <row r="201" spans="1:9" ht="13.15">
      <c r="A201" s="13"/>
      <c r="B201" s="13"/>
      <c r="C201" s="13"/>
      <c r="D201" s="13"/>
      <c r="E201" s="13"/>
      <c r="F201" s="14"/>
      <c r="G201" s="13"/>
      <c r="H201" s="13"/>
      <c r="I201" s="14"/>
    </row>
    <row r="202" spans="1:9" ht="13.15">
      <c r="A202" s="13"/>
      <c r="B202" s="13"/>
      <c r="C202" s="13"/>
      <c r="D202" s="13"/>
      <c r="E202" s="13"/>
      <c r="F202" s="14"/>
      <c r="G202" s="13"/>
      <c r="H202" s="13"/>
      <c r="I202" s="14"/>
    </row>
    <row r="203" spans="1:9" ht="13.15">
      <c r="A203" s="13"/>
      <c r="B203" s="13"/>
      <c r="C203" s="13"/>
      <c r="D203" s="13"/>
      <c r="E203" s="13"/>
      <c r="F203" s="14"/>
      <c r="G203" s="13"/>
      <c r="H203" s="13"/>
      <c r="I203" s="14"/>
    </row>
    <row r="204" spans="1:9" ht="13.15">
      <c r="A204" s="13"/>
      <c r="B204" s="13"/>
      <c r="C204" s="13"/>
      <c r="D204" s="13"/>
      <c r="E204" s="13"/>
      <c r="F204" s="14"/>
      <c r="G204" s="13"/>
      <c r="H204" s="13"/>
      <c r="I204" s="14"/>
    </row>
    <row r="205" spans="1:9" ht="13.15">
      <c r="A205" s="13"/>
      <c r="B205" s="13"/>
      <c r="C205" s="13"/>
      <c r="D205" s="13"/>
      <c r="E205" s="13"/>
      <c r="F205" s="14"/>
      <c r="G205" s="13"/>
      <c r="H205" s="13"/>
      <c r="I205" s="14"/>
    </row>
    <row r="206" spans="1:9" ht="13.15">
      <c r="A206" s="13"/>
      <c r="B206" s="13"/>
      <c r="C206" s="13"/>
      <c r="D206" s="13"/>
      <c r="E206" s="13"/>
      <c r="F206" s="14"/>
      <c r="G206" s="13"/>
      <c r="H206" s="13"/>
      <c r="I206" s="14"/>
    </row>
    <row r="207" spans="1:9" ht="13.15">
      <c r="A207" s="13"/>
      <c r="B207" s="13"/>
      <c r="C207" s="13"/>
      <c r="D207" s="13"/>
      <c r="E207" s="13"/>
      <c r="F207" s="14"/>
      <c r="G207" s="13"/>
      <c r="H207" s="13"/>
      <c r="I207" s="14"/>
    </row>
    <row r="208" spans="1:9" ht="13.15">
      <c r="A208" s="13"/>
      <c r="B208" s="13"/>
      <c r="C208" s="13"/>
      <c r="D208" s="13"/>
      <c r="E208" s="13"/>
      <c r="F208" s="14"/>
      <c r="G208" s="13"/>
      <c r="H208" s="13"/>
      <c r="I208" s="14"/>
    </row>
    <row r="209" spans="1:9" ht="13.15">
      <c r="A209" s="13"/>
      <c r="B209" s="13"/>
      <c r="C209" s="13"/>
      <c r="D209" s="13"/>
      <c r="E209" s="13"/>
      <c r="F209" s="14"/>
      <c r="G209" s="13"/>
      <c r="H209" s="13"/>
      <c r="I209" s="14"/>
    </row>
    <row r="210" spans="1:9" ht="13.15">
      <c r="A210" s="13"/>
      <c r="B210" s="13"/>
      <c r="C210" s="13"/>
      <c r="D210" s="13"/>
      <c r="E210" s="13"/>
      <c r="F210" s="14"/>
      <c r="G210" s="13"/>
      <c r="H210" s="13"/>
      <c r="I210" s="14"/>
    </row>
    <row r="211" spans="1:9" ht="13.15">
      <c r="A211" s="13"/>
      <c r="B211" s="13"/>
      <c r="C211" s="13"/>
      <c r="D211" s="13"/>
      <c r="E211" s="13"/>
      <c r="F211" s="14"/>
      <c r="G211" s="13"/>
      <c r="H211" s="13"/>
      <c r="I211" s="14"/>
    </row>
    <row r="212" spans="1:9" ht="13.15">
      <c r="A212" s="13"/>
      <c r="B212" s="13"/>
      <c r="C212" s="13"/>
      <c r="D212" s="13"/>
      <c r="E212" s="13"/>
      <c r="F212" s="14"/>
      <c r="G212" s="13"/>
      <c r="H212" s="13"/>
      <c r="I212" s="14"/>
    </row>
    <row r="213" spans="1:9" ht="13.15">
      <c r="A213" s="13"/>
      <c r="B213" s="13"/>
      <c r="C213" s="13"/>
      <c r="D213" s="13"/>
      <c r="E213" s="13"/>
      <c r="F213" s="14"/>
      <c r="G213" s="13"/>
      <c r="H213" s="13"/>
      <c r="I213" s="14"/>
    </row>
    <row r="214" spans="1:9" ht="13.15">
      <c r="A214" s="13"/>
      <c r="B214" s="13"/>
      <c r="C214" s="13"/>
      <c r="D214" s="13"/>
      <c r="E214" s="13"/>
      <c r="F214" s="14"/>
      <c r="G214" s="13"/>
      <c r="H214" s="13"/>
      <c r="I214" s="14"/>
    </row>
    <row r="215" spans="1:9" ht="13.15">
      <c r="A215" s="13"/>
      <c r="B215" s="13"/>
      <c r="C215" s="13"/>
      <c r="D215" s="13"/>
      <c r="E215" s="13"/>
      <c r="F215" s="14"/>
      <c r="G215" s="13"/>
      <c r="H215" s="13"/>
      <c r="I215" s="14"/>
    </row>
    <row r="216" spans="1:9" ht="13.15">
      <c r="A216" s="13"/>
      <c r="B216" s="13"/>
      <c r="C216" s="13"/>
      <c r="D216" s="13"/>
      <c r="E216" s="13"/>
      <c r="F216" s="14"/>
      <c r="G216" s="13"/>
      <c r="H216" s="13"/>
      <c r="I216" s="14"/>
    </row>
    <row r="217" spans="1:9" ht="13.15">
      <c r="A217" s="13"/>
      <c r="B217" s="13"/>
      <c r="C217" s="13"/>
      <c r="D217" s="13"/>
      <c r="E217" s="13"/>
      <c r="F217" s="14"/>
      <c r="G217" s="13"/>
      <c r="H217" s="13"/>
      <c r="I217" s="14"/>
    </row>
    <row r="218" spans="1:9" ht="13.15">
      <c r="A218" s="13"/>
      <c r="B218" s="13"/>
      <c r="C218" s="13"/>
      <c r="D218" s="13"/>
      <c r="E218" s="13"/>
      <c r="F218" s="14"/>
      <c r="G218" s="13"/>
      <c r="H218" s="13"/>
      <c r="I218" s="14"/>
    </row>
    <row r="219" spans="1:9" ht="13.15">
      <c r="A219" s="13"/>
      <c r="B219" s="13"/>
      <c r="C219" s="13"/>
      <c r="D219" s="13"/>
      <c r="E219" s="13"/>
      <c r="F219" s="14"/>
      <c r="G219" s="13"/>
      <c r="H219" s="13"/>
      <c r="I219" s="14"/>
    </row>
    <row r="220" spans="1:9" ht="13.15">
      <c r="A220" s="13"/>
      <c r="B220" s="13"/>
      <c r="C220" s="13"/>
      <c r="D220" s="13"/>
      <c r="E220" s="13"/>
      <c r="F220" s="14"/>
      <c r="G220" s="13"/>
      <c r="H220" s="13"/>
      <c r="I220" s="14"/>
    </row>
    <row r="221" spans="1:9" ht="13.15">
      <c r="A221" s="13"/>
      <c r="B221" s="13"/>
      <c r="C221" s="13"/>
      <c r="D221" s="13"/>
      <c r="E221" s="13"/>
      <c r="F221" s="14"/>
      <c r="G221" s="13"/>
      <c r="H221" s="13"/>
      <c r="I221" s="14"/>
    </row>
    <row r="222" spans="1:9" ht="13.15">
      <c r="A222" s="13"/>
      <c r="B222" s="13"/>
      <c r="C222" s="13"/>
      <c r="D222" s="13"/>
      <c r="E222" s="13"/>
      <c r="F222" s="14"/>
      <c r="G222" s="13"/>
      <c r="H222" s="13"/>
      <c r="I222" s="14"/>
    </row>
    <row r="223" spans="1:9" ht="13.15">
      <c r="A223" s="13"/>
      <c r="B223" s="13"/>
      <c r="C223" s="13"/>
      <c r="D223" s="13"/>
      <c r="E223" s="13"/>
      <c r="F223" s="14"/>
      <c r="G223" s="13"/>
      <c r="H223" s="13"/>
      <c r="I223" s="14"/>
    </row>
    <row r="224" spans="1:9" ht="13.15">
      <c r="A224" s="13"/>
      <c r="B224" s="13"/>
      <c r="C224" s="13"/>
      <c r="D224" s="13"/>
      <c r="E224" s="13"/>
      <c r="F224" s="14"/>
      <c r="G224" s="13"/>
      <c r="H224" s="13"/>
      <c r="I224" s="14"/>
    </row>
    <row r="225" spans="1:9" ht="13.15">
      <c r="A225" s="13"/>
      <c r="B225" s="13"/>
      <c r="C225" s="13"/>
      <c r="D225" s="13"/>
      <c r="E225" s="13"/>
      <c r="F225" s="14"/>
      <c r="G225" s="13"/>
      <c r="H225" s="13"/>
      <c r="I225" s="14"/>
    </row>
    <row r="226" spans="1:9" ht="13.15">
      <c r="A226" s="13"/>
      <c r="B226" s="13"/>
      <c r="C226" s="13"/>
      <c r="D226" s="13"/>
      <c r="E226" s="13"/>
      <c r="F226" s="14"/>
      <c r="G226" s="13"/>
      <c r="H226" s="13"/>
      <c r="I226" s="14"/>
    </row>
    <row r="227" spans="1:9" ht="13.15">
      <c r="A227" s="13"/>
      <c r="B227" s="13"/>
      <c r="C227" s="13"/>
      <c r="D227" s="13"/>
      <c r="E227" s="13"/>
      <c r="F227" s="14"/>
      <c r="G227" s="13"/>
      <c r="H227" s="13"/>
      <c r="I227" s="14"/>
    </row>
    <row r="228" spans="1:9" ht="13.15">
      <c r="A228" s="13"/>
      <c r="B228" s="13"/>
      <c r="C228" s="13"/>
      <c r="D228" s="13"/>
      <c r="E228" s="13"/>
      <c r="F228" s="14"/>
      <c r="G228" s="13"/>
      <c r="H228" s="13"/>
      <c r="I228" s="14"/>
    </row>
    <row r="229" spans="1:9" ht="13.15">
      <c r="A229" s="13"/>
      <c r="B229" s="13"/>
      <c r="C229" s="13"/>
      <c r="D229" s="13"/>
      <c r="E229" s="13"/>
      <c r="F229" s="14"/>
      <c r="G229" s="13"/>
      <c r="H229" s="13"/>
      <c r="I229" s="14"/>
    </row>
    <row r="230" spans="1:9" ht="13.15">
      <c r="A230" s="13"/>
      <c r="B230" s="13"/>
      <c r="C230" s="13"/>
      <c r="D230" s="13"/>
      <c r="E230" s="13"/>
      <c r="F230" s="14"/>
      <c r="G230" s="13"/>
      <c r="H230" s="13"/>
      <c r="I230" s="14"/>
    </row>
    <row r="231" spans="1:9" ht="13.15">
      <c r="A231" s="13"/>
      <c r="B231" s="13"/>
      <c r="C231" s="13"/>
      <c r="D231" s="13"/>
      <c r="E231" s="13"/>
      <c r="F231" s="14"/>
      <c r="G231" s="13"/>
      <c r="H231" s="13"/>
      <c r="I231" s="14"/>
    </row>
    <row r="232" spans="1:9" ht="13.15">
      <c r="A232" s="13"/>
      <c r="B232" s="13"/>
      <c r="C232" s="13"/>
      <c r="D232" s="13"/>
      <c r="E232" s="13"/>
      <c r="F232" s="14"/>
      <c r="G232" s="13"/>
      <c r="H232" s="13"/>
      <c r="I232" s="14"/>
    </row>
    <row r="233" spans="1:9" ht="13.15">
      <c r="A233" s="13"/>
      <c r="B233" s="13"/>
      <c r="C233" s="13"/>
      <c r="D233" s="13"/>
      <c r="E233" s="13"/>
      <c r="F233" s="14"/>
      <c r="G233" s="13"/>
      <c r="H233" s="13"/>
      <c r="I233" s="14"/>
    </row>
    <row r="234" spans="1:9" ht="13.15">
      <c r="A234" s="13"/>
      <c r="B234" s="13"/>
      <c r="C234" s="13"/>
      <c r="D234" s="13"/>
      <c r="E234" s="13"/>
      <c r="F234" s="14"/>
      <c r="G234" s="13"/>
      <c r="H234" s="13"/>
      <c r="I234" s="14"/>
    </row>
    <row r="235" spans="1:9" ht="13.15">
      <c r="A235" s="13"/>
      <c r="B235" s="13"/>
      <c r="C235" s="13"/>
      <c r="D235" s="13"/>
      <c r="E235" s="13"/>
      <c r="F235" s="14"/>
      <c r="G235" s="13"/>
      <c r="H235" s="13"/>
      <c r="I235" s="14"/>
    </row>
    <row r="236" spans="1:9" ht="13.15">
      <c r="A236" s="13"/>
      <c r="B236" s="13"/>
      <c r="C236" s="13"/>
      <c r="D236" s="13"/>
      <c r="E236" s="13"/>
      <c r="F236" s="14"/>
      <c r="G236" s="13"/>
      <c r="H236" s="13"/>
      <c r="I236" s="14"/>
    </row>
    <row r="237" spans="1:9" ht="13.15">
      <c r="A237" s="13"/>
      <c r="B237" s="13"/>
      <c r="C237" s="13"/>
      <c r="D237" s="13"/>
      <c r="E237" s="13"/>
      <c r="F237" s="14"/>
      <c r="G237" s="13"/>
      <c r="H237" s="13"/>
      <c r="I237" s="14"/>
    </row>
    <row r="238" spans="1:9" ht="13.15">
      <c r="A238" s="13"/>
      <c r="B238" s="13"/>
      <c r="C238" s="13"/>
      <c r="D238" s="13"/>
      <c r="E238" s="13"/>
      <c r="F238" s="14"/>
      <c r="G238" s="13"/>
      <c r="H238" s="13"/>
      <c r="I238" s="14"/>
    </row>
    <row r="239" spans="1:9" ht="13.15">
      <c r="A239" s="13"/>
      <c r="B239" s="13"/>
      <c r="C239" s="13"/>
      <c r="D239" s="13"/>
      <c r="E239" s="13"/>
      <c r="F239" s="14"/>
      <c r="G239" s="13"/>
      <c r="H239" s="13"/>
      <c r="I239" s="14"/>
    </row>
    <row r="240" spans="1:9" ht="13.15">
      <c r="A240" s="13"/>
      <c r="B240" s="13"/>
      <c r="C240" s="13"/>
      <c r="D240" s="13"/>
      <c r="E240" s="13"/>
      <c r="F240" s="14"/>
      <c r="G240" s="13"/>
      <c r="H240" s="13"/>
      <c r="I240" s="14"/>
    </row>
    <row r="241" spans="1:9" ht="13.15">
      <c r="A241" s="13"/>
      <c r="B241" s="13"/>
      <c r="C241" s="13"/>
      <c r="D241" s="13"/>
      <c r="E241" s="13"/>
      <c r="F241" s="14"/>
      <c r="G241" s="13"/>
      <c r="H241" s="13"/>
      <c r="I241" s="14"/>
    </row>
    <row r="242" spans="1:9" ht="13.15">
      <c r="A242" s="13"/>
      <c r="B242" s="13"/>
      <c r="C242" s="13"/>
      <c r="D242" s="13"/>
      <c r="E242" s="13"/>
      <c r="F242" s="14"/>
      <c r="G242" s="13"/>
      <c r="H242" s="13"/>
      <c r="I242" s="14"/>
    </row>
    <row r="243" spans="1:9" ht="13.15">
      <c r="A243" s="13"/>
      <c r="B243" s="13"/>
      <c r="C243" s="13"/>
      <c r="D243" s="13"/>
      <c r="E243" s="13"/>
      <c r="F243" s="14"/>
      <c r="G243" s="13"/>
      <c r="H243" s="13"/>
      <c r="I243" s="14"/>
    </row>
    <row r="244" spans="1:9" ht="13.15">
      <c r="A244" s="13"/>
      <c r="B244" s="13"/>
      <c r="C244" s="13"/>
      <c r="D244" s="13"/>
      <c r="E244" s="13"/>
      <c r="F244" s="14"/>
      <c r="G244" s="13"/>
      <c r="H244" s="13"/>
      <c r="I244" s="14"/>
    </row>
    <row r="245" spans="1:9" ht="13.15">
      <c r="A245" s="13"/>
      <c r="B245" s="13"/>
      <c r="C245" s="13"/>
      <c r="D245" s="13"/>
      <c r="E245" s="13"/>
      <c r="F245" s="14"/>
      <c r="G245" s="13"/>
      <c r="H245" s="13"/>
      <c r="I245" s="14"/>
    </row>
    <row r="246" spans="1:9" ht="13.15">
      <c r="A246" s="13"/>
      <c r="B246" s="13"/>
      <c r="C246" s="13"/>
      <c r="D246" s="13"/>
      <c r="E246" s="13"/>
      <c r="F246" s="14"/>
      <c r="G246" s="13"/>
      <c r="H246" s="13"/>
      <c r="I246" s="14"/>
    </row>
    <row r="247" spans="1:9" ht="13.15">
      <c r="A247" s="13"/>
      <c r="B247" s="13"/>
      <c r="C247" s="13"/>
      <c r="D247" s="13"/>
      <c r="E247" s="13"/>
      <c r="F247" s="14"/>
      <c r="G247" s="13"/>
      <c r="H247" s="13"/>
      <c r="I247" s="14"/>
    </row>
    <row r="248" spans="1:9" ht="13.15">
      <c r="A248" s="13"/>
      <c r="B248" s="13"/>
      <c r="C248" s="13"/>
      <c r="D248" s="13"/>
      <c r="E248" s="13"/>
      <c r="F248" s="14"/>
      <c r="G248" s="13"/>
      <c r="H248" s="13"/>
      <c r="I248" s="14"/>
    </row>
    <row r="249" spans="1:9" ht="13.15">
      <c r="A249" s="13"/>
      <c r="B249" s="13"/>
      <c r="C249" s="13"/>
      <c r="D249" s="13"/>
      <c r="E249" s="13"/>
      <c r="F249" s="14"/>
      <c r="G249" s="13"/>
      <c r="H249" s="13"/>
      <c r="I249" s="14"/>
    </row>
    <row r="250" spans="1:9" ht="13.15">
      <c r="A250" s="13"/>
      <c r="B250" s="13"/>
      <c r="C250" s="13"/>
      <c r="D250" s="13"/>
      <c r="E250" s="13"/>
      <c r="F250" s="14"/>
      <c r="G250" s="13"/>
      <c r="H250" s="13"/>
      <c r="I250" s="14"/>
    </row>
    <row r="251" spans="1:9" ht="13.15">
      <c r="A251" s="13"/>
      <c r="B251" s="13"/>
      <c r="C251" s="13"/>
      <c r="D251" s="13"/>
      <c r="E251" s="13"/>
      <c r="F251" s="14"/>
      <c r="G251" s="13"/>
      <c r="H251" s="13"/>
      <c r="I251" s="14"/>
    </row>
    <row r="252" spans="1:9" ht="13.15">
      <c r="A252" s="13"/>
      <c r="B252" s="13"/>
      <c r="C252" s="13"/>
      <c r="D252" s="13"/>
      <c r="E252" s="13"/>
      <c r="F252" s="14"/>
      <c r="G252" s="13"/>
      <c r="H252" s="13"/>
      <c r="I252" s="14"/>
    </row>
    <row r="253" spans="1:9" ht="13.15">
      <c r="A253" s="13"/>
      <c r="B253" s="13"/>
      <c r="C253" s="13"/>
      <c r="D253" s="13"/>
      <c r="E253" s="13"/>
      <c r="F253" s="14"/>
      <c r="G253" s="13"/>
      <c r="H253" s="13"/>
      <c r="I253" s="14"/>
    </row>
    <row r="254" spans="1:9" ht="13.15">
      <c r="A254" s="13"/>
      <c r="B254" s="13"/>
      <c r="C254" s="13"/>
      <c r="D254" s="13"/>
      <c r="E254" s="13"/>
      <c r="F254" s="14"/>
      <c r="G254" s="13"/>
      <c r="H254" s="13"/>
      <c r="I254" s="14"/>
    </row>
    <row r="255" spans="1:9" ht="13.15">
      <c r="A255" s="13"/>
      <c r="B255" s="13"/>
      <c r="C255" s="13"/>
      <c r="D255" s="13"/>
      <c r="E255" s="13"/>
      <c r="F255" s="14"/>
      <c r="G255" s="13"/>
      <c r="H255" s="13"/>
      <c r="I255" s="14"/>
    </row>
    <row r="256" spans="1:9" ht="13.15">
      <c r="A256" s="13"/>
      <c r="B256" s="13"/>
      <c r="C256" s="13"/>
      <c r="D256" s="13"/>
      <c r="E256" s="13"/>
      <c r="F256" s="14"/>
      <c r="G256" s="13"/>
      <c r="H256" s="13"/>
      <c r="I256" s="14"/>
    </row>
    <row r="257" spans="1:9" ht="13.15">
      <c r="A257" s="13"/>
      <c r="B257" s="13"/>
      <c r="C257" s="13"/>
      <c r="D257" s="13"/>
      <c r="E257" s="13"/>
      <c r="F257" s="14"/>
      <c r="G257" s="13"/>
      <c r="H257" s="13"/>
      <c r="I257" s="14"/>
    </row>
    <row r="258" spans="1:9" ht="13.15">
      <c r="A258" s="13"/>
      <c r="B258" s="13"/>
      <c r="C258" s="13"/>
      <c r="D258" s="13"/>
      <c r="E258" s="13"/>
      <c r="F258" s="14"/>
      <c r="G258" s="13"/>
      <c r="H258" s="13"/>
      <c r="I258" s="14"/>
    </row>
    <row r="259" spans="1:9" ht="13.15">
      <c r="A259" s="13"/>
      <c r="B259" s="13"/>
      <c r="C259" s="13"/>
      <c r="D259" s="13"/>
      <c r="E259" s="13"/>
      <c r="F259" s="14"/>
      <c r="G259" s="13"/>
      <c r="H259" s="13"/>
      <c r="I259" s="14"/>
    </row>
    <row r="260" spans="1:9" ht="13.15">
      <c r="A260" s="13"/>
      <c r="B260" s="13"/>
      <c r="C260" s="13"/>
      <c r="D260" s="13"/>
      <c r="E260" s="13"/>
      <c r="F260" s="14"/>
      <c r="G260" s="13"/>
      <c r="H260" s="13"/>
      <c r="I260" s="14"/>
    </row>
    <row r="261" spans="1:9" ht="13.15">
      <c r="A261" s="13"/>
      <c r="B261" s="13"/>
      <c r="C261" s="13"/>
      <c r="D261" s="13"/>
      <c r="E261" s="13"/>
      <c r="F261" s="14"/>
      <c r="G261" s="13"/>
      <c r="H261" s="13"/>
      <c r="I261" s="14"/>
    </row>
    <row r="262" spans="1:9" ht="13.15">
      <c r="A262" s="13"/>
      <c r="B262" s="13"/>
      <c r="C262" s="13"/>
      <c r="D262" s="13"/>
      <c r="E262" s="13"/>
      <c r="F262" s="14"/>
      <c r="G262" s="13"/>
      <c r="H262" s="13"/>
      <c r="I262" s="14"/>
    </row>
    <row r="263" spans="1:9" ht="13.15">
      <c r="A263" s="13"/>
      <c r="B263" s="13"/>
      <c r="C263" s="13"/>
      <c r="D263" s="13"/>
      <c r="E263" s="13"/>
      <c r="F263" s="14"/>
      <c r="G263" s="13"/>
      <c r="H263" s="13"/>
      <c r="I263" s="14"/>
    </row>
    <row r="264" spans="1:9" ht="13.15">
      <c r="A264" s="13"/>
      <c r="B264" s="13"/>
      <c r="C264" s="13"/>
      <c r="D264" s="13"/>
      <c r="E264" s="13"/>
      <c r="F264" s="14"/>
      <c r="G264" s="13"/>
      <c r="H264" s="13"/>
      <c r="I264" s="14"/>
    </row>
    <row r="265" spans="1:9" ht="13.15">
      <c r="A265" s="13"/>
      <c r="B265" s="13"/>
      <c r="C265" s="13"/>
      <c r="D265" s="13"/>
      <c r="E265" s="13"/>
      <c r="F265" s="14"/>
      <c r="G265" s="13"/>
      <c r="H265" s="13"/>
      <c r="I265" s="14"/>
    </row>
    <row r="266" spans="1:9" ht="13.15">
      <c r="A266" s="13"/>
      <c r="B266" s="13"/>
      <c r="C266" s="13"/>
      <c r="D266" s="13"/>
      <c r="E266" s="13"/>
      <c r="F266" s="14"/>
      <c r="G266" s="13"/>
      <c r="H266" s="13"/>
      <c r="I266" s="14"/>
    </row>
    <row r="267" spans="1:9" ht="13.15">
      <c r="A267" s="13"/>
      <c r="B267" s="13"/>
      <c r="C267" s="13"/>
      <c r="D267" s="13"/>
      <c r="E267" s="13"/>
      <c r="F267" s="14"/>
      <c r="G267" s="13"/>
      <c r="H267" s="13"/>
      <c r="I267" s="14"/>
    </row>
    <row r="268" spans="1:9" ht="13.15">
      <c r="A268" s="13"/>
      <c r="B268" s="13"/>
      <c r="C268" s="13"/>
      <c r="D268" s="13"/>
      <c r="E268" s="13"/>
      <c r="F268" s="14"/>
      <c r="G268" s="13"/>
      <c r="H268" s="13"/>
      <c r="I268" s="14"/>
    </row>
    <row r="269" spans="1:9" ht="13.15">
      <c r="A269" s="13"/>
      <c r="B269" s="13"/>
      <c r="C269" s="13"/>
      <c r="D269" s="13"/>
      <c r="E269" s="13"/>
      <c r="F269" s="14"/>
      <c r="G269" s="13"/>
      <c r="H269" s="13"/>
      <c r="I269" s="14"/>
    </row>
    <row r="270" spans="1:9" ht="13.15">
      <c r="A270" s="13"/>
      <c r="B270" s="13"/>
      <c r="C270" s="13"/>
      <c r="D270" s="13"/>
      <c r="E270" s="13"/>
      <c r="F270" s="14"/>
      <c r="G270" s="13"/>
      <c r="H270" s="13"/>
      <c r="I270" s="14"/>
    </row>
    <row r="271" spans="1:9" ht="13.15">
      <c r="A271" s="13"/>
      <c r="B271" s="13"/>
      <c r="C271" s="13"/>
      <c r="D271" s="13"/>
      <c r="E271" s="13"/>
      <c r="F271" s="14"/>
      <c r="G271" s="13"/>
      <c r="H271" s="13"/>
      <c r="I271" s="14"/>
    </row>
    <row r="272" spans="1:9" ht="13.15">
      <c r="A272" s="13"/>
      <c r="B272" s="13"/>
      <c r="C272" s="13"/>
      <c r="D272" s="13"/>
      <c r="E272" s="13"/>
      <c r="F272" s="14"/>
      <c r="G272" s="13"/>
      <c r="H272" s="13"/>
      <c r="I272" s="14"/>
    </row>
    <row r="273" spans="1:9" ht="13.15">
      <c r="A273" s="13"/>
      <c r="B273" s="13"/>
      <c r="C273" s="13"/>
      <c r="D273" s="13"/>
      <c r="E273" s="13"/>
      <c r="F273" s="14"/>
      <c r="G273" s="13"/>
      <c r="H273" s="13"/>
      <c r="I273" s="14"/>
    </row>
    <row r="274" spans="1:9" ht="13.15">
      <c r="A274" s="13"/>
      <c r="B274" s="13"/>
      <c r="C274" s="13"/>
      <c r="D274" s="13"/>
      <c r="E274" s="13"/>
      <c r="F274" s="14"/>
      <c r="G274" s="13"/>
      <c r="H274" s="13"/>
      <c r="I274" s="14"/>
    </row>
    <row r="275" spans="1:9" ht="13.15">
      <c r="A275" s="13"/>
      <c r="B275" s="13"/>
      <c r="C275" s="13"/>
      <c r="D275" s="13"/>
      <c r="E275" s="13"/>
      <c r="F275" s="14"/>
      <c r="G275" s="13"/>
      <c r="H275" s="13"/>
      <c r="I275" s="14"/>
    </row>
    <row r="276" spans="1:9" ht="13.15">
      <c r="A276" s="13"/>
      <c r="B276" s="13"/>
      <c r="C276" s="13"/>
      <c r="D276" s="13"/>
      <c r="E276" s="13"/>
      <c r="F276" s="14"/>
      <c r="G276" s="13"/>
      <c r="H276" s="13"/>
      <c r="I276" s="14"/>
    </row>
    <row r="277" spans="1:9" ht="13.15">
      <c r="A277" s="13"/>
      <c r="B277" s="13"/>
      <c r="C277" s="13"/>
      <c r="D277" s="13"/>
      <c r="E277" s="13"/>
      <c r="F277" s="14"/>
      <c r="G277" s="13"/>
      <c r="H277" s="13"/>
      <c r="I277" s="14"/>
    </row>
    <row r="278" spans="1:9" ht="13.15">
      <c r="A278" s="13"/>
      <c r="B278" s="13"/>
      <c r="C278" s="13"/>
      <c r="D278" s="13"/>
      <c r="E278" s="13"/>
      <c r="F278" s="14"/>
      <c r="G278" s="13"/>
      <c r="H278" s="13"/>
      <c r="I278" s="14"/>
    </row>
    <row r="279" spans="1:9" ht="13.15">
      <c r="A279" s="13"/>
      <c r="B279" s="13"/>
      <c r="C279" s="13"/>
      <c r="D279" s="13"/>
      <c r="E279" s="13"/>
      <c r="F279" s="14"/>
      <c r="G279" s="13"/>
      <c r="H279" s="13"/>
      <c r="I279" s="14"/>
    </row>
    <row r="280" spans="1:9" ht="13.15">
      <c r="A280" s="13"/>
      <c r="B280" s="13"/>
      <c r="C280" s="13"/>
      <c r="D280" s="13"/>
      <c r="E280" s="13"/>
      <c r="F280" s="14"/>
      <c r="G280" s="13"/>
      <c r="H280" s="13"/>
      <c r="I280" s="14"/>
    </row>
    <row r="281" spans="1:9" ht="13.15">
      <c r="A281" s="13"/>
      <c r="B281" s="13"/>
      <c r="C281" s="13"/>
      <c r="D281" s="13"/>
      <c r="E281" s="13"/>
      <c r="F281" s="14"/>
      <c r="G281" s="13"/>
      <c r="H281" s="13"/>
      <c r="I281" s="14"/>
    </row>
    <row r="282" spans="1:9" ht="13.15">
      <c r="A282" s="13"/>
      <c r="B282" s="13"/>
      <c r="C282" s="13"/>
      <c r="D282" s="13"/>
      <c r="E282" s="13"/>
      <c r="F282" s="14"/>
      <c r="G282" s="13"/>
      <c r="H282" s="13"/>
      <c r="I282" s="14"/>
    </row>
    <row r="283" spans="1:9" ht="13.15">
      <c r="A283" s="13"/>
      <c r="B283" s="13"/>
      <c r="C283" s="13"/>
      <c r="D283" s="13"/>
      <c r="E283" s="13"/>
      <c r="F283" s="14"/>
      <c r="G283" s="13"/>
      <c r="H283" s="13"/>
      <c r="I283" s="14"/>
    </row>
    <row r="284" spans="1:9" ht="13.15">
      <c r="A284" s="13"/>
      <c r="B284" s="13"/>
      <c r="C284" s="13"/>
      <c r="D284" s="13"/>
      <c r="E284" s="13"/>
      <c r="F284" s="14"/>
      <c r="G284" s="13"/>
      <c r="H284" s="13"/>
      <c r="I284" s="14"/>
    </row>
    <row r="285" spans="1:9" ht="13.15">
      <c r="A285" s="13"/>
      <c r="B285" s="13"/>
      <c r="C285" s="13"/>
      <c r="D285" s="13"/>
      <c r="E285" s="13"/>
      <c r="F285" s="14"/>
      <c r="G285" s="13"/>
      <c r="H285" s="13"/>
      <c r="I285" s="14"/>
    </row>
    <row r="286" spans="1:9" ht="13.15">
      <c r="A286" s="13"/>
      <c r="B286" s="13"/>
      <c r="C286" s="13"/>
      <c r="D286" s="13"/>
      <c r="E286" s="13"/>
      <c r="F286" s="14"/>
      <c r="G286" s="13"/>
      <c r="H286" s="13"/>
      <c r="I286" s="14"/>
    </row>
    <row r="287" spans="1:9" ht="13.15">
      <c r="A287" s="13"/>
      <c r="B287" s="13"/>
      <c r="C287" s="13"/>
      <c r="D287" s="13"/>
      <c r="E287" s="13"/>
      <c r="F287" s="14"/>
      <c r="G287" s="13"/>
      <c r="H287" s="13"/>
      <c r="I287" s="14"/>
    </row>
    <row r="288" spans="1:9" ht="13.15">
      <c r="A288" s="13"/>
      <c r="B288" s="13"/>
      <c r="C288" s="13"/>
      <c r="D288" s="13"/>
      <c r="E288" s="13"/>
      <c r="F288" s="14"/>
      <c r="G288" s="13"/>
      <c r="H288" s="13"/>
      <c r="I288" s="14"/>
    </row>
    <row r="289" spans="1:9" ht="13.15">
      <c r="A289" s="13"/>
      <c r="B289" s="13"/>
      <c r="C289" s="13"/>
      <c r="D289" s="13"/>
      <c r="E289" s="13"/>
      <c r="F289" s="14"/>
      <c r="G289" s="13"/>
      <c r="H289" s="13"/>
      <c r="I289" s="14"/>
    </row>
    <row r="290" spans="1:9" ht="13.15">
      <c r="A290" s="13"/>
      <c r="B290" s="13"/>
      <c r="C290" s="13"/>
      <c r="D290" s="13"/>
      <c r="E290" s="13"/>
      <c r="F290" s="14"/>
      <c r="G290" s="13"/>
      <c r="H290" s="13"/>
      <c r="I290" s="14"/>
    </row>
    <row r="291" spans="1:9" ht="13.15">
      <c r="A291" s="13"/>
      <c r="B291" s="13"/>
      <c r="C291" s="13"/>
      <c r="D291" s="13"/>
      <c r="E291" s="13"/>
      <c r="F291" s="14"/>
      <c r="G291" s="13"/>
      <c r="H291" s="13"/>
      <c r="I291" s="14"/>
    </row>
    <row r="292" spans="1:9" ht="13.15">
      <c r="A292" s="13"/>
      <c r="B292" s="13"/>
      <c r="C292" s="13"/>
      <c r="D292" s="13"/>
      <c r="E292" s="13"/>
      <c r="F292" s="14"/>
      <c r="G292" s="13"/>
      <c r="H292" s="13"/>
      <c r="I292" s="14"/>
    </row>
    <row r="293" spans="1:9" ht="13.15">
      <c r="A293" s="13"/>
      <c r="B293" s="13"/>
      <c r="C293" s="13"/>
      <c r="D293" s="13"/>
      <c r="E293" s="13"/>
      <c r="F293" s="14"/>
      <c r="G293" s="13"/>
      <c r="H293" s="13"/>
      <c r="I293" s="14"/>
    </row>
    <row r="294" spans="1:9" ht="13.15">
      <c r="A294" s="13"/>
      <c r="B294" s="13"/>
      <c r="C294" s="13"/>
      <c r="D294" s="13"/>
      <c r="E294" s="13"/>
      <c r="F294" s="14"/>
      <c r="G294" s="13"/>
      <c r="H294" s="13"/>
      <c r="I294" s="14"/>
    </row>
    <row r="295" spans="1:9" ht="13.15">
      <c r="A295" s="13"/>
      <c r="B295" s="13"/>
      <c r="C295" s="13"/>
      <c r="D295" s="13"/>
      <c r="E295" s="13"/>
      <c r="F295" s="14"/>
      <c r="G295" s="13"/>
      <c r="H295" s="13"/>
      <c r="I295" s="14"/>
    </row>
    <row r="296" spans="1:9" ht="13.15">
      <c r="A296" s="13"/>
      <c r="B296" s="13"/>
      <c r="C296" s="13"/>
      <c r="D296" s="13"/>
      <c r="E296" s="13"/>
      <c r="F296" s="14"/>
      <c r="G296" s="13"/>
      <c r="H296" s="13"/>
      <c r="I296" s="14"/>
    </row>
    <row r="297" spans="1:9" ht="13.15">
      <c r="A297" s="13"/>
      <c r="B297" s="13"/>
      <c r="C297" s="13"/>
      <c r="D297" s="13"/>
      <c r="E297" s="13"/>
      <c r="F297" s="14"/>
      <c r="G297" s="13"/>
      <c r="H297" s="13"/>
      <c r="I297" s="14"/>
    </row>
    <row r="298" spans="1:9" ht="13.15">
      <c r="A298" s="13"/>
      <c r="B298" s="13"/>
      <c r="C298" s="13"/>
      <c r="D298" s="13"/>
      <c r="E298" s="13"/>
      <c r="F298" s="14"/>
      <c r="G298" s="13"/>
      <c r="H298" s="13"/>
      <c r="I298" s="14"/>
    </row>
    <row r="299" spans="1:9" ht="13.15">
      <c r="A299" s="13"/>
      <c r="B299" s="13"/>
      <c r="C299" s="13"/>
      <c r="D299" s="13"/>
      <c r="E299" s="13"/>
      <c r="F299" s="14"/>
      <c r="G299" s="13"/>
      <c r="H299" s="13"/>
      <c r="I299" s="14"/>
    </row>
    <row r="300" spans="1:9" ht="13.15">
      <c r="A300" s="13"/>
      <c r="B300" s="13"/>
      <c r="C300" s="13"/>
      <c r="D300" s="13"/>
      <c r="E300" s="13"/>
      <c r="F300" s="14"/>
      <c r="G300" s="13"/>
      <c r="H300" s="13"/>
      <c r="I300" s="14"/>
    </row>
    <row r="301" spans="1:9" ht="13.15">
      <c r="A301" s="13"/>
      <c r="B301" s="13"/>
      <c r="C301" s="13"/>
      <c r="D301" s="13"/>
      <c r="E301" s="13"/>
      <c r="F301" s="14"/>
      <c r="G301" s="13"/>
      <c r="H301" s="13"/>
      <c r="I301" s="14"/>
    </row>
    <row r="302" spans="1:9" ht="13.15">
      <c r="A302" s="13"/>
      <c r="B302" s="13"/>
      <c r="C302" s="13"/>
      <c r="D302" s="13"/>
      <c r="E302" s="13"/>
      <c r="F302" s="14"/>
      <c r="G302" s="13"/>
      <c r="H302" s="13"/>
      <c r="I302" s="14"/>
    </row>
    <row r="303" spans="1:9" ht="13.15">
      <c r="A303" s="13"/>
      <c r="B303" s="13"/>
      <c r="C303" s="13"/>
      <c r="D303" s="13"/>
      <c r="E303" s="13"/>
      <c r="F303" s="14"/>
      <c r="G303" s="13"/>
      <c r="H303" s="13"/>
      <c r="I303" s="14"/>
    </row>
    <row r="304" spans="1:9" ht="13.15">
      <c r="A304" s="13"/>
      <c r="B304" s="13"/>
      <c r="C304" s="13"/>
      <c r="D304" s="13"/>
      <c r="E304" s="13"/>
      <c r="F304" s="14"/>
      <c r="G304" s="13"/>
      <c r="H304" s="13"/>
      <c r="I304" s="14"/>
    </row>
    <row r="305" spans="1:9" ht="13.15">
      <c r="A305" s="13"/>
      <c r="B305" s="13"/>
      <c r="C305" s="13"/>
      <c r="D305" s="13"/>
      <c r="E305" s="13"/>
      <c r="F305" s="14"/>
      <c r="G305" s="13"/>
      <c r="H305" s="13"/>
      <c r="I305" s="14"/>
    </row>
    <row r="306" spans="1:9" ht="13.15">
      <c r="A306" s="13"/>
      <c r="B306" s="13"/>
      <c r="C306" s="13"/>
      <c r="D306" s="13"/>
      <c r="E306" s="13"/>
      <c r="F306" s="14"/>
      <c r="G306" s="13"/>
      <c r="H306" s="13"/>
      <c r="I306" s="14"/>
    </row>
    <row r="307" spans="1:9" ht="13.15">
      <c r="A307" s="13"/>
      <c r="B307" s="13"/>
      <c r="C307" s="13"/>
      <c r="D307" s="13"/>
      <c r="E307" s="13"/>
      <c r="F307" s="14"/>
      <c r="G307" s="13"/>
      <c r="H307" s="13"/>
      <c r="I307" s="14"/>
    </row>
    <row r="308" spans="1:9" ht="13.15">
      <c r="A308" s="13"/>
      <c r="B308" s="13"/>
      <c r="C308" s="13"/>
      <c r="D308" s="13"/>
      <c r="E308" s="13"/>
      <c r="F308" s="14"/>
      <c r="G308" s="13"/>
      <c r="H308" s="13"/>
      <c r="I308" s="14"/>
    </row>
    <row r="309" spans="1:9" ht="13.15">
      <c r="A309" s="13"/>
      <c r="B309" s="13"/>
      <c r="C309" s="13"/>
      <c r="D309" s="13"/>
      <c r="E309" s="13"/>
      <c r="F309" s="14"/>
      <c r="G309" s="13"/>
      <c r="H309" s="13"/>
      <c r="I309" s="14"/>
    </row>
    <row r="310" spans="1:9" ht="13.15">
      <c r="A310" s="13"/>
      <c r="B310" s="13"/>
      <c r="C310" s="13"/>
      <c r="D310" s="13"/>
      <c r="E310" s="13"/>
      <c r="F310" s="14"/>
      <c r="G310" s="13"/>
      <c r="H310" s="13"/>
      <c r="I310" s="14"/>
    </row>
    <row r="311" spans="1:9" ht="13.15">
      <c r="A311" s="13"/>
      <c r="B311" s="13"/>
      <c r="C311" s="13"/>
      <c r="D311" s="13"/>
      <c r="E311" s="13"/>
      <c r="F311" s="14"/>
      <c r="G311" s="13"/>
      <c r="H311" s="13"/>
      <c r="I311" s="14"/>
    </row>
    <row r="312" spans="1:9" ht="13.15">
      <c r="A312" s="13"/>
      <c r="B312" s="13"/>
      <c r="C312" s="13"/>
      <c r="D312" s="13"/>
      <c r="E312" s="13"/>
      <c r="F312" s="14"/>
      <c r="G312" s="13"/>
      <c r="H312" s="13"/>
      <c r="I312" s="14"/>
    </row>
    <row r="313" spans="1:9" ht="13.15">
      <c r="A313" s="13"/>
      <c r="B313" s="13"/>
      <c r="C313" s="13"/>
      <c r="D313" s="13"/>
      <c r="E313" s="13"/>
      <c r="F313" s="14"/>
      <c r="G313" s="13"/>
      <c r="H313" s="13"/>
      <c r="I313" s="14"/>
    </row>
    <row r="314" spans="1:9" ht="13.15">
      <c r="A314" s="13"/>
      <c r="B314" s="13"/>
      <c r="C314" s="13"/>
      <c r="D314" s="13"/>
      <c r="E314" s="13"/>
      <c r="F314" s="14"/>
      <c r="G314" s="13"/>
      <c r="H314" s="13"/>
      <c r="I314" s="14"/>
    </row>
    <row r="315" spans="1:9" ht="13.15">
      <c r="A315" s="13"/>
      <c r="B315" s="13"/>
      <c r="C315" s="13"/>
      <c r="D315" s="13"/>
      <c r="E315" s="13"/>
      <c r="F315" s="14"/>
      <c r="G315" s="13"/>
      <c r="H315" s="13"/>
      <c r="I315" s="14"/>
    </row>
    <row r="316" spans="1:9" ht="13.15">
      <c r="A316" s="13"/>
      <c r="B316" s="13"/>
      <c r="C316" s="13"/>
      <c r="D316" s="13"/>
      <c r="E316" s="13"/>
      <c r="F316" s="14"/>
      <c r="G316" s="13"/>
      <c r="H316" s="13"/>
      <c r="I316" s="14"/>
    </row>
    <row r="317" spans="1:9" ht="13.15">
      <c r="A317" s="13"/>
      <c r="B317" s="13"/>
      <c r="C317" s="13"/>
      <c r="D317" s="13"/>
      <c r="E317" s="13"/>
      <c r="F317" s="14"/>
      <c r="G317" s="13"/>
      <c r="H317" s="13"/>
      <c r="I317" s="14"/>
    </row>
    <row r="318" spans="1:9" ht="13.15">
      <c r="A318" s="13"/>
      <c r="B318" s="13"/>
      <c r="C318" s="13"/>
      <c r="D318" s="13"/>
      <c r="E318" s="13"/>
      <c r="F318" s="14"/>
      <c r="G318" s="13"/>
      <c r="H318" s="13"/>
      <c r="I318" s="14"/>
    </row>
    <row r="319" spans="1:9" ht="13.15">
      <c r="A319" s="13"/>
      <c r="B319" s="13"/>
      <c r="C319" s="13"/>
      <c r="D319" s="13"/>
      <c r="E319" s="13"/>
      <c r="F319" s="14"/>
      <c r="G319" s="13"/>
      <c r="H319" s="13"/>
      <c r="I319" s="14"/>
    </row>
    <row r="320" spans="1:9" ht="13.15">
      <c r="A320" s="13"/>
      <c r="B320" s="13"/>
      <c r="C320" s="13"/>
      <c r="D320" s="13"/>
      <c r="E320" s="13"/>
      <c r="F320" s="14"/>
      <c r="G320" s="13"/>
      <c r="H320" s="13"/>
      <c r="I320" s="14"/>
    </row>
    <row r="321" spans="1:9" ht="13.15">
      <c r="A321" s="13"/>
      <c r="B321" s="13"/>
      <c r="C321" s="13"/>
      <c r="D321" s="13"/>
      <c r="E321" s="13"/>
      <c r="F321" s="14"/>
      <c r="G321" s="13"/>
      <c r="H321" s="13"/>
      <c r="I321" s="14"/>
    </row>
    <row r="322" spans="1:9" ht="13.15">
      <c r="A322" s="13"/>
      <c r="B322" s="13"/>
      <c r="C322" s="13"/>
      <c r="D322" s="13"/>
      <c r="E322" s="13"/>
      <c r="F322" s="14"/>
      <c r="G322" s="13"/>
      <c r="H322" s="13"/>
      <c r="I322" s="14"/>
    </row>
    <row r="323" spans="1:9" ht="13.15">
      <c r="A323" s="13"/>
      <c r="B323" s="13"/>
      <c r="C323" s="13"/>
      <c r="D323" s="13"/>
      <c r="E323" s="13"/>
      <c r="F323" s="14"/>
      <c r="G323" s="13"/>
      <c r="H323" s="13"/>
      <c r="I323" s="14"/>
    </row>
    <row r="324" spans="1:9" ht="13.15">
      <c r="A324" s="13"/>
      <c r="B324" s="13"/>
      <c r="C324" s="13"/>
      <c r="D324" s="13"/>
      <c r="E324" s="13"/>
      <c r="F324" s="14"/>
      <c r="G324" s="13"/>
      <c r="H324" s="13"/>
      <c r="I324" s="14"/>
    </row>
    <row r="325" spans="1:9" ht="13.15">
      <c r="A325" s="13"/>
      <c r="B325" s="13"/>
      <c r="C325" s="13"/>
      <c r="D325" s="13"/>
      <c r="E325" s="13"/>
      <c r="F325" s="14"/>
      <c r="G325" s="13"/>
      <c r="H325" s="13"/>
      <c r="I325" s="14"/>
    </row>
    <row r="326" spans="1:9" ht="13.15">
      <c r="A326" s="13"/>
      <c r="B326" s="13"/>
      <c r="C326" s="13"/>
      <c r="D326" s="13"/>
      <c r="E326" s="13"/>
      <c r="F326" s="14"/>
      <c r="G326" s="13"/>
      <c r="H326" s="13"/>
      <c r="I326" s="14"/>
    </row>
    <row r="327" spans="1:9" ht="13.15">
      <c r="A327" s="13"/>
      <c r="B327" s="13"/>
      <c r="C327" s="13"/>
      <c r="D327" s="13"/>
      <c r="E327" s="13"/>
      <c r="F327" s="14"/>
      <c r="G327" s="13"/>
      <c r="H327" s="13"/>
      <c r="I327" s="14"/>
    </row>
    <row r="328" spans="1:9" ht="13.15">
      <c r="A328" s="13"/>
      <c r="B328" s="13"/>
      <c r="C328" s="13"/>
      <c r="D328" s="13"/>
      <c r="E328" s="13"/>
      <c r="F328" s="14"/>
      <c r="G328" s="13"/>
      <c r="H328" s="13"/>
      <c r="I328" s="14"/>
    </row>
    <row r="329" spans="1:9" ht="13.15">
      <c r="A329" s="13"/>
      <c r="B329" s="13"/>
      <c r="C329" s="13"/>
      <c r="D329" s="13"/>
      <c r="E329" s="13"/>
      <c r="F329" s="14"/>
      <c r="G329" s="13"/>
      <c r="H329" s="13"/>
      <c r="I329" s="14"/>
    </row>
    <row r="330" spans="1:9" ht="13.15">
      <c r="A330" s="13"/>
      <c r="B330" s="13"/>
      <c r="C330" s="13"/>
      <c r="D330" s="13"/>
      <c r="E330" s="13"/>
      <c r="F330" s="14"/>
      <c r="G330" s="13"/>
      <c r="H330" s="13"/>
      <c r="I330" s="14"/>
    </row>
    <row r="331" spans="1:9" ht="13.15">
      <c r="A331" s="13"/>
      <c r="B331" s="13"/>
      <c r="C331" s="13"/>
      <c r="D331" s="13"/>
      <c r="E331" s="13"/>
      <c r="F331" s="14"/>
      <c r="G331" s="13"/>
      <c r="H331" s="13"/>
      <c r="I331" s="14"/>
    </row>
    <row r="332" spans="1:9" ht="13.15">
      <c r="A332" s="13"/>
      <c r="B332" s="13"/>
      <c r="C332" s="13"/>
      <c r="D332" s="13"/>
      <c r="E332" s="13"/>
      <c r="F332" s="14"/>
      <c r="G332" s="13"/>
      <c r="H332" s="13"/>
      <c r="I332" s="14"/>
    </row>
    <row r="333" spans="1:9" ht="13.15">
      <c r="A333" s="13"/>
      <c r="B333" s="13"/>
      <c r="C333" s="13"/>
      <c r="D333" s="13"/>
      <c r="E333" s="13"/>
      <c r="F333" s="14"/>
      <c r="G333" s="13"/>
      <c r="H333" s="13"/>
      <c r="I333" s="14"/>
    </row>
    <row r="334" spans="1:9" ht="13.15">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4" activePane="bottomRight" state="frozen"/>
      <selection pane="bottomRight" activeCell="G13" sqref="G13"/>
      <selection pane="bottomLeft" activeCell="A18" sqref="A18:XFD24"/>
      <selection pane="topRight" activeCell="A18" sqref="A18:XFD2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0" t="str" cm="1">
        <f t="array" ref="A1">portfolio</f>
        <v>Catalyze</v>
      </c>
      <c r="B1" s="80"/>
      <c r="C1" s="80"/>
      <c r="D1" s="81" t="s">
        <v>16</v>
      </c>
      <c r="E1" s="81"/>
      <c r="F1" s="81"/>
      <c r="G1" s="79" t="s">
        <v>17</v>
      </c>
      <c r="H1" s="79"/>
      <c r="I1" s="79"/>
    </row>
    <row r="2" spans="1:9" ht="19.5" customHeight="1">
      <c r="A2" s="82" t="s">
        <v>2</v>
      </c>
      <c r="B2" s="82"/>
      <c r="C2" s="5">
        <f>SUM(C4:C92)</f>
        <v>5024435.7381204516</v>
      </c>
      <c r="D2" s="5">
        <f>SUM(D4:D92)</f>
        <v>6586084.8770000013</v>
      </c>
      <c r="E2" s="5">
        <f>C2-D2</f>
        <v>-1561649.1388795497</v>
      </c>
      <c r="F2" s="6">
        <f>IFERROR(E2/D2, 0)</f>
        <v>-0.23711342444631381</v>
      </c>
      <c r="G2" s="5">
        <f>SUM(G4:G92)</f>
        <v>5878004.3720000004</v>
      </c>
      <c r="H2" s="7">
        <f>C2-G2</f>
        <v>-853568.63387954887</v>
      </c>
      <c r="I2" s="6">
        <f>IFERROR(H2/G2, 0)</f>
        <v>-0.14521401820412747</v>
      </c>
    </row>
    <row r="3" spans="1:9" ht="14.25" customHeight="1">
      <c r="A3" s="17" t="s">
        <v>3</v>
      </c>
      <c r="B3" s="17" t="s">
        <v>4</v>
      </c>
      <c r="C3" s="25" t="s">
        <v>5</v>
      </c>
      <c r="D3" s="26" t="s">
        <v>6</v>
      </c>
      <c r="E3" s="26" t="s">
        <v>7</v>
      </c>
      <c r="F3" s="27" t="s">
        <v>8</v>
      </c>
      <c r="G3" s="28" t="s">
        <v>9</v>
      </c>
      <c r="H3" s="29" t="s">
        <v>7</v>
      </c>
      <c r="I3" s="30" t="s">
        <v>8</v>
      </c>
    </row>
    <row r="4" spans="1:9" ht="15.75">
      <c r="A4" s="53" t="str" cm="1">
        <f t="array" ref="A4:A20">Sites[Site]</f>
        <v>Fresno - 3150 Shaw Ave</v>
      </c>
      <c r="B4" s="33" t="str" cm="1">
        <f t="array" ref="B4:B20">Sites[State]</f>
        <v>CA</v>
      </c>
      <c r="C4" s="34">
        <f>SUM(Oct!C4, Nov!C4, Dec!C4)</f>
        <v>111996.625</v>
      </c>
      <c r="D4" s="35">
        <f>SUM(Oct!D4, Nov!D4, Dec!D4)</f>
        <v>112328.33000000002</v>
      </c>
      <c r="E4" s="35">
        <f>IF(AND(ISNUMBER(C4),ISNUMBER(D4)), C4-D4, "")</f>
        <v>-331.7050000000163</v>
      </c>
      <c r="F4" s="36">
        <f>IFERROR(E4/D4, "")</f>
        <v>-2.9529950280576256E-3</v>
      </c>
      <c r="G4" s="37">
        <f>SUM(Oct!G4,Nov!G4,Dec!G4)</f>
        <v>151970.08000000002</v>
      </c>
      <c r="H4" s="37">
        <f>SUM(Oct!H4, Nov!H4, Dec!H4)</f>
        <v>-39973.454999999994</v>
      </c>
      <c r="I4" s="38">
        <f>IFERROR(H4/G4, "")</f>
        <v>-0.26303503294859087</v>
      </c>
    </row>
    <row r="5" spans="1:9" ht="15.75">
      <c r="A5" s="54" t="str">
        <v>Adelanto - 1 Sheep Creek Road</v>
      </c>
      <c r="B5" s="40" t="str">
        <v>CA</v>
      </c>
      <c r="C5" s="41">
        <f>SUM(Oct!C5, Nov!C5, Dec!C5)</f>
        <v>794285.19</v>
      </c>
      <c r="D5" s="42">
        <f>SUM(Oct!D5, Nov!D5, Dec!D5)</f>
        <v>928665.40999999992</v>
      </c>
      <c r="E5" s="42">
        <f t="shared" ref="E5:E15" si="0">IF(AND(ISNUMBER(C5),ISNUMBER(D5)), C5-D5, "")</f>
        <v>-134380.21999999997</v>
      </c>
      <c r="F5" s="43">
        <f>IFERROR(E5/D5, "")</f>
        <v>-0.14470251454719305</v>
      </c>
      <c r="G5" s="42">
        <f>SUM(Oct!G5,Nov!G5,Dec!G5)</f>
        <v>1078275.6299999999</v>
      </c>
      <c r="H5" s="44">
        <f>SUM(Oct!H5, Nov!H5, Dec!H5)</f>
        <v>-283990.44</v>
      </c>
      <c r="I5" s="43">
        <f>IFERROR(H5/G5, "")</f>
        <v>-0.26337462528018002</v>
      </c>
    </row>
    <row r="6" spans="1:9" ht="15.75">
      <c r="A6" s="53" t="str">
        <v>Blackstone - 83 Federal Street</v>
      </c>
      <c r="B6" s="33" t="str">
        <v>MA</v>
      </c>
      <c r="C6" s="34">
        <f>SUM(Oct!C6, Nov!C6, Dec!C6)</f>
        <v>252743</v>
      </c>
      <c r="D6" s="35">
        <f>SUM(Oct!D6, Nov!D6, Dec!D6)</f>
        <v>1144140</v>
      </c>
      <c r="E6" s="35">
        <f t="shared" si="0"/>
        <v>-891397</v>
      </c>
      <c r="F6" s="36">
        <f t="shared" ref="F6:F15" si="1">IFERROR(E6/D6, "")</f>
        <v>-0.77909783767720731</v>
      </c>
      <c r="G6" s="37">
        <f>SUM(Oct!G6,Nov!G6,Dec!G6)</f>
        <v>1016744</v>
      </c>
      <c r="H6" s="37">
        <f>SUM(Oct!H6, Nov!H6, Dec!H6)</f>
        <v>-764001</v>
      </c>
      <c r="I6" s="38">
        <f t="shared" ref="I6:I15" si="2">IFERROR(H6/G6, "")</f>
        <v>-0.75141923630727103</v>
      </c>
    </row>
    <row r="7" spans="1:9" ht="15.75">
      <c r="A7" s="54" t="str">
        <v>Charlton - 299 Worcester Road</v>
      </c>
      <c r="B7" s="40" t="str">
        <v>MA</v>
      </c>
      <c r="C7" s="41">
        <f>SUM(Oct!C7, Nov!C7, Dec!C7)</f>
        <v>92426.5</v>
      </c>
      <c r="D7" s="42">
        <f>SUM(Oct!D7, Nov!D7, Dec!D7)</f>
        <v>96074.44</v>
      </c>
      <c r="E7" s="42">
        <f t="shared" si="0"/>
        <v>-3647.9400000000023</v>
      </c>
      <c r="F7" s="43">
        <f t="shared" si="1"/>
        <v>-3.7969932481521647E-2</v>
      </c>
      <c r="G7" s="42">
        <f>SUM(Oct!G7,Nov!G7,Dec!G7)</f>
        <v>77962.53</v>
      </c>
      <c r="H7" s="44">
        <f>SUM(Oct!H7, Nov!H7, Dec!H7)</f>
        <v>14463.970000000001</v>
      </c>
      <c r="I7" s="43">
        <f t="shared" si="2"/>
        <v>0.18552463600142274</v>
      </c>
    </row>
    <row r="8" spans="1:9" ht="15.75">
      <c r="A8" s="53" t="str">
        <v>Wareham - 8 Thatcher Drive</v>
      </c>
      <c r="B8" s="33" t="str">
        <v>MA</v>
      </c>
      <c r="C8" s="34">
        <f>SUM(Oct!C8, Nov!C8, Dec!C8)</f>
        <v>21923.125</v>
      </c>
      <c r="D8" s="35">
        <f>SUM(Oct!D8, Nov!D8, Dec!D8)</f>
        <v>23901.838</v>
      </c>
      <c r="E8" s="35">
        <f t="shared" si="0"/>
        <v>-1978.7129999999997</v>
      </c>
      <c r="F8" s="36">
        <f t="shared" si="1"/>
        <v>-8.2784972436010976E-2</v>
      </c>
      <c r="G8" s="37">
        <f>SUM(Oct!G8,Nov!G8,Dec!G8)</f>
        <v>21313.674999999999</v>
      </c>
      <c r="H8" s="37">
        <f>SUM(Oct!H8, Nov!H8, Dec!H8)</f>
        <v>609.45000000000073</v>
      </c>
      <c r="I8" s="38">
        <f t="shared" si="2"/>
        <v>2.859431796722061E-2</v>
      </c>
    </row>
    <row r="9" spans="1:9" ht="15.75">
      <c r="A9" s="54" t="str">
        <v>West Yarmouth - 42 Mid Tech</v>
      </c>
      <c r="B9" s="40" t="str">
        <v>MA</v>
      </c>
      <c r="C9" s="41">
        <f>SUM(Oct!C9, Nov!C9, Dec!C9)</f>
        <v>16288.26187045066</v>
      </c>
      <c r="D9" s="42">
        <f>SUM(Oct!D9, Nov!D9, Dec!D9)</f>
        <v>16808.449000000001</v>
      </c>
      <c r="E9" s="42">
        <f t="shared" si="0"/>
        <v>-520.18712954934017</v>
      </c>
      <c r="F9" s="43">
        <f t="shared" si="1"/>
        <v>-3.0947955373475576E-2</v>
      </c>
      <c r="G9" s="42">
        <f>SUM(Oct!G9,Nov!G9,Dec!G9)</f>
        <v>18439.437000000002</v>
      </c>
      <c r="H9" s="44">
        <f>SUM(Oct!H9, Nov!H9, Dec!H9)</f>
        <v>-2151.1751295493405</v>
      </c>
      <c r="I9" s="43">
        <f t="shared" si="2"/>
        <v>-0.11666164913545572</v>
      </c>
    </row>
    <row r="10" spans="1:9" ht="15.75">
      <c r="A10" s="53" t="str">
        <v>Harrison - 130 Union Street</v>
      </c>
      <c r="B10" s="33" t="str">
        <v>NY</v>
      </c>
      <c r="C10" s="34">
        <f>SUM(Oct!C10, Nov!C10, Dec!C10)</f>
        <v>32707.692500000001</v>
      </c>
      <c r="D10" s="35">
        <f>SUM(Oct!D10, Nov!D10, Dec!D10)</f>
        <v>39454.03</v>
      </c>
      <c r="E10" s="35">
        <f t="shared" si="0"/>
        <v>-6746.3374999999978</v>
      </c>
      <c r="F10" s="36">
        <f t="shared" si="1"/>
        <v>-0.17099235490012041</v>
      </c>
      <c r="G10" s="37">
        <f>SUM(Oct!G10,Nov!G10,Dec!G10)</f>
        <v>30064.840000000004</v>
      </c>
      <c r="H10" s="37">
        <f>SUM(Oct!H10, Nov!H10, Dec!H10)</f>
        <v>2642.8524999999991</v>
      </c>
      <c r="I10" s="38">
        <f t="shared" si="2"/>
        <v>8.790509112970496E-2</v>
      </c>
    </row>
    <row r="11" spans="1:9" ht="15.75">
      <c r="A11" s="54" t="str">
        <v>Staten Island - Ellis Storage</v>
      </c>
      <c r="B11" s="40" t="str">
        <v>NY</v>
      </c>
      <c r="C11" s="41">
        <f>SUM(Oct!C11, Nov!C11, Dec!C11)</f>
        <v>74907.875</v>
      </c>
      <c r="D11" s="42">
        <f>SUM(Oct!D11, Nov!D11, Dec!D11)</f>
        <v>75516.350000000006</v>
      </c>
      <c r="E11" s="42">
        <f t="shared" si="0"/>
        <v>-608.47500000000582</v>
      </c>
      <c r="F11" s="43">
        <f t="shared" si="1"/>
        <v>-8.0575266150973365E-3</v>
      </c>
      <c r="G11" s="42">
        <f>SUM(Oct!G11,Nov!G11,Dec!G11)</f>
        <v>70344.33</v>
      </c>
      <c r="H11" s="44">
        <f>SUM(Oct!H11, Nov!H11, Dec!H11)</f>
        <v>4563.5449999999983</v>
      </c>
      <c r="I11" s="43">
        <f t="shared" si="2"/>
        <v>6.4874382910463407E-2</v>
      </c>
    </row>
    <row r="12" spans="1:9" ht="15.75">
      <c r="A12" s="53" t="str">
        <v>Amherst - 595 Scholles Road</v>
      </c>
      <c r="B12" s="33" t="str">
        <v>NY</v>
      </c>
      <c r="C12" s="34">
        <f>SUM(Oct!C12, Nov!C12, Dec!C12)</f>
        <v>886526</v>
      </c>
      <c r="D12" s="35">
        <f>SUM(Oct!D12, Nov!D12, Dec!D12)</f>
        <v>824020.6</v>
      </c>
      <c r="E12" s="35">
        <f t="shared" si="0"/>
        <v>62505.400000000023</v>
      </c>
      <c r="F12" s="36">
        <f t="shared" si="1"/>
        <v>7.5854171606874909E-2</v>
      </c>
      <c r="G12" s="37">
        <f>SUM(Oct!G12,Nov!G12,Dec!G12)</f>
        <v>816474.1</v>
      </c>
      <c r="H12" s="37">
        <f>SUM(Oct!H12, Nov!H12, Dec!H12)</f>
        <v>70051.900000000023</v>
      </c>
      <c r="I12" s="38">
        <f t="shared" si="2"/>
        <v>8.5798067568830447E-2</v>
      </c>
    </row>
    <row r="13" spans="1:9" ht="15.75">
      <c r="A13" s="54" t="str">
        <v>Lancaster 1 - Gunnville Road</v>
      </c>
      <c r="B13" s="40" t="str">
        <v>NY</v>
      </c>
      <c r="C13" s="41">
        <f>SUM(Oct!C13, Nov!C13, Dec!C13)</f>
        <v>899672</v>
      </c>
      <c r="D13" s="42">
        <f>SUM(Oct!D13, Nov!D13, Dec!D13)</f>
        <v>1077549.5</v>
      </c>
      <c r="E13" s="42">
        <f t="shared" si="0"/>
        <v>-177877.5</v>
      </c>
      <c r="F13" s="43">
        <f t="shared" si="1"/>
        <v>-0.16507594314692736</v>
      </c>
      <c r="G13" s="42">
        <f>SUM(Oct!G13,Nov!G13,Dec!G13)</f>
        <v>735000.3</v>
      </c>
      <c r="H13" s="44">
        <f>SUM(Oct!H13, Nov!H13, Dec!H13)</f>
        <v>164671.69999999998</v>
      </c>
      <c r="I13" s="43">
        <f t="shared" si="2"/>
        <v>0.22404303780556276</v>
      </c>
    </row>
    <row r="14" spans="1:9" ht="15.75">
      <c r="A14" s="53" t="str">
        <v>Lancaster 2 - Shisler Road</v>
      </c>
      <c r="B14" s="33" t="str">
        <v>NY</v>
      </c>
      <c r="C14" s="34">
        <f>SUM(Oct!C14, Nov!C14, Dec!C14)</f>
        <v>851206</v>
      </c>
      <c r="D14" s="35">
        <f>SUM(Oct!D14, Nov!D14, Dec!D14)</f>
        <v>1224677.3999999999</v>
      </c>
      <c r="E14" s="35">
        <f t="shared" si="0"/>
        <v>-373471.39999999991</v>
      </c>
      <c r="F14" s="36">
        <f t="shared" si="1"/>
        <v>-0.30495492118985779</v>
      </c>
      <c r="G14" s="37">
        <f>SUM(Oct!G14,Nov!G14,Dec!G14)</f>
        <v>796998.60000000009</v>
      </c>
      <c r="H14" s="37">
        <f>SUM(Oct!H14, Nov!H14, Dec!H14)</f>
        <v>54207.399999999965</v>
      </c>
      <c r="I14" s="38">
        <f t="shared" si="2"/>
        <v>6.8014423111910055E-2</v>
      </c>
    </row>
    <row r="15" spans="1:9" ht="15.75">
      <c r="A15" s="54" t="str">
        <v>Fullerton - 200 W Orangethorpe</v>
      </c>
      <c r="B15" s="40" t="str">
        <v>CA</v>
      </c>
      <c r="C15" s="41">
        <f>SUM(Oct!C15, Nov!C15, Dec!C15)</f>
        <v>156580.25</v>
      </c>
      <c r="D15" s="42">
        <f>SUM(Oct!D15, Nov!D15, Dec!D15)</f>
        <v>172463.56</v>
      </c>
      <c r="E15" s="42">
        <f t="shared" si="0"/>
        <v>-15883.309999999998</v>
      </c>
      <c r="F15" s="43">
        <f t="shared" si="1"/>
        <v>-9.209661449641883E-2</v>
      </c>
      <c r="G15" s="42">
        <f>SUM(Oct!G15,Nov!G15,Dec!G15)</f>
        <v>177726.15000000002</v>
      </c>
      <c r="H15" s="44">
        <f>SUM(Oct!H15, Nov!H15, Dec!H15)</f>
        <v>-21145.900000000009</v>
      </c>
      <c r="I15" s="43">
        <f t="shared" si="2"/>
        <v>-0.11898024010535313</v>
      </c>
    </row>
    <row r="16" spans="1:9" ht="15.75">
      <c r="A16" s="53" t="str">
        <v>El Paso - 10500 Railroad Drive</v>
      </c>
      <c r="B16" s="33" t="str">
        <v>TX</v>
      </c>
      <c r="C16" s="34">
        <f>SUM(Oct!C16, Nov!C16, Dec!C16)</f>
        <v>213847.00000000061</v>
      </c>
      <c r="D16" s="35">
        <f>SUM(Oct!D16, Nov!D16, Dec!D16)</f>
        <v>237627.36</v>
      </c>
      <c r="E16" s="35">
        <f t="shared" ref="E16:E20" si="3">IF(AND(ISNUMBER(C16),ISNUMBER(D16)), C16-D16, "")</f>
        <v>-23780.359999999375</v>
      </c>
      <c r="F16" s="36">
        <f t="shared" ref="F16:F20" si="4">IFERROR(E16/D16, "")</f>
        <v>-0.10007416654378257</v>
      </c>
      <c r="G16" s="37">
        <f>SUM(Oct!G16,Nov!G16,Dec!G16)</f>
        <v>220107.26</v>
      </c>
      <c r="H16" s="37">
        <f>SUM(Oct!H16, Nov!H16, Dec!H16)</f>
        <v>-6260.2599999993836</v>
      </c>
      <c r="I16" s="38">
        <f t="shared" ref="I16:I20" si="5">IFERROR(H16/G16, "")</f>
        <v>-2.8441860572883344E-2</v>
      </c>
    </row>
    <row r="17" spans="1:9" ht="15.75">
      <c r="A17" s="54" t="str">
        <v>Friona - 900 Millard Ave</v>
      </c>
      <c r="B17" s="40" t="str">
        <v>TX</v>
      </c>
      <c r="C17" s="41">
        <f>SUM(Oct!C17, Nov!C17, Dec!C17)</f>
        <v>168942.75</v>
      </c>
      <c r="D17" s="42">
        <f>SUM(Oct!D17, Nov!D17, Dec!D17)</f>
        <v>166023.21000000002</v>
      </c>
      <c r="E17" s="42">
        <f t="shared" si="3"/>
        <v>2919.539999999979</v>
      </c>
      <c r="F17" s="43">
        <f t="shared" si="4"/>
        <v>1.7585131621054542E-2</v>
      </c>
      <c r="G17" s="42">
        <f>SUM(Oct!G17,Nov!G17,Dec!G17)</f>
        <v>177655.66</v>
      </c>
      <c r="H17" s="44">
        <f>SUM(Oct!H17, Nov!H17, Dec!H17)</f>
        <v>-8712.9100000000035</v>
      </c>
      <c r="I17" s="43">
        <f t="shared" si="5"/>
        <v>-4.9043807554456767E-2</v>
      </c>
    </row>
    <row r="18" spans="1:9" ht="15.75">
      <c r="A18" s="53" t="str">
        <v>Augusta - 13 York Farm Road</v>
      </c>
      <c r="B18" s="33" t="str">
        <v>ME</v>
      </c>
      <c r="C18" s="34">
        <f>SUM(Oct!C18, Nov!C18, Dec!C18)</f>
        <v>222147.1875</v>
      </c>
      <c r="D18" s="35">
        <f>SUM(Oct!D18, Nov!D18, Dec!D18)</f>
        <v>240444.57</v>
      </c>
      <c r="E18" s="35">
        <f t="shared" si="3"/>
        <v>-18297.382500000007</v>
      </c>
      <c r="F18" s="36">
        <f t="shared" si="4"/>
        <v>-7.6098131473711417E-2</v>
      </c>
      <c r="G18" s="37">
        <f>SUM(Oct!G18,Nov!G18,Dec!G18)</f>
        <v>228902.8</v>
      </c>
      <c r="H18" s="37">
        <f>SUM(Oct!H18, Nov!H18, Dec!H18)</f>
        <v>-6755.6125000000029</v>
      </c>
      <c r="I18" s="38">
        <f t="shared" si="5"/>
        <v>-2.9513018189379962E-2</v>
      </c>
    </row>
    <row r="19" spans="1:9" ht="15.75">
      <c r="A19" s="54" t="str">
        <v xml:space="preserve">Santa Ana - 1441 West </v>
      </c>
      <c r="B19" s="40" t="str">
        <v>CA</v>
      </c>
      <c r="C19" s="41">
        <f>SUM(Oct!C19, Nov!C19, Dec!C19)</f>
        <v>93106.625</v>
      </c>
      <c r="D19" s="42">
        <f>SUM(Oct!D19, Nov!D19, Dec!D19)</f>
        <v>63231.130000000005</v>
      </c>
      <c r="E19" s="42">
        <f t="shared" si="3"/>
        <v>29875.494999999995</v>
      </c>
      <c r="F19" s="43">
        <f t="shared" si="4"/>
        <v>0.47248080178228657</v>
      </c>
      <c r="G19" s="42">
        <f>SUM(Oct!G19,Nov!G19,Dec!G19)</f>
        <v>114474.98</v>
      </c>
      <c r="H19" s="44">
        <f>SUM(Oct!H19, Nov!H19, Dec!H19)</f>
        <v>-21368.354999999996</v>
      </c>
      <c r="I19" s="43">
        <f t="shared" si="5"/>
        <v>-0.18666397670477861</v>
      </c>
    </row>
    <row r="20" spans="1:9" ht="15.75">
      <c r="A20" s="53" t="str">
        <v>Jessup -7950 Oceano Ave</v>
      </c>
      <c r="B20" s="33" t="str">
        <v>MD</v>
      </c>
      <c r="C20" s="34">
        <f>SUM(Oct!C20, Nov!C20, Dec!C20)</f>
        <v>135129.65625</v>
      </c>
      <c r="D20" s="35">
        <f>SUM(Oct!D20, Nov!D20, Dec!D20)</f>
        <v>143158.70000000001</v>
      </c>
      <c r="E20" s="35">
        <f t="shared" si="3"/>
        <v>-8029.0437500000116</v>
      </c>
      <c r="F20" s="36">
        <f t="shared" si="4"/>
        <v>-5.6084916599550089E-2</v>
      </c>
      <c r="G20" s="37">
        <f>SUM(Oct!G20,Nov!G20,Dec!G20)</f>
        <v>145550</v>
      </c>
      <c r="H20" s="37">
        <f>SUM(Oct!H20, Nov!H20, Dec!H20)</f>
        <v>-10420.34375</v>
      </c>
      <c r="I20" s="38">
        <f t="shared" si="5"/>
        <v>-7.1592880453452426E-2</v>
      </c>
    </row>
    <row r="21" spans="1:9" ht="14.25">
      <c r="A21" s="13"/>
      <c r="B21" s="8"/>
      <c r="C21" s="21"/>
      <c r="D21" s="10"/>
      <c r="E21" s="10"/>
      <c r="F21" s="11"/>
      <c r="G21" s="12"/>
      <c r="H21" s="12"/>
      <c r="I21" s="11"/>
    </row>
    <row r="22" spans="1:9" ht="14.25">
      <c r="A22" s="13"/>
      <c r="B22" s="8"/>
      <c r="C22" s="21"/>
      <c r="D22" s="10"/>
      <c r="E22" s="10"/>
      <c r="F22" s="11"/>
      <c r="G22" s="12"/>
      <c r="H22" s="12"/>
      <c r="I22" s="11"/>
    </row>
    <row r="23" spans="1:9" ht="13.15">
      <c r="A23" s="13"/>
      <c r="B23" s="13"/>
      <c r="C23" s="13"/>
      <c r="D23" s="13"/>
      <c r="E23" s="13"/>
      <c r="F23" s="13"/>
      <c r="G23" s="13"/>
      <c r="H23" s="13"/>
      <c r="I23" s="13"/>
    </row>
    <row r="24" spans="1:9" ht="13.15">
      <c r="A24" s="13"/>
      <c r="B24" s="13"/>
      <c r="C24" s="13"/>
      <c r="D24" s="13"/>
      <c r="E24" s="13"/>
      <c r="F24" s="13"/>
      <c r="G24" s="13"/>
      <c r="H24" s="13"/>
      <c r="I24" s="13"/>
    </row>
    <row r="25" spans="1:9" ht="13.15">
      <c r="A25" s="13"/>
      <c r="B25" s="13"/>
      <c r="C25" s="13"/>
      <c r="D25" s="13"/>
      <c r="E25" s="13"/>
      <c r="F25" s="14"/>
      <c r="G25" s="13"/>
      <c r="H25" s="13"/>
      <c r="I25" s="14"/>
    </row>
    <row r="26" spans="1:9" ht="13.15">
      <c r="A26" s="13"/>
      <c r="B26" s="13"/>
      <c r="C26" s="13"/>
      <c r="D26" s="13"/>
      <c r="E26" s="13"/>
      <c r="F26" s="14"/>
      <c r="G26" s="13"/>
      <c r="H26" s="13"/>
      <c r="I26" s="14"/>
    </row>
    <row r="27" spans="1:9" ht="13.15">
      <c r="A27" s="13"/>
      <c r="B27" s="13"/>
      <c r="C27" s="13"/>
      <c r="D27" s="13"/>
      <c r="E27" s="13"/>
      <c r="F27" s="14"/>
      <c r="G27" s="13"/>
      <c r="H27" s="13"/>
      <c r="I27" s="14"/>
    </row>
    <row r="28" spans="1:9" ht="13.15">
      <c r="A28" s="13"/>
      <c r="B28" s="13"/>
      <c r="C28" s="13"/>
      <c r="D28" s="13"/>
      <c r="E28" s="13"/>
      <c r="F28" s="14"/>
      <c r="G28" s="13"/>
      <c r="H28" s="13"/>
      <c r="I28" s="14"/>
    </row>
    <row r="29" spans="1:9" ht="13.15">
      <c r="A29" s="13"/>
      <c r="B29" s="13"/>
      <c r="C29" s="13"/>
      <c r="D29" s="13"/>
      <c r="E29" s="13"/>
      <c r="F29" s="14"/>
      <c r="G29" s="13"/>
      <c r="H29" s="13"/>
      <c r="I29" s="14"/>
    </row>
    <row r="30" spans="1:9" ht="13.15">
      <c r="A30" s="13"/>
      <c r="B30" s="13"/>
      <c r="C30" s="13"/>
      <c r="D30" s="13"/>
      <c r="E30" s="13"/>
      <c r="F30" s="14"/>
      <c r="G30" s="13"/>
      <c r="H30" s="13"/>
      <c r="I30" s="14"/>
    </row>
    <row r="31" spans="1:9" ht="13.15">
      <c r="A31" s="13"/>
      <c r="B31" s="13"/>
      <c r="C31" s="13"/>
      <c r="D31" s="13"/>
      <c r="E31" s="13"/>
      <c r="F31" s="14"/>
      <c r="G31" s="13"/>
      <c r="H31" s="13"/>
      <c r="I31" s="14"/>
    </row>
    <row r="32" spans="1:9" ht="13.15">
      <c r="A32" s="13"/>
      <c r="B32" s="13"/>
      <c r="C32" s="13"/>
      <c r="D32" s="13"/>
      <c r="E32" s="13"/>
      <c r="F32" s="14"/>
      <c r="G32" s="13"/>
      <c r="H32" s="13"/>
      <c r="I32" s="14"/>
    </row>
    <row r="33" spans="1:9" ht="13.15">
      <c r="A33" s="13"/>
      <c r="B33" s="13"/>
      <c r="C33" s="13"/>
      <c r="D33" s="13"/>
      <c r="E33" s="13"/>
      <c r="F33" s="14"/>
      <c r="G33" s="13"/>
      <c r="H33" s="13"/>
      <c r="I33" s="14"/>
    </row>
    <row r="34" spans="1:9" ht="13.15">
      <c r="A34" s="13"/>
      <c r="B34" s="13"/>
      <c r="C34" s="13"/>
      <c r="D34" s="13"/>
      <c r="E34" s="13"/>
      <c r="F34" s="14"/>
      <c r="G34" s="13"/>
      <c r="H34" s="13"/>
      <c r="I34" s="14"/>
    </row>
    <row r="35" spans="1:9" ht="13.15">
      <c r="A35" s="13"/>
      <c r="B35" s="13"/>
      <c r="C35" s="13"/>
      <c r="D35" s="13"/>
      <c r="E35" s="13"/>
      <c r="F35" s="14"/>
      <c r="G35" s="13"/>
      <c r="H35" s="13"/>
      <c r="I35" s="14"/>
    </row>
    <row r="36" spans="1:9" ht="13.15">
      <c r="A36" s="13"/>
      <c r="B36" s="13"/>
      <c r="C36" s="13"/>
      <c r="D36" s="13"/>
      <c r="E36" s="13"/>
      <c r="F36" s="14"/>
      <c r="G36" s="13"/>
      <c r="H36" s="13"/>
      <c r="I36" s="14"/>
    </row>
    <row r="37" spans="1:9" ht="13.15">
      <c r="A37" s="13"/>
      <c r="B37" s="13"/>
      <c r="C37" s="13"/>
      <c r="D37" s="13"/>
      <c r="E37" s="13"/>
      <c r="F37" s="14"/>
      <c r="G37" s="13"/>
      <c r="H37" s="13"/>
      <c r="I37" s="14"/>
    </row>
    <row r="38" spans="1:9" ht="13.15">
      <c r="A38" s="13"/>
      <c r="B38" s="13"/>
      <c r="C38" s="13"/>
      <c r="D38" s="13"/>
      <c r="E38" s="13"/>
      <c r="F38" s="14"/>
      <c r="G38" s="13"/>
      <c r="H38" s="13"/>
      <c r="I38" s="14"/>
    </row>
    <row r="39" spans="1:9" ht="13.15">
      <c r="A39" s="13"/>
      <c r="B39" s="13"/>
      <c r="C39" s="13"/>
      <c r="D39" s="13"/>
      <c r="E39" s="13"/>
      <c r="F39" s="14"/>
      <c r="G39" s="13"/>
      <c r="H39" s="13"/>
      <c r="I39" s="14"/>
    </row>
    <row r="40" spans="1:9" ht="13.15">
      <c r="A40" s="13"/>
      <c r="B40" s="13"/>
      <c r="C40" s="13"/>
      <c r="D40" s="13"/>
      <c r="E40" s="13"/>
      <c r="F40" s="14"/>
      <c r="G40" s="13"/>
      <c r="H40" s="13"/>
      <c r="I40" s="14"/>
    </row>
    <row r="41" spans="1:9" ht="13.15">
      <c r="A41" s="13"/>
      <c r="B41" s="13"/>
      <c r="C41" s="13"/>
      <c r="D41" s="13"/>
      <c r="E41" s="13"/>
      <c r="F41" s="14"/>
      <c r="G41" s="13"/>
      <c r="H41" s="13"/>
      <c r="I41" s="14"/>
    </row>
    <row r="42" spans="1:9" ht="13.15">
      <c r="A42" s="13"/>
      <c r="B42" s="13"/>
      <c r="C42" s="13"/>
      <c r="D42" s="13"/>
      <c r="E42" s="13"/>
      <c r="F42" s="14"/>
      <c r="G42" s="13"/>
      <c r="H42" s="13"/>
      <c r="I42" s="14"/>
    </row>
    <row r="43" spans="1:9" ht="13.15">
      <c r="A43" s="13"/>
      <c r="B43" s="13"/>
      <c r="C43" s="13"/>
      <c r="D43" s="13"/>
      <c r="E43" s="13"/>
      <c r="F43" s="14"/>
      <c r="G43" s="13"/>
      <c r="H43" s="13"/>
      <c r="I43" s="14"/>
    </row>
    <row r="44" spans="1:9" ht="13.15">
      <c r="A44" s="13"/>
      <c r="B44" s="13"/>
      <c r="C44" s="13"/>
      <c r="D44" s="13"/>
      <c r="E44" s="13"/>
      <c r="F44" s="14"/>
      <c r="G44" s="13"/>
      <c r="H44" s="13"/>
      <c r="I44" s="14"/>
    </row>
    <row r="45" spans="1:9" ht="13.15">
      <c r="A45" s="13"/>
      <c r="B45" s="13"/>
      <c r="C45" s="13"/>
      <c r="D45" s="13"/>
      <c r="E45" s="13"/>
      <c r="F45" s="14"/>
      <c r="G45" s="13"/>
      <c r="H45" s="13"/>
      <c r="I45" s="14"/>
    </row>
    <row r="46" spans="1:9" ht="13.15">
      <c r="A46" s="13"/>
      <c r="B46" s="13"/>
      <c r="C46" s="13"/>
      <c r="D46" s="13"/>
      <c r="E46" s="13"/>
      <c r="F46" s="14"/>
      <c r="G46" s="13"/>
      <c r="H46" s="13"/>
      <c r="I46" s="14"/>
    </row>
    <row r="47" spans="1:9" ht="13.15">
      <c r="A47" s="13"/>
      <c r="B47" s="13"/>
      <c r="C47" s="13"/>
      <c r="D47" s="13"/>
      <c r="E47" s="13"/>
      <c r="F47" s="14"/>
      <c r="G47" s="13"/>
      <c r="H47" s="13"/>
      <c r="I47" s="14"/>
    </row>
    <row r="48" spans="1:9" ht="13.15">
      <c r="A48" s="13"/>
      <c r="B48" s="13"/>
      <c r="C48" s="13"/>
      <c r="D48" s="13"/>
      <c r="E48" s="13"/>
      <c r="F48" s="14"/>
      <c r="G48" s="13"/>
      <c r="H48" s="13"/>
      <c r="I48" s="14"/>
    </row>
    <row r="49" spans="1:9" ht="13.15">
      <c r="A49" s="13"/>
      <c r="B49" s="13"/>
      <c r="C49" s="13"/>
      <c r="D49" s="13"/>
      <c r="E49" s="13"/>
      <c r="F49" s="14"/>
      <c r="G49" s="13"/>
      <c r="H49" s="13"/>
      <c r="I49" s="14"/>
    </row>
    <row r="50" spans="1:9" ht="13.15">
      <c r="A50" s="13"/>
      <c r="B50" s="13"/>
      <c r="C50" s="13"/>
      <c r="D50" s="13"/>
      <c r="E50" s="13"/>
      <c r="F50" s="14"/>
      <c r="G50" s="13"/>
      <c r="H50" s="13"/>
      <c r="I50" s="14"/>
    </row>
    <row r="51" spans="1:9" ht="13.15">
      <c r="A51" s="13"/>
      <c r="B51" s="13"/>
      <c r="C51" s="13"/>
      <c r="D51" s="13"/>
      <c r="E51" s="13"/>
      <c r="F51" s="14"/>
      <c r="G51" s="13"/>
      <c r="H51" s="13"/>
      <c r="I51" s="14"/>
    </row>
    <row r="52" spans="1:9" ht="13.15">
      <c r="A52" s="13"/>
      <c r="B52" s="13"/>
      <c r="C52" s="13"/>
      <c r="D52" s="13"/>
      <c r="E52" s="13"/>
      <c r="F52" s="14"/>
      <c r="G52" s="13"/>
      <c r="H52" s="13"/>
      <c r="I52" s="14"/>
    </row>
    <row r="53" spans="1:9" ht="13.15">
      <c r="A53" s="13"/>
      <c r="B53" s="13"/>
      <c r="C53" s="13"/>
      <c r="D53" s="13"/>
      <c r="E53" s="13"/>
      <c r="F53" s="14"/>
      <c r="G53" s="13"/>
      <c r="H53" s="13"/>
      <c r="I53" s="14"/>
    </row>
    <row r="54" spans="1:9" ht="13.15">
      <c r="A54" s="13"/>
      <c r="B54" s="13"/>
      <c r="C54" s="13"/>
      <c r="D54" s="13"/>
      <c r="E54" s="13"/>
      <c r="F54" s="14"/>
      <c r="G54" s="13"/>
      <c r="H54" s="13"/>
      <c r="I54" s="14"/>
    </row>
    <row r="55" spans="1:9" ht="13.15">
      <c r="A55" s="13"/>
      <c r="B55" s="13"/>
      <c r="C55" s="13"/>
      <c r="D55" s="13"/>
      <c r="E55" s="13"/>
      <c r="F55" s="14"/>
      <c r="G55" s="13"/>
      <c r="H55" s="13"/>
      <c r="I55" s="14"/>
    </row>
    <row r="56" spans="1:9" ht="13.15">
      <c r="A56" s="13"/>
      <c r="B56" s="13"/>
      <c r="C56" s="13"/>
      <c r="D56" s="13"/>
      <c r="E56" s="13"/>
      <c r="F56" s="14"/>
      <c r="G56" s="13"/>
      <c r="H56" s="13"/>
      <c r="I56" s="14"/>
    </row>
    <row r="57" spans="1:9" ht="13.15">
      <c r="A57" s="13"/>
      <c r="B57" s="13"/>
      <c r="C57" s="13"/>
      <c r="D57" s="13"/>
      <c r="E57" s="13"/>
      <c r="F57" s="14"/>
      <c r="G57" s="13"/>
      <c r="H57" s="13"/>
      <c r="I57" s="14"/>
    </row>
    <row r="58" spans="1:9" ht="13.15">
      <c r="A58" s="13"/>
      <c r="B58" s="13"/>
      <c r="C58" s="13"/>
      <c r="D58" s="13"/>
      <c r="E58" s="13"/>
      <c r="F58" s="14"/>
      <c r="G58" s="13"/>
      <c r="H58" s="13"/>
      <c r="I58" s="14"/>
    </row>
    <row r="59" spans="1:9" ht="13.15">
      <c r="A59" s="13"/>
      <c r="B59" s="13"/>
      <c r="C59" s="13"/>
      <c r="D59" s="13"/>
      <c r="E59" s="13"/>
      <c r="F59" s="14"/>
      <c r="G59" s="13"/>
      <c r="H59" s="13"/>
      <c r="I59" s="14"/>
    </row>
    <row r="60" spans="1:9" ht="13.15">
      <c r="A60" s="13"/>
      <c r="B60" s="13"/>
      <c r="C60" s="13"/>
      <c r="D60" s="13"/>
      <c r="E60" s="13"/>
      <c r="F60" s="14"/>
      <c r="G60" s="13"/>
      <c r="H60" s="13"/>
      <c r="I60" s="14"/>
    </row>
    <row r="61" spans="1:9" ht="13.15">
      <c r="A61" s="13"/>
      <c r="B61" s="13"/>
      <c r="C61" s="13"/>
      <c r="D61" s="13"/>
      <c r="E61" s="13"/>
      <c r="F61" s="14"/>
      <c r="G61" s="13"/>
      <c r="H61" s="13"/>
      <c r="I61" s="14"/>
    </row>
    <row r="62" spans="1:9" ht="13.15">
      <c r="A62" s="13"/>
      <c r="B62" s="13"/>
      <c r="C62" s="13"/>
      <c r="D62" s="13"/>
      <c r="E62" s="13"/>
      <c r="F62" s="14"/>
      <c r="G62" s="13"/>
      <c r="H62" s="13"/>
      <c r="I62" s="14"/>
    </row>
    <row r="63" spans="1:9" ht="13.15">
      <c r="A63" s="13"/>
      <c r="B63" s="13"/>
      <c r="C63" s="13"/>
      <c r="D63" s="13"/>
      <c r="E63" s="13"/>
      <c r="F63" s="14"/>
      <c r="G63" s="13"/>
      <c r="H63" s="13"/>
      <c r="I63" s="14"/>
    </row>
    <row r="64" spans="1:9" ht="13.15">
      <c r="A64" s="13"/>
      <c r="B64" s="13"/>
      <c r="C64" s="13"/>
      <c r="D64" s="13"/>
      <c r="E64" s="13"/>
      <c r="F64" s="14"/>
      <c r="G64" s="13"/>
      <c r="H64" s="13"/>
      <c r="I64" s="14"/>
    </row>
    <row r="65" spans="1:9" ht="13.15">
      <c r="A65" s="13"/>
      <c r="B65" s="13"/>
      <c r="C65" s="13"/>
      <c r="D65" s="13"/>
      <c r="E65" s="13"/>
      <c r="F65" s="14"/>
      <c r="G65" s="13"/>
      <c r="H65" s="13"/>
      <c r="I65" s="14"/>
    </row>
    <row r="66" spans="1:9" ht="13.15">
      <c r="A66" s="13"/>
      <c r="B66" s="13"/>
      <c r="C66" s="13"/>
      <c r="D66" s="13"/>
      <c r="E66" s="13"/>
      <c r="F66" s="14"/>
      <c r="G66" s="13"/>
      <c r="H66" s="13"/>
      <c r="I66" s="14"/>
    </row>
    <row r="67" spans="1:9" ht="13.15">
      <c r="A67" s="13"/>
      <c r="B67" s="13"/>
      <c r="C67" s="13"/>
      <c r="D67" s="13"/>
      <c r="E67" s="13"/>
      <c r="F67" s="14"/>
      <c r="G67" s="13"/>
      <c r="H67" s="13"/>
      <c r="I67" s="14"/>
    </row>
    <row r="68" spans="1:9" ht="13.15">
      <c r="A68" s="13"/>
      <c r="B68" s="13"/>
      <c r="C68" s="13"/>
      <c r="D68" s="13"/>
      <c r="E68" s="13"/>
      <c r="F68" s="14"/>
      <c r="G68" s="13"/>
      <c r="H68" s="13"/>
      <c r="I68" s="14"/>
    </row>
    <row r="69" spans="1:9" ht="13.15">
      <c r="A69" s="13"/>
      <c r="B69" s="13"/>
      <c r="C69" s="13"/>
      <c r="D69" s="13"/>
      <c r="E69" s="13"/>
      <c r="F69" s="14"/>
      <c r="G69" s="13"/>
      <c r="H69" s="13"/>
      <c r="I69" s="14"/>
    </row>
    <row r="70" spans="1:9" ht="13.15">
      <c r="A70" s="13"/>
      <c r="B70" s="13"/>
      <c r="C70" s="13"/>
      <c r="D70" s="13"/>
      <c r="E70" s="13"/>
      <c r="F70" s="14"/>
      <c r="G70" s="13"/>
      <c r="H70" s="13"/>
      <c r="I70" s="14"/>
    </row>
    <row r="71" spans="1:9" ht="13.15">
      <c r="A71" s="13"/>
      <c r="B71" s="13"/>
      <c r="C71" s="13"/>
      <c r="D71" s="13"/>
      <c r="E71" s="13"/>
      <c r="F71" s="14"/>
      <c r="G71" s="13"/>
      <c r="H71" s="13"/>
      <c r="I71" s="14"/>
    </row>
    <row r="72" spans="1:9" ht="13.15">
      <c r="A72" s="13"/>
      <c r="B72" s="13"/>
      <c r="C72" s="13"/>
      <c r="D72" s="13"/>
      <c r="E72" s="13"/>
      <c r="F72" s="14"/>
      <c r="G72" s="13"/>
      <c r="H72" s="13"/>
      <c r="I72" s="14"/>
    </row>
    <row r="73" spans="1:9" ht="13.15">
      <c r="A73" s="13"/>
      <c r="B73" s="13"/>
      <c r="C73" s="13"/>
      <c r="D73" s="13"/>
      <c r="E73" s="13"/>
      <c r="F73" s="14"/>
      <c r="G73" s="13"/>
      <c r="H73" s="13"/>
      <c r="I73" s="14"/>
    </row>
    <row r="74" spans="1:9" ht="13.15">
      <c r="A74" s="13"/>
      <c r="B74" s="13"/>
      <c r="C74" s="13"/>
      <c r="D74" s="13"/>
      <c r="E74" s="13"/>
      <c r="F74" s="14"/>
      <c r="G74" s="13"/>
      <c r="H74" s="13"/>
      <c r="I74" s="14"/>
    </row>
    <row r="75" spans="1:9" ht="13.15">
      <c r="A75" s="13"/>
      <c r="B75" s="13"/>
      <c r="C75" s="13"/>
      <c r="D75" s="13"/>
      <c r="E75" s="13"/>
      <c r="F75" s="14"/>
      <c r="G75" s="13"/>
      <c r="H75" s="13"/>
      <c r="I75" s="14"/>
    </row>
    <row r="76" spans="1:9" ht="13.15">
      <c r="A76" s="13"/>
      <c r="B76" s="13"/>
      <c r="C76" s="13"/>
      <c r="D76" s="13"/>
      <c r="E76" s="13"/>
      <c r="F76" s="14"/>
      <c r="G76" s="13"/>
      <c r="H76" s="13"/>
      <c r="I76" s="14"/>
    </row>
    <row r="77" spans="1:9" ht="13.15">
      <c r="A77" s="13"/>
      <c r="B77" s="13"/>
      <c r="C77" s="13"/>
      <c r="D77" s="13"/>
      <c r="E77" s="13"/>
      <c r="F77" s="14"/>
      <c r="G77" s="13"/>
      <c r="H77" s="13"/>
      <c r="I77" s="14"/>
    </row>
    <row r="78" spans="1:9" ht="13.15">
      <c r="A78" s="13"/>
      <c r="B78" s="13"/>
      <c r="C78" s="13"/>
      <c r="D78" s="13"/>
      <c r="E78" s="13"/>
      <c r="F78" s="14"/>
      <c r="G78" s="13"/>
      <c r="H78" s="13"/>
      <c r="I78" s="14"/>
    </row>
    <row r="79" spans="1:9" ht="13.15">
      <c r="A79" s="13"/>
      <c r="B79" s="13"/>
      <c r="C79" s="13"/>
      <c r="D79" s="13"/>
      <c r="E79" s="13"/>
      <c r="F79" s="14"/>
      <c r="G79" s="13"/>
      <c r="H79" s="13"/>
      <c r="I79" s="14"/>
    </row>
    <row r="80" spans="1:9" ht="13.15">
      <c r="A80" s="13"/>
      <c r="B80" s="13"/>
      <c r="C80" s="13"/>
      <c r="D80" s="13"/>
      <c r="E80" s="13"/>
      <c r="F80" s="14"/>
      <c r="G80" s="13"/>
      <c r="H80" s="13"/>
      <c r="I80" s="14"/>
    </row>
    <row r="81" spans="1:9" ht="13.15">
      <c r="A81" s="13"/>
      <c r="B81" s="13"/>
      <c r="C81" s="13"/>
      <c r="D81" s="13"/>
      <c r="E81" s="13"/>
      <c r="F81" s="14"/>
      <c r="G81" s="13"/>
      <c r="H81" s="13"/>
      <c r="I81" s="14"/>
    </row>
    <row r="82" spans="1:9" ht="13.15">
      <c r="A82" s="13"/>
      <c r="B82" s="13"/>
      <c r="C82" s="13"/>
      <c r="D82" s="13"/>
      <c r="E82" s="13"/>
      <c r="F82" s="14"/>
      <c r="G82" s="13"/>
      <c r="H82" s="13"/>
      <c r="I82" s="14"/>
    </row>
    <row r="83" spans="1:9" ht="13.15">
      <c r="A83" s="13"/>
      <c r="B83" s="13"/>
      <c r="C83" s="13"/>
      <c r="D83" s="13"/>
      <c r="E83" s="13"/>
      <c r="F83" s="14"/>
      <c r="G83" s="13"/>
      <c r="H83" s="13"/>
      <c r="I83" s="14"/>
    </row>
    <row r="84" spans="1:9" ht="13.15">
      <c r="A84" s="13"/>
      <c r="B84" s="13"/>
      <c r="C84" s="13"/>
      <c r="D84" s="13"/>
      <c r="E84" s="13"/>
      <c r="F84" s="14"/>
      <c r="G84" s="13"/>
      <c r="H84" s="13"/>
      <c r="I84" s="14"/>
    </row>
    <row r="85" spans="1:9" ht="13.15">
      <c r="A85" s="13"/>
      <c r="B85" s="13"/>
      <c r="C85" s="13"/>
      <c r="D85" s="13"/>
      <c r="E85" s="13"/>
      <c r="F85" s="14"/>
      <c r="G85" s="13"/>
      <c r="H85" s="13"/>
      <c r="I85" s="14"/>
    </row>
    <row r="86" spans="1:9" ht="13.15">
      <c r="A86" s="13"/>
      <c r="B86" s="13"/>
      <c r="C86" s="13"/>
      <c r="D86" s="13"/>
      <c r="E86" s="13"/>
      <c r="F86" s="14"/>
      <c r="G86" s="13"/>
      <c r="H86" s="13"/>
      <c r="I86" s="14"/>
    </row>
    <row r="87" spans="1:9" ht="13.15">
      <c r="A87" s="13"/>
      <c r="B87" s="13"/>
      <c r="C87" s="13"/>
      <c r="D87" s="13"/>
      <c r="E87" s="13"/>
      <c r="F87" s="14"/>
      <c r="G87" s="13"/>
      <c r="H87" s="13"/>
      <c r="I87" s="14"/>
    </row>
    <row r="88" spans="1:9" ht="13.15">
      <c r="A88" s="13"/>
      <c r="B88" s="13"/>
      <c r="C88" s="13"/>
      <c r="D88" s="13"/>
      <c r="E88" s="13"/>
      <c r="F88" s="14"/>
      <c r="G88" s="13"/>
      <c r="H88" s="13"/>
      <c r="I88" s="14"/>
    </row>
    <row r="89" spans="1:9" ht="13.15">
      <c r="A89" s="13"/>
      <c r="B89" s="13"/>
      <c r="C89" s="13"/>
      <c r="D89" s="13"/>
      <c r="E89" s="13"/>
      <c r="F89" s="14"/>
      <c r="G89" s="13"/>
      <c r="H89" s="13"/>
      <c r="I89" s="14"/>
    </row>
    <row r="90" spans="1:9" ht="13.15">
      <c r="A90" s="13"/>
      <c r="B90" s="13"/>
      <c r="C90" s="13"/>
      <c r="D90" s="13"/>
      <c r="E90" s="13"/>
      <c r="F90" s="14"/>
      <c r="G90" s="13"/>
      <c r="H90" s="13"/>
      <c r="I90" s="14"/>
    </row>
    <row r="91" spans="1:9" ht="13.15">
      <c r="A91" s="13"/>
      <c r="B91" s="13"/>
      <c r="C91" s="13"/>
      <c r="D91" s="13"/>
      <c r="E91" s="13"/>
      <c r="F91" s="14"/>
      <c r="G91" s="13"/>
      <c r="H91" s="13"/>
      <c r="I91" s="14"/>
    </row>
    <row r="92" spans="1:9" ht="13.15">
      <c r="A92" s="13"/>
      <c r="B92" s="13"/>
      <c r="C92" s="13"/>
      <c r="D92" s="13"/>
      <c r="E92" s="13"/>
      <c r="F92" s="14"/>
      <c r="G92" s="13"/>
      <c r="H92" s="13"/>
      <c r="I92" s="14"/>
    </row>
    <row r="93" spans="1:9" ht="13.15">
      <c r="A93" s="13"/>
      <c r="B93" s="13"/>
      <c r="C93" s="13"/>
      <c r="D93" s="13"/>
      <c r="E93" s="13"/>
      <c r="F93" s="14"/>
      <c r="G93" s="13"/>
      <c r="H93" s="13"/>
      <c r="I93" s="14"/>
    </row>
    <row r="94" spans="1:9" ht="13.15">
      <c r="A94" s="13"/>
      <c r="B94" s="13"/>
      <c r="C94" s="13"/>
      <c r="D94" s="13"/>
      <c r="E94" s="13"/>
      <c r="F94" s="14"/>
      <c r="G94" s="13"/>
      <c r="H94" s="13"/>
      <c r="I94" s="14"/>
    </row>
    <row r="95" spans="1:9" ht="13.15">
      <c r="A95" s="13"/>
      <c r="B95" s="13"/>
      <c r="C95" s="13"/>
      <c r="D95" s="13"/>
      <c r="E95" s="13"/>
      <c r="F95" s="14"/>
      <c r="G95" s="13"/>
      <c r="H95" s="13"/>
      <c r="I95" s="14"/>
    </row>
    <row r="96" spans="1:9" ht="13.15">
      <c r="A96" s="13"/>
      <c r="B96" s="13"/>
      <c r="C96" s="13"/>
      <c r="D96" s="13"/>
      <c r="E96" s="13"/>
      <c r="F96" s="14"/>
      <c r="G96" s="13"/>
      <c r="H96" s="13"/>
      <c r="I96" s="14"/>
    </row>
    <row r="97" spans="1:9" ht="13.15">
      <c r="A97" s="13"/>
      <c r="B97" s="13"/>
      <c r="C97" s="13"/>
      <c r="D97" s="13"/>
      <c r="E97" s="13"/>
      <c r="F97" s="14"/>
      <c r="G97" s="13"/>
      <c r="H97" s="13"/>
      <c r="I97" s="14"/>
    </row>
    <row r="98" spans="1:9" ht="13.15">
      <c r="A98" s="13"/>
      <c r="B98" s="13"/>
      <c r="C98" s="13"/>
      <c r="D98" s="13"/>
      <c r="E98" s="13"/>
      <c r="F98" s="14"/>
      <c r="G98" s="13"/>
      <c r="H98" s="13"/>
      <c r="I98" s="14"/>
    </row>
    <row r="99" spans="1:9" ht="13.15">
      <c r="A99" s="13"/>
      <c r="B99" s="13"/>
      <c r="C99" s="13"/>
      <c r="D99" s="13"/>
      <c r="E99" s="13"/>
      <c r="F99" s="14"/>
      <c r="G99" s="13"/>
      <c r="H99" s="13"/>
      <c r="I99" s="14"/>
    </row>
    <row r="100" spans="1:9" ht="13.15">
      <c r="A100" s="13"/>
      <c r="B100" s="13"/>
      <c r="C100" s="13"/>
      <c r="D100" s="13"/>
      <c r="E100" s="13"/>
      <c r="F100" s="14"/>
      <c r="G100" s="13"/>
      <c r="H100" s="13"/>
      <c r="I100" s="14"/>
    </row>
    <row r="101" spans="1:9" ht="13.15">
      <c r="A101" s="13"/>
      <c r="B101" s="13"/>
      <c r="C101" s="13"/>
      <c r="D101" s="13"/>
      <c r="E101" s="13"/>
      <c r="F101" s="14"/>
      <c r="G101" s="13"/>
      <c r="H101" s="13"/>
      <c r="I101" s="14"/>
    </row>
    <row r="102" spans="1:9" ht="13.15">
      <c r="A102" s="13"/>
      <c r="B102" s="13"/>
      <c r="C102" s="13"/>
      <c r="D102" s="13"/>
      <c r="E102" s="13"/>
      <c r="F102" s="14"/>
      <c r="G102" s="13"/>
      <c r="H102" s="13"/>
      <c r="I102" s="14"/>
    </row>
    <row r="103" spans="1:9" ht="13.15">
      <c r="A103" s="13"/>
      <c r="B103" s="13"/>
      <c r="C103" s="13"/>
      <c r="D103" s="13"/>
      <c r="E103" s="13"/>
      <c r="F103" s="14"/>
      <c r="G103" s="13"/>
      <c r="H103" s="13"/>
      <c r="I103" s="14"/>
    </row>
    <row r="104" spans="1:9" ht="13.15">
      <c r="A104" s="13"/>
      <c r="B104" s="13"/>
      <c r="C104" s="13"/>
      <c r="D104" s="13"/>
      <c r="E104" s="13"/>
      <c r="F104" s="14"/>
      <c r="G104" s="13"/>
      <c r="H104" s="13"/>
      <c r="I104" s="14"/>
    </row>
    <row r="105" spans="1:9" ht="13.15">
      <c r="A105" s="13"/>
      <c r="B105" s="13"/>
      <c r="C105" s="13"/>
      <c r="D105" s="13"/>
      <c r="E105" s="13"/>
      <c r="F105" s="14"/>
      <c r="G105" s="13"/>
      <c r="H105" s="13"/>
      <c r="I105" s="14"/>
    </row>
    <row r="106" spans="1:9" ht="13.15">
      <c r="A106" s="13"/>
      <c r="B106" s="13"/>
      <c r="C106" s="13"/>
      <c r="D106" s="13"/>
      <c r="E106" s="13"/>
      <c r="F106" s="14"/>
      <c r="G106" s="13"/>
      <c r="H106" s="13"/>
      <c r="I106" s="14"/>
    </row>
    <row r="107" spans="1:9" ht="13.15">
      <c r="A107" s="13"/>
      <c r="B107" s="13"/>
      <c r="C107" s="13"/>
      <c r="D107" s="13"/>
      <c r="E107" s="13"/>
      <c r="F107" s="14"/>
      <c r="G107" s="13"/>
      <c r="H107" s="13"/>
      <c r="I107" s="14"/>
    </row>
    <row r="108" spans="1:9" ht="13.15">
      <c r="A108" s="13"/>
      <c r="B108" s="13"/>
      <c r="C108" s="13"/>
      <c r="D108" s="13"/>
      <c r="E108" s="13"/>
      <c r="F108" s="14"/>
      <c r="G108" s="13"/>
      <c r="H108" s="13"/>
      <c r="I108" s="14"/>
    </row>
    <row r="109" spans="1:9" ht="13.15">
      <c r="A109" s="13"/>
      <c r="B109" s="13"/>
      <c r="C109" s="13"/>
      <c r="D109" s="13"/>
      <c r="E109" s="13"/>
      <c r="F109" s="14"/>
      <c r="G109" s="13"/>
      <c r="H109" s="13"/>
      <c r="I109" s="14"/>
    </row>
    <row r="110" spans="1:9" ht="13.15">
      <c r="A110" s="13"/>
      <c r="B110" s="13"/>
      <c r="C110" s="13"/>
      <c r="D110" s="13"/>
      <c r="E110" s="13"/>
      <c r="F110" s="14"/>
      <c r="G110" s="13"/>
      <c r="H110" s="13"/>
      <c r="I110" s="14"/>
    </row>
    <row r="111" spans="1:9" ht="13.15">
      <c r="A111" s="13"/>
      <c r="B111" s="13"/>
      <c r="C111" s="13"/>
      <c r="D111" s="13"/>
      <c r="E111" s="13"/>
      <c r="F111" s="14"/>
      <c r="G111" s="13"/>
      <c r="H111" s="13"/>
      <c r="I111" s="14"/>
    </row>
    <row r="112" spans="1:9" ht="13.15">
      <c r="A112" s="13"/>
      <c r="B112" s="13"/>
      <c r="C112" s="13"/>
      <c r="D112" s="13"/>
      <c r="E112" s="13"/>
      <c r="F112" s="14"/>
      <c r="G112" s="13"/>
      <c r="H112" s="13"/>
      <c r="I112" s="14"/>
    </row>
    <row r="113" spans="1:9" ht="13.15">
      <c r="A113" s="13"/>
      <c r="B113" s="13"/>
      <c r="C113" s="13"/>
      <c r="D113" s="13"/>
      <c r="E113" s="13"/>
      <c r="F113" s="14"/>
      <c r="G113" s="13"/>
      <c r="H113" s="13"/>
      <c r="I113" s="14"/>
    </row>
    <row r="114" spans="1:9" ht="13.15">
      <c r="A114" s="13"/>
      <c r="B114" s="13"/>
      <c r="C114" s="13"/>
      <c r="D114" s="13"/>
      <c r="E114" s="13"/>
      <c r="F114" s="14"/>
      <c r="G114" s="13"/>
      <c r="H114" s="13"/>
      <c r="I114" s="14"/>
    </row>
    <row r="115" spans="1:9" ht="13.15">
      <c r="A115" s="13"/>
      <c r="B115" s="13"/>
      <c r="C115" s="13"/>
      <c r="D115" s="13"/>
      <c r="E115" s="13"/>
      <c r="F115" s="14"/>
      <c r="G115" s="13"/>
      <c r="H115" s="13"/>
      <c r="I115" s="14"/>
    </row>
    <row r="116" spans="1:9" ht="13.15">
      <c r="A116" s="13"/>
      <c r="B116" s="13"/>
      <c r="C116" s="13"/>
      <c r="D116" s="13"/>
      <c r="E116" s="13"/>
      <c r="F116" s="14"/>
      <c r="G116" s="13"/>
      <c r="H116" s="13"/>
      <c r="I116" s="14"/>
    </row>
    <row r="117" spans="1:9" ht="13.15">
      <c r="A117" s="13"/>
      <c r="B117" s="13"/>
      <c r="C117" s="13"/>
      <c r="D117" s="13"/>
      <c r="E117" s="13"/>
      <c r="F117" s="14"/>
      <c r="G117" s="13"/>
      <c r="H117" s="13"/>
      <c r="I117" s="14"/>
    </row>
    <row r="118" spans="1:9" ht="13.15">
      <c r="A118" s="13"/>
      <c r="B118" s="13"/>
      <c r="C118" s="13"/>
      <c r="D118" s="13"/>
      <c r="E118" s="13"/>
      <c r="F118" s="14"/>
      <c r="G118" s="13"/>
      <c r="H118" s="13"/>
      <c r="I118" s="14"/>
    </row>
    <row r="119" spans="1:9" ht="13.15">
      <c r="A119" s="13"/>
      <c r="B119" s="13"/>
      <c r="C119" s="13"/>
      <c r="D119" s="13"/>
      <c r="E119" s="13"/>
      <c r="F119" s="14"/>
      <c r="G119" s="13"/>
      <c r="H119" s="13"/>
      <c r="I119" s="14"/>
    </row>
    <row r="120" spans="1:9" ht="13.15">
      <c r="A120" s="13"/>
      <c r="B120" s="13"/>
      <c r="C120" s="13"/>
      <c r="D120" s="13"/>
      <c r="E120" s="13"/>
      <c r="F120" s="14"/>
      <c r="G120" s="13"/>
      <c r="H120" s="13"/>
      <c r="I120" s="14"/>
    </row>
    <row r="121" spans="1:9" ht="13.15">
      <c r="A121" s="13"/>
      <c r="B121" s="13"/>
      <c r="C121" s="13"/>
      <c r="D121" s="13"/>
      <c r="E121" s="13"/>
      <c r="F121" s="14"/>
      <c r="G121" s="13"/>
      <c r="H121" s="13"/>
      <c r="I121" s="14"/>
    </row>
    <row r="122" spans="1:9" ht="13.15">
      <c r="A122" s="13"/>
      <c r="B122" s="13"/>
      <c r="C122" s="13"/>
      <c r="D122" s="13"/>
      <c r="E122" s="13"/>
      <c r="F122" s="14"/>
      <c r="G122" s="13"/>
      <c r="H122" s="13"/>
      <c r="I122" s="14"/>
    </row>
    <row r="123" spans="1:9" ht="13.15">
      <c r="A123" s="13"/>
      <c r="B123" s="13"/>
      <c r="C123" s="13"/>
      <c r="D123" s="13"/>
      <c r="E123" s="13"/>
      <c r="F123" s="14"/>
      <c r="G123" s="13"/>
      <c r="H123" s="13"/>
      <c r="I123" s="14"/>
    </row>
    <row r="124" spans="1:9" ht="13.15">
      <c r="A124" s="13"/>
      <c r="B124" s="13"/>
      <c r="C124" s="13"/>
      <c r="D124" s="13"/>
      <c r="E124" s="13"/>
      <c r="F124" s="14"/>
      <c r="G124" s="13"/>
      <c r="H124" s="13"/>
      <c r="I124" s="14"/>
    </row>
    <row r="125" spans="1:9" ht="13.15">
      <c r="A125" s="13"/>
      <c r="B125" s="13"/>
      <c r="C125" s="13"/>
      <c r="D125" s="13"/>
      <c r="E125" s="13"/>
      <c r="F125" s="14"/>
      <c r="G125" s="13"/>
      <c r="H125" s="13"/>
      <c r="I125" s="14"/>
    </row>
    <row r="126" spans="1:9" ht="13.15">
      <c r="A126" s="13"/>
      <c r="B126" s="13"/>
      <c r="C126" s="13"/>
      <c r="D126" s="13"/>
      <c r="E126" s="13"/>
      <c r="F126" s="14"/>
      <c r="G126" s="13"/>
      <c r="H126" s="13"/>
      <c r="I126" s="14"/>
    </row>
    <row r="127" spans="1:9" ht="13.15">
      <c r="A127" s="13"/>
      <c r="B127" s="13"/>
      <c r="C127" s="13"/>
      <c r="D127" s="13"/>
      <c r="E127" s="13"/>
      <c r="F127" s="14"/>
      <c r="G127" s="13"/>
      <c r="H127" s="13"/>
      <c r="I127" s="14"/>
    </row>
    <row r="128" spans="1:9" ht="13.15">
      <c r="A128" s="13"/>
      <c r="B128" s="13"/>
      <c r="C128" s="13"/>
      <c r="D128" s="13"/>
      <c r="E128" s="13"/>
      <c r="F128" s="14"/>
      <c r="G128" s="13"/>
      <c r="H128" s="13"/>
      <c r="I128" s="14"/>
    </row>
    <row r="129" spans="1:9" ht="13.15">
      <c r="A129" s="13"/>
      <c r="B129" s="13"/>
      <c r="C129" s="13"/>
      <c r="D129" s="13"/>
      <c r="E129" s="13"/>
      <c r="F129" s="14"/>
      <c r="G129" s="13"/>
      <c r="H129" s="13"/>
      <c r="I129" s="14"/>
    </row>
    <row r="130" spans="1:9" ht="13.15">
      <c r="A130" s="13"/>
      <c r="B130" s="13"/>
      <c r="C130" s="13"/>
      <c r="D130" s="13"/>
      <c r="E130" s="13"/>
      <c r="F130" s="14"/>
      <c r="G130" s="13"/>
      <c r="H130" s="13"/>
      <c r="I130" s="14"/>
    </row>
    <row r="131" spans="1:9" ht="13.15">
      <c r="A131" s="13"/>
      <c r="B131" s="13"/>
      <c r="C131" s="13"/>
      <c r="D131" s="13"/>
      <c r="E131" s="13"/>
      <c r="F131" s="14"/>
      <c r="G131" s="13"/>
      <c r="H131" s="13"/>
      <c r="I131" s="14"/>
    </row>
    <row r="132" spans="1:9" ht="13.15">
      <c r="A132" s="13"/>
      <c r="B132" s="13"/>
      <c r="C132" s="13"/>
      <c r="D132" s="13"/>
      <c r="E132" s="13"/>
      <c r="F132" s="14"/>
      <c r="G132" s="13"/>
      <c r="H132" s="13"/>
      <c r="I132" s="14"/>
    </row>
    <row r="133" spans="1:9" ht="13.15">
      <c r="A133" s="13"/>
      <c r="B133" s="13"/>
      <c r="C133" s="13"/>
      <c r="D133" s="13"/>
      <c r="E133" s="13"/>
      <c r="F133" s="14"/>
      <c r="G133" s="13"/>
      <c r="H133" s="13"/>
      <c r="I133" s="14"/>
    </row>
    <row r="134" spans="1:9" ht="13.15">
      <c r="A134" s="13"/>
      <c r="B134" s="13"/>
      <c r="C134" s="13"/>
      <c r="D134" s="13"/>
      <c r="E134" s="13"/>
      <c r="F134" s="14"/>
      <c r="G134" s="13"/>
      <c r="H134" s="13"/>
      <c r="I134" s="14"/>
    </row>
    <row r="135" spans="1:9" ht="13.15">
      <c r="A135" s="13"/>
      <c r="B135" s="13"/>
      <c r="C135" s="13"/>
      <c r="D135" s="13"/>
      <c r="E135" s="13"/>
      <c r="F135" s="14"/>
      <c r="G135" s="13"/>
      <c r="H135" s="13"/>
      <c r="I135" s="14"/>
    </row>
    <row r="136" spans="1:9" ht="13.15">
      <c r="A136" s="13"/>
      <c r="B136" s="13"/>
      <c r="C136" s="13"/>
      <c r="D136" s="13"/>
      <c r="E136" s="13"/>
      <c r="F136" s="14"/>
      <c r="G136" s="13"/>
      <c r="H136" s="13"/>
      <c r="I136" s="14"/>
    </row>
    <row r="137" spans="1:9" ht="13.15">
      <c r="A137" s="13"/>
      <c r="B137" s="13"/>
      <c r="C137" s="13"/>
      <c r="D137" s="13"/>
      <c r="E137" s="13"/>
      <c r="F137" s="14"/>
      <c r="G137" s="13"/>
      <c r="H137" s="13"/>
      <c r="I137" s="14"/>
    </row>
    <row r="138" spans="1:9" ht="13.15">
      <c r="A138" s="13"/>
      <c r="B138" s="13"/>
      <c r="C138" s="13"/>
      <c r="D138" s="13"/>
      <c r="E138" s="13"/>
      <c r="F138" s="14"/>
      <c r="G138" s="13"/>
      <c r="H138" s="13"/>
      <c r="I138" s="14"/>
    </row>
    <row r="139" spans="1:9" ht="13.15">
      <c r="A139" s="13"/>
      <c r="B139" s="13"/>
      <c r="C139" s="13"/>
      <c r="D139" s="13"/>
      <c r="E139" s="13"/>
      <c r="F139" s="14"/>
      <c r="G139" s="13"/>
      <c r="H139" s="13"/>
      <c r="I139" s="14"/>
    </row>
    <row r="140" spans="1:9" ht="13.15">
      <c r="A140" s="13"/>
      <c r="B140" s="13"/>
      <c r="C140" s="13"/>
      <c r="D140" s="13"/>
      <c r="E140" s="13"/>
      <c r="F140" s="14"/>
      <c r="G140" s="13"/>
      <c r="H140" s="13"/>
      <c r="I140" s="14"/>
    </row>
    <row r="141" spans="1:9" ht="13.15">
      <c r="A141" s="13"/>
      <c r="B141" s="13"/>
      <c r="C141" s="13"/>
      <c r="D141" s="13"/>
      <c r="E141" s="13"/>
      <c r="F141" s="14"/>
      <c r="G141" s="13"/>
      <c r="H141" s="13"/>
      <c r="I141" s="14"/>
    </row>
    <row r="142" spans="1:9" ht="13.15">
      <c r="A142" s="13"/>
      <c r="B142" s="13"/>
      <c r="C142" s="13"/>
      <c r="D142" s="13"/>
      <c r="E142" s="13"/>
      <c r="F142" s="14"/>
      <c r="G142" s="13"/>
      <c r="H142" s="13"/>
      <c r="I142" s="14"/>
    </row>
    <row r="143" spans="1:9" ht="13.15">
      <c r="A143" s="13"/>
      <c r="B143" s="13"/>
      <c r="C143" s="13"/>
      <c r="D143" s="13"/>
      <c r="E143" s="13"/>
      <c r="F143" s="14"/>
      <c r="G143" s="13"/>
      <c r="H143" s="13"/>
      <c r="I143" s="14"/>
    </row>
    <row r="144" spans="1:9" ht="13.15">
      <c r="A144" s="13"/>
      <c r="B144" s="13"/>
      <c r="C144" s="13"/>
      <c r="D144" s="13"/>
      <c r="E144" s="13"/>
      <c r="F144" s="14"/>
      <c r="G144" s="13"/>
      <c r="H144" s="13"/>
      <c r="I144" s="14"/>
    </row>
    <row r="145" spans="1:9" ht="13.15">
      <c r="A145" s="13"/>
      <c r="B145" s="13"/>
      <c r="C145" s="13"/>
      <c r="D145" s="13"/>
      <c r="E145" s="13"/>
      <c r="F145" s="14"/>
      <c r="G145" s="13"/>
      <c r="H145" s="13"/>
      <c r="I145" s="14"/>
    </row>
    <row r="146" spans="1:9" ht="13.15">
      <c r="A146" s="13"/>
      <c r="B146" s="13"/>
      <c r="C146" s="13"/>
      <c r="D146" s="13"/>
      <c r="E146" s="13"/>
      <c r="F146" s="14"/>
      <c r="G146" s="13"/>
      <c r="H146" s="13"/>
      <c r="I146" s="14"/>
    </row>
    <row r="147" spans="1:9" ht="13.15">
      <c r="A147" s="13"/>
      <c r="B147" s="13"/>
      <c r="C147" s="13"/>
      <c r="D147" s="13"/>
      <c r="E147" s="13"/>
      <c r="F147" s="14"/>
      <c r="G147" s="13"/>
      <c r="H147" s="13"/>
      <c r="I147" s="14"/>
    </row>
    <row r="148" spans="1:9" ht="13.15">
      <c r="A148" s="13"/>
      <c r="B148" s="13"/>
      <c r="C148" s="13"/>
      <c r="D148" s="13"/>
      <c r="E148" s="13"/>
      <c r="F148" s="14"/>
      <c r="G148" s="13"/>
      <c r="H148" s="13"/>
      <c r="I148" s="14"/>
    </row>
    <row r="149" spans="1:9" ht="13.15">
      <c r="A149" s="13"/>
      <c r="B149" s="13"/>
      <c r="C149" s="13"/>
      <c r="D149" s="13"/>
      <c r="E149" s="13"/>
      <c r="F149" s="14"/>
      <c r="G149" s="13"/>
      <c r="H149" s="13"/>
      <c r="I149" s="14"/>
    </row>
    <row r="150" spans="1:9" ht="13.15">
      <c r="A150" s="13"/>
      <c r="B150" s="13"/>
      <c r="C150" s="13"/>
      <c r="D150" s="13"/>
      <c r="E150" s="13"/>
      <c r="F150" s="14"/>
      <c r="G150" s="13"/>
      <c r="H150" s="13"/>
      <c r="I150" s="14"/>
    </row>
    <row r="151" spans="1:9" ht="13.15">
      <c r="A151" s="13"/>
      <c r="B151" s="13"/>
      <c r="C151" s="13"/>
      <c r="D151" s="13"/>
      <c r="E151" s="13"/>
      <c r="F151" s="14"/>
      <c r="G151" s="13"/>
      <c r="H151" s="13"/>
      <c r="I151" s="14"/>
    </row>
    <row r="152" spans="1:9" ht="13.15">
      <c r="A152" s="13"/>
      <c r="B152" s="13"/>
      <c r="C152" s="13"/>
      <c r="D152" s="13"/>
      <c r="E152" s="13"/>
      <c r="F152" s="14"/>
      <c r="G152" s="13"/>
      <c r="H152" s="13"/>
      <c r="I152" s="14"/>
    </row>
    <row r="153" spans="1:9" ht="13.15">
      <c r="A153" s="13"/>
      <c r="B153" s="13"/>
      <c r="C153" s="13"/>
      <c r="D153" s="13"/>
      <c r="E153" s="13"/>
      <c r="F153" s="14"/>
      <c r="G153" s="13"/>
      <c r="H153" s="13"/>
      <c r="I153" s="14"/>
    </row>
    <row r="154" spans="1:9" ht="13.15">
      <c r="A154" s="13"/>
      <c r="B154" s="13"/>
      <c r="C154" s="13"/>
      <c r="D154" s="13"/>
      <c r="E154" s="13"/>
      <c r="F154" s="14"/>
      <c r="G154" s="13"/>
      <c r="H154" s="13"/>
      <c r="I154" s="14"/>
    </row>
    <row r="155" spans="1:9" ht="13.15">
      <c r="A155" s="13"/>
      <c r="B155" s="13"/>
      <c r="C155" s="13"/>
      <c r="D155" s="13"/>
      <c r="E155" s="13"/>
      <c r="F155" s="14"/>
      <c r="G155" s="13"/>
      <c r="H155" s="13"/>
      <c r="I155" s="14"/>
    </row>
    <row r="156" spans="1:9" ht="13.15">
      <c r="A156" s="13"/>
      <c r="B156" s="13"/>
      <c r="C156" s="13"/>
      <c r="D156" s="13"/>
      <c r="E156" s="13"/>
      <c r="F156" s="14"/>
      <c r="G156" s="13"/>
      <c r="H156" s="13"/>
      <c r="I156" s="14"/>
    </row>
    <row r="157" spans="1:9" ht="13.15">
      <c r="A157" s="13"/>
      <c r="B157" s="13"/>
      <c r="C157" s="13"/>
      <c r="D157" s="13"/>
      <c r="E157" s="13"/>
      <c r="F157" s="14"/>
      <c r="G157" s="13"/>
      <c r="H157" s="13"/>
      <c r="I157" s="14"/>
    </row>
    <row r="158" spans="1:9" ht="13.15">
      <c r="A158" s="13"/>
      <c r="B158" s="13"/>
      <c r="C158" s="13"/>
      <c r="D158" s="13"/>
      <c r="E158" s="13"/>
      <c r="F158" s="14"/>
      <c r="G158" s="13"/>
      <c r="H158" s="13"/>
      <c r="I158" s="14"/>
    </row>
    <row r="159" spans="1:9" ht="13.15">
      <c r="A159" s="13"/>
      <c r="B159" s="13"/>
      <c r="C159" s="13"/>
      <c r="D159" s="13"/>
      <c r="E159" s="13"/>
      <c r="F159" s="14"/>
      <c r="G159" s="13"/>
      <c r="H159" s="13"/>
      <c r="I159" s="14"/>
    </row>
    <row r="160" spans="1:9" ht="13.15">
      <c r="A160" s="13"/>
      <c r="B160" s="13"/>
      <c r="C160" s="13"/>
      <c r="D160" s="13"/>
      <c r="E160" s="13"/>
      <c r="F160" s="14"/>
      <c r="G160" s="13"/>
      <c r="H160" s="13"/>
      <c r="I160" s="14"/>
    </row>
    <row r="161" spans="1:9" ht="13.15">
      <c r="A161" s="13"/>
      <c r="B161" s="13"/>
      <c r="C161" s="13"/>
      <c r="D161" s="13"/>
      <c r="E161" s="13"/>
      <c r="F161" s="14"/>
      <c r="G161" s="13"/>
      <c r="H161" s="13"/>
      <c r="I161" s="14"/>
    </row>
    <row r="162" spans="1:9" ht="13.15">
      <c r="A162" s="13"/>
      <c r="B162" s="13"/>
      <c r="C162" s="13"/>
      <c r="D162" s="13"/>
      <c r="E162" s="13"/>
      <c r="F162" s="14"/>
      <c r="G162" s="13"/>
      <c r="H162" s="13"/>
      <c r="I162" s="14"/>
    </row>
    <row r="163" spans="1:9" ht="13.15">
      <c r="A163" s="13"/>
      <c r="B163" s="13"/>
      <c r="C163" s="13"/>
      <c r="D163" s="13"/>
      <c r="E163" s="13"/>
      <c r="F163" s="14"/>
      <c r="G163" s="13"/>
      <c r="H163" s="13"/>
      <c r="I163" s="14"/>
    </row>
    <row r="164" spans="1:9" ht="13.15">
      <c r="A164" s="13"/>
      <c r="B164" s="13"/>
      <c r="C164" s="13"/>
      <c r="D164" s="13"/>
      <c r="E164" s="13"/>
      <c r="F164" s="14"/>
      <c r="G164" s="13"/>
      <c r="H164" s="13"/>
      <c r="I164" s="14"/>
    </row>
    <row r="165" spans="1:9" ht="13.15">
      <c r="A165" s="13"/>
      <c r="B165" s="13"/>
      <c r="C165" s="13"/>
      <c r="D165" s="13"/>
      <c r="E165" s="13"/>
      <c r="F165" s="14"/>
      <c r="G165" s="13"/>
      <c r="H165" s="13"/>
      <c r="I165" s="14"/>
    </row>
    <row r="166" spans="1:9" ht="13.15">
      <c r="A166" s="13"/>
      <c r="B166" s="13"/>
      <c r="C166" s="13"/>
      <c r="D166" s="13"/>
      <c r="E166" s="13"/>
      <c r="F166" s="14"/>
      <c r="G166" s="13"/>
      <c r="H166" s="13"/>
      <c r="I166" s="14"/>
    </row>
    <row r="167" spans="1:9" ht="13.15">
      <c r="A167" s="13"/>
      <c r="B167" s="13"/>
      <c r="C167" s="13"/>
      <c r="D167" s="13"/>
      <c r="E167" s="13"/>
      <c r="F167" s="14"/>
      <c r="G167" s="13"/>
      <c r="H167" s="13"/>
      <c r="I167" s="14"/>
    </row>
    <row r="168" spans="1:9" ht="13.15">
      <c r="A168" s="13"/>
      <c r="B168" s="13"/>
      <c r="C168" s="13"/>
      <c r="D168" s="13"/>
      <c r="E168" s="13"/>
      <c r="F168" s="14"/>
      <c r="G168" s="13"/>
      <c r="H168" s="13"/>
      <c r="I168" s="14"/>
    </row>
    <row r="169" spans="1:9" ht="13.15">
      <c r="A169" s="13"/>
      <c r="B169" s="13"/>
      <c r="C169" s="13"/>
      <c r="D169" s="13"/>
      <c r="E169" s="13"/>
      <c r="F169" s="14"/>
      <c r="G169" s="13"/>
      <c r="H169" s="13"/>
      <c r="I169" s="14"/>
    </row>
    <row r="170" spans="1:9" ht="13.15">
      <c r="A170" s="13"/>
      <c r="B170" s="13"/>
      <c r="C170" s="13"/>
      <c r="D170" s="13"/>
      <c r="E170" s="13"/>
      <c r="F170" s="14"/>
      <c r="G170" s="13"/>
      <c r="H170" s="13"/>
      <c r="I170" s="14"/>
    </row>
    <row r="171" spans="1:9" ht="13.15">
      <c r="A171" s="13"/>
      <c r="B171" s="13"/>
      <c r="C171" s="13"/>
      <c r="D171" s="13"/>
      <c r="E171" s="13"/>
      <c r="F171" s="14"/>
      <c r="G171" s="13"/>
      <c r="H171" s="13"/>
      <c r="I171" s="14"/>
    </row>
    <row r="172" spans="1:9" ht="13.15">
      <c r="A172" s="13"/>
      <c r="B172" s="13"/>
      <c r="C172" s="13"/>
      <c r="D172" s="13"/>
      <c r="E172" s="13"/>
      <c r="F172" s="14"/>
      <c r="G172" s="13"/>
      <c r="H172" s="13"/>
      <c r="I172" s="14"/>
    </row>
    <row r="173" spans="1:9" ht="13.15">
      <c r="A173" s="13"/>
      <c r="B173" s="13"/>
      <c r="C173" s="13"/>
      <c r="D173" s="13"/>
      <c r="E173" s="13"/>
      <c r="F173" s="14"/>
      <c r="G173" s="13"/>
      <c r="H173" s="13"/>
      <c r="I173" s="14"/>
    </row>
    <row r="174" spans="1:9" ht="13.15">
      <c r="A174" s="13"/>
      <c r="B174" s="13"/>
      <c r="C174" s="13"/>
      <c r="D174" s="13"/>
      <c r="E174" s="13"/>
      <c r="F174" s="14"/>
      <c r="G174" s="13"/>
      <c r="H174" s="13"/>
      <c r="I174" s="14"/>
    </row>
    <row r="175" spans="1:9" ht="13.15">
      <c r="A175" s="13"/>
      <c r="B175" s="13"/>
      <c r="C175" s="13"/>
      <c r="D175" s="13"/>
      <c r="E175" s="13"/>
      <c r="F175" s="14"/>
      <c r="G175" s="13"/>
      <c r="H175" s="13"/>
      <c r="I175" s="14"/>
    </row>
    <row r="176" spans="1:9" ht="13.15">
      <c r="A176" s="13"/>
      <c r="B176" s="13"/>
      <c r="C176" s="13"/>
      <c r="D176" s="13"/>
      <c r="E176" s="13"/>
      <c r="F176" s="14"/>
      <c r="G176" s="13"/>
      <c r="H176" s="13"/>
      <c r="I176" s="14"/>
    </row>
    <row r="177" spans="1:9" ht="13.15">
      <c r="A177" s="13"/>
      <c r="B177" s="13"/>
      <c r="C177" s="13"/>
      <c r="D177" s="13"/>
      <c r="E177" s="13"/>
      <c r="F177" s="14"/>
      <c r="G177" s="13"/>
      <c r="H177" s="13"/>
      <c r="I177" s="14"/>
    </row>
    <row r="178" spans="1:9" ht="13.15">
      <c r="A178" s="13"/>
      <c r="B178" s="13"/>
      <c r="C178" s="13"/>
      <c r="D178" s="13"/>
      <c r="E178" s="13"/>
      <c r="F178" s="14"/>
      <c r="G178" s="13"/>
      <c r="H178" s="13"/>
      <c r="I178" s="14"/>
    </row>
    <row r="179" spans="1:9" ht="13.15">
      <c r="A179" s="13"/>
      <c r="B179" s="13"/>
      <c r="C179" s="13"/>
      <c r="D179" s="13"/>
      <c r="E179" s="13"/>
      <c r="F179" s="14"/>
      <c r="G179" s="13"/>
      <c r="H179" s="13"/>
      <c r="I179" s="14"/>
    </row>
    <row r="180" spans="1:9" ht="13.15">
      <c r="A180" s="13"/>
      <c r="B180" s="13"/>
      <c r="C180" s="13"/>
      <c r="D180" s="13"/>
      <c r="E180" s="13"/>
      <c r="F180" s="14"/>
      <c r="G180" s="13"/>
      <c r="H180" s="13"/>
      <c r="I180" s="14"/>
    </row>
    <row r="181" spans="1:9" ht="13.15">
      <c r="A181" s="13"/>
      <c r="B181" s="13"/>
      <c r="C181" s="13"/>
      <c r="D181" s="13"/>
      <c r="E181" s="13"/>
      <c r="F181" s="14"/>
      <c r="G181" s="13"/>
      <c r="H181" s="13"/>
      <c r="I181" s="14"/>
    </row>
    <row r="182" spans="1:9" ht="13.15">
      <c r="A182" s="13"/>
      <c r="B182" s="13"/>
      <c r="C182" s="13"/>
      <c r="D182" s="13"/>
      <c r="E182" s="13"/>
      <c r="F182" s="14"/>
      <c r="G182" s="13"/>
      <c r="H182" s="13"/>
      <c r="I182" s="14"/>
    </row>
    <row r="183" spans="1:9" ht="13.15">
      <c r="A183" s="13"/>
      <c r="B183" s="13"/>
      <c r="C183" s="13"/>
      <c r="D183" s="13"/>
      <c r="E183" s="13"/>
      <c r="F183" s="14"/>
      <c r="G183" s="13"/>
      <c r="H183" s="13"/>
      <c r="I183" s="14"/>
    </row>
    <row r="184" spans="1:9" ht="13.15">
      <c r="A184" s="13"/>
      <c r="B184" s="13"/>
      <c r="C184" s="13"/>
      <c r="D184" s="13"/>
      <c r="E184" s="13"/>
      <c r="F184" s="14"/>
      <c r="G184" s="13"/>
      <c r="H184" s="13"/>
      <c r="I184" s="14"/>
    </row>
    <row r="185" spans="1:9" ht="13.15">
      <c r="A185" s="13"/>
      <c r="B185" s="13"/>
      <c r="C185" s="13"/>
      <c r="D185" s="13"/>
      <c r="E185" s="13"/>
      <c r="F185" s="14"/>
      <c r="G185" s="13"/>
      <c r="H185" s="13"/>
      <c r="I185" s="14"/>
    </row>
    <row r="186" spans="1:9" ht="13.15">
      <c r="A186" s="13"/>
      <c r="B186" s="13"/>
      <c r="C186" s="13"/>
      <c r="D186" s="13"/>
      <c r="E186" s="13"/>
      <c r="F186" s="14"/>
      <c r="G186" s="13"/>
      <c r="H186" s="13"/>
      <c r="I186" s="14"/>
    </row>
    <row r="187" spans="1:9" ht="13.15">
      <c r="A187" s="13"/>
      <c r="B187" s="13"/>
      <c r="C187" s="13"/>
      <c r="D187" s="13"/>
      <c r="E187" s="13"/>
      <c r="F187" s="14"/>
      <c r="G187" s="13"/>
      <c r="H187" s="13"/>
      <c r="I187" s="14"/>
    </row>
    <row r="188" spans="1:9" ht="13.15">
      <c r="A188" s="13"/>
      <c r="B188" s="13"/>
      <c r="C188" s="13"/>
      <c r="D188" s="13"/>
      <c r="E188" s="13"/>
      <c r="F188" s="14"/>
      <c r="G188" s="13"/>
      <c r="H188" s="13"/>
      <c r="I188" s="14"/>
    </row>
    <row r="189" spans="1:9" ht="13.15">
      <c r="A189" s="13"/>
      <c r="B189" s="13"/>
      <c r="C189" s="13"/>
      <c r="D189" s="13"/>
      <c r="E189" s="13"/>
      <c r="F189" s="14"/>
      <c r="G189" s="13"/>
      <c r="H189" s="13"/>
      <c r="I189" s="14"/>
    </row>
    <row r="190" spans="1:9" ht="13.15">
      <c r="A190" s="13"/>
      <c r="B190" s="13"/>
      <c r="C190" s="13"/>
      <c r="D190" s="13"/>
      <c r="E190" s="13"/>
      <c r="F190" s="14"/>
      <c r="G190" s="13"/>
      <c r="H190" s="13"/>
      <c r="I190" s="14"/>
    </row>
    <row r="191" spans="1:9" ht="13.15">
      <c r="A191" s="13"/>
      <c r="B191" s="13"/>
      <c r="C191" s="13"/>
      <c r="D191" s="13"/>
      <c r="E191" s="13"/>
      <c r="F191" s="14"/>
      <c r="G191" s="13"/>
      <c r="H191" s="13"/>
      <c r="I191" s="14"/>
    </row>
    <row r="192" spans="1:9" ht="13.15">
      <c r="A192" s="13"/>
      <c r="B192" s="13"/>
      <c r="C192" s="13"/>
      <c r="D192" s="13"/>
      <c r="E192" s="13"/>
      <c r="F192" s="14"/>
      <c r="G192" s="13"/>
      <c r="H192" s="13"/>
      <c r="I192" s="14"/>
    </row>
    <row r="193" spans="1:9" ht="13.15">
      <c r="A193" s="13"/>
      <c r="B193" s="13"/>
      <c r="C193" s="13"/>
      <c r="D193" s="13"/>
      <c r="E193" s="13"/>
      <c r="F193" s="14"/>
      <c r="G193" s="13"/>
      <c r="H193" s="13"/>
      <c r="I193" s="14"/>
    </row>
    <row r="194" spans="1:9" ht="13.15">
      <c r="A194" s="13"/>
      <c r="B194" s="13"/>
      <c r="C194" s="13"/>
      <c r="D194" s="13"/>
      <c r="E194" s="13"/>
      <c r="F194" s="14"/>
      <c r="G194" s="13"/>
      <c r="H194" s="13"/>
      <c r="I194" s="14"/>
    </row>
    <row r="195" spans="1:9" ht="13.15">
      <c r="A195" s="13"/>
      <c r="B195" s="13"/>
      <c r="C195" s="13"/>
      <c r="D195" s="13"/>
      <c r="E195" s="13"/>
      <c r="F195" s="14"/>
      <c r="G195" s="13"/>
      <c r="H195" s="13"/>
      <c r="I195" s="14"/>
    </row>
    <row r="196" spans="1:9" ht="13.15">
      <c r="A196" s="13"/>
      <c r="B196" s="13"/>
      <c r="C196" s="13"/>
      <c r="D196" s="13"/>
      <c r="E196" s="13"/>
      <c r="F196" s="14"/>
      <c r="G196" s="13"/>
      <c r="H196" s="13"/>
      <c r="I196" s="14"/>
    </row>
    <row r="197" spans="1:9" ht="13.15">
      <c r="A197" s="13"/>
      <c r="B197" s="13"/>
      <c r="C197" s="13"/>
      <c r="D197" s="13"/>
      <c r="E197" s="13"/>
      <c r="F197" s="14"/>
      <c r="G197" s="13"/>
      <c r="H197" s="13"/>
      <c r="I197" s="14"/>
    </row>
    <row r="198" spans="1:9" ht="13.15">
      <c r="A198" s="13"/>
      <c r="B198" s="13"/>
      <c r="C198" s="13"/>
      <c r="D198" s="13"/>
      <c r="E198" s="13"/>
      <c r="F198" s="14"/>
      <c r="G198" s="13"/>
      <c r="H198" s="13"/>
      <c r="I198" s="14"/>
    </row>
    <row r="199" spans="1:9" ht="13.15">
      <c r="A199" s="13"/>
      <c r="B199" s="13"/>
      <c r="C199" s="13"/>
      <c r="D199" s="13"/>
      <c r="E199" s="13"/>
      <c r="F199" s="14"/>
      <c r="G199" s="13"/>
      <c r="H199" s="13"/>
      <c r="I199" s="14"/>
    </row>
    <row r="200" spans="1:9" ht="13.15">
      <c r="A200" s="13"/>
      <c r="B200" s="13"/>
      <c r="C200" s="13"/>
      <c r="D200" s="13"/>
      <c r="E200" s="13"/>
      <c r="F200" s="14"/>
      <c r="G200" s="13"/>
      <c r="H200" s="13"/>
      <c r="I200" s="14"/>
    </row>
    <row r="201" spans="1:9" ht="13.15">
      <c r="A201" s="13"/>
      <c r="B201" s="13"/>
      <c r="C201" s="13"/>
      <c r="D201" s="13"/>
      <c r="E201" s="13"/>
      <c r="F201" s="14"/>
      <c r="G201" s="13"/>
      <c r="H201" s="13"/>
      <c r="I201" s="14"/>
    </row>
    <row r="202" spans="1:9" ht="13.15">
      <c r="A202" s="13"/>
      <c r="B202" s="13"/>
      <c r="C202" s="13"/>
      <c r="D202" s="13"/>
      <c r="E202" s="13"/>
      <c r="F202" s="14"/>
      <c r="G202" s="13"/>
      <c r="H202" s="13"/>
      <c r="I202" s="14"/>
    </row>
    <row r="203" spans="1:9" ht="13.15">
      <c r="A203" s="13"/>
      <c r="B203" s="13"/>
      <c r="C203" s="13"/>
      <c r="D203" s="13"/>
      <c r="E203" s="13"/>
      <c r="F203" s="14"/>
      <c r="G203" s="13"/>
      <c r="H203" s="13"/>
      <c r="I203" s="14"/>
    </row>
    <row r="204" spans="1:9" ht="13.15">
      <c r="A204" s="13"/>
      <c r="B204" s="13"/>
      <c r="C204" s="13"/>
      <c r="D204" s="13"/>
      <c r="E204" s="13"/>
      <c r="F204" s="14"/>
      <c r="G204" s="13"/>
      <c r="H204" s="13"/>
      <c r="I204" s="14"/>
    </row>
    <row r="205" spans="1:9" ht="13.15">
      <c r="A205" s="13"/>
      <c r="B205" s="13"/>
      <c r="C205" s="13"/>
      <c r="D205" s="13"/>
      <c r="E205" s="13"/>
      <c r="F205" s="14"/>
      <c r="G205" s="13"/>
      <c r="H205" s="13"/>
      <c r="I205" s="14"/>
    </row>
    <row r="206" spans="1:9" ht="13.15">
      <c r="A206" s="13"/>
      <c r="B206" s="13"/>
      <c r="C206" s="13"/>
      <c r="D206" s="13"/>
      <c r="E206" s="13"/>
      <c r="F206" s="14"/>
      <c r="G206" s="13"/>
      <c r="H206" s="13"/>
      <c r="I206" s="14"/>
    </row>
    <row r="207" spans="1:9" ht="13.15">
      <c r="A207" s="13"/>
      <c r="B207" s="13"/>
      <c r="C207" s="13"/>
      <c r="D207" s="13"/>
      <c r="E207" s="13"/>
      <c r="F207" s="14"/>
      <c r="G207" s="13"/>
      <c r="H207" s="13"/>
      <c r="I207" s="14"/>
    </row>
    <row r="208" spans="1:9" ht="13.15">
      <c r="A208" s="13"/>
      <c r="B208" s="13"/>
      <c r="C208" s="13"/>
      <c r="D208" s="13"/>
      <c r="E208" s="13"/>
      <c r="F208" s="14"/>
      <c r="G208" s="13"/>
      <c r="H208" s="13"/>
      <c r="I208" s="14"/>
    </row>
    <row r="209" spans="1:9" ht="13.15">
      <c r="A209" s="13"/>
      <c r="B209" s="13"/>
      <c r="C209" s="13"/>
      <c r="D209" s="13"/>
      <c r="E209" s="13"/>
      <c r="F209" s="14"/>
      <c r="G209" s="13"/>
      <c r="H209" s="13"/>
      <c r="I209" s="14"/>
    </row>
    <row r="210" spans="1:9" ht="13.15">
      <c r="A210" s="13"/>
      <c r="B210" s="13"/>
      <c r="C210" s="13"/>
      <c r="D210" s="13"/>
      <c r="E210" s="13"/>
      <c r="F210" s="14"/>
      <c r="G210" s="13"/>
      <c r="H210" s="13"/>
      <c r="I210" s="14"/>
    </row>
    <row r="211" spans="1:9" ht="13.15">
      <c r="A211" s="13"/>
      <c r="B211" s="13"/>
      <c r="C211" s="13"/>
      <c r="D211" s="13"/>
      <c r="E211" s="13"/>
      <c r="F211" s="14"/>
      <c r="G211" s="13"/>
      <c r="H211" s="13"/>
      <c r="I211" s="14"/>
    </row>
    <row r="212" spans="1:9" ht="13.15">
      <c r="A212" s="13"/>
      <c r="B212" s="13"/>
      <c r="C212" s="13"/>
      <c r="D212" s="13"/>
      <c r="E212" s="13"/>
      <c r="F212" s="14"/>
      <c r="G212" s="13"/>
      <c r="H212" s="13"/>
      <c r="I212" s="14"/>
    </row>
    <row r="213" spans="1:9" ht="13.15">
      <c r="A213" s="13"/>
      <c r="B213" s="13"/>
      <c r="C213" s="13"/>
      <c r="D213" s="13"/>
      <c r="E213" s="13"/>
      <c r="F213" s="14"/>
      <c r="G213" s="13"/>
      <c r="H213" s="13"/>
      <c r="I213" s="14"/>
    </row>
    <row r="214" spans="1:9" ht="13.15">
      <c r="A214" s="13"/>
      <c r="B214" s="13"/>
      <c r="C214" s="13"/>
      <c r="D214" s="13"/>
      <c r="E214" s="13"/>
      <c r="F214" s="14"/>
      <c r="G214" s="13"/>
      <c r="H214" s="13"/>
      <c r="I214" s="14"/>
    </row>
    <row r="215" spans="1:9" ht="13.15">
      <c r="A215" s="13"/>
      <c r="B215" s="13"/>
      <c r="C215" s="13"/>
      <c r="D215" s="13"/>
      <c r="E215" s="13"/>
      <c r="F215" s="14"/>
      <c r="G215" s="13"/>
      <c r="H215" s="13"/>
      <c r="I215" s="14"/>
    </row>
    <row r="216" spans="1:9" ht="13.15">
      <c r="A216" s="13"/>
      <c r="B216" s="13"/>
      <c r="C216" s="13"/>
      <c r="D216" s="13"/>
      <c r="E216" s="13"/>
      <c r="F216" s="14"/>
      <c r="G216" s="13"/>
      <c r="H216" s="13"/>
      <c r="I216" s="14"/>
    </row>
    <row r="217" spans="1:9" ht="13.15">
      <c r="A217" s="13"/>
      <c r="B217" s="13"/>
      <c r="C217" s="13"/>
      <c r="D217" s="13"/>
      <c r="E217" s="13"/>
      <c r="F217" s="14"/>
      <c r="G217" s="13"/>
      <c r="H217" s="13"/>
      <c r="I217" s="14"/>
    </row>
    <row r="218" spans="1:9" ht="13.15">
      <c r="A218" s="13"/>
      <c r="B218" s="13"/>
      <c r="C218" s="13"/>
      <c r="D218" s="13"/>
      <c r="E218" s="13"/>
      <c r="F218" s="14"/>
      <c r="G218" s="13"/>
      <c r="H218" s="13"/>
      <c r="I218" s="14"/>
    </row>
    <row r="219" spans="1:9" ht="13.15">
      <c r="A219" s="13"/>
      <c r="B219" s="13"/>
      <c r="C219" s="13"/>
      <c r="D219" s="13"/>
      <c r="E219" s="13"/>
      <c r="F219" s="14"/>
      <c r="G219" s="13"/>
      <c r="H219" s="13"/>
      <c r="I219" s="14"/>
    </row>
    <row r="220" spans="1:9" ht="13.15">
      <c r="A220" s="13"/>
      <c r="B220" s="13"/>
      <c r="C220" s="13"/>
      <c r="D220" s="13"/>
      <c r="E220" s="13"/>
      <c r="F220" s="14"/>
      <c r="G220" s="13"/>
      <c r="H220" s="13"/>
      <c r="I220" s="14"/>
    </row>
    <row r="221" spans="1:9" ht="13.15">
      <c r="A221" s="13"/>
      <c r="B221" s="13"/>
      <c r="C221" s="13"/>
      <c r="D221" s="13"/>
      <c r="E221" s="13"/>
      <c r="F221" s="14"/>
      <c r="G221" s="13"/>
      <c r="H221" s="13"/>
      <c r="I221" s="14"/>
    </row>
    <row r="222" spans="1:9" ht="13.15">
      <c r="A222" s="13"/>
      <c r="B222" s="13"/>
      <c r="C222" s="13"/>
      <c r="D222" s="13"/>
      <c r="E222" s="13"/>
      <c r="F222" s="14"/>
      <c r="G222" s="13"/>
      <c r="H222" s="13"/>
      <c r="I222" s="14"/>
    </row>
    <row r="223" spans="1:9" ht="13.15">
      <c r="A223" s="13"/>
      <c r="B223" s="13"/>
      <c r="C223" s="13"/>
      <c r="D223" s="13"/>
      <c r="E223" s="13"/>
      <c r="F223" s="14"/>
      <c r="G223" s="13"/>
      <c r="H223" s="13"/>
      <c r="I223" s="14"/>
    </row>
    <row r="224" spans="1:9" ht="13.15">
      <c r="A224" s="13"/>
      <c r="B224" s="13"/>
      <c r="C224" s="13"/>
      <c r="D224" s="13"/>
      <c r="E224" s="13"/>
      <c r="F224" s="14"/>
      <c r="G224" s="13"/>
      <c r="H224" s="13"/>
      <c r="I224" s="14"/>
    </row>
    <row r="225" spans="1:9" ht="13.15">
      <c r="A225" s="13"/>
      <c r="B225" s="13"/>
      <c r="C225" s="13"/>
      <c r="D225" s="13"/>
      <c r="E225" s="13"/>
      <c r="F225" s="14"/>
      <c r="G225" s="13"/>
      <c r="H225" s="13"/>
      <c r="I225" s="14"/>
    </row>
    <row r="226" spans="1:9" ht="13.15">
      <c r="A226" s="13"/>
      <c r="B226" s="13"/>
      <c r="C226" s="13"/>
      <c r="D226" s="13"/>
      <c r="E226" s="13"/>
      <c r="F226" s="14"/>
      <c r="G226" s="13"/>
      <c r="H226" s="13"/>
      <c r="I226" s="14"/>
    </row>
    <row r="227" spans="1:9" ht="13.15">
      <c r="A227" s="13"/>
      <c r="B227" s="13"/>
      <c r="C227" s="13"/>
      <c r="D227" s="13"/>
      <c r="E227" s="13"/>
      <c r="F227" s="14"/>
      <c r="G227" s="13"/>
      <c r="H227" s="13"/>
      <c r="I227" s="14"/>
    </row>
    <row r="228" spans="1:9" ht="13.15">
      <c r="A228" s="13"/>
      <c r="B228" s="13"/>
      <c r="C228" s="13"/>
      <c r="D228" s="13"/>
      <c r="E228" s="13"/>
      <c r="F228" s="14"/>
      <c r="G228" s="13"/>
      <c r="H228" s="13"/>
      <c r="I228" s="14"/>
    </row>
    <row r="229" spans="1:9" ht="13.15">
      <c r="A229" s="13"/>
      <c r="B229" s="13"/>
      <c r="C229" s="13"/>
      <c r="D229" s="13"/>
      <c r="E229" s="13"/>
      <c r="F229" s="14"/>
      <c r="G229" s="13"/>
      <c r="H229" s="13"/>
      <c r="I229" s="14"/>
    </row>
    <row r="230" spans="1:9" ht="13.15">
      <c r="A230" s="13"/>
      <c r="B230" s="13"/>
      <c r="C230" s="13"/>
      <c r="D230" s="13"/>
      <c r="E230" s="13"/>
      <c r="F230" s="14"/>
      <c r="G230" s="13"/>
      <c r="H230" s="13"/>
      <c r="I230" s="14"/>
    </row>
    <row r="231" spans="1:9" ht="13.15">
      <c r="A231" s="13"/>
      <c r="B231" s="13"/>
      <c r="C231" s="13"/>
      <c r="D231" s="13"/>
      <c r="E231" s="13"/>
      <c r="F231" s="14"/>
      <c r="G231" s="13"/>
      <c r="H231" s="13"/>
      <c r="I231" s="14"/>
    </row>
    <row r="232" spans="1:9" ht="13.15">
      <c r="A232" s="13"/>
      <c r="B232" s="13"/>
      <c r="C232" s="13"/>
      <c r="D232" s="13"/>
      <c r="E232" s="13"/>
      <c r="F232" s="14"/>
      <c r="G232" s="13"/>
      <c r="H232" s="13"/>
      <c r="I232" s="14"/>
    </row>
    <row r="233" spans="1:9" ht="13.15">
      <c r="A233" s="13"/>
      <c r="B233" s="13"/>
      <c r="C233" s="13"/>
      <c r="D233" s="13"/>
      <c r="E233" s="13"/>
      <c r="F233" s="14"/>
      <c r="G233" s="13"/>
      <c r="H233" s="13"/>
      <c r="I233" s="14"/>
    </row>
    <row r="234" spans="1:9" ht="13.15">
      <c r="A234" s="13"/>
      <c r="B234" s="13"/>
      <c r="C234" s="13"/>
      <c r="D234" s="13"/>
      <c r="E234" s="13"/>
      <c r="F234" s="14"/>
      <c r="G234" s="13"/>
      <c r="H234" s="13"/>
      <c r="I234" s="14"/>
    </row>
    <row r="235" spans="1:9" ht="13.15">
      <c r="A235" s="13"/>
      <c r="B235" s="13"/>
      <c r="C235" s="13"/>
      <c r="D235" s="13"/>
      <c r="E235" s="13"/>
      <c r="F235" s="14"/>
      <c r="G235" s="13"/>
      <c r="H235" s="13"/>
      <c r="I235" s="14"/>
    </row>
    <row r="236" spans="1:9" ht="13.15">
      <c r="A236" s="13"/>
      <c r="B236" s="13"/>
      <c r="C236" s="13"/>
      <c r="D236" s="13"/>
      <c r="E236" s="13"/>
      <c r="F236" s="14"/>
      <c r="G236" s="13"/>
      <c r="H236" s="13"/>
      <c r="I236" s="14"/>
    </row>
    <row r="237" spans="1:9" ht="13.15">
      <c r="A237" s="13"/>
      <c r="B237" s="13"/>
      <c r="C237" s="13"/>
      <c r="D237" s="13"/>
      <c r="E237" s="13"/>
      <c r="F237" s="14"/>
      <c r="G237" s="13"/>
      <c r="H237" s="13"/>
      <c r="I237" s="14"/>
    </row>
    <row r="238" spans="1:9" ht="13.15">
      <c r="A238" s="13"/>
      <c r="B238" s="13"/>
      <c r="C238" s="13"/>
      <c r="D238" s="13"/>
      <c r="E238" s="13"/>
      <c r="F238" s="14"/>
      <c r="G238" s="13"/>
      <c r="H238" s="13"/>
      <c r="I238" s="14"/>
    </row>
    <row r="239" spans="1:9" ht="13.15">
      <c r="A239" s="13"/>
      <c r="B239" s="13"/>
      <c r="C239" s="13"/>
      <c r="D239" s="13"/>
      <c r="E239" s="13"/>
      <c r="F239" s="14"/>
      <c r="G239" s="13"/>
      <c r="H239" s="13"/>
      <c r="I239" s="14"/>
    </row>
    <row r="240" spans="1:9" ht="13.15">
      <c r="A240" s="13"/>
      <c r="B240" s="13"/>
      <c r="C240" s="13"/>
      <c r="D240" s="13"/>
      <c r="E240" s="13"/>
      <c r="F240" s="14"/>
      <c r="G240" s="13"/>
      <c r="H240" s="13"/>
      <c r="I240" s="14"/>
    </row>
    <row r="241" spans="1:9" ht="13.15">
      <c r="A241" s="13"/>
      <c r="B241" s="13"/>
      <c r="C241" s="13"/>
      <c r="D241" s="13"/>
      <c r="E241" s="13"/>
      <c r="F241" s="14"/>
      <c r="G241" s="13"/>
      <c r="H241" s="13"/>
      <c r="I241" s="14"/>
    </row>
    <row r="242" spans="1:9" ht="13.15">
      <c r="A242" s="13"/>
      <c r="B242" s="13"/>
      <c r="C242" s="13"/>
      <c r="D242" s="13"/>
      <c r="E242" s="13"/>
      <c r="F242" s="14"/>
      <c r="G242" s="13"/>
      <c r="H242" s="13"/>
      <c r="I242" s="14"/>
    </row>
    <row r="243" spans="1:9" ht="13.15">
      <c r="A243" s="13"/>
      <c r="B243" s="13"/>
      <c r="C243" s="13"/>
      <c r="D243" s="13"/>
      <c r="E243" s="13"/>
      <c r="F243" s="14"/>
      <c r="G243" s="13"/>
      <c r="H243" s="13"/>
      <c r="I243" s="14"/>
    </row>
    <row r="244" spans="1:9" ht="13.15">
      <c r="A244" s="13"/>
      <c r="B244" s="13"/>
      <c r="C244" s="13"/>
      <c r="D244" s="13"/>
      <c r="E244" s="13"/>
      <c r="F244" s="14"/>
      <c r="G244" s="13"/>
      <c r="H244" s="13"/>
      <c r="I244" s="14"/>
    </row>
    <row r="245" spans="1:9" ht="13.15">
      <c r="A245" s="13"/>
      <c r="B245" s="13"/>
      <c r="C245" s="13"/>
      <c r="D245" s="13"/>
      <c r="E245" s="13"/>
      <c r="F245" s="14"/>
      <c r="G245" s="13"/>
      <c r="H245" s="13"/>
      <c r="I245" s="14"/>
    </row>
    <row r="246" spans="1:9" ht="13.15">
      <c r="A246" s="13"/>
      <c r="B246" s="13"/>
      <c r="C246" s="13"/>
      <c r="D246" s="13"/>
      <c r="E246" s="13"/>
      <c r="F246" s="14"/>
      <c r="G246" s="13"/>
      <c r="H246" s="13"/>
      <c r="I246" s="14"/>
    </row>
    <row r="247" spans="1:9" ht="13.15">
      <c r="A247" s="13"/>
      <c r="B247" s="13"/>
      <c r="C247" s="13"/>
      <c r="D247" s="13"/>
      <c r="E247" s="13"/>
      <c r="F247" s="14"/>
      <c r="G247" s="13"/>
      <c r="H247" s="13"/>
      <c r="I247" s="14"/>
    </row>
    <row r="248" spans="1:9" ht="13.15">
      <c r="A248" s="13"/>
      <c r="B248" s="13"/>
      <c r="C248" s="13"/>
      <c r="D248" s="13"/>
      <c r="E248" s="13"/>
      <c r="F248" s="14"/>
      <c r="G248" s="13"/>
      <c r="H248" s="13"/>
      <c r="I248" s="14"/>
    </row>
    <row r="249" spans="1:9" ht="13.15">
      <c r="A249" s="13"/>
      <c r="B249" s="13"/>
      <c r="C249" s="13"/>
      <c r="D249" s="13"/>
      <c r="E249" s="13"/>
      <c r="F249" s="14"/>
      <c r="G249" s="13"/>
      <c r="H249" s="13"/>
      <c r="I249" s="14"/>
    </row>
    <row r="250" spans="1:9" ht="13.15">
      <c r="A250" s="13"/>
      <c r="B250" s="13"/>
      <c r="C250" s="13"/>
      <c r="D250" s="13"/>
      <c r="E250" s="13"/>
      <c r="F250" s="14"/>
      <c r="G250" s="13"/>
      <c r="H250" s="13"/>
      <c r="I250" s="14"/>
    </row>
    <row r="251" spans="1:9" ht="13.15">
      <c r="A251" s="13"/>
      <c r="B251" s="13"/>
      <c r="C251" s="13"/>
      <c r="D251" s="13"/>
      <c r="E251" s="13"/>
      <c r="F251" s="14"/>
      <c r="G251" s="13"/>
      <c r="H251" s="13"/>
      <c r="I251" s="14"/>
    </row>
    <row r="252" spans="1:9" ht="13.15">
      <c r="A252" s="13"/>
      <c r="B252" s="13"/>
      <c r="C252" s="13"/>
      <c r="D252" s="13"/>
      <c r="E252" s="13"/>
      <c r="F252" s="14"/>
      <c r="G252" s="13"/>
      <c r="H252" s="13"/>
      <c r="I252" s="14"/>
    </row>
    <row r="253" spans="1:9" ht="13.15">
      <c r="A253" s="13"/>
      <c r="B253" s="13"/>
      <c r="C253" s="13"/>
      <c r="D253" s="13"/>
      <c r="E253" s="13"/>
      <c r="F253" s="14"/>
      <c r="G253" s="13"/>
      <c r="H253" s="13"/>
      <c r="I253" s="14"/>
    </row>
    <row r="254" spans="1:9" ht="13.15">
      <c r="A254" s="13"/>
      <c r="B254" s="13"/>
      <c r="C254" s="13"/>
      <c r="D254" s="13"/>
      <c r="E254" s="13"/>
      <c r="F254" s="14"/>
      <c r="G254" s="13"/>
      <c r="H254" s="13"/>
      <c r="I254" s="14"/>
    </row>
    <row r="255" spans="1:9" ht="13.15">
      <c r="A255" s="13"/>
      <c r="B255" s="13"/>
      <c r="C255" s="13"/>
      <c r="D255" s="13"/>
      <c r="E255" s="13"/>
      <c r="F255" s="14"/>
      <c r="G255" s="13"/>
      <c r="H255" s="13"/>
      <c r="I255" s="14"/>
    </row>
    <row r="256" spans="1:9" ht="13.15">
      <c r="A256" s="13"/>
      <c r="B256" s="13"/>
      <c r="C256" s="13"/>
      <c r="D256" s="13"/>
      <c r="E256" s="13"/>
      <c r="F256" s="14"/>
      <c r="G256" s="13"/>
      <c r="H256" s="13"/>
      <c r="I256" s="14"/>
    </row>
    <row r="257" spans="1:9" ht="13.15">
      <c r="A257" s="13"/>
      <c r="B257" s="13"/>
      <c r="C257" s="13"/>
      <c r="D257" s="13"/>
      <c r="E257" s="13"/>
      <c r="F257" s="14"/>
      <c r="G257" s="13"/>
      <c r="H257" s="13"/>
      <c r="I257" s="14"/>
    </row>
    <row r="258" spans="1:9" ht="13.15">
      <c r="A258" s="13"/>
      <c r="B258" s="13"/>
      <c r="C258" s="13"/>
      <c r="D258" s="13"/>
      <c r="E258" s="13"/>
      <c r="F258" s="14"/>
      <c r="G258" s="13"/>
      <c r="H258" s="13"/>
      <c r="I258" s="14"/>
    </row>
    <row r="259" spans="1:9" ht="13.15">
      <c r="A259" s="13"/>
      <c r="B259" s="13"/>
      <c r="C259" s="13"/>
      <c r="D259" s="13"/>
      <c r="E259" s="13"/>
      <c r="F259" s="14"/>
      <c r="G259" s="13"/>
      <c r="H259" s="13"/>
      <c r="I259" s="14"/>
    </row>
    <row r="260" spans="1:9" ht="13.15">
      <c r="A260" s="13"/>
      <c r="B260" s="13"/>
      <c r="C260" s="13"/>
      <c r="D260" s="13"/>
      <c r="E260" s="13"/>
      <c r="F260" s="14"/>
      <c r="G260" s="13"/>
      <c r="H260" s="13"/>
      <c r="I260" s="14"/>
    </row>
    <row r="261" spans="1:9" ht="13.15">
      <c r="A261" s="13"/>
      <c r="B261" s="13"/>
      <c r="C261" s="13"/>
      <c r="D261" s="13"/>
      <c r="E261" s="13"/>
      <c r="F261" s="14"/>
      <c r="G261" s="13"/>
      <c r="H261" s="13"/>
      <c r="I261" s="14"/>
    </row>
    <row r="262" spans="1:9" ht="13.15">
      <c r="A262" s="13"/>
      <c r="B262" s="13"/>
      <c r="C262" s="13"/>
      <c r="D262" s="13"/>
      <c r="E262" s="13"/>
      <c r="F262" s="14"/>
      <c r="G262" s="13"/>
      <c r="H262" s="13"/>
      <c r="I262" s="14"/>
    </row>
    <row r="263" spans="1:9" ht="13.15">
      <c r="A263" s="13"/>
      <c r="B263" s="13"/>
      <c r="C263" s="13"/>
      <c r="D263" s="13"/>
      <c r="E263" s="13"/>
      <c r="F263" s="14"/>
      <c r="G263" s="13"/>
      <c r="H263" s="13"/>
      <c r="I263" s="14"/>
    </row>
    <row r="264" spans="1:9" ht="13.15">
      <c r="A264" s="13"/>
      <c r="B264" s="13"/>
      <c r="C264" s="13"/>
      <c r="D264" s="13"/>
      <c r="E264" s="13"/>
      <c r="F264" s="14"/>
      <c r="G264" s="13"/>
      <c r="H264" s="13"/>
      <c r="I264" s="14"/>
    </row>
    <row r="265" spans="1:9" ht="13.15">
      <c r="A265" s="13"/>
      <c r="B265" s="13"/>
      <c r="C265" s="13"/>
      <c r="D265" s="13"/>
      <c r="E265" s="13"/>
      <c r="F265" s="14"/>
      <c r="G265" s="13"/>
      <c r="H265" s="13"/>
      <c r="I265" s="14"/>
    </row>
    <row r="266" spans="1:9" ht="13.15">
      <c r="A266" s="13"/>
      <c r="B266" s="13"/>
      <c r="C266" s="13"/>
      <c r="D266" s="13"/>
      <c r="E266" s="13"/>
      <c r="F266" s="14"/>
      <c r="G266" s="13"/>
      <c r="H266" s="13"/>
      <c r="I266" s="14"/>
    </row>
    <row r="267" spans="1:9" ht="13.15">
      <c r="A267" s="13"/>
      <c r="B267" s="13"/>
      <c r="C267" s="13"/>
      <c r="D267" s="13"/>
      <c r="E267" s="13"/>
      <c r="F267" s="14"/>
      <c r="G267" s="13"/>
      <c r="H267" s="13"/>
      <c r="I267" s="14"/>
    </row>
    <row r="268" spans="1:9" ht="13.15">
      <c r="A268" s="13"/>
      <c r="B268" s="13"/>
      <c r="C268" s="13"/>
      <c r="D268" s="13"/>
      <c r="E268" s="13"/>
      <c r="F268" s="14"/>
      <c r="G268" s="13"/>
      <c r="H268" s="13"/>
      <c r="I268" s="14"/>
    </row>
    <row r="269" spans="1:9" ht="13.15">
      <c r="A269" s="13"/>
      <c r="B269" s="13"/>
      <c r="C269" s="13"/>
      <c r="D269" s="13"/>
      <c r="E269" s="13"/>
      <c r="F269" s="14"/>
      <c r="G269" s="13"/>
      <c r="H269" s="13"/>
      <c r="I269" s="14"/>
    </row>
    <row r="270" spans="1:9" ht="13.15">
      <c r="A270" s="13"/>
      <c r="B270" s="13"/>
      <c r="C270" s="13"/>
      <c r="D270" s="13"/>
      <c r="E270" s="13"/>
      <c r="F270" s="14"/>
      <c r="G270" s="13"/>
      <c r="H270" s="13"/>
      <c r="I270" s="14"/>
    </row>
    <row r="271" spans="1:9" ht="13.15">
      <c r="A271" s="13"/>
      <c r="B271" s="13"/>
      <c r="C271" s="13"/>
      <c r="D271" s="13"/>
      <c r="E271" s="13"/>
      <c r="F271" s="14"/>
      <c r="G271" s="13"/>
      <c r="H271" s="13"/>
      <c r="I271" s="14"/>
    </row>
    <row r="272" spans="1:9" ht="13.15">
      <c r="A272" s="13"/>
      <c r="B272" s="13"/>
      <c r="C272" s="13"/>
      <c r="D272" s="13"/>
      <c r="E272" s="13"/>
      <c r="F272" s="14"/>
      <c r="G272" s="13"/>
      <c r="H272" s="13"/>
      <c r="I272" s="14"/>
    </row>
    <row r="273" spans="1:9" ht="13.15">
      <c r="A273" s="13"/>
      <c r="B273" s="13"/>
      <c r="C273" s="13"/>
      <c r="D273" s="13"/>
      <c r="E273" s="13"/>
      <c r="F273" s="14"/>
      <c r="G273" s="13"/>
      <c r="H273" s="13"/>
      <c r="I273" s="14"/>
    </row>
    <row r="274" spans="1:9" ht="13.15">
      <c r="A274" s="13"/>
      <c r="B274" s="13"/>
      <c r="C274" s="13"/>
      <c r="D274" s="13"/>
      <c r="E274" s="13"/>
      <c r="F274" s="14"/>
      <c r="G274" s="13"/>
      <c r="H274" s="13"/>
      <c r="I274" s="14"/>
    </row>
    <row r="275" spans="1:9" ht="13.15">
      <c r="A275" s="13"/>
      <c r="B275" s="13"/>
      <c r="C275" s="13"/>
      <c r="D275" s="13"/>
      <c r="E275" s="13"/>
      <c r="F275" s="14"/>
      <c r="G275" s="13"/>
      <c r="H275" s="13"/>
      <c r="I275" s="14"/>
    </row>
    <row r="276" spans="1:9" ht="13.15">
      <c r="A276" s="13"/>
      <c r="B276" s="13"/>
      <c r="C276" s="13"/>
      <c r="D276" s="13"/>
      <c r="E276" s="13"/>
      <c r="F276" s="14"/>
      <c r="G276" s="13"/>
      <c r="H276" s="13"/>
      <c r="I276" s="14"/>
    </row>
    <row r="277" spans="1:9" ht="13.15">
      <c r="A277" s="13"/>
      <c r="B277" s="13"/>
      <c r="C277" s="13"/>
      <c r="D277" s="13"/>
      <c r="E277" s="13"/>
      <c r="F277" s="14"/>
      <c r="G277" s="13"/>
      <c r="H277" s="13"/>
      <c r="I277" s="14"/>
    </row>
    <row r="278" spans="1:9" ht="13.15">
      <c r="A278" s="13"/>
      <c r="B278" s="13"/>
      <c r="C278" s="13"/>
      <c r="D278" s="13"/>
      <c r="E278" s="13"/>
      <c r="F278" s="14"/>
      <c r="G278" s="13"/>
      <c r="H278" s="13"/>
      <c r="I278" s="14"/>
    </row>
    <row r="279" spans="1:9" ht="13.15">
      <c r="A279" s="13"/>
      <c r="B279" s="13"/>
      <c r="C279" s="13"/>
      <c r="D279" s="13"/>
      <c r="E279" s="13"/>
      <c r="F279" s="14"/>
      <c r="G279" s="13"/>
      <c r="H279" s="13"/>
      <c r="I279" s="14"/>
    </row>
    <row r="280" spans="1:9" ht="13.15">
      <c r="A280" s="13"/>
      <c r="B280" s="13"/>
      <c r="C280" s="13"/>
      <c r="D280" s="13"/>
      <c r="E280" s="13"/>
      <c r="F280" s="14"/>
      <c r="G280" s="13"/>
      <c r="H280" s="13"/>
      <c r="I280" s="14"/>
    </row>
    <row r="281" spans="1:9" ht="13.15">
      <c r="A281" s="13"/>
      <c r="B281" s="13"/>
      <c r="C281" s="13"/>
      <c r="D281" s="13"/>
      <c r="E281" s="13"/>
      <c r="F281" s="14"/>
      <c r="G281" s="13"/>
      <c r="H281" s="13"/>
      <c r="I281" s="14"/>
    </row>
    <row r="282" spans="1:9" ht="13.15">
      <c r="A282" s="13"/>
      <c r="B282" s="13"/>
      <c r="C282" s="13"/>
      <c r="D282" s="13"/>
      <c r="E282" s="13"/>
      <c r="F282" s="14"/>
      <c r="G282" s="13"/>
      <c r="H282" s="13"/>
      <c r="I282" s="14"/>
    </row>
    <row r="283" spans="1:9" ht="13.15">
      <c r="A283" s="13"/>
      <c r="B283" s="13"/>
      <c r="C283" s="13"/>
      <c r="D283" s="13"/>
      <c r="E283" s="13"/>
      <c r="F283" s="14"/>
      <c r="G283" s="13"/>
      <c r="H283" s="13"/>
      <c r="I283" s="14"/>
    </row>
    <row r="284" spans="1:9" ht="13.15">
      <c r="A284" s="13"/>
      <c r="B284" s="13"/>
      <c r="C284" s="13"/>
      <c r="D284" s="13"/>
      <c r="E284" s="13"/>
      <c r="F284" s="14"/>
      <c r="G284" s="13"/>
      <c r="H284" s="13"/>
      <c r="I284" s="14"/>
    </row>
    <row r="285" spans="1:9" ht="13.15">
      <c r="A285" s="13"/>
      <c r="B285" s="13"/>
      <c r="C285" s="13"/>
      <c r="D285" s="13"/>
      <c r="E285" s="13"/>
      <c r="F285" s="14"/>
      <c r="G285" s="13"/>
      <c r="H285" s="13"/>
      <c r="I285" s="14"/>
    </row>
    <row r="286" spans="1:9" ht="13.15">
      <c r="A286" s="13"/>
      <c r="B286" s="13"/>
      <c r="C286" s="13"/>
      <c r="D286" s="13"/>
      <c r="E286" s="13"/>
      <c r="F286" s="14"/>
      <c r="G286" s="13"/>
      <c r="H286" s="13"/>
      <c r="I286" s="14"/>
    </row>
    <row r="287" spans="1:9" ht="13.15">
      <c r="A287" s="13"/>
      <c r="B287" s="13"/>
      <c r="C287" s="13"/>
      <c r="D287" s="13"/>
      <c r="E287" s="13"/>
      <c r="F287" s="14"/>
      <c r="G287" s="13"/>
      <c r="H287" s="13"/>
      <c r="I287" s="14"/>
    </row>
    <row r="288" spans="1:9" ht="13.15">
      <c r="A288" s="13"/>
      <c r="B288" s="13"/>
      <c r="C288" s="13"/>
      <c r="D288" s="13"/>
      <c r="E288" s="13"/>
      <c r="F288" s="14"/>
      <c r="G288" s="13"/>
      <c r="H288" s="13"/>
      <c r="I288" s="14"/>
    </row>
    <row r="289" spans="1:9" ht="13.15">
      <c r="A289" s="13"/>
      <c r="B289" s="13"/>
      <c r="C289" s="13"/>
      <c r="D289" s="13"/>
      <c r="E289" s="13"/>
      <c r="F289" s="14"/>
      <c r="G289" s="13"/>
      <c r="H289" s="13"/>
      <c r="I289" s="14"/>
    </row>
    <row r="290" spans="1:9" ht="13.15">
      <c r="A290" s="13"/>
      <c r="B290" s="13"/>
      <c r="C290" s="13"/>
      <c r="D290" s="13"/>
      <c r="E290" s="13"/>
      <c r="F290" s="14"/>
      <c r="G290" s="13"/>
      <c r="H290" s="13"/>
      <c r="I290" s="14"/>
    </row>
    <row r="291" spans="1:9" ht="13.15">
      <c r="A291" s="13"/>
      <c r="B291" s="13"/>
      <c r="C291" s="13"/>
      <c r="D291" s="13"/>
      <c r="E291" s="13"/>
      <c r="F291" s="14"/>
      <c r="G291" s="13"/>
      <c r="H291" s="13"/>
      <c r="I291" s="14"/>
    </row>
    <row r="292" spans="1:9" ht="13.15">
      <c r="A292" s="13"/>
      <c r="B292" s="13"/>
      <c r="C292" s="13"/>
      <c r="D292" s="13"/>
      <c r="E292" s="13"/>
      <c r="F292" s="14"/>
      <c r="G292" s="13"/>
      <c r="H292" s="13"/>
      <c r="I292" s="14"/>
    </row>
    <row r="293" spans="1:9" ht="13.15">
      <c r="A293" s="13"/>
      <c r="B293" s="13"/>
      <c r="C293" s="13"/>
      <c r="D293" s="13"/>
      <c r="E293" s="13"/>
      <c r="F293" s="14"/>
      <c r="G293" s="13"/>
      <c r="H293" s="13"/>
      <c r="I293" s="14"/>
    </row>
    <row r="294" spans="1:9" ht="13.15">
      <c r="A294" s="13"/>
      <c r="B294" s="13"/>
      <c r="C294" s="13"/>
      <c r="D294" s="13"/>
      <c r="E294" s="13"/>
      <c r="F294" s="14"/>
      <c r="G294" s="13"/>
      <c r="H294" s="13"/>
      <c r="I294" s="14"/>
    </row>
    <row r="295" spans="1:9" ht="13.15">
      <c r="A295" s="13"/>
      <c r="B295" s="13"/>
      <c r="C295" s="13"/>
      <c r="D295" s="13"/>
      <c r="E295" s="13"/>
      <c r="F295" s="14"/>
      <c r="G295" s="13"/>
      <c r="H295" s="13"/>
      <c r="I295" s="14"/>
    </row>
    <row r="296" spans="1:9" ht="13.15">
      <c r="A296" s="13"/>
      <c r="B296" s="13"/>
      <c r="C296" s="13"/>
      <c r="D296" s="13"/>
      <c r="E296" s="13"/>
      <c r="F296" s="14"/>
      <c r="G296" s="13"/>
      <c r="H296" s="13"/>
      <c r="I296" s="14"/>
    </row>
    <row r="297" spans="1:9" ht="13.15">
      <c r="A297" s="13"/>
      <c r="B297" s="13"/>
      <c r="C297" s="13"/>
      <c r="D297" s="13"/>
      <c r="E297" s="13"/>
      <c r="F297" s="14"/>
      <c r="G297" s="13"/>
      <c r="H297" s="13"/>
      <c r="I297" s="14"/>
    </row>
    <row r="298" spans="1:9" ht="13.15">
      <c r="A298" s="13"/>
      <c r="B298" s="13"/>
      <c r="C298" s="13"/>
      <c r="D298" s="13"/>
      <c r="E298" s="13"/>
      <c r="F298" s="14"/>
      <c r="G298" s="13"/>
      <c r="H298" s="13"/>
      <c r="I298" s="14"/>
    </row>
    <row r="299" spans="1:9" ht="13.15">
      <c r="A299" s="13"/>
      <c r="B299" s="13"/>
      <c r="C299" s="13"/>
      <c r="D299" s="13"/>
      <c r="E299" s="13"/>
      <c r="F299" s="14"/>
      <c r="G299" s="13"/>
      <c r="H299" s="13"/>
      <c r="I299" s="14"/>
    </row>
    <row r="300" spans="1:9" ht="13.15">
      <c r="A300" s="13"/>
      <c r="B300" s="13"/>
      <c r="C300" s="13"/>
      <c r="D300" s="13"/>
      <c r="E300" s="13"/>
      <c r="F300" s="14"/>
      <c r="G300" s="13"/>
      <c r="H300" s="13"/>
      <c r="I300" s="14"/>
    </row>
    <row r="301" spans="1:9" ht="13.15">
      <c r="A301" s="13"/>
      <c r="B301" s="13"/>
      <c r="C301" s="13"/>
      <c r="D301" s="13"/>
      <c r="E301" s="13"/>
      <c r="F301" s="14"/>
      <c r="G301" s="13"/>
      <c r="H301" s="13"/>
      <c r="I301" s="14"/>
    </row>
    <row r="302" spans="1:9" ht="13.15">
      <c r="A302" s="13"/>
      <c r="B302" s="13"/>
      <c r="C302" s="13"/>
      <c r="D302" s="13"/>
      <c r="E302" s="13"/>
      <c r="F302" s="14"/>
      <c r="G302" s="13"/>
      <c r="H302" s="13"/>
      <c r="I302" s="14"/>
    </row>
    <row r="303" spans="1:9" ht="13.15">
      <c r="A303" s="13"/>
      <c r="B303" s="13"/>
      <c r="C303" s="13"/>
      <c r="D303" s="13"/>
      <c r="E303" s="13"/>
      <c r="F303" s="14"/>
      <c r="G303" s="13"/>
      <c r="H303" s="13"/>
      <c r="I303" s="14"/>
    </row>
    <row r="304" spans="1:9" ht="13.15">
      <c r="A304" s="13"/>
      <c r="B304" s="13"/>
      <c r="C304" s="13"/>
      <c r="D304" s="13"/>
      <c r="E304" s="13"/>
      <c r="F304" s="14"/>
      <c r="G304" s="13"/>
      <c r="H304" s="13"/>
      <c r="I304" s="14"/>
    </row>
    <row r="305" spans="1:9" ht="13.15">
      <c r="A305" s="13"/>
      <c r="B305" s="13"/>
      <c r="C305" s="13"/>
      <c r="D305" s="13"/>
      <c r="E305" s="13"/>
      <c r="F305" s="14"/>
      <c r="G305" s="13"/>
      <c r="H305" s="13"/>
      <c r="I305" s="14"/>
    </row>
    <row r="306" spans="1:9" ht="13.15">
      <c r="A306" s="13"/>
      <c r="B306" s="13"/>
      <c r="C306" s="13"/>
      <c r="D306" s="13"/>
      <c r="E306" s="13"/>
      <c r="F306" s="14"/>
      <c r="G306" s="13"/>
      <c r="H306" s="13"/>
      <c r="I306" s="14"/>
    </row>
    <row r="307" spans="1:9" ht="13.15">
      <c r="A307" s="13"/>
      <c r="B307" s="13"/>
      <c r="C307" s="13"/>
      <c r="D307" s="13"/>
      <c r="E307" s="13"/>
      <c r="F307" s="14"/>
      <c r="G307" s="13"/>
      <c r="H307" s="13"/>
      <c r="I307" s="14"/>
    </row>
    <row r="308" spans="1:9" ht="13.15">
      <c r="A308" s="13"/>
      <c r="B308" s="13"/>
      <c r="C308" s="13"/>
      <c r="D308" s="13"/>
      <c r="E308" s="13"/>
      <c r="F308" s="14"/>
      <c r="G308" s="13"/>
      <c r="H308" s="13"/>
      <c r="I308" s="14"/>
    </row>
    <row r="309" spans="1:9" ht="13.15">
      <c r="A309" s="13"/>
      <c r="B309" s="13"/>
      <c r="C309" s="13"/>
      <c r="D309" s="13"/>
      <c r="E309" s="13"/>
      <c r="F309" s="14"/>
      <c r="G309" s="13"/>
      <c r="H309" s="13"/>
      <c r="I309" s="14"/>
    </row>
    <row r="310" spans="1:9" ht="13.15">
      <c r="A310" s="13"/>
      <c r="B310" s="13"/>
      <c r="C310" s="13"/>
      <c r="D310" s="13"/>
      <c r="E310" s="13"/>
      <c r="F310" s="14"/>
      <c r="G310" s="13"/>
      <c r="H310" s="13"/>
      <c r="I310" s="14"/>
    </row>
    <row r="311" spans="1:9" ht="13.15">
      <c r="A311" s="13"/>
      <c r="B311" s="13"/>
      <c r="C311" s="13"/>
      <c r="D311" s="13"/>
      <c r="E311" s="13"/>
      <c r="F311" s="14"/>
      <c r="G311" s="13"/>
      <c r="H311" s="13"/>
      <c r="I311" s="14"/>
    </row>
    <row r="312" spans="1:9" ht="13.15">
      <c r="A312" s="13"/>
      <c r="B312" s="13"/>
      <c r="C312" s="13"/>
      <c r="D312" s="13"/>
      <c r="E312" s="13"/>
      <c r="F312" s="14"/>
      <c r="G312" s="13"/>
      <c r="H312" s="13"/>
      <c r="I312" s="14"/>
    </row>
    <row r="313" spans="1:9" ht="13.15">
      <c r="A313" s="13"/>
      <c r="B313" s="13"/>
      <c r="C313" s="13"/>
      <c r="D313" s="13"/>
      <c r="E313" s="13"/>
      <c r="F313" s="14"/>
      <c r="G313" s="13"/>
      <c r="H313" s="13"/>
      <c r="I313" s="14"/>
    </row>
    <row r="314" spans="1:9" ht="13.15">
      <c r="A314" s="13"/>
      <c r="B314" s="13"/>
      <c r="C314" s="13"/>
      <c r="D314" s="13"/>
      <c r="E314" s="13"/>
      <c r="F314" s="14"/>
      <c r="G314" s="13"/>
      <c r="H314" s="13"/>
      <c r="I314" s="14"/>
    </row>
    <row r="315" spans="1:9" ht="13.15">
      <c r="A315" s="13"/>
      <c r="B315" s="13"/>
      <c r="C315" s="13"/>
      <c r="D315" s="13"/>
      <c r="E315" s="13"/>
      <c r="F315" s="14"/>
      <c r="G315" s="13"/>
      <c r="H315" s="13"/>
      <c r="I315" s="14"/>
    </row>
    <row r="316" spans="1:9" ht="13.15">
      <c r="A316" s="13"/>
      <c r="B316" s="13"/>
      <c r="C316" s="13"/>
      <c r="D316" s="13"/>
      <c r="E316" s="13"/>
      <c r="F316" s="14"/>
      <c r="G316" s="13"/>
      <c r="H316" s="13"/>
      <c r="I316" s="14"/>
    </row>
    <row r="317" spans="1:9" ht="13.15">
      <c r="A317" s="13"/>
      <c r="B317" s="13"/>
      <c r="C317" s="13"/>
      <c r="D317" s="13"/>
      <c r="E317" s="13"/>
      <c r="F317" s="14"/>
      <c r="G317" s="13"/>
      <c r="H317" s="13"/>
      <c r="I317" s="14"/>
    </row>
    <row r="318" spans="1:9" ht="13.15">
      <c r="A318" s="13"/>
      <c r="B318" s="13"/>
      <c r="C318" s="13"/>
      <c r="D318" s="13"/>
      <c r="E318" s="13"/>
      <c r="F318" s="14"/>
      <c r="G318" s="13"/>
      <c r="H318" s="13"/>
      <c r="I318" s="14"/>
    </row>
    <row r="319" spans="1:9" ht="13.15">
      <c r="A319" s="13"/>
      <c r="B319" s="13"/>
      <c r="C319" s="13"/>
      <c r="D319" s="13"/>
      <c r="E319" s="13"/>
      <c r="F319" s="14"/>
      <c r="G319" s="13"/>
      <c r="H319" s="13"/>
      <c r="I319" s="14"/>
    </row>
    <row r="320" spans="1:9" ht="13.15">
      <c r="A320" s="13"/>
      <c r="B320" s="13"/>
      <c r="C320" s="13"/>
      <c r="D320" s="13"/>
      <c r="E320" s="13"/>
      <c r="F320" s="14"/>
      <c r="G320" s="13"/>
      <c r="H320" s="13"/>
      <c r="I320" s="14"/>
    </row>
    <row r="321" spans="1:9" ht="13.15">
      <c r="A321" s="13"/>
      <c r="B321" s="13"/>
      <c r="C321" s="13"/>
      <c r="D321" s="13"/>
      <c r="E321" s="13"/>
      <c r="F321" s="14"/>
      <c r="G321" s="13"/>
      <c r="H321" s="13"/>
      <c r="I321" s="14"/>
    </row>
    <row r="322" spans="1:9" ht="13.15">
      <c r="A322" s="13"/>
      <c r="B322" s="13"/>
      <c r="C322" s="13"/>
      <c r="D322" s="13"/>
      <c r="E322" s="13"/>
      <c r="F322" s="14"/>
      <c r="G322" s="13"/>
      <c r="H322" s="13"/>
      <c r="I322" s="14"/>
    </row>
    <row r="323" spans="1:9" ht="13.15">
      <c r="A323" s="13"/>
      <c r="B323" s="13"/>
      <c r="C323" s="13"/>
      <c r="D323" s="13"/>
      <c r="E323" s="13"/>
      <c r="F323" s="14"/>
      <c r="G323" s="13"/>
      <c r="H323" s="13"/>
      <c r="I323" s="14"/>
    </row>
    <row r="324" spans="1:9" ht="13.15">
      <c r="A324" s="13"/>
      <c r="B324" s="13"/>
      <c r="C324" s="13"/>
      <c r="D324" s="13"/>
      <c r="E324" s="13"/>
      <c r="F324" s="14"/>
      <c r="G324" s="13"/>
      <c r="H324" s="13"/>
      <c r="I324" s="14"/>
    </row>
    <row r="325" spans="1:9" ht="13.15">
      <c r="A325" s="13"/>
      <c r="B325" s="13"/>
      <c r="C325" s="13"/>
      <c r="D325" s="13"/>
      <c r="E325" s="13"/>
      <c r="F325" s="14"/>
      <c r="G325" s="13"/>
      <c r="H325" s="13"/>
      <c r="I325" s="14"/>
    </row>
    <row r="326" spans="1:9" ht="13.15">
      <c r="A326" s="13"/>
      <c r="B326" s="13"/>
      <c r="C326" s="13"/>
      <c r="D326" s="13"/>
      <c r="E326" s="13"/>
      <c r="F326" s="14"/>
      <c r="G326" s="13"/>
      <c r="H326" s="13"/>
      <c r="I326" s="14"/>
    </row>
    <row r="327" spans="1:9" ht="13.15">
      <c r="A327" s="13"/>
      <c r="B327" s="13"/>
      <c r="C327" s="13"/>
      <c r="D327" s="13"/>
      <c r="E327" s="13"/>
      <c r="F327" s="14"/>
      <c r="G327" s="13"/>
      <c r="H327" s="13"/>
      <c r="I327" s="14"/>
    </row>
    <row r="328" spans="1:9" ht="13.15">
      <c r="A328" s="13"/>
      <c r="B328" s="13"/>
      <c r="C328" s="13"/>
      <c r="D328" s="13"/>
      <c r="E328" s="13"/>
      <c r="F328" s="14"/>
      <c r="G328" s="13"/>
      <c r="H328" s="13"/>
      <c r="I328" s="14"/>
    </row>
    <row r="329" spans="1:9" ht="13.15">
      <c r="A329" s="13"/>
      <c r="B329" s="13"/>
      <c r="C329" s="13"/>
      <c r="D329" s="13"/>
      <c r="E329" s="13"/>
      <c r="F329" s="14"/>
      <c r="G329" s="13"/>
      <c r="H329" s="13"/>
      <c r="I329" s="14"/>
    </row>
    <row r="330" spans="1:9" ht="13.15">
      <c r="A330" s="13"/>
      <c r="B330" s="13"/>
      <c r="C330" s="13"/>
      <c r="D330" s="13"/>
      <c r="E330" s="13"/>
      <c r="F330" s="14"/>
      <c r="G330" s="13"/>
      <c r="H330" s="13"/>
      <c r="I330" s="14"/>
    </row>
    <row r="331" spans="1:9" ht="13.15">
      <c r="A331" s="13"/>
      <c r="B331" s="13"/>
      <c r="C331" s="13"/>
      <c r="D331" s="13"/>
      <c r="E331" s="13"/>
      <c r="F331" s="14"/>
      <c r="G331" s="13"/>
      <c r="H331" s="13"/>
      <c r="I331" s="14"/>
    </row>
    <row r="332" spans="1:9" ht="13.15">
      <c r="A332" s="13"/>
      <c r="B332" s="13"/>
      <c r="C332" s="13"/>
      <c r="D332" s="13"/>
      <c r="E332" s="13"/>
      <c r="F332" s="14"/>
      <c r="G332" s="13"/>
      <c r="H332" s="13"/>
      <c r="I332" s="14"/>
    </row>
    <row r="333" spans="1:9" ht="13.15">
      <c r="A333" s="13"/>
      <c r="B333" s="13"/>
      <c r="C333" s="13"/>
      <c r="D333" s="13"/>
      <c r="E333" s="13"/>
      <c r="F333" s="14"/>
      <c r="G333" s="13"/>
      <c r="H333" s="13"/>
      <c r="I333" s="14"/>
    </row>
    <row r="334" spans="1:9" ht="13.15">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4" priority="1" stopIfTrue="1" operator="lessThanOrEqual">
      <formula>-0.1</formula>
    </cfRule>
    <cfRule type="expression" dxfId="4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3"/>
  <sheetViews>
    <sheetView workbookViewId="0">
      <pane xSplit="2" ySplit="3" topLeftCell="C8" activePane="bottomRight" state="frozen"/>
      <selection pane="bottomRight" activeCell="A18" sqref="A18:K19"/>
      <selection pane="bottomLeft" activeCell="A18" sqref="A18:XFD24"/>
      <selection pane="topRight" activeCell="A18" sqref="A18:XFD24"/>
    </sheetView>
  </sheetViews>
  <sheetFormatPr defaultRowHeight="13.5"/>
  <cols>
    <col min="1" max="1" width="28.7109375" bestFit="1"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
      <c r="A1" s="80" t="str" cm="1">
        <f t="array" ref="A1">portfolio</f>
        <v>Catalyze</v>
      </c>
      <c r="B1" s="80"/>
      <c r="C1" s="80"/>
      <c r="D1" s="81" t="s">
        <v>18</v>
      </c>
      <c r="E1" s="81"/>
      <c r="F1" s="81"/>
      <c r="G1" s="79" t="s">
        <v>19</v>
      </c>
      <c r="H1" s="79"/>
      <c r="I1" s="79"/>
      <c r="J1" s="4"/>
      <c r="K1" s="4"/>
    </row>
    <row r="2" spans="1:11" ht="15">
      <c r="A2" s="82" t="s">
        <v>2</v>
      </c>
      <c r="B2" s="82"/>
      <c r="C2" s="5">
        <f>SUM(C4:C91)</f>
        <v>592532.492188612</v>
      </c>
      <c r="D2" s="5">
        <f>SUM(D4:D91)</f>
        <v>833649.63500000001</v>
      </c>
      <c r="E2" s="5">
        <f>C2-D2</f>
        <v>-241117.14281138801</v>
      </c>
      <c r="F2" s="6">
        <f>IFERROR(E2/D2, 0)</f>
        <v>-0.28923079035641636</v>
      </c>
      <c r="G2" s="5">
        <f>SUM(G4:G91)</f>
        <v>1493236.8489999999</v>
      </c>
      <c r="H2" s="7">
        <f>C2-G2</f>
        <v>-900704.35681138793</v>
      </c>
      <c r="I2" s="6">
        <f>IFERROR(H2/G2, 0)</f>
        <v>-0.60318921101804923</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
      <c r="A3" s="17" t="s">
        <v>3</v>
      </c>
      <c r="B3" s="17" t="s">
        <v>4</v>
      </c>
      <c r="C3" s="25" t="s">
        <v>5</v>
      </c>
      <c r="D3" s="26" t="s">
        <v>6</v>
      </c>
      <c r="E3" s="26" t="s">
        <v>7</v>
      </c>
      <c r="F3" s="27" t="s">
        <v>8</v>
      </c>
      <c r="G3" s="31" t="s">
        <v>9</v>
      </c>
      <c r="H3" s="29" t="s">
        <v>7</v>
      </c>
      <c r="I3" s="30" t="s">
        <v>8</v>
      </c>
      <c r="J3" s="15" t="s">
        <v>20</v>
      </c>
      <c r="K3" s="15" t="s">
        <v>21</v>
      </c>
    </row>
    <row r="4" spans="1:11" ht="15.75">
      <c r="A4" s="50" t="str" cm="1">
        <f t="array" ref="A4:A20">Sites[Site]</f>
        <v>Fresno - 3150 Shaw Ave</v>
      </c>
      <c r="B4" s="46" t="str" cm="1">
        <f t="array" ref="B4:B20">Sites[State]</f>
        <v>CA</v>
      </c>
      <c r="C4" s="35">
        <v>40368.4375</v>
      </c>
      <c r="D4" s="35">
        <v>39837.75</v>
      </c>
      <c r="E4" s="35">
        <f>IF(AND(ISNUMBER(C4),ISNUMBER(D4)), C4-D4, "")</f>
        <v>530.6875</v>
      </c>
      <c r="F4" s="38">
        <f>IFERROR(E4/D4, "")</f>
        <v>1.3321221705543109E-2</v>
      </c>
      <c r="G4" s="37">
        <v>48161.71</v>
      </c>
      <c r="H4" s="37">
        <f>IF(AND(ISNUMBER(C4),ISNUMBER(G4)), C4-G4, "")</f>
        <v>-7793.2724999999991</v>
      </c>
      <c r="I4" s="38">
        <f>IFERROR(H4/G4, "")</f>
        <v>-0.16181469677883115</v>
      </c>
      <c r="J4" s="55" t="s">
        <v>22</v>
      </c>
      <c r="K4" s="55" t="s">
        <v>23</v>
      </c>
    </row>
    <row r="5" spans="1:11" ht="28.5">
      <c r="A5" s="51" t="str">
        <v>Adelanto - 1 Sheep Creek Road</v>
      </c>
      <c r="B5" s="48" t="str">
        <v>CA</v>
      </c>
      <c r="C5" s="42">
        <v>80417</v>
      </c>
      <c r="D5" s="42">
        <v>352340</v>
      </c>
      <c r="E5" s="42">
        <f t="shared" ref="E5:E15" si="0">IF(AND(ISNUMBER(C5),ISNUMBER(D5)), C5-D5, "")</f>
        <v>-271923</v>
      </c>
      <c r="F5" s="43">
        <f t="shared" ref="F5:F17" si="1">IFERROR(E5/D5, "")</f>
        <v>-0.77176306976216158</v>
      </c>
      <c r="G5" s="44">
        <v>479912</v>
      </c>
      <c r="H5" s="44">
        <f t="shared" ref="H5:H6" si="2">IF(AND(ISNUMBER(C5),ISNUMBER(G5)), C5-G5, "")</f>
        <v>-399495</v>
      </c>
      <c r="I5" s="43">
        <f t="shared" ref="I5:I6" si="3">IFERROR(H5/G5, "")</f>
        <v>-0.83243386287486043</v>
      </c>
      <c r="J5" s="56" t="s">
        <v>24</v>
      </c>
      <c r="K5" s="56" t="s">
        <v>25</v>
      </c>
    </row>
    <row r="6" spans="1:11" ht="15.75">
      <c r="A6" s="52" t="str">
        <v>Blackstone - 83 Federal Street</v>
      </c>
      <c r="B6" s="46" t="str">
        <v>MA</v>
      </c>
      <c r="C6" s="35">
        <v>106968</v>
      </c>
      <c r="D6" s="35">
        <v>0</v>
      </c>
      <c r="E6" s="35">
        <f t="shared" si="0"/>
        <v>106968</v>
      </c>
      <c r="F6" s="38" t="str">
        <f t="shared" si="1"/>
        <v/>
      </c>
      <c r="G6" s="37">
        <v>352931.5</v>
      </c>
      <c r="H6" s="37">
        <f t="shared" si="2"/>
        <v>-245963.5</v>
      </c>
      <c r="I6" s="38">
        <f t="shared" si="3"/>
        <v>-0.69691569043851287</v>
      </c>
      <c r="J6" s="55" t="s">
        <v>26</v>
      </c>
      <c r="K6" s="55" t="s">
        <v>27</v>
      </c>
    </row>
    <row r="7" spans="1:11" ht="15.75">
      <c r="A7" s="51" t="str">
        <v>Charlton - 299 Worcester Road</v>
      </c>
      <c r="B7" s="48" t="str">
        <v>MA</v>
      </c>
      <c r="C7" s="42">
        <v>11889</v>
      </c>
      <c r="D7" s="42">
        <v>21739.23</v>
      </c>
      <c r="E7" s="42">
        <f t="shared" si="0"/>
        <v>-9850.23</v>
      </c>
      <c r="F7" s="43">
        <f t="shared" si="1"/>
        <v>-0.45310850476304815</v>
      </c>
      <c r="G7" s="44">
        <v>32151.25</v>
      </c>
      <c r="H7" s="44">
        <f t="shared" ref="H7:H15" si="4">IF(AND(ISNUMBER(C7),ISNUMBER(G7)), C7-G7, "")</f>
        <v>-20262.25</v>
      </c>
      <c r="I7" s="43">
        <f t="shared" ref="I7:I15" si="5">IFERROR(H7/G7, "")</f>
        <v>-0.63021655456630765</v>
      </c>
      <c r="J7" s="56" t="s">
        <v>28</v>
      </c>
      <c r="K7" s="56" t="s">
        <v>29</v>
      </c>
    </row>
    <row r="8" spans="1:11" ht="15.75">
      <c r="A8" s="52" t="str">
        <v>Wareham - 8 Thatcher Drive</v>
      </c>
      <c r="B8" s="46" t="str">
        <v>MA</v>
      </c>
      <c r="C8" s="35">
        <v>5780.1686557785097</v>
      </c>
      <c r="D8" s="35">
        <v>7080.0609999999997</v>
      </c>
      <c r="E8" s="35">
        <f t="shared" si="0"/>
        <v>-1299.89234422149</v>
      </c>
      <c r="F8" s="38">
        <f t="shared" si="1"/>
        <v>-0.18359903173454156</v>
      </c>
      <c r="G8" s="37">
        <v>8785.3289999999997</v>
      </c>
      <c r="H8" s="37">
        <f t="shared" si="4"/>
        <v>-3005.16034422149</v>
      </c>
      <c r="I8" s="38">
        <f t="shared" si="5"/>
        <v>-0.34206577172254904</v>
      </c>
      <c r="J8" s="55" t="s">
        <v>30</v>
      </c>
      <c r="K8" s="55" t="s">
        <v>30</v>
      </c>
    </row>
    <row r="9" spans="1:11" ht="15.75">
      <c r="A9" s="51" t="str">
        <v>West Yarmouth - 42 Mid Tech</v>
      </c>
      <c r="B9" s="48" t="str">
        <v>MA</v>
      </c>
      <c r="C9" s="42">
        <v>4426.7571265835404</v>
      </c>
      <c r="D9" s="42">
        <v>5459.4780000000001</v>
      </c>
      <c r="E9" s="42">
        <f t="shared" si="0"/>
        <v>-1032.7208734164597</v>
      </c>
      <c r="F9" s="43">
        <f t="shared" si="1"/>
        <v>-0.18916110174204559</v>
      </c>
      <c r="G9" s="44">
        <v>6769.56</v>
      </c>
      <c r="H9" s="44">
        <f t="shared" si="4"/>
        <v>-2342.80287341646</v>
      </c>
      <c r="I9" s="43">
        <f t="shared" si="5"/>
        <v>-0.34607904700105468</v>
      </c>
      <c r="J9" s="56" t="s">
        <v>30</v>
      </c>
      <c r="K9" s="56" t="s">
        <v>30</v>
      </c>
    </row>
    <row r="10" spans="1:11" ht="15.75">
      <c r="A10" s="52" t="str">
        <v>Harrison - 130 Union Street</v>
      </c>
      <c r="B10" s="46" t="str">
        <v>NY</v>
      </c>
      <c r="C10" s="35">
        <v>5693.0625</v>
      </c>
      <c r="D10" s="35">
        <v>9025.6859999999997</v>
      </c>
      <c r="E10" s="35">
        <f t="shared" si="0"/>
        <v>-3332.6234999999997</v>
      </c>
      <c r="F10" s="38">
        <f t="shared" si="1"/>
        <v>-0.36923769561670988</v>
      </c>
      <c r="G10" s="37">
        <v>10708.14</v>
      </c>
      <c r="H10" s="37">
        <f t="shared" si="4"/>
        <v>-5015.0774999999994</v>
      </c>
      <c r="I10" s="38">
        <f t="shared" si="5"/>
        <v>-0.46834254128167913</v>
      </c>
      <c r="J10" s="55" t="s">
        <v>30</v>
      </c>
      <c r="K10" s="55" t="s">
        <v>30</v>
      </c>
    </row>
    <row r="11" spans="1:11" ht="15.75">
      <c r="A11" s="51" t="str">
        <v>Staten Island - Ellis Storage</v>
      </c>
      <c r="B11" s="48" t="str">
        <v>NY</v>
      </c>
      <c r="C11" s="42">
        <v>12897.375</v>
      </c>
      <c r="D11" s="42">
        <v>21330.59</v>
      </c>
      <c r="E11" s="42">
        <f t="shared" si="0"/>
        <v>-8433.2150000000001</v>
      </c>
      <c r="F11" s="43">
        <f t="shared" si="1"/>
        <v>-0.39535779366627927</v>
      </c>
      <c r="G11" s="44">
        <v>23412.400000000001</v>
      </c>
      <c r="H11" s="44">
        <f t="shared" si="4"/>
        <v>-10515.025000000001</v>
      </c>
      <c r="I11" s="43">
        <f t="shared" si="5"/>
        <v>-0.44912204643693088</v>
      </c>
      <c r="J11" s="56" t="s">
        <v>30</v>
      </c>
      <c r="K11" s="56" t="s">
        <v>30</v>
      </c>
    </row>
    <row r="12" spans="1:11" ht="28.5">
      <c r="A12" s="52" t="str">
        <v>Amherst - 595 Scholles Road</v>
      </c>
      <c r="B12" s="46" t="str">
        <v>NY</v>
      </c>
      <c r="C12" s="35">
        <v>99935</v>
      </c>
      <c r="D12" s="35">
        <v>131383.59999999998</v>
      </c>
      <c r="E12" s="35">
        <f t="shared" si="0"/>
        <v>-31448.599999999977</v>
      </c>
      <c r="F12" s="38">
        <f t="shared" si="1"/>
        <v>-0.23936473045342024</v>
      </c>
      <c r="G12" s="37">
        <v>286492</v>
      </c>
      <c r="H12" s="37">
        <f t="shared" si="4"/>
        <v>-186557</v>
      </c>
      <c r="I12" s="38">
        <f t="shared" si="5"/>
        <v>-0.65117699621629921</v>
      </c>
      <c r="J12" s="55" t="s">
        <v>31</v>
      </c>
      <c r="K12" s="55" t="s">
        <v>32</v>
      </c>
    </row>
    <row r="13" spans="1:11" ht="15.75">
      <c r="A13" s="51" t="str">
        <v>Lancaster 1 - Gunnville Road</v>
      </c>
      <c r="B13" s="48" t="str">
        <v>NY</v>
      </c>
      <c r="C13" s="42" t="s">
        <v>30</v>
      </c>
      <c r="D13" s="42" t="s">
        <v>30</v>
      </c>
      <c r="E13" s="42" t="str">
        <f t="shared" si="0"/>
        <v/>
      </c>
      <c r="F13" s="43" t="str">
        <f t="shared" si="1"/>
        <v/>
      </c>
      <c r="G13" s="44" t="s">
        <v>30</v>
      </c>
      <c r="H13" s="44" t="str">
        <f t="shared" si="4"/>
        <v/>
      </c>
      <c r="I13" s="43" t="str">
        <f t="shared" si="5"/>
        <v/>
      </c>
      <c r="J13" s="56" t="s">
        <v>30</v>
      </c>
      <c r="K13" s="56" t="s">
        <v>30</v>
      </c>
    </row>
    <row r="14" spans="1:11" ht="15.75">
      <c r="A14" s="52" t="str">
        <v>Lancaster 2 - Shisler Road</v>
      </c>
      <c r="B14" s="46" t="str">
        <v>NY</v>
      </c>
      <c r="C14" s="35" t="s">
        <v>30</v>
      </c>
      <c r="D14" s="35" t="s">
        <v>30</v>
      </c>
      <c r="E14" s="35" t="str">
        <f t="shared" si="0"/>
        <v/>
      </c>
      <c r="F14" s="38" t="str">
        <f t="shared" si="1"/>
        <v/>
      </c>
      <c r="G14" s="37" t="s">
        <v>30</v>
      </c>
      <c r="H14" s="37" t="str">
        <f t="shared" si="4"/>
        <v/>
      </c>
      <c r="I14" s="38" t="str">
        <f t="shared" si="5"/>
        <v/>
      </c>
      <c r="J14" s="55" t="s">
        <v>30</v>
      </c>
      <c r="K14" s="55" t="s">
        <v>30</v>
      </c>
    </row>
    <row r="15" spans="1:11" ht="15.75">
      <c r="A15" s="51" t="str">
        <v>Fullerton - 200 W Orangethorpe</v>
      </c>
      <c r="B15" s="48" t="str">
        <v>CA</v>
      </c>
      <c r="C15" s="42">
        <v>66219.87890625</v>
      </c>
      <c r="D15" s="42">
        <v>65950.86</v>
      </c>
      <c r="E15" s="42">
        <f t="shared" si="0"/>
        <v>269.01890624999942</v>
      </c>
      <c r="F15" s="43">
        <f t="shared" si="1"/>
        <v>4.0790810953791872E-3</v>
      </c>
      <c r="G15" s="44">
        <v>75151.27</v>
      </c>
      <c r="H15" s="44">
        <f t="shared" si="4"/>
        <v>-8931.3910937500041</v>
      </c>
      <c r="I15" s="43">
        <f t="shared" si="5"/>
        <v>-0.11884551111045766</v>
      </c>
      <c r="J15" s="56" t="s">
        <v>30</v>
      </c>
      <c r="K15" s="56" t="s">
        <v>30</v>
      </c>
    </row>
    <row r="16" spans="1:11" ht="15.75">
      <c r="A16" s="52" t="str">
        <v>El Paso - 10500 Railroad Drive</v>
      </c>
      <c r="B16" s="46" t="str">
        <v>TX</v>
      </c>
      <c r="C16" s="35">
        <v>94436.375</v>
      </c>
      <c r="D16" s="35">
        <v>110748.9</v>
      </c>
      <c r="E16" s="35">
        <f t="shared" ref="E16:E17" si="6">IF(AND(ISNUMBER(C16),ISNUMBER(D16)), C16-D16, "")</f>
        <v>-16312.524999999994</v>
      </c>
      <c r="F16" s="38">
        <f t="shared" si="1"/>
        <v>-0.14729288507605939</v>
      </c>
      <c r="G16" s="37">
        <v>95880.07</v>
      </c>
      <c r="H16" s="37">
        <f t="shared" ref="H16:H17" si="7">IF(AND(ISNUMBER(C16),ISNUMBER(G16)), C16-G16, "")</f>
        <v>-1443.695000000007</v>
      </c>
      <c r="I16" s="38">
        <f t="shared" ref="I16:I17" si="8">IFERROR(H16/G16, "")</f>
        <v>-1.5057300229338662E-2</v>
      </c>
      <c r="J16" s="55" t="s">
        <v>30</v>
      </c>
      <c r="K16" s="55" t="s">
        <v>33</v>
      </c>
    </row>
    <row r="17" spans="1:11" ht="28.5">
      <c r="A17" s="51" t="str">
        <v>Friona - 900 Millard Ave</v>
      </c>
      <c r="B17" s="47" t="str">
        <v>TX</v>
      </c>
      <c r="C17" s="42">
        <v>63501.4375</v>
      </c>
      <c r="D17" s="42">
        <v>68753.48</v>
      </c>
      <c r="E17" s="42">
        <f t="shared" si="6"/>
        <v>-5252.0424999999959</v>
      </c>
      <c r="F17" s="38">
        <f t="shared" si="1"/>
        <v>-7.6389478758020629E-2</v>
      </c>
      <c r="G17" s="44">
        <v>72881.62</v>
      </c>
      <c r="H17" s="44">
        <f t="shared" si="7"/>
        <v>-9380.1824999999953</v>
      </c>
      <c r="I17" s="38">
        <f t="shared" si="8"/>
        <v>-0.12870436332233004</v>
      </c>
      <c r="J17" s="56" t="s">
        <v>34</v>
      </c>
      <c r="K17" s="56" t="s">
        <v>35</v>
      </c>
    </row>
    <row r="18" spans="1:11" ht="15.75">
      <c r="A18" s="49" t="str">
        <v>Augusta - 13 York Farm Road</v>
      </c>
      <c r="B18" s="46" t="str">
        <v>ME</v>
      </c>
      <c r="C18" s="34"/>
      <c r="D18" s="35"/>
      <c r="E18" s="35"/>
      <c r="F18" s="36"/>
      <c r="G18" s="37"/>
      <c r="H18" s="37"/>
      <c r="I18" s="38"/>
      <c r="J18" s="56"/>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4"/>
      <c r="G24" s="13"/>
      <c r="H24" s="13"/>
      <c r="I24" s="14"/>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42" priority="8" stopIfTrue="1" operator="lessThanOrEqual">
      <formula>-0.1</formula>
    </cfRule>
    <cfRule type="expression" dxfId="41" priority="9">
      <formula>AND(ISNUMBER(F2), F2&gt;=0.1)</formula>
    </cfRule>
  </conditionalFormatting>
  <conditionalFormatting sqref="F4:F91 I4:I91">
    <cfRule type="cellIs" dxfId="40" priority="1" stopIfTrue="1" operator="lessThanOrEqual">
      <formula>-0.1</formula>
    </cfRule>
    <cfRule type="expression" dxfId="39"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34"/>
  <sheetViews>
    <sheetView workbookViewId="0">
      <pane xSplit="2" ySplit="3" topLeftCell="C10" activePane="bottomRight" state="frozen"/>
      <selection pane="bottomRight" activeCell="A18" sqref="A18:K19"/>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1" ht="19.5" customHeight="1">
      <c r="A1" s="80" t="str" cm="1">
        <f t="array" ref="A1">portfolio</f>
        <v>Catalyze</v>
      </c>
      <c r="B1" s="80"/>
      <c r="C1" s="80"/>
      <c r="D1" s="81" t="s">
        <v>36</v>
      </c>
      <c r="E1" s="81"/>
      <c r="F1" s="81"/>
      <c r="G1" s="79" t="s">
        <v>37</v>
      </c>
      <c r="H1" s="79"/>
      <c r="I1" s="79"/>
      <c r="J1" s="4"/>
      <c r="K1" s="4"/>
    </row>
    <row r="2" spans="1:11" ht="19.5" customHeight="1">
      <c r="A2" s="82" t="s">
        <v>2</v>
      </c>
      <c r="B2" s="82"/>
      <c r="C2" s="5">
        <f>SUM(C4:C92)</f>
        <v>2118917.294964686</v>
      </c>
      <c r="D2" s="5">
        <f>SUM(D4:D92)</f>
        <v>2947649.7779999999</v>
      </c>
      <c r="E2" s="5">
        <f>C2-D2</f>
        <v>-828732.4830353139</v>
      </c>
      <c r="F2" s="6">
        <f>IFERROR(E2/D2, 0)</f>
        <v>-0.28115025374473573</v>
      </c>
      <c r="G2" s="5">
        <f>SUM(G4:G92)</f>
        <v>2750893.591</v>
      </c>
      <c r="H2" s="7">
        <f>C2-G2</f>
        <v>-631976.29603531398</v>
      </c>
      <c r="I2" s="6">
        <f>IFERROR(H2/G2, 0)</f>
        <v>-0.22973491163123436</v>
      </c>
      <c r="J2" s="1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50" t="str" cm="1">
        <f t="array" ref="A4:A20">Sites[Site]</f>
        <v>Fresno - 3150 Shaw Ave</v>
      </c>
      <c r="B4" s="46" t="str" cm="1">
        <f t="array" ref="B4:B20">Sites[State]</f>
        <v>CA</v>
      </c>
      <c r="C4" s="34">
        <v>58842.25</v>
      </c>
      <c r="D4" s="35">
        <v>57965.88</v>
      </c>
      <c r="E4" s="35">
        <f>IF(AND(ISNUMBER(C4),ISNUMBER(D4)), C4-D4, "")</f>
        <v>876.37000000000262</v>
      </c>
      <c r="F4" s="36">
        <f>IFERROR(E4/D4, "")</f>
        <v>1.5118721565169073E-2</v>
      </c>
      <c r="G4" s="37">
        <v>67323.77</v>
      </c>
      <c r="H4" s="37">
        <f>IF(AND(ISNUMBER(C4),ISNUMBER(G4)), C4-G4, "")</f>
        <v>-8481.5200000000041</v>
      </c>
      <c r="I4" s="38">
        <f>IFERROR(H4/G4, "")</f>
        <v>-0.12598106136955795</v>
      </c>
      <c r="J4" s="55" t="s">
        <v>38</v>
      </c>
      <c r="K4" s="55" t="s">
        <v>39</v>
      </c>
    </row>
    <row r="5" spans="1:11" ht="42.75">
      <c r="A5" s="51" t="str">
        <v>Adelanto - 1 Sheep Creek Road</v>
      </c>
      <c r="B5" s="48" t="str">
        <v>CA</v>
      </c>
      <c r="C5" s="41">
        <v>300982</v>
      </c>
      <c r="D5" s="42">
        <v>344128.5400000001</v>
      </c>
      <c r="E5" s="42">
        <f t="shared" ref="E5:E15" si="0">IF(AND(ISNUMBER(C5),ISNUMBER(D5)), C5-D5, "")</f>
        <v>-43146.540000000095</v>
      </c>
      <c r="F5" s="43">
        <f>IFERROR(E5/D5, "")</f>
        <v>-0.12537913885317412</v>
      </c>
      <c r="G5" s="44">
        <v>597256.79</v>
      </c>
      <c r="H5" s="44">
        <f t="shared" ref="H5:H15" si="1">IF(AND(ISNUMBER(C5),ISNUMBER(G5)), C5-G5, "")</f>
        <v>-296274.79000000004</v>
      </c>
      <c r="I5" s="43">
        <f t="shared" ref="I5:I15" si="2">IFERROR(H5/G5, "")</f>
        <v>-0.49605930809091348</v>
      </c>
      <c r="J5" s="56" t="s">
        <v>40</v>
      </c>
      <c r="K5" s="56" t="s">
        <v>41</v>
      </c>
    </row>
    <row r="6" spans="1:11" ht="15.75">
      <c r="A6" s="52" t="str">
        <v>Blackstone - 83 Federal Street</v>
      </c>
      <c r="B6" s="46" t="str">
        <v>MA</v>
      </c>
      <c r="C6" s="34">
        <v>371405</v>
      </c>
      <c r="D6" s="42">
        <v>591797.9</v>
      </c>
      <c r="E6" s="35">
        <f t="shared" si="0"/>
        <v>-220392.90000000002</v>
      </c>
      <c r="F6" s="36">
        <f t="shared" ref="F6:F15" si="3">IFERROR(E6/D6, "")</f>
        <v>-0.37241244012525226</v>
      </c>
      <c r="G6" s="37">
        <v>474063.7</v>
      </c>
      <c r="H6" s="37">
        <f t="shared" si="1"/>
        <v>-102658.70000000001</v>
      </c>
      <c r="I6" s="38">
        <f t="shared" si="2"/>
        <v>-0.21655043404504501</v>
      </c>
      <c r="J6" s="55" t="s">
        <v>42</v>
      </c>
      <c r="K6" s="55" t="s">
        <v>43</v>
      </c>
    </row>
    <row r="7" spans="1:11" ht="40.5" customHeight="1">
      <c r="A7" s="51" t="str">
        <v>Charlton - 299 Worcester Road</v>
      </c>
      <c r="B7" s="48" t="str">
        <v>MA</v>
      </c>
      <c r="C7" s="41">
        <v>41404</v>
      </c>
      <c r="D7" s="42">
        <v>47717.86</v>
      </c>
      <c r="E7" s="42">
        <f t="shared" si="0"/>
        <v>-6313.8600000000006</v>
      </c>
      <c r="F7" s="43">
        <f t="shared" si="3"/>
        <v>-0.13231649533319392</v>
      </c>
      <c r="G7" s="44">
        <v>31813.95</v>
      </c>
      <c r="H7" s="44">
        <f t="shared" si="1"/>
        <v>9590.0499999999993</v>
      </c>
      <c r="I7" s="43">
        <f t="shared" si="2"/>
        <v>0.301441663169773</v>
      </c>
      <c r="J7" s="56" t="s">
        <v>44</v>
      </c>
      <c r="K7" s="56" t="s">
        <v>45</v>
      </c>
    </row>
    <row r="8" spans="1:11" ht="15.75">
      <c r="A8" s="52" t="str">
        <v>Wareham - 8 Thatcher Drive</v>
      </c>
      <c r="B8" s="46" t="str">
        <v>MA</v>
      </c>
      <c r="C8" s="34">
        <v>7001.2688442211402</v>
      </c>
      <c r="D8" s="35">
        <v>11238.1</v>
      </c>
      <c r="E8" s="35">
        <f t="shared" si="0"/>
        <v>-4236.8311557788602</v>
      </c>
      <c r="F8" s="36">
        <f t="shared" si="3"/>
        <v>-0.37700600241845689</v>
      </c>
      <c r="G8" s="37">
        <v>11253.3</v>
      </c>
      <c r="H8" s="37">
        <f t="shared" si="1"/>
        <v>-4252.0311557788591</v>
      </c>
      <c r="I8" s="38">
        <f t="shared" si="2"/>
        <v>-0.37784748969447712</v>
      </c>
      <c r="J8" s="55"/>
      <c r="K8" s="55"/>
    </row>
    <row r="9" spans="1:11" ht="15.75">
      <c r="A9" s="51" t="str">
        <v>West Yarmouth - 42 Mid Tech</v>
      </c>
      <c r="B9" s="48" t="str">
        <v>MA</v>
      </c>
      <c r="C9" s="41">
        <v>4449.0054052906899</v>
      </c>
      <c r="D9" s="42">
        <v>8729.4680000000008</v>
      </c>
      <c r="E9" s="42">
        <f t="shared" si="0"/>
        <v>-4280.4625947093109</v>
      </c>
      <c r="F9" s="43">
        <f t="shared" si="3"/>
        <v>-0.49034632977740572</v>
      </c>
      <c r="G9" s="44">
        <v>7749.5110000000004</v>
      </c>
      <c r="H9" s="44">
        <f t="shared" si="1"/>
        <v>-3300.5055947093106</v>
      </c>
      <c r="I9" s="43">
        <f t="shared" si="2"/>
        <v>-0.42589856246533625</v>
      </c>
      <c r="J9" s="56"/>
      <c r="K9" s="56"/>
    </row>
    <row r="10" spans="1:11" ht="15.75">
      <c r="A10" s="52" t="str">
        <v>Harrison - 130 Union Street</v>
      </c>
      <c r="B10" s="46" t="str">
        <v>NY</v>
      </c>
      <c r="C10" s="34">
        <v>10644.0444651742</v>
      </c>
      <c r="D10" s="35">
        <v>17668.439999999999</v>
      </c>
      <c r="E10" s="35">
        <f t="shared" si="0"/>
        <v>-7024.3955348257987</v>
      </c>
      <c r="F10" s="36">
        <f t="shared" si="3"/>
        <v>-0.39756738765990657</v>
      </c>
      <c r="G10" s="37">
        <v>14230.04</v>
      </c>
      <c r="H10" s="37">
        <f t="shared" si="1"/>
        <v>-3585.9955348258009</v>
      </c>
      <c r="I10" s="38">
        <f t="shared" si="2"/>
        <v>-0.25200178880915308</v>
      </c>
      <c r="J10" s="55"/>
      <c r="K10" s="55"/>
    </row>
    <row r="11" spans="1:11" ht="15.75">
      <c r="A11" s="51" t="str">
        <v>Staten Island - Ellis Storage</v>
      </c>
      <c r="B11" s="48" t="str">
        <v>NY</v>
      </c>
      <c r="C11" s="41">
        <v>28780.5</v>
      </c>
      <c r="D11" s="42">
        <v>41920.19</v>
      </c>
      <c r="E11" s="42">
        <f t="shared" si="0"/>
        <v>-13139.690000000002</v>
      </c>
      <c r="F11" s="43">
        <f t="shared" si="3"/>
        <v>-0.31344538276186251</v>
      </c>
      <c r="G11" s="44">
        <v>28582.98</v>
      </c>
      <c r="H11" s="44">
        <f t="shared" si="1"/>
        <v>197.52000000000044</v>
      </c>
      <c r="I11" s="43">
        <f t="shared" si="2"/>
        <v>6.9104061228045651E-3</v>
      </c>
      <c r="J11" s="56"/>
      <c r="K11" s="56"/>
    </row>
    <row r="12" spans="1:11" ht="28.5">
      <c r="A12" s="52" t="str">
        <v>Amherst - 595 Scholles Road</v>
      </c>
      <c r="B12" s="46" t="str">
        <v>NY</v>
      </c>
      <c r="C12" s="34">
        <v>238762</v>
      </c>
      <c r="D12" s="35">
        <v>462549</v>
      </c>
      <c r="E12" s="35">
        <f t="shared" si="0"/>
        <v>-223787</v>
      </c>
      <c r="F12" s="36">
        <f t="shared" si="3"/>
        <v>-0.48381252580807654</v>
      </c>
      <c r="G12" s="37">
        <v>462796</v>
      </c>
      <c r="H12" s="37">
        <f t="shared" si="1"/>
        <v>-224034</v>
      </c>
      <c r="I12" s="38">
        <f t="shared" si="2"/>
        <v>-0.48408802150407521</v>
      </c>
      <c r="J12" s="55" t="s">
        <v>46</v>
      </c>
      <c r="K12" s="55" t="s">
        <v>47</v>
      </c>
    </row>
    <row r="13" spans="1:11" ht="15.75">
      <c r="A13" s="51" t="str">
        <v>Lancaster 1 - Gunnville Road</v>
      </c>
      <c r="B13" s="48" t="str">
        <v>NY</v>
      </c>
      <c r="C13" s="41">
        <v>422356</v>
      </c>
      <c r="D13" s="42">
        <v>522536.7</v>
      </c>
      <c r="E13" s="42">
        <f t="shared" si="0"/>
        <v>-100180.70000000001</v>
      </c>
      <c r="F13" s="43">
        <f t="shared" si="3"/>
        <v>-0.1917199308680137</v>
      </c>
      <c r="G13" s="44">
        <v>381411.8</v>
      </c>
      <c r="H13" s="44">
        <f t="shared" si="1"/>
        <v>40944.200000000012</v>
      </c>
      <c r="I13" s="43">
        <f t="shared" si="2"/>
        <v>0.10734906471168436</v>
      </c>
      <c r="J13" s="56" t="s">
        <v>48</v>
      </c>
      <c r="K13" s="56" t="s">
        <v>49</v>
      </c>
    </row>
    <row r="14" spans="1:11" ht="57">
      <c r="A14" s="52" t="str">
        <v>Lancaster 2 - Shisler Road</v>
      </c>
      <c r="B14" s="46" t="str">
        <v>NY</v>
      </c>
      <c r="C14" s="34">
        <v>393093</v>
      </c>
      <c r="D14" s="35">
        <v>577373.1</v>
      </c>
      <c r="E14" s="35">
        <f t="shared" si="0"/>
        <v>-184280.09999999998</v>
      </c>
      <c r="F14" s="36">
        <f t="shared" si="3"/>
        <v>-0.31916987473091485</v>
      </c>
      <c r="G14" s="37">
        <v>412202.9</v>
      </c>
      <c r="H14" s="37">
        <f t="shared" si="1"/>
        <v>-19109.900000000023</v>
      </c>
      <c r="I14" s="38">
        <f t="shared" si="2"/>
        <v>-4.6360421045072757E-2</v>
      </c>
      <c r="J14" s="55" t="s">
        <v>50</v>
      </c>
      <c r="K14" s="55" t="s">
        <v>51</v>
      </c>
    </row>
    <row r="15" spans="1:11" ht="15.75">
      <c r="A15" s="51" t="str">
        <v>Fullerton - 200 W Orangethorpe</v>
      </c>
      <c r="B15" s="48" t="str">
        <v>CA</v>
      </c>
      <c r="C15" s="41">
        <v>64169.35125</v>
      </c>
      <c r="D15" s="42">
        <v>65724.88</v>
      </c>
      <c r="E15" s="42">
        <f t="shared" si="0"/>
        <v>-1555.5287500000049</v>
      </c>
      <c r="F15" s="43">
        <f t="shared" si="3"/>
        <v>-2.3667274097723796E-2</v>
      </c>
      <c r="G15" s="44">
        <v>81499</v>
      </c>
      <c r="H15" s="44">
        <f t="shared" si="1"/>
        <v>-17329.64875</v>
      </c>
      <c r="I15" s="43">
        <f t="shared" si="2"/>
        <v>-0.21263633602866294</v>
      </c>
      <c r="J15" s="56"/>
      <c r="K15" s="56"/>
    </row>
    <row r="16" spans="1:11" ht="15.75">
      <c r="A16" s="52" t="str">
        <v>El Paso - 10500 Railroad Drive</v>
      </c>
      <c r="B16" s="46" t="str">
        <v>TX</v>
      </c>
      <c r="C16" s="34">
        <v>102707.75</v>
      </c>
      <c r="D16" s="35">
        <v>113239.9</v>
      </c>
      <c r="E16" s="35">
        <f t="shared" ref="E16:E17" si="4">IF(AND(ISNUMBER(C16),ISNUMBER(D16)), C16-D16, "")</f>
        <v>-10532.149999999994</v>
      </c>
      <c r="F16" s="36">
        <f t="shared" ref="F16:F17" si="5">IFERROR(E16/D16, "")</f>
        <v>-9.3007411698526707E-2</v>
      </c>
      <c r="G16" s="37">
        <v>101578.9</v>
      </c>
      <c r="H16" s="37">
        <f t="shared" ref="H16:H17" si="6">IF(AND(ISNUMBER(C16),ISNUMBER(G16)), C16-G16, "")</f>
        <v>1128.8500000000058</v>
      </c>
      <c r="I16" s="38">
        <f t="shared" ref="I16:I17" si="7">IFERROR(H16/G16, "")</f>
        <v>1.1113036270327852E-2</v>
      </c>
      <c r="J16" s="55"/>
      <c r="K16" s="55"/>
    </row>
    <row r="17" spans="1:11" ht="15.75">
      <c r="A17" s="51" t="str">
        <v>Friona - 900 Millard Ave</v>
      </c>
      <c r="B17" s="48" t="str">
        <v>TX</v>
      </c>
      <c r="C17" s="41">
        <v>74321.125</v>
      </c>
      <c r="D17" s="42">
        <v>85059.82</v>
      </c>
      <c r="E17" s="42">
        <f t="shared" si="4"/>
        <v>-10738.695000000007</v>
      </c>
      <c r="F17" s="43">
        <f t="shared" si="5"/>
        <v>-0.12624873882874435</v>
      </c>
      <c r="G17" s="44">
        <v>79130.95</v>
      </c>
      <c r="H17" s="44">
        <f t="shared" si="6"/>
        <v>-4809.8249999999971</v>
      </c>
      <c r="I17" s="43">
        <f t="shared" si="7"/>
        <v>-6.0783106989111053E-2</v>
      </c>
      <c r="J17" s="65" t="s">
        <v>52</v>
      </c>
      <c r="K17" s="66" t="s">
        <v>53</v>
      </c>
    </row>
    <row r="18" spans="1:11" ht="15.75">
      <c r="A18" s="49" t="str">
        <v>Augusta - 13 York Farm Road</v>
      </c>
      <c r="B18" s="46" t="str">
        <v>ME</v>
      </c>
      <c r="C18" s="34"/>
      <c r="D18" s="35"/>
      <c r="E18" s="35"/>
      <c r="F18" s="36"/>
      <c r="G18" s="37"/>
      <c r="H18" s="37"/>
      <c r="I18" s="38"/>
      <c r="J18" s="56"/>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42"/>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F24:F92">
    <cfRule type="cellIs" dxfId="38" priority="3" stopIfTrue="1" operator="lessThanOrEqual">
      <formula>-0.1</formula>
    </cfRule>
    <cfRule type="expression" dxfId="37" priority="4">
      <formula>AND(ISNUMBER(F2), F2&gt;=0.1)</formula>
    </cfRule>
  </conditionalFormatting>
  <conditionalFormatting sqref="F4:F22 I4:I92">
    <cfRule type="cellIs" dxfId="36" priority="1" stopIfTrue="1" operator="lessThanOrEqual">
      <formula>-0.1</formula>
    </cfRule>
    <cfRule type="expression" dxfId="35"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M334"/>
  <sheetViews>
    <sheetView workbookViewId="0">
      <pane xSplit="2" ySplit="3" topLeftCell="C10" activePane="bottomRight" state="frozen"/>
      <selection pane="bottomRight" activeCell="A18" sqref="A18:M19"/>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3" ht="19.5" customHeight="1">
      <c r="A1" s="80" t="str" cm="1">
        <f t="array" ref="A1">portfolio</f>
        <v>Catalyze</v>
      </c>
      <c r="B1" s="80"/>
      <c r="C1" s="80"/>
      <c r="D1" s="81" t="s">
        <v>54</v>
      </c>
      <c r="E1" s="81"/>
      <c r="F1" s="81"/>
      <c r="G1" s="79" t="s">
        <v>55</v>
      </c>
      <c r="H1" s="79"/>
      <c r="I1" s="79"/>
      <c r="J1" s="4"/>
      <c r="K1" s="4"/>
    </row>
    <row r="2" spans="1:13" ht="19.5" customHeight="1">
      <c r="A2" s="82" t="s">
        <v>2</v>
      </c>
      <c r="B2" s="82"/>
      <c r="C2" s="5">
        <f>SUM(C4:C92)</f>
        <v>3211851.3127988456</v>
      </c>
      <c r="D2" s="5">
        <f>SUM(D4:D92)</f>
        <v>3586849.9100000006</v>
      </c>
      <c r="E2" s="5">
        <f>C2-D2</f>
        <v>-374998.59720115503</v>
      </c>
      <c r="F2" s="6">
        <f>IFERROR(E2/D2, 0)</f>
        <v>-0.10454817084921041</v>
      </c>
      <c r="G2" s="5">
        <f>SUM(G4:G92)</f>
        <v>4216360.07</v>
      </c>
      <c r="H2" s="7">
        <f>C2-G2</f>
        <v>-1004508.7572011547</v>
      </c>
      <c r="I2" s="6">
        <f>IFERROR(H2/G2, 0)</f>
        <v>-0.23824074332464557</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5" t="s">
        <v>5</v>
      </c>
      <c r="D3" s="26" t="s">
        <v>6</v>
      </c>
      <c r="E3" s="26" t="s">
        <v>7</v>
      </c>
      <c r="F3" s="27" t="s">
        <v>8</v>
      </c>
      <c r="G3" s="28" t="s">
        <v>9</v>
      </c>
      <c r="H3" s="29" t="s">
        <v>7</v>
      </c>
      <c r="I3" s="30" t="s">
        <v>8</v>
      </c>
      <c r="J3" s="15" t="s">
        <v>20</v>
      </c>
      <c r="K3" s="15" t="s">
        <v>21</v>
      </c>
    </row>
    <row r="4" spans="1:13" ht="28.9">
      <c r="A4" s="50" t="str" cm="1">
        <f t="array" ref="A4:A20">Sites[Site]</f>
        <v>Fresno - 3150 Shaw Ave</v>
      </c>
      <c r="B4" s="46" t="str" cm="1">
        <f t="array" ref="B4:B20">Sites[State]</f>
        <v>CA</v>
      </c>
      <c r="C4" s="34">
        <v>93147.878124999901</v>
      </c>
      <c r="D4" s="35">
        <v>92388.49</v>
      </c>
      <c r="E4" s="35">
        <f>IF(AND(ISNUMBER(C4),ISNUMBER(D4)), C4-D4, "")</f>
        <v>759.38812499989581</v>
      </c>
      <c r="F4" s="36">
        <f>IFERROR(E4/D4, "")</f>
        <v>8.2195100818283299E-3</v>
      </c>
      <c r="G4" s="37">
        <v>102127.4</v>
      </c>
      <c r="H4" s="37">
        <f>IF(AND(ISNUMBER(C4),ISNUMBER(G4)), C4-G4, "")</f>
        <v>-8979.5218750000931</v>
      </c>
      <c r="I4" s="38">
        <f>IFERROR(H4/G4, "")</f>
        <v>-8.792470850134336E-2</v>
      </c>
      <c r="J4" s="59" t="s">
        <v>56</v>
      </c>
      <c r="K4" s="59" t="s">
        <v>57</v>
      </c>
      <c r="M4" s="58"/>
    </row>
    <row r="5" spans="1:13" ht="57">
      <c r="A5" s="51" t="str">
        <v>Adelanto - 1 Sheep Creek Road</v>
      </c>
      <c r="B5" s="48" t="str">
        <v>CA</v>
      </c>
      <c r="C5" s="41">
        <v>316722</v>
      </c>
      <c r="D5" s="42">
        <v>203359</v>
      </c>
      <c r="E5" s="42">
        <f t="shared" ref="E5:E17" si="0">IF(AND(ISNUMBER(C5),ISNUMBER(D5)), C5-D5, "")</f>
        <v>113363</v>
      </c>
      <c r="F5" s="43">
        <f>IFERROR(E5/D5, "")</f>
        <v>0.55745258385416918</v>
      </c>
      <c r="G5" s="44">
        <v>819315.66</v>
      </c>
      <c r="H5" s="44">
        <f t="shared" ref="H5:H17" si="1">IF(AND(ISNUMBER(C5),ISNUMBER(G5)), C5-G5, "")</f>
        <v>-502593.66000000003</v>
      </c>
      <c r="I5" s="43">
        <f t="shared" ref="I5:I17" si="2">IFERROR(H5/G5, "")</f>
        <v>-0.61343104317083363</v>
      </c>
      <c r="J5" s="60" t="s">
        <v>58</v>
      </c>
      <c r="K5" s="60" t="s">
        <v>59</v>
      </c>
      <c r="M5" s="58"/>
    </row>
    <row r="6" spans="1:13" ht="15.75">
      <c r="A6" s="52" t="str">
        <v>Blackstone - 83 Federal Street</v>
      </c>
      <c r="B6" s="46" t="str">
        <v>MA</v>
      </c>
      <c r="C6" s="34">
        <v>543056</v>
      </c>
      <c r="D6" s="35">
        <v>659185.6</v>
      </c>
      <c r="E6" s="35">
        <f t="shared" si="0"/>
        <v>-116129.59999999998</v>
      </c>
      <c r="F6" s="36">
        <f t="shared" ref="F6:F17" si="3">IFERROR(E6/D6, "")</f>
        <v>-0.17617132413086692</v>
      </c>
      <c r="G6" s="37">
        <v>665713.1</v>
      </c>
      <c r="H6" s="37">
        <f t="shared" si="1"/>
        <v>-122657.09999999998</v>
      </c>
      <c r="I6" s="38">
        <f t="shared" si="2"/>
        <v>-0.1842491908301038</v>
      </c>
      <c r="J6" s="59" t="s">
        <v>60</v>
      </c>
      <c r="K6" s="59" t="s">
        <v>61</v>
      </c>
      <c r="M6" s="58"/>
    </row>
    <row r="7" spans="1:13" ht="15.75">
      <c r="A7" s="51" t="str">
        <v>Charlton - 299 Worcester Road</v>
      </c>
      <c r="B7" s="48" t="str">
        <v>MA</v>
      </c>
      <c r="C7" s="41">
        <v>53094.5</v>
      </c>
      <c r="D7" s="42">
        <v>53440.83</v>
      </c>
      <c r="E7" s="42">
        <f t="shared" si="0"/>
        <v>-346.33000000000175</v>
      </c>
      <c r="F7" s="43">
        <f t="shared" si="3"/>
        <v>-6.4806253944783739E-3</v>
      </c>
      <c r="G7" s="44">
        <v>60191.09</v>
      </c>
      <c r="H7" s="44">
        <f t="shared" si="1"/>
        <v>-7096.5899999999965</v>
      </c>
      <c r="I7" s="43">
        <f t="shared" si="2"/>
        <v>-0.11790100494940359</v>
      </c>
      <c r="J7" s="60"/>
      <c r="K7" s="61"/>
      <c r="M7" s="58"/>
    </row>
    <row r="8" spans="1:13" ht="15.75">
      <c r="A8" s="52" t="str">
        <v>Wareham - 8 Thatcher Drive</v>
      </c>
      <c r="B8" s="46" t="str">
        <v>MA</v>
      </c>
      <c r="C8" s="34">
        <v>13951.1875</v>
      </c>
      <c r="D8" s="35">
        <v>14371.27</v>
      </c>
      <c r="E8" s="35">
        <f t="shared" si="0"/>
        <v>-420.08250000000044</v>
      </c>
      <c r="F8" s="36">
        <f t="shared" si="3"/>
        <v>-2.9230715169918903E-2</v>
      </c>
      <c r="G8" s="37">
        <v>16016.2</v>
      </c>
      <c r="H8" s="37">
        <f t="shared" si="1"/>
        <v>-2065.0125000000007</v>
      </c>
      <c r="I8" s="38">
        <f t="shared" si="2"/>
        <v>-0.12893273685393544</v>
      </c>
      <c r="J8" s="59"/>
      <c r="K8" s="59"/>
      <c r="M8" s="58"/>
    </row>
    <row r="9" spans="1:13" ht="15.75">
      <c r="A9" s="51" t="str">
        <v>West Yarmouth - 42 Mid Tech</v>
      </c>
      <c r="B9" s="48" t="str">
        <v>MA</v>
      </c>
      <c r="C9" s="41">
        <v>12216.5316390198</v>
      </c>
      <c r="D9" s="42">
        <v>12405.7</v>
      </c>
      <c r="E9" s="42">
        <f t="shared" si="0"/>
        <v>-189.1683609802003</v>
      </c>
      <c r="F9" s="43">
        <f t="shared" si="3"/>
        <v>-1.5248503589495175E-2</v>
      </c>
      <c r="G9" s="44">
        <v>13342.11</v>
      </c>
      <c r="H9" s="44">
        <f t="shared" si="1"/>
        <v>-1125.5783609802002</v>
      </c>
      <c r="I9" s="43">
        <f t="shared" si="2"/>
        <v>-8.4362845230641942E-2</v>
      </c>
      <c r="J9" s="60"/>
      <c r="K9" s="61"/>
      <c r="M9" s="58"/>
    </row>
    <row r="10" spans="1:13" ht="15.75">
      <c r="A10" s="52" t="str">
        <v>Harrison - 130 Union Street</v>
      </c>
      <c r="B10" s="46" t="str">
        <v>NY</v>
      </c>
      <c r="C10" s="34">
        <v>21772.8930348258</v>
      </c>
      <c r="D10" s="35">
        <v>22420.77</v>
      </c>
      <c r="E10" s="35">
        <f t="shared" si="0"/>
        <v>-647.87696517420045</v>
      </c>
      <c r="F10" s="36">
        <f t="shared" si="3"/>
        <v>-2.8896285237937878E-2</v>
      </c>
      <c r="G10" s="37">
        <v>21506.07</v>
      </c>
      <c r="H10" s="37">
        <f t="shared" si="1"/>
        <v>266.82303482580028</v>
      </c>
      <c r="I10" s="38">
        <f t="shared" si="2"/>
        <v>1.240687093577768E-2</v>
      </c>
      <c r="J10" s="59"/>
      <c r="K10" s="59"/>
      <c r="M10" s="58"/>
    </row>
    <row r="11" spans="1:13" ht="15.75">
      <c r="A11" s="51" t="str">
        <v>Staten Island - Ellis Storage</v>
      </c>
      <c r="B11" s="48" t="str">
        <v>NY</v>
      </c>
      <c r="C11" s="41">
        <v>49193.875</v>
      </c>
      <c r="D11" s="42">
        <v>52917.68</v>
      </c>
      <c r="E11" s="42">
        <f t="shared" si="0"/>
        <v>-3723.8050000000003</v>
      </c>
      <c r="F11" s="43">
        <f t="shared" si="3"/>
        <v>-7.0369770556834702E-2</v>
      </c>
      <c r="G11" s="44">
        <v>50803.64</v>
      </c>
      <c r="H11" s="44">
        <f t="shared" si="1"/>
        <v>-1609.7649999999994</v>
      </c>
      <c r="I11" s="43">
        <f t="shared" si="2"/>
        <v>-3.1686016986184444E-2</v>
      </c>
      <c r="J11" s="60"/>
      <c r="K11" s="61"/>
      <c r="M11" s="58"/>
    </row>
    <row r="12" spans="1:13" ht="15.75">
      <c r="A12" s="52" t="str">
        <v>Amherst - 595 Scholles Road</v>
      </c>
      <c r="B12" s="46" t="str">
        <v>NY</v>
      </c>
      <c r="C12" s="34">
        <v>665953</v>
      </c>
      <c r="D12" s="35">
        <v>712004.57</v>
      </c>
      <c r="E12" s="35">
        <f t="shared" si="0"/>
        <v>-46051.569999999949</v>
      </c>
      <c r="F12" s="36">
        <f t="shared" si="3"/>
        <v>-6.4678756205174284E-2</v>
      </c>
      <c r="G12" s="37">
        <v>764414</v>
      </c>
      <c r="H12" s="37">
        <f t="shared" si="1"/>
        <v>-98461</v>
      </c>
      <c r="I12" s="38">
        <f t="shared" si="2"/>
        <v>-0.12880585651230878</v>
      </c>
      <c r="J12" s="59"/>
      <c r="K12" s="59"/>
      <c r="M12" s="58"/>
    </row>
    <row r="13" spans="1:13" ht="47.25">
      <c r="A13" s="51" t="str">
        <v>Lancaster 1 - Gunnville Road</v>
      </c>
      <c r="B13" s="48" t="str">
        <v>NY</v>
      </c>
      <c r="C13" s="41">
        <v>571324</v>
      </c>
      <c r="D13" s="42">
        <v>681059.8</v>
      </c>
      <c r="E13" s="42">
        <f t="shared" si="0"/>
        <v>-109735.80000000005</v>
      </c>
      <c r="F13" s="43">
        <f t="shared" si="3"/>
        <v>-0.16112505832821147</v>
      </c>
      <c r="G13" s="44">
        <v>644288.19999999995</v>
      </c>
      <c r="H13" s="44">
        <f t="shared" si="1"/>
        <v>-72964.199999999953</v>
      </c>
      <c r="I13" s="43">
        <f t="shared" si="2"/>
        <v>-0.11324776707069904</v>
      </c>
      <c r="J13" s="60" t="s">
        <v>62</v>
      </c>
      <c r="K13" s="61" t="s">
        <v>63</v>
      </c>
      <c r="M13" s="58"/>
    </row>
    <row r="14" spans="1:13" ht="42.75">
      <c r="A14" s="52" t="str">
        <v>Lancaster 2 - Shisler Road</v>
      </c>
      <c r="B14" s="46" t="str">
        <v>NY</v>
      </c>
      <c r="C14" s="34">
        <v>558564</v>
      </c>
      <c r="D14" s="35">
        <v>740013.1</v>
      </c>
      <c r="E14" s="35">
        <f t="shared" si="0"/>
        <v>-181449.09999999998</v>
      </c>
      <c r="F14" s="36">
        <f t="shared" si="3"/>
        <v>-0.24519714583431021</v>
      </c>
      <c r="G14" s="37">
        <v>707412.2</v>
      </c>
      <c r="H14" s="37">
        <f t="shared" si="1"/>
        <v>-148848.19999999995</v>
      </c>
      <c r="I14" s="38">
        <f t="shared" si="2"/>
        <v>-0.21041226034835131</v>
      </c>
      <c r="J14" s="59" t="s">
        <v>64</v>
      </c>
      <c r="K14" s="59" t="s">
        <v>65</v>
      </c>
      <c r="M14" s="58"/>
    </row>
    <row r="15" spans="1:13" ht="31.5">
      <c r="A15" s="51" t="str">
        <v>Fullerton - 200 W Orangethorpe</v>
      </c>
      <c r="B15" s="48" t="str">
        <v>CA</v>
      </c>
      <c r="C15" s="41">
        <v>97998.634999999995</v>
      </c>
      <c r="D15" s="42">
        <v>105532.7</v>
      </c>
      <c r="E15" s="42">
        <f t="shared" si="0"/>
        <v>-7534.0650000000023</v>
      </c>
      <c r="F15" s="43">
        <f t="shared" si="3"/>
        <v>-7.1390810620783909E-2</v>
      </c>
      <c r="G15" s="44">
        <v>111916.4</v>
      </c>
      <c r="H15" s="44">
        <f t="shared" si="1"/>
        <v>-13917.764999999999</v>
      </c>
      <c r="I15" s="43">
        <f t="shared" si="2"/>
        <v>-0.12435858372856883</v>
      </c>
      <c r="J15" s="60" t="s">
        <v>66</v>
      </c>
      <c r="K15" s="61" t="s">
        <v>67</v>
      </c>
      <c r="M15" s="58"/>
    </row>
    <row r="16" spans="1:13" ht="28.5">
      <c r="A16" s="52" t="str">
        <v>El Paso - 10500 Railroad Drive</v>
      </c>
      <c r="B16" s="46" t="str">
        <v>TX</v>
      </c>
      <c r="C16" s="34">
        <v>105355.125</v>
      </c>
      <c r="D16" s="35">
        <v>126408.7</v>
      </c>
      <c r="E16" s="35">
        <f t="shared" si="0"/>
        <v>-21053.574999999997</v>
      </c>
      <c r="F16" s="36">
        <f t="shared" si="3"/>
        <v>-0.16655162975333182</v>
      </c>
      <c r="G16" s="37">
        <v>133396</v>
      </c>
      <c r="H16" s="37">
        <f t="shared" si="1"/>
        <v>-28040.875</v>
      </c>
      <c r="I16" s="38">
        <f t="shared" si="2"/>
        <v>-0.21020776485052026</v>
      </c>
      <c r="J16" s="59" t="s">
        <v>68</v>
      </c>
      <c r="K16" s="59" t="s">
        <v>69</v>
      </c>
      <c r="M16" s="58"/>
    </row>
    <row r="17" spans="1:13" ht="15.75">
      <c r="A17" s="51" t="str">
        <v>Friona - 900 Millard Ave</v>
      </c>
      <c r="B17" s="48" t="str">
        <v>TX</v>
      </c>
      <c r="C17" s="41">
        <v>109501.6875</v>
      </c>
      <c r="D17" s="42">
        <v>111341.7</v>
      </c>
      <c r="E17" s="42">
        <f t="shared" si="0"/>
        <v>-1840.0124999999971</v>
      </c>
      <c r="F17" s="43">
        <f t="shared" si="3"/>
        <v>-1.6525816473073406E-2</v>
      </c>
      <c r="G17" s="44">
        <v>105918</v>
      </c>
      <c r="H17" s="44">
        <f t="shared" si="1"/>
        <v>3583.6875</v>
      </c>
      <c r="I17" s="43">
        <f t="shared" si="2"/>
        <v>3.3834546535999543E-2</v>
      </c>
      <c r="J17" s="60" t="s">
        <v>70</v>
      </c>
      <c r="K17" s="61" t="s">
        <v>71</v>
      </c>
      <c r="M17" s="58"/>
    </row>
    <row r="18" spans="1:13" ht="15.75">
      <c r="A18" s="49" t="str">
        <v>Augusta - 13 York Farm Road</v>
      </c>
      <c r="B18" s="46" t="str">
        <v>ME</v>
      </c>
      <c r="C18" s="34"/>
      <c r="D18" s="35"/>
      <c r="E18" s="35"/>
      <c r="F18" s="36"/>
      <c r="G18" s="37"/>
      <c r="H18" s="37"/>
      <c r="I18" s="38"/>
      <c r="J18" s="56"/>
      <c r="K18" s="55"/>
    </row>
    <row r="19" spans="1:13" ht="15.75">
      <c r="A19" s="47" t="str">
        <v xml:space="preserve">Santa Ana - 1441 West </v>
      </c>
      <c r="B19" s="48" t="str">
        <v>CA</v>
      </c>
      <c r="C19" s="41"/>
      <c r="D19" s="42"/>
      <c r="E19" s="42"/>
      <c r="F19" s="43"/>
      <c r="G19" s="44"/>
      <c r="H19" s="44"/>
      <c r="I19" s="43"/>
      <c r="J19" s="56"/>
      <c r="K19" s="57"/>
    </row>
    <row r="20" spans="1:13" ht="14.25">
      <c r="A20" s="13" t="str">
        <v>Jessup -7950 Oceano Ave</v>
      </c>
      <c r="B20" s="18" t="str">
        <v>MD</v>
      </c>
      <c r="C20" s="13"/>
      <c r="D20" s="13"/>
      <c r="E20" s="13"/>
      <c r="F20" s="13"/>
      <c r="G20" s="13"/>
      <c r="H20" s="13"/>
      <c r="I20" s="13"/>
      <c r="J20" s="13"/>
      <c r="K20" s="13"/>
      <c r="M20" s="58"/>
    </row>
    <row r="21" spans="1:13" ht="14.25">
      <c r="A21" s="13"/>
      <c r="B21" s="18"/>
      <c r="C21" s="13"/>
      <c r="D21" s="13"/>
      <c r="E21" s="13"/>
      <c r="F21" s="13"/>
      <c r="G21" s="13"/>
      <c r="H21" s="13"/>
      <c r="I21" s="13"/>
      <c r="J21" s="13"/>
      <c r="K21" s="13"/>
      <c r="M21" s="58"/>
    </row>
    <row r="22" spans="1:13" ht="14.25">
      <c r="A22" s="13"/>
      <c r="B22" s="18"/>
      <c r="C22" s="13"/>
      <c r="D22" s="13"/>
      <c r="E22" s="13"/>
      <c r="F22" s="13"/>
      <c r="G22" s="13"/>
      <c r="H22" s="13"/>
      <c r="I22" s="13"/>
      <c r="J22" s="13"/>
      <c r="K22" s="13"/>
      <c r="M22" s="58"/>
    </row>
    <row r="23" spans="1:13" ht="14.25">
      <c r="A23" s="13"/>
      <c r="B23" s="18"/>
      <c r="C23" s="13"/>
      <c r="D23" s="13"/>
      <c r="E23" s="13"/>
      <c r="F23" s="13"/>
      <c r="G23" s="13"/>
      <c r="H23" s="13"/>
      <c r="I23" s="13"/>
      <c r="J23" s="13"/>
      <c r="K23" s="13"/>
      <c r="M23" s="58"/>
    </row>
    <row r="24" spans="1:13" ht="14.25">
      <c r="A24" s="13"/>
      <c r="B24" s="18"/>
      <c r="C24" s="13"/>
      <c r="D24" s="13"/>
      <c r="E24" s="13"/>
      <c r="F24" s="13"/>
      <c r="G24" s="13"/>
      <c r="H24" s="13"/>
      <c r="I24" s="13"/>
      <c r="J24" s="13"/>
      <c r="K24" s="13"/>
      <c r="M24" s="58"/>
    </row>
    <row r="25" spans="1:13" ht="14.25">
      <c r="A25" s="13"/>
      <c r="B25" s="18"/>
      <c r="C25" s="13"/>
      <c r="D25" s="13"/>
      <c r="E25" s="13"/>
      <c r="F25" s="14"/>
      <c r="G25" s="13"/>
      <c r="H25" s="13"/>
      <c r="I25" s="14"/>
      <c r="J25" s="13"/>
      <c r="K25" s="13"/>
      <c r="M25" s="58"/>
    </row>
    <row r="26" spans="1:13" ht="14.25">
      <c r="A26" s="13"/>
      <c r="B26" s="18"/>
      <c r="C26" s="13"/>
      <c r="D26" s="13"/>
      <c r="E26" s="13"/>
      <c r="F26" s="14"/>
      <c r="G26" s="13"/>
      <c r="H26" s="13"/>
      <c r="I26" s="14"/>
      <c r="J26" s="13"/>
      <c r="K26" s="13"/>
      <c r="M26" s="58"/>
    </row>
    <row r="27" spans="1:13" ht="14.25">
      <c r="A27" s="13"/>
      <c r="B27" s="18"/>
      <c r="C27" s="13"/>
      <c r="D27" s="13"/>
      <c r="E27" s="13"/>
      <c r="F27" s="14"/>
      <c r="G27" s="13"/>
      <c r="H27" s="13"/>
      <c r="I27" s="14"/>
      <c r="J27" s="13"/>
      <c r="K27" s="13"/>
      <c r="M27" s="58"/>
    </row>
    <row r="28" spans="1:13" ht="14.25">
      <c r="A28" s="13"/>
      <c r="B28" s="18"/>
      <c r="C28" s="13"/>
      <c r="D28" s="13"/>
      <c r="E28" s="13"/>
      <c r="F28" s="14"/>
      <c r="G28" s="13"/>
      <c r="H28" s="13"/>
      <c r="I28" s="14"/>
      <c r="J28" s="13"/>
      <c r="K28" s="13"/>
      <c r="M28" s="58"/>
    </row>
    <row r="29" spans="1:13" ht="14.25">
      <c r="A29" s="13"/>
      <c r="B29" s="18"/>
      <c r="C29" s="13"/>
      <c r="D29" s="13"/>
      <c r="E29" s="13"/>
      <c r="F29" s="14"/>
      <c r="G29" s="13"/>
      <c r="H29" s="13"/>
      <c r="I29" s="14"/>
      <c r="J29" s="13"/>
      <c r="K29" s="13"/>
      <c r="M29" s="58"/>
    </row>
    <row r="30" spans="1:13" ht="14.25">
      <c r="A30" s="13"/>
      <c r="B30" s="18"/>
      <c r="C30" s="13"/>
      <c r="D30" s="13"/>
      <c r="E30" s="13"/>
      <c r="F30" s="14"/>
      <c r="G30" s="13"/>
      <c r="H30" s="13"/>
      <c r="I30" s="14"/>
      <c r="J30" s="13"/>
      <c r="K30" s="13"/>
      <c r="M30" s="58"/>
    </row>
    <row r="31" spans="1:13" ht="14.25">
      <c r="A31" s="13"/>
      <c r="B31" s="18"/>
      <c r="C31" s="13"/>
      <c r="D31" s="13"/>
      <c r="E31" s="13"/>
      <c r="F31" s="14"/>
      <c r="G31" s="13"/>
      <c r="H31" s="13"/>
      <c r="I31" s="14"/>
      <c r="J31" s="13"/>
      <c r="K31" s="13"/>
      <c r="M31" s="58"/>
    </row>
    <row r="32" spans="1:13" ht="14.25">
      <c r="A32" s="13"/>
      <c r="B32" s="18"/>
      <c r="C32" s="13"/>
      <c r="D32" s="13"/>
      <c r="E32" s="13"/>
      <c r="F32" s="14"/>
      <c r="G32" s="13"/>
      <c r="H32" s="13"/>
      <c r="I32" s="14"/>
      <c r="J32" s="13"/>
      <c r="K32" s="13"/>
      <c r="M32" s="58"/>
    </row>
    <row r="33" spans="1:13" ht="14.25">
      <c r="A33" s="13"/>
      <c r="B33" s="18"/>
      <c r="C33" s="13"/>
      <c r="D33" s="13"/>
      <c r="E33" s="13"/>
      <c r="F33" s="14"/>
      <c r="G33" s="13"/>
      <c r="H33" s="13"/>
      <c r="I33" s="14"/>
      <c r="J33" s="13"/>
      <c r="K33" s="13"/>
      <c r="M33" s="58"/>
    </row>
    <row r="34" spans="1:13" ht="14.25">
      <c r="A34" s="13"/>
      <c r="B34" s="18"/>
      <c r="C34" s="13"/>
      <c r="D34" s="13"/>
      <c r="E34" s="13"/>
      <c r="F34" s="14"/>
      <c r="G34" s="13"/>
      <c r="H34" s="13"/>
      <c r="I34" s="14"/>
      <c r="J34" s="13"/>
      <c r="K34" s="13"/>
      <c r="M34" s="58"/>
    </row>
    <row r="35" spans="1:13" ht="14.25">
      <c r="A35" s="13"/>
      <c r="B35" s="18"/>
      <c r="C35" s="13"/>
      <c r="D35" s="13"/>
      <c r="E35" s="13"/>
      <c r="F35" s="14"/>
      <c r="G35" s="13"/>
      <c r="H35" s="13"/>
      <c r="I35" s="14"/>
      <c r="J35" s="13"/>
      <c r="K35" s="13"/>
      <c r="M35" s="58"/>
    </row>
    <row r="36" spans="1:13" ht="14.25">
      <c r="A36" s="13"/>
      <c r="B36" s="18"/>
      <c r="C36" s="13"/>
      <c r="D36" s="13"/>
      <c r="E36" s="13"/>
      <c r="F36" s="14"/>
      <c r="G36" s="13"/>
      <c r="H36" s="13"/>
      <c r="I36" s="14"/>
      <c r="J36" s="13"/>
      <c r="K36" s="13"/>
      <c r="M36" s="58"/>
    </row>
    <row r="37" spans="1:13" ht="14.25">
      <c r="A37" s="13"/>
      <c r="B37" s="18"/>
      <c r="C37" s="13"/>
      <c r="D37" s="13"/>
      <c r="E37" s="13"/>
      <c r="F37" s="14"/>
      <c r="G37" s="13"/>
      <c r="H37" s="13"/>
      <c r="I37" s="14"/>
      <c r="J37" s="13"/>
      <c r="K37" s="13"/>
      <c r="M37" s="58"/>
    </row>
    <row r="38" spans="1:13" ht="14.25">
      <c r="A38" s="13"/>
      <c r="B38" s="18"/>
      <c r="C38" s="13"/>
      <c r="D38" s="13"/>
      <c r="E38" s="13"/>
      <c r="F38" s="14"/>
      <c r="G38" s="13"/>
      <c r="H38" s="13"/>
      <c r="I38" s="14"/>
      <c r="J38" s="13"/>
      <c r="K38" s="13"/>
      <c r="M38" s="58"/>
    </row>
    <row r="39" spans="1:13" ht="14.25">
      <c r="A39" s="13"/>
      <c r="B39" s="18"/>
      <c r="C39" s="13"/>
      <c r="D39" s="13"/>
      <c r="E39" s="13"/>
      <c r="F39" s="14"/>
      <c r="G39" s="13"/>
      <c r="H39" s="13"/>
      <c r="I39" s="14"/>
      <c r="J39" s="13"/>
      <c r="K39" s="13"/>
      <c r="M39" s="58"/>
    </row>
    <row r="40" spans="1:13" ht="14.25">
      <c r="A40" s="13"/>
      <c r="B40" s="18"/>
      <c r="C40" s="13"/>
      <c r="D40" s="13"/>
      <c r="E40" s="13"/>
      <c r="F40" s="14"/>
      <c r="G40" s="13"/>
      <c r="H40" s="13"/>
      <c r="I40" s="14"/>
      <c r="J40" s="13"/>
      <c r="K40" s="13"/>
      <c r="M40" s="58"/>
    </row>
    <row r="41" spans="1:13" ht="14.25">
      <c r="A41" s="13"/>
      <c r="B41" s="18"/>
      <c r="C41" s="13"/>
      <c r="D41" s="13"/>
      <c r="E41" s="13"/>
      <c r="F41" s="14"/>
      <c r="G41" s="13"/>
      <c r="H41" s="13"/>
      <c r="I41" s="14"/>
      <c r="J41" s="13"/>
      <c r="K41" s="13"/>
      <c r="M41" s="58"/>
    </row>
    <row r="42" spans="1:13" ht="14.25">
      <c r="A42" s="13"/>
      <c r="B42" s="18"/>
      <c r="C42" s="13"/>
      <c r="D42" s="13"/>
      <c r="E42" s="13"/>
      <c r="F42" s="14"/>
      <c r="G42" s="13"/>
      <c r="H42" s="13"/>
      <c r="I42" s="14"/>
      <c r="J42" s="13"/>
      <c r="K42" s="13"/>
    </row>
    <row r="43" spans="1:13" ht="14.25">
      <c r="A43" s="13"/>
      <c r="B43" s="18"/>
      <c r="C43" s="13"/>
      <c r="D43" s="13"/>
      <c r="E43" s="13"/>
      <c r="F43" s="14"/>
      <c r="G43" s="13"/>
      <c r="H43" s="13"/>
      <c r="I43" s="14"/>
      <c r="J43" s="13"/>
      <c r="K43" s="13"/>
    </row>
    <row r="44" spans="1:13" ht="14.25">
      <c r="A44" s="13"/>
      <c r="B44" s="18"/>
      <c r="C44" s="13"/>
      <c r="D44" s="13"/>
      <c r="E44" s="13"/>
      <c r="F44" s="14"/>
      <c r="G44" s="13"/>
      <c r="H44" s="13"/>
      <c r="I44" s="14"/>
      <c r="J44" s="13"/>
      <c r="K44" s="13"/>
    </row>
    <row r="45" spans="1:13" ht="14.25">
      <c r="A45" s="13"/>
      <c r="B45" s="18"/>
      <c r="C45" s="13"/>
      <c r="D45" s="13"/>
      <c r="E45" s="13"/>
      <c r="F45" s="14"/>
      <c r="G45" s="13"/>
      <c r="H45" s="13"/>
      <c r="I45" s="14"/>
      <c r="J45" s="13"/>
      <c r="K45" s="13"/>
    </row>
    <row r="46" spans="1:13" ht="14.25">
      <c r="A46" s="13"/>
      <c r="B46" s="18"/>
      <c r="C46" s="13"/>
      <c r="D46" s="13"/>
      <c r="E46" s="13"/>
      <c r="F46" s="14"/>
      <c r="G46" s="13"/>
      <c r="H46" s="13"/>
      <c r="I46" s="14"/>
      <c r="J46" s="13"/>
      <c r="K46" s="13"/>
    </row>
    <row r="47" spans="1:13" ht="14.25">
      <c r="A47" s="13"/>
      <c r="B47" s="18"/>
      <c r="C47" s="13"/>
      <c r="D47" s="13"/>
      <c r="E47" s="13"/>
      <c r="F47" s="14"/>
      <c r="G47" s="13"/>
      <c r="H47" s="13"/>
      <c r="I47" s="14"/>
      <c r="J47" s="13"/>
      <c r="K47" s="13"/>
    </row>
    <row r="48" spans="1:13"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4" priority="5" stopIfTrue="1" operator="lessThanOrEqual">
      <formula>-0.1</formula>
    </cfRule>
    <cfRule type="expression" dxfId="33" priority="6">
      <formula>AND(ISNUMBER(F2), F2&gt;=0.1)</formula>
    </cfRule>
  </conditionalFormatting>
  <conditionalFormatting sqref="F4:F92 I4:I92">
    <cfRule type="cellIs" dxfId="32" priority="1" stopIfTrue="1" operator="lessThanOrEqual">
      <formula>-0.1</formula>
    </cfRule>
    <cfRule type="expression" dxfId="31"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4"/>
  <sheetViews>
    <sheetView workbookViewId="0">
      <pane xSplit="2" ySplit="3" topLeftCell="C17" activePane="bottomRight" state="frozen"/>
      <selection pane="bottomRight" activeCell="D25" sqref="D25"/>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72</v>
      </c>
      <c r="E1" s="81"/>
      <c r="F1" s="81"/>
      <c r="G1" s="79" t="s">
        <v>73</v>
      </c>
      <c r="H1" s="79"/>
      <c r="I1" s="79"/>
      <c r="J1" s="4"/>
      <c r="K1" s="4"/>
    </row>
    <row r="2" spans="1:11" ht="19.5" customHeight="1">
      <c r="A2" s="82" t="s">
        <v>2</v>
      </c>
      <c r="B2" s="82"/>
      <c r="C2" s="5">
        <f>SUM(C4:C92)</f>
        <v>3586730.2794104535</v>
      </c>
      <c r="D2" s="5">
        <f>SUM(D4:D92)</f>
        <v>4172026.29</v>
      </c>
      <c r="E2" s="5">
        <f>C2-D2</f>
        <v>-585296.01058954652</v>
      </c>
      <c r="F2" s="6">
        <f>IFERROR(E2/D2, 0)</f>
        <v>-0.14029058541468264</v>
      </c>
      <c r="G2" s="5">
        <f>SUM(G4:G92)</f>
        <v>4897603.03</v>
      </c>
      <c r="H2" s="7">
        <f>C2-G2</f>
        <v>-1310872.7505895467</v>
      </c>
      <c r="I2" s="6">
        <f>IFERROR(H2/G2, 0)</f>
        <v>-0.26765598243872912</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v>110443.934375</v>
      </c>
      <c r="D4" s="35">
        <v>110570.8</v>
      </c>
      <c r="E4" s="35">
        <f>IF(AND(ISNUMBER(C4),ISNUMBER(D4)), C4-D4, "")</f>
        <v>-126.86562500000582</v>
      </c>
      <c r="F4" s="36">
        <f>IFERROR(E4/D4, "")</f>
        <v>-1.1473700561088988E-3</v>
      </c>
      <c r="G4" s="37">
        <v>119130.8</v>
      </c>
      <c r="H4" s="37">
        <f>IF(AND(ISNUMBER(C4),ISNUMBER(G4)), C4-G4, "")</f>
        <v>-8686.8656250000058</v>
      </c>
      <c r="I4" s="38">
        <f>IFERROR(H4/G4, "")</f>
        <v>-7.2918721480926887E-2</v>
      </c>
      <c r="J4" s="55" t="s">
        <v>74</v>
      </c>
      <c r="K4" s="55" t="s">
        <v>75</v>
      </c>
    </row>
    <row r="5" spans="1:11" ht="15.75">
      <c r="A5" s="47" t="str">
        <v>Adelanto - 1 Sheep Creek Road</v>
      </c>
      <c r="B5" s="48" t="str">
        <v>CA</v>
      </c>
      <c r="C5" s="41">
        <v>402561</v>
      </c>
      <c r="D5" s="42">
        <v>693821</v>
      </c>
      <c r="E5" s="42">
        <f t="shared" ref="E5:E17" si="0">IF(AND(ISNUMBER(C5),ISNUMBER(D5)), C5-D5, "")</f>
        <v>-291260</v>
      </c>
      <c r="F5" s="43">
        <f>IFERROR(E5/D5, "")</f>
        <v>-0.41979127181218212</v>
      </c>
      <c r="G5" s="62">
        <v>898384</v>
      </c>
      <c r="H5" s="44">
        <f t="shared" ref="H5:H17" si="1">IF(AND(ISNUMBER(C5),ISNUMBER(G5)), C5-G5, "")</f>
        <v>-495823</v>
      </c>
      <c r="I5" s="43">
        <f t="shared" ref="I5:I17" si="2">IFERROR(H5/G5, "")</f>
        <v>-0.55190542128978259</v>
      </c>
      <c r="J5" s="56" t="s">
        <v>76</v>
      </c>
      <c r="K5" s="56" t="s">
        <v>77</v>
      </c>
    </row>
    <row r="6" spans="1:11" ht="30" customHeight="1">
      <c r="A6" s="49" t="str">
        <v>Blackstone - 83 Federal Street</v>
      </c>
      <c r="B6" s="46" t="str">
        <v>MA</v>
      </c>
      <c r="C6" s="34">
        <v>606024</v>
      </c>
      <c r="D6" s="35">
        <v>680455.2</v>
      </c>
      <c r="E6" s="35">
        <f t="shared" si="0"/>
        <v>-74431.199999999953</v>
      </c>
      <c r="F6" s="36">
        <f t="shared" ref="F6:F17" si="3">IFERROR(E6/D6, "")</f>
        <v>-0.10938442383863031</v>
      </c>
      <c r="G6" s="37">
        <v>770475.3</v>
      </c>
      <c r="H6" s="37">
        <f t="shared" si="1"/>
        <v>-164451.30000000005</v>
      </c>
      <c r="I6" s="38">
        <f t="shared" si="2"/>
        <v>-0.21344136534941488</v>
      </c>
      <c r="J6" s="55"/>
      <c r="K6" s="55"/>
    </row>
    <row r="7" spans="1:11" ht="27.75" customHeight="1">
      <c r="A7" s="47" t="str">
        <v>Charlton - 299 Worcester Road</v>
      </c>
      <c r="B7" s="48" t="str">
        <v>MA</v>
      </c>
      <c r="C7" s="41">
        <v>56399</v>
      </c>
      <c r="D7" s="42">
        <v>57742.91</v>
      </c>
      <c r="E7" s="42">
        <f t="shared" si="0"/>
        <v>-1343.9100000000035</v>
      </c>
      <c r="F7" s="43">
        <f t="shared" si="3"/>
        <v>-2.3274026196462967E-2</v>
      </c>
      <c r="G7" s="44">
        <v>70885.53</v>
      </c>
      <c r="H7" s="44">
        <f t="shared" si="1"/>
        <v>-14486.529999999999</v>
      </c>
      <c r="I7" s="43">
        <f t="shared" si="2"/>
        <v>-0.2043651221906643</v>
      </c>
      <c r="J7" s="56" t="s">
        <v>78</v>
      </c>
      <c r="K7" s="57" t="s">
        <v>79</v>
      </c>
    </row>
    <row r="8" spans="1:11" ht="15.75">
      <c r="A8" s="49" t="str">
        <v>Wareham - 8 Thatcher Drive</v>
      </c>
      <c r="B8" s="46" t="str">
        <v>MA</v>
      </c>
      <c r="C8" s="34">
        <v>16925.875</v>
      </c>
      <c r="D8" s="35">
        <v>17111.189999999999</v>
      </c>
      <c r="E8" s="35">
        <f t="shared" si="0"/>
        <v>-185.31499999999869</v>
      </c>
      <c r="F8" s="36">
        <f t="shared" si="3"/>
        <v>-1.0830047471858983E-2</v>
      </c>
      <c r="G8" s="37">
        <v>18394.93</v>
      </c>
      <c r="H8" s="37">
        <f t="shared" si="1"/>
        <v>-1469.0550000000003</v>
      </c>
      <c r="I8" s="38">
        <f t="shared" si="2"/>
        <v>-7.9861951091958511E-2</v>
      </c>
      <c r="J8" s="55"/>
      <c r="K8" s="55"/>
    </row>
    <row r="9" spans="1:11" ht="15.75">
      <c r="A9" s="47" t="str">
        <v>West Yarmouth - 42 Mid Tech</v>
      </c>
      <c r="B9" s="48" t="str">
        <v>MA</v>
      </c>
      <c r="C9" s="41">
        <v>16282.5226917034</v>
      </c>
      <c r="D9" s="42">
        <v>16635.099999999999</v>
      </c>
      <c r="E9" s="42">
        <f t="shared" si="0"/>
        <v>-352.57730829659886</v>
      </c>
      <c r="F9" s="43">
        <f t="shared" si="3"/>
        <v>-2.1194781413793658E-2</v>
      </c>
      <c r="G9" s="44">
        <v>18770.490000000002</v>
      </c>
      <c r="H9" s="44">
        <f t="shared" si="1"/>
        <v>-2487.9673082966019</v>
      </c>
      <c r="I9" s="43">
        <f t="shared" si="2"/>
        <v>-0.13254674269540123</v>
      </c>
      <c r="J9" s="56"/>
      <c r="K9" s="57"/>
    </row>
    <row r="10" spans="1:11" ht="42.75">
      <c r="A10" s="49" t="str">
        <v>Harrison - 130 Union Street</v>
      </c>
      <c r="B10" s="46" t="str">
        <v>NY</v>
      </c>
      <c r="C10" s="34">
        <v>21737.375</v>
      </c>
      <c r="D10" s="35">
        <v>23442.16</v>
      </c>
      <c r="E10" s="35">
        <f t="shared" si="0"/>
        <v>-1704.7849999999999</v>
      </c>
      <c r="F10" s="36">
        <f t="shared" si="3"/>
        <v>-7.2723034054882313E-2</v>
      </c>
      <c r="G10" s="37">
        <v>26207.47</v>
      </c>
      <c r="H10" s="37">
        <f t="shared" si="1"/>
        <v>-4470.0950000000012</v>
      </c>
      <c r="I10" s="38">
        <f t="shared" si="2"/>
        <v>-0.17056568222724289</v>
      </c>
      <c r="J10" s="55" t="s">
        <v>80</v>
      </c>
      <c r="K10" s="55" t="s">
        <v>81</v>
      </c>
    </row>
    <row r="11" spans="1:11" ht="15.75">
      <c r="A11" s="47" t="str">
        <v>Staten Island - Ellis Storage</v>
      </c>
      <c r="B11" s="48" t="str">
        <v>NY</v>
      </c>
      <c r="C11" s="41">
        <v>56581</v>
      </c>
      <c r="D11" s="42">
        <v>60019.33</v>
      </c>
      <c r="E11" s="42">
        <f t="shared" si="0"/>
        <v>-3438.3300000000017</v>
      </c>
      <c r="F11" s="43">
        <f t="shared" si="3"/>
        <v>-5.7287044023983637E-2</v>
      </c>
      <c r="G11" s="44">
        <v>60619.51</v>
      </c>
      <c r="H11" s="44">
        <f t="shared" si="1"/>
        <v>-4038.510000000002</v>
      </c>
      <c r="I11" s="43">
        <f t="shared" si="2"/>
        <v>-6.6620630882697693E-2</v>
      </c>
      <c r="J11" s="56"/>
      <c r="K11" s="57"/>
    </row>
    <row r="12" spans="1:11" ht="28.5">
      <c r="A12" s="49" t="str">
        <v>Amherst - 595 Scholles Road</v>
      </c>
      <c r="B12" s="46" t="str">
        <v>NY</v>
      </c>
      <c r="C12" s="34">
        <v>718270</v>
      </c>
      <c r="D12" s="35">
        <v>768638</v>
      </c>
      <c r="E12" s="35">
        <f t="shared" si="0"/>
        <v>-50368</v>
      </c>
      <c r="F12" s="36">
        <f t="shared" si="3"/>
        <v>-6.5528896567695061E-2</v>
      </c>
      <c r="G12" s="37">
        <v>953051</v>
      </c>
      <c r="H12" s="37">
        <f t="shared" si="1"/>
        <v>-234781</v>
      </c>
      <c r="I12" s="38">
        <f t="shared" si="2"/>
        <v>-0.24634673275616939</v>
      </c>
      <c r="J12" s="55" t="s">
        <v>82</v>
      </c>
      <c r="K12" s="55" t="s">
        <v>83</v>
      </c>
    </row>
    <row r="13" spans="1:11" ht="31.5">
      <c r="A13" s="47" t="str">
        <v>Lancaster 1 - Gunnville Road</v>
      </c>
      <c r="B13" s="48" t="str">
        <v>NY</v>
      </c>
      <c r="C13" s="41">
        <v>557874</v>
      </c>
      <c r="D13" s="42">
        <v>635837.5</v>
      </c>
      <c r="E13" s="42">
        <f t="shared" si="0"/>
        <v>-77963.5</v>
      </c>
      <c r="F13" s="43">
        <f t="shared" si="3"/>
        <v>-0.12261544812943559</v>
      </c>
      <c r="G13" s="44">
        <v>746890.6</v>
      </c>
      <c r="H13" s="44">
        <f t="shared" si="1"/>
        <v>-189016.59999999998</v>
      </c>
      <c r="I13" s="43">
        <f t="shared" si="2"/>
        <v>-0.25307133333851034</v>
      </c>
      <c r="J13" s="56" t="s">
        <v>84</v>
      </c>
      <c r="K13" s="57" t="s">
        <v>85</v>
      </c>
    </row>
    <row r="14" spans="1:11" ht="15.75">
      <c r="A14" s="49" t="str">
        <v>Lancaster 2 - Shisler Road</v>
      </c>
      <c r="B14" s="46" t="str">
        <v>NY</v>
      </c>
      <c r="C14" s="34">
        <v>609258</v>
      </c>
      <c r="D14" s="35">
        <v>678559.1</v>
      </c>
      <c r="E14" s="35">
        <f t="shared" si="0"/>
        <v>-69301.099999999977</v>
      </c>
      <c r="F14" s="36">
        <f t="shared" si="3"/>
        <v>-0.10212979237917519</v>
      </c>
      <c r="G14" s="37">
        <v>820159.4</v>
      </c>
      <c r="H14" s="37">
        <f t="shared" si="1"/>
        <v>-210901.40000000002</v>
      </c>
      <c r="I14" s="38">
        <f t="shared" si="2"/>
        <v>-0.25714684243087382</v>
      </c>
      <c r="J14" s="55" t="s">
        <v>86</v>
      </c>
      <c r="K14" s="55" t="s">
        <v>87</v>
      </c>
    </row>
    <row r="15" spans="1:11" ht="15.75">
      <c r="A15" s="47" t="str">
        <v>Fullerton - 200 W Orangethorpe</v>
      </c>
      <c r="B15" s="48" t="str">
        <v>CA</v>
      </c>
      <c r="C15" s="41">
        <v>118417.19734375</v>
      </c>
      <c r="D15" s="42">
        <v>125423.7</v>
      </c>
      <c r="E15" s="42">
        <f t="shared" si="0"/>
        <v>-7006.5026562499988</v>
      </c>
      <c r="F15" s="43">
        <f t="shared" si="3"/>
        <v>-5.5862669146660472E-2</v>
      </c>
      <c r="G15" s="44">
        <v>121841.4</v>
      </c>
      <c r="H15" s="44">
        <f t="shared" si="1"/>
        <v>-3424.2026562499959</v>
      </c>
      <c r="I15" s="43">
        <f t="shared" si="2"/>
        <v>-2.8103769788019477E-2</v>
      </c>
      <c r="J15" s="56" t="s">
        <v>88</v>
      </c>
      <c r="K15" s="57" t="s">
        <v>89</v>
      </c>
    </row>
    <row r="16" spans="1:11" ht="28.5">
      <c r="A16" s="49" t="str">
        <v>El Paso - 10500 Railroad Drive</v>
      </c>
      <c r="B16" s="46" t="str">
        <v>TX</v>
      </c>
      <c r="C16" s="34">
        <v>160423.625</v>
      </c>
      <c r="D16" s="35">
        <v>160278.5</v>
      </c>
      <c r="E16" s="35">
        <f t="shared" si="0"/>
        <v>145.125</v>
      </c>
      <c r="F16" s="36">
        <f t="shared" si="3"/>
        <v>9.05455192056327E-4</v>
      </c>
      <c r="G16" s="37">
        <v>148074</v>
      </c>
      <c r="H16" s="37">
        <f t="shared" si="1"/>
        <v>12349.625</v>
      </c>
      <c r="I16" s="38">
        <f t="shared" si="2"/>
        <v>8.3401711306508905E-2</v>
      </c>
      <c r="J16" s="55" t="s">
        <v>90</v>
      </c>
      <c r="K16" s="55" t="s">
        <v>91</v>
      </c>
    </row>
    <row r="17" spans="1:11" ht="15.75">
      <c r="A17" s="47" t="str">
        <v>Friona - 900 Millard Ave</v>
      </c>
      <c r="B17" s="48" t="str">
        <v>TX</v>
      </c>
      <c r="C17" s="41">
        <v>135532.75</v>
      </c>
      <c r="D17" s="42">
        <v>143491.79999999999</v>
      </c>
      <c r="E17" s="42">
        <f t="shared" si="0"/>
        <v>-7959.0499999999884</v>
      </c>
      <c r="F17" s="43">
        <f t="shared" si="3"/>
        <v>-5.5466932605208026E-2</v>
      </c>
      <c r="G17" s="44">
        <v>124718.6</v>
      </c>
      <c r="H17" s="44">
        <f t="shared" si="1"/>
        <v>10814.149999999994</v>
      </c>
      <c r="I17" s="43">
        <f t="shared" si="2"/>
        <v>8.6708397945454763E-2</v>
      </c>
      <c r="J17" s="56" t="s">
        <v>92</v>
      </c>
      <c r="K17" s="57" t="s">
        <v>71</v>
      </c>
    </row>
    <row r="18" spans="1:11" ht="15.75">
      <c r="A18" s="49" t="str">
        <v>Augusta - 13 York Farm Road</v>
      </c>
      <c r="B18" s="46" t="str">
        <v>ME</v>
      </c>
      <c r="C18" s="34"/>
      <c r="D18" s="35"/>
      <c r="E18" s="35"/>
      <c r="F18" s="36"/>
      <c r="G18" s="37"/>
      <c r="H18" s="37"/>
      <c r="I18" s="38"/>
      <c r="J18" s="56"/>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92 I4:I92">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4"/>
  <sheetViews>
    <sheetView workbookViewId="0">
      <pane xSplit="2" ySplit="3" topLeftCell="C14" activePane="bottomRight" state="frozen"/>
      <selection pane="bottomRight" activeCell="A18" sqref="A18:K19"/>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93</v>
      </c>
      <c r="E1" s="81"/>
      <c r="F1" s="81"/>
      <c r="G1" s="79" t="s">
        <v>94</v>
      </c>
      <c r="H1" s="79"/>
      <c r="I1" s="79"/>
      <c r="J1" s="4"/>
      <c r="K1" s="4"/>
    </row>
    <row r="2" spans="1:11" ht="19.5" customHeight="1">
      <c r="A2" s="82" t="s">
        <v>2</v>
      </c>
      <c r="B2" s="82"/>
      <c r="C2" s="5">
        <f>SUM(C4:C92)</f>
        <v>4754643.5404952252</v>
      </c>
      <c r="D2" s="5">
        <f>SUM(D4:D92)</f>
        <v>4977329.459999999</v>
      </c>
      <c r="E2" s="5">
        <f>C2-D2</f>
        <v>-222685.9195047738</v>
      </c>
      <c r="F2" s="6">
        <f>IFERROR(E2/D2, 0)</f>
        <v>-4.4740040074577228E-2</v>
      </c>
      <c r="G2" s="5">
        <f>SUM(G4:G92)</f>
        <v>5677264.5899999999</v>
      </c>
      <c r="H2" s="7">
        <f>C2-G2</f>
        <v>-922621.04950477462</v>
      </c>
      <c r="I2" s="6">
        <f>IFERROR(H2/G2, 0)</f>
        <v>-0.16251154669273124</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v>129623.4375</v>
      </c>
      <c r="D4" s="35">
        <v>138492</v>
      </c>
      <c r="E4" s="35">
        <f>IF(AND(ISNUMBER(C4),ISNUMBER(D4)), C4-D4, "")</f>
        <v>-8868.5625</v>
      </c>
      <c r="F4" s="36">
        <f>IFERROR(E4/D4, "")</f>
        <v>-6.4036641105623432E-2</v>
      </c>
      <c r="G4" s="37">
        <v>137316</v>
      </c>
      <c r="H4" s="37">
        <f>IF(AND(ISNUMBER(C4),ISNUMBER(G4)), C4-G4, "")</f>
        <v>-7692.5625</v>
      </c>
      <c r="I4" s="38">
        <f>IFERROR(H4/G4, "")</f>
        <v>-5.6020875207550468E-2</v>
      </c>
      <c r="J4" s="55"/>
      <c r="K4" s="55"/>
    </row>
    <row r="5" spans="1:11" ht="15.75">
      <c r="A5" s="47" t="str">
        <v>Adelanto - 1 Sheep Creek Road</v>
      </c>
      <c r="B5" s="48" t="str">
        <v>CA</v>
      </c>
      <c r="C5" s="41">
        <v>444296</v>
      </c>
      <c r="D5" s="42">
        <v>486481</v>
      </c>
      <c r="E5" s="42">
        <f>IF(AND(ISNUMBER(C5),ISNUMBER(D5)), C5-D5, "")</f>
        <v>-42185</v>
      </c>
      <c r="F5" s="43">
        <f>IFERROR(E5/D5, "")</f>
        <v>-8.671458905897661E-2</v>
      </c>
      <c r="G5" s="44">
        <v>998170</v>
      </c>
      <c r="H5" s="44">
        <f t="shared" ref="H5:H17" si="0">IF(AND(ISNUMBER(C5),ISNUMBER(G5)), C5-G5, "")</f>
        <v>-553874</v>
      </c>
      <c r="I5" s="43">
        <f t="shared" ref="I5:I17" si="1">IFERROR(H5/G5, "")</f>
        <v>-0.5548894476892714</v>
      </c>
      <c r="J5" s="56"/>
      <c r="K5" s="56"/>
    </row>
    <row r="6" spans="1:11" ht="15.75">
      <c r="A6" s="49" t="str">
        <v>Blackstone - 83 Federal Street</v>
      </c>
      <c r="B6" s="46" t="str">
        <v>MA</v>
      </c>
      <c r="C6" s="34">
        <v>667886</v>
      </c>
      <c r="D6" s="35">
        <v>782886.8</v>
      </c>
      <c r="E6" s="35">
        <f t="shared" ref="E6:E17" si="2">IF(AND(ISNUMBER(C6),ISNUMBER(D6)), C6-D6, "")</f>
        <v>-115000.80000000005</v>
      </c>
      <c r="F6" s="36">
        <f t="shared" ref="F6:F17" si="3">IFERROR(E6/D6, "")</f>
        <v>-0.146893267328048</v>
      </c>
      <c r="G6" s="37">
        <v>818352.4</v>
      </c>
      <c r="H6" s="37">
        <f t="shared" si="0"/>
        <v>-150466.40000000002</v>
      </c>
      <c r="I6" s="38">
        <f t="shared" si="1"/>
        <v>-0.18386504395905728</v>
      </c>
      <c r="J6" s="55" t="s">
        <v>95</v>
      </c>
      <c r="K6" s="55" t="s">
        <v>96</v>
      </c>
    </row>
    <row r="7" spans="1:11" ht="15.75">
      <c r="A7" s="47" t="str">
        <v>Charlton - 299 Worcester Road</v>
      </c>
      <c r="B7" s="48" t="str">
        <v>MA</v>
      </c>
      <c r="C7" s="41">
        <v>63015.5</v>
      </c>
      <c r="D7" s="42">
        <v>66192.479999999996</v>
      </c>
      <c r="E7" s="42">
        <f t="shared" si="2"/>
        <v>-3176.9799999999959</v>
      </c>
      <c r="F7" s="43">
        <f t="shared" si="3"/>
        <v>-4.7996086564516031E-2</v>
      </c>
      <c r="G7" s="44">
        <v>69886.66</v>
      </c>
      <c r="H7" s="44">
        <f t="shared" si="0"/>
        <v>-6871.1600000000035</v>
      </c>
      <c r="I7" s="43">
        <f t="shared" si="1"/>
        <v>-9.8318620463476197E-2</v>
      </c>
      <c r="J7" s="56"/>
      <c r="K7" s="57"/>
    </row>
    <row r="8" spans="1:11" ht="15.75">
      <c r="A8" s="49" t="str">
        <v>Wareham - 8 Thatcher Drive</v>
      </c>
      <c r="B8" s="46" t="str">
        <v>MA</v>
      </c>
      <c r="C8" s="34">
        <v>19262.5</v>
      </c>
      <c r="D8" s="35">
        <v>19740.830000000002</v>
      </c>
      <c r="E8" s="35">
        <f t="shared" si="2"/>
        <v>-478.33000000000175</v>
      </c>
      <c r="F8" s="36">
        <f t="shared" si="3"/>
        <v>-2.4230490815229232E-2</v>
      </c>
      <c r="G8" s="37">
        <v>20442.38</v>
      </c>
      <c r="H8" s="37">
        <f t="shared" si="0"/>
        <v>-1179.880000000001</v>
      </c>
      <c r="I8" s="38">
        <f t="shared" si="1"/>
        <v>-5.7717349936749096E-2</v>
      </c>
      <c r="J8" s="55"/>
      <c r="K8" s="55"/>
    </row>
    <row r="9" spans="1:11" ht="15.75">
      <c r="A9" s="47" t="str">
        <v>West Yarmouth - 42 Mid Tech</v>
      </c>
      <c r="B9" s="48" t="str">
        <v>MA</v>
      </c>
      <c r="C9" s="41">
        <v>18404.1692640695</v>
      </c>
      <c r="D9" s="42">
        <v>19706.43</v>
      </c>
      <c r="E9" s="42">
        <f t="shared" si="2"/>
        <v>-1302.2607359305002</v>
      </c>
      <c r="F9" s="43">
        <f t="shared" si="3"/>
        <v>-6.6083036649991919E-2</v>
      </c>
      <c r="G9" s="44">
        <v>20391.91</v>
      </c>
      <c r="H9" s="44">
        <f t="shared" si="0"/>
        <v>-1987.7407359304998</v>
      </c>
      <c r="I9" s="43">
        <f t="shared" si="1"/>
        <v>-9.7476927660552631E-2</v>
      </c>
      <c r="J9" s="56"/>
      <c r="K9" s="57"/>
    </row>
    <row r="10" spans="1:11" ht="15.75">
      <c r="A10" s="49" t="str">
        <v>Harrison - 130 Union Street</v>
      </c>
      <c r="B10" s="46" t="str">
        <v>NY</v>
      </c>
      <c r="C10" s="34">
        <v>28316.3125</v>
      </c>
      <c r="D10" s="35">
        <v>29728.98</v>
      </c>
      <c r="E10" s="35">
        <f t="shared" si="2"/>
        <v>-1412.6674999999996</v>
      </c>
      <c r="F10" s="36">
        <f t="shared" si="3"/>
        <v>-4.7518196049780366E-2</v>
      </c>
      <c r="G10" s="37">
        <v>30348.959999999999</v>
      </c>
      <c r="H10" s="37">
        <f t="shared" si="0"/>
        <v>-2032.6474999999991</v>
      </c>
      <c r="I10" s="38">
        <f t="shared" si="1"/>
        <v>-6.6975853538309024E-2</v>
      </c>
      <c r="J10" s="55"/>
      <c r="K10" s="55"/>
    </row>
    <row r="11" spans="1:11" ht="15.75">
      <c r="A11" s="47" t="str">
        <v>Staten Island - Ellis Storage</v>
      </c>
      <c r="B11" s="48" t="str">
        <v>NY</v>
      </c>
      <c r="C11" s="41">
        <v>63332.746231155703</v>
      </c>
      <c r="D11" s="42">
        <v>67493.259999999995</v>
      </c>
      <c r="E11" s="42">
        <f t="shared" si="2"/>
        <v>-4160.5137688442919</v>
      </c>
      <c r="F11" s="43">
        <f t="shared" si="3"/>
        <v>-6.1643396227183164E-2</v>
      </c>
      <c r="G11" s="44">
        <v>69978.38</v>
      </c>
      <c r="H11" s="44">
        <f t="shared" si="0"/>
        <v>-6645.6337688443018</v>
      </c>
      <c r="I11" s="43">
        <f t="shared" si="1"/>
        <v>-9.4966956492052279E-2</v>
      </c>
      <c r="J11" s="56"/>
      <c r="K11" s="57"/>
    </row>
    <row r="12" spans="1:11" ht="15.75">
      <c r="A12" s="49" t="str">
        <v>Amherst - 595 Scholles Road</v>
      </c>
      <c r="B12" s="46" t="str">
        <v>NY</v>
      </c>
      <c r="C12" s="34">
        <v>1116729</v>
      </c>
      <c r="D12" s="35">
        <v>1058881.31</v>
      </c>
      <c r="E12" s="35">
        <f t="shared" si="2"/>
        <v>57847.689999999944</v>
      </c>
      <c r="F12" s="36">
        <f t="shared" si="3"/>
        <v>5.4630948203250408E-2</v>
      </c>
      <c r="G12" s="37">
        <v>1200817</v>
      </c>
      <c r="H12" s="37">
        <f t="shared" si="0"/>
        <v>-84088</v>
      </c>
      <c r="I12" s="38">
        <f t="shared" si="1"/>
        <v>-7.002565753149731E-2</v>
      </c>
      <c r="J12" s="55"/>
      <c r="K12" s="55"/>
    </row>
    <row r="13" spans="1:11" ht="15.75">
      <c r="A13" s="47" t="str">
        <v>Lancaster 1 - Gunnville Road</v>
      </c>
      <c r="B13" s="48" t="str">
        <v>NY</v>
      </c>
      <c r="C13" s="41">
        <v>849171</v>
      </c>
      <c r="D13" s="42">
        <v>904354.17</v>
      </c>
      <c r="E13" s="42">
        <f t="shared" si="2"/>
        <v>-55183.170000000042</v>
      </c>
      <c r="F13" s="43">
        <f t="shared" si="3"/>
        <v>-6.1019423396919861E-2</v>
      </c>
      <c r="G13" s="67">
        <v>894596</v>
      </c>
      <c r="H13" s="44">
        <f t="shared" si="0"/>
        <v>-45425</v>
      </c>
      <c r="I13" s="43">
        <f t="shared" si="1"/>
        <v>-5.0777110561638999E-2</v>
      </c>
      <c r="J13" s="56" t="s">
        <v>97</v>
      </c>
      <c r="K13" s="57" t="s">
        <v>98</v>
      </c>
    </row>
    <row r="14" spans="1:11" ht="156.75" customHeight="1">
      <c r="A14" s="49" t="str">
        <v>Lancaster 2 - Shisler Road</v>
      </c>
      <c r="B14" s="46" t="str">
        <v>NY</v>
      </c>
      <c r="C14" s="34">
        <v>919274</v>
      </c>
      <c r="D14" s="35">
        <v>954343</v>
      </c>
      <c r="E14" s="35">
        <f t="shared" si="2"/>
        <v>-35069</v>
      </c>
      <c r="F14" s="36">
        <f t="shared" si="3"/>
        <v>-3.6746746190834949E-2</v>
      </c>
      <c r="G14" s="37">
        <v>981722</v>
      </c>
      <c r="H14" s="37">
        <f t="shared" si="0"/>
        <v>-62448</v>
      </c>
      <c r="I14" s="38">
        <f t="shared" si="1"/>
        <v>-6.3610675934735086E-2</v>
      </c>
      <c r="J14" s="55" t="s">
        <v>99</v>
      </c>
      <c r="K14" s="55" t="s">
        <v>100</v>
      </c>
    </row>
    <row r="15" spans="1:11" ht="15.75">
      <c r="A15" s="47" t="str">
        <v>Fullerton - 200 W Orangethorpe</v>
      </c>
      <c r="B15" s="48" t="str">
        <v>CA</v>
      </c>
      <c r="C15" s="41">
        <v>113363</v>
      </c>
      <c r="D15" s="42">
        <v>113261</v>
      </c>
      <c r="E15" s="42">
        <f t="shared" si="2"/>
        <v>102</v>
      </c>
      <c r="F15" s="43">
        <f t="shared" si="3"/>
        <v>9.0057477860870021E-4</v>
      </c>
      <c r="G15" s="44">
        <v>135181</v>
      </c>
      <c r="H15" s="44">
        <f t="shared" si="0"/>
        <v>-21818</v>
      </c>
      <c r="I15" s="43">
        <f t="shared" si="1"/>
        <v>-0.16139842137578506</v>
      </c>
      <c r="J15" s="56"/>
      <c r="K15" s="57"/>
    </row>
    <row r="16" spans="1:11" ht="15.75">
      <c r="A16" s="49" t="str">
        <v>El Paso - 10500 Railroad Drive</v>
      </c>
      <c r="B16" s="46" t="str">
        <v>TX</v>
      </c>
      <c r="C16" s="34">
        <v>184602.875</v>
      </c>
      <c r="D16" s="35">
        <v>182605.6</v>
      </c>
      <c r="E16" s="35">
        <f t="shared" si="2"/>
        <v>1997.2749999999942</v>
      </c>
      <c r="F16" s="36">
        <f t="shared" si="3"/>
        <v>1.0937643752436913E-2</v>
      </c>
      <c r="G16" s="37">
        <v>160947.4</v>
      </c>
      <c r="H16" s="37">
        <f t="shared" si="0"/>
        <v>23655.475000000006</v>
      </c>
      <c r="I16" s="38">
        <f t="shared" si="1"/>
        <v>0.14697643453699785</v>
      </c>
      <c r="J16" s="55" t="s">
        <v>101</v>
      </c>
      <c r="K16" s="55" t="s">
        <v>91</v>
      </c>
    </row>
    <row r="17" spans="1:11" ht="28.5">
      <c r="A17" s="47" t="str">
        <v>Friona - 900 Millard Ave</v>
      </c>
      <c r="B17" s="48" t="str">
        <v>TX</v>
      </c>
      <c r="C17" s="41">
        <v>137367</v>
      </c>
      <c r="D17" s="42">
        <v>153162.6</v>
      </c>
      <c r="E17" s="42">
        <f t="shared" si="2"/>
        <v>-15795.600000000006</v>
      </c>
      <c r="F17" s="43">
        <f t="shared" si="3"/>
        <v>-0.10312961519326523</v>
      </c>
      <c r="G17" s="44">
        <v>139114.5</v>
      </c>
      <c r="H17" s="44">
        <f t="shared" si="0"/>
        <v>-1747.5</v>
      </c>
      <c r="I17" s="43">
        <f t="shared" si="1"/>
        <v>-1.2561594945171064E-2</v>
      </c>
      <c r="J17" s="56" t="s">
        <v>102</v>
      </c>
      <c r="K17" s="57" t="s">
        <v>103</v>
      </c>
    </row>
    <row r="18" spans="1:11" ht="15.75">
      <c r="A18" s="49" t="str">
        <v>Augusta - 13 York Farm Road</v>
      </c>
      <c r="B18" s="46" t="str">
        <v>ME</v>
      </c>
      <c r="C18" s="34"/>
      <c r="D18" s="35"/>
      <c r="E18" s="35"/>
      <c r="F18" s="36"/>
      <c r="G18" s="37"/>
      <c r="H18" s="37"/>
      <c r="I18" s="38"/>
      <c r="J18" s="56"/>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92 I4:I92">
    <cfRule type="cellIs" dxfId="24" priority="1" stopIfTrue="1" operator="lessThanOrEqual">
      <formula>-0.1</formula>
    </cfRule>
    <cfRule type="expression" dxfId="23"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4"/>
  <sheetViews>
    <sheetView zoomScale="80" zoomScaleNormal="80" workbookViewId="0">
      <pane xSplit="2" ySplit="3" topLeftCell="C14" activePane="bottomRight" state="frozen"/>
      <selection pane="bottomRight" activeCell="A18" sqref="A18:K19"/>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104</v>
      </c>
      <c r="E1" s="81"/>
      <c r="F1" s="81"/>
      <c r="G1" s="79" t="s">
        <v>105</v>
      </c>
      <c r="H1" s="79"/>
      <c r="I1" s="79"/>
      <c r="J1" s="4"/>
      <c r="K1" s="4"/>
    </row>
    <row r="2" spans="1:11" ht="19.5" customHeight="1">
      <c r="A2" s="82" t="s">
        <v>2</v>
      </c>
      <c r="B2" s="82"/>
      <c r="C2" s="5">
        <f>SUM(C4:C92)</f>
        <v>4345693.4693838647</v>
      </c>
      <c r="D2" s="5">
        <f>SUM(D4:D92)</f>
        <v>4743555.6400000006</v>
      </c>
      <c r="E2" s="5">
        <f>C2-D2</f>
        <v>-397862.17061613593</v>
      </c>
      <c r="F2" s="6">
        <f>IFERROR(E2/D2, 0)</f>
        <v>-8.3874249784521529E-2</v>
      </c>
      <c r="G2" s="5">
        <f>SUM(G4:G92)</f>
        <v>5825174.4200000009</v>
      </c>
      <c r="H2" s="7">
        <f>C2-G2</f>
        <v>-1479480.9506161362</v>
      </c>
      <c r="I2" s="6">
        <f>IFERROR(H2/G2, 0)</f>
        <v>-0.25398054100088835</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v>122127.25</v>
      </c>
      <c r="D4" s="35">
        <v>133315</v>
      </c>
      <c r="E4" s="35">
        <f>IF(AND(ISNUMBER(C4),ISNUMBER(D4)), C4-D4, "")</f>
        <v>-11187.75</v>
      </c>
      <c r="F4" s="36">
        <f>IFERROR(E4/D4, "")</f>
        <v>-8.3919663953793647E-2</v>
      </c>
      <c r="G4" s="37">
        <v>135560.29999999999</v>
      </c>
      <c r="H4" s="37">
        <f>IF(AND(ISNUMBER(C4),ISNUMBER(G4)), C4-G4, "")</f>
        <v>-13433.049999999988</v>
      </c>
      <c r="I4" s="38">
        <f>IFERROR(H4/G4, "")</f>
        <v>-9.9092802243724673E-2</v>
      </c>
      <c r="J4" s="68"/>
      <c r="K4" s="68"/>
    </row>
    <row r="5" spans="1:11" ht="15.75">
      <c r="A5" s="47" t="str">
        <v>Adelanto - 1 Sheep Creek Road</v>
      </c>
      <c r="B5" s="48" t="str">
        <v>CA</v>
      </c>
      <c r="C5" s="41">
        <v>445728</v>
      </c>
      <c r="D5" s="69">
        <v>347040</v>
      </c>
      <c r="E5" s="42">
        <f t="shared" ref="E5:E17" si="0">IF(AND(ISNUMBER(C5),ISNUMBER(D5)), C5-D5, "")</f>
        <v>98688</v>
      </c>
      <c r="F5" s="43">
        <f>IFERROR(E5/D5, "")</f>
        <v>0.28437067773167357</v>
      </c>
      <c r="G5" s="69">
        <v>1054180</v>
      </c>
      <c r="H5" s="44">
        <f t="shared" ref="H5:H17" si="1">IF(AND(ISNUMBER(C5),ISNUMBER(G5)), C5-G5, "")</f>
        <v>-608452</v>
      </c>
      <c r="I5" s="43">
        <f t="shared" ref="I5:I17" si="2">IFERROR(H5/G5, "")</f>
        <v>-0.57718036767914394</v>
      </c>
      <c r="J5" s="83" t="s">
        <v>106</v>
      </c>
      <c r="K5" s="84" t="s">
        <v>107</v>
      </c>
    </row>
    <row r="6" spans="1:11" ht="28.5">
      <c r="A6" s="49" t="str">
        <v>Blackstone - 83 Federal Street</v>
      </c>
      <c r="B6" s="46" t="str">
        <v>MA</v>
      </c>
      <c r="C6" s="34">
        <v>740225</v>
      </c>
      <c r="D6" s="35">
        <v>880901.4</v>
      </c>
      <c r="E6" s="35">
        <f t="shared" si="0"/>
        <v>-140676.40000000002</v>
      </c>
      <c r="F6" s="36">
        <f t="shared" ref="F6:F17" si="3">IFERROR(E6/D6, "")</f>
        <v>-0.15969596597303629</v>
      </c>
      <c r="G6" s="37">
        <v>856726.7</v>
      </c>
      <c r="H6" s="37">
        <f t="shared" si="1"/>
        <v>-116501.69999999995</v>
      </c>
      <c r="I6" s="38">
        <f t="shared" si="2"/>
        <v>-0.13598467282506774</v>
      </c>
      <c r="J6" s="68" t="s">
        <v>108</v>
      </c>
      <c r="K6" s="68" t="s">
        <v>109</v>
      </c>
    </row>
    <row r="7" spans="1:11" ht="15.75">
      <c r="A7" s="47" t="str">
        <v>Charlton - 299 Worcester Road</v>
      </c>
      <c r="B7" s="48" t="str">
        <v>MA</v>
      </c>
      <c r="C7" s="41">
        <v>69632.75</v>
      </c>
      <c r="D7" s="42">
        <v>74910.600000000006</v>
      </c>
      <c r="E7" s="42">
        <f t="shared" si="0"/>
        <v>-5277.8500000000058</v>
      </c>
      <c r="F7" s="43">
        <f t="shared" si="3"/>
        <v>-7.0455316070088952E-2</v>
      </c>
      <c r="G7" s="44">
        <v>65333.61</v>
      </c>
      <c r="H7" s="44">
        <f t="shared" si="1"/>
        <v>4299.1399999999994</v>
      </c>
      <c r="I7" s="43">
        <f t="shared" si="2"/>
        <v>6.5802884610233522E-2</v>
      </c>
      <c r="J7" s="83"/>
      <c r="K7" s="83"/>
    </row>
    <row r="8" spans="1:11" ht="15.75">
      <c r="A8" s="49" t="str">
        <v>Wareham - 8 Thatcher Drive</v>
      </c>
      <c r="B8" s="46" t="str">
        <v>MA</v>
      </c>
      <c r="C8" s="34">
        <v>21540.75</v>
      </c>
      <c r="D8" s="35">
        <v>22726.25</v>
      </c>
      <c r="E8" s="35">
        <f t="shared" si="0"/>
        <v>-1185.5</v>
      </c>
      <c r="F8" s="36">
        <f t="shared" si="3"/>
        <v>-5.2164347395632804E-2</v>
      </c>
      <c r="G8" s="37">
        <v>20397.27</v>
      </c>
      <c r="H8" s="37">
        <f t="shared" si="1"/>
        <v>1143.4799999999996</v>
      </c>
      <c r="I8" s="38">
        <f t="shared" si="2"/>
        <v>5.606044338286445E-2</v>
      </c>
      <c r="J8" s="68"/>
      <c r="K8" s="68"/>
    </row>
    <row r="9" spans="1:11" ht="15.75">
      <c r="A9" s="47" t="str">
        <v>West Yarmouth - 42 Mid Tech</v>
      </c>
      <c r="B9" s="48" t="str">
        <v>MA</v>
      </c>
      <c r="C9" s="41">
        <v>20724.215615020199</v>
      </c>
      <c r="D9" s="42">
        <v>23218.82</v>
      </c>
      <c r="E9" s="42">
        <f t="shared" si="0"/>
        <v>-2494.6043849798007</v>
      </c>
      <c r="F9" s="43">
        <f t="shared" si="3"/>
        <v>-0.10743889590340081</v>
      </c>
      <c r="G9" s="44">
        <v>22051.97</v>
      </c>
      <c r="H9" s="44">
        <f t="shared" si="1"/>
        <v>-1327.7543849798021</v>
      </c>
      <c r="I9" s="43">
        <f t="shared" si="2"/>
        <v>-6.0210239038952167E-2</v>
      </c>
      <c r="J9" s="83" t="s">
        <v>110</v>
      </c>
      <c r="K9" s="83" t="s">
        <v>111</v>
      </c>
    </row>
    <row r="10" spans="1:11" ht="15.75">
      <c r="A10" s="49" t="str">
        <v>Harrison - 130 Union Street</v>
      </c>
      <c r="B10" s="46" t="str">
        <v>NY</v>
      </c>
      <c r="C10" s="34">
        <v>32182.375</v>
      </c>
      <c r="D10" s="35">
        <v>34891.440000000002</v>
      </c>
      <c r="E10" s="35">
        <f t="shared" si="0"/>
        <v>-2709.0650000000023</v>
      </c>
      <c r="F10" s="36">
        <f t="shared" si="3"/>
        <v>-7.76426825605364E-2</v>
      </c>
      <c r="G10" s="37">
        <v>30709.08</v>
      </c>
      <c r="H10" s="37">
        <f t="shared" si="1"/>
        <v>1473.2949999999983</v>
      </c>
      <c r="I10" s="38">
        <f t="shared" si="2"/>
        <v>4.7975875539091307E-2</v>
      </c>
      <c r="J10" s="68"/>
      <c r="K10" s="68"/>
    </row>
    <row r="11" spans="1:11" ht="15.75">
      <c r="A11" s="47" t="str">
        <v>Staten Island - Ellis Storage</v>
      </c>
      <c r="B11" s="48" t="str">
        <v>NY</v>
      </c>
      <c r="C11" s="41">
        <v>71852.128768844297</v>
      </c>
      <c r="D11" s="42">
        <v>80309.73</v>
      </c>
      <c r="E11" s="42">
        <f t="shared" si="0"/>
        <v>-8457.6012311556988</v>
      </c>
      <c r="F11" s="43">
        <f t="shared" si="3"/>
        <v>-0.1053122857112793</v>
      </c>
      <c r="G11" s="44">
        <v>73454.19</v>
      </c>
      <c r="H11" s="44">
        <f t="shared" si="1"/>
        <v>-1602.0612311557052</v>
      </c>
      <c r="I11" s="43">
        <f t="shared" si="2"/>
        <v>-2.1810345075695549E-2</v>
      </c>
      <c r="J11" s="83" t="s">
        <v>112</v>
      </c>
      <c r="K11" s="83" t="s">
        <v>113</v>
      </c>
    </row>
    <row r="12" spans="1:11" ht="15.75">
      <c r="A12" s="49" t="str">
        <v>Amherst - 595 Scholles Road</v>
      </c>
      <c r="B12" s="46" t="str">
        <v>NY</v>
      </c>
      <c r="C12" s="34">
        <v>1032322</v>
      </c>
      <c r="D12" s="35">
        <v>1051076</v>
      </c>
      <c r="E12" s="35">
        <f t="shared" si="0"/>
        <v>-18754</v>
      </c>
      <c r="F12" s="36">
        <f t="shared" si="3"/>
        <v>-1.7842667894614663E-2</v>
      </c>
      <c r="G12" s="37">
        <v>1247310</v>
      </c>
      <c r="H12" s="37">
        <f t="shared" si="1"/>
        <v>-214988</v>
      </c>
      <c r="I12" s="38">
        <f t="shared" si="2"/>
        <v>-0.17236132156400574</v>
      </c>
      <c r="J12" s="68" t="s">
        <v>114</v>
      </c>
      <c r="K12" s="68" t="s">
        <v>115</v>
      </c>
    </row>
    <row r="13" spans="1:11" ht="15.75">
      <c r="A13" s="47" t="str">
        <v>Lancaster 1 - Gunnville Road</v>
      </c>
      <c r="B13" s="48" t="str">
        <v>NY</v>
      </c>
      <c r="C13" s="41">
        <v>676471</v>
      </c>
      <c r="D13" s="42">
        <v>819769</v>
      </c>
      <c r="E13" s="42">
        <f t="shared" si="0"/>
        <v>-143298</v>
      </c>
      <c r="F13" s="43">
        <f t="shared" si="3"/>
        <v>-0.1748029017930661</v>
      </c>
      <c r="G13" s="44">
        <v>898945</v>
      </c>
      <c r="H13" s="44">
        <f t="shared" si="1"/>
        <v>-222474</v>
      </c>
      <c r="I13" s="43">
        <f t="shared" si="2"/>
        <v>-0.24748343892006741</v>
      </c>
      <c r="J13" s="83" t="s">
        <v>116</v>
      </c>
      <c r="K13" s="83" t="s">
        <v>117</v>
      </c>
    </row>
    <row r="14" spans="1:11" ht="42.75">
      <c r="A14" s="49" t="str">
        <v>Lancaster 2 - Shisler Road</v>
      </c>
      <c r="B14" s="46" t="str">
        <v>NY</v>
      </c>
      <c r="C14" s="34">
        <v>706777</v>
      </c>
      <c r="D14" s="35">
        <v>858689</v>
      </c>
      <c r="E14" s="35">
        <f t="shared" si="0"/>
        <v>-151912</v>
      </c>
      <c r="F14" s="36">
        <f t="shared" si="3"/>
        <v>-0.17691154771983802</v>
      </c>
      <c r="G14" s="37">
        <v>985264</v>
      </c>
      <c r="H14" s="37">
        <f t="shared" si="1"/>
        <v>-278487</v>
      </c>
      <c r="I14" s="38">
        <f t="shared" si="2"/>
        <v>-0.28265216226310919</v>
      </c>
      <c r="J14" s="68" t="s">
        <v>118</v>
      </c>
      <c r="K14" s="68" t="s">
        <v>119</v>
      </c>
    </row>
    <row r="15" spans="1:11" ht="15.75">
      <c r="A15" s="47" t="str">
        <v>Fullerton - 200 W Orangethorpe</v>
      </c>
      <c r="B15" s="48" t="str">
        <v>CA</v>
      </c>
      <c r="C15" s="41">
        <v>122981</v>
      </c>
      <c r="D15" s="42">
        <v>128754</v>
      </c>
      <c r="E15" s="42">
        <f t="shared" si="0"/>
        <v>-5773</v>
      </c>
      <c r="F15" s="43">
        <f t="shared" si="3"/>
        <v>-4.4837441943551271E-2</v>
      </c>
      <c r="G15" s="44">
        <v>136870</v>
      </c>
      <c r="H15" s="44">
        <f t="shared" si="1"/>
        <v>-13889</v>
      </c>
      <c r="I15" s="43">
        <f t="shared" si="2"/>
        <v>-0.10147585299919631</v>
      </c>
      <c r="J15" s="83" t="s">
        <v>120</v>
      </c>
      <c r="K15" s="83" t="s">
        <v>121</v>
      </c>
    </row>
    <row r="16" spans="1:11" ht="15.75">
      <c r="A16" s="49" t="str">
        <v>El Paso - 10500 Railroad Drive</v>
      </c>
      <c r="B16" s="46" t="str">
        <v>TX</v>
      </c>
      <c r="C16" s="34">
        <v>158270</v>
      </c>
      <c r="D16" s="35">
        <v>157505.5</v>
      </c>
      <c r="E16" s="35">
        <f t="shared" si="0"/>
        <v>764.5</v>
      </c>
      <c r="F16" s="36">
        <f t="shared" si="3"/>
        <v>4.8537987562339091E-3</v>
      </c>
      <c r="G16" s="37">
        <v>154359.4</v>
      </c>
      <c r="H16" s="37">
        <f t="shared" si="1"/>
        <v>3910.6000000000058</v>
      </c>
      <c r="I16" s="38">
        <f t="shared" si="2"/>
        <v>2.5334381968315542E-2</v>
      </c>
      <c r="J16" s="68" t="s">
        <v>122</v>
      </c>
      <c r="K16" s="68" t="s">
        <v>91</v>
      </c>
    </row>
    <row r="17" spans="1:11" ht="15.75">
      <c r="A17" s="47" t="str">
        <v>Friona - 900 Millard Ave</v>
      </c>
      <c r="B17" s="48" t="str">
        <v>TX</v>
      </c>
      <c r="C17" s="41">
        <v>124860</v>
      </c>
      <c r="D17" s="42">
        <v>130448.9</v>
      </c>
      <c r="E17" s="42">
        <f t="shared" si="0"/>
        <v>-5588.8999999999942</v>
      </c>
      <c r="F17" s="43">
        <f t="shared" si="3"/>
        <v>-4.2843596228101535E-2</v>
      </c>
      <c r="G17" s="44">
        <v>144012.9</v>
      </c>
      <c r="H17" s="44">
        <f t="shared" si="1"/>
        <v>-19152.899999999994</v>
      </c>
      <c r="I17" s="43">
        <f t="shared" si="2"/>
        <v>-0.13299433592407342</v>
      </c>
      <c r="J17" s="83"/>
      <c r="K17" s="83"/>
    </row>
    <row r="18" spans="1:11" ht="15.75">
      <c r="A18" s="49" t="str">
        <v>Augusta - 13 York Farm Road</v>
      </c>
      <c r="B18" s="46" t="str">
        <v>ME</v>
      </c>
      <c r="C18" s="34"/>
      <c r="D18" s="35"/>
      <c r="E18" s="35"/>
      <c r="F18" s="36"/>
      <c r="G18" s="37"/>
      <c r="H18" s="37"/>
      <c r="I18" s="38"/>
      <c r="J18" s="56"/>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92 I4:I92">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4"/>
  <sheetViews>
    <sheetView zoomScale="70" zoomScaleNormal="70" workbookViewId="0">
      <pane xSplit="2" ySplit="3" topLeftCell="C4" activePane="bottomRight" state="frozen"/>
      <selection pane="bottomRight" activeCell="J4" sqref="J4:J15"/>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123</v>
      </c>
      <c r="E1" s="81"/>
      <c r="F1" s="81"/>
      <c r="G1" s="79" t="s">
        <v>124</v>
      </c>
      <c r="H1" s="79"/>
      <c r="I1" s="79"/>
      <c r="J1" s="4"/>
      <c r="K1" s="4"/>
    </row>
    <row r="2" spans="1:11" ht="19.5" customHeight="1">
      <c r="A2" s="82" t="s">
        <v>2</v>
      </c>
      <c r="B2" s="82"/>
      <c r="C2" s="5">
        <f>SUM(C4:C92)</f>
        <v>10168856.27424803</v>
      </c>
      <c r="D2" s="5">
        <f>SUM(D4:D92)</f>
        <v>4695360.0129999993</v>
      </c>
      <c r="E2" s="5">
        <f>C2-D2</f>
        <v>5473496.2612480307</v>
      </c>
      <c r="F2" s="6">
        <f>IFERROR(E2/D2, 0)</f>
        <v>1.1657245123044053</v>
      </c>
      <c r="G2" s="5">
        <f>SUM(G4:G92)</f>
        <v>5873579.602</v>
      </c>
      <c r="H2" s="7">
        <f>C2-G2</f>
        <v>4295276.6722480301</v>
      </c>
      <c r="I2" s="6">
        <f>IFERROR(H2/G2, 0)</f>
        <v>0.73128772627606076</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78" customHeight="1">
      <c r="A4" s="45" t="str" cm="1">
        <f t="array" ref="A4:A20">Sites[Site]</f>
        <v>Fresno - 3150 Shaw Ave</v>
      </c>
      <c r="B4" s="46" t="str" cm="1">
        <f t="array" ref="B4:B20">Sites[State]</f>
        <v>CA</v>
      </c>
      <c r="C4" s="34">
        <v>115895.75</v>
      </c>
      <c r="D4" s="35">
        <v>130968.02099999999</v>
      </c>
      <c r="E4" s="35">
        <f>IF(AND(ISNUMBER(C4),ISNUMBER(D4)), C4-D4, "")</f>
        <v>-15072.270999999993</v>
      </c>
      <c r="F4" s="36">
        <f>IFERROR(E4/D4, "")</f>
        <v>-0.11508359739206867</v>
      </c>
      <c r="G4" s="37">
        <v>131600.28899999999</v>
      </c>
      <c r="H4" s="37">
        <f>IF(AND(ISNUMBER(C4),ISNUMBER(G4)), C4-G4, "")</f>
        <v>-15704.53899999999</v>
      </c>
      <c r="I4" s="38">
        <f>IFERROR(H4/G4, "")</f>
        <v>-0.1193351406697898</v>
      </c>
      <c r="J4" s="55" t="s">
        <v>125</v>
      </c>
      <c r="K4" s="55" t="s">
        <v>126</v>
      </c>
    </row>
    <row r="5" spans="1:11" ht="42.75" customHeight="1">
      <c r="A5" s="47" t="str">
        <v>Adelanto - 1 Sheep Creek Road</v>
      </c>
      <c r="B5" s="48" t="str">
        <v>CA</v>
      </c>
      <c r="C5" s="41">
        <v>537972</v>
      </c>
      <c r="D5" s="42">
        <v>424045</v>
      </c>
      <c r="E5" s="42">
        <f t="shared" ref="E5:E17" si="0">IF(AND(ISNUMBER(C5),ISNUMBER(D5)), C5-D5, "")</f>
        <v>113927</v>
      </c>
      <c r="F5" s="43">
        <f>IFERROR(E5/D5, "")</f>
        <v>0.26866724050513507</v>
      </c>
      <c r="G5" s="44">
        <v>950229</v>
      </c>
      <c r="H5" s="44">
        <f t="shared" ref="H5:H17" si="1">IF(AND(ISNUMBER(C5),ISNUMBER(G5)), C5-G5, "")</f>
        <v>-412257</v>
      </c>
      <c r="I5" s="43">
        <f t="shared" ref="I5:I17" si="2">IFERROR(H5/G5, "")</f>
        <v>-0.43385015612026151</v>
      </c>
      <c r="J5" s="71" t="s">
        <v>127</v>
      </c>
      <c r="K5" s="56" t="s">
        <v>107</v>
      </c>
    </row>
    <row r="6" spans="1:11" ht="15.75">
      <c r="A6" s="49" t="str">
        <v>Blackstone - 83 Federal Street</v>
      </c>
      <c r="B6" s="46" t="str">
        <v>MA</v>
      </c>
      <c r="C6" s="34">
        <v>6510624</v>
      </c>
      <c r="D6" s="35">
        <v>790280.4</v>
      </c>
      <c r="E6" s="35">
        <f t="shared" si="0"/>
        <v>5720343.5999999996</v>
      </c>
      <c r="F6" s="36">
        <f t="shared" ref="F6:F17" si="3">IFERROR(E6/D6, "")</f>
        <v>7.2383721018514438</v>
      </c>
      <c r="G6" s="37">
        <v>914785.3</v>
      </c>
      <c r="H6" s="37">
        <f t="shared" si="1"/>
        <v>5595838.7000000002</v>
      </c>
      <c r="I6" s="38">
        <f t="shared" si="2"/>
        <v>6.1171060575634524</v>
      </c>
      <c r="J6" s="55" t="s">
        <v>128</v>
      </c>
      <c r="K6" s="55" t="s">
        <v>129</v>
      </c>
    </row>
    <row r="7" spans="1:11" ht="15.75">
      <c r="A7" s="47" t="str">
        <v>Charlton - 299 Worcester Road</v>
      </c>
      <c r="B7" s="48" t="str">
        <v>MA</v>
      </c>
      <c r="C7" s="41">
        <v>65183.75</v>
      </c>
      <c r="D7" s="42">
        <v>69391.77</v>
      </c>
      <c r="E7" s="42">
        <f t="shared" si="0"/>
        <v>-4208.0200000000041</v>
      </c>
      <c r="F7" s="43">
        <f t="shared" si="3"/>
        <v>-6.0641485294293598E-2</v>
      </c>
      <c r="G7" s="44">
        <v>67724.03</v>
      </c>
      <c r="H7" s="44">
        <f t="shared" si="1"/>
        <v>-2540.2799999999988</v>
      </c>
      <c r="I7" s="43">
        <f t="shared" si="2"/>
        <v>-3.7509285847283434E-2</v>
      </c>
      <c r="J7" s="56"/>
      <c r="K7" s="57"/>
    </row>
    <row r="8" spans="1:11" ht="15.75">
      <c r="A8" s="49" t="str">
        <v>Wareham - 8 Thatcher Drive</v>
      </c>
      <c r="B8" s="46" t="str">
        <v>MA</v>
      </c>
      <c r="C8" s="34">
        <v>19338</v>
      </c>
      <c r="D8" s="35">
        <v>20306.2</v>
      </c>
      <c r="E8" s="35">
        <f t="shared" si="0"/>
        <v>-968.20000000000073</v>
      </c>
      <c r="F8" s="36">
        <f t="shared" si="3"/>
        <v>-4.7680018910480577E-2</v>
      </c>
      <c r="G8" s="37">
        <v>20720.27</v>
      </c>
      <c r="H8" s="37">
        <f t="shared" si="1"/>
        <v>-1382.2700000000004</v>
      </c>
      <c r="I8" s="38">
        <f t="shared" si="2"/>
        <v>-6.6711003283258394E-2</v>
      </c>
      <c r="J8" s="55"/>
      <c r="K8" s="55"/>
    </row>
    <row r="9" spans="1:11" ht="15.75">
      <c r="A9" s="47" t="str">
        <v>West Yarmouth - 42 Mid Tech</v>
      </c>
      <c r="B9" s="48" t="str">
        <v>MA</v>
      </c>
      <c r="C9" s="41">
        <v>18250.461248030999</v>
      </c>
      <c r="D9" s="42">
        <v>19901.52</v>
      </c>
      <c r="E9" s="42">
        <f t="shared" si="0"/>
        <v>-1651.0587519690016</v>
      </c>
      <c r="F9" s="43">
        <f t="shared" si="3"/>
        <v>-8.2961439727669117E-2</v>
      </c>
      <c r="G9" s="44">
        <v>22751.73</v>
      </c>
      <c r="H9" s="44">
        <f t="shared" si="1"/>
        <v>-4501.2687519690007</v>
      </c>
      <c r="I9" s="43">
        <f t="shared" si="2"/>
        <v>-0.19784292236102488</v>
      </c>
      <c r="J9" s="56"/>
      <c r="K9" s="57"/>
    </row>
    <row r="10" spans="1:11" ht="15.75">
      <c r="A10" s="49" t="str">
        <v>Harrison - 130 Union Street</v>
      </c>
      <c r="B10" s="46" t="str">
        <v>NY</v>
      </c>
      <c r="C10" s="34">
        <v>29157</v>
      </c>
      <c r="D10" s="35">
        <v>32679.73</v>
      </c>
      <c r="E10" s="35">
        <f t="shared" si="0"/>
        <v>-3522.7299999999996</v>
      </c>
      <c r="F10" s="36">
        <f t="shared" si="3"/>
        <v>-0.10779556624243834</v>
      </c>
      <c r="G10" s="37">
        <v>32407.31</v>
      </c>
      <c r="H10" s="37">
        <f t="shared" si="1"/>
        <v>-3250.3100000000013</v>
      </c>
      <c r="I10" s="38">
        <f t="shared" si="2"/>
        <v>-0.10029558145986202</v>
      </c>
      <c r="J10" s="55" t="s">
        <v>130</v>
      </c>
      <c r="K10" s="55" t="s">
        <v>131</v>
      </c>
    </row>
    <row r="11" spans="1:11" ht="15.75">
      <c r="A11" s="47" t="str">
        <v>Staten Island - Ellis Storage</v>
      </c>
      <c r="B11" s="48" t="str">
        <v>NY</v>
      </c>
      <c r="C11" s="41">
        <v>68730.75</v>
      </c>
      <c r="D11" s="42">
        <v>75949.179999999993</v>
      </c>
      <c r="E11" s="42">
        <f t="shared" si="0"/>
        <v>-7218.429999999993</v>
      </c>
      <c r="F11" s="43">
        <f t="shared" si="3"/>
        <v>-9.5042895788999882E-2</v>
      </c>
      <c r="G11" s="44">
        <v>73790.259999999995</v>
      </c>
      <c r="H11" s="44">
        <f t="shared" si="1"/>
        <v>-5059.5099999999948</v>
      </c>
      <c r="I11" s="43">
        <f t="shared" si="2"/>
        <v>-6.8566095308513555E-2</v>
      </c>
      <c r="J11" s="56" t="s">
        <v>132</v>
      </c>
      <c r="K11" s="57" t="s">
        <v>133</v>
      </c>
    </row>
    <row r="12" spans="1:11" ht="15.75">
      <c r="A12" s="49" t="str">
        <v>Amherst - 595 Scholles Road</v>
      </c>
      <c r="B12" s="46" t="str">
        <v>NY</v>
      </c>
      <c r="C12" s="34">
        <v>1215073</v>
      </c>
      <c r="D12" s="35">
        <v>1252059</v>
      </c>
      <c r="E12" s="35">
        <f t="shared" si="0"/>
        <v>-36986</v>
      </c>
      <c r="F12" s="36">
        <f t="shared" si="3"/>
        <v>-2.9540141478955863E-2</v>
      </c>
      <c r="G12" s="37">
        <v>1284779</v>
      </c>
      <c r="H12" s="37">
        <f t="shared" si="1"/>
        <v>-69706</v>
      </c>
      <c r="I12" s="38">
        <f t="shared" si="2"/>
        <v>-5.4255245454665743E-2</v>
      </c>
      <c r="J12" s="55"/>
      <c r="K12" s="55"/>
    </row>
    <row r="13" spans="1:11" ht="28.5">
      <c r="A13" s="47" t="str">
        <v>Lancaster 1 - Gunnville Road</v>
      </c>
      <c r="B13" s="48" t="str">
        <v>NY</v>
      </c>
      <c r="C13" s="41">
        <v>603967</v>
      </c>
      <c r="D13" s="42">
        <v>719584.66</v>
      </c>
      <c r="E13" s="42">
        <f t="shared" si="0"/>
        <v>-115617.66000000003</v>
      </c>
      <c r="F13" s="43">
        <f t="shared" si="3"/>
        <v>-0.16067276920550255</v>
      </c>
      <c r="G13" s="44">
        <v>922070.49</v>
      </c>
      <c r="H13" s="44">
        <f t="shared" si="1"/>
        <v>-318103.49</v>
      </c>
      <c r="I13" s="43">
        <f t="shared" si="2"/>
        <v>-0.34498825572435354</v>
      </c>
      <c r="J13" s="56" t="s">
        <v>134</v>
      </c>
      <c r="K13" s="70" t="s">
        <v>135</v>
      </c>
    </row>
    <row r="14" spans="1:11" ht="57">
      <c r="A14" s="49" t="str">
        <v>Lancaster 2 - Shisler Road</v>
      </c>
      <c r="B14" s="46" t="str">
        <v>NY</v>
      </c>
      <c r="C14" s="34">
        <v>565331</v>
      </c>
      <c r="D14" s="35">
        <v>718700.59900000005</v>
      </c>
      <c r="E14" s="35">
        <f>IF(AND(ISNUMBER(C14),ISNUMBER(D14)), C14-D14, "")</f>
        <v>-153369.59900000005</v>
      </c>
      <c r="F14" s="36">
        <f t="shared" si="3"/>
        <v>-0.21339845717868955</v>
      </c>
      <c r="G14" s="37">
        <v>1010220.65</v>
      </c>
      <c r="H14" s="37">
        <f>IF(AND(ISNUMBER(C14),ISNUMBER(G14)), C14-G14, "")</f>
        <v>-444889.65</v>
      </c>
      <c r="I14" s="38">
        <f t="shared" si="2"/>
        <v>-0.44038859233376393</v>
      </c>
      <c r="J14" s="55" t="s">
        <v>136</v>
      </c>
      <c r="K14" s="55" t="s">
        <v>137</v>
      </c>
    </row>
    <row r="15" spans="1:11" ht="15.75">
      <c r="A15" s="47" t="str">
        <v>Fullerton - 200 W Orangethorpe</v>
      </c>
      <c r="B15" s="48" t="str">
        <v>CA</v>
      </c>
      <c r="C15" s="41">
        <v>125670.81299999999</v>
      </c>
      <c r="D15" s="42">
        <v>140511.83300000001</v>
      </c>
      <c r="E15" s="67">
        <f>IF(AND(ISNUMBER(C15),ISNUMBER(D15)), C15-D15, "")</f>
        <v>-14841.020000000019</v>
      </c>
      <c r="F15" s="43">
        <f t="shared" si="3"/>
        <v>-0.10562114010711124</v>
      </c>
      <c r="G15" s="44">
        <v>145309.17300000001</v>
      </c>
      <c r="H15" s="67">
        <f>IF(AND(ISNUMBER(C15),ISNUMBER(G15)), C15-G15, "")</f>
        <v>-19638.360000000015</v>
      </c>
      <c r="I15" s="43">
        <f t="shared" si="2"/>
        <v>-0.13514879752292042</v>
      </c>
      <c r="J15" s="56"/>
      <c r="K15" s="57"/>
    </row>
    <row r="16" spans="1:11" ht="15.75">
      <c r="A16" s="49" t="str">
        <v>El Paso - 10500 Railroad Drive</v>
      </c>
      <c r="B16" s="46" t="str">
        <v>TX</v>
      </c>
      <c r="C16" s="34">
        <v>161467.25</v>
      </c>
      <c r="D16" s="35">
        <v>159590.29999999999</v>
      </c>
      <c r="E16" s="35">
        <f t="shared" si="0"/>
        <v>1876.9500000000116</v>
      </c>
      <c r="F16" s="36">
        <f t="shared" si="3"/>
        <v>1.1761053146713878E-2</v>
      </c>
      <c r="G16" s="37">
        <v>152764.1</v>
      </c>
      <c r="H16" s="37">
        <f t="shared" si="1"/>
        <v>8703.1499999999942</v>
      </c>
      <c r="I16" s="38">
        <f t="shared" si="2"/>
        <v>5.6971173201033447E-2</v>
      </c>
      <c r="J16" s="55" t="s">
        <v>138</v>
      </c>
      <c r="K16" s="55" t="s">
        <v>139</v>
      </c>
    </row>
    <row r="17" spans="1:11" ht="31.5">
      <c r="A17" s="47" t="str">
        <v>Friona - 900 Millard Ave</v>
      </c>
      <c r="B17" s="48" t="str">
        <v>TX</v>
      </c>
      <c r="C17" s="41">
        <v>132195.5</v>
      </c>
      <c r="D17" s="42">
        <v>141391.79999999999</v>
      </c>
      <c r="E17" s="42">
        <f t="shared" si="0"/>
        <v>-9196.2999999999884</v>
      </c>
      <c r="F17" s="43">
        <f t="shared" si="3"/>
        <v>-6.5041254160425069E-2</v>
      </c>
      <c r="G17" s="44">
        <v>144428</v>
      </c>
      <c r="H17" s="44">
        <f t="shared" si="1"/>
        <v>-12232.5</v>
      </c>
      <c r="I17" s="43">
        <f t="shared" si="2"/>
        <v>-8.4696180795967538E-2</v>
      </c>
      <c r="J17" s="56" t="s">
        <v>140</v>
      </c>
      <c r="K17" s="70" t="s">
        <v>141</v>
      </c>
    </row>
    <row r="18" spans="1:11" ht="15.75">
      <c r="A18" s="49" t="str">
        <v>Augusta - 13 York Farm Road</v>
      </c>
      <c r="B18" s="46" t="str">
        <v>ME</v>
      </c>
      <c r="C18" s="34"/>
      <c r="D18" s="35"/>
      <c r="E18" s="35"/>
      <c r="F18" s="36"/>
      <c r="G18" s="37"/>
      <c r="H18" s="37"/>
      <c r="I18" s="38"/>
      <c r="J18" s="56"/>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92 I4:I92">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bottomRight" activeCell="D23" sqref="D23"/>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142</v>
      </c>
      <c r="E1" s="81"/>
      <c r="F1" s="81"/>
      <c r="G1" s="79" t="s">
        <v>143</v>
      </c>
      <c r="H1" s="79"/>
      <c r="I1" s="79"/>
      <c r="J1" s="4"/>
      <c r="K1" s="4"/>
    </row>
    <row r="2" spans="1:11" ht="19.5" customHeight="1">
      <c r="A2" s="82" t="s">
        <v>2</v>
      </c>
      <c r="B2" s="82"/>
      <c r="C2" s="5">
        <f>SUM(C4:C92)</f>
        <v>10206865.794007892</v>
      </c>
      <c r="D2" s="5">
        <f>SUM(D4:D92)</f>
        <v>4550188.7919999994</v>
      </c>
      <c r="E2" s="5">
        <f>C2-D2</f>
        <v>5656677.0020078924</v>
      </c>
      <c r="F2" s="6">
        <f>IFERROR(E2/D2, 0)</f>
        <v>1.2431741320169585</v>
      </c>
      <c r="G2" s="5">
        <f>SUM(G4:G92)</f>
        <v>5433447.1409999998</v>
      </c>
      <c r="H2" s="7">
        <f>C2-G2</f>
        <v>4773418.653007892</v>
      </c>
      <c r="I2" s="6">
        <f>IFERROR(H2/G2, 0)</f>
        <v>0.87852490861434374</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v>118176.875</v>
      </c>
      <c r="D4" s="35">
        <v>123432.136</v>
      </c>
      <c r="E4" s="35">
        <f>IF(AND(ISNUMBER(C4),ISNUMBER(D4)), C4-D4, "")</f>
        <v>-5255.2609999999986</v>
      </c>
      <c r="F4" s="36">
        <f>IFERROR(E4/D4, "")</f>
        <v>-4.2576116482339728E-2</v>
      </c>
      <c r="G4" s="37">
        <v>127023.46400000001</v>
      </c>
      <c r="H4" s="37">
        <f>IF(AND(ISNUMBER(C4),ISNUMBER(G4)), C4-G4, "")</f>
        <v>-8846.5890000000072</v>
      </c>
      <c r="I4" s="38">
        <f>IFERROR(H4/G4, "")</f>
        <v>-6.9645313719361376E-2</v>
      </c>
      <c r="J4" s="55" t="s">
        <v>144</v>
      </c>
      <c r="K4" s="55" t="s">
        <v>145</v>
      </c>
    </row>
    <row r="5" spans="1:11" ht="42.75">
      <c r="A5" s="47" t="str">
        <v>Adelanto - 1 Sheep Creek Road</v>
      </c>
      <c r="B5" s="48" t="str">
        <v>CA</v>
      </c>
      <c r="C5" s="41">
        <v>896073</v>
      </c>
      <c r="D5" s="42">
        <v>594050.18000000005</v>
      </c>
      <c r="E5" s="42">
        <f t="shared" ref="E5:E17" si="0">IF(AND(ISNUMBER(C5),ISNUMBER(D5)), C5-D5, "")</f>
        <v>302022.81999999995</v>
      </c>
      <c r="F5" s="43">
        <f>IFERROR(E5/D5, "")</f>
        <v>0.50841297615632386</v>
      </c>
      <c r="G5" s="44">
        <v>907237.63</v>
      </c>
      <c r="H5" s="44">
        <f t="shared" ref="H5:H17" si="1">IF(AND(ISNUMBER(C5),ISNUMBER(G5)), C5-G5, "")</f>
        <v>-11164.630000000005</v>
      </c>
      <c r="I5" s="43">
        <f t="shared" ref="I5:I17" si="2">IFERROR(H5/G5, "")</f>
        <v>-1.2306180465640523E-2</v>
      </c>
      <c r="J5" s="56" t="s">
        <v>146</v>
      </c>
      <c r="K5" s="71" t="s">
        <v>147</v>
      </c>
    </row>
    <row r="6" spans="1:11" ht="15.75">
      <c r="A6" s="49" t="str">
        <v>Blackstone - 83 Federal Street</v>
      </c>
      <c r="B6" s="46" t="str">
        <v>MA</v>
      </c>
      <c r="C6" s="34">
        <v>6508477</v>
      </c>
      <c r="D6" s="35">
        <v>751944.1</v>
      </c>
      <c r="E6" s="35">
        <f t="shared" si="0"/>
        <v>5756532.9000000004</v>
      </c>
      <c r="F6" s="36">
        <f t="shared" ref="F6:F17" si="3">IFERROR(E6/D6, "")</f>
        <v>7.6555330376287287</v>
      </c>
      <c r="G6" s="37">
        <v>867226</v>
      </c>
      <c r="H6" s="37">
        <f t="shared" si="1"/>
        <v>5641251</v>
      </c>
      <c r="I6" s="38">
        <f t="shared" si="2"/>
        <v>6.5049375825909275</v>
      </c>
      <c r="J6" s="55" t="s">
        <v>148</v>
      </c>
      <c r="K6" s="55" t="s">
        <v>149</v>
      </c>
    </row>
    <row r="7" spans="1:11" ht="15.75">
      <c r="A7" s="47" t="str">
        <v>Charlton - 299 Worcester Road</v>
      </c>
      <c r="B7" s="48" t="str">
        <v>MA</v>
      </c>
      <c r="C7" s="41">
        <v>58878.25</v>
      </c>
      <c r="D7" s="42">
        <v>62942.85</v>
      </c>
      <c r="E7" s="42">
        <f t="shared" si="0"/>
        <v>-4064.5999999999985</v>
      </c>
      <c r="F7" s="43">
        <f t="shared" si="3"/>
        <v>-6.4576040010898755E-2</v>
      </c>
      <c r="G7" s="44">
        <v>65777.84</v>
      </c>
      <c r="H7" s="44">
        <f t="shared" si="1"/>
        <v>-6899.5899999999965</v>
      </c>
      <c r="I7" s="43">
        <f t="shared" si="2"/>
        <v>-0.10489231631807912</v>
      </c>
      <c r="J7" s="56" t="s">
        <v>150</v>
      </c>
      <c r="K7" s="56" t="s">
        <v>151</v>
      </c>
    </row>
    <row r="8" spans="1:11" ht="15.75">
      <c r="A8" s="49" t="str">
        <v>Wareham - 8 Thatcher Drive</v>
      </c>
      <c r="B8" s="46" t="str">
        <v>MA</v>
      </c>
      <c r="C8" s="34">
        <v>18908.75</v>
      </c>
      <c r="D8" s="35">
        <v>19888.560000000001</v>
      </c>
      <c r="E8" s="35">
        <f t="shared" si="0"/>
        <v>-979.81000000000131</v>
      </c>
      <c r="F8" s="36">
        <f t="shared" si="3"/>
        <v>-4.9265004605662813E-2</v>
      </c>
      <c r="G8" s="37">
        <v>19571.71</v>
      </c>
      <c r="H8" s="37">
        <f t="shared" si="1"/>
        <v>-662.95999999999913</v>
      </c>
      <c r="I8" s="38">
        <f t="shared" si="2"/>
        <v>-3.3873381528747318E-2</v>
      </c>
      <c r="J8" s="55"/>
      <c r="K8" s="55"/>
    </row>
    <row r="9" spans="1:11" ht="15.75">
      <c r="A9" s="47" t="str">
        <v>West Yarmouth - 42 Mid Tech</v>
      </c>
      <c r="B9" s="48" t="str">
        <v>MA</v>
      </c>
      <c r="C9" s="41">
        <v>17724.5435078923</v>
      </c>
      <c r="D9" s="42">
        <v>17631.990000000002</v>
      </c>
      <c r="E9" s="42">
        <f t="shared" si="0"/>
        <v>92.553507892298512</v>
      </c>
      <c r="F9" s="43">
        <f t="shared" si="3"/>
        <v>5.2491810562675283E-3</v>
      </c>
      <c r="G9" s="44">
        <v>20351.46</v>
      </c>
      <c r="H9" s="44">
        <f t="shared" si="1"/>
        <v>-2626.916492107699</v>
      </c>
      <c r="I9" s="43">
        <f t="shared" si="2"/>
        <v>-0.12907754490870429</v>
      </c>
      <c r="J9" s="56"/>
      <c r="K9" s="57"/>
    </row>
    <row r="10" spans="1:11" ht="15.75">
      <c r="A10" s="49" t="str">
        <v>Harrison - 130 Union Street</v>
      </c>
      <c r="B10" s="46" t="str">
        <v>NY</v>
      </c>
      <c r="C10" s="34">
        <v>25807.4375</v>
      </c>
      <c r="D10" s="35">
        <v>28003.88</v>
      </c>
      <c r="E10" s="35">
        <f t="shared" si="0"/>
        <v>-2196.442500000001</v>
      </c>
      <c r="F10" s="36">
        <f t="shared" si="3"/>
        <v>-7.8433506356976282E-2</v>
      </c>
      <c r="G10" s="37">
        <v>28652.639999999999</v>
      </c>
      <c r="H10" s="37">
        <f t="shared" si="1"/>
        <v>-2845.2024999999994</v>
      </c>
      <c r="I10" s="38">
        <f t="shared" si="2"/>
        <v>-9.9299837641487823E-2</v>
      </c>
      <c r="J10" s="55"/>
      <c r="K10" s="55"/>
    </row>
    <row r="11" spans="1:11" ht="31.5">
      <c r="A11" s="47" t="str">
        <v>Staten Island - Ellis Storage</v>
      </c>
      <c r="B11" s="48" t="str">
        <v>NY</v>
      </c>
      <c r="C11" s="41">
        <v>57841.375</v>
      </c>
      <c r="D11" s="42">
        <v>65548.179999999993</v>
      </c>
      <c r="E11" s="42">
        <f t="shared" si="0"/>
        <v>-7706.804999999993</v>
      </c>
      <c r="F11" s="43">
        <f t="shared" si="3"/>
        <v>-0.11757466034907443</v>
      </c>
      <c r="G11" s="44">
        <v>63963.51</v>
      </c>
      <c r="H11" s="44">
        <f t="shared" si="1"/>
        <v>-6122.135000000002</v>
      </c>
      <c r="I11" s="43">
        <f t="shared" si="2"/>
        <v>-9.5712930700644822E-2</v>
      </c>
      <c r="J11" s="56" t="s">
        <v>152</v>
      </c>
      <c r="K11" s="57" t="s">
        <v>153</v>
      </c>
    </row>
    <row r="12" spans="1:11" ht="15.75">
      <c r="A12" s="49" t="str">
        <v>Amherst - 595 Scholles Road</v>
      </c>
      <c r="B12" s="46" t="str">
        <v>NY</v>
      </c>
      <c r="C12" s="34">
        <v>914981</v>
      </c>
      <c r="D12" s="35">
        <v>945249.87</v>
      </c>
      <c r="E12" s="35">
        <f t="shared" si="0"/>
        <v>-30268.869999999995</v>
      </c>
      <c r="F12" s="36">
        <f t="shared" si="3"/>
        <v>-3.2022083219117495E-2</v>
      </c>
      <c r="G12" s="37">
        <v>1107868</v>
      </c>
      <c r="H12" s="37">
        <f t="shared" si="1"/>
        <v>-192887</v>
      </c>
      <c r="I12" s="38">
        <f t="shared" si="2"/>
        <v>-0.17410648199966061</v>
      </c>
      <c r="J12" s="55" t="s">
        <v>154</v>
      </c>
      <c r="K12" s="55" t="s">
        <v>155</v>
      </c>
    </row>
    <row r="13" spans="1:11" ht="15.75">
      <c r="A13" s="47" t="str">
        <v>Lancaster 1 - Gunnville Road</v>
      </c>
      <c r="B13" s="48" t="str">
        <v>NY</v>
      </c>
      <c r="C13" s="41">
        <v>633199</v>
      </c>
      <c r="D13" s="42">
        <v>793351.61600000004</v>
      </c>
      <c r="E13" s="42">
        <f t="shared" si="0"/>
        <v>-160152.61600000004</v>
      </c>
      <c r="F13" s="43">
        <f t="shared" si="3"/>
        <v>-0.20186839324469219</v>
      </c>
      <c r="G13" s="44">
        <v>858359.02</v>
      </c>
      <c r="H13" s="44">
        <f t="shared" si="1"/>
        <v>-225160.02000000002</v>
      </c>
      <c r="I13" s="43">
        <f t="shared" si="2"/>
        <v>-0.26231450331820361</v>
      </c>
      <c r="J13" s="56" t="s">
        <v>156</v>
      </c>
      <c r="K13" s="56" t="s">
        <v>157</v>
      </c>
    </row>
    <row r="14" spans="1:11" ht="42.75">
      <c r="A14" s="49" t="str">
        <v>Lancaster 2 - Shisler Road</v>
      </c>
      <c r="B14" s="46" t="str">
        <v>NY</v>
      </c>
      <c r="C14" s="34">
        <v>705750</v>
      </c>
      <c r="D14" s="35">
        <v>876216.32499999995</v>
      </c>
      <c r="E14" s="35">
        <f t="shared" si="0"/>
        <v>-170466.32499999995</v>
      </c>
      <c r="F14" s="36">
        <f t="shared" si="3"/>
        <v>-0.19454821844365883</v>
      </c>
      <c r="G14" s="37">
        <v>941132.53</v>
      </c>
      <c r="H14" s="37">
        <f t="shared" si="1"/>
        <v>-235382.53000000003</v>
      </c>
      <c r="I14" s="38">
        <f t="shared" si="2"/>
        <v>-0.25010561477457383</v>
      </c>
      <c r="J14" s="55" t="s">
        <v>158</v>
      </c>
      <c r="K14" s="55" t="s">
        <v>159</v>
      </c>
    </row>
    <row r="15" spans="1:11" ht="15.75">
      <c r="A15" s="47" t="str">
        <v>Fullerton - 200 W Orangethorpe</v>
      </c>
      <c r="B15" s="48" t="str">
        <v>CA</v>
      </c>
      <c r="C15" s="41">
        <v>136080.18799999999</v>
      </c>
      <c r="D15" s="42">
        <v>130392.36500000001</v>
      </c>
      <c r="E15" s="42">
        <f t="shared" si="0"/>
        <v>5687.8229999999894</v>
      </c>
      <c r="F15" s="43">
        <f t="shared" si="3"/>
        <v>4.3620828566151008E-2</v>
      </c>
      <c r="G15" s="44">
        <v>140568.93700000001</v>
      </c>
      <c r="H15" s="44">
        <f t="shared" si="1"/>
        <v>-4488.7490000000107</v>
      </c>
      <c r="I15" s="43">
        <f t="shared" si="2"/>
        <v>-3.1932723514868797E-2</v>
      </c>
      <c r="J15" s="56" t="s">
        <v>160</v>
      </c>
      <c r="K15" s="57" t="s">
        <v>161</v>
      </c>
    </row>
    <row r="16" spans="1:11" ht="28.5">
      <c r="A16" s="49" t="str">
        <v>El Paso - 10500 Railroad Drive</v>
      </c>
      <c r="B16" s="46" t="str">
        <v>TX</v>
      </c>
      <c r="C16" s="34">
        <v>65442.75</v>
      </c>
      <c r="D16" s="35">
        <v>71995.97</v>
      </c>
      <c r="E16" s="35">
        <f t="shared" si="0"/>
        <v>-6553.2200000000012</v>
      </c>
      <c r="F16" s="36">
        <f t="shared" si="3"/>
        <v>-9.1022039150246897E-2</v>
      </c>
      <c r="G16" s="37">
        <v>151100.70000000001</v>
      </c>
      <c r="H16" s="37">
        <f t="shared" si="1"/>
        <v>-85657.950000000012</v>
      </c>
      <c r="I16" s="38">
        <f t="shared" si="2"/>
        <v>-0.56689313815223885</v>
      </c>
      <c r="J16" s="55" t="s">
        <v>162</v>
      </c>
      <c r="K16" s="55" t="s">
        <v>163</v>
      </c>
    </row>
    <row r="17" spans="1:11" ht="57">
      <c r="A17" s="47" t="str">
        <v>Friona - 900 Millard Ave</v>
      </c>
      <c r="B17" s="48" t="str">
        <v>TX</v>
      </c>
      <c r="C17" s="41">
        <v>49525.625</v>
      </c>
      <c r="D17" s="42">
        <v>69540.77</v>
      </c>
      <c r="E17" s="42">
        <f t="shared" si="0"/>
        <v>-20015.145000000004</v>
      </c>
      <c r="F17" s="43">
        <f t="shared" si="3"/>
        <v>-0.28781885791601103</v>
      </c>
      <c r="G17" s="44">
        <v>134613.70000000001</v>
      </c>
      <c r="H17" s="44">
        <f t="shared" si="1"/>
        <v>-85088.075000000012</v>
      </c>
      <c r="I17" s="43">
        <f t="shared" si="2"/>
        <v>-0.63209075302142359</v>
      </c>
      <c r="J17" s="56" t="s">
        <v>164</v>
      </c>
      <c r="K17" s="56" t="s">
        <v>165</v>
      </c>
    </row>
    <row r="18" spans="1:11" ht="15.75">
      <c r="A18" s="49" t="str">
        <v>Augusta - 13 York Farm Road</v>
      </c>
      <c r="B18" s="46" t="str">
        <v>ME</v>
      </c>
      <c r="C18" s="34"/>
      <c r="D18" s="35"/>
      <c r="E18" s="35"/>
      <c r="F18" s="36"/>
      <c r="G18" s="37"/>
      <c r="H18" s="37"/>
      <c r="I18" s="38"/>
      <c r="J18" s="56"/>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92 I4:I92">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22" activePane="bottomRight" state="frozen"/>
      <selection pane="bottomRight" activeCell="A22" sqref="A22"/>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166</v>
      </c>
      <c r="E1" s="81"/>
      <c r="F1" s="81"/>
      <c r="G1" s="79" t="s">
        <v>167</v>
      </c>
      <c r="H1" s="79"/>
      <c r="I1" s="79"/>
      <c r="J1" s="4"/>
      <c r="K1" s="4"/>
    </row>
    <row r="2" spans="1:11" ht="19.5" customHeight="1">
      <c r="A2" s="82" t="s">
        <v>2</v>
      </c>
      <c r="B2" s="82"/>
      <c r="C2" s="5">
        <f>SUM(C4:C92)</f>
        <v>4180651.2964487835</v>
      </c>
      <c r="D2" s="5">
        <f>SUM(D4:D92)</f>
        <v>4092866.76</v>
      </c>
      <c r="E2" s="5">
        <f>C2-D2</f>
        <v>87784.536448783707</v>
      </c>
      <c r="F2" s="6">
        <f>IFERROR(E2/D2, 0)</f>
        <v>2.1448178403145408E-2</v>
      </c>
      <c r="G2" s="5">
        <f>SUM(G4:G92)</f>
        <v>4784308.3199999994</v>
      </c>
      <c r="H2" s="7">
        <f>C2-G2</f>
        <v>-603657.02355121588</v>
      </c>
      <c r="I2" s="6">
        <f>IFERROR(H2/G2, 0)</f>
        <v>-0.12617435649532219</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v>93263.125</v>
      </c>
      <c r="D4" s="35">
        <v>101725.6</v>
      </c>
      <c r="E4" s="35">
        <f>IF(AND(ISNUMBER(C4),ISNUMBER(D4)), C4-D4, "")</f>
        <v>-8462.4750000000058</v>
      </c>
      <c r="F4" s="36">
        <f>IFERROR(E4/D4, "")</f>
        <v>-8.3189236534363081E-2</v>
      </c>
      <c r="G4" s="37">
        <v>98276.84</v>
      </c>
      <c r="H4" s="37">
        <f>IF(AND(ISNUMBER(C4),ISNUMBER(G4)), C4-G4, "")</f>
        <v>-5013.7149999999965</v>
      </c>
      <c r="I4" s="38">
        <f>IFERROR(H4/G4, "")</f>
        <v>-5.1016241466453303E-2</v>
      </c>
      <c r="J4" s="55"/>
      <c r="K4" s="55"/>
    </row>
    <row r="5" spans="1:11" ht="28.5">
      <c r="A5" s="47" t="str">
        <v>Adelanto - 1 Sheep Creek Road</v>
      </c>
      <c r="B5" s="48" t="str">
        <v>CA</v>
      </c>
      <c r="C5" s="74">
        <v>680170</v>
      </c>
      <c r="D5" s="42">
        <v>443011.6</v>
      </c>
      <c r="E5" s="42">
        <f t="shared" ref="E5:E19" si="0">IF(AND(ISNUMBER(C5),ISNUMBER(D5)), C5-D5, "")</f>
        <v>237158.40000000002</v>
      </c>
      <c r="F5" s="43">
        <f>IFERROR(E5/D5, "")</f>
        <v>0.53533225766548787</v>
      </c>
      <c r="G5" s="44">
        <v>757363.37</v>
      </c>
      <c r="H5" s="44">
        <f t="shared" ref="H5:H19" si="1">IF(AND(ISNUMBER(C5),ISNUMBER(G5)), C5-G5, "")</f>
        <v>-77193.37</v>
      </c>
      <c r="I5" s="43">
        <f t="shared" ref="I5:I19" si="2">IFERROR(H5/G5, "")</f>
        <v>-0.10192382290683004</v>
      </c>
      <c r="J5" s="56" t="s">
        <v>168</v>
      </c>
      <c r="K5" s="71" t="s">
        <v>169</v>
      </c>
    </row>
    <row r="6" spans="1:11" ht="15.75">
      <c r="A6" s="49" t="str">
        <v>Blackstone - 83 Federal Street</v>
      </c>
      <c r="B6" s="46" t="str">
        <v>MA</v>
      </c>
      <c r="C6" s="34">
        <v>559361.9</v>
      </c>
      <c r="D6" s="35">
        <v>616528</v>
      </c>
      <c r="E6" s="35">
        <f t="shared" si="0"/>
        <v>-57166.099999999977</v>
      </c>
      <c r="F6" s="36">
        <f t="shared" ref="F6:F19" si="3">IFERROR(E6/D6, "")</f>
        <v>-9.2722633846313518E-2</v>
      </c>
      <c r="G6" s="37">
        <v>742783.4</v>
      </c>
      <c r="H6" s="37">
        <f t="shared" si="1"/>
        <v>-183421.5</v>
      </c>
      <c r="I6" s="38">
        <f t="shared" si="2"/>
        <v>-0.24693807104466792</v>
      </c>
      <c r="J6" s="55" t="s">
        <v>170</v>
      </c>
      <c r="K6" s="55" t="s">
        <v>171</v>
      </c>
    </row>
    <row r="7" spans="1:11" ht="15.75">
      <c r="A7" s="47" t="str">
        <v>Charlton - 299 Worcester Road</v>
      </c>
      <c r="B7" s="48" t="str">
        <v>MA</v>
      </c>
      <c r="C7" s="41">
        <v>53827.25</v>
      </c>
      <c r="D7" s="42">
        <v>55606.2</v>
      </c>
      <c r="E7" s="42">
        <f t="shared" si="0"/>
        <v>-1778.9499999999971</v>
      </c>
      <c r="F7" s="43">
        <f t="shared" si="3"/>
        <v>-3.1991936151004693E-2</v>
      </c>
      <c r="G7" s="44">
        <v>60303.31</v>
      </c>
      <c r="H7" s="44">
        <f t="shared" si="1"/>
        <v>-6476.0599999999977</v>
      </c>
      <c r="I7" s="43">
        <f t="shared" si="2"/>
        <v>-0.10739145164668404</v>
      </c>
      <c r="J7" s="56"/>
      <c r="K7" s="57"/>
    </row>
    <row r="8" spans="1:11" ht="15.75">
      <c r="A8" s="49" t="str">
        <v>Wareham - 8 Thatcher Drive</v>
      </c>
      <c r="B8" s="46" t="str">
        <v>MA</v>
      </c>
      <c r="C8" s="34">
        <v>15016.4375</v>
      </c>
      <c r="D8" s="35">
        <v>15825.81</v>
      </c>
      <c r="E8" s="35">
        <f t="shared" si="0"/>
        <v>-809.37249999999949</v>
      </c>
      <c r="F8" s="36">
        <f t="shared" si="3"/>
        <v>-5.1142563950913066E-2</v>
      </c>
      <c r="G8" s="37">
        <v>16525.77</v>
      </c>
      <c r="H8" s="37">
        <f t="shared" si="1"/>
        <v>-1509.3325000000004</v>
      </c>
      <c r="I8" s="38">
        <f t="shared" si="2"/>
        <v>-9.133205290888112E-2</v>
      </c>
      <c r="J8" s="55"/>
      <c r="K8" s="55"/>
    </row>
    <row r="9" spans="1:11" ht="15.75">
      <c r="A9" s="47" t="str">
        <v>West Yarmouth - 42 Mid Tech</v>
      </c>
      <c r="B9" s="48" t="str">
        <v>MA</v>
      </c>
      <c r="C9" s="41">
        <v>12291.426688211201</v>
      </c>
      <c r="D9" s="42">
        <v>12520.12</v>
      </c>
      <c r="E9" s="42">
        <f t="shared" si="0"/>
        <v>-228.6933117888002</v>
      </c>
      <c r="F9" s="43">
        <f t="shared" si="3"/>
        <v>-1.8266063886672027E-2</v>
      </c>
      <c r="G9" s="44">
        <v>15949.16</v>
      </c>
      <c r="H9" s="44">
        <f t="shared" si="1"/>
        <v>-3657.7333117887993</v>
      </c>
      <c r="I9" s="43">
        <f t="shared" si="2"/>
        <v>-0.22933705046465139</v>
      </c>
      <c r="J9" s="56"/>
      <c r="K9" s="57"/>
    </row>
    <row r="10" spans="1:11" ht="15.75">
      <c r="A10" s="49" t="str">
        <v>Harrison - 130 Union Street</v>
      </c>
      <c r="B10" s="46" t="str">
        <v>NY</v>
      </c>
      <c r="C10" s="34">
        <v>21759.4375</v>
      </c>
      <c r="D10" s="35">
        <v>23684.59</v>
      </c>
      <c r="E10" s="35">
        <f t="shared" si="0"/>
        <v>-1925.1525000000001</v>
      </c>
      <c r="F10" s="36">
        <f t="shared" si="3"/>
        <v>-8.1282914333750345E-2</v>
      </c>
      <c r="G10" s="37">
        <v>23626.21</v>
      </c>
      <c r="H10" s="37">
        <f t="shared" si="1"/>
        <v>-1866.7724999999991</v>
      </c>
      <c r="I10" s="38">
        <f t="shared" si="2"/>
        <v>-7.9012778604778303E-2</v>
      </c>
      <c r="J10" s="55"/>
      <c r="K10" s="55"/>
    </row>
    <row r="11" spans="1:11" ht="15.75">
      <c r="A11" s="47" t="str">
        <v>Staten Island - Ellis Storage</v>
      </c>
      <c r="B11" s="48" t="str">
        <v>NY</v>
      </c>
      <c r="C11" s="41">
        <v>50255.625</v>
      </c>
      <c r="D11" s="42">
        <v>56146.32</v>
      </c>
      <c r="E11" s="42">
        <f t="shared" si="0"/>
        <v>-5890.6949999999997</v>
      </c>
      <c r="F11" s="43">
        <f t="shared" si="3"/>
        <v>-0.10491684940348717</v>
      </c>
      <c r="G11" s="44">
        <v>54845.53</v>
      </c>
      <c r="H11" s="44">
        <f t="shared" si="1"/>
        <v>-4589.9049999999988</v>
      </c>
      <c r="I11" s="43">
        <f>IFERROR(H11/G11, "")</f>
        <v>-8.3687859338764686E-2</v>
      </c>
      <c r="J11" s="56"/>
      <c r="K11" s="57"/>
    </row>
    <row r="12" spans="1:11" ht="15.75">
      <c r="A12" s="49" t="str">
        <v>Amherst - 595 Scholles Road</v>
      </c>
      <c r="B12" s="46" t="str">
        <v>NY</v>
      </c>
      <c r="C12" s="34">
        <v>747805</v>
      </c>
      <c r="D12" s="35">
        <v>777307.72</v>
      </c>
      <c r="E12" s="35">
        <f t="shared" si="0"/>
        <v>-29502.719999999972</v>
      </c>
      <c r="F12" s="36">
        <f t="shared" si="3"/>
        <v>-3.7955007059495012E-2</v>
      </c>
      <c r="G12" s="37">
        <v>835045.3</v>
      </c>
      <c r="H12" s="37">
        <f t="shared" si="1"/>
        <v>-87240.300000000047</v>
      </c>
      <c r="I12" s="38">
        <f t="shared" si="2"/>
        <v>-0.10447373334117328</v>
      </c>
      <c r="J12" s="55"/>
      <c r="K12" s="55"/>
    </row>
    <row r="13" spans="1:11" ht="15.75">
      <c r="A13" s="47" t="str">
        <v>Lancaster 1 - Gunnville Road</v>
      </c>
      <c r="B13" s="48" t="str">
        <v>NY</v>
      </c>
      <c r="C13" s="41">
        <v>712179</v>
      </c>
      <c r="D13" s="42">
        <v>710666.4</v>
      </c>
      <c r="E13" s="42">
        <f t="shared" si="0"/>
        <v>1512.5999999999767</v>
      </c>
      <c r="F13" s="43">
        <f t="shared" si="3"/>
        <v>2.1284248136678148E-3</v>
      </c>
      <c r="G13" s="44">
        <v>741350.40000000002</v>
      </c>
      <c r="H13" s="44">
        <f t="shared" si="1"/>
        <v>-29171.400000000023</v>
      </c>
      <c r="I13" s="43">
        <f t="shared" si="2"/>
        <v>-3.9349004195586894E-2</v>
      </c>
      <c r="J13" s="56"/>
      <c r="K13" s="57"/>
    </row>
    <row r="14" spans="1:11" ht="15.75">
      <c r="A14" s="49" t="str">
        <v>Lancaster 2 - Shisler Road</v>
      </c>
      <c r="B14" s="46" t="str">
        <v>NY</v>
      </c>
      <c r="C14" s="34">
        <v>731805</v>
      </c>
      <c r="D14" s="35">
        <v>757414.40000000002</v>
      </c>
      <c r="E14" s="35">
        <f t="shared" si="0"/>
        <v>-25609.400000000023</v>
      </c>
      <c r="F14" s="36">
        <f t="shared" si="3"/>
        <v>-3.3811609602352452E-2</v>
      </c>
      <c r="G14" s="37">
        <v>811918.8</v>
      </c>
      <c r="H14" s="37">
        <f t="shared" si="1"/>
        <v>-80113.800000000047</v>
      </c>
      <c r="I14" s="38">
        <f t="shared" si="2"/>
        <v>-9.8672182489184926E-2</v>
      </c>
      <c r="J14" s="55" t="s">
        <v>172</v>
      </c>
      <c r="K14" s="55" t="s">
        <v>173</v>
      </c>
    </row>
    <row r="15" spans="1:11" ht="15.75">
      <c r="A15" s="47" t="str">
        <v>Fullerton - 200 W Orangethorpe</v>
      </c>
      <c r="B15" s="48" t="str">
        <v>CA</v>
      </c>
      <c r="C15" s="41">
        <v>103595</v>
      </c>
      <c r="D15" s="42">
        <v>106541.8</v>
      </c>
      <c r="E15" s="42">
        <f t="shared" si="0"/>
        <v>-2946.8000000000029</v>
      </c>
      <c r="F15" s="43">
        <f t="shared" si="3"/>
        <v>-2.7658627881263529E-2</v>
      </c>
      <c r="G15" s="44">
        <v>121654.5</v>
      </c>
      <c r="H15" s="44">
        <f t="shared" si="1"/>
        <v>-18059.5</v>
      </c>
      <c r="I15" s="43">
        <f t="shared" si="2"/>
        <v>-0.14844909148449092</v>
      </c>
      <c r="J15" s="56"/>
      <c r="K15" s="57"/>
    </row>
    <row r="16" spans="1:11" ht="28.5">
      <c r="A16" s="49" t="str">
        <v>El Paso - 10500 Railroad Drive</v>
      </c>
      <c r="B16" s="46" t="str">
        <v>TX</v>
      </c>
      <c r="C16" s="34">
        <v>89849</v>
      </c>
      <c r="D16" s="35">
        <v>100466.2</v>
      </c>
      <c r="E16" s="35">
        <f t="shared" si="0"/>
        <v>-10617.199999999997</v>
      </c>
      <c r="F16" s="36">
        <f t="shared" si="3"/>
        <v>-0.10567932299619173</v>
      </c>
      <c r="G16" s="37">
        <v>136322.6</v>
      </c>
      <c r="H16" s="37">
        <f t="shared" si="1"/>
        <v>-46473.600000000006</v>
      </c>
      <c r="I16" s="38">
        <f t="shared" si="2"/>
        <v>-0.34090899087898857</v>
      </c>
      <c r="J16" s="55" t="s">
        <v>174</v>
      </c>
      <c r="K16" s="55" t="s">
        <v>175</v>
      </c>
    </row>
    <row r="17" spans="1:11" ht="63">
      <c r="A17" s="47" t="str">
        <v>Friona - 900 Millard Ave</v>
      </c>
      <c r="B17" s="48" t="str">
        <v>TX</v>
      </c>
      <c r="C17" s="41">
        <v>68829.25</v>
      </c>
      <c r="D17" s="42">
        <v>73797.95</v>
      </c>
      <c r="E17" s="42">
        <f t="shared" si="0"/>
        <v>-4968.6999999999971</v>
      </c>
      <c r="F17" s="43">
        <f t="shared" si="3"/>
        <v>-6.7328428499707604E-2</v>
      </c>
      <c r="G17" s="44">
        <v>114879.1</v>
      </c>
      <c r="H17" s="44">
        <f t="shared" si="1"/>
        <v>-46049.850000000006</v>
      </c>
      <c r="I17" s="43">
        <f t="shared" si="2"/>
        <v>-0.40085489875878211</v>
      </c>
      <c r="J17" s="76" t="s">
        <v>176</v>
      </c>
      <c r="K17" s="75" t="s">
        <v>177</v>
      </c>
    </row>
    <row r="18" spans="1:11" ht="15.75">
      <c r="A18" s="49" t="str">
        <v>Augusta - 13 York Farm Road</v>
      </c>
      <c r="B18" s="46" t="str">
        <v>ME</v>
      </c>
      <c r="C18" s="34">
        <v>175245</v>
      </c>
      <c r="D18" s="35">
        <v>177556.3</v>
      </c>
      <c r="E18" s="35">
        <f t="shared" si="0"/>
        <v>-2311.2999999999884</v>
      </c>
      <c r="F18" s="36">
        <f t="shared" si="3"/>
        <v>-1.3017279589628689E-2</v>
      </c>
      <c r="G18" s="37">
        <v>179724.4</v>
      </c>
      <c r="H18" s="37">
        <f t="shared" si="1"/>
        <v>-4479.3999999999942</v>
      </c>
      <c r="I18" s="38">
        <f t="shared" si="2"/>
        <v>-2.4923716534872249E-2</v>
      </c>
      <c r="J18" s="55"/>
      <c r="K18" s="55"/>
    </row>
    <row r="19" spans="1:11" ht="15.75">
      <c r="A19" s="47" t="str">
        <v xml:space="preserve">Santa Ana - 1441 West </v>
      </c>
      <c r="B19" s="48" t="str">
        <v>CA</v>
      </c>
      <c r="C19" s="41">
        <v>65398.844760572203</v>
      </c>
      <c r="D19" s="42">
        <v>64067.75</v>
      </c>
      <c r="E19" s="42">
        <f t="shared" si="0"/>
        <v>1331.0947605722031</v>
      </c>
      <c r="F19" s="43">
        <f t="shared" si="3"/>
        <v>2.0776361907078104E-2</v>
      </c>
      <c r="G19" s="44">
        <v>73739.63</v>
      </c>
      <c r="H19" s="44">
        <f t="shared" si="1"/>
        <v>-8340.7852394278016</v>
      </c>
      <c r="I19" s="43">
        <f t="shared" si="2"/>
        <v>-0.11311129767572473</v>
      </c>
      <c r="J19" s="56"/>
      <c r="K19" s="57"/>
    </row>
    <row r="20" spans="1:11" ht="15.75">
      <c r="A20" s="49" t="str">
        <v>Jessup -7950 Oceano Ave</v>
      </c>
      <c r="B20" s="46" t="str">
        <v>MD</v>
      </c>
      <c r="C20" s="34"/>
      <c r="D20" s="35"/>
      <c r="E20" s="35"/>
      <c r="F20" s="36"/>
      <c r="G20" s="37"/>
      <c r="H20" s="37"/>
      <c r="I20" s="38"/>
      <c r="J20" s="55"/>
      <c r="K20" s="55"/>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4" activePane="bottomRight" state="frozen"/>
      <selection pane="bottomRight" activeCell="J12" sqref="J12"/>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80" t="str" cm="1">
        <f t="array" ref="A1">portfolio</f>
        <v>Catalyze</v>
      </c>
      <c r="B1" s="80"/>
      <c r="C1" s="80"/>
      <c r="D1" s="81" t="s">
        <v>178</v>
      </c>
      <c r="E1" s="81"/>
      <c r="F1" s="81"/>
      <c r="G1" s="79" t="s">
        <v>179</v>
      </c>
      <c r="H1" s="79"/>
      <c r="I1" s="79"/>
      <c r="J1" s="4"/>
      <c r="K1" s="4"/>
    </row>
    <row r="2" spans="1:11" ht="19.5" customHeight="1">
      <c r="A2" s="82" t="s">
        <v>2</v>
      </c>
      <c r="B2" s="82"/>
      <c r="C2" s="5">
        <f>SUM(C4:C92)</f>
        <v>3118893.8388660159</v>
      </c>
      <c r="D2" s="5">
        <f>SUM(D4:D92)</f>
        <v>3900092.6599999997</v>
      </c>
      <c r="E2" s="5">
        <f>C2-D2</f>
        <v>-781198.82113398379</v>
      </c>
      <c r="F2" s="6">
        <f>IFERROR(E2/D2, 0)</f>
        <v>-0.2003026310492797</v>
      </c>
      <c r="G2" s="5">
        <f>SUM(G4:G92)</f>
        <v>3455426.4200000009</v>
      </c>
      <c r="H2" s="7">
        <f>C2-G2</f>
        <v>-336532.58113398496</v>
      </c>
      <c r="I2" s="6">
        <f>IFERROR(H2/G2, 0)</f>
        <v>-9.7392489443888924E-2</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v>65772.817160000006</v>
      </c>
      <c r="D4" s="35">
        <v>69341.710000000006</v>
      </c>
      <c r="E4" s="35">
        <f>IF(AND(ISNUMBER(C4),ISNUMBER(D4)), C4-D4, "")</f>
        <v>-3568.8928400000004</v>
      </c>
      <c r="F4" s="36">
        <f>IFERROR(E4/D4, "")</f>
        <v>-5.1468197712459071E-2</v>
      </c>
      <c r="G4" s="37">
        <v>89199.55</v>
      </c>
      <c r="H4" s="37">
        <f>IF(AND(ISNUMBER(C4),ISNUMBER(G4)), C4-G4, "")</f>
        <v>-23426.732839999997</v>
      </c>
      <c r="I4" s="38">
        <f>IFERROR(H4/G4, "")</f>
        <v>-0.26263285902227079</v>
      </c>
      <c r="J4" s="77"/>
      <c r="K4" s="77"/>
    </row>
    <row r="5" spans="1:11" ht="84" customHeight="1">
      <c r="A5" s="47" t="str">
        <v>Adelanto - 1 Sheep Creek Road</v>
      </c>
      <c r="B5" s="48" t="str">
        <v>CA</v>
      </c>
      <c r="C5" s="41">
        <v>325155.19</v>
      </c>
      <c r="D5" s="42">
        <v>520859.43</v>
      </c>
      <c r="E5" s="42">
        <f t="shared" ref="E5:E19" si="0">IF(AND(ISNUMBER(C5),ISNUMBER(D5)), C5-D5, "")</f>
        <v>-195704.24</v>
      </c>
      <c r="F5" s="43">
        <f>IFERROR(E5/D5, "")</f>
        <v>-0.37573331445683916</v>
      </c>
      <c r="G5" s="44">
        <v>598929.86</v>
      </c>
      <c r="H5" s="44">
        <f t="shared" ref="H5:H19" si="1">IF(AND(ISNUMBER(C5),ISNUMBER(G5)), C5-G5, "")</f>
        <v>-273774.67</v>
      </c>
      <c r="I5" s="43">
        <f t="shared" ref="I5:I19" si="2">IFERROR(H5/G5, "")</f>
        <v>-0.45710639639840295</v>
      </c>
      <c r="J5" s="71" t="s">
        <v>180</v>
      </c>
      <c r="K5" s="71" t="s">
        <v>181</v>
      </c>
    </row>
    <row r="6" spans="1:11" ht="15.75">
      <c r="A6" s="49" t="str">
        <v>Blackstone - 83 Federal Street</v>
      </c>
      <c r="B6" s="46" t="str">
        <v>MA</v>
      </c>
      <c r="C6" s="34">
        <v>252743</v>
      </c>
      <c r="D6" s="35">
        <v>624897.19999999995</v>
      </c>
      <c r="E6" s="35">
        <f t="shared" si="0"/>
        <v>-372154.19999999995</v>
      </c>
      <c r="F6" s="36">
        <f t="shared" ref="F6:F19" si="3">IFERROR(E6/D6, "")</f>
        <v>-0.59554467518817489</v>
      </c>
      <c r="G6" s="37">
        <v>578684.6</v>
      </c>
      <c r="H6" s="37">
        <f t="shared" si="1"/>
        <v>-325941.59999999998</v>
      </c>
      <c r="I6" s="38">
        <f t="shared" si="2"/>
        <v>-0.56324567821573268</v>
      </c>
      <c r="J6" s="77" t="s">
        <v>182</v>
      </c>
      <c r="K6" s="77" t="s">
        <v>183</v>
      </c>
    </row>
    <row r="7" spans="1:11" ht="15.75">
      <c r="A7" s="47" t="str">
        <v>Charlton - 299 Worcester Road</v>
      </c>
      <c r="B7" s="48" t="str">
        <v>MA</v>
      </c>
      <c r="C7" s="41">
        <v>53585</v>
      </c>
      <c r="D7" s="42">
        <v>54004.93</v>
      </c>
      <c r="E7" s="42">
        <f t="shared" si="0"/>
        <v>-419.93000000000029</v>
      </c>
      <c r="F7" s="43">
        <f t="shared" si="3"/>
        <v>-7.7757715823351739E-3</v>
      </c>
      <c r="G7" s="44">
        <v>44160.56</v>
      </c>
      <c r="H7" s="44">
        <f t="shared" si="1"/>
        <v>9424.4400000000023</v>
      </c>
      <c r="I7" s="43">
        <f t="shared" si="2"/>
        <v>0.21341305454459822</v>
      </c>
      <c r="J7" s="71"/>
      <c r="K7" s="70"/>
    </row>
    <row r="8" spans="1:11" ht="15.75">
      <c r="A8" s="49" t="str">
        <v>Wareham - 8 Thatcher Drive</v>
      </c>
      <c r="B8" s="46" t="str">
        <v>MA</v>
      </c>
      <c r="C8" s="34">
        <v>13329.25</v>
      </c>
      <c r="D8" s="35">
        <v>14614.66</v>
      </c>
      <c r="E8" s="35">
        <f t="shared" si="0"/>
        <v>-1285.4099999999999</v>
      </c>
      <c r="F8" s="36">
        <f t="shared" si="3"/>
        <v>-8.7953465903414782E-2</v>
      </c>
      <c r="G8" s="37">
        <v>12814.24</v>
      </c>
      <c r="H8" s="37">
        <f t="shared" si="1"/>
        <v>515.01000000000022</v>
      </c>
      <c r="I8" s="38">
        <f t="shared" si="2"/>
        <v>4.0190444380626571E-2</v>
      </c>
      <c r="J8" s="77"/>
      <c r="K8" s="77"/>
    </row>
    <row r="9" spans="1:11" ht="15.75">
      <c r="A9" s="47" t="str">
        <v>West Yarmouth - 42 Mid Tech</v>
      </c>
      <c r="B9" s="48" t="str">
        <v>MA</v>
      </c>
      <c r="C9" s="41">
        <v>10083.026979647901</v>
      </c>
      <c r="D9" s="42">
        <v>10303.93</v>
      </c>
      <c r="E9" s="42">
        <f t="shared" si="0"/>
        <v>-220.9030203520997</v>
      </c>
      <c r="F9" s="43">
        <f t="shared" si="3"/>
        <v>-2.143871516519422E-2</v>
      </c>
      <c r="G9" s="44">
        <v>11188.85</v>
      </c>
      <c r="H9" s="44">
        <f t="shared" si="1"/>
        <v>-1105.8230203520998</v>
      </c>
      <c r="I9" s="43">
        <f t="shared" si="2"/>
        <v>-9.8832589618423672E-2</v>
      </c>
      <c r="J9" s="71"/>
      <c r="K9" s="70"/>
    </row>
    <row r="10" spans="1:11" ht="15.75">
      <c r="A10" s="49" t="str">
        <v>Harrison - 130 Union Street</v>
      </c>
      <c r="B10" s="46" t="str">
        <v>NY</v>
      </c>
      <c r="C10" s="34">
        <v>20126.374999999902</v>
      </c>
      <c r="D10" s="35">
        <v>23942.07</v>
      </c>
      <c r="E10" s="35">
        <f t="shared" si="0"/>
        <v>-3815.6950000000979</v>
      </c>
      <c r="F10" s="36">
        <f t="shared" si="3"/>
        <v>-0.15937197577319329</v>
      </c>
      <c r="G10" s="37">
        <v>17598.990000000002</v>
      </c>
      <c r="H10" s="37">
        <f t="shared" si="1"/>
        <v>2527.3849999999002</v>
      </c>
      <c r="I10" s="38">
        <f t="shared" si="2"/>
        <v>0.14360966169080724</v>
      </c>
      <c r="J10" s="77"/>
      <c r="K10" s="77"/>
    </row>
    <row r="11" spans="1:11" ht="15.75">
      <c r="A11" s="47" t="str">
        <v>Staten Island - Ellis Storage</v>
      </c>
      <c r="B11" s="48" t="str">
        <v>NY</v>
      </c>
      <c r="C11" s="41">
        <v>47060.625</v>
      </c>
      <c r="D11" s="42">
        <v>48562.54</v>
      </c>
      <c r="E11" s="42">
        <f t="shared" si="0"/>
        <v>-1501.9150000000009</v>
      </c>
      <c r="F11" s="43">
        <f t="shared" si="3"/>
        <v>-3.0927439133126084E-2</v>
      </c>
      <c r="G11" s="44">
        <v>41106.870000000003</v>
      </c>
      <c r="H11" s="44">
        <f t="shared" si="1"/>
        <v>5953.7549999999974</v>
      </c>
      <c r="I11" s="43">
        <f t="shared" si="2"/>
        <v>0.14483600916343173</v>
      </c>
      <c r="J11" s="71"/>
      <c r="K11" s="70"/>
    </row>
    <row r="12" spans="1:11" ht="51" customHeight="1">
      <c r="A12" s="49" t="str">
        <v>Amherst - 595 Scholles Road</v>
      </c>
      <c r="B12" s="46" t="str">
        <v>NY</v>
      </c>
      <c r="C12" s="34">
        <v>594632</v>
      </c>
      <c r="D12" s="35">
        <v>508137.8</v>
      </c>
      <c r="E12" s="35">
        <f t="shared" si="0"/>
        <v>86494.200000000012</v>
      </c>
      <c r="F12" s="36">
        <f t="shared" si="3"/>
        <v>0.17021799992049402</v>
      </c>
      <c r="G12" s="37">
        <v>504807.8</v>
      </c>
      <c r="H12" s="37">
        <f t="shared" si="1"/>
        <v>89824.200000000012</v>
      </c>
      <c r="I12" s="38">
        <f t="shared" si="2"/>
        <v>0.17793742489715891</v>
      </c>
      <c r="J12" s="77" t="s">
        <v>184</v>
      </c>
      <c r="K12" s="77" t="s">
        <v>185</v>
      </c>
    </row>
    <row r="13" spans="1:11" ht="39.75" customHeight="1">
      <c r="A13" s="47" t="str">
        <v>Lancaster 1 - Gunnville Road</v>
      </c>
      <c r="B13" s="48" t="str">
        <v>NY</v>
      </c>
      <c r="C13" s="41">
        <v>607271</v>
      </c>
      <c r="D13" s="42">
        <v>717300</v>
      </c>
      <c r="E13" s="42">
        <f t="shared" si="0"/>
        <v>-110029</v>
      </c>
      <c r="F13" s="43">
        <f t="shared" si="3"/>
        <v>-0.1533932803568939</v>
      </c>
      <c r="G13" s="44">
        <v>497052.2</v>
      </c>
      <c r="H13" s="44">
        <f t="shared" si="1"/>
        <v>110218.79999999999</v>
      </c>
      <c r="I13" s="43">
        <f t="shared" si="2"/>
        <v>0.2217449193464992</v>
      </c>
      <c r="J13" s="71" t="s">
        <v>186</v>
      </c>
      <c r="K13" s="71" t="s">
        <v>187</v>
      </c>
    </row>
    <row r="14" spans="1:11" ht="15.75">
      <c r="A14" s="49" t="str">
        <v>Lancaster 2 - Shisler Road</v>
      </c>
      <c r="B14" s="46" t="str">
        <v>NY</v>
      </c>
      <c r="C14" s="34">
        <v>636011</v>
      </c>
      <c r="D14" s="35">
        <v>809279.2</v>
      </c>
      <c r="E14" s="35">
        <f t="shared" si="0"/>
        <v>-173268.19999999995</v>
      </c>
      <c r="F14" s="36">
        <f t="shared" si="3"/>
        <v>-0.21410188226757831</v>
      </c>
      <c r="G14" s="37">
        <v>542837.9</v>
      </c>
      <c r="H14" s="37">
        <f t="shared" si="1"/>
        <v>93173.099999999977</v>
      </c>
      <c r="I14" s="38">
        <f t="shared" si="2"/>
        <v>0.17164074210735833</v>
      </c>
      <c r="J14" s="77" t="s">
        <v>188</v>
      </c>
      <c r="K14" s="77" t="s">
        <v>189</v>
      </c>
    </row>
    <row r="15" spans="1:11" ht="15.75">
      <c r="A15" s="47" t="str">
        <v>Fullerton - 200 W Orangethorpe</v>
      </c>
      <c r="B15" s="48" t="str">
        <v>CA</v>
      </c>
      <c r="C15" s="41">
        <v>86851.375</v>
      </c>
      <c r="D15" s="42">
        <v>94171.76</v>
      </c>
      <c r="E15" s="42">
        <f t="shared" si="0"/>
        <v>-7320.3849999999948</v>
      </c>
      <c r="F15" s="43">
        <f t="shared" si="3"/>
        <v>-7.7734397233310659E-2</v>
      </c>
      <c r="G15" s="44">
        <v>99851.99</v>
      </c>
      <c r="H15" s="44">
        <f t="shared" si="1"/>
        <v>-13000.615000000005</v>
      </c>
      <c r="I15" s="43">
        <f t="shared" si="2"/>
        <v>-0.13019885732873229</v>
      </c>
      <c r="J15" s="71"/>
      <c r="K15" s="70"/>
    </row>
    <row r="16" spans="1:11" ht="28.5">
      <c r="A16" s="49" t="str">
        <v>El Paso - 10500 Railroad Drive</v>
      </c>
      <c r="B16" s="46" t="str">
        <v>TX</v>
      </c>
      <c r="C16" s="34">
        <v>122042.80472636801</v>
      </c>
      <c r="D16" s="35">
        <v>149453.29999999999</v>
      </c>
      <c r="E16" s="35">
        <f t="shared" si="0"/>
        <v>-27410.495273631983</v>
      </c>
      <c r="F16" s="36">
        <f>IFERROR(E16/D16, "")</f>
        <v>-0.18340508555938198</v>
      </c>
      <c r="G16" s="37">
        <v>124795.5</v>
      </c>
      <c r="H16" s="37">
        <f t="shared" si="1"/>
        <v>-2752.6952736319945</v>
      </c>
      <c r="I16" s="38">
        <f t="shared" si="2"/>
        <v>-2.2057648502005235E-2</v>
      </c>
      <c r="J16" s="77" t="s">
        <v>190</v>
      </c>
      <c r="K16" s="77" t="s">
        <v>191</v>
      </c>
    </row>
    <row r="17" spans="1:11" ht="42.75">
      <c r="A17" s="47" t="str">
        <v>Friona - 900 Millard Ave</v>
      </c>
      <c r="B17" s="48" t="str">
        <v>TX</v>
      </c>
      <c r="C17" s="41">
        <v>92571.625</v>
      </c>
      <c r="D17" s="42">
        <v>93674.19</v>
      </c>
      <c r="E17" s="42">
        <f t="shared" si="0"/>
        <v>-1102.5650000000023</v>
      </c>
      <c r="F17" s="43">
        <f t="shared" si="3"/>
        <v>-1.1770211196915632E-2</v>
      </c>
      <c r="G17" s="44">
        <v>98836.71</v>
      </c>
      <c r="H17" s="44">
        <f t="shared" si="1"/>
        <v>-6265.0850000000064</v>
      </c>
      <c r="I17" s="43">
        <f t="shared" si="2"/>
        <v>-6.338823904599826E-2</v>
      </c>
      <c r="J17" s="71" t="s">
        <v>192</v>
      </c>
      <c r="K17" s="71" t="s">
        <v>193</v>
      </c>
    </row>
    <row r="18" spans="1:11" ht="15.75">
      <c r="A18" s="49" t="str">
        <v>Augusta - 13 York Farm Road</v>
      </c>
      <c r="B18" s="46" t="str">
        <v>ME</v>
      </c>
      <c r="C18" s="34">
        <v>138014.9375</v>
      </c>
      <c r="D18" s="35">
        <v>143255.20000000001</v>
      </c>
      <c r="E18" s="35">
        <f t="shared" si="0"/>
        <v>-5240.2625000000116</v>
      </c>
      <c r="F18" s="36">
        <f>IFERROR(E18/D18, "")</f>
        <v>-3.6579911235333946E-2</v>
      </c>
      <c r="G18" s="37">
        <v>130076.1</v>
      </c>
      <c r="H18" s="37">
        <f t="shared" si="1"/>
        <v>7938.8374999999942</v>
      </c>
      <c r="I18" s="38">
        <f t="shared" si="2"/>
        <v>6.1032253427032279E-2</v>
      </c>
      <c r="J18" s="77" t="s">
        <v>194</v>
      </c>
      <c r="K18" s="77" t="s">
        <v>195</v>
      </c>
    </row>
    <row r="19" spans="1:11" ht="28.5">
      <c r="A19" s="47" t="str">
        <v xml:space="preserve">Santa Ana - 1441 West </v>
      </c>
      <c r="B19" s="48" t="str">
        <v>CA</v>
      </c>
      <c r="C19" s="41">
        <v>53643.8125</v>
      </c>
      <c r="D19" s="42">
        <v>18294.740000000002</v>
      </c>
      <c r="E19" s="42">
        <f t="shared" si="0"/>
        <v>35349.072499999995</v>
      </c>
      <c r="F19" s="43">
        <f t="shared" si="3"/>
        <v>1.9321986811509753</v>
      </c>
      <c r="G19" s="44">
        <v>63484.7</v>
      </c>
      <c r="H19" s="44">
        <f t="shared" si="1"/>
        <v>-9840.8874999999971</v>
      </c>
      <c r="I19" s="43">
        <f t="shared" si="2"/>
        <v>-0.1550119556365549</v>
      </c>
      <c r="J19" s="71" t="s">
        <v>196</v>
      </c>
      <c r="K19" s="71" t="s">
        <v>197</v>
      </c>
    </row>
    <row r="20" spans="1:11" ht="15.75">
      <c r="A20" s="49" t="str">
        <v>Jessup -7950 Oceano Ave</v>
      </c>
      <c r="B20" s="46" t="str">
        <v>MD</v>
      </c>
      <c r="C20" s="34"/>
      <c r="D20" s="35"/>
      <c r="E20" s="35"/>
      <c r="F20" s="36"/>
      <c r="G20" s="37"/>
      <c r="H20" s="37"/>
      <c r="I20" s="38"/>
      <c r="J20" s="77"/>
      <c r="K20" s="77"/>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tabSelected="1" workbookViewId="0">
      <pane xSplit="2" ySplit="3" topLeftCell="C4" activePane="bottomRight" state="frozen"/>
      <selection pane="bottomRight" activeCell="J4" sqref="J4:K20"/>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198</v>
      </c>
      <c r="E1" s="81"/>
      <c r="F1" s="81"/>
      <c r="G1" s="79" t="s">
        <v>199</v>
      </c>
      <c r="H1" s="79"/>
      <c r="I1" s="79"/>
      <c r="J1" s="4"/>
      <c r="K1" s="4"/>
    </row>
    <row r="2" spans="1:11" ht="19.5" customHeight="1">
      <c r="A2" s="82" t="s">
        <v>2</v>
      </c>
      <c r="B2" s="82"/>
      <c r="C2" s="5">
        <f>SUM(C4:C92)</f>
        <v>1905541.8992544357</v>
      </c>
      <c r="D2" s="5">
        <f>SUM(D4:D92)</f>
        <v>2685992.2170000002</v>
      </c>
      <c r="E2" s="5">
        <f>C2-D2</f>
        <v>-780450.31774556451</v>
      </c>
      <c r="F2" s="6">
        <f>IFERROR(E2/D2, 0)</f>
        <v>-0.29056313447447507</v>
      </c>
      <c r="G2" s="5">
        <f>SUM(G4:G92)</f>
        <v>2422577.952</v>
      </c>
      <c r="H2" s="7">
        <f>C2-G2</f>
        <v>-517036.05274556438</v>
      </c>
      <c r="I2" s="6">
        <f>IFERROR(H2/G2, 0)</f>
        <v>-0.21342390750263229</v>
      </c>
      <c r="J2" s="16" t="str">
        <f ca="1">IF(AND(TODAY()&gt;DATE(2024, 11, 1), COUNTA(Sites[Site])&lt;&gt;(COUNT(C:C)-1)), "Some sites are missing actual data; if new sites were added, make sure they are aligned correctly (including prior months!)", "")</f>
        <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v>46223.807840000001</v>
      </c>
      <c r="D4" s="35">
        <v>42986.62</v>
      </c>
      <c r="E4" s="35">
        <f>IF(AND(ISNUMBER(C4),ISNUMBER(D4)), C4-D4, "")</f>
        <v>3237.1878399999987</v>
      </c>
      <c r="F4" s="36">
        <f>IFERROR(E4/D4, "")</f>
        <v>7.5306870835622763E-2</v>
      </c>
      <c r="G4" s="37">
        <v>62770.53</v>
      </c>
      <c r="H4" s="37">
        <f>IF(AND(ISNUMBER(C4),ISNUMBER(G4)), C4-G4, "")</f>
        <v>-16546.722159999998</v>
      </c>
      <c r="I4" s="38">
        <f>IFERROR(H4/G4, "")</f>
        <v>-0.26360653892837926</v>
      </c>
      <c r="J4" s="77"/>
      <c r="K4" s="77"/>
    </row>
    <row r="5" spans="1:11" ht="15.75">
      <c r="A5" s="47" t="str">
        <v>Adelanto - 1 Sheep Creek Road</v>
      </c>
      <c r="B5" s="48" t="str">
        <v>CA</v>
      </c>
      <c r="C5" s="41">
        <v>469130</v>
      </c>
      <c r="D5" s="42">
        <v>407805.98</v>
      </c>
      <c r="E5" s="42">
        <f t="shared" ref="E5:E17" si="0">IF(AND(ISNUMBER(C5),ISNUMBER(D5)), C5-D5, "")</f>
        <v>61324.020000000019</v>
      </c>
      <c r="F5" s="43">
        <f>IFERROR(E5/D5, "")</f>
        <v>0.15037548002606538</v>
      </c>
      <c r="G5" s="44">
        <v>479345.77</v>
      </c>
      <c r="H5" s="44">
        <f t="shared" ref="H5:H17" si="1">IF(AND(ISNUMBER(C5),ISNUMBER(G5)), C5-G5, "")</f>
        <v>-10215.770000000019</v>
      </c>
      <c r="I5" s="43">
        <f t="shared" ref="I5:I15" si="2">IFERROR(H5/G5, "")</f>
        <v>-2.1311901844883324E-2</v>
      </c>
      <c r="J5" s="71" t="s">
        <v>200</v>
      </c>
      <c r="K5" s="71" t="s">
        <v>201</v>
      </c>
    </row>
    <row r="6" spans="1:11" ht="49.5" customHeight="1">
      <c r="A6" s="49" t="str">
        <v>Blackstone - 83 Federal Street</v>
      </c>
      <c r="B6" s="46" t="str">
        <v>MA</v>
      </c>
      <c r="C6" s="34">
        <v>0</v>
      </c>
      <c r="D6" s="35">
        <v>519242.8</v>
      </c>
      <c r="E6" s="35">
        <f t="shared" si="0"/>
        <v>-519242.8</v>
      </c>
      <c r="F6" s="36">
        <f t="shared" ref="F6:F17" si="3">IFERROR(E6/D6, "")</f>
        <v>-1</v>
      </c>
      <c r="G6" s="37">
        <v>438059.4</v>
      </c>
      <c r="H6" s="37">
        <f t="shared" si="1"/>
        <v>-438059.4</v>
      </c>
      <c r="I6" s="38">
        <f t="shared" si="2"/>
        <v>-1</v>
      </c>
      <c r="J6" s="77" t="s">
        <v>202</v>
      </c>
      <c r="K6" s="77" t="s">
        <v>203</v>
      </c>
    </row>
    <row r="7" spans="1:11" ht="15.75">
      <c r="A7" s="47" t="str">
        <v>Charlton - 299 Worcester Road</v>
      </c>
      <c r="B7" s="48" t="str">
        <v>MA</v>
      </c>
      <c r="C7" s="41">
        <v>38841.5</v>
      </c>
      <c r="D7" s="42">
        <v>42069.51</v>
      </c>
      <c r="E7" s="42">
        <f t="shared" si="0"/>
        <v>-3228.010000000002</v>
      </c>
      <c r="F7" s="43">
        <f t="shared" si="3"/>
        <v>-7.6730392153367175E-2</v>
      </c>
      <c r="G7" s="44">
        <v>33801.97</v>
      </c>
      <c r="H7" s="44">
        <f t="shared" si="1"/>
        <v>5039.5299999999988</v>
      </c>
      <c r="I7" s="43">
        <f t="shared" si="2"/>
        <v>0.14908983115481136</v>
      </c>
      <c r="J7" s="71"/>
      <c r="K7" s="70"/>
    </row>
    <row r="8" spans="1:11" ht="15.75">
      <c r="A8" s="49" t="str">
        <v>Wareham - 8 Thatcher Drive</v>
      </c>
      <c r="B8" s="46" t="str">
        <v>MA</v>
      </c>
      <c r="C8" s="34">
        <v>8593.875</v>
      </c>
      <c r="D8" s="35">
        <v>9287.1779999999999</v>
      </c>
      <c r="E8" s="35">
        <f t="shared" si="0"/>
        <v>-693.30299999999988</v>
      </c>
      <c r="F8" s="36">
        <f t="shared" si="3"/>
        <v>-7.4651632605728019E-2</v>
      </c>
      <c r="G8" s="37">
        <v>8499.4349999999995</v>
      </c>
      <c r="H8" s="37">
        <f t="shared" si="1"/>
        <v>94.440000000000509</v>
      </c>
      <c r="I8" s="38">
        <f t="shared" si="2"/>
        <v>1.1111326811723428E-2</v>
      </c>
      <c r="J8" s="77"/>
      <c r="K8" s="77"/>
    </row>
    <row r="9" spans="1:11" ht="15.75">
      <c r="A9" s="47" t="str">
        <v>West Yarmouth - 42 Mid Tech</v>
      </c>
      <c r="B9" s="48" t="str">
        <v>MA</v>
      </c>
      <c r="C9" s="41">
        <v>6205.2348908027598</v>
      </c>
      <c r="D9" s="42">
        <v>6504.5190000000002</v>
      </c>
      <c r="E9" s="42">
        <f t="shared" si="0"/>
        <v>-299.28410919724047</v>
      </c>
      <c r="F9" s="43">
        <f t="shared" si="3"/>
        <v>-4.6011720343539696E-2</v>
      </c>
      <c r="G9" s="44">
        <v>7250.5870000000004</v>
      </c>
      <c r="H9" s="44">
        <f t="shared" si="1"/>
        <v>-1045.3521091972407</v>
      </c>
      <c r="I9" s="43">
        <f t="shared" si="2"/>
        <v>-0.1441748246310596</v>
      </c>
      <c r="J9" s="71" t="s">
        <v>204</v>
      </c>
      <c r="K9" s="78" t="s">
        <v>205</v>
      </c>
    </row>
    <row r="10" spans="1:11" ht="15.75">
      <c r="A10" s="49" t="str">
        <v>Harrison - 130 Union Street</v>
      </c>
      <c r="B10" s="46" t="str">
        <v>NY</v>
      </c>
      <c r="C10" s="34">
        <v>12581.317500000099</v>
      </c>
      <c r="D10" s="35">
        <v>15511.96</v>
      </c>
      <c r="E10" s="35">
        <f t="shared" si="0"/>
        <v>-2930.6424999998999</v>
      </c>
      <c r="F10" s="36">
        <f t="shared" si="3"/>
        <v>-0.18892793044849909</v>
      </c>
      <c r="G10" s="37">
        <v>12465.85</v>
      </c>
      <c r="H10" s="37">
        <f t="shared" si="1"/>
        <v>115.46750000009888</v>
      </c>
      <c r="I10" s="38">
        <f t="shared" si="2"/>
        <v>9.2627057120131303E-3</v>
      </c>
      <c r="J10" s="77"/>
      <c r="K10" s="77"/>
    </row>
    <row r="11" spans="1:11" ht="15.75">
      <c r="A11" s="47" t="str">
        <v>Staten Island - Ellis Storage</v>
      </c>
      <c r="B11" s="48" t="str">
        <v>NY</v>
      </c>
      <c r="C11" s="41">
        <v>27847.25</v>
      </c>
      <c r="D11" s="42">
        <v>26953.81</v>
      </c>
      <c r="E11" s="42">
        <f t="shared" si="0"/>
        <v>893.43999999999869</v>
      </c>
      <c r="F11" s="43">
        <f t="shared" si="3"/>
        <v>3.3147076424446066E-2</v>
      </c>
      <c r="G11" s="44">
        <v>29237.46</v>
      </c>
      <c r="H11" s="44">
        <f t="shared" si="1"/>
        <v>-1390.2099999999991</v>
      </c>
      <c r="I11" s="43">
        <f t="shared" si="2"/>
        <v>-4.7548932089175981E-2</v>
      </c>
      <c r="J11" s="71"/>
      <c r="K11" s="70"/>
    </row>
    <row r="12" spans="1:11" ht="123" customHeight="1">
      <c r="A12" s="49" t="str">
        <v>Amherst - 595 Scholles Road</v>
      </c>
      <c r="B12" s="46" t="str">
        <v>NY</v>
      </c>
      <c r="C12" s="34">
        <v>291894</v>
      </c>
      <c r="D12" s="35">
        <v>315882.8</v>
      </c>
      <c r="E12" s="35">
        <f t="shared" si="0"/>
        <v>-23988.799999999988</v>
      </c>
      <c r="F12" s="36">
        <f t="shared" si="3"/>
        <v>-7.5942089914360605E-2</v>
      </c>
      <c r="G12" s="37">
        <v>311666.3</v>
      </c>
      <c r="H12" s="37">
        <f t="shared" si="1"/>
        <v>-19772.299999999988</v>
      </c>
      <c r="I12" s="38">
        <f t="shared" si="2"/>
        <v>-6.3440609395369302E-2</v>
      </c>
      <c r="J12" s="77" t="s">
        <v>206</v>
      </c>
      <c r="K12" s="77" t="s">
        <v>207</v>
      </c>
    </row>
    <row r="13" spans="1:11" ht="30.75">
      <c r="A13" s="47" t="str">
        <v>Lancaster 1 - Gunnville Road</v>
      </c>
      <c r="B13" s="48" t="str">
        <v>NY</v>
      </c>
      <c r="C13" s="41">
        <v>292401</v>
      </c>
      <c r="D13" s="42">
        <v>360249.5</v>
      </c>
      <c r="E13" s="42">
        <f t="shared" si="0"/>
        <v>-67848.5</v>
      </c>
      <c r="F13" s="43">
        <f t="shared" si="3"/>
        <v>-0.18833752718601968</v>
      </c>
      <c r="G13" s="44">
        <v>237948.1</v>
      </c>
      <c r="H13" s="44">
        <f t="shared" si="1"/>
        <v>54452.899999999994</v>
      </c>
      <c r="I13" s="43">
        <f t="shared" si="2"/>
        <v>0.22884360076840282</v>
      </c>
      <c r="J13" s="71" t="s">
        <v>208</v>
      </c>
      <c r="K13" s="78" t="s">
        <v>209</v>
      </c>
    </row>
    <row r="14" spans="1:11" ht="91.5">
      <c r="A14" s="49" t="str">
        <v>Lancaster 2 - Shisler Road</v>
      </c>
      <c r="B14" s="46" t="str">
        <v>NY</v>
      </c>
      <c r="C14" s="34">
        <v>215195</v>
      </c>
      <c r="D14" s="35">
        <v>415398.2</v>
      </c>
      <c r="E14" s="35">
        <f t="shared" si="0"/>
        <v>-200203.2</v>
      </c>
      <c r="F14" s="36">
        <f t="shared" si="3"/>
        <v>-0.48195490495625642</v>
      </c>
      <c r="G14" s="37">
        <v>254160.7</v>
      </c>
      <c r="H14" s="37">
        <f t="shared" si="1"/>
        <v>-38965.700000000012</v>
      </c>
      <c r="I14" s="38">
        <f t="shared" si="2"/>
        <v>-0.15331127117607093</v>
      </c>
      <c r="J14" s="77" t="s">
        <v>210</v>
      </c>
      <c r="K14" s="77" t="s">
        <v>211</v>
      </c>
    </row>
    <row r="15" spans="1:11" ht="37.5" customHeight="1">
      <c r="A15" s="47" t="str">
        <v>Fullerton - 200 W Orangethorpe</v>
      </c>
      <c r="B15" s="48" t="str">
        <v>CA</v>
      </c>
      <c r="C15" s="41">
        <v>69728.875</v>
      </c>
      <c r="D15" s="42">
        <v>78291.8</v>
      </c>
      <c r="E15" s="42">
        <f t="shared" si="0"/>
        <v>-8562.9250000000029</v>
      </c>
      <c r="F15" s="43">
        <f t="shared" si="3"/>
        <v>-0.10937192656191329</v>
      </c>
      <c r="G15" s="44">
        <v>77874.16</v>
      </c>
      <c r="H15" s="44">
        <f t="shared" si="1"/>
        <v>-8145.2850000000035</v>
      </c>
      <c r="I15" s="43">
        <f t="shared" si="2"/>
        <v>-0.10459547814063103</v>
      </c>
      <c r="J15" s="71" t="s">
        <v>212</v>
      </c>
      <c r="K15" s="78" t="s">
        <v>213</v>
      </c>
    </row>
    <row r="16" spans="1:11" ht="15.75">
      <c r="A16" s="49" t="str">
        <v>El Paso - 10500 Railroad Drive</v>
      </c>
      <c r="B16" s="46" t="str">
        <v>TX</v>
      </c>
      <c r="C16" s="34">
        <v>91804.195273632606</v>
      </c>
      <c r="D16" s="35">
        <v>88174.06</v>
      </c>
      <c r="E16" s="35">
        <f t="shared" si="0"/>
        <v>3630.135273632608</v>
      </c>
      <c r="F16" s="36">
        <f t="shared" si="3"/>
        <v>4.117010460483058E-2</v>
      </c>
      <c r="G16" s="37">
        <v>95311.76</v>
      </c>
      <c r="H16" s="37">
        <f>IF(AND(ISNUMBER(C16),ISNUMBER(G16)), C16-G16, "")</f>
        <v>-3507.5647263673891</v>
      </c>
      <c r="I16" s="38">
        <f>IFERROR(H16/G16, "")</f>
        <v>-3.6800964816591251E-2</v>
      </c>
      <c r="J16" s="77"/>
      <c r="K16" s="77"/>
    </row>
    <row r="17" spans="1:11" ht="45.75">
      <c r="A17" s="47" t="str">
        <v>Friona - 900 Millard Ave</v>
      </c>
      <c r="B17" s="48" t="str">
        <v>TX</v>
      </c>
      <c r="C17" s="41">
        <v>76371.125</v>
      </c>
      <c r="D17" s="42">
        <v>72349.02</v>
      </c>
      <c r="E17" s="42">
        <f t="shared" si="0"/>
        <v>4022.1049999999959</v>
      </c>
      <c r="F17" s="43">
        <f t="shared" si="3"/>
        <v>5.5593081979548521E-2</v>
      </c>
      <c r="G17" s="44">
        <v>78818.95</v>
      </c>
      <c r="H17" s="44">
        <f t="shared" si="1"/>
        <v>-2447.8249999999971</v>
      </c>
      <c r="I17" s="43">
        <f>IFERROR(H17/G17, "")</f>
        <v>-3.1056300547013086E-2</v>
      </c>
      <c r="J17" s="71" t="s">
        <v>214</v>
      </c>
      <c r="K17" s="78" t="s">
        <v>215</v>
      </c>
    </row>
    <row r="18" spans="1:11" ht="15.75">
      <c r="A18" s="49" t="str">
        <v>Augusta - 13 York Farm Road</v>
      </c>
      <c r="B18" s="46" t="str">
        <v>ME</v>
      </c>
      <c r="C18" s="34">
        <v>84132.25</v>
      </c>
      <c r="D18" s="35">
        <v>97189.37</v>
      </c>
      <c r="E18" s="35">
        <f>IF(AND(ISNUMBER(C18),ISNUMBER(D18)), C18-D18, "")</f>
        <v>-13057.119999999995</v>
      </c>
      <c r="F18" s="36">
        <f>IFERROR(E18/D18, "")</f>
        <v>-0.1343472027856544</v>
      </c>
      <c r="G18" s="37">
        <v>98826.7</v>
      </c>
      <c r="H18" s="37">
        <f>IF(AND(ISNUMBER(C18),ISNUMBER(G18)), C18-G18, "")</f>
        <v>-14694.449999999997</v>
      </c>
      <c r="I18" s="38">
        <f>IFERROR(H18/G18, "")</f>
        <v>-0.1486890688447555</v>
      </c>
      <c r="J18" s="77" t="s">
        <v>216</v>
      </c>
      <c r="K18" s="77" t="s">
        <v>217</v>
      </c>
    </row>
    <row r="19" spans="1:11" ht="30.75">
      <c r="A19" s="47" t="str">
        <v xml:space="preserve">Santa Ana - 1441 West </v>
      </c>
      <c r="B19" s="48" t="str">
        <v>CA</v>
      </c>
      <c r="C19" s="41">
        <v>39462.8125</v>
      </c>
      <c r="D19" s="42">
        <v>44936.39</v>
      </c>
      <c r="E19" s="42">
        <f>IF(AND(ISNUMBER(C19),ISNUMBER(D19)), C19-D19, "")</f>
        <v>-5473.5774999999994</v>
      </c>
      <c r="F19" s="43">
        <f>IFERROR(E19/D19, "")</f>
        <v>-0.12180723685191444</v>
      </c>
      <c r="G19" s="44">
        <v>50990.28</v>
      </c>
      <c r="H19" s="44">
        <f>IF(AND(ISNUMBER(C19),ISNUMBER(G19)), C19-G19, "")</f>
        <v>-11527.467499999999</v>
      </c>
      <c r="I19" s="43">
        <f>IFERROR(H19/G19, "")</f>
        <v>-0.22607186114686953</v>
      </c>
      <c r="J19" s="71" t="s">
        <v>218</v>
      </c>
      <c r="K19" s="78" t="s">
        <v>213</v>
      </c>
    </row>
    <row r="20" spans="1:11" ht="15.75">
      <c r="A20" s="49" t="str">
        <v>Jessup -7950 Oceano Ave</v>
      </c>
      <c r="B20" s="46" t="str">
        <v>MD</v>
      </c>
      <c r="C20" s="34">
        <v>135129.65625</v>
      </c>
      <c r="D20" s="35">
        <v>143158.70000000001</v>
      </c>
      <c r="E20" s="35">
        <f>IF(AND(ISNUMBER(C20),ISNUMBER(D20)), C20-D20, "")</f>
        <v>-8029.0437500000116</v>
      </c>
      <c r="F20" s="36">
        <f>IFERROR(E20/D20, "")</f>
        <v>-5.6084916599550089E-2</v>
      </c>
      <c r="G20" s="37">
        <v>145550</v>
      </c>
      <c r="H20" s="37">
        <f>IF(AND(ISNUMBER(C20),ISNUMBER(G20)), C20-G20, "")</f>
        <v>-10420.34375</v>
      </c>
      <c r="I20" s="38">
        <f>IFERROR(H20/G20, "")</f>
        <v>-7.1592880453452426E-2</v>
      </c>
      <c r="J20" s="77"/>
      <c r="K20" s="55"/>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workbookViewId="0">
      <pane xSplit="2" ySplit="3" topLeftCell="C4" activePane="bottomRight" state="frozen"/>
      <selection pane="bottomRight" activeCell="A19" sqref="A19"/>
      <selection pane="bottomLeft" activeCell="A18" sqref="A18:XFD24"/>
      <selection pane="topRight" activeCell="A18" sqref="A18:XFD24"/>
    </sheetView>
  </sheetViews>
  <sheetFormatPr defaultRowHeight="13.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0" t="str" cm="1">
        <f t="array" ref="A1">portfolio</f>
        <v>Catalyze</v>
      </c>
      <c r="B1" s="80"/>
      <c r="C1" s="80"/>
      <c r="D1" s="81" t="s">
        <v>219</v>
      </c>
      <c r="E1" s="81"/>
      <c r="F1" s="81"/>
      <c r="G1" s="79" t="s">
        <v>220</v>
      </c>
      <c r="H1" s="79"/>
      <c r="I1" s="79"/>
      <c r="J1" s="4"/>
      <c r="K1" s="4"/>
    </row>
    <row r="2" spans="1:11" ht="19.5" customHeight="1">
      <c r="A2" s="82" t="s">
        <v>2</v>
      </c>
      <c r="B2" s="82"/>
      <c r="C2" s="5">
        <f>SUM(C4:C92)</f>
        <v>0</v>
      </c>
      <c r="D2" s="5">
        <f>SUM(D4:D92)</f>
        <v>0</v>
      </c>
      <c r="E2" s="5">
        <f>C2-D2</f>
        <v>0</v>
      </c>
      <c r="F2" s="6">
        <f>IFERROR(E2/D2, 0)</f>
        <v>0</v>
      </c>
      <c r="G2" s="5">
        <f>SUM(G4:G92)</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5" t="s">
        <v>5</v>
      </c>
      <c r="D3" s="26" t="s">
        <v>6</v>
      </c>
      <c r="E3" s="26" t="s">
        <v>7</v>
      </c>
      <c r="F3" s="27" t="s">
        <v>8</v>
      </c>
      <c r="G3" s="28" t="s">
        <v>9</v>
      </c>
      <c r="H3" s="29" t="s">
        <v>7</v>
      </c>
      <c r="I3" s="30" t="s">
        <v>8</v>
      </c>
      <c r="J3" s="15" t="s">
        <v>20</v>
      </c>
      <c r="K3" s="15" t="s">
        <v>21</v>
      </c>
    </row>
    <row r="4" spans="1:11" ht="15.75">
      <c r="A4" s="45" t="str" cm="1">
        <f t="array" ref="A4:A20">Sites[Site]</f>
        <v>Fresno - 3150 Shaw Ave</v>
      </c>
      <c r="B4" s="46" t="str" cm="1">
        <f t="array" ref="B4:B20">Sites[State]</f>
        <v>CA</v>
      </c>
      <c r="C4" s="34"/>
      <c r="D4" s="35"/>
      <c r="E4" s="35" t="str">
        <f>IF(AND(ISNUMBER(C4),ISNUMBER(D4)), C4-D4, "")</f>
        <v/>
      </c>
      <c r="F4" s="36" t="str">
        <f>IFERROR(E4/D4, "")</f>
        <v/>
      </c>
      <c r="G4" s="37"/>
      <c r="H4" s="37" t="str">
        <f>IF(AND(ISNUMBER(C4),ISNUMBER(G4)), C4-G4, "")</f>
        <v/>
      </c>
      <c r="I4" s="38" t="str">
        <f>IFERROR(H4/G4, "")</f>
        <v/>
      </c>
      <c r="J4" s="55"/>
      <c r="K4" s="55"/>
    </row>
    <row r="5" spans="1:11" ht="15.75">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56"/>
      <c r="K5" s="56"/>
    </row>
    <row r="6" spans="1:11" ht="15.75">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75">
      <c r="A7" s="47" t="str">
        <v>Charlton - 299 Worcester Road</v>
      </c>
      <c r="B7" s="48" t="str">
        <v>MA</v>
      </c>
      <c r="C7" s="41"/>
      <c r="D7" s="42"/>
      <c r="E7" s="42" t="str">
        <f t="shared" si="0"/>
        <v/>
      </c>
      <c r="F7" s="43" t="str">
        <f t="shared" si="3"/>
        <v/>
      </c>
      <c r="G7" s="44"/>
      <c r="H7" s="44" t="str">
        <f t="shared" si="1"/>
        <v/>
      </c>
      <c r="I7" s="43" t="str">
        <f t="shared" si="2"/>
        <v/>
      </c>
      <c r="J7" s="56"/>
      <c r="K7" s="57"/>
    </row>
    <row r="8" spans="1:11" ht="15.75">
      <c r="A8" s="49" t="str">
        <v>Wareham - 8 Thatcher Drive</v>
      </c>
      <c r="B8" s="46" t="str">
        <v>MA</v>
      </c>
      <c r="C8" s="34"/>
      <c r="D8" s="35"/>
      <c r="E8" s="35" t="str">
        <f t="shared" si="0"/>
        <v/>
      </c>
      <c r="F8" s="36" t="str">
        <f t="shared" si="3"/>
        <v/>
      </c>
      <c r="G8" s="37"/>
      <c r="H8" s="37" t="str">
        <f t="shared" si="1"/>
        <v/>
      </c>
      <c r="I8" s="38" t="str">
        <f t="shared" si="2"/>
        <v/>
      </c>
      <c r="J8" s="55"/>
      <c r="K8" s="55"/>
    </row>
    <row r="9" spans="1:11" ht="15.75">
      <c r="A9" s="47" t="str">
        <v>West Yarmouth - 42 Mid Tech</v>
      </c>
      <c r="B9" s="48" t="str">
        <v>MA</v>
      </c>
      <c r="C9" s="41"/>
      <c r="D9" s="42"/>
      <c r="E9" s="42" t="str">
        <f t="shared" si="0"/>
        <v/>
      </c>
      <c r="F9" s="43" t="str">
        <f t="shared" si="3"/>
        <v/>
      </c>
      <c r="G9" s="44"/>
      <c r="H9" s="44" t="str">
        <f t="shared" si="1"/>
        <v/>
      </c>
      <c r="I9" s="43" t="str">
        <f t="shared" si="2"/>
        <v/>
      </c>
      <c r="J9" s="56"/>
      <c r="K9" s="57"/>
    </row>
    <row r="10" spans="1:11" ht="15.75">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75">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75">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75">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75">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75">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75">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75">
      <c r="A17" s="47" t="str">
        <v>Friona - 900 Millard Ave</v>
      </c>
      <c r="B17" s="48" t="str">
        <v>TX</v>
      </c>
      <c r="C17" s="41"/>
      <c r="D17" s="42"/>
      <c r="E17" s="42" t="str">
        <f t="shared" si="0"/>
        <v/>
      </c>
      <c r="F17" s="43" t="str">
        <f t="shared" si="3"/>
        <v/>
      </c>
      <c r="G17" s="44"/>
      <c r="H17" s="44" t="str">
        <f t="shared" si="1"/>
        <v/>
      </c>
      <c r="I17" s="43" t="str">
        <f t="shared" si="2"/>
        <v/>
      </c>
      <c r="J17" s="56"/>
      <c r="K17" s="57"/>
    </row>
    <row r="18" spans="1:11" ht="15.75">
      <c r="A18" s="49" t="str">
        <v>Augusta - 13 York Farm Road</v>
      </c>
      <c r="B18" s="46" t="str">
        <v>ME</v>
      </c>
      <c r="C18" s="34"/>
      <c r="D18" s="35"/>
      <c r="E18" s="35"/>
      <c r="F18" s="36"/>
      <c r="G18" s="37"/>
      <c r="H18" s="37"/>
      <c r="I18" s="38"/>
      <c r="J18" s="55"/>
      <c r="K18" s="55"/>
    </row>
    <row r="19" spans="1:11" ht="15.75">
      <c r="A19" s="47" t="str">
        <v xml:space="preserve">Santa Ana - 1441 West </v>
      </c>
      <c r="B19" s="48" t="str">
        <v>CA</v>
      </c>
      <c r="C19" s="41"/>
      <c r="D19" s="42"/>
      <c r="E19" s="42"/>
      <c r="F19" s="43"/>
      <c r="G19" s="44"/>
      <c r="H19" s="44"/>
      <c r="I19" s="43"/>
      <c r="J19" s="56"/>
      <c r="K19" s="57"/>
    </row>
    <row r="20" spans="1:11" ht="14.25">
      <c r="A20" s="13" t="str">
        <v>Jessup -7950 Oceano Ave</v>
      </c>
      <c r="B20" s="18" t="str">
        <v>MD</v>
      </c>
      <c r="C20" s="13"/>
      <c r="D20" s="13"/>
      <c r="E20" s="13"/>
      <c r="F20" s="13"/>
      <c r="G20" s="13"/>
      <c r="H20" s="13"/>
      <c r="I20" s="13"/>
      <c r="J20" s="13"/>
      <c r="K20" s="13"/>
    </row>
    <row r="21" spans="1:11" ht="14.25">
      <c r="A21" s="13"/>
      <c r="B21" s="18"/>
      <c r="C21" s="13"/>
      <c r="D21" s="13"/>
      <c r="E21" s="13"/>
      <c r="F21" s="13"/>
      <c r="G21" s="13"/>
      <c r="H21" s="13"/>
      <c r="I21" s="13"/>
      <c r="J21" s="13"/>
      <c r="K21" s="13"/>
    </row>
    <row r="22" spans="1:11" ht="14.25">
      <c r="A22" s="13"/>
      <c r="B22" s="18"/>
      <c r="C22" s="13"/>
      <c r="D22" s="13"/>
      <c r="E22" s="13"/>
      <c r="F22" s="13"/>
      <c r="G22" s="13"/>
      <c r="H22" s="13"/>
      <c r="I22" s="13"/>
      <c r="J22" s="13"/>
      <c r="K22" s="13"/>
    </row>
    <row r="23" spans="1:11" ht="14.25">
      <c r="A23" s="13"/>
      <c r="B23" s="18"/>
      <c r="C23" s="13"/>
      <c r="D23" s="13"/>
      <c r="E23" s="13"/>
      <c r="F23" s="13"/>
      <c r="G23" s="13"/>
      <c r="H23" s="13"/>
      <c r="I23" s="13"/>
      <c r="J23" s="13"/>
      <c r="K23" s="13"/>
    </row>
    <row r="24" spans="1:11" ht="14.25">
      <c r="A24" s="13"/>
      <c r="B24" s="18"/>
      <c r="C24" s="13"/>
      <c r="D24" s="13"/>
      <c r="E24" s="13"/>
      <c r="F24" s="13"/>
      <c r="G24" s="13"/>
      <c r="H24" s="13"/>
      <c r="I24" s="13"/>
      <c r="J24" s="13"/>
      <c r="K24" s="13"/>
    </row>
    <row r="25" spans="1:11" ht="14.25">
      <c r="A25" s="13"/>
      <c r="B25" s="18"/>
      <c r="C25" s="13"/>
      <c r="D25" s="13"/>
      <c r="E25" s="13"/>
      <c r="F25" s="14"/>
      <c r="G25" s="13"/>
      <c r="H25" s="13"/>
      <c r="I25" s="14"/>
      <c r="J25" s="13"/>
      <c r="K25" s="13"/>
    </row>
    <row r="26" spans="1:11" ht="14.25">
      <c r="A26" s="13"/>
      <c r="B26" s="18"/>
      <c r="C26" s="13"/>
      <c r="D26" s="13"/>
      <c r="E26" s="13"/>
      <c r="F26" s="14"/>
      <c r="G26" s="13"/>
      <c r="H26" s="13"/>
      <c r="I26" s="14"/>
      <c r="J26" s="13"/>
      <c r="K26" s="13"/>
    </row>
    <row r="27" spans="1:11" ht="14.25">
      <c r="A27" s="13"/>
      <c r="B27" s="18"/>
      <c r="C27" s="13"/>
      <c r="D27" s="13"/>
      <c r="E27" s="13"/>
      <c r="F27" s="14"/>
      <c r="G27" s="13"/>
      <c r="H27" s="13"/>
      <c r="I27" s="14"/>
      <c r="J27" s="13"/>
      <c r="K27" s="13"/>
    </row>
    <row r="28" spans="1:11" ht="14.25">
      <c r="A28" s="13"/>
      <c r="B28" s="18"/>
      <c r="C28" s="13"/>
      <c r="D28" s="13"/>
      <c r="E28" s="13"/>
      <c r="F28" s="14"/>
      <c r="G28" s="13"/>
      <c r="H28" s="13"/>
      <c r="I28" s="14"/>
      <c r="J28" s="13"/>
      <c r="K28" s="13"/>
    </row>
    <row r="29" spans="1:11" ht="14.25">
      <c r="A29" s="13"/>
      <c r="B29" s="18"/>
      <c r="C29" s="13"/>
      <c r="D29" s="13"/>
      <c r="E29" s="13"/>
      <c r="F29" s="14"/>
      <c r="G29" s="13"/>
      <c r="H29" s="13"/>
      <c r="I29" s="14"/>
      <c r="J29" s="13"/>
      <c r="K29" s="13"/>
    </row>
    <row r="30" spans="1:11" ht="14.25">
      <c r="A30" s="13"/>
      <c r="B30" s="18"/>
      <c r="C30" s="13"/>
      <c r="D30" s="13"/>
      <c r="E30" s="13"/>
      <c r="F30" s="14"/>
      <c r="G30" s="13"/>
      <c r="H30" s="13"/>
      <c r="I30" s="14"/>
      <c r="J30" s="13"/>
      <c r="K30" s="13"/>
    </row>
    <row r="31" spans="1:11" ht="14.25">
      <c r="A31" s="13"/>
      <c r="B31" s="18"/>
      <c r="C31" s="13"/>
      <c r="D31" s="13"/>
      <c r="E31" s="13"/>
      <c r="F31" s="14"/>
      <c r="G31" s="13"/>
      <c r="H31" s="13"/>
      <c r="I31" s="14"/>
      <c r="J31" s="13"/>
      <c r="K31" s="13"/>
    </row>
    <row r="32" spans="1:11" ht="14.25">
      <c r="A32" s="13"/>
      <c r="B32" s="18"/>
      <c r="C32" s="13"/>
      <c r="D32" s="13"/>
      <c r="E32" s="13"/>
      <c r="F32" s="14"/>
      <c r="G32" s="13"/>
      <c r="H32" s="13"/>
      <c r="I32" s="14"/>
      <c r="J32" s="13"/>
      <c r="K32" s="13"/>
    </row>
    <row r="33" spans="1:11" ht="14.25">
      <c r="A33" s="13"/>
      <c r="B33" s="18"/>
      <c r="C33" s="13"/>
      <c r="D33" s="13"/>
      <c r="E33" s="13"/>
      <c r="F33" s="14"/>
      <c r="G33" s="13"/>
      <c r="H33" s="13"/>
      <c r="I33" s="14"/>
      <c r="J33" s="13"/>
      <c r="K33" s="13"/>
    </row>
    <row r="34" spans="1:11" ht="14.25">
      <c r="A34" s="13"/>
      <c r="B34" s="18"/>
      <c r="C34" s="13"/>
      <c r="D34" s="13"/>
      <c r="E34" s="13"/>
      <c r="F34" s="14"/>
      <c r="G34" s="13"/>
      <c r="H34" s="13"/>
      <c r="I34" s="14"/>
      <c r="J34" s="13"/>
      <c r="K34" s="13"/>
    </row>
    <row r="35" spans="1:11" ht="14.25">
      <c r="A35" s="13"/>
      <c r="B35" s="18"/>
      <c r="C35" s="13"/>
      <c r="D35" s="13"/>
      <c r="E35" s="13"/>
      <c r="F35" s="14"/>
      <c r="G35" s="13"/>
      <c r="H35" s="13"/>
      <c r="I35" s="14"/>
      <c r="J35" s="13"/>
      <c r="K35" s="13"/>
    </row>
    <row r="36" spans="1:11" ht="14.25">
      <c r="A36" s="13"/>
      <c r="B36" s="18"/>
      <c r="C36" s="13"/>
      <c r="D36" s="13"/>
      <c r="E36" s="13"/>
      <c r="F36" s="14"/>
      <c r="G36" s="13"/>
      <c r="H36" s="13"/>
      <c r="I36" s="14"/>
      <c r="J36" s="13"/>
      <c r="K36" s="13"/>
    </row>
    <row r="37" spans="1:11" ht="14.25">
      <c r="A37" s="13"/>
      <c r="B37" s="18"/>
      <c r="C37" s="13"/>
      <c r="D37" s="13"/>
      <c r="E37" s="13"/>
      <c r="F37" s="14"/>
      <c r="G37" s="13"/>
      <c r="H37" s="13"/>
      <c r="I37" s="14"/>
      <c r="J37" s="13"/>
      <c r="K37" s="13"/>
    </row>
    <row r="38" spans="1:11" ht="14.25">
      <c r="A38" s="13"/>
      <c r="B38" s="18"/>
      <c r="C38" s="13"/>
      <c r="D38" s="13"/>
      <c r="E38" s="13"/>
      <c r="F38" s="14"/>
      <c r="G38" s="13"/>
      <c r="H38" s="13"/>
      <c r="I38" s="14"/>
      <c r="J38" s="13"/>
      <c r="K38" s="13"/>
    </row>
    <row r="39" spans="1:11" ht="14.25">
      <c r="A39" s="13"/>
      <c r="B39" s="18"/>
      <c r="C39" s="13"/>
      <c r="D39" s="13"/>
      <c r="E39" s="13"/>
      <c r="F39" s="14"/>
      <c r="G39" s="13"/>
      <c r="H39" s="13"/>
      <c r="I39" s="14"/>
      <c r="J39" s="13"/>
      <c r="K39" s="13"/>
    </row>
    <row r="40" spans="1:11" ht="14.25">
      <c r="A40" s="13"/>
      <c r="B40" s="18"/>
      <c r="C40" s="13"/>
      <c r="D40" s="13"/>
      <c r="E40" s="13"/>
      <c r="F40" s="14"/>
      <c r="G40" s="13"/>
      <c r="H40" s="13"/>
      <c r="I40" s="14"/>
      <c r="J40" s="13"/>
      <c r="K40" s="13"/>
    </row>
    <row r="41" spans="1:11" ht="14.25">
      <c r="A41" s="13"/>
      <c r="B41" s="18"/>
      <c r="C41" s="13"/>
      <c r="D41" s="13"/>
      <c r="E41" s="13"/>
      <c r="F41" s="14"/>
      <c r="G41" s="13"/>
      <c r="H41" s="13"/>
      <c r="I41" s="14"/>
      <c r="J41" s="13"/>
      <c r="K41" s="13"/>
    </row>
    <row r="42" spans="1:11" ht="14.25">
      <c r="A42" s="13"/>
      <c r="B42" s="18"/>
      <c r="C42" s="13"/>
      <c r="D42" s="13"/>
      <c r="E42" s="13"/>
      <c r="F42" s="14"/>
      <c r="G42" s="13"/>
      <c r="H42" s="13"/>
      <c r="I42" s="14"/>
      <c r="J42" s="13"/>
      <c r="K42" s="13"/>
    </row>
    <row r="43" spans="1:11" ht="14.25">
      <c r="A43" s="13"/>
      <c r="B43" s="18"/>
      <c r="C43" s="13"/>
      <c r="D43" s="13"/>
      <c r="E43" s="13"/>
      <c r="F43" s="14"/>
      <c r="G43" s="13"/>
      <c r="H43" s="13"/>
      <c r="I43" s="14"/>
      <c r="J43" s="13"/>
      <c r="K43" s="13"/>
    </row>
    <row r="44" spans="1:11" ht="14.25">
      <c r="A44" s="13"/>
      <c r="B44" s="18"/>
      <c r="C44" s="13"/>
      <c r="D44" s="13"/>
      <c r="E44" s="13"/>
      <c r="F44" s="14"/>
      <c r="G44" s="13"/>
      <c r="H44" s="13"/>
      <c r="I44" s="14"/>
      <c r="J44" s="13"/>
      <c r="K44" s="13"/>
    </row>
    <row r="45" spans="1:11" ht="14.25">
      <c r="A45" s="13"/>
      <c r="B45" s="18"/>
      <c r="C45" s="13"/>
      <c r="D45" s="13"/>
      <c r="E45" s="13"/>
      <c r="F45" s="14"/>
      <c r="G45" s="13"/>
      <c r="H45" s="13"/>
      <c r="I45" s="14"/>
      <c r="J45" s="13"/>
      <c r="K45" s="13"/>
    </row>
    <row r="46" spans="1:11" ht="14.25">
      <c r="A46" s="13"/>
      <c r="B46" s="18"/>
      <c r="C46" s="13"/>
      <c r="D46" s="13"/>
      <c r="E46" s="13"/>
      <c r="F46" s="14"/>
      <c r="G46" s="13"/>
      <c r="H46" s="13"/>
      <c r="I46" s="14"/>
      <c r="J46" s="13"/>
      <c r="K46" s="13"/>
    </row>
    <row r="47" spans="1:11" ht="14.25">
      <c r="A47" s="13"/>
      <c r="B47" s="18"/>
      <c r="C47" s="13"/>
      <c r="D47" s="13"/>
      <c r="E47" s="13"/>
      <c r="F47" s="14"/>
      <c r="G47" s="13"/>
      <c r="H47" s="13"/>
      <c r="I47" s="14"/>
      <c r="J47" s="13"/>
      <c r="K47" s="13"/>
    </row>
    <row r="48" spans="1:11" ht="14.25">
      <c r="A48" s="13"/>
      <c r="B48" s="18"/>
      <c r="C48" s="13"/>
      <c r="D48" s="13"/>
      <c r="E48" s="13"/>
      <c r="F48" s="14"/>
      <c r="G48" s="13"/>
      <c r="H48" s="13"/>
      <c r="I48" s="14"/>
      <c r="J48" s="13"/>
      <c r="K48" s="13"/>
    </row>
    <row r="49" spans="1:11" ht="14.25">
      <c r="A49" s="13"/>
      <c r="B49" s="18"/>
      <c r="C49" s="13"/>
      <c r="D49" s="13"/>
      <c r="E49" s="13"/>
      <c r="F49" s="14"/>
      <c r="G49" s="13"/>
      <c r="H49" s="13"/>
      <c r="I49" s="14"/>
      <c r="J49" s="13"/>
      <c r="K49" s="13"/>
    </row>
    <row r="50" spans="1:11" ht="14.25">
      <c r="A50" s="13"/>
      <c r="B50" s="18"/>
      <c r="C50" s="13"/>
      <c r="D50" s="13"/>
      <c r="E50" s="13"/>
      <c r="F50" s="14"/>
      <c r="G50" s="13"/>
      <c r="H50" s="13"/>
      <c r="I50" s="14"/>
      <c r="J50" s="13"/>
      <c r="K50" s="13"/>
    </row>
    <row r="51" spans="1:11" ht="14.25">
      <c r="A51" s="13"/>
      <c r="B51" s="18"/>
      <c r="C51" s="13"/>
      <c r="D51" s="13"/>
      <c r="E51" s="13"/>
      <c r="F51" s="14"/>
      <c r="G51" s="13"/>
      <c r="H51" s="13"/>
      <c r="I51" s="14"/>
      <c r="J51" s="13"/>
      <c r="K51" s="13"/>
    </row>
    <row r="52" spans="1:11" ht="14.25">
      <c r="A52" s="13"/>
      <c r="B52" s="18"/>
      <c r="C52" s="13"/>
      <c r="D52" s="13"/>
      <c r="E52" s="13"/>
      <c r="F52" s="14"/>
      <c r="G52" s="13"/>
      <c r="H52" s="13"/>
      <c r="I52" s="14"/>
      <c r="J52" s="13"/>
      <c r="K52" s="13"/>
    </row>
    <row r="53" spans="1:11" ht="14.25">
      <c r="A53" s="13"/>
      <c r="B53" s="18"/>
      <c r="C53" s="13"/>
      <c r="D53" s="13"/>
      <c r="E53" s="13"/>
      <c r="F53" s="14"/>
      <c r="G53" s="13"/>
      <c r="H53" s="13"/>
      <c r="I53" s="14"/>
      <c r="J53" s="13"/>
      <c r="K53" s="13"/>
    </row>
    <row r="54" spans="1:11" ht="14.25">
      <c r="A54" s="13"/>
      <c r="B54" s="18"/>
      <c r="C54" s="13"/>
      <c r="D54" s="13"/>
      <c r="E54" s="13"/>
      <c r="F54" s="14"/>
      <c r="G54" s="13"/>
      <c r="H54" s="13"/>
      <c r="I54" s="14"/>
      <c r="J54" s="13"/>
      <c r="K54" s="13"/>
    </row>
    <row r="55" spans="1:11" ht="14.25">
      <c r="A55" s="13"/>
      <c r="B55" s="18"/>
      <c r="C55" s="13"/>
      <c r="D55" s="13"/>
      <c r="E55" s="13"/>
      <c r="F55" s="14"/>
      <c r="G55" s="13"/>
      <c r="H55" s="13"/>
      <c r="I55" s="14"/>
      <c r="J55" s="13"/>
      <c r="K55" s="13"/>
    </row>
    <row r="56" spans="1:11" ht="14.25">
      <c r="A56" s="13"/>
      <c r="B56" s="18"/>
      <c r="C56" s="13"/>
      <c r="D56" s="13"/>
      <c r="E56" s="13"/>
      <c r="F56" s="14"/>
      <c r="G56" s="13"/>
      <c r="H56" s="13"/>
      <c r="I56" s="14"/>
      <c r="J56" s="13"/>
      <c r="K56" s="13"/>
    </row>
    <row r="57" spans="1:11" ht="14.25">
      <c r="A57" s="13"/>
      <c r="B57" s="18"/>
      <c r="C57" s="13"/>
      <c r="D57" s="13"/>
      <c r="E57" s="13"/>
      <c r="F57" s="14"/>
      <c r="G57" s="13"/>
      <c r="H57" s="13"/>
      <c r="I57" s="14"/>
      <c r="J57" s="13"/>
      <c r="K57" s="13"/>
    </row>
    <row r="58" spans="1:11" ht="14.25">
      <c r="A58" s="13"/>
      <c r="B58" s="18"/>
      <c r="C58" s="13"/>
      <c r="D58" s="13"/>
      <c r="E58" s="13"/>
      <c r="F58" s="14"/>
      <c r="G58" s="13"/>
      <c r="H58" s="13"/>
      <c r="I58" s="14"/>
      <c r="J58" s="13"/>
      <c r="K58" s="13"/>
    </row>
    <row r="59" spans="1:11" ht="14.25">
      <c r="A59" s="13"/>
      <c r="B59" s="18"/>
      <c r="C59" s="13"/>
      <c r="D59" s="13"/>
      <c r="E59" s="13"/>
      <c r="F59" s="14"/>
      <c r="G59" s="13"/>
      <c r="H59" s="13"/>
      <c r="I59" s="14"/>
      <c r="J59" s="13"/>
      <c r="K59" s="13"/>
    </row>
    <row r="60" spans="1:11" ht="14.25">
      <c r="A60" s="13"/>
      <c r="B60" s="18"/>
      <c r="C60" s="13"/>
      <c r="D60" s="13"/>
      <c r="E60" s="13"/>
      <c r="F60" s="14"/>
      <c r="G60" s="13"/>
      <c r="H60" s="13"/>
      <c r="I60" s="14"/>
      <c r="J60" s="13"/>
      <c r="K60" s="13"/>
    </row>
    <row r="61" spans="1:11" ht="14.25">
      <c r="A61" s="13"/>
      <c r="B61" s="18"/>
      <c r="C61" s="13"/>
      <c r="D61" s="13"/>
      <c r="E61" s="13"/>
      <c r="F61" s="14"/>
      <c r="G61" s="13"/>
      <c r="H61" s="13"/>
      <c r="I61" s="14"/>
      <c r="J61" s="13"/>
      <c r="K61" s="13"/>
    </row>
    <row r="62" spans="1:11" ht="14.25">
      <c r="A62" s="13"/>
      <c r="B62" s="18"/>
      <c r="C62" s="13"/>
      <c r="D62" s="13"/>
      <c r="E62" s="13"/>
      <c r="F62" s="14"/>
      <c r="G62" s="13"/>
      <c r="H62" s="13"/>
      <c r="I62" s="14"/>
      <c r="J62" s="13"/>
      <c r="K62" s="13"/>
    </row>
    <row r="63" spans="1:11" ht="14.25">
      <c r="A63" s="13"/>
      <c r="B63" s="18"/>
      <c r="C63" s="13"/>
      <c r="D63" s="13"/>
      <c r="E63" s="13"/>
      <c r="F63" s="14"/>
      <c r="G63" s="13"/>
      <c r="H63" s="13"/>
      <c r="I63" s="14"/>
      <c r="J63" s="13"/>
      <c r="K63" s="13"/>
    </row>
    <row r="64" spans="1:11" ht="14.25">
      <c r="A64" s="13"/>
      <c r="B64" s="18"/>
      <c r="C64" s="13"/>
      <c r="D64" s="13"/>
      <c r="E64" s="13"/>
      <c r="F64" s="14"/>
      <c r="G64" s="13"/>
      <c r="H64" s="13"/>
      <c r="I64" s="14"/>
      <c r="J64" s="13"/>
      <c r="K64" s="13"/>
    </row>
    <row r="65" spans="1:11" ht="14.25">
      <c r="A65" s="13"/>
      <c r="B65" s="18"/>
      <c r="C65" s="13"/>
      <c r="D65" s="13"/>
      <c r="E65" s="13"/>
      <c r="F65" s="14"/>
      <c r="G65" s="13"/>
      <c r="H65" s="13"/>
      <c r="I65" s="14"/>
      <c r="J65" s="13"/>
      <c r="K65" s="13"/>
    </row>
    <row r="66" spans="1:11" ht="14.25">
      <c r="A66" s="13"/>
      <c r="B66" s="18"/>
      <c r="C66" s="13"/>
      <c r="D66" s="13"/>
      <c r="E66" s="13"/>
      <c r="F66" s="14"/>
      <c r="G66" s="13"/>
      <c r="H66" s="13"/>
      <c r="I66" s="14"/>
      <c r="J66" s="13"/>
      <c r="K66" s="13"/>
    </row>
    <row r="67" spans="1:11" ht="14.25">
      <c r="A67" s="13"/>
      <c r="B67" s="18"/>
      <c r="C67" s="13"/>
      <c r="D67" s="13"/>
      <c r="E67" s="13"/>
      <c r="F67" s="14"/>
      <c r="G67" s="13"/>
      <c r="H67" s="13"/>
      <c r="I67" s="14"/>
      <c r="J67" s="13"/>
      <c r="K67" s="13"/>
    </row>
    <row r="68" spans="1:11" ht="14.25">
      <c r="A68" s="13"/>
      <c r="B68" s="18"/>
      <c r="C68" s="13"/>
      <c r="D68" s="13"/>
      <c r="E68" s="13"/>
      <c r="F68" s="14"/>
      <c r="G68" s="13"/>
      <c r="H68" s="13"/>
      <c r="I68" s="14"/>
      <c r="J68" s="13"/>
      <c r="K68" s="13"/>
    </row>
    <row r="69" spans="1:11" ht="14.25">
      <c r="A69" s="13"/>
      <c r="B69" s="18"/>
      <c r="C69" s="13"/>
      <c r="D69" s="13"/>
      <c r="E69" s="13"/>
      <c r="F69" s="14"/>
      <c r="G69" s="13"/>
      <c r="H69" s="13"/>
      <c r="I69" s="14"/>
      <c r="J69" s="13"/>
      <c r="K69" s="13"/>
    </row>
    <row r="70" spans="1:11" ht="14.25">
      <c r="A70" s="13"/>
      <c r="B70" s="18"/>
      <c r="C70" s="13"/>
      <c r="D70" s="13"/>
      <c r="E70" s="13"/>
      <c r="F70" s="14"/>
      <c r="G70" s="13"/>
      <c r="H70" s="13"/>
      <c r="I70" s="14"/>
      <c r="J70" s="13"/>
      <c r="K70" s="13"/>
    </row>
    <row r="71" spans="1:11" ht="14.25">
      <c r="A71" s="13"/>
      <c r="B71" s="18"/>
      <c r="C71" s="13"/>
      <c r="D71" s="13"/>
      <c r="E71" s="13"/>
      <c r="F71" s="14"/>
      <c r="G71" s="13"/>
      <c r="H71" s="13"/>
      <c r="I71" s="14"/>
      <c r="J71" s="13"/>
      <c r="K71" s="13"/>
    </row>
    <row r="72" spans="1:11" ht="14.25">
      <c r="A72" s="13"/>
      <c r="B72" s="18"/>
      <c r="C72" s="13"/>
      <c r="D72" s="13"/>
      <c r="E72" s="13"/>
      <c r="F72" s="14"/>
      <c r="G72" s="13"/>
      <c r="H72" s="13"/>
      <c r="I72" s="14"/>
      <c r="J72" s="13"/>
      <c r="K72" s="13"/>
    </row>
    <row r="73" spans="1:11" ht="14.25">
      <c r="A73" s="13"/>
      <c r="B73" s="18"/>
      <c r="C73" s="13"/>
      <c r="D73" s="13"/>
      <c r="E73" s="13"/>
      <c r="F73" s="14"/>
      <c r="G73" s="13"/>
      <c r="H73" s="13"/>
      <c r="I73" s="14"/>
      <c r="J73" s="13"/>
      <c r="K73" s="13"/>
    </row>
    <row r="74" spans="1:11" ht="14.25">
      <c r="A74" s="13"/>
      <c r="B74" s="18"/>
      <c r="C74" s="13"/>
      <c r="D74" s="13"/>
      <c r="E74" s="13"/>
      <c r="F74" s="14"/>
      <c r="G74" s="13"/>
      <c r="H74" s="13"/>
      <c r="I74" s="14"/>
      <c r="J74" s="13"/>
      <c r="K74" s="13"/>
    </row>
    <row r="75" spans="1:11" ht="14.25">
      <c r="A75" s="13"/>
      <c r="B75" s="18"/>
      <c r="C75" s="13"/>
      <c r="D75" s="13"/>
      <c r="E75" s="13"/>
      <c r="F75" s="14"/>
      <c r="G75" s="13"/>
      <c r="H75" s="13"/>
      <c r="I75" s="14"/>
      <c r="J75" s="13"/>
      <c r="K75" s="13"/>
    </row>
    <row r="76" spans="1:11" ht="14.25">
      <c r="A76" s="13"/>
      <c r="B76" s="18"/>
      <c r="C76" s="13"/>
      <c r="D76" s="13"/>
      <c r="E76" s="13"/>
      <c r="F76" s="14"/>
      <c r="G76" s="13"/>
      <c r="H76" s="13"/>
      <c r="I76" s="14"/>
      <c r="J76" s="13"/>
      <c r="K76" s="13"/>
    </row>
    <row r="77" spans="1:11" ht="14.25">
      <c r="A77" s="13"/>
      <c r="B77" s="18"/>
      <c r="C77" s="13"/>
      <c r="D77" s="13"/>
      <c r="E77" s="13"/>
      <c r="F77" s="14"/>
      <c r="G77" s="13"/>
      <c r="H77" s="13"/>
      <c r="I77" s="14"/>
      <c r="J77" s="13"/>
      <c r="K77" s="13"/>
    </row>
    <row r="78" spans="1:11" ht="14.25">
      <c r="A78" s="13"/>
      <c r="B78" s="18"/>
      <c r="C78" s="13"/>
      <c r="D78" s="13"/>
      <c r="E78" s="13"/>
      <c r="F78" s="14"/>
      <c r="G78" s="13"/>
      <c r="H78" s="13"/>
      <c r="I78" s="14"/>
      <c r="J78" s="13"/>
      <c r="K78" s="13"/>
    </row>
    <row r="79" spans="1:11" ht="14.25">
      <c r="A79" s="13"/>
      <c r="B79" s="18"/>
      <c r="C79" s="13"/>
      <c r="D79" s="13"/>
      <c r="E79" s="13"/>
      <c r="F79" s="14"/>
      <c r="G79" s="13"/>
      <c r="H79" s="13"/>
      <c r="I79" s="14"/>
      <c r="J79" s="13"/>
      <c r="K79" s="13"/>
    </row>
    <row r="80" spans="1:11" ht="14.25">
      <c r="A80" s="13"/>
      <c r="B80" s="18"/>
      <c r="C80" s="13"/>
      <c r="D80" s="13"/>
      <c r="E80" s="13"/>
      <c r="F80" s="14"/>
      <c r="G80" s="13"/>
      <c r="H80" s="13"/>
      <c r="I80" s="14"/>
      <c r="J80" s="13"/>
      <c r="K80" s="13"/>
    </row>
    <row r="81" spans="1:11" ht="14.25">
      <c r="A81" s="13"/>
      <c r="B81" s="18"/>
      <c r="C81" s="13"/>
      <c r="D81" s="13"/>
      <c r="E81" s="13"/>
      <c r="F81" s="14"/>
      <c r="G81" s="13"/>
      <c r="H81" s="13"/>
      <c r="I81" s="14"/>
      <c r="J81" s="13"/>
      <c r="K81" s="13"/>
    </row>
    <row r="82" spans="1:11" ht="14.25">
      <c r="A82" s="13"/>
      <c r="B82" s="18"/>
      <c r="C82" s="13"/>
      <c r="D82" s="13"/>
      <c r="E82" s="13"/>
      <c r="F82" s="14"/>
      <c r="G82" s="13"/>
      <c r="H82" s="13"/>
      <c r="I82" s="14"/>
      <c r="J82" s="13"/>
      <c r="K82" s="13"/>
    </row>
    <row r="83" spans="1:11" ht="14.25">
      <c r="A83" s="13"/>
      <c r="B83" s="18"/>
      <c r="C83" s="13"/>
      <c r="D83" s="13"/>
      <c r="E83" s="13"/>
      <c r="F83" s="14"/>
      <c r="G83" s="13"/>
      <c r="H83" s="13"/>
      <c r="I83" s="14"/>
      <c r="J83" s="13"/>
      <c r="K83" s="13"/>
    </row>
    <row r="84" spans="1:11" ht="14.25">
      <c r="A84" s="13"/>
      <c r="B84" s="18"/>
      <c r="C84" s="13"/>
      <c r="D84" s="13"/>
      <c r="E84" s="13"/>
      <c r="F84" s="14"/>
      <c r="G84" s="13"/>
      <c r="H84" s="13"/>
      <c r="I84" s="14"/>
      <c r="J84" s="13"/>
      <c r="K84" s="13"/>
    </row>
    <row r="85" spans="1:11" ht="14.25">
      <c r="A85" s="13"/>
      <c r="B85" s="18"/>
      <c r="C85" s="13"/>
      <c r="D85" s="13"/>
      <c r="E85" s="13"/>
      <c r="F85" s="14"/>
      <c r="G85" s="13"/>
      <c r="H85" s="13"/>
      <c r="I85" s="14"/>
      <c r="J85" s="13"/>
      <c r="K85" s="13"/>
    </row>
    <row r="86" spans="1:11" ht="14.25">
      <c r="A86" s="13"/>
      <c r="B86" s="18"/>
      <c r="C86" s="13"/>
      <c r="D86" s="13"/>
      <c r="E86" s="13"/>
      <c r="F86" s="14"/>
      <c r="G86" s="13"/>
      <c r="H86" s="13"/>
      <c r="I86" s="14"/>
      <c r="J86" s="13"/>
      <c r="K86" s="13"/>
    </row>
    <row r="87" spans="1:11" ht="14.25">
      <c r="A87" s="13"/>
      <c r="B87" s="18"/>
      <c r="C87" s="13"/>
      <c r="D87" s="13"/>
      <c r="E87" s="13"/>
      <c r="F87" s="14"/>
      <c r="G87" s="13"/>
      <c r="H87" s="13"/>
      <c r="I87" s="14"/>
      <c r="J87" s="13"/>
      <c r="K87" s="13"/>
    </row>
    <row r="88" spans="1:11" ht="14.25">
      <c r="A88" s="13"/>
      <c r="B88" s="18"/>
      <c r="C88" s="13"/>
      <c r="D88" s="13"/>
      <c r="E88" s="13"/>
      <c r="F88" s="14"/>
      <c r="G88" s="13"/>
      <c r="H88" s="13"/>
      <c r="I88" s="14"/>
      <c r="J88" s="13"/>
      <c r="K88" s="13"/>
    </row>
    <row r="89" spans="1:11" ht="14.25">
      <c r="A89" s="13"/>
      <c r="B89" s="18"/>
      <c r="C89" s="13"/>
      <c r="D89" s="13"/>
      <c r="E89" s="13"/>
      <c r="F89" s="14"/>
      <c r="G89" s="13"/>
      <c r="H89" s="13"/>
      <c r="I89" s="14"/>
      <c r="J89" s="13"/>
      <c r="K89" s="13"/>
    </row>
    <row r="90" spans="1:11" ht="14.25">
      <c r="A90" s="13"/>
      <c r="B90" s="18"/>
      <c r="C90" s="13"/>
      <c r="D90" s="13"/>
      <c r="E90" s="13"/>
      <c r="F90" s="14"/>
      <c r="G90" s="13"/>
      <c r="H90" s="13"/>
      <c r="I90" s="14"/>
      <c r="J90" s="13"/>
      <c r="K90" s="13"/>
    </row>
    <row r="91" spans="1:11" ht="14.25">
      <c r="A91" s="13"/>
      <c r="B91" s="18"/>
      <c r="C91" s="13"/>
      <c r="D91" s="13"/>
      <c r="E91" s="13"/>
      <c r="F91" s="14"/>
      <c r="G91" s="13"/>
      <c r="H91" s="13"/>
      <c r="I91" s="14"/>
      <c r="J91" s="13"/>
      <c r="K91" s="13"/>
    </row>
    <row r="92" spans="1:11" ht="14.25">
      <c r="A92" s="13"/>
      <c r="B92" s="18"/>
      <c r="C92" s="13"/>
      <c r="D92" s="13"/>
      <c r="E92" s="13"/>
      <c r="F92" s="14"/>
      <c r="G92" s="13"/>
      <c r="H92" s="13"/>
      <c r="I92" s="14"/>
      <c r="J92" s="13"/>
      <c r="K92" s="13"/>
    </row>
    <row r="93" spans="1:11" ht="14.25">
      <c r="A93" s="13"/>
      <c r="B93" s="18"/>
      <c r="C93" s="13"/>
      <c r="D93" s="13"/>
      <c r="E93" s="13"/>
      <c r="F93" s="14"/>
      <c r="G93" s="13"/>
      <c r="H93" s="13"/>
      <c r="I93" s="14"/>
      <c r="J93" s="13"/>
      <c r="K93" s="13"/>
    </row>
    <row r="94" spans="1:11" ht="14.25">
      <c r="A94" s="13"/>
      <c r="B94" s="18"/>
      <c r="C94" s="13"/>
      <c r="D94" s="13"/>
      <c r="E94" s="13"/>
      <c r="F94" s="14"/>
      <c r="G94" s="13"/>
      <c r="H94" s="13"/>
      <c r="I94" s="14"/>
      <c r="J94" s="13"/>
      <c r="K94" s="13"/>
    </row>
    <row r="95" spans="1:11" ht="14.25">
      <c r="A95" s="13"/>
      <c r="B95" s="18"/>
      <c r="C95" s="13"/>
      <c r="D95" s="13"/>
      <c r="E95" s="13"/>
      <c r="F95" s="14"/>
      <c r="G95" s="13"/>
      <c r="H95" s="13"/>
      <c r="I95" s="14"/>
      <c r="J95" s="13"/>
      <c r="K95" s="13"/>
    </row>
    <row r="96" spans="1:11" ht="14.25">
      <c r="A96" s="13"/>
      <c r="B96" s="18"/>
      <c r="C96" s="13"/>
      <c r="D96" s="13"/>
      <c r="E96" s="13"/>
      <c r="F96" s="14"/>
      <c r="G96" s="13"/>
      <c r="H96" s="13"/>
      <c r="I96" s="14"/>
      <c r="J96" s="13"/>
      <c r="K96" s="13"/>
    </row>
    <row r="97" spans="1:11" ht="14.25">
      <c r="A97" s="13"/>
      <c r="B97" s="18"/>
      <c r="C97" s="13"/>
      <c r="D97" s="13"/>
      <c r="E97" s="13"/>
      <c r="F97" s="14"/>
      <c r="G97" s="13"/>
      <c r="H97" s="13"/>
      <c r="I97" s="14"/>
      <c r="J97" s="13"/>
      <c r="K97" s="13"/>
    </row>
    <row r="98" spans="1:11" ht="14.25">
      <c r="A98" s="13"/>
      <c r="B98" s="18"/>
      <c r="C98" s="13"/>
      <c r="D98" s="13"/>
      <c r="E98" s="13"/>
      <c r="F98" s="14"/>
      <c r="G98" s="13"/>
      <c r="H98" s="13"/>
      <c r="I98" s="14"/>
      <c r="J98" s="13"/>
      <c r="K98" s="13"/>
    </row>
    <row r="99" spans="1:11" ht="14.25">
      <c r="A99" s="13"/>
      <c r="B99" s="18"/>
      <c r="C99" s="13"/>
      <c r="D99" s="13"/>
      <c r="E99" s="13"/>
      <c r="F99" s="14"/>
      <c r="G99" s="13"/>
      <c r="H99" s="13"/>
      <c r="I99" s="14"/>
      <c r="J99" s="13"/>
      <c r="K99" s="13"/>
    </row>
    <row r="100" spans="1:11" ht="14.25">
      <c r="A100" s="13"/>
      <c r="B100" s="18"/>
      <c r="C100" s="13"/>
      <c r="D100" s="13"/>
      <c r="E100" s="13"/>
      <c r="F100" s="14"/>
      <c r="G100" s="13"/>
      <c r="H100" s="13"/>
      <c r="I100" s="14"/>
      <c r="J100" s="13"/>
      <c r="K100" s="13"/>
    </row>
    <row r="101" spans="1:11" ht="14.25">
      <c r="A101" s="13"/>
      <c r="B101" s="18"/>
      <c r="C101" s="13"/>
      <c r="D101" s="13"/>
      <c r="E101" s="13"/>
      <c r="F101" s="14"/>
      <c r="G101" s="13"/>
      <c r="H101" s="13"/>
      <c r="I101" s="14"/>
      <c r="J101" s="13"/>
      <c r="K101" s="13"/>
    </row>
    <row r="102" spans="1:11" ht="14.25">
      <c r="A102" s="13"/>
      <c r="B102" s="18"/>
      <c r="C102" s="13"/>
      <c r="D102" s="13"/>
      <c r="E102" s="13"/>
      <c r="F102" s="14"/>
      <c r="G102" s="13"/>
      <c r="H102" s="13"/>
      <c r="I102" s="14"/>
      <c r="J102" s="13"/>
      <c r="K102" s="13"/>
    </row>
    <row r="103" spans="1:11" ht="14.25">
      <c r="A103" s="13"/>
      <c r="B103" s="18"/>
      <c r="C103" s="13"/>
      <c r="D103" s="13"/>
      <c r="E103" s="13"/>
      <c r="F103" s="14"/>
      <c r="G103" s="13"/>
      <c r="H103" s="13"/>
      <c r="I103" s="14"/>
      <c r="J103" s="13"/>
      <c r="K103" s="13"/>
    </row>
    <row r="104" spans="1:11" ht="14.25">
      <c r="A104" s="13"/>
      <c r="B104" s="18"/>
      <c r="C104" s="13"/>
      <c r="D104" s="13"/>
      <c r="E104" s="13"/>
      <c r="F104" s="14"/>
      <c r="G104" s="13"/>
      <c r="H104" s="13"/>
      <c r="I104" s="14"/>
      <c r="J104" s="13"/>
      <c r="K104" s="13"/>
    </row>
    <row r="105" spans="1:11" ht="14.25">
      <c r="A105" s="13"/>
      <c r="B105" s="18"/>
      <c r="C105" s="13"/>
      <c r="D105" s="13"/>
      <c r="E105" s="13"/>
      <c r="F105" s="14"/>
      <c r="G105" s="13"/>
      <c r="H105" s="13"/>
      <c r="I105" s="14"/>
      <c r="J105" s="13"/>
      <c r="K105" s="13"/>
    </row>
    <row r="106" spans="1:11" ht="14.25">
      <c r="A106" s="13"/>
      <c r="B106" s="18"/>
      <c r="C106" s="13"/>
      <c r="D106" s="13"/>
      <c r="E106" s="13"/>
      <c r="F106" s="14"/>
      <c r="G106" s="13"/>
      <c r="H106" s="13"/>
      <c r="I106" s="14"/>
      <c r="J106" s="13"/>
      <c r="K106" s="13"/>
    </row>
    <row r="107" spans="1:11" ht="14.25">
      <c r="A107" s="13"/>
      <c r="B107" s="18"/>
      <c r="C107" s="13"/>
      <c r="D107" s="13"/>
      <c r="E107" s="13"/>
      <c r="F107" s="14"/>
      <c r="G107" s="13"/>
      <c r="H107" s="13"/>
      <c r="I107" s="14"/>
      <c r="J107" s="13"/>
      <c r="K107" s="13"/>
    </row>
    <row r="108" spans="1:11" ht="14.25">
      <c r="A108" s="13"/>
      <c r="B108" s="18"/>
      <c r="C108" s="13"/>
      <c r="D108" s="13"/>
      <c r="E108" s="13"/>
      <c r="F108" s="14"/>
      <c r="G108" s="13"/>
      <c r="H108" s="13"/>
      <c r="I108" s="14"/>
      <c r="J108" s="13"/>
      <c r="K108" s="13"/>
    </row>
    <row r="109" spans="1:11" ht="14.25">
      <c r="A109" s="13"/>
      <c r="B109" s="18"/>
      <c r="C109" s="13"/>
      <c r="D109" s="13"/>
      <c r="E109" s="13"/>
      <c r="F109" s="14"/>
      <c r="G109" s="13"/>
      <c r="H109" s="13"/>
      <c r="I109" s="14"/>
      <c r="J109" s="13"/>
      <c r="K109" s="13"/>
    </row>
    <row r="110" spans="1:11" ht="14.25">
      <c r="A110" s="13"/>
      <c r="B110" s="18"/>
      <c r="C110" s="13"/>
      <c r="D110" s="13"/>
      <c r="E110" s="13"/>
      <c r="F110" s="14"/>
      <c r="G110" s="13"/>
      <c r="H110" s="13"/>
      <c r="I110" s="14"/>
      <c r="J110" s="13"/>
      <c r="K110" s="13"/>
    </row>
    <row r="111" spans="1:11" ht="14.25">
      <c r="A111" s="13"/>
      <c r="B111" s="18"/>
      <c r="C111" s="13"/>
      <c r="D111" s="13"/>
      <c r="E111" s="13"/>
      <c r="F111" s="14"/>
      <c r="G111" s="13"/>
      <c r="H111" s="13"/>
      <c r="I111" s="14"/>
      <c r="J111" s="13"/>
      <c r="K111" s="13"/>
    </row>
    <row r="112" spans="1:11" ht="14.25">
      <c r="A112" s="13"/>
      <c r="B112" s="18"/>
      <c r="C112" s="13"/>
      <c r="D112" s="13"/>
      <c r="E112" s="13"/>
      <c r="F112" s="14"/>
      <c r="G112" s="13"/>
      <c r="H112" s="13"/>
      <c r="I112" s="14"/>
      <c r="J112" s="13"/>
      <c r="K112" s="13"/>
    </row>
    <row r="113" spans="1:11" ht="14.25">
      <c r="A113" s="13"/>
      <c r="B113" s="18"/>
      <c r="C113" s="13"/>
      <c r="D113" s="13"/>
      <c r="E113" s="13"/>
      <c r="F113" s="14"/>
      <c r="G113" s="13"/>
      <c r="H113" s="13"/>
      <c r="I113" s="14"/>
      <c r="J113" s="13"/>
      <c r="K113" s="13"/>
    </row>
    <row r="114" spans="1:11" ht="14.25">
      <c r="A114" s="13"/>
      <c r="B114" s="18"/>
      <c r="C114" s="13"/>
      <c r="D114" s="13"/>
      <c r="E114" s="13"/>
      <c r="F114" s="14"/>
      <c r="G114" s="13"/>
      <c r="H114" s="13"/>
      <c r="I114" s="14"/>
      <c r="J114" s="13"/>
      <c r="K114" s="13"/>
    </row>
    <row r="115" spans="1:11" ht="14.25">
      <c r="A115" s="13"/>
      <c r="B115" s="18"/>
      <c r="C115" s="13"/>
      <c r="D115" s="13"/>
      <c r="E115" s="13"/>
      <c r="F115" s="14"/>
      <c r="G115" s="13"/>
      <c r="H115" s="13"/>
      <c r="I115" s="14"/>
      <c r="J115" s="13"/>
      <c r="K115" s="13"/>
    </row>
    <row r="116" spans="1:11" ht="14.25">
      <c r="A116" s="13"/>
      <c r="B116" s="18"/>
      <c r="C116" s="13"/>
      <c r="D116" s="13"/>
      <c r="E116" s="13"/>
      <c r="F116" s="14"/>
      <c r="G116" s="13"/>
      <c r="H116" s="13"/>
      <c r="I116" s="14"/>
      <c r="J116" s="13"/>
      <c r="K116" s="13"/>
    </row>
    <row r="117" spans="1:11" ht="14.25">
      <c r="A117" s="13"/>
      <c r="B117" s="18"/>
      <c r="C117" s="13"/>
      <c r="D117" s="13"/>
      <c r="E117" s="13"/>
      <c r="F117" s="14"/>
      <c r="G117" s="13"/>
      <c r="H117" s="13"/>
      <c r="I117" s="14"/>
      <c r="J117" s="13"/>
      <c r="K117" s="13"/>
    </row>
    <row r="118" spans="1:11" ht="14.25">
      <c r="A118" s="13"/>
      <c r="B118" s="18"/>
      <c r="C118" s="13"/>
      <c r="D118" s="13"/>
      <c r="E118" s="13"/>
      <c r="F118" s="14"/>
      <c r="G118" s="13"/>
      <c r="H118" s="13"/>
      <c r="I118" s="14"/>
      <c r="J118" s="13"/>
      <c r="K118" s="13"/>
    </row>
    <row r="119" spans="1:11" ht="14.25">
      <c r="A119" s="13"/>
      <c r="B119" s="18"/>
      <c r="C119" s="13"/>
      <c r="D119" s="13"/>
      <c r="E119" s="13"/>
      <c r="F119" s="14"/>
      <c r="G119" s="13"/>
      <c r="H119" s="13"/>
      <c r="I119" s="14"/>
      <c r="J119" s="13"/>
      <c r="K119" s="13"/>
    </row>
    <row r="120" spans="1:11" ht="14.25">
      <c r="A120" s="13"/>
      <c r="B120" s="18"/>
      <c r="C120" s="13"/>
      <c r="D120" s="13"/>
      <c r="E120" s="13"/>
      <c r="F120" s="14"/>
      <c r="G120" s="13"/>
      <c r="H120" s="13"/>
      <c r="I120" s="14"/>
      <c r="J120" s="13"/>
      <c r="K120" s="13"/>
    </row>
    <row r="121" spans="1:11" ht="14.25">
      <c r="A121" s="13"/>
      <c r="B121" s="18"/>
      <c r="C121" s="13"/>
      <c r="D121" s="13"/>
      <c r="E121" s="13"/>
      <c r="F121" s="14"/>
      <c r="G121" s="13"/>
      <c r="H121" s="13"/>
      <c r="I121" s="14"/>
      <c r="J121" s="13"/>
      <c r="K121" s="13"/>
    </row>
    <row r="122" spans="1:11" ht="14.25">
      <c r="A122" s="13"/>
      <c r="B122" s="18"/>
      <c r="C122" s="13"/>
      <c r="D122" s="13"/>
      <c r="E122" s="13"/>
      <c r="F122" s="14"/>
      <c r="G122" s="13"/>
      <c r="H122" s="13"/>
      <c r="I122" s="14"/>
      <c r="J122" s="13"/>
      <c r="K122" s="13"/>
    </row>
    <row r="123" spans="1:11" ht="14.25">
      <c r="A123" s="13"/>
      <c r="B123" s="18"/>
      <c r="C123" s="13"/>
      <c r="D123" s="13"/>
      <c r="E123" s="13"/>
      <c r="F123" s="14"/>
      <c r="G123" s="13"/>
      <c r="H123" s="13"/>
      <c r="I123" s="14"/>
      <c r="J123" s="13"/>
      <c r="K123" s="13"/>
    </row>
    <row r="124" spans="1:11" ht="14.25">
      <c r="A124" s="13"/>
      <c r="B124" s="18"/>
      <c r="C124" s="13"/>
      <c r="D124" s="13"/>
      <c r="E124" s="13"/>
      <c r="F124" s="14"/>
      <c r="G124" s="13"/>
      <c r="H124" s="13"/>
      <c r="I124" s="14"/>
      <c r="J124" s="13"/>
      <c r="K124" s="13"/>
    </row>
    <row r="125" spans="1:11" ht="14.25">
      <c r="A125" s="13"/>
      <c r="B125" s="18"/>
      <c r="C125" s="13"/>
      <c r="D125" s="13"/>
      <c r="E125" s="13"/>
      <c r="F125" s="14"/>
      <c r="G125" s="13"/>
      <c r="H125" s="13"/>
      <c r="I125" s="14"/>
      <c r="J125" s="13"/>
      <c r="K125" s="13"/>
    </row>
    <row r="126" spans="1:11" ht="14.25">
      <c r="A126" s="13"/>
      <c r="B126" s="18"/>
      <c r="C126" s="13"/>
      <c r="D126" s="13"/>
      <c r="E126" s="13"/>
      <c r="F126" s="14"/>
      <c r="G126" s="13"/>
      <c r="H126" s="13"/>
      <c r="I126" s="14"/>
      <c r="J126" s="13"/>
      <c r="K126" s="13"/>
    </row>
    <row r="127" spans="1:11" ht="14.25">
      <c r="A127" s="13"/>
      <c r="B127" s="18"/>
      <c r="C127" s="13"/>
      <c r="D127" s="13"/>
      <c r="E127" s="13"/>
      <c r="F127" s="14"/>
      <c r="G127" s="13"/>
      <c r="H127" s="13"/>
      <c r="I127" s="14"/>
      <c r="J127" s="13"/>
      <c r="K127" s="13"/>
    </row>
    <row r="128" spans="1:11" ht="14.25">
      <c r="A128" s="13"/>
      <c r="B128" s="18"/>
      <c r="C128" s="13"/>
      <c r="D128" s="13"/>
      <c r="E128" s="13"/>
      <c r="F128" s="14"/>
      <c r="G128" s="13"/>
      <c r="H128" s="13"/>
      <c r="I128" s="14"/>
      <c r="J128" s="13"/>
      <c r="K128" s="13"/>
    </row>
    <row r="129" spans="1:11" ht="14.25">
      <c r="A129" s="13"/>
      <c r="B129" s="18"/>
      <c r="C129" s="13"/>
      <c r="D129" s="13"/>
      <c r="E129" s="13"/>
      <c r="F129" s="14"/>
      <c r="G129" s="13"/>
      <c r="H129" s="13"/>
      <c r="I129" s="14"/>
      <c r="J129" s="13"/>
      <c r="K129" s="13"/>
    </row>
    <row r="130" spans="1:11" ht="14.25">
      <c r="A130" s="13"/>
      <c r="B130" s="18"/>
      <c r="C130" s="13"/>
      <c r="D130" s="13"/>
      <c r="E130" s="13"/>
      <c r="F130" s="14"/>
      <c r="G130" s="13"/>
      <c r="H130" s="13"/>
      <c r="I130" s="14"/>
      <c r="J130" s="13"/>
      <c r="K130" s="13"/>
    </row>
    <row r="131" spans="1:11" ht="14.25">
      <c r="A131" s="13"/>
      <c r="B131" s="18"/>
      <c r="C131" s="13"/>
      <c r="D131" s="13"/>
      <c r="E131" s="13"/>
      <c r="F131" s="14"/>
      <c r="G131" s="13"/>
      <c r="H131" s="13"/>
      <c r="I131" s="14"/>
      <c r="J131" s="13"/>
      <c r="K131" s="13"/>
    </row>
    <row r="132" spans="1:11" ht="14.25">
      <c r="A132" s="13"/>
      <c r="B132" s="18"/>
      <c r="C132" s="13"/>
      <c r="D132" s="13"/>
      <c r="E132" s="13"/>
      <c r="F132" s="14"/>
      <c r="G132" s="13"/>
      <c r="H132" s="13"/>
      <c r="I132" s="14"/>
      <c r="J132" s="13"/>
      <c r="K132" s="13"/>
    </row>
    <row r="133" spans="1:11" ht="14.25">
      <c r="A133" s="13"/>
      <c r="B133" s="18"/>
      <c r="C133" s="13"/>
      <c r="D133" s="13"/>
      <c r="E133" s="13"/>
      <c r="F133" s="14"/>
      <c r="G133" s="13"/>
      <c r="H133" s="13"/>
      <c r="I133" s="14"/>
      <c r="J133" s="13"/>
      <c r="K133" s="13"/>
    </row>
    <row r="134" spans="1:11" ht="14.25">
      <c r="A134" s="13"/>
      <c r="B134" s="18"/>
      <c r="C134" s="13"/>
      <c r="D134" s="13"/>
      <c r="E134" s="13"/>
      <c r="F134" s="14"/>
      <c r="G134" s="13"/>
      <c r="H134" s="13"/>
      <c r="I134" s="14"/>
      <c r="J134" s="13"/>
      <c r="K134" s="13"/>
    </row>
    <row r="135" spans="1:11" ht="14.25">
      <c r="A135" s="13"/>
      <c r="B135" s="18"/>
      <c r="C135" s="13"/>
      <c r="D135" s="13"/>
      <c r="E135" s="13"/>
      <c r="F135" s="14"/>
      <c r="G135" s="13"/>
      <c r="H135" s="13"/>
      <c r="I135" s="14"/>
      <c r="J135" s="13"/>
      <c r="K135" s="13"/>
    </row>
    <row r="136" spans="1:11" ht="14.25">
      <c r="A136" s="13"/>
      <c r="B136" s="18"/>
      <c r="C136" s="13"/>
      <c r="D136" s="13"/>
      <c r="E136" s="13"/>
      <c r="F136" s="14"/>
      <c r="G136" s="13"/>
      <c r="H136" s="13"/>
      <c r="I136" s="14"/>
      <c r="J136" s="13"/>
      <c r="K136" s="13"/>
    </row>
    <row r="137" spans="1:11" ht="14.25">
      <c r="A137" s="13"/>
      <c r="B137" s="18"/>
      <c r="C137" s="13"/>
      <c r="D137" s="13"/>
      <c r="E137" s="13"/>
      <c r="F137" s="14"/>
      <c r="G137" s="13"/>
      <c r="H137" s="13"/>
      <c r="I137" s="14"/>
      <c r="J137" s="13"/>
      <c r="K137" s="13"/>
    </row>
    <row r="138" spans="1:11" ht="14.25">
      <c r="A138" s="13"/>
      <c r="B138" s="18"/>
      <c r="C138" s="13"/>
      <c r="D138" s="13"/>
      <c r="E138" s="13"/>
      <c r="F138" s="14"/>
      <c r="G138" s="13"/>
      <c r="H138" s="13"/>
      <c r="I138" s="14"/>
      <c r="J138" s="13"/>
      <c r="K138" s="13"/>
    </row>
    <row r="139" spans="1:11" ht="14.25">
      <c r="A139" s="13"/>
      <c r="B139" s="18"/>
      <c r="C139" s="13"/>
      <c r="D139" s="13"/>
      <c r="E139" s="13"/>
      <c r="F139" s="14"/>
      <c r="G139" s="13"/>
      <c r="H139" s="13"/>
      <c r="I139" s="14"/>
      <c r="J139" s="13"/>
      <c r="K139" s="13"/>
    </row>
    <row r="140" spans="1:11" ht="14.25">
      <c r="A140" s="13"/>
      <c r="B140" s="18"/>
      <c r="C140" s="13"/>
      <c r="D140" s="13"/>
      <c r="E140" s="13"/>
      <c r="F140" s="14"/>
      <c r="G140" s="13"/>
      <c r="H140" s="13"/>
      <c r="I140" s="14"/>
      <c r="J140" s="13"/>
      <c r="K140" s="13"/>
    </row>
    <row r="141" spans="1:11" ht="14.25">
      <c r="A141" s="13"/>
      <c r="B141" s="18"/>
      <c r="C141" s="13"/>
      <c r="D141" s="13"/>
      <c r="E141" s="13"/>
      <c r="F141" s="14"/>
      <c r="G141" s="13"/>
      <c r="H141" s="13"/>
      <c r="I141" s="14"/>
      <c r="J141" s="13"/>
      <c r="K141" s="13"/>
    </row>
    <row r="142" spans="1:11" ht="14.25">
      <c r="A142" s="13"/>
      <c r="B142" s="18"/>
      <c r="C142" s="13"/>
      <c r="D142" s="13"/>
      <c r="E142" s="13"/>
      <c r="F142" s="14"/>
      <c r="G142" s="13"/>
      <c r="H142" s="13"/>
      <c r="I142" s="14"/>
      <c r="J142" s="13"/>
      <c r="K142" s="13"/>
    </row>
    <row r="143" spans="1:11" ht="14.25">
      <c r="A143" s="13"/>
      <c r="B143" s="18"/>
      <c r="C143" s="13"/>
      <c r="D143" s="13"/>
      <c r="E143" s="13"/>
      <c r="F143" s="14"/>
      <c r="G143" s="13"/>
      <c r="H143" s="13"/>
      <c r="I143" s="14"/>
      <c r="J143" s="13"/>
      <c r="K143" s="13"/>
    </row>
    <row r="144" spans="1:11" ht="14.25">
      <c r="A144" s="13"/>
      <c r="B144" s="18"/>
      <c r="C144" s="13"/>
      <c r="D144" s="13"/>
      <c r="E144" s="13"/>
      <c r="F144" s="14"/>
      <c r="G144" s="13"/>
      <c r="H144" s="13"/>
      <c r="I144" s="14"/>
      <c r="J144" s="13"/>
      <c r="K144" s="13"/>
    </row>
    <row r="145" spans="1:11" ht="14.25">
      <c r="A145" s="13"/>
      <c r="B145" s="18"/>
      <c r="C145" s="13"/>
      <c r="D145" s="13"/>
      <c r="E145" s="13"/>
      <c r="F145" s="14"/>
      <c r="G145" s="13"/>
      <c r="H145" s="13"/>
      <c r="I145" s="14"/>
      <c r="J145" s="13"/>
      <c r="K145" s="13"/>
    </row>
    <row r="146" spans="1:11" ht="14.25">
      <c r="A146" s="13"/>
      <c r="B146" s="18"/>
      <c r="C146" s="13"/>
      <c r="D146" s="13"/>
      <c r="E146" s="13"/>
      <c r="F146" s="14"/>
      <c r="G146" s="13"/>
      <c r="H146" s="13"/>
      <c r="I146" s="14"/>
      <c r="J146" s="13"/>
      <c r="K146" s="13"/>
    </row>
    <row r="147" spans="1:11" ht="14.25">
      <c r="A147" s="13"/>
      <c r="B147" s="18"/>
      <c r="C147" s="13"/>
      <c r="D147" s="13"/>
      <c r="E147" s="13"/>
      <c r="F147" s="14"/>
      <c r="G147" s="13"/>
      <c r="H147" s="13"/>
      <c r="I147" s="14"/>
      <c r="J147" s="13"/>
      <c r="K147" s="13"/>
    </row>
    <row r="148" spans="1:11" ht="14.25">
      <c r="A148" s="13"/>
      <c r="B148" s="18"/>
      <c r="C148" s="13"/>
      <c r="D148" s="13"/>
      <c r="E148" s="13"/>
      <c r="F148" s="14"/>
      <c r="G148" s="13"/>
      <c r="H148" s="13"/>
      <c r="I148" s="14"/>
      <c r="J148" s="13"/>
      <c r="K148" s="13"/>
    </row>
    <row r="149" spans="1:11" ht="14.25">
      <c r="A149" s="13"/>
      <c r="B149" s="18"/>
      <c r="C149" s="13"/>
      <c r="D149" s="13"/>
      <c r="E149" s="13"/>
      <c r="F149" s="14"/>
      <c r="G149" s="13"/>
      <c r="H149" s="13"/>
      <c r="I149" s="14"/>
      <c r="J149" s="13"/>
      <c r="K149" s="13"/>
    </row>
    <row r="150" spans="1:11" ht="14.25">
      <c r="A150" s="13"/>
      <c r="B150" s="18"/>
      <c r="C150" s="13"/>
      <c r="D150" s="13"/>
      <c r="E150" s="13"/>
      <c r="F150" s="14"/>
      <c r="G150" s="13"/>
      <c r="H150" s="13"/>
      <c r="I150" s="14"/>
      <c r="J150" s="13"/>
      <c r="K150" s="13"/>
    </row>
    <row r="151" spans="1:11" ht="14.25">
      <c r="A151" s="13"/>
      <c r="B151" s="18"/>
      <c r="C151" s="13"/>
      <c r="D151" s="13"/>
      <c r="E151" s="13"/>
      <c r="F151" s="14"/>
      <c r="G151" s="13"/>
      <c r="H151" s="13"/>
      <c r="I151" s="14"/>
      <c r="J151" s="13"/>
      <c r="K151" s="13"/>
    </row>
    <row r="152" spans="1:11" ht="14.25">
      <c r="A152" s="13"/>
      <c r="B152" s="18"/>
      <c r="C152" s="13"/>
      <c r="D152" s="13"/>
      <c r="E152" s="13"/>
      <c r="F152" s="14"/>
      <c r="G152" s="13"/>
      <c r="H152" s="13"/>
      <c r="I152" s="14"/>
      <c r="J152" s="13"/>
      <c r="K152" s="13"/>
    </row>
    <row r="153" spans="1:11" ht="14.25">
      <c r="A153" s="13"/>
      <c r="B153" s="18"/>
      <c r="C153" s="13"/>
      <c r="D153" s="13"/>
      <c r="E153" s="13"/>
      <c r="F153" s="14"/>
      <c r="G153" s="13"/>
      <c r="H153" s="13"/>
      <c r="I153" s="14"/>
      <c r="J153" s="13"/>
      <c r="K153" s="13"/>
    </row>
    <row r="154" spans="1:11" ht="14.25">
      <c r="A154" s="13"/>
      <c r="B154" s="18"/>
      <c r="C154" s="13"/>
      <c r="D154" s="13"/>
      <c r="E154" s="13"/>
      <c r="F154" s="14"/>
      <c r="G154" s="13"/>
      <c r="H154" s="13"/>
      <c r="I154" s="14"/>
      <c r="J154" s="13"/>
      <c r="K154" s="13"/>
    </row>
    <row r="155" spans="1:11" ht="14.25">
      <c r="A155" s="13"/>
      <c r="B155" s="18"/>
      <c r="C155" s="13"/>
      <c r="D155" s="13"/>
      <c r="E155" s="13"/>
      <c r="F155" s="14"/>
      <c r="G155" s="13"/>
      <c r="H155" s="13"/>
      <c r="I155" s="14"/>
      <c r="J155" s="13"/>
      <c r="K155" s="13"/>
    </row>
    <row r="156" spans="1:11" ht="14.25">
      <c r="A156" s="13"/>
      <c r="B156" s="18"/>
      <c r="C156" s="13"/>
      <c r="D156" s="13"/>
      <c r="E156" s="13"/>
      <c r="F156" s="14"/>
      <c r="G156" s="13"/>
      <c r="H156" s="13"/>
      <c r="I156" s="14"/>
      <c r="J156" s="13"/>
      <c r="K156" s="13"/>
    </row>
    <row r="157" spans="1:11" ht="14.25">
      <c r="A157" s="13"/>
      <c r="B157" s="18"/>
      <c r="C157" s="13"/>
      <c r="D157" s="13"/>
      <c r="E157" s="13"/>
      <c r="F157" s="14"/>
      <c r="G157" s="13"/>
      <c r="H157" s="13"/>
      <c r="I157" s="14"/>
      <c r="J157" s="13"/>
      <c r="K157" s="13"/>
    </row>
    <row r="158" spans="1:11" ht="14.25">
      <c r="A158" s="13"/>
      <c r="B158" s="18"/>
      <c r="C158" s="13"/>
      <c r="D158" s="13"/>
      <c r="E158" s="13"/>
      <c r="F158" s="14"/>
      <c r="G158" s="13"/>
      <c r="H158" s="13"/>
      <c r="I158" s="14"/>
      <c r="J158" s="13"/>
      <c r="K158" s="13"/>
    </row>
    <row r="159" spans="1:11" ht="14.25">
      <c r="A159" s="13"/>
      <c r="B159" s="18"/>
      <c r="C159" s="13"/>
      <c r="D159" s="13"/>
      <c r="E159" s="13"/>
      <c r="F159" s="14"/>
      <c r="G159" s="13"/>
      <c r="H159" s="13"/>
      <c r="I159" s="14"/>
      <c r="J159" s="13"/>
      <c r="K159" s="13"/>
    </row>
    <row r="160" spans="1:11" ht="14.25">
      <c r="A160" s="13"/>
      <c r="B160" s="18"/>
      <c r="C160" s="13"/>
      <c r="D160" s="13"/>
      <c r="E160" s="13"/>
      <c r="F160" s="14"/>
      <c r="G160" s="13"/>
      <c r="H160" s="13"/>
      <c r="I160" s="14"/>
      <c r="J160" s="13"/>
      <c r="K160" s="13"/>
    </row>
    <row r="161" spans="1:11" ht="14.25">
      <c r="A161" s="13"/>
      <c r="B161" s="18"/>
      <c r="C161" s="13"/>
      <c r="D161" s="13"/>
      <c r="E161" s="13"/>
      <c r="F161" s="14"/>
      <c r="G161" s="13"/>
      <c r="H161" s="13"/>
      <c r="I161" s="14"/>
      <c r="J161" s="13"/>
      <c r="K161" s="13"/>
    </row>
    <row r="162" spans="1:11" ht="14.25">
      <c r="A162" s="13"/>
      <c r="B162" s="18"/>
      <c r="C162" s="13"/>
      <c r="D162" s="13"/>
      <c r="E162" s="13"/>
      <c r="F162" s="14"/>
      <c r="G162" s="13"/>
      <c r="H162" s="13"/>
      <c r="I162" s="14"/>
      <c r="J162" s="13"/>
      <c r="K162" s="13"/>
    </row>
    <row r="163" spans="1:11" ht="14.25">
      <c r="A163" s="13"/>
      <c r="B163" s="18"/>
      <c r="C163" s="13"/>
      <c r="D163" s="13"/>
      <c r="E163" s="13"/>
      <c r="F163" s="14"/>
      <c r="G163" s="13"/>
      <c r="H163" s="13"/>
      <c r="I163" s="14"/>
      <c r="J163" s="13"/>
      <c r="K163" s="13"/>
    </row>
    <row r="164" spans="1:11" ht="14.25">
      <c r="A164" s="13"/>
      <c r="B164" s="18"/>
      <c r="C164" s="13"/>
      <c r="D164" s="13"/>
      <c r="E164" s="13"/>
      <c r="F164" s="14"/>
      <c r="G164" s="13"/>
      <c r="H164" s="13"/>
      <c r="I164" s="14"/>
      <c r="J164" s="13"/>
      <c r="K164" s="13"/>
    </row>
    <row r="165" spans="1:11" ht="14.25">
      <c r="A165" s="13"/>
      <c r="B165" s="18"/>
      <c r="C165" s="13"/>
      <c r="D165" s="13"/>
      <c r="E165" s="13"/>
      <c r="F165" s="14"/>
      <c r="G165" s="13"/>
      <c r="H165" s="13"/>
      <c r="I165" s="14"/>
      <c r="J165" s="13"/>
      <c r="K165" s="13"/>
    </row>
    <row r="166" spans="1:11" ht="14.25">
      <c r="A166" s="13"/>
      <c r="B166" s="18"/>
      <c r="C166" s="13"/>
      <c r="D166" s="13"/>
      <c r="E166" s="13"/>
      <c r="F166" s="14"/>
      <c r="G166" s="13"/>
      <c r="H166" s="13"/>
      <c r="I166" s="14"/>
      <c r="J166" s="13"/>
      <c r="K166" s="13"/>
    </row>
    <row r="167" spans="1:11" ht="14.25">
      <c r="A167" s="13"/>
      <c r="B167" s="18"/>
      <c r="C167" s="13"/>
      <c r="D167" s="13"/>
      <c r="E167" s="13"/>
      <c r="F167" s="14"/>
      <c r="G167" s="13"/>
      <c r="H167" s="13"/>
      <c r="I167" s="14"/>
      <c r="J167" s="13"/>
      <c r="K167" s="13"/>
    </row>
    <row r="168" spans="1:11" ht="14.25">
      <c r="A168" s="13"/>
      <c r="B168" s="18"/>
      <c r="C168" s="13"/>
      <c r="D168" s="13"/>
      <c r="E168" s="13"/>
      <c r="F168" s="14"/>
      <c r="G168" s="13"/>
      <c r="H168" s="13"/>
      <c r="I168" s="14"/>
      <c r="J168" s="13"/>
      <c r="K168" s="13"/>
    </row>
    <row r="169" spans="1:11" ht="14.25">
      <c r="A169" s="13"/>
      <c r="B169" s="18"/>
      <c r="C169" s="13"/>
      <c r="D169" s="13"/>
      <c r="E169" s="13"/>
      <c r="F169" s="14"/>
      <c r="G169" s="13"/>
      <c r="H169" s="13"/>
      <c r="I169" s="14"/>
      <c r="J169" s="13"/>
      <c r="K169" s="13"/>
    </row>
    <row r="170" spans="1:11" ht="14.25">
      <c r="A170" s="13"/>
      <c r="B170" s="18"/>
      <c r="C170" s="13"/>
      <c r="D170" s="13"/>
      <c r="E170" s="13"/>
      <c r="F170" s="14"/>
      <c r="G170" s="13"/>
      <c r="H170" s="13"/>
      <c r="I170" s="14"/>
      <c r="J170" s="13"/>
      <c r="K170" s="13"/>
    </row>
    <row r="171" spans="1:11" ht="14.25">
      <c r="A171" s="13"/>
      <c r="B171" s="18"/>
      <c r="C171" s="13"/>
      <c r="D171" s="13"/>
      <c r="E171" s="13"/>
      <c r="F171" s="14"/>
      <c r="G171" s="13"/>
      <c r="H171" s="13"/>
      <c r="I171" s="14"/>
      <c r="J171" s="13"/>
      <c r="K171" s="13"/>
    </row>
    <row r="172" spans="1:11" ht="14.25">
      <c r="A172" s="13"/>
      <c r="B172" s="18"/>
      <c r="C172" s="13"/>
      <c r="D172" s="13"/>
      <c r="E172" s="13"/>
      <c r="F172" s="14"/>
      <c r="G172" s="13"/>
      <c r="H172" s="13"/>
      <c r="I172" s="14"/>
      <c r="J172" s="13"/>
      <c r="K172" s="13"/>
    </row>
    <row r="173" spans="1:11" ht="14.25">
      <c r="A173" s="13"/>
      <c r="B173" s="18"/>
      <c r="C173" s="13"/>
      <c r="D173" s="13"/>
      <c r="E173" s="13"/>
      <c r="F173" s="14"/>
      <c r="G173" s="13"/>
      <c r="H173" s="13"/>
      <c r="I173" s="14"/>
      <c r="J173" s="13"/>
      <c r="K173" s="13"/>
    </row>
    <row r="174" spans="1:11" ht="14.25">
      <c r="A174" s="13"/>
      <c r="B174" s="18"/>
      <c r="C174" s="13"/>
      <c r="D174" s="13"/>
      <c r="E174" s="13"/>
      <c r="F174" s="14"/>
      <c r="G174" s="13"/>
      <c r="H174" s="13"/>
      <c r="I174" s="14"/>
      <c r="J174" s="13"/>
      <c r="K174" s="13"/>
    </row>
    <row r="175" spans="1:11" ht="14.25">
      <c r="A175" s="13"/>
      <c r="B175" s="18"/>
      <c r="C175" s="13"/>
      <c r="D175" s="13"/>
      <c r="E175" s="13"/>
      <c r="F175" s="14"/>
      <c r="G175" s="13"/>
      <c r="H175" s="13"/>
      <c r="I175" s="14"/>
      <c r="J175" s="13"/>
      <c r="K175" s="13"/>
    </row>
    <row r="176" spans="1:11" ht="14.25">
      <c r="A176" s="13"/>
      <c r="B176" s="18"/>
      <c r="C176" s="13"/>
      <c r="D176" s="13"/>
      <c r="E176" s="13"/>
      <c r="F176" s="14"/>
      <c r="G176" s="13"/>
      <c r="H176" s="13"/>
      <c r="I176" s="14"/>
      <c r="J176" s="13"/>
      <c r="K176" s="13"/>
    </row>
    <row r="177" spans="1:11" ht="14.25">
      <c r="A177" s="13"/>
      <c r="B177" s="18"/>
      <c r="C177" s="13"/>
      <c r="D177" s="13"/>
      <c r="E177" s="13"/>
      <c r="F177" s="14"/>
      <c r="G177" s="13"/>
      <c r="H177" s="13"/>
      <c r="I177" s="14"/>
      <c r="J177" s="13"/>
      <c r="K177" s="13"/>
    </row>
    <row r="178" spans="1:11" ht="14.25">
      <c r="A178" s="13"/>
      <c r="B178" s="18"/>
      <c r="C178" s="13"/>
      <c r="D178" s="13"/>
      <c r="E178" s="13"/>
      <c r="F178" s="14"/>
      <c r="G178" s="13"/>
      <c r="H178" s="13"/>
      <c r="I178" s="14"/>
      <c r="J178" s="13"/>
      <c r="K178" s="13"/>
    </row>
    <row r="179" spans="1:11" ht="14.25">
      <c r="A179" s="13"/>
      <c r="B179" s="18"/>
      <c r="C179" s="13"/>
      <c r="D179" s="13"/>
      <c r="E179" s="13"/>
      <c r="F179" s="14"/>
      <c r="G179" s="13"/>
      <c r="H179" s="13"/>
      <c r="I179" s="14"/>
      <c r="J179" s="13"/>
      <c r="K179" s="13"/>
    </row>
    <row r="180" spans="1:11" ht="14.25">
      <c r="A180" s="13"/>
      <c r="B180" s="18"/>
      <c r="C180" s="13"/>
      <c r="D180" s="13"/>
      <c r="E180" s="13"/>
      <c r="F180" s="14"/>
      <c r="G180" s="13"/>
      <c r="H180" s="13"/>
      <c r="I180" s="14"/>
      <c r="J180" s="13"/>
      <c r="K180" s="13"/>
    </row>
    <row r="181" spans="1:11" ht="14.25">
      <c r="A181" s="13"/>
      <c r="B181" s="18"/>
      <c r="C181" s="13"/>
      <c r="D181" s="13"/>
      <c r="E181" s="13"/>
      <c r="F181" s="14"/>
      <c r="G181" s="13"/>
      <c r="H181" s="13"/>
      <c r="I181" s="14"/>
      <c r="J181" s="13"/>
      <c r="K181" s="13"/>
    </row>
    <row r="182" spans="1:11" ht="14.25">
      <c r="A182" s="13"/>
      <c r="B182" s="18"/>
      <c r="C182" s="13"/>
      <c r="D182" s="13"/>
      <c r="E182" s="13"/>
      <c r="F182" s="14"/>
      <c r="G182" s="13"/>
      <c r="H182" s="13"/>
      <c r="I182" s="14"/>
      <c r="J182" s="13"/>
      <c r="K182" s="13"/>
    </row>
    <row r="183" spans="1:11" ht="14.25">
      <c r="A183" s="13"/>
      <c r="B183" s="18"/>
      <c r="C183" s="13"/>
      <c r="D183" s="13"/>
      <c r="E183" s="13"/>
      <c r="F183" s="14"/>
      <c r="G183" s="13"/>
      <c r="H183" s="13"/>
      <c r="I183" s="14"/>
      <c r="J183" s="13"/>
      <c r="K183" s="13"/>
    </row>
    <row r="184" spans="1:11" ht="14.25">
      <c r="A184" s="13"/>
      <c r="B184" s="18"/>
      <c r="C184" s="13"/>
      <c r="D184" s="13"/>
      <c r="E184" s="13"/>
      <c r="F184" s="14"/>
      <c r="G184" s="13"/>
      <c r="H184" s="13"/>
      <c r="I184" s="14"/>
      <c r="J184" s="13"/>
      <c r="K184" s="13"/>
    </row>
    <row r="185" spans="1:11" ht="14.25">
      <c r="A185" s="13"/>
      <c r="B185" s="18"/>
      <c r="C185" s="13"/>
      <c r="D185" s="13"/>
      <c r="E185" s="13"/>
      <c r="F185" s="14"/>
      <c r="G185" s="13"/>
      <c r="H185" s="13"/>
      <c r="I185" s="14"/>
      <c r="J185" s="13"/>
      <c r="K185" s="13"/>
    </row>
    <row r="186" spans="1:11" ht="14.25">
      <c r="A186" s="13"/>
      <c r="B186" s="18"/>
      <c r="C186" s="13"/>
      <c r="D186" s="13"/>
      <c r="E186" s="13"/>
      <c r="F186" s="14"/>
      <c r="G186" s="13"/>
      <c r="H186" s="13"/>
      <c r="I186" s="14"/>
      <c r="J186" s="13"/>
      <c r="K186" s="13"/>
    </row>
    <row r="187" spans="1:11" ht="14.25">
      <c r="A187" s="13"/>
      <c r="B187" s="18"/>
      <c r="C187" s="13"/>
      <c r="D187" s="13"/>
      <c r="E187" s="13"/>
      <c r="F187" s="14"/>
      <c r="G187" s="13"/>
      <c r="H187" s="13"/>
      <c r="I187" s="14"/>
      <c r="J187" s="13"/>
      <c r="K187" s="13"/>
    </row>
    <row r="188" spans="1:11" ht="14.25">
      <c r="A188" s="13"/>
      <c r="B188" s="18"/>
      <c r="C188" s="13"/>
      <c r="D188" s="13"/>
      <c r="E188" s="13"/>
      <c r="F188" s="14"/>
      <c r="G188" s="13"/>
      <c r="H188" s="13"/>
      <c r="I188" s="14"/>
      <c r="J188" s="13"/>
      <c r="K188" s="13"/>
    </row>
    <row r="189" spans="1:11" ht="14.25">
      <c r="A189" s="13"/>
      <c r="B189" s="18"/>
      <c r="C189" s="13"/>
      <c r="D189" s="13"/>
      <c r="E189" s="13"/>
      <c r="F189" s="14"/>
      <c r="G189" s="13"/>
      <c r="H189" s="13"/>
      <c r="I189" s="14"/>
      <c r="J189" s="13"/>
      <c r="K189" s="13"/>
    </row>
    <row r="190" spans="1:11" ht="14.25">
      <c r="A190" s="13"/>
      <c r="B190" s="18"/>
      <c r="C190" s="13"/>
      <c r="D190" s="13"/>
      <c r="E190" s="13"/>
      <c r="F190" s="14"/>
      <c r="G190" s="13"/>
      <c r="H190" s="13"/>
      <c r="I190" s="14"/>
      <c r="J190" s="13"/>
      <c r="K190" s="13"/>
    </row>
    <row r="191" spans="1:11" ht="14.25">
      <c r="A191" s="13"/>
      <c r="B191" s="18"/>
      <c r="C191" s="13"/>
      <c r="D191" s="13"/>
      <c r="E191" s="13"/>
      <c r="F191" s="14"/>
      <c r="G191" s="13"/>
      <c r="H191" s="13"/>
      <c r="I191" s="14"/>
      <c r="J191" s="13"/>
      <c r="K191" s="13"/>
    </row>
    <row r="192" spans="1:11" ht="14.25">
      <c r="A192" s="13"/>
      <c r="B192" s="18"/>
      <c r="C192" s="13"/>
      <c r="D192" s="13"/>
      <c r="E192" s="13"/>
      <c r="F192" s="14"/>
      <c r="G192" s="13"/>
      <c r="H192" s="13"/>
      <c r="I192" s="14"/>
      <c r="J192" s="13"/>
      <c r="K192" s="13"/>
    </row>
    <row r="193" spans="1:11" ht="14.25">
      <c r="A193" s="13"/>
      <c r="B193" s="18"/>
      <c r="C193" s="13"/>
      <c r="D193" s="13"/>
      <c r="E193" s="13"/>
      <c r="F193" s="14"/>
      <c r="G193" s="13"/>
      <c r="H193" s="13"/>
      <c r="I193" s="14"/>
      <c r="J193" s="13"/>
      <c r="K193" s="13"/>
    </row>
    <row r="194" spans="1:11" ht="14.25">
      <c r="A194" s="13"/>
      <c r="B194" s="18"/>
      <c r="C194" s="13"/>
      <c r="D194" s="13"/>
      <c r="E194" s="13"/>
      <c r="F194" s="14"/>
      <c r="G194" s="13"/>
      <c r="H194" s="13"/>
      <c r="I194" s="14"/>
      <c r="J194" s="13"/>
      <c r="K194" s="13"/>
    </row>
    <row r="195" spans="1:11" ht="14.25">
      <c r="A195" s="13"/>
      <c r="B195" s="18"/>
      <c r="C195" s="13"/>
      <c r="D195" s="13"/>
      <c r="E195" s="13"/>
      <c r="F195" s="14"/>
      <c r="G195" s="13"/>
      <c r="H195" s="13"/>
      <c r="I195" s="14"/>
      <c r="J195" s="13"/>
      <c r="K195" s="13"/>
    </row>
    <row r="196" spans="1:11" ht="14.25">
      <c r="A196" s="13"/>
      <c r="B196" s="18"/>
      <c r="C196" s="13"/>
      <c r="D196" s="13"/>
      <c r="E196" s="13"/>
      <c r="F196" s="14"/>
      <c r="G196" s="13"/>
      <c r="H196" s="13"/>
      <c r="I196" s="14"/>
      <c r="J196" s="13"/>
      <c r="K196" s="13"/>
    </row>
    <row r="197" spans="1:11" ht="14.25">
      <c r="A197" s="13"/>
      <c r="B197" s="18"/>
      <c r="C197" s="13"/>
      <c r="D197" s="13"/>
      <c r="E197" s="13"/>
      <c r="F197" s="14"/>
      <c r="G197" s="13"/>
      <c r="H197" s="13"/>
      <c r="I197" s="14"/>
      <c r="J197" s="13"/>
      <c r="K197" s="13"/>
    </row>
    <row r="198" spans="1:11" ht="14.25">
      <c r="A198" s="13"/>
      <c r="B198" s="18"/>
      <c r="C198" s="13"/>
      <c r="D198" s="13"/>
      <c r="E198" s="13"/>
      <c r="F198" s="14"/>
      <c r="G198" s="13"/>
      <c r="H198" s="13"/>
      <c r="I198" s="14"/>
      <c r="J198" s="13"/>
      <c r="K198" s="13"/>
    </row>
    <row r="199" spans="1:11" ht="14.25">
      <c r="A199" s="13"/>
      <c r="B199" s="18"/>
      <c r="C199" s="13"/>
      <c r="D199" s="13"/>
      <c r="E199" s="13"/>
      <c r="F199" s="14"/>
      <c r="G199" s="13"/>
      <c r="H199" s="13"/>
      <c r="I199" s="14"/>
      <c r="J199" s="13"/>
      <c r="K199" s="13"/>
    </row>
    <row r="200" spans="1:11" ht="14.25">
      <c r="A200" s="13"/>
      <c r="B200" s="18"/>
      <c r="C200" s="13"/>
      <c r="D200" s="13"/>
      <c r="E200" s="13"/>
      <c r="F200" s="14"/>
      <c r="G200" s="13"/>
      <c r="H200" s="13"/>
      <c r="I200" s="14"/>
      <c r="J200" s="13"/>
      <c r="K200" s="13"/>
    </row>
    <row r="201" spans="1:11" ht="14.25">
      <c r="A201" s="13"/>
      <c r="B201" s="18"/>
      <c r="C201" s="13"/>
      <c r="D201" s="13"/>
      <c r="E201" s="13"/>
      <c r="F201" s="14"/>
      <c r="G201" s="13"/>
      <c r="H201" s="13"/>
      <c r="I201" s="14"/>
      <c r="J201" s="13"/>
      <c r="K201" s="13"/>
    </row>
    <row r="202" spans="1:11" ht="14.25">
      <c r="A202" s="13"/>
      <c r="B202" s="18"/>
      <c r="C202" s="13"/>
      <c r="D202" s="13"/>
      <c r="E202" s="13"/>
      <c r="F202" s="14"/>
      <c r="G202" s="13"/>
      <c r="H202" s="13"/>
      <c r="I202" s="14"/>
      <c r="J202" s="13"/>
      <c r="K202" s="13"/>
    </row>
    <row r="203" spans="1:11" ht="14.25">
      <c r="A203" s="13"/>
      <c r="B203" s="18"/>
      <c r="C203" s="13"/>
      <c r="D203" s="13"/>
      <c r="E203" s="13"/>
      <c r="F203" s="14"/>
      <c r="G203" s="13"/>
      <c r="H203" s="13"/>
      <c r="I203" s="14"/>
      <c r="J203" s="13"/>
      <c r="K203" s="13"/>
    </row>
    <row r="204" spans="1:11" ht="14.25">
      <c r="A204" s="13"/>
      <c r="B204" s="18"/>
      <c r="C204" s="13"/>
      <c r="D204" s="13"/>
      <c r="E204" s="13"/>
      <c r="F204" s="14"/>
      <c r="G204" s="13"/>
      <c r="H204" s="13"/>
      <c r="I204" s="14"/>
      <c r="J204" s="13"/>
      <c r="K204" s="13"/>
    </row>
    <row r="205" spans="1:11" ht="14.25">
      <c r="A205" s="13"/>
      <c r="B205" s="18"/>
      <c r="C205" s="13"/>
      <c r="D205" s="13"/>
      <c r="E205" s="13"/>
      <c r="F205" s="14"/>
      <c r="G205" s="13"/>
      <c r="H205" s="13"/>
      <c r="I205" s="14"/>
      <c r="J205" s="13"/>
      <c r="K205" s="13"/>
    </row>
    <row r="206" spans="1:11" ht="14.25">
      <c r="A206" s="13"/>
      <c r="B206" s="18"/>
      <c r="C206" s="13"/>
      <c r="D206" s="13"/>
      <c r="E206" s="13"/>
      <c r="F206" s="14"/>
      <c r="G206" s="13"/>
      <c r="H206" s="13"/>
      <c r="I206" s="14"/>
      <c r="J206" s="13"/>
      <c r="K206" s="13"/>
    </row>
    <row r="207" spans="1:11" ht="14.25">
      <c r="A207" s="13"/>
      <c r="B207" s="18"/>
      <c r="C207" s="13"/>
      <c r="D207" s="13"/>
      <c r="E207" s="13"/>
      <c r="F207" s="14"/>
      <c r="G207" s="13"/>
      <c r="H207" s="13"/>
      <c r="I207" s="14"/>
      <c r="J207" s="13"/>
      <c r="K207" s="13"/>
    </row>
    <row r="208" spans="1:11" ht="14.25">
      <c r="A208" s="13"/>
      <c r="B208" s="18"/>
      <c r="C208" s="13"/>
      <c r="D208" s="13"/>
      <c r="E208" s="13"/>
      <c r="F208" s="14"/>
      <c r="G208" s="13"/>
      <c r="H208" s="13"/>
      <c r="I208" s="14"/>
      <c r="J208" s="13"/>
      <c r="K208" s="13"/>
    </row>
    <row r="209" spans="1:11" ht="14.25">
      <c r="A209" s="13"/>
      <c r="B209" s="18"/>
      <c r="C209" s="13"/>
      <c r="D209" s="13"/>
      <c r="E209" s="13"/>
      <c r="F209" s="14"/>
      <c r="G209" s="13"/>
      <c r="H209" s="13"/>
      <c r="I209" s="14"/>
      <c r="J209" s="13"/>
      <c r="K209" s="13"/>
    </row>
    <row r="210" spans="1:11" ht="14.25">
      <c r="A210" s="13"/>
      <c r="B210" s="18"/>
      <c r="C210" s="13"/>
      <c r="D210" s="13"/>
      <c r="E210" s="13"/>
      <c r="F210" s="14"/>
      <c r="G210" s="13"/>
      <c r="H210" s="13"/>
      <c r="I210" s="14"/>
      <c r="J210" s="13"/>
      <c r="K210" s="13"/>
    </row>
    <row r="211" spans="1:11" ht="14.25">
      <c r="A211" s="13"/>
      <c r="B211" s="18"/>
      <c r="C211" s="13"/>
      <c r="D211" s="13"/>
      <c r="E211" s="13"/>
      <c r="F211" s="14"/>
      <c r="G211" s="13"/>
      <c r="H211" s="13"/>
      <c r="I211" s="14"/>
      <c r="J211" s="13"/>
      <c r="K211" s="13"/>
    </row>
    <row r="212" spans="1:11" ht="14.25">
      <c r="A212" s="13"/>
      <c r="B212" s="18"/>
      <c r="C212" s="13"/>
      <c r="D212" s="13"/>
      <c r="E212" s="13"/>
      <c r="F212" s="14"/>
      <c r="G212" s="13"/>
      <c r="H212" s="13"/>
      <c r="I212" s="14"/>
      <c r="J212" s="13"/>
      <c r="K212" s="13"/>
    </row>
    <row r="213" spans="1:11" ht="14.25">
      <c r="A213" s="13"/>
      <c r="B213" s="18"/>
      <c r="C213" s="13"/>
      <c r="D213" s="13"/>
      <c r="E213" s="13"/>
      <c r="F213" s="14"/>
      <c r="G213" s="13"/>
      <c r="H213" s="13"/>
      <c r="I213" s="14"/>
      <c r="J213" s="13"/>
      <c r="K213" s="13"/>
    </row>
    <row r="214" spans="1:11" ht="14.25">
      <c r="A214" s="13"/>
      <c r="B214" s="18"/>
      <c r="C214" s="13"/>
      <c r="D214" s="13"/>
      <c r="E214" s="13"/>
      <c r="F214" s="14"/>
      <c r="G214" s="13"/>
      <c r="H214" s="13"/>
      <c r="I214" s="14"/>
      <c r="J214" s="13"/>
      <c r="K214" s="13"/>
    </row>
    <row r="215" spans="1:11" ht="14.25">
      <c r="A215" s="13"/>
      <c r="B215" s="18"/>
      <c r="C215" s="13"/>
      <c r="D215" s="13"/>
      <c r="E215" s="13"/>
      <c r="F215" s="14"/>
      <c r="G215" s="13"/>
      <c r="H215" s="13"/>
      <c r="I215" s="14"/>
      <c r="J215" s="13"/>
      <c r="K215" s="13"/>
    </row>
    <row r="216" spans="1:11" ht="14.25">
      <c r="A216" s="13"/>
      <c r="B216" s="18"/>
      <c r="C216" s="13"/>
      <c r="D216" s="13"/>
      <c r="E216" s="13"/>
      <c r="F216" s="14"/>
      <c r="G216" s="13"/>
      <c r="H216" s="13"/>
      <c r="I216" s="14"/>
      <c r="J216" s="13"/>
      <c r="K216" s="13"/>
    </row>
    <row r="217" spans="1:11" ht="14.25">
      <c r="A217" s="13"/>
      <c r="B217" s="18"/>
      <c r="C217" s="13"/>
      <c r="D217" s="13"/>
      <c r="E217" s="13"/>
      <c r="F217" s="14"/>
      <c r="G217" s="13"/>
      <c r="H217" s="13"/>
      <c r="I217" s="14"/>
      <c r="J217" s="13"/>
      <c r="K217" s="13"/>
    </row>
    <row r="218" spans="1:11" ht="14.25">
      <c r="A218" s="13"/>
      <c r="B218" s="18"/>
      <c r="C218" s="13"/>
      <c r="D218" s="13"/>
      <c r="E218" s="13"/>
      <c r="F218" s="14"/>
      <c r="G218" s="13"/>
      <c r="H218" s="13"/>
      <c r="I218" s="14"/>
      <c r="J218" s="13"/>
      <c r="K218" s="13"/>
    </row>
    <row r="219" spans="1:11" ht="14.25">
      <c r="A219" s="13"/>
      <c r="B219" s="18"/>
      <c r="C219" s="13"/>
      <c r="D219" s="13"/>
      <c r="E219" s="13"/>
      <c r="F219" s="14"/>
      <c r="G219" s="13"/>
      <c r="H219" s="13"/>
      <c r="I219" s="14"/>
      <c r="J219" s="13"/>
      <c r="K219" s="13"/>
    </row>
    <row r="220" spans="1:11" ht="14.25">
      <c r="A220" s="13"/>
      <c r="B220" s="18"/>
      <c r="C220" s="13"/>
      <c r="D220" s="13"/>
      <c r="E220" s="13"/>
      <c r="F220" s="14"/>
      <c r="G220" s="13"/>
      <c r="H220" s="13"/>
      <c r="I220" s="14"/>
      <c r="J220" s="13"/>
      <c r="K220" s="13"/>
    </row>
    <row r="221" spans="1:11" ht="14.25">
      <c r="A221" s="13"/>
      <c r="B221" s="18"/>
      <c r="C221" s="13"/>
      <c r="D221" s="13"/>
      <c r="E221" s="13"/>
      <c r="F221" s="14"/>
      <c r="G221" s="13"/>
      <c r="H221" s="13"/>
      <c r="I221" s="14"/>
      <c r="J221" s="13"/>
      <c r="K221" s="13"/>
    </row>
    <row r="222" spans="1:11" ht="14.25">
      <c r="A222" s="13"/>
      <c r="B222" s="18"/>
      <c r="C222" s="13"/>
      <c r="D222" s="13"/>
      <c r="E222" s="13"/>
      <c r="F222" s="14"/>
      <c r="G222" s="13"/>
      <c r="H222" s="13"/>
      <c r="I222" s="14"/>
      <c r="J222" s="13"/>
      <c r="K222" s="13"/>
    </row>
    <row r="223" spans="1:11" ht="14.25">
      <c r="A223" s="13"/>
      <c r="B223" s="18"/>
      <c r="C223" s="13"/>
      <c r="D223" s="13"/>
      <c r="E223" s="13"/>
      <c r="F223" s="14"/>
      <c r="G223" s="13"/>
      <c r="H223" s="13"/>
      <c r="I223" s="14"/>
      <c r="J223" s="13"/>
      <c r="K223" s="13"/>
    </row>
    <row r="224" spans="1:11" ht="14.25">
      <c r="A224" s="13"/>
      <c r="B224" s="18"/>
      <c r="C224" s="13"/>
      <c r="D224" s="13"/>
      <c r="E224" s="13"/>
      <c r="F224" s="14"/>
      <c r="G224" s="13"/>
      <c r="H224" s="13"/>
      <c r="I224" s="14"/>
      <c r="J224" s="13"/>
      <c r="K224" s="13"/>
    </row>
    <row r="225" spans="1:11" ht="14.25">
      <c r="A225" s="13"/>
      <c r="B225" s="18"/>
      <c r="C225" s="13"/>
      <c r="D225" s="13"/>
      <c r="E225" s="13"/>
      <c r="F225" s="14"/>
      <c r="G225" s="13"/>
      <c r="H225" s="13"/>
      <c r="I225" s="14"/>
      <c r="J225" s="13"/>
      <c r="K225" s="13"/>
    </row>
    <row r="226" spans="1:11" ht="14.25">
      <c r="A226" s="13"/>
      <c r="B226" s="18"/>
      <c r="C226" s="13"/>
      <c r="D226" s="13"/>
      <c r="E226" s="13"/>
      <c r="F226" s="14"/>
      <c r="G226" s="13"/>
      <c r="H226" s="13"/>
      <c r="I226" s="14"/>
      <c r="J226" s="13"/>
      <c r="K226" s="13"/>
    </row>
    <row r="227" spans="1:11" ht="14.25">
      <c r="A227" s="13"/>
      <c r="B227" s="18"/>
      <c r="C227" s="13"/>
      <c r="D227" s="13"/>
      <c r="E227" s="13"/>
      <c r="F227" s="14"/>
      <c r="G227" s="13"/>
      <c r="H227" s="13"/>
      <c r="I227" s="14"/>
      <c r="J227" s="13"/>
      <c r="K227" s="13"/>
    </row>
    <row r="228" spans="1:11" ht="14.25">
      <c r="A228" s="13"/>
      <c r="B228" s="18"/>
      <c r="C228" s="13"/>
      <c r="D228" s="13"/>
      <c r="E228" s="13"/>
      <c r="F228" s="14"/>
      <c r="G228" s="13"/>
      <c r="H228" s="13"/>
      <c r="I228" s="14"/>
      <c r="J228" s="13"/>
      <c r="K228" s="13"/>
    </row>
    <row r="229" spans="1:11" ht="14.25">
      <c r="A229" s="13"/>
      <c r="B229" s="18"/>
      <c r="C229" s="13"/>
      <c r="D229" s="13"/>
      <c r="E229" s="13"/>
      <c r="F229" s="14"/>
      <c r="G229" s="13"/>
      <c r="H229" s="13"/>
      <c r="I229" s="14"/>
      <c r="J229" s="13"/>
      <c r="K229" s="13"/>
    </row>
    <row r="230" spans="1:11" ht="14.25">
      <c r="A230" s="13"/>
      <c r="B230" s="18"/>
      <c r="C230" s="13"/>
      <c r="D230" s="13"/>
      <c r="E230" s="13"/>
      <c r="F230" s="14"/>
      <c r="G230" s="13"/>
      <c r="H230" s="13"/>
      <c r="I230" s="14"/>
      <c r="J230" s="13"/>
      <c r="K230" s="13"/>
    </row>
    <row r="231" spans="1:11" ht="14.25">
      <c r="A231" s="13"/>
      <c r="B231" s="18"/>
      <c r="C231" s="13"/>
      <c r="D231" s="13"/>
      <c r="E231" s="13"/>
      <c r="F231" s="14"/>
      <c r="G231" s="13"/>
      <c r="H231" s="13"/>
      <c r="I231" s="14"/>
      <c r="J231" s="13"/>
      <c r="K231" s="13"/>
    </row>
    <row r="232" spans="1:11" ht="14.25">
      <c r="A232" s="13"/>
      <c r="B232" s="18"/>
      <c r="C232" s="13"/>
      <c r="D232" s="13"/>
      <c r="E232" s="13"/>
      <c r="F232" s="14"/>
      <c r="G232" s="13"/>
      <c r="H232" s="13"/>
      <c r="I232" s="14"/>
      <c r="J232" s="13"/>
      <c r="K232" s="13"/>
    </row>
    <row r="233" spans="1:11" ht="14.25">
      <c r="A233" s="13"/>
      <c r="B233" s="18"/>
      <c r="C233" s="13"/>
      <c r="D233" s="13"/>
      <c r="E233" s="13"/>
      <c r="F233" s="14"/>
      <c r="G233" s="13"/>
      <c r="H233" s="13"/>
      <c r="I233" s="14"/>
      <c r="J233" s="13"/>
      <c r="K233" s="13"/>
    </row>
    <row r="234" spans="1:11" ht="14.25">
      <c r="A234" s="13"/>
      <c r="B234" s="18"/>
      <c r="C234" s="13"/>
      <c r="D234" s="13"/>
      <c r="E234" s="13"/>
      <c r="F234" s="14"/>
      <c r="G234" s="13"/>
      <c r="H234" s="13"/>
      <c r="I234" s="14"/>
      <c r="J234" s="13"/>
      <c r="K234" s="13"/>
    </row>
    <row r="235" spans="1:11" ht="14.25">
      <c r="A235" s="13"/>
      <c r="B235" s="18"/>
      <c r="C235" s="13"/>
      <c r="D235" s="13"/>
      <c r="E235" s="13"/>
      <c r="F235" s="14"/>
      <c r="G235" s="13"/>
      <c r="H235" s="13"/>
      <c r="I235" s="14"/>
      <c r="J235" s="13"/>
      <c r="K235" s="13"/>
    </row>
    <row r="236" spans="1:11" ht="14.25">
      <c r="A236" s="13"/>
      <c r="B236" s="18"/>
      <c r="C236" s="13"/>
      <c r="D236" s="13"/>
      <c r="E236" s="13"/>
      <c r="F236" s="14"/>
      <c r="G236" s="13"/>
      <c r="H236" s="13"/>
      <c r="I236" s="14"/>
      <c r="J236" s="13"/>
      <c r="K236" s="13"/>
    </row>
    <row r="237" spans="1:11" ht="14.25">
      <c r="A237" s="13"/>
      <c r="B237" s="18"/>
      <c r="C237" s="13"/>
      <c r="D237" s="13"/>
      <c r="E237" s="13"/>
      <c r="F237" s="14"/>
      <c r="G237" s="13"/>
      <c r="H237" s="13"/>
      <c r="I237" s="14"/>
      <c r="J237" s="13"/>
      <c r="K237" s="13"/>
    </row>
    <row r="238" spans="1:11" ht="14.25">
      <c r="A238" s="13"/>
      <c r="B238" s="18"/>
      <c r="C238" s="13"/>
      <c r="D238" s="13"/>
      <c r="E238" s="13"/>
      <c r="F238" s="14"/>
      <c r="G238" s="13"/>
      <c r="H238" s="13"/>
      <c r="I238" s="14"/>
      <c r="J238" s="13"/>
      <c r="K238" s="13"/>
    </row>
    <row r="239" spans="1:11" ht="14.25">
      <c r="A239" s="13"/>
      <c r="B239" s="18"/>
      <c r="C239" s="13"/>
      <c r="D239" s="13"/>
      <c r="E239" s="13"/>
      <c r="F239" s="14"/>
      <c r="G239" s="13"/>
      <c r="H239" s="13"/>
      <c r="I239" s="14"/>
      <c r="J239" s="13"/>
      <c r="K239" s="13"/>
    </row>
    <row r="240" spans="1:11" ht="14.25">
      <c r="A240" s="13"/>
      <c r="B240" s="18"/>
      <c r="C240" s="13"/>
      <c r="D240" s="13"/>
      <c r="E240" s="13"/>
      <c r="F240" s="14"/>
      <c r="G240" s="13"/>
      <c r="H240" s="13"/>
      <c r="I240" s="14"/>
      <c r="J240" s="13"/>
      <c r="K240" s="13"/>
    </row>
    <row r="241" spans="1:11" ht="14.25">
      <c r="A241" s="13"/>
      <c r="B241" s="18"/>
      <c r="C241" s="13"/>
      <c r="D241" s="13"/>
      <c r="E241" s="13"/>
      <c r="F241" s="14"/>
      <c r="G241" s="13"/>
      <c r="H241" s="13"/>
      <c r="I241" s="14"/>
      <c r="J241" s="13"/>
      <c r="K241" s="13"/>
    </row>
    <row r="242" spans="1:11" ht="14.25">
      <c r="A242" s="13"/>
      <c r="B242" s="18"/>
      <c r="C242" s="13"/>
      <c r="D242" s="13"/>
      <c r="E242" s="13"/>
      <c r="F242" s="14"/>
      <c r="G242" s="13"/>
      <c r="H242" s="13"/>
      <c r="I242" s="14"/>
      <c r="J242" s="13"/>
      <c r="K242" s="13"/>
    </row>
    <row r="243" spans="1:11" ht="14.25">
      <c r="A243" s="13"/>
      <c r="B243" s="18"/>
      <c r="C243" s="13"/>
      <c r="D243" s="13"/>
      <c r="E243" s="13"/>
      <c r="F243" s="14"/>
      <c r="G243" s="13"/>
      <c r="H243" s="13"/>
      <c r="I243" s="14"/>
      <c r="J243" s="13"/>
      <c r="K243" s="13"/>
    </row>
    <row r="244" spans="1:11" ht="14.25">
      <c r="A244" s="13"/>
      <c r="B244" s="18"/>
      <c r="C244" s="13"/>
      <c r="D244" s="13"/>
      <c r="E244" s="13"/>
      <c r="F244" s="14"/>
      <c r="G244" s="13"/>
      <c r="H244" s="13"/>
      <c r="I244" s="14"/>
      <c r="J244" s="13"/>
      <c r="K244" s="13"/>
    </row>
    <row r="245" spans="1:11" ht="14.25">
      <c r="A245" s="13"/>
      <c r="B245" s="18"/>
      <c r="C245" s="13"/>
      <c r="D245" s="13"/>
      <c r="E245" s="13"/>
      <c r="F245" s="14"/>
      <c r="G245" s="13"/>
      <c r="H245" s="13"/>
      <c r="I245" s="14"/>
      <c r="J245" s="13"/>
      <c r="K245" s="13"/>
    </row>
    <row r="246" spans="1:11" ht="14.25">
      <c r="A246" s="13"/>
      <c r="B246" s="18"/>
      <c r="C246" s="13"/>
      <c r="D246" s="13"/>
      <c r="E246" s="13"/>
      <c r="F246" s="14"/>
      <c r="G246" s="13"/>
      <c r="H246" s="13"/>
      <c r="I246" s="14"/>
      <c r="J246" s="13"/>
      <c r="K246" s="13"/>
    </row>
    <row r="247" spans="1:11" ht="14.25">
      <c r="A247" s="13"/>
      <c r="B247" s="18"/>
      <c r="C247" s="13"/>
      <c r="D247" s="13"/>
      <c r="E247" s="13"/>
      <c r="F247" s="14"/>
      <c r="G247" s="13"/>
      <c r="H247" s="13"/>
      <c r="I247" s="14"/>
      <c r="J247" s="13"/>
      <c r="K247" s="13"/>
    </row>
    <row r="248" spans="1:11" ht="14.25">
      <c r="A248" s="13"/>
      <c r="B248" s="18"/>
      <c r="C248" s="13"/>
      <c r="D248" s="13"/>
      <c r="E248" s="13"/>
      <c r="F248" s="14"/>
      <c r="G248" s="13"/>
      <c r="H248" s="13"/>
      <c r="I248" s="14"/>
      <c r="J248" s="13"/>
      <c r="K248" s="13"/>
    </row>
    <row r="249" spans="1:11" ht="14.25">
      <c r="A249" s="13"/>
      <c r="B249" s="18"/>
      <c r="C249" s="13"/>
      <c r="D249" s="13"/>
      <c r="E249" s="13"/>
      <c r="F249" s="14"/>
      <c r="G249" s="13"/>
      <c r="H249" s="13"/>
      <c r="I249" s="14"/>
      <c r="J249" s="13"/>
      <c r="K249" s="13"/>
    </row>
    <row r="250" spans="1:11" ht="14.25">
      <c r="A250" s="13"/>
      <c r="B250" s="18"/>
      <c r="C250" s="13"/>
      <c r="D250" s="13"/>
      <c r="E250" s="13"/>
      <c r="F250" s="14"/>
      <c r="G250" s="13"/>
      <c r="H250" s="13"/>
      <c r="I250" s="14"/>
      <c r="J250" s="13"/>
      <c r="K250" s="13"/>
    </row>
    <row r="251" spans="1:11" ht="14.25">
      <c r="A251" s="13"/>
      <c r="B251" s="18"/>
      <c r="C251" s="13"/>
      <c r="D251" s="13"/>
      <c r="E251" s="13"/>
      <c r="F251" s="14"/>
      <c r="G251" s="13"/>
      <c r="H251" s="13"/>
      <c r="I251" s="14"/>
      <c r="J251" s="13"/>
      <c r="K251" s="13"/>
    </row>
    <row r="252" spans="1:11" ht="14.25">
      <c r="A252" s="13"/>
      <c r="B252" s="18"/>
      <c r="C252" s="13"/>
      <c r="D252" s="13"/>
      <c r="E252" s="13"/>
      <c r="F252" s="14"/>
      <c r="G252" s="13"/>
      <c r="H252" s="13"/>
      <c r="I252" s="14"/>
      <c r="J252" s="13"/>
      <c r="K252" s="13"/>
    </row>
    <row r="253" spans="1:11" ht="14.25">
      <c r="A253" s="13"/>
      <c r="B253" s="18"/>
      <c r="C253" s="13"/>
      <c r="D253" s="13"/>
      <c r="E253" s="13"/>
      <c r="F253" s="14"/>
      <c r="G253" s="13"/>
      <c r="H253" s="13"/>
      <c r="I253" s="14"/>
      <c r="J253" s="13"/>
      <c r="K253" s="13"/>
    </row>
    <row r="254" spans="1:11" ht="14.25">
      <c r="A254" s="13"/>
      <c r="B254" s="18"/>
      <c r="C254" s="13"/>
      <c r="D254" s="13"/>
      <c r="E254" s="13"/>
      <c r="F254" s="14"/>
      <c r="G254" s="13"/>
      <c r="H254" s="13"/>
      <c r="I254" s="14"/>
      <c r="J254" s="13"/>
      <c r="K254" s="13"/>
    </row>
    <row r="255" spans="1:11" ht="14.25">
      <c r="A255" s="13"/>
      <c r="B255" s="18"/>
      <c r="C255" s="13"/>
      <c r="D255" s="13"/>
      <c r="E255" s="13"/>
      <c r="F255" s="14"/>
      <c r="G255" s="13"/>
      <c r="H255" s="13"/>
      <c r="I255" s="14"/>
      <c r="J255" s="13"/>
      <c r="K255" s="13"/>
    </row>
    <row r="256" spans="1:11" ht="14.25">
      <c r="A256" s="13"/>
      <c r="B256" s="18"/>
      <c r="C256" s="13"/>
      <c r="D256" s="13"/>
      <c r="E256" s="13"/>
      <c r="F256" s="14"/>
      <c r="G256" s="13"/>
      <c r="H256" s="13"/>
      <c r="I256" s="14"/>
      <c r="J256" s="13"/>
      <c r="K256" s="13"/>
    </row>
    <row r="257" spans="1:11" ht="14.25">
      <c r="A257" s="13"/>
      <c r="B257" s="18"/>
      <c r="C257" s="13"/>
      <c r="D257" s="13"/>
      <c r="E257" s="13"/>
      <c r="F257" s="14"/>
      <c r="G257" s="13"/>
      <c r="H257" s="13"/>
      <c r="I257" s="14"/>
      <c r="J257" s="13"/>
      <c r="K257" s="13"/>
    </row>
    <row r="258" spans="1:11" ht="14.25">
      <c r="A258" s="13"/>
      <c r="B258" s="18"/>
      <c r="C258" s="13"/>
      <c r="D258" s="13"/>
      <c r="E258" s="13"/>
      <c r="F258" s="14"/>
      <c r="G258" s="13"/>
      <c r="H258" s="13"/>
      <c r="I258" s="14"/>
      <c r="J258" s="13"/>
      <c r="K258" s="13"/>
    </row>
    <row r="259" spans="1:11" ht="14.25">
      <c r="A259" s="13"/>
      <c r="B259" s="18"/>
      <c r="C259" s="13"/>
      <c r="D259" s="13"/>
      <c r="E259" s="13"/>
      <c r="F259" s="14"/>
      <c r="G259" s="13"/>
      <c r="H259" s="13"/>
      <c r="I259" s="14"/>
      <c r="J259" s="13"/>
      <c r="K259" s="13"/>
    </row>
    <row r="260" spans="1:11" ht="14.25">
      <c r="A260" s="13"/>
      <c r="B260" s="18"/>
      <c r="C260" s="13"/>
      <c r="D260" s="13"/>
      <c r="E260" s="13"/>
      <c r="F260" s="14"/>
      <c r="G260" s="13"/>
      <c r="H260" s="13"/>
      <c r="I260" s="14"/>
      <c r="J260" s="13"/>
      <c r="K260" s="13"/>
    </row>
    <row r="261" spans="1:11" ht="14.25">
      <c r="A261" s="13"/>
      <c r="B261" s="18"/>
      <c r="C261" s="13"/>
      <c r="D261" s="13"/>
      <c r="E261" s="13"/>
      <c r="F261" s="14"/>
      <c r="G261" s="13"/>
      <c r="H261" s="13"/>
      <c r="I261" s="14"/>
      <c r="J261" s="13"/>
      <c r="K261" s="13"/>
    </row>
    <row r="262" spans="1:11" ht="14.25">
      <c r="A262" s="13"/>
      <c r="B262" s="18"/>
      <c r="C262" s="13"/>
      <c r="D262" s="13"/>
      <c r="E262" s="13"/>
      <c r="F262" s="14"/>
      <c r="G262" s="13"/>
      <c r="H262" s="13"/>
      <c r="I262" s="14"/>
      <c r="J262" s="13"/>
      <c r="K262" s="13"/>
    </row>
    <row r="263" spans="1:11" ht="14.25">
      <c r="A263" s="13"/>
      <c r="B263" s="18"/>
      <c r="C263" s="13"/>
      <c r="D263" s="13"/>
      <c r="E263" s="13"/>
      <c r="F263" s="14"/>
      <c r="G263" s="13"/>
      <c r="H263" s="13"/>
      <c r="I263" s="14"/>
      <c r="J263" s="13"/>
      <c r="K263" s="13"/>
    </row>
    <row r="264" spans="1:11" ht="14.25">
      <c r="A264" s="13"/>
      <c r="B264" s="18"/>
      <c r="C264" s="13"/>
      <c r="D264" s="13"/>
      <c r="E264" s="13"/>
      <c r="F264" s="14"/>
      <c r="G264" s="13"/>
      <c r="H264" s="13"/>
      <c r="I264" s="14"/>
      <c r="J264" s="13"/>
      <c r="K264" s="13"/>
    </row>
    <row r="265" spans="1:11" ht="14.25">
      <c r="A265" s="13"/>
      <c r="B265" s="18"/>
      <c r="C265" s="13"/>
      <c r="D265" s="13"/>
      <c r="E265" s="13"/>
      <c r="F265" s="14"/>
      <c r="G265" s="13"/>
      <c r="H265" s="13"/>
      <c r="I265" s="14"/>
      <c r="J265" s="13"/>
      <c r="K265" s="13"/>
    </row>
    <row r="266" spans="1:11" ht="14.25">
      <c r="A266" s="13"/>
      <c r="B266" s="18"/>
      <c r="C266" s="13"/>
      <c r="D266" s="13"/>
      <c r="E266" s="13"/>
      <c r="F266" s="14"/>
      <c r="G266" s="13"/>
      <c r="H266" s="13"/>
      <c r="I266" s="14"/>
      <c r="J266" s="13"/>
      <c r="K266" s="13"/>
    </row>
    <row r="267" spans="1:11" ht="14.25">
      <c r="A267" s="13"/>
      <c r="B267" s="18"/>
      <c r="C267" s="13"/>
      <c r="D267" s="13"/>
      <c r="E267" s="13"/>
      <c r="F267" s="14"/>
      <c r="G267" s="13"/>
      <c r="H267" s="13"/>
      <c r="I267" s="14"/>
      <c r="J267" s="13"/>
      <c r="K267" s="13"/>
    </row>
    <row r="268" spans="1:11" ht="14.25">
      <c r="A268" s="13"/>
      <c r="B268" s="18"/>
      <c r="C268" s="13"/>
      <c r="D268" s="13"/>
      <c r="E268" s="13"/>
      <c r="F268" s="14"/>
      <c r="G268" s="13"/>
      <c r="H268" s="13"/>
      <c r="I268" s="14"/>
      <c r="J268" s="13"/>
      <c r="K268" s="13"/>
    </row>
    <row r="269" spans="1:11" ht="14.25">
      <c r="A269" s="13"/>
      <c r="B269" s="18"/>
      <c r="C269" s="13"/>
      <c r="D269" s="13"/>
      <c r="E269" s="13"/>
      <c r="F269" s="14"/>
      <c r="G269" s="13"/>
      <c r="H269" s="13"/>
      <c r="I269" s="14"/>
      <c r="J269" s="13"/>
      <c r="K269" s="13"/>
    </row>
    <row r="270" spans="1:11" ht="14.25">
      <c r="A270" s="13"/>
      <c r="B270" s="18"/>
      <c r="C270" s="13"/>
      <c r="D270" s="13"/>
      <c r="E270" s="13"/>
      <c r="F270" s="14"/>
      <c r="G270" s="13"/>
      <c r="H270" s="13"/>
      <c r="I270" s="14"/>
      <c r="J270" s="13"/>
      <c r="K270" s="13"/>
    </row>
    <row r="271" spans="1:11" ht="14.25">
      <c r="A271" s="13"/>
      <c r="B271" s="18"/>
      <c r="C271" s="13"/>
      <c r="D271" s="13"/>
      <c r="E271" s="13"/>
      <c r="F271" s="14"/>
      <c r="G271" s="13"/>
      <c r="H271" s="13"/>
      <c r="I271" s="14"/>
      <c r="J271" s="13"/>
      <c r="K271" s="13"/>
    </row>
    <row r="272" spans="1:11" ht="14.25">
      <c r="A272" s="13"/>
      <c r="B272" s="18"/>
      <c r="C272" s="13"/>
      <c r="D272" s="13"/>
      <c r="E272" s="13"/>
      <c r="F272" s="14"/>
      <c r="G272" s="13"/>
      <c r="H272" s="13"/>
      <c r="I272" s="14"/>
      <c r="J272" s="13"/>
      <c r="K272" s="13"/>
    </row>
    <row r="273" spans="1:11" ht="14.25">
      <c r="A273" s="13"/>
      <c r="B273" s="18"/>
      <c r="C273" s="13"/>
      <c r="D273" s="13"/>
      <c r="E273" s="13"/>
      <c r="F273" s="14"/>
      <c r="G273" s="13"/>
      <c r="H273" s="13"/>
      <c r="I273" s="14"/>
      <c r="J273" s="13"/>
      <c r="K273" s="13"/>
    </row>
    <row r="274" spans="1:11" ht="14.25">
      <c r="A274" s="13"/>
      <c r="B274" s="18"/>
      <c r="C274" s="13"/>
      <c r="D274" s="13"/>
      <c r="E274" s="13"/>
      <c r="F274" s="14"/>
      <c r="G274" s="13"/>
      <c r="H274" s="13"/>
      <c r="I274" s="14"/>
      <c r="J274" s="13"/>
      <c r="K274" s="13"/>
    </row>
    <row r="275" spans="1:11" ht="14.25">
      <c r="A275" s="13"/>
      <c r="B275" s="18"/>
      <c r="C275" s="13"/>
      <c r="D275" s="13"/>
      <c r="E275" s="13"/>
      <c r="F275" s="14"/>
      <c r="G275" s="13"/>
      <c r="H275" s="13"/>
      <c r="I275" s="14"/>
      <c r="J275" s="13"/>
      <c r="K275" s="13"/>
    </row>
    <row r="276" spans="1:11" ht="14.25">
      <c r="A276" s="13"/>
      <c r="B276" s="18"/>
      <c r="C276" s="13"/>
      <c r="D276" s="13"/>
      <c r="E276" s="13"/>
      <c r="F276" s="14"/>
      <c r="G276" s="13"/>
      <c r="H276" s="13"/>
      <c r="I276" s="14"/>
      <c r="J276" s="13"/>
      <c r="K276" s="13"/>
    </row>
    <row r="277" spans="1:11" ht="14.25">
      <c r="A277" s="13"/>
      <c r="B277" s="18"/>
      <c r="C277" s="13"/>
      <c r="D277" s="13"/>
      <c r="E277" s="13"/>
      <c r="F277" s="14"/>
      <c r="G277" s="13"/>
      <c r="H277" s="13"/>
      <c r="I277" s="14"/>
      <c r="J277" s="13"/>
      <c r="K277" s="13"/>
    </row>
    <row r="278" spans="1:11" ht="14.25">
      <c r="A278" s="13"/>
      <c r="B278" s="18"/>
      <c r="C278" s="13"/>
      <c r="D278" s="13"/>
      <c r="E278" s="13"/>
      <c r="F278" s="14"/>
      <c r="G278" s="13"/>
      <c r="H278" s="13"/>
      <c r="I278" s="14"/>
      <c r="J278" s="13"/>
      <c r="K278" s="13"/>
    </row>
    <row r="279" spans="1:11" ht="14.25">
      <c r="A279" s="13"/>
      <c r="B279" s="18"/>
      <c r="C279" s="13"/>
      <c r="D279" s="13"/>
      <c r="E279" s="13"/>
      <c r="F279" s="14"/>
      <c r="G279" s="13"/>
      <c r="H279" s="13"/>
      <c r="I279" s="14"/>
      <c r="J279" s="13"/>
      <c r="K279" s="13"/>
    </row>
    <row r="280" spans="1:11" ht="14.25">
      <c r="A280" s="13"/>
      <c r="B280" s="18"/>
      <c r="C280" s="13"/>
      <c r="D280" s="13"/>
      <c r="E280" s="13"/>
      <c r="F280" s="14"/>
      <c r="G280" s="13"/>
      <c r="H280" s="13"/>
      <c r="I280" s="14"/>
      <c r="J280" s="13"/>
      <c r="K280" s="13"/>
    </row>
    <row r="281" spans="1:11" ht="14.25">
      <c r="A281" s="13"/>
      <c r="B281" s="18"/>
      <c r="C281" s="13"/>
      <c r="D281" s="13"/>
      <c r="E281" s="13"/>
      <c r="F281" s="14"/>
      <c r="G281" s="13"/>
      <c r="H281" s="13"/>
      <c r="I281" s="14"/>
      <c r="J281" s="13"/>
      <c r="K281" s="13"/>
    </row>
    <row r="282" spans="1:11" ht="14.25">
      <c r="A282" s="13"/>
      <c r="B282" s="18"/>
      <c r="C282" s="13"/>
      <c r="D282" s="13"/>
      <c r="E282" s="13"/>
      <c r="F282" s="14"/>
      <c r="G282" s="13"/>
      <c r="H282" s="13"/>
      <c r="I282" s="14"/>
      <c r="J282" s="13"/>
      <c r="K282" s="13"/>
    </row>
    <row r="283" spans="1:11" ht="14.25">
      <c r="A283" s="13"/>
      <c r="B283" s="18"/>
      <c r="C283" s="13"/>
      <c r="D283" s="13"/>
      <c r="E283" s="13"/>
      <c r="F283" s="14"/>
      <c r="G283" s="13"/>
      <c r="H283" s="13"/>
      <c r="I283" s="14"/>
      <c r="J283" s="13"/>
      <c r="K283" s="13"/>
    </row>
    <row r="284" spans="1:11" ht="14.25">
      <c r="A284" s="13"/>
      <c r="B284" s="18"/>
      <c r="C284" s="13"/>
      <c r="D284" s="13"/>
      <c r="E284" s="13"/>
      <c r="F284" s="14"/>
      <c r="G284" s="13"/>
      <c r="H284" s="13"/>
      <c r="I284" s="14"/>
      <c r="J284" s="13"/>
      <c r="K284" s="13"/>
    </row>
    <row r="285" spans="1:11" ht="14.25">
      <c r="A285" s="13"/>
      <c r="B285" s="18"/>
      <c r="C285" s="13"/>
      <c r="D285" s="13"/>
      <c r="E285" s="13"/>
      <c r="F285" s="14"/>
      <c r="G285" s="13"/>
      <c r="H285" s="13"/>
      <c r="I285" s="14"/>
      <c r="J285" s="13"/>
      <c r="K285" s="13"/>
    </row>
    <row r="286" spans="1:11" ht="14.25">
      <c r="A286" s="13"/>
      <c r="B286" s="18"/>
      <c r="C286" s="13"/>
      <c r="D286" s="13"/>
      <c r="E286" s="13"/>
      <c r="F286" s="14"/>
      <c r="G286" s="13"/>
      <c r="H286" s="13"/>
      <c r="I286" s="14"/>
      <c r="J286" s="13"/>
      <c r="K286" s="13"/>
    </row>
    <row r="287" spans="1:11" ht="14.25">
      <c r="A287" s="13"/>
      <c r="B287" s="18"/>
      <c r="C287" s="13"/>
      <c r="D287" s="13"/>
      <c r="E287" s="13"/>
      <c r="F287" s="14"/>
      <c r="G287" s="13"/>
      <c r="H287" s="13"/>
      <c r="I287" s="14"/>
      <c r="J287" s="13"/>
      <c r="K287" s="13"/>
    </row>
    <row r="288" spans="1:11" ht="14.25">
      <c r="A288" s="13"/>
      <c r="B288" s="18"/>
      <c r="C288" s="13"/>
      <c r="D288" s="13"/>
      <c r="E288" s="13"/>
      <c r="F288" s="14"/>
      <c r="G288" s="13"/>
      <c r="H288" s="13"/>
      <c r="I288" s="14"/>
      <c r="J288" s="13"/>
      <c r="K288" s="13"/>
    </row>
    <row r="289" spans="1:11" ht="14.25">
      <c r="A289" s="13"/>
      <c r="B289" s="18"/>
      <c r="C289" s="13"/>
      <c r="D289" s="13"/>
      <c r="E289" s="13"/>
      <c r="F289" s="14"/>
      <c r="G289" s="13"/>
      <c r="H289" s="13"/>
      <c r="I289" s="14"/>
      <c r="J289" s="13"/>
      <c r="K289" s="13"/>
    </row>
    <row r="290" spans="1:11" ht="14.25">
      <c r="A290" s="13"/>
      <c r="B290" s="18"/>
      <c r="C290" s="13"/>
      <c r="D290" s="13"/>
      <c r="E290" s="13"/>
      <c r="F290" s="14"/>
      <c r="G290" s="13"/>
      <c r="H290" s="13"/>
      <c r="I290" s="14"/>
      <c r="J290" s="13"/>
      <c r="K290" s="13"/>
    </row>
    <row r="291" spans="1:11" ht="14.25">
      <c r="A291" s="13"/>
      <c r="B291" s="18"/>
      <c r="C291" s="13"/>
      <c r="D291" s="13"/>
      <c r="E291" s="13"/>
      <c r="F291" s="14"/>
      <c r="G291" s="13"/>
      <c r="H291" s="13"/>
      <c r="I291" s="14"/>
      <c r="J291" s="13"/>
      <c r="K291" s="13"/>
    </row>
    <row r="292" spans="1:11" ht="14.25">
      <c r="A292" s="13"/>
      <c r="B292" s="18"/>
      <c r="C292" s="13"/>
      <c r="D292" s="13"/>
      <c r="E292" s="13"/>
      <c r="F292" s="14"/>
      <c r="G292" s="13"/>
      <c r="H292" s="13"/>
      <c r="I292" s="14"/>
      <c r="J292" s="13"/>
      <c r="K292" s="13"/>
    </row>
    <row r="293" spans="1:11" ht="14.25">
      <c r="A293" s="13"/>
      <c r="B293" s="18"/>
      <c r="C293" s="13"/>
      <c r="D293" s="13"/>
      <c r="E293" s="13"/>
      <c r="F293" s="14"/>
      <c r="G293" s="13"/>
      <c r="H293" s="13"/>
      <c r="I293" s="14"/>
      <c r="J293" s="13"/>
      <c r="K293" s="13"/>
    </row>
    <row r="294" spans="1:11" ht="14.25">
      <c r="A294" s="13"/>
      <c r="B294" s="18"/>
      <c r="C294" s="13"/>
      <c r="D294" s="13"/>
      <c r="E294" s="13"/>
      <c r="F294" s="14"/>
      <c r="G294" s="13"/>
      <c r="H294" s="13"/>
      <c r="I294" s="14"/>
      <c r="J294" s="13"/>
      <c r="K294" s="13"/>
    </row>
    <row r="295" spans="1:11" ht="14.25">
      <c r="A295" s="13"/>
      <c r="B295" s="18"/>
      <c r="C295" s="13"/>
      <c r="D295" s="13"/>
      <c r="E295" s="13"/>
      <c r="F295" s="14"/>
      <c r="G295" s="13"/>
      <c r="H295" s="13"/>
      <c r="I295" s="14"/>
      <c r="J295" s="13"/>
      <c r="K295" s="13"/>
    </row>
    <row r="296" spans="1:11" ht="14.25">
      <c r="A296" s="13"/>
      <c r="B296" s="18"/>
      <c r="C296" s="13"/>
      <c r="D296" s="13"/>
      <c r="E296" s="13"/>
      <c r="F296" s="14"/>
      <c r="G296" s="13"/>
      <c r="H296" s="13"/>
      <c r="I296" s="14"/>
      <c r="J296" s="13"/>
      <c r="K296" s="13"/>
    </row>
    <row r="297" spans="1:11" ht="14.25">
      <c r="A297" s="13"/>
      <c r="B297" s="18"/>
      <c r="C297" s="13"/>
      <c r="D297" s="13"/>
      <c r="E297" s="13"/>
      <c r="F297" s="14"/>
      <c r="G297" s="13"/>
      <c r="H297" s="13"/>
      <c r="I297" s="14"/>
      <c r="J297" s="13"/>
      <c r="K297" s="13"/>
    </row>
    <row r="298" spans="1:11" ht="14.25">
      <c r="A298" s="13"/>
      <c r="B298" s="18"/>
      <c r="C298" s="13"/>
      <c r="D298" s="13"/>
      <c r="E298" s="13"/>
      <c r="F298" s="14"/>
      <c r="G298" s="13"/>
      <c r="H298" s="13"/>
      <c r="I298" s="14"/>
      <c r="J298" s="13"/>
      <c r="K298" s="13"/>
    </row>
    <row r="299" spans="1:11" ht="14.25">
      <c r="A299" s="13"/>
      <c r="B299" s="18"/>
      <c r="C299" s="13"/>
      <c r="D299" s="13"/>
      <c r="E299" s="13"/>
      <c r="F299" s="14"/>
      <c r="G299" s="13"/>
      <c r="H299" s="13"/>
      <c r="I299" s="14"/>
      <c r="J299" s="13"/>
      <c r="K299" s="13"/>
    </row>
    <row r="300" spans="1:11" ht="14.25">
      <c r="A300" s="13"/>
      <c r="B300" s="18"/>
      <c r="C300" s="13"/>
      <c r="D300" s="13"/>
      <c r="E300" s="13"/>
      <c r="F300" s="14"/>
      <c r="G300" s="13"/>
      <c r="H300" s="13"/>
      <c r="I300" s="14"/>
      <c r="J300" s="13"/>
      <c r="K300" s="13"/>
    </row>
    <row r="301" spans="1:11" ht="14.25">
      <c r="A301" s="13"/>
      <c r="B301" s="18"/>
      <c r="C301" s="13"/>
      <c r="D301" s="13"/>
      <c r="E301" s="13"/>
      <c r="F301" s="14"/>
      <c r="G301" s="13"/>
      <c r="H301" s="13"/>
      <c r="I301" s="14"/>
      <c r="J301" s="13"/>
      <c r="K301" s="13"/>
    </row>
    <row r="302" spans="1:11" ht="14.25">
      <c r="A302" s="13"/>
      <c r="B302" s="18"/>
      <c r="C302" s="13"/>
      <c r="D302" s="13"/>
      <c r="E302" s="13"/>
      <c r="F302" s="14"/>
      <c r="G302" s="13"/>
      <c r="H302" s="13"/>
      <c r="I302" s="14"/>
      <c r="J302" s="13"/>
      <c r="K302" s="13"/>
    </row>
    <row r="303" spans="1:11" ht="14.25">
      <c r="A303" s="13"/>
      <c r="B303" s="18"/>
      <c r="C303" s="13"/>
      <c r="D303" s="13"/>
      <c r="E303" s="13"/>
      <c r="F303" s="14"/>
      <c r="G303" s="13"/>
      <c r="H303" s="13"/>
      <c r="I303" s="14"/>
      <c r="J303" s="13"/>
      <c r="K303" s="13"/>
    </row>
    <row r="304" spans="1:11" ht="14.25">
      <c r="A304" s="13"/>
      <c r="B304" s="18"/>
      <c r="C304" s="13"/>
      <c r="D304" s="13"/>
      <c r="E304" s="13"/>
      <c r="F304" s="14"/>
      <c r="G304" s="13"/>
      <c r="H304" s="13"/>
      <c r="I304" s="14"/>
      <c r="J304" s="13"/>
      <c r="K304" s="13"/>
    </row>
    <row r="305" spans="1:11" ht="14.25">
      <c r="A305" s="13"/>
      <c r="B305" s="18"/>
      <c r="C305" s="13"/>
      <c r="D305" s="13"/>
      <c r="E305" s="13"/>
      <c r="F305" s="14"/>
      <c r="G305" s="13"/>
      <c r="H305" s="13"/>
      <c r="I305" s="14"/>
      <c r="J305" s="13"/>
      <c r="K305" s="13"/>
    </row>
    <row r="306" spans="1:11" ht="14.25">
      <c r="A306" s="13"/>
      <c r="B306" s="18"/>
      <c r="C306" s="13"/>
      <c r="D306" s="13"/>
      <c r="E306" s="13"/>
      <c r="F306" s="14"/>
      <c r="G306" s="13"/>
      <c r="H306" s="13"/>
      <c r="I306" s="14"/>
      <c r="J306" s="13"/>
      <c r="K306" s="13"/>
    </row>
    <row r="307" spans="1:11" ht="14.25">
      <c r="A307" s="13"/>
      <c r="B307" s="18"/>
      <c r="C307" s="13"/>
      <c r="D307" s="13"/>
      <c r="E307" s="13"/>
      <c r="F307" s="14"/>
      <c r="G307" s="13"/>
      <c r="H307" s="13"/>
      <c r="I307" s="14"/>
      <c r="J307" s="13"/>
      <c r="K307" s="13"/>
    </row>
    <row r="308" spans="1:11" ht="14.25">
      <c r="A308" s="13"/>
      <c r="B308" s="18"/>
      <c r="C308" s="13"/>
      <c r="D308" s="13"/>
      <c r="E308" s="13"/>
      <c r="F308" s="14"/>
      <c r="G308" s="13"/>
      <c r="H308" s="13"/>
      <c r="I308" s="14"/>
      <c r="J308" s="13"/>
      <c r="K308" s="13"/>
    </row>
    <row r="309" spans="1:11" ht="14.25">
      <c r="A309" s="13"/>
      <c r="B309" s="18"/>
      <c r="C309" s="13"/>
      <c r="D309" s="13"/>
      <c r="E309" s="13"/>
      <c r="F309" s="14"/>
      <c r="G309" s="13"/>
      <c r="H309" s="13"/>
      <c r="I309" s="14"/>
      <c r="J309" s="13"/>
      <c r="K309" s="13"/>
    </row>
    <row r="310" spans="1:11" ht="14.25">
      <c r="A310" s="13"/>
      <c r="B310" s="18"/>
      <c r="C310" s="13"/>
      <c r="D310" s="13"/>
      <c r="E310" s="13"/>
      <c r="F310" s="14"/>
      <c r="G310" s="13"/>
      <c r="H310" s="13"/>
      <c r="I310" s="14"/>
      <c r="J310" s="13"/>
      <c r="K310" s="13"/>
    </row>
    <row r="311" spans="1:11" ht="14.25">
      <c r="A311" s="13"/>
      <c r="B311" s="18"/>
      <c r="C311" s="13"/>
      <c r="D311" s="13"/>
      <c r="E311" s="13"/>
      <c r="F311" s="14"/>
      <c r="G311" s="13"/>
      <c r="H311" s="13"/>
      <c r="I311" s="14"/>
      <c r="J311" s="13"/>
      <c r="K311" s="13"/>
    </row>
    <row r="312" spans="1:11" ht="14.25">
      <c r="A312" s="13"/>
      <c r="B312" s="18"/>
      <c r="C312" s="13"/>
      <c r="D312" s="13"/>
      <c r="E312" s="13"/>
      <c r="F312" s="14"/>
      <c r="G312" s="13"/>
      <c r="H312" s="13"/>
      <c r="I312" s="14"/>
      <c r="J312" s="13"/>
      <c r="K312" s="13"/>
    </row>
    <row r="313" spans="1:11" ht="14.25">
      <c r="A313" s="13"/>
      <c r="B313" s="18"/>
      <c r="C313" s="13"/>
      <c r="D313" s="13"/>
      <c r="E313" s="13"/>
      <c r="F313" s="14"/>
      <c r="G313" s="13"/>
      <c r="H313" s="13"/>
      <c r="I313" s="14"/>
      <c r="J313" s="13"/>
      <c r="K313" s="13"/>
    </row>
    <row r="314" spans="1:11" ht="14.25">
      <c r="A314" s="13"/>
      <c r="B314" s="18"/>
      <c r="C314" s="13"/>
      <c r="D314" s="13"/>
      <c r="E314" s="13"/>
      <c r="F314" s="14"/>
      <c r="G314" s="13"/>
      <c r="H314" s="13"/>
      <c r="I314" s="14"/>
      <c r="J314" s="13"/>
      <c r="K314" s="13"/>
    </row>
    <row r="315" spans="1:11" ht="14.25">
      <c r="A315" s="13"/>
      <c r="B315" s="18"/>
      <c r="C315" s="13"/>
      <c r="D315" s="13"/>
      <c r="E315" s="13"/>
      <c r="F315" s="14"/>
      <c r="G315" s="13"/>
      <c r="H315" s="13"/>
      <c r="I315" s="14"/>
      <c r="J315" s="13"/>
      <c r="K315" s="13"/>
    </row>
    <row r="316" spans="1:11" ht="14.25">
      <c r="A316" s="13"/>
      <c r="B316" s="18"/>
      <c r="C316" s="13"/>
      <c r="D316" s="13"/>
      <c r="E316" s="13"/>
      <c r="F316" s="14"/>
      <c r="G316" s="13"/>
      <c r="H316" s="13"/>
      <c r="I316" s="14"/>
      <c r="J316" s="13"/>
      <c r="K316" s="13"/>
    </row>
    <row r="317" spans="1:11" ht="14.25">
      <c r="A317" s="13"/>
      <c r="B317" s="18"/>
      <c r="C317" s="13"/>
      <c r="D317" s="13"/>
      <c r="E317" s="13"/>
      <c r="F317" s="14"/>
      <c r="G317" s="13"/>
      <c r="H317" s="13"/>
      <c r="I317" s="14"/>
      <c r="J317" s="13"/>
      <c r="K317" s="13"/>
    </row>
    <row r="318" spans="1:11" ht="14.25">
      <c r="A318" s="13"/>
      <c r="B318" s="18"/>
      <c r="C318" s="13"/>
      <c r="D318" s="13"/>
      <c r="E318" s="13"/>
      <c r="F318" s="14"/>
      <c r="G318" s="13"/>
      <c r="H318" s="13"/>
      <c r="I318" s="14"/>
      <c r="J318" s="13"/>
      <c r="K318" s="13"/>
    </row>
    <row r="319" spans="1:11" ht="14.25">
      <c r="A319" s="13"/>
      <c r="B319" s="18"/>
      <c r="C319" s="13"/>
      <c r="D319" s="13"/>
      <c r="E319" s="13"/>
      <c r="F319" s="14"/>
      <c r="G319" s="13"/>
      <c r="H319" s="13"/>
      <c r="I319" s="14"/>
      <c r="J319" s="13"/>
      <c r="K319" s="13"/>
    </row>
    <row r="320" spans="1:11" ht="14.25">
      <c r="A320" s="13"/>
      <c r="B320" s="18"/>
      <c r="C320" s="13"/>
      <c r="D320" s="13"/>
      <c r="E320" s="13"/>
      <c r="F320" s="14"/>
      <c r="G320" s="13"/>
      <c r="H320" s="13"/>
      <c r="I320" s="14"/>
      <c r="J320" s="13"/>
      <c r="K320" s="13"/>
    </row>
    <row r="321" spans="1:11" ht="14.25">
      <c r="A321" s="13"/>
      <c r="B321" s="18"/>
      <c r="C321" s="13"/>
      <c r="D321" s="13"/>
      <c r="E321" s="13"/>
      <c r="F321" s="14"/>
      <c r="G321" s="13"/>
      <c r="H321" s="13"/>
      <c r="I321" s="14"/>
      <c r="J321" s="13"/>
      <c r="K321" s="13"/>
    </row>
    <row r="322" spans="1:11" ht="14.25">
      <c r="A322" s="13"/>
      <c r="B322" s="18"/>
      <c r="C322" s="13"/>
      <c r="D322" s="13"/>
      <c r="E322" s="13"/>
      <c r="F322" s="14"/>
      <c r="G322" s="13"/>
      <c r="H322" s="13"/>
      <c r="I322" s="14"/>
      <c r="J322" s="13"/>
      <c r="K322" s="13"/>
    </row>
    <row r="323" spans="1:11" ht="14.25">
      <c r="A323" s="13"/>
      <c r="B323" s="18"/>
      <c r="C323" s="13"/>
      <c r="D323" s="13"/>
      <c r="E323" s="13"/>
      <c r="F323" s="14"/>
      <c r="G323" s="13"/>
      <c r="H323" s="13"/>
      <c r="I323" s="14"/>
      <c r="J323" s="13"/>
      <c r="K323" s="13"/>
    </row>
    <row r="324" spans="1:11" ht="14.25">
      <c r="A324" s="13"/>
      <c r="B324" s="18"/>
      <c r="C324" s="13"/>
      <c r="D324" s="13"/>
      <c r="E324" s="13"/>
      <c r="F324" s="14"/>
      <c r="G324" s="13"/>
      <c r="H324" s="13"/>
      <c r="I324" s="14"/>
      <c r="J324" s="13"/>
      <c r="K324" s="13"/>
    </row>
    <row r="325" spans="1:11" ht="14.25">
      <c r="A325" s="13"/>
      <c r="B325" s="18"/>
      <c r="C325" s="13"/>
      <c r="D325" s="13"/>
      <c r="E325" s="13"/>
      <c r="F325" s="14"/>
      <c r="G325" s="13"/>
      <c r="H325" s="13"/>
      <c r="I325" s="14"/>
      <c r="J325" s="13"/>
      <c r="K325" s="13"/>
    </row>
    <row r="326" spans="1:11" ht="14.25">
      <c r="A326" s="13"/>
      <c r="B326" s="18"/>
      <c r="C326" s="13"/>
      <c r="D326" s="13"/>
      <c r="E326" s="13"/>
      <c r="F326" s="14"/>
      <c r="G326" s="13"/>
      <c r="H326" s="13"/>
      <c r="I326" s="14"/>
      <c r="J326" s="13"/>
      <c r="K326" s="13"/>
    </row>
    <row r="327" spans="1:11" ht="14.25">
      <c r="A327" s="13"/>
      <c r="B327" s="18"/>
      <c r="C327" s="13"/>
      <c r="D327" s="13"/>
      <c r="E327" s="13"/>
      <c r="F327" s="14"/>
      <c r="G327" s="13"/>
      <c r="H327" s="13"/>
      <c r="I327" s="14"/>
      <c r="J327" s="13"/>
      <c r="K327" s="13"/>
    </row>
    <row r="328" spans="1:11" ht="14.25">
      <c r="A328" s="13"/>
      <c r="B328" s="18"/>
      <c r="C328" s="13"/>
      <c r="D328" s="13"/>
      <c r="E328" s="13"/>
      <c r="F328" s="14"/>
      <c r="G328" s="13"/>
      <c r="H328" s="13"/>
      <c r="I328" s="14"/>
      <c r="J328" s="13"/>
      <c r="K328" s="13"/>
    </row>
    <row r="329" spans="1:11" ht="14.25">
      <c r="A329" s="13"/>
      <c r="B329" s="18"/>
      <c r="C329" s="13"/>
      <c r="D329" s="13"/>
      <c r="E329" s="13"/>
      <c r="F329" s="14"/>
      <c r="G329" s="13"/>
      <c r="H329" s="13"/>
      <c r="I329" s="14"/>
      <c r="J329" s="13"/>
      <c r="K329" s="13"/>
    </row>
    <row r="330" spans="1:11" ht="14.25">
      <c r="A330" s="13"/>
      <c r="B330" s="18"/>
      <c r="C330" s="13"/>
      <c r="D330" s="13"/>
      <c r="E330" s="13"/>
      <c r="F330" s="14"/>
      <c r="G330" s="13"/>
      <c r="H330" s="13"/>
      <c r="I330" s="14"/>
      <c r="J330" s="13"/>
      <c r="K330" s="13"/>
    </row>
    <row r="331" spans="1:11" ht="14.25">
      <c r="A331" s="13"/>
      <c r="B331" s="18"/>
      <c r="C331" s="13"/>
      <c r="D331" s="13"/>
      <c r="E331" s="13"/>
      <c r="F331" s="14"/>
      <c r="G331" s="13"/>
      <c r="H331" s="13"/>
      <c r="I331" s="14"/>
      <c r="J331" s="13"/>
      <c r="K331" s="13"/>
    </row>
    <row r="332" spans="1:11" ht="14.25">
      <c r="A332" s="13"/>
      <c r="B332" s="18"/>
      <c r="C332" s="13"/>
      <c r="D332" s="13"/>
      <c r="E332" s="13"/>
      <c r="F332" s="14"/>
      <c r="G332" s="13"/>
      <c r="H332" s="13"/>
      <c r="I332" s="14"/>
      <c r="J332" s="13"/>
      <c r="K332" s="13"/>
    </row>
    <row r="333" spans="1:11" ht="14.25">
      <c r="A333" s="13"/>
      <c r="B333" s="18"/>
      <c r="C333" s="13"/>
      <c r="D333" s="13"/>
      <c r="E333" s="13"/>
      <c r="F333" s="14"/>
      <c r="G333" s="13"/>
      <c r="H333" s="13"/>
      <c r="I333" s="14"/>
      <c r="J333" s="13"/>
      <c r="K333" s="13"/>
    </row>
    <row r="334" spans="1:11" ht="13.9">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C24" sqref="C24:D2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221</v>
      </c>
      <c r="B1" t="s">
        <v>222</v>
      </c>
    </row>
    <row r="3" spans="1:12">
      <c r="A3" t="s">
        <v>223</v>
      </c>
      <c r="B3" t="s">
        <v>3</v>
      </c>
      <c r="C3" t="s">
        <v>4</v>
      </c>
      <c r="D3" t="s">
        <v>224</v>
      </c>
      <c r="E3" s="2" t="s">
        <v>225</v>
      </c>
    </row>
    <row r="4" spans="1:12" ht="14.25">
      <c r="A4" s="24" t="s">
        <v>226</v>
      </c>
      <c r="B4" t="s">
        <v>227</v>
      </c>
      <c r="C4" s="23" t="s">
        <v>228</v>
      </c>
      <c r="D4" s="22"/>
      <c r="E4" t="s">
        <v>229</v>
      </c>
      <c r="G4" s="3"/>
    </row>
    <row r="5" spans="1:12" ht="14.25">
      <c r="A5" s="24" t="s">
        <v>230</v>
      </c>
      <c r="B5" t="s">
        <v>231</v>
      </c>
      <c r="C5" s="23" t="s">
        <v>228</v>
      </c>
      <c r="D5" s="22"/>
      <c r="E5" t="s">
        <v>232</v>
      </c>
      <c r="G5" s="3"/>
    </row>
    <row r="6" spans="1:12" ht="14.25">
      <c r="A6" s="24" t="s">
        <v>233</v>
      </c>
      <c r="B6" t="s">
        <v>234</v>
      </c>
      <c r="C6" s="23" t="s">
        <v>235</v>
      </c>
      <c r="D6" s="22" t="s">
        <v>236</v>
      </c>
      <c r="E6" t="s">
        <v>229</v>
      </c>
      <c r="G6" s="3"/>
    </row>
    <row r="7" spans="1:12" ht="12.75" customHeight="1">
      <c r="A7" s="24" t="s">
        <v>237</v>
      </c>
      <c r="B7" t="s">
        <v>238</v>
      </c>
      <c r="C7" s="23" t="s">
        <v>235</v>
      </c>
      <c r="D7" s="22" t="s">
        <v>236</v>
      </c>
      <c r="E7" t="s">
        <v>229</v>
      </c>
    </row>
    <row r="8" spans="1:12" ht="12.75" customHeight="1">
      <c r="A8" s="24" t="s">
        <v>239</v>
      </c>
      <c r="B8" t="s">
        <v>240</v>
      </c>
      <c r="C8" s="23" t="s">
        <v>235</v>
      </c>
      <c r="D8" s="22" t="s">
        <v>236</v>
      </c>
      <c r="E8" t="s">
        <v>229</v>
      </c>
    </row>
    <row r="9" spans="1:12" ht="12.75" customHeight="1">
      <c r="A9" s="24" t="s">
        <v>241</v>
      </c>
      <c r="B9" t="s">
        <v>242</v>
      </c>
      <c r="C9" s="23" t="s">
        <v>235</v>
      </c>
      <c r="D9" s="22" t="s">
        <v>236</v>
      </c>
      <c r="E9" t="s">
        <v>229</v>
      </c>
    </row>
    <row r="10" spans="1:12" ht="12.75" customHeight="1">
      <c r="A10" s="24" t="s">
        <v>243</v>
      </c>
      <c r="B10" t="s">
        <v>244</v>
      </c>
      <c r="C10" s="23" t="s">
        <v>245</v>
      </c>
      <c r="D10" s="22" t="s">
        <v>236</v>
      </c>
      <c r="E10" t="s">
        <v>229</v>
      </c>
      <c r="K10" s="20"/>
      <c r="L10" s="20"/>
    </row>
    <row r="11" spans="1:12" ht="12.75" customHeight="1">
      <c r="A11" s="24" t="s">
        <v>246</v>
      </c>
      <c r="B11" t="s">
        <v>247</v>
      </c>
      <c r="C11" s="23" t="s">
        <v>245</v>
      </c>
      <c r="D11" s="22" t="s">
        <v>236</v>
      </c>
      <c r="E11" t="s">
        <v>229</v>
      </c>
      <c r="K11" s="20"/>
      <c r="L11" s="20"/>
    </row>
    <row r="12" spans="1:12" ht="12.75" customHeight="1">
      <c r="A12" s="24" t="s">
        <v>248</v>
      </c>
      <c r="B12" t="s">
        <v>249</v>
      </c>
      <c r="C12" s="23" t="s">
        <v>245</v>
      </c>
      <c r="D12" s="22"/>
      <c r="E12" t="s">
        <v>232</v>
      </c>
      <c r="K12" s="20"/>
      <c r="L12" s="20"/>
    </row>
    <row r="13" spans="1:12" ht="12.75" customHeight="1">
      <c r="A13" s="24" t="s">
        <v>250</v>
      </c>
      <c r="B13" t="s">
        <v>250</v>
      </c>
      <c r="C13" s="23" t="s">
        <v>245</v>
      </c>
      <c r="D13" s="22"/>
      <c r="E13" t="s">
        <v>229</v>
      </c>
      <c r="K13" s="20"/>
      <c r="L13" s="20"/>
    </row>
    <row r="14" spans="1:12" ht="12.75" customHeight="1">
      <c r="A14" s="24" t="s">
        <v>251</v>
      </c>
      <c r="B14" t="s">
        <v>251</v>
      </c>
      <c r="C14" s="23" t="s">
        <v>245</v>
      </c>
      <c r="D14" s="22"/>
      <c r="E14" t="s">
        <v>229</v>
      </c>
      <c r="K14" s="20"/>
      <c r="L14" s="20"/>
    </row>
    <row r="15" spans="1:12" ht="12.75" customHeight="1">
      <c r="A15" s="24" t="s">
        <v>252</v>
      </c>
      <c r="B15" t="s">
        <v>253</v>
      </c>
      <c r="C15" s="23" t="s">
        <v>228</v>
      </c>
      <c r="D15" s="22"/>
      <c r="E15" t="s">
        <v>229</v>
      </c>
      <c r="K15" s="20"/>
      <c r="L15" s="20"/>
    </row>
    <row r="16" spans="1:12" ht="12.75" customHeight="1">
      <c r="A16" s="24" t="s">
        <v>254</v>
      </c>
      <c r="B16" t="s">
        <v>255</v>
      </c>
      <c r="C16" s="23" t="s">
        <v>256</v>
      </c>
      <c r="D16" s="22" t="s">
        <v>236</v>
      </c>
      <c r="E16" t="s">
        <v>229</v>
      </c>
      <c r="K16" s="20"/>
      <c r="L16" s="20"/>
    </row>
    <row r="17" spans="1:12" ht="12.75" customHeight="1">
      <c r="A17" s="24" t="s">
        <v>257</v>
      </c>
      <c r="B17" t="s">
        <v>258</v>
      </c>
      <c r="C17" s="23" t="s">
        <v>256</v>
      </c>
      <c r="D17" s="22" t="s">
        <v>236</v>
      </c>
      <c r="E17" t="s">
        <v>229</v>
      </c>
      <c r="K17" s="20"/>
      <c r="L17" s="20"/>
    </row>
    <row r="18" spans="1:12" ht="12.75" customHeight="1">
      <c r="A18" s="72" t="s">
        <v>259</v>
      </c>
      <c r="B18" s="73" t="s">
        <v>260</v>
      </c>
      <c r="C18" s="23" t="s">
        <v>261</v>
      </c>
      <c r="D18" s="22" t="s">
        <v>236</v>
      </c>
      <c r="E18" t="s">
        <v>229</v>
      </c>
      <c r="K18" s="20"/>
      <c r="L18" s="20"/>
    </row>
    <row r="19" spans="1:12" ht="12.75" customHeight="1">
      <c r="A19" s="72" t="s">
        <v>262</v>
      </c>
      <c r="B19" s="73" t="s">
        <v>263</v>
      </c>
      <c r="C19" s="23" t="s">
        <v>228</v>
      </c>
      <c r="D19" s="22"/>
      <c r="E19" t="s">
        <v>229</v>
      </c>
      <c r="K19" s="20"/>
      <c r="L19" s="20"/>
    </row>
    <row r="20" spans="1:12" ht="12.75" customHeight="1">
      <c r="A20" s="72" t="s">
        <v>264</v>
      </c>
      <c r="B20" s="73" t="s">
        <v>265</v>
      </c>
      <c r="C20" s="23" t="s">
        <v>266</v>
      </c>
      <c r="D20" s="22" t="s">
        <v>236</v>
      </c>
      <c r="E20" t="s">
        <v>229</v>
      </c>
      <c r="K20" s="20"/>
      <c r="L20" s="20"/>
    </row>
    <row r="21" spans="1:12" ht="12.75" customHeight="1">
      <c r="K21" s="20"/>
      <c r="L21" s="20"/>
    </row>
    <row r="22" spans="1:12" ht="12.75" customHeight="1">
      <c r="K22" s="20"/>
      <c r="L22" s="20"/>
    </row>
    <row r="23" spans="1:12" ht="12.75" customHeight="1">
      <c r="K23" s="20"/>
      <c r="L23" s="2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8D732231-4216-4543-A665-18A2886B0EB7}"/>
</file>

<file path=customXml/itemProps3.xml><?xml version="1.0" encoding="utf-8"?>
<ds:datastoreItem xmlns:ds="http://schemas.openxmlformats.org/officeDocument/2006/customXml" ds:itemID="{F6B2B1A1-1C4B-4AC9-9A7D-7A102DD1C942}"/>
</file>

<file path=customXml/itemProps4.xml><?xml version="1.0" encoding="utf-8"?>
<ds:datastoreItem xmlns:ds="http://schemas.openxmlformats.org/officeDocument/2006/customXml" ds:itemID="{3AEAA9D8-2182-46BA-A58E-96C72DDA1C54}"/>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0389C43E-394D-44C0-87DC-4780FCFCFB40}"/>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C0BCDC1E-6052-4E48-9BAF-94A40814E7C2}"/>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BF5C6359-7763-4C37-8EAF-2BC4698CB285}"/>
</file>

<file path=customXml/itemProps14.xml><?xml version="1.0" encoding="utf-8"?>
<ds:datastoreItem xmlns:ds="http://schemas.openxmlformats.org/officeDocument/2006/customXml" ds:itemID="{7946C510-7D04-49D8-9B25-EEC04582A1CA}"/>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BE26B669-A686-459C-A5E9-FEC3409C4C81}"/>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E20E8303-6A67-485C-B6F4-303542CC29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2024-12-10T06:17:40Z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