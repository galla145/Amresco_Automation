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1" documentId="13_ncr:1_{077AB6A8-C5B3-493C-B07E-36FC1A3BB87A}" xr6:coauthVersionLast="47" xr6:coauthVersionMax="47" xr10:uidLastSave="{3CD8FF56-150C-49A5-BA1C-4D38E3944FBF}"/>
  <bookViews>
    <workbookView xWindow="28680" yWindow="-120" windowWidth="29040" windowHeight="15720" tabRatio="713" firstSheet="5" activeTab="1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33" l="1"/>
  <c r="J10" i="18"/>
  <c r="J13" i="36"/>
  <c r="J10" i="36"/>
  <c r="L89" i="33"/>
  <c r="J7" i="36"/>
  <c r="J13" i="12"/>
  <c r="J10" i="12"/>
  <c r="F89" i="33"/>
  <c r="J7" i="12"/>
  <c r="J13" i="18"/>
  <c r="I88" i="33"/>
  <c r="J8" i="18"/>
  <c r="J7" i="18"/>
  <c r="J6" i="18"/>
  <c r="L88" i="33"/>
  <c r="J8" i="36"/>
  <c r="J6" i="36"/>
  <c r="F88" i="33"/>
  <c r="J8" i="12"/>
  <c r="J6" i="12"/>
  <c r="I87" i="33"/>
  <c r="L87" i="33" l="1"/>
  <c r="F87" i="33"/>
  <c r="L86" i="33"/>
  <c r="F86" i="33"/>
  <c r="I86" i="33"/>
  <c r="L84" i="33"/>
  <c r="L85" i="33"/>
  <c r="F84" i="33"/>
  <c r="F85" i="33"/>
  <c r="I84" i="33"/>
  <c r="I85" i="33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<sst xmlns="http://schemas.openxmlformats.org/spreadsheetml/2006/main" count="506" uniqueCount="93">
  <si>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</si>
  <si>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</si>
  <si>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</si>
  <si>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</si>
  <si>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</si>
  <si>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</si>
  <si>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</si>
  <si>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</si>
  <si>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</si>
  <si>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</si>
  <si>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</si>
  <si>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</si>
  <si>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</si>
  <si>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</si>
  <si>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</si>
  <si>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</si>
  <si>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</si>
  <si>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</si>
  <si>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</si>
  <si>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</si>
  <si>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</si>
  <si>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</si>
  <si>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</si>
  <si>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</si>
  <si>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November' 2024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</si>
  <si>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</si>
  <si>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</si>
  <si>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</si>
  <si>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</si>
  <si>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</si>
  <si>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</si>
  <si>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</si>
  <si>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</si>
  <si>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erroneous values overnight throughout the entire month. We reached out to AlsoEnergy( #529959 )and manually corrected the data by considering 6:00 AM to 7:00 PM as the production hours.</t>
  </si>
  <si>
    <t>O&amp;M Activity</t>
  </si>
  <si>
    <t>Performance Notes</t>
  </si>
  <si>
    <t>Smithfield</t>
  </si>
  <si>
    <t>Westlake</t>
  </si>
  <si>
    <t>November 2024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</si>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</sst>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66" fontId="0" fillId="0" borderId="18" xfId="0" applyNumberFormat="1" applyBorder="1" applyAlignment="1">
      <alignment horizontal="right"/>
    </xf>
    <xf numFmtId="0" fontId="20" fillId="0" borderId="18" xfId="0" applyFont="1" applyBorder="1"/>
    <xf numFmtId="3" fontId="19" fillId="0" borderId="18" xfId="0" applyNumberFormat="1" applyFont="1" applyBorder="1" applyAlignment="1">
      <alignment horizontal="right"/>
    </xf>
    <xf numFmtId="1" fontId="19" fillId="0" borderId="14" xfId="0" applyNumberFormat="1" applyFon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 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Merrimack!$F$32:$F$61</c:f>
              <c:numCache>
                <c:formatCode>mm/dd/yy;@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Merrimack!$G$32:$G$61</c:f>
              <c:numCache>
                <c:formatCode>General</c:formatCode>
                <c:ptCount val="30"/>
                <c:pt idx="0">
                  <c:v>7464</c:v>
                </c:pt>
                <c:pt idx="1">
                  <c:v>7259</c:v>
                </c:pt>
                <c:pt idx="2">
                  <c:v>12163</c:v>
                </c:pt>
                <c:pt idx="3">
                  <c:v>3488</c:v>
                </c:pt>
                <c:pt idx="4">
                  <c:v>8146</c:v>
                </c:pt>
                <c:pt idx="5">
                  <c:v>8177</c:v>
                </c:pt>
                <c:pt idx="6">
                  <c:v>6163</c:v>
                </c:pt>
                <c:pt idx="7">
                  <c:v>10520</c:v>
                </c:pt>
                <c:pt idx="8">
                  <c:v>11407</c:v>
                </c:pt>
                <c:pt idx="9">
                  <c:v>8091</c:v>
                </c:pt>
                <c:pt idx="10">
                  <c:v>7504</c:v>
                </c:pt>
                <c:pt idx="11">
                  <c:v>4763</c:v>
                </c:pt>
                <c:pt idx="12">
                  <c:v>10987</c:v>
                </c:pt>
                <c:pt idx="13">
                  <c:v>10680</c:v>
                </c:pt>
                <c:pt idx="14">
                  <c:v>10558</c:v>
                </c:pt>
                <c:pt idx="15">
                  <c:v>9396</c:v>
                </c:pt>
                <c:pt idx="16">
                  <c:v>10079</c:v>
                </c:pt>
                <c:pt idx="17">
                  <c:v>8394</c:v>
                </c:pt>
                <c:pt idx="18">
                  <c:v>9965</c:v>
                </c:pt>
                <c:pt idx="19">
                  <c:v>9461</c:v>
                </c:pt>
                <c:pt idx="20">
                  <c:v>758</c:v>
                </c:pt>
                <c:pt idx="21">
                  <c:v>5626</c:v>
                </c:pt>
                <c:pt idx="22">
                  <c:v>2072</c:v>
                </c:pt>
                <c:pt idx="23">
                  <c:v>7147</c:v>
                </c:pt>
                <c:pt idx="24">
                  <c:v>9412</c:v>
                </c:pt>
                <c:pt idx="25">
                  <c:v>530</c:v>
                </c:pt>
                <c:pt idx="26">
                  <c:v>5979</c:v>
                </c:pt>
                <c:pt idx="27">
                  <c:v>409</c:v>
                </c:pt>
                <c:pt idx="28">
                  <c:v>6017</c:v>
                </c:pt>
                <c:pt idx="29">
                  <c:v>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Merrimack!$H$32:$H$61</c:f>
              <c:numCache>
                <c:formatCode>#,##0</c:formatCode>
                <c:ptCount val="30"/>
                <c:pt idx="0">
                  <c:v>3549.07</c:v>
                </c:pt>
                <c:pt idx="1">
                  <c:v>3205.4009999999998</c:v>
                </c:pt>
                <c:pt idx="2">
                  <c:v>5568.0370000000003</c:v>
                </c:pt>
                <c:pt idx="3">
                  <c:v>1445.636</c:v>
                </c:pt>
                <c:pt idx="4">
                  <c:v>3726.902</c:v>
                </c:pt>
                <c:pt idx="5">
                  <c:v>3708.1379999999999</c:v>
                </c:pt>
                <c:pt idx="6">
                  <c:v>2945.38</c:v>
                </c:pt>
                <c:pt idx="7">
                  <c:v>4672.393</c:v>
                </c:pt>
                <c:pt idx="8">
                  <c:v>5235.9120000000003</c:v>
                </c:pt>
                <c:pt idx="9">
                  <c:v>3583.511</c:v>
                </c:pt>
                <c:pt idx="10">
                  <c:v>3479.5790000000002</c:v>
                </c:pt>
                <c:pt idx="11">
                  <c:v>2170.134</c:v>
                </c:pt>
                <c:pt idx="12">
                  <c:v>5138.2020000000002</c:v>
                </c:pt>
                <c:pt idx="13">
                  <c:v>4962.4380000000001</c:v>
                </c:pt>
                <c:pt idx="14">
                  <c:v>5087.7359999999999</c:v>
                </c:pt>
                <c:pt idx="15">
                  <c:v>4426.99</c:v>
                </c:pt>
                <c:pt idx="16">
                  <c:v>4768.3919999999998</c:v>
                </c:pt>
                <c:pt idx="17">
                  <c:v>3821.7890000000002</c:v>
                </c:pt>
                <c:pt idx="18">
                  <c:v>4666.8519999999999</c:v>
                </c:pt>
                <c:pt idx="19">
                  <c:v>4485.6719999999996</c:v>
                </c:pt>
                <c:pt idx="20">
                  <c:v>307.24419999999998</c:v>
                </c:pt>
                <c:pt idx="21">
                  <c:v>2423.627</c:v>
                </c:pt>
                <c:pt idx="22">
                  <c:v>903.04269999999997</c:v>
                </c:pt>
                <c:pt idx="23">
                  <c:v>3461.1509999999998</c:v>
                </c:pt>
                <c:pt idx="24">
                  <c:v>4557.9139999999998</c:v>
                </c:pt>
                <c:pt idx="25">
                  <c:v>231.71860000000001</c:v>
                </c:pt>
                <c:pt idx="26">
                  <c:v>2991.239</c:v>
                </c:pt>
                <c:pt idx="27">
                  <c:v>179.8886</c:v>
                </c:pt>
                <c:pt idx="28">
                  <c:v>2859.9479999999999</c:v>
                </c:pt>
                <c:pt idx="29">
                  <c:v>3876.62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Smithfield!$F$32:$F$61</c:f>
              <c:numCache>
                <c:formatCode>mm/dd/yy;@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Smithfield!$G$32:$G$61</c:f>
              <c:numCache>
                <c:formatCode>#,##0</c:formatCode>
                <c:ptCount val="30"/>
                <c:pt idx="0">
                  <c:v>8225.75</c:v>
                </c:pt>
                <c:pt idx="1">
                  <c:v>8518</c:v>
                </c:pt>
                <c:pt idx="2">
                  <c:v>14295.5</c:v>
                </c:pt>
                <c:pt idx="3">
                  <c:v>5464</c:v>
                </c:pt>
                <c:pt idx="4">
                  <c:v>12138.25</c:v>
                </c:pt>
                <c:pt idx="5">
                  <c:v>12036.75</c:v>
                </c:pt>
                <c:pt idx="6">
                  <c:v>10599</c:v>
                </c:pt>
                <c:pt idx="7">
                  <c:v>13090.25</c:v>
                </c:pt>
                <c:pt idx="8">
                  <c:v>13648</c:v>
                </c:pt>
                <c:pt idx="9">
                  <c:v>10156.25</c:v>
                </c:pt>
                <c:pt idx="10">
                  <c:v>8234.75</c:v>
                </c:pt>
                <c:pt idx="11">
                  <c:v>11844</c:v>
                </c:pt>
                <c:pt idx="12">
                  <c:v>13194</c:v>
                </c:pt>
                <c:pt idx="13">
                  <c:v>12648</c:v>
                </c:pt>
                <c:pt idx="14">
                  <c:v>11791.25</c:v>
                </c:pt>
                <c:pt idx="15">
                  <c:v>11956</c:v>
                </c:pt>
                <c:pt idx="16">
                  <c:v>12040</c:v>
                </c:pt>
                <c:pt idx="17">
                  <c:v>10656</c:v>
                </c:pt>
                <c:pt idx="18">
                  <c:v>11856.5</c:v>
                </c:pt>
                <c:pt idx="19">
                  <c:v>11317.75</c:v>
                </c:pt>
                <c:pt idx="20">
                  <c:v>1363</c:v>
                </c:pt>
                <c:pt idx="21">
                  <c:v>6883</c:v>
                </c:pt>
                <c:pt idx="22">
                  <c:v>2173.5</c:v>
                </c:pt>
                <c:pt idx="23">
                  <c:v>10862.75</c:v>
                </c:pt>
                <c:pt idx="24">
                  <c:v>11202.5</c:v>
                </c:pt>
                <c:pt idx="25">
                  <c:v>1025.25</c:v>
                </c:pt>
                <c:pt idx="26">
                  <c:v>10681.25</c:v>
                </c:pt>
                <c:pt idx="27">
                  <c:v>642.5</c:v>
                </c:pt>
                <c:pt idx="28">
                  <c:v>7969.5</c:v>
                </c:pt>
                <c:pt idx="29">
                  <c:v>10486.25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Smithfield!$F$32:$F$61</c:f>
              <c:numCache>
                <c:formatCode>mm/dd/yy;@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Smithfield!$H$32:$H$61</c:f>
              <c:numCache>
                <c:formatCode>#,##0</c:formatCode>
                <c:ptCount val="30"/>
                <c:pt idx="0">
                  <c:v>2552.165</c:v>
                </c:pt>
                <c:pt idx="1">
                  <c:v>2541.9490000000001</c:v>
                </c:pt>
                <c:pt idx="2">
                  <c:v>4366.1270000000004</c:v>
                </c:pt>
                <c:pt idx="3">
                  <c:v>1586.546</c:v>
                </c:pt>
                <c:pt idx="4">
                  <c:v>3763.7869999999998</c:v>
                </c:pt>
                <c:pt idx="5">
                  <c:v>3805.1819999999998</c:v>
                </c:pt>
                <c:pt idx="6">
                  <c:v>3383.1709999999998</c:v>
                </c:pt>
                <c:pt idx="7">
                  <c:v>4113.6959999999999</c:v>
                </c:pt>
                <c:pt idx="8">
                  <c:v>4235.7659999999996</c:v>
                </c:pt>
                <c:pt idx="9">
                  <c:v>3098.9349999999999</c:v>
                </c:pt>
                <c:pt idx="10">
                  <c:v>2653.8440000000001</c:v>
                </c:pt>
                <c:pt idx="11">
                  <c:v>3786.7860000000001</c:v>
                </c:pt>
                <c:pt idx="12">
                  <c:v>4068.6039999999998</c:v>
                </c:pt>
                <c:pt idx="13">
                  <c:v>3846.607</c:v>
                </c:pt>
                <c:pt idx="14">
                  <c:v>3686.3359999999998</c:v>
                </c:pt>
                <c:pt idx="15">
                  <c:v>3739.739</c:v>
                </c:pt>
                <c:pt idx="16">
                  <c:v>3776.672</c:v>
                </c:pt>
                <c:pt idx="17">
                  <c:v>3345.3420000000001</c:v>
                </c:pt>
                <c:pt idx="18">
                  <c:v>3746.1869999999999</c:v>
                </c:pt>
                <c:pt idx="19">
                  <c:v>3555.1379999999999</c:v>
                </c:pt>
                <c:pt idx="20">
                  <c:v>390.49880000000002</c:v>
                </c:pt>
                <c:pt idx="21">
                  <c:v>2045.056</c:v>
                </c:pt>
                <c:pt idx="22">
                  <c:v>632.45249999999999</c:v>
                </c:pt>
                <c:pt idx="23">
                  <c:v>3416.748</c:v>
                </c:pt>
                <c:pt idx="24">
                  <c:v>3569.1219999999998</c:v>
                </c:pt>
                <c:pt idx="25">
                  <c:v>299.34679999999997</c:v>
                </c:pt>
                <c:pt idx="26">
                  <c:v>3465.3359999999998</c:v>
                </c:pt>
                <c:pt idx="27">
                  <c:v>192.31780000000001</c:v>
                </c:pt>
                <c:pt idx="28">
                  <c:v>2540.69</c:v>
                </c:pt>
                <c:pt idx="29">
                  <c:v>3295.9580000000001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Westlake!$F$32:$F$61</c:f>
              <c:numCache>
                <c:formatCode>mm/dd/yy;@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Westlake!$G$32:$G$61</c:f>
              <c:numCache>
                <c:formatCode>#,##0</c:formatCode>
                <c:ptCount val="30"/>
                <c:pt idx="0">
                  <c:v>4032</c:v>
                </c:pt>
                <c:pt idx="1">
                  <c:v>2938</c:v>
                </c:pt>
                <c:pt idx="2">
                  <c:v>3335</c:v>
                </c:pt>
                <c:pt idx="3">
                  <c:v>3745</c:v>
                </c:pt>
                <c:pt idx="4">
                  <c:v>14598</c:v>
                </c:pt>
                <c:pt idx="5">
                  <c:v>16559</c:v>
                </c:pt>
                <c:pt idx="6">
                  <c:v>2959</c:v>
                </c:pt>
                <c:pt idx="7">
                  <c:v>1811</c:v>
                </c:pt>
                <c:pt idx="8">
                  <c:v>16164</c:v>
                </c:pt>
                <c:pt idx="9">
                  <c:v>15472</c:v>
                </c:pt>
                <c:pt idx="10">
                  <c:v>15250</c:v>
                </c:pt>
                <c:pt idx="11">
                  <c:v>15056</c:v>
                </c:pt>
                <c:pt idx="12">
                  <c:v>10536</c:v>
                </c:pt>
                <c:pt idx="13">
                  <c:v>15959</c:v>
                </c:pt>
                <c:pt idx="14">
                  <c:v>15960</c:v>
                </c:pt>
                <c:pt idx="15">
                  <c:v>14051</c:v>
                </c:pt>
                <c:pt idx="16">
                  <c:v>6703</c:v>
                </c:pt>
                <c:pt idx="17">
                  <c:v>7837</c:v>
                </c:pt>
                <c:pt idx="18">
                  <c:v>15242.000000001863</c:v>
                </c:pt>
                <c:pt idx="19">
                  <c:v>15930.999999998137</c:v>
                </c:pt>
                <c:pt idx="20">
                  <c:v>15103</c:v>
                </c:pt>
                <c:pt idx="21">
                  <c:v>14713</c:v>
                </c:pt>
                <c:pt idx="22">
                  <c:v>14672</c:v>
                </c:pt>
                <c:pt idx="23">
                  <c:v>13090</c:v>
                </c:pt>
                <c:pt idx="24">
                  <c:v>2593</c:v>
                </c:pt>
                <c:pt idx="25">
                  <c:v>14294</c:v>
                </c:pt>
                <c:pt idx="26">
                  <c:v>8937</c:v>
                </c:pt>
                <c:pt idx="27">
                  <c:v>4583</c:v>
                </c:pt>
                <c:pt idx="28">
                  <c:v>14297</c:v>
                </c:pt>
                <c:pt idx="29">
                  <c:v>14141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Westlake!$H$32:$H$61</c:f>
              <c:numCache>
                <c:formatCode>#,##0</c:formatCode>
                <c:ptCount val="30"/>
                <c:pt idx="0">
                  <c:v>974.52089999999998</c:v>
                </c:pt>
                <c:pt idx="1">
                  <c:v>583.31830000000002</c:v>
                </c:pt>
                <c:pt idx="2">
                  <c:v>723.44899999999996</c:v>
                </c:pt>
                <c:pt idx="3">
                  <c:v>979.65049999999997</c:v>
                </c:pt>
                <c:pt idx="4">
                  <c:v>5150.6890000000003</c:v>
                </c:pt>
                <c:pt idx="5">
                  <c:v>5757.1450000000004</c:v>
                </c:pt>
                <c:pt idx="6">
                  <c:v>625.78740000000005</c:v>
                </c:pt>
                <c:pt idx="7">
                  <c:v>248.17959999999999</c:v>
                </c:pt>
                <c:pt idx="8">
                  <c:v>5669.2079999999996</c:v>
                </c:pt>
                <c:pt idx="9">
                  <c:v>5453.625</c:v>
                </c:pt>
                <c:pt idx="10">
                  <c:v>5261.3890000000001</c:v>
                </c:pt>
                <c:pt idx="11">
                  <c:v>5177.0349999999999</c:v>
                </c:pt>
                <c:pt idx="12">
                  <c:v>5164.9620000000004</c:v>
                </c:pt>
                <c:pt idx="13">
                  <c:v>5603.2139999999999</c:v>
                </c:pt>
                <c:pt idx="14">
                  <c:v>5533.95</c:v>
                </c:pt>
                <c:pt idx="15">
                  <c:v>4730.1509999999998</c:v>
                </c:pt>
                <c:pt idx="16">
                  <c:v>2067.6179999999999</c:v>
                </c:pt>
                <c:pt idx="17">
                  <c:v>2681.7919999999999</c:v>
                </c:pt>
                <c:pt idx="18">
                  <c:v>5351.22</c:v>
                </c:pt>
                <c:pt idx="19">
                  <c:v>5581.3410000000003</c:v>
                </c:pt>
                <c:pt idx="20">
                  <c:v>5238.701</c:v>
                </c:pt>
                <c:pt idx="21">
                  <c:v>5085.0110000000004</c:v>
                </c:pt>
                <c:pt idx="22">
                  <c:v>5109.8280000000004</c:v>
                </c:pt>
                <c:pt idx="23">
                  <c:v>4672.0479999999998</c:v>
                </c:pt>
                <c:pt idx="24">
                  <c:v>624.01670000000001</c:v>
                </c:pt>
                <c:pt idx="25">
                  <c:v>4922.2349999999997</c:v>
                </c:pt>
                <c:pt idx="26">
                  <c:v>3012.817</c:v>
                </c:pt>
                <c:pt idx="27">
                  <c:v>1281.568</c:v>
                </c:pt>
                <c:pt idx="28">
                  <c:v>4873.6850000000004</c:v>
                </c:pt>
                <c:pt idx="29">
                  <c:v>4909.4120000000003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74" t="s">
        <v>0</v>
      </c>
      <c r="B1" s="175"/>
      <c r="C1" s="175"/>
      <c r="D1" s="175"/>
      <c r="E1" s="176"/>
      <c r="F1" s="168" t="s">
        <v>1</v>
      </c>
      <c r="G1" s="169"/>
      <c r="H1" s="169"/>
      <c r="I1" s="169"/>
      <c r="J1" s="169"/>
      <c r="K1" s="16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7" t="s">
        <v>2</v>
      </c>
      <c r="B2" s="178"/>
      <c r="C2" s="178"/>
      <c r="D2" s="178"/>
      <c r="E2" s="178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70" t="s">
        <v>4</v>
      </c>
      <c r="B3" s="171"/>
      <c r="C3" s="171"/>
      <c r="D3" s="171"/>
      <c r="E3" s="171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70" t="s">
        <v>6</v>
      </c>
      <c r="B4" s="171"/>
      <c r="C4" s="171"/>
      <c r="D4" s="171"/>
      <c r="E4" s="171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70" t="s">
        <v>8</v>
      </c>
      <c r="B5" s="171"/>
      <c r="C5" s="171"/>
      <c r="D5" s="171"/>
      <c r="E5" s="171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70" t="s">
        <v>10</v>
      </c>
      <c r="B6" s="171"/>
      <c r="C6" s="171"/>
      <c r="D6" s="171"/>
      <c r="E6" s="171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70" t="s">
        <v>12</v>
      </c>
      <c r="B7" s="171"/>
      <c r="C7" s="171"/>
      <c r="D7" s="171"/>
      <c r="E7" s="171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70" t="s">
        <v>14</v>
      </c>
      <c r="B8" s="171"/>
      <c r="C8" s="171"/>
      <c r="D8" s="171"/>
      <c r="E8" s="171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70" t="s">
        <v>16</v>
      </c>
      <c r="B9" s="171"/>
      <c r="C9" s="171"/>
      <c r="D9" s="171"/>
      <c r="E9" s="171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70" t="s">
        <v>18</v>
      </c>
      <c r="B10" s="171"/>
      <c r="C10" s="171"/>
      <c r="D10" s="171"/>
      <c r="E10" s="171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72" t="s">
        <v>20</v>
      </c>
      <c r="B11" s="173"/>
      <c r="C11" s="173"/>
      <c r="D11" s="173"/>
      <c r="E11" s="173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2"/>
  <sheetViews>
    <sheetView tabSelected="1" zoomScale="90" zoomScaleNormal="90" workbookViewId="0">
      <selection activeCell="K52" sqref="K52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97" t="s">
        <v>22</v>
      </c>
      <c r="F1" s="197"/>
      <c r="G1" s="197"/>
      <c r="H1" s="197"/>
      <c r="I1" s="197"/>
      <c r="J1" s="197"/>
    </row>
    <row r="2" spans="3:13">
      <c r="E2" s="198" t="s">
        <v>23</v>
      </c>
      <c r="F2" s="198"/>
      <c r="G2" s="198"/>
      <c r="H2" s="198"/>
      <c r="I2" s="198"/>
      <c r="J2" s="198"/>
    </row>
    <row r="3" spans="3:13">
      <c r="E3" s="199" t="s">
        <v>24</v>
      </c>
      <c r="F3" s="200"/>
      <c r="G3" s="200"/>
      <c r="H3" s="200"/>
      <c r="I3" s="200"/>
      <c r="J3" s="200"/>
    </row>
    <row r="5" spans="3:13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</row>
    <row r="6" spans="3:13">
      <c r="C6" s="20"/>
      <c r="D6" s="21"/>
      <c r="E6" s="175" t="s">
        <v>2</v>
      </c>
      <c r="F6" s="175"/>
      <c r="G6" s="175"/>
      <c r="H6" s="175"/>
      <c r="I6" s="175"/>
      <c r="J6" s="22">
        <f>SUM(G32:G61)</f>
        <v>220608</v>
      </c>
      <c r="K6" s="21" t="s">
        <v>26</v>
      </c>
      <c r="L6" s="23"/>
    </row>
    <row r="7" spans="3:13">
      <c r="C7" s="3"/>
      <c r="D7" s="2"/>
      <c r="E7" s="185" t="s">
        <v>4</v>
      </c>
      <c r="F7" s="185"/>
      <c r="G7" s="185"/>
      <c r="H7" s="185"/>
      <c r="I7" s="185"/>
      <c r="J7" s="8">
        <f>'Predicted Data'!D26</f>
        <v>287672</v>
      </c>
      <c r="K7" s="69"/>
      <c r="L7" s="4"/>
    </row>
    <row r="8" spans="3:13" ht="16.149999999999999">
      <c r="C8" s="3"/>
      <c r="D8" s="2"/>
      <c r="E8" s="185" t="s">
        <v>6</v>
      </c>
      <c r="F8" s="185"/>
      <c r="G8" s="185"/>
      <c r="H8" s="185"/>
      <c r="I8" s="185"/>
      <c r="J8" s="8">
        <f>SUM(H32:H61)</f>
        <v>102440.55710000001</v>
      </c>
      <c r="K8" s="2" t="s">
        <v>26</v>
      </c>
      <c r="L8" s="4"/>
    </row>
    <row r="9" spans="3:13" ht="16.149999999999999">
      <c r="C9" s="3"/>
      <c r="D9" s="2"/>
      <c r="E9" s="185" t="s">
        <v>8</v>
      </c>
      <c r="F9" s="185"/>
      <c r="G9" s="185"/>
      <c r="H9" s="185"/>
      <c r="I9" s="185"/>
      <c r="J9" s="79"/>
      <c r="K9" s="69"/>
      <c r="L9" s="4"/>
    </row>
    <row r="10" spans="3:13">
      <c r="C10" s="3"/>
      <c r="D10" s="2"/>
      <c r="E10" s="185" t="s">
        <v>10</v>
      </c>
      <c r="F10" s="185"/>
      <c r="G10" s="185"/>
      <c r="H10" s="185"/>
      <c r="I10" s="185"/>
      <c r="J10" s="85">
        <f>'Plant Health'!H88</f>
        <v>303095</v>
      </c>
      <c r="K10" s="2" t="s">
        <v>26</v>
      </c>
      <c r="L10" s="4"/>
    </row>
    <row r="11" spans="3:13">
      <c r="C11" s="3"/>
      <c r="D11" s="2"/>
      <c r="E11" s="185" t="s">
        <v>12</v>
      </c>
      <c r="F11" s="185"/>
      <c r="G11" s="185"/>
      <c r="H11" s="185"/>
      <c r="I11" s="185"/>
      <c r="J11" s="31">
        <f>J6/J10</f>
        <v>0.72785100381068646</v>
      </c>
      <c r="K11" s="2"/>
      <c r="L11" s="4"/>
      <c r="M11" s="61"/>
    </row>
    <row r="12" spans="3:13">
      <c r="C12" s="3"/>
      <c r="D12" s="2"/>
      <c r="E12" s="185" t="s">
        <v>16</v>
      </c>
      <c r="F12" s="185"/>
      <c r="G12" s="185"/>
      <c r="H12" s="185"/>
      <c r="I12" s="185"/>
      <c r="J12" s="31">
        <f>J6/J7</f>
        <v>0.76687338357573909</v>
      </c>
      <c r="K12" s="2"/>
      <c r="L12" s="4"/>
    </row>
    <row r="13" spans="3:13">
      <c r="C13" s="3"/>
      <c r="D13" s="2"/>
      <c r="E13" s="185" t="s">
        <v>18</v>
      </c>
      <c r="F13" s="185"/>
      <c r="G13" s="185"/>
      <c r="H13" s="185"/>
      <c r="I13" s="185"/>
      <c r="J13" s="31">
        <f>Availability!E47</f>
        <v>1</v>
      </c>
      <c r="K13" s="2"/>
      <c r="L13" s="4"/>
    </row>
    <row r="14" spans="3:13">
      <c r="C14" s="5"/>
      <c r="D14" s="6"/>
      <c r="E14" s="196" t="s">
        <v>20</v>
      </c>
      <c r="F14" s="196"/>
      <c r="G14" s="196"/>
      <c r="H14" s="196"/>
      <c r="I14" s="196"/>
      <c r="J14" s="9">
        <f>Availability!E50</f>
        <v>0.99865999999999988</v>
      </c>
      <c r="K14" s="6"/>
      <c r="L14" s="7"/>
    </row>
    <row r="16" spans="3:13">
      <c r="C16" s="186" t="s">
        <v>27</v>
      </c>
      <c r="D16" s="186"/>
      <c r="E16" s="186"/>
      <c r="F16" s="186"/>
      <c r="G16" s="186"/>
      <c r="H16" s="186"/>
      <c r="I16" s="186"/>
      <c r="J16" s="186"/>
      <c r="K16" s="186"/>
      <c r="L16" s="186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6" t="s">
        <v>28</v>
      </c>
      <c r="G30" s="186"/>
      <c r="H30" s="186"/>
      <c r="I30" s="186"/>
      <c r="J30" s="11"/>
      <c r="K30" s="11"/>
      <c r="L30" s="11"/>
    </row>
    <row r="31" spans="3:12" s="10" customFormat="1" ht="44.1" customHeight="1">
      <c r="E31" s="13"/>
      <c r="F31" s="246" t="s">
        <v>29</v>
      </c>
      <c r="G31" s="247" t="s">
        <v>30</v>
      </c>
      <c r="H31" s="247" t="s">
        <v>31</v>
      </c>
      <c r="I31" s="157" t="s">
        <v>32</v>
      </c>
      <c r="J31" s="12"/>
      <c r="K31" s="13"/>
    </row>
    <row r="32" spans="3:12" ht="46.5" customHeight="1">
      <c r="E32" s="2"/>
      <c r="F32" s="242">
        <v>45597</v>
      </c>
      <c r="G32" s="243">
        <v>7464</v>
      </c>
      <c r="H32" s="244">
        <v>3549.07</v>
      </c>
      <c r="I32" s="245">
        <v>57</v>
      </c>
      <c r="J32" s="2"/>
      <c r="K32" s="158" t="s">
        <v>33</v>
      </c>
    </row>
    <row r="33" spans="5:15" ht="15">
      <c r="E33" s="2"/>
      <c r="F33" s="242">
        <v>45598</v>
      </c>
      <c r="G33" s="243">
        <v>7259</v>
      </c>
      <c r="H33" s="244">
        <v>3205.4009999999998</v>
      </c>
      <c r="I33" s="245">
        <v>56</v>
      </c>
      <c r="J33" s="2"/>
      <c r="K33" s="14"/>
    </row>
    <row r="34" spans="5:15" ht="15">
      <c r="E34" s="2"/>
      <c r="F34" s="242">
        <v>45599</v>
      </c>
      <c r="G34" s="243">
        <v>12163</v>
      </c>
      <c r="H34" s="244">
        <v>5568.0370000000003</v>
      </c>
      <c r="I34" s="245">
        <v>59</v>
      </c>
      <c r="J34" s="2"/>
      <c r="K34" s="14"/>
    </row>
    <row r="35" spans="5:15" ht="15">
      <c r="E35" s="2"/>
      <c r="F35" s="242">
        <v>45600</v>
      </c>
      <c r="G35" s="243">
        <v>3488</v>
      </c>
      <c r="H35" s="244">
        <v>1445.636</v>
      </c>
      <c r="I35" s="245">
        <v>59</v>
      </c>
      <c r="J35" s="2"/>
      <c r="K35" s="14"/>
    </row>
    <row r="36" spans="5:15" ht="15">
      <c r="E36" s="2"/>
      <c r="F36" s="242">
        <v>45601</v>
      </c>
      <c r="G36" s="243">
        <v>8146</v>
      </c>
      <c r="H36" s="244">
        <v>3726.902</v>
      </c>
      <c r="I36" s="245">
        <v>59</v>
      </c>
      <c r="J36" s="2"/>
      <c r="K36" s="14"/>
    </row>
    <row r="37" spans="5:15" ht="15">
      <c r="E37" s="2"/>
      <c r="F37" s="242">
        <v>45602</v>
      </c>
      <c r="G37" s="243">
        <v>8177</v>
      </c>
      <c r="H37" s="244">
        <v>3708.1379999999999</v>
      </c>
      <c r="I37" s="245">
        <v>53</v>
      </c>
      <c r="J37" s="2"/>
      <c r="K37" s="14"/>
    </row>
    <row r="38" spans="5:15" ht="15">
      <c r="E38" s="2"/>
      <c r="F38" s="242">
        <v>45603</v>
      </c>
      <c r="G38" s="243">
        <v>6163</v>
      </c>
      <c r="H38" s="244">
        <v>2945.38</v>
      </c>
      <c r="I38" s="245">
        <v>55</v>
      </c>
      <c r="J38" s="2"/>
      <c r="K38" s="14"/>
    </row>
    <row r="39" spans="5:15" ht="15">
      <c r="E39" s="2"/>
      <c r="F39" s="242">
        <v>45604</v>
      </c>
      <c r="G39" s="243">
        <v>10520</v>
      </c>
      <c r="H39" s="244">
        <v>4672.393</v>
      </c>
      <c r="I39" s="245">
        <v>50</v>
      </c>
      <c r="J39" s="2"/>
      <c r="K39" s="14"/>
    </row>
    <row r="40" spans="5:15" ht="15">
      <c r="E40" s="2"/>
      <c r="F40" s="242">
        <v>45605</v>
      </c>
      <c r="G40" s="243">
        <v>11407</v>
      </c>
      <c r="H40" s="244">
        <v>5235.9120000000003</v>
      </c>
      <c r="I40" s="245">
        <v>51</v>
      </c>
      <c r="J40" s="2"/>
      <c r="K40" s="14"/>
    </row>
    <row r="41" spans="5:15" ht="15">
      <c r="E41" s="2"/>
      <c r="F41" s="242">
        <v>45606</v>
      </c>
      <c r="G41" s="243">
        <v>8091</v>
      </c>
      <c r="H41" s="244">
        <v>3583.511</v>
      </c>
      <c r="I41" s="245">
        <v>50</v>
      </c>
      <c r="J41" s="2"/>
      <c r="K41" s="14"/>
    </row>
    <row r="42" spans="5:15" ht="15">
      <c r="E42" s="2"/>
      <c r="F42" s="242">
        <v>45607</v>
      </c>
      <c r="G42" s="243">
        <v>7504</v>
      </c>
      <c r="H42" s="244">
        <v>3479.5790000000002</v>
      </c>
      <c r="I42" s="245">
        <v>51</v>
      </c>
      <c r="J42" s="2"/>
      <c r="K42" s="14"/>
    </row>
    <row r="43" spans="5:15" ht="15">
      <c r="E43" s="2"/>
      <c r="F43" s="242">
        <v>45608</v>
      </c>
      <c r="G43" s="243">
        <v>4763</v>
      </c>
      <c r="H43" s="244">
        <v>2170.134</v>
      </c>
      <c r="I43" s="245">
        <v>55</v>
      </c>
      <c r="J43" s="2"/>
      <c r="K43" s="14"/>
    </row>
    <row r="44" spans="5:15" ht="15">
      <c r="E44" s="2"/>
      <c r="F44" s="242">
        <v>45609</v>
      </c>
      <c r="G44" s="243">
        <v>10987</v>
      </c>
      <c r="H44" s="244">
        <v>5138.2020000000002</v>
      </c>
      <c r="I44" s="245">
        <v>42</v>
      </c>
      <c r="J44" s="2"/>
      <c r="K44" s="14"/>
    </row>
    <row r="45" spans="5:15" ht="15">
      <c r="E45" s="2"/>
      <c r="F45" s="242">
        <v>45610</v>
      </c>
      <c r="G45" s="243">
        <v>10680</v>
      </c>
      <c r="H45" s="244">
        <v>4962.4380000000001</v>
      </c>
      <c r="I45" s="245">
        <v>47</v>
      </c>
      <c r="J45" s="2"/>
      <c r="K45" s="14"/>
    </row>
    <row r="46" spans="5:15" ht="15">
      <c r="E46" s="2"/>
      <c r="F46" s="242">
        <v>45611</v>
      </c>
      <c r="G46" s="243">
        <v>10558</v>
      </c>
      <c r="H46" s="244">
        <v>5087.7359999999999</v>
      </c>
      <c r="I46" s="245">
        <v>42</v>
      </c>
      <c r="J46" s="2"/>
      <c r="K46" s="14"/>
    </row>
    <row r="47" spans="5:15" ht="15">
      <c r="E47" s="2"/>
      <c r="F47" s="242">
        <v>45612</v>
      </c>
      <c r="G47" s="243">
        <v>9396</v>
      </c>
      <c r="H47" s="244">
        <v>4426.99</v>
      </c>
      <c r="I47" s="245">
        <v>44</v>
      </c>
      <c r="J47" s="2"/>
      <c r="K47" s="14"/>
    </row>
    <row r="48" spans="5:15" ht="15">
      <c r="E48" s="2"/>
      <c r="F48" s="242">
        <v>45613</v>
      </c>
      <c r="G48" s="243">
        <v>10079</v>
      </c>
      <c r="H48" s="244">
        <v>4768.3919999999998</v>
      </c>
      <c r="I48" s="245">
        <v>40</v>
      </c>
      <c r="J48" s="2"/>
      <c r="K48" s="14"/>
      <c r="M48" s="2"/>
      <c r="N48" s="2"/>
      <c r="O48" s="2"/>
    </row>
    <row r="49" spans="3:15" ht="15">
      <c r="E49" s="2"/>
      <c r="F49" s="242">
        <v>45614</v>
      </c>
      <c r="G49" s="243">
        <v>8394</v>
      </c>
      <c r="H49" s="244">
        <v>3821.7890000000002</v>
      </c>
      <c r="I49" s="245">
        <v>45</v>
      </c>
      <c r="J49" s="2"/>
      <c r="K49" s="14"/>
      <c r="M49" s="2"/>
      <c r="N49" s="2"/>
      <c r="O49" s="2"/>
    </row>
    <row r="50" spans="3:15" ht="15">
      <c r="E50" s="2"/>
      <c r="F50" s="242">
        <v>45615</v>
      </c>
      <c r="G50" s="243">
        <v>9965</v>
      </c>
      <c r="H50" s="244">
        <v>4666.8519999999999</v>
      </c>
      <c r="I50" s="245">
        <v>48</v>
      </c>
      <c r="J50" s="2"/>
      <c r="K50" s="14"/>
    </row>
    <row r="51" spans="3:15" ht="15">
      <c r="E51" s="2"/>
      <c r="F51" s="242">
        <v>45616</v>
      </c>
      <c r="G51" s="243">
        <v>9461</v>
      </c>
      <c r="H51" s="244">
        <v>4485.6719999999996</v>
      </c>
      <c r="I51" s="245">
        <v>49</v>
      </c>
      <c r="J51" s="2"/>
      <c r="K51" s="14"/>
    </row>
    <row r="52" spans="3:15" ht="15">
      <c r="E52" s="2"/>
      <c r="F52" s="242">
        <v>45617</v>
      </c>
      <c r="G52" s="243">
        <v>758</v>
      </c>
      <c r="H52" s="244">
        <v>307.24419999999998</v>
      </c>
      <c r="I52" s="245">
        <v>58</v>
      </c>
      <c r="J52" s="2"/>
      <c r="K52" s="14"/>
    </row>
    <row r="53" spans="3:15" ht="15">
      <c r="E53" s="2"/>
      <c r="F53" s="242">
        <v>45618</v>
      </c>
      <c r="G53" s="243">
        <v>5626</v>
      </c>
      <c r="H53" s="244">
        <v>2423.627</v>
      </c>
      <c r="I53" s="245">
        <v>60</v>
      </c>
      <c r="J53" s="2"/>
      <c r="K53" s="14"/>
    </row>
    <row r="54" spans="3:15" ht="15">
      <c r="E54" s="2"/>
      <c r="F54" s="242">
        <v>45619</v>
      </c>
      <c r="G54" s="243">
        <v>2072</v>
      </c>
      <c r="H54" s="244">
        <v>903.04269999999997</v>
      </c>
      <c r="I54" s="245">
        <v>62</v>
      </c>
      <c r="J54" s="2"/>
      <c r="K54" s="14"/>
    </row>
    <row r="55" spans="3:15" ht="15">
      <c r="E55" s="2"/>
      <c r="F55" s="242">
        <v>45620</v>
      </c>
      <c r="G55" s="243">
        <v>7147</v>
      </c>
      <c r="H55" s="244">
        <v>3461.1509999999998</v>
      </c>
      <c r="I55" s="245">
        <v>58</v>
      </c>
      <c r="J55" s="2"/>
      <c r="K55" s="14"/>
    </row>
    <row r="56" spans="3:15" ht="15">
      <c r="E56" s="2"/>
      <c r="F56" s="242">
        <v>45621</v>
      </c>
      <c r="G56" s="243">
        <v>9412</v>
      </c>
      <c r="H56" s="244">
        <v>4557.9139999999998</v>
      </c>
      <c r="I56" s="245">
        <v>47</v>
      </c>
      <c r="J56" s="2"/>
      <c r="K56" s="14"/>
    </row>
    <row r="57" spans="3:15" ht="15">
      <c r="E57" s="2"/>
      <c r="F57" s="242">
        <v>45622</v>
      </c>
      <c r="G57" s="243">
        <v>530</v>
      </c>
      <c r="H57" s="244">
        <v>231.71860000000001</v>
      </c>
      <c r="I57" s="245">
        <v>49</v>
      </c>
      <c r="J57" s="2"/>
      <c r="K57" s="14"/>
    </row>
    <row r="58" spans="3:15" ht="15">
      <c r="E58" s="2"/>
      <c r="F58" s="242">
        <v>45623</v>
      </c>
      <c r="G58" s="243">
        <v>5979</v>
      </c>
      <c r="H58" s="244">
        <v>2991.239</v>
      </c>
      <c r="I58" s="245">
        <v>41</v>
      </c>
      <c r="J58" s="2"/>
      <c r="K58" s="14"/>
    </row>
    <row r="59" spans="3:15" ht="15">
      <c r="E59" s="2"/>
      <c r="F59" s="242">
        <v>45624</v>
      </c>
      <c r="G59" s="243">
        <v>409</v>
      </c>
      <c r="H59" s="244">
        <v>179.8886</v>
      </c>
      <c r="I59" s="245">
        <v>40</v>
      </c>
      <c r="J59" s="2"/>
      <c r="K59" s="14"/>
    </row>
    <row r="60" spans="3:15" ht="15">
      <c r="E60" s="2"/>
      <c r="F60" s="242">
        <v>45625</v>
      </c>
      <c r="G60" s="243">
        <v>6017</v>
      </c>
      <c r="H60" s="244">
        <v>2859.9479999999999</v>
      </c>
      <c r="I60" s="245">
        <v>43</v>
      </c>
      <c r="J60" s="2"/>
      <c r="K60" s="14"/>
    </row>
    <row r="61" spans="3:15" s="2" customFormat="1" ht="15">
      <c r="F61" s="242">
        <v>45626</v>
      </c>
      <c r="G61" s="243">
        <v>7993</v>
      </c>
      <c r="H61" s="244">
        <v>3876.62</v>
      </c>
      <c r="I61" s="245">
        <v>52</v>
      </c>
      <c r="K61" s="14"/>
    </row>
    <row r="62" spans="3:15" s="2" customFormat="1">
      <c r="F62" s="167"/>
      <c r="G62" s="165"/>
      <c r="H62" s="165"/>
      <c r="I62" s="166"/>
      <c r="K62" s="14"/>
    </row>
    <row r="63" spans="3:15">
      <c r="F63" s="146"/>
      <c r="G63" s="138"/>
      <c r="H63" s="2"/>
      <c r="I63" s="2"/>
    </row>
    <row r="64" spans="3:15">
      <c r="C64" s="182" t="s">
        <v>34</v>
      </c>
      <c r="D64" s="183"/>
      <c r="E64" s="183"/>
      <c r="F64" s="183"/>
      <c r="G64" s="183"/>
      <c r="H64" s="183"/>
      <c r="I64" s="183"/>
      <c r="J64" s="183"/>
      <c r="K64" s="183"/>
      <c r="L64" s="184"/>
    </row>
    <row r="65" spans="3:12" ht="15" customHeight="1">
      <c r="C65" s="187"/>
      <c r="D65" s="188"/>
      <c r="E65" s="188"/>
      <c r="F65" s="188"/>
      <c r="G65" s="188"/>
      <c r="H65" s="188"/>
      <c r="I65" s="188"/>
      <c r="J65" s="188"/>
      <c r="K65" s="188"/>
      <c r="L65" s="189"/>
    </row>
    <row r="66" spans="3:12">
      <c r="C66" s="190"/>
      <c r="D66" s="191"/>
      <c r="E66" s="191"/>
      <c r="F66" s="191"/>
      <c r="G66" s="191"/>
      <c r="H66" s="191"/>
      <c r="I66" s="191"/>
      <c r="J66" s="191"/>
      <c r="K66" s="191"/>
      <c r="L66" s="192"/>
    </row>
    <row r="67" spans="3:12">
      <c r="C67" s="193"/>
      <c r="D67" s="194"/>
      <c r="E67" s="194"/>
      <c r="F67" s="194"/>
      <c r="G67" s="194"/>
      <c r="H67" s="194"/>
      <c r="I67" s="194"/>
      <c r="J67" s="194"/>
      <c r="K67" s="194"/>
      <c r="L67" s="195"/>
    </row>
    <row r="69" spans="3:12">
      <c r="C69" s="179" t="s">
        <v>35</v>
      </c>
      <c r="D69" s="180"/>
      <c r="E69" s="180"/>
      <c r="F69" s="180"/>
      <c r="G69" s="180"/>
      <c r="H69" s="180"/>
      <c r="I69" s="180"/>
      <c r="J69" s="180"/>
      <c r="K69" s="180"/>
      <c r="L69" s="181"/>
    </row>
    <row r="70" spans="3:12" ht="14.85" customHeight="1">
      <c r="C70" s="187"/>
      <c r="D70" s="188"/>
      <c r="E70" s="188"/>
      <c r="F70" s="188"/>
      <c r="G70" s="188"/>
      <c r="H70" s="188"/>
      <c r="I70" s="188"/>
      <c r="J70" s="188"/>
      <c r="K70" s="188"/>
      <c r="L70" s="189"/>
    </row>
    <row r="71" spans="3:12">
      <c r="C71" s="190"/>
      <c r="D71" s="191"/>
      <c r="E71" s="191"/>
      <c r="F71" s="191"/>
      <c r="G71" s="191"/>
      <c r="H71" s="191"/>
      <c r="I71" s="191"/>
      <c r="J71" s="191"/>
      <c r="K71" s="191"/>
      <c r="L71" s="192"/>
    </row>
    <row r="72" spans="3:12">
      <c r="C72" s="193"/>
      <c r="D72" s="194"/>
      <c r="E72" s="194"/>
      <c r="F72" s="194"/>
      <c r="G72" s="194"/>
      <c r="H72" s="194"/>
      <c r="I72" s="194"/>
      <c r="J72" s="194"/>
      <c r="K72" s="194"/>
      <c r="L72" s="195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9:L69"/>
    <mergeCell ref="C64:L64"/>
    <mergeCell ref="E13:I13"/>
    <mergeCell ref="F30:I30"/>
    <mergeCell ref="C70:L72"/>
    <mergeCell ref="C65:L67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3"/>
  <sheetViews>
    <sheetView topLeftCell="A20" zoomScale="85" zoomScaleNormal="85" workbookViewId="0">
      <selection activeCell="G32" sqref="G32:G61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97" t="s">
        <v>36</v>
      </c>
      <c r="F1" s="197"/>
      <c r="G1" s="197"/>
      <c r="H1" s="197"/>
      <c r="I1" s="197"/>
      <c r="J1" s="197"/>
    </row>
    <row r="2" spans="3:18">
      <c r="E2" s="198" t="s">
        <v>23</v>
      </c>
      <c r="F2" s="198"/>
      <c r="G2" s="198"/>
      <c r="H2" s="198"/>
      <c r="I2" s="198"/>
      <c r="J2" s="198"/>
    </row>
    <row r="3" spans="3:18" ht="14.25" customHeight="1">
      <c r="E3" s="199" t="s">
        <v>24</v>
      </c>
      <c r="F3" s="200"/>
      <c r="G3" s="200"/>
      <c r="H3" s="200"/>
      <c r="I3" s="200"/>
      <c r="J3" s="200"/>
    </row>
    <row r="5" spans="3:18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  <c r="R5" s="26"/>
    </row>
    <row r="6" spans="3:18">
      <c r="C6" s="20"/>
      <c r="D6" s="21"/>
      <c r="E6" s="175" t="s">
        <v>2</v>
      </c>
      <c r="F6" s="175"/>
      <c r="G6" s="175"/>
      <c r="H6" s="175"/>
      <c r="I6" s="175"/>
      <c r="J6" s="22">
        <f>SUM(G32:G61)</f>
        <v>286999.5</v>
      </c>
      <c r="K6" s="2"/>
      <c r="L6" s="23"/>
      <c r="R6" s="26"/>
    </row>
    <row r="7" spans="3:18">
      <c r="C7" s="3"/>
      <c r="D7" s="2"/>
      <c r="E7" s="185" t="s">
        <v>4</v>
      </c>
      <c r="F7" s="185"/>
      <c r="G7" s="185"/>
      <c r="H7" s="185"/>
      <c r="I7" s="185"/>
      <c r="J7" s="8">
        <f>'Predicted Data'!D15</f>
        <v>204482.1</v>
      </c>
      <c r="K7" s="69"/>
      <c r="L7" s="4"/>
      <c r="R7" s="26"/>
    </row>
    <row r="8" spans="3:18" ht="16.149999999999999">
      <c r="C8" s="3"/>
      <c r="D8" s="2"/>
      <c r="E8" s="185" t="s">
        <v>6</v>
      </c>
      <c r="F8" s="185"/>
      <c r="G8" s="185"/>
      <c r="H8" s="185"/>
      <c r="I8" s="185"/>
      <c r="J8" s="8">
        <f>SUM(H32:H61)</f>
        <v>89500.104900000006</v>
      </c>
      <c r="K8" s="2"/>
      <c r="L8" s="4"/>
      <c r="R8" s="26"/>
    </row>
    <row r="9" spans="3:18" ht="16.149999999999999">
      <c r="C9" s="3"/>
      <c r="D9" s="2"/>
      <c r="E9" s="185" t="s">
        <v>8</v>
      </c>
      <c r="F9" s="185"/>
      <c r="G9" s="185"/>
      <c r="H9" s="185"/>
      <c r="I9" s="185"/>
      <c r="J9" s="79"/>
      <c r="K9" s="69"/>
      <c r="L9" s="4"/>
      <c r="R9" s="44"/>
    </row>
    <row r="10" spans="3:18">
      <c r="C10" s="3"/>
      <c r="D10" s="2"/>
      <c r="E10" s="185" t="s">
        <v>10</v>
      </c>
      <c r="F10" s="185"/>
      <c r="G10" s="185"/>
      <c r="H10" s="185"/>
      <c r="I10" s="185"/>
      <c r="J10" s="84">
        <f>'Plant Health'!E89</f>
        <v>263489.48449999996</v>
      </c>
      <c r="K10" s="2"/>
      <c r="L10" s="4"/>
      <c r="R10" s="26"/>
    </row>
    <row r="11" spans="3:18">
      <c r="C11" s="3"/>
      <c r="D11" s="2"/>
      <c r="E11" s="185" t="s">
        <v>12</v>
      </c>
      <c r="F11" s="185"/>
      <c r="G11" s="185"/>
      <c r="H11" s="185"/>
      <c r="I11" s="185"/>
      <c r="J11" s="31">
        <f>J6/J10</f>
        <v>1.089225630937845</v>
      </c>
      <c r="K11" s="2"/>
      <c r="L11" s="4"/>
      <c r="R11" s="26"/>
    </row>
    <row r="12" spans="3:18">
      <c r="C12" s="3"/>
      <c r="D12" s="2"/>
      <c r="E12" s="185" t="s">
        <v>16</v>
      </c>
      <c r="F12" s="185"/>
      <c r="G12" s="185"/>
      <c r="H12" s="185"/>
      <c r="I12" s="185"/>
      <c r="J12" s="31">
        <f>J6/J7</f>
        <v>1.4035433908395893</v>
      </c>
      <c r="K12" s="2"/>
      <c r="L12" s="4"/>
      <c r="R12" s="26"/>
    </row>
    <row r="13" spans="3:18">
      <c r="C13" s="3"/>
      <c r="D13" s="2"/>
      <c r="E13" s="185" t="s">
        <v>18</v>
      </c>
      <c r="F13" s="185"/>
      <c r="G13" s="185"/>
      <c r="H13" s="185"/>
      <c r="I13" s="185"/>
      <c r="J13" s="31">
        <f>Availability!D48</f>
        <v>1</v>
      </c>
      <c r="K13" s="2"/>
      <c r="L13" s="4"/>
      <c r="R13" s="26"/>
    </row>
    <row r="14" spans="3:18">
      <c r="C14" s="5"/>
      <c r="D14" s="6"/>
      <c r="E14" s="196" t="s">
        <v>20</v>
      </c>
      <c r="F14" s="196"/>
      <c r="G14" s="196"/>
      <c r="H14" s="196"/>
      <c r="I14" s="196"/>
      <c r="J14" s="9">
        <f>Availability!D50</f>
        <v>0.9988636363636364</v>
      </c>
      <c r="K14" s="6"/>
      <c r="L14" s="7"/>
      <c r="R14" s="26"/>
    </row>
    <row r="15" spans="3:18">
      <c r="R15" s="26"/>
    </row>
    <row r="16" spans="3:18">
      <c r="C16" s="182" t="s">
        <v>27</v>
      </c>
      <c r="D16" s="183"/>
      <c r="E16" s="183"/>
      <c r="F16" s="183"/>
      <c r="G16" s="183"/>
      <c r="H16" s="183"/>
      <c r="I16" s="183"/>
      <c r="J16" s="183"/>
      <c r="K16" s="183"/>
      <c r="L16" s="184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201" t="s">
        <v>28</v>
      </c>
      <c r="G30" s="201"/>
      <c r="H30" s="201"/>
      <c r="I30" s="202"/>
      <c r="J30" s="11"/>
      <c r="K30" s="11"/>
      <c r="L30" s="11"/>
      <c r="R30" s="26"/>
    </row>
    <row r="31" spans="5:24" s="10" customFormat="1" ht="44.1" customHeight="1">
      <c r="E31" s="13"/>
      <c r="F31" s="139" t="s">
        <v>29</v>
      </c>
      <c r="G31" s="140" t="s">
        <v>30</v>
      </c>
      <c r="H31" s="144" t="s">
        <v>31</v>
      </c>
      <c r="I31" s="140" t="s">
        <v>32</v>
      </c>
      <c r="J31" s="12"/>
      <c r="K31" s="13"/>
      <c r="R31" s="45"/>
      <c r="X31"/>
    </row>
    <row r="32" spans="5:24">
      <c r="E32" s="2"/>
      <c r="F32" s="153">
        <v>45597</v>
      </c>
      <c r="G32" s="155">
        <v>8225.75</v>
      </c>
      <c r="H32" s="154">
        <v>2552.165</v>
      </c>
      <c r="I32" s="155">
        <v>65.787400000000005</v>
      </c>
      <c r="J32" s="14"/>
      <c r="K32" s="14"/>
      <c r="R32" s="26"/>
    </row>
    <row r="33" spans="5:18">
      <c r="E33" s="2"/>
      <c r="F33" s="153">
        <v>45598</v>
      </c>
      <c r="G33" s="155">
        <v>8518</v>
      </c>
      <c r="H33" s="154">
        <v>2541.9490000000001</v>
      </c>
      <c r="I33" s="155">
        <v>48.322769999999998</v>
      </c>
      <c r="J33" s="14"/>
      <c r="K33" s="14"/>
      <c r="R33" s="26"/>
    </row>
    <row r="34" spans="5:18">
      <c r="E34" s="2"/>
      <c r="F34" s="153">
        <v>45599</v>
      </c>
      <c r="G34" s="155">
        <v>14295.5</v>
      </c>
      <c r="H34" s="154">
        <v>4366.1270000000004</v>
      </c>
      <c r="I34" s="155">
        <v>35.938279999999999</v>
      </c>
      <c r="J34" s="14"/>
      <c r="K34" s="14"/>
      <c r="R34" s="26"/>
    </row>
    <row r="35" spans="5:18">
      <c r="E35" s="2"/>
      <c r="F35" s="153">
        <v>45600</v>
      </c>
      <c r="G35" s="155">
        <v>5464</v>
      </c>
      <c r="H35" s="154">
        <v>1586.546</v>
      </c>
      <c r="I35" s="155">
        <v>40.991509999999998</v>
      </c>
      <c r="J35" s="14"/>
      <c r="K35" s="14"/>
      <c r="R35" s="26"/>
    </row>
    <row r="36" spans="5:18">
      <c r="E36" s="2"/>
      <c r="F36" s="153">
        <v>45601</v>
      </c>
      <c r="G36" s="155">
        <v>12138.25</v>
      </c>
      <c r="H36" s="154">
        <v>3763.7869999999998</v>
      </c>
      <c r="I36" s="155">
        <v>60.270820000000001</v>
      </c>
      <c r="J36" s="14"/>
      <c r="K36" s="14"/>
      <c r="R36" s="26"/>
    </row>
    <row r="37" spans="5:18">
      <c r="E37" s="2"/>
      <c r="F37" s="153">
        <v>45602</v>
      </c>
      <c r="G37" s="155">
        <v>12036.75</v>
      </c>
      <c r="H37" s="154">
        <v>3805.1819999999998</v>
      </c>
      <c r="I37" s="155">
        <v>67.722470000000001</v>
      </c>
      <c r="J37" s="14"/>
      <c r="K37" s="14"/>
      <c r="R37" s="26"/>
    </row>
    <row r="38" spans="5:18">
      <c r="E38" s="2"/>
      <c r="F38" s="153">
        <v>45603</v>
      </c>
      <c r="G38" s="155">
        <v>10599</v>
      </c>
      <c r="H38" s="154">
        <v>3383.1709999999998</v>
      </c>
      <c r="I38" s="155">
        <v>57.33466</v>
      </c>
      <c r="J38" s="14"/>
      <c r="K38" s="14"/>
    </row>
    <row r="39" spans="5:18">
      <c r="E39" s="2"/>
      <c r="F39" s="153">
        <v>45604</v>
      </c>
      <c r="G39" s="155">
        <v>13090.25</v>
      </c>
      <c r="H39" s="154">
        <v>4113.6959999999999</v>
      </c>
      <c r="I39" s="155">
        <v>49.831519999999998</v>
      </c>
      <c r="J39" s="14"/>
      <c r="K39" s="14"/>
    </row>
    <row r="40" spans="5:18">
      <c r="E40" s="2"/>
      <c r="F40" s="153">
        <v>45605</v>
      </c>
      <c r="G40" s="155">
        <v>13648</v>
      </c>
      <c r="H40" s="154">
        <v>4235.7659999999996</v>
      </c>
      <c r="I40" s="155">
        <v>41.967410000000001</v>
      </c>
      <c r="J40" s="14"/>
      <c r="K40" s="14"/>
    </row>
    <row r="41" spans="5:18">
      <c r="E41" s="2"/>
      <c r="F41" s="153">
        <v>45606</v>
      </c>
      <c r="G41" s="155">
        <v>10156.25</v>
      </c>
      <c r="H41" s="154">
        <v>3098.9349999999999</v>
      </c>
      <c r="I41" s="155">
        <v>44.239420000000003</v>
      </c>
      <c r="J41" s="14"/>
      <c r="K41" s="14"/>
    </row>
    <row r="42" spans="5:18">
      <c r="E42" s="2"/>
      <c r="F42" s="153">
        <v>45607</v>
      </c>
      <c r="G42" s="155">
        <v>8234.75</v>
      </c>
      <c r="H42" s="154">
        <v>2653.8440000000001</v>
      </c>
      <c r="I42" s="155">
        <v>56.528619999999997</v>
      </c>
      <c r="J42" s="14"/>
      <c r="K42" s="14"/>
    </row>
    <row r="43" spans="5:18">
      <c r="E43" s="2"/>
      <c r="F43" s="153">
        <v>45608</v>
      </c>
      <c r="G43" s="155">
        <v>11844</v>
      </c>
      <c r="H43" s="154">
        <v>3786.7860000000001</v>
      </c>
      <c r="I43" s="155">
        <v>44.12218</v>
      </c>
      <c r="J43" s="14"/>
      <c r="K43" s="14"/>
    </row>
    <row r="44" spans="5:18">
      <c r="E44" s="2"/>
      <c r="F44" s="153">
        <v>45609</v>
      </c>
      <c r="G44" s="155">
        <v>13194</v>
      </c>
      <c r="H44" s="154">
        <v>4068.6039999999998</v>
      </c>
      <c r="I44" s="155">
        <v>33.909190000000002</v>
      </c>
      <c r="J44" s="14"/>
      <c r="K44" s="14"/>
    </row>
    <row r="45" spans="5:18">
      <c r="E45" s="2"/>
      <c r="F45" s="153">
        <v>45610</v>
      </c>
      <c r="G45" s="155">
        <v>12648</v>
      </c>
      <c r="H45" s="154">
        <v>3846.607</v>
      </c>
      <c r="I45" s="155">
        <v>33.516860000000001</v>
      </c>
      <c r="J45" s="14"/>
      <c r="K45" s="14"/>
    </row>
    <row r="46" spans="5:18">
      <c r="E46" s="2"/>
      <c r="F46" s="153">
        <v>45611</v>
      </c>
      <c r="G46" s="155">
        <v>11791.25</v>
      </c>
      <c r="H46" s="154">
        <v>3686.3359999999998</v>
      </c>
      <c r="I46" s="155">
        <v>41.046230000000001</v>
      </c>
      <c r="J46" s="14"/>
      <c r="K46" s="14"/>
    </row>
    <row r="47" spans="5:18">
      <c r="E47" s="2"/>
      <c r="F47" s="153">
        <v>45612</v>
      </c>
      <c r="G47" s="155">
        <v>11956</v>
      </c>
      <c r="H47" s="154">
        <v>3739.739</v>
      </c>
      <c r="I47" s="155">
        <v>47.752549999999999</v>
      </c>
      <c r="J47" s="14"/>
      <c r="K47" s="14"/>
    </row>
    <row r="48" spans="5:18">
      <c r="E48" s="2"/>
      <c r="F48" s="153">
        <v>45613</v>
      </c>
      <c r="G48" s="155">
        <v>12040</v>
      </c>
      <c r="H48" s="154">
        <v>3776.672</v>
      </c>
      <c r="I48" s="155">
        <v>47.793990000000001</v>
      </c>
      <c r="J48" s="14"/>
      <c r="K48" s="14"/>
    </row>
    <row r="49" spans="3:12">
      <c r="E49" s="2"/>
      <c r="F49" s="153">
        <v>45614</v>
      </c>
      <c r="G49" s="155">
        <v>10656</v>
      </c>
      <c r="H49" s="154">
        <v>3345.3420000000001</v>
      </c>
      <c r="I49" s="155">
        <v>48.671759999999999</v>
      </c>
      <c r="J49" s="14"/>
      <c r="K49" s="14"/>
    </row>
    <row r="50" spans="3:12">
      <c r="E50" s="2"/>
      <c r="F50" s="153">
        <v>45615</v>
      </c>
      <c r="G50" s="155">
        <v>11856.5</v>
      </c>
      <c r="H50" s="154">
        <v>3746.1869999999999</v>
      </c>
      <c r="I50" s="155">
        <v>45.156460000000003</v>
      </c>
      <c r="J50" s="14"/>
      <c r="K50" s="14"/>
    </row>
    <row r="51" spans="3:12">
      <c r="E51" s="2"/>
      <c r="F51" s="153">
        <v>45616</v>
      </c>
      <c r="G51" s="155">
        <v>11317.75</v>
      </c>
      <c r="H51" s="154">
        <v>3555.1379999999999</v>
      </c>
      <c r="I51" s="155">
        <v>43.406529999999997</v>
      </c>
      <c r="J51" s="14"/>
      <c r="K51" s="14"/>
    </row>
    <row r="52" spans="3:12">
      <c r="E52" s="2"/>
      <c r="F52" s="153">
        <v>45617</v>
      </c>
      <c r="G52" s="155">
        <v>1363</v>
      </c>
      <c r="H52" s="154">
        <v>390.49880000000002</v>
      </c>
      <c r="I52" s="155">
        <v>44.437100000000001</v>
      </c>
      <c r="J52" s="14"/>
      <c r="K52" s="14"/>
    </row>
    <row r="53" spans="3:12">
      <c r="E53" s="2"/>
      <c r="F53" s="153">
        <v>45618</v>
      </c>
      <c r="G53" s="155">
        <v>6883</v>
      </c>
      <c r="H53" s="154">
        <v>2045.056</v>
      </c>
      <c r="I53" s="155">
        <v>43.523569999999999</v>
      </c>
      <c r="J53" s="14"/>
      <c r="K53" s="14"/>
    </row>
    <row r="54" spans="3:12">
      <c r="E54" s="2"/>
      <c r="F54" s="153">
        <v>45619</v>
      </c>
      <c r="G54" s="155">
        <v>2173.5</v>
      </c>
      <c r="H54" s="154">
        <v>632.45249999999999</v>
      </c>
      <c r="I54" s="155">
        <v>41.06409</v>
      </c>
      <c r="J54" s="14"/>
      <c r="K54" s="14"/>
    </row>
    <row r="55" spans="3:12">
      <c r="E55" s="2"/>
      <c r="F55" s="153">
        <v>45620</v>
      </c>
      <c r="G55" s="155">
        <v>10862.75</v>
      </c>
      <c r="H55" s="154">
        <v>3416.748</v>
      </c>
      <c r="I55" s="155">
        <v>41.843919999999997</v>
      </c>
      <c r="J55" s="14"/>
      <c r="K55" s="14"/>
    </row>
    <row r="56" spans="3:12">
      <c r="E56" s="2"/>
      <c r="F56" s="153">
        <v>45621</v>
      </c>
      <c r="G56" s="155">
        <v>11202.5</v>
      </c>
      <c r="H56" s="154">
        <v>3569.1219999999998</v>
      </c>
      <c r="I56" s="155">
        <v>37.219470000000001</v>
      </c>
      <c r="J56" s="14"/>
      <c r="K56" s="14"/>
    </row>
    <row r="57" spans="3:12">
      <c r="E57" s="2"/>
      <c r="F57" s="153">
        <v>45622</v>
      </c>
      <c r="G57" s="155">
        <v>1025.25</v>
      </c>
      <c r="H57" s="154">
        <v>299.34679999999997</v>
      </c>
      <c r="I57" s="155">
        <v>35.459899999999998</v>
      </c>
      <c r="J57" s="14"/>
      <c r="K57" s="14"/>
    </row>
    <row r="58" spans="3:12">
      <c r="E58" s="2"/>
      <c r="F58" s="153">
        <v>45623</v>
      </c>
      <c r="G58" s="155">
        <v>10681.25</v>
      </c>
      <c r="H58" s="154">
        <v>3465.3359999999998</v>
      </c>
      <c r="I58" s="155">
        <v>35.684150000000002</v>
      </c>
      <c r="J58" s="14"/>
      <c r="K58" s="14"/>
    </row>
    <row r="59" spans="3:12">
      <c r="E59" s="2"/>
      <c r="F59" s="153">
        <v>45624</v>
      </c>
      <c r="G59" s="155">
        <v>642.5</v>
      </c>
      <c r="H59" s="154">
        <v>192.31780000000001</v>
      </c>
      <c r="I59" s="155">
        <v>39.216949999999997</v>
      </c>
      <c r="J59" s="14"/>
      <c r="K59" s="14"/>
    </row>
    <row r="60" spans="3:12">
      <c r="E60" s="2"/>
      <c r="F60" s="153">
        <v>45625</v>
      </c>
      <c r="G60" s="160">
        <v>7969.5</v>
      </c>
      <c r="H60" s="161">
        <v>2540.69</v>
      </c>
      <c r="I60" s="160">
        <v>35.377809999999997</v>
      </c>
      <c r="J60" s="14"/>
      <c r="K60" s="14"/>
    </row>
    <row r="61" spans="3:12">
      <c r="E61" s="2"/>
      <c r="F61" s="164">
        <v>45626</v>
      </c>
      <c r="G61" s="162">
        <v>10486.25</v>
      </c>
      <c r="H61" s="162">
        <v>3295.9580000000001</v>
      </c>
      <c r="I61" s="162">
        <v>29.27806</v>
      </c>
      <c r="J61" s="14"/>
      <c r="K61" s="14"/>
    </row>
    <row r="62" spans="3:12">
      <c r="F62" s="159"/>
      <c r="G62" s="2"/>
      <c r="H62" s="2"/>
      <c r="I62" s="2"/>
    </row>
    <row r="63" spans="3:12">
      <c r="F63" s="141"/>
      <c r="G63" s="2"/>
      <c r="H63" s="2"/>
      <c r="I63" s="2"/>
    </row>
    <row r="64" spans="3:12">
      <c r="C64" s="179" t="s">
        <v>34</v>
      </c>
      <c r="D64" s="180"/>
      <c r="E64" s="180"/>
      <c r="F64" s="180"/>
      <c r="G64" s="180"/>
      <c r="H64" s="180"/>
      <c r="I64" s="180"/>
      <c r="J64" s="180"/>
      <c r="K64" s="180"/>
      <c r="L64" s="181"/>
    </row>
    <row r="65" spans="3:12" ht="15" customHeight="1">
      <c r="C65" s="187"/>
      <c r="D65" s="188"/>
      <c r="E65" s="188"/>
      <c r="F65" s="188"/>
      <c r="G65" s="188"/>
      <c r="H65" s="188"/>
      <c r="I65" s="188"/>
      <c r="J65" s="188"/>
      <c r="K65" s="188"/>
      <c r="L65" s="189"/>
    </row>
    <row r="66" spans="3:12">
      <c r="C66" s="190"/>
      <c r="D66" s="191"/>
      <c r="E66" s="191"/>
      <c r="F66" s="191"/>
      <c r="G66" s="191"/>
      <c r="H66" s="191"/>
      <c r="I66" s="191"/>
      <c r="J66" s="191"/>
      <c r="K66" s="191"/>
      <c r="L66" s="192"/>
    </row>
    <row r="67" spans="3:12">
      <c r="C67" s="193"/>
      <c r="D67" s="194"/>
      <c r="E67" s="194"/>
      <c r="F67" s="194"/>
      <c r="G67" s="194"/>
      <c r="H67" s="194"/>
      <c r="I67" s="194"/>
      <c r="J67" s="194"/>
      <c r="K67" s="194"/>
      <c r="L67" s="195"/>
    </row>
    <row r="68" spans="3:12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>
      <c r="C69" s="179" t="s">
        <v>35</v>
      </c>
      <c r="D69" s="180"/>
      <c r="E69" s="180"/>
      <c r="F69" s="180"/>
      <c r="G69" s="180"/>
      <c r="H69" s="180"/>
      <c r="I69" s="180"/>
      <c r="J69" s="180"/>
      <c r="K69" s="180"/>
      <c r="L69" s="181"/>
    </row>
    <row r="70" spans="3:12" ht="14.85" customHeight="1">
      <c r="C70" s="187"/>
      <c r="D70" s="188"/>
      <c r="E70" s="188"/>
      <c r="F70" s="188"/>
      <c r="G70" s="188"/>
      <c r="H70" s="188"/>
      <c r="I70" s="188"/>
      <c r="J70" s="188"/>
      <c r="K70" s="188"/>
      <c r="L70" s="189"/>
    </row>
    <row r="71" spans="3:12">
      <c r="C71" s="190"/>
      <c r="D71" s="191"/>
      <c r="E71" s="191"/>
      <c r="F71" s="191"/>
      <c r="G71" s="191"/>
      <c r="H71" s="191"/>
      <c r="I71" s="191"/>
      <c r="J71" s="191"/>
      <c r="K71" s="191"/>
      <c r="L71" s="192"/>
    </row>
    <row r="72" spans="3:12">
      <c r="C72" s="193"/>
      <c r="D72" s="194"/>
      <c r="E72" s="194"/>
      <c r="F72" s="194"/>
      <c r="G72" s="194"/>
      <c r="H72" s="194"/>
      <c r="I72" s="194"/>
      <c r="J72" s="194"/>
      <c r="K72" s="194"/>
      <c r="L72" s="195"/>
    </row>
    <row r="73" spans="3:12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E1:J1"/>
    <mergeCell ref="E2:J2"/>
    <mergeCell ref="E3:J3"/>
    <mergeCell ref="E8:I8"/>
    <mergeCell ref="E9:I9"/>
    <mergeCell ref="E6:I6"/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2"/>
  <sheetViews>
    <sheetView topLeftCell="A27" zoomScale="80" zoomScaleNormal="80" workbookViewId="0">
      <selection activeCell="I32" sqref="I32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21" t="s">
        <v>37</v>
      </c>
      <c r="F1" s="221"/>
      <c r="G1" s="221"/>
      <c r="H1" s="221"/>
      <c r="I1" s="221"/>
      <c r="J1" s="221"/>
    </row>
    <row r="2" spans="3:13">
      <c r="E2" s="222" t="s">
        <v>23</v>
      </c>
      <c r="F2" s="222"/>
      <c r="G2" s="222"/>
      <c r="H2" s="222"/>
      <c r="I2" s="222"/>
      <c r="J2" s="222"/>
    </row>
    <row r="3" spans="3:13" ht="14.25" customHeight="1">
      <c r="E3" s="199" t="s">
        <v>38</v>
      </c>
      <c r="F3" s="200"/>
      <c r="G3" s="200"/>
      <c r="H3" s="200"/>
      <c r="I3" s="200"/>
      <c r="J3" s="200"/>
    </row>
    <row r="5" spans="3:13">
      <c r="C5" s="213" t="s">
        <v>25</v>
      </c>
      <c r="D5" s="214"/>
      <c r="E5" s="214"/>
      <c r="F5" s="214"/>
      <c r="G5" s="214"/>
      <c r="H5" s="214"/>
      <c r="I5" s="214"/>
      <c r="J5" s="214"/>
      <c r="K5" s="214"/>
      <c r="L5" s="215"/>
    </row>
    <row r="6" spans="3:13">
      <c r="C6" s="107"/>
      <c r="D6" s="108"/>
      <c r="E6" s="223" t="s">
        <v>2</v>
      </c>
      <c r="F6" s="223"/>
      <c r="G6" s="223"/>
      <c r="H6" s="223"/>
      <c r="I6" s="223"/>
      <c r="J6" s="109">
        <f>SUM(G32:G61)</f>
        <v>330561</v>
      </c>
      <c r="K6" s="108"/>
      <c r="L6" s="110"/>
    </row>
    <row r="7" spans="3:13">
      <c r="C7" s="111"/>
      <c r="E7" s="220" t="s">
        <v>4</v>
      </c>
      <c r="F7" s="220"/>
      <c r="G7" s="220"/>
      <c r="H7" s="220"/>
      <c r="I7" s="220"/>
      <c r="J7" s="112">
        <f>'Predicted Data'!D39</f>
        <v>378158</v>
      </c>
      <c r="K7" s="113"/>
      <c r="L7" s="114"/>
    </row>
    <row r="8" spans="3:13" ht="16.149999999999999">
      <c r="C8" s="111"/>
      <c r="E8" s="220" t="s">
        <v>6</v>
      </c>
      <c r="F8" s="220"/>
      <c r="G8" s="220"/>
      <c r="H8" s="220"/>
      <c r="I8" s="220"/>
      <c r="J8" s="112">
        <f>SUM(H32:H61)</f>
        <v>113047.56639999997</v>
      </c>
      <c r="L8" s="114"/>
    </row>
    <row r="9" spans="3:13" ht="16.149999999999999">
      <c r="C9" s="111"/>
      <c r="E9" s="220" t="s">
        <v>8</v>
      </c>
      <c r="F9" s="220"/>
      <c r="G9" s="220"/>
      <c r="H9" s="220"/>
      <c r="I9" s="220"/>
      <c r="J9" s="115"/>
      <c r="K9" s="113"/>
      <c r="L9" s="114"/>
    </row>
    <row r="10" spans="3:13">
      <c r="C10" s="111"/>
      <c r="E10" s="220" t="s">
        <v>10</v>
      </c>
      <c r="F10" s="220"/>
      <c r="G10" s="220"/>
      <c r="H10" s="220"/>
      <c r="I10" s="220"/>
      <c r="J10" s="116">
        <f>'Plant Health'!K89</f>
        <v>301310.37399999995</v>
      </c>
      <c r="L10" s="114"/>
    </row>
    <row r="11" spans="3:13">
      <c r="C11" s="111"/>
      <c r="E11" s="220" t="s">
        <v>12</v>
      </c>
      <c r="F11" s="220"/>
      <c r="G11" s="220"/>
      <c r="H11" s="220"/>
      <c r="I11" s="220"/>
      <c r="J11" s="117">
        <f>J6/J10</f>
        <v>1.0970780581222206</v>
      </c>
      <c r="L11" s="114"/>
      <c r="M11" s="118"/>
    </row>
    <row r="12" spans="3:13">
      <c r="C12" s="111"/>
      <c r="E12" s="220" t="s">
        <v>16</v>
      </c>
      <c r="F12" s="220"/>
      <c r="G12" s="220"/>
      <c r="H12" s="220"/>
      <c r="I12" s="220"/>
      <c r="J12" s="117">
        <f>J6/J7</f>
        <v>0.87413462097853278</v>
      </c>
      <c r="L12" s="114"/>
    </row>
    <row r="13" spans="3:13">
      <c r="C13" s="111"/>
      <c r="E13" s="220" t="s">
        <v>18</v>
      </c>
      <c r="F13" s="220"/>
      <c r="G13" s="220"/>
      <c r="H13" s="220"/>
      <c r="I13" s="220"/>
      <c r="J13" s="117">
        <f>Availability!F48</f>
        <v>0.99109999999999998</v>
      </c>
      <c r="L13" s="114"/>
    </row>
    <row r="14" spans="3:13">
      <c r="C14" s="119"/>
      <c r="D14" s="120"/>
      <c r="E14" s="212" t="s">
        <v>20</v>
      </c>
      <c r="F14" s="212"/>
      <c r="G14" s="212"/>
      <c r="H14" s="212"/>
      <c r="I14" s="212"/>
      <c r="J14" s="121">
        <f>Availability!F50</f>
        <v>0.99623636363636348</v>
      </c>
      <c r="K14" s="120"/>
      <c r="L14" s="122"/>
    </row>
    <row r="16" spans="3:13">
      <c r="C16" s="213" t="s">
        <v>27</v>
      </c>
      <c r="D16" s="214"/>
      <c r="E16" s="214"/>
      <c r="F16" s="214"/>
      <c r="G16" s="214"/>
      <c r="H16" s="214"/>
      <c r="I16" s="214"/>
      <c r="J16" s="214"/>
      <c r="K16" s="214"/>
      <c r="L16" s="215"/>
    </row>
    <row r="30" spans="5:12">
      <c r="E30" s="123"/>
      <c r="F30" s="216" t="s">
        <v>28</v>
      </c>
      <c r="G30" s="216"/>
      <c r="H30" s="216"/>
      <c r="I30" s="216"/>
      <c r="J30" s="123"/>
      <c r="K30" s="123"/>
      <c r="L30" s="123"/>
    </row>
    <row r="31" spans="5:12" s="127" customFormat="1" ht="44.1" customHeight="1">
      <c r="E31" s="124"/>
      <c r="F31" s="125" t="s">
        <v>29</v>
      </c>
      <c r="G31" s="143" t="s">
        <v>30</v>
      </c>
      <c r="H31" s="143" t="s">
        <v>31</v>
      </c>
      <c r="I31" s="126" t="s">
        <v>32</v>
      </c>
      <c r="K31" s="124"/>
    </row>
    <row r="32" spans="5:12">
      <c r="F32" s="142">
        <v>45597</v>
      </c>
      <c r="G32" s="154">
        <v>4032</v>
      </c>
      <c r="H32" s="155">
        <v>974.52089999999998</v>
      </c>
      <c r="I32" s="155">
        <v>64.849450000000004</v>
      </c>
      <c r="K32" s="128"/>
    </row>
    <row r="33" spans="6:11">
      <c r="F33" s="142">
        <v>45598</v>
      </c>
      <c r="G33" s="154">
        <v>2938</v>
      </c>
      <c r="H33" s="155">
        <v>583.31830000000002</v>
      </c>
      <c r="I33" s="155">
        <v>72.239869999999996</v>
      </c>
      <c r="K33" s="128"/>
    </row>
    <row r="34" spans="6:11">
      <c r="F34" s="142">
        <v>45599</v>
      </c>
      <c r="G34" s="154">
        <v>3335</v>
      </c>
      <c r="H34" s="155">
        <v>723.44899999999996</v>
      </c>
      <c r="I34" s="155">
        <v>73.681470000000004</v>
      </c>
      <c r="K34" s="128"/>
    </row>
    <row r="35" spans="6:11">
      <c r="F35" s="142">
        <v>45600</v>
      </c>
      <c r="G35" s="154">
        <v>3745</v>
      </c>
      <c r="H35" s="155">
        <v>979.65049999999997</v>
      </c>
      <c r="I35" s="155">
        <v>71.235309999999998</v>
      </c>
      <c r="K35" s="128"/>
    </row>
    <row r="36" spans="6:11">
      <c r="F36" s="142">
        <v>45601</v>
      </c>
      <c r="G36" s="154">
        <v>14598</v>
      </c>
      <c r="H36" s="155">
        <v>5150.6890000000003</v>
      </c>
      <c r="I36" s="155">
        <v>59.778199999999998</v>
      </c>
      <c r="K36" s="128"/>
    </row>
    <row r="37" spans="6:11">
      <c r="F37" s="142">
        <v>45602</v>
      </c>
      <c r="G37" s="154">
        <v>16559</v>
      </c>
      <c r="H37" s="155">
        <v>5757.1450000000004</v>
      </c>
      <c r="I37" s="155">
        <v>58.222369999999998</v>
      </c>
      <c r="K37" s="128"/>
    </row>
    <row r="38" spans="6:11">
      <c r="F38" s="142">
        <v>45603</v>
      </c>
      <c r="G38" s="154">
        <v>2959</v>
      </c>
      <c r="H38" s="155">
        <v>625.78740000000005</v>
      </c>
      <c r="I38" s="155">
        <v>63.649470000000001</v>
      </c>
      <c r="K38" s="128"/>
    </row>
    <row r="39" spans="6:11">
      <c r="F39" s="142">
        <v>45604</v>
      </c>
      <c r="G39" s="154">
        <v>1811</v>
      </c>
      <c r="H39" s="155">
        <v>248.17959999999999</v>
      </c>
      <c r="I39" s="155">
        <v>66.610140000000001</v>
      </c>
      <c r="K39" s="128"/>
    </row>
    <row r="40" spans="6:11">
      <c r="F40" s="142">
        <v>45605</v>
      </c>
      <c r="G40" s="154">
        <v>16164</v>
      </c>
      <c r="H40" s="155">
        <v>5669.2079999999996</v>
      </c>
      <c r="I40" s="155">
        <v>58.092410000000001</v>
      </c>
      <c r="K40" s="128"/>
    </row>
    <row r="41" spans="6:11">
      <c r="F41" s="142">
        <v>45606</v>
      </c>
      <c r="G41" s="154">
        <v>15472</v>
      </c>
      <c r="H41" s="155">
        <v>5453.625</v>
      </c>
      <c r="I41" s="155">
        <v>61.129669999999997</v>
      </c>
      <c r="K41" s="128"/>
    </row>
    <row r="42" spans="6:11">
      <c r="F42" s="142">
        <v>45607</v>
      </c>
      <c r="G42" s="154">
        <v>15250</v>
      </c>
      <c r="H42" s="155">
        <v>5261.3890000000001</v>
      </c>
      <c r="I42" s="155">
        <v>59.306629999999998</v>
      </c>
      <c r="K42" s="128"/>
    </row>
    <row r="43" spans="6:11">
      <c r="F43" s="142">
        <v>45608</v>
      </c>
      <c r="G43" s="154">
        <v>15056</v>
      </c>
      <c r="H43" s="155">
        <v>5177.0349999999999</v>
      </c>
      <c r="I43" s="155">
        <v>60.548920000000003</v>
      </c>
      <c r="K43" s="128"/>
    </row>
    <row r="44" spans="6:11">
      <c r="F44" s="142">
        <v>45609</v>
      </c>
      <c r="G44" s="154">
        <v>10536</v>
      </c>
      <c r="H44" s="155">
        <v>5164.9620000000004</v>
      </c>
      <c r="I44" s="155">
        <v>63.652340000000002</v>
      </c>
      <c r="K44" s="128"/>
    </row>
    <row r="45" spans="6:11">
      <c r="F45" s="142">
        <v>45610</v>
      </c>
      <c r="G45" s="154">
        <v>15959</v>
      </c>
      <c r="H45" s="155">
        <v>5603.2139999999999</v>
      </c>
      <c r="I45" s="155">
        <v>55.437640000000002</v>
      </c>
      <c r="K45" s="128"/>
    </row>
    <row r="46" spans="6:11">
      <c r="F46" s="142">
        <v>45611</v>
      </c>
      <c r="G46" s="154">
        <v>15960</v>
      </c>
      <c r="H46" s="155">
        <v>5533.95</v>
      </c>
      <c r="I46" s="155">
        <v>56.02619</v>
      </c>
      <c r="K46" s="128"/>
    </row>
    <row r="47" spans="6:11">
      <c r="F47" s="142">
        <v>45612</v>
      </c>
      <c r="G47" s="154">
        <v>14051</v>
      </c>
      <c r="H47" s="155">
        <v>4730.1509999999998</v>
      </c>
      <c r="I47" s="155">
        <v>63.627980000000001</v>
      </c>
      <c r="K47" s="128"/>
    </row>
    <row r="48" spans="6:11">
      <c r="F48" s="142">
        <v>45613</v>
      </c>
      <c r="G48" s="154">
        <v>6703</v>
      </c>
      <c r="H48" s="155">
        <v>2067.6179999999999</v>
      </c>
      <c r="I48" s="155">
        <v>71.476680000000002</v>
      </c>
      <c r="K48" s="128"/>
    </row>
    <row r="49" spans="3:20">
      <c r="F49" s="142">
        <v>45614</v>
      </c>
      <c r="G49" s="154">
        <v>7837</v>
      </c>
      <c r="H49" s="155">
        <v>2681.7919999999999</v>
      </c>
      <c r="I49" s="155">
        <v>67.521839999999997</v>
      </c>
      <c r="K49" s="128"/>
    </row>
    <row r="50" spans="3:20">
      <c r="F50" s="142">
        <v>45615</v>
      </c>
      <c r="G50" s="154">
        <v>15242.000000001863</v>
      </c>
      <c r="H50" s="155">
        <v>5351.22</v>
      </c>
      <c r="I50" s="155">
        <v>60.905670000000001</v>
      </c>
      <c r="K50" s="128"/>
    </row>
    <row r="51" spans="3:20">
      <c r="F51" s="142">
        <v>45616</v>
      </c>
      <c r="G51" s="154">
        <v>15930.999999998137</v>
      </c>
      <c r="H51" s="155">
        <v>5581.3410000000003</v>
      </c>
      <c r="I51" s="155">
        <v>50.079680000000003</v>
      </c>
      <c r="K51" s="128"/>
    </row>
    <row r="52" spans="3:20">
      <c r="F52" s="142">
        <v>45617</v>
      </c>
      <c r="G52" s="154">
        <v>15103</v>
      </c>
      <c r="H52" s="155">
        <v>5238.701</v>
      </c>
      <c r="I52" s="155">
        <v>49.378349999999998</v>
      </c>
      <c r="K52" s="128"/>
    </row>
    <row r="53" spans="3:20">
      <c r="F53" s="142">
        <v>45618</v>
      </c>
      <c r="G53" s="154">
        <v>14713</v>
      </c>
      <c r="H53" s="155">
        <v>5085.0110000000004</v>
      </c>
      <c r="I53" s="155">
        <v>48.375169999999997</v>
      </c>
      <c r="K53" s="128"/>
    </row>
    <row r="54" spans="3:20">
      <c r="F54" s="142">
        <v>45619</v>
      </c>
      <c r="G54" s="154">
        <v>14672</v>
      </c>
      <c r="H54" s="155">
        <v>5109.8280000000004</v>
      </c>
      <c r="I54" s="155">
        <v>57.493180000000002</v>
      </c>
      <c r="K54" s="128"/>
    </row>
    <row r="55" spans="3:20">
      <c r="F55" s="142">
        <v>45620</v>
      </c>
      <c r="G55" s="154">
        <v>13090</v>
      </c>
      <c r="H55" s="155">
        <v>4672.0479999999998</v>
      </c>
      <c r="I55" s="155">
        <v>68.242109999999997</v>
      </c>
      <c r="K55" s="128"/>
    </row>
    <row r="56" spans="3:20">
      <c r="F56" s="142">
        <v>45621</v>
      </c>
      <c r="G56" s="154">
        <v>2593</v>
      </c>
      <c r="H56" s="155">
        <v>624.01670000000001</v>
      </c>
      <c r="I56" s="155">
        <v>53.037179999999999</v>
      </c>
      <c r="K56" s="128"/>
    </row>
    <row r="57" spans="3:20">
      <c r="F57" s="142">
        <v>45622</v>
      </c>
      <c r="G57" s="154">
        <v>14294</v>
      </c>
      <c r="H57" s="155">
        <v>4922.2349999999997</v>
      </c>
      <c r="I57" s="155">
        <v>48.20993</v>
      </c>
      <c r="K57" s="128"/>
      <c r="R57" s="112"/>
      <c r="S57" s="112"/>
      <c r="T57" s="112"/>
    </row>
    <row r="58" spans="3:20">
      <c r="F58" s="142">
        <v>45623</v>
      </c>
      <c r="G58" s="154">
        <v>8937</v>
      </c>
      <c r="H58" s="155">
        <v>3012.817</v>
      </c>
      <c r="I58" s="155">
        <v>62.10519</v>
      </c>
      <c r="K58" s="128"/>
    </row>
    <row r="59" spans="3:20">
      <c r="F59" s="142">
        <v>45624</v>
      </c>
      <c r="G59" s="154">
        <v>4583</v>
      </c>
      <c r="H59" s="155">
        <v>1281.568</v>
      </c>
      <c r="I59" s="155">
        <v>45.317169999999997</v>
      </c>
      <c r="K59" s="128"/>
      <c r="R59" s="112"/>
      <c r="S59" s="112"/>
      <c r="T59" s="112"/>
    </row>
    <row r="60" spans="3:20">
      <c r="F60" s="142">
        <v>45625</v>
      </c>
      <c r="G60" s="161">
        <v>14297</v>
      </c>
      <c r="H60" s="160">
        <v>4873.6850000000004</v>
      </c>
      <c r="I60" s="160">
        <v>39.803229999999999</v>
      </c>
      <c r="K60" s="128"/>
    </row>
    <row r="61" spans="3:20">
      <c r="F61" s="142">
        <v>45626</v>
      </c>
      <c r="G61" s="162">
        <v>14141</v>
      </c>
      <c r="H61" s="162">
        <v>4909.4120000000003</v>
      </c>
      <c r="I61" s="162">
        <v>44.634259999999998</v>
      </c>
      <c r="K61" s="128"/>
    </row>
    <row r="62" spans="3:20">
      <c r="F62" s="159"/>
      <c r="G62" s="156"/>
      <c r="H62" s="156"/>
      <c r="I62" s="156"/>
    </row>
    <row r="63" spans="3:20">
      <c r="F63" s="163"/>
      <c r="G63" s="129"/>
    </row>
    <row r="64" spans="3:20">
      <c r="C64" s="213" t="s">
        <v>34</v>
      </c>
      <c r="D64" s="214"/>
      <c r="E64" s="214"/>
      <c r="F64" s="214"/>
      <c r="G64" s="214"/>
      <c r="H64" s="214"/>
      <c r="I64" s="214"/>
      <c r="J64" s="214"/>
      <c r="K64" s="214"/>
      <c r="L64" s="215"/>
    </row>
    <row r="65" spans="3:12" ht="15" customHeight="1">
      <c r="C65" s="203"/>
      <c r="D65" s="204"/>
      <c r="E65" s="204"/>
      <c r="F65" s="204"/>
      <c r="G65" s="204"/>
      <c r="H65" s="204"/>
      <c r="I65" s="204"/>
      <c r="J65" s="204"/>
      <c r="K65" s="204"/>
      <c r="L65" s="205"/>
    </row>
    <row r="66" spans="3:12">
      <c r="C66" s="206"/>
      <c r="D66" s="207"/>
      <c r="E66" s="207"/>
      <c r="F66" s="207"/>
      <c r="G66" s="207"/>
      <c r="H66" s="207"/>
      <c r="I66" s="207"/>
      <c r="J66" s="207"/>
      <c r="K66" s="207"/>
      <c r="L66" s="208"/>
    </row>
    <row r="67" spans="3:12">
      <c r="C67" s="209"/>
      <c r="D67" s="210"/>
      <c r="E67" s="210"/>
      <c r="F67" s="210"/>
      <c r="G67" s="210"/>
      <c r="H67" s="210"/>
      <c r="I67" s="210"/>
      <c r="J67" s="210"/>
      <c r="K67" s="210"/>
      <c r="L67" s="211"/>
    </row>
    <row r="69" spans="3:12">
      <c r="C69" s="217" t="s">
        <v>35</v>
      </c>
      <c r="D69" s="218"/>
      <c r="E69" s="218"/>
      <c r="F69" s="218"/>
      <c r="G69" s="218"/>
      <c r="H69" s="218"/>
      <c r="I69" s="218"/>
      <c r="J69" s="218"/>
      <c r="K69" s="218"/>
      <c r="L69" s="219"/>
    </row>
    <row r="70" spans="3:12" ht="14.85" customHeight="1">
      <c r="C70" s="203"/>
      <c r="D70" s="204"/>
      <c r="E70" s="204"/>
      <c r="F70" s="204"/>
      <c r="G70" s="204"/>
      <c r="H70" s="204"/>
      <c r="I70" s="204"/>
      <c r="J70" s="204"/>
      <c r="K70" s="204"/>
      <c r="L70" s="205"/>
    </row>
    <row r="71" spans="3:12">
      <c r="C71" s="206"/>
      <c r="D71" s="207"/>
      <c r="E71" s="207"/>
      <c r="F71" s="207"/>
      <c r="G71" s="207"/>
      <c r="H71" s="207"/>
      <c r="I71" s="207"/>
      <c r="J71" s="207"/>
      <c r="K71" s="207"/>
      <c r="L71" s="208"/>
    </row>
    <row r="72" spans="3:12">
      <c r="C72" s="209"/>
      <c r="D72" s="210"/>
      <c r="E72" s="210"/>
      <c r="F72" s="210"/>
      <c r="G72" s="210"/>
      <c r="H72" s="210"/>
      <c r="I72" s="210"/>
      <c r="J72" s="210"/>
      <c r="K72" s="210"/>
      <c r="L72" s="211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0:L72"/>
    <mergeCell ref="E14:I14"/>
    <mergeCell ref="C16:L16"/>
    <mergeCell ref="F30:I30"/>
    <mergeCell ref="C64:L64"/>
    <mergeCell ref="C65:L67"/>
    <mergeCell ref="C69:L69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zoomScaleNormal="100" workbookViewId="0">
      <selection activeCell="E48" sqref="E48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7" t="s">
        <v>39</v>
      </c>
      <c r="D4" s="228"/>
      <c r="E4" s="229"/>
      <c r="G4" s="227" t="s">
        <v>40</v>
      </c>
      <c r="H4" s="228"/>
      <c r="I4" s="229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7" t="s">
        <v>54</v>
      </c>
      <c r="D20" s="228"/>
      <c r="E20" s="229"/>
      <c r="G20" s="224" t="s">
        <v>55</v>
      </c>
      <c r="H20" s="230"/>
      <c r="I20" s="225"/>
      <c r="K20" s="224" t="s">
        <v>55</v>
      </c>
      <c r="L20" s="225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37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7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7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5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26" t="s">
        <v>57</v>
      </c>
      <c r="D36" s="226"/>
      <c r="E36" s="226"/>
      <c r="F36" s="226"/>
    </row>
    <row r="37" spans="3:12">
      <c r="C37" s="1"/>
      <c r="D37" s="42" t="s">
        <v>36</v>
      </c>
      <c r="E37" s="42" t="s">
        <v>22</v>
      </c>
      <c r="F37" s="42" t="s">
        <v>37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</row>
    <row r="42" spans="3:12">
      <c r="C42" s="43" t="s">
        <v>45</v>
      </c>
      <c r="D42" s="62">
        <v>1</v>
      </c>
      <c r="E42" s="62">
        <v>1</v>
      </c>
      <c r="F42" s="62">
        <v>1</v>
      </c>
    </row>
    <row r="43" spans="3:12">
      <c r="C43" s="43" t="s">
        <v>46</v>
      </c>
      <c r="D43" s="62">
        <v>1</v>
      </c>
      <c r="E43" s="62">
        <v>1</v>
      </c>
      <c r="F43" s="62">
        <v>1</v>
      </c>
    </row>
    <row r="44" spans="3:12">
      <c r="C44" s="43" t="s">
        <v>47</v>
      </c>
      <c r="D44" s="62">
        <v>1</v>
      </c>
      <c r="E44" s="152">
        <v>1</v>
      </c>
      <c r="F44" s="62">
        <v>1</v>
      </c>
    </row>
    <row r="45" spans="3:12">
      <c r="C45" s="43" t="s">
        <v>48</v>
      </c>
      <c r="D45" s="62">
        <v>0.98780000000000001</v>
      </c>
      <c r="E45" s="152">
        <v>1</v>
      </c>
      <c r="F45" s="62">
        <v>1</v>
      </c>
    </row>
    <row r="46" spans="3:12">
      <c r="C46" s="43" t="s">
        <v>49</v>
      </c>
      <c r="D46" s="62">
        <v>1</v>
      </c>
      <c r="E46" s="152">
        <v>1</v>
      </c>
      <c r="F46" s="62">
        <v>1</v>
      </c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</row>
    <row r="48" spans="3:12">
      <c r="C48" s="43" t="s">
        <v>51</v>
      </c>
      <c r="D48" s="62">
        <v>1</v>
      </c>
      <c r="E48" s="46"/>
      <c r="F48" s="62">
        <v>0.99109999999999998</v>
      </c>
    </row>
    <row r="49" spans="3:6">
      <c r="C49" s="43" t="s">
        <v>52</v>
      </c>
      <c r="D49" s="46"/>
      <c r="E49" s="46"/>
      <c r="F49" s="46"/>
    </row>
    <row r="50" spans="3:6">
      <c r="C50" s="56" t="s">
        <v>53</v>
      </c>
      <c r="D50" s="52">
        <f>AVERAGE(D38:D49)</f>
        <v>0.9988636363636364</v>
      </c>
      <c r="E50" s="52">
        <f>AVERAGE(E38:E49)</f>
        <v>0.99865999999999988</v>
      </c>
      <c r="F50" s="52">
        <f>AVERAGE(F38:F49)</f>
        <v>0.99623636363636348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91"/>
  <sheetViews>
    <sheetView topLeftCell="A65" zoomScaleNormal="100" workbookViewId="0">
      <selection activeCell="R60" sqref="R60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31" t="s">
        <v>58</v>
      </c>
      <c r="D4" s="232"/>
      <c r="E4" s="232"/>
      <c r="F4" s="232"/>
      <c r="G4" s="232"/>
      <c r="H4" s="232"/>
      <c r="I4" s="232"/>
      <c r="J4" s="77"/>
      <c r="K4" s="77"/>
      <c r="L4" s="78"/>
    </row>
    <row r="5" spans="3:12" ht="15.6">
      <c r="C5" s="42"/>
      <c r="D5" s="239" t="s">
        <v>36</v>
      </c>
      <c r="E5" s="240"/>
      <c r="F5" s="241"/>
      <c r="G5" s="239" t="s">
        <v>22</v>
      </c>
      <c r="H5" s="240"/>
      <c r="I5" s="241"/>
      <c r="J5" s="234" t="s">
        <v>59</v>
      </c>
      <c r="K5" s="235"/>
      <c r="L5" s="236"/>
    </row>
    <row r="6" spans="3:12">
      <c r="C6" s="42"/>
      <c r="D6" s="42" t="s">
        <v>60</v>
      </c>
      <c r="E6" s="42" t="s">
        <v>61</v>
      </c>
      <c r="F6" s="42" t="s">
        <v>62</v>
      </c>
      <c r="G6" s="42" t="s">
        <v>60</v>
      </c>
      <c r="H6" s="42" t="s">
        <v>61</v>
      </c>
      <c r="I6" s="42" t="s">
        <v>62</v>
      </c>
      <c r="J6" s="49" t="s">
        <v>60</v>
      </c>
      <c r="K6" s="49" t="s">
        <v>61</v>
      </c>
      <c r="L6" s="49" t="s">
        <v>62</v>
      </c>
    </row>
    <row r="7" spans="3:12">
      <c r="C7" s="47" t="s">
        <v>41</v>
      </c>
      <c r="D7" s="86" t="s">
        <v>63</v>
      </c>
      <c r="E7" s="86" t="s">
        <v>63</v>
      </c>
      <c r="F7" s="86" t="s">
        <v>63</v>
      </c>
      <c r="G7" s="86" t="s">
        <v>63</v>
      </c>
      <c r="H7" s="86" t="s">
        <v>63</v>
      </c>
      <c r="I7" s="86" t="s">
        <v>63</v>
      </c>
      <c r="J7" s="86" t="s">
        <v>63</v>
      </c>
      <c r="K7" s="86" t="s">
        <v>63</v>
      </c>
      <c r="L7" s="86" t="s">
        <v>63</v>
      </c>
    </row>
    <row r="8" spans="3:12">
      <c r="C8" s="47" t="s">
        <v>42</v>
      </c>
      <c r="D8" s="86" t="s">
        <v>63</v>
      </c>
      <c r="E8" s="86" t="s">
        <v>63</v>
      </c>
      <c r="F8" s="86" t="s">
        <v>63</v>
      </c>
      <c r="G8" s="86" t="s">
        <v>63</v>
      </c>
      <c r="H8" s="86" t="s">
        <v>63</v>
      </c>
      <c r="I8" s="86" t="s">
        <v>63</v>
      </c>
      <c r="J8" s="86" t="s">
        <v>63</v>
      </c>
      <c r="K8" s="86" t="s">
        <v>63</v>
      </c>
      <c r="L8" s="86" t="s">
        <v>63</v>
      </c>
    </row>
    <row r="9" spans="3:12">
      <c r="C9" s="47" t="s">
        <v>43</v>
      </c>
      <c r="D9" s="86" t="s">
        <v>63</v>
      </c>
      <c r="E9" s="86" t="s">
        <v>63</v>
      </c>
      <c r="F9" s="86" t="s">
        <v>63</v>
      </c>
      <c r="G9" s="86" t="s">
        <v>63</v>
      </c>
      <c r="H9" s="86" t="s">
        <v>63</v>
      </c>
      <c r="I9" s="86" t="s">
        <v>63</v>
      </c>
      <c r="J9" s="86" t="s">
        <v>63</v>
      </c>
      <c r="K9" s="86" t="s">
        <v>63</v>
      </c>
      <c r="L9" s="86" t="s">
        <v>63</v>
      </c>
    </row>
    <row r="10" spans="3:12">
      <c r="C10" s="47" t="s">
        <v>44</v>
      </c>
      <c r="D10" s="86" t="s">
        <v>63</v>
      </c>
      <c r="E10" s="86" t="s">
        <v>63</v>
      </c>
      <c r="F10" s="86" t="s">
        <v>63</v>
      </c>
      <c r="G10" s="86" t="s">
        <v>63</v>
      </c>
      <c r="H10" s="86" t="s">
        <v>63</v>
      </c>
      <c r="I10" s="86" t="s">
        <v>63</v>
      </c>
      <c r="J10" s="86" t="s">
        <v>63</v>
      </c>
      <c r="K10" s="86" t="s">
        <v>63</v>
      </c>
      <c r="L10" s="86" t="s">
        <v>63</v>
      </c>
    </row>
    <row r="11" spans="3:12">
      <c r="C11" s="47" t="s">
        <v>45</v>
      </c>
      <c r="D11" s="86" t="s">
        <v>63</v>
      </c>
      <c r="E11" s="86" t="s">
        <v>63</v>
      </c>
      <c r="F11" s="86" t="s">
        <v>63</v>
      </c>
      <c r="G11" s="86" t="s">
        <v>63</v>
      </c>
      <c r="H11" s="86" t="s">
        <v>63</v>
      </c>
      <c r="I11" s="86" t="s">
        <v>63</v>
      </c>
      <c r="J11" s="86" t="s">
        <v>63</v>
      </c>
      <c r="K11" s="86" t="s">
        <v>63</v>
      </c>
      <c r="L11" s="86" t="s">
        <v>63</v>
      </c>
    </row>
    <row r="12" spans="3:12">
      <c r="C12" s="47" t="s">
        <v>46</v>
      </c>
      <c r="D12" s="86" t="s">
        <v>63</v>
      </c>
      <c r="E12" s="86" t="s">
        <v>63</v>
      </c>
      <c r="F12" s="86" t="s">
        <v>63</v>
      </c>
      <c r="G12" s="86" t="s">
        <v>63</v>
      </c>
      <c r="H12" s="86" t="s">
        <v>63</v>
      </c>
      <c r="I12" s="86" t="s">
        <v>63</v>
      </c>
      <c r="J12" s="86" t="s">
        <v>63</v>
      </c>
      <c r="K12" s="86" t="s">
        <v>63</v>
      </c>
      <c r="L12" s="86" t="s">
        <v>63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63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63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64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31" t="s">
        <v>65</v>
      </c>
      <c r="D22" s="232"/>
      <c r="E22" s="232"/>
      <c r="F22" s="232"/>
      <c r="G22" s="232"/>
      <c r="H22" s="232"/>
      <c r="I22" s="232"/>
      <c r="J22" s="77"/>
      <c r="K22" s="77"/>
      <c r="L22" s="78"/>
    </row>
    <row r="23" spans="3:12" ht="15.6">
      <c r="C23" s="42"/>
      <c r="D23" s="239" t="s">
        <v>36</v>
      </c>
      <c r="E23" s="240"/>
      <c r="F23" s="241"/>
      <c r="G23" s="239" t="s">
        <v>22</v>
      </c>
      <c r="H23" s="240"/>
      <c r="I23" s="241"/>
      <c r="J23" s="234" t="s">
        <v>59</v>
      </c>
      <c r="K23" s="235"/>
      <c r="L23" s="236"/>
    </row>
    <row r="24" spans="3:12">
      <c r="C24" s="42"/>
      <c r="D24" s="42" t="s">
        <v>60</v>
      </c>
      <c r="E24" s="42" t="s">
        <v>61</v>
      </c>
      <c r="F24" s="42" t="s">
        <v>62</v>
      </c>
      <c r="G24" s="42" t="s">
        <v>60</v>
      </c>
      <c r="H24" s="42" t="s">
        <v>61</v>
      </c>
      <c r="I24" s="42" t="s">
        <v>62</v>
      </c>
      <c r="J24" s="49" t="s">
        <v>60</v>
      </c>
      <c r="K24" s="49" t="s">
        <v>61</v>
      </c>
      <c r="L24" s="49" t="s">
        <v>62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64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31" t="s">
        <v>66</v>
      </c>
      <c r="D40" s="232"/>
      <c r="E40" s="232"/>
      <c r="F40" s="232"/>
      <c r="G40" s="232"/>
      <c r="H40" s="232"/>
      <c r="I40" s="232"/>
      <c r="J40" s="77"/>
      <c r="K40" s="77"/>
      <c r="L40" s="78"/>
    </row>
    <row r="41" spans="3:43" ht="15.6">
      <c r="C41" s="42"/>
      <c r="D41" s="239" t="s">
        <v>36</v>
      </c>
      <c r="E41" s="240"/>
      <c r="F41" s="241"/>
      <c r="G41" s="239" t="s">
        <v>22</v>
      </c>
      <c r="H41" s="240"/>
      <c r="I41" s="241"/>
      <c r="J41" s="234" t="s">
        <v>59</v>
      </c>
      <c r="K41" s="235"/>
      <c r="L41" s="236"/>
    </row>
    <row r="42" spans="3:43">
      <c r="C42" s="42"/>
      <c r="D42" s="42" t="s">
        <v>60</v>
      </c>
      <c r="E42" s="42" t="s">
        <v>61</v>
      </c>
      <c r="F42" s="42" t="s">
        <v>62</v>
      </c>
      <c r="G42" s="42" t="s">
        <v>60</v>
      </c>
      <c r="H42" s="42" t="s">
        <v>61</v>
      </c>
      <c r="I42" s="42" t="s">
        <v>62</v>
      </c>
      <c r="J42" s="49" t="s">
        <v>60</v>
      </c>
      <c r="K42" s="49" t="s">
        <v>61</v>
      </c>
      <c r="L42" s="49" t="s">
        <v>62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7"/>
      <c r="AO49" s="237"/>
      <c r="AP49" s="237"/>
      <c r="AQ49" s="237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8"/>
      <c r="AP50" s="238"/>
      <c r="AQ50" s="238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>
      <c r="C55" s="49" t="s">
        <v>64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31" t="s">
        <v>67</v>
      </c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3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34" t="s">
        <v>36</v>
      </c>
      <c r="E59" s="235"/>
      <c r="F59" s="236"/>
      <c r="G59" s="234" t="s">
        <v>22</v>
      </c>
      <c r="H59" s="235"/>
      <c r="I59" s="236"/>
      <c r="J59" s="234" t="s">
        <v>37</v>
      </c>
      <c r="K59" s="235"/>
      <c r="L59" s="236"/>
      <c r="M59" s="234" t="s">
        <v>59</v>
      </c>
      <c r="N59" s="235"/>
      <c r="O59" s="236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60</v>
      </c>
      <c r="E60" s="42" t="s">
        <v>61</v>
      </c>
      <c r="F60" s="42" t="s">
        <v>62</v>
      </c>
      <c r="G60" s="42" t="s">
        <v>60</v>
      </c>
      <c r="H60" s="42" t="s">
        <v>61</v>
      </c>
      <c r="I60" s="42" t="s">
        <v>62</v>
      </c>
      <c r="J60" s="42" t="s">
        <v>60</v>
      </c>
      <c r="K60" s="42" t="s">
        <v>61</v>
      </c>
      <c r="L60" s="42" t="s">
        <v>62</v>
      </c>
      <c r="M60" s="49" t="s">
        <v>60</v>
      </c>
      <c r="N60" s="49" t="s">
        <v>61</v>
      </c>
      <c r="O60" s="49" t="s">
        <v>62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64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31" t="s">
        <v>68</v>
      </c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3"/>
    </row>
    <row r="77" spans="3:43" ht="15.6">
      <c r="C77" s="42"/>
      <c r="D77" s="234" t="s">
        <v>36</v>
      </c>
      <c r="E77" s="235"/>
      <c r="F77" s="236"/>
      <c r="G77" s="234" t="s">
        <v>22</v>
      </c>
      <c r="H77" s="235"/>
      <c r="I77" s="236"/>
      <c r="J77" s="234" t="s">
        <v>37</v>
      </c>
      <c r="K77" s="235"/>
      <c r="L77" s="236"/>
      <c r="M77" s="234" t="s">
        <v>59</v>
      </c>
      <c r="N77" s="235"/>
      <c r="O77" s="236"/>
    </row>
    <row r="78" spans="3:43">
      <c r="C78" s="42"/>
      <c r="D78" s="42" t="s">
        <v>60</v>
      </c>
      <c r="E78" s="42" t="s">
        <v>61</v>
      </c>
      <c r="F78" s="42" t="s">
        <v>62</v>
      </c>
      <c r="G78" s="42" t="s">
        <v>60</v>
      </c>
      <c r="H78" s="42" t="s">
        <v>61</v>
      </c>
      <c r="I78" s="42" t="s">
        <v>62</v>
      </c>
      <c r="J78" s="42" t="s">
        <v>60</v>
      </c>
      <c r="K78" s="42" t="s">
        <v>61</v>
      </c>
      <c r="L78" s="42" t="s">
        <v>62</v>
      </c>
      <c r="M78" s="49" t="s">
        <v>60</v>
      </c>
      <c r="N78" s="49" t="s">
        <v>61</v>
      </c>
      <c r="O78" s="49" t="s">
        <v>62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89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89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9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69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52</v>
      </c>
      <c r="D90" s="86"/>
      <c r="E90" s="86"/>
      <c r="F90" s="46"/>
      <c r="G90" s="86"/>
      <c r="H90" s="86"/>
      <c r="I90" s="46"/>
      <c r="J90" s="86"/>
      <c r="K90" s="86"/>
      <c r="L90" s="46"/>
      <c r="M90" s="50">
        <f t="shared" si="35"/>
        <v>0</v>
      </c>
      <c r="N90" s="50">
        <f t="shared" si="34"/>
        <v>0</v>
      </c>
      <c r="O90" s="51"/>
    </row>
    <row r="91" spans="3:16">
      <c r="C91" s="49" t="s">
        <v>64</v>
      </c>
      <c r="D91" s="53">
        <f>SUM(D79:D90)</f>
        <v>4264175.7</v>
      </c>
      <c r="E91" s="53">
        <f>SUM(E79:E90)</f>
        <v>3999487.8692999994</v>
      </c>
      <c r="F91" s="55">
        <f>D91/E91</f>
        <v>1.0661804309326051</v>
      </c>
      <c r="G91" s="53">
        <f>SUM(G79:G90)</f>
        <v>3359532.3449999997</v>
      </c>
      <c r="H91" s="53">
        <f>SUM(H79:H90)</f>
        <v>3341653.0586000006</v>
      </c>
      <c r="I91" s="55">
        <f t="shared" ref="I91" si="36">G91/H91</f>
        <v>1.0053504316835002</v>
      </c>
      <c r="J91" s="53">
        <f>SUM(J79:J90)</f>
        <v>5139138.0000000009</v>
      </c>
      <c r="K91" s="53">
        <f>SUM(K79:K90)</f>
        <v>4890301.1964999996</v>
      </c>
      <c r="L91" s="55">
        <f>J91/K91</f>
        <v>1.0508837377293028</v>
      </c>
      <c r="M91" s="54">
        <f t="shared" si="35"/>
        <v>12762846.045000002</v>
      </c>
      <c r="N91" s="54">
        <f t="shared" si="34"/>
        <v>12231442.124399999</v>
      </c>
      <c r="O91" s="55">
        <f t="shared" ref="O91" si="37">M91/N91</f>
        <v>1.0434457290641082</v>
      </c>
    </row>
  </sheetData>
  <mergeCells count="24"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12" workbookViewId="0">
      <selection activeCell="D15" sqref="D15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70</v>
      </c>
      <c r="B4" s="71" t="s">
        <v>71</v>
      </c>
      <c r="C4" s="71" t="s">
        <v>72</v>
      </c>
      <c r="D4" s="72" t="s">
        <v>4</v>
      </c>
      <c r="E4" s="73" t="s">
        <v>73</v>
      </c>
      <c r="F4" s="60"/>
      <c r="G4" s="60"/>
      <c r="H4" s="60"/>
    </row>
    <row r="5" spans="1:8">
      <c r="A5" s="1" t="s">
        <v>36</v>
      </c>
      <c r="B5" s="1">
        <v>1</v>
      </c>
      <c r="C5" s="1">
        <f>2024</f>
        <v>2024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2024</f>
        <v>2024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2024</f>
        <v>2024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2024</f>
        <v>2024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2024</f>
        <v>2024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2024</f>
        <v>2024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2024</f>
        <v>2024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2024</f>
        <v>2024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2024</f>
        <v>2024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2024</f>
        <v>2024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2024</f>
        <v>2024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2024</f>
        <v>2024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>
      <c r="A28" s="150" t="s">
        <v>22</v>
      </c>
      <c r="B28" s="150">
        <v>12</v>
      </c>
      <c r="C28" s="1">
        <f>2024</f>
        <v>2024</v>
      </c>
      <c r="D28" s="151">
        <v>140863.4</v>
      </c>
      <c r="E28" s="82"/>
      <c r="F28" s="89"/>
    </row>
    <row r="29" spans="1:6">
      <c r="A29" s="147" t="s">
        <v>37</v>
      </c>
      <c r="B29" s="147">
        <v>1</v>
      </c>
      <c r="C29" s="1">
        <f>2024</f>
        <v>2024</v>
      </c>
      <c r="D29" s="136">
        <v>359065</v>
      </c>
      <c r="E29" s="81"/>
    </row>
    <row r="30" spans="1:6">
      <c r="A30" s="147" t="s">
        <v>37</v>
      </c>
      <c r="B30" s="147">
        <v>2</v>
      </c>
      <c r="C30" s="1">
        <f>2024</f>
        <v>2024</v>
      </c>
      <c r="D30" s="136">
        <v>341764</v>
      </c>
      <c r="E30" s="81"/>
    </row>
    <row r="31" spans="1:6">
      <c r="A31" s="147" t="s">
        <v>37</v>
      </c>
      <c r="B31" s="147">
        <v>3</v>
      </c>
      <c r="C31" s="1">
        <f>2024</f>
        <v>2024</v>
      </c>
      <c r="D31" s="136">
        <v>409489</v>
      </c>
      <c r="E31" s="81"/>
    </row>
    <row r="32" spans="1:6">
      <c r="A32" s="147" t="s">
        <v>37</v>
      </c>
      <c r="B32" s="147">
        <v>4</v>
      </c>
      <c r="C32" s="1">
        <f>2024</f>
        <v>2024</v>
      </c>
      <c r="D32" s="136">
        <v>426854</v>
      </c>
      <c r="E32" s="81"/>
    </row>
    <row r="33" spans="1:5">
      <c r="A33" s="147" t="s">
        <v>37</v>
      </c>
      <c r="B33" s="147">
        <v>5</v>
      </c>
      <c r="C33" s="1">
        <f>2024</f>
        <v>2024</v>
      </c>
      <c r="D33" s="136">
        <v>491560</v>
      </c>
      <c r="E33" s="81"/>
    </row>
    <row r="34" spans="1:5">
      <c r="A34" s="147" t="s">
        <v>37</v>
      </c>
      <c r="B34" s="147">
        <v>6</v>
      </c>
      <c r="C34" s="1">
        <f>2024</f>
        <v>2024</v>
      </c>
      <c r="D34" s="136">
        <v>511081</v>
      </c>
      <c r="E34" s="81"/>
    </row>
    <row r="35" spans="1:5">
      <c r="A35" s="147" t="s">
        <v>37</v>
      </c>
      <c r="B35" s="147">
        <v>7</v>
      </c>
      <c r="C35" s="1">
        <f>2024</f>
        <v>2024</v>
      </c>
      <c r="D35" s="148">
        <v>528500</v>
      </c>
      <c r="E35" s="81"/>
    </row>
    <row r="36" spans="1:5">
      <c r="A36" s="147" t="s">
        <v>37</v>
      </c>
      <c r="B36" s="147">
        <v>8</v>
      </c>
      <c r="C36" s="1">
        <f>2024</f>
        <v>2024</v>
      </c>
      <c r="D36" s="136">
        <v>491649</v>
      </c>
      <c r="E36" s="81"/>
    </row>
    <row r="37" spans="1:5">
      <c r="A37" s="147" t="s">
        <v>37</v>
      </c>
      <c r="B37" s="147">
        <v>9</v>
      </c>
      <c r="C37" s="1">
        <f>2024</f>
        <v>2024</v>
      </c>
      <c r="D37" s="136">
        <v>422985</v>
      </c>
      <c r="E37" s="81"/>
    </row>
    <row r="38" spans="1:5">
      <c r="A38" s="147" t="s">
        <v>37</v>
      </c>
      <c r="B38" s="147">
        <v>10</v>
      </c>
      <c r="C38" s="1">
        <f>2024</f>
        <v>2024</v>
      </c>
      <c r="D38" s="136">
        <v>426835</v>
      </c>
      <c r="E38" s="81"/>
    </row>
    <row r="39" spans="1:5">
      <c r="A39" s="147" t="s">
        <v>37</v>
      </c>
      <c r="B39" s="147">
        <v>11</v>
      </c>
      <c r="C39" s="1">
        <f>2024</f>
        <v>2024</v>
      </c>
      <c r="D39" s="136">
        <v>378158</v>
      </c>
      <c r="E39" s="81"/>
    </row>
    <row r="40" spans="1:5">
      <c r="A40" s="147" t="s">
        <v>37</v>
      </c>
      <c r="B40" s="147">
        <v>12</v>
      </c>
      <c r="C40" s="1">
        <f>2024</f>
        <v>2024</v>
      </c>
      <c r="D40" s="149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74</v>
      </c>
      <c r="B1" s="17" t="s">
        <v>75</v>
      </c>
      <c r="C1" s="17" t="s">
        <v>76</v>
      </c>
      <c r="D1" s="32"/>
      <c r="H1" s="198" t="s">
        <v>77</v>
      </c>
      <c r="I1" s="198"/>
      <c r="J1" s="198"/>
      <c r="K1" s="198"/>
      <c r="L1" s="198"/>
      <c r="M1" s="198"/>
      <c r="N1" s="198"/>
      <c r="O1" s="198"/>
      <c r="Q1" s="32" t="s">
        <v>78</v>
      </c>
    </row>
    <row r="2" spans="1:17">
      <c r="A2" s="33" t="s">
        <v>79</v>
      </c>
      <c r="B2" s="34" t="s">
        <v>80</v>
      </c>
      <c r="C2" s="34" t="s">
        <v>81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82</v>
      </c>
      <c r="F5" s="19"/>
      <c r="G5" t="s">
        <v>83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t="s">
        <v>84</v>
      </c>
      <c r="P1" t="s">
        <v>85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83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86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74</v>
      </c>
      <c r="B1" s="17" t="s">
        <v>75</v>
      </c>
      <c r="C1" s="17" t="s">
        <v>76</v>
      </c>
      <c r="G1" s="198" t="s">
        <v>87</v>
      </c>
      <c r="H1" s="198"/>
      <c r="I1" s="198"/>
      <c r="J1" s="198"/>
      <c r="K1" s="198"/>
      <c r="L1" s="198"/>
      <c r="M1" s="198"/>
      <c r="N1" s="198"/>
      <c r="P1" s="32" t="s">
        <v>88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83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89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s="198" t="s">
        <v>90</v>
      </c>
      <c r="H1" s="198"/>
      <c r="I1" s="198"/>
      <c r="J1" s="198"/>
      <c r="K1" s="198"/>
      <c r="L1" s="198"/>
      <c r="M1" s="198"/>
      <c r="N1" s="198"/>
      <c r="P1" s="32" t="s">
        <v>91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83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92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7C4860-6CD1-4A9E-BBE8-79BAFE1C7776}"/>
</file>

<file path=customXml/itemProps2.xml><?xml version="1.0" encoding="utf-8"?>
<ds:datastoreItem xmlns:ds="http://schemas.openxmlformats.org/officeDocument/2006/customXml" ds:itemID="{AE4FB608-2C95-4CB3-B789-2A06D4831A94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Deepak Mogilipalem[Libsys]</cp:lastModifiedBy>
  <cp:revision/>
  <dcterms:created xsi:type="dcterms:W3CDTF">2013-05-02T09:51:31Z</dcterms:created>
  <dcterms:modified xsi:type="dcterms:W3CDTF">2025-01-10T11:04:11Z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