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25" documentId="13_ncr:1_{0FA2B712-FE0A-4FBA-9377-8CF12198FD7E}" xr6:coauthVersionLast="47" xr6:coauthVersionMax="47" xr10:uidLastSave="{2AD22E36-1965-4FCC-BD5E-FC5566B25547}"/>
  <bookViews>
    <workbookView xWindow="-98" yWindow="-98" windowWidth="21795" windowHeight="12975" tabRatio="86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34" l="1"/>
  <c r="H7" i="34"/>
  <c r="H5" i="34"/>
  <c r="G6" i="18"/>
  <c r="G7" i="18"/>
  <c r="G5" i="18"/>
  <c r="G4" i="18"/>
  <c r="G6" i="30"/>
  <c r="G7" i="30"/>
  <c r="G5" i="30"/>
  <c r="G4" i="30"/>
  <c r="G6" i="29"/>
  <c r="G7" i="29"/>
  <c r="G4" i="29"/>
  <c r="G5" i="29"/>
  <c r="I7" i="72"/>
  <c r="I6" i="72"/>
  <c r="I5" i="72"/>
  <c r="I4" i="72"/>
  <c r="F7" i="72"/>
  <c r="F6" i="72"/>
  <c r="F5" i="72"/>
  <c r="F4" i="72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J2" i="33"/>
  <c r="E4" i="3"/>
  <c r="F4" i="3" s="1"/>
  <c r="H4" i="3"/>
  <c r="I4" i="3" s="1"/>
  <c r="E5" i="3"/>
  <c r="F5" i="3" s="1"/>
  <c r="H5" i="3"/>
  <c r="I5" i="3" s="1"/>
  <c r="E6" i="3"/>
  <c r="F6" i="3" s="1"/>
  <c r="H6" i="3"/>
  <c r="I6" i="3" s="1"/>
  <c r="E7" i="3"/>
  <c r="F7" i="3" s="1"/>
  <c r="H7" i="3"/>
  <c r="I7" i="3" s="1"/>
  <c r="E8" i="3"/>
  <c r="F8" i="3" s="1"/>
  <c r="H8" i="3"/>
  <c r="I8" i="3" s="1"/>
  <c r="E9" i="72"/>
  <c r="F9" i="72" s="1"/>
  <c r="H9" i="72"/>
  <c r="I9" i="72" s="1"/>
  <c r="G6" i="1"/>
  <c r="G6" i="34" s="1"/>
  <c r="G7" i="1"/>
  <c r="G7" i="34" s="1"/>
  <c r="G5" i="1"/>
  <c r="G5" i="34" s="1"/>
  <c r="G4" i="1"/>
  <c r="G4" i="34" s="1"/>
  <c r="B4" i="34" a="1"/>
  <c r="B4" i="34" s="1"/>
  <c r="A4" i="34" a="1"/>
  <c r="A4" i="34" s="1"/>
  <c r="A1" i="34" a="1"/>
  <c r="A1" i="34" s="1"/>
  <c r="D7" i="30"/>
  <c r="C7" i="30"/>
  <c r="D6" i="30"/>
  <c r="C6" i="30"/>
  <c r="D5" i="30"/>
  <c r="C5" i="30"/>
  <c r="D4" i="30"/>
  <c r="C4" i="30"/>
  <c r="D7" i="29"/>
  <c r="D7" i="34" s="1"/>
  <c r="C7" i="29"/>
  <c r="C7" i="34" s="1"/>
  <c r="D6" i="29"/>
  <c r="D6" i="34" s="1"/>
  <c r="C6" i="29"/>
  <c r="D5" i="29"/>
  <c r="C5" i="29"/>
  <c r="D4" i="29"/>
  <c r="C4" i="29"/>
  <c r="D7" i="18"/>
  <c r="C7" i="18"/>
  <c r="D6" i="18"/>
  <c r="C6" i="18"/>
  <c r="D5" i="18"/>
  <c r="C5" i="18"/>
  <c r="D4" i="18"/>
  <c r="C4" i="18"/>
  <c r="E4" i="18" s="1"/>
  <c r="F4" i="18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7" i="1"/>
  <c r="C6" i="1"/>
  <c r="C5" i="1"/>
  <c r="C4" i="1"/>
  <c r="D6" i="1"/>
  <c r="D7" i="1"/>
  <c r="D5" i="1"/>
  <c r="D4" i="1"/>
  <c r="B4" i="1" a="1"/>
  <c r="B4" i="1" s="1"/>
  <c r="A4" i="1" a="1"/>
  <c r="A4" i="1" s="1"/>
  <c r="A1" i="1" a="1"/>
  <c r="A1" i="1" s="1"/>
  <c r="H8" i="33"/>
  <c r="I8" i="33" s="1"/>
  <c r="E8" i="33"/>
  <c r="F8" i="33" s="1"/>
  <c r="H7" i="33"/>
  <c r="I7" i="33" s="1"/>
  <c r="E7" i="33"/>
  <c r="F7" i="33" s="1"/>
  <c r="H6" i="33"/>
  <c r="E6" i="33"/>
  <c r="F6" i="33" s="1"/>
  <c r="H5" i="33"/>
  <c r="I5" i="33" s="1"/>
  <c r="E5" i="33"/>
  <c r="F5" i="33" s="1"/>
  <c r="I4" i="33"/>
  <c r="H4" i="33"/>
  <c r="E4" i="33"/>
  <c r="F4" i="33" s="1"/>
  <c r="G2" i="33"/>
  <c r="D2" i="33"/>
  <c r="C2" i="33"/>
  <c r="H2" i="33" s="1"/>
  <c r="I2" i="33" s="1"/>
  <c r="A1" i="33" a="1"/>
  <c r="A1" i="33" s="1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H2" i="28" s="1"/>
  <c r="I2" i="28" s="1"/>
  <c r="A1" i="28" a="1"/>
  <c r="A1" i="28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J2" i="27" s="1"/>
  <c r="A1" i="27" a="1"/>
  <c r="A1" i="27" s="1"/>
  <c r="H8" i="26"/>
  <c r="E8" i="26"/>
  <c r="F8" i="26" s="1"/>
  <c r="H7" i="26"/>
  <c r="E7" i="26"/>
  <c r="F7" i="26" s="1"/>
  <c r="H6" i="26"/>
  <c r="H6" i="29" s="1"/>
  <c r="I6" i="29" s="1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H2" i="26" s="1"/>
  <c r="I2" i="26" s="1"/>
  <c r="A1" i="26" a="1"/>
  <c r="A1" i="26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H2" i="19" s="1"/>
  <c r="I2" i="19" s="1"/>
  <c r="A1" i="19" a="1"/>
  <c r="A1" i="19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E2" i="20" s="1"/>
  <c r="F2" i="20" s="1"/>
  <c r="A1" i="20" a="1"/>
  <c r="A1" i="20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E5" i="72"/>
  <c r="E6" i="72"/>
  <c r="E7" i="72"/>
  <c r="E8" i="72"/>
  <c r="F8" i="72" s="1"/>
  <c r="H6" i="72"/>
  <c r="H7" i="72"/>
  <c r="H8" i="72"/>
  <c r="I8" i="72" s="1"/>
  <c r="H5" i="72"/>
  <c r="H4" i="72"/>
  <c r="G2" i="72"/>
  <c r="D2" i="72"/>
  <c r="C2" i="72"/>
  <c r="J2" i="72" s="1"/>
  <c r="E4" i="72"/>
  <c r="A1" i="72" a="1"/>
  <c r="A1" i="72" s="1"/>
  <c r="H2" i="32" l="1"/>
  <c r="I2" i="32" s="1"/>
  <c r="C5" i="34"/>
  <c r="D5" i="34"/>
  <c r="H2" i="31"/>
  <c r="I2" i="31" s="1"/>
  <c r="E6" i="29"/>
  <c r="F6" i="29" s="1"/>
  <c r="C6" i="34"/>
  <c r="H7" i="29"/>
  <c r="I7" i="29" s="1"/>
  <c r="D2" i="29"/>
  <c r="E5" i="29"/>
  <c r="F5" i="29" s="1"/>
  <c r="E6" i="18"/>
  <c r="F6" i="18" s="1"/>
  <c r="H2" i="21"/>
  <c r="I2" i="21" s="1"/>
  <c r="E7" i="18"/>
  <c r="F7" i="18" s="1"/>
  <c r="D2" i="18"/>
  <c r="J2" i="21"/>
  <c r="H2" i="4"/>
  <c r="I2" i="4" s="1"/>
  <c r="J2" i="4"/>
  <c r="G2" i="34"/>
  <c r="E5" i="30"/>
  <c r="F5" i="30" s="1"/>
  <c r="E2" i="28"/>
  <c r="F2" i="28" s="1"/>
  <c r="J2" i="20"/>
  <c r="J2" i="19"/>
  <c r="I8" i="29"/>
  <c r="J2" i="26"/>
  <c r="H2" i="20"/>
  <c r="I2" i="20" s="1"/>
  <c r="H2" i="27"/>
  <c r="I2" i="27" s="1"/>
  <c r="E5" i="18"/>
  <c r="F5" i="18" s="1"/>
  <c r="J2" i="28"/>
  <c r="D2" i="30"/>
  <c r="J2" i="31"/>
  <c r="H6" i="30"/>
  <c r="I6" i="30" s="1"/>
  <c r="J2" i="32"/>
  <c r="E6" i="30"/>
  <c r="F6" i="30" s="1"/>
  <c r="I6" i="33"/>
  <c r="D4" i="34"/>
  <c r="E4" i="30"/>
  <c r="F4" i="30" s="1"/>
  <c r="H2" i="3"/>
  <c r="I2" i="3" s="1"/>
  <c r="E7" i="1"/>
  <c r="F7" i="1" s="1"/>
  <c r="E5" i="34"/>
  <c r="F5" i="34" s="1"/>
  <c r="G2" i="1"/>
  <c r="E6" i="34"/>
  <c r="F6" i="34" s="1"/>
  <c r="E5" i="1"/>
  <c r="F5" i="1" s="1"/>
  <c r="E6" i="1"/>
  <c r="F6" i="1" s="1"/>
  <c r="H4" i="30"/>
  <c r="I4" i="30" s="1"/>
  <c r="E7" i="30"/>
  <c r="F7" i="30" s="1"/>
  <c r="H7" i="30"/>
  <c r="I7" i="30" s="1"/>
  <c r="H5" i="30"/>
  <c r="I5" i="30" s="1"/>
  <c r="E7" i="29"/>
  <c r="F7" i="29" s="1"/>
  <c r="I6" i="26"/>
  <c r="I8" i="26"/>
  <c r="H4" i="29"/>
  <c r="I4" i="29" s="1"/>
  <c r="H5" i="29"/>
  <c r="I5" i="29" s="1"/>
  <c r="I7" i="26"/>
  <c r="H6" i="18"/>
  <c r="I6" i="18" s="1"/>
  <c r="H4" i="18"/>
  <c r="I4" i="18" s="1"/>
  <c r="H7" i="18"/>
  <c r="I7" i="18" s="1"/>
  <c r="C4" i="34"/>
  <c r="H5" i="18"/>
  <c r="I5" i="18" s="1"/>
  <c r="I6" i="34"/>
  <c r="I7" i="34"/>
  <c r="I5" i="34"/>
  <c r="E7" i="34"/>
  <c r="F7" i="34" s="1"/>
  <c r="C2" i="29"/>
  <c r="E2" i="29" s="1"/>
  <c r="F2" i="29" s="1"/>
  <c r="C2" i="30"/>
  <c r="E4" i="29"/>
  <c r="F4" i="29" s="1"/>
  <c r="C2" i="18"/>
  <c r="H7" i="1"/>
  <c r="I7" i="1" s="1"/>
  <c r="H4" i="1"/>
  <c r="I4" i="1" s="1"/>
  <c r="H5" i="1"/>
  <c r="I5" i="1" s="1"/>
  <c r="H6" i="1"/>
  <c r="I6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D2" i="34" l="1"/>
  <c r="E4" i="34"/>
  <c r="F4" i="34" s="1"/>
  <c r="H2" i="1"/>
  <c r="I2" i="1" s="1"/>
  <c r="C2" i="34"/>
  <c r="H2" i="34" s="1"/>
  <c r="I2" i="34" s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<sst xmlns="http://schemas.openxmlformats.org/spreadsheetml/2006/main" count="325" uniqueCount="82">
  <si>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</si>
  <si>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</si>
  <si>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</si>
  <si>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</si>
  <si>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</si>
  <si>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</si>
  <si>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</si>
  <si>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</si>
  <si>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</si>
  <si>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</si>
  <si>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</si>
  <si>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</si>
  <si>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</si>
  <si>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</si>
  <si>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</si>
  <si>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</si>
  <si>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</si>
  <si>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</si>
  <si>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</si>
  <si>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</si>
  <si>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</si>
  <si>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</si>
  <si>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Weather station reporting erroneous values from 09/19/2023, due to that expected energy values are too low.</t>
  </si>
  <si>
    <t>1. 	SR071003</t>
  </si>
  <si>
    <t>1. Weather station data is virtually taken from the LHC Police station, resulting in expected energy values that are too low</t>
  </si>
  <si>
    <t>1. The current weather station is analog and the current reporting is digital they do not match the weather station would need to be replaced to work correctly</t>
  </si>
  <si>
    <t>1. 		SR067178</t>
  </si>
  <si>
    <t>February Actual v. Expected</t>
  </si>
  <si>
    <t>February Actual v. Forecasted</t>
  </si>
  <si>
    <t>1. Weather station reporting erroneous values from 09/19/2023, due to that expected energy values are too low.
2. Inverter 3 is offline</t>
  </si>
  <si>
    <t>1. SR071003
2. SR081340</t>
  </si>
  <si>
    <t xml:space="preserve">1. Weather station data is virtually taken from the LHC Police station, resulting in
 expected energy values that are too low.
</t>
  </si>
  <si>
    <t>1. SR071003</t>
  </si>
  <si>
    <t xml:space="preserve">1. Weather station data is virtually taken from the LHC Police station, resulting in expected energy values that are too low.
</t>
  </si>
  <si>
    <t>1. The current weather station is analog and the current reporting is digital they do
 not match the weather station would need to be replaced to work correctly</t>
  </si>
  <si>
    <t>1. SR067178</t>
  </si>
  <si>
    <t>March Actual v. Expected</t>
  </si>
  <si>
    <t>March Actual v. Forecasted</t>
  </si>
  <si>
    <t>April Actual v. Expected</t>
  </si>
  <si>
    <t>April Actual v. Forecasted</t>
  </si>
  <si>
    <t>1. Weather station reporting erroneous values throughout the month, due to that expected energy values are too high.
2. Inverter 3 is offline</t>
  </si>
  <si>
    <t xml:space="preserve">1. Weather station data is virtually taken from the LHC Police station, resulting in
 expected energy values that are too high.
</t>
  </si>
  <si>
    <t>May Actual v. Expected</t>
  </si>
  <si>
    <t>May Actual v. Forecasted</t>
  </si>
  <si>
    <t>1. Weather station data is virtually taken from the LHC Police station, resulting in
 expected energy values that are too high.</t>
  </si>
  <si>
    <t>June Actual v. Expected</t>
  </si>
  <si>
    <t>June Actual v. Forecasted</t>
  </si>
  <si>
    <t>July Actual v. Expected</t>
  </si>
  <si>
    <t>July Actual v. Forecasted</t>
  </si>
  <si>
    <t xml:space="preserve">1. Weather station is reporting 0 irradiance for whole month. </t>
  </si>
  <si>
    <t>1. SR087716</t>
  </si>
  <si>
    <t>August Actual v. Expected</t>
  </si>
  <si>
    <t>August Actual v. Forecasted</t>
  </si>
  <si>
    <t>1. Inverter 3 is offline</t>
  </si>
  <si>
    <t>1. SR081340</t>
  </si>
  <si>
    <t>September Actual v. Expected</t>
  </si>
  <si>
    <t>September Actual v. Forecasted</t>
  </si>
  <si>
    <t xml:space="preserve">1. Inverter 3 is offline </t>
  </si>
  <si>
    <t>1. SR081340, SR086335</t>
  </si>
  <si>
    <t>1. Weather station is reporting 0 irradiance. Weather station being RMA'd.</t>
  </si>
  <si>
    <t>October Actual v. Expected</t>
  </si>
  <si>
    <t>October Actual v. Forecasted</t>
  </si>
  <si>
    <t>1. Weather station reporting erroneous  values from 10/29 throughout the day</t>
  </si>
  <si>
    <t>1. SR092908</t>
  </si>
  <si>
    <t>1. Weather station was replaced on 10/3</t>
  </si>
  <si>
    <t>November Actual v. Expected</t>
  </si>
  <si>
    <t>November Actual v. Forecasted</t>
  </si>
  <si>
    <t>1. The weather station has been reporting erroneous values since 10/29 throughout the day, causing the expected energy values to be too low.</t>
  </si>
  <si>
    <t>1.	SR092908</t>
  </si>
  <si>
    <t>1.SR092908</t>
  </si>
  <si>
    <t>December Actual v. Expected</t>
  </si>
  <si>
    <t>December Actual v. Forecasted</t>
  </si>
  <si>
    <t>Portfolio:</t>
  </si>
  <si>
    <t>LX International America, Inc.</t>
  </si>
  <si>
    <t>Site DAS Name</t>
  </si>
  <si>
    <t>Update</t>
  </si>
  <si>
    <t>DAS</t>
  </si>
  <si>
    <t>AZ: Lake Havasu City - Police Station</t>
  </si>
  <si>
    <t>AZ</t>
  </si>
  <si>
    <t>AZ: Lake Havasu City - Aquatic Center</t>
  </si>
  <si>
    <t>AZ: Lake Havasu City - City Hall</t>
  </si>
  <si>
    <t>AZ: Lake Havasu City - Public 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</si>
</sst>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56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28" fillId="0" borderId="0" xfId="0" applyNumberFormat="1" applyFont="1" applyAlignment="1">
      <alignment horizontal="left" vertical="top" wrapText="1"/>
    </xf>
    <xf numFmtId="49" fontId="27" fillId="0" borderId="0" xfId="0" applyNumberFormat="1" applyFont="1" applyAlignment="1">
      <alignment horizontal="left" vertical="top"/>
    </xf>
    <xf numFmtId="49" fontId="28" fillId="0" borderId="0" xfId="0" applyNumberFormat="1" applyFont="1" applyAlignment="1">
      <alignment vertical="top" wrapText="1"/>
    </xf>
    <xf numFmtId="0" fontId="32" fillId="0" borderId="0" xfId="0" applyFont="1" applyAlignment="1">
      <alignment vertical="center"/>
    </xf>
    <xf numFmtId="49" fontId="28" fillId="0" borderId="0" xfId="0" applyNumberFormat="1" applyFont="1" applyAlignment="1">
      <alignment horizontal="left" vertical="top"/>
    </xf>
    <xf numFmtId="49" fontId="28" fillId="0" borderId="0" xfId="0" applyNumberFormat="1" applyFont="1" applyAlignment="1">
      <alignment horizontal="left" vertical="center" wrapText="1"/>
    </xf>
    <xf numFmtId="49" fontId="27" fillId="0" borderId="0" xfId="0" applyNumberFormat="1" applyFont="1" applyAlignment="1">
      <alignment horizontal="left" vertical="top" wrapText="1"/>
    </xf>
    <xf numFmtId="3" fontId="28" fillId="44" borderId="0" xfId="1" applyNumberFormat="1" applyFont="1" applyFill="1" applyBorder="1" applyAlignment="1">
      <alignment horizontal="right" vertical="center"/>
    </xf>
    <xf numFmtId="49" fontId="28" fillId="0" borderId="0" xfId="0" applyNumberFormat="1" applyFont="1" applyAlignment="1">
      <alignment vertical="top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7" totalsRowShown="0">
  <autoFilter ref="A3:E7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4"/>
  <sheetViews>
    <sheetView tabSelected="1" workbookViewId="0">
      <pane ySplit="2" topLeftCell="A3" activePane="bottomLeft" state="frozen"/>
      <selection pane="bottomLeft" activeCell="H4" sqref="H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3" t="str" cm="1">
        <f t="array" ref="A1">portfolio</f>
        <v>LX International America, Inc.</v>
      </c>
      <c r="B1" s="53"/>
      <c r="C1" s="53"/>
      <c r="D1" s="54" t="s">
        <v>0</v>
      </c>
      <c r="E1" s="54"/>
      <c r="F1" s="54"/>
      <c r="G1" s="52" t="s">
        <v>1</v>
      </c>
      <c r="H1" s="52"/>
      <c r="I1" s="52"/>
    </row>
    <row r="2" spans="1:9" ht="19.5" customHeight="1">
      <c r="A2" s="55" t="s">
        <v>2</v>
      </c>
      <c r="B2" s="55"/>
      <c r="C2" s="6">
        <f>SUM(C4:C92)</f>
        <v>1222657.1599999999</v>
      </c>
      <c r="D2" s="6">
        <f>SUM(D4:D92)</f>
        <v>1461279.0603</v>
      </c>
      <c r="E2" s="6">
        <f>C2-D2</f>
        <v>-238621.9003000001</v>
      </c>
      <c r="F2" s="7">
        <f>IFERROR(E2/D2, 0)</f>
        <v>-0.16329659870101138</v>
      </c>
      <c r="G2" s="6">
        <f>SUM(G4:G92)</f>
        <v>0</v>
      </c>
      <c r="H2" s="8">
        <f>C2-G2</f>
        <v>1222657.1599999999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:A7">Sites[Site]</f>
        <v>AZ: Lake Havasu City - Police Station</v>
      </c>
      <c r="B4" s="10" t="str" cm="1">
        <f t="array" ref="B4:B7">Sites[State]</f>
        <v>AZ</v>
      </c>
      <c r="C4" s="26">
        <f>SUM('1st Qtr'!C4, '2nd Qtr'!C4, '3rd Qtr'!C4, '4th Qtr'!C4)</f>
        <v>453935.88</v>
      </c>
      <c r="D4" s="14">
        <f>SUM('1st Qtr'!D4, '2nd Qtr'!D4, '3rd Qtr'!D4, '4th Qtr'!D4)</f>
        <v>653200.28639999998</v>
      </c>
      <c r="E4" s="14">
        <f>IF(AND(ISNUMBER(C4),ISNUMBER(D4)), C4-D4, "")</f>
        <v>-199264.40639999998</v>
      </c>
      <c r="F4" s="15">
        <f>IFERROR(E4/D4, "")</f>
        <v>-0.30505866355051858</v>
      </c>
      <c r="G4" s="16">
        <f>SUM('1st Qtr'!G4, '2nd Qtr'!G4, '3rd Qtr'!G4, '4th Qtr'!G4)</f>
        <v>0</v>
      </c>
      <c r="H4" s="16">
        <f>SUM('1st Qtr'!H4, '2nd Qtr'!H4, '3rd Qtr'!H4, '4th Qtr'!H4)</f>
        <v>453935.88</v>
      </c>
      <c r="I4" s="17" t="str">
        <f>IFERROR(H4/G4, "")</f>
        <v/>
      </c>
    </row>
    <row r="5" spans="1:9" ht="15.75">
      <c r="A5" s="19" t="str">
        <v>AZ: Lake Havasu City - Aquatic Center</v>
      </c>
      <c r="B5" s="11" t="str">
        <v>AZ</v>
      </c>
      <c r="C5" s="12">
        <f>SUM('1st Qtr'!C5, '2nd Qtr'!C5, '3rd Qtr'!C5, '4th Qtr'!C5)</f>
        <v>464369.5</v>
      </c>
      <c r="D5" s="20">
        <f>SUM('1st Qtr'!D5, '2nd Qtr'!D5, '3rd Qtr'!D5, '4th Qtr'!D5)</f>
        <v>553351.16779999994</v>
      </c>
      <c r="E5" s="20">
        <f t="shared" ref="E5:E7" si="0">IF(AND(ISNUMBER(C5),ISNUMBER(D5)), C5-D5, "")</f>
        <v>-88981.667799999937</v>
      </c>
      <c r="F5" s="21">
        <f>IFERROR(E5/D5, "")</f>
        <v>-0.16080506010996792</v>
      </c>
      <c r="G5" s="22">
        <f>SUM('1st Qtr'!G5, '2nd Qtr'!G5, '3rd Qtr'!G5, '4th Qtr'!G5)</f>
        <v>0</v>
      </c>
      <c r="H5" s="22">
        <f>SUM('1st Qtr'!H5, '2nd Qtr'!H5, '3rd Qtr'!H5, '4th Qtr'!H5)</f>
        <v>464369.5</v>
      </c>
      <c r="I5" s="21" t="str">
        <f>IFERROR(H5/G5, "")</f>
        <v/>
      </c>
    </row>
    <row r="6" spans="1:9" ht="15.75">
      <c r="A6" s="13" t="str">
        <v>AZ: Lake Havasu City - City Hall</v>
      </c>
      <c r="B6" s="10" t="str">
        <v>AZ</v>
      </c>
      <c r="C6" s="26">
        <f>SUM('1st Qtr'!C6, '2nd Qtr'!C6, '3rd Qtr'!C6, '4th Qtr'!C6)</f>
        <v>191205.25</v>
      </c>
      <c r="D6" s="14">
        <f>SUM('1st Qtr'!D6, '2nd Qtr'!D6, '3rd Qtr'!D6, '4th Qtr'!D6)</f>
        <v>233413.64609999998</v>
      </c>
      <c r="E6" s="14">
        <f t="shared" si="0"/>
        <v>-42208.396099999984</v>
      </c>
      <c r="F6" s="15">
        <f t="shared" ref="F6:F7" si="1">IFERROR(E6/D6, "")</f>
        <v>-0.1808308845915414</v>
      </c>
      <c r="G6" s="16">
        <f>SUM('1st Qtr'!G6, '2nd Qtr'!G6, '3rd Qtr'!G6, '4th Qtr'!G6)</f>
        <v>0</v>
      </c>
      <c r="H6" s="16">
        <f>SUM('1st Qtr'!H6, '2nd Qtr'!H6, '3rd Qtr'!H6, '4th Qtr'!H6)</f>
        <v>191205.25</v>
      </c>
      <c r="I6" s="17" t="str">
        <f>IFERROR(H6/G6, "")</f>
        <v/>
      </c>
    </row>
    <row r="7" spans="1:9" ht="15.75">
      <c r="A7" s="19" t="str">
        <v>AZ: Lake Havasu City - Public Works</v>
      </c>
      <c r="B7" s="11" t="str">
        <v>AZ</v>
      </c>
      <c r="C7" s="12">
        <f>SUM('1st Qtr'!C7, '2nd Qtr'!C7, '3rd Qtr'!C7, '4th Qtr'!C7)</f>
        <v>113146.52999999998</v>
      </c>
      <c r="D7" s="20">
        <f>SUM('1st Qtr'!D7, '2nd Qtr'!D7, '3rd Qtr'!D7, '4th Qtr'!D7)</f>
        <v>21313.96</v>
      </c>
      <c r="E7" s="20">
        <f t="shared" si="0"/>
        <v>91832.569999999978</v>
      </c>
      <c r="F7" s="21">
        <f t="shared" si="1"/>
        <v>4.3085644338264677</v>
      </c>
      <c r="G7" s="22">
        <f>SUM('1st Qtr'!G7, '2nd Qtr'!G7, '3rd Qtr'!G7, '4th Qtr'!G7)</f>
        <v>0</v>
      </c>
      <c r="H7" s="22">
        <f>SUM('1st Qtr'!H7, '2nd Qtr'!H7, '3rd Qtr'!H7, '4th Qtr'!H7)</f>
        <v>113146.52999999998</v>
      </c>
      <c r="I7" s="21" t="str">
        <f>IFERROR(H7/G7, "")</f>
        <v/>
      </c>
    </row>
    <row r="8" spans="1:9" ht="13.15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2.75" customHeight="1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15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15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15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15">
      <c r="A334" s="23"/>
      <c r="B334" s="23"/>
      <c r="C334" s="23"/>
      <c r="D334" s="23"/>
      <c r="E334" s="23"/>
      <c r="F334" s="24"/>
      <c r="G334" s="23"/>
      <c r="H334" s="23"/>
      <c r="I334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92 I4:I92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4"/>
  <sheetViews>
    <sheetView workbookViewId="0">
      <pane ySplit="2" topLeftCell="A8" activePane="bottomLeft" state="frozen"/>
      <selection pane="bottomLeft" activeCell="I8" sqref="I8"/>
      <selection activeCell="E22" sqref="E22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3" t="str" cm="1">
        <f t="array" ref="A1">portfolio</f>
        <v>LX International America, Inc.</v>
      </c>
      <c r="B1" s="53"/>
      <c r="C1" s="53"/>
      <c r="D1" s="54" t="s">
        <v>10</v>
      </c>
      <c r="E1" s="54"/>
      <c r="F1" s="54"/>
      <c r="G1" s="52" t="s">
        <v>11</v>
      </c>
      <c r="H1" s="52"/>
      <c r="I1" s="52"/>
    </row>
    <row r="2" spans="1:9" ht="19.5" customHeight="1">
      <c r="A2" s="55" t="s">
        <v>2</v>
      </c>
      <c r="B2" s="55"/>
      <c r="C2" s="6">
        <f>SUM(C4:C92)</f>
        <v>258190.65</v>
      </c>
      <c r="D2" s="6">
        <f>SUM(D4:D92)</f>
        <v>85311.490300000005</v>
      </c>
      <c r="E2" s="6">
        <f>C2-D2</f>
        <v>172879.15969999999</v>
      </c>
      <c r="F2" s="7">
        <f>IFERROR(E2/D2, 0)</f>
        <v>2.0264463683856193</v>
      </c>
      <c r="G2" s="6">
        <f>SUM(G4:G92)</f>
        <v>0</v>
      </c>
      <c r="H2" s="8">
        <f>C2-G2</f>
        <v>258190.65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:A7">Sites[Site]</f>
        <v>AZ: Lake Havasu City - Police Station</v>
      </c>
      <c r="B4" s="10" t="str" cm="1">
        <f t="array" ref="B4:B7">Sites[State]</f>
        <v>AZ</v>
      </c>
      <c r="C4" s="26">
        <f>SUM(Jan!C4, Feb!C4, Mar!C4)</f>
        <v>95587.13</v>
      </c>
      <c r="D4" s="14">
        <f>SUM(Jan!D4, Feb!D4, Mar!D4)</f>
        <v>34959.886400000018</v>
      </c>
      <c r="E4" s="14">
        <f>IF(AND(ISNUMBER(C4),ISNUMBER(D4)), C4-D4, "")</f>
        <v>60627.243599999987</v>
      </c>
      <c r="F4" s="15">
        <f>IFERROR(E4/D4, "")</f>
        <v>1.7341945253002868</v>
      </c>
      <c r="G4" s="16">
        <f>SUM(Jan!G4, Feb!G4, Mar!G4)</f>
        <v>0</v>
      </c>
      <c r="H4" s="16">
        <f>SUM(Jan!H4, Feb!H4, Mar!H4)</f>
        <v>95587.13</v>
      </c>
      <c r="I4" s="17" t="str">
        <f>IFERROR(H4/G4,"")</f>
        <v/>
      </c>
    </row>
    <row r="5" spans="1:9" ht="15.75">
      <c r="A5" s="19" t="str">
        <v>AZ: Lake Havasu City - Aquatic Center</v>
      </c>
      <c r="B5" s="11" t="str">
        <v>AZ</v>
      </c>
      <c r="C5" s="12">
        <f>SUM(Jan!C5, Feb!C5, Mar!C5)</f>
        <v>83875</v>
      </c>
      <c r="D5" s="20">
        <f>SUM(Jan!D5, Feb!D5, Mar!D5)</f>
        <v>20606.88779999999</v>
      </c>
      <c r="E5" s="20">
        <f t="shared" ref="E5:E7" si="0">IF(AND(ISNUMBER(C5),ISNUMBER(D5)), C5-D5, "")</f>
        <v>63268.11220000001</v>
      </c>
      <c r="F5" s="21">
        <f>IFERROR(E5/D5, "")</f>
        <v>3.0702410191217737</v>
      </c>
      <c r="G5" s="22">
        <f>SUM(Jan!G5, Feb!G5, Mar!G5)</f>
        <v>0</v>
      </c>
      <c r="H5" s="22">
        <f>SUM(Jan!H5, Feb!H5, Mar!H5)</f>
        <v>83875</v>
      </c>
      <c r="I5" s="21" t="str">
        <f>IFERROR(H5/G5, "")</f>
        <v/>
      </c>
    </row>
    <row r="6" spans="1:9" ht="15.75">
      <c r="A6" s="13" t="str">
        <v>AZ: Lake Havasu City - City Hall</v>
      </c>
      <c r="B6" s="10" t="str">
        <v>AZ</v>
      </c>
      <c r="C6" s="26">
        <f>SUM(Jan!C6, Feb!C6, Mar!C6)</f>
        <v>53457.25</v>
      </c>
      <c r="D6" s="14">
        <f>SUM(Jan!D6, Feb!D6, Mar!D6)</f>
        <v>27968.716099999994</v>
      </c>
      <c r="E6" s="14">
        <f t="shared" si="0"/>
        <v>25488.533900000006</v>
      </c>
      <c r="F6" s="15">
        <f t="shared" ref="F6:F7" si="1">IFERROR(E6/D6, "")</f>
        <v>0.91132298704265557</v>
      </c>
      <c r="G6" s="16">
        <f>SUM(Jan!G6, Feb!G6, Mar!G6)</f>
        <v>0</v>
      </c>
      <c r="H6" s="16">
        <f>SUM(Jan!H6, Feb!H6, Mar!H6)</f>
        <v>53457.25</v>
      </c>
      <c r="I6" s="17" t="str">
        <f>IFERROR(H6/G6, "")</f>
        <v/>
      </c>
    </row>
    <row r="7" spans="1:9" ht="15.75">
      <c r="A7" s="19" t="str">
        <v>AZ: Lake Havasu City - Public Works</v>
      </c>
      <c r="B7" s="11" t="str">
        <v>AZ</v>
      </c>
      <c r="C7" s="12">
        <f>SUM(Jan!C7, Feb!C7, Mar!C7)</f>
        <v>25271.269999999997</v>
      </c>
      <c r="D7" s="20">
        <f>SUM(Jan!D7, Feb!D7, Mar!D7)</f>
        <v>1776</v>
      </c>
      <c r="E7" s="20">
        <f t="shared" si="0"/>
        <v>23495.269999999997</v>
      </c>
      <c r="F7" s="21">
        <f t="shared" si="1"/>
        <v>13.229318693693692</v>
      </c>
      <c r="G7" s="22">
        <f>SUM(Jan!G7, Feb!G7, Mar!G7)</f>
        <v>0</v>
      </c>
      <c r="H7" s="22">
        <f>SUM(Jan!H7, Feb!H7, Mar!H7)</f>
        <v>25271.269999999997</v>
      </c>
      <c r="I7" s="21" t="str">
        <f>IFERROR(H7/G7, "")</f>
        <v/>
      </c>
    </row>
    <row r="8" spans="1:9" ht="13.15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2.75" customHeight="1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15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15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15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15">
      <c r="A334" s="23"/>
      <c r="B334" s="23"/>
      <c r="C334" s="23"/>
      <c r="D334" s="23"/>
      <c r="E334" s="23"/>
      <c r="F334" s="24"/>
      <c r="G334" s="23"/>
      <c r="H334" s="23"/>
      <c r="I334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92 I4:I92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5"/>
  <sheetViews>
    <sheetView workbookViewId="0">
      <pane ySplit="2" topLeftCell="A3" activePane="bottomLeft" state="frozen"/>
      <selection pane="bottomLeft" activeCell="G4" sqref="G4:G7"/>
      <selection activeCell="G24" sqref="G2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3" t="str" cm="1">
        <f t="array" ref="A1">portfolio</f>
        <v>LX International America, Inc.</v>
      </c>
      <c r="B1" s="53"/>
      <c r="C1" s="53"/>
      <c r="D1" s="54" t="s">
        <v>12</v>
      </c>
      <c r="E1" s="54"/>
      <c r="F1" s="54"/>
      <c r="G1" s="52" t="s">
        <v>13</v>
      </c>
      <c r="H1" s="52"/>
      <c r="I1" s="52"/>
    </row>
    <row r="2" spans="1:9" ht="19.5" customHeight="1">
      <c r="A2" s="55" t="s">
        <v>2</v>
      </c>
      <c r="B2" s="55"/>
      <c r="C2" s="6">
        <f>SUM(C4:C93)</f>
        <v>405380.08999999997</v>
      </c>
      <c r="D2" s="6">
        <f>SUM(D4:D93)</f>
        <v>709269.28999999992</v>
      </c>
      <c r="E2" s="6">
        <f>C2-D2</f>
        <v>-303889.19999999995</v>
      </c>
      <c r="F2" s="7">
        <f>IFERROR(E2/D2, 0)</f>
        <v>-0.4284539092338257</v>
      </c>
      <c r="G2" s="6">
        <f>SUM(G4:G93)</f>
        <v>0</v>
      </c>
      <c r="H2" s="8">
        <f>C2-G2</f>
        <v>405380.08999999997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:A7">Sites[Site]</f>
        <v>AZ: Lake Havasu City - Police Station</v>
      </c>
      <c r="B4" s="10" t="str" cm="1">
        <f t="array" ref="B4:B7">Sites[State]</f>
        <v>AZ</v>
      </c>
      <c r="C4" s="26">
        <f>SUM(Apr!C4, May!C4, Jun!C4)</f>
        <v>144342</v>
      </c>
      <c r="D4" s="14">
        <f>SUM(Apr!D4, May!D4, Jun!D4)</f>
        <v>322778.90999999997</v>
      </c>
      <c r="E4" s="14">
        <f>IF(AND(ISNUMBER(C4),ISNUMBER(D4)), C4-D4, "")</f>
        <v>-178436.90999999997</v>
      </c>
      <c r="F4" s="15">
        <f>IFERROR(E4/D4, "")</f>
        <v>-0.55281464950730519</v>
      </c>
      <c r="G4" s="16">
        <f>SUM(Apr!G4,May!G4,Jun!G4)</f>
        <v>0</v>
      </c>
      <c r="H4" s="16">
        <f>SUM(Apr!H4, May!H4, Jun!H4)</f>
        <v>144342</v>
      </c>
      <c r="I4" s="17" t="str">
        <f>IFERROR(H4/G4, "")</f>
        <v/>
      </c>
    </row>
    <row r="5" spans="1:9" ht="15.75">
      <c r="A5" s="19" t="str">
        <v>AZ: Lake Havasu City - Aquatic Center</v>
      </c>
      <c r="B5" s="11" t="str">
        <v>AZ</v>
      </c>
      <c r="C5" s="12">
        <f>SUM(Apr!C5, May!C5, Jun!C5)</f>
        <v>162858.5</v>
      </c>
      <c r="D5" s="20">
        <f>SUM(Apr!D5, May!D5, Jun!D5)</f>
        <v>279326.34999999998</v>
      </c>
      <c r="E5" s="20">
        <f t="shared" ref="E5:E7" si="0">IF(AND(ISNUMBER(C5),ISNUMBER(D5)), C5-D5, "")</f>
        <v>-116467.84999999998</v>
      </c>
      <c r="F5" s="21">
        <f>IFERROR(E5/D5, "")</f>
        <v>-0.41695976766960935</v>
      </c>
      <c r="G5" s="22">
        <f>SUM(Apr!G5,May!G5,Jun!G5)</f>
        <v>0</v>
      </c>
      <c r="H5" s="22">
        <f>SUM(Apr!H5, May!H5, Jun!H5)</f>
        <v>162858.5</v>
      </c>
      <c r="I5" s="21" t="str">
        <f>IFERROR(H5/G5, "")</f>
        <v/>
      </c>
    </row>
    <row r="6" spans="1:9" ht="15.75">
      <c r="A6" s="13" t="str">
        <v>AZ: Lake Havasu City - City Hall</v>
      </c>
      <c r="B6" s="10" t="str">
        <v>AZ</v>
      </c>
      <c r="C6" s="26">
        <f>SUM(Apr!C6, May!C6, Jun!C6)</f>
        <v>59647.75</v>
      </c>
      <c r="D6" s="14">
        <f>SUM(Apr!D6, May!D6, Jun!D6)</f>
        <v>107062.59</v>
      </c>
      <c r="E6" s="14">
        <f t="shared" si="0"/>
        <v>-47414.84</v>
      </c>
      <c r="F6" s="15">
        <f t="shared" ref="F6:F7" si="1">IFERROR(E6/D6, "")</f>
        <v>-0.44287028737115364</v>
      </c>
      <c r="G6" s="16">
        <f>SUM(Apr!G6,May!G6,Jun!G6)</f>
        <v>0</v>
      </c>
      <c r="H6" s="16">
        <f>SUM(Apr!H6, May!H6, Jun!H6)</f>
        <v>59647.75</v>
      </c>
      <c r="I6" s="17" t="str">
        <f t="shared" ref="I6:I7" si="2">IFERROR(H6/G6, "")</f>
        <v/>
      </c>
    </row>
    <row r="7" spans="1:9" ht="15.75">
      <c r="A7" s="19" t="str">
        <v>AZ: Lake Havasu City - Public Works</v>
      </c>
      <c r="B7" s="11" t="str">
        <v>AZ</v>
      </c>
      <c r="C7" s="12">
        <f>SUM(Apr!C7, May!C7, Jun!C7)</f>
        <v>38531.839999999997</v>
      </c>
      <c r="D7" s="20">
        <f>SUM(Apr!D7, May!D7, Jun!D7)</f>
        <v>101.44</v>
      </c>
      <c r="E7" s="20">
        <f t="shared" si="0"/>
        <v>38430.399999999994</v>
      </c>
      <c r="F7" s="21">
        <f t="shared" si="1"/>
        <v>378.84858044164031</v>
      </c>
      <c r="G7" s="22">
        <f>SUM(Apr!G7,May!G7,Jun!G7)</f>
        <v>0</v>
      </c>
      <c r="H7" s="22">
        <f>SUM(Apr!H7, May!H7, Jun!H7)</f>
        <v>38531.839999999997</v>
      </c>
      <c r="I7" s="21" t="str">
        <f t="shared" si="2"/>
        <v/>
      </c>
    </row>
    <row r="8" spans="1:9" ht="15.75">
      <c r="A8" s="19"/>
      <c r="B8" s="11"/>
      <c r="C8" s="12"/>
      <c r="D8" s="20"/>
      <c r="E8" s="20"/>
      <c r="F8" s="21"/>
      <c r="G8" s="22"/>
      <c r="H8" s="22"/>
      <c r="I8" s="21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2.75" customHeight="1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15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15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15">
      <c r="A25" s="23"/>
      <c r="B25" s="23"/>
      <c r="C25" s="23"/>
      <c r="D25" s="23"/>
      <c r="E25" s="23"/>
      <c r="F25" s="23"/>
      <c r="G25" s="23"/>
      <c r="H25" s="23"/>
      <c r="I25" s="23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15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15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3.15">
      <c r="A335" s="23"/>
      <c r="B335" s="23"/>
      <c r="C335" s="23"/>
      <c r="D335" s="23"/>
      <c r="E335" s="23"/>
      <c r="F335" s="24"/>
      <c r="G335" s="23"/>
      <c r="H335" s="23"/>
      <c r="I335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3 I4:I93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5"/>
  <sheetViews>
    <sheetView workbookViewId="0">
      <pane ySplit="2" topLeftCell="A3" activePane="bottomLeft" state="frozen"/>
      <selection pane="bottomLeft" activeCell="I16" sqref="I16"/>
      <selection activeCell="G24" sqref="G2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3" t="str" cm="1">
        <f t="array" ref="A1">portfolio</f>
        <v>LX International America, Inc.</v>
      </c>
      <c r="B1" s="53"/>
      <c r="C1" s="53"/>
      <c r="D1" s="54" t="s">
        <v>14</v>
      </c>
      <c r="E1" s="54"/>
      <c r="F1" s="54"/>
      <c r="G1" s="52" t="s">
        <v>15</v>
      </c>
      <c r="H1" s="52"/>
      <c r="I1" s="52"/>
    </row>
    <row r="2" spans="1:9" ht="19.5" customHeight="1">
      <c r="A2" s="55" t="s">
        <v>2</v>
      </c>
      <c r="B2" s="55"/>
      <c r="C2" s="6">
        <f>SUM(C4:C93)</f>
        <v>366467.22</v>
      </c>
      <c r="D2" s="6">
        <f>SUM(D4:D93)</f>
        <v>562529</v>
      </c>
      <c r="E2" s="6">
        <f>C2-D2</f>
        <v>-196061.78000000003</v>
      </c>
      <c r="F2" s="7">
        <f>IFERROR(E2/D2, 0)</f>
        <v>-0.34853630657263895</v>
      </c>
      <c r="G2" s="6">
        <f>SUM(G4:G93)</f>
        <v>0</v>
      </c>
      <c r="H2" s="8">
        <f>C2-G2</f>
        <v>366467.22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:A7">Sites[Site]</f>
        <v>AZ: Lake Havasu City - Police Station</v>
      </c>
      <c r="B4" s="10" t="str" cm="1">
        <f t="array" ref="B4:B7">Sites[State]</f>
        <v>AZ</v>
      </c>
      <c r="C4" s="26">
        <f>SUM(Jul!C4, Aug!C4, Sep!C4)</f>
        <v>130588.75</v>
      </c>
      <c r="D4" s="14">
        <f>SUM(Jul!D4, Aug!D4, Sep!D4)</f>
        <v>256239</v>
      </c>
      <c r="E4" s="14">
        <f>IF(AND(ISNUMBER(C4),ISNUMBER(D4)), C4-D4, "")</f>
        <v>-125650.25</v>
      </c>
      <c r="F4" s="15">
        <f>IFERROR(E4/D4, "")</f>
        <v>-0.49036348877415226</v>
      </c>
      <c r="G4" s="16">
        <f>SUM(Jul!G4,Aug!G4,Sep!G4)</f>
        <v>0</v>
      </c>
      <c r="H4" s="16">
        <f>SUM(Jul!H4, Aug!H4, Sep!H4)</f>
        <v>130588.75</v>
      </c>
      <c r="I4" s="17" t="str">
        <f>IFERROR(H4/G4, "")</f>
        <v/>
      </c>
    </row>
    <row r="5" spans="1:9" ht="15.75">
      <c r="A5" s="19" t="str">
        <v>AZ: Lake Havasu City - Aquatic Center</v>
      </c>
      <c r="B5" s="11" t="str">
        <v>AZ</v>
      </c>
      <c r="C5" s="12">
        <f>SUM(Jul!C5, Aug!C5, Sep!C5)</f>
        <v>148533</v>
      </c>
      <c r="D5" s="20">
        <f>SUM(Jul!D5, Aug!D5, Sep!D5)</f>
        <v>220141</v>
      </c>
      <c r="E5" s="20">
        <f t="shared" ref="E5:E8" si="0">IF(AND(ISNUMBER(C5),ISNUMBER(D5)), C5-D5, "")</f>
        <v>-71608</v>
      </c>
      <c r="F5" s="21">
        <f>IFERROR(E5/D5, "")</f>
        <v>-0.32528243262272816</v>
      </c>
      <c r="G5" s="22">
        <f>SUM(Jul!G5,Aug!G5,Sep!G5)</f>
        <v>0</v>
      </c>
      <c r="H5" s="22">
        <f>SUM(Jul!H5, Aug!H5, Sep!H5)</f>
        <v>148533</v>
      </c>
      <c r="I5" s="21" t="str">
        <f>IFERROR(H5/G5, "")</f>
        <v/>
      </c>
    </row>
    <row r="6" spans="1:9" ht="15.75">
      <c r="A6" s="13" t="str">
        <v>AZ: Lake Havasu City - City Hall</v>
      </c>
      <c r="B6" s="10" t="str">
        <v>AZ</v>
      </c>
      <c r="C6" s="26">
        <f>SUM(Jul!C6, Aug!C6, Sep!C6)</f>
        <v>53856.75</v>
      </c>
      <c r="D6" s="14">
        <f>SUM(Jul!D6, Aug!D6, Sep!D6)</f>
        <v>86148</v>
      </c>
      <c r="E6" s="14">
        <f t="shared" si="0"/>
        <v>-32291.25</v>
      </c>
      <c r="F6" s="15">
        <f t="shared" ref="F6:F8" si="1">IFERROR(E6/D6, "")</f>
        <v>-0.37483458698983146</v>
      </c>
      <c r="G6" s="16">
        <f>SUM(Jul!G6,Aug!G6,Sep!G6)</f>
        <v>0</v>
      </c>
      <c r="H6" s="16">
        <f>SUM(Jul!H6, Aug!H6, Sep!H6)</f>
        <v>53856.75</v>
      </c>
      <c r="I6" s="17" t="str">
        <f t="shared" ref="I6:I8" si="2">IFERROR(H6/G6, "")</f>
        <v/>
      </c>
    </row>
    <row r="7" spans="1:9" ht="15.75">
      <c r="A7" s="19" t="str">
        <v>AZ: Lake Havasu City - Public Works</v>
      </c>
      <c r="B7" s="11" t="str">
        <v>AZ</v>
      </c>
      <c r="C7" s="12">
        <f>SUM(Jul!C7, Aug!C7, Sep!C7)</f>
        <v>33488.720000000001</v>
      </c>
      <c r="D7" s="20">
        <f>SUM(Jul!D7, Aug!D7, Sep!D7)</f>
        <v>1</v>
      </c>
      <c r="E7" s="20">
        <f t="shared" si="0"/>
        <v>33487.72</v>
      </c>
      <c r="F7" s="21">
        <f t="shared" si="1"/>
        <v>33487.72</v>
      </c>
      <c r="G7" s="22">
        <f>SUM(Jul!G7,Aug!G7,Sep!G7)</f>
        <v>0</v>
      </c>
      <c r="H7" s="22">
        <f>SUM(Jul!H7, Aug!H7, Sep!H7)</f>
        <v>33488.720000000001</v>
      </c>
      <c r="I7" s="21" t="str">
        <f t="shared" si="2"/>
        <v/>
      </c>
    </row>
    <row r="8" spans="1:9" ht="15.75">
      <c r="A8" s="19"/>
      <c r="B8" s="11"/>
      <c r="C8" s="12"/>
      <c r="D8" s="20"/>
      <c r="E8" s="20"/>
      <c r="F8" s="21"/>
      <c r="G8" s="22"/>
      <c r="H8" s="22"/>
      <c r="I8" s="21" t="str">
        <f t="shared" si="2"/>
        <v/>
      </c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2.75" customHeight="1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15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15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15">
      <c r="A25" s="23"/>
      <c r="B25" s="23"/>
      <c r="C25" s="23"/>
      <c r="D25" s="23"/>
      <c r="E25" s="23"/>
      <c r="F25" s="23"/>
      <c r="G25" s="23"/>
      <c r="H25" s="23"/>
      <c r="I25" s="23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15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15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3.15">
      <c r="A335" s="23"/>
      <c r="B335" s="23"/>
      <c r="C335" s="23"/>
      <c r="D335" s="23"/>
      <c r="E335" s="23"/>
      <c r="F335" s="24"/>
      <c r="G335" s="23"/>
      <c r="H335" s="23"/>
      <c r="I335" s="24"/>
    </row>
  </sheetData>
  <mergeCells count="4">
    <mergeCell ref="G1:I1"/>
    <mergeCell ref="A1:C1"/>
    <mergeCell ref="D1:F1"/>
    <mergeCell ref="A2:B2"/>
  </mergeCells>
  <conditionalFormatting sqref="F2 I2 F4:F93 I4:I93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2"/>
  <sheetViews>
    <sheetView workbookViewId="0">
      <pane ySplit="2" topLeftCell="A3" activePane="bottomLeft" state="frozen"/>
      <selection pane="bottomLeft" activeCell="I4" sqref="I4"/>
      <selection activeCell="G24" sqref="G2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3" t="str" cm="1">
        <f t="array" ref="A1">portfolio</f>
        <v>LX International America, Inc.</v>
      </c>
      <c r="B1" s="53"/>
      <c r="C1" s="53"/>
      <c r="D1" s="54" t="s">
        <v>16</v>
      </c>
      <c r="E1" s="54"/>
      <c r="F1" s="54"/>
      <c r="G1" s="52" t="s">
        <v>17</v>
      </c>
      <c r="H1" s="52"/>
      <c r="I1" s="52"/>
    </row>
    <row r="2" spans="1:9" ht="19.5" customHeight="1">
      <c r="A2" s="55" t="s">
        <v>2</v>
      </c>
      <c r="B2" s="55"/>
      <c r="C2" s="6">
        <f>SUM(C4:C90)</f>
        <v>192619.2</v>
      </c>
      <c r="D2" s="6">
        <f>SUM(D4:D90)</f>
        <v>104169.28</v>
      </c>
      <c r="E2" s="6">
        <f>C2-D2</f>
        <v>88449.920000000013</v>
      </c>
      <c r="F2" s="7">
        <f>IFERROR(E2/D2, 0)</f>
        <v>0.84909792983113652</v>
      </c>
      <c r="G2" s="6">
        <f>SUM(G4:G90)</f>
        <v>0</v>
      </c>
      <c r="H2" s="8">
        <f>C2-G2</f>
        <v>192619.2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:A7">Sites[Site]</f>
        <v>AZ: Lake Havasu City - Police Station</v>
      </c>
      <c r="B4" s="10" t="str" cm="1">
        <f t="array" ref="B4:B7">Sites[State]</f>
        <v>AZ</v>
      </c>
      <c r="C4" s="26">
        <f>SUM(Oct!C4, Nov!C4, Dec!C4)</f>
        <v>83418</v>
      </c>
      <c r="D4" s="14">
        <f>SUM(Oct!D4, Nov!D4, Dec!D4)</f>
        <v>39222.49</v>
      </c>
      <c r="E4" s="14">
        <f>IF(AND(ISNUMBER(C4),ISNUMBER(D4)), C4-D4, "")</f>
        <v>44195.51</v>
      </c>
      <c r="F4" s="15">
        <f>IFERROR(E4/D4, "")</f>
        <v>1.1267900125667698</v>
      </c>
      <c r="G4" s="16">
        <f>SUM(Oct!G4,Nov!G4,Dec!G4)</f>
        <v>0</v>
      </c>
      <c r="H4" s="16">
        <f>SUM(Oct!H4, Nov!H4, Dec!H4)</f>
        <v>83418</v>
      </c>
      <c r="I4" s="17" t="str">
        <f>IFERROR(H4/G4, "")</f>
        <v/>
      </c>
    </row>
    <row r="5" spans="1:9" ht="15.75">
      <c r="A5" s="19" t="str">
        <v>AZ: Lake Havasu City - Aquatic Center</v>
      </c>
      <c r="B5" s="11" t="str">
        <v>AZ</v>
      </c>
      <c r="C5" s="12">
        <f>SUM(Oct!C5, Nov!C5, Dec!C5)</f>
        <v>69103</v>
      </c>
      <c r="D5" s="20">
        <f>SUM(Oct!D5, Nov!D5, Dec!D5)</f>
        <v>33276.93</v>
      </c>
      <c r="E5" s="20">
        <f t="shared" ref="E5:E7" si="0">IF(AND(ISNUMBER(C5),ISNUMBER(D5)), C5-D5, "")</f>
        <v>35826.07</v>
      </c>
      <c r="F5" s="21">
        <f>IFERROR(E5/D5, "")</f>
        <v>1.0766038213260658</v>
      </c>
      <c r="G5" s="22">
        <f>SUM(Oct!G5,Nov!G5,Dec!G5)</f>
        <v>0</v>
      </c>
      <c r="H5" s="22">
        <f>SUM(Oct!H5, Nov!H5, Dec!H5)</f>
        <v>69103</v>
      </c>
      <c r="I5" s="21" t="str">
        <f>IFERROR(H5/G5, "")</f>
        <v/>
      </c>
    </row>
    <row r="6" spans="1:9" ht="15.75">
      <c r="A6" s="13" t="str">
        <v>AZ: Lake Havasu City - City Hall</v>
      </c>
      <c r="B6" s="10" t="str">
        <v>AZ</v>
      </c>
      <c r="C6" s="26">
        <f>SUM(Oct!C6, Nov!C6, Dec!C6)</f>
        <v>24243.5</v>
      </c>
      <c r="D6" s="14">
        <f>SUM(Oct!D6, Nov!D6, Dec!D6)</f>
        <v>12234.34</v>
      </c>
      <c r="E6" s="14">
        <f t="shared" si="0"/>
        <v>12009.16</v>
      </c>
      <c r="F6" s="15">
        <f t="shared" ref="F6:F7" si="1">IFERROR(E6/D6, "")</f>
        <v>0.98159443010411673</v>
      </c>
      <c r="G6" s="16">
        <f>SUM(Oct!G6,Nov!G6,Dec!G6)</f>
        <v>0</v>
      </c>
      <c r="H6" s="16">
        <f>SUM(Oct!H6, Nov!H6, Dec!H6)</f>
        <v>24243.5</v>
      </c>
      <c r="I6" s="17" t="str">
        <f t="shared" ref="I6:I7" si="2">IFERROR(H6/G6, "")</f>
        <v/>
      </c>
    </row>
    <row r="7" spans="1:9" ht="15.75">
      <c r="A7" s="19" t="str">
        <v>AZ: Lake Havasu City - Public Works</v>
      </c>
      <c r="B7" s="11" t="str">
        <v>AZ</v>
      </c>
      <c r="C7" s="12">
        <f>SUM(Oct!C7, Nov!C7, Dec!C7)</f>
        <v>15854.7</v>
      </c>
      <c r="D7" s="20">
        <f>SUM(Oct!D7, Nov!D7, Dec!D7)</f>
        <v>19435.52</v>
      </c>
      <c r="E7" s="20">
        <f t="shared" si="0"/>
        <v>-3580.8199999999997</v>
      </c>
      <c r="F7" s="21">
        <f t="shared" si="1"/>
        <v>-0.18424101850632243</v>
      </c>
      <c r="G7" s="22">
        <f>SUM(Oct!G7,Nov!G7,Dec!G7)</f>
        <v>0</v>
      </c>
      <c r="H7" s="22">
        <f>SUM(Oct!H7, Nov!H7, Dec!H7)</f>
        <v>15854.7</v>
      </c>
      <c r="I7" s="21" t="str">
        <f t="shared" si="2"/>
        <v/>
      </c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>
      <c r="A332" s="23"/>
      <c r="B332" s="23"/>
      <c r="C332" s="23"/>
      <c r="D332" s="23"/>
      <c r="E332" s="23"/>
      <c r="F332" s="24"/>
      <c r="G332" s="23"/>
      <c r="H332" s="23"/>
      <c r="I332" s="24"/>
    </row>
  </sheetData>
  <mergeCells count="4">
    <mergeCell ref="G1:I1"/>
    <mergeCell ref="A1:C1"/>
    <mergeCell ref="D1:F1"/>
    <mergeCell ref="A2:B2"/>
  </mergeCells>
  <conditionalFormatting sqref="F2 I2 F4:F90 I4:I90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4"/>
  <sheetViews>
    <sheetView workbookViewId="0">
      <pane ySplit="3" topLeftCell="A6" activePane="bottomLeft" state="frozen"/>
      <selection pane="bottomLeft" activeCell="K7" sqref="K7"/>
      <selection activeCell="G24" sqref="G24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LX International America, Inc.</v>
      </c>
      <c r="B1" s="53"/>
      <c r="C1" s="53"/>
      <c r="D1" s="54" t="s">
        <v>18</v>
      </c>
      <c r="E1" s="54"/>
      <c r="F1" s="54"/>
      <c r="G1" s="52" t="s">
        <v>19</v>
      </c>
      <c r="H1" s="52"/>
      <c r="I1" s="52"/>
      <c r="J1" s="5"/>
      <c r="K1" s="5"/>
    </row>
    <row r="2" spans="1:11" ht="19.5" customHeight="1">
      <c r="A2" s="55" t="s">
        <v>2</v>
      </c>
      <c r="B2" s="55"/>
      <c r="C2" s="6">
        <f>SUM(C4:C92)</f>
        <v>67928.5</v>
      </c>
      <c r="D2" s="6">
        <f>SUM(D4:D92)</f>
        <v>6873</v>
      </c>
      <c r="E2" s="6">
        <f>C2-D2</f>
        <v>61055.5</v>
      </c>
      <c r="F2" s="7">
        <f>IFERROR(E2/D2, 0)</f>
        <v>8.88338425723847</v>
      </c>
      <c r="G2" s="6">
        <f>SUM(G4:G92)</f>
        <v>0</v>
      </c>
      <c r="H2" s="8">
        <f>C2-G2</f>
        <v>67928.5</v>
      </c>
      <c r="I2" s="7">
        <f>IFERROR(H2/G2, 0)</f>
        <v>0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42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28.5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23850</v>
      </c>
      <c r="D4" s="14">
        <v>2839</v>
      </c>
      <c r="E4" s="14">
        <f>IF(AND(ISNUMBER(C4),ISNUMBER(D4)), C4-D4, "")</f>
        <v>21011</v>
      </c>
      <c r="F4" s="15">
        <f>IFERROR(E4/D4,0)</f>
        <v>7.4008453680873547</v>
      </c>
      <c r="G4" s="16">
        <v>0</v>
      </c>
      <c r="H4" s="16">
        <f>IF(AND(ISNUMBER(C4),ISNUMBER(G4)), C4-G4, "")</f>
        <v>23850</v>
      </c>
      <c r="I4" s="17">
        <f>IFERROR(H4/G4, 0)</f>
        <v>0</v>
      </c>
      <c r="J4" s="18" t="s">
        <v>22</v>
      </c>
      <c r="K4" s="18" t="s">
        <v>23</v>
      </c>
    </row>
    <row r="5" spans="1:11" ht="28.5">
      <c r="A5" s="32" t="str">
        <v>AZ: Lake Havasu City - Aquatic Center</v>
      </c>
      <c r="B5" s="33" t="str">
        <v>AZ</v>
      </c>
      <c r="C5" s="12">
        <v>27794.5</v>
      </c>
      <c r="D5" s="20">
        <v>2447</v>
      </c>
      <c r="E5" s="20">
        <f t="shared" ref="E5:E6" si="0">IF(AND(ISNUMBER(C5),ISNUMBER(D5)), C5-D5, "")</f>
        <v>25347.5</v>
      </c>
      <c r="F5" s="21">
        <f>IFERROR(E5/D5, 0)</f>
        <v>10.358602370249285</v>
      </c>
      <c r="G5" s="22">
        <v>0</v>
      </c>
      <c r="H5" s="22">
        <f t="shared" ref="H5:H6" si="1">IF(AND(ISNUMBER(C5),ISNUMBER(G5)), C5-G5, "")</f>
        <v>27794.5</v>
      </c>
      <c r="I5" s="21">
        <f>IFERROR(H5/G5, 0)</f>
        <v>0</v>
      </c>
      <c r="J5" s="43" t="s">
        <v>24</v>
      </c>
      <c r="K5" s="44" t="s">
        <v>23</v>
      </c>
    </row>
    <row r="6" spans="1:11" ht="28.5">
      <c r="A6" s="30" t="str">
        <v>AZ: Lake Havasu City - City Hall</v>
      </c>
      <c r="B6" s="31" t="str">
        <v>AZ</v>
      </c>
      <c r="C6" s="26">
        <v>9540</v>
      </c>
      <c r="D6" s="14">
        <v>930</v>
      </c>
      <c r="E6" s="14">
        <f t="shared" si="0"/>
        <v>8610</v>
      </c>
      <c r="F6" s="15">
        <f>IFERROR(E6/D6, 0)</f>
        <v>9.258064516129032</v>
      </c>
      <c r="G6" s="16">
        <v>0</v>
      </c>
      <c r="H6" s="16">
        <f t="shared" si="1"/>
        <v>9540</v>
      </c>
      <c r="I6" s="17">
        <f>IFERROR(H6/G6, 0)</f>
        <v>0</v>
      </c>
      <c r="J6" s="18" t="s">
        <v>24</v>
      </c>
      <c r="K6" s="18" t="s">
        <v>23</v>
      </c>
    </row>
    <row r="7" spans="1:11" ht="28.5">
      <c r="A7" s="32" t="str">
        <v>AZ: Lake Havasu City - Public Works</v>
      </c>
      <c r="B7" s="33" t="str">
        <v>AZ</v>
      </c>
      <c r="C7" s="12">
        <v>6744</v>
      </c>
      <c r="D7" s="20">
        <v>657</v>
      </c>
      <c r="E7" s="20">
        <f t="shared" ref="E7:E8" si="2">IF(AND(ISNUMBER(C7),ISNUMBER(D7)), C7-D7, "")</f>
        <v>6087</v>
      </c>
      <c r="F7" s="21">
        <f>IFERROR(E7/D7, 0)</f>
        <v>9.2648401826484026</v>
      </c>
      <c r="G7" s="22">
        <v>0</v>
      </c>
      <c r="H7" s="22">
        <f t="shared" ref="H7:H8" si="3">IF(AND(ISNUMBER(C7),ISNUMBER(G7)), C7-G7, "")</f>
        <v>6744</v>
      </c>
      <c r="I7" s="21">
        <f>IFERROR(H7/G7, 0)</f>
        <v>0</v>
      </c>
      <c r="J7" s="43" t="s">
        <v>25</v>
      </c>
      <c r="K7" s="44" t="s">
        <v>26</v>
      </c>
    </row>
    <row r="8" spans="1:11" ht="15.75">
      <c r="A8" s="32"/>
      <c r="B8" s="33"/>
      <c r="C8" s="12"/>
      <c r="D8" s="20"/>
      <c r="E8" s="20" t="str">
        <f t="shared" si="2"/>
        <v/>
      </c>
      <c r="F8" s="21" t="str">
        <f t="shared" ref="F8" si="4">IFERROR(E8/D8, "")</f>
        <v/>
      </c>
      <c r="G8" s="22"/>
      <c r="H8" s="22" t="str">
        <f t="shared" si="3"/>
        <v/>
      </c>
      <c r="I8" s="21" t="str">
        <f t="shared" ref="I8" si="5">IFERROR(H8/G8, "")</f>
        <v/>
      </c>
      <c r="J8" s="11"/>
      <c r="K8" s="19"/>
    </row>
    <row r="9" spans="1:11" ht="14.25">
      <c r="A9" s="23"/>
      <c r="B9" s="35"/>
      <c r="C9" s="23"/>
      <c r="D9" s="23"/>
      <c r="E9" s="23" t="str">
        <f t="shared" ref="E9" si="6">IF(AND(ISNUMBER(C9),ISNUMBER(D9)), C9-D9, "")</f>
        <v/>
      </c>
      <c r="F9" s="23" t="str">
        <f t="shared" ref="F9" si="7">IFERROR(E9/D9, "")</f>
        <v/>
      </c>
      <c r="G9" s="23"/>
      <c r="H9" s="23" t="str">
        <f t="shared" ref="H9" si="8">IF(AND(ISNUMBER(C9),ISNUMBER(G9)), C9-G9, "")</f>
        <v/>
      </c>
      <c r="I9" s="23" t="str">
        <f t="shared" ref="I9" si="9">IFERROR(H9/G9, "")</f>
        <v/>
      </c>
      <c r="J9" s="23"/>
      <c r="K9" s="23"/>
    </row>
    <row r="10" spans="1:11" ht="12.75" customHeight="1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2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2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2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</sheetData>
  <mergeCells count="4">
    <mergeCell ref="D1:F1"/>
    <mergeCell ref="A1:C1"/>
    <mergeCell ref="G1:I1"/>
    <mergeCell ref="A2:B2"/>
  </mergeCells>
  <conditionalFormatting sqref="F2 I2 F4:F92 I4:I92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5"/>
  <sheetViews>
    <sheetView workbookViewId="0">
      <pane ySplit="2" topLeftCell="A3" activePane="bottomLeft" state="frozen"/>
      <selection pane="bottomLeft" activeCell="G18" sqref="G18"/>
      <selection activeCell="G24" sqref="G24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LX International America, Inc.</v>
      </c>
      <c r="B1" s="53"/>
      <c r="C1" s="53"/>
      <c r="D1" s="54" t="s">
        <v>27</v>
      </c>
      <c r="E1" s="54"/>
      <c r="F1" s="54"/>
      <c r="G1" s="52" t="s">
        <v>28</v>
      </c>
      <c r="H1" s="52"/>
      <c r="I1" s="52"/>
      <c r="J1" s="5"/>
      <c r="K1" s="5"/>
    </row>
    <row r="2" spans="1:11" ht="19.5" customHeight="1">
      <c r="A2" s="55" t="s">
        <v>2</v>
      </c>
      <c r="B2" s="55"/>
      <c r="C2" s="6">
        <f>SUM(C4:C93)</f>
        <v>78555</v>
      </c>
      <c r="D2" s="6">
        <f>SUM(D4:D93)</f>
        <v>50964</v>
      </c>
      <c r="E2" s="6">
        <f>C2-D2</f>
        <v>27591</v>
      </c>
      <c r="F2" s="7">
        <f>IFERROR(E2/D2, 0)</f>
        <v>0.54138215210736995</v>
      </c>
      <c r="G2" s="6">
        <f>SUM(G4:G93)</f>
        <v>0</v>
      </c>
      <c r="H2" s="8">
        <f>C2-G2</f>
        <v>78555</v>
      </c>
      <c r="I2" s="7">
        <f>IFERROR(H2/G2, 0)</f>
        <v>0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42.75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32012</v>
      </c>
      <c r="D4" s="14">
        <v>19847</v>
      </c>
      <c r="E4" s="14">
        <f>IF(AND(ISNUMBER(C4),ISNUMBER(D4)), C4-D4, "")</f>
        <v>12165</v>
      </c>
      <c r="F4" s="15">
        <f>IFERROR(E4/D4, "")</f>
        <v>0.61293898322164564</v>
      </c>
      <c r="G4" s="16">
        <v>0</v>
      </c>
      <c r="H4" s="16">
        <f>IF(AND(ISNUMBER(C4),ISNUMBER(G4)), C4-G4, "")</f>
        <v>32012</v>
      </c>
      <c r="I4" s="17" t="str">
        <f>IFERROR(H4/G4, "")</f>
        <v/>
      </c>
      <c r="J4" s="18" t="s">
        <v>29</v>
      </c>
      <c r="K4" s="18" t="s">
        <v>30</v>
      </c>
    </row>
    <row r="5" spans="1:11" ht="36" customHeight="1">
      <c r="A5" s="32" t="str">
        <v>AZ: Lake Havasu City - Aquatic Center</v>
      </c>
      <c r="B5" s="33" t="str">
        <v>AZ</v>
      </c>
      <c r="C5" s="12">
        <v>11202</v>
      </c>
      <c r="D5" s="20">
        <v>7563</v>
      </c>
      <c r="E5" s="20">
        <f t="shared" ref="E5:E8" si="0">IF(AND(ISNUMBER(C5),ISNUMBER(D5)), C5-D5, "")</f>
        <v>3639</v>
      </c>
      <c r="F5" s="21">
        <f>IFERROR(E5/D5, "")</f>
        <v>0.48115827052756843</v>
      </c>
      <c r="G5" s="22">
        <v>0</v>
      </c>
      <c r="H5" s="22">
        <f t="shared" ref="H5:H8" si="1">IF(AND(ISNUMBER(C5),ISNUMBER(G5)), C5-G5, "")</f>
        <v>11202</v>
      </c>
      <c r="I5" s="21" t="str">
        <f t="shared" ref="I5:I8" si="2">IFERROR(H5/G5, "")</f>
        <v/>
      </c>
      <c r="J5" s="45" t="s">
        <v>31</v>
      </c>
      <c r="K5" s="44" t="s">
        <v>32</v>
      </c>
    </row>
    <row r="6" spans="1:11" ht="42.75">
      <c r="A6" s="30" t="str">
        <v>AZ: Lake Havasu City - City Hall</v>
      </c>
      <c r="B6" s="31" t="str">
        <v>AZ</v>
      </c>
      <c r="C6" s="26">
        <v>27630</v>
      </c>
      <c r="D6" s="14">
        <v>22995</v>
      </c>
      <c r="E6" s="14">
        <f t="shared" si="0"/>
        <v>4635</v>
      </c>
      <c r="F6" s="15">
        <f t="shared" ref="F6:F8" si="3">IFERROR(E6/D6, "")</f>
        <v>0.20156555772994128</v>
      </c>
      <c r="G6" s="16">
        <v>0</v>
      </c>
      <c r="H6" s="16">
        <f t="shared" si="1"/>
        <v>27630</v>
      </c>
      <c r="I6" s="17" t="str">
        <f t="shared" si="2"/>
        <v/>
      </c>
      <c r="J6" s="18" t="s">
        <v>33</v>
      </c>
      <c r="K6" s="18" t="s">
        <v>23</v>
      </c>
    </row>
    <row r="7" spans="1:11" ht="28.5">
      <c r="A7" s="32" t="str">
        <v>AZ: Lake Havasu City - Public Works</v>
      </c>
      <c r="B7" s="33" t="str">
        <v>AZ</v>
      </c>
      <c r="C7" s="12">
        <v>7711</v>
      </c>
      <c r="D7" s="20">
        <v>559</v>
      </c>
      <c r="E7" s="20">
        <f t="shared" si="0"/>
        <v>7152</v>
      </c>
      <c r="F7" s="21">
        <f t="shared" si="3"/>
        <v>12.794275491949911</v>
      </c>
      <c r="G7" s="22">
        <v>0</v>
      </c>
      <c r="H7" s="22">
        <f t="shared" si="1"/>
        <v>7711</v>
      </c>
      <c r="I7" s="21" t="str">
        <f t="shared" si="2"/>
        <v/>
      </c>
      <c r="J7" s="43" t="s">
        <v>34</v>
      </c>
      <c r="K7" s="44" t="s">
        <v>35</v>
      </c>
    </row>
    <row r="8" spans="1:11" ht="15.75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2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2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2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2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3.9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5"/>
  <sheetViews>
    <sheetView topLeftCell="C1" workbookViewId="0">
      <pane ySplit="2" topLeftCell="A3" activePane="bottomLeft" state="frozen"/>
      <selection pane="bottomLeft" activeCell="J7" sqref="J7:K7"/>
      <selection activeCell="G24" sqref="G24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LX International America, Inc.</v>
      </c>
      <c r="B1" s="53"/>
      <c r="C1" s="53"/>
      <c r="D1" s="54" t="s">
        <v>36</v>
      </c>
      <c r="E1" s="54"/>
      <c r="F1" s="54"/>
      <c r="G1" s="52" t="s">
        <v>37</v>
      </c>
      <c r="H1" s="52"/>
      <c r="I1" s="52"/>
      <c r="J1" s="5"/>
      <c r="K1" s="5"/>
    </row>
    <row r="2" spans="1:11" ht="19.5" customHeight="1">
      <c r="A2" s="55" t="s">
        <v>2</v>
      </c>
      <c r="B2" s="55"/>
      <c r="C2" s="6">
        <f>SUM(C4:C93)</f>
        <v>111707.15000000001</v>
      </c>
      <c r="D2" s="6">
        <f>SUM(D4:D93)</f>
        <v>27474.490299999998</v>
      </c>
      <c r="E2" s="6">
        <f>C2-D2</f>
        <v>84232.659700000018</v>
      </c>
      <c r="F2" s="7">
        <f>IFERROR(E2/D2, 0)</f>
        <v>3.0658497675569261</v>
      </c>
      <c r="G2" s="6">
        <f>SUM(G4:G93)</f>
        <v>0</v>
      </c>
      <c r="H2" s="8">
        <f>C2-G2</f>
        <v>111707.15000000001</v>
      </c>
      <c r="I2" s="7">
        <f>IFERROR(H2/G2, 0)</f>
        <v>0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42.75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39725.130000000005</v>
      </c>
      <c r="D4" s="14">
        <v>12273.886400000016</v>
      </c>
      <c r="E4" s="14">
        <f>IF(AND(ISNUMBER(C4),ISNUMBER(D4)), C4-D4, "")</f>
        <v>27451.243599999987</v>
      </c>
      <c r="F4" s="15">
        <f>IFERROR(E4/D4, "")</f>
        <v>2.2365567600495271</v>
      </c>
      <c r="G4" s="16">
        <v>0</v>
      </c>
      <c r="H4" s="16">
        <f>IF(AND(ISNUMBER(C4),ISNUMBER(G4)), C4-G4, "")</f>
        <v>39725.130000000005</v>
      </c>
      <c r="I4" s="17" t="str">
        <f>IFERROR(H4/G4, "")</f>
        <v/>
      </c>
      <c r="J4" s="18" t="s">
        <v>29</v>
      </c>
      <c r="K4" s="18" t="s">
        <v>30</v>
      </c>
    </row>
    <row r="5" spans="1:11" ht="42.75">
      <c r="A5" s="32" t="str">
        <v>AZ: Lake Havasu City - Aquatic Center</v>
      </c>
      <c r="B5" s="33" t="str">
        <v>AZ</v>
      </c>
      <c r="C5" s="12">
        <v>44878.5</v>
      </c>
      <c r="D5" s="20">
        <v>10596.887799999988</v>
      </c>
      <c r="E5" s="20">
        <f t="shared" ref="E5:E8" si="0">IF(AND(ISNUMBER(C5),ISNUMBER(D5)), C5-D5, "")</f>
        <v>34281.61220000001</v>
      </c>
      <c r="F5" s="21">
        <f>IFERROR(E5/D5, "")</f>
        <v>3.2350641855432358</v>
      </c>
      <c r="G5" s="46">
        <v>0</v>
      </c>
      <c r="H5" s="22">
        <f t="shared" ref="H5:H8" si="1">IF(AND(ISNUMBER(C5),ISNUMBER(G5)), C5-G5, "")</f>
        <v>44878.5</v>
      </c>
      <c r="I5" s="21" t="str">
        <f t="shared" ref="I5:I8" si="2">IFERROR(H5/G5, "")</f>
        <v/>
      </c>
      <c r="J5" s="45" t="s">
        <v>31</v>
      </c>
      <c r="K5" s="47" t="s">
        <v>32</v>
      </c>
    </row>
    <row r="6" spans="1:11" ht="42.75">
      <c r="A6" s="30" t="str">
        <v>AZ: Lake Havasu City - City Hall</v>
      </c>
      <c r="B6" s="31" t="str">
        <v>AZ</v>
      </c>
      <c r="C6" s="26">
        <v>16287.25</v>
      </c>
      <c r="D6" s="14">
        <v>4043.7160999999942</v>
      </c>
      <c r="E6" s="14">
        <f t="shared" si="0"/>
        <v>12243.533900000006</v>
      </c>
      <c r="F6" s="15">
        <f t="shared" ref="F6:F8" si="3">IFERROR(E6/D6, "")</f>
        <v>3.0277926533962223</v>
      </c>
      <c r="G6" s="16">
        <v>0</v>
      </c>
      <c r="H6" s="16">
        <f t="shared" si="1"/>
        <v>16287.25</v>
      </c>
      <c r="I6" s="17" t="str">
        <f t="shared" si="2"/>
        <v/>
      </c>
      <c r="J6" s="18" t="s">
        <v>33</v>
      </c>
      <c r="K6" s="18" t="s">
        <v>23</v>
      </c>
    </row>
    <row r="7" spans="1:11" ht="28.5">
      <c r="A7" s="32" t="str">
        <v>AZ: Lake Havasu City - Public Works</v>
      </c>
      <c r="B7" s="33" t="str">
        <v>AZ</v>
      </c>
      <c r="C7" s="12">
        <v>10816.269999999999</v>
      </c>
      <c r="D7" s="20">
        <v>560</v>
      </c>
      <c r="E7" s="20">
        <f t="shared" si="0"/>
        <v>10256.269999999999</v>
      </c>
      <c r="F7" s="21">
        <f t="shared" si="3"/>
        <v>18.314767857142854</v>
      </c>
      <c r="G7" s="23">
        <v>0</v>
      </c>
      <c r="H7" s="22">
        <f t="shared" si="1"/>
        <v>10816.269999999999</v>
      </c>
      <c r="I7" s="21" t="str">
        <f t="shared" si="2"/>
        <v/>
      </c>
      <c r="J7" s="43" t="s">
        <v>34</v>
      </c>
      <c r="K7" s="47" t="s">
        <v>35</v>
      </c>
    </row>
    <row r="8" spans="1:11" ht="15.75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2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2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2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2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3.9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5"/>
  <sheetViews>
    <sheetView workbookViewId="0">
      <pane ySplit="2" topLeftCell="D3" activePane="bottomLeft" state="frozen"/>
      <selection pane="bottomLeft" activeCell="K7" sqref="K7"/>
      <selection activeCell="G24" sqref="G24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LX International America, Inc.</v>
      </c>
      <c r="B1" s="53"/>
      <c r="C1" s="53"/>
      <c r="D1" s="54" t="s">
        <v>38</v>
      </c>
      <c r="E1" s="54"/>
      <c r="F1" s="54"/>
      <c r="G1" s="52" t="s">
        <v>39</v>
      </c>
      <c r="H1" s="52"/>
      <c r="I1" s="52"/>
      <c r="J1" s="5"/>
      <c r="K1" s="5"/>
    </row>
    <row r="2" spans="1:11" ht="19.5" customHeight="1">
      <c r="A2" s="55" t="s">
        <v>2</v>
      </c>
      <c r="B2" s="55"/>
      <c r="C2" s="6">
        <f>SUM(C4:C93)</f>
        <v>130413.03</v>
      </c>
      <c r="D2" s="6">
        <f>SUM(D4:D93)</f>
        <v>217957.05</v>
      </c>
      <c r="E2" s="6">
        <f>C2-D2</f>
        <v>-87544.01999999999</v>
      </c>
      <c r="F2" s="7">
        <f>IFERROR(E2/D2, 0)</f>
        <v>-0.40165720723417753</v>
      </c>
      <c r="G2" s="6">
        <f>SUM(G4:G93)</f>
        <v>0</v>
      </c>
      <c r="H2" s="8">
        <f>C2-G2</f>
        <v>130413.03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42.75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46701.5</v>
      </c>
      <c r="D4" s="14">
        <v>99177.37</v>
      </c>
      <c r="E4" s="14">
        <f>IF(AND(ISNUMBER(C4),ISNUMBER(D4)), C4-D4, "")</f>
        <v>-52475.869999999995</v>
      </c>
      <c r="F4" s="15">
        <f>IFERROR(E4/D4, "")</f>
        <v>-0.52911132852181897</v>
      </c>
      <c r="G4" s="16">
        <v>0</v>
      </c>
      <c r="H4" s="16">
        <f>IF(AND(ISNUMBER(C4),ISNUMBER(G4)), C4-G4, "")</f>
        <v>46701.5</v>
      </c>
      <c r="I4" s="17" t="str">
        <f>IFERROR(H4/G4, "")</f>
        <v/>
      </c>
      <c r="J4" s="18" t="s">
        <v>40</v>
      </c>
      <c r="K4" s="18" t="s">
        <v>30</v>
      </c>
    </row>
    <row r="5" spans="1:11" ht="42.75">
      <c r="A5" s="32" t="str">
        <v>AZ: Lake Havasu City - Aquatic Center</v>
      </c>
      <c r="B5" s="33" t="str">
        <v>AZ</v>
      </c>
      <c r="C5" s="12">
        <v>51881.5</v>
      </c>
      <c r="D5" s="20">
        <v>85809.38</v>
      </c>
      <c r="E5" s="20">
        <f t="shared" ref="E5:E8" si="0">IF(AND(ISNUMBER(C5),ISNUMBER(D5)), C5-D5, "")</f>
        <v>-33927.880000000005</v>
      </c>
      <c r="F5" s="21">
        <f>IFERROR(E5/D5, "")</f>
        <v>-0.39538661158022587</v>
      </c>
      <c r="G5" s="22">
        <v>0</v>
      </c>
      <c r="H5" s="22">
        <f t="shared" ref="H5:H8" si="1">IF(AND(ISNUMBER(C5),ISNUMBER(G5)), C5-G5, "")</f>
        <v>51881.5</v>
      </c>
      <c r="I5" s="21" t="str">
        <f t="shared" ref="I5:I8" si="2">IFERROR(H5/G5, "")</f>
        <v/>
      </c>
      <c r="J5" s="43" t="s">
        <v>41</v>
      </c>
      <c r="K5" s="43" t="s">
        <v>32</v>
      </c>
    </row>
    <row r="6" spans="1:11" ht="42.75">
      <c r="A6" s="30" t="str">
        <v>AZ: Lake Havasu City - City Hall</v>
      </c>
      <c r="B6" s="31" t="str">
        <v>AZ</v>
      </c>
      <c r="C6" s="26">
        <v>19242.75</v>
      </c>
      <c r="D6" s="14">
        <v>32875.86</v>
      </c>
      <c r="E6" s="14">
        <f t="shared" si="0"/>
        <v>-13633.11</v>
      </c>
      <c r="F6" s="15">
        <f t="shared" ref="F6:F8" si="3">IFERROR(E6/D6, "")</f>
        <v>-0.41468451319600463</v>
      </c>
      <c r="G6" s="16">
        <v>0</v>
      </c>
      <c r="H6" s="16">
        <f t="shared" si="1"/>
        <v>19242.75</v>
      </c>
      <c r="I6" s="17" t="str">
        <f t="shared" si="2"/>
        <v/>
      </c>
      <c r="J6" s="18" t="s">
        <v>41</v>
      </c>
      <c r="K6" s="18" t="s">
        <v>32</v>
      </c>
    </row>
    <row r="7" spans="1:11" ht="28.5">
      <c r="A7" s="32" t="str">
        <v>AZ: Lake Havasu City - Public Works</v>
      </c>
      <c r="B7" s="33" t="str">
        <v>AZ</v>
      </c>
      <c r="C7" s="12">
        <v>12587.28</v>
      </c>
      <c r="D7" s="20">
        <v>94.44</v>
      </c>
      <c r="E7" s="20">
        <f t="shared" si="0"/>
        <v>12492.84</v>
      </c>
      <c r="F7" s="21">
        <f t="shared" si="3"/>
        <v>132.28335451080051</v>
      </c>
      <c r="G7" s="22">
        <v>0</v>
      </c>
      <c r="H7" s="22">
        <f t="shared" si="1"/>
        <v>12587.28</v>
      </c>
      <c r="I7" s="21" t="str">
        <f t="shared" si="2"/>
        <v/>
      </c>
      <c r="J7" s="43" t="s">
        <v>34</v>
      </c>
      <c r="K7" s="43" t="s">
        <v>35</v>
      </c>
    </row>
    <row r="8" spans="1:11" ht="15.75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2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2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2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2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3.9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5"/>
  <sheetViews>
    <sheetView zoomScale="80" zoomScaleNormal="80" workbookViewId="0">
      <pane ySplit="2" topLeftCell="A3" activePane="bottomLeft" state="frozen"/>
      <selection pane="bottomLeft" activeCell="D7" sqref="D7"/>
      <selection activeCell="G24" sqref="G24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LX International America, Inc.</v>
      </c>
      <c r="B1" s="53"/>
      <c r="C1" s="53"/>
      <c r="D1" s="54" t="s">
        <v>42</v>
      </c>
      <c r="E1" s="54"/>
      <c r="F1" s="54"/>
      <c r="G1" s="52" t="s">
        <v>43</v>
      </c>
      <c r="H1" s="52"/>
      <c r="I1" s="52"/>
      <c r="J1" s="5"/>
      <c r="K1" s="5"/>
    </row>
    <row r="2" spans="1:11" ht="19.5" customHeight="1">
      <c r="A2" s="55" t="s">
        <v>2</v>
      </c>
      <c r="B2" s="55"/>
      <c r="C2" s="6">
        <f>SUM(C4:C93)</f>
        <v>141493</v>
      </c>
      <c r="D2" s="6">
        <f>SUM(D4:D93)</f>
        <v>235615</v>
      </c>
      <c r="E2" s="6">
        <f>C2-D2</f>
        <v>-94122</v>
      </c>
      <c r="F2" s="7">
        <f>IFERROR(E2/D2, 0)</f>
        <v>-0.39947371771746282</v>
      </c>
      <c r="G2" s="6">
        <f>SUM(G4:G93)</f>
        <v>0</v>
      </c>
      <c r="H2" s="8">
        <f>C2-G2</f>
        <v>141493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60" customHeight="1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50781</v>
      </c>
      <c r="D4" s="14">
        <v>107267</v>
      </c>
      <c r="E4" s="14">
        <f>IF(AND(ISNUMBER(C4),ISNUMBER(D4)), C4-D4, "")</f>
        <v>-56486</v>
      </c>
      <c r="F4" s="15">
        <f>IFERROR(E4/D4, "")</f>
        <v>-0.52659252146512903</v>
      </c>
      <c r="G4" s="16">
        <v>0</v>
      </c>
      <c r="H4" s="16">
        <f>IF(AND(ISNUMBER(C4),ISNUMBER(G4)), C4-G4, "")</f>
        <v>50781</v>
      </c>
      <c r="I4" s="17" t="str">
        <f>IFERROR(H4/G4, "")</f>
        <v/>
      </c>
      <c r="J4" s="18" t="s">
        <v>40</v>
      </c>
      <c r="K4" s="18" t="s">
        <v>30</v>
      </c>
    </row>
    <row r="5" spans="1:11" ht="49.5" customHeight="1">
      <c r="A5" s="32" t="str">
        <v>AZ: Lake Havasu City - Aquatic Center</v>
      </c>
      <c r="B5" s="33" t="str">
        <v>AZ</v>
      </c>
      <c r="C5" s="12">
        <v>56251</v>
      </c>
      <c r="D5" s="20">
        <v>92798</v>
      </c>
      <c r="E5" s="20">
        <f t="shared" ref="E5:E8" si="0">IF(AND(ISNUMBER(C5),ISNUMBER(D5)), C5-D5, "")</f>
        <v>-36547</v>
      </c>
      <c r="F5" s="21">
        <f>IFERROR(E5/D5, "")</f>
        <v>-0.39383391883445762</v>
      </c>
      <c r="G5" s="22">
        <v>0</v>
      </c>
      <c r="H5" s="22">
        <f t="shared" ref="H5:H8" si="1">IF(AND(ISNUMBER(C5),ISNUMBER(G5)), C5-G5, "")</f>
        <v>56251</v>
      </c>
      <c r="I5" s="21" t="str">
        <f t="shared" ref="I5:I8" si="2">IFERROR(H5/G5, "")</f>
        <v/>
      </c>
      <c r="J5" s="48" t="s">
        <v>44</v>
      </c>
      <c r="K5" s="49" t="s">
        <v>32</v>
      </c>
    </row>
    <row r="6" spans="1:11" ht="43.5" customHeight="1">
      <c r="A6" s="30" t="str">
        <v>AZ: Lake Havasu City - City Hall</v>
      </c>
      <c r="B6" s="31" t="str">
        <v>AZ</v>
      </c>
      <c r="C6" s="26">
        <v>21077</v>
      </c>
      <c r="D6" s="14">
        <v>35543</v>
      </c>
      <c r="E6" s="14">
        <f t="shared" si="0"/>
        <v>-14466</v>
      </c>
      <c r="F6" s="15">
        <f t="shared" ref="F6:F8" si="3">IFERROR(E6/D6, "")</f>
        <v>-0.40699997186506487</v>
      </c>
      <c r="G6" s="16">
        <v>0</v>
      </c>
      <c r="H6" s="16">
        <f t="shared" si="1"/>
        <v>21077</v>
      </c>
      <c r="I6" s="17" t="str">
        <f t="shared" si="2"/>
        <v/>
      </c>
      <c r="J6" s="18" t="s">
        <v>44</v>
      </c>
      <c r="K6" s="18" t="s">
        <v>32</v>
      </c>
    </row>
    <row r="7" spans="1:11" ht="28.5">
      <c r="A7" s="32" t="str">
        <v>AZ: Lake Havasu City - Public Works</v>
      </c>
      <c r="B7" s="33" t="str">
        <v>AZ</v>
      </c>
      <c r="C7" s="12">
        <v>13384</v>
      </c>
      <c r="D7" s="20">
        <v>7</v>
      </c>
      <c r="E7" s="20">
        <f t="shared" si="0"/>
        <v>13377</v>
      </c>
      <c r="F7" s="21">
        <f t="shared" si="3"/>
        <v>1911</v>
      </c>
      <c r="G7" s="22">
        <v>0</v>
      </c>
      <c r="H7" s="22">
        <f t="shared" si="1"/>
        <v>13384</v>
      </c>
      <c r="I7" s="21" t="str">
        <f t="shared" si="2"/>
        <v/>
      </c>
      <c r="J7" s="43" t="s">
        <v>34</v>
      </c>
      <c r="K7" s="44" t="s">
        <v>35</v>
      </c>
    </row>
    <row r="8" spans="1:11" ht="15.75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2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2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2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2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3.9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5"/>
  <sheetViews>
    <sheetView zoomScale="80" zoomScaleNormal="80" workbookViewId="0">
      <pane ySplit="2" topLeftCell="A3" activePane="bottomLeft" state="frozen"/>
      <selection pane="bottomLeft" activeCell="E4" sqref="E4"/>
      <selection activeCell="G24" sqref="G24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LX International America, Inc.</v>
      </c>
      <c r="B1" s="53"/>
      <c r="C1" s="53"/>
      <c r="D1" s="54" t="s">
        <v>45</v>
      </c>
      <c r="E1" s="54"/>
      <c r="F1" s="54"/>
      <c r="G1" s="52" t="s">
        <v>46</v>
      </c>
      <c r="H1" s="52"/>
      <c r="I1" s="52"/>
      <c r="J1" s="5"/>
      <c r="K1" s="5"/>
    </row>
    <row r="2" spans="1:11" ht="19.5" customHeight="1">
      <c r="A2" s="55" t="s">
        <v>2</v>
      </c>
      <c r="B2" s="55"/>
      <c r="C2" s="6">
        <f>SUM(C4:C93)</f>
        <v>133474.06</v>
      </c>
      <c r="D2" s="6">
        <f>SUM(D4:D93)</f>
        <v>255697.24000000002</v>
      </c>
      <c r="E2" s="6">
        <f>C2-D2</f>
        <v>-122223.18000000002</v>
      </c>
      <c r="F2" s="7">
        <f>IFERROR(E2/D2, 0)</f>
        <v>-0.47799960609664777</v>
      </c>
      <c r="G2" s="6">
        <f>SUM(G4:G93)</f>
        <v>0</v>
      </c>
      <c r="H2" s="8">
        <f>C2-G2</f>
        <v>133474.06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42.75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46859.5</v>
      </c>
      <c r="D4" s="14">
        <v>116334.54</v>
      </c>
      <c r="E4" s="14">
        <f>IF(AND(ISNUMBER(C4),ISNUMBER(D4)), C4-D4, "")</f>
        <v>-69475.039999999994</v>
      </c>
      <c r="F4" s="15">
        <f>IFERROR(E4/D4, "")</f>
        <v>-0.59720045310704795</v>
      </c>
      <c r="G4" s="16">
        <v>0</v>
      </c>
      <c r="H4" s="16">
        <f>IF(AND(ISNUMBER(C4),ISNUMBER(G4)), C4-G4, "")</f>
        <v>46859.5</v>
      </c>
      <c r="I4" s="17" t="str">
        <f>IFERROR(H4/G4, "")</f>
        <v/>
      </c>
      <c r="J4" s="18" t="s">
        <v>40</v>
      </c>
      <c r="K4" s="18" t="s">
        <v>30</v>
      </c>
    </row>
    <row r="5" spans="1:11" ht="28.5">
      <c r="A5" s="32" t="str">
        <v>AZ: Lake Havasu City - Aquatic Center</v>
      </c>
      <c r="B5" s="33" t="str">
        <v>AZ</v>
      </c>
      <c r="C5" s="12">
        <v>54726</v>
      </c>
      <c r="D5" s="20">
        <v>100718.97</v>
      </c>
      <c r="E5" s="20">
        <f t="shared" ref="E5:E8" si="0">IF(AND(ISNUMBER(C5),ISNUMBER(D5)), C5-D5, "")</f>
        <v>-45992.97</v>
      </c>
      <c r="F5" s="21">
        <f>IFERROR(E5/D5, "")</f>
        <v>-0.45664654831160406</v>
      </c>
      <c r="G5" s="22">
        <v>0</v>
      </c>
      <c r="H5" s="22">
        <f t="shared" ref="H5:H8" si="1">IF(AND(ISNUMBER(C5),ISNUMBER(G5)), C5-G5, "")</f>
        <v>54726</v>
      </c>
      <c r="I5" s="21" t="str">
        <f t="shared" ref="I5:I8" si="2">IFERROR(H5/G5, "")</f>
        <v/>
      </c>
      <c r="J5" s="43" t="s">
        <v>44</v>
      </c>
      <c r="K5" s="49" t="s">
        <v>32</v>
      </c>
    </row>
    <row r="6" spans="1:11" ht="28.5">
      <c r="A6" s="30" t="str">
        <v>AZ: Lake Havasu City - City Hall</v>
      </c>
      <c r="B6" s="31" t="str">
        <v>AZ</v>
      </c>
      <c r="C6" s="26">
        <v>19328</v>
      </c>
      <c r="D6" s="14">
        <v>38643.730000000003</v>
      </c>
      <c r="E6" s="14">
        <f t="shared" si="0"/>
        <v>-19315.730000000003</v>
      </c>
      <c r="F6" s="15">
        <f t="shared" ref="F6:F8" si="3">IFERROR(E6/D6, "")</f>
        <v>-0.49984124203331309</v>
      </c>
      <c r="G6" s="16">
        <v>0</v>
      </c>
      <c r="H6" s="16">
        <f t="shared" si="1"/>
        <v>19328</v>
      </c>
      <c r="I6" s="17" t="str">
        <f t="shared" si="2"/>
        <v/>
      </c>
      <c r="J6" s="18" t="s">
        <v>44</v>
      </c>
      <c r="K6" s="18" t="s">
        <v>32</v>
      </c>
    </row>
    <row r="7" spans="1:11" ht="42.75" customHeight="1">
      <c r="A7" s="32" t="str">
        <v>AZ: Lake Havasu City - Public Works</v>
      </c>
      <c r="B7" s="33" t="str">
        <v>AZ</v>
      </c>
      <c r="C7" s="12">
        <v>12560.56</v>
      </c>
      <c r="D7" s="20">
        <v>0</v>
      </c>
      <c r="E7" s="20">
        <f t="shared" si="0"/>
        <v>12560.56</v>
      </c>
      <c r="F7" s="21" t="str">
        <f t="shared" si="3"/>
        <v/>
      </c>
      <c r="G7" s="22">
        <v>0</v>
      </c>
      <c r="H7" s="22">
        <f t="shared" si="1"/>
        <v>12560.56</v>
      </c>
      <c r="I7" s="21" t="str">
        <f t="shared" si="2"/>
        <v/>
      </c>
      <c r="J7" s="43" t="s">
        <v>34</v>
      </c>
      <c r="K7" s="44" t="s">
        <v>35</v>
      </c>
    </row>
    <row r="8" spans="1:11" ht="15.75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2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2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2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2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3.9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5"/>
  <sheetViews>
    <sheetView workbookViewId="0">
      <pane ySplit="2" topLeftCell="A3" activePane="bottomLeft" state="frozen"/>
      <selection pane="bottomLeft" activeCell="J4" sqref="J4:K7"/>
      <selection activeCell="G24" sqref="G24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LX International America, Inc.</v>
      </c>
      <c r="B1" s="53"/>
      <c r="C1" s="53"/>
      <c r="D1" s="54" t="s">
        <v>47</v>
      </c>
      <c r="E1" s="54"/>
      <c r="F1" s="54"/>
      <c r="G1" s="52" t="s">
        <v>48</v>
      </c>
      <c r="H1" s="52"/>
      <c r="I1" s="52"/>
      <c r="J1" s="5"/>
      <c r="K1" s="5"/>
    </row>
    <row r="2" spans="1:11" ht="19.5" customHeight="1">
      <c r="A2" s="55" t="s">
        <v>2</v>
      </c>
      <c r="B2" s="55"/>
      <c r="C2" s="6">
        <f>SUM(C4:C93)</f>
        <v>131670.22</v>
      </c>
      <c r="D2" s="6">
        <f>SUM(D4:D93)</f>
        <v>261135</v>
      </c>
      <c r="E2" s="6">
        <f>C2-D2</f>
        <v>-129464.78</v>
      </c>
      <c r="F2" s="7">
        <f>IFERROR(E2/D2, 0)</f>
        <v>-0.49577720336224557</v>
      </c>
      <c r="G2" s="6">
        <f>SUM(G4:G93)</f>
        <v>0</v>
      </c>
      <c r="H2" s="8">
        <f>C2-G2</f>
        <v>131670.22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42.75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46849.75</v>
      </c>
      <c r="D4" s="14">
        <v>118817</v>
      </c>
      <c r="E4" s="14">
        <f>IF(AND(ISNUMBER(C4),ISNUMBER(D4)), C4-D4, "")</f>
        <v>-71967.25</v>
      </c>
      <c r="F4" s="15">
        <f>IFERROR(E4/D4, "")</f>
        <v>-0.60569825866668914</v>
      </c>
      <c r="G4" s="16">
        <v>0</v>
      </c>
      <c r="H4" s="16">
        <f>IF(AND(ISNUMBER(C4),ISNUMBER(G4)), C4-G4, "")</f>
        <v>46849.75</v>
      </c>
      <c r="I4" s="17" t="str">
        <f>IFERROR(H4/G4, "")</f>
        <v/>
      </c>
      <c r="J4" s="18" t="s">
        <v>40</v>
      </c>
      <c r="K4" s="18" t="s">
        <v>30</v>
      </c>
    </row>
    <row r="5" spans="1:11" ht="28.5">
      <c r="A5" s="32" t="str">
        <v>AZ: Lake Havasu City - Aquatic Center</v>
      </c>
      <c r="B5" s="33" t="str">
        <v>AZ</v>
      </c>
      <c r="C5" s="12">
        <v>53557</v>
      </c>
      <c r="D5" s="20">
        <v>102861</v>
      </c>
      <c r="E5" s="20">
        <f t="shared" ref="E5:E8" si="0">IF(AND(ISNUMBER(C5),ISNUMBER(D5)), C5-D5, "")</f>
        <v>-49304</v>
      </c>
      <c r="F5" s="21">
        <f>IFERROR(E5/D5, "")</f>
        <v>-0.47932646970183063</v>
      </c>
      <c r="G5" s="22">
        <v>0</v>
      </c>
      <c r="H5" s="22">
        <f t="shared" ref="H5:H8" si="1">IF(AND(ISNUMBER(C5),ISNUMBER(G5)), C5-G5, "")</f>
        <v>53557</v>
      </c>
      <c r="I5" s="21" t="str">
        <f t="shared" ref="I5:I8" si="2">IFERROR(H5/G5, "")</f>
        <v/>
      </c>
      <c r="J5" s="43" t="s">
        <v>44</v>
      </c>
      <c r="K5" s="43" t="s">
        <v>32</v>
      </c>
    </row>
    <row r="6" spans="1:11" ht="28.5">
      <c r="A6" s="30" t="str">
        <v>AZ: Lake Havasu City - City Hall</v>
      </c>
      <c r="B6" s="31" t="str">
        <v>AZ</v>
      </c>
      <c r="C6" s="26">
        <v>19060.75</v>
      </c>
      <c r="D6" s="14">
        <v>39457</v>
      </c>
      <c r="E6" s="14">
        <f t="shared" si="0"/>
        <v>-20396.25</v>
      </c>
      <c r="F6" s="15">
        <f t="shared" ref="F6:F8" si="3">IFERROR(E6/D6, "")</f>
        <v>-0.51692348632688745</v>
      </c>
      <c r="G6" s="16">
        <v>0</v>
      </c>
      <c r="H6" s="16">
        <f t="shared" si="1"/>
        <v>19060.75</v>
      </c>
      <c r="I6" s="17" t="str">
        <f t="shared" si="2"/>
        <v/>
      </c>
      <c r="J6" s="18" t="s">
        <v>44</v>
      </c>
      <c r="K6" s="18" t="s">
        <v>32</v>
      </c>
    </row>
    <row r="7" spans="1:11" ht="15.75">
      <c r="A7" s="32" t="str">
        <v>AZ: Lake Havasu City - Public Works</v>
      </c>
      <c r="B7" s="33" t="str">
        <v>AZ</v>
      </c>
      <c r="C7" s="12">
        <v>12202.72</v>
      </c>
      <c r="D7" s="20">
        <v>0</v>
      </c>
      <c r="E7" s="20">
        <f t="shared" si="0"/>
        <v>12202.72</v>
      </c>
      <c r="F7" s="21" t="str">
        <f t="shared" si="3"/>
        <v/>
      </c>
      <c r="G7" s="22">
        <v>0</v>
      </c>
      <c r="H7" s="22">
        <f t="shared" si="1"/>
        <v>12202.72</v>
      </c>
      <c r="I7" s="21" t="str">
        <f t="shared" si="2"/>
        <v/>
      </c>
      <c r="J7" s="47" t="s">
        <v>49</v>
      </c>
      <c r="K7" s="47" t="s">
        <v>50</v>
      </c>
    </row>
    <row r="8" spans="1:11" ht="15.75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2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2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2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2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3.9">
      <c r="C335" s="23"/>
      <c r="D335" s="23"/>
      <c r="E335" s="23"/>
      <c r="F335" s="24"/>
      <c r="G335" s="23"/>
      <c r="H335" s="23"/>
      <c r="I335" s="24"/>
      <c r="J335" s="23"/>
      <c r="K335" s="23"/>
    </row>
  </sheetData>
  <sortState xmlns:xlrd2="http://schemas.microsoft.com/office/spreadsheetml/2017/richdata2" ref="A3:K8">
    <sortCondition ref="A3:A8"/>
  </sortState>
  <mergeCells count="4">
    <mergeCell ref="G1:I1"/>
    <mergeCell ref="A1:C1"/>
    <mergeCell ref="D1:F1"/>
    <mergeCell ref="A2:B2"/>
  </mergeCells>
  <conditionalFormatting sqref="F2 I2 F4:F93 I4:I93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5"/>
  <sheetViews>
    <sheetView workbookViewId="0">
      <pane ySplit="2" topLeftCell="A3" activePane="bottomLeft" state="frozen"/>
      <selection pane="bottomLeft" activeCell="J4" sqref="J4"/>
      <selection activeCell="G24" sqref="G24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LX International America, Inc.</v>
      </c>
      <c r="B1" s="53"/>
      <c r="C1" s="53"/>
      <c r="D1" s="54" t="s">
        <v>51</v>
      </c>
      <c r="E1" s="54"/>
      <c r="F1" s="54"/>
      <c r="G1" s="52" t="s">
        <v>52</v>
      </c>
      <c r="H1" s="52"/>
      <c r="I1" s="52"/>
      <c r="J1" s="5"/>
      <c r="K1" s="5"/>
    </row>
    <row r="2" spans="1:11" ht="19.5" customHeight="1">
      <c r="A2" s="55" t="s">
        <v>2</v>
      </c>
      <c r="B2" s="55"/>
      <c r="C2" s="6">
        <f>SUM(C4:C93)</f>
        <v>122090</v>
      </c>
      <c r="D2" s="6">
        <f>SUM(D4:D93)</f>
        <v>183699</v>
      </c>
      <c r="E2" s="6">
        <f>C2-D2</f>
        <v>-61609</v>
      </c>
      <c r="F2" s="7">
        <f>IFERROR(E2/D2, 0)</f>
        <v>-0.33538015993554676</v>
      </c>
      <c r="G2" s="6">
        <f>SUM(G4:G93)</f>
        <v>0</v>
      </c>
      <c r="H2" s="8">
        <f>C2-G2</f>
        <v>122090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50">
        <v>43768</v>
      </c>
      <c r="D4" s="14">
        <v>82274</v>
      </c>
      <c r="E4" s="14">
        <f>IF(AND(ISNUMBER(C4),ISNUMBER(D4)), C4-D4, "")</f>
        <v>-38506</v>
      </c>
      <c r="F4" s="15">
        <f>IFERROR(E4/D4, "")</f>
        <v>-0.46802148917033326</v>
      </c>
      <c r="G4" s="16">
        <v>0</v>
      </c>
      <c r="H4" s="16">
        <f>IF(AND(ISNUMBER(C4),ISNUMBER(G4)), C4-G4, "")</f>
        <v>43768</v>
      </c>
      <c r="I4" s="17" t="str">
        <f>IFERROR(H4/G4, "")</f>
        <v/>
      </c>
      <c r="J4" s="18" t="s">
        <v>53</v>
      </c>
      <c r="K4" s="18" t="s">
        <v>54</v>
      </c>
    </row>
    <row r="5" spans="1:11" ht="15.75">
      <c r="A5" s="32" t="str">
        <v>AZ: Lake Havasu City - Aquatic Center</v>
      </c>
      <c r="B5" s="33" t="str">
        <v>AZ</v>
      </c>
      <c r="C5" s="12">
        <v>49693</v>
      </c>
      <c r="D5" s="20">
        <v>70497</v>
      </c>
      <c r="E5" s="20">
        <f t="shared" ref="E5:E8" si="0">IF(AND(ISNUMBER(C5),ISNUMBER(D5)), C5-D5, "")</f>
        <v>-20804</v>
      </c>
      <c r="F5" s="21">
        <f>IFERROR(E5/D5, "")</f>
        <v>-0.2951047562307616</v>
      </c>
      <c r="G5" s="22">
        <v>0</v>
      </c>
      <c r="H5" s="22">
        <f t="shared" ref="H5:H8" si="1">IF(AND(ISNUMBER(C5),ISNUMBER(G5)), C5-G5, "")</f>
        <v>49693</v>
      </c>
      <c r="I5" s="21" t="str">
        <f t="shared" ref="I5:I8" si="2">IFERROR(H5/G5, "")</f>
        <v/>
      </c>
      <c r="J5" s="43"/>
      <c r="K5" s="43"/>
    </row>
    <row r="6" spans="1:11" ht="15.75">
      <c r="A6" s="30" t="str">
        <v>AZ: Lake Havasu City - City Hall</v>
      </c>
      <c r="B6" s="31" t="str">
        <v>AZ</v>
      </c>
      <c r="C6" s="26">
        <v>17598</v>
      </c>
      <c r="D6" s="14">
        <v>30928</v>
      </c>
      <c r="E6" s="14">
        <f t="shared" si="0"/>
        <v>-13330</v>
      </c>
      <c r="F6" s="15">
        <f t="shared" ref="F6:F8" si="3">IFERROR(E6/D6, "")</f>
        <v>-0.43100103466114847</v>
      </c>
      <c r="G6" s="16">
        <v>0</v>
      </c>
      <c r="H6" s="16">
        <f t="shared" si="1"/>
        <v>17598</v>
      </c>
      <c r="I6" s="17" t="str">
        <f t="shared" si="2"/>
        <v/>
      </c>
      <c r="J6" s="18"/>
      <c r="K6" s="18"/>
    </row>
    <row r="7" spans="1:11" ht="15.75">
      <c r="A7" s="32" t="str">
        <v>AZ: Lake Havasu City - Public Works</v>
      </c>
      <c r="B7" s="33" t="str">
        <v>AZ</v>
      </c>
      <c r="C7" s="12">
        <v>11031</v>
      </c>
      <c r="D7" s="20">
        <v>0</v>
      </c>
      <c r="E7" s="20">
        <f t="shared" si="0"/>
        <v>11031</v>
      </c>
      <c r="F7" s="21" t="str">
        <f t="shared" si="3"/>
        <v/>
      </c>
      <c r="G7" s="22">
        <v>0</v>
      </c>
      <c r="H7" s="22">
        <f t="shared" si="1"/>
        <v>11031</v>
      </c>
      <c r="I7" s="21" t="str">
        <f t="shared" si="2"/>
        <v/>
      </c>
      <c r="J7" s="47" t="s">
        <v>49</v>
      </c>
      <c r="K7" s="47" t="s">
        <v>50</v>
      </c>
    </row>
    <row r="8" spans="1:11" ht="15.75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2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2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2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2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3.9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5"/>
  <sheetViews>
    <sheetView zoomScale="80" zoomScaleNormal="80" workbookViewId="0">
      <pane ySplit="2" topLeftCell="A3" activePane="bottomLeft" state="frozen"/>
      <selection pane="bottomLeft" activeCell="J17" sqref="J17"/>
      <selection activeCell="G24" sqref="G24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LX International America, Inc.</v>
      </c>
      <c r="B1" s="53"/>
      <c r="C1" s="53"/>
      <c r="D1" s="54" t="s">
        <v>55</v>
      </c>
      <c r="E1" s="54"/>
      <c r="F1" s="54"/>
      <c r="G1" s="52" t="s">
        <v>56</v>
      </c>
      <c r="H1" s="52"/>
      <c r="I1" s="52"/>
      <c r="J1" s="5"/>
      <c r="K1" s="5"/>
    </row>
    <row r="2" spans="1:11" ht="19.5" customHeight="1">
      <c r="A2" s="55" t="s">
        <v>2</v>
      </c>
      <c r="B2" s="55"/>
      <c r="C2" s="6">
        <f>SUM(C4:C93)</f>
        <v>112707</v>
      </c>
      <c r="D2" s="6">
        <f>SUM(D4:D93)</f>
        <v>117695</v>
      </c>
      <c r="E2" s="6">
        <f>C2-D2</f>
        <v>-4988</v>
      </c>
      <c r="F2" s="7">
        <f>IFERROR(E2/D2, 0)</f>
        <v>-4.2380729852585071E-2</v>
      </c>
      <c r="G2" s="6">
        <f>SUM(G4:G93)</f>
        <v>0</v>
      </c>
      <c r="H2" s="8">
        <f>C2-G2</f>
        <v>112707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39971</v>
      </c>
      <c r="D4" s="14">
        <v>55148</v>
      </c>
      <c r="E4" s="14">
        <f>IF(AND(ISNUMBER(C4),ISNUMBER(D4)), C4-D4, "")</f>
        <v>-15177</v>
      </c>
      <c r="F4" s="15">
        <f>IFERROR(E4/D4, "")</f>
        <v>-0.27520490316965257</v>
      </c>
      <c r="G4" s="16">
        <v>0</v>
      </c>
      <c r="H4" s="16">
        <f>IF(AND(ISNUMBER(C4),ISNUMBER(G4)), C4-G4, "")</f>
        <v>39971</v>
      </c>
      <c r="I4" s="17" t="str">
        <f>IFERROR(H4/G4, "")</f>
        <v/>
      </c>
      <c r="J4" s="18" t="s">
        <v>57</v>
      </c>
      <c r="K4" s="18" t="s">
        <v>58</v>
      </c>
    </row>
    <row r="5" spans="1:11" ht="15.75">
      <c r="A5" s="32" t="str">
        <v>AZ: Lake Havasu City - Aquatic Center</v>
      </c>
      <c r="B5" s="33" t="str">
        <v>AZ</v>
      </c>
      <c r="C5" s="12">
        <v>45283</v>
      </c>
      <c r="D5" s="20">
        <v>46783</v>
      </c>
      <c r="E5" s="20">
        <f t="shared" ref="E5:E8" si="0">IF(AND(ISNUMBER(C5),ISNUMBER(D5)), C5-D5, "")</f>
        <v>-1500</v>
      </c>
      <c r="F5" s="21">
        <f>IFERROR(E5/D5, "")</f>
        <v>-3.2062928841673256E-2</v>
      </c>
      <c r="G5" s="22">
        <v>0</v>
      </c>
      <c r="H5" s="22">
        <f t="shared" ref="H5:H8" si="1">IF(AND(ISNUMBER(C5),ISNUMBER(G5)), C5-G5, "")</f>
        <v>45283</v>
      </c>
      <c r="I5" s="21" t="str">
        <f t="shared" ref="I5:I8" si="2">IFERROR(H5/G5, "")</f>
        <v/>
      </c>
      <c r="J5" s="11"/>
      <c r="K5" s="19"/>
    </row>
    <row r="6" spans="1:11" ht="15.75">
      <c r="A6" s="30" t="str">
        <v>AZ: Lake Havasu City - City Hall</v>
      </c>
      <c r="B6" s="31" t="str">
        <v>AZ</v>
      </c>
      <c r="C6" s="26">
        <v>17198</v>
      </c>
      <c r="D6" s="14">
        <v>15763</v>
      </c>
      <c r="E6" s="14">
        <f t="shared" si="0"/>
        <v>1435</v>
      </c>
      <c r="F6" s="15">
        <f t="shared" ref="F6:F8" si="3">IFERROR(E6/D6, "")</f>
        <v>9.1035970310220135E-2</v>
      </c>
      <c r="G6" s="16">
        <v>0</v>
      </c>
      <c r="H6" s="16">
        <f t="shared" si="1"/>
        <v>17198</v>
      </c>
      <c r="I6" s="17" t="str">
        <f t="shared" si="2"/>
        <v/>
      </c>
      <c r="J6" s="18"/>
      <c r="K6" s="18"/>
    </row>
    <row r="7" spans="1:11" ht="15.75">
      <c r="A7" s="32" t="str">
        <v>AZ: Lake Havasu City - Public Works</v>
      </c>
      <c r="B7" s="33" t="str">
        <v>AZ</v>
      </c>
      <c r="C7" s="12">
        <v>10255</v>
      </c>
      <c r="D7" s="20">
        <v>1</v>
      </c>
      <c r="E7" s="20">
        <f t="shared" si="0"/>
        <v>10254</v>
      </c>
      <c r="F7" s="21">
        <f t="shared" si="3"/>
        <v>10254</v>
      </c>
      <c r="G7" s="22">
        <v>0</v>
      </c>
      <c r="H7" s="22">
        <f t="shared" si="1"/>
        <v>10255</v>
      </c>
      <c r="I7" s="21" t="str">
        <f t="shared" si="2"/>
        <v/>
      </c>
      <c r="J7" s="47" t="s">
        <v>59</v>
      </c>
      <c r="K7" s="47" t="s">
        <v>50</v>
      </c>
    </row>
    <row r="8" spans="1:11" ht="15.75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2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2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2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2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3.9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3"/>
  <sheetViews>
    <sheetView zoomScale="70" zoomScaleNormal="70" workbookViewId="0">
      <pane ySplit="2" topLeftCell="F3" activePane="bottomLeft" state="frozen"/>
      <selection pane="bottomLeft" activeCell="K4" sqref="K4"/>
      <selection activeCell="A8" sqref="A8:XFD14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91.5703125" customWidth="1"/>
    <col min="11" max="11" width="20.5703125" bestFit="1" customWidth="1"/>
  </cols>
  <sheetData>
    <row r="1" spans="1:11" ht="19.5" customHeight="1">
      <c r="A1" s="53" t="str" cm="1">
        <f t="array" ref="A1">portfolio</f>
        <v>LX International America, Inc.</v>
      </c>
      <c r="B1" s="53"/>
      <c r="C1" s="53"/>
      <c r="D1" s="54" t="s">
        <v>60</v>
      </c>
      <c r="E1" s="54"/>
      <c r="F1" s="54"/>
      <c r="G1" s="52" t="s">
        <v>61</v>
      </c>
      <c r="H1" s="52"/>
      <c r="I1" s="52"/>
      <c r="J1" s="5"/>
      <c r="K1" s="5"/>
    </row>
    <row r="2" spans="1:11" ht="19.5" customHeight="1">
      <c r="A2" s="55" t="s">
        <v>2</v>
      </c>
      <c r="B2" s="55"/>
      <c r="C2" s="6">
        <f>SUM(C4:C91)</f>
        <v>107349.41</v>
      </c>
      <c r="D2" s="6">
        <f>SUM(D4:D91)</f>
        <v>94962.77</v>
      </c>
      <c r="E2" s="6">
        <f>C2-D2</f>
        <v>12386.64</v>
      </c>
      <c r="F2" s="7">
        <f>IFERROR(E2/D2, 0)</f>
        <v>0.13043680170660565</v>
      </c>
      <c r="G2" s="6">
        <f>SUM(G4:G91)</f>
        <v>0</v>
      </c>
      <c r="H2" s="8">
        <f>C2-G2</f>
        <v>107349.41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46260.75</v>
      </c>
      <c r="D4" s="14">
        <v>38844.559999999998</v>
      </c>
      <c r="E4" s="14">
        <f>IF(AND(ISNUMBER(C4),ISNUMBER(D4)), C4-D4, "")</f>
        <v>7416.1900000000023</v>
      </c>
      <c r="F4" s="15">
        <f>IFERROR(E4/D4, "")</f>
        <v>0.19091965515892065</v>
      </c>
      <c r="G4" s="16">
        <v>0</v>
      </c>
      <c r="H4" s="16">
        <f>IF(AND(ISNUMBER(C4),ISNUMBER(G4)), C4-G4, "")</f>
        <v>46260.75</v>
      </c>
      <c r="I4" s="17" t="str">
        <f>IFERROR(H4/G4, "")</f>
        <v/>
      </c>
      <c r="J4" s="18" t="s">
        <v>62</v>
      </c>
      <c r="K4" s="18" t="s">
        <v>63</v>
      </c>
    </row>
    <row r="5" spans="1:11" ht="21.75" customHeight="1">
      <c r="A5" s="32" t="str">
        <v>AZ: Lake Havasu City - Aquatic Center</v>
      </c>
      <c r="B5" s="33" t="str">
        <v>AZ</v>
      </c>
      <c r="C5" s="12">
        <v>38520</v>
      </c>
      <c r="D5" s="20">
        <v>32956.35</v>
      </c>
      <c r="E5" s="20">
        <f t="shared" ref="E5:E7" si="0">IF(AND(ISNUMBER(C5),ISNUMBER(D5)), C5-D5, "")</f>
        <v>5563.6500000000015</v>
      </c>
      <c r="F5" s="21">
        <f>IFERROR(E5/D5, "")</f>
        <v>0.1688187557177904</v>
      </c>
      <c r="G5" s="22">
        <v>0</v>
      </c>
      <c r="H5" s="22">
        <f t="shared" ref="H5:H7" si="1">IF(AND(ISNUMBER(C5),ISNUMBER(G5)), C5-G5, "")</f>
        <v>38520</v>
      </c>
      <c r="I5" s="21" t="str">
        <f t="shared" ref="I5:I7" si="2">IFERROR(H5/G5, "")</f>
        <v/>
      </c>
      <c r="J5" s="51" t="s">
        <v>62</v>
      </c>
      <c r="K5" s="44" t="s">
        <v>63</v>
      </c>
    </row>
    <row r="6" spans="1:11" ht="15.75">
      <c r="A6" s="30" t="str">
        <v>AZ: Lake Havasu City - City Hall</v>
      </c>
      <c r="B6" s="31" t="str">
        <v>AZ</v>
      </c>
      <c r="C6" s="26">
        <v>13676.5</v>
      </c>
      <c r="D6" s="14">
        <v>12116.49</v>
      </c>
      <c r="E6" s="14">
        <f t="shared" si="0"/>
        <v>1560.0100000000002</v>
      </c>
      <c r="F6" s="15">
        <f t="shared" ref="F6:F7" si="3">IFERROR(E6/D6, "")</f>
        <v>0.12875098316426625</v>
      </c>
      <c r="G6" s="16">
        <v>0</v>
      </c>
      <c r="H6" s="16">
        <f t="shared" si="1"/>
        <v>13676.5</v>
      </c>
      <c r="I6" s="17" t="str">
        <f t="shared" si="2"/>
        <v/>
      </c>
      <c r="J6" s="18" t="s">
        <v>62</v>
      </c>
      <c r="K6" s="18" t="s">
        <v>63</v>
      </c>
    </row>
    <row r="7" spans="1:11" ht="15.75">
      <c r="A7" s="32" t="str">
        <v>AZ: Lake Havasu City - Public Works</v>
      </c>
      <c r="B7" s="33" t="str">
        <v>AZ</v>
      </c>
      <c r="C7" s="12">
        <v>8892.16</v>
      </c>
      <c r="D7" s="20">
        <v>11045.37</v>
      </c>
      <c r="E7" s="20">
        <f t="shared" si="0"/>
        <v>-2153.2100000000009</v>
      </c>
      <c r="F7" s="21">
        <f t="shared" si="3"/>
        <v>-0.19494231519632216</v>
      </c>
      <c r="G7" s="22">
        <v>0</v>
      </c>
      <c r="H7" s="22">
        <f t="shared" si="1"/>
        <v>8892.16</v>
      </c>
      <c r="I7" s="21" t="str">
        <f t="shared" si="2"/>
        <v/>
      </c>
      <c r="J7" s="47" t="s">
        <v>64</v>
      </c>
      <c r="K7" s="44" t="s">
        <v>50</v>
      </c>
    </row>
    <row r="8" spans="1:11" ht="14.2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2.75" customHeight="1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3.15">
      <c r="A11" s="23"/>
      <c r="B11" s="23"/>
      <c r="C11" s="23"/>
      <c r="F11" s="23"/>
      <c r="G11" s="23"/>
      <c r="H11" s="23"/>
      <c r="I11" s="23"/>
      <c r="J11" s="23"/>
      <c r="K11" s="23"/>
    </row>
    <row r="12" spans="1:11" ht="13.15">
      <c r="A12" s="23"/>
      <c r="B12" s="23"/>
      <c r="F12" s="23"/>
      <c r="G12" s="23"/>
      <c r="H12" s="23"/>
      <c r="I12" s="23"/>
      <c r="J12" s="23"/>
      <c r="K12" s="23"/>
    </row>
    <row r="13" spans="1:11" ht="13.15">
      <c r="A13" s="23"/>
      <c r="B13" s="23"/>
      <c r="F13" s="23"/>
      <c r="G13" s="23"/>
      <c r="H13" s="23"/>
      <c r="I13" s="23"/>
      <c r="J13" s="23"/>
      <c r="K13" s="23"/>
    </row>
    <row r="14" spans="1:11" ht="13.9">
      <c r="A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K20" s="23"/>
    </row>
    <row r="21" spans="1:11" ht="14.2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5"/>
      <c r="C24" s="23"/>
      <c r="D24" s="23"/>
      <c r="H24" s="23"/>
      <c r="I24" s="24"/>
      <c r="J24" s="23"/>
      <c r="K24" s="23"/>
    </row>
    <row r="25" spans="1:11" ht="14.25">
      <c r="A25" s="23"/>
      <c r="B25" s="35"/>
      <c r="C25" s="23"/>
      <c r="D25" s="23"/>
      <c r="H25" s="23"/>
      <c r="I25" s="24"/>
      <c r="J25" s="23"/>
      <c r="K25" s="23"/>
    </row>
    <row r="26" spans="1:11" ht="14.25">
      <c r="A26" s="23"/>
      <c r="B26" s="35"/>
      <c r="C26" s="23"/>
      <c r="D26" s="24"/>
      <c r="E26" s="23"/>
      <c r="F26" s="23"/>
      <c r="H26" s="23"/>
      <c r="I26" s="24"/>
      <c r="J26" s="23"/>
      <c r="K26" s="23"/>
    </row>
    <row r="27" spans="1:11" ht="14.25">
      <c r="A27" s="23"/>
      <c r="B27" s="35"/>
      <c r="C27" s="23"/>
      <c r="D27" s="24"/>
      <c r="E27" s="23"/>
      <c r="F27" s="23"/>
      <c r="H27" s="23"/>
      <c r="I27" s="24"/>
      <c r="J27" s="23"/>
      <c r="K27" s="23"/>
    </row>
    <row r="28" spans="1:11" ht="14.25">
      <c r="A28" s="23"/>
      <c r="B28" s="35"/>
      <c r="C28" s="23"/>
      <c r="D28" s="24"/>
      <c r="E28" s="23"/>
      <c r="F28" s="23"/>
      <c r="H28" s="23"/>
      <c r="I28" s="24"/>
      <c r="K28" s="23"/>
    </row>
    <row r="29" spans="1:11" ht="14.25">
      <c r="A29" s="23"/>
      <c r="B29" s="35"/>
      <c r="C29" s="23"/>
      <c r="D29" s="24"/>
      <c r="E29" s="23"/>
      <c r="F29" s="23"/>
      <c r="H29" s="23"/>
      <c r="I29" s="24"/>
      <c r="J29" s="23"/>
      <c r="K29" s="23"/>
    </row>
    <row r="30" spans="1:11" ht="14.25">
      <c r="A30" s="23"/>
      <c r="B30" s="35"/>
      <c r="C30" s="23"/>
      <c r="D30" s="24"/>
      <c r="E30" s="23"/>
      <c r="F30" s="23"/>
      <c r="H30" s="23"/>
      <c r="I30" s="24"/>
      <c r="J30" s="23"/>
      <c r="K30" s="23"/>
    </row>
    <row r="31" spans="1:11" ht="14.25">
      <c r="A31" s="23"/>
      <c r="B31" s="35"/>
      <c r="C31" s="23"/>
      <c r="D31" s="24"/>
      <c r="E31" s="23"/>
      <c r="F31" s="23"/>
      <c r="H31" s="23"/>
      <c r="I31" s="24"/>
      <c r="J31" s="23"/>
      <c r="K31" s="23"/>
    </row>
    <row r="32" spans="1:11" ht="14.25">
      <c r="A32" s="23"/>
      <c r="B32" s="35"/>
      <c r="C32" s="23"/>
      <c r="D32" s="24"/>
      <c r="E32" s="23"/>
      <c r="F32" s="23"/>
      <c r="H32" s="23"/>
      <c r="I32" s="24"/>
      <c r="J32" s="23"/>
      <c r="K32" s="23"/>
    </row>
    <row r="33" spans="1:11" ht="14.25">
      <c r="A33" s="23"/>
      <c r="B33" s="35"/>
      <c r="C33" s="23"/>
      <c r="D33" s="24"/>
      <c r="E33" s="23"/>
      <c r="F33" s="23"/>
      <c r="H33" s="23"/>
      <c r="I33" s="24"/>
      <c r="J33" s="23"/>
      <c r="K33" s="23"/>
    </row>
    <row r="34" spans="1:11" ht="14.25">
      <c r="A34" s="23"/>
      <c r="B34" s="35"/>
      <c r="C34" s="23"/>
      <c r="D34" s="24"/>
      <c r="E34" s="23"/>
      <c r="F34" s="23"/>
      <c r="H34" s="23"/>
      <c r="I34" s="24"/>
      <c r="J34" s="23"/>
      <c r="K34" s="23"/>
    </row>
    <row r="35" spans="1:11" ht="14.25">
      <c r="A35" s="23"/>
      <c r="B35" s="35"/>
      <c r="C35" s="23"/>
      <c r="D35" s="24"/>
      <c r="E35" s="23"/>
      <c r="F35" s="23"/>
      <c r="H35" s="23"/>
      <c r="I35" s="24"/>
      <c r="J35" s="23"/>
      <c r="K35" s="23"/>
    </row>
    <row r="36" spans="1:11" ht="14.25">
      <c r="A36" s="23"/>
      <c r="B36" s="35"/>
      <c r="C36" s="23"/>
      <c r="D36" s="24"/>
      <c r="E36" s="23"/>
      <c r="F36" s="23"/>
      <c r="H36" s="23"/>
      <c r="I36" s="24"/>
      <c r="J36" s="23"/>
      <c r="K36" s="23"/>
    </row>
    <row r="37" spans="1:11" ht="14.25">
      <c r="A37" s="23"/>
      <c r="B37" s="35"/>
      <c r="C37" s="23"/>
      <c r="D37" s="24"/>
      <c r="E37" s="23"/>
      <c r="F37" s="23"/>
      <c r="H37" s="23"/>
      <c r="I37" s="24"/>
      <c r="J37" s="23"/>
      <c r="K37" s="23"/>
    </row>
    <row r="38" spans="1:11" ht="14.25">
      <c r="A38" s="23"/>
      <c r="B38" s="35"/>
      <c r="C38" s="23"/>
      <c r="D38" s="24"/>
      <c r="E38" s="23"/>
      <c r="F38" s="23"/>
      <c r="H38" s="23"/>
      <c r="I38" s="24"/>
      <c r="J38" s="23"/>
      <c r="K38" s="23"/>
    </row>
    <row r="39" spans="1:11" ht="14.25">
      <c r="A39" s="23"/>
      <c r="B39" s="35"/>
      <c r="C39" s="23"/>
      <c r="D39" s="24"/>
      <c r="E39" s="23"/>
      <c r="F39" s="23"/>
      <c r="H39" s="23"/>
      <c r="I39" s="24"/>
      <c r="J39" s="23"/>
      <c r="K39" s="23"/>
    </row>
    <row r="40" spans="1:11" ht="14.25">
      <c r="A40" s="23"/>
      <c r="B40" s="35"/>
      <c r="C40" s="23"/>
      <c r="D40" s="24"/>
      <c r="E40" s="23"/>
      <c r="F40" s="23"/>
      <c r="H40" s="23"/>
      <c r="I40" s="24"/>
      <c r="J40" s="23"/>
      <c r="K40" s="23"/>
    </row>
    <row r="41" spans="1:11" ht="14.25">
      <c r="A41" s="23"/>
      <c r="B41" s="35"/>
      <c r="C41" s="23"/>
      <c r="D41" s="24"/>
      <c r="E41" s="23"/>
      <c r="F41" s="23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4"/>
      <c r="E42" s="23"/>
      <c r="F42" s="23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3.9">
      <c r="C333" s="23"/>
      <c r="D333" s="23"/>
      <c r="E333" s="23"/>
      <c r="F333" s="24"/>
      <c r="G333" s="23"/>
      <c r="H333" s="23"/>
      <c r="I333" s="24"/>
      <c r="J333" s="23"/>
      <c r="K333" s="23"/>
    </row>
  </sheetData>
  <mergeCells count="4">
    <mergeCell ref="G1:I1"/>
    <mergeCell ref="A1:C1"/>
    <mergeCell ref="D1:F1"/>
    <mergeCell ref="A2:B2"/>
  </mergeCells>
  <conditionalFormatting sqref="F2 I2 F4:F23 I4:I91 D26:D42 F43:F91">
    <cfRule type="cellIs" dxfId="8" priority="1" stopIfTrue="1" operator="lessThanOrEqual">
      <formula>-0.1</formula>
    </cfRule>
    <cfRule type="expression" dxfId="7" priority="2">
      <formula>AND(ISNUMBER(D2), D2&gt;=0.1)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5"/>
  <sheetViews>
    <sheetView zoomScale="80" zoomScaleNormal="80" workbookViewId="0">
      <pane ySplit="2" topLeftCell="A3" activePane="bottomLeft" state="frozen"/>
      <selection pane="bottomLeft" activeCell="H15" sqref="H15"/>
      <selection activeCell="A6" sqref="A6:A15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LX International America, Inc.</v>
      </c>
      <c r="B1" s="53"/>
      <c r="C1" s="53"/>
      <c r="D1" s="54" t="s">
        <v>65</v>
      </c>
      <c r="E1" s="54"/>
      <c r="F1" s="54"/>
      <c r="G1" s="52" t="s">
        <v>66</v>
      </c>
      <c r="H1" s="52"/>
      <c r="I1" s="52"/>
      <c r="J1" s="5"/>
      <c r="K1" s="5"/>
    </row>
    <row r="2" spans="1:11" ht="19.5" customHeight="1">
      <c r="A2" s="55" t="s">
        <v>2</v>
      </c>
      <c r="B2" s="55"/>
      <c r="C2" s="6">
        <f>SUM(C4:C93)</f>
        <v>85269.79</v>
      </c>
      <c r="D2" s="6">
        <f>SUM(D4:D93)</f>
        <v>9206.51</v>
      </c>
      <c r="E2" s="6">
        <f>C2-D2</f>
        <v>76063.28</v>
      </c>
      <c r="F2" s="7">
        <f>IFERROR(E2/D2, 0)</f>
        <v>8.2619016326490708</v>
      </c>
      <c r="G2" s="6">
        <f>SUM(G4:G93)</f>
        <v>0</v>
      </c>
      <c r="H2" s="8">
        <f>C2-G2</f>
        <v>85269.79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30.75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37157.25</v>
      </c>
      <c r="D4" s="14">
        <v>377.93</v>
      </c>
      <c r="E4" s="14">
        <f>IF(AND(ISNUMBER(C4),ISNUMBER(D4)), C4-D4, "")</f>
        <v>36779.32</v>
      </c>
      <c r="F4" s="15">
        <f>IFERROR(E4/D4, "")</f>
        <v>97.317810176487711</v>
      </c>
      <c r="G4" s="16">
        <v>0</v>
      </c>
      <c r="H4" s="16">
        <f>IF(AND(ISNUMBER(C4),ISNUMBER(G4)), C4-G4, "")</f>
        <v>37157.25</v>
      </c>
      <c r="I4" s="17" t="str">
        <f>IFERROR(H4/G4, "")</f>
        <v/>
      </c>
      <c r="J4" s="18" t="s">
        <v>67</v>
      </c>
      <c r="K4" s="18" t="s">
        <v>68</v>
      </c>
    </row>
    <row r="5" spans="1:11" ht="40.5" customHeight="1">
      <c r="A5" s="32" t="str">
        <v>AZ: Lake Havasu City - Aquatic Center</v>
      </c>
      <c r="B5" s="33" t="str">
        <v>AZ</v>
      </c>
      <c r="C5" s="12">
        <v>30583</v>
      </c>
      <c r="D5" s="20">
        <v>320.58</v>
      </c>
      <c r="E5" s="20">
        <f t="shared" ref="E5:E8" si="0">IF(AND(ISNUMBER(C5),ISNUMBER(D5)), C5-D5, "")</f>
        <v>30262.42</v>
      </c>
      <c r="F5" s="21">
        <f>IFERROR(E5/D5, "")</f>
        <v>94.398964377066562</v>
      </c>
      <c r="G5" s="22">
        <v>0</v>
      </c>
      <c r="H5" s="22">
        <f t="shared" ref="H5:H8" si="1">IF(AND(ISNUMBER(C5),ISNUMBER(G5)), C5-G5, "")</f>
        <v>30583</v>
      </c>
      <c r="I5" s="21" t="str">
        <f t="shared" ref="I5:I8" si="2">IFERROR(H5/G5, "")</f>
        <v/>
      </c>
      <c r="J5" s="48" t="s">
        <v>67</v>
      </c>
      <c r="K5" s="44" t="s">
        <v>69</v>
      </c>
    </row>
    <row r="6" spans="1:11" ht="30.75">
      <c r="A6" s="30" t="str">
        <v>AZ: Lake Havasu City - City Hall</v>
      </c>
      <c r="B6" s="31" t="str">
        <v>AZ</v>
      </c>
      <c r="C6" s="26">
        <v>10567</v>
      </c>
      <c r="D6" s="14">
        <v>117.85</v>
      </c>
      <c r="E6" s="14">
        <f t="shared" si="0"/>
        <v>10449.15</v>
      </c>
      <c r="F6" s="15">
        <f t="shared" ref="F6:F8" si="3">IFERROR(E6/D6, "")</f>
        <v>88.664828171404324</v>
      </c>
      <c r="G6" s="16">
        <v>0</v>
      </c>
      <c r="H6" s="16">
        <f t="shared" si="1"/>
        <v>10567</v>
      </c>
      <c r="I6" s="17" t="str">
        <f t="shared" si="2"/>
        <v/>
      </c>
      <c r="J6" s="18" t="s">
        <v>67</v>
      </c>
      <c r="K6" s="18" t="s">
        <v>63</v>
      </c>
    </row>
    <row r="7" spans="1:11" ht="15.75">
      <c r="A7" s="32" t="str">
        <v>AZ: Lake Havasu City - Public Works</v>
      </c>
      <c r="B7" s="33" t="str">
        <v>AZ</v>
      </c>
      <c r="C7" s="12">
        <v>6962.54</v>
      </c>
      <c r="D7" s="20">
        <v>8390.15</v>
      </c>
      <c r="E7" s="20">
        <f t="shared" si="0"/>
        <v>-1427.6099999999997</v>
      </c>
      <c r="F7" s="21">
        <f t="shared" si="3"/>
        <v>-0.17015309619017535</v>
      </c>
      <c r="G7" s="22">
        <v>0</v>
      </c>
      <c r="H7" s="22">
        <f t="shared" si="1"/>
        <v>6962.54</v>
      </c>
      <c r="I7" s="21" t="str">
        <f t="shared" si="2"/>
        <v/>
      </c>
      <c r="J7" s="11"/>
      <c r="K7" s="19"/>
    </row>
    <row r="8" spans="1:11" ht="15.75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2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2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2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2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3.9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5"/>
  <sheetViews>
    <sheetView workbookViewId="0">
      <pane ySplit="2" topLeftCell="A3" activePane="bottomLeft" state="frozen"/>
      <selection pane="bottomLeft" activeCell="F27" sqref="F27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LX International America, Inc.</v>
      </c>
      <c r="B1" s="53"/>
      <c r="C1" s="53"/>
      <c r="D1" s="54" t="s">
        <v>70</v>
      </c>
      <c r="E1" s="54"/>
      <c r="F1" s="54"/>
      <c r="G1" s="52" t="s">
        <v>71</v>
      </c>
      <c r="H1" s="52"/>
      <c r="I1" s="52"/>
      <c r="J1" s="5"/>
      <c r="K1" s="5"/>
    </row>
    <row r="2" spans="1:11" ht="19.5" customHeight="1">
      <c r="A2" s="55" t="s">
        <v>2</v>
      </c>
      <c r="B2" s="55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AZ: Lake Havasu City - Aquatic Center</v>
      </c>
      <c r="B5" s="33" t="str">
        <v>AZ</v>
      </c>
      <c r="C5" s="12"/>
      <c r="D5" s="20"/>
      <c r="E5" s="20" t="str">
        <f t="shared" ref="E5:E8" si="0">IF(AND(ISNUMBER(C5),ISNUMBER(D5)), C5-D5, "")</f>
        <v/>
      </c>
      <c r="F5" s="21" t="str">
        <f>IFERROR(E5/D5, "")</f>
        <v/>
      </c>
      <c r="G5" s="22"/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11"/>
      <c r="K5" s="19"/>
    </row>
    <row r="6" spans="1:11" ht="15.75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8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75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75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2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2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2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2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3.9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7"/>
  <sheetViews>
    <sheetView workbookViewId="0">
      <pane ySplit="3" topLeftCell="A4" activePane="bottomLeft" state="frozen"/>
      <selection pane="bottomLeft" activeCell="E39" sqref="E39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72</v>
      </c>
      <c r="B1" t="s">
        <v>73</v>
      </c>
    </row>
    <row r="3" spans="1:7">
      <c r="A3" t="s">
        <v>74</v>
      </c>
      <c r="B3" t="s">
        <v>3</v>
      </c>
      <c r="C3" t="s">
        <v>4</v>
      </c>
      <c r="D3" t="s">
        <v>75</v>
      </c>
      <c r="E3" s="2" t="s">
        <v>76</v>
      </c>
    </row>
    <row r="4" spans="1:7" ht="14.25">
      <c r="A4" t="s">
        <v>77</v>
      </c>
      <c r="B4" t="s">
        <v>77</v>
      </c>
      <c r="C4" s="4" t="s">
        <v>78</v>
      </c>
      <c r="G4" s="3"/>
    </row>
    <row r="5" spans="1:7" ht="14.25">
      <c r="A5" t="s">
        <v>79</v>
      </c>
      <c r="B5" t="s">
        <v>79</v>
      </c>
      <c r="C5" s="4" t="s">
        <v>78</v>
      </c>
      <c r="G5" s="3"/>
    </row>
    <row r="6" spans="1:7" ht="14.25">
      <c r="A6" t="s">
        <v>80</v>
      </c>
      <c r="B6" t="s">
        <v>80</v>
      </c>
      <c r="C6" s="4" t="s">
        <v>78</v>
      </c>
      <c r="G6" s="3"/>
    </row>
    <row r="7" spans="1:7" ht="12.75" customHeight="1">
      <c r="A7" t="s">
        <v>81</v>
      </c>
      <c r="B7" t="s">
        <v>81</v>
      </c>
      <c r="C7" s="4" t="s">
        <v>78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E3716282-BFD2-4ED2-BA47-BFA1123827F0}"/>
</file>

<file path=customXml/itemProps2.xml><?xml version="1.0" encoding="utf-8"?>
<ds:datastoreItem xmlns:ds="http://schemas.openxmlformats.org/officeDocument/2006/customXml" ds:itemID="{7946C510-7D04-49D8-9B25-EEC04582A1CA}"/>
</file>

<file path=customXml/itemProps3.xml><?xml version="1.0" encoding="utf-8"?>
<ds:datastoreItem xmlns:ds="http://schemas.openxmlformats.org/officeDocument/2006/customXml" ds:itemID="{CB52044A-5C0B-44A2-99D0-C1C315EC302D}"/>
</file>

<file path=customXml/itemProps4.xml><?xml version="1.0" encoding="utf-8"?>
<ds:datastoreItem xmlns:ds="http://schemas.openxmlformats.org/officeDocument/2006/customXml" ds:itemID="{D3A7101F-9A85-4235-8B03-415370C100B2}"/>
</file>

<file path=customXml/itemProps5.xml><?xml version="1.0" encoding="utf-8"?>
<ds:datastoreItem xmlns:ds="http://schemas.openxmlformats.org/officeDocument/2006/customXml" ds:itemID="{F12EFA50-0068-4A8C-85A0-F1B26389EBC3}"/>
</file>

<file path=customXml/itemProps6.xml><?xml version="1.0" encoding="utf-8"?>
<ds:datastoreItem xmlns:ds="http://schemas.openxmlformats.org/officeDocument/2006/customXml" ds:itemID="{E20E8303-6A67-485C-B6F4-303542CC295C}"/>
</file>

<file path=customXml/itemProps7.xml><?xml version="1.0" encoding="utf-8"?>
<ds:datastoreItem xmlns:ds="http://schemas.openxmlformats.org/officeDocument/2006/customXml" ds:itemID="{66B09F59-6532-46F8-924A-9A02417E070D}"/>
</file>

<file path=customXml/itemProps8.xml><?xml version="1.0" encoding="utf-8"?>
<ds:datastoreItem xmlns:ds="http://schemas.openxmlformats.org/officeDocument/2006/customXml" ds:itemID="{98A113BB-8B7A-453C-8BD4-8EFC67FC2D3F}"/>
</file>

<file path=customXml/itemProps9.xml><?xml version="1.0" encoding="utf-8"?>
<ds:datastoreItem xmlns:ds="http://schemas.openxmlformats.org/officeDocument/2006/customXml" ds:itemID="{078388C9-06F9-42F4-B857-EF76B5CAF1FD}"/>
</file>

<file path=customXml/itemProps10.xml><?xml version="1.0" encoding="utf-8"?>
<ds:datastoreItem xmlns:ds="http://schemas.openxmlformats.org/officeDocument/2006/customXml" ds:itemID="{0389C43E-394D-44C0-87DC-4780FCFCFB40}"/>
</file>

<file path=customXml/itemProps11.xml><?xml version="1.0" encoding="utf-8"?>
<ds:datastoreItem xmlns:ds="http://schemas.openxmlformats.org/officeDocument/2006/customXml" ds:itemID="{14966E4F-347B-477B-B74C-9DAC05405806}"/>
</file>

<file path=customXml/itemProps12.xml><?xml version="1.0" encoding="utf-8"?>
<ds:datastoreItem xmlns:ds="http://schemas.openxmlformats.org/officeDocument/2006/customXml" ds:itemID="{C0BCDC1E-6052-4E48-9BAF-94A40814E7C2}"/>
</file>

<file path=customXml/itemProps13.xml><?xml version="1.0" encoding="utf-8"?>
<ds:datastoreItem xmlns:ds="http://schemas.openxmlformats.org/officeDocument/2006/customXml" ds:itemID="{8D732231-4216-4543-A665-18A2886B0EB7}"/>
</file>

<file path=customXml/itemProps14.xml><?xml version="1.0" encoding="utf-8"?>
<ds:datastoreItem xmlns:ds="http://schemas.openxmlformats.org/officeDocument/2006/customXml" ds:itemID="{BE26B669-A686-459C-A5E9-FEC3409C4C81}"/>
</file>

<file path=customXml/itemProps15.xml><?xml version="1.0" encoding="utf-8"?>
<ds:datastoreItem xmlns:ds="http://schemas.openxmlformats.org/officeDocument/2006/customXml" ds:itemID="{BF5C6359-7763-4C37-8EAF-2BC4698CB285}"/>
</file>

<file path=customXml/itemProps16.xml><?xml version="1.0" encoding="utf-8"?>
<ds:datastoreItem xmlns:ds="http://schemas.openxmlformats.org/officeDocument/2006/customXml" ds:itemID="{3AEAA9D8-2182-46BA-A58E-96C72DDA1C54}"/>
</file>

<file path=customXml/itemProps17.xml><?xml version="1.0" encoding="utf-8"?>
<ds:datastoreItem xmlns:ds="http://schemas.openxmlformats.org/officeDocument/2006/customXml" ds:itemID="{F6B2B1A1-1C4B-4AC9-9A7D-7A102DD1C942}"/>
</file>

<file path=customXml/itemProps18.xml><?xml version="1.0" encoding="utf-8"?>
<ds:datastoreItem xmlns:ds="http://schemas.openxmlformats.org/officeDocument/2006/customXml" ds:itemID="{2BC74AAC-D69B-4AF1-9649-B21EF3C1C463}"/>
</file>

<file path=customXml/itemProps19.xml><?xml version="1.0" encoding="utf-8"?>
<ds:datastoreItem xmlns:ds="http://schemas.openxmlformats.org/officeDocument/2006/customXml" ds:itemID="{89CF5C07-45EB-4100-9AFB-2C6AF77FA787}"/>
</file>

<file path=customXml/itemProps20.xml><?xml version="1.0" encoding="utf-8"?>
<ds:datastoreItem xmlns:ds="http://schemas.openxmlformats.org/officeDocument/2006/customXml" ds:itemID="{1954BBA4-0359-438C-B0EC-A756015F7C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Kusuma Potlada [AGS]</cp:lastModifiedBy>
  <cp:revision/>
  <dcterms:created xsi:type="dcterms:W3CDTF">2021-01-01T16:39:53Z</dcterms:created>
  <dcterms:modified xsi:type="dcterms:W3CDTF">2025-01-01T11:58:50Z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2024-09-04T16:22:07Z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7a53973d-fe15-49b3-8e44-71f470cecaed</vt:lpwstr>
  </property>
  <property fmtid="{D5CDD505-2E9C-101B-9397-08002B2CF9AE}" pid="9" name="MSIP_Label_9d817c99-0b37-4a07-8277-96aa1f96b74b_ContentBits">
    <vt:lpwstr>0</vt:lpwstr>
  </property>
</Properties>
</file>