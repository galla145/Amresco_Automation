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18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LibsysAdmin\Downloads\"/>
    </mc:Choice>
  </mc:AlternateContent>
  <xr:revisionPtr revIDLastSave="2" documentId="13_ncr:1_{EDF919FB-19BE-47E5-9E1D-59F4EC099972}" xr6:coauthVersionLast="47" xr6:coauthVersionMax="47" xr10:uidLastSave="{51B9A473-AC72-4E73-827B-855202F002B8}"/>
  <bookViews>
    <workbookView xWindow="-108" yWindow="-108" windowWidth="23256" windowHeight="12456" tabRatio="866" firstSheet="15" activeTab="4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" hidden="1">Jan</definedName>
    <definedName name="_xlcn.WorksheetConnection_MultisiteTemplate2024MonthlyProduction.xlsxSites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0" l="1"/>
  <c r="G4" i="29"/>
  <c r="D4" i="29"/>
  <c r="H4" i="19"/>
  <c r="G4" i="1"/>
  <c r="G4" i="18"/>
  <c r="G2" i="18" s="1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E4" i="3"/>
  <c r="F4" i="3" s="1"/>
  <c r="H4" i="3"/>
  <c r="I4" i="3" s="1"/>
  <c r="E6" i="72"/>
  <c r="F6" i="72" s="1"/>
  <c r="H6" i="72"/>
  <c r="I6" i="72" s="1"/>
  <c r="G4" i="34"/>
  <c r="G2" i="34" s="1"/>
  <c r="B4" i="34" a="1"/>
  <c r="B4" i="34" s="1"/>
  <c r="A4" i="34" a="1"/>
  <c r="A4" i="34" s="1"/>
  <c r="A1" i="34" a="1"/>
  <c r="A1" i="34" s="1"/>
  <c r="D4" i="30"/>
  <c r="D2" i="30" s="1"/>
  <c r="C4" i="30"/>
  <c r="C4" i="29"/>
  <c r="D4" i="18"/>
  <c r="D2" i="18" s="1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A1" i="18" a="1"/>
  <c r="A1" i="18" s="1"/>
  <c r="C4" i="1"/>
  <c r="D4" i="1"/>
  <c r="B4" i="1" a="1"/>
  <c r="B4" i="1" s="1"/>
  <c r="A4" i="1" a="1"/>
  <c r="A4" i="1" s="1"/>
  <c r="A1" i="1" a="1"/>
  <c r="A1" i="1" s="1"/>
  <c r="H5" i="33"/>
  <c r="I5" i="33" s="1"/>
  <c r="E5" i="33"/>
  <c r="F5" i="33" s="1"/>
  <c r="H4" i="33"/>
  <c r="I4" i="33" s="1"/>
  <c r="E4" i="33"/>
  <c r="F4" i="33" s="1"/>
  <c r="G2" i="33"/>
  <c r="D2" i="33"/>
  <c r="C2" i="33"/>
  <c r="H2" i="33" s="1"/>
  <c r="I2" i="33" s="1"/>
  <c r="A1" i="33" a="1"/>
  <c r="A1" i="33" s="1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5" i="28"/>
  <c r="I5" i="28" s="1"/>
  <c r="E5" i="28"/>
  <c r="F5" i="28" s="1"/>
  <c r="H4" i="28"/>
  <c r="I4" i="28" s="1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4" i="27"/>
  <c r="I4" i="27" s="1"/>
  <c r="E4" i="27"/>
  <c r="F4" i="27" s="1"/>
  <c r="G2" i="27"/>
  <c r="D2" i="27"/>
  <c r="C2" i="27"/>
  <c r="A1" i="27" a="1"/>
  <c r="A1" i="27" s="1"/>
  <c r="H5" i="26"/>
  <c r="E5" i="26"/>
  <c r="F5" i="26" s="1"/>
  <c r="H4" i="26"/>
  <c r="I4" i="26" s="1"/>
  <c r="E4" i="26"/>
  <c r="F4" i="26" s="1"/>
  <c r="G2" i="26"/>
  <c r="D2" i="26"/>
  <c r="C2" i="26"/>
  <c r="A1" i="26" a="1"/>
  <c r="A1" i="26" s="1"/>
  <c r="H5" i="19"/>
  <c r="I5" i="19" s="1"/>
  <c r="E5" i="19"/>
  <c r="F5" i="19" s="1"/>
  <c r="I4" i="19"/>
  <c r="E4" i="19"/>
  <c r="F4" i="19" s="1"/>
  <c r="G2" i="19"/>
  <c r="D2" i="19"/>
  <c r="C2" i="19"/>
  <c r="A1" i="19" a="1"/>
  <c r="A1" i="19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5" i="21"/>
  <c r="I5" i="21" s="1"/>
  <c r="E5" i="21"/>
  <c r="F5" i="21" s="1"/>
  <c r="H4" i="21"/>
  <c r="I4" i="21" s="1"/>
  <c r="E4" i="21"/>
  <c r="F4" i="21" s="1"/>
  <c r="G2" i="21"/>
  <c r="D2" i="21"/>
  <c r="C2" i="21"/>
  <c r="H2" i="21" s="1"/>
  <c r="I2" i="21" s="1"/>
  <c r="A1" i="21" a="1"/>
  <c r="A1" i="21" s="1"/>
  <c r="H5" i="4"/>
  <c r="I5" i="4" s="1"/>
  <c r="E5" i="4"/>
  <c r="F5" i="4" s="1"/>
  <c r="H4" i="4"/>
  <c r="I4" i="4" s="1"/>
  <c r="E4" i="4"/>
  <c r="F4" i="4" s="1"/>
  <c r="G2" i="4"/>
  <c r="D2" i="4"/>
  <c r="C2" i="4"/>
  <c r="H2" i="4" s="1"/>
  <c r="I2" i="4" s="1"/>
  <c r="A1" i="4" a="1"/>
  <c r="A1" i="4" s="1"/>
  <c r="G2" i="3"/>
  <c r="D2" i="3"/>
  <c r="C2" i="3"/>
  <c r="J2" i="3" s="1"/>
  <c r="A1" i="3" a="1"/>
  <c r="A1" i="3" s="1"/>
  <c r="E5" i="72"/>
  <c r="F5" i="72" s="1"/>
  <c r="H5" i="72"/>
  <c r="I5" i="72" s="1"/>
  <c r="H4" i="72"/>
  <c r="I4" i="72" s="1"/>
  <c r="G2" i="72"/>
  <c r="D2" i="72"/>
  <c r="C2" i="72"/>
  <c r="J2" i="72" s="1"/>
  <c r="E4" i="72"/>
  <c r="F4" i="72" s="1"/>
  <c r="A1" i="72" a="1"/>
  <c r="A1" i="72" s="1"/>
  <c r="C4" i="34" l="1"/>
  <c r="J2" i="4"/>
  <c r="J2" i="33"/>
  <c r="J2" i="21"/>
  <c r="J2" i="20"/>
  <c r="H2" i="19"/>
  <c r="I2" i="19" s="1"/>
  <c r="H2" i="26"/>
  <c r="I2" i="26" s="1"/>
  <c r="E2" i="28"/>
  <c r="F2" i="28" s="1"/>
  <c r="J2" i="19"/>
  <c r="D2" i="29"/>
  <c r="J2" i="26"/>
  <c r="H2" i="20"/>
  <c r="I2" i="20" s="1"/>
  <c r="J2" i="28"/>
  <c r="J2" i="31"/>
  <c r="E4" i="30"/>
  <c r="F4" i="30" s="1"/>
  <c r="J2" i="32"/>
  <c r="D4" i="34"/>
  <c r="D2" i="34" s="1"/>
  <c r="H2" i="27"/>
  <c r="I2" i="27" s="1"/>
  <c r="J2" i="27"/>
  <c r="H2" i="3"/>
  <c r="I2" i="3" s="1"/>
  <c r="G2" i="1"/>
  <c r="H4" i="30"/>
  <c r="I4" i="30" s="1"/>
  <c r="I5" i="26"/>
  <c r="H4" i="29"/>
  <c r="I4" i="29" s="1"/>
  <c r="H4" i="18"/>
  <c r="I4" i="18" s="1"/>
  <c r="C2" i="29"/>
  <c r="C2" i="30"/>
  <c r="E4" i="29"/>
  <c r="F4" i="29" s="1"/>
  <c r="C2" i="18"/>
  <c r="H4" i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2" i="29" l="1"/>
  <c r="F2" i="29" s="1"/>
  <c r="E4" i="34"/>
  <c r="F4" i="34" s="1"/>
  <c r="H2" i="1"/>
  <c r="I2" i="1" s="1"/>
  <c r="C2" i="34"/>
  <c r="H2" i="34" s="1"/>
  <c r="I2" i="34" s="1"/>
  <c r="I4" i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<sst xmlns="http://schemas.openxmlformats.org/spreadsheetml/2006/main" count="240" uniqueCount="54">
  <si>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</si>
  <si>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</si>
  <si>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</si>
  <si>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</si>
  <si>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</si>
  <si>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</si>
  <si>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</si>
  <si>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</si>
  <si>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</si>
  <si>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</si>
  <si>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</si>
  <si>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</si>
  <si>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</si>
  <si>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</si>
  <si>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</si>
  <si>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</si>
  <si>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</si>
  <si>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</si>
  <si>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</si>
  <si>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</si>
  <si>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</si>
  <si>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</si>
  <si>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February Actual v. Expected</t>
  </si>
  <si>
    <t>February Actual v. Forecasted</t>
  </si>
  <si>
    <t>March Actual v. Expected</t>
  </si>
  <si>
    <t>March Actual v. Forecasted</t>
  </si>
  <si>
    <t>April Actual v. Expected</t>
  </si>
  <si>
    <t>April Actual v. Forecasted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</si>
  <si>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</si>
  <si>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</si>
  <si>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</si>
  <si>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</si>
  <si>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</si>
  <si>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</si>
  <si>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</si>
  <si>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</si>
  <si>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</si>
  <si>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</si>
  <si>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</si>
  <si>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</si>
  <si>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</si>
  <si>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</si>
  <si>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</si>
  <si>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</si>
  <si>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</si>
  <si>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Willwork</t>
  </si>
  <si>
    <t>Site DAS Name</t>
  </si>
  <si>
    <t>Update</t>
  </si>
  <si>
    <t>DAS</t>
  </si>
  <si>
    <t>23 Norfolk Ave - Teamwork/Willwork</t>
  </si>
  <si>
    <t>MA: South Easton - Willwork</t>
  </si>
  <si>
    <t>MA</t>
  </si>
  <si>
    <t>AF</t>
  </si>
  <si>
    <t>PowerTrack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</si>
</sst>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47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164" fontId="28" fillId="44" borderId="0" xfId="1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4" totalsRowShown="0">
  <autoFilter ref="A3:E4" xr:uid="{C9C95D9E-67ED-41E0-9F41-9C3DA4ACF4CD}"/>
  <sortState xmlns:xlrd2="http://schemas.microsoft.com/office/spreadsheetml/2017/richdata2" ref="A4:D4">
    <sortCondition ref="C3:C4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02"/>
  <sheetViews>
    <sheetView workbookViewId="0">
      <pane ySplit="2" topLeftCell="A3" activePane="bottomLeft" state="frozen"/>
      <selection pane="bottomLeft" activeCell="G3" sqref="G3"/>
      <selection activeCell="A6" sqref="A6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0</v>
      </c>
      <c r="E1" s="45"/>
      <c r="F1" s="45"/>
      <c r="G1" s="43" t="s">
        <v>1</v>
      </c>
      <c r="H1" s="43"/>
      <c r="I1" s="43"/>
    </row>
    <row r="2" spans="1:9" ht="19.5" customHeight="1">
      <c r="A2" s="46" t="s">
        <v>2</v>
      </c>
      <c r="B2" s="46"/>
      <c r="C2" s="6">
        <f>SUM(C4:C60)</f>
        <v>92518.319468261703</v>
      </c>
      <c r="D2" s="6">
        <f>SUM(D4:D60)</f>
        <v>0</v>
      </c>
      <c r="E2" s="6">
        <f>C2-D2</f>
        <v>92518.319468261703</v>
      </c>
      <c r="F2" s="7">
        <f>IFERROR(E2/D2, 0)</f>
        <v>0</v>
      </c>
      <c r="G2" s="6">
        <f>SUM(G4:G60)</f>
        <v>53514.959000000003</v>
      </c>
      <c r="H2" s="8">
        <f>C2-G2</f>
        <v>39003.360468261701</v>
      </c>
      <c r="I2" s="7">
        <f>IFERROR(H2/G2, 0)</f>
        <v>0.72883098851410311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SUM('1st Qtr'!C4, '2nd Qtr'!C4, '3rd Qtr'!C4, '4th Qtr'!C4)</f>
        <v>92518.319468261703</v>
      </c>
      <c r="D4" s="14">
        <f>SUM('1st Qtr'!D4, '2nd Qtr'!D4, '3rd Qtr'!D4, '4th Qtr'!D4)</f>
        <v>0</v>
      </c>
      <c r="E4" s="14">
        <f>IF(AND(ISNUMBER(C4),ISNUMBER(D4)), C4-D4, "")</f>
        <v>92518.319468261703</v>
      </c>
      <c r="F4" s="15" t="str">
        <f>IFERROR(E4/D4, "")</f>
        <v/>
      </c>
      <c r="G4" s="16">
        <f>SUM('1st Qtr'!G4,'2nd Qtr'!G4,'3rd Qtr'!G4,'4th Qtr'!G4)</f>
        <v>53514.959000000003</v>
      </c>
      <c r="H4" s="16">
        <f>SUM('1st Qtr'!H4, '2nd Qtr'!H4, '3rd Qtr'!H4, '4th Qtr'!H4)</f>
        <v>39003.360468261708</v>
      </c>
      <c r="I4" s="17">
        <f>IFERROR(H4/G4, "")</f>
        <v>0.72883098851410322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60 I4:I60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10"/>
  <sheetViews>
    <sheetView workbookViewId="0">
      <pane ySplit="2" topLeftCell="A3" activePane="bottomLeft" state="frozen"/>
      <selection pane="bottomLeft" activeCell="G4" sqref="G4"/>
      <selection activeCell="A16" sqref="A16:XFD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10</v>
      </c>
      <c r="E1" s="45"/>
      <c r="F1" s="45"/>
      <c r="G1" s="43" t="s">
        <v>11</v>
      </c>
      <c r="H1" s="43"/>
      <c r="I1" s="43"/>
    </row>
    <row r="2" spans="1:9" ht="19.5" customHeight="1">
      <c r="A2" s="46" t="s">
        <v>2</v>
      </c>
      <c r="B2" s="46"/>
      <c r="C2" s="6">
        <f>SUM(C4:C68)</f>
        <v>15705.26751708984</v>
      </c>
      <c r="D2" s="6">
        <f>SUM(D4:D68)</f>
        <v>0</v>
      </c>
      <c r="E2" s="6">
        <f>C2-D2</f>
        <v>15705.26751708984</v>
      </c>
      <c r="F2" s="7">
        <f>IFERROR(E2/D2, 0)</f>
        <v>0</v>
      </c>
      <c r="G2" s="6">
        <f>SUM(G4:G68)</f>
        <v>10485</v>
      </c>
      <c r="H2" s="8">
        <f>C2-G2</f>
        <v>5220.2675170898401</v>
      </c>
      <c r="I2" s="7">
        <f>IFERROR(H2/G2, 0)</f>
        <v>0.4978795915202518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SUM(Jan!C4, Feb!C4, Mar!C4)</f>
        <v>15705.26751708984</v>
      </c>
      <c r="D4" s="14">
        <f>SUM(Jan!D4, Feb!D4, Mar!D4)</f>
        <v>0</v>
      </c>
      <c r="E4" s="14">
        <f>IF(AND(ISNUMBER(C4),ISNUMBER(D4)), C4-D4, "")</f>
        <v>15705.26751708984</v>
      </c>
      <c r="F4" s="15" t="str">
        <f>IFERROR(E4/D4, "")</f>
        <v/>
      </c>
      <c r="G4" s="16">
        <f>SUM(Jan!G4, Feb!G4, Mar!G4)</f>
        <v>10485</v>
      </c>
      <c r="H4" s="16">
        <f>SUM(Jan!H4, Feb!H4, Mar!H4)</f>
        <v>5220.2675170898401</v>
      </c>
      <c r="I4" s="17">
        <f>IFERROR(H4/G4, "")</f>
        <v>0.4978795915202518</v>
      </c>
    </row>
    <row r="5" spans="1:9" ht="13.9">
      <c r="A5" s="23"/>
      <c r="B5" s="23"/>
      <c r="C5" s="23"/>
      <c r="D5" s="23"/>
      <c r="E5" s="23"/>
      <c r="F5" s="24"/>
      <c r="G5" s="23"/>
      <c r="H5" s="23"/>
      <c r="I5" s="24"/>
    </row>
    <row r="6" spans="1:9" ht="13.9">
      <c r="A6" s="23"/>
      <c r="B6" s="23"/>
      <c r="C6" s="23"/>
      <c r="D6" s="23"/>
      <c r="E6" s="23"/>
      <c r="F6" s="24"/>
      <c r="G6" s="23"/>
      <c r="H6" s="23"/>
      <c r="I6" s="24"/>
    </row>
    <row r="7" spans="1:9" ht="13.9">
      <c r="A7" s="23"/>
      <c r="B7" s="23"/>
      <c r="C7" s="23"/>
      <c r="D7" s="23"/>
      <c r="E7" s="23"/>
      <c r="F7" s="24"/>
      <c r="G7" s="23"/>
      <c r="H7" s="23"/>
      <c r="I7" s="24"/>
    </row>
    <row r="8" spans="1:9" ht="13.9">
      <c r="A8" s="23"/>
      <c r="B8" s="23"/>
      <c r="C8" s="23"/>
      <c r="D8" s="23"/>
      <c r="E8" s="23"/>
      <c r="F8" s="24"/>
      <c r="G8" s="23"/>
      <c r="H8" s="23"/>
      <c r="I8" s="24"/>
    </row>
    <row r="9" spans="1:9" ht="13.9">
      <c r="A9" s="23"/>
      <c r="B9" s="23"/>
      <c r="C9" s="23"/>
      <c r="D9" s="23"/>
      <c r="E9" s="23"/>
      <c r="F9" s="24"/>
      <c r="G9" s="23"/>
      <c r="H9" s="23"/>
      <c r="I9" s="24"/>
    </row>
    <row r="10" spans="1:9" ht="13.9">
      <c r="A10" s="23"/>
      <c r="B10" s="23"/>
      <c r="C10" s="23"/>
      <c r="D10" s="23"/>
      <c r="E10" s="23"/>
      <c r="F10" s="24"/>
      <c r="G10" s="23"/>
      <c r="H10" s="23"/>
      <c r="I10" s="24"/>
    </row>
    <row r="11" spans="1:9" ht="13.9">
      <c r="A11" s="23"/>
      <c r="B11" s="23"/>
      <c r="C11" s="23"/>
      <c r="D11" s="23"/>
      <c r="E11" s="23"/>
      <c r="F11" s="24"/>
      <c r="G11" s="23"/>
      <c r="H11" s="23"/>
      <c r="I11" s="24"/>
    </row>
    <row r="12" spans="1:9" ht="13.9">
      <c r="A12" s="23"/>
      <c r="B12" s="23"/>
      <c r="C12" s="23"/>
      <c r="D12" s="23"/>
      <c r="E12" s="23"/>
      <c r="F12" s="24"/>
      <c r="G12" s="23"/>
      <c r="H12" s="23"/>
      <c r="I12" s="24"/>
    </row>
    <row r="13" spans="1:9" ht="13.9">
      <c r="A13" s="23"/>
      <c r="B13" s="23"/>
      <c r="C13" s="23"/>
      <c r="D13" s="23"/>
      <c r="E13" s="23"/>
      <c r="F13" s="24"/>
      <c r="G13" s="23"/>
      <c r="H13" s="23"/>
      <c r="I13" s="24"/>
    </row>
    <row r="14" spans="1:9" ht="13.9">
      <c r="A14" s="23"/>
      <c r="B14" s="23"/>
      <c r="C14" s="23"/>
      <c r="D14" s="23"/>
      <c r="E14" s="23"/>
      <c r="F14" s="24"/>
      <c r="G14" s="23"/>
      <c r="H14" s="23"/>
      <c r="I14" s="24"/>
    </row>
    <row r="15" spans="1:9" ht="13.9">
      <c r="A15" s="23"/>
      <c r="B15" s="23"/>
      <c r="C15" s="23"/>
      <c r="D15" s="23"/>
      <c r="E15" s="23"/>
      <c r="F15" s="24"/>
      <c r="G15" s="23"/>
      <c r="H15" s="23"/>
      <c r="I15" s="24"/>
    </row>
    <row r="16" spans="1:9" ht="13.9">
      <c r="A16" s="23"/>
      <c r="B16" s="23"/>
      <c r="C16" s="23"/>
      <c r="D16" s="23"/>
      <c r="E16" s="23"/>
      <c r="F16" s="24"/>
      <c r="G16" s="23"/>
      <c r="H16" s="23"/>
      <c r="I16" s="24"/>
    </row>
    <row r="17" spans="1:9" ht="13.9">
      <c r="A17" s="23"/>
      <c r="B17" s="23"/>
      <c r="C17" s="23"/>
      <c r="D17" s="23"/>
      <c r="E17" s="23"/>
      <c r="F17" s="24"/>
      <c r="G17" s="23"/>
      <c r="H17" s="23"/>
      <c r="I17" s="24"/>
    </row>
    <row r="18" spans="1:9" ht="13.9">
      <c r="A18" s="23"/>
      <c r="B18" s="23"/>
      <c r="C18" s="23"/>
      <c r="D18" s="23"/>
      <c r="E18" s="23"/>
      <c r="F18" s="24"/>
      <c r="G18" s="23"/>
      <c r="H18" s="23"/>
      <c r="I18" s="24"/>
    </row>
    <row r="19" spans="1:9" ht="13.9">
      <c r="A19" s="23"/>
      <c r="B19" s="23"/>
      <c r="C19" s="23"/>
      <c r="D19" s="23"/>
      <c r="E19" s="23"/>
      <c r="F19" s="24"/>
      <c r="G19" s="23"/>
      <c r="H19" s="23"/>
      <c r="I19" s="24"/>
    </row>
    <row r="20" spans="1:9" ht="13.9">
      <c r="A20" s="23"/>
      <c r="B20" s="23"/>
      <c r="C20" s="23"/>
      <c r="D20" s="23"/>
      <c r="E20" s="23"/>
      <c r="F20" s="24"/>
      <c r="G20" s="23"/>
      <c r="H20" s="23"/>
      <c r="I20" s="24"/>
    </row>
    <row r="21" spans="1:9" ht="13.9">
      <c r="A21" s="23"/>
      <c r="B21" s="23"/>
      <c r="C21" s="23"/>
      <c r="D21" s="23"/>
      <c r="E21" s="23"/>
      <c r="F21" s="24"/>
      <c r="G21" s="23"/>
      <c r="H21" s="23"/>
      <c r="I21" s="24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68 I4:I68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2"/>
  <sheetViews>
    <sheetView workbookViewId="0">
      <pane ySplit="2" topLeftCell="A3" activePane="bottomLeft" state="frozen"/>
      <selection pane="bottomLeft" activeCell="G12" sqref="G12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12</v>
      </c>
      <c r="E1" s="45"/>
      <c r="F1" s="45"/>
      <c r="G1" s="43" t="s">
        <v>13</v>
      </c>
      <c r="H1" s="43"/>
      <c r="I1" s="43"/>
    </row>
    <row r="2" spans="1:9" ht="19.5" customHeight="1">
      <c r="A2" s="46" t="s">
        <v>2</v>
      </c>
      <c r="B2" s="46"/>
      <c r="C2" s="6">
        <f>SUM(C4:C90)</f>
        <v>33850.511978027338</v>
      </c>
      <c r="D2" s="6">
        <f>SUM(D4:D90)</f>
        <v>0</v>
      </c>
      <c r="E2" s="6">
        <f>C2-D2</f>
        <v>33850.511978027338</v>
      </c>
      <c r="F2" s="7">
        <f>IFERROR(E2/D2, 0)</f>
        <v>0</v>
      </c>
      <c r="G2" s="6">
        <f>SUM(G4:G90)</f>
        <v>19319.286</v>
      </c>
      <c r="H2" s="8">
        <f>C2-G2</f>
        <v>14531.225978027338</v>
      </c>
      <c r="I2" s="7">
        <f>IFERROR(H2/G2, 0)</f>
        <v>0.752161647072637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SUM(Apr!C4, May!C4, Jun!C4)</f>
        <v>33850.511978027338</v>
      </c>
      <c r="D4" s="14">
        <f>SUM(Apr!D4, May!D4, Jun!D4)</f>
        <v>0</v>
      </c>
      <c r="E4" s="14">
        <f>IF(AND(ISNUMBER(C4),ISNUMBER(D4)), C4-D4, "")</f>
        <v>33850.511978027338</v>
      </c>
      <c r="F4" s="15" t="str">
        <f>IFERROR(E4/D4, "")</f>
        <v/>
      </c>
      <c r="G4" s="16">
        <f>SUM(Apr!G4+May!G4+Jun!G4)</f>
        <v>19319.286</v>
      </c>
      <c r="H4" s="16">
        <f>SUM(Apr!H4, May!H4, Jun!H4)</f>
        <v>14531.225978027342</v>
      </c>
      <c r="I4" s="17">
        <f>IFERROR(H4/G4, "")</f>
        <v>0.75216164707263722</v>
      </c>
    </row>
    <row r="5" spans="1:9" ht="15.6">
      <c r="A5" s="19"/>
      <c r="B5" s="11"/>
      <c r="C5" s="12"/>
      <c r="D5" s="20"/>
      <c r="E5" s="20"/>
      <c r="F5" s="21"/>
      <c r="G5" s="22"/>
      <c r="H5" s="22"/>
      <c r="I5" s="21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3.9">
      <c r="A7" s="23"/>
      <c r="B7" s="23"/>
      <c r="C7" s="23"/>
      <c r="D7" s="23"/>
      <c r="E7" s="23"/>
      <c r="F7" s="23"/>
      <c r="G7" s="23"/>
      <c r="H7" s="23"/>
      <c r="I7" s="23"/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0 I4:I90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1"/>
  <sheetViews>
    <sheetView workbookViewId="0">
      <pane ySplit="2" topLeftCell="F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14</v>
      </c>
      <c r="E1" s="45"/>
      <c r="F1" s="45"/>
      <c r="G1" s="43" t="s">
        <v>15</v>
      </c>
      <c r="H1" s="43"/>
      <c r="I1" s="43"/>
    </row>
    <row r="2" spans="1:9" ht="19.5" customHeight="1">
      <c r="A2" s="46" t="s">
        <v>2</v>
      </c>
      <c r="B2" s="46"/>
      <c r="C2" s="6">
        <f>SUM(C4:C89)</f>
        <v>30331.004999999997</v>
      </c>
      <c r="D2" s="6">
        <f>SUM(D4:D89)</f>
        <v>0</v>
      </c>
      <c r="E2" s="6">
        <f>C2-D2</f>
        <v>30331.004999999997</v>
      </c>
      <c r="F2" s="7">
        <f>IFERROR(E2/D2, 0)</f>
        <v>0</v>
      </c>
      <c r="G2" s="6">
        <f>SUM(G4:G89)</f>
        <v>17788.252</v>
      </c>
      <c r="H2" s="8">
        <f>C2-G2</f>
        <v>12542.752999999997</v>
      </c>
      <c r="I2" s="7">
        <f>IFERROR(H2/G2, 0)</f>
        <v>0.70511442046132455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SUM(Jul!C4, Aug!C4, Sep!C4)</f>
        <v>30331.004999999997</v>
      </c>
      <c r="D4" s="14">
        <f>SUM(Jul!D4, Aug!D4, Sep!D4)</f>
        <v>0</v>
      </c>
      <c r="E4" s="14">
        <f>IF(AND(ISNUMBER(C4),ISNUMBER(D4)), C4-D4, "")</f>
        <v>30331.004999999997</v>
      </c>
      <c r="F4" s="15" t="str">
        <f>IFERROR(E4/D4, "")</f>
        <v/>
      </c>
      <c r="G4" s="16">
        <f>SUM(Jul!G4, Aug!G4, Sep!G4)</f>
        <v>17788.252</v>
      </c>
      <c r="H4" s="16">
        <f>SUM(Jul!H4, Aug!H4, Sep!H4)</f>
        <v>12542.752999999997</v>
      </c>
      <c r="I4" s="17">
        <f>IFERROR(H4/G4, "")</f>
        <v>0.70511442046132455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1"/>
  <sheetViews>
    <sheetView tabSelected="1" workbookViewId="0">
      <pane ySplit="2" topLeftCell="E3" activePane="bottomLeft" state="frozen"/>
      <selection pane="bottomLeft" activeCell="G5" sqref="G5"/>
      <selection activeCell="J20" sqref="J20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4" t="str" cm="1">
        <f t="array" ref="A1">portfolio</f>
        <v>Willwork</v>
      </c>
      <c r="B1" s="44"/>
      <c r="C1" s="44"/>
      <c r="D1" s="45" t="s">
        <v>16</v>
      </c>
      <c r="E1" s="45"/>
      <c r="F1" s="45"/>
      <c r="G1" s="43" t="s">
        <v>17</v>
      </c>
      <c r="H1" s="43"/>
      <c r="I1" s="43"/>
    </row>
    <row r="2" spans="1:9" ht="19.5" customHeight="1">
      <c r="A2" s="46" t="s">
        <v>2</v>
      </c>
      <c r="B2" s="46"/>
      <c r="C2" s="6">
        <f>SUM(C4:C89)</f>
        <v>12631.534973144531</v>
      </c>
      <c r="D2" s="6">
        <f>SUM(D4:D89)</f>
        <v>0</v>
      </c>
      <c r="E2" s="6">
        <f>C2-D2</f>
        <v>12631.534973144531</v>
      </c>
      <c r="F2" s="7">
        <f>IFERROR(E2/D2, 0)</f>
        <v>0</v>
      </c>
      <c r="G2" s="6">
        <f>SUM(G4:G89)</f>
        <v>5922.4210000000003</v>
      </c>
      <c r="H2" s="8">
        <f>C2-G2</f>
        <v>6709.113973144531</v>
      </c>
      <c r="I2" s="7">
        <f>IFERROR(H2/G2, 0)</f>
        <v>1.1328330041286376</v>
      </c>
    </row>
    <row r="3" spans="1:9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</row>
    <row r="4" spans="1:9" ht="15.6">
      <c r="A4" s="13" t="str" cm="1">
        <f t="array" ref="A4">Sites[Site]</f>
        <v>MA: South Easton - Willwork</v>
      </c>
      <c r="B4" s="10" t="str" cm="1">
        <f t="array" ref="B4">Sites[State]</f>
        <v>MA</v>
      </c>
      <c r="C4" s="26">
        <f>SUM(Oct!C4, Nov!C4, Dec!C4)</f>
        <v>12631.534973144531</v>
      </c>
      <c r="D4" s="14">
        <f>SUM(Oct!D4, Nov!D4, Dec!D4)</f>
        <v>0</v>
      </c>
      <c r="E4" s="14">
        <f>IF(AND(ISNUMBER(C4),ISNUMBER(D4)), C4-D4, "")</f>
        <v>12631.534973144531</v>
      </c>
      <c r="F4" s="15" t="str">
        <f>IFERROR(E4/D4, "")</f>
        <v/>
      </c>
      <c r="G4" s="16">
        <f>SUM(Oct!G4,Nov!G4,Dec!G4)</f>
        <v>5922.4210000000003</v>
      </c>
      <c r="H4" s="16">
        <f>SUM(Oct!H4, Nov!H4, Dec!H4)</f>
        <v>6709.113973144531</v>
      </c>
      <c r="I4" s="17">
        <f>IFERROR(H4/G4, "")</f>
        <v>1.1328330041286376</v>
      </c>
    </row>
    <row r="5" spans="1:9" ht="13.9">
      <c r="A5" s="23"/>
      <c r="B5" s="23"/>
      <c r="C5" s="23"/>
      <c r="D5" s="23"/>
      <c r="E5" s="23"/>
      <c r="F5" s="23"/>
      <c r="G5" s="23"/>
      <c r="H5" s="23"/>
      <c r="I5" s="23"/>
    </row>
    <row r="6" spans="1:9" ht="13.9">
      <c r="A6" s="23"/>
      <c r="B6" s="23"/>
      <c r="C6" s="23"/>
      <c r="D6" s="23"/>
      <c r="E6" s="23"/>
      <c r="F6" s="23"/>
      <c r="G6" s="23"/>
      <c r="H6" s="23"/>
      <c r="I6" s="23"/>
    </row>
    <row r="7" spans="1:9" ht="12.75" customHeight="1">
      <c r="A7" s="23"/>
      <c r="B7" s="23"/>
      <c r="C7" s="23"/>
      <c r="D7" s="23"/>
      <c r="E7" s="23"/>
      <c r="F7" s="23"/>
      <c r="G7" s="23"/>
      <c r="H7" s="23"/>
      <c r="I7" s="23"/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4"/>
      <c r="G22" s="23"/>
      <c r="H22" s="23"/>
      <c r="I22" s="24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</sheetData>
  <mergeCells count="4">
    <mergeCell ref="G1:I1"/>
    <mergeCell ref="A1:C1"/>
    <mergeCell ref="D1:F1"/>
    <mergeCell ref="A2:B2"/>
  </mergeCells>
  <conditionalFormatting sqref="F2 I2 F4:F89 I4:I89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1"/>
  <sheetViews>
    <sheetView workbookViewId="0">
      <pane ySplit="3" topLeftCell="A4" activePane="bottomLeft" state="frozen"/>
      <selection pane="bottomLeft" activeCell="E18" sqref="E18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18</v>
      </c>
      <c r="E1" s="45"/>
      <c r="F1" s="45"/>
      <c r="G1" s="43" t="s">
        <v>19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SUM(C4:C89)</f>
        <v>2222.2675170898401</v>
      </c>
      <c r="D2" s="6">
        <f>SUM(D4:D89)</f>
        <v>0</v>
      </c>
      <c r="E2" s="6">
        <f>C2-D2</f>
        <v>2222.2675170898401</v>
      </c>
      <c r="F2" s="7">
        <f>IFERROR(E2/D2, 0)</f>
        <v>0</v>
      </c>
      <c r="G2" s="6">
        <f>SUM(G4:G89)</f>
        <v>2327</v>
      </c>
      <c r="H2" s="8">
        <f>C2-G2</f>
        <v>-104.73248291015989</v>
      </c>
      <c r="I2" s="7">
        <f>IFERROR(H2/G2, 0)</f>
        <v>-4.500751306839703E-2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41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2222.2675170898401</v>
      </c>
      <c r="D4" s="14">
        <v>0</v>
      </c>
      <c r="E4" s="14">
        <f>IF(AND(ISNUMBER(C4),ISNUMBER(D4)), C4-D4, "")</f>
        <v>2222.2675170898401</v>
      </c>
      <c r="F4" s="15" t="str">
        <f>IFERROR(E4/D4, "")</f>
        <v/>
      </c>
      <c r="G4" s="16">
        <v>2327</v>
      </c>
      <c r="H4" s="16">
        <f>IF(AND(ISNUMBER(C4),ISNUMBER(G4)), C4-G4, "")</f>
        <v>-104.73248291015989</v>
      </c>
      <c r="I4" s="17">
        <f>IFERROR(H4/G4, "")</f>
        <v>-4.500751306839703E-2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 t="str">
        <f t="shared" ref="E6" si="4">IF(AND(ISNUMBER(C6),ISNUMBER(D6)), C6-D6, "")</f>
        <v/>
      </c>
      <c r="F6" s="23" t="str">
        <f t="shared" ref="F6" si="5">IFERROR(E6/D6, "")</f>
        <v/>
      </c>
      <c r="G6" s="23"/>
      <c r="H6" s="23" t="str">
        <f t="shared" ref="H6" si="6">IF(AND(ISNUMBER(C6),ISNUMBER(G6)), C6-G6, "")</f>
        <v/>
      </c>
      <c r="I6" s="23" t="str">
        <f t="shared" ref="I6" si="7">IFERROR(H6/G6, "")</f>
        <v/>
      </c>
      <c r="J6" s="23"/>
      <c r="K6" s="23"/>
    </row>
    <row r="7" spans="1:11" ht="12.75" customHeight="1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</sheetData>
  <mergeCells count="4">
    <mergeCell ref="D1:F1"/>
    <mergeCell ref="A1:C1"/>
    <mergeCell ref="G1:I1"/>
    <mergeCell ref="A2:B2"/>
  </mergeCells>
  <conditionalFormatting sqref="F2 I2 F4:F89 I4:I89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27"/>
  <sheetViews>
    <sheetView workbookViewId="0">
      <pane ySplit="2" topLeftCell="A21" activePane="bottomLeft" state="frozen"/>
      <selection pane="bottomLeft" activeCell="E21" sqref="E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22</v>
      </c>
      <c r="E1" s="45"/>
      <c r="F1" s="45"/>
      <c r="G1" s="43" t="s">
        <v>23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SUM(C4:C85)</f>
        <v>5541</v>
      </c>
      <c r="D2" s="6">
        <f>SUM(D4:D85)</f>
        <v>0</v>
      </c>
      <c r="E2" s="6">
        <f>C2-D2</f>
        <v>5541</v>
      </c>
      <c r="F2" s="7">
        <f>IFERROR(E2/D2, 0)</f>
        <v>0</v>
      </c>
      <c r="G2" s="6">
        <f>SUM(G4:G85)</f>
        <v>3205</v>
      </c>
      <c r="H2" s="8">
        <f>C2-G2</f>
        <v>2336</v>
      </c>
      <c r="I2" s="7">
        <f>IFERROR(H2/G2, 0)</f>
        <v>0.72886115444617783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42">
        <v>5541</v>
      </c>
      <c r="D4" s="14">
        <v>0</v>
      </c>
      <c r="E4" s="14">
        <f>IF(AND(ISNUMBER(C4),ISNUMBER(D4)), C4-D4, "")</f>
        <v>5541</v>
      </c>
      <c r="F4" s="15" t="str">
        <f>IFERROR(E4/D4, "")</f>
        <v/>
      </c>
      <c r="G4" s="16">
        <v>3205</v>
      </c>
      <c r="H4" s="16">
        <f>IF(AND(ISNUMBER(C4),ISNUMBER(G4)), C4-G4, "")</f>
        <v>2336</v>
      </c>
      <c r="I4" s="17">
        <f>IFERROR(H4/G4, "")</f>
        <v>0.72886115444617783</v>
      </c>
      <c r="J4" s="18"/>
      <c r="K4" s="18"/>
    </row>
    <row r="5" spans="1:11" ht="14.45">
      <c r="A5" s="23"/>
      <c r="B5" s="34"/>
      <c r="C5" s="23"/>
      <c r="D5" s="23"/>
      <c r="E5" s="23"/>
      <c r="F5" s="23"/>
      <c r="G5" s="23"/>
      <c r="H5" s="23"/>
      <c r="I5" s="23"/>
      <c r="J5" s="23"/>
      <c r="K5" s="23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4.45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C327" s="23"/>
      <c r="D327" s="23"/>
      <c r="E327" s="23"/>
      <c r="F327" s="24"/>
      <c r="G327" s="23"/>
      <c r="H327" s="23"/>
      <c r="I327" s="24"/>
      <c r="J327" s="23"/>
      <c r="K327" s="23"/>
    </row>
  </sheetData>
  <mergeCells count="4">
    <mergeCell ref="G1:I1"/>
    <mergeCell ref="A1:C1"/>
    <mergeCell ref="D1:F1"/>
    <mergeCell ref="A2:B2"/>
  </mergeCells>
  <conditionalFormatting sqref="F2 I2 F4:F85 I4:I85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2"/>
  <sheetViews>
    <sheetView topLeftCell="B1" workbookViewId="0">
      <pane ySplit="2" topLeftCell="A3" activePane="bottomLeft" state="frozen"/>
      <selection pane="bottomLeft" activeCell="G4" sqref="G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24</v>
      </c>
      <c r="E1" s="45"/>
      <c r="F1" s="45"/>
      <c r="G1" s="43" t="s">
        <v>25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7942</v>
      </c>
      <c r="D2" s="6">
        <f>SUM(D4:D90)</f>
        <v>0</v>
      </c>
      <c r="E2" s="6">
        <f>C2-D2</f>
        <v>7942</v>
      </c>
      <c r="F2" s="7">
        <f>IFERROR(E2/D2, 0)</f>
        <v>0</v>
      </c>
      <c r="G2" s="6">
        <f>SUM(G4:G90)</f>
        <v>4953</v>
      </c>
      <c r="H2" s="8">
        <f>C2-G2</f>
        <v>2989</v>
      </c>
      <c r="I2" s="7">
        <f>IFERROR(H2/G2, 0)</f>
        <v>0.60347264284272162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7942</v>
      </c>
      <c r="D4" s="14">
        <v>0</v>
      </c>
      <c r="E4" s="14">
        <f>IF(AND(ISNUMBER(C4),ISNUMBER(D4)), C4-D4, "")</f>
        <v>7942</v>
      </c>
      <c r="F4" s="15" t="str">
        <f>IFERROR(E4/D4, "")</f>
        <v/>
      </c>
      <c r="G4" s="16">
        <v>4953</v>
      </c>
      <c r="H4" s="16">
        <f>IF(AND(ISNUMBER(C4),ISNUMBER(G4)), C4-G4, "")</f>
        <v>2989</v>
      </c>
      <c r="I4" s="17">
        <f>IFERROR(H4/G4, "")</f>
        <v>0.60347264284272162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2"/>
  <sheetViews>
    <sheetView workbookViewId="0">
      <pane ySplit="2" topLeftCell="A9" activePane="bottomLeft" state="frozen"/>
      <selection pane="bottomLeft" activeCell="F9" sqref="F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26</v>
      </c>
      <c r="E1" s="45"/>
      <c r="F1" s="45"/>
      <c r="G1" s="43" t="s">
        <v>27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9930.5399780273401</v>
      </c>
      <c r="D2" s="6">
        <f>SUM(D4:D90)</f>
        <v>0</v>
      </c>
      <c r="E2" s="6">
        <f>C2-D2</f>
        <v>9930.5399780273401</v>
      </c>
      <c r="F2" s="7">
        <f>IFERROR(E2/D2, 0)</f>
        <v>0</v>
      </c>
      <c r="G2" s="6">
        <f>SUM(G4:G90)</f>
        <v>5706.3909999999996</v>
      </c>
      <c r="H2" s="8">
        <f>C2-G2</f>
        <v>4224.1489780273405</v>
      </c>
      <c r="I2" s="7">
        <f>IFERROR(H2/G2, 0)</f>
        <v>0.74024878036351538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9930.5399780273401</v>
      </c>
      <c r="D4" s="14">
        <v>0</v>
      </c>
      <c r="E4" s="14">
        <f>IF(AND(ISNUMBER(C4),ISNUMBER(D4)), C4-D4, "")</f>
        <v>9930.5399780273401</v>
      </c>
      <c r="F4" s="15" t="str">
        <f>IFERROR(E4/D4, "")</f>
        <v/>
      </c>
      <c r="G4" s="16">
        <v>5706.3909999999996</v>
      </c>
      <c r="H4" s="16">
        <f>IF(AND(ISNUMBER(C4),ISNUMBER(G4)), C4-G4, "")</f>
        <v>4224.1489780273405</v>
      </c>
      <c r="I4" s="17">
        <f>IFERROR(H4/G4, "")</f>
        <v>0.74024878036351538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2"/>
  <sheetViews>
    <sheetView topLeftCell="C1" workbookViewId="0">
      <pane ySplit="2" topLeftCell="A3" activePane="bottomLeft" state="frozen"/>
      <selection pane="bottomLeft" activeCell="H25" sqref="H25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28</v>
      </c>
      <c r="E1" s="45"/>
      <c r="F1" s="45"/>
      <c r="G1" s="43" t="s">
        <v>29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11234.79</v>
      </c>
      <c r="D2" s="6">
        <f>SUM(D4:D90)</f>
        <v>0</v>
      </c>
      <c r="E2" s="6">
        <f>C2-D2</f>
        <v>11234.79</v>
      </c>
      <c r="F2" s="7">
        <f>IFERROR(E2/D2, 0)</f>
        <v>0</v>
      </c>
      <c r="G2" s="6">
        <f>SUM(G4:G90)</f>
        <v>6792.8950000000004</v>
      </c>
      <c r="H2" s="8">
        <f>C2-G2</f>
        <v>4441.8950000000004</v>
      </c>
      <c r="I2" s="7">
        <f>IFERROR(H2/G2, 0)</f>
        <v>0.653903085503309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11234.79</v>
      </c>
      <c r="D4" s="14">
        <v>0</v>
      </c>
      <c r="E4" s="14">
        <f>IF(AND(ISNUMBER(C4),ISNUMBER(D4)), C4-D4, "")</f>
        <v>11234.79</v>
      </c>
      <c r="F4" s="15" t="str">
        <f>IFERROR(E4/D4, "")</f>
        <v/>
      </c>
      <c r="G4" s="16">
        <v>6792.8950000000004</v>
      </c>
      <c r="H4" s="16">
        <f>IF(AND(ISNUMBER(C4),ISNUMBER(G4)), C4-G4, "")</f>
        <v>4441.8950000000004</v>
      </c>
      <c r="I4" s="17">
        <f>IFERROR(H4/G4, "")</f>
        <v>0.653903085503309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2"/>
  <sheetViews>
    <sheetView topLeftCell="B1" workbookViewId="0">
      <pane ySplit="2" topLeftCell="A11" activePane="bottomLeft" state="frozen"/>
      <selection pane="bottomLeft" activeCell="C11" sqref="C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30</v>
      </c>
      <c r="E1" s="45"/>
      <c r="F1" s="45"/>
      <c r="G1" s="43" t="s">
        <v>31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12685.182000000001</v>
      </c>
      <c r="D2" s="6">
        <f>SUM(D4:D90)</f>
        <v>0</v>
      </c>
      <c r="E2" s="6">
        <f>C2-D2</f>
        <v>12685.182000000001</v>
      </c>
      <c r="F2" s="7">
        <f>IFERROR(E2/D2, 0)</f>
        <v>0</v>
      </c>
      <c r="G2" s="6">
        <f>SUM(G4:G90)</f>
        <v>6820</v>
      </c>
      <c r="H2" s="8">
        <f>C2-G2</f>
        <v>5865.1820000000007</v>
      </c>
      <c r="I2" s="7">
        <f>IFERROR(H2/G2, 0)</f>
        <v>0.85999736070381239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12685.182000000001</v>
      </c>
      <c r="D4" s="14">
        <v>0</v>
      </c>
      <c r="E4" s="14">
        <f>IF(AND(ISNUMBER(C4),ISNUMBER(D4)), C4-D4, "")</f>
        <v>12685.182000000001</v>
      </c>
      <c r="F4" s="15" t="str">
        <f>IFERROR(E4/D4, "")</f>
        <v/>
      </c>
      <c r="G4" s="16">
        <v>6820</v>
      </c>
      <c r="H4" s="16">
        <f>IF(AND(ISNUMBER(C4),ISNUMBER(G4)), C4-G4, "")</f>
        <v>5865.1820000000007</v>
      </c>
      <c r="I4" s="17">
        <f>IFERROR(H4/G4, "")</f>
        <v>0.85999736070381239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2"/>
  <sheetViews>
    <sheetView workbookViewId="0">
      <pane ySplit="2" topLeftCell="A3" activePane="bottomLeft" state="frozen"/>
      <selection pane="bottomLeft" activeCell="E9" sqref="E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32</v>
      </c>
      <c r="E1" s="45"/>
      <c r="F1" s="45"/>
      <c r="G1" s="43" t="s">
        <v>33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11472.2</v>
      </c>
      <c r="D2" s="6">
        <f>SUM(D4:D90)</f>
        <v>0</v>
      </c>
      <c r="E2" s="6">
        <f>C2-D2</f>
        <v>11472.2</v>
      </c>
      <c r="F2" s="7">
        <f>IFERROR(E2/D2, 0)</f>
        <v>0</v>
      </c>
      <c r="G2" s="6">
        <f>SUM(G4:G90)</f>
        <v>6766.2830000000004</v>
      </c>
      <c r="H2" s="8">
        <f>C2-G2</f>
        <v>4705.9170000000004</v>
      </c>
      <c r="I2" s="7">
        <f>IFERROR(H2/G2, 0)</f>
        <v>0.69549514851802685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11472.2</v>
      </c>
      <c r="D4" s="14">
        <v>0</v>
      </c>
      <c r="E4" s="14">
        <f>IF(AND(ISNUMBER(C4),ISNUMBER(D4)), C4-D4, "")</f>
        <v>11472.2</v>
      </c>
      <c r="F4" s="15" t="str">
        <f>IFERROR(E4/D4, "")</f>
        <v/>
      </c>
      <c r="G4" s="16">
        <v>6766.2830000000004</v>
      </c>
      <c r="H4" s="16">
        <f>IF(AND(ISNUMBER(C4),ISNUMBER(G4)), C4-G4, "")</f>
        <v>4705.9170000000004</v>
      </c>
      <c r="I4" s="17">
        <f>IFERROR(H4/G4, "")</f>
        <v>0.69549514851802685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sortState xmlns:xlrd2="http://schemas.microsoft.com/office/spreadsheetml/2017/richdata2" ref="A3:K5">
    <sortCondition ref="A3:A5"/>
  </sortState>
  <mergeCells count="4">
    <mergeCell ref="G1:I1"/>
    <mergeCell ref="A1:C1"/>
    <mergeCell ref="D1:F1"/>
    <mergeCell ref="A2:B2"/>
  </mergeCells>
  <conditionalFormatting sqref="F2 I2 F4:F90 I4:I90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272"/>
  <sheetViews>
    <sheetView workbookViewId="0">
      <pane ySplit="2" topLeftCell="F3" activePane="bottomLeft" state="frozen"/>
      <selection pane="bottomLeft" activeCell="F11" sqref="F1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34</v>
      </c>
      <c r="E1" s="45"/>
      <c r="F1" s="45"/>
      <c r="G1" s="43" t="s">
        <v>35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SUM(C4:C30)</f>
        <v>10393.924999999999</v>
      </c>
      <c r="D2" s="6">
        <f>SUM(D4:D30)</f>
        <v>0</v>
      </c>
      <c r="E2" s="6">
        <f>C2-D2</f>
        <v>10393.924999999999</v>
      </c>
      <c r="F2" s="7">
        <f>IFERROR(E2/D2, 0)</f>
        <v>0</v>
      </c>
      <c r="G2" s="6">
        <f>SUM(G4:G30)</f>
        <v>6131.9740000000002</v>
      </c>
      <c r="H2" s="8">
        <f>C2-G2</f>
        <v>4261.9509999999991</v>
      </c>
      <c r="I2" s="7">
        <f>IFERROR(H2/G2, 0)</f>
        <v>0.6950373566489354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10393.924999999999</v>
      </c>
      <c r="D4" s="14">
        <v>0</v>
      </c>
      <c r="E4" s="14">
        <f>IF(AND(ISNUMBER(C4),ISNUMBER(D4)), C4-D4, "")</f>
        <v>10393.924999999999</v>
      </c>
      <c r="F4" s="15" t="str">
        <f>IFERROR(E4/D4, "")</f>
        <v/>
      </c>
      <c r="G4" s="16">
        <v>6131.9740000000002</v>
      </c>
      <c r="H4" s="16">
        <f>IF(AND(ISNUMBER(C4),ISNUMBER(G4)), C4-G4, "")</f>
        <v>4261.9509999999991</v>
      </c>
      <c r="I4" s="17">
        <f>IFERROR(H4/G4, "")</f>
        <v>0.6950373566489354</v>
      </c>
      <c r="J4" s="18"/>
      <c r="K4" s="18"/>
    </row>
    <row r="5" spans="1:11" ht="14.45">
      <c r="A5" s="23"/>
      <c r="B5" s="34"/>
      <c r="C5" s="23"/>
      <c r="D5" s="23"/>
      <c r="E5" s="23"/>
      <c r="F5" s="24"/>
      <c r="G5" s="23"/>
      <c r="H5" s="23"/>
      <c r="I5" s="24"/>
      <c r="J5" s="23"/>
      <c r="K5" s="23"/>
    </row>
    <row r="6" spans="1:11" ht="14.45">
      <c r="A6" s="23"/>
      <c r="B6" s="34"/>
      <c r="C6" s="23"/>
      <c r="D6" s="23"/>
      <c r="E6" s="23"/>
      <c r="F6" s="24"/>
      <c r="G6" s="23"/>
      <c r="H6" s="23"/>
      <c r="I6" s="24"/>
      <c r="J6" s="23"/>
      <c r="K6" s="23"/>
    </row>
    <row r="7" spans="1:11" ht="14.45">
      <c r="A7" s="23"/>
      <c r="B7" s="34"/>
      <c r="C7" s="23"/>
      <c r="D7" s="23"/>
      <c r="E7" s="23"/>
      <c r="F7" s="24"/>
      <c r="G7" s="23"/>
      <c r="H7" s="23"/>
      <c r="I7" s="24"/>
      <c r="J7" s="23"/>
      <c r="K7" s="23"/>
    </row>
    <row r="8" spans="1:11" ht="14.45">
      <c r="A8" s="23"/>
      <c r="B8" s="34"/>
      <c r="C8" s="23"/>
      <c r="D8" s="23"/>
      <c r="E8" s="23"/>
      <c r="F8" s="24"/>
      <c r="G8" s="23"/>
      <c r="H8" s="23"/>
      <c r="I8" s="24"/>
      <c r="J8" s="23"/>
      <c r="K8" s="23"/>
    </row>
    <row r="9" spans="1:11" ht="14.45">
      <c r="A9" s="23"/>
      <c r="B9" s="34"/>
      <c r="C9" s="23"/>
      <c r="D9" s="23"/>
      <c r="E9" s="23"/>
      <c r="F9" s="24"/>
      <c r="G9" s="23"/>
      <c r="H9" s="23"/>
      <c r="I9" s="24"/>
      <c r="J9" s="23"/>
      <c r="K9" s="23"/>
    </row>
    <row r="10" spans="1:11" ht="14.45">
      <c r="A10" s="23"/>
      <c r="B10" s="34"/>
      <c r="C10" s="23"/>
      <c r="D10" s="23"/>
      <c r="E10" s="23"/>
      <c r="F10" s="24"/>
      <c r="G10" s="23"/>
      <c r="H10" s="23"/>
      <c r="I10" s="24"/>
      <c r="J10" s="23"/>
      <c r="K10" s="23"/>
    </row>
    <row r="11" spans="1:11" ht="14.45">
      <c r="A11" s="23"/>
      <c r="B11" s="34"/>
      <c r="C11" s="23"/>
      <c r="D11" s="23"/>
      <c r="E11" s="23"/>
      <c r="F11" s="24"/>
      <c r="G11" s="23"/>
      <c r="H11" s="23"/>
      <c r="I11" s="24"/>
      <c r="J11" s="23"/>
      <c r="K11" s="23"/>
    </row>
    <row r="12" spans="1:11" ht="14.45">
      <c r="A12" s="23"/>
      <c r="B12" s="34"/>
      <c r="C12" s="23"/>
      <c r="D12" s="23"/>
      <c r="E12" s="23"/>
      <c r="F12" s="24"/>
      <c r="G12" s="23"/>
      <c r="H12" s="23"/>
      <c r="I12" s="24"/>
      <c r="J12" s="23"/>
      <c r="K12" s="23"/>
    </row>
    <row r="13" spans="1:11" ht="14.45">
      <c r="A13" s="23"/>
      <c r="B13" s="34"/>
      <c r="C13" s="23"/>
      <c r="D13" s="23"/>
      <c r="E13" s="23"/>
      <c r="F13" s="24"/>
      <c r="G13" s="23"/>
      <c r="H13" s="23"/>
      <c r="I13" s="24"/>
      <c r="J13" s="23"/>
      <c r="K13" s="23"/>
    </row>
    <row r="14" spans="1:11" ht="14.45">
      <c r="A14" s="23"/>
      <c r="B14" s="34"/>
      <c r="C14" s="23"/>
      <c r="D14" s="23"/>
      <c r="E14" s="23"/>
      <c r="F14" s="24"/>
      <c r="G14" s="23"/>
      <c r="H14" s="23"/>
      <c r="I14" s="24"/>
      <c r="J14" s="23"/>
      <c r="K14" s="23"/>
    </row>
    <row r="15" spans="1:11" ht="14.45">
      <c r="A15" s="23"/>
      <c r="B15" s="34"/>
      <c r="C15" s="23"/>
      <c r="D15" s="23"/>
      <c r="E15" s="23"/>
      <c r="F15" s="24"/>
      <c r="G15" s="23"/>
      <c r="H15" s="23"/>
      <c r="I15" s="24"/>
      <c r="J15" s="23"/>
      <c r="K15" s="23"/>
    </row>
    <row r="16" spans="1:11" ht="14.45">
      <c r="A16" s="23"/>
      <c r="B16" s="34"/>
      <c r="C16" s="23"/>
      <c r="D16" s="23"/>
      <c r="E16" s="23"/>
      <c r="F16" s="24"/>
      <c r="G16" s="23"/>
      <c r="H16" s="23"/>
      <c r="I16" s="24"/>
      <c r="J16" s="23"/>
      <c r="K16" s="23"/>
    </row>
    <row r="17" spans="1:11" ht="14.45">
      <c r="A17" s="23"/>
      <c r="B17" s="34"/>
      <c r="C17" s="23"/>
      <c r="D17" s="23"/>
      <c r="E17" s="23"/>
      <c r="F17" s="24"/>
      <c r="G17" s="23"/>
      <c r="H17" s="23"/>
      <c r="I17" s="24"/>
      <c r="J17" s="23"/>
      <c r="K17" s="23"/>
    </row>
    <row r="18" spans="1:11" ht="14.45">
      <c r="A18" s="23"/>
      <c r="B18" s="34"/>
      <c r="C18" s="23"/>
      <c r="D18" s="23"/>
      <c r="E18" s="23"/>
      <c r="F18" s="24"/>
      <c r="G18" s="23"/>
      <c r="H18" s="23"/>
      <c r="I18" s="24"/>
      <c r="J18" s="23"/>
      <c r="K18" s="23"/>
    </row>
    <row r="19" spans="1:11" ht="14.45">
      <c r="A19" s="23"/>
      <c r="B19" s="34"/>
      <c r="C19" s="23"/>
      <c r="D19" s="23"/>
      <c r="E19" s="23"/>
      <c r="F19" s="24"/>
      <c r="G19" s="23"/>
      <c r="H19" s="23"/>
      <c r="I19" s="24"/>
      <c r="J19" s="23"/>
      <c r="K19" s="23"/>
    </row>
    <row r="20" spans="1:11" ht="14.45">
      <c r="A20" s="23"/>
      <c r="B20" s="34"/>
      <c r="C20" s="23"/>
      <c r="D20" s="23"/>
      <c r="E20" s="23"/>
      <c r="F20" s="24"/>
      <c r="G20" s="23"/>
      <c r="H20" s="23"/>
      <c r="I20" s="24"/>
      <c r="J20" s="23"/>
      <c r="K20" s="23"/>
    </row>
    <row r="21" spans="1:11" ht="14.45">
      <c r="A21" s="23"/>
      <c r="B21" s="34"/>
      <c r="C21" s="23"/>
      <c r="D21" s="23"/>
      <c r="E21" s="23"/>
      <c r="F21" s="24"/>
      <c r="G21" s="23"/>
      <c r="H21" s="23"/>
      <c r="I21" s="24"/>
      <c r="J21" s="23"/>
      <c r="K21" s="23"/>
    </row>
    <row r="22" spans="1:11" ht="14.45">
      <c r="A22" s="23"/>
      <c r="B22" s="34"/>
      <c r="C22" s="23"/>
      <c r="D22" s="23"/>
      <c r="E22" s="23"/>
      <c r="F22" s="24"/>
      <c r="G22" s="23"/>
      <c r="H22" s="23"/>
      <c r="I22" s="24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C272" s="23"/>
      <c r="D272" s="23"/>
      <c r="E272" s="23"/>
      <c r="F272" s="24"/>
      <c r="G272" s="23"/>
      <c r="H272" s="23"/>
      <c r="I272" s="24"/>
      <c r="J272" s="23"/>
      <c r="K272" s="23"/>
    </row>
  </sheetData>
  <mergeCells count="4">
    <mergeCell ref="G1:I1"/>
    <mergeCell ref="A1:C1"/>
    <mergeCell ref="D1:F1"/>
    <mergeCell ref="A2:B2"/>
  </mergeCells>
  <conditionalFormatting sqref="F2 I2 F4:F30 I4:I30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2"/>
  <sheetViews>
    <sheetView workbookViewId="0">
      <pane ySplit="2" topLeftCell="F3" activePane="bottomLeft" state="frozen"/>
      <selection pane="bottomLeft" activeCell="G14" sqref="G14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36</v>
      </c>
      <c r="E1" s="45"/>
      <c r="F1" s="45"/>
      <c r="G1" s="43" t="s">
        <v>37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8464.8799999999992</v>
      </c>
      <c r="D2" s="6">
        <f>SUM(D4:D90)</f>
        <v>0</v>
      </c>
      <c r="E2" s="6">
        <f>C2-D2</f>
        <v>8464.8799999999992</v>
      </c>
      <c r="F2" s="7">
        <f>IFERROR(E2/D2, 0)</f>
        <v>0</v>
      </c>
      <c r="G2" s="6">
        <f>SUM(G4:G90)</f>
        <v>4889.9949999999999</v>
      </c>
      <c r="H2" s="8">
        <f>C2-G2</f>
        <v>3574.8849999999993</v>
      </c>
      <c r="I2" s="7">
        <f>IFERROR(H2/G2, 0)</f>
        <v>0.73106107470457526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8464.8799999999992</v>
      </c>
      <c r="D4" s="14">
        <v>0</v>
      </c>
      <c r="E4" s="14">
        <f>IF(AND(ISNUMBER(C4),ISNUMBER(D4)), C4-D4, "")</f>
        <v>8464.8799999999992</v>
      </c>
      <c r="F4" s="15" t="str">
        <f>IFERROR(E4/D4, "")</f>
        <v/>
      </c>
      <c r="G4" s="16">
        <v>4889.9949999999999</v>
      </c>
      <c r="H4" s="16">
        <f>IF(AND(ISNUMBER(C4),ISNUMBER(G4)), C4-G4, "")</f>
        <v>3574.8849999999993</v>
      </c>
      <c r="I4" s="17">
        <f>IFERROR(H4/G4, "")</f>
        <v>0.73106107470457526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2"/>
  <sheetViews>
    <sheetView workbookViewId="0">
      <pane ySplit="2" topLeftCell="A3" activePane="bottomLeft" state="frozen"/>
      <selection pane="bottomLeft" activeCell="C21" sqref="C20:C21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38</v>
      </c>
      <c r="E1" s="45"/>
      <c r="F1" s="45"/>
      <c r="G1" s="43" t="s">
        <v>39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7513.2049560546902</v>
      </c>
      <c r="D2" s="6">
        <f>SUM(D4:D90)</f>
        <v>0</v>
      </c>
      <c r="E2" s="6">
        <f>C2-D2</f>
        <v>7513.2049560546902</v>
      </c>
      <c r="F2" s="7">
        <f>IFERROR(E2/D2, 0)</f>
        <v>0</v>
      </c>
      <c r="G2" s="6">
        <f>SUM(G4:G90)</f>
        <v>3692.4209999999998</v>
      </c>
      <c r="H2" s="8">
        <f>C2-G2</f>
        <v>3820.7839560546904</v>
      </c>
      <c r="I2" s="7">
        <f>IFERROR(H2/G2, 0)</f>
        <v>1.034763900447617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7513.2049560546902</v>
      </c>
      <c r="D4" s="14">
        <v>0</v>
      </c>
      <c r="E4" s="14">
        <f>IF(AND(ISNUMBER(C4),ISNUMBER(D4)), C4-D4, "")</f>
        <v>7513.2049560546902</v>
      </c>
      <c r="F4" s="15" t="str">
        <f>IFERROR(E4/D4, "")</f>
        <v/>
      </c>
      <c r="G4" s="16">
        <v>3692.4209999999998</v>
      </c>
      <c r="H4" s="16">
        <f>IF(AND(ISNUMBER(C4),ISNUMBER(G4)), C4-G4, "")</f>
        <v>3820.7839560546904</v>
      </c>
      <c r="I4" s="17">
        <f>IFERROR(H4/G4, "")</f>
        <v>1.034763900447617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2"/>
  <sheetViews>
    <sheetView workbookViewId="0">
      <pane ySplit="2" topLeftCell="A3" activePane="bottomLeft" state="frozen"/>
      <selection pane="bottomLeft" activeCell="I9" sqref="I9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40</v>
      </c>
      <c r="E1" s="45"/>
      <c r="F1" s="45"/>
      <c r="G1" s="43" t="s">
        <v>41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5118.3300170898401</v>
      </c>
      <c r="D2" s="6">
        <f>SUM(D4:D90)</f>
        <v>0</v>
      </c>
      <c r="E2" s="6">
        <f>C2-D2</f>
        <v>5118.3300170898401</v>
      </c>
      <c r="F2" s="7">
        <f>IFERROR(E2/D2, 0)</f>
        <v>0</v>
      </c>
      <c r="G2" s="6">
        <f>SUM(G4:G90)</f>
        <v>2230</v>
      </c>
      <c r="H2" s="8">
        <f>C2-G2</f>
        <v>2888.3300170898401</v>
      </c>
      <c r="I2" s="7">
        <f>IFERROR(H2/G2, 0)</f>
        <v>1.2952152543003768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>
        <v>5118.3300170898401</v>
      </c>
      <c r="D4" s="14">
        <v>0</v>
      </c>
      <c r="E4" s="14">
        <f>IF(AND(ISNUMBER(C4),ISNUMBER(D4)), C4-D4, "")</f>
        <v>5118.3300170898401</v>
      </c>
      <c r="F4" s="15" t="str">
        <f>IFERROR(E4/D4, "")</f>
        <v/>
      </c>
      <c r="G4" s="16">
        <v>2230</v>
      </c>
      <c r="H4" s="16">
        <f>IF(AND(ISNUMBER(C4),ISNUMBER(G4)), C4-G4, "")</f>
        <v>2888.3300170898401</v>
      </c>
      <c r="I4" s="17">
        <f>IFERROR(H4/G4, "")</f>
        <v>1.2952152543003768</v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2"/>
  <sheetViews>
    <sheetView workbookViewId="0">
      <pane ySplit="2" topLeftCell="D3" activePane="bottomLeft" state="frozen"/>
      <selection pane="bottomLeft" activeCell="J20" sqref="J20"/>
      <selection activeCell="J20" sqref="J20"/>
    </sheetView>
  </sheetViews>
  <sheetFormatPr defaultRowHeight="13.9"/>
  <cols>
    <col min="1" max="1" width="35.85546875" bestFit="1" customWidth="1"/>
    <col min="2" max="2" width="8.42578125" style="3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4" t="str" cm="1">
        <f t="array" ref="A1">portfolio</f>
        <v>Willwork</v>
      </c>
      <c r="B1" s="44"/>
      <c r="C1" s="44"/>
      <c r="D1" s="45" t="s">
        <v>42</v>
      </c>
      <c r="E1" s="45"/>
      <c r="F1" s="45"/>
      <c r="G1" s="43" t="s">
        <v>43</v>
      </c>
      <c r="H1" s="43"/>
      <c r="I1" s="43"/>
      <c r="J1" s="5"/>
      <c r="K1" s="5"/>
    </row>
    <row r="2" spans="1:11" ht="19.5" customHeight="1">
      <c r="A2" s="46" t="s">
        <v>2</v>
      </c>
      <c r="B2" s="46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6" t="s">
        <v>6</v>
      </c>
      <c r="E3" s="36" t="s">
        <v>7</v>
      </c>
      <c r="F3" s="37" t="s">
        <v>8</v>
      </c>
      <c r="G3" s="38" t="s">
        <v>9</v>
      </c>
      <c r="H3" s="39" t="s">
        <v>7</v>
      </c>
      <c r="I3" s="40" t="s">
        <v>8</v>
      </c>
      <c r="J3" s="27" t="s">
        <v>20</v>
      </c>
      <c r="K3" s="27" t="s">
        <v>21</v>
      </c>
    </row>
    <row r="4" spans="1:11" ht="15.6">
      <c r="A4" s="33" t="str" cm="1">
        <f t="array" ref="A4">Sites[Site]</f>
        <v>MA: South Easton - Willwork</v>
      </c>
      <c r="B4" s="30" t="str" cm="1">
        <f t="array" ref="B4">Sites[State]</f>
        <v>MA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1"/>
      <c r="B5" s="32"/>
      <c r="C5" s="12"/>
      <c r="D5" s="20"/>
      <c r="E5" s="20" t="str">
        <f t="shared" ref="E5" si="0">IF(AND(ISNUMBER(C5),ISNUMBER(D5)), C5-D5, "")</f>
        <v/>
      </c>
      <c r="F5" s="21" t="str">
        <f t="shared" ref="F5" si="1">IFERROR(E5/D5, "")</f>
        <v/>
      </c>
      <c r="G5" s="22"/>
      <c r="H5" s="22" t="str">
        <f t="shared" ref="H5" si="2">IF(AND(ISNUMBER(C5),ISNUMBER(G5)), C5-G5, "")</f>
        <v/>
      </c>
      <c r="I5" s="21" t="str">
        <f t="shared" ref="I5" si="3">IFERROR(H5/G5, "")</f>
        <v/>
      </c>
      <c r="J5" s="11"/>
      <c r="K5" s="19"/>
    </row>
    <row r="6" spans="1:11" ht="14.45">
      <c r="A6" s="23"/>
      <c r="B6" s="34"/>
      <c r="C6" s="23"/>
      <c r="D6" s="23"/>
      <c r="E6" s="23"/>
      <c r="F6" s="23"/>
      <c r="G6" s="23"/>
      <c r="H6" s="23"/>
      <c r="I6" s="23"/>
      <c r="J6" s="23"/>
      <c r="K6" s="23"/>
    </row>
    <row r="7" spans="1:11" ht="14.45">
      <c r="A7" s="23"/>
      <c r="B7" s="34"/>
      <c r="C7" s="23"/>
      <c r="D7" s="23"/>
      <c r="E7" s="23"/>
      <c r="F7" s="23"/>
      <c r="G7" s="23"/>
      <c r="H7" s="23"/>
      <c r="I7" s="23"/>
      <c r="J7" s="23"/>
      <c r="K7" s="23"/>
    </row>
    <row r="8" spans="1:11" ht="12.75" customHeight="1">
      <c r="A8" s="23"/>
      <c r="B8" s="34"/>
      <c r="C8" s="23"/>
      <c r="D8" s="23"/>
      <c r="E8" s="23"/>
      <c r="F8" s="23"/>
      <c r="G8" s="23"/>
      <c r="H8" s="23"/>
      <c r="I8" s="23"/>
      <c r="J8" s="23"/>
      <c r="K8" s="23"/>
    </row>
    <row r="9" spans="1:11" ht="14.45">
      <c r="A9" s="23"/>
      <c r="B9" s="34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4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4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4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4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4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4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4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4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4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4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4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4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4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4"/>
      <c r="C23" s="23"/>
      <c r="D23" s="23"/>
      <c r="E23" s="23"/>
      <c r="F23" s="24"/>
      <c r="G23" s="23"/>
      <c r="H23" s="23"/>
      <c r="I23" s="24"/>
      <c r="J23" s="23"/>
      <c r="K23" s="23"/>
    </row>
    <row r="24" spans="1:11" ht="14.45">
      <c r="A24" s="23"/>
      <c r="B24" s="34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4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4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4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4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4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4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4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4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4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4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4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4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4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4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4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4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4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4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4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4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4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4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4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4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4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4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4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4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4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4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4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4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4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4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4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4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4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4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4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4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4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4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4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4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4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4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4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4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4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4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4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4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4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4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4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4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4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4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4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4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4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4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4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4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4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4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4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4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4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4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4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4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4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4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4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4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4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4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4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4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4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4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4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4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4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4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4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4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4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4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4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4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4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4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4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4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4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4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4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4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4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4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4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4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4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4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4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4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4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4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4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4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4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4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4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4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4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4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4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4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4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4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4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4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4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4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4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4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4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4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4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4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4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4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4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4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4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4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4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4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4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4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4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4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4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4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4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4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4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4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4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4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4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4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4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4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4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4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4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4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4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4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4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4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4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4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4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4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4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4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4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4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4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4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4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4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4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4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4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4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4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4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4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4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4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4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4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4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4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4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4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4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4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4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4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4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4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4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4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4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4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4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4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4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4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4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4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4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4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4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4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4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4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4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4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4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4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4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4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4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4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4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4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4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4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4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4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4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4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4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4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4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4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4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4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4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4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4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4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4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4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4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4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4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4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4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4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4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4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4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4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4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4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4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4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4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4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4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4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4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4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4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4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4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4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4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4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4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4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4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4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4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4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4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4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4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4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4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4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4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4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4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4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4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4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4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4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4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4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4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4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4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4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4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4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4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4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4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4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4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4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4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4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4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4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4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4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C332" s="23"/>
      <c r="D332" s="23"/>
      <c r="E332" s="23"/>
      <c r="F332" s="24"/>
      <c r="G332" s="23"/>
      <c r="H332" s="23"/>
      <c r="I332" s="24"/>
      <c r="J332" s="23"/>
      <c r="K332" s="23"/>
    </row>
  </sheetData>
  <mergeCells count="4">
    <mergeCell ref="G1:I1"/>
    <mergeCell ref="A1:C1"/>
    <mergeCell ref="D1:F1"/>
    <mergeCell ref="A2:B2"/>
  </mergeCells>
  <conditionalFormatting sqref="F2 I2 F4:F90 I4:I90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4"/>
  <sheetViews>
    <sheetView workbookViewId="0">
      <pane ySplit="3" topLeftCell="A4" activePane="bottomLeft" state="frozen"/>
      <selection pane="bottomLeft" activeCell="B20" sqref="B20"/>
      <selection activeCell="A16" sqref="A16:XFD24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44</v>
      </c>
      <c r="B1" t="s">
        <v>45</v>
      </c>
    </row>
    <row r="3" spans="1:7" ht="13.15">
      <c r="A3" t="s">
        <v>46</v>
      </c>
      <c r="B3" t="s">
        <v>3</v>
      </c>
      <c r="C3" t="s">
        <v>4</v>
      </c>
      <c r="D3" t="s">
        <v>47</v>
      </c>
      <c r="E3" s="2" t="s">
        <v>48</v>
      </c>
    </row>
    <row r="4" spans="1:7" ht="14.45">
      <c r="A4" t="s">
        <v>49</v>
      </c>
      <c r="B4" t="s">
        <v>50</v>
      </c>
      <c r="C4" s="4" t="s">
        <v>51</v>
      </c>
      <c r="D4" t="s">
        <v>52</v>
      </c>
      <c r="E4" t="s">
        <v>53</v>
      </c>
      <c r="G4" s="3"/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5.xml>��
</file>

<file path=customXml/item6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6B2B1A1-1C4B-4AC9-9A7D-7A102DD1C942}"/>
</file>

<file path=customXml/itemProps2.xml><?xml version="1.0" encoding="utf-8"?>
<ds:datastoreItem xmlns:ds="http://schemas.openxmlformats.org/officeDocument/2006/customXml" ds:itemID="{0389C43E-394D-44C0-87DC-4780FCFCFB40}"/>
</file>

<file path=customXml/itemProps3.xml><?xml version="1.0" encoding="utf-8"?>
<ds:datastoreItem xmlns:ds="http://schemas.openxmlformats.org/officeDocument/2006/customXml" ds:itemID="{E3716282-BFD2-4ED2-BA47-BFA1123827F0}"/>
</file>

<file path=customXml/itemProps4.xml><?xml version="1.0" encoding="utf-8"?>
<ds:datastoreItem xmlns:ds="http://schemas.openxmlformats.org/officeDocument/2006/customXml" ds:itemID="{8D732231-4216-4543-A665-18A2886B0EB7}"/>
</file>

<file path=customXml/itemProps5.xml><?xml version="1.0" encoding="utf-8"?>
<ds:datastoreItem xmlns:ds="http://schemas.openxmlformats.org/officeDocument/2006/customXml" ds:itemID="{F12EFA50-0068-4A8C-85A0-F1B26389EBC3}"/>
</file>

<file path=customXml/itemProps6.xml><?xml version="1.0" encoding="utf-8"?>
<ds:datastoreItem xmlns:ds="http://schemas.openxmlformats.org/officeDocument/2006/customXml" ds:itemID="{C0BCDC1E-6052-4E48-9BAF-94A40814E7C2}"/>
</file>

<file path=customXml/itemProps7.xml><?xml version="1.0" encoding="utf-8"?>
<ds:datastoreItem xmlns:ds="http://schemas.openxmlformats.org/officeDocument/2006/customXml" ds:itemID="{078388C9-06F9-42F4-B857-EF76B5CAF1FD}"/>
</file>

<file path=customXml/itemProps8.xml><?xml version="1.0" encoding="utf-8"?>
<ds:datastoreItem xmlns:ds="http://schemas.openxmlformats.org/officeDocument/2006/customXml" ds:itemID="{E20E8303-6A67-485C-B6F4-303542CC295C}"/>
</file>

<file path=customXml/itemProps9.xml><?xml version="1.0" encoding="utf-8"?>
<ds:datastoreItem xmlns:ds="http://schemas.openxmlformats.org/officeDocument/2006/customXml" ds:itemID="{1954BBA4-0359-438C-B0EC-A756015F7C02}"/>
</file>

<file path=customXml/itemProps10.xml><?xml version="1.0" encoding="utf-8"?>
<ds:datastoreItem xmlns:ds="http://schemas.openxmlformats.org/officeDocument/2006/customXml" ds:itemID="{89CF5C07-45EB-4100-9AFB-2C6AF77FA787}"/>
</file>

<file path=customXml/itemProps11.xml><?xml version="1.0" encoding="utf-8"?>
<ds:datastoreItem xmlns:ds="http://schemas.openxmlformats.org/officeDocument/2006/customXml" ds:itemID="{3AEAA9D8-2182-46BA-A58E-96C72DDA1C54}"/>
</file>

<file path=customXml/itemProps12.xml><?xml version="1.0" encoding="utf-8"?>
<ds:datastoreItem xmlns:ds="http://schemas.openxmlformats.org/officeDocument/2006/customXml" ds:itemID="{BF5C6359-7763-4C37-8EAF-2BC4698CB285}"/>
</file>

<file path=customXml/itemProps13.xml><?xml version="1.0" encoding="utf-8"?>
<ds:datastoreItem xmlns:ds="http://schemas.openxmlformats.org/officeDocument/2006/customXml" ds:itemID="{2BC74AAC-D69B-4AF1-9649-B21EF3C1C463}"/>
</file>

<file path=customXml/itemProps14.xml><?xml version="1.0" encoding="utf-8"?>
<ds:datastoreItem xmlns:ds="http://schemas.openxmlformats.org/officeDocument/2006/customXml" ds:itemID="{14966E4F-347B-477B-B74C-9DAC05405806}"/>
</file>

<file path=customXml/itemProps15.xml><?xml version="1.0" encoding="utf-8"?>
<ds:datastoreItem xmlns:ds="http://schemas.openxmlformats.org/officeDocument/2006/customXml" ds:itemID="{66B09F59-6532-46F8-924A-9A02417E070D}"/>
</file>

<file path=customXml/itemProps16.xml><?xml version="1.0" encoding="utf-8"?>
<ds:datastoreItem xmlns:ds="http://schemas.openxmlformats.org/officeDocument/2006/customXml" ds:itemID="{BE26B669-A686-459C-A5E9-FEC3409C4C81}"/>
</file>

<file path=customXml/itemProps17.xml><?xml version="1.0" encoding="utf-8"?>
<ds:datastoreItem xmlns:ds="http://schemas.openxmlformats.org/officeDocument/2006/customXml" ds:itemID="{D3A7101F-9A85-4235-8B03-415370C100B2}"/>
</file>

<file path=customXml/itemProps18.xml><?xml version="1.0" encoding="utf-8"?>
<ds:datastoreItem xmlns:ds="http://schemas.openxmlformats.org/officeDocument/2006/customXml" ds:itemID="{CB52044A-5C0B-44A2-99D0-C1C315EC302D}"/>
</file>

<file path=customXml/itemProps19.xml><?xml version="1.0" encoding="utf-8"?>
<ds:datastoreItem xmlns:ds="http://schemas.openxmlformats.org/officeDocument/2006/customXml" ds:itemID="{98A113BB-8B7A-453C-8BD4-8EFC67FC2D3F}"/>
</file>

<file path=customXml/itemProps20.xml><?xml version="1.0" encoding="utf-8"?>
<ds:datastoreItem xmlns:ds="http://schemas.openxmlformats.org/officeDocument/2006/customXml" ds:itemID="{7946C510-7D04-49D8-9B25-EEC04582A1C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Kusuma Potlada [AGS]</cp:lastModifiedBy>
  <cp:revision/>
  <dcterms:created xsi:type="dcterms:W3CDTF">2021-01-01T16:39:53Z</dcterms:created>
  <dcterms:modified xsi:type="dcterms:W3CDTF">2024-12-11T06:13:25Z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