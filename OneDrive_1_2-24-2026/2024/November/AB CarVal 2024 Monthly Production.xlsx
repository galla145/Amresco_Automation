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2"/>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03" documentId="13_ncr:1_{1B8A4381-C67F-479B-A8D8-693EA730281C}" xr6:coauthVersionLast="47" xr6:coauthVersionMax="47" xr10:uidLastSave="{8E747DAF-4513-4A3D-8F0C-BA07F0260011}"/>
  <bookViews>
    <workbookView xWindow="28680" yWindow="-120" windowWidth="29040" windowHeight="15720" tabRatio="866" firstSheet="11" activeTab="11"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8" l="1"/>
  <c r="I8" i="28" s="1"/>
  <c r="H9" i="28"/>
  <c r="I9" i="28" s="1"/>
  <c r="H10" i="28"/>
  <c r="I10" i="28" s="1"/>
  <c r="H11" i="28"/>
  <c r="I11" i="28" s="1"/>
  <c r="F8" i="28"/>
  <c r="E8" i="28"/>
  <c r="E9" i="28"/>
  <c r="F9" i="28" s="1"/>
  <c r="E10" i="28"/>
  <c r="F10" i="28" s="1"/>
  <c r="E11" i="28"/>
  <c r="F11" i="28" s="1"/>
  <c r="I5" i="27"/>
  <c r="I6" i="27"/>
  <c r="I7" i="27"/>
  <c r="H5" i="27"/>
  <c r="H6" i="27"/>
  <c r="H7" i="27"/>
  <c r="H8" i="27"/>
  <c r="I8" i="27" s="1"/>
  <c r="H9" i="27"/>
  <c r="I9" i="27" s="1"/>
  <c r="H10" i="27"/>
  <c r="I10" i="27" s="1"/>
  <c r="H11" i="27"/>
  <c r="I11" i="27" s="1"/>
  <c r="F5" i="27"/>
  <c r="F6" i="27"/>
  <c r="F7" i="27"/>
  <c r="E5" i="27"/>
  <c r="E6" i="27"/>
  <c r="E7" i="27"/>
  <c r="E8" i="27"/>
  <c r="F8" i="27" s="1"/>
  <c r="E9" i="27"/>
  <c r="F9" i="27" s="1"/>
  <c r="E10" i="27"/>
  <c r="F10" i="27" s="1"/>
  <c r="E11" i="27"/>
  <c r="F11" i="27" s="1"/>
  <c r="E8" i="26"/>
  <c r="F8" i="26" s="1"/>
  <c r="I5" i="26"/>
  <c r="I6" i="26"/>
  <c r="I7" i="26"/>
  <c r="I10" i="26"/>
  <c r="I11" i="26"/>
  <c r="H5" i="26"/>
  <c r="H6" i="26"/>
  <c r="H7" i="26"/>
  <c r="H8" i="26"/>
  <c r="H9" i="26"/>
  <c r="I9" i="26" s="1"/>
  <c r="H10" i="26"/>
  <c r="H11" i="26"/>
  <c r="F5" i="26"/>
  <c r="F6" i="26"/>
  <c r="F7" i="26"/>
  <c r="F9" i="26"/>
  <c r="E5" i="26"/>
  <c r="E6" i="26"/>
  <c r="E7" i="26"/>
  <c r="E9" i="26"/>
  <c r="E10" i="26"/>
  <c r="F10" i="26" s="1"/>
  <c r="E11" i="26"/>
  <c r="F11" i="26" s="1"/>
  <c r="E5" i="19"/>
  <c r="I5" i="19"/>
  <c r="I6" i="19"/>
  <c r="I7" i="19"/>
  <c r="I8" i="19"/>
  <c r="I10" i="19"/>
  <c r="F5" i="19"/>
  <c r="F6" i="19"/>
  <c r="F7" i="19"/>
  <c r="F8" i="19"/>
  <c r="F11" i="19"/>
  <c r="H5" i="19"/>
  <c r="H6" i="19"/>
  <c r="H7" i="19"/>
  <c r="H8" i="19"/>
  <c r="H8" i="18" s="1"/>
  <c r="H9" i="19"/>
  <c r="H9" i="18" s="1"/>
  <c r="I9" i="18" s="1"/>
  <c r="H10" i="19"/>
  <c r="H11" i="19"/>
  <c r="H11" i="18" s="1"/>
  <c r="I11" i="18" s="1"/>
  <c r="E6" i="19"/>
  <c r="E7" i="19"/>
  <c r="E8" i="19"/>
  <c r="E9" i="19"/>
  <c r="F9" i="19" s="1"/>
  <c r="E10" i="19"/>
  <c r="F10" i="19" s="1"/>
  <c r="E11" i="19"/>
  <c r="I11" i="31"/>
  <c r="H11" i="31"/>
  <c r="I7" i="31"/>
  <c r="I8" i="31"/>
  <c r="I10" i="31"/>
  <c r="H8" i="31"/>
  <c r="H8" i="30" s="1"/>
  <c r="H9" i="31"/>
  <c r="H9" i="30" s="1"/>
  <c r="H10" i="31"/>
  <c r="F8" i="31"/>
  <c r="F10" i="31"/>
  <c r="E8" i="31"/>
  <c r="E9" i="31"/>
  <c r="F9" i="31" s="1"/>
  <c r="E10" i="31"/>
  <c r="E11" i="31"/>
  <c r="F11" i="31" s="1"/>
  <c r="H10" i="30"/>
  <c r="H11" i="30"/>
  <c r="G8" i="30"/>
  <c r="G9" i="30"/>
  <c r="G10" i="30"/>
  <c r="G11" i="30"/>
  <c r="E11" i="30"/>
  <c r="F11" i="30" s="1"/>
  <c r="D8" i="30"/>
  <c r="D9" i="30"/>
  <c r="D10" i="30"/>
  <c r="D11" i="30"/>
  <c r="C8" i="30"/>
  <c r="C9" i="30"/>
  <c r="E9" i="30" s="1"/>
  <c r="F9" i="30" s="1"/>
  <c r="C10" i="30"/>
  <c r="C11" i="30"/>
  <c r="H8" i="1"/>
  <c r="H9" i="1"/>
  <c r="H10" i="1"/>
  <c r="I10" i="1" s="1"/>
  <c r="H11" i="1"/>
  <c r="G8" i="1"/>
  <c r="G9" i="1"/>
  <c r="G10" i="1"/>
  <c r="G11" i="1"/>
  <c r="D8" i="1"/>
  <c r="D9" i="1"/>
  <c r="D10" i="1"/>
  <c r="D11" i="1"/>
  <c r="C8" i="1"/>
  <c r="C9" i="1"/>
  <c r="C10" i="1"/>
  <c r="C11" i="1"/>
  <c r="H10" i="18"/>
  <c r="I10" i="18" s="1"/>
  <c r="G8" i="18"/>
  <c r="G9" i="18"/>
  <c r="G10" i="18"/>
  <c r="G11" i="18"/>
  <c r="F6" i="18"/>
  <c r="F7" i="18"/>
  <c r="D8" i="18"/>
  <c r="D9" i="18"/>
  <c r="D10" i="18"/>
  <c r="D11" i="18"/>
  <c r="C8" i="18"/>
  <c r="C9" i="18"/>
  <c r="C10" i="18"/>
  <c r="C11" i="18"/>
  <c r="H11" i="29"/>
  <c r="I11" i="29" s="1"/>
  <c r="G8" i="29"/>
  <c r="G9" i="29"/>
  <c r="G10" i="29"/>
  <c r="G11" i="29"/>
  <c r="D8" i="29"/>
  <c r="D9" i="29"/>
  <c r="D10" i="29"/>
  <c r="D11" i="29"/>
  <c r="C8" i="29"/>
  <c r="C9" i="29"/>
  <c r="C10" i="29"/>
  <c r="C11" i="29"/>
  <c r="I11" i="19" l="1"/>
  <c r="E11" i="18"/>
  <c r="F11" i="18" s="1"/>
  <c r="H10" i="29"/>
  <c r="I10" i="29" s="1"/>
  <c r="H9" i="29"/>
  <c r="I9" i="29" s="1"/>
  <c r="I9" i="19"/>
  <c r="H8" i="29"/>
  <c r="I8" i="29" s="1"/>
  <c r="I8" i="26"/>
  <c r="I8" i="18"/>
  <c r="E9" i="1"/>
  <c r="F9" i="1" s="1"/>
  <c r="I11" i="1"/>
  <c r="E11" i="1"/>
  <c r="F11" i="1" s="1"/>
  <c r="E10" i="1"/>
  <c r="F10" i="1" s="1"/>
  <c r="E8" i="1"/>
  <c r="F8" i="1" s="1"/>
  <c r="I8" i="1"/>
  <c r="I9" i="1"/>
  <c r="E10" i="18"/>
  <c r="F10" i="18" s="1"/>
  <c r="E9" i="18"/>
  <c r="F9" i="18" s="1"/>
  <c r="E8" i="18"/>
  <c r="F8" i="18" s="1"/>
  <c r="D8" i="34"/>
  <c r="C10" i="34"/>
  <c r="E11" i="29"/>
  <c r="F11" i="29" s="1"/>
  <c r="E10" i="29"/>
  <c r="F10" i="29" s="1"/>
  <c r="E9" i="29"/>
  <c r="F9" i="29" s="1"/>
  <c r="E8" i="29"/>
  <c r="F8" i="29" s="1"/>
  <c r="D9" i="34"/>
  <c r="C11" i="34"/>
  <c r="G11" i="34"/>
  <c r="G10" i="34"/>
  <c r="C8" i="34"/>
  <c r="G9" i="34"/>
  <c r="D11" i="34"/>
  <c r="G8" i="34"/>
  <c r="D10" i="34"/>
  <c r="H11" i="34"/>
  <c r="E10" i="30"/>
  <c r="F10" i="30" s="1"/>
  <c r="I11" i="30"/>
  <c r="I10" i="30"/>
  <c r="H10" i="34"/>
  <c r="C9" i="34"/>
  <c r="I9" i="31"/>
  <c r="I9" i="30"/>
  <c r="H9" i="34"/>
  <c r="I8" i="30"/>
  <c r="E8" i="30"/>
  <c r="F8" i="30" s="1"/>
  <c r="E10" i="34" l="1"/>
  <c r="F10" i="34" s="1"/>
  <c r="E9" i="34"/>
  <c r="F9" i="34" s="1"/>
  <c r="H8" i="34"/>
  <c r="I8" i="34" s="1"/>
  <c r="E8" i="34"/>
  <c r="F8" i="34" s="1"/>
  <c r="I11" i="34"/>
  <c r="I10" i="34"/>
  <c r="I9" i="34"/>
  <c r="E11" i="34"/>
  <c r="F11" i="34" s="1"/>
  <c r="I8" i="32"/>
  <c r="H8" i="32"/>
  <c r="H9" i="32"/>
  <c r="I9" i="32" s="1"/>
  <c r="H10" i="32"/>
  <c r="I10" i="32" s="1"/>
  <c r="H11" i="32"/>
  <c r="I11" i="32" s="1"/>
  <c r="F8" i="32"/>
  <c r="E8" i="32"/>
  <c r="E9" i="32"/>
  <c r="F9" i="32" s="1"/>
  <c r="E10" i="32"/>
  <c r="F10" i="32" s="1"/>
  <c r="E11" i="32"/>
  <c r="F11" i="32" s="1"/>
  <c r="I5" i="30"/>
  <c r="I6" i="30"/>
  <c r="I7" i="30"/>
  <c r="H5" i="30"/>
  <c r="H6" i="30"/>
  <c r="H7" i="30"/>
  <c r="G5" i="30"/>
  <c r="G6" i="30"/>
  <c r="G7" i="30"/>
  <c r="G4" i="30"/>
  <c r="F6" i="30"/>
  <c r="E5" i="30"/>
  <c r="F5" i="30" s="1"/>
  <c r="E6" i="30"/>
  <c r="E7" i="30"/>
  <c r="F7" i="30" s="1"/>
  <c r="D5" i="30"/>
  <c r="D6" i="30"/>
  <c r="D7" i="30"/>
  <c r="C5" i="30"/>
  <c r="C6" i="30"/>
  <c r="C7" i="30"/>
  <c r="H6" i="18"/>
  <c r="I6" i="18" s="1"/>
  <c r="H7" i="18"/>
  <c r="I7" i="18" s="1"/>
  <c r="G5" i="18"/>
  <c r="G6" i="18"/>
  <c r="G7" i="18"/>
  <c r="E6" i="18"/>
  <c r="E7" i="18"/>
  <c r="D5" i="18"/>
  <c r="D6" i="18"/>
  <c r="D7" i="18"/>
  <c r="C5" i="18"/>
  <c r="E5" i="18" s="1"/>
  <c r="F5" i="18" s="1"/>
  <c r="C6" i="18"/>
  <c r="C7" i="18"/>
  <c r="H7" i="1"/>
  <c r="G6" i="1"/>
  <c r="G7" i="1"/>
  <c r="G5" i="1"/>
  <c r="D6" i="1"/>
  <c r="D7" i="1"/>
  <c r="D5" i="1"/>
  <c r="D5" i="34" s="1"/>
  <c r="C5" i="1"/>
  <c r="E5" i="1" s="1"/>
  <c r="F5" i="1" s="1"/>
  <c r="C6" i="1"/>
  <c r="C7" i="1"/>
  <c r="G5" i="34"/>
  <c r="H6" i="32"/>
  <c r="I6" i="32" s="1"/>
  <c r="H7" i="32"/>
  <c r="I7" i="32" s="1"/>
  <c r="H4" i="32"/>
  <c r="I4" i="32"/>
  <c r="E6" i="32"/>
  <c r="F6" i="32" s="1"/>
  <c r="E7" i="32"/>
  <c r="F7" i="32" s="1"/>
  <c r="A4" i="31" a="1"/>
  <c r="A4" i="31" s="1"/>
  <c r="I6" i="31"/>
  <c r="H6" i="31"/>
  <c r="H7" i="31"/>
  <c r="F6" i="31"/>
  <c r="F7" i="31"/>
  <c r="E6" i="31"/>
  <c r="E7" i="31"/>
  <c r="H5" i="29"/>
  <c r="I5" i="29" s="1"/>
  <c r="H6" i="29"/>
  <c r="I6" i="29" s="1"/>
  <c r="H7" i="29"/>
  <c r="I7" i="29" s="1"/>
  <c r="E5" i="29"/>
  <c r="F5" i="29" s="1"/>
  <c r="D5" i="29"/>
  <c r="D6" i="29"/>
  <c r="D7" i="29"/>
  <c r="C5" i="29"/>
  <c r="C6" i="29"/>
  <c r="E6" i="29" s="1"/>
  <c r="F6" i="29" s="1"/>
  <c r="C7" i="29"/>
  <c r="E7" i="29" s="1"/>
  <c r="F7" i="29" s="1"/>
  <c r="G5" i="29"/>
  <c r="G6" i="29"/>
  <c r="G7" i="29"/>
  <c r="G4" i="29"/>
  <c r="H6" i="28"/>
  <c r="I6" i="28" s="1"/>
  <c r="H7" i="28"/>
  <c r="I7" i="28" s="1"/>
  <c r="F6" i="28"/>
  <c r="E6" i="28"/>
  <c r="E7" i="28"/>
  <c r="F7" i="28" s="1"/>
  <c r="G4" i="18"/>
  <c r="B4" i="33" a="1"/>
  <c r="B4" i="33" s="1"/>
  <c r="A4" i="33" a="1"/>
  <c r="A4" i="33" s="1"/>
  <c r="B4" i="32" a="1"/>
  <c r="B4" i="32" s="1"/>
  <c r="A4" i="32" a="1"/>
  <c r="A4" i="32" s="1"/>
  <c r="B4" i="31" a="1"/>
  <c r="B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6" i="72"/>
  <c r="F6" i="72" s="1"/>
  <c r="H6" i="72"/>
  <c r="I6" i="72" s="1"/>
  <c r="G4" i="1"/>
  <c r="B4" i="34" a="1"/>
  <c r="B4" i="34" s="1"/>
  <c r="A4" i="34" a="1"/>
  <c r="A4" i="34" s="1"/>
  <c r="A1" i="34" a="1"/>
  <c r="A1" i="34" s="1"/>
  <c r="D4" i="30"/>
  <c r="D2" i="30" s="1"/>
  <c r="C4" i="30"/>
  <c r="D4" i="29"/>
  <c r="C4" i="29"/>
  <c r="D4" i="18"/>
  <c r="D2" i="18" s="1"/>
  <c r="C4" i="18"/>
  <c r="B4" i="30" a="1"/>
  <c r="B4" i="30" s="1"/>
  <c r="G2" i="30"/>
  <c r="A1" i="30" a="1"/>
  <c r="A1" i="30" s="1"/>
  <c r="B4" i="29" a="1"/>
  <c r="B4" i="29" s="1"/>
  <c r="A4" i="29" a="1"/>
  <c r="A4" i="29" s="1"/>
  <c r="G2" i="29"/>
  <c r="A1" i="29" a="1"/>
  <c r="A1" i="29" s="1"/>
  <c r="B4" i="18" a="1"/>
  <c r="B4" i="18" s="1"/>
  <c r="A4" i="18" a="1"/>
  <c r="A4" i="18" s="1"/>
  <c r="G2" i="18"/>
  <c r="A1" i="18" a="1"/>
  <c r="A1" i="18" s="1"/>
  <c r="C4" i="1"/>
  <c r="D4" i="1"/>
  <c r="B4" i="1" a="1"/>
  <c r="B4" i="1" s="1"/>
  <c r="A4" i="1" a="1"/>
  <c r="A4" i="1" s="1"/>
  <c r="A1" i="1" a="1"/>
  <c r="A1" i="1" s="1"/>
  <c r="H5" i="33"/>
  <c r="I5" i="33" s="1"/>
  <c r="E5" i="33"/>
  <c r="F5" i="33" s="1"/>
  <c r="H4" i="33"/>
  <c r="I4" i="33" s="1"/>
  <c r="E4" i="33"/>
  <c r="F4" i="33" s="1"/>
  <c r="G2" i="33"/>
  <c r="D2" i="33"/>
  <c r="C2" i="33"/>
  <c r="H2" i="33" s="1"/>
  <c r="I2" i="33" s="1"/>
  <c r="A1" i="33" a="1"/>
  <c r="A1" i="33" s="1"/>
  <c r="H5" i="32"/>
  <c r="I5" i="32" s="1"/>
  <c r="E5" i="32"/>
  <c r="F5"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5" i="20"/>
  <c r="I5" i="20" s="1"/>
  <c r="E5" i="20"/>
  <c r="F5" i="20" s="1"/>
  <c r="H4" i="20"/>
  <c r="I4" i="20" s="1"/>
  <c r="E4" i="20"/>
  <c r="F4" i="20" s="1"/>
  <c r="G2" i="20"/>
  <c r="D2" i="20"/>
  <c r="C2" i="20"/>
  <c r="A1" i="20" a="1"/>
  <c r="A1" i="20" s="1"/>
  <c r="H5" i="21"/>
  <c r="I5" i="21" s="1"/>
  <c r="E5" i="21"/>
  <c r="F5" i="21" s="1"/>
  <c r="H4" i="21"/>
  <c r="I4" i="21" s="1"/>
  <c r="E4" i="21"/>
  <c r="F4" i="21" s="1"/>
  <c r="G2" i="21"/>
  <c r="D2" i="21"/>
  <c r="C2" i="2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H5" i="18" l="1"/>
  <c r="I5" i="18" s="1"/>
  <c r="C5" i="34"/>
  <c r="E5" i="34" s="1"/>
  <c r="F5" i="34" s="1"/>
  <c r="I7" i="1"/>
  <c r="H5" i="1"/>
  <c r="D6" i="34"/>
  <c r="G7" i="34"/>
  <c r="E7" i="1"/>
  <c r="F7" i="1" s="1"/>
  <c r="G6" i="34"/>
  <c r="E6" i="1"/>
  <c r="F6" i="1" s="1"/>
  <c r="H6" i="1"/>
  <c r="I6" i="1" s="1"/>
  <c r="D7" i="34"/>
  <c r="C7" i="34"/>
  <c r="E7" i="34" s="1"/>
  <c r="F7" i="34" s="1"/>
  <c r="H7" i="34"/>
  <c r="C6" i="34"/>
  <c r="H2" i="32"/>
  <c r="I2" i="32" s="1"/>
  <c r="I7" i="34"/>
  <c r="H2" i="31"/>
  <c r="I2" i="31" s="1"/>
  <c r="H2" i="28"/>
  <c r="I2" i="28" s="1"/>
  <c r="E2" i="20"/>
  <c r="F2" i="20" s="1"/>
  <c r="G4" i="34"/>
  <c r="H2" i="21"/>
  <c r="I2" i="21" s="1"/>
  <c r="E4" i="18"/>
  <c r="F4" i="18" s="1"/>
  <c r="H2" i="4"/>
  <c r="I2" i="4" s="1"/>
  <c r="J2" i="4"/>
  <c r="J2" i="33"/>
  <c r="J2" i="21"/>
  <c r="J2" i="20"/>
  <c r="H2" i="19"/>
  <c r="I2" i="19" s="1"/>
  <c r="H2" i="26"/>
  <c r="I2" i="26" s="1"/>
  <c r="E2" i="28"/>
  <c r="F2" i="28" s="1"/>
  <c r="J2" i="19"/>
  <c r="D2" i="29"/>
  <c r="J2" i="26"/>
  <c r="H2" i="20"/>
  <c r="I2" i="20" s="1"/>
  <c r="J2" i="28"/>
  <c r="J2" i="31"/>
  <c r="E4" i="30"/>
  <c r="F4" i="30" s="1"/>
  <c r="J2" i="32"/>
  <c r="D4" i="34"/>
  <c r="D2" i="34" s="1"/>
  <c r="H2" i="27"/>
  <c r="I2" i="27" s="1"/>
  <c r="J2" i="27"/>
  <c r="H2" i="3"/>
  <c r="I2" i="3" s="1"/>
  <c r="G2" i="1"/>
  <c r="H4" i="30"/>
  <c r="I4" i="30" s="1"/>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H6" i="34"/>
  <c r="I6" i="34" s="1"/>
  <c r="G2" i="34"/>
  <c r="E6" i="34"/>
  <c r="F6" i="34" s="1"/>
  <c r="H5" i="34"/>
  <c r="I5" i="34" s="1"/>
  <c r="I5" i="1"/>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<sst xmlns="http://schemas.openxmlformats.org/spreadsheetml/2006/main" count="308" uniqueCount="108">
  <si>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</si>
  <si>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</si>
  <si>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</si>
  <si>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</si>
  <si>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</si>
  <si>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</si>
  <si>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</si>
  <si>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</si>
  <si>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</si>
  <si>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</si>
  <si>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</si>
  <si>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</si>
  <si>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</si>
  <si>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</si>
  <si>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</si>
  <si>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</si>
  <si>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</si>
  <si>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</si>
  <si>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</si>
  <si>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</si>
  <si>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</si>
  <si>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</si>
  <si>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</si>
  <si>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</si>
  <si>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</si>
  <si>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</si>
  <si>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</si>
  <si>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</si>
  <si>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May Actual v. Expected</t>
  </si>
  <si>
    <t>May Actual v. Forecasted</t>
  </si>
  <si>
    <t>June Actual v. Expected</t>
  </si>
  <si>
    <t>June Actual v. Forecasted</t>
  </si>
  <si>
    <t xml:space="preserve">1. Site is offline on 06/24 at 9:15AM and back online at 02:00PM on 06/25.
</t>
  </si>
  <si>
    <t>1. SR086900</t>
  </si>
  <si>
    <t>July Actual v. Expected</t>
  </si>
  <si>
    <t>July Actual v. Forecasted</t>
  </si>
  <si>
    <t>1.Inverter 11 started production at mid off the day through out the month
2.Inverter 7 has starting production after 08:00AM</t>
  </si>
  <si>
    <t>1.SR087760
2.SR088469</t>
  </si>
  <si>
    <t>1.Inverter tripped offline on 07/18 at 11:30 and back online at 17:30 on 07/18
2. Inverter was offline 07/24 at through out the month
3. Due to unavailability of inverter or combiner box level data, along with communication event logs during this period, we are unable to determine the reason for the underperformance.</t>
  </si>
  <si>
    <t xml:space="preserve">1.SR087848
2.SR088145
</t>
  </si>
  <si>
    <t>August Actual v. Expected</t>
  </si>
  <si>
    <t>August Actual v. Forecasted</t>
  </si>
  <si>
    <t>1.Inverter 11 started production at mid off the day on 08/01.
2. Inverters 11 tripped offline on 08/15 at 05:20pm and back online on 08/21 at 09:50
3.Inverter 9 and 12 were underproducing approximately 20kW and back to normal production on 08/15</t>
  </si>
  <si>
    <t>1. SR087760
2. SR089142
3. SR089115</t>
  </si>
  <si>
    <t xml:space="preserve">1.Inverter was back online at 15:35 on 08/07
2. Inverter is offlline on 08/25 at 21:45 and back online at 11:00 on 08/26
</t>
  </si>
  <si>
    <t>1. SR088145
2. SR089552</t>
  </si>
  <si>
    <t xml:space="preserve">1.The total output was not excceding more than 540kW due to BESS discharge is fluctuating and resolved on 08/11
2. Site tripped offline at 07:35 AM on 08/07 and back online at 06:35 AM on 08/08
3. Weather station reported erroneous value from 6:30 PM on 08/24 to 12:00 PM on 08/30
</t>
  </si>
  <si>
    <t>1.SR088565
2.SR088743
3. SR089665</t>
  </si>
  <si>
    <t>September Actual v. Expected</t>
  </si>
  <si>
    <t>September Actual v. Forecasted</t>
  </si>
  <si>
    <t>1.Site is offline from 7:50AM to 11:25AM on 09/03 
2.Inverter 7 is offline from 09/20 and back online on 09/22
3.Forcated values is not available in the september but available till August</t>
  </si>
  <si>
    <t>1. SR089845
2. SR091029</t>
  </si>
  <si>
    <t>1. Inverter tripped offline at 17:20 on 09/16 and back online at 09:25am on 09/17</t>
  </si>
  <si>
    <t>1. SR090653</t>
  </si>
  <si>
    <t>1. Site tripped offline at 1:00 PM on 09/01 and back online at 11:45 AM on 09/03
2. Site tripped offline on 09/17 and back online at 04:20 on 09/18. Site tripped offline at 11:00 AM on 09/19 and back online at 12:00 PM on 09/20</t>
  </si>
  <si>
    <t>1. SR089851
2. SR090646</t>
  </si>
  <si>
    <t>October Actual v. Expected</t>
  </si>
  <si>
    <t>October Actual v. Forecasted</t>
  </si>
  <si>
    <t>1.Inverter 4 is underperforming approximately 8kw, Inverter 9 is underperforming approximately 6kw, Inverter 11 is underperforming approximately 4kw and Inverter 16 is underperforming approximately 6kw.
2.Actual data has been caluculated  from 10/08 since the data was not available before 10/08 in Power factors</t>
  </si>
  <si>
    <t xml:space="preserve">1. SR092461,  SR092761
</t>
  </si>
  <si>
    <t xml:space="preserve">1. Inverter 2.5 tripped offline at 6:30 on 10/14/24 and came back online at 6:30 on 10/15/24.
2. Inverter 5 was being RMA'd from 10/29/24
</t>
  </si>
  <si>
    <t>1. SR092123
2. SR092752</t>
  </si>
  <si>
    <t>1.Tracker Controller 2 was struck, causing Inverter 2 to drop in production by approximately 1,600 kW from 10/09 to 10/15
2.Inverter 1 was delayed for its production on 10/13  due to a reverse branch over current fault and back online at 08:15 on 10/13</t>
  </si>
  <si>
    <t>1. SR091968
2. SR092111</t>
  </si>
  <si>
    <t>1.The meter A phase CT is still underperforming by about 93 amps after CT replacements on 10/17/24, this could explain the 5% variance between the meter and Inverters</t>
  </si>
  <si>
    <t>1. SR092199</t>
  </si>
  <si>
    <t>1.Site offline at 23:25 on 10/29 and back online on 10/30 at 03:00PM</t>
  </si>
  <si>
    <t>1. SR092760</t>
  </si>
  <si>
    <t>November Actual v. Expected</t>
  </si>
  <si>
    <t>November Actual v. Forecasted</t>
  </si>
  <si>
    <t>1. Site is offline at 18:10 on 11/23 and back online at 10:00AM on 11/25.</t>
  </si>
  <si>
    <t>1. SR093585.</t>
  </si>
  <si>
    <t xml:space="preserve">1.Inverter 5  was being RMA'd from 10/29.
2.Inverter 1.1, 2.4, 2.5, 2.6 are having late starts.
</t>
  </si>
  <si>
    <t>1.SR092752
2.SR093250</t>
  </si>
  <si>
    <t>1. Inverter 1 has late start ups and multiple trippings through out the month.
2. Site tripped offline at 14:00 on 11/11 and back online at 11:00 on 11/12.
3. Inverter 3 started delay production at 11:30 on 11/23.</t>
  </si>
  <si>
    <t>1.SR092898,SR093225,SR093558,SR093662,SR093667
2.SR093153
3.SR093558</t>
  </si>
  <si>
    <t>1. Inverters 1,3, and 11 are hvaing  reoccurring late start ups.
2.Inverter 6 is derating approximately 70kW compared to peer inverter and Inverter 6 has been RMA'd from 11/06 to 11/20.
3.Site was offline from 12:15 to 16:15 on 11/04 .
4. Inverter 1&amp;6 are having late start ups</t>
  </si>
  <si>
    <t xml:space="preserve">1.SR092864,SR093215,SR094397
2.SR092920
3.SR092958
4.SR093643,SR094397
</t>
  </si>
  <si>
    <t xml:space="preserve">1.Inverter tripped offline from 09:00 to 03:00 on 11/26 and again inverter offline from 11/27 throughout the month
</t>
  </si>
  <si>
    <t>1.SR093625</t>
  </si>
  <si>
    <t>December Actual v. Expected</t>
  </si>
  <si>
    <t>December Actual v. Forecasted</t>
  </si>
  <si>
    <t>Portfolio:</t>
  </si>
  <si>
    <t>AB CarVal</t>
  </si>
  <si>
    <t>Site DAS Name</t>
  </si>
  <si>
    <t>Update</t>
  </si>
  <si>
    <t>DAS</t>
  </si>
  <si>
    <t>001 - Fairhaven</t>
  </si>
  <si>
    <t>MA: Fairhaven - 279 Mill Rd</t>
  </si>
  <si>
    <t>MA</t>
  </si>
  <si>
    <t>PowerFactors</t>
  </si>
  <si>
    <t>AFTW Solar - Wheeler</t>
  </si>
  <si>
    <t>Bakersfield - 100 Basic School Rd</t>
  </si>
  <si>
    <t>CA</t>
  </si>
  <si>
    <t>AEF</t>
  </si>
  <si>
    <t>Also Energy API</t>
  </si>
  <si>
    <t>Fresno 14MW Solar - CAISO - AB Carval</t>
  </si>
  <si>
    <t>Fresno - 2685 Cornelia Ave</t>
  </si>
  <si>
    <t>JID - Crystal Farms Local Solar</t>
  </si>
  <si>
    <t>San Juaquin - S. Placer &amp; W. Adams</t>
  </si>
  <si>
    <t>002 - Charlemont</t>
  </si>
  <si>
    <t xml:space="preserve">Charlemont - 0 Tea St </t>
  </si>
  <si>
    <t>003 - Town of Amherst</t>
  </si>
  <si>
    <t xml:space="preserve">Amherst - 740 Belchertown Rd </t>
  </si>
  <si>
    <t>004 - Huxley</t>
  </si>
  <si>
    <t xml:space="preserve"> Ludlow - Huxley 1 &amp; 2 - 504 Fuller St </t>
  </si>
  <si>
    <t>005 - Beacon</t>
  </si>
  <si>
    <t>Easthampton - Beacon 1 &amp; 2 - 540 Florence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</si>
</sst>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ont>
    <font>
      <sz val="12"/>
      <name val="Arial"/>
      <family val="2"/>
    </font>
    <font>
      <sz val="14"/>
      <name val="Calibri"/>
      <family val="2"/>
    </font>
    <font>
      <sz val="11"/>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5">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cellStyleXfs>
  <cellXfs count="79">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164"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Alignment="1">
      <alignment horizontal="left" vertical="top" wrapText="1"/>
    </xf>
    <xf numFmtId="9" fontId="30" fillId="37" borderId="0" xfId="2" applyFont="1" applyFill="1" applyAlignment="1">
      <alignment horizontal="center" vertical="center"/>
    </xf>
    <xf numFmtId="3" fontId="30" fillId="4" borderId="0" xfId="1" applyNumberFormat="1" applyFont="1" applyFill="1" applyAlignment="1">
      <alignment vertical="center"/>
    </xf>
    <xf numFmtId="9" fontId="30" fillId="3" borderId="0" xfId="2" applyFont="1" applyFill="1" applyAlignment="1">
      <alignment horizontal="center" vertical="center"/>
    </xf>
    <xf numFmtId="164" fontId="28" fillId="44" borderId="0" xfId="1" applyNumberFormat="1" applyFont="1" applyFill="1" applyAlignment="1">
      <alignment horizontal="center" vertical="center"/>
    </xf>
    <xf numFmtId="49" fontId="28" fillId="0" borderId="0" xfId="0" applyNumberFormat="1" applyFont="1" applyAlignment="1">
      <alignment horizontal="left" vertical="top" wrapText="1"/>
    </xf>
    <xf numFmtId="49" fontId="23" fillId="0" borderId="0" xfId="0" applyNumberFormat="1" applyFont="1" applyAlignment="1">
      <alignment horizontal="left" vertical="top"/>
    </xf>
    <xf numFmtId="0" fontId="34" fillId="40" borderId="0" xfId="0" applyFont="1" applyFill="1" applyAlignment="1">
      <alignment horizontal="center" vertical="center"/>
    </xf>
    <xf numFmtId="0" fontId="35" fillId="0" borderId="0" xfId="0" applyFont="1"/>
    <xf numFmtId="0" fontId="26" fillId="2" borderId="1" xfId="0" applyFont="1" applyFill="1" applyBorder="1" applyAlignment="1">
      <alignment horizontal="center" vertical="center" wrapText="1"/>
    </xf>
    <xf numFmtId="3" fontId="36" fillId="36" borderId="1" xfId="0" applyNumberFormat="1" applyFont="1" applyFill="1" applyBorder="1" applyAlignment="1">
      <alignment horizontal="center" vertical="center"/>
    </xf>
    <xf numFmtId="9" fontId="36" fillId="36" borderId="1" xfId="0" applyNumberFormat="1" applyFont="1" applyFill="1" applyBorder="1" applyAlignment="1">
      <alignment horizontal="center" vertical="center"/>
    </xf>
    <xf numFmtId="3" fontId="36" fillId="36" borderId="1" xfId="1" applyNumberFormat="1" applyFont="1" applyFill="1" applyBorder="1" applyAlignment="1">
      <alignment horizontal="center" vertical="center"/>
    </xf>
    <xf numFmtId="0" fontId="26" fillId="43" borderId="1" xfId="0" applyFont="1" applyFill="1" applyBorder="1" applyAlignment="1">
      <alignment horizontal="center" vertical="center" wrapText="1"/>
    </xf>
    <xf numFmtId="0" fontId="5" fillId="41" borderId="1" xfId="0" applyFont="1" applyFill="1" applyBorder="1" applyAlignment="1">
      <alignment horizontal="center" vertical="center" wrapText="1"/>
    </xf>
    <xf numFmtId="9" fontId="5" fillId="41" borderId="1" xfId="2" applyFont="1" applyFill="1" applyBorder="1" applyAlignment="1">
      <alignment horizontal="center" vertical="center" wrapText="1"/>
    </xf>
    <xf numFmtId="0" fontId="5" fillId="42" borderId="1" xfId="0" applyFont="1" applyFill="1" applyBorder="1" applyAlignment="1">
      <alignment horizontal="center"/>
    </xf>
    <xf numFmtId="0" fontId="5" fillId="42" borderId="1" xfId="0" applyFont="1" applyFill="1" applyBorder="1" applyAlignment="1">
      <alignment horizontal="center" vertical="center" wrapText="1"/>
    </xf>
    <xf numFmtId="9" fontId="5" fillId="42" borderId="1" xfId="2" applyFont="1" applyFill="1" applyBorder="1" applyAlignment="1">
      <alignment horizontal="center" vertical="center" wrapText="1"/>
    </xf>
    <xf numFmtId="0" fontId="37" fillId="0" borderId="0" xfId="0" applyFont="1"/>
    <xf numFmtId="9" fontId="30" fillId="46" borderId="0" xfId="2" applyFont="1" applyFill="1" applyBorder="1" applyAlignment="1">
      <alignment horizontal="center" vertical="center"/>
    </xf>
    <xf numFmtId="9" fontId="30" fillId="4" borderId="0" xfId="2" applyFont="1" applyFill="1" applyBorder="1" applyAlignment="1">
      <alignment horizontal="center" vertical="center"/>
    </xf>
    <xf numFmtId="0" fontId="23" fillId="40" borderId="0" xfId="0" applyFont="1" applyFill="1" applyAlignment="1">
      <alignment horizontal="center" vertical="center"/>
    </xf>
    <xf numFmtId="0" fontId="38" fillId="0" borderId="0" xfId="0" applyFont="1"/>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horizontal="left" vertical="center"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39" borderId="1" xfId="0" applyFont="1" applyFill="1" applyBorder="1" applyAlignment="1">
      <alignment horizontal="center" vertical="center"/>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59">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02"/>
  <sheetViews>
    <sheetView workbookViewId="0">
      <pane ySplit="2" topLeftCell="A3" activePane="bottomLeft" state="frozen"/>
      <selection pane="bottomLeft" activeCell="A6" sqref="A6"/>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3" t="str" cm="1">
        <f t="array" ref="A1">portfolio</f>
        <v>AB CarVal</v>
      </c>
      <c r="B1" s="73"/>
      <c r="C1" s="73"/>
      <c r="D1" s="74" t="s">
        <v>0</v>
      </c>
      <c r="E1" s="74"/>
      <c r="F1" s="74"/>
      <c r="G1" s="72" t="s">
        <v>1</v>
      </c>
      <c r="H1" s="72"/>
      <c r="I1" s="72"/>
    </row>
    <row r="2" spans="1:11" ht="19.5" customHeight="1">
      <c r="A2" s="75" t="s">
        <v>2</v>
      </c>
      <c r="B2" s="75"/>
      <c r="C2" s="6">
        <f>SUM(C4:C60)</f>
        <v>29067168.616584886</v>
      </c>
      <c r="D2" s="6">
        <f>SUM(D4:D60)</f>
        <v>30150977.273794428</v>
      </c>
      <c r="E2" s="6">
        <f>C2-D2</f>
        <v>-1083808.6572095416</v>
      </c>
      <c r="F2" s="7">
        <f>IFERROR(E2/D2, 0)</f>
        <v>-3.5946053999102993E-2</v>
      </c>
      <c r="G2" s="6">
        <f>SUM(G4:G60)</f>
        <v>30383568.579999998</v>
      </c>
      <c r="H2" s="8">
        <f>C2-G2</f>
        <v>-1316399.9634151123</v>
      </c>
      <c r="I2" s="7">
        <f>IFERROR(H2/G2, 0)</f>
        <v>-4.3326048418210937E-2</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SUM('1st Qtr'!C4, '2nd Qtr'!C4, '3rd Qtr'!C4, '4th Qtr'!C4)</f>
        <v>1958328</v>
      </c>
      <c r="D4" s="14">
        <f>SUM('1st Qtr'!D4, '2nd Qtr'!D4, '3rd Qtr'!D4, '4th Qtr'!D4)</f>
        <v>1931884.6971</v>
      </c>
      <c r="E4" s="14">
        <f t="shared" ref="E4:E11" si="0">IF(AND(ISNUMBER(C4),ISNUMBER(D4)), C4-D4, "")</f>
        <v>26443.30290000001</v>
      </c>
      <c r="F4" s="15">
        <f t="shared" ref="F4:F11" si="1">IFERROR(E4/D4, "")</f>
        <v>1.3687826680181642E-2</v>
      </c>
      <c r="G4" s="16">
        <f>SUM('1st Qtr'!G4,'2nd Qtr'!G4,'3rd Qtr'!G4,'4th Qtr'!G4)</f>
        <v>1600958.38</v>
      </c>
      <c r="H4" s="16">
        <f>SUM('1st Qtr'!H4, '2nd Qtr'!H4, '3rd Qtr'!H4, '4th Qtr'!H4)</f>
        <v>357369.62</v>
      </c>
      <c r="I4" s="17">
        <f t="shared" ref="I4:I11" si="2">IFERROR(H4/G4, "")</f>
        <v>0.22322230512950625</v>
      </c>
    </row>
    <row r="5" spans="1:11" ht="15.6">
      <c r="A5" s="31" t="str">
        <v>Bakersfield - 100 Basic School Rd</v>
      </c>
      <c r="B5" s="32" t="str">
        <v>CA</v>
      </c>
      <c r="C5" s="12">
        <f>SUM('1st Qtr'!C5, '2nd Qtr'!C5, '3rd Qtr'!C5, '4th Qtr'!C5)</f>
        <v>3168283.8657218162</v>
      </c>
      <c r="D5" s="12">
        <f>SUM('1st Qtr'!D5, '2nd Qtr'!D5, '3rd Qtr'!D5, '4th Qtr'!D5)</f>
        <v>3196924.4</v>
      </c>
      <c r="E5" s="20">
        <f t="shared" si="0"/>
        <v>-28640.53427818371</v>
      </c>
      <c r="F5" s="21">
        <f t="shared" si="1"/>
        <v>-8.9587774669253085E-3</v>
      </c>
      <c r="G5" s="12">
        <f>SUM('1st Qtr'!G5,'2nd Qtr'!G5,'3rd Qtr'!G5,'4th Qtr'!G5)</f>
        <v>3163918.6</v>
      </c>
      <c r="H5" s="20">
        <f>SUM('1st Qtr'!H5, '2nd Qtr'!H5, '3rd Qtr'!H5, '4th Qtr'!H5)</f>
        <v>4365.2657218159875</v>
      </c>
      <c r="I5" s="21">
        <f t="shared" si="2"/>
        <v>1.3797022849500577E-3</v>
      </c>
      <c r="J5" s="11"/>
      <c r="K5" s="19"/>
    </row>
    <row r="6" spans="1:11" ht="15.6">
      <c r="A6" s="13" t="str">
        <v>Fresno - 2685 Cornelia Ave</v>
      </c>
      <c r="B6" s="10" t="str">
        <v>CA</v>
      </c>
      <c r="C6" s="26">
        <f>SUM('1st Qtr'!C6, '2nd Qtr'!C6, '3rd Qtr'!C6, '4th Qtr'!C6)</f>
        <v>5976743</v>
      </c>
      <c r="D6" s="14">
        <f>SUM('1st Qtr'!D6, '2nd Qtr'!D6, '3rd Qtr'!D6, '4th Qtr'!D6)</f>
        <v>6435364</v>
      </c>
      <c r="E6" s="14">
        <f t="shared" si="0"/>
        <v>-458621</v>
      </c>
      <c r="F6" s="15">
        <f t="shared" si="1"/>
        <v>-7.1265743476204305E-2</v>
      </c>
      <c r="G6" s="16">
        <f>SUM('1st Qtr'!G6,'2nd Qtr'!G6,'3rd Qtr'!G6,'4th Qtr'!G6)</f>
        <v>6300105</v>
      </c>
      <c r="H6" s="16">
        <f>SUM('1st Qtr'!H6, '2nd Qtr'!H6, '3rd Qtr'!H6, '4th Qtr'!H6)</f>
        <v>-323362</v>
      </c>
      <c r="I6" s="17">
        <f t="shared" si="2"/>
        <v>-5.1326446146532478E-2</v>
      </c>
    </row>
    <row r="7" spans="1:11" ht="15.6">
      <c r="A7" s="31" t="str">
        <v>San Juaquin - S. Placer &amp; W. Adams</v>
      </c>
      <c r="B7" s="32" t="str">
        <v>CA</v>
      </c>
      <c r="C7" s="12">
        <f>SUM('1st Qtr'!C7, '2nd Qtr'!C7, '3rd Qtr'!C7, '4th Qtr'!C7)</f>
        <v>2391904</v>
      </c>
      <c r="D7" s="12">
        <f>SUM('1st Qtr'!D7, '2nd Qtr'!D7, '3rd Qtr'!D7, '4th Qtr'!D7)</f>
        <v>2390972.9</v>
      </c>
      <c r="E7" s="20">
        <f t="shared" si="0"/>
        <v>931.10000000009313</v>
      </c>
      <c r="F7" s="21">
        <f t="shared" si="1"/>
        <v>3.8942306707035162E-4</v>
      </c>
      <c r="G7" s="12">
        <f>SUM('1st Qtr'!G7,'2nd Qtr'!G7,'3rd Qtr'!G7,'4th Qtr'!G7)</f>
        <v>2349147</v>
      </c>
      <c r="H7" s="20">
        <f>SUM('1st Qtr'!H7, '2nd Qtr'!H7, '3rd Qtr'!H7, '4th Qtr'!H7)</f>
        <v>42757</v>
      </c>
      <c r="I7" s="21">
        <f t="shared" si="2"/>
        <v>1.8201074687961203E-2</v>
      </c>
      <c r="J7" s="11"/>
      <c r="K7" s="19"/>
    </row>
    <row r="8" spans="1:11" ht="15.6">
      <c r="A8" s="13" t="str">
        <v xml:space="preserve">Charlemont - 0 Tea St </v>
      </c>
      <c r="B8" s="10" t="str">
        <v>MA</v>
      </c>
      <c r="C8" s="49">
        <f>SUM('1st Qtr'!C8, '2nd Qtr'!C8, '3rd Qtr'!C8, '4th Qtr'!C8)</f>
        <v>1903432</v>
      </c>
      <c r="D8" s="14">
        <f>SUM('1st Qtr'!D8, '2nd Qtr'!D8, '3rd Qtr'!D8, '4th Qtr'!D8)</f>
        <v>2475421.3281</v>
      </c>
      <c r="E8" s="14">
        <f t="shared" si="0"/>
        <v>-571989.32810000004</v>
      </c>
      <c r="F8" s="48">
        <f t="shared" si="1"/>
        <v>-0.23106746379172075</v>
      </c>
      <c r="G8" s="47">
        <f>SUM('1st Qtr'!G8,'2nd Qtr'!G8,'3rd Qtr'!G8,'4th Qtr'!G8)</f>
        <v>2404470.6</v>
      </c>
      <c r="H8" s="47">
        <f>SUM('1st Qtr'!H8, '2nd Qtr'!H8, '3rd Qtr'!H8, '4th Qtr'!H8)</f>
        <v>-501038.60000000003</v>
      </c>
      <c r="I8" s="46">
        <f t="shared" si="2"/>
        <v>-0.20837792734916369</v>
      </c>
    </row>
    <row r="9" spans="1:11" ht="15.6">
      <c r="A9" s="31" t="str">
        <v xml:space="preserve">Amherst - 740 Belchertown Rd </v>
      </c>
      <c r="B9" s="32" t="str">
        <v>MA</v>
      </c>
      <c r="C9" s="42">
        <f>SUM('1st Qtr'!C9, '2nd Qtr'!C9, '3rd Qtr'!C9, '4th Qtr'!C9)</f>
        <v>2441736.7508244277</v>
      </c>
      <c r="D9" s="42">
        <f>SUM('1st Qtr'!D9, '2nd Qtr'!D9, '3rd Qtr'!D9, '4th Qtr'!D9)</f>
        <v>2680731.2618041211</v>
      </c>
      <c r="E9" s="20">
        <f t="shared" si="0"/>
        <v>-238994.51097969338</v>
      </c>
      <c r="F9" s="43">
        <f t="shared" si="1"/>
        <v>-8.915273022139901E-2</v>
      </c>
      <c r="G9" s="42">
        <f>SUM('1st Qtr'!G9,'2nd Qtr'!G9,'3rd Qtr'!G9,'4th Qtr'!G9)</f>
        <v>2880923</v>
      </c>
      <c r="H9" s="20">
        <f>SUM('1st Qtr'!H9, '2nd Qtr'!H9, '3rd Qtr'!H9, '4th Qtr'!H9)</f>
        <v>-439186.24917557254</v>
      </c>
      <c r="I9" s="43">
        <f t="shared" si="2"/>
        <v>-0.15244636846440274</v>
      </c>
      <c r="J9" s="11"/>
      <c r="K9" s="19"/>
    </row>
    <row r="10" spans="1:11" ht="15.6">
      <c r="A10" s="13" t="str">
        <v xml:space="preserve"> Ludlow - Huxley 1 &amp; 2 - 504 Fuller St </v>
      </c>
      <c r="B10" s="10" t="str">
        <v>MA</v>
      </c>
      <c r="C10" s="49">
        <f>SUM('1st Qtr'!C10, '2nd Qtr'!C10, '3rd Qtr'!C10, '4th Qtr'!C10)</f>
        <v>6133497.0000386424</v>
      </c>
      <c r="D10" s="14">
        <f>SUM('1st Qtr'!D10, '2nd Qtr'!D10, '3rd Qtr'!D10, '4th Qtr'!D10)</f>
        <v>5858620.9988468476</v>
      </c>
      <c r="E10" s="14">
        <f t="shared" si="0"/>
        <v>274876.00119179487</v>
      </c>
      <c r="F10" s="48">
        <f t="shared" si="1"/>
        <v>4.6918208439477263E-2</v>
      </c>
      <c r="G10" s="47">
        <f>SUM('1st Qtr'!G10,'2nd Qtr'!G10,'3rd Qtr'!G10,'4th Qtr'!G10)</f>
        <v>6319664.9999999991</v>
      </c>
      <c r="H10" s="47">
        <f>SUM('1st Qtr'!H10, '2nd Qtr'!H10, '3rd Qtr'!H10, '4th Qtr'!H10)</f>
        <v>-186167.99996135593</v>
      </c>
      <c r="I10" s="46">
        <f t="shared" si="2"/>
        <v>-2.9458523507394137E-2</v>
      </c>
    </row>
    <row r="11" spans="1:11" ht="15.6">
      <c r="A11" s="31" t="str">
        <v>Easthampton - Beacon 1 &amp; 2 - 540 Florence Rd</v>
      </c>
      <c r="B11" s="32" t="str">
        <v>MA</v>
      </c>
      <c r="C11" s="42">
        <f>SUM('1st Qtr'!C11, '2nd Qtr'!C11, '3rd Qtr'!C11, '4th Qtr'!C11)</f>
        <v>5093244</v>
      </c>
      <c r="D11" s="42">
        <f>SUM('1st Qtr'!D11, '2nd Qtr'!D11, '3rd Qtr'!D11, '4th Qtr'!D11)</f>
        <v>5181057.6879434586</v>
      </c>
      <c r="E11" s="20">
        <f t="shared" si="0"/>
        <v>-87813.687943458557</v>
      </c>
      <c r="F11" s="43">
        <f t="shared" si="1"/>
        <v>-1.6948988649133311E-2</v>
      </c>
      <c r="G11" s="42">
        <f>SUM('1st Qtr'!G11,'2nd Qtr'!G11,'3rd Qtr'!G11,'4th Qtr'!G11)</f>
        <v>5364381</v>
      </c>
      <c r="H11" s="20">
        <f>SUM('1st Qtr'!H11, '2nd Qtr'!H11, '3rd Qtr'!H11, '4th Qtr'!H11)</f>
        <v>-271136.99999999965</v>
      </c>
      <c r="I11" s="43">
        <f t="shared" si="2"/>
        <v>-5.0543949059546601E-2</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cfRule type="cellIs" dxfId="58" priority="9" stopIfTrue="1" operator="lessThanOrEqual">
      <formula>-0.1</formula>
    </cfRule>
    <cfRule type="expression" dxfId="57" priority="10">
      <formula>AND(ISNUMBER(F2), F2&gt;=0.1)</formula>
    </cfRule>
  </conditionalFormatting>
  <conditionalFormatting sqref="F4:F60">
    <cfRule type="cellIs" dxfId="56" priority="3" stopIfTrue="1" operator="lessThanOrEqual">
      <formula>-0.1</formula>
    </cfRule>
    <cfRule type="expression" dxfId="55" priority="4">
      <formula>AND(ISNUMBER(F4), F4&gt;=0.1)</formula>
    </cfRule>
  </conditionalFormatting>
  <conditionalFormatting sqref="I4:I60">
    <cfRule type="cellIs" dxfId="54" priority="1" stopIfTrue="1" operator="lessThanOrEqual">
      <formula>-0.1</formula>
    </cfRule>
    <cfRule type="expression" dxfId="53" priority="2">
      <formula>AND(ISNUMBER(I4), I4&gt;=0.1)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10"/>
  <sheetViews>
    <sheetView workbookViewId="0">
      <pane ySplit="2" topLeftCell="A3" activePane="bottomLeft" state="frozen"/>
      <selection pane="bottomLeft" activeCell="C6" sqref="C6"/>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3" t="str" cm="1">
        <f t="array" ref="A1">portfolio</f>
        <v>AB CarVal</v>
      </c>
      <c r="B1" s="73"/>
      <c r="C1" s="73"/>
      <c r="D1" s="74" t="s">
        <v>10</v>
      </c>
      <c r="E1" s="74"/>
      <c r="F1" s="74"/>
      <c r="G1" s="72" t="s">
        <v>11</v>
      </c>
      <c r="H1" s="72"/>
      <c r="I1" s="72"/>
    </row>
    <row r="2" spans="1:11" ht="19.5" customHeight="1">
      <c r="A2" s="75" t="s">
        <v>2</v>
      </c>
      <c r="B2" s="75"/>
      <c r="C2" s="6">
        <f>SUM(C4:C68)</f>
        <v>0</v>
      </c>
      <c r="D2" s="6">
        <f>SUM(D4:D68)</f>
        <v>0</v>
      </c>
      <c r="E2" s="6">
        <f>C2-D2</f>
        <v>0</v>
      </c>
      <c r="F2" s="7">
        <f>IFERROR(E2/D2, 0)</f>
        <v>0</v>
      </c>
      <c r="G2" s="6">
        <f>SUM(G4:G68)</f>
        <v>0</v>
      </c>
      <c r="H2" s="8">
        <f>C2-G2</f>
        <v>0</v>
      </c>
      <c r="I2" s="7">
        <f>IFERROR(H2/G2, 0)</f>
        <v>0</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SUM(Jan!C4, Feb!C4, Mar!C4)</f>
        <v>0</v>
      </c>
      <c r="D4" s="14">
        <f>SUM(Jan!D4, Feb!D4, Mar!D4)</f>
        <v>0</v>
      </c>
      <c r="E4" s="14">
        <f>IF(AND(ISNUMBER(C4),ISNUMBER(D4)), C4-D4, "")</f>
        <v>0</v>
      </c>
      <c r="F4" s="15" t="str">
        <f t="shared" ref="F4:F11" si="0">IFERROR(E4/D4, "")</f>
        <v/>
      </c>
      <c r="G4" s="16">
        <f>SUM(Jan!G4, Feb!G4, Mar!G4)</f>
        <v>0</v>
      </c>
      <c r="H4" s="16">
        <f>SUM(Jan!H4, Feb!H4, Mar!H4)</f>
        <v>0</v>
      </c>
      <c r="I4" s="17" t="str">
        <f t="shared" ref="I4:I11" si="1">IFERROR(H4/G4, "")</f>
        <v/>
      </c>
    </row>
    <row r="5" spans="1:11" ht="15.6">
      <c r="A5" s="31" t="str">
        <v>Bakersfield - 100 Basic School Rd</v>
      </c>
      <c r="B5" s="32" t="str">
        <v>CA</v>
      </c>
      <c r="C5" s="12">
        <f>SUM(Jan!C5, Feb!C5, Mar!C5)</f>
        <v>0</v>
      </c>
      <c r="D5" s="12">
        <f>SUM(Jan!D5, Feb!D5, Mar!D5)</f>
        <v>0</v>
      </c>
      <c r="E5" s="20">
        <f t="shared" ref="E5:E7" si="2">IF(AND(ISNUMBER(C5),ISNUMBER(D5)), C5-D5, "")</f>
        <v>0</v>
      </c>
      <c r="F5" s="21" t="str">
        <f t="shared" si="0"/>
        <v/>
      </c>
      <c r="G5" s="12">
        <f>SUM(Jan!G5, Feb!G5, Mar!G5)</f>
        <v>0</v>
      </c>
      <c r="H5" s="20">
        <f>SUM(Jan!H5, Feb!H5, Mar!H5)</f>
        <v>0</v>
      </c>
      <c r="I5" s="21" t="str">
        <f t="shared" si="1"/>
        <v/>
      </c>
      <c r="J5" s="11"/>
      <c r="K5" s="19"/>
    </row>
    <row r="6" spans="1:11" ht="15.6">
      <c r="A6" s="13" t="str">
        <v>Fresno - 2685 Cornelia Ave</v>
      </c>
      <c r="B6" s="10" t="str">
        <v>CA</v>
      </c>
      <c r="C6" s="26">
        <f>SUM(Jan!C6, Feb!C6, Mar!C6)</f>
        <v>0</v>
      </c>
      <c r="D6" s="14">
        <f>SUM(Jan!D6, Feb!D6, Mar!D6)</f>
        <v>0</v>
      </c>
      <c r="E6" s="14">
        <f>IF(AND(ISNUMBER(C6),ISNUMBER(D6)), C6-D6, "")</f>
        <v>0</v>
      </c>
      <c r="F6" s="15" t="str">
        <f t="shared" si="0"/>
        <v/>
      </c>
      <c r="G6" s="16">
        <f>SUM(Jan!G6, Feb!G6, Mar!G6)</f>
        <v>0</v>
      </c>
      <c r="H6" s="16">
        <f>SUM(Jan!H6, Feb!H6, Mar!H6)</f>
        <v>0</v>
      </c>
      <c r="I6" s="17" t="str">
        <f t="shared" si="1"/>
        <v/>
      </c>
    </row>
    <row r="7" spans="1:11" ht="15.6">
      <c r="A7" s="31" t="str">
        <v>San Juaquin - S. Placer &amp; W. Adams</v>
      </c>
      <c r="B7" s="32" t="str">
        <v>CA</v>
      </c>
      <c r="C7" s="12">
        <f>SUM(Jan!C7, Feb!C7, Mar!C7)</f>
        <v>0</v>
      </c>
      <c r="D7" s="12">
        <f>SUM(Jan!D7, Feb!D7, Mar!D7)</f>
        <v>0</v>
      </c>
      <c r="E7" s="20">
        <f t="shared" si="2"/>
        <v>0</v>
      </c>
      <c r="F7" s="21" t="str">
        <f t="shared" si="0"/>
        <v/>
      </c>
      <c r="G7" s="12">
        <f>SUM(Jan!G7, Feb!G7, Mar!G7)</f>
        <v>0</v>
      </c>
      <c r="H7" s="20">
        <f>SUM(Jan!H7, Feb!H7, Mar!H7)</f>
        <v>0</v>
      </c>
      <c r="I7" s="21" t="str">
        <f t="shared" si="1"/>
        <v/>
      </c>
      <c r="J7" s="11"/>
      <c r="K7" s="19"/>
    </row>
    <row r="8" spans="1:11" ht="15.6">
      <c r="A8" s="13" t="str">
        <v xml:space="preserve">Charlemont - 0 Tea St </v>
      </c>
      <c r="B8" s="10" t="str">
        <v>MA</v>
      </c>
      <c r="C8" s="49">
        <f>SUM(Jan!C8, Feb!C8, Mar!C8)</f>
        <v>0</v>
      </c>
      <c r="D8" s="14">
        <f>SUM(Jan!D8, Feb!D8, Mar!D8)</f>
        <v>0</v>
      </c>
      <c r="E8" s="14">
        <f>IF(AND(ISNUMBER(C8),ISNUMBER(D8)), C8-D8, "")</f>
        <v>0</v>
      </c>
      <c r="F8" s="48" t="str">
        <f t="shared" si="0"/>
        <v/>
      </c>
      <c r="G8" s="47">
        <f>SUM(Jan!G8, Feb!G8, Mar!G8)</f>
        <v>0</v>
      </c>
      <c r="H8" s="47">
        <f>SUM(Jan!H8, Feb!H8, Mar!H8)</f>
        <v>0</v>
      </c>
      <c r="I8" s="46" t="str">
        <f t="shared" si="1"/>
        <v/>
      </c>
    </row>
    <row r="9" spans="1:11" ht="15.6">
      <c r="A9" s="31" t="str">
        <v xml:space="preserve">Amherst - 740 Belchertown Rd </v>
      </c>
      <c r="B9" s="32" t="str">
        <v>MA</v>
      </c>
      <c r="C9" s="42">
        <f>SUM(Jan!C9, Feb!C9, Mar!C9)</f>
        <v>0</v>
      </c>
      <c r="D9" s="42">
        <f>SUM(Jan!D9, Feb!D9, Mar!D9)</f>
        <v>0</v>
      </c>
      <c r="E9" s="20">
        <f>IF(AND(ISNUMBER(C9),ISNUMBER(D9)), C9-D9, "")</f>
        <v>0</v>
      </c>
      <c r="F9" s="43" t="str">
        <f t="shared" si="0"/>
        <v/>
      </c>
      <c r="G9" s="42">
        <f>SUM(Jan!G9, Feb!G9, Mar!G9)</f>
        <v>0</v>
      </c>
      <c r="H9" s="20">
        <f>SUM(Jan!H9, Feb!H9, Mar!H9)</f>
        <v>0</v>
      </c>
      <c r="I9" s="43" t="str">
        <f t="shared" si="1"/>
        <v/>
      </c>
      <c r="J9" s="11"/>
      <c r="K9" s="19"/>
    </row>
    <row r="10" spans="1:11" ht="15.6">
      <c r="A10" s="13" t="str">
        <v xml:space="preserve"> Ludlow - Huxley 1 &amp; 2 - 504 Fuller St </v>
      </c>
      <c r="B10" s="10" t="str">
        <v>MA</v>
      </c>
      <c r="C10" s="49">
        <f>SUM(Jan!C10, Feb!C10, Mar!C10)</f>
        <v>0</v>
      </c>
      <c r="D10" s="14">
        <f>SUM(Jan!D10, Feb!D10, Mar!D10)</f>
        <v>0</v>
      </c>
      <c r="E10" s="14">
        <f>IF(AND(ISNUMBER(C10),ISNUMBER(D10)), C10-D10, "")</f>
        <v>0</v>
      </c>
      <c r="F10" s="48" t="str">
        <f t="shared" si="0"/>
        <v/>
      </c>
      <c r="G10" s="47">
        <f>SUM(Jan!G10, Feb!G10, Mar!G10)</f>
        <v>0</v>
      </c>
      <c r="H10" s="47">
        <f>SUM(Jan!H10, Feb!H10, Mar!H10)</f>
        <v>0</v>
      </c>
      <c r="I10" s="46" t="str">
        <f t="shared" si="1"/>
        <v/>
      </c>
    </row>
    <row r="11" spans="1:11" ht="15.6">
      <c r="A11" s="31" t="str">
        <v>Easthampton - Beacon 1 &amp; 2 - 540 Florence Rd</v>
      </c>
      <c r="B11" s="32" t="str">
        <v>MA</v>
      </c>
      <c r="C11" s="42">
        <f>SUM(Jan!C11, Feb!C11, Mar!C11)</f>
        <v>0</v>
      </c>
      <c r="D11" s="42">
        <f>SUM(Jan!D11, Feb!D11, Mar!D11)</f>
        <v>0</v>
      </c>
      <c r="E11" s="20">
        <f>IF(AND(ISNUMBER(C11),ISNUMBER(D11)), C11-D11, "")</f>
        <v>0</v>
      </c>
      <c r="F11" s="43" t="str">
        <f t="shared" si="0"/>
        <v/>
      </c>
      <c r="G11" s="42">
        <f>SUM(Jan!G11, Feb!G11, Mar!G11)</f>
        <v>0</v>
      </c>
      <c r="H11" s="20">
        <f>SUM(Jan!H11, Feb!H11, Mar!H11)</f>
        <v>0</v>
      </c>
      <c r="I11" s="43" t="str">
        <f t="shared" si="1"/>
        <v/>
      </c>
      <c r="J11" s="11"/>
      <c r="K11" s="19"/>
    </row>
    <row r="12" spans="1:11" ht="13.9">
      <c r="A12" s="23"/>
      <c r="B12" s="23"/>
      <c r="C12" s="23"/>
      <c r="D12" s="23"/>
      <c r="E12" s="23"/>
      <c r="F12" s="24"/>
      <c r="G12" s="23"/>
      <c r="H12" s="23"/>
      <c r="I12" s="24"/>
    </row>
    <row r="13" spans="1:11" ht="13.9">
      <c r="A13" s="23"/>
      <c r="B13" s="23"/>
      <c r="C13" s="23"/>
      <c r="D13" s="23"/>
      <c r="E13" s="23"/>
      <c r="F13" s="24"/>
      <c r="G13" s="23"/>
      <c r="H13" s="23"/>
      <c r="I13" s="24"/>
    </row>
    <row r="14" spans="1:11" ht="13.9">
      <c r="A14" s="23"/>
      <c r="B14" s="23"/>
      <c r="C14" s="23"/>
      <c r="D14" s="23"/>
      <c r="E14" s="23"/>
      <c r="F14" s="24"/>
      <c r="G14" s="23"/>
      <c r="H14" s="23"/>
      <c r="I14" s="24"/>
    </row>
    <row r="15" spans="1:11" ht="13.9">
      <c r="A15" s="23"/>
      <c r="B15" s="23"/>
      <c r="C15" s="23"/>
      <c r="D15" s="23"/>
      <c r="E15" s="23"/>
      <c r="F15" s="24"/>
      <c r="G15" s="23"/>
      <c r="H15" s="23"/>
      <c r="I15" s="24"/>
    </row>
    <row r="16" spans="1:11"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cfRule type="cellIs" dxfId="52" priority="17" stopIfTrue="1" operator="lessThanOrEqual">
      <formula>-0.1</formula>
    </cfRule>
    <cfRule type="expression" dxfId="51" priority="18">
      <formula>AND(ISNUMBER(F2), F2&gt;=0.1)</formula>
    </cfRule>
  </conditionalFormatting>
  <conditionalFormatting sqref="F4:F68">
    <cfRule type="cellIs" dxfId="50" priority="3" stopIfTrue="1" operator="lessThanOrEqual">
      <formula>-0.1</formula>
    </cfRule>
    <cfRule type="expression" dxfId="49" priority="4">
      <formula>AND(ISNUMBER(F4), F4&gt;=0.1)</formula>
    </cfRule>
  </conditionalFormatting>
  <conditionalFormatting sqref="I4:I68">
    <cfRule type="cellIs" dxfId="48" priority="1" stopIfTrue="1" operator="lessThanOrEqual">
      <formula>-0.1</formula>
    </cfRule>
    <cfRule type="expression" dxfId="47" priority="2">
      <formula>AND(ISNUMBER(I4), I4&gt;=0.1)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K332"/>
  <sheetViews>
    <sheetView workbookViewId="0">
      <pane ySplit="2" topLeftCell="A3" activePane="bottomLeft" state="frozen"/>
      <selection pane="bottomLeft" activeCell="E10" sqref="E10"/>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3" t="str" cm="1">
        <f t="array" ref="A1">portfolio</f>
        <v>AB CarVal</v>
      </c>
      <c r="B1" s="73"/>
      <c r="C1" s="73"/>
      <c r="D1" s="74" t="s">
        <v>12</v>
      </c>
      <c r="E1" s="74"/>
      <c r="F1" s="74"/>
      <c r="G1" s="72" t="s">
        <v>13</v>
      </c>
      <c r="H1" s="72"/>
      <c r="I1" s="72"/>
    </row>
    <row r="2" spans="1:11" ht="19.5" customHeight="1">
      <c r="A2" s="75" t="s">
        <v>2</v>
      </c>
      <c r="B2" s="75"/>
      <c r="C2" s="6">
        <f>SUM(C4:C90)</f>
        <v>3805649.0203518155</v>
      </c>
      <c r="D2" s="6">
        <f>SUM(D4:D90)</f>
        <v>3848679.0000545699</v>
      </c>
      <c r="E2" s="6">
        <f>C2-D2</f>
        <v>-43029.979702754412</v>
      </c>
      <c r="F2" s="7">
        <f>IFERROR(E2/D2, 0)</f>
        <v>-1.1180454307086743E-2</v>
      </c>
      <c r="G2" s="6">
        <f>SUM(G4:G90)</f>
        <v>3828799</v>
      </c>
      <c r="H2" s="8">
        <f>C2-G2</f>
        <v>-23149.979648184497</v>
      </c>
      <c r="I2" s="7">
        <f>IFERROR(H2/G2, 0)</f>
        <v>-6.0462770827574121E-3</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SUM(Apr!C4, May!C4, Jun!C4)</f>
        <v>384286</v>
      </c>
      <c r="D4" s="14">
        <f>SUM(Apr!D4, May!D4, Jun!D4)</f>
        <v>411687</v>
      </c>
      <c r="E4" s="14">
        <f>IF(AND(ISNUMBER(C4),ISNUMBER(D4)), C4-D4, "")</f>
        <v>-27401</v>
      </c>
      <c r="F4" s="15">
        <f>IFERROR(E4/D4, "")</f>
        <v>-6.6557846130676945E-2</v>
      </c>
      <c r="G4" s="16">
        <f>SUM(Apr!G4+May!G4+Jun!G4)</f>
        <v>391768</v>
      </c>
      <c r="H4" s="16">
        <f>SUM(Apr!H4, May!H4, Jun!H4)</f>
        <v>-7482</v>
      </c>
      <c r="I4" s="17">
        <f>IFERROR(H4/G4, "")</f>
        <v>-1.9098037614098139E-2</v>
      </c>
    </row>
    <row r="5" spans="1:11" ht="15.6">
      <c r="A5" s="31" t="str">
        <v>Bakersfield - 100 Basic School Rd</v>
      </c>
      <c r="B5" s="32" t="str">
        <v>CA</v>
      </c>
      <c r="C5" s="12">
        <f>SUM(Apr!C5, May!C5, Jun!C5)</f>
        <v>0</v>
      </c>
      <c r="D5" s="12">
        <f>SUM(Apr!D5, May!D5, Jun!D5)</f>
        <v>0</v>
      </c>
      <c r="E5" s="20">
        <f t="shared" ref="E5:E7" si="0">IF(AND(ISNUMBER(C5),ISNUMBER(D5)), C5-D5, "")</f>
        <v>0</v>
      </c>
      <c r="F5" s="21" t="str">
        <f t="shared" ref="F5" si="1">IFERROR(E5/D5, "")</f>
        <v/>
      </c>
      <c r="G5" s="12">
        <f>SUM(Apr!G5+May!G5+Jun!G5)</f>
        <v>0</v>
      </c>
      <c r="H5" s="20">
        <f>SUM(Apr!H5, May!H5, Jun!H5)</f>
        <v>0</v>
      </c>
      <c r="I5" s="21" t="str">
        <f t="shared" ref="I5" si="2">IFERROR(H5/G5, "")</f>
        <v/>
      </c>
      <c r="J5" s="11"/>
      <c r="K5" s="19"/>
    </row>
    <row r="6" spans="1:11" ht="15.6">
      <c r="A6" s="13" t="str">
        <v>Fresno - 2685 Cornelia Ave</v>
      </c>
      <c r="B6" s="10" t="str">
        <v>CA</v>
      </c>
      <c r="C6" s="26">
        <f>SUM(Apr!C6, May!C6, Jun!C6)</f>
        <v>0</v>
      </c>
      <c r="D6" s="14">
        <f>SUM(Apr!D6, May!D6, Jun!D6)</f>
        <v>0</v>
      </c>
      <c r="E6" s="14">
        <f t="shared" si="0"/>
        <v>0</v>
      </c>
      <c r="F6" s="15" t="str">
        <f t="shared" ref="F6:F11" si="3">IFERROR(E6/D6, "")</f>
        <v/>
      </c>
      <c r="G6" s="16">
        <f>SUM(Apr!G6+May!G6+Jun!G6)</f>
        <v>0</v>
      </c>
      <c r="H6" s="16">
        <f>SUM(Apr!H6, May!H6, Jun!H6)</f>
        <v>0</v>
      </c>
      <c r="I6" s="17" t="str">
        <f t="shared" ref="I6:I11" si="4">IFERROR(H6/G6, "")</f>
        <v/>
      </c>
    </row>
    <row r="7" spans="1:11" ht="15.6">
      <c r="A7" s="31" t="str">
        <v>San Juaquin - S. Placer &amp; W. Adams</v>
      </c>
      <c r="B7" s="32" t="str">
        <v>CA</v>
      </c>
      <c r="C7" s="12">
        <f>SUM(Apr!C7, May!C7, Jun!C7)</f>
        <v>0</v>
      </c>
      <c r="D7" s="12">
        <f>SUM(Apr!D7, May!D7, Jun!D7)</f>
        <v>0</v>
      </c>
      <c r="E7" s="20">
        <f t="shared" si="0"/>
        <v>0</v>
      </c>
      <c r="F7" s="21" t="str">
        <f t="shared" si="3"/>
        <v/>
      </c>
      <c r="G7" s="12">
        <f>SUM(Apr!G7+May!G7+Jun!G7)</f>
        <v>0</v>
      </c>
      <c r="H7" s="20">
        <f>SUM(Apr!H7, May!H7, Jun!H7)</f>
        <v>0</v>
      </c>
      <c r="I7" s="21" t="str">
        <f t="shared" si="4"/>
        <v/>
      </c>
      <c r="J7" s="11"/>
      <c r="K7" s="19"/>
    </row>
    <row r="8" spans="1:11" ht="12.75" customHeight="1">
      <c r="A8" s="13" t="str">
        <v xml:space="preserve">Charlemont - 0 Tea St </v>
      </c>
      <c r="B8" s="10" t="str">
        <v>MA</v>
      </c>
      <c r="C8" s="49">
        <f>SUM(Apr!C8, May!C8, Jun!C8)</f>
        <v>409676</v>
      </c>
      <c r="D8" s="14">
        <f>SUM(Apr!D8, May!D8, Jun!D8)</f>
        <v>477368</v>
      </c>
      <c r="E8" s="14">
        <f>IF(AND(ISNUMBER(C8),ISNUMBER(D8)), C8-D8, "")</f>
        <v>-67692</v>
      </c>
      <c r="F8" s="48">
        <f t="shared" si="3"/>
        <v>-0.14180255065274588</v>
      </c>
      <c r="G8" s="47">
        <f>SUM(Apr!G8+May!G8+Jun!G8)</f>
        <v>479792</v>
      </c>
      <c r="H8" s="47">
        <f>SUM(Apr!H8, May!H8, Jun!H8)</f>
        <v>-70116</v>
      </c>
      <c r="I8" s="46">
        <f t="shared" si="4"/>
        <v>-0.14613832660819689</v>
      </c>
    </row>
    <row r="9" spans="1:11" ht="15.6">
      <c r="A9" s="31" t="str">
        <v xml:space="preserve">Amherst - 740 Belchertown Rd </v>
      </c>
      <c r="B9" s="32" t="str">
        <v>MA</v>
      </c>
      <c r="C9" s="42">
        <f>SUM(Apr!C9, May!C9, Jun!C9)</f>
        <v>540578</v>
      </c>
      <c r="D9" s="42">
        <f>SUM(Apr!D9, May!D9, Jun!D9)</f>
        <v>527425</v>
      </c>
      <c r="E9" s="20">
        <f>IF(AND(ISNUMBER(C9),ISNUMBER(D9)), C9-D9, "")</f>
        <v>13153</v>
      </c>
      <c r="F9" s="43">
        <f t="shared" si="3"/>
        <v>2.4938142863914301E-2</v>
      </c>
      <c r="G9" s="42">
        <f>SUM(Apr!G9+May!G9+Jun!G9)</f>
        <v>561092</v>
      </c>
      <c r="H9" s="20">
        <f>SUM(Apr!H9, May!H9, Jun!H9)</f>
        <v>-20514</v>
      </c>
      <c r="I9" s="43">
        <f t="shared" si="4"/>
        <v>-3.6560849201200514E-2</v>
      </c>
      <c r="J9" s="11"/>
      <c r="K9" s="19"/>
    </row>
    <row r="10" spans="1:11" ht="15.6">
      <c r="A10" s="13" t="str">
        <v xml:space="preserve"> Ludlow - Huxley 1 &amp; 2 - 504 Fuller St </v>
      </c>
      <c r="B10" s="10" t="str">
        <v>MA</v>
      </c>
      <c r="C10" s="49">
        <f>SUM(Apr!C10, May!C10, Jun!C10)</f>
        <v>1310307.6853887453</v>
      </c>
      <c r="D10" s="14">
        <f>SUM(Apr!D10, May!D10, Jun!D10)</f>
        <v>1222355.8772328733</v>
      </c>
      <c r="E10" s="14">
        <f>IF(AND(ISNUMBER(C10),ISNUMBER(D10)), C10-D10, "")</f>
        <v>87951.808155871928</v>
      </c>
      <c r="F10" s="48">
        <f t="shared" si="3"/>
        <v>7.1952701986408546E-2</v>
      </c>
      <c r="G10" s="47">
        <f>SUM(Apr!G10+May!G10+Jun!G10)</f>
        <v>1269139.9999999998</v>
      </c>
      <c r="H10" s="47">
        <f>SUM(Apr!H10, May!H10, Jun!H10)</f>
        <v>41167.685388745507</v>
      </c>
      <c r="I10" s="46">
        <f t="shared" si="4"/>
        <v>3.2437465834143996E-2</v>
      </c>
    </row>
    <row r="11" spans="1:11" ht="15.6">
      <c r="A11" s="31" t="str">
        <v>Easthampton - Beacon 1 &amp; 2 - 540 Florence Rd</v>
      </c>
      <c r="B11" s="32" t="str">
        <v>MA</v>
      </c>
      <c r="C11" s="42">
        <f>SUM(Apr!C11, May!C11, Jun!C11)</f>
        <v>1160801.3349630702</v>
      </c>
      <c r="D11" s="42">
        <f>SUM(Apr!D11, May!D11, Jun!D11)</f>
        <v>1209843.1228216968</v>
      </c>
      <c r="E11" s="20">
        <f>IF(AND(ISNUMBER(C11),ISNUMBER(D11)), C11-D11, "")</f>
        <v>-49041.787858626572</v>
      </c>
      <c r="F11" s="43">
        <f t="shared" si="3"/>
        <v>-4.053565865981635E-2</v>
      </c>
      <c r="G11" s="42">
        <f>SUM(Apr!G11+May!G11+Jun!G11)</f>
        <v>1127007</v>
      </c>
      <c r="H11" s="20">
        <f>SUM(Apr!H11, May!H11, Jun!H11)</f>
        <v>33794.334963070229</v>
      </c>
      <c r="I11" s="43">
        <f t="shared" si="4"/>
        <v>2.9985913985512272E-2</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cfRule type="cellIs" dxfId="46" priority="13" stopIfTrue="1" operator="lessThanOrEqual">
      <formula>-0.1</formula>
    </cfRule>
    <cfRule type="expression" dxfId="45" priority="14">
      <formula>AND(ISNUMBER(F2), F2&gt;=0.1)</formula>
    </cfRule>
  </conditionalFormatting>
  <conditionalFormatting sqref="F4:F90">
    <cfRule type="cellIs" dxfId="44" priority="3" stopIfTrue="1" operator="lessThanOrEqual">
      <formula>-0.1</formula>
    </cfRule>
    <cfRule type="expression" dxfId="43" priority="4">
      <formula>AND(ISNUMBER(F4), F4&gt;=0.1)</formula>
    </cfRule>
  </conditionalFormatting>
  <conditionalFormatting sqref="I4:I90">
    <cfRule type="cellIs" dxfId="42" priority="1" stopIfTrue="1" operator="lessThanOrEqual">
      <formula>-0.1</formula>
    </cfRule>
    <cfRule type="expression" dxfId="41" priority="2">
      <formula>AND(ISNUMBER(I4), I4&gt;=0.1)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K331"/>
  <sheetViews>
    <sheetView workbookViewId="0">
      <pane ySplit="2" topLeftCell="A3" activePane="bottomLeft" state="frozen"/>
      <selection pane="bottomLeft" activeCell="C5" sqref="C5"/>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3" t="str" cm="1">
        <f t="array" ref="A1">portfolio</f>
        <v>AB CarVal</v>
      </c>
      <c r="B1" s="73"/>
      <c r="C1" s="73"/>
      <c r="D1" s="74" t="s">
        <v>14</v>
      </c>
      <c r="E1" s="74"/>
      <c r="F1" s="74"/>
      <c r="G1" s="72" t="s">
        <v>15</v>
      </c>
      <c r="H1" s="72"/>
      <c r="I1" s="72"/>
    </row>
    <row r="2" spans="1:11" ht="19.5" customHeight="1">
      <c r="A2" s="75" t="s">
        <v>2</v>
      </c>
      <c r="B2" s="75"/>
      <c r="C2" s="6">
        <f>SUM(C4:C89)</f>
        <v>14256788.887311256</v>
      </c>
      <c r="D2" s="6">
        <f>SUM(D4:D89)</f>
        <v>15188969.037539857</v>
      </c>
      <c r="E2" s="6">
        <f>C2-D2</f>
        <v>-932180.15022860095</v>
      </c>
      <c r="F2" s="7">
        <f>IFERROR(E2/D2, 0)</f>
        <v>-6.1372180555816405E-2</v>
      </c>
      <c r="G2" s="6">
        <f>SUM(G4:G89)</f>
        <v>16066109.780000001</v>
      </c>
      <c r="H2" s="8">
        <f>C2-G2</f>
        <v>-1809320.8926887456</v>
      </c>
      <c r="I2" s="7">
        <f>IFERROR(H2/G2, 0)</f>
        <v>-0.11261723699542314</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SUM(Jul!C4, Aug!C4, Sep!C4)</f>
        <v>1085530</v>
      </c>
      <c r="D4" s="14">
        <f>SUM(Jul!D4, Aug!D4, Sep!D4)</f>
        <v>1082252.8259999999</v>
      </c>
      <c r="E4" s="14">
        <f>IF(AND(ISNUMBER(C4),ISNUMBER(D4)), C4-D4, "")</f>
        <v>3277.1740000001155</v>
      </c>
      <c r="F4" s="15">
        <f>IFERROR(E4/D4, "")</f>
        <v>3.0281038970464335E-3</v>
      </c>
      <c r="G4" s="16">
        <f>SUM(Jul!G4, Aug!G4, Sep!G4)</f>
        <v>807461.78</v>
      </c>
      <c r="H4" s="16">
        <f>SUM(Jul!H4, Aug!H4, Sep!H4)</f>
        <v>278068.21999999997</v>
      </c>
      <c r="I4" s="17">
        <f>IFERROR(H4/G4, "")</f>
        <v>0.34437322841460061</v>
      </c>
    </row>
    <row r="5" spans="1:11" ht="15.6">
      <c r="A5" s="31" t="str">
        <v>Bakersfield - 100 Basic School Rd</v>
      </c>
      <c r="B5" s="32" t="str">
        <v>CA</v>
      </c>
      <c r="C5" s="12">
        <f>SUM(Jul!C5, Aug!C5, Sep!C5)</f>
        <v>1315185</v>
      </c>
      <c r="D5" s="20">
        <f>SUM(Jul!D5, Aug!D5, Sep!D5)</f>
        <v>1348439</v>
      </c>
      <c r="E5" s="20">
        <f t="shared" ref="E5:E7" si="0">IF(AND(ISNUMBER(C5),ISNUMBER(D5)), C5-D5, "")</f>
        <v>-33254</v>
      </c>
      <c r="F5" s="21">
        <f t="shared" ref="F5:F7" si="1">IFERROR(E5/D5, "")</f>
        <v>-2.4661108140598128E-2</v>
      </c>
      <c r="G5" s="22">
        <f>SUM(Jul!G5, Aug!G5, Sep!G5)</f>
        <v>1343400</v>
      </c>
      <c r="H5" s="22">
        <f>SUM(Jul!H5, Aug!H5, Sep!H5)</f>
        <v>-28215</v>
      </c>
      <c r="I5" s="21">
        <f t="shared" ref="I5:I7" si="2">IFERROR(H5/G5, "")</f>
        <v>-2.1002679767753461E-2</v>
      </c>
      <c r="J5" s="11"/>
      <c r="K5" s="19"/>
    </row>
    <row r="6" spans="1:11" ht="15.6">
      <c r="A6" s="13" t="str">
        <v>Fresno - 2685 Cornelia Ave</v>
      </c>
      <c r="B6" s="10" t="str">
        <v>CA</v>
      </c>
      <c r="C6" s="26">
        <f>SUM(Jul!C6, Aug!C6, Sep!C6)</f>
        <v>2700894</v>
      </c>
      <c r="D6" s="14">
        <f>SUM(Jul!D6, Aug!D6, Sep!D6)</f>
        <v>2850481</v>
      </c>
      <c r="E6" s="14">
        <f t="shared" si="0"/>
        <v>-149587</v>
      </c>
      <c r="F6" s="15">
        <f t="shared" si="1"/>
        <v>-5.2477809885419335E-2</v>
      </c>
      <c r="G6" s="16">
        <f>SUM(Jul!G6, Aug!G6, Sep!G6)</f>
        <v>2826542</v>
      </c>
      <c r="H6" s="16">
        <f>SUM(Jul!H6, Aug!H6, Sep!H6)</f>
        <v>-125648</v>
      </c>
      <c r="I6" s="17">
        <f t="shared" si="2"/>
        <v>-4.4452903937036846E-2</v>
      </c>
    </row>
    <row r="7" spans="1:11" ht="12.75" customHeight="1">
      <c r="A7" s="31" t="str">
        <v>San Juaquin - S. Placer &amp; W. Adams</v>
      </c>
      <c r="B7" s="32" t="str">
        <v>CA</v>
      </c>
      <c r="C7" s="12">
        <f>SUM(Jul!C7, Aug!C7, Sep!C7)</f>
        <v>994685</v>
      </c>
      <c r="D7" s="20">
        <f>SUM(Jul!D7, Aug!D7, Sep!D7)</f>
        <v>962257.2</v>
      </c>
      <c r="E7" s="20">
        <f t="shared" si="0"/>
        <v>32427.800000000047</v>
      </c>
      <c r="F7" s="21">
        <f t="shared" si="1"/>
        <v>3.3699721862304639E-2</v>
      </c>
      <c r="G7" s="22">
        <f>SUM(Jul!G7, Aug!G7, Sep!G7)</f>
        <v>1014739</v>
      </c>
      <c r="H7" s="22">
        <f>SUM(Jul!H7, Aug!H7, Sep!H7)</f>
        <v>-20054</v>
      </c>
      <c r="I7" s="21">
        <f t="shared" si="2"/>
        <v>-1.9762717309574185E-2</v>
      </c>
      <c r="J7" s="11"/>
      <c r="K7" s="19"/>
    </row>
    <row r="8" spans="1:11" ht="15.6">
      <c r="A8" s="13" t="str">
        <v xml:space="preserve">Charlemont - 0 Tea St </v>
      </c>
      <c r="B8" s="10" t="str">
        <v>MA</v>
      </c>
      <c r="C8" s="49">
        <f>SUM(Jul!C8, Aug!C8, Sep!C8)</f>
        <v>897785</v>
      </c>
      <c r="D8" s="14">
        <f>SUM(Jul!D8, Aug!D8, Sep!D8)</f>
        <v>1444982</v>
      </c>
      <c r="E8" s="14">
        <f>IF(AND(ISNUMBER(C8),ISNUMBER(D8)), C8-D8, "")</f>
        <v>-547197</v>
      </c>
      <c r="F8" s="48">
        <f>IFERROR(E8/D8, "")</f>
        <v>-0.37868776220049799</v>
      </c>
      <c r="G8" s="47">
        <f>SUM(Jul!G8, Aug!G8, Sep!G8)</f>
        <v>1414475</v>
      </c>
      <c r="H8" s="47">
        <f>SUM(Jul!H8, Aug!H8, Sep!H8)</f>
        <v>-516690</v>
      </c>
      <c r="I8" s="46">
        <f>IFERROR(H8/G8, "")</f>
        <v>-0.36528747415118684</v>
      </c>
    </row>
    <row r="9" spans="1:11" ht="15.6">
      <c r="A9" s="31" t="str">
        <v xml:space="preserve">Amherst - 740 Belchertown Rd </v>
      </c>
      <c r="B9" s="32" t="str">
        <v>MA</v>
      </c>
      <c r="C9" s="42">
        <f>SUM(Jul!C9, Aug!C9, Sep!C9)</f>
        <v>1177728.7508244277</v>
      </c>
      <c r="D9" s="20">
        <f>SUM(Jul!D9, Aug!D9, Sep!D9)</f>
        <v>1448392.763604121</v>
      </c>
      <c r="E9" s="20">
        <f>IF(AND(ISNUMBER(C9),ISNUMBER(D9)), C9-D9, "")</f>
        <v>-270664.01277969335</v>
      </c>
      <c r="F9" s="43">
        <f>IFERROR(E9/D9, "")</f>
        <v>-0.18687197256232083</v>
      </c>
      <c r="G9" s="44">
        <f>SUM(Jul!G9, Aug!G9, Sep!G9)</f>
        <v>1692726</v>
      </c>
      <c r="H9" s="44">
        <f>SUM(Jul!H9, Aug!H9, Sep!H9)</f>
        <v>-514997.24917557254</v>
      </c>
      <c r="I9" s="43">
        <f>IFERROR(H9/G9, "")</f>
        <v>-0.3042413534001206</v>
      </c>
      <c r="J9" s="11"/>
      <c r="K9" s="19"/>
    </row>
    <row r="10" spans="1:11" ht="15.6">
      <c r="A10" s="13" t="str">
        <v xml:space="preserve"> Ludlow - Huxley 1 &amp; 2 - 504 Fuller St </v>
      </c>
      <c r="B10" s="10" t="str">
        <v>MA</v>
      </c>
      <c r="C10" s="49">
        <f>SUM(Jul!C10, Aug!C10, Sep!C10)</f>
        <v>3288093.4714498976</v>
      </c>
      <c r="D10" s="14">
        <f>SUM(Jul!D10, Aug!D10, Sep!D10)</f>
        <v>3171122.6066139746</v>
      </c>
      <c r="E10" s="14">
        <f>IF(AND(ISNUMBER(C10),ISNUMBER(D10)), C10-D10, "")</f>
        <v>116970.86483592307</v>
      </c>
      <c r="F10" s="48">
        <f>IFERROR(E10/D10, "")</f>
        <v>3.6886263745198079E-2</v>
      </c>
      <c r="G10" s="47">
        <f>SUM(Jul!G10, Aug!G10, Sep!G10)</f>
        <v>3758807.9999999995</v>
      </c>
      <c r="H10" s="47">
        <f>SUM(Jul!H10, Aug!H10, Sep!H10)</f>
        <v>-470714.52855010144</v>
      </c>
      <c r="I10" s="46">
        <f>IFERROR(H10/G10, "")</f>
        <v>-0.12522973467921253</v>
      </c>
    </row>
    <row r="11" spans="1:11" ht="15.6">
      <c r="A11" s="31" t="str">
        <v>Easthampton - Beacon 1 &amp; 2 - 540 Florence Rd</v>
      </c>
      <c r="B11" s="32" t="str">
        <v>MA</v>
      </c>
      <c r="C11" s="42">
        <f>SUM(Jul!C11, Aug!C11, Sep!C11)</f>
        <v>2796887.6650369298</v>
      </c>
      <c r="D11" s="20">
        <f>SUM(Jul!D11, Aug!D11, Sep!D11)</f>
        <v>2881041.641321762</v>
      </c>
      <c r="E11" s="20">
        <f>IF(AND(ISNUMBER(C11),ISNUMBER(D11)), C11-D11, "")</f>
        <v>-84153.976284832228</v>
      </c>
      <c r="F11" s="43">
        <f>IFERROR(E11/D11, "")</f>
        <v>-2.9209566108952225E-2</v>
      </c>
      <c r="G11" s="44">
        <f>SUM(Jul!G11, Aug!G11, Sep!G11)</f>
        <v>3207958</v>
      </c>
      <c r="H11" s="44">
        <f>SUM(Jul!H11, Aug!H11, Sep!H11)</f>
        <v>-411070.33496306988</v>
      </c>
      <c r="I11" s="43">
        <f>IFERROR(H11/G11, "")</f>
        <v>-0.12814080950033319</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40" priority="5" stopIfTrue="1" operator="lessThanOrEqual">
      <formula>-0.1</formula>
    </cfRule>
    <cfRule type="expression" dxfId="39" priority="6">
      <formula>AND(ISNUMBER(F2), F2&gt;=0.1)</formula>
    </cfRule>
  </conditionalFormatting>
  <conditionalFormatting sqref="F4:F89 I4:I89">
    <cfRule type="cellIs" dxfId="38" priority="1" stopIfTrue="1" operator="lessThanOrEqual">
      <formula>-0.1</formula>
    </cfRule>
    <cfRule type="expression" dxfId="37" priority="2">
      <formula>AND(ISNUMBER(F4), F4&gt;=0.1)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31"/>
  <sheetViews>
    <sheetView workbookViewId="0">
      <pane ySplit="2" topLeftCell="A3" activePane="bottomLeft" state="frozen"/>
      <selection pane="bottomLeft" activeCell="M13" sqref="M13"/>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c r="A1" s="73" t="str" cm="1">
        <f t="array" ref="A1">portfolio</f>
        <v>AB CarVal</v>
      </c>
      <c r="B1" s="73"/>
      <c r="C1" s="73"/>
      <c r="D1" s="74" t="s">
        <v>16</v>
      </c>
      <c r="E1" s="74"/>
      <c r="F1" s="74"/>
      <c r="G1" s="72" t="s">
        <v>17</v>
      </c>
      <c r="H1" s="72"/>
      <c r="I1" s="72"/>
    </row>
    <row r="2" spans="1:11" ht="19.5" customHeight="1">
      <c r="A2" s="75" t="s">
        <v>2</v>
      </c>
      <c r="B2" s="75"/>
      <c r="C2" s="6">
        <f>SUM(C4:C89)</f>
        <v>11004730.708921816</v>
      </c>
      <c r="D2" s="6">
        <f>SUM(D4:D89)</f>
        <v>11113329.236200001</v>
      </c>
      <c r="E2" s="6">
        <f>C2-D2</f>
        <v>-108598.52727818489</v>
      </c>
      <c r="F2" s="7">
        <f>IFERROR(E2/D2, 0)</f>
        <v>-9.7719166750177347E-3</v>
      </c>
      <c r="G2" s="6">
        <f>SUM(G4:G89)</f>
        <v>10488659.800000001</v>
      </c>
      <c r="H2" s="8">
        <f>C2-G2</f>
        <v>516070.90892181545</v>
      </c>
      <c r="I2" s="7">
        <f>IFERROR(H2/G2, 0)</f>
        <v>4.9202750281004959E-2</v>
      </c>
    </row>
    <row r="3" spans="1:11" ht="14.25" customHeight="1">
      <c r="A3" s="9" t="s">
        <v>3</v>
      </c>
      <c r="B3" s="9" t="s">
        <v>4</v>
      </c>
      <c r="C3" s="25" t="s">
        <v>5</v>
      </c>
      <c r="D3" s="36" t="s">
        <v>6</v>
      </c>
      <c r="E3" s="36" t="s">
        <v>7</v>
      </c>
      <c r="F3" s="37" t="s">
        <v>8</v>
      </c>
      <c r="G3" s="38" t="s">
        <v>9</v>
      </c>
      <c r="H3" s="39" t="s">
        <v>7</v>
      </c>
      <c r="I3" s="40" t="s">
        <v>8</v>
      </c>
    </row>
    <row r="4" spans="1:11" ht="15.6">
      <c r="A4" s="13" t="str" cm="1">
        <f t="array" ref="A4:A11">Sites[Site]</f>
        <v>MA: Fairhaven - 279 Mill Rd</v>
      </c>
      <c r="B4" s="10" t="str" cm="1">
        <f t="array" ref="B4:B11">Sites[State]</f>
        <v>MA</v>
      </c>
      <c r="C4" s="26">
        <f>SUM(Oct!C4, Nov!C4, Dec!C4)</f>
        <v>488512</v>
      </c>
      <c r="D4" s="14">
        <f>SUM(Oct!D4, Nov!D4, Dec!D4)</f>
        <v>437944.87109999999</v>
      </c>
      <c r="E4" s="14">
        <f>IF(AND(ISNUMBER(C4),ISNUMBER(D4)), C4-D4, "")</f>
        <v>50567.128900000011</v>
      </c>
      <c r="F4" s="15">
        <f>IFERROR(E4/D4, "")</f>
        <v>0.11546459894138948</v>
      </c>
      <c r="G4" s="16">
        <f>SUM(Oct!G4,Nov!G4,Dec!G4)</f>
        <v>401728.6</v>
      </c>
      <c r="H4" s="16">
        <f>SUM(Oct!H4, Nov!H4, Dec!H4)</f>
        <v>86783.400000000023</v>
      </c>
      <c r="I4" s="17">
        <f>IFERROR(H4/G4, "")</f>
        <v>0.21602494818641249</v>
      </c>
    </row>
    <row r="5" spans="1:11" ht="15.6">
      <c r="A5" s="31" t="str">
        <v>Bakersfield - 100 Basic School Rd</v>
      </c>
      <c r="B5" s="32" t="str">
        <v>CA</v>
      </c>
      <c r="C5" s="12">
        <f>SUM(Oct!C5, Nov!C5, Dec!C5)</f>
        <v>1853098.865721816</v>
      </c>
      <c r="D5" s="20">
        <f>SUM(Oct!D5, Nov!D5, Dec!D5)</f>
        <v>1848485.4</v>
      </c>
      <c r="E5" s="20">
        <f t="shared" ref="E5:E7" si="0">IF(AND(ISNUMBER(C5),ISNUMBER(D5)), C5-D5, "")</f>
        <v>4613.4657218160573</v>
      </c>
      <c r="F5" s="21">
        <f t="shared" ref="F5:F7" si="1">IFERROR(E5/D5, "")</f>
        <v>2.4958085802657989E-3</v>
      </c>
      <c r="G5" s="22">
        <f>SUM(Oct!G5,Nov!G5,Dec!G5)</f>
        <v>1820518.6</v>
      </c>
      <c r="H5" s="22">
        <f>SUM(Oct!H5, Nov!H5, Dec!H5)</f>
        <v>32580.265721815987</v>
      </c>
      <c r="I5" s="21">
        <f t="shared" ref="I5:I7" si="2">IFERROR(H5/G5, "")</f>
        <v>1.7896145483938471E-2</v>
      </c>
      <c r="J5" s="11"/>
      <c r="K5" s="19"/>
    </row>
    <row r="6" spans="1:11" ht="15.6">
      <c r="A6" s="13" t="str">
        <v>Fresno - 2685 Cornelia Ave</v>
      </c>
      <c r="B6" s="10" t="str">
        <v>CA</v>
      </c>
      <c r="C6" s="26">
        <f>SUM(Oct!C6, Nov!C6, Dec!C6)</f>
        <v>3275849</v>
      </c>
      <c r="D6" s="14">
        <f>SUM(Oct!D6, Nov!D6, Dec!D6)</f>
        <v>3584883</v>
      </c>
      <c r="E6" s="14">
        <f t="shared" si="0"/>
        <v>-309034</v>
      </c>
      <c r="F6" s="15">
        <f t="shared" si="1"/>
        <v>-8.6204765957494295E-2</v>
      </c>
      <c r="G6" s="16">
        <f>SUM(Oct!G6,Nov!G6,Dec!G6)</f>
        <v>3473563</v>
      </c>
      <c r="H6" s="16">
        <f>SUM(Oct!H6, Nov!H6, Dec!H6)</f>
        <v>-197714</v>
      </c>
      <c r="I6" s="17">
        <f t="shared" si="2"/>
        <v>-5.6919652817582406E-2</v>
      </c>
    </row>
    <row r="7" spans="1:11" ht="12.75" customHeight="1">
      <c r="A7" s="31" t="str">
        <v>San Juaquin - S. Placer &amp; W. Adams</v>
      </c>
      <c r="B7" s="32" t="str">
        <v>CA</v>
      </c>
      <c r="C7" s="12">
        <f>SUM(Oct!C7, Nov!C7, Dec!C7)</f>
        <v>1397219</v>
      </c>
      <c r="D7" s="20">
        <f>SUM(Oct!D7, Nov!D7, Dec!D7)</f>
        <v>1428715.7</v>
      </c>
      <c r="E7" s="20">
        <f t="shared" si="0"/>
        <v>-31496.699999999953</v>
      </c>
      <c r="F7" s="21">
        <f t="shared" si="1"/>
        <v>-2.2045463628628113E-2</v>
      </c>
      <c r="G7" s="22">
        <f>SUM(Oct!G7,Nov!G7,Dec!G7)</f>
        <v>1334408</v>
      </c>
      <c r="H7" s="22">
        <f>SUM(Oct!H7, Nov!H7, Dec!H7)</f>
        <v>62811</v>
      </c>
      <c r="I7" s="21">
        <f t="shared" si="2"/>
        <v>4.7070311329068769E-2</v>
      </c>
      <c r="J7" s="11"/>
      <c r="K7" s="19"/>
    </row>
    <row r="8" spans="1:11" ht="15.6">
      <c r="A8" s="13" t="str">
        <v xml:space="preserve">Charlemont - 0 Tea St </v>
      </c>
      <c r="B8" s="10" t="str">
        <v>MA</v>
      </c>
      <c r="C8" s="49">
        <f>SUM(Oct!C8, Nov!C8, Dec!C8)</f>
        <v>595971</v>
      </c>
      <c r="D8" s="14">
        <f>SUM(Oct!D8, Nov!D8, Dec!D8)</f>
        <v>553071.32810000004</v>
      </c>
      <c r="E8" s="14">
        <f>IF(AND(ISNUMBER(C8),ISNUMBER(D8)), C8-D8, "")</f>
        <v>42899.671899999958</v>
      </c>
      <c r="F8" s="48">
        <f>IFERROR(E8/D8, "")</f>
        <v>7.756625541840298E-2</v>
      </c>
      <c r="G8" s="47">
        <f>SUM(Oct!G8,Nov!G8,Dec!G8)</f>
        <v>510203.60000000003</v>
      </c>
      <c r="H8" s="47">
        <f>SUM(Oct!H8, Nov!H8, Dec!H8)</f>
        <v>85767.399999999965</v>
      </c>
      <c r="I8" s="46">
        <f>IFERROR(H8/G8, "")</f>
        <v>0.16810426269042389</v>
      </c>
    </row>
    <row r="9" spans="1:11" ht="15.6">
      <c r="A9" s="31" t="str">
        <v xml:space="preserve">Amherst - 740 Belchertown Rd </v>
      </c>
      <c r="B9" s="32" t="str">
        <v>MA</v>
      </c>
      <c r="C9" s="42">
        <f>SUM(Oct!C9, Nov!C9, Dec!C9)</f>
        <v>723430</v>
      </c>
      <c r="D9" s="20">
        <f>SUM(Oct!D9, Nov!D9, Dec!D9)</f>
        <v>704913.49820000003</v>
      </c>
      <c r="E9" s="20">
        <f>IF(AND(ISNUMBER(C9),ISNUMBER(D9)), C9-D9, "")</f>
        <v>18516.501799999969</v>
      </c>
      <c r="F9" s="43">
        <f>IFERROR(E9/D9, "")</f>
        <v>2.6267764551653423E-2</v>
      </c>
      <c r="G9" s="44">
        <f>SUM(Oct!G9,Nov!G9,Dec!G9)</f>
        <v>627105</v>
      </c>
      <c r="H9" s="44">
        <f>SUM(Oct!H9, Nov!H9, Dec!H9)</f>
        <v>96325</v>
      </c>
      <c r="I9" s="43">
        <f>IFERROR(H9/G9, "")</f>
        <v>0.15360266622017046</v>
      </c>
      <c r="J9" s="11"/>
      <c r="K9" s="19"/>
    </row>
    <row r="10" spans="1:11" ht="15.6">
      <c r="A10" s="13" t="str">
        <v xml:space="preserve"> Ludlow - Huxley 1 &amp; 2 - 504 Fuller St </v>
      </c>
      <c r="B10" s="10" t="str">
        <v>MA</v>
      </c>
      <c r="C10" s="49">
        <f>SUM(Oct!C10, Nov!C10, Dec!C10)</f>
        <v>1535095.8432</v>
      </c>
      <c r="D10" s="14">
        <f>SUM(Oct!D10, Nov!D10, Dec!D10)</f>
        <v>1465142.5150000001</v>
      </c>
      <c r="E10" s="14">
        <f>IF(AND(ISNUMBER(C10),ISNUMBER(D10)), C10-D10, "")</f>
        <v>69953.328199999873</v>
      </c>
      <c r="F10" s="48">
        <f>IFERROR(E10/D10, "")</f>
        <v>4.7745067448267904E-2</v>
      </c>
      <c r="G10" s="47">
        <f>SUM(Oct!G10,Nov!G10,Dec!G10)</f>
        <v>1291717</v>
      </c>
      <c r="H10" s="47">
        <f>SUM(Oct!H10, Nov!H10, Dec!H10)</f>
        <v>243378.8432</v>
      </c>
      <c r="I10" s="46">
        <f>IFERROR(H10/G10, "")</f>
        <v>0.18841498811272128</v>
      </c>
    </row>
    <row r="11" spans="1:11" ht="15.6">
      <c r="A11" s="31" t="str">
        <v>Easthampton - Beacon 1 &amp; 2 - 540 Florence Rd</v>
      </c>
      <c r="B11" s="32" t="str">
        <v>MA</v>
      </c>
      <c r="C11" s="42">
        <f>SUM(Oct!C11, Nov!C11, Dec!C11)</f>
        <v>1135555</v>
      </c>
      <c r="D11" s="20">
        <f>SUM(Oct!D11, Nov!D11, Dec!D11)</f>
        <v>1090172.9238</v>
      </c>
      <c r="E11" s="20">
        <f>IF(AND(ISNUMBER(C11),ISNUMBER(D11)), C11-D11, "")</f>
        <v>45382.07620000001</v>
      </c>
      <c r="F11" s="43">
        <f>IFERROR(E11/D11, "")</f>
        <v>4.1628328138817061E-2</v>
      </c>
      <c r="G11" s="44">
        <f>SUM(Oct!G11,Nov!G11,Dec!G11)</f>
        <v>1029416</v>
      </c>
      <c r="H11" s="44">
        <f>SUM(Oct!H11, Nov!H11, Dec!H11)</f>
        <v>106139</v>
      </c>
      <c r="I11" s="43">
        <f>IFERROR(H11/G11, "")</f>
        <v>0.10310603293517878</v>
      </c>
      <c r="J11" s="11"/>
      <c r="K11" s="19"/>
    </row>
    <row r="12" spans="1:11" ht="13.9">
      <c r="A12" s="23"/>
      <c r="B12" s="23"/>
      <c r="C12" s="23"/>
      <c r="D12" s="23"/>
      <c r="E12" s="23"/>
      <c r="F12" s="23"/>
      <c r="G12" s="23"/>
      <c r="H12" s="23"/>
      <c r="I12" s="23"/>
    </row>
    <row r="13" spans="1:11" ht="13.9">
      <c r="A13" s="23"/>
      <c r="B13" s="23"/>
      <c r="C13" s="23"/>
      <c r="D13" s="23"/>
      <c r="E13" s="23"/>
      <c r="F13" s="23"/>
      <c r="G13" s="23"/>
      <c r="H13" s="23"/>
      <c r="I13" s="23"/>
    </row>
    <row r="14" spans="1:11" ht="13.9">
      <c r="A14" s="23"/>
      <c r="B14" s="23"/>
      <c r="C14" s="23"/>
      <c r="D14" s="23"/>
      <c r="E14" s="23"/>
      <c r="F14" s="23"/>
      <c r="G14" s="23"/>
      <c r="H14" s="23"/>
      <c r="I14" s="23"/>
    </row>
    <row r="15" spans="1:11" ht="13.9">
      <c r="A15" s="23"/>
      <c r="B15" s="23"/>
      <c r="C15" s="23"/>
      <c r="D15" s="23"/>
      <c r="E15" s="23"/>
      <c r="F15" s="23"/>
      <c r="G15" s="23"/>
      <c r="H15" s="23"/>
      <c r="I15" s="23"/>
    </row>
    <row r="16" spans="1:11"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cfRule type="cellIs" dxfId="36" priority="9" stopIfTrue="1" operator="lessThanOrEqual">
      <formula>-0.1</formula>
    </cfRule>
    <cfRule type="expression" dxfId="35" priority="10">
      <formula>AND(ISNUMBER(F2), F2&gt;=0.1)</formula>
    </cfRule>
  </conditionalFormatting>
  <conditionalFormatting sqref="F4:F89 I4:I89">
    <cfRule type="cellIs" dxfId="34" priority="1" stopIfTrue="1" operator="lessThanOrEqual">
      <formula>-0.1</formula>
    </cfRule>
    <cfRule type="expression" dxfId="33" priority="2">
      <formula>AND(ISNUMBER(F4), F4&gt;=0.1)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0"/>
  <sheetViews>
    <sheetView workbookViewId="0">
      <pane ySplit="3" topLeftCell="A4" activePane="bottomLeft" state="frozen"/>
      <selection pane="bottomLeft" activeCell="A12" sqref="A12:XFD12"/>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18</v>
      </c>
      <c r="E1" s="74"/>
      <c r="F1" s="74"/>
      <c r="G1" s="72" t="s">
        <v>19</v>
      </c>
      <c r="H1" s="72"/>
      <c r="I1" s="72"/>
      <c r="J1" s="5"/>
      <c r="K1" s="5"/>
    </row>
    <row r="2" spans="1:11" ht="19.5" customHeight="1">
      <c r="A2" s="75" t="s">
        <v>2</v>
      </c>
      <c r="B2" s="75"/>
      <c r="C2" s="6">
        <f>SUM(C4:C88)</f>
        <v>0</v>
      </c>
      <c r="D2" s="6">
        <f>SUM(D4:D88)</f>
        <v>0</v>
      </c>
      <c r="E2" s="6">
        <f>C2-D2</f>
        <v>0</v>
      </c>
      <c r="F2" s="7">
        <f>IFERROR(E2/D2, 0)</f>
        <v>0</v>
      </c>
      <c r="G2" s="6">
        <f>SUM(G4:G88)</f>
        <v>0</v>
      </c>
      <c r="H2" s="8">
        <f>C2-G2</f>
        <v>0</v>
      </c>
      <c r="I2" s="7">
        <f>IFERROR(H2/G2, 0)</f>
        <v>0</v>
      </c>
      <c r="J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t="str">
        <f t="shared" ref="E6" si="4">IF(AND(ISNUMBER(C6),ISNUMBER(D6)), C6-D6, "")</f>
        <v/>
      </c>
      <c r="F6" s="15" t="str">
        <f t="shared" ref="F6" si="5">IFERROR(E6/D6, "")</f>
        <v/>
      </c>
      <c r="G6" s="16"/>
      <c r="H6" s="16" t="str">
        <f t="shared" ref="H6" si="6">IF(AND(ISNUMBER(C6),ISNUMBER(G6)), C6-G6, "")</f>
        <v/>
      </c>
      <c r="I6" s="17" t="str">
        <f t="shared" ref="I6" si="7">IFERROR(H6/G6, "")</f>
        <v/>
      </c>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sheetData>
  <mergeCells count="4">
    <mergeCell ref="D1:F1"/>
    <mergeCell ref="A1:C1"/>
    <mergeCell ref="G1:I1"/>
    <mergeCell ref="A2:B2"/>
  </mergeCells>
  <conditionalFormatting sqref="F2 I2 F4:F88 I4:I88">
    <cfRule type="cellIs" dxfId="32" priority="2" stopIfTrue="1" operator="lessThanOrEqual">
      <formula>-0.1</formula>
    </cfRule>
    <cfRule type="expression" dxfId="31"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7"/>
  <sheetViews>
    <sheetView workbookViewId="0">
      <pane ySplit="2" topLeftCell="A3" activePane="bottomLeft" state="frozen"/>
      <selection pane="bottomLeft" activeCell="A8" sqref="A8:XFD11"/>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22</v>
      </c>
      <c r="E1" s="74"/>
      <c r="F1" s="74"/>
      <c r="G1" s="72" t="s">
        <v>23</v>
      </c>
      <c r="H1" s="72"/>
      <c r="I1" s="72"/>
      <c r="J1" s="5"/>
      <c r="K1" s="5"/>
    </row>
    <row r="2" spans="1:11" ht="19.5" customHeight="1">
      <c r="A2" s="75" t="s">
        <v>2</v>
      </c>
      <c r="B2" s="75"/>
      <c r="C2" s="6">
        <f>SUM(C4:C85)</f>
        <v>0</v>
      </c>
      <c r="D2" s="6">
        <f>SUM(D4:D85)</f>
        <v>0</v>
      </c>
      <c r="E2" s="6">
        <f>C2-D2</f>
        <v>0</v>
      </c>
      <c r="F2" s="7">
        <f>IFERROR(E2/D2, 0)</f>
        <v>0</v>
      </c>
      <c r="G2" s="6">
        <f>SUM(G4:G85)</f>
        <v>0</v>
      </c>
      <c r="H2" s="8">
        <f>C2-G2</f>
        <v>0</v>
      </c>
      <c r="I2" s="7">
        <f>IFERROR(H2/G2, 0)</f>
        <v>0</v>
      </c>
      <c r="J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c r="F5" s="21"/>
      <c r="G5" s="22"/>
      <c r="H5" s="22"/>
      <c r="I5" s="21"/>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cfRule type="cellIs" dxfId="30" priority="5" stopIfTrue="1" operator="lessThanOrEqual">
      <formula>-0.1</formula>
    </cfRule>
    <cfRule type="expression" dxfId="29" priority="6">
      <formula>AND(ISNUMBER(F2), F2&gt;=0.1)</formula>
    </cfRule>
  </conditionalFormatting>
  <conditionalFormatting sqref="F4:F85 I4:I85">
    <cfRule type="cellIs" dxfId="28" priority="1" stopIfTrue="1" operator="lessThanOrEqual">
      <formula>-0.1</formula>
    </cfRule>
    <cfRule type="expression" dxfId="27"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32"/>
  <sheetViews>
    <sheetView workbookViewId="0">
      <pane ySplit="2" topLeftCell="A3" activePane="bottomLeft" state="frozen"/>
      <selection pane="bottomLeft" activeCell="A8" sqref="A8:XFD11"/>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24</v>
      </c>
      <c r="E1" s="74"/>
      <c r="F1" s="74"/>
      <c r="G1" s="72" t="s">
        <v>25</v>
      </c>
      <c r="H1" s="72"/>
      <c r="I1" s="72"/>
      <c r="J1" s="5"/>
      <c r="K1" s="5"/>
    </row>
    <row r="2" spans="1:11" ht="19.5" customHeight="1">
      <c r="A2" s="75" t="s">
        <v>2</v>
      </c>
      <c r="B2" s="75"/>
      <c r="C2" s="6">
        <f>SUM(C4:C90)</f>
        <v>0</v>
      </c>
      <c r="D2" s="6">
        <f>SUM(D4:D90)</f>
        <v>0</v>
      </c>
      <c r="E2" s="6">
        <f>C2-D2</f>
        <v>0</v>
      </c>
      <c r="F2" s="7">
        <f>IFERROR(E2/D2, 0)</f>
        <v>0</v>
      </c>
      <c r="G2" s="6">
        <f>SUM(G4:G90)</f>
        <v>0</v>
      </c>
      <c r="H2" s="8">
        <f>C2-G2</f>
        <v>0</v>
      </c>
      <c r="I2" s="7">
        <f>IFERROR(H2/G2, 0)</f>
        <v>0</v>
      </c>
      <c r="J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workbookViewId="0">
      <pane ySplit="2" topLeftCell="A3" activePane="bottomLeft" state="frozen"/>
      <selection pane="bottomLeft" activeCell="E35" sqref="E35"/>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26</v>
      </c>
      <c r="E1" s="74"/>
      <c r="F1" s="74"/>
      <c r="G1" s="72" t="s">
        <v>27</v>
      </c>
      <c r="H1" s="72"/>
      <c r="I1" s="72"/>
      <c r="J1" s="5"/>
      <c r="K1" s="5"/>
    </row>
    <row r="2" spans="1:11" ht="19.5" customHeight="1">
      <c r="A2" s="75" t="s">
        <v>2</v>
      </c>
      <c r="B2" s="75"/>
      <c r="C2" s="6">
        <f>SUM(C4:C90)</f>
        <v>0</v>
      </c>
      <c r="D2" s="6">
        <f>SUM(D4:D90)</f>
        <v>0</v>
      </c>
      <c r="E2" s="6">
        <f>C2-D2</f>
        <v>0</v>
      </c>
      <c r="F2" s="7">
        <f>IFERROR(E2/D2, 0)</f>
        <v>0</v>
      </c>
      <c r="G2" s="6">
        <f>SUM(G4:G90)</f>
        <v>0</v>
      </c>
      <c r="H2" s="8">
        <f>C2-G2</f>
        <v>0</v>
      </c>
      <c r="I2" s="7">
        <f>IFERROR(H2/G2, 0)</f>
        <v>0</v>
      </c>
      <c r="J2" s="28"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32"/>
  <sheetViews>
    <sheetView workbookViewId="0">
      <pane ySplit="2" topLeftCell="A3" activePane="bottomLeft" state="frozen"/>
      <selection pane="bottomLeft" activeCell="D16" sqref="D16"/>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28</v>
      </c>
      <c r="E1" s="74"/>
      <c r="F1" s="74"/>
      <c r="G1" s="72" t="s">
        <v>29</v>
      </c>
      <c r="H1" s="72"/>
      <c r="I1" s="72"/>
      <c r="J1" s="5"/>
      <c r="K1" s="5"/>
    </row>
    <row r="2" spans="1:11" ht="19.5" customHeight="1">
      <c r="A2" s="75" t="s">
        <v>2</v>
      </c>
      <c r="B2" s="75"/>
      <c r="C2" s="6">
        <f>SUM(C4:C90)</f>
        <v>0</v>
      </c>
      <c r="D2" s="6">
        <f>SUM(D4:D90)</f>
        <v>0</v>
      </c>
      <c r="E2" s="6">
        <f>C2-D2</f>
        <v>0</v>
      </c>
      <c r="F2" s="7">
        <f>IFERROR(E2/D2, 0)</f>
        <v>0</v>
      </c>
      <c r="G2" s="6">
        <f>SUM(G4:G90)</f>
        <v>0</v>
      </c>
      <c r="H2" s="8">
        <f>C2-G2</f>
        <v>0</v>
      </c>
      <c r="I2" s="7">
        <f>IFERROR(H2/G2, 0)</f>
        <v>0</v>
      </c>
      <c r="J2" s="28"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cfRule type="cellIs" dxfId="22" priority="3" stopIfTrue="1" operator="lessThanOrEqual">
      <formula>-0.1</formula>
    </cfRule>
    <cfRule type="expression" dxfId="21" priority="4">
      <formula>AND(ISNUMBER(F2), F2&gt;=0.1)</formula>
    </cfRule>
  </conditionalFormatting>
  <conditionalFormatting sqref="F4:F90 I4:I90">
    <cfRule type="cellIs" dxfId="20" priority="1" stopIfTrue="1" operator="lessThanOrEqual">
      <formula>-0.1</formula>
    </cfRule>
    <cfRule type="expression" dxfId="19"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workbookViewId="0">
      <pane ySplit="2" topLeftCell="A3" activePane="bottomLeft" state="frozen"/>
      <selection pane="bottomLeft" activeCell="J13" sqref="J13"/>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30</v>
      </c>
      <c r="E1" s="74"/>
      <c r="F1" s="74"/>
      <c r="G1" s="72" t="s">
        <v>31</v>
      </c>
      <c r="H1" s="72"/>
      <c r="I1" s="72"/>
      <c r="J1" s="5"/>
      <c r="K1" s="5"/>
    </row>
    <row r="2" spans="1:11" ht="19.5" customHeight="1">
      <c r="A2" s="75" t="s">
        <v>2</v>
      </c>
      <c r="B2" s="75"/>
      <c r="C2" s="6">
        <f>SUM(C4:C90)</f>
        <v>3805649.0203518155</v>
      </c>
      <c r="D2" s="6">
        <f>SUM(D4:D90)</f>
        <v>3848679.0000545699</v>
      </c>
      <c r="E2" s="6">
        <f>C2-D2</f>
        <v>-43029.979702754412</v>
      </c>
      <c r="F2" s="7">
        <f>IFERROR(E2/D2, 0)</f>
        <v>-1.1180454307086743E-2</v>
      </c>
      <c r="G2" s="6">
        <f>SUM(G4:G90)</f>
        <v>3828799</v>
      </c>
      <c r="H2" s="8">
        <f>C2-G2</f>
        <v>-23149.979648184497</v>
      </c>
      <c r="I2" s="7">
        <f>IFERROR(H2/G2, 0)</f>
        <v>-6.0462770827574121E-3</v>
      </c>
      <c r="J2" s="28"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30.75">
      <c r="A4" s="33" t="str" cm="1">
        <f t="array" ref="A4:A11">Sites[Site]</f>
        <v>MA: Fairhaven - 279 Mill Rd</v>
      </c>
      <c r="B4" s="30" t="str" cm="1">
        <f t="array" ref="B4:B11">Sites[State]</f>
        <v>MA</v>
      </c>
      <c r="C4" s="26">
        <v>384286</v>
      </c>
      <c r="D4" s="14">
        <v>411687</v>
      </c>
      <c r="E4" s="14">
        <f>IF(AND(ISNUMBER(C4),ISNUMBER(D4)), C4-D4, "")</f>
        <v>-27401</v>
      </c>
      <c r="F4" s="15">
        <f>IFERROR(E4/D4, "")</f>
        <v>-6.6557846130676945E-2</v>
      </c>
      <c r="G4" s="16">
        <v>391768</v>
      </c>
      <c r="H4" s="16">
        <f>IF(AND(ISNUMBER(C4),ISNUMBER(G4)), C4-G4, "")</f>
        <v>-7482</v>
      </c>
      <c r="I4" s="17">
        <f>IFERROR(H4/G4, "")</f>
        <v>-1.9098037614098139E-2</v>
      </c>
      <c r="J4" s="18" t="s">
        <v>32</v>
      </c>
      <c r="K4" s="18" t="s">
        <v>33</v>
      </c>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45.75" customHeight="1">
      <c r="A8" s="33" t="str">
        <v xml:space="preserve">Charlemont - 0 Tea St </v>
      </c>
      <c r="B8" s="30" t="str">
        <v>MA</v>
      </c>
      <c r="C8" s="49">
        <v>409676</v>
      </c>
      <c r="D8" s="14">
        <v>477368</v>
      </c>
      <c r="E8" s="14">
        <f t="shared" si="0"/>
        <v>-67692</v>
      </c>
      <c r="F8" s="15">
        <f t="shared" si="1"/>
        <v>-0.14180255065274588</v>
      </c>
      <c r="G8" s="47">
        <v>479792</v>
      </c>
      <c r="H8" s="47">
        <f t="shared" si="2"/>
        <v>-70116</v>
      </c>
      <c r="I8" s="17">
        <f t="shared" si="3"/>
        <v>-0.14613832660819689</v>
      </c>
      <c r="J8" s="45"/>
      <c r="K8" s="45"/>
    </row>
    <row r="9" spans="1:11" ht="15.6">
      <c r="A9" s="31" t="str">
        <v xml:space="preserve">Amherst - 740 Belchertown Rd </v>
      </c>
      <c r="B9" s="32" t="str">
        <v>MA</v>
      </c>
      <c r="C9" s="42">
        <v>540578</v>
      </c>
      <c r="D9" s="20">
        <v>527425</v>
      </c>
      <c r="E9" s="20">
        <f t="shared" si="0"/>
        <v>13153</v>
      </c>
      <c r="F9" s="65">
        <f t="shared" si="1"/>
        <v>2.4938142863914301E-2</v>
      </c>
      <c r="G9" s="44">
        <v>561092</v>
      </c>
      <c r="H9" s="44">
        <f t="shared" si="2"/>
        <v>-20514</v>
      </c>
      <c r="I9" s="65">
        <f t="shared" si="3"/>
        <v>-3.6560849201200514E-2</v>
      </c>
      <c r="J9" s="11"/>
      <c r="K9" s="19"/>
    </row>
    <row r="10" spans="1:11" ht="15.6">
      <c r="A10" s="33" t="str">
        <v xml:space="preserve"> Ludlow - Huxley 1 &amp; 2 - 504 Fuller St </v>
      </c>
      <c r="B10" s="30" t="str">
        <v>MA</v>
      </c>
      <c r="C10" s="49">
        <v>1310307.6853887453</v>
      </c>
      <c r="D10" s="14">
        <v>1222355.8772328733</v>
      </c>
      <c r="E10" s="14">
        <f t="shared" si="0"/>
        <v>87951.808155871928</v>
      </c>
      <c r="F10" s="15">
        <f t="shared" si="1"/>
        <v>7.1952701986408546E-2</v>
      </c>
      <c r="G10" s="47">
        <v>1269139.9999999998</v>
      </c>
      <c r="H10" s="47">
        <f t="shared" si="2"/>
        <v>41167.685388745507</v>
      </c>
      <c r="I10" s="17">
        <f t="shared" si="3"/>
        <v>3.2437465834143996E-2</v>
      </c>
      <c r="J10" s="45"/>
      <c r="K10" s="45"/>
    </row>
    <row r="11" spans="1:11" ht="15.6">
      <c r="A11" s="31" t="str">
        <v>Easthampton - Beacon 1 &amp; 2 - 540 Florence Rd</v>
      </c>
      <c r="B11" s="32" t="str">
        <v>MA</v>
      </c>
      <c r="C11" s="42">
        <v>1160801.3349630702</v>
      </c>
      <c r="D11" s="20">
        <v>1209843.1228216968</v>
      </c>
      <c r="E11" s="20">
        <f t="shared" si="0"/>
        <v>-49041.787858626572</v>
      </c>
      <c r="F11" s="65">
        <f t="shared" si="1"/>
        <v>-4.053565865981635E-2</v>
      </c>
      <c r="G11" s="44">
        <v>1127007</v>
      </c>
      <c r="H11" s="44">
        <f t="shared" si="2"/>
        <v>33794.334963070229</v>
      </c>
      <c r="I11" s="65">
        <f t="shared" si="3"/>
        <v>2.9985913985512272E-2</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tabSelected="1" workbookViewId="0">
      <pane ySplit="2" topLeftCell="A3" activePane="bottomLeft" state="frozen"/>
      <selection pane="bottomLeft" activeCell="J11" sqref="J11"/>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34</v>
      </c>
      <c r="E1" s="74"/>
      <c r="F1" s="74"/>
      <c r="G1" s="72" t="s">
        <v>35</v>
      </c>
      <c r="H1" s="72"/>
      <c r="I1" s="72"/>
      <c r="J1" s="5"/>
      <c r="K1" s="5"/>
    </row>
    <row r="2" spans="1:11" ht="19.5" customHeight="1">
      <c r="A2" s="75" t="s">
        <v>2</v>
      </c>
      <c r="B2" s="75"/>
      <c r="C2" s="6">
        <f>SUM(C4:C90)</f>
        <v>3446508.6779447393</v>
      </c>
      <c r="D2" s="6">
        <f>SUM(D4:D90)</f>
        <v>3827696.3183960058</v>
      </c>
      <c r="E2" s="6">
        <f>C2-D2</f>
        <v>-381187.64045126643</v>
      </c>
      <c r="F2" s="7">
        <f>IFERROR(E2/D2, 0)</f>
        <v>-9.9586698824373543E-2</v>
      </c>
      <c r="G2" s="6">
        <f>SUM(G4:G90)</f>
        <v>4228238</v>
      </c>
      <c r="H2" s="8">
        <f>C2-G2</f>
        <v>-781729.32205526065</v>
      </c>
      <c r="I2" s="7">
        <f>IFERROR(H2/G2, 0)</f>
        <v>-0.1848829990306271</v>
      </c>
      <c r="J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28.9">
      <c r="A4" s="33" t="str" cm="1">
        <f t="array" ref="A4:A11">Sites[Site]</f>
        <v>MA: Fairhaven - 279 Mill Rd</v>
      </c>
      <c r="B4" s="30" t="str" cm="1">
        <f t="array" ref="B4:B11">Sites[State]</f>
        <v>MA</v>
      </c>
      <c r="C4" s="26">
        <v>362724</v>
      </c>
      <c r="D4" s="14">
        <v>372410</v>
      </c>
      <c r="E4" s="14">
        <f>IF(AND(ISNUMBER(C4),ISNUMBER(D4)), C4-D4, "")</f>
        <v>-9686</v>
      </c>
      <c r="F4" s="15">
        <f>IFERROR(E4/D4, "")</f>
        <v>-2.6008968609865471E-2</v>
      </c>
      <c r="G4" s="16">
        <v>420082</v>
      </c>
      <c r="H4" s="16">
        <f>IF(AND(ISNUMBER(C4),ISNUMBER(G4)), C4-G4, "")</f>
        <v>-57358</v>
      </c>
      <c r="I4" s="17">
        <f>IFERROR(H4/G4, "")</f>
        <v>-0.13654000885541395</v>
      </c>
      <c r="J4" s="18" t="s">
        <v>36</v>
      </c>
      <c r="K4" s="18" t="s">
        <v>37</v>
      </c>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76.5">
      <c r="A8" s="52" t="str">
        <v xml:space="preserve">Charlemont - 0 Tea St </v>
      </c>
      <c r="B8" s="30" t="str">
        <v>MA</v>
      </c>
      <c r="C8" s="26">
        <v>186598</v>
      </c>
      <c r="D8" s="14">
        <v>534364</v>
      </c>
      <c r="E8" s="14">
        <f>IF(AND(ISNUMBER(C8),ISNUMBER(D8)), C8-D8, "")</f>
        <v>-347766</v>
      </c>
      <c r="F8" s="15">
        <f t="shared" si="1"/>
        <v>-0.65080357209692274</v>
      </c>
      <c r="G8" s="16">
        <v>518050</v>
      </c>
      <c r="H8" s="16">
        <f t="shared" si="2"/>
        <v>-331452</v>
      </c>
      <c r="I8" s="17">
        <f t="shared" si="3"/>
        <v>-0.63980696843933982</v>
      </c>
      <c r="J8" s="18" t="s">
        <v>38</v>
      </c>
      <c r="K8" s="18" t="s">
        <v>39</v>
      </c>
    </row>
    <row r="9" spans="1:11" ht="15.6">
      <c r="A9" s="31" t="str">
        <v xml:space="preserve">Amherst - 740 Belchertown Rd </v>
      </c>
      <c r="B9" s="32" t="str">
        <v>MA</v>
      </c>
      <c r="C9" s="12">
        <v>506878.7508244277</v>
      </c>
      <c r="D9" s="20">
        <v>547906.33260371583</v>
      </c>
      <c r="E9" s="20">
        <f t="shared" si="0"/>
        <v>-41027.581779288128</v>
      </c>
      <c r="F9" s="65">
        <f t="shared" si="1"/>
        <v>-7.4880649004949798E-2</v>
      </c>
      <c r="G9" s="22">
        <v>619548</v>
      </c>
      <c r="H9" s="22">
        <f t="shared" si="2"/>
        <v>-112669.2491755723</v>
      </c>
      <c r="I9" s="65">
        <f t="shared" si="3"/>
        <v>-0.18185717519154659</v>
      </c>
      <c r="J9" s="11"/>
      <c r="K9" s="19"/>
    </row>
    <row r="10" spans="1:11" ht="15.6">
      <c r="A10" s="33" t="str">
        <v xml:space="preserve"> Ludlow - Huxley 1 &amp; 2 - 504 Fuller St </v>
      </c>
      <c r="B10" s="30" t="str">
        <v>MA</v>
      </c>
      <c r="C10" s="26">
        <v>1273607.2620833816</v>
      </c>
      <c r="D10" s="14">
        <v>1203961.3860797666</v>
      </c>
      <c r="E10" s="14">
        <f t="shared" si="0"/>
        <v>69645.876003615092</v>
      </c>
      <c r="F10" s="15">
        <f t="shared" si="1"/>
        <v>5.7847267203801185E-2</v>
      </c>
      <c r="G10" s="16">
        <v>1428393</v>
      </c>
      <c r="H10" s="16">
        <f t="shared" si="2"/>
        <v>-154785.73791661835</v>
      </c>
      <c r="I10" s="17">
        <f t="shared" si="3"/>
        <v>-0.10836355114917137</v>
      </c>
      <c r="J10" s="18"/>
      <c r="K10" s="18"/>
    </row>
    <row r="11" spans="1:11" ht="15.6">
      <c r="A11" s="31" t="str">
        <v>Easthampton - Beacon 1 &amp; 2 - 540 Florence Rd</v>
      </c>
      <c r="B11" s="32" t="str">
        <v>MA</v>
      </c>
      <c r="C11" s="12">
        <v>1116700.6650369298</v>
      </c>
      <c r="D11" s="20">
        <v>1169054.5997125234</v>
      </c>
      <c r="E11" s="20">
        <f t="shared" si="0"/>
        <v>-52353.934675593628</v>
      </c>
      <c r="F11" s="65">
        <f t="shared" si="1"/>
        <v>-4.4783139032571903E-2</v>
      </c>
      <c r="G11" s="22">
        <v>1242164.9999999998</v>
      </c>
      <c r="H11" s="22">
        <f t="shared" si="2"/>
        <v>-125464.33496307</v>
      </c>
      <c r="I11" s="65">
        <f t="shared" si="3"/>
        <v>-0.1010045645812513</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workbookViewId="0">
      <pane ySplit="2" topLeftCell="A3" activePane="bottomLeft" state="frozen"/>
      <selection pane="bottomLeft" activeCell="J12" sqref="J12"/>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40</v>
      </c>
      <c r="E1" s="74"/>
      <c r="F1" s="74"/>
      <c r="G1" s="72" t="s">
        <v>41</v>
      </c>
      <c r="H1" s="72"/>
      <c r="I1" s="72"/>
      <c r="J1" s="5"/>
      <c r="K1" s="5"/>
    </row>
    <row r="2" spans="1:11" ht="19.5" customHeight="1">
      <c r="A2" s="75" t="s">
        <v>2</v>
      </c>
      <c r="B2" s="75"/>
      <c r="C2" s="6">
        <f>SUM(C4:C30)</f>
        <v>2967974.4655299354</v>
      </c>
      <c r="D2" s="6">
        <f>SUM(D4:D30)</f>
        <v>3311106.7647213894</v>
      </c>
      <c r="E2" s="6">
        <f>C2-D2</f>
        <v>-343132.29919145396</v>
      </c>
      <c r="F2" s="7">
        <f>IFERROR(E2/D2, 0)</f>
        <v>-0.10363069619119532</v>
      </c>
      <c r="G2" s="6">
        <f>SUM(G4:G30)</f>
        <v>3818522.7800000003</v>
      </c>
      <c r="H2" s="8">
        <f>C2-G2</f>
        <v>-850548.31447006483</v>
      </c>
      <c r="I2" s="7">
        <f>IFERROR(H2/G2, 0)</f>
        <v>-0.2227427629671139</v>
      </c>
      <c r="J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76.5">
      <c r="A4" s="52" t="str" cm="1">
        <f t="array" ref="A4:A11">Sites[Site]</f>
        <v>MA: Fairhaven - 279 Mill Rd</v>
      </c>
      <c r="B4" s="30" t="str" cm="1">
        <f t="array" ref="B4:B11">Sites[State]</f>
        <v>MA</v>
      </c>
      <c r="C4" s="26">
        <v>396125</v>
      </c>
      <c r="D4" s="14">
        <v>392976.826</v>
      </c>
      <c r="E4" s="14">
        <f>IF(AND(ISNUMBER(C4),ISNUMBER(D4)), C4-D4, "")</f>
        <v>3148.1739999999991</v>
      </c>
      <c r="F4" s="15">
        <f>IFERROR(E4/D4, "")</f>
        <v>8.0110932546439747E-3</v>
      </c>
      <c r="G4" s="16">
        <v>387379.78</v>
      </c>
      <c r="H4" s="16">
        <f>IF(AND(ISNUMBER(C4),ISNUMBER(G4)), C4-G4, "")</f>
        <v>8745.2199999999721</v>
      </c>
      <c r="I4" s="17">
        <f>IFERROR(H4/G4, "")</f>
        <v>2.2575313559215639E-2</v>
      </c>
      <c r="J4" s="18" t="s">
        <v>42</v>
      </c>
      <c r="K4" s="18" t="s">
        <v>43</v>
      </c>
    </row>
    <row r="5" spans="1:11" ht="15.6">
      <c r="A5" s="31" t="str">
        <v>Bakersfield - 100 Basic School Rd</v>
      </c>
      <c r="B5" s="32" t="str">
        <v>CA</v>
      </c>
      <c r="C5" s="12"/>
      <c r="D5" s="20"/>
      <c r="E5" s="20" t="str">
        <f t="shared" ref="E5:E11" si="0">IF(AND(ISNUMBER(C5),ISNUMBER(D5)), C5-D5, "")</f>
        <v/>
      </c>
      <c r="F5" s="65" t="str">
        <f t="shared" ref="F5:F11" si="1">IFERROR(E5/D5, "")</f>
        <v/>
      </c>
      <c r="G5" s="22"/>
      <c r="H5" s="22" t="str">
        <f t="shared" ref="H5:H11" si="2">IF(AND(ISNUMBER(C5),ISNUMBER(G5)), C5-G5, "")</f>
        <v/>
      </c>
      <c r="I5" s="65" t="str">
        <f t="shared" ref="I5:I11" si="3">IFERROR(H5/G5, "")</f>
        <v/>
      </c>
      <c r="J5" s="11"/>
      <c r="K5" s="19"/>
    </row>
    <row r="6" spans="1:11" ht="15.6">
      <c r="A6" s="33" t="str">
        <v>Fresno - 2685 Cornelia Ave</v>
      </c>
      <c r="B6" s="30" t="str">
        <v>CA</v>
      </c>
      <c r="C6" s="26"/>
      <c r="D6" s="14"/>
      <c r="E6" s="14" t="str">
        <f t="shared" si="0"/>
        <v/>
      </c>
      <c r="F6" s="15" t="str">
        <f t="shared" si="1"/>
        <v/>
      </c>
      <c r="G6" s="16"/>
      <c r="H6" s="16" t="str">
        <f t="shared" si="2"/>
        <v/>
      </c>
      <c r="I6" s="17" t="str">
        <f t="shared" si="3"/>
        <v/>
      </c>
      <c r="J6" s="18"/>
      <c r="K6" s="18"/>
    </row>
    <row r="7" spans="1:11" ht="15.6">
      <c r="A7" s="31" t="str">
        <v>San Juaquin - S. Placer &amp; W. Adams</v>
      </c>
      <c r="B7" s="32" t="str">
        <v>CA</v>
      </c>
      <c r="C7" s="12"/>
      <c r="D7" s="20"/>
      <c r="E7" s="20" t="str">
        <f t="shared" si="0"/>
        <v/>
      </c>
      <c r="F7" s="65" t="str">
        <f t="shared" si="1"/>
        <v/>
      </c>
      <c r="G7" s="22"/>
      <c r="H7" s="22" t="str">
        <f t="shared" si="2"/>
        <v/>
      </c>
      <c r="I7" s="65" t="str">
        <f t="shared" si="3"/>
        <v/>
      </c>
      <c r="J7" s="11"/>
      <c r="K7" s="19"/>
    </row>
    <row r="8" spans="1:11" ht="60.75">
      <c r="A8" s="33" t="str">
        <v xml:space="preserve">Charlemont - 0 Tea St </v>
      </c>
      <c r="B8" s="30" t="str">
        <v>MA</v>
      </c>
      <c r="C8" s="26">
        <v>294567</v>
      </c>
      <c r="D8" s="14">
        <v>503848</v>
      </c>
      <c r="E8" s="14">
        <f t="shared" si="0"/>
        <v>-209281</v>
      </c>
      <c r="F8" s="15">
        <f t="shared" si="1"/>
        <v>-0.41536534827963989</v>
      </c>
      <c r="G8" s="16">
        <v>480907</v>
      </c>
      <c r="H8" s="16">
        <f t="shared" si="2"/>
        <v>-186340</v>
      </c>
      <c r="I8" s="17">
        <f t="shared" si="3"/>
        <v>-0.38747616483020625</v>
      </c>
      <c r="J8" s="18" t="s">
        <v>44</v>
      </c>
      <c r="K8" s="18" t="s">
        <v>45</v>
      </c>
    </row>
    <row r="9" spans="1:11" ht="106.5">
      <c r="A9" s="31" t="str">
        <v xml:space="preserve">Amherst - 740 Belchertown Rd </v>
      </c>
      <c r="B9" s="32" t="str">
        <v>MA</v>
      </c>
      <c r="C9" s="12">
        <v>317241</v>
      </c>
      <c r="D9" s="20">
        <v>463667.99850575137</v>
      </c>
      <c r="E9" s="20">
        <f t="shared" si="0"/>
        <v>-146426.99850575137</v>
      </c>
      <c r="F9" s="65">
        <f t="shared" si="1"/>
        <v>-0.31580139017063324</v>
      </c>
      <c r="G9" s="22">
        <v>577264.00000000012</v>
      </c>
      <c r="H9" s="22">
        <f t="shared" si="2"/>
        <v>-260023.00000000012</v>
      </c>
      <c r="I9" s="65">
        <f t="shared" si="3"/>
        <v>-0.45044035311399994</v>
      </c>
      <c r="J9" s="50" t="s">
        <v>46</v>
      </c>
      <c r="K9" s="50" t="s">
        <v>47</v>
      </c>
    </row>
    <row r="10" spans="1:11" ht="15.6">
      <c r="A10" s="33" t="str">
        <v xml:space="preserve"> Ludlow - Huxley 1 &amp; 2 - 504 Fuller St </v>
      </c>
      <c r="B10" s="30" t="str">
        <v>MA</v>
      </c>
      <c r="C10" s="26">
        <v>1052653.4655299352</v>
      </c>
      <c r="D10" s="14">
        <v>1019119.1663681895</v>
      </c>
      <c r="E10" s="14">
        <f t="shared" si="0"/>
        <v>33534.299161745701</v>
      </c>
      <c r="F10" s="15">
        <f t="shared" si="1"/>
        <v>3.2905179559374866E-2</v>
      </c>
      <c r="G10" s="16">
        <v>1281512.9999999998</v>
      </c>
      <c r="H10" s="16">
        <f t="shared" si="2"/>
        <v>-228859.53447006457</v>
      </c>
      <c r="I10" s="17">
        <f t="shared" si="3"/>
        <v>-0.17858541776015116</v>
      </c>
      <c r="J10" s="18"/>
      <c r="K10" s="18"/>
    </row>
    <row r="11" spans="1:11" ht="15.6">
      <c r="A11" s="31" t="str">
        <v>Easthampton - Beacon 1 &amp; 2 - 540 Florence Rd</v>
      </c>
      <c r="B11" s="32" t="str">
        <v>MA</v>
      </c>
      <c r="C11" s="12">
        <v>907388</v>
      </c>
      <c r="D11" s="20">
        <v>931494.77384744817</v>
      </c>
      <c r="E11" s="20">
        <f t="shared" si="0"/>
        <v>-24106.773847448174</v>
      </c>
      <c r="F11" s="65">
        <f t="shared" si="1"/>
        <v>-2.5879666235675697E-2</v>
      </c>
      <c r="G11" s="22">
        <v>1091459</v>
      </c>
      <c r="H11" s="22">
        <f t="shared" si="2"/>
        <v>-184071</v>
      </c>
      <c r="I11" s="65">
        <f t="shared" si="3"/>
        <v>-0.16864673799015814</v>
      </c>
      <c r="J11" s="11"/>
      <c r="K11" s="19"/>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cfRule type="cellIs" dxfId="14" priority="5" stopIfTrue="1" operator="lessThanOrEqual">
      <formula>-0.1</formula>
    </cfRule>
    <cfRule type="expression" dxfId="13" priority="6">
      <formula>AND(ISNUMBER(F2), F2&gt;=0.1)</formula>
    </cfRule>
  </conditionalFormatting>
  <conditionalFormatting sqref="F4:F30 I4:I30">
    <cfRule type="cellIs" dxfId="12" priority="1" stopIfTrue="1" operator="lessThanOrEqual">
      <formula>-0.1</formula>
    </cfRule>
    <cfRule type="expression" dxfId="11"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J20" sqref="J20"/>
      <selection activeCell="F35" sqref="F35"/>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48</v>
      </c>
      <c r="E1" s="74"/>
      <c r="F1" s="74"/>
      <c r="G1" s="72" t="s">
        <v>49</v>
      </c>
      <c r="H1" s="72"/>
      <c r="I1" s="72"/>
      <c r="J1" s="5"/>
      <c r="K1" s="5"/>
    </row>
    <row r="2" spans="1:11" ht="19.5" customHeight="1">
      <c r="A2" s="75" t="s">
        <v>2</v>
      </c>
      <c r="B2" s="75"/>
      <c r="C2" s="6">
        <f>SUM(C4:C90)</f>
        <v>7842305.7438365808</v>
      </c>
      <c r="D2" s="6">
        <f>SUM(D4:D90)</f>
        <v>8050165.9544224637</v>
      </c>
      <c r="E2" s="6">
        <f>C2-D2</f>
        <v>-207860.21058588289</v>
      </c>
      <c r="F2" s="7">
        <f>IFERROR(E2/D2, 0)</f>
        <v>-2.582061186846616E-2</v>
      </c>
      <c r="G2" s="6">
        <f>SUM(G4:G90)</f>
        <v>8019349</v>
      </c>
      <c r="H2" s="8">
        <f>C2-G2</f>
        <v>-177043.25616341922</v>
      </c>
      <c r="I2" s="7">
        <f>IFERROR(H2/G2, 0)</f>
        <v>-2.207701100967413E-2</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56.25" customHeight="1">
      <c r="A4" s="52" t="str" cm="1">
        <f t="array" ref="A4:A11">Sites[Site]</f>
        <v>MA: Fairhaven - 279 Mill Rd</v>
      </c>
      <c r="B4" s="30" t="str" cm="1">
        <f t="array" ref="B4:B11">Sites[State]</f>
        <v>MA</v>
      </c>
      <c r="C4" s="26">
        <v>326681</v>
      </c>
      <c r="D4" s="14">
        <v>316866</v>
      </c>
      <c r="E4" s="14">
        <f>IF(AND(ISNUMBER(C4),ISNUMBER(D4)), C4-D4, "")</f>
        <v>9815</v>
      </c>
      <c r="F4" s="15">
        <f>IFERROR(E4/D4, "")</f>
        <v>3.0975238744453491E-2</v>
      </c>
      <c r="G4" s="16">
        <v>0</v>
      </c>
      <c r="H4" s="16">
        <f>IF(AND(ISNUMBER(C4),ISNUMBER(G4)), C4-G4, "")</f>
        <v>326681</v>
      </c>
      <c r="I4" s="17" t="str">
        <f>IFERROR(H4/G4, "")</f>
        <v/>
      </c>
      <c r="J4" s="18" t="s">
        <v>50</v>
      </c>
      <c r="K4" s="18" t="s">
        <v>51</v>
      </c>
    </row>
    <row r="5" spans="1:11" ht="15.6">
      <c r="A5" s="31" t="str">
        <v>Bakersfield - 100 Basic School Rd</v>
      </c>
      <c r="B5" s="32" t="str">
        <v>CA</v>
      </c>
      <c r="C5" s="12">
        <v>1315185</v>
      </c>
      <c r="D5" s="20">
        <v>1348439</v>
      </c>
      <c r="E5" s="20">
        <f t="shared" ref="E5:E11" si="0">IF(AND(ISNUMBER(C5),ISNUMBER(D5)), C5-D5, "")</f>
        <v>-33254</v>
      </c>
      <c r="F5" s="21">
        <f t="shared" ref="F5:F11" si="1">IFERROR(E5/D5, "")</f>
        <v>-2.4661108140598128E-2</v>
      </c>
      <c r="G5" s="22">
        <v>1343400</v>
      </c>
      <c r="H5" s="22">
        <f t="shared" ref="H5:H11" si="2">IF(AND(ISNUMBER(C5),ISNUMBER(G5)), C5-G5, "")</f>
        <v>-28215</v>
      </c>
      <c r="I5" s="21">
        <f t="shared" ref="I5:I11" si="3">IFERROR(H5/G5, "")</f>
        <v>-2.1002679767753461E-2</v>
      </c>
      <c r="J5" s="11"/>
      <c r="K5" s="19"/>
    </row>
    <row r="6" spans="1:11" ht="15.6">
      <c r="A6" s="33" t="str">
        <v>Fresno - 2685 Cornelia Ave</v>
      </c>
      <c r="B6" s="30" t="str">
        <v>CA</v>
      </c>
      <c r="C6" s="26">
        <v>2700894</v>
      </c>
      <c r="D6" s="14">
        <v>2850481</v>
      </c>
      <c r="E6" s="14">
        <f t="shared" si="0"/>
        <v>-149587</v>
      </c>
      <c r="F6" s="15">
        <f t="shared" si="1"/>
        <v>-5.2477809885419335E-2</v>
      </c>
      <c r="G6" s="16">
        <v>2826542</v>
      </c>
      <c r="H6" s="16">
        <f t="shared" si="2"/>
        <v>-125648</v>
      </c>
      <c r="I6" s="17">
        <f t="shared" si="3"/>
        <v>-4.4452903937036846E-2</v>
      </c>
      <c r="J6" s="18"/>
      <c r="K6" s="18"/>
    </row>
    <row r="7" spans="1:11" ht="15.6">
      <c r="A7" s="31" t="str">
        <v>San Juaquin - S. Placer &amp; W. Adams</v>
      </c>
      <c r="B7" s="32" t="str">
        <v>CA</v>
      </c>
      <c r="C7" s="12">
        <v>994685</v>
      </c>
      <c r="D7" s="20">
        <v>962257.2</v>
      </c>
      <c r="E7" s="20">
        <f t="shared" si="0"/>
        <v>32427.800000000047</v>
      </c>
      <c r="F7" s="21">
        <f t="shared" si="1"/>
        <v>3.3699721862304639E-2</v>
      </c>
      <c r="G7" s="22">
        <v>1014739</v>
      </c>
      <c r="H7" s="22">
        <f t="shared" si="2"/>
        <v>-20054</v>
      </c>
      <c r="I7" s="21">
        <f t="shared" si="3"/>
        <v>-1.9762717309574185E-2</v>
      </c>
      <c r="J7" s="11"/>
      <c r="K7" s="19"/>
    </row>
    <row r="8" spans="1:11" ht="30.75">
      <c r="A8" s="33" t="str">
        <v xml:space="preserve">Charlemont - 0 Tea St </v>
      </c>
      <c r="B8" s="30" t="str">
        <v>MA</v>
      </c>
      <c r="C8" s="26">
        <v>416620</v>
      </c>
      <c r="D8" s="14">
        <v>406770</v>
      </c>
      <c r="E8" s="14">
        <f t="shared" si="0"/>
        <v>9850</v>
      </c>
      <c r="F8" s="15">
        <f t="shared" si="1"/>
        <v>2.4215158443346364E-2</v>
      </c>
      <c r="G8" s="16">
        <v>415518</v>
      </c>
      <c r="H8" s="16">
        <f t="shared" si="2"/>
        <v>1102</v>
      </c>
      <c r="I8" s="66">
        <f t="shared" si="3"/>
        <v>2.6521113405436106E-3</v>
      </c>
      <c r="J8" s="18" t="s">
        <v>52</v>
      </c>
      <c r="K8" s="18" t="s">
        <v>53</v>
      </c>
    </row>
    <row r="9" spans="1:11" ht="45.75">
      <c r="A9" s="31" t="str">
        <v xml:space="preserve">Amherst - 740 Belchertown Rd </v>
      </c>
      <c r="B9" s="32" t="str">
        <v>MA</v>
      </c>
      <c r="C9" s="12">
        <v>353609</v>
      </c>
      <c r="D9" s="20">
        <v>436818.43249465385</v>
      </c>
      <c r="E9" s="20">
        <f t="shared" si="0"/>
        <v>-83209.432494653855</v>
      </c>
      <c r="F9" s="21">
        <f t="shared" si="1"/>
        <v>-0.19048974655086753</v>
      </c>
      <c r="G9" s="22">
        <v>495914.00000000012</v>
      </c>
      <c r="H9" s="22">
        <f t="shared" si="2"/>
        <v>-142305.00000000012</v>
      </c>
      <c r="I9" s="21">
        <f t="shared" si="3"/>
        <v>-0.28695499622918508</v>
      </c>
      <c r="J9" s="71" t="s">
        <v>54</v>
      </c>
      <c r="K9" s="50" t="s">
        <v>55</v>
      </c>
    </row>
    <row r="10" spans="1:11" ht="15.6">
      <c r="A10" s="33" t="str">
        <v xml:space="preserve"> Ludlow - Huxley 1 &amp; 2 - 504 Fuller St </v>
      </c>
      <c r="B10" s="30" t="str">
        <v>MA</v>
      </c>
      <c r="C10" s="26">
        <v>961832.74383658101</v>
      </c>
      <c r="D10" s="14">
        <v>948042.05416601861</v>
      </c>
      <c r="E10" s="14">
        <f t="shared" si="0"/>
        <v>13790.689670562395</v>
      </c>
      <c r="F10" s="15">
        <f t="shared" si="1"/>
        <v>1.4546495706557977E-2</v>
      </c>
      <c r="G10" s="16">
        <v>1048901.9999999995</v>
      </c>
      <c r="H10" s="16">
        <f t="shared" si="2"/>
        <v>-87069.256163418526</v>
      </c>
      <c r="I10" s="66">
        <f t="shared" si="3"/>
        <v>-8.3009905752318675E-2</v>
      </c>
      <c r="J10" s="18"/>
      <c r="K10" s="18"/>
    </row>
    <row r="11" spans="1:11" ht="15.6">
      <c r="A11" s="31" t="str">
        <v>Easthampton - Beacon 1 &amp; 2 - 540 Florence Rd</v>
      </c>
      <c r="B11" s="32" t="str">
        <v>MA</v>
      </c>
      <c r="C11" s="12">
        <v>772799</v>
      </c>
      <c r="D11" s="20">
        <v>780492.26776179054</v>
      </c>
      <c r="E11" s="20">
        <f t="shared" si="0"/>
        <v>-7693.2677617905429</v>
      </c>
      <c r="F11" s="21">
        <f t="shared" si="1"/>
        <v>-9.8569429571063478E-3</v>
      </c>
      <c r="G11" s="22">
        <v>874333.99999999988</v>
      </c>
      <c r="H11" s="22">
        <f t="shared" si="2"/>
        <v>-101534.99999999988</v>
      </c>
      <c r="I11" s="21">
        <f t="shared" si="3"/>
        <v>-0.11612839029478425</v>
      </c>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2"/>
  <sheetViews>
    <sheetView zoomScale="80" zoomScaleNormal="80" workbookViewId="0">
      <pane ySplit="2" topLeftCell="A3" activePane="bottomLeft" state="frozen"/>
      <selection pane="bottomLeft" activeCell="G27" sqref="G27"/>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56</v>
      </c>
      <c r="E1" s="74"/>
      <c r="F1" s="74"/>
      <c r="G1" s="72" t="s">
        <v>57</v>
      </c>
      <c r="H1" s="72"/>
      <c r="I1" s="72"/>
      <c r="J1" s="5"/>
      <c r="K1" s="5"/>
    </row>
    <row r="2" spans="1:11" ht="19.5" customHeight="1">
      <c r="A2" s="75" t="s">
        <v>2</v>
      </c>
      <c r="B2" s="75"/>
      <c r="C2" s="6">
        <f>SUM(C4:C90)</f>
        <v>6653027.8432</v>
      </c>
      <c r="D2" s="6">
        <f>SUM(D4:D90)</f>
        <v>6769698.1118999999</v>
      </c>
      <c r="E2" s="6">
        <f>C2-D2</f>
        <v>-116670.2686999999</v>
      </c>
      <c r="F2" s="7">
        <f>IFERROR(E2/D2, 0)</f>
        <v>-1.7234190767667031E-2</v>
      </c>
      <c r="G2" s="6">
        <f>SUM(G4:G90)</f>
        <v>6088030.7000000002</v>
      </c>
      <c r="H2" s="8">
        <f>C2-G2</f>
        <v>564997.14319999982</v>
      </c>
      <c r="I2" s="7">
        <f>IFERROR(H2/G2, 0)</f>
        <v>9.2804581816579829E-2</v>
      </c>
      <c r="J2" s="28" t="str">
        <f ca="1">IF(AND(TODAY()&gt;DATE(2024, 10,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80.25" customHeight="1">
      <c r="A4" s="52" t="str" cm="1">
        <f t="array" ref="A4:A11">Sites[Site]</f>
        <v>MA: Fairhaven - 279 Mill Rd</v>
      </c>
      <c r="B4" s="30" t="str" cm="1">
        <f t="array" ref="B4:B11">Sites[State]</f>
        <v>MA</v>
      </c>
      <c r="C4" s="49">
        <v>250934</v>
      </c>
      <c r="D4" s="14">
        <v>221630.5858</v>
      </c>
      <c r="E4" s="14">
        <f>IF(AND(ISNUMBER(C4),ISNUMBER(D4)), C4-D4, "")</f>
        <v>29303.414199999999</v>
      </c>
      <c r="F4" s="48">
        <f>IFERROR(E4/D4, "")</f>
        <v>0.13221737466526157</v>
      </c>
      <c r="G4" s="47">
        <v>0</v>
      </c>
      <c r="H4" s="47">
        <f>IF(AND(ISNUMBER(C4),ISNUMBER(G4)), C4-G4, "")</f>
        <v>250934</v>
      </c>
      <c r="I4" s="46" t="str">
        <f>IFERROR(H4/G4, "")</f>
        <v/>
      </c>
      <c r="J4" s="45" t="s">
        <v>58</v>
      </c>
      <c r="K4" s="45" t="s">
        <v>59</v>
      </c>
    </row>
    <row r="5" spans="1:11" ht="60" customHeight="1">
      <c r="A5" s="31" t="str">
        <v>Bakersfield - 100 Basic School Rd</v>
      </c>
      <c r="B5" s="32" t="str">
        <v>CA</v>
      </c>
      <c r="C5" s="12">
        <v>1120959</v>
      </c>
      <c r="D5" s="20">
        <v>1131274</v>
      </c>
      <c r="E5" s="20">
        <f t="shared" ref="E5" si="0">IF(AND(ISNUMBER(C5),ISNUMBER(D5)), C5-D5, "")</f>
        <v>-10315</v>
      </c>
      <c r="F5" s="21">
        <f t="shared" ref="F5" si="1">IFERROR(E5/D5, "")</f>
        <v>-9.1180386007280283E-3</v>
      </c>
      <c r="G5" s="22">
        <v>1068564</v>
      </c>
      <c r="H5" s="22">
        <f t="shared" ref="H5" si="2">IF(AND(ISNUMBER(C5),ISNUMBER(G5)), C5-G5, "")</f>
        <v>52395</v>
      </c>
      <c r="I5" s="21">
        <f t="shared" ref="I5" si="3">IFERROR(H5/G5, "")</f>
        <v>4.9033094882477792E-2</v>
      </c>
      <c r="J5" s="50" t="s">
        <v>60</v>
      </c>
      <c r="K5" s="50" t="s">
        <v>61</v>
      </c>
    </row>
    <row r="6" spans="1:11" ht="60.75">
      <c r="A6" s="52" t="str">
        <v>Fresno - 2685 Cornelia Ave</v>
      </c>
      <c r="B6" s="30" t="str">
        <v>CA</v>
      </c>
      <c r="C6" s="49">
        <v>2004344</v>
      </c>
      <c r="D6" s="14">
        <v>2208375</v>
      </c>
      <c r="E6" s="14">
        <f t="shared" ref="E6:E11" si="4">IF(AND(ISNUMBER(C6),ISNUMBER(D6)), C6-D6, "")</f>
        <v>-204031</v>
      </c>
      <c r="F6" s="48">
        <f t="shared" ref="F6:F11" si="5">IFERROR(E6/D6, "")</f>
        <v>-9.2389653025414617E-2</v>
      </c>
      <c r="G6" s="47">
        <v>2168728</v>
      </c>
      <c r="H6" s="47">
        <f t="shared" ref="H6:H11" si="6">IF(AND(ISNUMBER(C6),ISNUMBER(G6)), C6-G6, "")</f>
        <v>-164384</v>
      </c>
      <c r="I6" s="46">
        <f t="shared" ref="I6:I11" si="7">IFERROR(H6/G6, "")</f>
        <v>-7.5797425956597594E-2</v>
      </c>
      <c r="J6" s="45" t="s">
        <v>62</v>
      </c>
      <c r="K6" s="45" t="s">
        <v>63</v>
      </c>
    </row>
    <row r="7" spans="1:11" ht="52.5" customHeight="1">
      <c r="A7" s="31" t="str">
        <v>San Juaquin - S. Placer &amp; W. Adams</v>
      </c>
      <c r="B7" s="32" t="str">
        <v>CA</v>
      </c>
      <c r="C7" s="42">
        <v>832372</v>
      </c>
      <c r="D7" s="20">
        <v>861436.5</v>
      </c>
      <c r="E7" s="20">
        <f t="shared" si="4"/>
        <v>-29064.5</v>
      </c>
      <c r="F7" s="43">
        <f t="shared" si="5"/>
        <v>-3.37395733754026E-2</v>
      </c>
      <c r="G7" s="44">
        <v>793137.3</v>
      </c>
      <c r="H7" s="44">
        <f t="shared" si="6"/>
        <v>39234.699999999953</v>
      </c>
      <c r="I7" s="43">
        <f t="shared" si="7"/>
        <v>4.9467727718769436E-2</v>
      </c>
      <c r="J7" s="50" t="s">
        <v>64</v>
      </c>
      <c r="K7" s="51" t="s">
        <v>65</v>
      </c>
    </row>
    <row r="8" spans="1:11" ht="12.75" customHeight="1">
      <c r="A8" s="52" t="str">
        <v xml:space="preserve">Charlemont - 0 Tea St </v>
      </c>
      <c r="B8" s="30" t="str">
        <v>MA</v>
      </c>
      <c r="C8" s="49">
        <v>390187</v>
      </c>
      <c r="D8" s="14">
        <v>351724.35499999998</v>
      </c>
      <c r="E8" s="14">
        <f t="shared" si="4"/>
        <v>38462.645000000019</v>
      </c>
      <c r="F8" s="48">
        <f t="shared" si="5"/>
        <v>0.10935451143268149</v>
      </c>
      <c r="G8" s="47">
        <v>299842.40000000002</v>
      </c>
      <c r="H8" s="47">
        <f t="shared" si="6"/>
        <v>90344.599999999977</v>
      </c>
      <c r="I8" s="46">
        <f t="shared" si="7"/>
        <v>0.30130695325277534</v>
      </c>
      <c r="J8" s="45"/>
      <c r="K8" s="45"/>
    </row>
    <row r="9" spans="1:11" ht="15.6">
      <c r="A9" s="31" t="str">
        <v xml:space="preserve">Amherst - 740 Belchertown Rd </v>
      </c>
      <c r="B9" s="32" t="str">
        <v>MA</v>
      </c>
      <c r="C9" s="42">
        <v>443668</v>
      </c>
      <c r="D9" s="20">
        <v>424171.51299999998</v>
      </c>
      <c r="E9" s="20">
        <f t="shared" si="4"/>
        <v>19496.487000000023</v>
      </c>
      <c r="F9" s="43">
        <f t="shared" si="5"/>
        <v>4.5963687806635012E-2</v>
      </c>
      <c r="G9" s="53">
        <v>373707</v>
      </c>
      <c r="H9" s="44">
        <f t="shared" si="6"/>
        <v>69961</v>
      </c>
      <c r="I9" s="43">
        <f t="shared" si="7"/>
        <v>0.18720816040373875</v>
      </c>
      <c r="J9" s="50" t="s">
        <v>66</v>
      </c>
      <c r="K9" s="51" t="s">
        <v>67</v>
      </c>
    </row>
    <row r="10" spans="1:11" ht="15.6">
      <c r="A10" s="52" t="str">
        <v xml:space="preserve"> Ludlow - Huxley 1 &amp; 2 - 504 Fuller St </v>
      </c>
      <c r="B10" s="30" t="str">
        <v>MA</v>
      </c>
      <c r="C10" s="49">
        <v>895767.8432</v>
      </c>
      <c r="D10" s="14">
        <v>887513.87609999999</v>
      </c>
      <c r="E10" s="14">
        <f t="shared" si="4"/>
        <v>8253.9671000000089</v>
      </c>
      <c r="F10" s="48">
        <f t="shared" si="5"/>
        <v>9.3000992122741748E-3</v>
      </c>
      <c r="G10" s="47">
        <v>763190</v>
      </c>
      <c r="H10" s="47">
        <f t="shared" si="6"/>
        <v>132577.8432</v>
      </c>
      <c r="I10" s="46">
        <f t="shared" si="7"/>
        <v>0.17371538306319528</v>
      </c>
      <c r="J10" s="45"/>
      <c r="K10" s="45"/>
    </row>
    <row r="11" spans="1:11" ht="15.6">
      <c r="A11" s="31" t="str">
        <v>Easthampton - Beacon 1 &amp; 2 - 540 Florence Rd</v>
      </c>
      <c r="B11" s="32" t="str">
        <v>MA</v>
      </c>
      <c r="C11" s="42">
        <v>714796</v>
      </c>
      <c r="D11" s="20">
        <v>683572.28200000001</v>
      </c>
      <c r="E11" s="20">
        <f t="shared" si="4"/>
        <v>31223.717999999993</v>
      </c>
      <c r="F11" s="43">
        <f t="shared" si="5"/>
        <v>4.5677273380139764E-2</v>
      </c>
      <c r="G11" s="44">
        <v>620862</v>
      </c>
      <c r="H11" s="44">
        <f t="shared" si="6"/>
        <v>93934</v>
      </c>
      <c r="I11" s="43">
        <f t="shared" si="7"/>
        <v>0.15129610122700374</v>
      </c>
      <c r="J11" s="50"/>
      <c r="K11" s="51"/>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2"/>
  <sheetViews>
    <sheetView zoomScale="70" zoomScaleNormal="70" workbookViewId="0">
      <pane ySplit="2" topLeftCell="A3" activePane="bottomLeft" state="frozen"/>
      <selection pane="bottomLeft" activeCell="A11" sqref="A11"/>
      <selection activeCell="J20" sqref="J20"/>
    </sheetView>
  </sheetViews>
  <sheetFormatPr defaultRowHeight="13.9"/>
  <cols>
    <col min="1" max="1" width="45.85546875" customWidth="1"/>
    <col min="2" max="2" width="8.42578125" style="35" customWidth="1"/>
    <col min="3" max="3" width="17.5703125" customWidth="1"/>
    <col min="4" max="5" width="13.28515625" customWidth="1"/>
    <col min="6" max="6" width="13.28515625" style="1" customWidth="1"/>
    <col min="7" max="8" width="13.28515625" customWidth="1"/>
    <col min="9" max="9" width="13.28515625" style="1" customWidth="1"/>
    <col min="10" max="10" width="71.5703125" customWidth="1"/>
    <col min="11" max="11" width="25.140625" customWidth="1"/>
  </cols>
  <sheetData>
    <row r="1" spans="1:11" ht="19.5" customHeight="1">
      <c r="A1" s="73" t="str" cm="1">
        <f t="array" ref="A1">portfolio</f>
        <v>AB CarVal</v>
      </c>
      <c r="B1" s="73"/>
      <c r="C1" s="73"/>
      <c r="D1" s="77" t="s">
        <v>68</v>
      </c>
      <c r="E1" s="77"/>
      <c r="F1" s="77"/>
      <c r="G1" s="76" t="s">
        <v>69</v>
      </c>
      <c r="H1" s="76"/>
      <c r="I1" s="76"/>
      <c r="J1" s="5"/>
      <c r="K1" s="5"/>
    </row>
    <row r="2" spans="1:11" ht="19.5" customHeight="1">
      <c r="A2" s="78" t="s">
        <v>2</v>
      </c>
      <c r="B2" s="78"/>
      <c r="C2" s="55">
        <f>SUM(C4:C90)</f>
        <v>4351702.8657218162</v>
      </c>
      <c r="D2" s="55">
        <f>SUM(D4:D90)</f>
        <v>4343631.1243000003</v>
      </c>
      <c r="E2" s="55">
        <f>C2-D2</f>
        <v>8071.7414218159392</v>
      </c>
      <c r="F2" s="56">
        <f>IFERROR(E2/D2, 0)</f>
        <v>1.8582934855262932E-3</v>
      </c>
      <c r="G2" s="55">
        <f>SUM(G4:G90)</f>
        <v>4400629.1000000006</v>
      </c>
      <c r="H2" s="57">
        <f>C2-G2</f>
        <v>-48926.234278184362</v>
      </c>
      <c r="I2" s="56">
        <f>IFERROR(H2/G2, 0)</f>
        <v>-1.1118009076971372E-2</v>
      </c>
      <c r="J2" s="28" t="str">
        <f ca="1">IF(AND(TODAY()&gt;DATE(2024, 11, 1), COUNTA(Sites[Site])&lt;&gt;(COUNT(C:C)-1)), "Some sites are missing actual data; if new sites were added, make sure they are aligned correctly (including prior months!)", "")</f>
        <v/>
      </c>
      <c r="K2" s="5"/>
    </row>
    <row r="3" spans="1:11" ht="15.6">
      <c r="A3" s="54" t="s">
        <v>3</v>
      </c>
      <c r="B3" s="54" t="s">
        <v>4</v>
      </c>
      <c r="C3" s="58" t="s">
        <v>5</v>
      </c>
      <c r="D3" s="59" t="s">
        <v>6</v>
      </c>
      <c r="E3" s="59" t="s">
        <v>7</v>
      </c>
      <c r="F3" s="60" t="s">
        <v>8</v>
      </c>
      <c r="G3" s="61" t="s">
        <v>9</v>
      </c>
      <c r="H3" s="62" t="s">
        <v>7</v>
      </c>
      <c r="I3" s="63" t="s">
        <v>8</v>
      </c>
      <c r="J3" s="27" t="s">
        <v>20</v>
      </c>
      <c r="K3" s="27" t="s">
        <v>21</v>
      </c>
    </row>
    <row r="4" spans="1:11" s="68" customFormat="1" ht="15">
      <c r="A4" s="67" t="str" cm="1">
        <f t="array" ref="A4:A11">Sites[Site]</f>
        <v>MA: Fairhaven - 279 Mill Rd</v>
      </c>
      <c r="B4" s="30" t="str" cm="1">
        <f t="array" ref="B4:B11">Sites[State]</f>
        <v>MA</v>
      </c>
      <c r="C4" s="26">
        <v>237578</v>
      </c>
      <c r="D4" s="14">
        <v>216314.28529999999</v>
      </c>
      <c r="E4" s="14">
        <f>IF(AND(ISNUMBER(C4),ISNUMBER(D4)), C4-D4, "")</f>
        <v>21263.714700000011</v>
      </c>
      <c r="F4" s="15">
        <f>IFERROR(E4/D4, "")</f>
        <v>9.8300094561531076E-2</v>
      </c>
      <c r="G4" s="16">
        <v>401728.6</v>
      </c>
      <c r="H4" s="16">
        <f>IF(AND(ISNUMBER(C4),ISNUMBER(G4)), C4-G4, "")</f>
        <v>-164150.59999999998</v>
      </c>
      <c r="I4" s="17">
        <f>IFERROR(H4/G4, "")</f>
        <v>-0.40861068890788454</v>
      </c>
      <c r="J4" s="18" t="s">
        <v>70</v>
      </c>
      <c r="K4" s="18" t="s">
        <v>71</v>
      </c>
    </row>
    <row r="5" spans="1:11" s="68" customFormat="1" ht="45.75">
      <c r="A5" s="32" t="str">
        <v>Bakersfield - 100 Basic School Rd</v>
      </c>
      <c r="B5" s="32" t="str">
        <v>CA</v>
      </c>
      <c r="C5" s="12">
        <v>732139.86572181596</v>
      </c>
      <c r="D5" s="20">
        <v>717211.4</v>
      </c>
      <c r="E5" s="20">
        <f t="shared" ref="E5:E7" si="0">IF(AND(ISNUMBER(C5),ISNUMBER(D5)), C5-D5, "")</f>
        <v>14928.465721815941</v>
      </c>
      <c r="F5" s="21">
        <f t="shared" ref="F5:F7" si="1">IFERROR(E5/D5, "")</f>
        <v>2.0814596256858078E-2</v>
      </c>
      <c r="G5" s="22">
        <v>751954.6</v>
      </c>
      <c r="H5" s="22">
        <f t="shared" ref="H5:H7" si="2">IF(AND(ISNUMBER(C5),ISNUMBER(G5)), C5-G5, "")</f>
        <v>-19814.734278184013</v>
      </c>
      <c r="I5" s="21">
        <f t="shared" ref="I5:I7" si="3">IFERROR(H5/G5, "")</f>
        <v>-2.6350971558899983E-2</v>
      </c>
      <c r="J5" s="50" t="s">
        <v>72</v>
      </c>
      <c r="K5" s="69" t="s">
        <v>73</v>
      </c>
    </row>
    <row r="6" spans="1:11" s="68" customFormat="1" ht="56.25" customHeight="1">
      <c r="A6" s="67" t="str">
        <v>Fresno - 2685 Cornelia Ave</v>
      </c>
      <c r="B6" s="30" t="str">
        <v>CA</v>
      </c>
      <c r="C6" s="26">
        <v>1271505</v>
      </c>
      <c r="D6" s="14">
        <v>1376508</v>
      </c>
      <c r="E6" s="14">
        <f>IF(AND(ISNUMBER(C6),ISNUMBER(D6)), C6-D6, "")</f>
        <v>-105003</v>
      </c>
      <c r="F6" s="15">
        <f>IFERROR(E6/D6, "")</f>
        <v>-7.6282157459310079E-2</v>
      </c>
      <c r="G6" s="16">
        <v>1304835</v>
      </c>
      <c r="H6" s="16">
        <f>IF(AND(ISNUMBER(C6),ISNUMBER(G6)), C6-G6, "")</f>
        <v>-33330</v>
      </c>
      <c r="I6" s="17">
        <f>IFERROR(H6/G6, "")</f>
        <v>-2.5543459517870074E-2</v>
      </c>
      <c r="J6" s="18" t="s">
        <v>74</v>
      </c>
      <c r="K6" s="18" t="s">
        <v>75</v>
      </c>
    </row>
    <row r="7" spans="1:11" s="68" customFormat="1" ht="91.5">
      <c r="A7" s="32" t="str">
        <v>San Juaquin - S. Placer &amp; W. Adams</v>
      </c>
      <c r="B7" s="32" t="str">
        <v>CA</v>
      </c>
      <c r="C7" s="12">
        <v>564847</v>
      </c>
      <c r="D7" s="20">
        <v>567279.19999999995</v>
      </c>
      <c r="E7" s="20">
        <f t="shared" si="0"/>
        <v>-2432.1999999999534</v>
      </c>
      <c r="F7" s="21">
        <f t="shared" si="1"/>
        <v>-4.2874831300001017E-3</v>
      </c>
      <c r="G7" s="22">
        <v>541270.69999999995</v>
      </c>
      <c r="H7" s="22">
        <f t="shared" si="2"/>
        <v>23576.300000000047</v>
      </c>
      <c r="I7" s="21">
        <f t="shared" si="3"/>
        <v>4.3557317992642217E-2</v>
      </c>
      <c r="J7" s="50" t="s">
        <v>76</v>
      </c>
      <c r="K7" s="70" t="s">
        <v>77</v>
      </c>
    </row>
    <row r="8" spans="1:11" s="68" customFormat="1" ht="35.25" customHeight="1">
      <c r="A8" s="67" t="str">
        <v xml:space="preserve">Charlemont - 0 Tea St </v>
      </c>
      <c r="B8" s="30" t="str">
        <v>MA</v>
      </c>
      <c r="C8" s="26">
        <v>205784</v>
      </c>
      <c r="D8" s="14">
        <v>201346.9731</v>
      </c>
      <c r="E8" s="14">
        <f>IF(AND(ISNUMBER(C8),ISNUMBER(D8)), C8-D8, "")</f>
        <v>4437.0268999999971</v>
      </c>
      <c r="F8" s="15">
        <f>IFERROR(E8/D8, "")</f>
        <v>2.2036720153703653E-2</v>
      </c>
      <c r="G8" s="16">
        <v>210361.2</v>
      </c>
      <c r="H8" s="16">
        <f>IF(AND(ISNUMBER(C8),ISNUMBER(G8)), C8-G8, "")</f>
        <v>-4577.2000000000116</v>
      </c>
      <c r="I8" s="17">
        <f>IFERROR(H8/G8, "")</f>
        <v>-2.1758765399703041E-2</v>
      </c>
      <c r="J8" s="18" t="s">
        <v>78</v>
      </c>
      <c r="K8" s="18" t="s">
        <v>79</v>
      </c>
    </row>
    <row r="9" spans="1:11" s="68" customFormat="1" ht="15">
      <c r="A9" s="32" t="str">
        <v xml:space="preserve">Amherst - 740 Belchertown Rd </v>
      </c>
      <c r="B9" s="32" t="str">
        <v>MA</v>
      </c>
      <c r="C9" s="12">
        <v>279762</v>
      </c>
      <c r="D9" s="20">
        <v>280741.9852</v>
      </c>
      <c r="E9" s="20">
        <f>IF(AND(ISNUMBER(C9),ISNUMBER(D9)), C9-D9, "")</f>
        <v>-979.98519999999553</v>
      </c>
      <c r="F9" s="21">
        <f>IFERROR(E9/D9, "")</f>
        <v>-3.4906969803674224E-3</v>
      </c>
      <c r="G9" s="22">
        <v>253398</v>
      </c>
      <c r="H9" s="22">
        <f>IF(AND(ISNUMBER(C9),ISNUMBER(G9)), C9-G9, "")</f>
        <v>26364</v>
      </c>
      <c r="I9" s="21">
        <f>IFERROR(H9/G9, "")</f>
        <v>0.10404186299812943</v>
      </c>
      <c r="J9" s="50"/>
      <c r="K9" s="70"/>
    </row>
    <row r="10" spans="1:11" s="68" customFormat="1" ht="15">
      <c r="A10" s="67" t="str">
        <v xml:space="preserve"> Ludlow - Huxley 1 &amp; 2 - 504 Fuller St </v>
      </c>
      <c r="B10" s="30" t="str">
        <v>MA</v>
      </c>
      <c r="C10" s="26">
        <v>639328</v>
      </c>
      <c r="D10" s="14">
        <v>577628.63890000002</v>
      </c>
      <c r="E10" s="14">
        <f>IF(AND(ISNUMBER(C10),ISNUMBER(D10)), C10-D10, "")</f>
        <v>61699.36109999998</v>
      </c>
      <c r="F10" s="15">
        <f>IFERROR(E10/D10, "")</f>
        <v>0.10681492735106832</v>
      </c>
      <c r="G10" s="16">
        <v>528527</v>
      </c>
      <c r="H10" s="16">
        <f>IF(AND(ISNUMBER(C10),ISNUMBER(G10)), C10-G10, "")</f>
        <v>110801</v>
      </c>
      <c r="I10" s="17">
        <f>IFERROR(H10/G10, "")</f>
        <v>0.20964113470078161</v>
      </c>
      <c r="J10" s="18"/>
      <c r="K10" s="18"/>
    </row>
    <row r="11" spans="1:11" s="68" customFormat="1" ht="15">
      <c r="A11" s="32" t="str">
        <v>Easthampton - Beacon 1 &amp; 2 - 540 Florence Rd</v>
      </c>
      <c r="B11" s="32" t="str">
        <v>MA</v>
      </c>
      <c r="C11" s="12">
        <v>420759</v>
      </c>
      <c r="D11" s="20">
        <v>406600.64179999998</v>
      </c>
      <c r="E11" s="20">
        <f>IF(AND(ISNUMBER(C11),ISNUMBER(D11)), C11-D11, "")</f>
        <v>14158.358200000017</v>
      </c>
      <c r="F11" s="21">
        <f>IFERROR(E11/D11, "")</f>
        <v>3.4821288371119384E-2</v>
      </c>
      <c r="G11" s="22">
        <v>408554</v>
      </c>
      <c r="H11" s="22">
        <f>IF(AND(ISNUMBER(C11),ISNUMBER(G11)), C11-G11, "")</f>
        <v>12205</v>
      </c>
      <c r="I11" s="21">
        <f>IFERROR(H11/G11, "")</f>
        <v>2.9873651952985407E-2</v>
      </c>
      <c r="J11" s="50"/>
      <c r="K11" s="70"/>
    </row>
    <row r="12" spans="1:11" ht="18">
      <c r="A12" s="64"/>
      <c r="B12" s="64"/>
      <c r="C12" s="64"/>
      <c r="D12" s="64"/>
      <c r="E12" s="64"/>
      <c r="F12" s="64"/>
      <c r="G12" s="64"/>
      <c r="H12" s="64"/>
      <c r="I12" s="64"/>
      <c r="J12" s="64"/>
      <c r="K12" s="64"/>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workbookViewId="0">
      <pane ySplit="2" topLeftCell="A3" activePane="bottomLeft" state="frozen"/>
      <selection pane="bottomLeft" activeCell="A8" sqref="A8:XFD11"/>
      <selection activeCell="J20" sqref="J20"/>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73" t="str" cm="1">
        <f t="array" ref="A1">portfolio</f>
        <v>AB CarVal</v>
      </c>
      <c r="B1" s="73"/>
      <c r="C1" s="73"/>
      <c r="D1" s="74" t="s">
        <v>80</v>
      </c>
      <c r="E1" s="74"/>
      <c r="F1" s="74"/>
      <c r="G1" s="72" t="s">
        <v>81</v>
      </c>
      <c r="H1" s="72"/>
      <c r="I1" s="72"/>
      <c r="J1" s="5"/>
      <c r="K1" s="5"/>
    </row>
    <row r="2" spans="1:11" ht="19.5" customHeight="1">
      <c r="A2" s="75" t="s">
        <v>2</v>
      </c>
      <c r="B2" s="75"/>
      <c r="C2" s="6">
        <f>SUM(C4:C90)</f>
        <v>0</v>
      </c>
      <c r="D2" s="6">
        <f>SUM(D4:D90)</f>
        <v>0</v>
      </c>
      <c r="E2" s="6">
        <f>C2-D2</f>
        <v>0</v>
      </c>
      <c r="F2" s="7">
        <f>IFERROR(E2/D2, 0)</f>
        <v>0</v>
      </c>
      <c r="G2" s="6">
        <f>SUM(G4:G90)</f>
        <v>0</v>
      </c>
      <c r="H2" s="8">
        <f>C2-G2</f>
        <v>0</v>
      </c>
      <c r="I2" s="7">
        <f>IFERROR(H2/G2, 0)</f>
        <v>0</v>
      </c>
      <c r="J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A11">Sites[Site]</f>
        <v>MA: Fairhaven - 279 Mill Rd</v>
      </c>
      <c r="B4" s="30" t="str" cm="1">
        <f t="array" ref="B4:B11">Sites[State]</f>
        <v>MA</v>
      </c>
      <c r="C4" s="26"/>
      <c r="D4" s="14"/>
      <c r="E4" s="14" t="str">
        <f>IF(AND(ISNUMBER(C4),ISNUMBER(D4)), C4-D4, "")</f>
        <v/>
      </c>
      <c r="F4" s="15" t="str">
        <f>IFERROR(E4/D4, "")</f>
        <v/>
      </c>
      <c r="G4" s="16"/>
      <c r="H4" s="16" t="str">
        <f>IF(AND(ISNUMBER(C4),ISNUMBER(G4)), C4-G4, "")</f>
        <v/>
      </c>
      <c r="I4" s="17" t="str">
        <f>IFERROR(H4/G4, "")</f>
        <v/>
      </c>
      <c r="J4" s="18"/>
      <c r="K4" s="18"/>
    </row>
    <row r="5" spans="1:11" ht="15.6">
      <c r="A5" s="31" t="str">
        <v>Bakersfield - 100 Basic School Rd</v>
      </c>
      <c r="B5" s="32" t="str">
        <v>CA</v>
      </c>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5.6">
      <c r="A6" s="33" t="str">
        <v>Fresno - 2685 Cornelia Ave</v>
      </c>
      <c r="B6" s="30" t="str">
        <v>CA</v>
      </c>
      <c r="C6" s="26"/>
      <c r="D6" s="14"/>
      <c r="E6" s="14"/>
      <c r="F6" s="15"/>
      <c r="G6" s="16"/>
      <c r="H6" s="16"/>
      <c r="I6" s="17"/>
      <c r="J6" s="18"/>
      <c r="K6" s="18"/>
    </row>
    <row r="7" spans="1:11" ht="15.6">
      <c r="A7" s="31" t="str">
        <v>San Juaquin - S. Placer &amp; W. Adams</v>
      </c>
      <c r="B7" s="32" t="str">
        <v>CA</v>
      </c>
      <c r="C7" s="12"/>
      <c r="D7" s="20"/>
      <c r="E7" s="20"/>
      <c r="F7" s="21"/>
      <c r="G7" s="22"/>
      <c r="H7" s="22"/>
      <c r="I7" s="21"/>
      <c r="J7" s="11"/>
      <c r="K7" s="19"/>
    </row>
    <row r="8" spans="1:11" ht="15.6">
      <c r="A8" s="33" t="str">
        <v xml:space="preserve">Charlemont - 0 Tea St </v>
      </c>
      <c r="B8" s="30" t="str">
        <v>MA</v>
      </c>
      <c r="C8" s="26"/>
      <c r="D8" s="14"/>
      <c r="E8" s="14"/>
      <c r="F8" s="15"/>
      <c r="G8" s="16"/>
      <c r="H8" s="16"/>
      <c r="I8" s="17"/>
      <c r="J8" s="18"/>
      <c r="K8" s="18"/>
    </row>
    <row r="9" spans="1:11" ht="15.6">
      <c r="A9" s="31" t="str">
        <v xml:space="preserve">Amherst - 740 Belchertown Rd </v>
      </c>
      <c r="B9" s="32" t="str">
        <v>MA</v>
      </c>
      <c r="C9" s="12"/>
      <c r="D9" s="20"/>
      <c r="E9" s="20"/>
      <c r="F9" s="21"/>
      <c r="G9" s="22"/>
      <c r="H9" s="22"/>
      <c r="I9" s="21"/>
      <c r="J9" s="11"/>
      <c r="K9" s="19"/>
    </row>
    <row r="10" spans="1:11" ht="15.6">
      <c r="A10" s="33" t="str">
        <v xml:space="preserve"> Ludlow - Huxley 1 &amp; 2 - 504 Fuller St </v>
      </c>
      <c r="B10" s="30" t="str">
        <v>MA</v>
      </c>
      <c r="C10" s="26"/>
      <c r="D10" s="14"/>
      <c r="E10" s="14"/>
      <c r="F10" s="15"/>
      <c r="G10" s="16"/>
      <c r="H10" s="16"/>
      <c r="I10" s="17"/>
      <c r="J10" s="18"/>
      <c r="K10" s="18"/>
    </row>
    <row r="11" spans="1:11" ht="15.6">
      <c r="A11" s="31" t="str">
        <v>Easthampton - Beacon 1 &amp; 2 - 540 Florence Rd</v>
      </c>
      <c r="B11" s="32" t="str">
        <v>MA</v>
      </c>
      <c r="C11" s="12"/>
      <c r="D11" s="20"/>
      <c r="E11" s="20"/>
      <c r="F11" s="21"/>
      <c r="G11" s="22"/>
      <c r="H11" s="22"/>
      <c r="I11" s="21"/>
      <c r="J11" s="11"/>
      <c r="K11" s="19"/>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1"/>
  <sheetViews>
    <sheetView workbookViewId="0">
      <pane ySplit="3" topLeftCell="A4" activePane="bottomLeft" state="frozen"/>
      <selection pane="bottomLeft" activeCell="A24" sqref="A24"/>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82</v>
      </c>
      <c r="B1" t="s">
        <v>83</v>
      </c>
    </row>
    <row r="3" spans="1:7" ht="13.15">
      <c r="A3" t="s">
        <v>84</v>
      </c>
      <c r="B3" t="s">
        <v>3</v>
      </c>
      <c r="C3" t="s">
        <v>4</v>
      </c>
      <c r="D3" t="s">
        <v>85</v>
      </c>
      <c r="E3" s="2" t="s">
        <v>86</v>
      </c>
    </row>
    <row r="4" spans="1:7" ht="14.45">
      <c r="A4" t="s">
        <v>87</v>
      </c>
      <c r="B4" t="s">
        <v>88</v>
      </c>
      <c r="C4" s="4" t="s">
        <v>89</v>
      </c>
      <c r="E4" t="s">
        <v>90</v>
      </c>
      <c r="G4" s="3"/>
    </row>
    <row r="5" spans="1:7" ht="12.75" customHeight="1">
      <c r="A5" s="4" t="s">
        <v>91</v>
      </c>
      <c r="B5" s="4" t="s">
        <v>92</v>
      </c>
      <c r="C5" s="4" t="s">
        <v>93</v>
      </c>
      <c r="D5" t="s">
        <v>94</v>
      </c>
      <c r="E5" t="s">
        <v>95</v>
      </c>
    </row>
    <row r="6" spans="1:7" ht="12.75" customHeight="1">
      <c r="A6" s="4" t="s">
        <v>96</v>
      </c>
      <c r="B6" s="4" t="s">
        <v>97</v>
      </c>
      <c r="C6" s="4" t="s">
        <v>93</v>
      </c>
      <c r="D6" t="s">
        <v>94</v>
      </c>
      <c r="E6" t="s">
        <v>95</v>
      </c>
    </row>
    <row r="7" spans="1:7" ht="12.75" customHeight="1">
      <c r="A7" s="4" t="s">
        <v>98</v>
      </c>
      <c r="B7" s="4" t="s">
        <v>99</v>
      </c>
      <c r="C7" s="4" t="s">
        <v>93</v>
      </c>
      <c r="D7" t="s">
        <v>94</v>
      </c>
      <c r="E7" t="s">
        <v>95</v>
      </c>
    </row>
    <row r="8" spans="1:7" ht="12.75" customHeight="1">
      <c r="A8" s="4" t="s">
        <v>100</v>
      </c>
      <c r="B8" s="4" t="s">
        <v>101</v>
      </c>
      <c r="C8" s="4" t="s">
        <v>89</v>
      </c>
      <c r="E8" t="s">
        <v>90</v>
      </c>
    </row>
    <row r="9" spans="1:7" ht="12.75" customHeight="1">
      <c r="A9" s="4" t="s">
        <v>102</v>
      </c>
      <c r="B9" s="4" t="s">
        <v>103</v>
      </c>
      <c r="C9" s="4" t="s">
        <v>89</v>
      </c>
      <c r="E9" t="s">
        <v>90</v>
      </c>
    </row>
    <row r="10" spans="1:7" ht="12.75" customHeight="1">
      <c r="A10" s="4" t="s">
        <v>104</v>
      </c>
      <c r="B10" s="4" t="s">
        <v>105</v>
      </c>
      <c r="C10" s="4" t="s">
        <v>89</v>
      </c>
      <c r="E10" t="s">
        <v>90</v>
      </c>
    </row>
    <row r="11" spans="1:7" ht="12.75" customHeight="1">
      <c r="A11" s="4" t="s">
        <v>106</v>
      </c>
      <c r="B11" s="4" t="s">
        <v>107</v>
      </c>
      <c r="C11" s="4" t="s">
        <v>89</v>
      </c>
      <c r="E11" t="s">
        <v>90</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d19483960f138667885115d5c4edb395">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78806dbb98be2979f00cf22499856de4"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
</file>

<file path=customXml/itemProps1.xml><?xml version="1.0" encoding="utf-8"?>
<ds:datastoreItem xmlns:ds="http://schemas.openxmlformats.org/officeDocument/2006/customXml" ds:itemID="{E20E8303-6A67-485C-B6F4-303542CC295C}"/>
</file>

<file path=customXml/itemProps2.xml><?xml version="1.0" encoding="utf-8"?>
<ds:datastoreItem xmlns:ds="http://schemas.openxmlformats.org/officeDocument/2006/customXml" ds:itemID="{3AEAA9D8-2182-46BA-A58E-96C72DDA1C54}"/>
</file>

<file path=customXml/itemProps3.xml><?xml version="1.0" encoding="utf-8"?>
<ds:datastoreItem xmlns:ds="http://schemas.openxmlformats.org/officeDocument/2006/customXml" ds:itemID="{7946C510-7D04-49D8-9B25-EEC04582A1CA}"/>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C0BCDC1E-6052-4E48-9BAF-94A40814E7C2}"/>
</file>

<file path=customXml/itemProps6.xml><?xml version="1.0" encoding="utf-8"?>
<ds:datastoreItem xmlns:ds="http://schemas.openxmlformats.org/officeDocument/2006/customXml" ds:itemID="{E3716282-BFD2-4ED2-BA47-BFA1123827F0}"/>
</file>

<file path=customXml/itemProps7.xml><?xml version="1.0" encoding="utf-8"?>
<ds:datastoreItem xmlns:ds="http://schemas.openxmlformats.org/officeDocument/2006/customXml" ds:itemID="{BE26B669-A686-459C-A5E9-FEC3409C4C81}"/>
</file>

<file path=customXml/itemProps8.xml><?xml version="1.0" encoding="utf-8"?>
<ds:datastoreItem xmlns:ds="http://schemas.openxmlformats.org/officeDocument/2006/customXml" ds:itemID="{0389C43E-394D-44C0-87DC-4780FCFCFB40}"/>
</file>

<file path=customXml/itemProps9.xml><?xml version="1.0" encoding="utf-8"?>
<ds:datastoreItem xmlns:ds="http://schemas.openxmlformats.org/officeDocument/2006/customXml" ds:itemID="{BF5C6359-7763-4C37-8EAF-2BC4698CB285}"/>
</file>

<file path=customXml/itemProps10.xml><?xml version="1.0" encoding="utf-8"?>
<ds:datastoreItem xmlns:ds="http://schemas.openxmlformats.org/officeDocument/2006/customXml" ds:itemID="{1954BBA4-0359-438C-B0EC-A756015F7C0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F6B2B1A1-1C4B-4AC9-9A7D-7A102DD1C942}"/>
</file>

<file path=customXml/itemProps13.xml><?xml version="1.0" encoding="utf-8"?>
<ds:datastoreItem xmlns:ds="http://schemas.openxmlformats.org/officeDocument/2006/customXml" ds:itemID="{078388C9-06F9-42F4-B857-EF76B5CAF1FD}"/>
</file>

<file path=customXml/itemProps14.xml><?xml version="1.0" encoding="utf-8"?>
<ds:datastoreItem xmlns:ds="http://schemas.openxmlformats.org/officeDocument/2006/customXml" ds:itemID="{CB52044A-5C0B-44A2-99D0-C1C315EC302D}"/>
</file>

<file path=customXml/itemProps15.xml><?xml version="1.0" encoding="utf-8"?>
<ds:datastoreItem xmlns:ds="http://schemas.openxmlformats.org/officeDocument/2006/customXml" ds:itemID="{F12EFA50-0068-4A8C-85A0-F1B26389EBC3}"/>
</file>

<file path=customXml/itemProps16.xml><?xml version="1.0" encoding="utf-8"?>
<ds:datastoreItem xmlns:ds="http://schemas.openxmlformats.org/officeDocument/2006/customXml" ds:itemID="{98A113BB-8B7A-453C-8BD4-8EFC67FC2D3F}"/>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14966E4F-347B-477B-B74C-9DAC05405806}"/>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2025-01-09T04:21:14Z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2024-09-09T14:52:17Z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be06981d-8400-4fea-a654-3857d71c3441</vt:lpwstr>
  </property>
  <property fmtid="{D5CDD505-2E9C-101B-9397-08002B2CF9AE}" pid="9" name="MSIP_Label_9d817c99-0b37-4a07-8277-96aa1f96b74b_ContentBits">
    <vt:lpwstr>0</vt:lpwstr>
  </property>
</Properties>
</file>