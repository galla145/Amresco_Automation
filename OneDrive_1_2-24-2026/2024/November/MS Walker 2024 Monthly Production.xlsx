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2879195-03D2-4000-B155-31E5294ED95A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<sst xmlns="http://schemas.openxmlformats.org/spreadsheetml/2006/main" count="243" uniqueCount="56">
  <si>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</si>
  <si>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</si>
  <si>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</si>
  <si>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</si>
  <si>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</si>
  <si>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</si>
  <si>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</si>
  <si>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</si>
  <si>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</si>
  <si>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</si>
  <si>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</si>
  <si>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</si>
  <si>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</si>
  <si>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</si>
  <si>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</si>
  <si>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</si>
  <si>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</si>
  <si>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</si>
  <si>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</si>
  <si>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</si>
  <si>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</si>
  <si>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</si>
  <si>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</si>
  <si>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</si>
  <si>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</si>
  <si>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</si>
  <si>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</si>
  <si>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</si>
  <si>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</si>
  <si>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</si>
  <si>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</si>
  <si>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</si>
  <si>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</si>
  <si>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</si>
  <si>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</si>
  <si>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</si>
  <si>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</si>
  <si>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</si>
  <si>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1.Inverter 12 is offline since 06/22.</t>
  </si>
  <si>
    <t>1.SR087076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</si>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</sst>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tabSelected="1"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510168.962</v>
      </c>
      <c r="D2" s="6">
        <f>SUM(D4:D60)</f>
        <v>0</v>
      </c>
      <c r="E2" s="6">
        <f>C2-D2</f>
        <v>510168.962</v>
      </c>
      <c r="F2" s="7">
        <f>IFERROR(E2/D2, 0)</f>
        <v>0</v>
      </c>
      <c r="G2" s="6">
        <f>SUM(G4:G60)</f>
        <v>0</v>
      </c>
      <c r="H2" s="8">
        <f>C2-G2</f>
        <v>510168.962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510168.962</v>
      </c>
      <c r="D4" s="14">
        <f>SUM('1st Qtr'!D4, '2nd Qtr'!D4, '3rd Qtr'!D4, '4th Qtr'!D4)</f>
        <v>0</v>
      </c>
      <c r="E4" s="14">
        <f>IF(AND(ISNUMBER(C4),ISNUMBER(D4)), C4-D4, "")</f>
        <v>510168.962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510168.962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151962.50200000001</v>
      </c>
      <c r="D2" s="6">
        <f>SUM(D4:D89)</f>
        <v>0</v>
      </c>
      <c r="E2" s="6">
        <f>C2-D2</f>
        <v>151962.50200000001</v>
      </c>
      <c r="F2" s="7">
        <f>IFERROR(E2/D2, 0)</f>
        <v>0</v>
      </c>
      <c r="G2" s="6">
        <f>SUM(G4:G89)</f>
        <v>0</v>
      </c>
      <c r="H2" s="8">
        <f>C2-G2</f>
        <v>151962.50200000001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151962.50200000001</v>
      </c>
      <c r="D4" s="14">
        <f>SUM(Jul!D4, Aug!D4, Sep!D4)</f>
        <v>0</v>
      </c>
      <c r="E4" s="14">
        <f>IF(AND(ISNUMBER(C4),ISNUMBER(D4)), C4-D4, "")</f>
        <v>151962.50200000001</v>
      </c>
      <c r="F4" s="15" t="str">
        <f>IFERROR(E4/D4, "")</f>
        <v/>
      </c>
      <c r="G4" s="16">
        <f>SUM(Jul!G4, Aug!G4, Sep!G4)</f>
        <v>0</v>
      </c>
      <c r="H4" s="16">
        <f>SUM(Jul!H4, Aug!H4, Sep!H4)</f>
        <v>151962.50200000001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77429.471999999994</v>
      </c>
      <c r="D2" s="6">
        <f>SUM(D4:D89)</f>
        <v>0</v>
      </c>
      <c r="E2" s="6">
        <f>C2-D2</f>
        <v>77429.471999999994</v>
      </c>
      <c r="F2" s="7">
        <f>IFERROR(E2/D2, 0)</f>
        <v>0</v>
      </c>
      <c r="G2" s="6">
        <f>SUM(G4:G89)</f>
        <v>0</v>
      </c>
      <c r="H2" s="8">
        <f>C2-G2</f>
        <v>77429.471999999994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77429.471999999994</v>
      </c>
      <c r="D4" s="14">
        <f>SUM(Oct!D4, Nov!D4, Dec!D4)</f>
        <v>0</v>
      </c>
      <c r="E4" s="14">
        <f>IF(AND(ISNUMBER(C4),ISNUMBER(D4)), C4-D4, "")</f>
        <v>77429.471999999994</v>
      </c>
      <c r="F4" s="15" t="str">
        <f>IFERROR(E4/D4, "")</f>
        <v/>
      </c>
      <c r="G4" s="16">
        <f>SUM(Oct!G4,Nov!G4,Dec!G4)</f>
        <v>0</v>
      </c>
      <c r="H4" s="16">
        <f>SUM(Oct!H4, Nov!H4, Dec!H4)</f>
        <v>77429.471999999994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D22" sqref="D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53490.027000000002</v>
      </c>
      <c r="D2" s="6">
        <f>SUM(D4:D30)</f>
        <v>0</v>
      </c>
      <c r="E2" s="6">
        <f>C2-D2</f>
        <v>53490.027000000002</v>
      </c>
      <c r="F2" s="7">
        <f>IFERROR(E2/D2, 0)</f>
        <v>0</v>
      </c>
      <c r="G2" s="6">
        <f>SUM(G4:G30)</f>
        <v>0</v>
      </c>
      <c r="H2" s="8">
        <f>C2-G2</f>
        <v>53490.027000000002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53490.027000000002</v>
      </c>
      <c r="D4" s="14">
        <v>0</v>
      </c>
      <c r="E4" s="14">
        <f>IF(AND(ISNUMBER(C4),ISNUMBER(D4)), C4-D4, "")</f>
        <v>53490.027000000002</v>
      </c>
      <c r="F4" s="15" t="str">
        <f>IFERROR(E4/D4, "")</f>
        <v/>
      </c>
      <c r="G4" s="16">
        <v>0</v>
      </c>
      <c r="H4" s="16">
        <f>IF(AND(ISNUMBER(C4),ISNUMBER(G4)), C4-G4, "")</f>
        <v>53490.027000000002</v>
      </c>
      <c r="I4" s="17" t="str">
        <f>IFERROR(H4/G4, "")</f>
        <v/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41458.131000000001</v>
      </c>
      <c r="D2" s="6">
        <f>SUM(D4:D90)</f>
        <v>0</v>
      </c>
      <c r="E2" s="6">
        <f>C2-D2</f>
        <v>41458.131000000001</v>
      </c>
      <c r="F2" s="7">
        <f>IFERROR(E2/D2, 0)</f>
        <v>0</v>
      </c>
      <c r="G2" s="6">
        <f>SUM(G4:G90)</f>
        <v>0</v>
      </c>
      <c r="H2" s="8">
        <f>C2-G2</f>
        <v>41458.131000000001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41458.131000000001</v>
      </c>
      <c r="D4" s="14">
        <v>0</v>
      </c>
      <c r="E4" s="14">
        <f>IF(AND(ISNUMBER(C4),ISNUMBER(D4)), C4-D4, "")</f>
        <v>41458.131000000001</v>
      </c>
      <c r="F4" s="15" t="str">
        <f>IFERROR(E4/D4, "")</f>
        <v/>
      </c>
      <c r="G4" s="16">
        <v>0</v>
      </c>
      <c r="H4" s="16">
        <f>IF(AND(ISNUMBER(C4),ISNUMBER(G4)), C4-G4, "")</f>
        <v>41458.131000000001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35993.305999999997</v>
      </c>
      <c r="D2" s="6">
        <f>SUM(D4:D90)</f>
        <v>0</v>
      </c>
      <c r="E2" s="6">
        <f>C2-D2</f>
        <v>35993.305999999997</v>
      </c>
      <c r="F2" s="7">
        <f>IFERROR(E2/D2, 0)</f>
        <v>0</v>
      </c>
      <c r="G2" s="6">
        <f>SUM(G4:G90)</f>
        <v>0</v>
      </c>
      <c r="H2" s="8">
        <f>C2-G2</f>
        <v>35993.305999999997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35993.305999999997</v>
      </c>
      <c r="D4" s="14">
        <v>0</v>
      </c>
      <c r="E4" s="14">
        <f>IF(AND(ISNUMBER(C4),ISNUMBER(D4)), C4-D4, "")</f>
        <v>35993.305999999997</v>
      </c>
      <c r="F4" s="15" t="str">
        <f>IFERROR(E4/D4, "")</f>
        <v/>
      </c>
      <c r="G4" s="16">
        <v>0</v>
      </c>
      <c r="H4" s="16">
        <f>IF(AND(ISNUMBER(C4),ISNUMBER(G4)), C4-G4, "")</f>
        <v>35993.305999999997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2" sqref="A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41436.165999999997</v>
      </c>
      <c r="D2" s="6">
        <f>SUM(D4:D90)</f>
        <v>0</v>
      </c>
      <c r="E2" s="6">
        <f>C2-D2</f>
        <v>41436.165999999997</v>
      </c>
      <c r="F2" s="7">
        <f>IFERROR(E2/D2, 0)</f>
        <v>0</v>
      </c>
      <c r="G2" s="6">
        <f>SUM(G4:G90)</f>
        <v>0</v>
      </c>
      <c r="H2" s="8">
        <f>C2-G2</f>
        <v>41436.165999999997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41436.165999999997</v>
      </c>
      <c r="D4" s="14">
        <v>0</v>
      </c>
      <c r="E4" s="14">
        <f>IF(AND(ISNUMBER(C4),ISNUMBER(D4)), C4-D4, "")</f>
        <v>41436.165999999997</v>
      </c>
      <c r="F4" s="15" t="str">
        <f>IFERROR(E4/D4, "")</f>
        <v/>
      </c>
      <c r="G4" s="16">
        <v>0</v>
      </c>
      <c r="H4" s="16">
        <f>IF(AND(ISNUMBER(C4),ISNUMBER(G4)), C4-G4, "")</f>
        <v>41436.165999999997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49</v>
      </c>
      <c r="B4" t="s">
        <v>53</v>
      </c>
      <c r="C4" s="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Teja Puram [AGS]</cp:lastModifiedBy>
  <cp:revision/>
  <dcterms:created xsi:type="dcterms:W3CDTF">2021-01-01T16:39:53Z</dcterms:created>
  <dcterms:modified xsi:type="dcterms:W3CDTF">2024-12-05T08:06:31Z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