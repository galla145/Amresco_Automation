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ABE3CF95-82D0-4A52-BBD3-6473496B9B39}" xr6:coauthVersionLast="47" xr6:coauthVersionMax="47" xr10:uidLastSave="{11A79AEE-F1FE-4B4B-948B-814417769BCA}"/>
  <bookViews>
    <workbookView xWindow="-108" yWindow="-108" windowWidth="23256" windowHeight="12456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<sst xmlns="http://schemas.openxmlformats.org/spreadsheetml/2006/main" count="239" uniqueCount="52">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</sst>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5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5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13" sqref="H1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266056.13199999998</v>
      </c>
      <c r="D2" s="6">
        <f>SUM(D4:D60)</f>
        <v>116816.83</v>
      </c>
      <c r="E2" s="6">
        <f>C2-D2</f>
        <v>149239.30199999997</v>
      </c>
      <c r="F2" s="7">
        <f>IFERROR(E2/D2, 0)</f>
        <v>1.2775496647186879</v>
      </c>
      <c r="G2" s="6">
        <f>SUM(G4:G60)</f>
        <v>0</v>
      </c>
      <c r="H2" s="8">
        <f>C2-G2</f>
        <v>266056.13199999998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266056.13199999998</v>
      </c>
      <c r="D4" s="14">
        <f>SUM('1st Qtr'!D4, '2nd Qtr'!D4, '3rd Qtr'!D4, '4th Qtr'!D4)</f>
        <v>116816.83</v>
      </c>
      <c r="E4" s="14">
        <f>IF(AND(ISNUMBER(C4),ISNUMBER(D4)), C4-D4, "")</f>
        <v>149239.30199999997</v>
      </c>
      <c r="F4" s="15">
        <f>IFERROR(E4/D4, "")</f>
        <v>1.2775496647186879</v>
      </c>
      <c r="G4" s="16">
        <f>SUM('1st Qtr'!G4,'2nd Qtr'!G4,'3rd Qtr'!G4,'4th Qtr'!G4)</f>
        <v>0</v>
      </c>
      <c r="H4" s="16">
        <f>SUM('1st Qtr'!H4, '2nd Qtr'!H4, '3rd Qtr'!H4, '4th Qtr'!H4)</f>
        <v>266056.13199999998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88482.5</v>
      </c>
      <c r="D2" s="6">
        <f>SUM(D4:D89)</f>
        <v>0</v>
      </c>
      <c r="E2" s="6">
        <f>C2-D2</f>
        <v>88482.5</v>
      </c>
      <c r="F2" s="7">
        <f>IFERROR(E2/D2, 0)</f>
        <v>0</v>
      </c>
      <c r="G2" s="6">
        <f>SUM(G4:G89)</f>
        <v>0</v>
      </c>
      <c r="H2" s="8">
        <f>C2-G2</f>
        <v>88482.5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88482.5</v>
      </c>
      <c r="D4" s="14">
        <f>SUM(Jul!D4, Aug!D4, Sep!D4)</f>
        <v>0</v>
      </c>
      <c r="E4" s="14">
        <f>IF(AND(ISNUMBER(C4),ISNUMBER(D4)), C4-D4, "")</f>
        <v>88482.5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88482.5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F4" sqref="F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34270.781999999999</v>
      </c>
      <c r="D2" s="6">
        <f>SUM(D4:D89)</f>
        <v>27521.17</v>
      </c>
      <c r="E2" s="6">
        <f>C2-D2</f>
        <v>6749.612000000001</v>
      </c>
      <c r="F2" s="7">
        <f>IFERROR(E2/D2, 0)</f>
        <v>0.24525163719420365</v>
      </c>
      <c r="G2" s="6">
        <f>SUM(G4:G89)</f>
        <v>0</v>
      </c>
      <c r="H2" s="8">
        <f>C2-G2</f>
        <v>34270.781999999999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34270.781999999999</v>
      </c>
      <c r="D4" s="14">
        <f>SUM(Oct!D4, Nov!D4, Dec!D4)</f>
        <v>27521.17</v>
      </c>
      <c r="E4" s="14">
        <f>IF(AND(ISNUMBER(C4),ISNUMBER(D4)), C4-D4, "")</f>
        <v>6749.612000000001</v>
      </c>
      <c r="F4" s="15">
        <f>IFERROR(E4/D4, "")</f>
        <v>0.24525163719420365</v>
      </c>
      <c r="G4" s="16">
        <f>SUM(Oct!G4,Nov!G4,Dec!G4)</f>
        <v>0</v>
      </c>
      <c r="H4" s="16">
        <f>SUM(Oct!H4, Nov!H4, Dec!H4)</f>
        <v>34270.781999999999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7" sqref="A16:H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35" sqref="A31:J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D4" sqref="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9" sqref="J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D4" sqref="D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I31" sqref="A27:I3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2" sqref="A21:J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13" sqref="G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30145.092000000001</v>
      </c>
      <c r="D2" s="6">
        <f>SUM(D4:D30)</f>
        <v>0</v>
      </c>
      <c r="E2" s="6">
        <f>C2-D2</f>
        <v>30145.092000000001</v>
      </c>
      <c r="F2" s="7">
        <f>IFERROR(E2/D2, 0)</f>
        <v>0</v>
      </c>
      <c r="G2" s="6">
        <f>SUM(G4:G30)</f>
        <v>0</v>
      </c>
      <c r="H2" s="8">
        <f>C2-G2</f>
        <v>30145.092000000001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30145.092000000001</v>
      </c>
      <c r="D4" s="14">
        <v>0</v>
      </c>
      <c r="E4" s="14">
        <f>IF(AND(ISNUMBER(C4),ISNUMBER(D4)), C4-D4, "")</f>
        <v>30145.092000000001</v>
      </c>
      <c r="F4" s="15" t="str">
        <f>IFERROR(E4/D4, "")</f>
        <v/>
      </c>
      <c r="G4" s="16">
        <v>0</v>
      </c>
      <c r="H4" s="16">
        <f>IF(AND(ISNUMBER(C4),ISNUMBER(G4)), C4-G4, "")</f>
        <v>30145.092000000001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1" sqref="A18:J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25136.808000000001</v>
      </c>
      <c r="D2" s="6">
        <f>SUM(D4:D90)</f>
        <v>0</v>
      </c>
      <c r="E2" s="6">
        <f>C2-D2</f>
        <v>25136.808000000001</v>
      </c>
      <c r="F2" s="7">
        <f>IFERROR(E2/D2, 0)</f>
        <v>0</v>
      </c>
      <c r="G2" s="6">
        <f>SUM(G4:G90)</f>
        <v>0</v>
      </c>
      <c r="H2" s="8">
        <f>C2-G2</f>
        <v>25136.808000000001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25136.808000000001</v>
      </c>
      <c r="D4" s="14">
        <v>0</v>
      </c>
      <c r="E4" s="14">
        <f>IF(AND(ISNUMBER(C4),ISNUMBER(D4)), C4-D4, "")</f>
        <v>25136.808000000001</v>
      </c>
      <c r="F4" s="15" t="str">
        <f>IFERROR(E4/D4, "")</f>
        <v/>
      </c>
      <c r="G4" s="16">
        <v>0</v>
      </c>
      <c r="H4" s="16">
        <f>IF(AND(ISNUMBER(C4),ISNUMBER(G4)), C4-G4, "")</f>
        <v>25136.808000000001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D5" sqref="D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20475.952000000001</v>
      </c>
      <c r="D2" s="6">
        <f>SUM(D4:D90)</f>
        <v>12166.183999999999</v>
      </c>
      <c r="E2" s="6">
        <f>C2-D2</f>
        <v>8309.7680000000018</v>
      </c>
      <c r="F2" s="7">
        <f>IFERROR(E2/D2, 0)</f>
        <v>0.68302172645095638</v>
      </c>
      <c r="G2" s="6">
        <f>SUM(G4:G90)</f>
        <v>0</v>
      </c>
      <c r="H2" s="8">
        <f>C2-G2</f>
        <v>20475.952000000001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20475.952000000001</v>
      </c>
      <c r="D4" s="14">
        <v>12166.183999999999</v>
      </c>
      <c r="E4" s="14">
        <f>IF(AND(ISNUMBER(C4),ISNUMBER(D4)), C4-D4, "")</f>
        <v>8309.7680000000018</v>
      </c>
      <c r="F4" s="15">
        <f>IFERROR(E4/D4, "")</f>
        <v>0.68302172645095638</v>
      </c>
      <c r="G4" s="16">
        <v>0</v>
      </c>
      <c r="H4" s="16">
        <f>IF(AND(ISNUMBER(C4),ISNUMBER(G4)), C4-G4, "")</f>
        <v>20475.952000000001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workbookViewId="0">
      <pane ySplit="2" topLeftCell="A3" activePane="bottomLeft" state="frozen"/>
      <selection pane="bottomLeft" activeCell="D12" sqref="D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13794.83</v>
      </c>
      <c r="D2" s="6">
        <f>SUM(D4:D90)</f>
        <v>15354.986000000001</v>
      </c>
      <c r="E2" s="6">
        <f>C2-D2</f>
        <v>-1560.1560000000009</v>
      </c>
      <c r="F2" s="7">
        <f>IFERROR(E2/D2, 0)</f>
        <v>-0.10160582367186793</v>
      </c>
      <c r="G2" s="6">
        <f>SUM(G4:G90)</f>
        <v>0</v>
      </c>
      <c r="H2" s="8">
        <f>C2-G2</f>
        <v>13794.83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13794.83</v>
      </c>
      <c r="D4" s="14">
        <v>15354.986000000001</v>
      </c>
      <c r="E4" s="14">
        <f>IF(AND(ISNUMBER(C4),ISNUMBER(D4)), C4-D4, "")</f>
        <v>-1560.1560000000009</v>
      </c>
      <c r="F4" s="15">
        <f>IFERROR(E4/D4, "")</f>
        <v>-0.10160582367186793</v>
      </c>
      <c r="G4" s="16">
        <v>0</v>
      </c>
      <c r="H4" s="16">
        <f>IF(AND(ISNUMBER(C4),ISNUMBER(G4)), C4-G4, "")</f>
        <v>13794.83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E4" t="s">
        <v>51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1954BBA4-0359-438C-B0EC-A756015F7C02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CB52044A-5C0B-44A2-99D0-C1C315EC302D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[AGS]</cp:lastModifiedBy>
  <cp:revision/>
  <dcterms:created xsi:type="dcterms:W3CDTF">2021-01-01T16:39:53Z</dcterms:created>
  <dcterms:modified xsi:type="dcterms:W3CDTF">2024-12-11T17:06:25Z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