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F8DD7B71-BE95-4395-906F-AFAF880FEF02}" xr6:coauthVersionLast="47" xr6:coauthVersionMax="47" xr10:uidLastSave="{00000000-0000-0000-0000-000000000000}"/>
  <bookViews>
    <workbookView xWindow="732" yWindow="732" windowWidth="17280" windowHeight="8880" tabRatio="866" activeTab="1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E4" i="31"/>
  <c r="G4" i="29"/>
  <c r="G4" i="18"/>
  <c r="H5" i="33"/>
  <c r="I5" i="33" s="1"/>
  <c r="E5" i="33"/>
  <c r="F5" i="33" s="1"/>
  <c r="H5" i="32"/>
  <c r="I5" i="32" s="1"/>
  <c r="E5" i="32"/>
  <c r="F5" i="32" s="1"/>
  <c r="H5" i="31"/>
  <c r="I5" i="31" s="1"/>
  <c r="E5" i="31"/>
  <c r="F5" i="31" s="1"/>
  <c r="H5" i="27"/>
  <c r="I5" i="27" s="1"/>
  <c r="E5" i="27"/>
  <c r="F5" i="27" s="1"/>
  <c r="H5" i="26"/>
  <c r="I5" i="26" s="1"/>
  <c r="E5" i="26"/>
  <c r="F5" i="26" s="1"/>
  <c r="H5" i="19"/>
  <c r="I5" i="19" s="1"/>
  <c r="E5" i="19"/>
  <c r="F5" i="19" s="1"/>
  <c r="H5" i="20"/>
  <c r="I5" i="20" s="1"/>
  <c r="E5" i="20"/>
  <c r="F5" i="20" s="1"/>
  <c r="H5" i="21"/>
  <c r="I5" i="21" s="1"/>
  <c r="E5" i="21"/>
  <c r="F5" i="21" s="1"/>
  <c r="H5" i="4"/>
  <c r="I5" i="4" s="1"/>
  <c r="E5" i="4"/>
  <c r="F5" i="4" s="1"/>
  <c r="E5" i="3"/>
  <c r="F5" i="3" s="1"/>
  <c r="H5" i="3"/>
  <c r="I5" i="3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G2" i="34"/>
  <c r="A1" i="34" a="1"/>
  <c r="A1" i="34" s="1"/>
  <c r="D4" i="30"/>
  <c r="D2" i="30" s="1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I4" i="33"/>
  <c r="H4" i="33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30" l="1"/>
  <c r="F4" i="30" s="1"/>
  <c r="D4" i="34"/>
  <c r="D2" i="34" s="1"/>
  <c r="E4" i="18"/>
  <c r="F4" i="18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<sst xmlns="http://schemas.openxmlformats.org/spreadsheetml/2006/main" count="239" uniqueCount="51">
  <si>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</si>
  <si>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</si>
  <si>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</si>
  <si>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</si>
  <si>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</si>
  <si>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</si>
  <si>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</si>
  <si>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</si>
  <si>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</si>
  <si>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</si>
  <si>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</si>
  <si>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</si>
  <si>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</si>
  <si>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</si>
  <si>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</si>
  <si>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</si>
  <si>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</si>
  <si>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</si>
  <si>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</si>
  <si>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</si>
  <si>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</si>
  <si>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</si>
  <si>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</si>
  <si>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</si>
  <si>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</si>
  <si>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</si>
  <si>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</si>
  <si>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</si>
  <si>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</si>
  <si>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</si>
  <si>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</si>
  <si>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</si>
  <si>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</si>
  <si>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</si>
  <si>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</si>
  <si>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</si>
  <si>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</si>
  <si>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</si>
  <si>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</si>
  <si>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</si>
  <si>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</si>
  <si>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</si>
  <si>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</si>
  <si>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</si>
  <si>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</si>
  <si>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Hubbardston Solar</t>
  </si>
  <si>
    <t>Site DAS Name</t>
  </si>
  <si>
    <t>Update</t>
  </si>
  <si>
    <t>DAS</t>
  </si>
  <si>
    <t>MA</t>
  </si>
  <si>
    <t>Solrenview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</si>
</sst>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9"/>
  <sheetViews>
    <sheetView workbookViewId="0">
      <pane xSplit="2" ySplit="3" topLeftCell="C4" activePane="bottomRight" state="frozen"/>
      <selection pane="bottomRight" activeCell="E8" sqref="E8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Hubbardston Solar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SUM(C4:C87)</f>
        <v>2819011</v>
      </c>
      <c r="D2" s="6">
        <f>SUM(D4:D87)</f>
        <v>0</v>
      </c>
      <c r="E2" s="6">
        <f>C2-D2</f>
        <v>2819011</v>
      </c>
      <c r="F2" s="7">
        <f>IFERROR(E2/D2, 0)</f>
        <v>0</v>
      </c>
      <c r="G2" s="6">
        <f>SUM(G4:G87)</f>
        <v>0</v>
      </c>
      <c r="H2" s="8">
        <f>C2-G2</f>
        <v>2819011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SUM('1st Qtr'!C4, '2nd Qtr'!C4, '3rd Qtr'!C4, '4th Qtr'!C4)</f>
        <v>2819011</v>
      </c>
      <c r="D4" s="13">
        <f>SUM('1st Qtr'!D4, '2nd Qtr'!D4, '3rd Qtr'!D4, '4th Qtr'!D4)</f>
        <v>0</v>
      </c>
      <c r="E4" s="13">
        <f>IF(AND(ISNUMBER(C4),ISNUMBER(D4)), C4-D4, "")</f>
        <v>2819011</v>
      </c>
      <c r="F4" s="14" t="str">
        <f>IFERROR(E4/D4, "")</f>
        <v/>
      </c>
      <c r="G4" s="15">
        <v>0</v>
      </c>
      <c r="H4" s="15">
        <f>SUM('1st Qtr'!H4, '2nd Qtr'!H4, '3rd Qtr'!H4, '4th Qtr'!H4)</f>
        <v>2819011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7 I4:I8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9"/>
  <sheetViews>
    <sheetView workbookViewId="0">
      <pane xSplit="2" ySplit="3" topLeftCell="C4" activePane="bottomRight" state="frozen"/>
      <selection pane="bottomRight" activeCell="H37" sqref="H37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Hubbardston Solar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SUM(C4:C87)</f>
        <v>551683</v>
      </c>
      <c r="D2" s="6">
        <f>SUM(D4:D87)</f>
        <v>0</v>
      </c>
      <c r="E2" s="6">
        <f>C2-D2</f>
        <v>551683</v>
      </c>
      <c r="F2" s="7">
        <f>IFERROR(E2/D2, 0)</f>
        <v>0</v>
      </c>
      <c r="G2" s="6">
        <f>SUM(G4:G87)</f>
        <v>0</v>
      </c>
      <c r="H2" s="8">
        <f>C2-G2</f>
        <v>551683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SUM(Jan!C4, Feb!C4, Mar!C4)</f>
        <v>551683</v>
      </c>
      <c r="D4" s="13">
        <f>SUM(Jan!D4, Feb!D4, Mar!D4)</f>
        <v>0</v>
      </c>
      <c r="E4" s="13">
        <f>IF(AND(ISNUMBER(C4),ISNUMBER(D4)), C4-D4, "")</f>
        <v>551683</v>
      </c>
      <c r="F4" s="14" t="str">
        <f>IFERROR(E4/D4, "")</f>
        <v/>
      </c>
      <c r="G4" s="15">
        <f>SUM(Jan!G4, Feb!G4, Mar!G4)</f>
        <v>0</v>
      </c>
      <c r="H4" s="15">
        <f>SUM(Jan!H4, Feb!H4, Mar!H4)</f>
        <v>551683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7 I4:I8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9"/>
  <sheetViews>
    <sheetView workbookViewId="0">
      <pane xSplit="2" ySplit="3" topLeftCell="C4" activePane="bottomRight" state="frozen"/>
      <selection pane="bottomRight" activeCell="I4" sqref="I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Hubbardston Solar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SUM(C4:C87)</f>
        <v>952659</v>
      </c>
      <c r="D2" s="6">
        <f>SUM(D4:D87)</f>
        <v>0</v>
      </c>
      <c r="E2" s="6">
        <f>C2-D2</f>
        <v>952659</v>
      </c>
      <c r="F2" s="7">
        <f>IFERROR(E2/D2, 0)</f>
        <v>0</v>
      </c>
      <c r="G2" s="6">
        <f>SUM(G4:G87)</f>
        <v>0</v>
      </c>
      <c r="H2" s="8">
        <f>C2-G2</f>
        <v>952659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SUM(Apr!C4, May!C4, Jun!C4)</f>
        <v>952659</v>
      </c>
      <c r="D4" s="13">
        <f>SUM(Apr!D4, May!D4, Jun!D4)</f>
        <v>0</v>
      </c>
      <c r="E4" s="13">
        <f>IF(AND(ISNUMBER(C4),ISNUMBER(D4)), C4-D4, "")</f>
        <v>952659</v>
      </c>
      <c r="F4" s="14" t="str">
        <f>IFERROR(E4/D4, "")</f>
        <v/>
      </c>
      <c r="G4" s="15">
        <f>SUM(Apr!G4,May!G4,Jun!G4)</f>
        <v>0</v>
      </c>
      <c r="H4" s="15">
        <f>SUM(Apr!H4, May!H4, Jun!H4)</f>
        <v>952659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7 I4:I8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9"/>
  <sheetViews>
    <sheetView workbookViewId="0">
      <pane xSplit="2" ySplit="3" topLeftCell="C4" activePane="bottomRight" state="frozen"/>
      <selection pane="bottomRight" activeCell="G4" sqref="G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Hubbardston Solar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SUM(C4:C87)</f>
        <v>855885</v>
      </c>
      <c r="D2" s="6">
        <f>SUM(D4:D87)</f>
        <v>0</v>
      </c>
      <c r="E2" s="6">
        <f>C2-D2</f>
        <v>855885</v>
      </c>
      <c r="F2" s="7">
        <f>IFERROR(E2/D2, 0)</f>
        <v>0</v>
      </c>
      <c r="G2" s="6">
        <f>SUM(G4:G87)</f>
        <v>0</v>
      </c>
      <c r="H2" s="8">
        <f>C2-G2</f>
        <v>855885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SUM(Jul!C4, Aug!C4, Sep!C4)</f>
        <v>855885</v>
      </c>
      <c r="D4" s="13">
        <f>SUM(Jul!D4, Aug!D4, Sep!D4)</f>
        <v>0</v>
      </c>
      <c r="E4" s="13">
        <f>IF(AND(ISNUMBER(C4),ISNUMBER(D4)), C4-D4, "")</f>
        <v>855885</v>
      </c>
      <c r="F4" s="14" t="str">
        <f>IFERROR(E4/D4, "")</f>
        <v/>
      </c>
      <c r="G4" s="15">
        <f>SUM(Jul!G4, Aug!G4, Sep!G4)</f>
        <v>0</v>
      </c>
      <c r="H4" s="15">
        <f>SUM(Jul!H4, Aug!H4, Sep!H4)</f>
        <v>855885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mergeCells count="4">
    <mergeCell ref="G1:I1"/>
    <mergeCell ref="A1:C1"/>
    <mergeCell ref="D1:F1"/>
    <mergeCell ref="A2:B2"/>
  </mergeCells>
  <conditionalFormatting sqref="F2 I2 F4:F87 I4:I8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9"/>
  <sheetViews>
    <sheetView workbookViewId="0">
      <pane xSplit="2" ySplit="3" topLeftCell="D4" activePane="bottomRight" state="frozen"/>
      <selection pane="bottomRight" activeCell="I4" sqref="I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Hubbardston Solar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SUM(C4:C87)</f>
        <v>458784</v>
      </c>
      <c r="D2" s="6">
        <f>SUM(D4:D87)</f>
        <v>0</v>
      </c>
      <c r="E2" s="6">
        <f>C2-D2</f>
        <v>458784</v>
      </c>
      <c r="F2" s="7">
        <f>IFERROR(E2/D2, 0)</f>
        <v>0</v>
      </c>
      <c r="G2" s="6">
        <f>SUM(G4:G87)</f>
        <v>0</v>
      </c>
      <c r="H2" s="8">
        <f>C2-G2</f>
        <v>458784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SUM(Oct!C4, Nov!C4, Dec!C4)</f>
        <v>458784</v>
      </c>
      <c r="D4" s="13">
        <f>SUM(Oct!D4, Nov!D4, Dec!D4)</f>
        <v>0</v>
      </c>
      <c r="E4" s="13">
        <f>IF(AND(ISNUMBER(C4),ISNUMBER(D4)), C4-D4, "")</f>
        <v>458784</v>
      </c>
      <c r="F4" s="14" t="str">
        <f>IFERROR(E4/D4, "")</f>
        <v/>
      </c>
      <c r="G4" s="15">
        <f>SUM(Oct!G4,Nov!G4,Dec!G4)</f>
        <v>0</v>
      </c>
      <c r="H4" s="15">
        <f>SUM(Oct!H4, Nov!H4, Dec!H4)</f>
        <v>458784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mergeCells count="4">
    <mergeCell ref="G1:I1"/>
    <mergeCell ref="A1:C1"/>
    <mergeCell ref="D1:F1"/>
    <mergeCell ref="A2:B2"/>
  </mergeCells>
  <conditionalFormatting sqref="F2 I2 F4:F87 I4:I87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2"/>
  <sheetViews>
    <sheetView workbookViewId="0">
      <pane xSplit="2" ySplit="3" topLeftCell="C4" activePane="bottomRight" state="frozen"/>
      <selection pane="bottomRight" activeCell="F22" sqref="F22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SUM(C4:C60)</f>
        <v>62995</v>
      </c>
      <c r="D2" s="6">
        <f>SUM(D4:D60)</f>
        <v>0</v>
      </c>
      <c r="E2" s="6">
        <f>C2-D2</f>
        <v>62995</v>
      </c>
      <c r="F2" s="7">
        <f>IFERROR(E2/D2, 0)</f>
        <v>0</v>
      </c>
      <c r="G2" s="6">
        <f>SUM(G4:G60)</f>
        <v>0</v>
      </c>
      <c r="H2" s="8">
        <f>C2-G2</f>
        <v>62995</v>
      </c>
      <c r="I2" s="7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6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62995</v>
      </c>
      <c r="D4" s="13">
        <v>0</v>
      </c>
      <c r="E4" s="13">
        <f>IF(AND(ISNUMBER(C4),ISNUMBER(D4)), C4-D4, "")</f>
        <v>62995</v>
      </c>
      <c r="F4" s="14" t="str">
        <f>IFERROR(E4/D4, "")</f>
        <v/>
      </c>
      <c r="G4" s="15">
        <v>0</v>
      </c>
      <c r="H4" s="15">
        <f>IF(AND(ISNUMBER(C4),ISNUMBER(G4)), C4-G4, "")</f>
        <v>62995</v>
      </c>
      <c r="I4" s="16" t="str">
        <f>IFERROR(H4/G4, "")</f>
        <v/>
      </c>
      <c r="J4" s="39"/>
      <c r="K4" s="39"/>
    </row>
    <row r="5" spans="1:11" ht="14.45">
      <c r="A5" s="20"/>
      <c r="B5" s="31"/>
      <c r="C5" s="20"/>
      <c r="D5" s="20"/>
      <c r="E5" s="20"/>
      <c r="F5" s="21"/>
      <c r="G5" s="20"/>
      <c r="H5" s="20"/>
      <c r="I5" s="21"/>
      <c r="J5" s="20"/>
      <c r="K5" s="20"/>
    </row>
    <row r="6" spans="1:11" ht="14.45">
      <c r="A6" s="20"/>
      <c r="B6" s="31"/>
      <c r="C6" s="20"/>
      <c r="D6" s="20"/>
      <c r="E6" s="20"/>
      <c r="F6" s="21"/>
      <c r="G6" s="20"/>
      <c r="H6" s="20"/>
      <c r="I6" s="21"/>
      <c r="J6" s="20"/>
      <c r="K6" s="20"/>
    </row>
    <row r="7" spans="1:11" ht="14.45">
      <c r="A7" s="20"/>
      <c r="B7" s="31"/>
      <c r="C7" s="20"/>
      <c r="D7" s="20"/>
      <c r="E7" s="20"/>
      <c r="F7" s="21"/>
      <c r="G7" s="20"/>
      <c r="H7" s="20"/>
      <c r="I7" s="21"/>
      <c r="J7" s="20"/>
      <c r="K7" s="20"/>
    </row>
    <row r="8" spans="1:11" ht="14.45">
      <c r="A8" s="20"/>
      <c r="B8" s="31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31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</sheetData>
  <mergeCells count="4">
    <mergeCell ref="D1:F1"/>
    <mergeCell ref="A1:C1"/>
    <mergeCell ref="G1:I1"/>
    <mergeCell ref="A2:B2"/>
  </mergeCells>
  <conditionalFormatting sqref="F2 I2 F4:F60 I4:I60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0"/>
  <sheetViews>
    <sheetView workbookViewId="0">
      <pane xSplit="2" ySplit="3" topLeftCell="C4" activePane="bottomRight" state="frozen"/>
      <selection pane="bottomRight" activeCell="F21" sqref="F21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227414</v>
      </c>
      <c r="D2" s="6">
        <f>SUM(D4:D88)</f>
        <v>0</v>
      </c>
      <c r="E2" s="6">
        <f>C2-D2</f>
        <v>227414</v>
      </c>
      <c r="F2" s="7">
        <f>IFERROR(E2/D2, 0)</f>
        <v>0</v>
      </c>
      <c r="G2" s="6">
        <f>SUM(G4:G88)</f>
        <v>0</v>
      </c>
      <c r="H2" s="8">
        <f>C2-G2</f>
        <v>227414</v>
      </c>
      <c r="I2" s="7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227414</v>
      </c>
      <c r="D4" s="13">
        <v>0</v>
      </c>
      <c r="E4" s="13">
        <f>IF(AND(ISNUMBER(C4),ISNUMBER(D4)), C4-D4, "")</f>
        <v>227414</v>
      </c>
      <c r="F4" s="14" t="str">
        <f>IFERROR(E4/D4, "")</f>
        <v/>
      </c>
      <c r="G4" s="15">
        <v>0</v>
      </c>
      <c r="H4" s="15">
        <f>IF(AND(ISNUMBER(C4),ISNUMBER(G4)), C4-G4, "")</f>
        <v>227414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0"/>
  <sheetViews>
    <sheetView workbookViewId="0">
      <pane xSplit="2" ySplit="3" topLeftCell="C4" activePane="bottomRight" state="frozen"/>
      <selection pane="bottomRight" activeCell="E24" sqref="E2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261274</v>
      </c>
      <c r="D2" s="6">
        <f>SUM(D4:D88)</f>
        <v>0</v>
      </c>
      <c r="E2" s="6">
        <f>C2-D2</f>
        <v>261274</v>
      </c>
      <c r="F2" s="7">
        <f>IFERROR(E2/D2, 0)</f>
        <v>0</v>
      </c>
      <c r="G2" s="6">
        <f>SUM(G4:G88)</f>
        <v>0</v>
      </c>
      <c r="H2" s="8">
        <f>C2-G2</f>
        <v>261274</v>
      </c>
      <c r="I2" s="7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261274</v>
      </c>
      <c r="D4" s="13">
        <v>0</v>
      </c>
      <c r="E4" s="13">
        <f>IF(AND(ISNUMBER(C4),ISNUMBER(D4)), C4-D4, "")</f>
        <v>261274</v>
      </c>
      <c r="F4" s="14" t="str">
        <f>IFERROR(E4/D4, "")</f>
        <v/>
      </c>
      <c r="G4" s="15">
        <v>0</v>
      </c>
      <c r="H4" s="15">
        <f>IF(AND(ISNUMBER(C4),ISNUMBER(G4)), C4-G4, "")</f>
        <v>261274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0"/>
  <sheetViews>
    <sheetView workbookViewId="0">
      <pane xSplit="2" ySplit="3" topLeftCell="C4" activePane="bottomRight" state="frozen"/>
      <selection pane="bottomRight" activeCell="D23" sqref="D23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272331</v>
      </c>
      <c r="D2" s="6">
        <f>SUM(D4:D88)</f>
        <v>0</v>
      </c>
      <c r="E2" s="6">
        <f>C2-D2</f>
        <v>272331</v>
      </c>
      <c r="F2" s="7">
        <f>IFERROR(E2/D2, 0)</f>
        <v>0</v>
      </c>
      <c r="G2" s="6">
        <f>SUM(G4:G88)</f>
        <v>0</v>
      </c>
      <c r="H2" s="8">
        <f>C2-G2</f>
        <v>272331</v>
      </c>
      <c r="I2" s="7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272331</v>
      </c>
      <c r="D4" s="13">
        <v>0</v>
      </c>
      <c r="E4" s="13">
        <f>IF(AND(ISNUMBER(C4),ISNUMBER(D4)), C4-D4, "")</f>
        <v>272331</v>
      </c>
      <c r="F4" s="14" t="str">
        <f>IFERROR(E4/D4, "")</f>
        <v/>
      </c>
      <c r="G4" s="15">
        <v>0</v>
      </c>
      <c r="H4" s="15">
        <f>IF(AND(ISNUMBER(C4),ISNUMBER(G4)), C4-G4, "")</f>
        <v>272331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0"/>
  <sheetViews>
    <sheetView workbookViewId="0">
      <pane xSplit="2" ySplit="3" topLeftCell="C4" activePane="bottomRight" state="frozen"/>
      <selection pane="bottomRight" activeCell="D20" sqref="D20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329768</v>
      </c>
      <c r="D2" s="6">
        <f>SUM(D4:D88)</f>
        <v>0</v>
      </c>
      <c r="E2" s="6">
        <f>C2-D2</f>
        <v>329768</v>
      </c>
      <c r="F2" s="7">
        <f>IFERROR(E2/D2, 0)</f>
        <v>0</v>
      </c>
      <c r="G2" s="6">
        <f>SUM(G4:G88)</f>
        <v>0</v>
      </c>
      <c r="H2" s="8">
        <f>C2-G2</f>
        <v>329768</v>
      </c>
      <c r="I2" s="7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329768</v>
      </c>
      <c r="D4" s="13">
        <v>0</v>
      </c>
      <c r="E4" s="13">
        <f>IF(AND(ISNUMBER(C4),ISNUMBER(D4)), C4-D4, "")</f>
        <v>329768</v>
      </c>
      <c r="F4" s="14" t="str">
        <f>IFERROR(E4/D4, "")</f>
        <v/>
      </c>
      <c r="G4" s="15">
        <v>0</v>
      </c>
      <c r="H4" s="15">
        <f>IF(AND(ISNUMBER(C4),ISNUMBER(G4)), C4-G4, "")</f>
        <v>329768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0"/>
  <sheetViews>
    <sheetView workbookViewId="0">
      <pane xSplit="2" ySplit="3" topLeftCell="C4" activePane="bottomRight" state="frozen"/>
      <selection pane="bottomRight" activeCell="G5" sqref="G5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350560</v>
      </c>
      <c r="D2" s="6">
        <f>SUM(D4:D88)</f>
        <v>0</v>
      </c>
      <c r="E2" s="6">
        <f>C2-D2</f>
        <v>350560</v>
      </c>
      <c r="F2" s="7">
        <f>IFERROR(E2/D2, 0)</f>
        <v>0</v>
      </c>
      <c r="G2" s="6">
        <f>SUM(G4:G88)</f>
        <v>0</v>
      </c>
      <c r="H2" s="8">
        <f>C2-G2</f>
        <v>350560</v>
      </c>
      <c r="I2" s="7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350560</v>
      </c>
      <c r="D4" s="13">
        <v>0</v>
      </c>
      <c r="E4" s="13">
        <f>IF(AND(ISNUMBER(C4),ISNUMBER(D4)), C4-D4, "")</f>
        <v>350560</v>
      </c>
      <c r="F4" s="14" t="str">
        <f>IFERROR(E4/D4, "")</f>
        <v/>
      </c>
      <c r="G4" s="15">
        <v>0</v>
      </c>
      <c r="H4" s="15">
        <f>IF(AND(ISNUMBER(C4),ISNUMBER(G4)), C4-G4, "")</f>
        <v>350560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0"/>
  <sheetViews>
    <sheetView workbookViewId="0">
      <pane xSplit="2" ySplit="3" topLeftCell="C4" activePane="bottomRight" state="frozen"/>
      <selection pane="bottomRight" activeCell="G4" sqref="G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273414</v>
      </c>
      <c r="D2" s="6">
        <f>SUM(D4:D88)</f>
        <v>0</v>
      </c>
      <c r="E2" s="6">
        <f>C2-D2</f>
        <v>273414</v>
      </c>
      <c r="F2" s="7">
        <f>IFERROR(E2/D2, 0)</f>
        <v>0</v>
      </c>
      <c r="G2" s="6">
        <f>SUM(G4:G88)</f>
        <v>0</v>
      </c>
      <c r="H2" s="8">
        <f>C2-G2</f>
        <v>273414</v>
      </c>
      <c r="I2" s="7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273414</v>
      </c>
      <c r="D4" s="13">
        <v>0</v>
      </c>
      <c r="E4" s="13">
        <f>IF(AND(ISNUMBER(C4),ISNUMBER(D4)), C4-D4, "")</f>
        <v>273414</v>
      </c>
      <c r="F4" s="14" t="str">
        <f>IFERROR(E4/D4, "")</f>
        <v/>
      </c>
      <c r="G4" s="15">
        <v>0</v>
      </c>
      <c r="H4" s="15">
        <f>IF(AND(ISNUMBER(C4),ISNUMBER(G4)), C4-G4, "")</f>
        <v>273414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88 I4:I88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0"/>
  <sheetViews>
    <sheetView workbookViewId="0">
      <pane xSplit="2" ySplit="3" topLeftCell="G11" activePane="bottomRight" state="frozen"/>
      <selection pane="bottomRight" activeCell="G11" sqref="G11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302194</v>
      </c>
      <c r="D2" s="6">
        <f>SUM(D4:D88)</f>
        <v>0</v>
      </c>
      <c r="E2" s="6">
        <f>C2-D2</f>
        <v>302194</v>
      </c>
      <c r="F2" s="7">
        <f>IFERROR(E2/D2, 0)</f>
        <v>0</v>
      </c>
      <c r="G2" s="6">
        <f>SUM(G4:G88)</f>
        <v>0</v>
      </c>
      <c r="H2" s="8">
        <f>C2-G2</f>
        <v>302194</v>
      </c>
      <c r="I2" s="7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302194</v>
      </c>
      <c r="D4" s="13">
        <v>0</v>
      </c>
      <c r="E4" s="13">
        <f>IF(AND(ISNUMBER(C4),ISNUMBER(D4)), C4-D4, "")</f>
        <v>302194</v>
      </c>
      <c r="F4" s="14" t="str">
        <f>IFERROR(E4/D4, "")</f>
        <v/>
      </c>
      <c r="G4" s="15">
        <v>0</v>
      </c>
      <c r="H4" s="15">
        <f>IF(AND(ISNUMBER(C4),ISNUMBER(G4)), C4-G4, "")</f>
        <v>302194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9"/>
  <sheetViews>
    <sheetView workbookViewId="0">
      <pane xSplit="2" ySplit="3" topLeftCell="C4" activePane="bottomRight" state="frozen"/>
      <selection pane="bottomRight" activeCell="J28" sqref="F25:J28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SUM(C4:C87)</f>
        <v>280277</v>
      </c>
      <c r="D2" s="6">
        <f>SUM(D4:D87)</f>
        <v>0</v>
      </c>
      <c r="E2" s="6">
        <f>C2-D2</f>
        <v>280277</v>
      </c>
      <c r="F2" s="7">
        <f>IFERROR(E2/D2, 0)</f>
        <v>0</v>
      </c>
      <c r="G2" s="6">
        <f>SUM(G4:G87)</f>
        <v>0</v>
      </c>
      <c r="H2" s="8">
        <f>C2-G2</f>
        <v>280277</v>
      </c>
      <c r="I2" s="7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280277</v>
      </c>
      <c r="D4" s="13">
        <v>0</v>
      </c>
      <c r="E4" s="13">
        <f>IF(AND(ISNUMBER(C4),ISNUMBER(D4)), C4-D4, "")</f>
        <v>280277</v>
      </c>
      <c r="F4" s="14" t="str">
        <f>IFERROR(E4/D4, "")</f>
        <v/>
      </c>
      <c r="G4" s="15">
        <v>0</v>
      </c>
      <c r="H4" s="15">
        <f>IF(AND(ISNUMBER(C4),ISNUMBER(G4)), C4-G4, "")</f>
        <v>280277</v>
      </c>
      <c r="I4" s="16" t="str">
        <f>IFERROR(H4/G4, "")</f>
        <v/>
      </c>
      <c r="J4" s="39"/>
      <c r="K4" s="39"/>
    </row>
    <row r="5" spans="1:11" ht="12.75" customHeight="1">
      <c r="A5" s="20"/>
      <c r="B5" s="31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C329" s="20"/>
      <c r="D329" s="20"/>
      <c r="E329" s="20"/>
      <c r="F329" s="21"/>
      <c r="G329" s="20"/>
      <c r="H329" s="20"/>
      <c r="I329" s="21"/>
      <c r="J329" s="20"/>
      <c r="K329" s="20"/>
    </row>
  </sheetData>
  <mergeCells count="4">
    <mergeCell ref="G1:I1"/>
    <mergeCell ref="A1:C1"/>
    <mergeCell ref="D1:F1"/>
    <mergeCell ref="A2:B2"/>
  </mergeCells>
  <conditionalFormatting sqref="F2 I2 F4:F87 I4:I8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0"/>
  <sheetViews>
    <sheetView workbookViewId="0">
      <pane xSplit="2" ySplit="3" topLeftCell="C4" activePane="bottomRight" state="frozen"/>
      <selection pane="bottomRight" activeCell="F21" sqref="A15:F21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262280</v>
      </c>
      <c r="D2" s="6">
        <f>SUM(D4:D88)</f>
        <v>0</v>
      </c>
      <c r="E2" s="6">
        <f>C2-D2</f>
        <v>262280</v>
      </c>
      <c r="F2" s="7">
        <f>IFERROR(E2/D2, 0)</f>
        <v>0</v>
      </c>
      <c r="G2" s="6">
        <f>SUM(G4:G88)</f>
        <v>0</v>
      </c>
      <c r="H2" s="8">
        <f>C2-G2</f>
        <v>262280</v>
      </c>
      <c r="I2" s="7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262280</v>
      </c>
      <c r="D4" s="13">
        <v>0</v>
      </c>
      <c r="E4" s="13">
        <f>IF(AND(ISNUMBER(C4),ISNUMBER(D4)), C4-D4, "")</f>
        <v>262280</v>
      </c>
      <c r="F4" s="14"/>
      <c r="G4" s="15">
        <v>0</v>
      </c>
      <c r="H4" s="15">
        <f>IF(AND(ISNUMBER(C4),ISNUMBER(G4)), C4-G4, "")</f>
        <v>262280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0"/>
  <sheetViews>
    <sheetView tabSelected="1" workbookViewId="0">
      <pane xSplit="2" ySplit="3" topLeftCell="C4" activePane="bottomRight" state="frozen"/>
      <selection pane="bottomRight" activeCell="E9" sqref="E9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196504</v>
      </c>
      <c r="D2" s="6">
        <f>SUM(D4:D88)</f>
        <v>0</v>
      </c>
      <c r="E2" s="6">
        <f>C2-D2</f>
        <v>196504</v>
      </c>
      <c r="F2" s="7">
        <f>IFERROR(E2/D2, 0)</f>
        <v>0</v>
      </c>
      <c r="G2" s="6">
        <f>SUM(G4:G88)</f>
        <v>0</v>
      </c>
      <c r="H2" s="8">
        <f>C2-G2</f>
        <v>196504</v>
      </c>
      <c r="I2" s="7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196504</v>
      </c>
      <c r="D4" s="13">
        <v>0</v>
      </c>
      <c r="E4" s="13">
        <f>IF(AND(ISNUMBER(C4),ISNUMBER(D4)), C4-D4, "")</f>
        <v>196504</v>
      </c>
      <c r="F4" s="14" t="str">
        <f>IFERROR(E4/D4, "")</f>
        <v/>
      </c>
      <c r="G4" s="15">
        <v>0</v>
      </c>
      <c r="H4" s="15">
        <f>IF(AND(ISNUMBER(C4),ISNUMBER(G4)), C4-G4, "")</f>
        <v>196504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0"/>
  <sheetViews>
    <sheetView workbookViewId="0">
      <pane xSplit="2" ySplit="3" topLeftCell="C4" activePane="bottomRight" state="frozen"/>
      <selection pane="bottomRight" activeCell="A5" sqref="A5:XFD16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9" sqref="B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5">
      <c r="A4" s="3" t="s">
        <v>45</v>
      </c>
      <c r="B4" t="s">
        <v>45</v>
      </c>
      <c r="C4" s="4" t="s">
        <v>49</v>
      </c>
      <c r="E4" t="s">
        <v>50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Props1.xml><?xml version="1.0" encoding="utf-8"?>
<ds:datastoreItem xmlns:ds="http://schemas.openxmlformats.org/officeDocument/2006/customXml" ds:itemID="{E20E8303-6A67-485C-B6F4-303542CC295C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D3A7101F-9A85-4235-8B03-415370C100B2}"/>
</file>

<file path=customXml/itemProps5.xml><?xml version="1.0" encoding="utf-8"?>
<ds:datastoreItem xmlns:ds="http://schemas.openxmlformats.org/officeDocument/2006/customXml" ds:itemID="{98A113BB-8B7A-453C-8BD4-8EFC67FC2D3F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BE26B669-A686-459C-A5E9-FEC3409C4C81}"/>
</file>

<file path=customXml/itemProps8.xml><?xml version="1.0" encoding="utf-8"?>
<ds:datastoreItem xmlns:ds="http://schemas.openxmlformats.org/officeDocument/2006/customXml" ds:itemID="{0389C43E-394D-44C0-87DC-4780FCFCFB40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BF5C6359-7763-4C37-8EAF-2BC4698CB285}"/>
</file>

<file path=customXml/itemProps12.xml><?xml version="1.0" encoding="utf-8"?>
<ds:datastoreItem xmlns:ds="http://schemas.openxmlformats.org/officeDocument/2006/customXml" ds:itemID="{3AEAA9D8-2182-46BA-A58E-96C72DDA1C54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E3716282-BFD2-4ED2-BA47-BFA1123827F0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C0BCDC1E-6052-4E48-9BAF-94A40814E7C2}"/>
</file>

<file path=customXml/itemProps18.xml><?xml version="1.0" encoding="utf-8"?>
<ds:datastoreItem xmlns:ds="http://schemas.openxmlformats.org/officeDocument/2006/customXml" ds:itemID="{1954BBA4-0359-438C-B0EC-A756015F7C02}"/>
</file>

<file path=customXml/itemProps19.xml><?xml version="1.0" encoding="utf-8"?>
<ds:datastoreItem xmlns:ds="http://schemas.openxmlformats.org/officeDocument/2006/customXml" ds:itemID="{7946C510-7D04-49D8-9B25-EEC04582A1CA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Sai Teja Puram [AGS]</cp:lastModifiedBy>
  <cp:revision/>
  <dcterms:created xsi:type="dcterms:W3CDTF">2021-01-01T16:39:53Z</dcterms:created>
  <dcterms:modified xsi:type="dcterms:W3CDTF">2024-12-05T08:29:07Z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2024-11-13T16:23:06Z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26934559-437f-48b2-b2fa-7eef60175897</vt:lpwstr>
  </property>
  <property fmtid="{D5CDD505-2E9C-101B-9397-08002B2CF9AE}" pid="9" name="MSIP_Label_9d817c99-0b37-4a07-8277-96aa1f96b74b_ContentBits">
    <vt:lpwstr>0</vt:lpwstr>
  </property>
</Properties>
</file>