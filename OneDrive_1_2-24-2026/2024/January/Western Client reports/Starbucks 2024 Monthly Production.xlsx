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0BA4928D-6C89-42BA-B0D5-556F5B807E1A}" xr6:coauthVersionLast="47" xr6:coauthVersionMax="47" xr10:uidLastSave="{00000000-0000-0000-0000-000000000000}"/>
  <bookViews>
    <workbookView xWindow="43080" yWindow="7560" windowWidth="29040" windowHeight="15720" tabRatio="866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"/>
  <c r="E4" i="3"/>
  <c r="F4" i="3" s="1"/>
  <c r="H4" i="3"/>
  <c r="I4" i="3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E2" i="28"/>
  <c r="F2" i="28" s="1"/>
  <c r="D2" i="28"/>
  <c r="C2" i="28"/>
  <c r="A1" i="28" a="1"/>
  <c r="A1" i="28" s="1"/>
  <c r="H5" i="27"/>
  <c r="I5" i="27" s="1"/>
  <c r="E5" i="27"/>
  <c r="F5" i="27" s="1"/>
  <c r="I4" i="27"/>
  <c r="H4" i="27"/>
  <c r="E4" i="27"/>
  <c r="F4" i="27" s="1"/>
  <c r="G2" i="27"/>
  <c r="D2" i="27"/>
  <c r="C2" i="27"/>
  <c r="H2" i="27" s="1"/>
  <c r="I2" i="27" s="1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H2" i="20" s="1"/>
  <c r="I2" i="20" s="1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A1" i="3" a="1"/>
  <c r="A1" i="3" s="1"/>
  <c r="E5" i="72"/>
  <c r="F5" i="72" s="1"/>
  <c r="H5" i="72"/>
  <c r="I5" i="72" s="1"/>
  <c r="H4" i="72"/>
  <c r="G2" i="72"/>
  <c r="D2" i="72"/>
  <c r="C2" i="72"/>
  <c r="J2" i="72" s="1"/>
  <c r="E4" i="72"/>
  <c r="F4" i="72" s="1"/>
  <c r="A1" i="72" a="1"/>
  <c r="A1" i="72" s="1"/>
  <c r="H2" i="4" l="1"/>
  <c r="I2" i="4" s="1"/>
  <c r="J2" i="4"/>
  <c r="J2" i="21"/>
  <c r="E4" i="18"/>
  <c r="F4" i="18" s="1"/>
  <c r="J2" i="20"/>
  <c r="J2" i="19"/>
  <c r="H2" i="26"/>
  <c r="I2" i="26" s="1"/>
  <c r="J2" i="26"/>
  <c r="J2" i="27"/>
  <c r="H2" i="28"/>
  <c r="I2" i="28" s="1"/>
  <c r="J2" i="28"/>
  <c r="J2" i="31"/>
  <c r="J2" i="32"/>
  <c r="D4" i="34"/>
  <c r="D2" i="34" s="1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<sst xmlns="http://schemas.openxmlformats.org/spreadsheetml/2006/main" count="238" uniqueCount="51">
  <si>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</si>
  <si>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</si>
  <si>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</si>
  <si>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</si>
  <si>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</si>
  <si>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</si>
  <si>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</si>
  <si>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</si>
  <si>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</si>
  <si>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</si>
  <si>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</si>
  <si>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</si>
  <si>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</si>
  <si>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</si>
  <si>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</si>
  <si>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</si>
  <si>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</si>
  <si>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</si>
  <si>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</si>
  <si>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</si>
  <si>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</si>
  <si>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</si>
  <si>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</si>
  <si>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</si>
  <si>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</si>
  <si>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</si>
  <si>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</si>
  <si>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</si>
  <si>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</si>
  <si>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</si>
  <si>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</si>
  <si>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</si>
  <si>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</si>
  <si>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</si>
  <si>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</si>
  <si>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</si>
  <si>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</si>
  <si>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</si>
  <si>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</si>
  <si>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</si>
  <si>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</si>
  <si>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</si>
  <si>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</si>
  <si>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</si>
  <si>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</si>
  <si>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Starbucks</t>
  </si>
  <si>
    <t>Site DAS Name</t>
  </si>
  <si>
    <t>Update</t>
  </si>
  <si>
    <t>DAS</t>
  </si>
  <si>
    <t>NV: Starbucks - Minden</t>
  </si>
  <si>
    <t>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</si>
</sst>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0"/>
  <sheetViews>
    <sheetView workbookViewId="0">
      <pane ySplit="2" topLeftCell="A3" activePane="bottomLeft" state="frozen"/>
      <selection pane="bottomLeft" activeCell="I7" sqref="I7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SUM(C4:C88)</f>
        <v>89237.88</v>
      </c>
      <c r="D2" s="6">
        <f>SUM(D4:D88)</f>
        <v>92249.58</v>
      </c>
      <c r="E2" s="6">
        <f>C2-D2</f>
        <v>-3011.6999999999971</v>
      </c>
      <c r="F2" s="7">
        <f>IFERROR(E2/D2, 0)</f>
        <v>-3.2647303109672662E-2</v>
      </c>
      <c r="G2" s="6">
        <f>SUM(G4:G88)</f>
        <v>0</v>
      </c>
      <c r="H2" s="8">
        <f>C2-G2</f>
        <v>89237.88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SUM('1st Qtr'!C4, '2nd Qtr'!C4, '3rd Qtr'!C4, '4th Qtr'!C4)</f>
        <v>89237.88</v>
      </c>
      <c r="D4" s="14">
        <f>SUM('1st Qtr'!D4, '2nd Qtr'!D4, '3rd Qtr'!D4, '4th Qtr'!D4)</f>
        <v>92249.58</v>
      </c>
      <c r="E4" s="14">
        <f>IF(AND(ISNUMBER(C4),ISNUMBER(D4)), C4-D4, "")</f>
        <v>-3011.6999999999971</v>
      </c>
      <c r="F4" s="15">
        <f>IFERROR(E4/D4, 0)</f>
        <v>-3.2647303109672662E-2</v>
      </c>
      <c r="G4" s="16">
        <f>SUM('1st Qtr'!G4,'2nd Qtr'!G4,'3rd Qtr'!G4,'4th Qtr'!G4)</f>
        <v>0</v>
      </c>
      <c r="H4" s="16">
        <f>SUM('1st Qtr'!H4, '2nd Qtr'!H4, '3rd Qtr'!H4, '4th Qtr'!H4)</f>
        <v>89237.88</v>
      </c>
      <c r="I4" s="17">
        <f>IFERROR(H4/G4, 0)</f>
        <v>0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8 I4:I8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I5" sqref="I5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SUM(C4:C88)</f>
        <v>89237.88</v>
      </c>
      <c r="D2" s="6">
        <f>SUM(D4:D88)</f>
        <v>92249.58</v>
      </c>
      <c r="E2" s="6">
        <f>C2-D2</f>
        <v>-3011.6999999999971</v>
      </c>
      <c r="F2" s="7">
        <f>IFERROR(E2/D2, 0)</f>
        <v>-3.2647303109672662E-2</v>
      </c>
      <c r="G2" s="6">
        <f>SUM(G4:G88)</f>
        <v>0</v>
      </c>
      <c r="H2" s="8">
        <f>C2-G2</f>
        <v>89237.88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SUM(Jan!C4, Feb!C4, Mar!C4)</f>
        <v>89237.88</v>
      </c>
      <c r="D4" s="14">
        <f>SUM(Jan!D4, Feb!D4, Mar!D4)</f>
        <v>92249.58</v>
      </c>
      <c r="E4" s="14">
        <f>IF(AND(ISNUMBER(C4),ISNUMBER(D4)), C4-D4, "")</f>
        <v>-3011.6999999999971</v>
      </c>
      <c r="F4" s="15">
        <f>IFERROR(E4/D4, "")</f>
        <v>-3.2647303109672662E-2</v>
      </c>
      <c r="G4" s="16">
        <f>SUM(Jan!G4, Feb!G4, Mar!G4)</f>
        <v>0</v>
      </c>
      <c r="H4" s="16">
        <f>SUM(Jan!H4, Feb!H4, Mar!H4)</f>
        <v>89237.88</v>
      </c>
      <c r="I4" s="17">
        <f>IFERROR(H4/G4, 0)</f>
        <v>0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D33" sqref="D33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2"/>
  <sheetViews>
    <sheetView workbookViewId="0">
      <pane ySplit="2" topLeftCell="A3" activePane="bottomLeft" state="frozen"/>
      <selection pane="bottomLeft" activeCell="A12" sqref="A1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SUM(C4:C80)</f>
        <v>0</v>
      </c>
      <c r="D2" s="6">
        <f>SUM(D4:D80)</f>
        <v>0</v>
      </c>
      <c r="E2" s="6">
        <f>C2-D2</f>
        <v>0</v>
      </c>
      <c r="F2" s="7">
        <f>IFERROR(E2/D2, 0)</f>
        <v>0</v>
      </c>
      <c r="G2" s="6">
        <f>SUM(G4:G80)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</sheetData>
  <mergeCells count="4">
    <mergeCell ref="G1:I1"/>
    <mergeCell ref="A1:C1"/>
    <mergeCell ref="D1:F1"/>
    <mergeCell ref="A2:B2"/>
  </mergeCells>
  <conditionalFormatting sqref="F2 I2 F4:F80 I4:I8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Starbucks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NV: Starbucks - Minden</v>
      </c>
      <c r="B4" s="10" t="str" cm="1">
        <f t="array" ref="B4">Sites[State]</f>
        <v>NV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tabSelected="1" workbookViewId="0">
      <pane ySplit="3" topLeftCell="A4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89237.88</v>
      </c>
      <c r="D2" s="6">
        <f>SUM(D4:D89)</f>
        <v>92249.58</v>
      </c>
      <c r="E2" s="6">
        <f>C2-D2</f>
        <v>-3011.6999999999971</v>
      </c>
      <c r="F2" s="7">
        <f>IFERROR(E2/D2, 0)</f>
        <v>-3.2647303109672662E-2</v>
      </c>
      <c r="G2" s="6">
        <f>SUM(G4:G89)</f>
        <v>0</v>
      </c>
      <c r="H2" s="8">
        <f>C2-G2</f>
        <v>89237.88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>
        <v>89237.88</v>
      </c>
      <c r="D4" s="14">
        <v>92249.58</v>
      </c>
      <c r="E4" s="14">
        <f>IF(AND(ISNUMBER(C4),ISNUMBER(D4)), C4-D4, "")</f>
        <v>-3011.6999999999971</v>
      </c>
      <c r="F4" s="15">
        <f>IFERROR(E4/D4, "")</f>
        <v>-3.2647303109672662E-2</v>
      </c>
      <c r="G4" s="16">
        <v>0</v>
      </c>
      <c r="H4" s="16">
        <f>IF(AND(ISNUMBER(C4),ISNUMBER(G4)), C4-G4, "")</f>
        <v>89237.88</v>
      </c>
      <c r="I4" s="17">
        <f>IFERROR(H4/G4, 0)</f>
        <v>0</v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3.9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10" sqref="A10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Starbucks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NV: Starbucks - Minden</v>
      </c>
      <c r="B4" s="30" t="str" cm="1">
        <f t="array" ref="B4">Sites[State]</f>
        <v>NV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10" sqref="A10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s="36" t="s">
        <v>45</v>
      </c>
    </row>
    <row r="3" spans="1:7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25">
      <c r="A4" t="s">
        <v>49</v>
      </c>
      <c r="B4" t="s">
        <v>49</v>
      </c>
      <c r="C4" s="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CB52044A-5C0B-44A2-99D0-C1C315EC302D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D3A7101F-9A85-4235-8B03-415370C100B2}"/>
</file>

<file path=customXml/itemProps17.xml><?xml version="1.0" encoding="utf-8"?>
<ds:datastoreItem xmlns:ds="http://schemas.openxmlformats.org/officeDocument/2006/customXml" ds:itemID="{14966E4F-347B-477B-B74C-9DAC05405806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2024-02-07T08:44:09Z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