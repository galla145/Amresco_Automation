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"/>
    </mc:Choice>
  </mc:AlternateContent>
  <xr:revisionPtr revIDLastSave="17" documentId="13_ncr:1_{BEB3A031-6652-4B2A-9051-109998AAE265}" xr6:coauthVersionLast="47" xr6:coauthVersionMax="47" xr10:uidLastSave="{9E993DEA-474D-430D-BB6C-E4B7425701F9}"/>
  <bookViews>
    <workbookView xWindow="-98" yWindow="-98" windowWidth="21795" windowHeight="12975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2" l="1"/>
  <c r="H6" i="72"/>
  <c r="I6" i="72" s="1"/>
  <c r="H5" i="72"/>
  <c r="I5" i="72" s="1"/>
  <c r="H4" i="72"/>
  <c r="I4" i="72" s="1"/>
  <c r="F6" i="72"/>
  <c r="E5" i="72"/>
  <c r="F5" i="72" s="1"/>
  <c r="E4" i="72"/>
  <c r="F4" i="72" s="1"/>
  <c r="I5" i="29"/>
  <c r="I6" i="29"/>
  <c r="I4" i="29"/>
  <c r="F5" i="29"/>
  <c r="F6" i="29"/>
  <c r="F4" i="29"/>
  <c r="I5" i="18"/>
  <c r="I6" i="18"/>
  <c r="I4" i="18"/>
  <c r="F5" i="18"/>
  <c r="F6" i="18"/>
  <c r="F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C4" i="30"/>
  <c r="E4" i="30" s="1"/>
  <c r="F4" i="30" s="1"/>
  <c r="D6" i="29"/>
  <c r="C6" i="29"/>
  <c r="E6" i="29" s="1"/>
  <c r="D5" i="29"/>
  <c r="C5" i="29"/>
  <c r="D4" i="29"/>
  <c r="C4" i="29"/>
  <c r="D6" i="18"/>
  <c r="C6" i="18"/>
  <c r="E6" i="18" s="1"/>
  <c r="D5" i="18"/>
  <c r="C5" i="18"/>
  <c r="E5" i="18" s="1"/>
  <c r="D4" i="18"/>
  <c r="C4" i="18"/>
  <c r="E4" i="18" s="1"/>
  <c r="D2" i="30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D4" i="34" s="1"/>
  <c r="B4" i="1" a="1"/>
  <c r="B4" i="1" s="1"/>
  <c r="A4" i="1" a="1"/>
  <c r="A4" i="1" s="1"/>
  <c r="A1" i="1" a="1"/>
  <c r="A1" i="1" s="1"/>
  <c r="H6" i="33"/>
  <c r="I6" i="33" s="1"/>
  <c r="E6" i="33"/>
  <c r="F6" i="33" s="1"/>
  <c r="I5" i="33"/>
  <c r="H5" i="33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F5" i="27"/>
  <c r="E5" i="27"/>
  <c r="H4" i="27"/>
  <c r="I4" i="27" s="1"/>
  <c r="E4" i="27"/>
  <c r="F4" i="27" s="1"/>
  <c r="G2" i="27"/>
  <c r="D2" i="27"/>
  <c r="C2" i="27"/>
  <c r="H2" i="27" s="1"/>
  <c r="I2" i="27" s="1"/>
  <c r="A1" i="27" a="1"/>
  <c r="A1" i="27" s="1"/>
  <c r="H6" i="26"/>
  <c r="H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J2" i="4" s="1"/>
  <c r="A1" i="4" a="1"/>
  <c r="A1" i="4" s="1"/>
  <c r="G2" i="3"/>
  <c r="D2" i="3"/>
  <c r="C2" i="3"/>
  <c r="J2" i="3" s="1"/>
  <c r="A1" i="3" a="1"/>
  <c r="A1" i="3" s="1"/>
  <c r="G2" i="72"/>
  <c r="D2" i="72"/>
  <c r="C2" i="72"/>
  <c r="J2" i="72" s="1"/>
  <c r="A1" i="72" a="1"/>
  <c r="A1" i="72" s="1"/>
  <c r="G2" i="34" l="1"/>
  <c r="J2" i="33"/>
  <c r="H2" i="28"/>
  <c r="I2" i="28" s="1"/>
  <c r="H2" i="26"/>
  <c r="I2" i="26" s="1"/>
  <c r="E2" i="28"/>
  <c r="F2" i="28" s="1"/>
  <c r="H2" i="31"/>
  <c r="I2" i="31" s="1"/>
  <c r="J2" i="20"/>
  <c r="D2" i="29"/>
  <c r="J2" i="26"/>
  <c r="H6" i="30"/>
  <c r="I6" i="30" s="1"/>
  <c r="E5" i="29"/>
  <c r="J2" i="27"/>
  <c r="H2" i="4"/>
  <c r="I2" i="4" s="1"/>
  <c r="H2" i="21"/>
  <c r="I2" i="21" s="1"/>
  <c r="J2" i="28"/>
  <c r="J2" i="19"/>
  <c r="H2" i="20"/>
  <c r="I2" i="20" s="1"/>
  <c r="J2" i="31"/>
  <c r="J2" i="32"/>
  <c r="H2" i="3"/>
  <c r="I2" i="3" s="1"/>
  <c r="E5" i="34"/>
  <c r="F5" i="34" s="1"/>
  <c r="G2" i="1"/>
  <c r="E6" i="34"/>
  <c r="F6" i="34" s="1"/>
  <c r="D2" i="34"/>
  <c r="E5" i="1"/>
  <c r="F5" i="1" s="1"/>
  <c r="E6" i="1"/>
  <c r="F6" i="1" s="1"/>
  <c r="H4" i="30"/>
  <c r="I4" i="30" s="1"/>
  <c r="H5" i="30"/>
  <c r="I5" i="30" s="1"/>
  <c r="I6" i="26"/>
  <c r="H4" i="29"/>
  <c r="H5" i="29"/>
  <c r="H6" i="18"/>
  <c r="H4" i="18"/>
  <c r="C4" i="34"/>
  <c r="E4" i="34" s="1"/>
  <c r="F4" i="34" s="1"/>
  <c r="H5" i="18"/>
  <c r="H6" i="34"/>
  <c r="I6" i="34" s="1"/>
  <c r="H5" i="34"/>
  <c r="I5" i="34" s="1"/>
  <c r="C2" i="29"/>
  <c r="E2" i="29" s="1"/>
  <c r="F2" i="29" s="1"/>
  <c r="C2" i="30"/>
  <c r="E4" i="29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2" i="1" l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<sst xmlns="http://schemas.openxmlformats.org/spreadsheetml/2006/main" count="246" uniqueCount="55">
  <si>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</si>
  <si>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</si>
  <si>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</si>
  <si>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</si>
  <si>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</si>
  <si>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</si>
  <si>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</si>
  <si>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</si>
  <si>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</si>
  <si>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</si>
  <si>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</si>
  <si>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</si>
  <si>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</si>
  <si>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</si>
  <si>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</si>
  <si>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</si>
  <si>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</si>
  <si>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</si>
  <si>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</si>
  <si>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</si>
  <si>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</si>
  <si>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</si>
  <si>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1.7 is offline for whole month.</t>
  </si>
  <si>
    <t>1. SR075156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</si>
  <si>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</si>
  <si>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</si>
  <si>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</si>
  <si>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</si>
  <si>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</si>
  <si>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</si>
  <si>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</si>
  <si>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</si>
  <si>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</si>
  <si>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</si>
  <si>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</si>
  <si>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</si>
  <si>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</si>
  <si>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</si>
  <si>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</si>
  <si>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</si>
  <si>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</si>
  <si>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</si>
  <si>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</si>
  <si>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</si>
  <si>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</si>
  <si>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</si>
  <si>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</si>
  <si>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Cave Creek USD</t>
  </si>
  <si>
    <t>Site DAS Name</t>
  </si>
  <si>
    <t>Update</t>
  </si>
  <si>
    <t>DAS</t>
  </si>
  <si>
    <t>AZ: Cave Creek - DWES</t>
  </si>
  <si>
    <t>AZ</t>
  </si>
  <si>
    <t>AZ: Cave Creek - HTES</t>
  </si>
  <si>
    <t>AZ: Cave Creek - LMES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</si>
</sst>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9" fontId="30" fillId="46" borderId="0" xfId="2" applyFont="1" applyFill="1" applyBorder="1" applyAlignment="1">
      <alignment horizontal="center" vertical="center"/>
    </xf>
    <xf numFmtId="3" fontId="30" fillId="46" borderId="0" xfId="1" applyNumberFormat="1" applyFont="1" applyFill="1" applyBorder="1" applyAlignment="1">
      <alignment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ySplit="2" topLeftCell="A3" activePane="bottomLeft" state="frozen"/>
      <selection pane="bottomLeft" activeCell="D19" sqref="D19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SUM(C4:C91)</f>
        <v>64323</v>
      </c>
      <c r="D2" s="6">
        <f>SUM(D4:D91)</f>
        <v>48931.88</v>
      </c>
      <c r="E2" s="6">
        <f>C2-D2</f>
        <v>15391.120000000003</v>
      </c>
      <c r="F2" s="7">
        <f>IFERROR(E2/D2, 0)</f>
        <v>0.31454176704430736</v>
      </c>
      <c r="G2" s="6">
        <f>SUM(G4:G91)</f>
        <v>0</v>
      </c>
      <c r="H2" s="8">
        <f>C2-G2</f>
        <v>64323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25401</v>
      </c>
      <c r="D4" s="14">
        <f>SUM('1st Qtr'!D4, '2nd Qtr'!D4, '3rd Qtr'!D4, '4th Qtr'!D4)</f>
        <v>25675.94</v>
      </c>
      <c r="E4" s="14">
        <f>IF(AND(ISNUMBER(C4),ISNUMBER(D4)), C4-D4, "")</f>
        <v>-274.93999999999869</v>
      </c>
      <c r="F4" s="15">
        <f>IFERROR(E4/D4, 0)</f>
        <v>-1.0708079236826332E-2</v>
      </c>
      <c r="G4" s="16">
        <f>SUM('1st Qtr'!G4,'2nd Qtr'!G4,'3rd Qtr'!G4,'4th Qtr'!G4)</f>
        <v>0</v>
      </c>
      <c r="H4" s="16">
        <f>SUM('1st Qtr'!H4, '2nd Qtr'!H4, '3rd Qtr'!H4, '4th Qtr'!H4)</f>
        <v>25401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17366</v>
      </c>
      <c r="D5" s="20">
        <f>SUM(Jan!D5, Feb!D5, Mar!D5)</f>
        <v>23255.94</v>
      </c>
      <c r="E5" s="20">
        <f t="shared" ref="E5:E6" si="0">IF(AND(ISNUMBER(C5),ISNUMBER(D5)), C5-D5, "")</f>
        <v>-5889.9399999999987</v>
      </c>
      <c r="F5" s="21">
        <f>IFERROR(E5/D5, 0)</f>
        <v>-0.2532660472980236</v>
      </c>
      <c r="G5" s="44">
        <f>SUM('1st Qtr'!G5,'2nd Qtr'!G5,'3rd Qtr'!G5,'4th Qtr'!G5)</f>
        <v>0</v>
      </c>
      <c r="H5" s="22">
        <f>SUM(Jan!H5, Feb!H5, Mar!H5)</f>
        <v>17366</v>
      </c>
      <c r="I5" s="21">
        <f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21556</v>
      </c>
      <c r="D6" s="14">
        <f>SUM(Jan!D6, Feb!D6, Mar!D6)</f>
        <v>0</v>
      </c>
      <c r="E6" s="14">
        <f t="shared" si="0"/>
        <v>21556</v>
      </c>
      <c r="F6" s="15">
        <f>IFERROR(E6/D6, 0)</f>
        <v>0</v>
      </c>
      <c r="G6" s="16">
        <f>SUM('1st Qtr'!G6,'2nd Qtr'!G6,'3rd Qtr'!G6,'4th Qtr'!G6)</f>
        <v>0</v>
      </c>
      <c r="H6" s="16">
        <f>SUM(Jan!H6, Feb!H6, Mar!H6)</f>
        <v>21556</v>
      </c>
      <c r="I6" s="17">
        <f>IFERROR(H6/G6, 0)</f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2.75" customHeight="1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15">
      <c r="A333" s="23"/>
      <c r="B333" s="23"/>
      <c r="C333" s="23"/>
      <c r="D333" s="23"/>
      <c r="E333" s="23"/>
      <c r="F333" s="24"/>
      <c r="G333" s="23"/>
      <c r="H333" s="23"/>
      <c r="I333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0"/>
  <sheetViews>
    <sheetView workbookViewId="0">
      <pane ySplit="2" topLeftCell="A3" activePane="bottomLeft" state="frozen"/>
      <selection pane="bottomLeft" activeCell="D19" sqref="D19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SUM(C4:C88)</f>
        <v>64323</v>
      </c>
      <c r="D2" s="6">
        <f>SUM(D4:D88)</f>
        <v>48931.88</v>
      </c>
      <c r="E2" s="6">
        <f>C2-D2</f>
        <v>15391.120000000003</v>
      </c>
      <c r="F2" s="7">
        <f>IFERROR(E2/D2, 0)</f>
        <v>0.31454176704430736</v>
      </c>
      <c r="G2" s="6">
        <f>SUM(G4:G88)</f>
        <v>0</v>
      </c>
      <c r="H2" s="8">
        <f>C2-G2</f>
        <v>64323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25401</v>
      </c>
      <c r="D4" s="14">
        <f>SUM(Jan!D4, Feb!D4, Mar!D4)</f>
        <v>25675.94</v>
      </c>
      <c r="E4" s="14">
        <f>IF(AND(ISNUMBER(C4),ISNUMBER(D4)), C4-D4, "")</f>
        <v>-274.93999999999869</v>
      </c>
      <c r="F4" s="15">
        <f>IFERROR(E4/D4, 0)</f>
        <v>-1.0708079236826332E-2</v>
      </c>
      <c r="G4" s="16">
        <f>SUM(Jan!G4, Feb!G4, Mar!G4)</f>
        <v>0</v>
      </c>
      <c r="H4" s="16">
        <f>SUM(Jan!H4, Feb!H4, Mar!H4)</f>
        <v>25401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SUM(Jan!C5, Feb!C5, Mar!C5)</f>
        <v>17366</v>
      </c>
      <c r="D5" s="20">
        <f>SUM(Jan!D5, Feb!D5, Mar!D5)</f>
        <v>23255.94</v>
      </c>
      <c r="E5" s="20">
        <f t="shared" ref="E5:E6" si="0">IF(AND(ISNUMBER(C5),ISNUMBER(D5)), C5-D5, "")</f>
        <v>-5889.9399999999987</v>
      </c>
      <c r="F5" s="43">
        <f t="shared" ref="F5:F6" si="1">IFERROR(E5/D5, 0)</f>
        <v>-0.2532660472980236</v>
      </c>
      <c r="G5" s="22">
        <f>SUM(Jan!G5, Feb!G5, Mar!G5)</f>
        <v>0</v>
      </c>
      <c r="H5" s="22">
        <f>SUM(Jan!H5, Feb!H5, Mar!H5)</f>
        <v>17366</v>
      </c>
      <c r="I5" s="43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SUM(Jan!C6, Feb!C6, Mar!C6)</f>
        <v>21556</v>
      </c>
      <c r="D6" s="14">
        <f>SUM(Jan!D6, Feb!D6, Mar!D6)</f>
        <v>0</v>
      </c>
      <c r="E6" s="14">
        <f t="shared" si="0"/>
        <v>21556</v>
      </c>
      <c r="F6" s="15">
        <f t="shared" si="1"/>
        <v>0</v>
      </c>
      <c r="G6" s="16">
        <f>SUM(Jan!G6, Feb!G6, Mar!G6)</f>
        <v>0</v>
      </c>
      <c r="H6" s="16">
        <f>SUM(Jan!H6, Feb!H6, Mar!H6)</f>
        <v>21556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8 I4:I8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0"/>
  <sheetViews>
    <sheetView workbookViewId="0">
      <pane ySplit="2" topLeftCell="A3" activePane="bottomLeft" state="frozen"/>
      <selection pane="bottomLeft" activeCell="G5" sqref="G5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SUM(Apr!H4, May!H4, Jun!H4)</f>
        <v>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SUM(Apr!H5, May!H5, Jun!H5)</f>
        <v>0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>
        <f t="shared" si="1"/>
        <v>0</v>
      </c>
      <c r="G6" s="16"/>
      <c r="H6" s="16">
        <f>SUM(Apr!H6, May!H6, Jun!H6)</f>
        <v>0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I4" sqref="I4:I6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>
        <f>IFERROR(E4/D4, 0)</f>
        <v>0</v>
      </c>
      <c r="G4" s="16"/>
      <c r="H4" s="16">
        <f>SUM(Jul!H4, Aug!H4, Sep!H4)</f>
        <v>0</v>
      </c>
      <c r="I4" s="17">
        <f>IFERROR(H4/G4, 0)</f>
        <v>0</v>
      </c>
    </row>
    <row r="5" spans="1:9" ht="15.75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15">
        <f t="shared" ref="F5:F6" si="1">IFERROR(E5/D5, 0)</f>
        <v>0</v>
      </c>
      <c r="G5" s="22"/>
      <c r="H5" s="22">
        <f>SUM(Jul!H5, Aug!H5, Sep!H5)</f>
        <v>0</v>
      </c>
      <c r="I5" s="17">
        <f t="shared" ref="I5:I6" si="2">IFERROR(H5/G5, 0)</f>
        <v>0</v>
      </c>
    </row>
    <row r="6" spans="1:9" ht="15.75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>
        <f t="shared" si="1"/>
        <v>0</v>
      </c>
      <c r="G6" s="16"/>
      <c r="H6" s="16">
        <f>SUM(Jul!H6, Aug!H6, Sep!H6)</f>
        <v>0</v>
      </c>
      <c r="I6" s="17">
        <f t="shared" si="2"/>
        <v>0</v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Cave Creek USD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8"/>
  <sheetViews>
    <sheetView tabSelected="1" workbookViewId="0">
      <pane ySplit="3" topLeftCell="A4" activePane="bottomLeft" state="frozen"/>
      <selection pane="bottomLeft" activeCell="E6" sqref="E6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SUM(C4:C86)</f>
        <v>64323</v>
      </c>
      <c r="D2" s="6">
        <f>SUM(D4:D86)</f>
        <v>48931.88</v>
      </c>
      <c r="E2" s="6">
        <f>C2-D2</f>
        <v>15391.120000000003</v>
      </c>
      <c r="F2" s="7">
        <f>IFERROR(E2/D2, 0)</f>
        <v>0.31454176704430736</v>
      </c>
      <c r="G2" s="6">
        <f>SUM(G4:G86)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0)</f>
        <v>-274.93999999999869</v>
      </c>
      <c r="F4" s="15">
        <f>IFERROR(E4/D4, 0)</f>
        <v>-1.0708079236826332E-2</v>
      </c>
      <c r="G4" s="16">
        <v>0</v>
      </c>
      <c r="H4" s="16">
        <f>IF(AND(ISNUMBER(C4),ISNUMBER(G4)), C4-G4, 0)</f>
        <v>25401</v>
      </c>
      <c r="I4" s="17">
        <f>IFERROR(H4/G4, 0)</f>
        <v>0</v>
      </c>
      <c r="J4" s="18"/>
      <c r="K4" s="18"/>
    </row>
    <row r="5" spans="1:11" ht="16.5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>IF(AND(ISNUMBER(C5),ISNUMBER(D5)), C5-D5, 0)</f>
        <v>-5889.9399999999987</v>
      </c>
      <c r="F5" s="15">
        <f t="shared" ref="F5:F6" si="0">IFERROR(E5/D5, 0)</f>
        <v>-0.2532660472980236</v>
      </c>
      <c r="G5" s="22">
        <v>0</v>
      </c>
      <c r="H5" s="22">
        <f>IF(AND(ISNUMBER(C5),ISNUMBER(G5)), C5-G5, 0)</f>
        <v>17366</v>
      </c>
      <c r="I5" s="21">
        <f>IFERROR(H5/G5, 0)</f>
        <v>0</v>
      </c>
      <c r="J5" s="45" t="s">
        <v>22</v>
      </c>
      <c r="K5" s="46" t="s">
        <v>23</v>
      </c>
    </row>
    <row r="6" spans="1:11" ht="15.75">
      <c r="A6" s="30" t="str">
        <v>AZ: Cave Creek - LMES</v>
      </c>
      <c r="B6" s="31" t="str">
        <v>AZ</v>
      </c>
      <c r="C6" s="26">
        <v>21556</v>
      </c>
      <c r="D6" s="14">
        <v>0</v>
      </c>
      <c r="E6" s="14">
        <f>IF(AND(ISNUMBER(C6),ISNUMBER(D6)), C6-D6, 0)</f>
        <v>21556</v>
      </c>
      <c r="F6" s="15">
        <f t="shared" si="0"/>
        <v>0</v>
      </c>
      <c r="G6" s="16">
        <v>0</v>
      </c>
      <c r="H6" s="16">
        <f>IF(AND(ISNUMBER(C6),ISNUMBER(G6)), C6-G6, 0)</f>
        <v>21556</v>
      </c>
      <c r="I6" s="17">
        <f>IFERROR(H6/G6, 0)</f>
        <v>0</v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</sheetData>
  <mergeCells count="4">
    <mergeCell ref="D1:F1"/>
    <mergeCell ref="A1:C1"/>
    <mergeCell ref="G1:I1"/>
    <mergeCell ref="A2:B2"/>
  </mergeCells>
  <conditionalFormatting sqref="F2 I2 I4:I86 F4:F86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ySplit="2" topLeftCell="A3" activePane="bottomLeft" state="frozen"/>
      <selection pane="bottomLeft" activeCell="A3" sqref="A3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26</v>
      </c>
      <c r="E1" s="49"/>
      <c r="F1" s="49"/>
      <c r="G1" s="47" t="s">
        <v>27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C34" sqref="C34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32</v>
      </c>
      <c r="E1" s="49"/>
      <c r="F1" s="49"/>
      <c r="G1" s="47" t="s">
        <v>33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34</v>
      </c>
      <c r="E1" s="49"/>
      <c r="F1" s="49"/>
      <c r="G1" s="47" t="s">
        <v>35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8 I4:I88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36</v>
      </c>
      <c r="E1" s="49"/>
      <c r="F1" s="49"/>
      <c r="G1" s="47" t="s">
        <v>37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ySplit="2" topLeftCell="A3" activePane="bottomLeft" state="frozen"/>
      <selection pane="bottomLeft" activeCell="D32" sqref="D32"/>
      <selection activeCell="D32" sqref="D32"/>
    </sheetView>
  </sheetViews>
  <sheetFormatPr defaultRowHeight="13.5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Cave Creek USD</v>
      </c>
      <c r="B1" s="48"/>
      <c r="C1" s="48"/>
      <c r="D1" s="49" t="s">
        <v>44</v>
      </c>
      <c r="E1" s="49"/>
      <c r="F1" s="49"/>
      <c r="G1" s="47" t="s">
        <v>45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Cave Creek - HTES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2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3.9"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C22" sqref="C22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25">
      <c r="A4" t="s">
        <v>51</v>
      </c>
      <c r="B4" t="s">
        <v>51</v>
      </c>
      <c r="C4" s="4" t="s">
        <v>52</v>
      </c>
      <c r="G4" s="3"/>
    </row>
    <row r="5" spans="1:7" ht="14.25">
      <c r="A5" t="s">
        <v>53</v>
      </c>
      <c r="B5" t="s">
        <v>53</v>
      </c>
      <c r="C5" s="4" t="s">
        <v>52</v>
      </c>
      <c r="G5" s="3"/>
    </row>
    <row r="6" spans="1:7" ht="14.25">
      <c r="A6" s="4" t="s">
        <v>54</v>
      </c>
      <c r="B6" s="4" t="s">
        <v>54</v>
      </c>
      <c r="C6" s="4" t="s">
        <v>52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D3A7101F-9A85-4235-8B03-415370C100B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C0BCDC1E-6052-4E48-9BAF-94A40814E7C2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2024-04-08T04:25:40Z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