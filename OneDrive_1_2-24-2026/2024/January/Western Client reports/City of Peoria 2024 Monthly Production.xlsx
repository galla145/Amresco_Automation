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Western - Jan/"/>
    </mc:Choice>
  </mc:AlternateContent>
  <xr:revisionPtr revIDLastSave="10" documentId="13_ncr:1_{7B19651D-2C21-4A0C-9930-D23F01A62118}" xr6:coauthVersionLast="47" xr6:coauthVersionMax="47" xr10:uidLastSave="{B69DB2F0-BF82-432D-8772-9246FE8775CC}"/>
  <bookViews>
    <workbookView xWindow="43080" yWindow="756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I7" i="1"/>
  <c r="I7" i="34"/>
  <c r="G5" i="34"/>
  <c r="G6" i="34"/>
  <c r="G7" i="34"/>
  <c r="G8" i="34"/>
  <c r="G9" i="34"/>
  <c r="G10" i="34"/>
  <c r="G11" i="34"/>
  <c r="G12" i="34"/>
  <c r="G4" i="34"/>
  <c r="E7" i="72"/>
  <c r="F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72"/>
  <c r="F13" i="72" s="1"/>
  <c r="H13" i="72"/>
  <c r="I13" i="72" s="1"/>
  <c r="G6" i="1"/>
  <c r="G7" i="1"/>
  <c r="G8" i="1"/>
  <c r="G9" i="1"/>
  <c r="G10" i="1"/>
  <c r="G11" i="1"/>
  <c r="G12" i="1"/>
  <c r="G5" i="1"/>
  <c r="G4" i="1"/>
  <c r="D12" i="34"/>
  <c r="D11" i="34"/>
  <c r="D10" i="34"/>
  <c r="D9" i="34"/>
  <c r="D8" i="34"/>
  <c r="D7" i="34"/>
  <c r="D6" i="34"/>
  <c r="D5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2" i="30"/>
  <c r="C12" i="30"/>
  <c r="D11" i="30"/>
  <c r="E11" i="30" s="1"/>
  <c r="F11" i="30" s="1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E5" i="30" s="1"/>
  <c r="F5" i="30" s="1"/>
  <c r="D4" i="30"/>
  <c r="C4" i="30"/>
  <c r="D12" i="29"/>
  <c r="C12" i="29"/>
  <c r="D11" i="29"/>
  <c r="C11" i="29"/>
  <c r="E11" i="29" s="1"/>
  <c r="F11" i="29" s="1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2" i="18"/>
  <c r="C12" i="18"/>
  <c r="E12" i="18" s="1"/>
  <c r="F12" i="18" s="1"/>
  <c r="D11" i="18"/>
  <c r="C11" i="18"/>
  <c r="D10" i="18"/>
  <c r="C10" i="18"/>
  <c r="D9" i="18"/>
  <c r="C9" i="18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D4" i="34" s="1"/>
  <c r="B4" i="1" a="1"/>
  <c r="B4" i="1" s="1"/>
  <c r="A4" i="1" a="1"/>
  <c r="A4" i="1" s="1"/>
  <c r="A1" i="1" a="1"/>
  <c r="A1" i="1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2" i="34" l="1"/>
  <c r="H6" i="29"/>
  <c r="I6" i="29" s="1"/>
  <c r="D2" i="18"/>
  <c r="E5" i="18"/>
  <c r="F5" i="18" s="1"/>
  <c r="E9" i="18"/>
  <c r="F9" i="18" s="1"/>
  <c r="E8" i="29"/>
  <c r="F8" i="29" s="1"/>
  <c r="E12" i="29"/>
  <c r="F12" i="29" s="1"/>
  <c r="H2" i="28"/>
  <c r="I2" i="28" s="1"/>
  <c r="H2" i="33"/>
  <c r="I2" i="33" s="1"/>
  <c r="E6" i="18"/>
  <c r="F6" i="18" s="1"/>
  <c r="E10" i="18"/>
  <c r="F10" i="18" s="1"/>
  <c r="E4" i="30"/>
  <c r="F4" i="30" s="1"/>
  <c r="H10" i="29"/>
  <c r="I10" i="29" s="1"/>
  <c r="H2" i="31"/>
  <c r="I2" i="31" s="1"/>
  <c r="H2" i="32"/>
  <c r="I2" i="32" s="1"/>
  <c r="H2" i="21"/>
  <c r="I2" i="21" s="1"/>
  <c r="E2" i="20"/>
  <c r="F2" i="20" s="1"/>
  <c r="I10" i="27"/>
  <c r="D2" i="30"/>
  <c r="E8" i="30"/>
  <c r="F8" i="30" s="1"/>
  <c r="E12" i="30"/>
  <c r="F12" i="30" s="1"/>
  <c r="J2" i="32"/>
  <c r="J2" i="21"/>
  <c r="H2" i="4"/>
  <c r="I2" i="4" s="1"/>
  <c r="J2" i="20"/>
  <c r="E2" i="28"/>
  <c r="F2" i="28" s="1"/>
  <c r="J2" i="19"/>
  <c r="D2" i="29"/>
  <c r="J2" i="26"/>
  <c r="H7" i="29"/>
  <c r="I7" i="29" s="1"/>
  <c r="E7" i="18"/>
  <c r="F7" i="18" s="1"/>
  <c r="E11" i="18"/>
  <c r="F11" i="18" s="1"/>
  <c r="E5" i="29"/>
  <c r="F5" i="29" s="1"/>
  <c r="E9" i="29"/>
  <c r="F9" i="29" s="1"/>
  <c r="H6" i="30"/>
  <c r="I6" i="30" s="1"/>
  <c r="J2" i="27"/>
  <c r="J2" i="28"/>
  <c r="J2" i="31"/>
  <c r="J2" i="33"/>
  <c r="E9" i="30"/>
  <c r="F9" i="30" s="1"/>
  <c r="E6" i="30"/>
  <c r="F6" i="30" s="1"/>
  <c r="E10" i="30"/>
  <c r="F10" i="30" s="1"/>
  <c r="H2" i="3"/>
  <c r="I2" i="3" s="1"/>
  <c r="E11" i="34"/>
  <c r="F11" i="34" s="1"/>
  <c r="E7" i="1"/>
  <c r="E12" i="34"/>
  <c r="F12" i="34" s="1"/>
  <c r="E5" i="34"/>
  <c r="F5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E4" i="34" s="1"/>
  <c r="F4" i="34" s="1"/>
  <c r="H5" i="18"/>
  <c r="I5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E7" i="34"/>
  <c r="F7" i="34" s="1"/>
  <c r="E8" i="34"/>
  <c r="F8" i="34" s="1"/>
  <c r="C2" i="29"/>
  <c r="C2" i="30"/>
  <c r="E4" i="29"/>
  <c r="F4" i="29" s="1"/>
  <c r="C2" i="18"/>
  <c r="H7" i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<sst xmlns="http://schemas.openxmlformats.org/spreadsheetml/2006/main" count="266" uniqueCount="72">
  <si>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</si>
  <si>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</si>
  <si>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</si>
  <si>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</si>
  <si>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</si>
  <si>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</si>
  <si>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</si>
  <si>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</si>
  <si>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</si>
  <si>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</si>
  <si>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</si>
  <si>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</si>
  <si>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</si>
  <si>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</si>
  <si>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</si>
  <si>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</si>
  <si>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</si>
  <si>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</si>
  <si>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</si>
  <si>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</si>
  <si>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</si>
  <si>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</si>
  <si>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offline from 01/01 to 01/04</t>
  </si>
  <si>
    <t>1. SR079271</t>
  </si>
  <si>
    <t>1. Inverter B2 was back online from 01/24.</t>
  </si>
  <si>
    <t>1. SR075641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</si>
  <si>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</si>
  <si>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</si>
  <si>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</si>
  <si>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</si>
  <si>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</si>
  <si>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</si>
  <si>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</si>
  <si>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</si>
  <si>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</si>
  <si>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</si>
  <si>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</si>
  <si>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</si>
  <si>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</si>
  <si>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</si>
  <si>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</si>
  <si>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</si>
  <si>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</si>
  <si>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</si>
  <si>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</si>
  <si>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</si>
  <si>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</si>
  <si>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</si>
  <si>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</si>
  <si>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Peoria</t>
  </si>
  <si>
    <t>Site DAS Name</t>
  </si>
  <si>
    <t>Update</t>
  </si>
  <si>
    <t>DAS</t>
  </si>
  <si>
    <t>City of Peoria, . - Beardsley WWTP - Admin Building</t>
  </si>
  <si>
    <t>AZ: Peoria - Beardsley WWTP - Ad. Bldg</t>
  </si>
  <si>
    <t>AZ</t>
  </si>
  <si>
    <t>Fire station 191(Peoria)</t>
  </si>
  <si>
    <t>AZ: Peoria - Fire Station 191</t>
  </si>
  <si>
    <t>Fire Station 195 (Peoria)</t>
  </si>
  <si>
    <t>AZ: Peoria - Fire Station 195</t>
  </si>
  <si>
    <t>Fire Station 196(Peoria)</t>
  </si>
  <si>
    <t>AZ: Peoria - Fire Station 196</t>
  </si>
  <si>
    <t>Fire Station 197 (Peoria)</t>
  </si>
  <si>
    <t>AZ: Peoria - Fire Station 197</t>
  </si>
  <si>
    <t>City of Peoria, . - Sunrise Library</t>
  </si>
  <si>
    <t>AZ: Peoria - Sunrise Library</t>
  </si>
  <si>
    <t>Beardsley WWTP - Trackers &amp; East Canopy</t>
  </si>
  <si>
    <t>AZ: Peoria - Beardsley WWTP</t>
  </si>
  <si>
    <t>City of Peoria, . - DCS - Municipal Complex</t>
  </si>
  <si>
    <t>AZ: Peoria - City Hall</t>
  </si>
  <si>
    <t>City of Peoria, . - Pinnacle Peak</t>
  </si>
  <si>
    <t>AZ: Peoria - Pinnacle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</si>
</sst>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2" totalsRowShown="0">
  <autoFilter ref="A3:E1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9"/>
  <sheetViews>
    <sheetView workbookViewId="0">
      <pane ySplit="2" topLeftCell="A3" activePane="bottomLeft" state="frozen"/>
      <selection pane="bottomLeft" activeCell="K17" sqref="K17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City of Peoria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SUM(C4:C97)</f>
        <v>181579.38493666664</v>
      </c>
      <c r="D2" s="6">
        <f>SUM(D4:D97)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SUM(G4:G97)</f>
        <v>240650.96400000004</v>
      </c>
      <c r="H2" s="8">
        <f>C2-G2</f>
        <v>-59071.579063333396</v>
      </c>
      <c r="I2" s="7">
        <f>IFERROR(H2/G2, 0)</f>
        <v>-0.24546579029425117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0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SUM('1st Qtr'!C4, '2nd Qtr'!C4, '3rd Qtr'!C4, '4th Qtr'!C4)</f>
        <v>4095.23549333337</v>
      </c>
      <c r="D4" s="14">
        <f>SUM('1st Qtr'!D4, '2nd Qtr'!D4, '3rd Qtr'!D4, '4th Qtr'!D4)</f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f>SUM('1st Qtr'!G4,'2nd Qtr'!G4,'3rd Qtr'!G4,'4th Qtr'!G4)</f>
        <v>8175.8209999999999</v>
      </c>
      <c r="H4" s="16">
        <f>SUM('1st Qtr'!H4, '2nd Qtr'!H4, '3rd Qtr'!H4, '4th Qtr'!H4)</f>
        <v>-4080.58550666663</v>
      </c>
      <c r="I4" s="17">
        <f>IFERROR(H4/G4, "")</f>
        <v>-0.49910406632760551</v>
      </c>
    </row>
    <row r="5" spans="1:9" ht="15.75">
      <c r="A5" s="19" t="str">
        <v>AZ: Peoria - Fire Station 191</v>
      </c>
      <c r="B5" s="11" t="str">
        <v>AZ</v>
      </c>
      <c r="C5" s="12">
        <f>SUM(Jan!C5, Feb!C5, Mar!C5)</f>
        <v>8711.7123166667297</v>
      </c>
      <c r="D5" s="20">
        <f>SUM(Jan!D5, Feb!D5, Mar!D5)</f>
        <v>7611.9250000000002</v>
      </c>
      <c r="E5" s="20">
        <f t="shared" ref="E5:E12" si="0">IF(AND(ISNUMBER(C5),ISNUMBER(D5)), C5-D5, "")</f>
        <v>1099.7873166667296</v>
      </c>
      <c r="F5" s="21">
        <f>IFERROR(E5/D5, "")</f>
        <v>0.1444821535507417</v>
      </c>
      <c r="G5" s="22">
        <f>SUM('1st Qtr'!G5,'2nd Qtr'!G5,'3rd Qtr'!G5,'4th Qtr'!G5)</f>
        <v>10085</v>
      </c>
      <c r="H5" s="22">
        <f>SUM(Jan!H5, Feb!H5, Mar!H5)</f>
        <v>-1373.2876833332703</v>
      </c>
      <c r="I5" s="21">
        <f>IFERROR(H5/G5, "")</f>
        <v>-0.13617131217979875</v>
      </c>
    </row>
    <row r="6" spans="1:9" ht="15.75">
      <c r="A6" s="13" t="str">
        <v>AZ: Peoria - Fire Station 195</v>
      </c>
      <c r="B6" s="10" t="str">
        <v>AZ</v>
      </c>
      <c r="C6" s="26">
        <f>SUM(Jan!C6, Feb!C6, Mar!C6)</f>
        <v>4067.6883133332599</v>
      </c>
      <c r="D6" s="14">
        <f>SUM(Jan!D6, Feb!D6, Mar!D6)</f>
        <v>3810.848</v>
      </c>
      <c r="E6" s="14">
        <f t="shared" si="0"/>
        <v>256.84031333325993</v>
      </c>
      <c r="F6" s="15">
        <f t="shared" ref="F6:F12" si="1">IFERROR(E6/D6, "")</f>
        <v>6.7397154998903114E-2</v>
      </c>
      <c r="G6" s="16">
        <f>SUM('1st Qtr'!G6,'2nd Qtr'!G6,'3rd Qtr'!G6,'4th Qtr'!G6)</f>
        <v>5705.7020000000002</v>
      </c>
      <c r="H6" s="16">
        <f>SUM(Jan!H6, Feb!H6, Mar!H6)</f>
        <v>-1638.0136866667403</v>
      </c>
      <c r="I6" s="17">
        <f>IFERROR(H6/G6, "")</f>
        <v>-0.28708363785328084</v>
      </c>
    </row>
    <row r="7" spans="1:9" ht="15.75">
      <c r="A7" s="19" t="str">
        <v>AZ: Peoria - Fire Station 196</v>
      </c>
      <c r="B7" s="11" t="str">
        <v>AZ</v>
      </c>
      <c r="C7" s="12">
        <f>SUM(Jan!C7, Feb!C7, Mar!C7)</f>
        <v>3092.2811733333301</v>
      </c>
      <c r="D7" s="20">
        <f>SUM(Jan!D7, Feb!D7, Mar!D7)</f>
        <v>0</v>
      </c>
      <c r="E7" s="20">
        <f t="shared" si="0"/>
        <v>3092.2811733333301</v>
      </c>
      <c r="F7" s="21">
        <f>IFERROR(E7/D7, 0)</f>
        <v>0</v>
      </c>
      <c r="G7" s="22">
        <f>SUM('1st Qtr'!G7,'2nd Qtr'!G7,'3rd Qtr'!G7,'4th Qtr'!G7)</f>
        <v>0</v>
      </c>
      <c r="H7" s="22">
        <f>SUM(Jan!H7, Feb!H7, Mar!H7)</f>
        <v>3092.2811733333301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SUM(Jan!C8, Feb!C8, Mar!C8)</f>
        <v>6174.4869200000503</v>
      </c>
      <c r="D8" s="14">
        <f>SUM(Jan!D8, Feb!D8, Mar!D8)</f>
        <v>5275.9229999999998</v>
      </c>
      <c r="E8" s="14">
        <f t="shared" si="0"/>
        <v>898.56392000005053</v>
      </c>
      <c r="F8" s="15">
        <f t="shared" si="1"/>
        <v>0.17031407016365677</v>
      </c>
      <c r="G8" s="16">
        <f>SUM('1st Qtr'!G8,'2nd Qtr'!G8,'3rd Qtr'!G8,'4th Qtr'!G8)</f>
        <v>7203.8609999999999</v>
      </c>
      <c r="H8" s="16">
        <f>SUM(Jan!H8, Feb!H8, Mar!H8)</f>
        <v>-1029.3740799999496</v>
      </c>
      <c r="I8" s="17">
        <f>IFERROR(H8/G8, "")</f>
        <v>-0.14289199638915154</v>
      </c>
    </row>
    <row r="9" spans="1:9" ht="15.75">
      <c r="A9" s="19" t="str">
        <v>AZ: Peoria - Sunrise Library</v>
      </c>
      <c r="B9" s="11" t="str">
        <v>AZ</v>
      </c>
      <c r="C9" s="12">
        <f>SUM(Jan!C9, Feb!C9, Mar!C9)</f>
        <v>15881.2307199999</v>
      </c>
      <c r="D9" s="20">
        <f>SUM(Jan!D9, Feb!D9, Mar!D9)</f>
        <v>10942.25</v>
      </c>
      <c r="E9" s="20">
        <f t="shared" si="0"/>
        <v>4938.9807199998995</v>
      </c>
      <c r="F9" s="21">
        <f t="shared" si="1"/>
        <v>0.45136792889944022</v>
      </c>
      <c r="G9" s="22">
        <f>SUM('1st Qtr'!G9,'2nd Qtr'!G9,'3rd Qtr'!G9,'4th Qtr'!G9)</f>
        <v>22243</v>
      </c>
      <c r="H9" s="22">
        <f>SUM(Jan!H9, Feb!H9, Mar!H9)</f>
        <v>-6361.7692800001005</v>
      </c>
      <c r="I9" s="21">
        <f>IFERROR(H9/G9, "")</f>
        <v>-0.28601219619656076</v>
      </c>
    </row>
    <row r="10" spans="1:9" ht="15.75">
      <c r="A10" s="13" t="str">
        <v>AZ: Peoria - Beardsley WWTP</v>
      </c>
      <c r="B10" s="10" t="str">
        <v>AZ</v>
      </c>
      <c r="C10" s="26">
        <f>SUM(Jan!C10, Feb!C10, Mar!C10)</f>
        <v>102879</v>
      </c>
      <c r="D10" s="14">
        <f>SUM(Jan!D10, Feb!D10, Mar!D10)</f>
        <v>128491.1</v>
      </c>
      <c r="E10" s="14">
        <f t="shared" si="0"/>
        <v>-25612.100000000006</v>
      </c>
      <c r="F10" s="15">
        <f t="shared" si="1"/>
        <v>-0.19932975902611158</v>
      </c>
      <c r="G10" s="16">
        <f>SUM('1st Qtr'!G10,'2nd Qtr'!G10,'3rd Qtr'!G10,'4th Qtr'!G10)</f>
        <v>138763</v>
      </c>
      <c r="H10" s="16">
        <f>SUM(Jan!H10, Feb!H10, Mar!H10)</f>
        <v>-35884</v>
      </c>
      <c r="I10" s="17">
        <f>IFERROR(H10/G10, "")</f>
        <v>-0.25859919430972234</v>
      </c>
    </row>
    <row r="11" spans="1:9" ht="15.75">
      <c r="A11" s="19" t="str">
        <v>AZ: Peoria - City Hall</v>
      </c>
      <c r="B11" s="11" t="str">
        <v>AZ</v>
      </c>
      <c r="C11" s="12">
        <f>SUM(Jan!C11, Feb!C11, Mar!C11)</f>
        <v>22132.5</v>
      </c>
      <c r="D11" s="20">
        <f>SUM(Jan!D11, Feb!D11, Mar!D11)</f>
        <v>21050.03</v>
      </c>
      <c r="E11" s="20">
        <f t="shared" si="0"/>
        <v>1082.4700000000012</v>
      </c>
      <c r="F11" s="21">
        <f t="shared" si="1"/>
        <v>5.1423679681216666E-2</v>
      </c>
      <c r="G11" s="22">
        <f>SUM('1st Qtr'!G11,'2nd Qtr'!G11,'3rd Qtr'!G11,'4th Qtr'!G11)</f>
        <v>31892.58</v>
      </c>
      <c r="H11" s="22">
        <f>SUM(Jan!H11, Feb!H11, Mar!H11)</f>
        <v>-9760.0800000000017</v>
      </c>
      <c r="I11" s="21">
        <f>IFERROR(H11/G11, "")</f>
        <v>-0.30602980379762318</v>
      </c>
    </row>
    <row r="12" spans="1:9" ht="15.75">
      <c r="A12" s="13" t="str">
        <v>AZ: Peoria - Pinnacle Peak</v>
      </c>
      <c r="B12" s="10" t="str">
        <v>AZ</v>
      </c>
      <c r="C12" s="26">
        <f>SUM(Jan!C12, Feb!C12, Mar!C12)</f>
        <v>14545.25</v>
      </c>
      <c r="D12" s="14">
        <f>SUM(Jan!D12, Feb!D12, Mar!D12)</f>
        <v>12039.23</v>
      </c>
      <c r="E12" s="14">
        <f t="shared" si="0"/>
        <v>2506.0200000000004</v>
      </c>
      <c r="F12" s="15">
        <f t="shared" si="1"/>
        <v>0.20815450822021014</v>
      </c>
      <c r="G12" s="16">
        <f>SUM('1st Qtr'!G12,'2nd Qtr'!G12,'3rd Qtr'!G12,'4th Qtr'!G12)</f>
        <v>16582</v>
      </c>
      <c r="H12" s="16">
        <f>SUM(Jan!H12, Feb!H12, Mar!H12)</f>
        <v>-2036.75</v>
      </c>
      <c r="I12" s="17">
        <f>IFERROR(H12/G12, "")</f>
        <v>-0.12282897117356169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7 I4:I9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E20" sqref="E20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City of Peoria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SUM(Jan!C4, Feb!C4, Mar!C4)</f>
        <v>4095.23549333337</v>
      </c>
      <c r="D4" s="14">
        <f>SUM(Jan!D4, Feb!D4, Mar!D4)</f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f>SUM(Jan!G4, Feb!G4, Mar!G4)</f>
        <v>8175.8209999999999</v>
      </c>
      <c r="H4" s="16">
        <f>SUM(Jan!H4, Feb!H4, Mar!H4)</f>
        <v>-4080.58550666663</v>
      </c>
      <c r="I4" s="17">
        <f>IFERROR(H4/G4, "")</f>
        <v>-0.49910406632760551</v>
      </c>
    </row>
    <row r="5" spans="1:9" ht="15.75">
      <c r="A5" s="19" t="str">
        <v>AZ: Peoria - Fire Station 191</v>
      </c>
      <c r="B5" s="11" t="str">
        <v>AZ</v>
      </c>
      <c r="C5" s="12">
        <f>SUM(Jan!C5, Feb!C5, Mar!C5)</f>
        <v>8711.7123166667297</v>
      </c>
      <c r="D5" s="20">
        <f>SUM(Jan!D5, Feb!D5, Mar!D5)</f>
        <v>7611.9250000000002</v>
      </c>
      <c r="E5" s="20">
        <f t="shared" ref="E5:E12" si="0">IF(AND(ISNUMBER(C5),ISNUMBER(D5)), C5-D5, "")</f>
        <v>1099.7873166667296</v>
      </c>
      <c r="F5" s="21">
        <f>IFERROR(E5/D5, "")</f>
        <v>0.1444821535507417</v>
      </c>
      <c r="G5" s="22">
        <f>SUM(Jan!G5, Feb!G5, Mar!G5)</f>
        <v>10085</v>
      </c>
      <c r="H5" s="22">
        <f>SUM(Jan!H5, Feb!H5, Mar!H5)</f>
        <v>-1373.2876833332703</v>
      </c>
      <c r="I5" s="21">
        <f>IFERROR(H5/G5, "")</f>
        <v>-0.13617131217979875</v>
      </c>
    </row>
    <row r="6" spans="1:9" ht="15.75">
      <c r="A6" s="13" t="str">
        <v>AZ: Peoria - Fire Station 195</v>
      </c>
      <c r="B6" s="10" t="str">
        <v>AZ</v>
      </c>
      <c r="C6" s="26">
        <f>SUM(Jan!C6, Feb!C6, Mar!C6)</f>
        <v>4067.6883133332599</v>
      </c>
      <c r="D6" s="14">
        <f>SUM(Jan!D6, Feb!D6, Mar!D6)</f>
        <v>3810.848</v>
      </c>
      <c r="E6" s="14">
        <f t="shared" si="0"/>
        <v>256.84031333325993</v>
      </c>
      <c r="F6" s="15">
        <f t="shared" ref="F6:F12" si="1">IFERROR(E6/D6, "")</f>
        <v>6.7397154998903114E-2</v>
      </c>
      <c r="G6" s="16">
        <f>SUM(Jan!G6, Feb!G6, Mar!G6)</f>
        <v>5705.7020000000002</v>
      </c>
      <c r="H6" s="16">
        <f>SUM(Jan!H6, Feb!H6, Mar!H6)</f>
        <v>-1638.0136866667403</v>
      </c>
      <c r="I6" s="17">
        <f t="shared" ref="I6:I12" si="2">IFERROR(H6/G6, "")</f>
        <v>-0.28708363785328084</v>
      </c>
    </row>
    <row r="7" spans="1:9" ht="15.75">
      <c r="A7" s="19" t="str">
        <v>AZ: Peoria - Fire Station 196</v>
      </c>
      <c r="B7" s="11" t="str">
        <v>AZ</v>
      </c>
      <c r="C7" s="12">
        <f>SUM(Jan!C7, Feb!C7, Mar!C7)</f>
        <v>3092.2811733333301</v>
      </c>
      <c r="D7" s="20">
        <f>SUM(Jan!D7, Feb!D7, Mar!D7)</f>
        <v>0</v>
      </c>
      <c r="E7" s="20">
        <f t="shared" si="0"/>
        <v>3092.2811733333301</v>
      </c>
      <c r="F7" s="21">
        <f>IFERROR(E7/D7, 0)</f>
        <v>0</v>
      </c>
      <c r="G7" s="22">
        <f>SUM(Jan!G7, Feb!G7, Mar!G7)</f>
        <v>0</v>
      </c>
      <c r="H7" s="22">
        <f>SUM(Jan!H7, Feb!H7, Mar!H7)</f>
        <v>3092.2811733333301</v>
      </c>
      <c r="I7" s="21">
        <f>IFERROR(H7/G7, 0)</f>
        <v>0</v>
      </c>
    </row>
    <row r="8" spans="1:9" ht="15.75">
      <c r="A8" s="13" t="str">
        <v>AZ: Peoria - Fire Station 197</v>
      </c>
      <c r="B8" s="10" t="str">
        <v>AZ</v>
      </c>
      <c r="C8" s="26">
        <f>SUM(Jan!C8, Feb!C8, Mar!C8)</f>
        <v>6174.4869200000503</v>
      </c>
      <c r="D8" s="14">
        <f>SUM(Jan!D8, Feb!D8, Mar!D8)</f>
        <v>5275.9229999999998</v>
      </c>
      <c r="E8" s="14">
        <f t="shared" si="0"/>
        <v>898.56392000005053</v>
      </c>
      <c r="F8" s="15">
        <f t="shared" si="1"/>
        <v>0.17031407016365677</v>
      </c>
      <c r="G8" s="16">
        <f>SUM(Jan!G8, Feb!G8, Mar!G8)</f>
        <v>7203.8609999999999</v>
      </c>
      <c r="H8" s="16">
        <f>SUM(Jan!H8, Feb!H8, Mar!H8)</f>
        <v>-1029.3740799999496</v>
      </c>
      <c r="I8" s="17">
        <f t="shared" si="2"/>
        <v>-0.14289199638915154</v>
      </c>
    </row>
    <row r="9" spans="1:9" ht="15.75">
      <c r="A9" s="19" t="str">
        <v>AZ: Peoria - Sunrise Library</v>
      </c>
      <c r="B9" s="11" t="str">
        <v>AZ</v>
      </c>
      <c r="C9" s="12">
        <f>SUM(Jan!C9, Feb!C9, Mar!C9)</f>
        <v>15881.2307199999</v>
      </c>
      <c r="D9" s="20">
        <f>SUM(Jan!D9, Feb!D9, Mar!D9)</f>
        <v>10942.25</v>
      </c>
      <c r="E9" s="20">
        <f t="shared" si="0"/>
        <v>4938.9807199998995</v>
      </c>
      <c r="F9" s="21">
        <f t="shared" si="1"/>
        <v>0.45136792889944022</v>
      </c>
      <c r="G9" s="22">
        <f>SUM(Jan!G9, Feb!G9, Mar!G9)</f>
        <v>22243</v>
      </c>
      <c r="H9" s="22">
        <f>SUM(Jan!H9, Feb!H9, Mar!H9)</f>
        <v>-6361.7692800001005</v>
      </c>
      <c r="I9" s="21">
        <f t="shared" si="2"/>
        <v>-0.28601219619656076</v>
      </c>
    </row>
    <row r="10" spans="1:9" ht="15.75">
      <c r="A10" s="13" t="str">
        <v>AZ: Peoria - Beardsley WWTP</v>
      </c>
      <c r="B10" s="10" t="str">
        <v>AZ</v>
      </c>
      <c r="C10" s="26">
        <f>SUM(Jan!C10, Feb!C10, Mar!C10)</f>
        <v>102879</v>
      </c>
      <c r="D10" s="14">
        <f>SUM(Jan!D10, Feb!D10, Mar!D10)</f>
        <v>128491.1</v>
      </c>
      <c r="E10" s="14">
        <f t="shared" si="0"/>
        <v>-25612.100000000006</v>
      </c>
      <c r="F10" s="15">
        <f t="shared" si="1"/>
        <v>-0.19932975902611158</v>
      </c>
      <c r="G10" s="16">
        <f>SUM(Jan!G10, Feb!G10, Mar!G10)</f>
        <v>138763</v>
      </c>
      <c r="H10" s="16">
        <f>SUM(Jan!H10, Feb!H10, Mar!H10)</f>
        <v>-35884</v>
      </c>
      <c r="I10" s="17">
        <f t="shared" si="2"/>
        <v>-0.25859919430972234</v>
      </c>
    </row>
    <row r="11" spans="1:9" ht="15.75">
      <c r="A11" s="19" t="str">
        <v>AZ: Peoria - City Hall</v>
      </c>
      <c r="B11" s="11" t="str">
        <v>AZ</v>
      </c>
      <c r="C11" s="12">
        <f>SUM(Jan!C11, Feb!C11, Mar!C11)</f>
        <v>22132.5</v>
      </c>
      <c r="D11" s="20">
        <f>SUM(Jan!D11, Feb!D11, Mar!D11)</f>
        <v>21050.03</v>
      </c>
      <c r="E11" s="20">
        <f t="shared" si="0"/>
        <v>1082.4700000000012</v>
      </c>
      <c r="F11" s="21">
        <f t="shared" si="1"/>
        <v>5.1423679681216666E-2</v>
      </c>
      <c r="G11" s="22">
        <f>SUM(Jan!G11, Feb!G11, Mar!G11)</f>
        <v>31892.58</v>
      </c>
      <c r="H11" s="22">
        <f>SUM(Jan!H11, Feb!H11, Mar!H11)</f>
        <v>-9760.0800000000017</v>
      </c>
      <c r="I11" s="21">
        <f t="shared" si="2"/>
        <v>-0.30602980379762318</v>
      </c>
    </row>
    <row r="12" spans="1:9" ht="15.75">
      <c r="A12" s="13" t="str">
        <v>AZ: Peoria - Pinnacle Peak</v>
      </c>
      <c r="B12" s="10" t="str">
        <v>AZ</v>
      </c>
      <c r="C12" s="26">
        <f>SUM(Jan!C12, Feb!C12, Mar!C12)</f>
        <v>14545.25</v>
      </c>
      <c r="D12" s="14">
        <f>SUM(Jan!D12, Feb!D12, Mar!D12)</f>
        <v>12039.23</v>
      </c>
      <c r="E12" s="14">
        <f t="shared" si="0"/>
        <v>2506.0200000000004</v>
      </c>
      <c r="F12" s="15">
        <f t="shared" si="1"/>
        <v>0.20815450822021014</v>
      </c>
      <c r="G12" s="16">
        <f>SUM(Jan!G12, Feb!G12, Mar!G12)</f>
        <v>16582</v>
      </c>
      <c r="H12" s="16">
        <f>SUM(Jan!H12, Feb!H12, Mar!H12)</f>
        <v>-2036.75</v>
      </c>
      <c r="I12" s="17">
        <f t="shared" si="2"/>
        <v>-0.12282897117356169</v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75" customHeight="1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6 I4:I9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City of Peoria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SUM(Apr!H6, May!H6, Jun!H6)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7 I4:I9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City of Peoria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SUM(Jul!H6, Aug!H6, Sep!H6)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City of Peoria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12">Sites[Site]</f>
        <v>AZ: Peoria - Beardsley WWTP - Ad. Bldg</v>
      </c>
      <c r="B4" s="10" t="str" cm="1">
        <f t="array" ref="B4:B12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Peoria - Fire Station 191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2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Peoria - Fire Station 195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2" si="1">IFERROR(E6/D6, "")</f>
        <v/>
      </c>
      <c r="G6" s="16"/>
      <c r="H6" s="16">
        <f>SUM(Oct!H6, Nov!H6, Dec!H6)</f>
        <v>0</v>
      </c>
      <c r="I6" s="17" t="str">
        <f t="shared" ref="I6:I12" si="2">IFERROR(H6/G6, "")</f>
        <v/>
      </c>
    </row>
    <row r="7" spans="1:9" ht="15.75">
      <c r="A7" s="19" t="str">
        <v>AZ: Peoria - Fire Station 196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AZ: Peoria - Fire Station 197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AZ: Peoria - Sunrise Library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AZ: Peoria - Beardsley WWTP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AZ: Peoria - City Hall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AZ: Peoria - Pinnacle Peak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75" customHeight="1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1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1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1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1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1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1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15">
      <c r="A339" s="23"/>
      <c r="B339" s="23"/>
      <c r="C339" s="23"/>
      <c r="D339" s="23"/>
      <c r="E339" s="23"/>
      <c r="F339" s="24"/>
      <c r="G339" s="23"/>
      <c r="H339" s="23"/>
      <c r="I339" s="24"/>
    </row>
  </sheetData>
  <mergeCells count="4">
    <mergeCell ref="G1:I1"/>
    <mergeCell ref="A1:C1"/>
    <mergeCell ref="D1:F1"/>
    <mergeCell ref="A2:B2"/>
  </mergeCells>
  <conditionalFormatting sqref="F2 I2 F4:F97 I4:I9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8"/>
  <sheetViews>
    <sheetView tabSelected="1" workbookViewId="0">
      <pane ySplit="3" topLeftCell="A4" activePane="bottomLeft" state="frozen"/>
      <selection pane="bottomLeft" activeCell="D21" sqref="D21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SUM(C4:C96)</f>
        <v>181579.38493666664</v>
      </c>
      <c r="D2" s="6">
        <f>SUM(D4:D96)</f>
        <v>192109.33300000001</v>
      </c>
      <c r="E2" s="6">
        <f>C2-D2</f>
        <v>-10529.948063333373</v>
      </c>
      <c r="F2" s="7">
        <f>IFERROR(E2/D2, 0)</f>
        <v>-5.4812267050728725E-2</v>
      </c>
      <c r="G2" s="6">
        <f>SUM(G4:G96)</f>
        <v>240650.96400000004</v>
      </c>
      <c r="H2" s="8">
        <f>C2-G2</f>
        <v>-59071.579063333396</v>
      </c>
      <c r="I2" s="7">
        <f>IFERROR(H2/G2, 0)</f>
        <v>-0.24546579029425117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>
        <v>4095.23549333337</v>
      </c>
      <c r="D4" s="14">
        <v>2888.027</v>
      </c>
      <c r="E4" s="14">
        <f>IF(AND(ISNUMBER(C4),ISNUMBER(D4)), C4-D4, "")</f>
        <v>1207.2084933333699</v>
      </c>
      <c r="F4" s="15">
        <f>IFERROR(E4/D4, "")</f>
        <v>0.41800457313362027</v>
      </c>
      <c r="G4" s="16">
        <v>8175.8209999999999</v>
      </c>
      <c r="H4" s="16">
        <f>IF(AND(ISNUMBER(C4),ISNUMBER(G4)), C4-G4, "")</f>
        <v>-4080.58550666663</v>
      </c>
      <c r="I4" s="17">
        <f>IFERROR(H4/G4, "")</f>
        <v>-0.49910406632760551</v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>
        <v>8711.7123166667297</v>
      </c>
      <c r="D5" s="20">
        <v>7611.9250000000002</v>
      </c>
      <c r="E5" s="20">
        <f t="shared" ref="E5:E6" si="0">IF(AND(ISNUMBER(C5),ISNUMBER(D5)), C5-D5, "")</f>
        <v>1099.7873166667296</v>
      </c>
      <c r="F5" s="21">
        <f>IFERROR(E5/D5, "")</f>
        <v>0.1444821535507417</v>
      </c>
      <c r="G5" s="22">
        <v>10085</v>
      </c>
      <c r="H5" s="22">
        <f t="shared" ref="H5:H6" si="1">IF(AND(ISNUMBER(C5),ISNUMBER(G5)), C5-G5, "")</f>
        <v>-1373.2876833332703</v>
      </c>
      <c r="I5" s="21">
        <f t="shared" ref="I5:I6" si="2">IFERROR(H5/G5, "")</f>
        <v>-0.13617131217979875</v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>
        <v>4067.6883133332599</v>
      </c>
      <c r="D6" s="14">
        <v>3810.848</v>
      </c>
      <c r="E6" s="14">
        <f t="shared" si="0"/>
        <v>256.84031333325993</v>
      </c>
      <c r="F6" s="15">
        <f t="shared" ref="F6:F12" si="3">IFERROR(E6/D6, "")</f>
        <v>6.7397154998903114E-2</v>
      </c>
      <c r="G6" s="16">
        <v>5705.7020000000002</v>
      </c>
      <c r="H6" s="16">
        <f t="shared" si="1"/>
        <v>-1638.0136866667403</v>
      </c>
      <c r="I6" s="17">
        <f t="shared" si="2"/>
        <v>-0.28708363785328084</v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>
        <v>3092.2811733333301</v>
      </c>
      <c r="D7" s="20">
        <v>0</v>
      </c>
      <c r="E7" s="20">
        <f>IF(AND(ISNUMBER(C7),ISNUMBER(D7)), C7-D7, "")</f>
        <v>3092.2811733333301</v>
      </c>
      <c r="F7" s="21">
        <f>IFERROR(E7/D7, 0)</f>
        <v>0</v>
      </c>
      <c r="G7" s="22">
        <v>0</v>
      </c>
      <c r="H7" s="22">
        <f t="shared" ref="H7:H12" si="4">IF(AND(ISNUMBER(C7),ISNUMBER(G7)), C7-G7, "")</f>
        <v>3092.2811733333301</v>
      </c>
      <c r="I7" s="21">
        <f>IFERROR(H7/G7, 0)</f>
        <v>0</v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>
        <v>6174.4869200000503</v>
      </c>
      <c r="D8" s="14">
        <v>5275.9229999999998</v>
      </c>
      <c r="E8" s="14">
        <f>IF(AND(ISNUMBER(C8),ISNUMBER(D8)), C8-D8, "")</f>
        <v>898.56392000005053</v>
      </c>
      <c r="F8" s="15">
        <f>IFERROR(E8/D8, "")</f>
        <v>0.17031407016365677</v>
      </c>
      <c r="G8" s="16">
        <v>7203.8609999999999</v>
      </c>
      <c r="H8" s="16">
        <f>IF(AND(ISNUMBER(C8),ISNUMBER(G8)), C8-G8, "")</f>
        <v>-1029.3740799999496</v>
      </c>
      <c r="I8" s="17">
        <f t="shared" ref="I8:I12" si="5">IFERROR(H8/G8, "")</f>
        <v>-0.14289199638915154</v>
      </c>
      <c r="J8" s="18" t="s">
        <v>22</v>
      </c>
      <c r="K8" s="18" t="s">
        <v>23</v>
      </c>
    </row>
    <row r="9" spans="1:11" ht="15.75">
      <c r="A9" s="32" t="str">
        <v>AZ: Peoria - Sunrise Library</v>
      </c>
      <c r="B9" s="33" t="str">
        <v>AZ</v>
      </c>
      <c r="C9" s="12">
        <v>15881.2307199999</v>
      </c>
      <c r="D9" s="20">
        <v>10942.25</v>
      </c>
      <c r="E9" s="20">
        <f>IF(AND(ISNUMBER(C9),ISNUMBER(D9)), C9-D9, "")</f>
        <v>4938.9807199998995</v>
      </c>
      <c r="F9" s="21">
        <f>IFERROR(E9/D9, "")</f>
        <v>0.45136792889944022</v>
      </c>
      <c r="G9" s="22">
        <v>22243</v>
      </c>
      <c r="H9" s="22">
        <f>IF(AND(ISNUMBER(C9),ISNUMBER(G9)), C9-G9, "")</f>
        <v>-6361.7692800001005</v>
      </c>
      <c r="I9" s="21">
        <f t="shared" si="5"/>
        <v>-0.28601219619656076</v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>
        <v>102879</v>
      </c>
      <c r="D10" s="14">
        <v>128491.1</v>
      </c>
      <c r="E10" s="14">
        <f t="shared" ref="E10:E12" si="6">IF(AND(ISNUMBER(C10),ISNUMBER(D10)), C10-D10, "")</f>
        <v>-25612.100000000006</v>
      </c>
      <c r="F10" s="15">
        <f t="shared" si="3"/>
        <v>-0.19932975902611158</v>
      </c>
      <c r="G10" s="16">
        <v>138763</v>
      </c>
      <c r="H10" s="16">
        <f t="shared" si="4"/>
        <v>-35884</v>
      </c>
      <c r="I10" s="17">
        <f t="shared" si="5"/>
        <v>-0.25859919430972234</v>
      </c>
      <c r="J10" s="18" t="s">
        <v>24</v>
      </c>
      <c r="K10" s="18" t="s">
        <v>25</v>
      </c>
    </row>
    <row r="11" spans="1:11" ht="15.75">
      <c r="A11" s="32" t="str">
        <v>AZ: Peoria - City Hall</v>
      </c>
      <c r="B11" s="33" t="str">
        <v>AZ</v>
      </c>
      <c r="C11" s="12">
        <v>22132.5</v>
      </c>
      <c r="D11" s="20">
        <v>21050.03</v>
      </c>
      <c r="E11" s="20">
        <f t="shared" si="6"/>
        <v>1082.4700000000012</v>
      </c>
      <c r="F11" s="21">
        <f t="shared" si="3"/>
        <v>5.1423679681216666E-2</v>
      </c>
      <c r="G11" s="22">
        <v>31892.58</v>
      </c>
      <c r="H11" s="22">
        <f t="shared" si="4"/>
        <v>-9760.0800000000017</v>
      </c>
      <c r="I11" s="21">
        <f t="shared" si="5"/>
        <v>-0.30602980379762318</v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>
        <v>14545.25</v>
      </c>
      <c r="D12" s="14">
        <v>12039.23</v>
      </c>
      <c r="E12" s="14">
        <f t="shared" si="6"/>
        <v>2506.0200000000004</v>
      </c>
      <c r="F12" s="15">
        <f t="shared" si="3"/>
        <v>0.20815450822021014</v>
      </c>
      <c r="G12" s="16">
        <v>16582</v>
      </c>
      <c r="H12" s="16">
        <f t="shared" si="4"/>
        <v>-2036.75</v>
      </c>
      <c r="I12" s="17">
        <f t="shared" si="5"/>
        <v>-0.12282897117356169</v>
      </c>
      <c r="J12" s="18"/>
      <c r="K12" s="18"/>
    </row>
    <row r="13" spans="1:11" ht="14.25">
      <c r="A13" s="23"/>
      <c r="B13" s="35"/>
      <c r="C13" s="23"/>
      <c r="D13" s="23"/>
      <c r="E13" s="23" t="str">
        <f t="shared" ref="E13" si="7">IF(AND(ISNUMBER(C13),ISNUMBER(D13)), C13-D13, "")</f>
        <v/>
      </c>
      <c r="F13" s="23" t="str">
        <f t="shared" ref="F13" si="8">IFERROR(E13/D13, "")</f>
        <v/>
      </c>
      <c r="G13" s="23"/>
      <c r="H13" s="23" t="str">
        <f t="shared" ref="H13" si="9">IF(AND(ISNUMBER(C13),ISNUMBER(G13)), C13-G13, "")</f>
        <v/>
      </c>
      <c r="I13" s="23" t="str">
        <f t="shared" ref="I13" si="10">IFERROR(H13/G13, "")</f>
        <v/>
      </c>
      <c r="J13" s="23"/>
      <c r="K13" s="23"/>
    </row>
    <row r="14" spans="1:11" ht="12.75" customHeight="1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</sheetData>
  <mergeCells count="4">
    <mergeCell ref="D1:F1"/>
    <mergeCell ref="A1:C1"/>
    <mergeCell ref="G1:I1"/>
    <mergeCell ref="A2:B2"/>
  </mergeCells>
  <conditionalFormatting sqref="F2 I2 F4:F96 I4:I9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9"/>
  <sheetViews>
    <sheetView workbookViewId="0">
      <pane ySplit="2" topLeftCell="A32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7 I4:I97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9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SUM(C4:C97)</f>
        <v>0</v>
      </c>
      <c r="D2" s="6">
        <f>SUM(D4:D97)</f>
        <v>0</v>
      </c>
      <c r="E2" s="6">
        <f>C2-D2</f>
        <v>0</v>
      </c>
      <c r="F2" s="7">
        <f>IFERROR(E2/D2, 0)</f>
        <v>0</v>
      </c>
      <c r="G2" s="6">
        <f>SUM(G4:G97)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2.75" customHeight="1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2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2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2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2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2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3.9">
      <c r="C339" s="23"/>
      <c r="D339" s="23"/>
      <c r="E339" s="23"/>
      <c r="F339" s="24"/>
      <c r="G339" s="23"/>
      <c r="H339" s="23"/>
      <c r="I339" s="24"/>
      <c r="J339" s="23"/>
      <c r="K339" s="23"/>
    </row>
  </sheetData>
  <mergeCells count="4">
    <mergeCell ref="G1:I1"/>
    <mergeCell ref="A1:C1"/>
    <mergeCell ref="D1:F1"/>
    <mergeCell ref="A2:B2"/>
  </mergeCells>
  <conditionalFormatting sqref="F2 I2 F4:F97 I4:I97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6"/>
  <sheetViews>
    <sheetView workbookViewId="0">
      <pane ySplit="2" topLeftCell="A3" activePane="bottomLeft" state="frozen"/>
      <selection pane="bottomLeft" activeCell="A13" sqref="A13:XFD13"/>
      <selection activeCell="A13" sqref="A13:XFD1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City of Peoria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SUM(C4:C94)</f>
        <v>0</v>
      </c>
      <c r="D2" s="6">
        <f>SUM(D4:D94)</f>
        <v>0</v>
      </c>
      <c r="E2" s="6">
        <f>C2-D2</f>
        <v>0</v>
      </c>
      <c r="F2" s="7">
        <f>IFERROR(E2/D2, 0)</f>
        <v>0</v>
      </c>
      <c r="G2" s="6">
        <f>SUM(G4:G94)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12">Sites[Site]</f>
        <v>AZ: Peoria - Beardsley WWTP - Ad. Bldg</v>
      </c>
      <c r="B4" s="31" t="str" cm="1">
        <f t="array" ref="B4:B12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Peoria - Fire Station 191</v>
      </c>
      <c r="B5" s="33" t="str">
        <v>AZ</v>
      </c>
      <c r="C5" s="12"/>
      <c r="D5" s="20"/>
      <c r="E5" s="20" t="str">
        <f t="shared" ref="E5:E12" si="0">IF(AND(ISNUMBER(C5),ISNUMBER(D5)), C5-D5, "")</f>
        <v/>
      </c>
      <c r="F5" s="21" t="str">
        <f>IFERROR(E5/D5, "")</f>
        <v/>
      </c>
      <c r="G5" s="22"/>
      <c r="H5" s="22" t="str">
        <f t="shared" ref="H5:H12" si="1">IF(AND(ISNUMBER(C5),ISNUMBER(G5)), C5-G5, "")</f>
        <v/>
      </c>
      <c r="I5" s="21" t="str">
        <f t="shared" ref="I5:I12" si="2">IFERROR(H5/G5, "")</f>
        <v/>
      </c>
      <c r="J5" s="11"/>
      <c r="K5" s="19"/>
    </row>
    <row r="6" spans="1:11" ht="15.75">
      <c r="A6" s="30" t="str">
        <v>AZ: Peoria - Fire Station 195</v>
      </c>
      <c r="B6" s="31" t="str">
        <v>AZ</v>
      </c>
      <c r="C6" s="26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Peoria - Fire Station 196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AZ: Peoria - Fire Station 197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AZ: Peoria - Sunrise Library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AZ: Peoria - Beardsley WWTP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AZ: Peoria - City Hall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AZ: Peoria - Pinnacle Peak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2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3.9">
      <c r="C336" s="23"/>
      <c r="D336" s="23"/>
      <c r="E336" s="23"/>
      <c r="F336" s="24"/>
      <c r="G336" s="23"/>
      <c r="H336" s="23"/>
      <c r="I336" s="24"/>
      <c r="J336" s="23"/>
      <c r="K336" s="23"/>
    </row>
  </sheetData>
  <mergeCells count="4">
    <mergeCell ref="G1:I1"/>
    <mergeCell ref="A1:C1"/>
    <mergeCell ref="D1:F1"/>
    <mergeCell ref="A2:B2"/>
  </mergeCells>
  <conditionalFormatting sqref="F2 I2 F4:F94 I4:I94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2"/>
  <sheetViews>
    <sheetView workbookViewId="0">
      <pane ySplit="3" topLeftCell="A4" activePane="bottomLeft" state="frozen"/>
      <selection pane="bottomLeft" activeCell="A13" sqref="A13:XFD13"/>
      <selection activeCell="A13" sqref="A13:XF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t="s">
        <v>53</v>
      </c>
      <c r="B4" t="s">
        <v>54</v>
      </c>
      <c r="C4" s="4" t="s">
        <v>55</v>
      </c>
      <c r="G4" s="3"/>
    </row>
    <row r="5" spans="1:7" ht="14.25">
      <c r="A5" t="s">
        <v>56</v>
      </c>
      <c r="B5" t="s">
        <v>57</v>
      </c>
      <c r="C5" s="4" t="s">
        <v>55</v>
      </c>
      <c r="G5" s="3"/>
    </row>
    <row r="6" spans="1:7" ht="14.25">
      <c r="A6" t="s">
        <v>58</v>
      </c>
      <c r="B6" t="s">
        <v>59</v>
      </c>
      <c r="C6" s="4" t="s">
        <v>55</v>
      </c>
      <c r="G6" s="3"/>
    </row>
    <row r="7" spans="1:7" ht="12.75" customHeight="1">
      <c r="A7" s="4" t="s">
        <v>60</v>
      </c>
      <c r="B7" t="s">
        <v>61</v>
      </c>
      <c r="C7" s="4" t="s">
        <v>55</v>
      </c>
    </row>
    <row r="8" spans="1:7" ht="12.75" customHeight="1">
      <c r="A8" s="4" t="s">
        <v>62</v>
      </c>
      <c r="B8" t="s">
        <v>63</v>
      </c>
      <c r="C8" s="4" t="s">
        <v>55</v>
      </c>
    </row>
    <row r="9" spans="1:7" ht="12.75" customHeight="1">
      <c r="A9" s="4" t="s">
        <v>64</v>
      </c>
      <c r="B9" t="s">
        <v>65</v>
      </c>
      <c r="C9" s="4" t="s">
        <v>55</v>
      </c>
    </row>
    <row r="10" spans="1:7" ht="12.75" customHeight="1">
      <c r="A10" s="4" t="s">
        <v>66</v>
      </c>
      <c r="B10" t="s">
        <v>67</v>
      </c>
      <c r="C10" s="4" t="s">
        <v>55</v>
      </c>
    </row>
    <row r="11" spans="1:7" ht="12.75" customHeight="1">
      <c r="A11" s="4" t="s">
        <v>68</v>
      </c>
      <c r="B11" t="s">
        <v>69</v>
      </c>
      <c r="C11" s="4" t="s">
        <v>55</v>
      </c>
    </row>
    <row r="12" spans="1:7" ht="12.75" customHeight="1">
      <c r="A12" s="4" t="s">
        <v>70</v>
      </c>
      <c r="B12" t="s">
        <v>71</v>
      </c>
      <c r="C12" s="4" t="s">
        <v>55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2024-02-19T11:03:07Z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