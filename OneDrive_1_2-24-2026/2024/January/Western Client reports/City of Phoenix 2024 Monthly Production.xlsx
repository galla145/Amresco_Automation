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Western - Jan/"/>
    </mc:Choice>
  </mc:AlternateContent>
  <xr:revisionPtr revIDLastSave="9" documentId="13_ncr:1_{EE1008D1-668C-46AF-B95C-14DE98284D00}" xr6:coauthVersionLast="47" xr6:coauthVersionMax="47" xr10:uidLastSave="{C4FF1872-D2E0-41EE-A058-E292FD556D84}"/>
  <bookViews>
    <workbookView xWindow="43080" yWindow="756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<sst xmlns="http://schemas.openxmlformats.org/spreadsheetml/2006/main" count="240" uniqueCount="54">
  <si>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</si>
  <si>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</si>
  <si>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</si>
  <si>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</si>
  <si>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</si>
  <si>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</si>
  <si>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</si>
  <si>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</si>
  <si>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</si>
  <si>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</si>
  <si>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</si>
  <si>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</si>
  <si>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</si>
  <si>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</si>
  <si>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</si>
  <si>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</si>
  <si>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</si>
  <si>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</si>
  <si>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</si>
  <si>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</si>
  <si>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</si>
  <si>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</si>
  <si>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Inverters 9 and 10 are offline on 01/21 at 9:15 AM and self resolved next day.</t>
  </si>
  <si>
    <t>1. SR080379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</si>
  <si>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</si>
  <si>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</si>
  <si>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</si>
  <si>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</si>
  <si>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</si>
  <si>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</si>
  <si>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</si>
  <si>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</si>
  <si>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</si>
  <si>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</si>
  <si>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</si>
  <si>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</si>
  <si>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</si>
  <si>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</si>
  <si>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</si>
  <si>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</si>
  <si>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</si>
  <si>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</si>
  <si>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</si>
  <si>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</si>
  <si>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</si>
  <si>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</si>
  <si>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</si>
  <si>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Phoenix</t>
  </si>
  <si>
    <t>Site DAS Name</t>
  </si>
  <si>
    <t>Update</t>
  </si>
  <si>
    <t>DAS</t>
  </si>
  <si>
    <t>SKY HARBOR AIRPORT PV PROJECT 1 COB ADMIN BUILDING</t>
  </si>
  <si>
    <t>AZ: Sky Harbor COB Admin Building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</si>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</sst>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40996.75</v>
      </c>
      <c r="D2" s="6">
        <f>SUM(D4:D60)</f>
        <v>47627.85</v>
      </c>
      <c r="E2" s="6">
        <f>C2-D2</f>
        <v>-6631.0999999999985</v>
      </c>
      <c r="F2" s="7">
        <f>IFERROR(E2/D2, 0)</f>
        <v>-0.13922736382179751</v>
      </c>
      <c r="G2" s="6">
        <f>SUM(G4:G60)</f>
        <v>54968.45</v>
      </c>
      <c r="H2" s="8">
        <f>C2-G2</f>
        <v>-13971.699999999997</v>
      </c>
      <c r="I2" s="7">
        <f>IFERROR(H2/G2, 0)</f>
        <v>-0.25417671409690462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SUM('1st Qtr'!C4, '2nd Qtr'!C4, '3rd Qtr'!C4, '4th Qtr'!C4)</f>
        <v>40996.75</v>
      </c>
      <c r="D4" s="14">
        <f>SUM('1st Qtr'!D4, '2nd Qtr'!D4, '3rd Qtr'!D4, '4th Qtr'!D4)</f>
        <v>47627.85</v>
      </c>
      <c r="E4" s="14">
        <f>IF(AND(ISNUMBER(C4),ISNUMBER(D4)), C4-D4, "")</f>
        <v>-6631.0999999999985</v>
      </c>
      <c r="F4" s="15">
        <f>IFERROR(E4/D4, "")</f>
        <v>-0.13922736382179751</v>
      </c>
      <c r="G4" s="16">
        <f>SUM('1st Qtr'!G4,'2nd Qtr'!G4,'3rd Qtr'!G4,'4th Qtr'!G4)</f>
        <v>54968.45</v>
      </c>
      <c r="H4" s="16">
        <f>SUM('1st Qtr'!H4, '2nd Qtr'!H4, '3rd Qtr'!H4, '4th Qtr'!H4)</f>
        <v>-13971.699999999997</v>
      </c>
      <c r="I4" s="17">
        <f>IFERROR(H4/G4, "")</f>
        <v>-0.25417671409690462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34" sqref="C3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40996.75</v>
      </c>
      <c r="D2" s="6">
        <f>SUM(D4:D68)</f>
        <v>47627.85</v>
      </c>
      <c r="E2" s="6">
        <f>C2-D2</f>
        <v>-6631.0999999999985</v>
      </c>
      <c r="F2" s="7">
        <f>IFERROR(E2/D2, 0)</f>
        <v>-0.13922736382179751</v>
      </c>
      <c r="G2" s="6">
        <f>SUM(G4:G68)</f>
        <v>54968.45</v>
      </c>
      <c r="H2" s="8">
        <f>C2-G2</f>
        <v>-13971.699999999997</v>
      </c>
      <c r="I2" s="7">
        <f>IFERROR(H2/G2, 0)</f>
        <v>-0.25417671409690462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SUM(Jan!C4, Feb!C4, Mar!C4)</f>
        <v>40996.75</v>
      </c>
      <c r="D4" s="14">
        <f>SUM(Jan!D4, Feb!D4, Mar!D4)</f>
        <v>47627.85</v>
      </c>
      <c r="E4" s="14">
        <f>IF(AND(ISNUMBER(C4),ISNUMBER(D4)), C4-D4, "")</f>
        <v>-6631.0999999999985</v>
      </c>
      <c r="F4" s="15">
        <f>IFERROR(E4/D4, "")</f>
        <v>-0.13922736382179751</v>
      </c>
      <c r="G4" s="16">
        <f>SUM(Jan!G4, Feb!G4, Mar!G4)</f>
        <v>54968.45</v>
      </c>
      <c r="H4" s="16">
        <f>SUM(Jan!H4, Feb!H4, Mar!H4)</f>
        <v>-13971.699999999997</v>
      </c>
      <c r="I4" s="17">
        <f>IFERROR(H4/G4, "")</f>
        <v>-0.25417671409690462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4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40996.75</v>
      </c>
      <c r="D2" s="6">
        <f>SUM(D4:D89)</f>
        <v>47627.85</v>
      </c>
      <c r="E2" s="6">
        <f>C2-D2</f>
        <v>-6631.0999999999985</v>
      </c>
      <c r="F2" s="7">
        <f>IFERROR(E2/D2, 0)</f>
        <v>-0.13922736382179751</v>
      </c>
      <c r="G2" s="6">
        <f>SUM(G4:G89)</f>
        <v>54968.45</v>
      </c>
      <c r="H2" s="8">
        <f>C2-G2</f>
        <v>-13971.699999999997</v>
      </c>
      <c r="I2" s="7">
        <f>IFERROR(H2/G2, 0)</f>
        <v>-0.25417671409690462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40996.75</v>
      </c>
      <c r="D4" s="14">
        <v>47627.85</v>
      </c>
      <c r="E4" s="14">
        <f>IF(AND(ISNUMBER(C4),ISNUMBER(D4)), C4-D4, "")</f>
        <v>-6631.0999999999985</v>
      </c>
      <c r="F4" s="15">
        <f>IFERROR(E4/D4, "")</f>
        <v>-0.13922736382179751</v>
      </c>
      <c r="G4" s="16">
        <v>54968.45</v>
      </c>
      <c r="H4" s="16">
        <f>IF(AND(ISNUMBER(C4),ISNUMBER(G4)), C4-G4, "")</f>
        <v>-13971.699999999997</v>
      </c>
      <c r="I4" s="17">
        <f>IFERROR(H4/G4, "")</f>
        <v>-0.25417671409690462</v>
      </c>
      <c r="J4" s="18" t="s">
        <v>22</v>
      </c>
      <c r="K4" s="18" t="s">
        <v>23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G10" sqref="G1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2" sqref="J2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C31" sqref="C3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2024-04-07T07:33:55Z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