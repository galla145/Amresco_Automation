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91F754CA-C4C6-4E2C-B64D-524D5E8F6EE0}" xr6:coauthVersionLast="47" xr6:coauthVersionMax="47" xr10:uidLastSave="{00000000-0000-0000-0000-000000000000}"/>
  <bookViews>
    <workbookView xWindow="43080" yWindow="7560" windowWidth="29040" windowHeight="15720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4" l="1"/>
  <c r="I6" i="34"/>
  <c r="I5" i="34"/>
  <c r="I4" i="34"/>
  <c r="G7" i="34"/>
  <c r="G6" i="34"/>
  <c r="G5" i="34"/>
  <c r="I7" i="1"/>
  <c r="I6" i="1"/>
  <c r="I5" i="1"/>
  <c r="I4" i="1"/>
  <c r="G4" i="34"/>
  <c r="I7" i="72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1"/>
  <c r="J2" i="4"/>
  <c r="J2" i="3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7" i="1"/>
  <c r="G5" i="1"/>
  <c r="G4" i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D2" i="18" s="1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G2" i="34" l="1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H8" i="18"/>
  <c r="I8" i="18" s="1"/>
  <c r="C4" i="34"/>
  <c r="E4" i="34" s="1"/>
  <c r="F4" i="34" s="1"/>
  <c r="H5" i="18"/>
  <c r="I5" i="18" s="1"/>
  <c r="H6" i="34"/>
  <c r="H7" i="34"/>
  <c r="H5" i="34"/>
  <c r="E7" i="34"/>
  <c r="F7" i="34" s="1"/>
  <c r="C2" i="29"/>
  <c r="E2" i="29" s="1"/>
  <c r="F2" i="29" s="1"/>
  <c r="C2" i="30"/>
  <c r="E4" i="29"/>
  <c r="F4" i="29" s="1"/>
  <c r="C2" i="18"/>
  <c r="H7" i="1"/>
  <c r="H4" i="1"/>
  <c r="H5" i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<sst xmlns="http://schemas.openxmlformats.org/spreadsheetml/2006/main" count="255" uniqueCount="59">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</sst>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C17" sqref="C1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LX International America, Inc.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23850</v>
      </c>
      <c r="D4" s="14">
        <f>SUM('1st Qtr'!D4, '2nd Qtr'!D4, '3rd Qtr'!D4, '4th Qtr'!D4)</f>
        <v>2839</v>
      </c>
      <c r="E4" s="14">
        <f>IF(AND(ISNUMBER(C4),ISNUMBER(D4)), C4-D4, "")</f>
        <v>21011</v>
      </c>
      <c r="F4" s="15">
        <f>IFERROR(E4/D4, "")</f>
        <v>7.4008453680873547</v>
      </c>
      <c r="G4" s="16">
        <f>SUM('1st Qtr'!G4, '2nd Qtr'!G4, '3rd Qtr'!G4, '4th Qtr'!G4)</f>
        <v>0</v>
      </c>
      <c r="H4" s="16">
        <f>SUM('1st Qtr'!H4, '2nd Qtr'!H4, '3rd Qtr'!H4, '4th Qtr'!H4)</f>
        <v>23850</v>
      </c>
      <c r="I4" s="17">
        <f>IFERROR(H4/G4, 0)</f>
        <v>0</v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27794.5</v>
      </c>
      <c r="D5" s="20">
        <f>SUM(Jan!D5, Feb!D5, Mar!D5)</f>
        <v>2447</v>
      </c>
      <c r="E5" s="20">
        <f t="shared" ref="E5:E7" si="0">IF(AND(ISNUMBER(C5),ISNUMBER(D5)), C5-D5, "")</f>
        <v>25347.5</v>
      </c>
      <c r="F5" s="21">
        <f>IFERROR(E5/D5, "")</f>
        <v>10.358602370249285</v>
      </c>
      <c r="G5" s="22">
        <f>SUM('1st Qtr'!G5, '2nd Qtr'!G5, '3rd Qtr'!G5, '4th Qtr'!G5)</f>
        <v>0</v>
      </c>
      <c r="H5" s="22">
        <f>SUM(Jan!H5, Feb!H5, Mar!H5)</f>
        <v>27794.5</v>
      </c>
      <c r="I5" s="21">
        <f>IFERROR(H5/G5, 0)</f>
        <v>0</v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9540</v>
      </c>
      <c r="D6" s="14">
        <f>SUM(Jan!D6, Feb!D6, Mar!D6)</f>
        <v>930</v>
      </c>
      <c r="E6" s="14">
        <f t="shared" si="0"/>
        <v>8610</v>
      </c>
      <c r="F6" s="15">
        <f t="shared" ref="F6:F7" si="1">IFERROR(E6/D6, "")</f>
        <v>9.258064516129032</v>
      </c>
      <c r="G6" s="16">
        <f>SUM('1st Qtr'!G6, '2nd Qtr'!G6, '3rd Qtr'!G6, '4th Qtr'!G6)</f>
        <v>0</v>
      </c>
      <c r="H6" s="16">
        <f>SUM(Jan!H6, Feb!H6, Mar!H6)</f>
        <v>9540</v>
      </c>
      <c r="I6" s="17">
        <f>IFERROR(H6/G6, 0)</f>
        <v>0</v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6744</v>
      </c>
      <c r="D7" s="20">
        <f>SUM(Jan!D7, Feb!D7, Mar!D7)</f>
        <v>657</v>
      </c>
      <c r="E7" s="20">
        <f t="shared" si="0"/>
        <v>6087</v>
      </c>
      <c r="F7" s="21">
        <f t="shared" si="1"/>
        <v>9.2648401826484026</v>
      </c>
      <c r="G7" s="22">
        <f>SUM('1st Qtr'!G7, '2nd Qtr'!G7, '3rd Qtr'!G7, '4th Qtr'!G7)</f>
        <v>0</v>
      </c>
      <c r="H7" s="22">
        <f>SUM(Jan!H7, Feb!H7, Mar!H7)</f>
        <v>6744</v>
      </c>
      <c r="I7" s="21">
        <f>IFERROR(H7/G7, 0)</f>
        <v>0</v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G5" sqref="G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LX International America, Inc.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23850</v>
      </c>
      <c r="D4" s="14">
        <f>SUM(Jan!D4, Feb!D4, Mar!D4)</f>
        <v>2839</v>
      </c>
      <c r="E4" s="14">
        <f>IF(AND(ISNUMBER(C4),ISNUMBER(D4)), C4-D4, "")</f>
        <v>21011</v>
      </c>
      <c r="F4" s="15">
        <f>IFERROR(E4/D4, "")</f>
        <v>7.4008453680873547</v>
      </c>
      <c r="G4" s="16">
        <f>SUM(Jan!G4, Feb!G4, Mar!G4)</f>
        <v>0</v>
      </c>
      <c r="H4" s="16">
        <f>SUM(Jan!H4, Feb!H4, Mar!H4)</f>
        <v>23850</v>
      </c>
      <c r="I4" s="17">
        <f>IFERROR(H4/G4,0)</f>
        <v>0</v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27794.5</v>
      </c>
      <c r="D5" s="20">
        <f>SUM(Jan!D5, Feb!D5, Mar!D5)</f>
        <v>2447</v>
      </c>
      <c r="E5" s="20">
        <f t="shared" ref="E5:E7" si="0">IF(AND(ISNUMBER(C5),ISNUMBER(D5)), C5-D5, "")</f>
        <v>25347.5</v>
      </c>
      <c r="F5" s="21">
        <f>IFERROR(E5/D5, "")</f>
        <v>10.358602370249285</v>
      </c>
      <c r="G5" s="22">
        <f>SUM(Jan!G5, Feb!G5, Mar!G5)</f>
        <v>0</v>
      </c>
      <c r="H5" s="22">
        <f>SUM(Jan!H5, Feb!H5, Mar!H5)</f>
        <v>27794.5</v>
      </c>
      <c r="I5" s="21">
        <f>IFERROR(H5/G5, 0)</f>
        <v>0</v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9540</v>
      </c>
      <c r="D6" s="14">
        <f>SUM(Jan!D6, Feb!D6, Mar!D6)</f>
        <v>930</v>
      </c>
      <c r="E6" s="14">
        <f t="shared" si="0"/>
        <v>8610</v>
      </c>
      <c r="F6" s="15">
        <f t="shared" ref="F6:F7" si="1">IFERROR(E6/D6, "")</f>
        <v>9.258064516129032</v>
      </c>
      <c r="G6" s="16">
        <f>SUM(Jan!G6, Feb!G6, Mar!G6)</f>
        <v>0</v>
      </c>
      <c r="H6" s="16">
        <f>SUM(Jan!H6, Feb!H6, Mar!H6)</f>
        <v>9540</v>
      </c>
      <c r="I6" s="17">
        <f>IFERROR(H6/G6, 0)</f>
        <v>0</v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6744</v>
      </c>
      <c r="D7" s="20">
        <f>SUM(Jan!D7, Feb!D7, Mar!D7)</f>
        <v>657</v>
      </c>
      <c r="E7" s="20">
        <f t="shared" si="0"/>
        <v>6087</v>
      </c>
      <c r="F7" s="21">
        <f t="shared" si="1"/>
        <v>9.2648401826484026</v>
      </c>
      <c r="G7" s="22">
        <f>SUM(Jan!G7, Feb!G7, Mar!G7)</f>
        <v>0</v>
      </c>
      <c r="H7" s="22">
        <f>SUM(Jan!H7, Feb!H7, Mar!H7)</f>
        <v>6744</v>
      </c>
      <c r="I7" s="21">
        <f>IFERROR(H7/G7, 0)</f>
        <v>0</v>
      </c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LX International America, Inc.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SUM(Apr!H6, May!H6, Jun!H6)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75">
      <c r="A8" s="19"/>
      <c r="B8" s="11"/>
      <c r="C8" s="12">
        <f>SUM(Apr!C8, May!C8, Jun!C8)</f>
        <v>0</v>
      </c>
      <c r="D8" s="20">
        <f>SUM(Apr!D8, May!D8, Jun!D8)</f>
        <v>0</v>
      </c>
      <c r="E8" s="20">
        <f t="shared" si="0"/>
        <v>0</v>
      </c>
      <c r="F8" s="21" t="str">
        <f t="shared" si="1"/>
        <v/>
      </c>
      <c r="G8" s="22"/>
      <c r="H8" s="22">
        <f>SUM(Apr!H8, May!H8, Jun!H8)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LX International America, Inc.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1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1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1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:XFD1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LX International America, Inc.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tabSelected="1" workbookViewId="0">
      <pane ySplit="3" topLeftCell="A4" activePane="bottomLeft" state="frozen"/>
      <selection pane="bottomLeft" activeCell="J14" sqref="J14:J15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5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5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5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2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27</v>
      </c>
      <c r="E1" s="47"/>
      <c r="F1" s="47"/>
      <c r="G1" s="45" t="s">
        <v>28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29</v>
      </c>
      <c r="E1" s="47"/>
      <c r="F1" s="47"/>
      <c r="G1" s="45" t="s">
        <v>30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33</v>
      </c>
      <c r="E1" s="47"/>
      <c r="F1" s="47"/>
      <c r="G1" s="45" t="s">
        <v>34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37</v>
      </c>
      <c r="E1" s="47"/>
      <c r="F1" s="47"/>
      <c r="G1" s="45" t="s">
        <v>38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41</v>
      </c>
      <c r="E1" s="47"/>
      <c r="F1" s="47"/>
      <c r="G1" s="45" t="s">
        <v>42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45</v>
      </c>
      <c r="E1" s="47"/>
      <c r="F1" s="47"/>
      <c r="G1" s="45" t="s">
        <v>46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LX International America, Inc.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2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2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2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3.9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49</v>
      </c>
      <c r="B1" t="s">
        <v>50</v>
      </c>
    </row>
    <row r="3" spans="1:7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7" ht="14.25">
      <c r="A4" t="s">
        <v>54</v>
      </c>
      <c r="B4" t="s">
        <v>54</v>
      </c>
      <c r="C4" s="4" t="s">
        <v>55</v>
      </c>
      <c r="G4" s="3"/>
    </row>
    <row r="5" spans="1:7" ht="14.25">
      <c r="A5" t="s">
        <v>56</v>
      </c>
      <c r="B5" t="s">
        <v>56</v>
      </c>
      <c r="C5" s="4" t="s">
        <v>55</v>
      </c>
      <c r="G5" s="3"/>
    </row>
    <row r="6" spans="1:7" ht="14.25">
      <c r="A6" t="s">
        <v>57</v>
      </c>
      <c r="B6" t="s">
        <v>57</v>
      </c>
      <c r="C6" s="4" t="s">
        <v>55</v>
      </c>
      <c r="G6" s="3"/>
    </row>
    <row r="7" spans="1:7" ht="12.75" customHeight="1">
      <c r="A7" t="s">
        <v>58</v>
      </c>
      <c r="B7" t="s">
        <v>58</v>
      </c>
      <c r="C7" s="4" t="s">
        <v>55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C0BCDC1E-6052-4E48-9BAF-94A40814E7C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2024-03-04T05:42:06Z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