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726FFFEE-A959-435F-B884-E11030A1716C}" xr6:coauthVersionLast="47" xr6:coauthVersionMax="47" xr10:uidLastSave="{00000000-0000-0000-0000-000000000000}"/>
  <bookViews>
    <workbookView xWindow="43080" yWindow="7560" windowWidth="29040" windowHeight="15720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4" l="1"/>
  <c r="G5" i="34"/>
  <c r="G4" i="34"/>
  <c r="C4" i="18"/>
  <c r="D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5" i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6" i="29"/>
  <c r="C6" i="29"/>
  <c r="D5" i="29"/>
  <c r="C5" i="29"/>
  <c r="E5" i="29" s="1"/>
  <c r="F5" i="29" s="1"/>
  <c r="D4" i="29"/>
  <c r="C4" i="29"/>
  <c r="D6" i="18"/>
  <c r="C6" i="18"/>
  <c r="D5" i="18"/>
  <c r="D2" i="18" s="1"/>
  <c r="C5" i="18"/>
  <c r="E4" i="18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J2" i="31" s="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2" i="34" l="1"/>
  <c r="H2" i="27"/>
  <c r="I2" i="27" s="1"/>
  <c r="E6" i="18"/>
  <c r="F6" i="18" s="1"/>
  <c r="E4" i="30"/>
  <c r="F4" i="30" s="1"/>
  <c r="D2" i="29"/>
  <c r="H2" i="33"/>
  <c r="I2" i="33" s="1"/>
  <c r="H2" i="20"/>
  <c r="I2" i="20" s="1"/>
  <c r="H2" i="19"/>
  <c r="I2" i="19" s="1"/>
  <c r="E5" i="18"/>
  <c r="F5" i="18" s="1"/>
  <c r="E6" i="29"/>
  <c r="F6" i="29" s="1"/>
  <c r="H6" i="30"/>
  <c r="I6" i="30" s="1"/>
  <c r="J2" i="33"/>
  <c r="H2" i="28"/>
  <c r="I2" i="28" s="1"/>
  <c r="J2" i="20"/>
  <c r="J2" i="19"/>
  <c r="H2" i="21"/>
  <c r="I2" i="21" s="1"/>
  <c r="H2" i="26"/>
  <c r="I2" i="26" s="1"/>
  <c r="H6" i="29"/>
  <c r="I6" i="29" s="1"/>
  <c r="E2" i="28"/>
  <c r="F2" i="28" s="1"/>
  <c r="D4" i="34"/>
  <c r="D2" i="34" s="1"/>
  <c r="J2" i="26"/>
  <c r="J2" i="27"/>
  <c r="J2" i="28"/>
  <c r="H2" i="4"/>
  <c r="I2" i="4" s="1"/>
  <c r="H2" i="31"/>
  <c r="I2" i="31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<sst xmlns="http://schemas.openxmlformats.org/spreadsheetml/2006/main" count="244" uniqueCount="56">
  <si>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</si>
  <si>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</si>
  <si>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</si>
  <si>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</si>
  <si>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</si>
  <si>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</si>
  <si>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</si>
  <si>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</si>
  <si>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</si>
  <si>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</si>
  <si>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</si>
  <si>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</si>
  <si>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</si>
  <si>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</si>
  <si>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</si>
  <si>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</si>
  <si>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</si>
  <si>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</si>
  <si>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</si>
  <si>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</si>
  <si>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</si>
  <si>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</si>
  <si>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</si>
  <si>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</si>
  <si>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</si>
  <si>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</si>
  <si>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</si>
  <si>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</si>
  <si>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</si>
  <si>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</si>
  <si>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</si>
  <si>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</si>
  <si>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</si>
  <si>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</si>
  <si>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</si>
  <si>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</si>
  <si>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</si>
  <si>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</si>
  <si>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</si>
  <si>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</si>
  <si>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</si>
  <si>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</si>
  <si>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</si>
  <si>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</si>
  <si>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</si>
  <si>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Mexico Tech</t>
  </si>
  <si>
    <t>Site DAS Name</t>
  </si>
  <si>
    <t>Update</t>
  </si>
  <si>
    <t>DAS</t>
  </si>
  <si>
    <t>New Mexico Tech- EMRTC (PLCS)</t>
  </si>
  <si>
    <t>NM: New Mexico Tech - EMRTC</t>
  </si>
  <si>
    <t>NM</t>
  </si>
  <si>
    <t>New Mexico Tech- Facilities Management (PLCS)</t>
  </si>
  <si>
    <t>NM: New Mexico Tech - Fac. Mgt.</t>
  </si>
  <si>
    <t>New Mexico Tech- Macey Center</t>
  </si>
  <si>
    <t>NM: New Mexico Tech - Macey 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</si>
</sst>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4"/>
  <sheetViews>
    <sheetView workbookViewId="0">
      <pane ySplit="2" topLeftCell="A3" activePane="bottomLeft" state="frozen"/>
      <selection pane="bottomLeft" activeCell="C25" sqref="C2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SUM(C4:C82)</f>
        <v>65797.572668956724</v>
      </c>
      <c r="D2" s="6">
        <f>SUM(D4:D82)</f>
        <v>49994.02</v>
      </c>
      <c r="E2" s="6">
        <f>C2-D2</f>
        <v>15803.552668956727</v>
      </c>
      <c r="F2" s="7">
        <f>IFERROR(E2/D2, 0)</f>
        <v>0.3161088599987904</v>
      </c>
      <c r="G2" s="6">
        <f>SUM(G4:G82)</f>
        <v>75209.380999999994</v>
      </c>
      <c r="H2" s="8">
        <f>C2-G2</f>
        <v>-9411.8083310432703</v>
      </c>
      <c r="I2" s="7">
        <f>IFERROR(H2/G2, 0)</f>
        <v>-0.12514141462011596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SUM('1st Qtr'!C4, '2nd Qtr'!C4, '3rd Qtr'!C4, '4th Qtr'!C4)</f>
        <v>27950.7976689567</v>
      </c>
      <c r="D4" s="14">
        <f>SUM('1st Qtr'!D4, '2nd Qtr'!D4, '3rd Qtr'!D4, '4th Qtr'!D4)</f>
        <v>24588.55</v>
      </c>
      <c r="E4" s="14">
        <f>IF(AND(ISNUMBER(C4),ISNUMBER(D4)), C4-D4, "")</f>
        <v>3362.2476689567011</v>
      </c>
      <c r="F4" s="15">
        <f>IFERROR(E4/D4, "")</f>
        <v>0.13674037993117533</v>
      </c>
      <c r="G4" s="16">
        <f>SUM('1st Qtr'!G4,'2nd Qtr'!G4,'3rd Qtr'!G4,'4th Qtr'!G4)</f>
        <v>32331.58</v>
      </c>
      <c r="H4" s="16">
        <f>SUM('1st Qtr'!H4, '2nd Qtr'!H4, '3rd Qtr'!H4, '4th Qtr'!H4)</f>
        <v>-4380.7823310433014</v>
      </c>
      <c r="I4" s="17">
        <f>IFERROR(H4/G4, "")</f>
        <v>-0.1354954608170495</v>
      </c>
    </row>
    <row r="5" spans="1:9" ht="15.75">
      <c r="A5" s="19" t="str">
        <v>NM: New Mexico Tech - Fac. Mgt.</v>
      </c>
      <c r="B5" s="11" t="str">
        <v>NM</v>
      </c>
      <c r="C5" s="12">
        <f>SUM(Jan!C5, Feb!C5, Mar!C5)</f>
        <v>6683.9000000000196</v>
      </c>
      <c r="D5" s="20">
        <f>SUM(Jan!D5, Feb!D5, Mar!D5)</f>
        <v>5698.76</v>
      </c>
      <c r="E5" s="20">
        <f t="shared" ref="E5:E6" si="0">IF(AND(ISNUMBER(C5),ISNUMBER(D5)), C5-D5, "")</f>
        <v>985.14000000001943</v>
      </c>
      <c r="F5" s="21">
        <f>IFERROR(E5/D5, "")</f>
        <v>0.1728691855772167</v>
      </c>
      <c r="G5" s="22">
        <f>SUM('1st Qtr'!G5,'2nd Qtr'!G5,'3rd Qtr'!G5,'4th Qtr'!G5)</f>
        <v>7739.8010000000004</v>
      </c>
      <c r="H5" s="22">
        <f>SUM(Jan!H5, Feb!H5, Mar!H5)</f>
        <v>-1055.9009999999807</v>
      </c>
      <c r="I5" s="21">
        <f>IFERROR(H5/G5, "")</f>
        <v>-0.13642482539279507</v>
      </c>
    </row>
    <row r="6" spans="1:9" ht="15.75">
      <c r="A6" s="13" t="str">
        <v>NM: New Mexico Tech - Macey Ctr</v>
      </c>
      <c r="B6" s="10" t="str">
        <v>NM</v>
      </c>
      <c r="C6" s="26">
        <f>SUM(Jan!C6, Feb!C6, Mar!C6)</f>
        <v>31162.875</v>
      </c>
      <c r="D6" s="14">
        <f>SUM(Jan!D6, Feb!D6, Mar!D6)</f>
        <v>19706.71</v>
      </c>
      <c r="E6" s="14">
        <f t="shared" si="0"/>
        <v>11456.165000000001</v>
      </c>
      <c r="F6" s="15">
        <f t="shared" ref="F6" si="1">IFERROR(E6/D6, "")</f>
        <v>0.58133321087081513</v>
      </c>
      <c r="G6" s="16">
        <f>SUM('1st Qtr'!G6,'2nd Qtr'!G6,'3rd Qtr'!G6,'4th Qtr'!G6)</f>
        <v>35138</v>
      </c>
      <c r="H6" s="16">
        <f>SUM(Jan!H6, Feb!H6, Mar!H6)</f>
        <v>-3975.125</v>
      </c>
      <c r="I6" s="17">
        <f t="shared" ref="I6" si="2">IFERROR(H6/G6, "")</f>
        <v>-0.11312894871648928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2 I4:I8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4"/>
  <sheetViews>
    <sheetView workbookViewId="0">
      <pane ySplit="2" topLeftCell="A3" activePane="bottomLeft" state="frozen"/>
      <selection pane="bottomLeft" activeCell="A10" sqref="A10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SUM(C4:C82)</f>
        <v>65797.572668956724</v>
      </c>
      <c r="D2" s="6">
        <f>SUM(D4:D82)</f>
        <v>49994.02</v>
      </c>
      <c r="E2" s="6">
        <f>C2-D2</f>
        <v>15803.552668956727</v>
      </c>
      <c r="F2" s="7">
        <f>IFERROR(E2/D2, 0)</f>
        <v>0.3161088599987904</v>
      </c>
      <c r="G2" s="6">
        <f>SUM(G4:G82)</f>
        <v>75209.380999999994</v>
      </c>
      <c r="H2" s="8">
        <f>C2-G2</f>
        <v>-9411.8083310432703</v>
      </c>
      <c r="I2" s="7">
        <f>IFERROR(H2/G2, 0)</f>
        <v>-0.12514141462011596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SUM(Jan!C4, Feb!C4, Mar!C4)</f>
        <v>27950.7976689567</v>
      </c>
      <c r="D4" s="14">
        <f>SUM(Jan!D4, Feb!D4, Mar!D4)</f>
        <v>24588.55</v>
      </c>
      <c r="E4" s="14">
        <f>IF(AND(ISNUMBER(C4),ISNUMBER(D4)), C4-D4, "")</f>
        <v>3362.2476689567011</v>
      </c>
      <c r="F4" s="15">
        <f>IFERROR(E4/D4, "")</f>
        <v>0.13674037993117533</v>
      </c>
      <c r="G4" s="16">
        <f>SUM(Jan!G4, Feb!G4, Mar!G4)</f>
        <v>32331.58</v>
      </c>
      <c r="H4" s="16">
        <f>SUM(Jan!H4, Feb!H4, Mar!H4)</f>
        <v>-4380.7823310433014</v>
      </c>
      <c r="I4" s="17">
        <f>IFERROR(H4/G4, "")</f>
        <v>-0.1354954608170495</v>
      </c>
    </row>
    <row r="5" spans="1:9" ht="15.75">
      <c r="A5" s="19" t="str">
        <v>NM: New Mexico Tech - Fac. Mgt.</v>
      </c>
      <c r="B5" s="11" t="str">
        <v>NM</v>
      </c>
      <c r="C5" s="12">
        <f>SUM(Jan!C5, Feb!C5, Mar!C5)</f>
        <v>6683.9000000000196</v>
      </c>
      <c r="D5" s="20">
        <f>SUM(Jan!D5, Feb!D5, Mar!D5)</f>
        <v>5698.76</v>
      </c>
      <c r="E5" s="20">
        <f t="shared" ref="E5:E6" si="0">IF(AND(ISNUMBER(C5),ISNUMBER(D5)), C5-D5, "")</f>
        <v>985.14000000001943</v>
      </c>
      <c r="F5" s="21">
        <f>IFERROR(E5/D5, "")</f>
        <v>0.1728691855772167</v>
      </c>
      <c r="G5" s="22">
        <f>SUM(Jan!G5, Feb!G5, Mar!G5)</f>
        <v>7739.8010000000004</v>
      </c>
      <c r="H5" s="22">
        <f>SUM(Jan!H5, Feb!H5, Mar!H5)</f>
        <v>-1055.9009999999807</v>
      </c>
      <c r="I5" s="21">
        <f>IFERROR(H5/G5, "")</f>
        <v>-0.13642482539279507</v>
      </c>
    </row>
    <row r="6" spans="1:9" ht="15.75">
      <c r="A6" s="13" t="str">
        <v>NM: New Mexico Tech - Macey Ctr</v>
      </c>
      <c r="B6" s="10" t="str">
        <v>NM</v>
      </c>
      <c r="C6" s="26">
        <f>SUM(Jan!C6, Feb!C6, Mar!C6)</f>
        <v>31162.875</v>
      </c>
      <c r="D6" s="14">
        <f>SUM(Jan!D6, Feb!D6, Mar!D6)</f>
        <v>19706.71</v>
      </c>
      <c r="E6" s="14">
        <f t="shared" si="0"/>
        <v>11456.165000000001</v>
      </c>
      <c r="F6" s="15">
        <f t="shared" ref="F6" si="1">IFERROR(E6/D6, "")</f>
        <v>0.58133321087081513</v>
      </c>
      <c r="G6" s="16">
        <f>SUM(Jan!G6, Feb!G6, Mar!G6)</f>
        <v>35138</v>
      </c>
      <c r="H6" s="16">
        <f>SUM(Jan!H6, Feb!H6, Mar!H6)</f>
        <v>-3975.125</v>
      </c>
      <c r="I6" s="17">
        <f t="shared" ref="I6" si="2">IFERROR(H6/G6, "")</f>
        <v>-0.11312894871648928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2 I4:I8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4"/>
  <sheetViews>
    <sheetView workbookViewId="0">
      <pane ySplit="2" topLeftCell="A3" activePane="bottomLeft" state="frozen"/>
      <selection pane="bottomLeft" activeCell="C4" sqref="C4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2 I4:I8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</sheetData>
  <mergeCells count="4">
    <mergeCell ref="G1:I1"/>
    <mergeCell ref="A1:C1"/>
    <mergeCell ref="D1:F1"/>
    <mergeCell ref="A2:B2"/>
  </mergeCells>
  <conditionalFormatting sqref="F2 I2 F4:F82 I4:I8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</sheetData>
  <mergeCells count="4">
    <mergeCell ref="G1:I1"/>
    <mergeCell ref="A1:C1"/>
    <mergeCell ref="D1:F1"/>
    <mergeCell ref="A2:B2"/>
  </mergeCells>
  <conditionalFormatting sqref="F2 I2 F4:F82 I4:I8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3"/>
  <sheetViews>
    <sheetView workbookViewId="0">
      <pane ySplit="3" topLeftCell="A4" activePane="bottomLeft" state="frozen"/>
      <selection pane="bottomLeft" activeCell="D30" sqref="D30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SUM(C4:C81)</f>
        <v>65797.572668956724</v>
      </c>
      <c r="D2" s="6">
        <f>SUM(D4:D81)</f>
        <v>49994.02</v>
      </c>
      <c r="E2" s="6">
        <f>C2-D2</f>
        <v>15803.552668956727</v>
      </c>
      <c r="F2" s="7">
        <f>IFERROR(E2/D2, 0)</f>
        <v>0.3161088599987904</v>
      </c>
      <c r="G2" s="6">
        <f>SUM(G4:G81)</f>
        <v>75209.380999999994</v>
      </c>
      <c r="H2" s="8">
        <f>C2-G2</f>
        <v>-9411.8083310432703</v>
      </c>
      <c r="I2" s="7">
        <f>IFERROR(H2/G2, 0)</f>
        <v>-0.12514141462011596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>
        <v>27950.7976689567</v>
      </c>
      <c r="D4" s="14">
        <v>24588.55</v>
      </c>
      <c r="E4" s="14">
        <f>IF(AND(ISNUMBER(C4),ISNUMBER(D4)), C4-D4, "")</f>
        <v>3362.2476689567011</v>
      </c>
      <c r="F4" s="15">
        <f>IFERROR(E4/D4, "")</f>
        <v>0.13674037993117533</v>
      </c>
      <c r="G4" s="16">
        <v>32331.58</v>
      </c>
      <c r="H4" s="16">
        <f>IF(AND(ISNUMBER(C4),ISNUMBER(G4)), C4-G4, "")</f>
        <v>-4380.7823310433014</v>
      </c>
      <c r="I4" s="17">
        <f>IFERROR(H4/G4, "")</f>
        <v>-0.1354954608170495</v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>
        <v>6683.9000000000196</v>
      </c>
      <c r="D5" s="20">
        <v>5698.76</v>
      </c>
      <c r="E5" s="20">
        <f t="shared" ref="E5:E6" si="0">IF(AND(ISNUMBER(C5),ISNUMBER(D5)), C5-D5, "")</f>
        <v>985.14000000001943</v>
      </c>
      <c r="F5" s="21">
        <f>IFERROR(E5/D5, "")</f>
        <v>0.1728691855772167</v>
      </c>
      <c r="G5" s="22">
        <v>7739.8010000000004</v>
      </c>
      <c r="H5" s="22">
        <f t="shared" ref="H5:H6" si="1">IF(AND(ISNUMBER(C5),ISNUMBER(G5)), C5-G5, "")</f>
        <v>-1055.9009999999807</v>
      </c>
      <c r="I5" s="21">
        <f t="shared" ref="I5:I6" si="2">IFERROR(H5/G5, "")</f>
        <v>-0.13642482539279507</v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>
        <v>31162.875</v>
      </c>
      <c r="D6" s="14">
        <v>19706.71</v>
      </c>
      <c r="E6" s="14">
        <f t="shared" si="0"/>
        <v>11456.165000000001</v>
      </c>
      <c r="F6" s="15">
        <f t="shared" ref="F6" si="3">IFERROR(E6/D6, "")</f>
        <v>0.58133321087081513</v>
      </c>
      <c r="G6" s="16">
        <v>35138</v>
      </c>
      <c r="H6" s="16">
        <f t="shared" si="1"/>
        <v>-3975.125</v>
      </c>
      <c r="I6" s="17">
        <f t="shared" si="2"/>
        <v>-0.11312894871648928</v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</sheetData>
  <mergeCells count="4">
    <mergeCell ref="D1:F1"/>
    <mergeCell ref="A1:C1"/>
    <mergeCell ref="G1:I1"/>
    <mergeCell ref="A2:B2"/>
  </mergeCells>
  <conditionalFormatting sqref="F2 I2 F4:F81 I4:I81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4"/>
  <sheetViews>
    <sheetView workbookViewId="0">
      <pane ySplit="2" topLeftCell="A3" activePane="bottomLeft" state="frozen"/>
      <selection pane="bottomLeft" activeCell="G22" sqref="G22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4"/>
  <sheetViews>
    <sheetView workbookViewId="0">
      <pane ySplit="2" topLeftCell="A32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2 I4:I82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3.9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G4" s="3"/>
    </row>
    <row r="5" spans="1:7" ht="14.25">
      <c r="A5" t="s">
        <v>52</v>
      </c>
      <c r="B5" t="s">
        <v>53</v>
      </c>
      <c r="C5" s="4" t="s">
        <v>51</v>
      </c>
      <c r="G5" s="3"/>
    </row>
    <row r="6" spans="1:7" ht="14.25">
      <c r="A6" t="s">
        <v>54</v>
      </c>
      <c r="B6" t="s">
        <v>55</v>
      </c>
      <c r="C6" s="4" t="s">
        <v>51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2024-04-08T06:52:34Z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