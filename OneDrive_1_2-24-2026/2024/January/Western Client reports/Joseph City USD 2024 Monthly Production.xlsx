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F0309F58-A974-402C-B467-0A92A67738F6}" xr6:coauthVersionLast="47" xr6:coauthVersionMax="47" xr10:uidLastSave="{00000000-0000-0000-0000-000000000000}"/>
  <bookViews>
    <workbookView xWindow="43080" yWindow="756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4" l="1"/>
  <c r="G4" i="34"/>
  <c r="F4" i="34"/>
  <c r="I4" i="1"/>
  <c r="F4" i="1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J2" i="28"/>
  <c r="J2" i="4"/>
  <c r="E4" i="3"/>
  <c r="F4" i="3" s="1"/>
  <c r="H4" i="3"/>
  <c r="I4" i="3"/>
  <c r="E5" i="72"/>
  <c r="F5" i="72" s="1"/>
  <c r="H5" i="72"/>
  <c r="I5" i="72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E4" i="30" s="1"/>
  <c r="F4" i="30" s="1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C4" i="34" s="1"/>
  <c r="D4" i="1"/>
  <c r="D4" i="34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J2" i="27" s="1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H4" i="72"/>
  <c r="G2" i="72"/>
  <c r="D2" i="72"/>
  <c r="C2" i="72"/>
  <c r="J2" i="72" s="1"/>
  <c r="E4" i="72"/>
  <c r="A1" i="72" a="1"/>
  <c r="A1" i="72" s="1"/>
  <c r="J2" i="21" l="1"/>
  <c r="J2" i="20"/>
  <c r="H2" i="20"/>
  <c r="I2" i="20" s="1"/>
  <c r="J2" i="19"/>
  <c r="H2" i="26"/>
  <c r="I2" i="26" s="1"/>
  <c r="J2" i="26"/>
  <c r="H2" i="27"/>
  <c r="I2" i="27" s="1"/>
  <c r="E2" i="28"/>
  <c r="F2" i="28" s="1"/>
  <c r="J2" i="31"/>
  <c r="H2" i="32"/>
  <c r="I2" i="32" s="1"/>
  <c r="D2" i="34"/>
  <c r="H2" i="33"/>
  <c r="I2" i="33" s="1"/>
  <c r="H2" i="3"/>
  <c r="I2" i="3" s="1"/>
  <c r="G2" i="1"/>
  <c r="H4" i="30"/>
  <c r="I4" i="30" s="1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H2" i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<sst xmlns="http://schemas.openxmlformats.org/spreadsheetml/2006/main" count="240" uniqueCount="54">
  <si>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</si>
  <si>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</si>
  <si>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</si>
  <si>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</si>
  <si>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</si>
  <si>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</si>
  <si>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</si>
  <si>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</si>
  <si>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</si>
  <si>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</si>
  <si>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</si>
  <si>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</si>
  <si>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</si>
  <si>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</si>
  <si>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</si>
  <si>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</si>
  <si>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</si>
  <si>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</si>
  <si>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</si>
  <si>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</si>
  <si>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</si>
  <si>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</si>
  <si>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The sites were not communicated from 11/05/2022</t>
  </si>
  <si>
    <t>1. SR067220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</si>
  <si>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</si>
  <si>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</si>
  <si>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</si>
  <si>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</si>
  <si>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</si>
  <si>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</si>
  <si>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</si>
  <si>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</si>
  <si>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</si>
  <si>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</si>
  <si>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</si>
  <si>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</si>
  <si>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</si>
  <si>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</si>
  <si>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</si>
  <si>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</si>
  <si>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</si>
  <si>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</si>
  <si>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</si>
  <si>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</si>
  <si>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</si>
  <si>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</si>
  <si>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</si>
  <si>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Joseph City USD</t>
  </si>
  <si>
    <t>Site DAS Name</t>
  </si>
  <si>
    <t>Update</t>
  </si>
  <si>
    <t>DAS</t>
  </si>
  <si>
    <t>JCUSD</t>
  </si>
  <si>
    <t>AZ: Joseph City USD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</si>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</sst>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tabSelected="1" workbookViewId="0">
      <pane ySplit="2" topLeftCell="A3" activePane="bottomLeft" state="frozen"/>
      <selection pane="bottomLeft" activeCell="B28" sqref="B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SUM('1st Qtr'!C4, '2nd Qtr'!C4, '3rd Qtr'!C4, '4th Qtr'!C4)</f>
        <v>0</v>
      </c>
      <c r="D4" s="14">
        <f>SUM('1st Qtr'!D4, '2nd Qtr'!D4, '3rd Qtr'!D4, '4th Qtr'!D4)</f>
        <v>0</v>
      </c>
      <c r="E4" s="14">
        <f>IF(AND(ISNUMBER(C4),ISNUMBER(D4)), C4-D4, "")</f>
        <v>0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>
        <f>IFERROR(E4/D4, 0)</f>
        <v>0</v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A41" sqref="A4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A5" sqref="A5:XFD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A5" sqref="A5:XFD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workbookViewId="0">
      <pane ySplit="3" topLeftCell="A4" activePane="bottomLeft" state="frozen"/>
      <selection pane="bottomLeft" activeCell="C12" sqref="C12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>
        <v>0</v>
      </c>
      <c r="D4" s="14">
        <v>0</v>
      </c>
      <c r="E4" s="14">
        <f>IF(AND(ISNUMBER(C4),ISNUMBER(D4)), C4-D4, "")</f>
        <v>0</v>
      </c>
      <c r="F4" s="15">
        <f>IFERROR(E4/D4, 0)</f>
        <v>0</v>
      </c>
      <c r="G4" s="16">
        <v>0</v>
      </c>
      <c r="H4" s="16">
        <f>IF(AND(ISNUMBER(C4),ISNUMBER(G4)), C4-G4, "")</f>
        <v>0</v>
      </c>
      <c r="I4" s="17">
        <f>IFERROR(H4/G4, 0)</f>
        <v>0</v>
      </c>
      <c r="J4" s="18" t="s">
        <v>22</v>
      </c>
      <c r="K4" s="18" t="s">
        <v>23</v>
      </c>
    </row>
    <row r="5" spans="1:11" ht="14.25">
      <c r="A5" s="23"/>
      <c r="B5" s="34"/>
      <c r="C5" s="23"/>
      <c r="D5" s="23"/>
      <c r="E5" s="23" t="str">
        <f t="shared" ref="E5" si="0">IF(AND(ISNUMBER(C5),ISNUMBER(D5)), C5-D5, "")</f>
        <v/>
      </c>
      <c r="F5" s="23" t="str">
        <f t="shared" ref="F5" si="1">IFERROR(E5/D5, "")</f>
        <v/>
      </c>
      <c r="G5" s="23"/>
      <c r="H5" s="23" t="str">
        <f t="shared" ref="H5" si="2">IF(AND(ISNUMBER(C5),ISNUMBER(G5)), C5-G5, "")</f>
        <v/>
      </c>
      <c r="I5" s="23" t="str">
        <f t="shared" ref="I5" si="3">IFERROR(H5/G5, "")</f>
        <v/>
      </c>
      <c r="J5" s="23"/>
      <c r="K5" s="23"/>
    </row>
    <row r="6" spans="1:11" ht="12.75" customHeight="1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D1:F1"/>
    <mergeCell ref="A1:C1"/>
    <mergeCell ref="G1:I1"/>
    <mergeCell ref="A2:B2"/>
  </mergeCells>
  <conditionalFormatting sqref="F2 I2 F4:F88 I4:I88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1"/>
  <sheetViews>
    <sheetView workbookViewId="0">
      <pane ySplit="2" topLeftCell="A3" activePane="bottomLeft" state="frozen"/>
      <selection pane="bottomLeft" activeCell="A20" sqref="A20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1"/>
  <sheetViews>
    <sheetView workbookViewId="0">
      <pane ySplit="2" topLeftCell="A3" activePane="bottomLeft" state="frozen"/>
      <selection pane="bottomLeft" activeCell="A8" sqref="A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5" sqref="A5:XFD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2024-03-09T04:37:37Z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