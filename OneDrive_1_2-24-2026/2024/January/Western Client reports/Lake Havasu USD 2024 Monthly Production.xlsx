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D516CB3C-67C1-4462-89B0-A8D98D336F6A}" xr6:coauthVersionLast="47" xr6:coauthVersionMax="47" xr10:uidLastSave="{00000000-0000-0000-0000-000000000000}"/>
  <bookViews>
    <workbookView xWindow="43080" yWindow="756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4" l="1"/>
  <c r="I6" i="34"/>
  <c r="I4" i="34"/>
  <c r="G6" i="34"/>
  <c r="G5" i="34"/>
  <c r="G4" i="34"/>
  <c r="G2" i="34" s="1"/>
  <c r="I6" i="1"/>
  <c r="I5" i="1"/>
  <c r="I4" i="1"/>
  <c r="I6" i="72"/>
  <c r="I5" i="72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72"/>
  <c r="F7" i="72" s="1"/>
  <c r="H7" i="72"/>
  <c r="I7" i="72" s="1"/>
  <c r="G6" i="1"/>
  <c r="G5" i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D2" i="18" s="1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F4" i="72" s="1"/>
  <c r="A1" i="72" a="1"/>
  <c r="A1" i="72" s="1"/>
  <c r="D4" i="34" l="1"/>
  <c r="D2" i="30"/>
  <c r="H6" i="29"/>
  <c r="I6" i="29" s="1"/>
  <c r="E5" i="29"/>
  <c r="F5" i="29" s="1"/>
  <c r="H2" i="21"/>
  <c r="I2" i="21" s="1"/>
  <c r="E5" i="18"/>
  <c r="F5" i="18" s="1"/>
  <c r="E2" i="20"/>
  <c r="F2" i="20" s="1"/>
  <c r="J2" i="21"/>
  <c r="H6" i="30"/>
  <c r="I6" i="30" s="1"/>
  <c r="J2" i="20"/>
  <c r="H2" i="19"/>
  <c r="I2" i="19" s="1"/>
  <c r="E4" i="18"/>
  <c r="F4" i="18" s="1"/>
  <c r="E4" i="30"/>
  <c r="F4" i="30" s="1"/>
  <c r="J2" i="26"/>
  <c r="H2" i="28"/>
  <c r="I2" i="28" s="1"/>
  <c r="H2" i="4"/>
  <c r="I2" i="4" s="1"/>
  <c r="H2" i="27"/>
  <c r="I2" i="27" s="1"/>
  <c r="E2" i="28"/>
  <c r="F2" i="28" s="1"/>
  <c r="H2" i="33"/>
  <c r="I2" i="33" s="1"/>
  <c r="D2" i="29"/>
  <c r="J2" i="27"/>
  <c r="J2" i="28"/>
  <c r="H2" i="32"/>
  <c r="I2" i="32" s="1"/>
  <c r="J2" i="31"/>
  <c r="E6" i="18"/>
  <c r="F6" i="18" s="1"/>
  <c r="E6" i="29"/>
  <c r="F6" i="29" s="1"/>
  <c r="E6" i="30"/>
  <c r="F6" i="30" s="1"/>
  <c r="J2" i="4"/>
  <c r="J2" i="32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E4" i="34" s="1"/>
  <c r="F4" i="34" s="1"/>
  <c r="H5" i="18"/>
  <c r="I5" i="18" s="1"/>
  <c r="H6" i="34"/>
  <c r="H5" i="34"/>
  <c r="C2" i="29"/>
  <c r="E2" i="29" s="1"/>
  <c r="F2" i="29" s="1"/>
  <c r="C2" i="30"/>
  <c r="E4" i="29"/>
  <c r="F4" i="29" s="1"/>
  <c r="C2" i="18"/>
  <c r="H4" i="1"/>
  <c r="H5" i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<sst xmlns="http://schemas.openxmlformats.org/spreadsheetml/2006/main" count="244" uniqueCount="53">
  <si>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</si>
  <si>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</si>
  <si>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</si>
  <si>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</si>
  <si>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</si>
  <si>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</si>
  <si>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</si>
  <si>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</si>
  <si>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</si>
  <si>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</si>
  <si>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</si>
  <si>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</si>
  <si>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</si>
  <si>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</si>
  <si>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</si>
  <si>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</si>
  <si>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</si>
  <si>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</si>
  <si>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</si>
  <si>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</si>
  <si>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</si>
  <si>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</si>
  <si>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</si>
  <si>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</si>
  <si>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</si>
  <si>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</si>
  <si>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</si>
  <si>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</si>
  <si>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</si>
  <si>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</si>
  <si>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</si>
  <si>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</si>
  <si>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</si>
  <si>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</si>
  <si>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</si>
  <si>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</si>
  <si>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</si>
  <si>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</si>
  <si>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</si>
  <si>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</si>
  <si>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</si>
  <si>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</si>
  <si>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</si>
  <si>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</si>
  <si>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</si>
  <si>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Lake Havasu USD</t>
  </si>
  <si>
    <t>Site DAS Name</t>
  </si>
  <si>
    <t>Update</t>
  </si>
  <si>
    <t>DAS</t>
  </si>
  <si>
    <t>AZ: Lake Havasu - District Office</t>
  </si>
  <si>
    <t>AZ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</si>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</sst>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tabSelected="1" workbookViewId="0">
      <pane ySplit="2" topLeftCell="A3" activePane="bottomLeft" state="frozen"/>
      <selection pane="bottomLeft" activeCell="D27" sqref="D27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SUM(C4:C91)</f>
        <v>38644</v>
      </c>
      <c r="D2" s="6">
        <f>SUM(D4:D91)</f>
        <v>38384.19</v>
      </c>
      <c r="E2" s="6">
        <f>C2-D2</f>
        <v>259.80999999999767</v>
      </c>
      <c r="F2" s="7">
        <f>IFERROR(E2/D2, 0)</f>
        <v>6.7686722059263895E-3</v>
      </c>
      <c r="G2" s="6">
        <f>SUM(G4:G91)</f>
        <v>0</v>
      </c>
      <c r="H2" s="8">
        <f>C2-G2</f>
        <v>38644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SUM('1st Qtr'!C4, '2nd Qtr'!C4, '3rd Qtr'!C4, '4th Qtr'!C4)</f>
        <v>18583</v>
      </c>
      <c r="D4" s="14">
        <f>SUM('1st Qtr'!D4, '2nd Qtr'!D4, '3rd Qtr'!D4, '4th Qtr'!D4)</f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f>SUM('1st Qtr'!G4,'2nd Qtr'!G4,'3rd Qtr'!G4,'4th Qtr'!G4)</f>
        <v>0</v>
      </c>
      <c r="H4" s="16">
        <f>SUM('1st Qtr'!H4, '2nd Qtr'!H4, '3rd Qtr'!H4, '4th Qtr'!H4)</f>
        <v>18583</v>
      </c>
      <c r="I4" s="17">
        <f>IFERROR(H4/G4, 0)</f>
        <v>0</v>
      </c>
    </row>
    <row r="5" spans="1:9" ht="15.75">
      <c r="A5" s="19" t="str">
        <v>AZ: Lake Havasu - HS Library</v>
      </c>
      <c r="B5" s="11" t="str">
        <v>AZ</v>
      </c>
      <c r="C5" s="12">
        <f>SUM(Jan!C5, Feb!C5, Mar!C5)</f>
        <v>8688</v>
      </c>
      <c r="D5" s="20">
        <f>SUM(Jan!D5, Feb!D5, Mar!D5)</f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f>SUM('1st Qtr'!G5,'2nd Qtr'!G5,'3rd Qtr'!G5,'4th Qtr'!G5)</f>
        <v>0</v>
      </c>
      <c r="H5" s="22">
        <f>SUM(Jan!H5, Feb!H5, Mar!H5)</f>
        <v>8688</v>
      </c>
      <c r="I5" s="21">
        <f>IFERROR(H5/G5, 0)</f>
        <v>0</v>
      </c>
    </row>
    <row r="6" spans="1:9" ht="15.75">
      <c r="A6" s="13" t="str">
        <v>AZ: Lake Havasu- Performing Arts</v>
      </c>
      <c r="B6" s="10" t="str">
        <v>AZ</v>
      </c>
      <c r="C6" s="26">
        <f>SUM(Jan!C6, Feb!C6, Mar!C6)</f>
        <v>11373</v>
      </c>
      <c r="D6" s="14">
        <f>SUM(Jan!D6, Feb!D6, Mar!D6)</f>
        <v>12052.07</v>
      </c>
      <c r="E6" s="14">
        <f t="shared" si="0"/>
        <v>-679.06999999999971</v>
      </c>
      <c r="F6" s="15">
        <f t="shared" ref="F6" si="1">IFERROR(E6/D6, "")</f>
        <v>-5.6344677719263138E-2</v>
      </c>
      <c r="G6" s="16">
        <f>SUM('1st Qtr'!G6,'2nd Qtr'!G6,'3rd Qtr'!G6,'4th Qtr'!G6)</f>
        <v>0</v>
      </c>
      <c r="H6" s="16">
        <f>SUM(Jan!H6, Feb!H6, Mar!H6)</f>
        <v>11373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ySplit="2" topLeftCell="A3" activePane="bottomLeft" state="frozen"/>
      <selection pane="bottomLeft" activeCell="J10" sqref="J10"/>
      <selection activeCell="C11" sqref="C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SUM(C4:C91)</f>
        <v>38644</v>
      </c>
      <c r="D2" s="6">
        <f>SUM(D4:D91)</f>
        <v>38384.19</v>
      </c>
      <c r="E2" s="6">
        <f>C2-D2</f>
        <v>259.80999999999767</v>
      </c>
      <c r="F2" s="7">
        <f>IFERROR(E2/D2, 0)</f>
        <v>6.7686722059263895E-3</v>
      </c>
      <c r="G2" s="6">
        <f>SUM(G4:G91)</f>
        <v>0</v>
      </c>
      <c r="H2" s="8">
        <f>C2-G2</f>
        <v>38644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SUM(Jan!C4, Feb!C4, Mar!C4)</f>
        <v>18583</v>
      </c>
      <c r="D4" s="14">
        <f>SUM(Jan!D4, Feb!D4, Mar!D4)</f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f>SUM(Jan!G4, Feb!G4, Mar!G4)</f>
        <v>0</v>
      </c>
      <c r="H4" s="16">
        <f>SUM(Jan!H4, Feb!H4, Mar!H4)</f>
        <v>18583</v>
      </c>
      <c r="I4" s="17">
        <f>IFERROR(H4/G4, 0)</f>
        <v>0</v>
      </c>
    </row>
    <row r="5" spans="1:9" ht="15.75">
      <c r="A5" s="19" t="str">
        <v>AZ: Lake Havasu - HS Library</v>
      </c>
      <c r="B5" s="11" t="str">
        <v>AZ</v>
      </c>
      <c r="C5" s="12">
        <f>SUM(Jan!C5, Feb!C5, Mar!C5)</f>
        <v>8688</v>
      </c>
      <c r="D5" s="20">
        <f>SUM(Jan!D5, Feb!D5, Mar!D5)</f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f>SUM(Jan!G5, Feb!G5, Mar!G5)</f>
        <v>0</v>
      </c>
      <c r="H5" s="22">
        <f>SUM(Jan!H5, Feb!H5, Mar!H5)</f>
        <v>8688</v>
      </c>
      <c r="I5" s="21">
        <f>IFERROR(H5/G5, 0)</f>
        <v>0</v>
      </c>
    </row>
    <row r="6" spans="1:9" ht="15.75">
      <c r="A6" s="13" t="str">
        <v>AZ: Lake Havasu- Performing Arts</v>
      </c>
      <c r="B6" s="10" t="str">
        <v>AZ</v>
      </c>
      <c r="C6" s="26">
        <f>SUM(Jan!C6, Feb!C6, Mar!C6)</f>
        <v>11373</v>
      </c>
      <c r="D6" s="14">
        <f>SUM(Jan!D6, Feb!D6, Mar!D6)</f>
        <v>12052.07</v>
      </c>
      <c r="E6" s="14">
        <f t="shared" si="0"/>
        <v>-679.06999999999971</v>
      </c>
      <c r="F6" s="15">
        <f t="shared" ref="F6" si="1">IFERROR(E6/D6, "")</f>
        <v>-5.6344677719263138E-2</v>
      </c>
      <c r="G6" s="16">
        <f>SUM(Jan!G6, Feb!G6, Mar!G6)</f>
        <v>0</v>
      </c>
      <c r="H6" s="16">
        <f>SUM(Jan!H6, Feb!H6, Mar!H6)</f>
        <v>11373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Lake Havasu- Performing Arts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Havasu- Performing Arts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Havasu- Performing Arts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workbookViewId="0">
      <pane ySplit="3" topLeftCell="A4" activePane="bottomLeft" state="frozen"/>
      <selection pane="bottomLeft" activeCell="I14" sqref="I14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38644</v>
      </c>
      <c r="D2" s="6">
        <f>SUM(D4:D90)</f>
        <v>38384.19</v>
      </c>
      <c r="E2" s="6">
        <f>C2-D2</f>
        <v>259.80999999999767</v>
      </c>
      <c r="F2" s="7">
        <f>IFERROR(E2/D2, 0)</f>
        <v>6.7686722059263895E-3</v>
      </c>
      <c r="G2" s="6">
        <f>SUM(G4:G90)</f>
        <v>0</v>
      </c>
      <c r="H2" s="8">
        <f>C2-G2</f>
        <v>38644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18583</v>
      </c>
      <c r="D4" s="14"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v>0</v>
      </c>
      <c r="H4" s="16">
        <f>IF(AND(ISNUMBER(C4),ISNUMBER(G4)), C4-G4, "")</f>
        <v>18583</v>
      </c>
      <c r="I4" s="17">
        <f>IFERROR(H4/G4, 0)</f>
        <v>0</v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>
        <v>8688</v>
      </c>
      <c r="D5" s="20"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v>0</v>
      </c>
      <c r="H5" s="22">
        <f t="shared" ref="H5:H6" si="1">IF(AND(ISNUMBER(C5),ISNUMBER(G5)), C5-G5, "")</f>
        <v>8688</v>
      </c>
      <c r="I5" s="21">
        <f>IFERROR(H5/G5, 0)</f>
        <v>0</v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11373</v>
      </c>
      <c r="D6" s="14">
        <v>12052.07</v>
      </c>
      <c r="E6" s="14">
        <f t="shared" si="0"/>
        <v>-679.06999999999971</v>
      </c>
      <c r="F6" s="15">
        <f t="shared" ref="F6" si="2">IFERROR(E6/D6, "")</f>
        <v>-5.6344677719263138E-2</v>
      </c>
      <c r="G6" s="16">
        <v>0</v>
      </c>
      <c r="H6" s="16">
        <f t="shared" si="1"/>
        <v>11373</v>
      </c>
      <c r="I6" s="17">
        <f>IFERROR(H6/G6, 0)</f>
        <v>0</v>
      </c>
      <c r="J6" s="18"/>
      <c r="K6" s="18"/>
    </row>
    <row r="7" spans="1:11" ht="14.25">
      <c r="A7" s="23"/>
      <c r="B7" s="35"/>
      <c r="C7" s="23"/>
      <c r="D7" s="23"/>
      <c r="E7" s="23" t="str">
        <f t="shared" ref="E7" si="3">IF(AND(ISNUMBER(C7),ISNUMBER(D7)), C7-D7, "")</f>
        <v/>
      </c>
      <c r="F7" s="23" t="str">
        <f t="shared" ref="F7" si="4">IFERROR(E7/D7, "")</f>
        <v/>
      </c>
      <c r="G7" s="23"/>
      <c r="H7" s="23" t="str">
        <f t="shared" ref="H7" si="5">IF(AND(ISNUMBER(C7),ISNUMBER(G7)), C7-G7, "")</f>
        <v/>
      </c>
      <c r="I7" s="23" t="str">
        <f t="shared" ref="I7" si="6">IFERROR(H7/G7, "")</f>
        <v/>
      </c>
      <c r="J7" s="23"/>
      <c r="K7" s="23"/>
    </row>
    <row r="8" spans="1:11" ht="12.75" customHeight="1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D1:F1"/>
    <mergeCell ref="A1:C1"/>
    <mergeCell ref="G1:I1"/>
    <mergeCell ref="A2:B2"/>
  </mergeCells>
  <conditionalFormatting sqref="F2 I2 F4:F90 I4:I90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ySplit="2" topLeftCell="A32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91 I4:I91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49</v>
      </c>
      <c r="C4" s="4" t="s">
        <v>50</v>
      </c>
      <c r="G4" s="3"/>
    </row>
    <row r="5" spans="1:7" ht="14.25">
      <c r="A5" t="s">
        <v>51</v>
      </c>
      <c r="B5" t="s">
        <v>51</v>
      </c>
      <c r="C5" s="4" t="s">
        <v>50</v>
      </c>
      <c r="G5" s="3"/>
    </row>
    <row r="6" spans="1:7" ht="14.25">
      <c r="A6" t="s">
        <v>52</v>
      </c>
      <c r="B6" t="s">
        <v>52</v>
      </c>
      <c r="C6" s="4" t="s">
        <v>50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2024-02-19T11:04:54Z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