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1" documentId="13_ncr:1_{4A0F756E-AA41-4D29-A4DB-3F9D58527997}" xr6:coauthVersionLast="47" xr6:coauthVersionMax="47" xr10:uidLastSave="{86ED18D2-8193-4F5F-B631-5BFE96EE97CB}"/>
  <bookViews>
    <workbookView xWindow="43080" yWindow="7560" windowWidth="29040" windowHeight="15720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4" i="34"/>
  <c r="G4" i="34"/>
  <c r="F4" i="34"/>
  <c r="F4" i="1"/>
  <c r="I4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72"/>
  <c r="F6" i="72" s="1"/>
  <c r="H6" i="72"/>
  <c r="I6" i="72" s="1"/>
  <c r="G4" i="1"/>
  <c r="B4" i="34" a="1"/>
  <c r="B4" i="34" s="1"/>
  <c r="A4" i="34" a="1"/>
  <c r="A4" i="34" s="1"/>
  <c r="G2" i="34"/>
  <c r="A1" i="34" a="1"/>
  <c r="A1" i="34" s="1"/>
  <c r="D4" i="30"/>
  <c r="C4" i="30"/>
  <c r="E4" i="30" s="1"/>
  <c r="F4" i="30" s="1"/>
  <c r="D4" i="29"/>
  <c r="C4" i="29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A1" i="72" a="1"/>
  <c r="A1" i="72" s="1"/>
  <c r="J2" i="4" l="1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H2" i="1"/>
  <c r="I2" i="1" s="1"/>
  <c r="C2" i="34"/>
  <c r="H2" i="34" s="1"/>
  <c r="I2" i="34" s="1"/>
  <c r="H4" i="34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<sst xmlns="http://schemas.openxmlformats.org/spreadsheetml/2006/main" count="238" uniqueCount="52">
  <si>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</si>
  <si>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</si>
  <si>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</si>
  <si>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</si>
  <si>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</si>
  <si>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</si>
  <si>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</si>
  <si>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</si>
  <si>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</si>
  <si>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</si>
  <si>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</si>
  <si>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</si>
  <si>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</si>
  <si>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</si>
  <si>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</si>
  <si>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</si>
  <si>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</si>
  <si>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</si>
  <si>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</si>
  <si>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</si>
  <si>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</si>
  <si>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</si>
  <si>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</si>
  <si>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</si>
  <si>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</si>
  <si>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</si>
  <si>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</si>
  <si>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</si>
  <si>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</si>
  <si>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</si>
  <si>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</si>
  <si>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</si>
  <si>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</si>
  <si>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</si>
  <si>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</si>
  <si>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</si>
  <si>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</si>
  <si>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</si>
  <si>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</si>
  <si>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</si>
  <si>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</si>
  <si>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</si>
  <si>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</si>
  <si>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</si>
  <si>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</si>
  <si>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Superior USD</t>
  </si>
  <si>
    <t>Site DAS Name</t>
  </si>
  <si>
    <t>Update</t>
  </si>
  <si>
    <t>DAS</t>
  </si>
  <si>
    <t>AZ: Superior - Superior High School</t>
  </si>
  <si>
    <t>AZ: Superior High School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</si>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</sst>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sqref="A1:C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SUM(C4:C89)</f>
        <v>18248</v>
      </c>
      <c r="D2" s="6">
        <f>SUM(D4:D89)</f>
        <v>0</v>
      </c>
      <c r="E2" s="6">
        <f>C2-D2</f>
        <v>18248</v>
      </c>
      <c r="F2" s="7">
        <f>IFERROR(E2/D2, 0)</f>
        <v>0</v>
      </c>
      <c r="G2" s="6">
        <f>SUM(G4:G89)</f>
        <v>0</v>
      </c>
      <c r="H2" s="8">
        <f>C2-G2</f>
        <v>18248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SUM('1st Qtr'!C4, '2nd Qtr'!C4, '3rd Qtr'!C4, '4th Qtr'!C4)</f>
        <v>18248</v>
      </c>
      <c r="D4" s="14">
        <f>SUM('1st Qtr'!D4, '2nd Qtr'!D4, '3rd Qtr'!D4, '4th Qtr'!D4)</f>
        <v>0</v>
      </c>
      <c r="E4" s="14">
        <f>IF(AND(ISNUMBER(C4),ISNUMBER(D4)), C4-D4, "")</f>
        <v>18248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18248</v>
      </c>
      <c r="I4" s="17">
        <f>IFERROR(H4/G4, 0)</f>
        <v>0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sqref="A1:C1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SUM(C4:C89)</f>
        <v>18248</v>
      </c>
      <c r="D2" s="6">
        <f>SUM(D4:D89)</f>
        <v>0</v>
      </c>
      <c r="E2" s="6">
        <f>C2-D2</f>
        <v>18248</v>
      </c>
      <c r="F2" s="7">
        <f>IFERROR(E2/D2, 0)</f>
        <v>0</v>
      </c>
      <c r="G2" s="6">
        <f>SUM(G4:G89)</f>
        <v>0</v>
      </c>
      <c r="H2" s="8">
        <f>C2-G2</f>
        <v>18248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SUM(Jan!C4, Feb!C4, Mar!C4)</f>
        <v>18248</v>
      </c>
      <c r="D4" s="14">
        <f>SUM(Jan!D4, Feb!D4, Mar!D4)</f>
        <v>0</v>
      </c>
      <c r="E4" s="14">
        <f>IF(AND(ISNUMBER(C4),ISNUMBER(D4)), C4-D4, "")</f>
        <v>18248</v>
      </c>
      <c r="F4" s="15">
        <f>IFERROR(E4/D4, 0)</f>
        <v>0</v>
      </c>
      <c r="G4" s="16">
        <f>SUM(Jan!G4, Feb!G4, Mar!G4)</f>
        <v>0</v>
      </c>
      <c r="H4" s="16">
        <f>SUM(Jan!H4, Feb!H4, Mar!H4)</f>
        <v>18248</v>
      </c>
      <c r="I4" s="17">
        <f>IFERROR(H4/G4, 0)</f>
        <v>0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Superior USD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AZ: Superior High School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2" sqref="H12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18248</v>
      </c>
      <c r="D2" s="6">
        <f>SUM(D4:D89)</f>
        <v>0</v>
      </c>
      <c r="E2" s="6">
        <f>C2-D2</f>
        <v>18248</v>
      </c>
      <c r="F2" s="7">
        <f>IFERROR(E2/D2, 0)</f>
        <v>0</v>
      </c>
      <c r="G2" s="6">
        <f>SUM(G4:G89)</f>
        <v>0</v>
      </c>
      <c r="H2" s="8">
        <f>C2-G2</f>
        <v>18248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>
        <v>18248</v>
      </c>
      <c r="D4" s="14">
        <v>0</v>
      </c>
      <c r="E4" s="14">
        <f>IF(AND(ISNUMBER(C4),ISNUMBER(D4)), C4-D4, "")</f>
        <v>18248</v>
      </c>
      <c r="F4" s="15">
        <f>IFERROR(E4/D4, 0)</f>
        <v>0</v>
      </c>
      <c r="G4" s="16">
        <v>0</v>
      </c>
      <c r="H4" s="16">
        <f>IF(AND(ISNUMBER(C4),ISNUMBER(G4)), C4-G4, "")</f>
        <v>18248</v>
      </c>
      <c r="I4" s="17">
        <f>IFERROR(H4/G4, 0)</f>
        <v>0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Superior USD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Superior High School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tabSelected="1" workbookViewId="0">
      <pane ySplit="3" topLeftCell="A4" activePane="bottomLeft" state="frozen"/>
      <selection pane="bottomLeft" activeCell="B2" sqref="B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6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50</v>
      </c>
      <c r="C4" s="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2024-04-08T09:57:40Z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