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1" documentId="13_ncr:1_{503483F9-AE85-4A76-BD57-C9F0A64F9661}" xr6:coauthVersionLast="47" xr6:coauthVersionMax="47" xr10:uidLastSave="{36B1BADB-7C00-4853-AE5D-2468E41E75E3}"/>
  <bookViews>
    <workbookView xWindow="-98" yWindow="-98" windowWidth="21795" windowHeight="1297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4" l="1" a="1"/>
  <c r="A1" i="34"/>
  <c r="G5" i="34"/>
  <c r="G4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J2" i="4"/>
  <c r="E4" i="3"/>
  <c r="F4" i="3" s="1"/>
  <c r="H4" i="3"/>
  <c r="I4" i="3"/>
  <c r="E5" i="3"/>
  <c r="F5" i="3" s="1"/>
  <c r="H5" i="3"/>
  <c r="I5" i="3" s="1"/>
  <c r="E6" i="72"/>
  <c r="F6" i="72" s="1"/>
  <c r="H6" i="72"/>
  <c r="I6" i="72" s="1"/>
  <c r="G5" i="1"/>
  <c r="G4" i="1"/>
  <c r="D5" i="34"/>
  <c r="C5" i="34"/>
  <c r="B4" i="34" a="1"/>
  <c r="B4" i="34" s="1"/>
  <c r="A4" i="34" a="1"/>
  <c r="A4" i="34" s="1"/>
  <c r="G2" i="34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3" l="1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<sst xmlns="http://schemas.openxmlformats.org/spreadsheetml/2006/main" count="241" uniqueCount="54">
  <si>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</si>
  <si>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</si>
  <si>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</si>
  <si>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</si>
  <si>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</si>
  <si>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</si>
  <si>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</si>
  <si>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</si>
  <si>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</si>
  <si>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</si>
  <si>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</si>
  <si>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</si>
  <si>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</si>
  <si>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</si>
  <si>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</si>
  <si>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</si>
  <si>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</si>
  <si>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</si>
  <si>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</si>
  <si>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</si>
  <si>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</si>
  <si>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</si>
  <si>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</si>
  <si>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</si>
  <si>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</si>
  <si>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</si>
  <si>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</si>
  <si>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</si>
  <si>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</si>
  <si>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</si>
  <si>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</si>
  <si>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</si>
  <si>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</si>
  <si>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</si>
  <si>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</si>
  <si>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</si>
  <si>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</si>
  <si>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</si>
  <si>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</si>
  <si>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</si>
  <si>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</si>
  <si>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</si>
  <si>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</si>
  <si>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</si>
  <si>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</si>
  <si>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Albuquerque</t>
  </si>
  <si>
    <t>Site DAS Name</t>
  </si>
  <si>
    <t>Update</t>
  </si>
  <si>
    <t>DAS</t>
  </si>
  <si>
    <t>Dept of Senior Affairs CASA Kitchen Karsten</t>
  </si>
  <si>
    <t>NM: Albuquerque - Senior Affairs</t>
  </si>
  <si>
    <t>NM</t>
  </si>
  <si>
    <t>Rio Grande Zoo</t>
  </si>
  <si>
    <t>NM: Albuquerque - Rio Grande Zoo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</si>
</sst>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tabSelected="1" workbookViewId="0">
      <pane ySplit="2" topLeftCell="A3" activePane="bottomLeft" state="frozen"/>
      <selection pane="bottomLeft" activeCell="A13" sqref="A1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Albuquerque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SUM(C4:C90)</f>
        <v>56828.375</v>
      </c>
      <c r="D2" s="6">
        <f>SUM(D4:D90)</f>
        <v>51223.247000000003</v>
      </c>
      <c r="E2" s="6">
        <f>C2-D2</f>
        <v>5605.127999999997</v>
      </c>
      <c r="F2" s="7">
        <f>IFERROR(E2/D2, 0)</f>
        <v>0.10942547238366199</v>
      </c>
      <c r="G2" s="6">
        <f>SUM(G4:G90)</f>
        <v>55144.959000000003</v>
      </c>
      <c r="H2" s="8">
        <f>C2-G2</f>
        <v>1683.4159999999974</v>
      </c>
      <c r="I2" s="7">
        <f>IFERROR(H2/G2, 0)</f>
        <v>3.0527105841170313E-2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SUM('1st Qtr'!C4, '2nd Qtr'!C4, '3rd Qtr'!C4, '4th Qtr'!C4)</f>
        <v>5210.625</v>
      </c>
      <c r="D4" s="14">
        <f>SUM('1st Qtr'!D4, '2nd Qtr'!D4, '3rd Qtr'!D4, '4th Qtr'!D4)</f>
        <v>5211.5169999999998</v>
      </c>
      <c r="E4" s="14">
        <f>IF(AND(ISNUMBER(C4),ISNUMBER(D4)), C4-D4, "")</f>
        <v>-0.89199999999982538</v>
      </c>
      <c r="F4" s="15">
        <f>IFERROR(E4/D4, "")</f>
        <v>-1.7115937643488938E-4</v>
      </c>
      <c r="G4" s="16">
        <f>SUM('1st Qtr'!G4,'2nd Qtr'!G4,'3rd Qtr'!G4,'4th Qtr'!G4)</f>
        <v>4330.7489999999998</v>
      </c>
      <c r="H4" s="16">
        <f>SUM('1st Qtr'!H4, '2nd Qtr'!H4, '3rd Qtr'!H4, '4th Qtr'!H4)</f>
        <v>879.8760000000002</v>
      </c>
      <c r="I4" s="17">
        <f>IFERROR(H4/G4, "")</f>
        <v>0.20316947484141895</v>
      </c>
    </row>
    <row r="5" spans="1:9" ht="15.75">
      <c r="A5" s="19" t="str">
        <v>NM: Albuquerque - Rio Grande Zoo</v>
      </c>
      <c r="B5" s="11" t="str">
        <v>NM</v>
      </c>
      <c r="C5" s="12">
        <f>SUM(Jan!C5, Feb!C5, Mar!C5)</f>
        <v>51617.75</v>
      </c>
      <c r="D5" s="20">
        <f>SUM(Jan!D5, Feb!D5, Mar!D5)</f>
        <v>46011.73</v>
      </c>
      <c r="E5" s="20">
        <f t="shared" ref="E5" si="0">IF(AND(ISNUMBER(C5),ISNUMBER(D5)), C5-D5, "")</f>
        <v>5606.0199999999968</v>
      </c>
      <c r="F5" s="21">
        <f>IFERROR(E5/D5, "")</f>
        <v>0.12183893107257641</v>
      </c>
      <c r="G5" s="22">
        <f>SUM('1st Qtr'!G5,'2nd Qtr'!G5,'3rd Qtr'!G5,'4th Qtr'!G5)</f>
        <v>50814.21</v>
      </c>
      <c r="H5" s="22">
        <f>SUM(Jan!H5, Feb!H5, Mar!H5)</f>
        <v>803.54000000000087</v>
      </c>
      <c r="I5" s="21">
        <f>IFERROR(H5/G5, "")</f>
        <v>1.5813293171339296E-2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Albuquerque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SUM(C4:C90)</f>
        <v>56828.375</v>
      </c>
      <c r="D2" s="6">
        <f>SUM(D4:D90)</f>
        <v>51223.247000000003</v>
      </c>
      <c r="E2" s="6">
        <f>C2-D2</f>
        <v>5605.127999999997</v>
      </c>
      <c r="F2" s="7">
        <f>IFERROR(E2/D2, 0)</f>
        <v>0.10942547238366199</v>
      </c>
      <c r="G2" s="6">
        <f>SUM(G4:G90)</f>
        <v>55144.959000000003</v>
      </c>
      <c r="H2" s="8">
        <f>C2-G2</f>
        <v>1683.4159999999974</v>
      </c>
      <c r="I2" s="7">
        <f>IFERROR(H2/G2, 0)</f>
        <v>3.0527105841170313E-2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SUM(Jan!C4, Feb!C4, Mar!C4)</f>
        <v>5210.625</v>
      </c>
      <c r="D4" s="14">
        <f>SUM(Jan!D4, Feb!D4, Mar!D4)</f>
        <v>5211.5169999999998</v>
      </c>
      <c r="E4" s="14">
        <f>IF(AND(ISNUMBER(C4),ISNUMBER(D4)), C4-D4, "")</f>
        <v>-0.89199999999982538</v>
      </c>
      <c r="F4" s="15">
        <f>IFERROR(E4/D4, "")</f>
        <v>-1.7115937643488938E-4</v>
      </c>
      <c r="G4" s="16">
        <f>SUM(Jan!G4, Feb!G4, Mar!G4)</f>
        <v>4330.7489999999998</v>
      </c>
      <c r="H4" s="16">
        <f>SUM(Jan!H4, Feb!H4, Mar!H4)</f>
        <v>879.8760000000002</v>
      </c>
      <c r="I4" s="17">
        <f>IFERROR(H4/G4, "")</f>
        <v>0.20316947484141895</v>
      </c>
    </row>
    <row r="5" spans="1:9" ht="15.75">
      <c r="A5" s="19" t="str">
        <v>NM: Albuquerque - Rio Grande Zoo</v>
      </c>
      <c r="B5" s="11" t="str">
        <v>NM</v>
      </c>
      <c r="C5" s="12">
        <f>SUM(Jan!C5, Feb!C5, Mar!C5)</f>
        <v>51617.75</v>
      </c>
      <c r="D5" s="20">
        <f>SUM(Jan!D5, Feb!D5, Mar!D5)</f>
        <v>46011.73</v>
      </c>
      <c r="E5" s="20">
        <f t="shared" ref="E5" si="0">IF(AND(ISNUMBER(C5),ISNUMBER(D5)), C5-D5, "")</f>
        <v>5606.0199999999968</v>
      </c>
      <c r="F5" s="21">
        <f>IFERROR(E5/D5, "")</f>
        <v>0.12183893107257641</v>
      </c>
      <c r="G5" s="22">
        <f>SUM(Jan!G5, Feb!G5, Mar!G5)</f>
        <v>50814.21</v>
      </c>
      <c r="H5" s="22">
        <f>SUM(Jan!H5, Feb!H5, Mar!H5)</f>
        <v>803.54000000000087</v>
      </c>
      <c r="I5" s="21">
        <f>IFERROR(H5/G5, "")</f>
        <v>1.5813293171339296E-2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Albuquerque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NM: Albuquerque - Rio Grande Zoo</v>
      </c>
      <c r="B5" s="11" t="str">
        <v>NM</v>
      </c>
      <c r="C5" s="12">
        <f>SUM(Apr!C5, May!C5, Jun!C5)</f>
        <v>0</v>
      </c>
      <c r="D5" s="20">
        <f>SUM(Apr!D5, May!D5, Jun!D5)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Albuquerque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NM: Albuquerque - Rio Grande Zoo</v>
      </c>
      <c r="B5" s="11" t="str">
        <v>NM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City of Albuquerque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NM: Albuquerque - Senior Affairs</v>
      </c>
      <c r="B4" s="10" t="str" cm="1">
        <f t="array" ref="B4:B5">Sites[State]</f>
        <v>NM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NM: Albuquerque - Rio Grande Zoo</v>
      </c>
      <c r="B5" s="11" t="str">
        <v>NM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11" sqref="G11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56828.375</v>
      </c>
      <c r="D2" s="6">
        <f>SUM(D4:D89)</f>
        <v>51223.247000000003</v>
      </c>
      <c r="E2" s="6">
        <f>C2-D2</f>
        <v>5605.127999999997</v>
      </c>
      <c r="F2" s="7">
        <f>IFERROR(E2/D2, 0)</f>
        <v>0.10942547238366199</v>
      </c>
      <c r="G2" s="6">
        <f>SUM(G4:G89)</f>
        <v>55144.959000000003</v>
      </c>
      <c r="H2" s="8">
        <f>C2-G2</f>
        <v>1683.4159999999974</v>
      </c>
      <c r="I2" s="7">
        <f>IFERROR(H2/G2, 0)</f>
        <v>3.0527105841170313E-2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>
        <v>5210.625</v>
      </c>
      <c r="D4" s="14">
        <v>5211.5169999999998</v>
      </c>
      <c r="E4" s="14">
        <f>IF(AND(ISNUMBER(C4),ISNUMBER(D4)), C4-D4, "")</f>
        <v>-0.89199999999982538</v>
      </c>
      <c r="F4" s="15">
        <f>IFERROR(E4/D4, "")</f>
        <v>-1.7115937643488938E-4</v>
      </c>
      <c r="G4" s="16">
        <v>4330.7489999999998</v>
      </c>
      <c r="H4" s="16">
        <f>IF(AND(ISNUMBER(C4),ISNUMBER(G4)), C4-G4, "")</f>
        <v>879.8760000000002</v>
      </c>
      <c r="I4" s="17">
        <f>IFERROR(H4/G4, "")</f>
        <v>0.20316947484141895</v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>
        <v>51617.75</v>
      </c>
      <c r="D5" s="20">
        <v>46011.73</v>
      </c>
      <c r="E5" s="20">
        <f t="shared" ref="E5" si="0">IF(AND(ISNUMBER(C5),ISNUMBER(D5)), C5-D5, "")</f>
        <v>5606.0199999999968</v>
      </c>
      <c r="F5" s="21">
        <f>IFERROR(E5/D5, "")</f>
        <v>0.12183893107257641</v>
      </c>
      <c r="G5" s="22">
        <v>50814.21</v>
      </c>
      <c r="H5" s="22">
        <f t="shared" ref="H5" si="1">IF(AND(ISNUMBER(C5),ISNUMBER(G5)), C5-G5, "")</f>
        <v>803.54000000000087</v>
      </c>
      <c r="I5" s="21">
        <f t="shared" ref="I5" si="2">IFERROR(H5/G5, "")</f>
        <v>1.5813293171339296E-2</v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2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City of Albuquerque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NM: Albuquerque - Senior Affairs</v>
      </c>
      <c r="B4" s="30" t="str" cm="1">
        <f t="array" ref="B4:B5">Sites[State]</f>
        <v>NM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NM: Albuquerque - Rio Grande Zoo</v>
      </c>
      <c r="B5" s="32" t="str">
        <v>NM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A6" sqref="A6:XFD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50</v>
      </c>
      <c r="C4" s="4" t="s">
        <v>51</v>
      </c>
      <c r="G4" s="3"/>
    </row>
    <row r="5" spans="1:7" ht="14.25">
      <c r="A5" t="s">
        <v>52</v>
      </c>
      <c r="B5" t="s">
        <v>53</v>
      </c>
      <c r="C5" s="4" t="s">
        <v>51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2024-03-09T04:37:48Z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