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Western - Jan/"/>
    </mc:Choice>
  </mc:AlternateContent>
  <xr:revisionPtr revIDLastSave="2" documentId="13_ncr:1_{60F8D722-3093-4D17-97AC-1FB72E2C150C}" xr6:coauthVersionLast="47" xr6:coauthVersionMax="47" xr10:uidLastSave="{88E9D571-C4BC-4A9F-9E57-62981AF79A5C}"/>
  <bookViews>
    <workbookView xWindow="43080" yWindow="756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F4" i="1"/>
  <c r="I6" i="72"/>
  <c r="I5" i="72"/>
  <c r="I4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27"/>
  <c r="J2" i="20"/>
  <c r="J2" i="2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D2" i="30" s="1"/>
  <c r="C4" i="30"/>
  <c r="E4" i="30" s="1"/>
  <c r="F4" i="30" s="1"/>
  <c r="D6" i="29"/>
  <c r="C6" i="29"/>
  <c r="E6" i="29" s="1"/>
  <c r="F6" i="29" s="1"/>
  <c r="D5" i="29"/>
  <c r="C5" i="29"/>
  <c r="E5" i="29" s="1"/>
  <c r="F5" i="29" s="1"/>
  <c r="D4" i="29"/>
  <c r="C4" i="29"/>
  <c r="D6" i="18"/>
  <c r="C6" i="18"/>
  <c r="E6" i="18" s="1"/>
  <c r="F6" i="18" s="1"/>
  <c r="D5" i="18"/>
  <c r="C5" i="18"/>
  <c r="E5" i="18" s="1"/>
  <c r="F5" i="18" s="1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E2" i="28" s="1"/>
  <c r="F2" i="28" s="1"/>
  <c r="C2" i="28"/>
  <c r="A1" i="28" a="1"/>
  <c r="A1" i="28" s="1"/>
  <c r="H6" i="27"/>
  <c r="I6" i="27" s="1"/>
  <c r="E6" i="27"/>
  <c r="F6" i="27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H2" i="20" s="1"/>
  <c r="I2" i="20" s="1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A1" i="72" a="1"/>
  <c r="A1" i="72" s="1"/>
  <c r="G2" i="34" l="1"/>
  <c r="H2" i="19"/>
  <c r="I2" i="19" s="1"/>
  <c r="H6" i="30"/>
  <c r="I6" i="30" s="1"/>
  <c r="J2" i="19"/>
  <c r="H2" i="28"/>
  <c r="I2" i="28" s="1"/>
  <c r="H2" i="32"/>
  <c r="I2" i="32" s="1"/>
  <c r="H2" i="26"/>
  <c r="I2" i="26" s="1"/>
  <c r="H6" i="29"/>
  <c r="I6" i="29" s="1"/>
  <c r="D4" i="34"/>
  <c r="D2" i="34" s="1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H5" i="1"/>
  <c r="H6" i="1"/>
  <c r="C2" i="1"/>
  <c r="E2" i="3"/>
  <c r="F2" i="3" s="1"/>
  <c r="E4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<sst xmlns="http://schemas.openxmlformats.org/spreadsheetml/2006/main" count="246" uniqueCount="55">
  <si>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</si>
  <si>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</si>
  <si>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</si>
  <si>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</si>
  <si>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</si>
  <si>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</si>
  <si>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</si>
  <si>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</si>
  <si>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</si>
  <si>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</si>
  <si>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</si>
  <si>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</si>
  <si>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</si>
  <si>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</si>
  <si>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</si>
  <si>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</si>
  <si>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</si>
  <si>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</si>
  <si>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</si>
  <si>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</si>
  <si>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</si>
  <si>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</si>
  <si>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3 was offline due to a blown 175 AMP fuse on 1/20. The technician replaced the fuse, and the inverter was back online on 02/05</t>
  </si>
  <si>
    <t>1. SR080418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</si>
  <si>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</si>
  <si>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</si>
  <si>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</si>
  <si>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</si>
  <si>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</si>
  <si>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</si>
  <si>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</si>
  <si>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</si>
  <si>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</si>
  <si>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</si>
  <si>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</si>
  <si>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</si>
  <si>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</si>
  <si>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</si>
  <si>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</si>
  <si>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</si>
  <si>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</si>
  <si>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</si>
  <si>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</si>
  <si>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</si>
  <si>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</si>
  <si>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</si>
  <si>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</si>
  <si>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Flagstaff</t>
  </si>
  <si>
    <t>Site DAS Name</t>
  </si>
  <si>
    <t>Update</t>
  </si>
  <si>
    <t>DAS</t>
  </si>
  <si>
    <t>AZ: COF Aquaplex</t>
  </si>
  <si>
    <t>AZ</t>
  </si>
  <si>
    <t>AZ: COF Sun Bear</t>
  </si>
  <si>
    <t>AZ: COF Rio de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</si>
</sst>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workbookViewId="0">
      <pane ySplit="2" topLeftCell="A3" activePane="bottomLeft" state="frozen"/>
      <selection pane="bottomLeft" sqref="A1:C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Flagstaff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SUM(C4:C85)</f>
        <v>72473</v>
      </c>
      <c r="D2" s="6">
        <f>SUM(D4:D85)</f>
        <v>49976.5</v>
      </c>
      <c r="E2" s="6">
        <f>C2-D2</f>
        <v>22496.5</v>
      </c>
      <c r="F2" s="7">
        <f>IFERROR(E2/D2, 0)</f>
        <v>0.45014156653627208</v>
      </c>
      <c r="G2" s="6">
        <f>SUM(G4:G85)</f>
        <v>0</v>
      </c>
      <c r="H2" s="8">
        <f>C2-G2</f>
        <v>72473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5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SUM('1st Qtr'!C4, '2nd Qtr'!C4, '3rd Qtr'!C4, '4th Qtr'!C4)</f>
        <v>21093</v>
      </c>
      <c r="D4" s="14">
        <f>SUM('1st Qtr'!D4, '2nd Qtr'!D4, '3rd Qtr'!D4, '4th Qtr'!D4)</f>
        <v>0</v>
      </c>
      <c r="E4" s="14">
        <f>IF(AND(ISNUMBER(C4),ISNUMBER(D4)), C4-D4, "")</f>
        <v>21093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21093</v>
      </c>
      <c r="I4" s="17">
        <f>IFERROR(H4/G4, 0)</f>
        <v>0</v>
      </c>
    </row>
    <row r="5" spans="1:9" ht="15.75">
      <c r="A5" s="19" t="str">
        <v>AZ: COF Sun Bear</v>
      </c>
      <c r="B5" s="11" t="str">
        <v>AZ</v>
      </c>
      <c r="C5" s="12">
        <f>SUM(Jan!C5, Feb!C5, Mar!C5)</f>
        <v>26537</v>
      </c>
      <c r="D5" s="20">
        <f>SUM(Jan!D5, Feb!D5, Mar!D5)</f>
        <v>24317.09</v>
      </c>
      <c r="E5" s="20">
        <f t="shared" ref="E5:E6" si="0">IF(AND(ISNUMBER(C5),ISNUMBER(D5)), C5-D5, "")</f>
        <v>2219.91</v>
      </c>
      <c r="F5" s="21">
        <f>IFERROR(E5/D5, 0)</f>
        <v>9.1290117361904732E-2</v>
      </c>
      <c r="G5" s="22">
        <f>SUM('1st Qtr'!G5,'2nd Qtr'!G5,'3rd Qtr'!G5,'4th Qtr'!G5)</f>
        <v>0</v>
      </c>
      <c r="H5" s="22">
        <f>SUM(Jan!H5, Feb!H5, Mar!H5)</f>
        <v>26537</v>
      </c>
      <c r="I5" s="21">
        <f>IFERROR(H5/G5, 0)</f>
        <v>0</v>
      </c>
    </row>
    <row r="6" spans="1:9" ht="15.75">
      <c r="A6" s="13" t="str">
        <v>AZ: COF Rio de Flag</v>
      </c>
      <c r="B6" s="10" t="str">
        <v>AZ</v>
      </c>
      <c r="C6" s="26">
        <f>SUM(Jan!C6, Feb!C6, Mar!C6)</f>
        <v>24843</v>
      </c>
      <c r="D6" s="14">
        <f>SUM(Jan!D6, Feb!D6, Mar!D6)</f>
        <v>25659.41</v>
      </c>
      <c r="E6" s="14">
        <f t="shared" si="0"/>
        <v>-816.40999999999985</v>
      </c>
      <c r="F6" s="15">
        <f>IFERROR(E6/D6, 0)</f>
        <v>-3.1817177401974553E-2</v>
      </c>
      <c r="G6" s="16">
        <f>SUM('1st Qtr'!G6,'2nd Qtr'!G6,'3rd Qtr'!G6,'4th Qtr'!G6)</f>
        <v>0</v>
      </c>
      <c r="H6" s="16">
        <f>SUM(Jan!H6, Feb!H6, Mar!H6)</f>
        <v>24843</v>
      </c>
      <c r="I6" s="17">
        <f>IFERROR(H6/G6, 0)</f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5 I4:I8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ySplit="2" topLeftCell="A3" activePane="bottomLeft" state="frozen"/>
      <selection pane="bottomLeft" activeCell="I7" sqref="I7"/>
      <selection activeCell="A33" sqref="A3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Flagstaff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SUM(C4:C85)</f>
        <v>72473</v>
      </c>
      <c r="D2" s="6">
        <f>SUM(D4:D85)</f>
        <v>49976.5</v>
      </c>
      <c r="E2" s="6">
        <f>C2-D2</f>
        <v>22496.5</v>
      </c>
      <c r="F2" s="7">
        <f>IFERROR(E2/D2, 0)</f>
        <v>0.45014156653627208</v>
      </c>
      <c r="G2" s="6">
        <f>SUM(G4:G85)</f>
        <v>0</v>
      </c>
      <c r="H2" s="8">
        <f>C2-G2</f>
        <v>72473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5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SUM(Jan!C4, Feb!C4, Mar!C4)</f>
        <v>21093</v>
      </c>
      <c r="D4" s="14">
        <f>SUM(Jan!D4, Feb!D4, Mar!D4)</f>
        <v>0</v>
      </c>
      <c r="E4" s="14">
        <f>IF(AND(ISNUMBER(C4),ISNUMBER(D4)), C4-D4, "")</f>
        <v>21093</v>
      </c>
      <c r="F4" s="15">
        <f>IFERROR(E4/D4, 0)</f>
        <v>0</v>
      </c>
      <c r="G4" s="16">
        <f>SUM(Jan!G4, Feb!G4, Mar!G4)</f>
        <v>0</v>
      </c>
      <c r="H4" s="16">
        <f>SUM(Jan!H4, Feb!H4, Mar!H4)</f>
        <v>21093</v>
      </c>
      <c r="I4" s="17">
        <f>IFERROR(H4/G4, 0)</f>
        <v>0</v>
      </c>
    </row>
    <row r="5" spans="1:9" ht="15.75">
      <c r="A5" s="19" t="str">
        <v>AZ: COF Sun Bear</v>
      </c>
      <c r="B5" s="11" t="str">
        <v>AZ</v>
      </c>
      <c r="C5" s="12">
        <f>SUM(Jan!C5, Feb!C5, Mar!C5)</f>
        <v>26537</v>
      </c>
      <c r="D5" s="20">
        <f>SUM(Jan!D5, Feb!D5, Mar!D5)</f>
        <v>24317.09</v>
      </c>
      <c r="E5" s="20">
        <f t="shared" ref="E5:E6" si="0">IF(AND(ISNUMBER(C5),ISNUMBER(D5)), C5-D5, "")</f>
        <v>2219.91</v>
      </c>
      <c r="F5" s="21">
        <f>IFERROR(E5/D5, "")</f>
        <v>9.1290117361904732E-2</v>
      </c>
      <c r="G5" s="22">
        <f>SUM(Jan!G5, Feb!G5, Mar!G5)</f>
        <v>0</v>
      </c>
      <c r="H5" s="22">
        <f>SUM(Jan!H5, Feb!H5, Mar!H5)</f>
        <v>26537</v>
      </c>
      <c r="I5" s="21">
        <f>IFERROR(H5/G5, 0)</f>
        <v>0</v>
      </c>
    </row>
    <row r="6" spans="1:9" ht="15.75">
      <c r="A6" s="13" t="str">
        <v>AZ: COF Rio de Flag</v>
      </c>
      <c r="B6" s="10" t="str">
        <v>AZ</v>
      </c>
      <c r="C6" s="26">
        <f>SUM(Jan!C6, Feb!C6, Mar!C6)</f>
        <v>24843</v>
      </c>
      <c r="D6" s="14">
        <f>SUM(Jan!D6, Feb!D6, Mar!D6)</f>
        <v>25659.41</v>
      </c>
      <c r="E6" s="14">
        <f t="shared" si="0"/>
        <v>-816.40999999999985</v>
      </c>
      <c r="F6" s="15">
        <f t="shared" ref="F6" si="1">IFERROR(E6/D6, "")</f>
        <v>-3.1817177401974553E-2</v>
      </c>
      <c r="G6" s="16">
        <f>SUM(Jan!G6, Feb!G6, Mar!G6)</f>
        <v>0</v>
      </c>
      <c r="H6" s="16">
        <f>SUM(Jan!H6, Feb!H6, Mar!H6)</f>
        <v>24843</v>
      </c>
      <c r="I6" s="17">
        <f>IFERROR(H6/G6, 0)</f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Flagstaff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5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AZ: COF Sun Bear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AZ: COF Rio de Flag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SUM(Apr!H6, May!H6, Jun!H6)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Flagstaff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5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COF Sun Bear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COF Rio de Flag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City of Flagstaff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75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COF Sun Bear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COF Rio de Flag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6"/>
  <sheetViews>
    <sheetView tabSelected="1" workbookViewId="0">
      <pane ySplit="3" topLeftCell="A4" activePane="bottomLeft" state="frozen"/>
      <selection pane="bottomLeft" activeCell="J17" sqref="J17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SUM(C4:C84)</f>
        <v>72473</v>
      </c>
      <c r="D2" s="6">
        <f>SUM(D4:D84)</f>
        <v>49976.5</v>
      </c>
      <c r="E2" s="6">
        <f>C2-D2</f>
        <v>22496.5</v>
      </c>
      <c r="F2" s="7">
        <f>IFERROR(E2/D2, 0)</f>
        <v>0.45014156653627208</v>
      </c>
      <c r="G2" s="6">
        <f>SUM(G4:G84)</f>
        <v>0</v>
      </c>
      <c r="H2" s="8">
        <f>C2-G2</f>
        <v>72473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21093</v>
      </c>
      <c r="D4" s="14">
        <v>0</v>
      </c>
      <c r="E4" s="14">
        <f>IF(AND(ISNUMBER(C4),ISNUMBER(D4)), C4-D4, "")</f>
        <v>21093</v>
      </c>
      <c r="F4" s="15">
        <f>IFERROR(E4/D4, 0)</f>
        <v>0</v>
      </c>
      <c r="G4" s="16">
        <v>0</v>
      </c>
      <c r="H4" s="16">
        <f>IF(AND(ISNUMBER(C4),ISNUMBER(G4)), C4-G4, "")</f>
        <v>21093</v>
      </c>
      <c r="I4" s="17">
        <f>IFERROR(H4/G4, 0)</f>
        <v>0</v>
      </c>
      <c r="J4" s="18"/>
      <c r="K4" s="18"/>
    </row>
    <row r="5" spans="1:11" ht="15.75">
      <c r="A5" s="32" t="str">
        <v>AZ: COF Sun Bear</v>
      </c>
      <c r="B5" s="33" t="str">
        <v>AZ</v>
      </c>
      <c r="C5" s="12">
        <v>26537</v>
      </c>
      <c r="D5" s="20">
        <v>24317.09</v>
      </c>
      <c r="E5" s="20">
        <f t="shared" ref="E5:E6" si="0">IF(AND(ISNUMBER(C5),ISNUMBER(D5)), C5-D5, "")</f>
        <v>2219.91</v>
      </c>
      <c r="F5" s="21">
        <f>IFERROR(E5/D5, "")</f>
        <v>9.1290117361904732E-2</v>
      </c>
      <c r="G5" s="22">
        <v>0</v>
      </c>
      <c r="H5" s="22">
        <f t="shared" ref="H5:H6" si="1">IF(AND(ISNUMBER(C5),ISNUMBER(G5)), C5-G5, "")</f>
        <v>26537</v>
      </c>
      <c r="I5" s="21">
        <f>IFERROR(H5/G5, 0)</f>
        <v>0</v>
      </c>
      <c r="J5" s="11"/>
      <c r="K5" s="19"/>
    </row>
    <row r="6" spans="1:11" ht="28.5">
      <c r="A6" s="30" t="str">
        <v>AZ: COF Rio de Flag</v>
      </c>
      <c r="B6" s="31" t="str">
        <v>AZ</v>
      </c>
      <c r="C6" s="26">
        <v>24843</v>
      </c>
      <c r="D6" s="14">
        <v>25659.41</v>
      </c>
      <c r="E6" s="14">
        <f t="shared" si="0"/>
        <v>-816.40999999999985</v>
      </c>
      <c r="F6" s="15">
        <f t="shared" ref="F6" si="2">IFERROR(E6/D6, "")</f>
        <v>-3.1817177401974553E-2</v>
      </c>
      <c r="G6" s="16">
        <v>0</v>
      </c>
      <c r="H6" s="16">
        <f t="shared" si="1"/>
        <v>24843</v>
      </c>
      <c r="I6" s="17">
        <f>IFERROR(H6/G6, 0)</f>
        <v>0</v>
      </c>
      <c r="J6" s="18" t="s">
        <v>22</v>
      </c>
      <c r="K6" s="18" t="s">
        <v>23</v>
      </c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D1:F1"/>
    <mergeCell ref="A1:C1"/>
    <mergeCell ref="G1:I1"/>
    <mergeCell ref="A2:B2"/>
  </mergeCells>
  <conditionalFormatting sqref="F2 I2 F4:F84 I4:I84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7"/>
  <sheetViews>
    <sheetView workbookViewId="0">
      <pane ySplit="2" topLeftCell="A32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City of Flagstaff</v>
      </c>
      <c r="B1" s="45"/>
      <c r="C1" s="45"/>
      <c r="D1" s="46" t="s">
        <v>44</v>
      </c>
      <c r="E1" s="46"/>
      <c r="F1" s="46"/>
      <c r="G1" s="44" t="s">
        <v>45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J23" sqref="J23"/>
      <selection activeCell="A33" sqref="A3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s="37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s="37" t="s">
        <v>51</v>
      </c>
      <c r="B4" s="37" t="s">
        <v>51</v>
      </c>
      <c r="C4" s="4" t="s">
        <v>52</v>
      </c>
      <c r="G4" s="3"/>
    </row>
    <row r="5" spans="1:7" ht="14.25">
      <c r="A5" s="37" t="s">
        <v>53</v>
      </c>
      <c r="B5" s="37" t="s">
        <v>53</v>
      </c>
      <c r="C5" s="4" t="s">
        <v>52</v>
      </c>
      <c r="G5" s="3"/>
    </row>
    <row r="6" spans="1:7" ht="14.25">
      <c r="A6" s="37" t="s">
        <v>54</v>
      </c>
      <c r="B6" s="37" t="s">
        <v>54</v>
      </c>
      <c r="C6" s="4" t="s">
        <v>52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2024-04-08T04:16:22Z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