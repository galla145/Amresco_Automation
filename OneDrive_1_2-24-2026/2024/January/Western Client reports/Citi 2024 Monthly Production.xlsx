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January\"/>
    </mc:Choice>
  </mc:AlternateContent>
  <xr:revisionPtr revIDLastSave="2" documentId="13_ncr:1_{2FF1154C-C817-46CD-8E68-C5D244D50AC8}" xr6:coauthVersionLast="47" xr6:coauthVersionMax="47" xr10:uidLastSave="{F62A0DED-F017-459B-B5CD-A97939ECD160}"/>
  <bookViews>
    <workbookView xWindow="-28920" yWindow="7725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F22" i="1"/>
  <c r="I22" i="34"/>
  <c r="F22" i="34"/>
  <c r="H22" i="1"/>
  <c r="G22" i="1"/>
  <c r="E22" i="1"/>
  <c r="D22" i="1"/>
  <c r="C22" i="1"/>
  <c r="H22" i="34"/>
  <c r="G22" i="34"/>
  <c r="E22" i="34"/>
  <c r="D22" i="34"/>
  <c r="C22" i="34"/>
  <c r="H22" i="72"/>
  <c r="I22" i="72" s="1"/>
  <c r="E22" i="72"/>
  <c r="F22" i="72" s="1"/>
  <c r="E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6" i="18"/>
  <c r="D16" i="18"/>
  <c r="E16" i="18"/>
  <c r="F16" i="18"/>
  <c r="H16" i="18"/>
  <c r="I16" i="18"/>
  <c r="C17" i="18"/>
  <c r="D17" i="18"/>
  <c r="E17" i="18"/>
  <c r="F17" i="18"/>
  <c r="H17" i="18"/>
  <c r="I17" i="18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E20" i="18"/>
  <c r="F20" i="18"/>
  <c r="H20" i="18"/>
  <c r="I20" i="18"/>
  <c r="C21" i="18"/>
  <c r="D21" i="18"/>
  <c r="E21" i="18"/>
  <c r="F21" i="18"/>
  <c r="H21" i="18"/>
  <c r="I21" i="18"/>
  <c r="C16" i="1"/>
  <c r="D16" i="1"/>
  <c r="E16" i="1"/>
  <c r="F16" i="1" s="1"/>
  <c r="G16" i="1"/>
  <c r="G16" i="34" s="1"/>
  <c r="C17" i="1"/>
  <c r="D17" i="1"/>
  <c r="E17" i="1" s="1"/>
  <c r="F17" i="1" s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E20" i="1" s="1"/>
  <c r="F20" i="1" s="1"/>
  <c r="G20" i="1"/>
  <c r="G20" i="34" s="1"/>
  <c r="C21" i="1"/>
  <c r="D21" i="1"/>
  <c r="G21" i="1"/>
  <c r="G21" i="34" s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E20" i="34"/>
  <c r="F20" i="34" s="1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6" i="26"/>
  <c r="F16" i="26"/>
  <c r="H16" i="26"/>
  <c r="I16" i="26"/>
  <c r="E17" i="26"/>
  <c r="F17" i="26"/>
  <c r="H17" i="26"/>
  <c r="I17" i="26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16" i="19"/>
  <c r="F16" i="19"/>
  <c r="H16" i="19"/>
  <c r="I16" i="19"/>
  <c r="E17" i="19"/>
  <c r="F17" i="19"/>
  <c r="H17" i="19"/>
  <c r="I17" i="19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6" i="20"/>
  <c r="F16" i="20"/>
  <c r="H16" i="20"/>
  <c r="I16" i="20"/>
  <c r="E17" i="20"/>
  <c r="F17" i="20"/>
  <c r="H17" i="20"/>
  <c r="I17" i="20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16" i="21"/>
  <c r="F16" i="21"/>
  <c r="H16" i="21"/>
  <c r="I16" i="21"/>
  <c r="E17" i="21"/>
  <c r="F17" i="21"/>
  <c r="H17" i="21"/>
  <c r="I17" i="21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16" i="4"/>
  <c r="F16" i="4"/>
  <c r="H16" i="4"/>
  <c r="I16" i="4"/>
  <c r="E17" i="4"/>
  <c r="F17" i="4"/>
  <c r="H17" i="4"/>
  <c r="I17" i="4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16" i="3"/>
  <c r="F16" i="3"/>
  <c r="H16" i="3"/>
  <c r="I16" i="3"/>
  <c r="E17" i="3"/>
  <c r="F17" i="3"/>
  <c r="H17" i="3"/>
  <c r="I17" i="3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6" i="72"/>
  <c r="F16" i="72" s="1"/>
  <c r="H16" i="72"/>
  <c r="H16" i="1" s="1"/>
  <c r="I16" i="1" s="1"/>
  <c r="E17" i="72"/>
  <c r="F17" i="72" s="1"/>
  <c r="H17" i="72"/>
  <c r="H17" i="34" s="1"/>
  <c r="I17" i="34" s="1"/>
  <c r="E18" i="72"/>
  <c r="F18" i="72"/>
  <c r="H18" i="72"/>
  <c r="H18" i="34" s="1"/>
  <c r="E19" i="72"/>
  <c r="F19" i="72" s="1"/>
  <c r="H19" i="72"/>
  <c r="E20" i="72"/>
  <c r="F20" i="72" s="1"/>
  <c r="H20" i="72"/>
  <c r="F21" i="72"/>
  <c r="H21" i="72"/>
  <c r="H21" i="34" s="1"/>
  <c r="I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2" l="1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G2" i="3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I20" i="72"/>
  <c r="I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I18" i="72"/>
  <c r="I19" i="72"/>
  <c r="H18" i="1"/>
  <c r="I18" i="1" s="1"/>
  <c r="I17" i="72"/>
  <c r="H16" i="34"/>
  <c r="I16" i="34" s="1"/>
  <c r="H2" i="33"/>
  <c r="I2" i="33" s="1"/>
  <c r="E4" i="30"/>
  <c r="F4" i="30" s="1"/>
  <c r="D4" i="34"/>
  <c r="D2" i="34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<sst xmlns="http://schemas.openxmlformats.org/spreadsheetml/2006/main" count="304" uniqueCount="100">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</sst>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CITI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6">
        <f>SUM(C4:C100)</f>
        <v>761476.62</v>
      </c>
      <c r="D2" s="6">
        <f>SUM(D4:D100)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SUM(G4:G100)</f>
        <v>819042.32600000012</v>
      </c>
      <c r="H2" s="8">
        <f>C2-G2</f>
        <v>-57565.706000000122</v>
      </c>
      <c r="I2" s="7">
        <f>IFERROR(H2/G2, 0)</f>
        <v>-7.028416502128379E-2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23783.25</v>
      </c>
      <c r="D4" s="14">
        <f>SUM('1st Qtr'!D4, '2nd Qtr'!D4, '3rd Qtr'!D4, '4th Qtr'!D4)</f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f>SUM('1st Qtr'!G4,'2nd Qtr'!G4,'3rd Qtr'!G4,'4th Qtr'!G4)</f>
        <v>25333.654999999999</v>
      </c>
      <c r="H4" s="16">
        <f>SUM('1st Qtr'!H4, '2nd Qtr'!H4, '3rd Qtr'!H4, '4th Qtr'!H4)</f>
        <v>-1550.4049999999988</v>
      </c>
      <c r="I4" s="17">
        <f>IFERROR(H4/G4, "")</f>
        <v>-6.1199420296834346E-2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77142</v>
      </c>
      <c r="D5" s="20">
        <f>SUM(Jan!D5, Feb!D5, Mar!D5)</f>
        <v>87662</v>
      </c>
      <c r="E5" s="20">
        <f t="shared" ref="E5:E15" si="0">IF(AND(ISNUMBER(C5),ISNUMBER(D5)), C5-D5, "")</f>
        <v>-10520</v>
      </c>
      <c r="F5" s="21">
        <f>IFERROR(E5/D5, "")</f>
        <v>-0.12000638817275444</v>
      </c>
      <c r="G5" s="22">
        <f>SUM('1st Qtr'!G5,'2nd Qtr'!G5,'3rd Qtr'!G5,'4th Qtr'!G5)</f>
        <v>82559.584000000003</v>
      </c>
      <c r="H5" s="22">
        <f>SUM(Jan!H5, Feb!H5, Mar!H5)</f>
        <v>-5417.5840000000026</v>
      </c>
      <c r="I5" s="21">
        <f>IFERROR(H5/G5, "")</f>
        <v>-6.5620291885191695E-2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32833</v>
      </c>
      <c r="D6" s="14">
        <f>SUM(Jan!D6, Feb!D6, Mar!D6)</f>
        <v>29586</v>
      </c>
      <c r="E6" s="14">
        <f t="shared" si="0"/>
        <v>3247</v>
      </c>
      <c r="F6" s="15">
        <f t="shared" ref="F6:F15" si="1">IFERROR(E6/D6, "")</f>
        <v>0.10974785371459474</v>
      </c>
      <c r="G6" s="16">
        <f>SUM('1st Qtr'!G6,'2nd Qtr'!G6,'3rd Qtr'!G6,'4th Qtr'!G6)</f>
        <v>39905.663</v>
      </c>
      <c r="H6" s="16">
        <f>SUM(Jan!H6, Feb!H6, Mar!H6)</f>
        <v>-7072.6630000000005</v>
      </c>
      <c r="I6" s="17">
        <f t="shared" ref="I6:I15" si="2">IFERROR(H6/G6, "")</f>
        <v>-0.1772345694394302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45130</v>
      </c>
      <c r="D7" s="20">
        <f>SUM(Jan!D7, Feb!D7, Mar!D7)</f>
        <v>54986</v>
      </c>
      <c r="E7" s="20">
        <f t="shared" si="0"/>
        <v>-9856</v>
      </c>
      <c r="F7" s="21">
        <f t="shared" si="1"/>
        <v>-0.17924562615938602</v>
      </c>
      <c r="G7" s="22">
        <f>SUM('1st Qtr'!G7,'2nd Qtr'!G7,'3rd Qtr'!G7,'4th Qtr'!G7)</f>
        <v>50117.35</v>
      </c>
      <c r="H7" s="22">
        <f>SUM(Jan!H7, Feb!H7, Mar!H7)</f>
        <v>-4987.3499999999985</v>
      </c>
      <c r="I7" s="21">
        <f t="shared" si="2"/>
        <v>-9.9513441951739237E-2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22326</v>
      </c>
      <c r="D8" s="14">
        <f>SUM(Jan!D8, Feb!D8, Mar!D8)</f>
        <v>30384.634999999998</v>
      </c>
      <c r="E8" s="14">
        <f t="shared" si="0"/>
        <v>-8058.6349999999984</v>
      </c>
      <c r="F8" s="15">
        <f t="shared" si="1"/>
        <v>-0.26522072751573283</v>
      </c>
      <c r="G8" s="16">
        <f>SUM('1st Qtr'!G8,'2nd Qtr'!G8,'3rd Qtr'!G8,'4th Qtr'!G8)</f>
        <v>28265.13</v>
      </c>
      <c r="H8" s="16">
        <f>SUM(Jan!H8, Feb!H8, Mar!H8)</f>
        <v>-5939.130000000001</v>
      </c>
      <c r="I8" s="17">
        <f t="shared" si="2"/>
        <v>-0.21012215404634618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54028.75</v>
      </c>
      <c r="D9" s="20">
        <f>SUM(Jan!D9, Feb!D9, Mar!D9)</f>
        <v>54179</v>
      </c>
      <c r="E9" s="20">
        <f t="shared" si="0"/>
        <v>-150.25</v>
      </c>
      <c r="F9" s="21">
        <f t="shared" si="1"/>
        <v>-2.7732147141881539E-3</v>
      </c>
      <c r="G9" s="22">
        <f>SUM('1st Qtr'!G9,'2nd Qtr'!G9,'3rd Qtr'!G9,'4th Qtr'!G9)</f>
        <v>60597.623</v>
      </c>
      <c r="H9" s="22">
        <f>SUM(Jan!H9, Feb!H9, Mar!H9)</f>
        <v>-6568.8729999999996</v>
      </c>
      <c r="I9" s="21">
        <f t="shared" si="2"/>
        <v>-0.10840149621050317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23116</v>
      </c>
      <c r="D10" s="14">
        <f>SUM(Jan!D10, Feb!D10, Mar!D10)</f>
        <v>21868</v>
      </c>
      <c r="E10" s="14">
        <f t="shared" si="0"/>
        <v>1248</v>
      </c>
      <c r="F10" s="15">
        <f t="shared" si="1"/>
        <v>5.7069690872507774E-2</v>
      </c>
      <c r="G10" s="16">
        <f>SUM('1st Qtr'!G10,'2nd Qtr'!G10,'3rd Qtr'!G10,'4th Qtr'!G10)</f>
        <v>24310.019</v>
      </c>
      <c r="H10" s="16">
        <f>SUM(Jan!H10, Feb!H10, Mar!H10)</f>
        <v>-1194.0190000000002</v>
      </c>
      <c r="I10" s="17">
        <f t="shared" si="2"/>
        <v>-4.9116333475510664E-2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12386.25</v>
      </c>
      <c r="D11" s="20">
        <f>SUM(Jan!D11, Feb!D11, Mar!D11)</f>
        <v>12166</v>
      </c>
      <c r="E11" s="20">
        <f t="shared" si="0"/>
        <v>220.25</v>
      </c>
      <c r="F11" s="21">
        <f>IFERROR(E11/D11, 0)</f>
        <v>1.8103731711326648E-2</v>
      </c>
      <c r="G11" s="22">
        <f>SUM('1st Qtr'!G11,'2nd Qtr'!G11,'3rd Qtr'!G11,'4th Qtr'!G11)</f>
        <v>13154.418</v>
      </c>
      <c r="H11" s="22">
        <f>SUM(Jan!H11, Feb!H11, Mar!H11)</f>
        <v>-768.16799999999967</v>
      </c>
      <c r="I11" s="21">
        <f>IFERROR(H11/G11, 0)</f>
        <v>-5.8396198144228022E-2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13910.87</v>
      </c>
      <c r="D12" s="14">
        <f>SUM(Jan!D12, Feb!D12, Mar!D12)</f>
        <v>18187</v>
      </c>
      <c r="E12" s="14">
        <f t="shared" si="0"/>
        <v>-4276.1299999999992</v>
      </c>
      <c r="F12" s="15">
        <f t="shared" si="1"/>
        <v>-0.23512014075988338</v>
      </c>
      <c r="G12" s="16">
        <f>SUM('1st Qtr'!G12,'2nd Qtr'!G12,'3rd Qtr'!G12,'4th Qtr'!G12)</f>
        <v>17420.203000000001</v>
      </c>
      <c r="H12" s="16">
        <f>SUM(Jan!H12, Feb!H12, Mar!H12)</f>
        <v>-3509.3330000000005</v>
      </c>
      <c r="I12" s="17">
        <f t="shared" si="2"/>
        <v>-0.20145190041700434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33858.75</v>
      </c>
      <c r="D13" s="20">
        <f>SUM(Jan!D13, Feb!D13, Mar!D13)</f>
        <v>43911</v>
      </c>
      <c r="E13" s="20">
        <f t="shared" si="0"/>
        <v>-10052.25</v>
      </c>
      <c r="F13" s="21">
        <f t="shared" si="1"/>
        <v>-0.22892327662772427</v>
      </c>
      <c r="G13" s="22">
        <f>SUM('1st Qtr'!G13,'2nd Qtr'!G13,'3rd Qtr'!G13,'4th Qtr'!G13)</f>
        <v>41451.396000000001</v>
      </c>
      <c r="H13" s="22">
        <f>SUM(Jan!H13, Feb!H13, Mar!H13)</f>
        <v>-7592.6460000000006</v>
      </c>
      <c r="I13" s="21">
        <f t="shared" si="2"/>
        <v>-0.18316985029888982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45268</v>
      </c>
      <c r="D14" s="14">
        <f>SUM(Jan!D14, Feb!D14, Mar!D14)</f>
        <v>60582</v>
      </c>
      <c r="E14" s="14">
        <f t="shared" si="0"/>
        <v>-15314</v>
      </c>
      <c r="F14" s="15">
        <f t="shared" si="1"/>
        <v>-0.25278135419761644</v>
      </c>
      <c r="G14" s="16">
        <f>SUM('1st Qtr'!G14,'2nd Qtr'!G14,'3rd Qtr'!G14,'4th Qtr'!G14)</f>
        <v>54214.860999999997</v>
      </c>
      <c r="H14" s="16">
        <f>SUM(Jan!H14, Feb!H14, Mar!H14)</f>
        <v>-8946.8609999999971</v>
      </c>
      <c r="I14" s="17">
        <f t="shared" si="2"/>
        <v>-0.16502598798510243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81162.5</v>
      </c>
      <c r="D15" s="20">
        <f>SUM(Jan!D15, Feb!D15, Mar!D15)</f>
        <v>89248</v>
      </c>
      <c r="E15" s="20">
        <f t="shared" si="0"/>
        <v>-8085.5</v>
      </c>
      <c r="F15" s="21">
        <f t="shared" si="1"/>
        <v>-9.0595867694514165E-2</v>
      </c>
      <c r="G15" s="22">
        <f>SUM('1st Qtr'!G15,'2nd Qtr'!G15,'3rd Qtr'!G15,'4th Qtr'!G15)</f>
        <v>85149.357999999993</v>
      </c>
      <c r="H15" s="22">
        <f>SUM(Jan!H15, Feb!H15, Mar!H15)</f>
        <v>-3986.8579999999929</v>
      </c>
      <c r="I15" s="21">
        <f t="shared" si="2"/>
        <v>-4.6821938457833036E-2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38853.75</v>
      </c>
      <c r="D16" s="14">
        <f>SUM(Jan!D16, Feb!D16, Mar!D16)</f>
        <v>47087</v>
      </c>
      <c r="E16" s="14">
        <f t="shared" ref="E16:E22" si="3">IF(AND(ISNUMBER(C16),ISNUMBER(D16)), C16-D16, "")</f>
        <v>-8233.25</v>
      </c>
      <c r="F16" s="38">
        <f t="shared" ref="F16:F22" si="4">IFERROR(E16/D16, "")</f>
        <v>-0.17485186994287172</v>
      </c>
      <c r="G16" s="39">
        <f>SUM('1st Qtr'!G16,'2nd Qtr'!G16,'3rd Qtr'!G16,'4th Qtr'!G16)</f>
        <v>39156.317000000003</v>
      </c>
      <c r="H16" s="39">
        <f>SUM(Jan!H16, Feb!H16, Mar!H16)</f>
        <v>-302.56700000000274</v>
      </c>
      <c r="I16" s="40">
        <f t="shared" ref="I16:I22" si="5">IFERROR(H16/G16, "")</f>
        <v>-7.7271567701324593E-3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61132.5</v>
      </c>
      <c r="D17" s="20">
        <f>SUM(Jan!D17, Feb!D17, Mar!D17)</f>
        <v>90683</v>
      </c>
      <c r="E17" s="20">
        <f t="shared" si="3"/>
        <v>-29550.5</v>
      </c>
      <c r="F17" s="43">
        <f t="shared" si="4"/>
        <v>-0.32586592856433949</v>
      </c>
      <c r="G17" s="44">
        <f>SUM('1st Qtr'!G17,'2nd Qtr'!G17,'3rd Qtr'!G17,'4th Qtr'!G17)</f>
        <v>84913.76</v>
      </c>
      <c r="H17" s="44">
        <f>SUM(Jan!H17, Feb!H17, Mar!H17)</f>
        <v>-23781.259999999995</v>
      </c>
      <c r="I17" s="43">
        <f t="shared" si="5"/>
        <v>-0.28006367872533255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16855.75</v>
      </c>
      <c r="D18" s="14">
        <f>SUM(Jan!D18, Feb!D18, Mar!D18)</f>
        <v>23498</v>
      </c>
      <c r="E18" s="14">
        <f t="shared" si="3"/>
        <v>-6642.25</v>
      </c>
      <c r="F18" s="38">
        <f t="shared" si="4"/>
        <v>-0.28267299344625074</v>
      </c>
      <c r="G18" s="39">
        <f>SUM('1st Qtr'!G18,'2nd Qtr'!G18,'3rd Qtr'!G18,'4th Qtr'!G18)</f>
        <v>19495.032999999999</v>
      </c>
      <c r="H18" s="39">
        <f>SUM(Jan!H18, Feb!H18, Mar!H18)</f>
        <v>-2639.2829999999994</v>
      </c>
      <c r="I18" s="40">
        <f t="shared" si="5"/>
        <v>-0.13538233046335441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22890.75</v>
      </c>
      <c r="D19" s="20">
        <f>SUM(Jan!D19, Feb!D19, Mar!D19)</f>
        <v>38233</v>
      </c>
      <c r="E19" s="20">
        <f t="shared" si="3"/>
        <v>-15342.25</v>
      </c>
      <c r="F19" s="43">
        <f t="shared" si="4"/>
        <v>-0.40128292312923391</v>
      </c>
      <c r="G19" s="44">
        <f>SUM('1st Qtr'!G19,'2nd Qtr'!G19,'3rd Qtr'!G19,'4th Qtr'!G19)</f>
        <v>30904.094000000001</v>
      </c>
      <c r="H19" s="44">
        <f>SUM(Jan!H19, Feb!H19, Mar!H19)</f>
        <v>-8013.344000000001</v>
      </c>
      <c r="I19" s="43">
        <f t="shared" si="5"/>
        <v>-0.25929716625894295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16830.5</v>
      </c>
      <c r="D20" s="14">
        <f>SUM(Jan!D20, Feb!D20, Mar!D20)</f>
        <v>15271</v>
      </c>
      <c r="E20" s="14">
        <f t="shared" si="3"/>
        <v>1559.5</v>
      </c>
      <c r="F20" s="38">
        <f t="shared" si="4"/>
        <v>0.10212166852203523</v>
      </c>
      <c r="G20" s="39">
        <f>SUM('1st Qtr'!G20,'2nd Qtr'!G20,'3rd Qtr'!G20,'4th Qtr'!G20)</f>
        <v>19231.669999999998</v>
      </c>
      <c r="H20" s="39">
        <f>SUM(Jan!H20, Feb!H20, Mar!H20)</f>
        <v>-2401.1699999999983</v>
      </c>
      <c r="I20" s="40">
        <f t="shared" si="5"/>
        <v>-0.12485499179218437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105587</v>
      </c>
      <c r="D21" s="20">
        <f>SUM(Jan!D21, Feb!D21, Mar!D21)</f>
        <v>131069</v>
      </c>
      <c r="E21" s="20">
        <f t="shared" si="3"/>
        <v>-25482</v>
      </c>
      <c r="F21" s="43">
        <f t="shared" si="4"/>
        <v>-0.19441668129000755</v>
      </c>
      <c r="G21" s="44">
        <f>SUM('1st Qtr'!G21,'2nd Qtr'!G21,'3rd Qtr'!G21,'4th Qtr'!G21)</f>
        <v>102862.192</v>
      </c>
      <c r="H21" s="44">
        <f>SUM(Jan!H21, Feb!H21, Mar!H21)</f>
        <v>2724.8080000000045</v>
      </c>
      <c r="I21" s="43">
        <f t="shared" si="5"/>
        <v>2.6489888529694222E-2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34381</v>
      </c>
      <c r="D22" s="14">
        <f>SUM(Jan!D22, Feb!D22, Mar!D22)</f>
        <v>0</v>
      </c>
      <c r="E22" s="14">
        <f t="shared" si="3"/>
        <v>34381</v>
      </c>
      <c r="F22" s="38">
        <f>IFERROR(E22/D22, 0)</f>
        <v>0</v>
      </c>
      <c r="G22" s="39">
        <f>SUM('1st Qtr'!G22,'2nd Qtr'!G22,'3rd Qtr'!G22,'4th Qtr'!G22)</f>
        <v>0</v>
      </c>
      <c r="H22" s="39">
        <f>SUM(Jan!H22, Feb!H22, Mar!H22)</f>
        <v>34381</v>
      </c>
      <c r="I22" s="40">
        <f>IFERROR(H22/G22, 0)</f>
        <v>0</v>
      </c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11" activePane="bottomLeft" state="frozen"/>
      <selection pane="bottomLeft" activeCell="G38" sqref="G3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CITI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6">
        <f>SUM(C4:C100)</f>
        <v>761476.62</v>
      </c>
      <c r="D2" s="6">
        <f>SUM(D4:D100)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SUM(G4:G100)</f>
        <v>819042.32600000012</v>
      </c>
      <c r="H2" s="8">
        <f>C2-G2</f>
        <v>-57565.706000000122</v>
      </c>
      <c r="I2" s="7">
        <f>IFERROR(H2/G2, 0)</f>
        <v>-7.028416502128379E-2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23783.25</v>
      </c>
      <c r="D4" s="14">
        <f>SUM(Jan!D4, Feb!D4, Mar!D4)</f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f>SUM(Jan!G4, Feb!G4, Mar!G4)</f>
        <v>25333.654999999999</v>
      </c>
      <c r="H4" s="16">
        <f>SUM(Jan!H4, Feb!H4, Mar!H4)</f>
        <v>-1550.4049999999988</v>
      </c>
      <c r="I4" s="17">
        <f>IFERROR(H4/G4, "")</f>
        <v>-6.1199420296834346E-2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77142</v>
      </c>
      <c r="D5" s="20">
        <f>SUM(Jan!D5, Feb!D5, Mar!D5)</f>
        <v>87662</v>
      </c>
      <c r="E5" s="20">
        <f t="shared" ref="E5:E15" si="0">IF(AND(ISNUMBER(C5),ISNUMBER(D5)), C5-D5, "")</f>
        <v>-10520</v>
      </c>
      <c r="F5" s="21">
        <f>IFERROR(E5/D5, "")</f>
        <v>-0.12000638817275444</v>
      </c>
      <c r="G5" s="22">
        <f>SUM(Jan!G5, Feb!G5, Mar!G5)</f>
        <v>82559.584000000003</v>
      </c>
      <c r="H5" s="22">
        <f>SUM(Jan!H5, Feb!H5, Mar!H5)</f>
        <v>-5417.5840000000026</v>
      </c>
      <c r="I5" s="21">
        <f>IFERROR(H5/G5, "")</f>
        <v>-6.5620291885191695E-2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32833</v>
      </c>
      <c r="D6" s="14">
        <f>SUM(Jan!D6, Feb!D6, Mar!D6)</f>
        <v>29586</v>
      </c>
      <c r="E6" s="14">
        <f t="shared" si="0"/>
        <v>3247</v>
      </c>
      <c r="F6" s="15">
        <f t="shared" ref="F6:F15" si="1">IFERROR(E6/D6, "")</f>
        <v>0.10974785371459474</v>
      </c>
      <c r="G6" s="16">
        <f>SUM(Jan!G6, Feb!G6, Mar!G6)</f>
        <v>39905.663</v>
      </c>
      <c r="H6" s="16">
        <f>SUM(Jan!H6, Feb!H6, Mar!H6)</f>
        <v>-7072.6630000000005</v>
      </c>
      <c r="I6" s="17">
        <f t="shared" ref="I6:I15" si="2">IFERROR(H6/G6, "")</f>
        <v>-0.1772345694394302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45130</v>
      </c>
      <c r="D7" s="20">
        <f>SUM(Jan!D7, Feb!D7, Mar!D7)</f>
        <v>54986</v>
      </c>
      <c r="E7" s="20">
        <f t="shared" si="0"/>
        <v>-9856</v>
      </c>
      <c r="F7" s="21">
        <f t="shared" si="1"/>
        <v>-0.17924562615938602</v>
      </c>
      <c r="G7" s="22">
        <f>SUM(Jan!G7, Feb!G7, Mar!G7)</f>
        <v>50117.35</v>
      </c>
      <c r="H7" s="22">
        <f>SUM(Jan!H7, Feb!H7, Mar!H7)</f>
        <v>-4987.3499999999985</v>
      </c>
      <c r="I7" s="21">
        <f t="shared" si="2"/>
        <v>-9.9513441951739237E-2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22326</v>
      </c>
      <c r="D8" s="14">
        <f>SUM(Jan!D8, Feb!D8, Mar!D8)</f>
        <v>30384.634999999998</v>
      </c>
      <c r="E8" s="14">
        <f t="shared" si="0"/>
        <v>-8058.6349999999984</v>
      </c>
      <c r="F8" s="15">
        <f t="shared" si="1"/>
        <v>-0.26522072751573283</v>
      </c>
      <c r="G8" s="16">
        <f>SUM(Jan!G8, Feb!G8, Mar!G8)</f>
        <v>28265.13</v>
      </c>
      <c r="H8" s="16">
        <f>SUM(Jan!H8, Feb!H8, Mar!H8)</f>
        <v>-5939.130000000001</v>
      </c>
      <c r="I8" s="17">
        <f t="shared" si="2"/>
        <v>-0.21012215404634618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54028.75</v>
      </c>
      <c r="D9" s="20">
        <f>SUM(Jan!D9, Feb!D9, Mar!D9)</f>
        <v>54179</v>
      </c>
      <c r="E9" s="20">
        <f t="shared" si="0"/>
        <v>-150.25</v>
      </c>
      <c r="F9" s="21">
        <f t="shared" si="1"/>
        <v>-2.7732147141881539E-3</v>
      </c>
      <c r="G9" s="22">
        <f>SUM(Jan!G9, Feb!G9, Mar!G9)</f>
        <v>60597.623</v>
      </c>
      <c r="H9" s="22">
        <f>SUM(Jan!H9, Feb!H9, Mar!H9)</f>
        <v>-6568.8729999999996</v>
      </c>
      <c r="I9" s="21">
        <f t="shared" si="2"/>
        <v>-0.10840149621050317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23116</v>
      </c>
      <c r="D10" s="14">
        <f>SUM(Jan!D10, Feb!D10, Mar!D10)</f>
        <v>21868</v>
      </c>
      <c r="E10" s="14">
        <f t="shared" si="0"/>
        <v>1248</v>
      </c>
      <c r="F10" s="15">
        <f t="shared" si="1"/>
        <v>5.7069690872507774E-2</v>
      </c>
      <c r="G10" s="16">
        <f>SUM(Jan!G10, Feb!G10, Mar!G10)</f>
        <v>24310.019</v>
      </c>
      <c r="H10" s="16">
        <f>SUM(Jan!H10, Feb!H10, Mar!H10)</f>
        <v>-1194.0190000000002</v>
      </c>
      <c r="I10" s="17">
        <f t="shared" si="2"/>
        <v>-4.9116333475510664E-2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12386.25</v>
      </c>
      <c r="D11" s="20">
        <f>SUM(Jan!D11, Feb!D11, Mar!D11)</f>
        <v>12166</v>
      </c>
      <c r="E11" s="20">
        <f t="shared" si="0"/>
        <v>220.25</v>
      </c>
      <c r="F11" s="21">
        <f>IFERROR(E11/D11, 0)</f>
        <v>1.8103731711326648E-2</v>
      </c>
      <c r="G11" s="22">
        <f>SUM(Jan!G11, Feb!G11, Mar!G11)</f>
        <v>13154.418</v>
      </c>
      <c r="H11" s="22">
        <f>SUM(Jan!H11, Feb!H11, Mar!H11)</f>
        <v>-768.16799999999967</v>
      </c>
      <c r="I11" s="21">
        <f>IFERROR(H11/G11, 0)</f>
        <v>-5.8396198144228022E-2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13910.87</v>
      </c>
      <c r="D12" s="14">
        <f>SUM(Jan!D12, Feb!D12, Mar!D12)</f>
        <v>18187</v>
      </c>
      <c r="E12" s="14">
        <f t="shared" si="0"/>
        <v>-4276.1299999999992</v>
      </c>
      <c r="F12" s="15">
        <f t="shared" si="1"/>
        <v>-0.23512014075988338</v>
      </c>
      <c r="G12" s="16">
        <f>SUM(Jan!G12, Feb!G12, Mar!G12)</f>
        <v>17420.203000000001</v>
      </c>
      <c r="H12" s="16">
        <f>SUM(Jan!H12, Feb!H12, Mar!H12)</f>
        <v>-3509.3330000000005</v>
      </c>
      <c r="I12" s="17">
        <f t="shared" si="2"/>
        <v>-0.20145190041700434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33858.75</v>
      </c>
      <c r="D13" s="20">
        <f>SUM(Jan!D13, Feb!D13, Mar!D13)</f>
        <v>43911</v>
      </c>
      <c r="E13" s="20">
        <f t="shared" si="0"/>
        <v>-10052.25</v>
      </c>
      <c r="F13" s="21">
        <f t="shared" si="1"/>
        <v>-0.22892327662772427</v>
      </c>
      <c r="G13" s="22">
        <f>SUM(Jan!G13, Feb!G13, Mar!G13)</f>
        <v>41451.396000000001</v>
      </c>
      <c r="H13" s="22">
        <f>SUM(Jan!H13, Feb!H13, Mar!H13)</f>
        <v>-7592.6460000000006</v>
      </c>
      <c r="I13" s="21">
        <f t="shared" si="2"/>
        <v>-0.18316985029888982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45268</v>
      </c>
      <c r="D14" s="14">
        <f>SUM(Jan!D14, Feb!D14, Mar!D14)</f>
        <v>60582</v>
      </c>
      <c r="E14" s="14">
        <f t="shared" si="0"/>
        <v>-15314</v>
      </c>
      <c r="F14" s="15">
        <f t="shared" si="1"/>
        <v>-0.25278135419761644</v>
      </c>
      <c r="G14" s="16">
        <f>SUM(Jan!G14, Feb!G14, Mar!G14)</f>
        <v>54214.860999999997</v>
      </c>
      <c r="H14" s="16">
        <f>SUM(Jan!H14, Feb!H14, Mar!H14)</f>
        <v>-8946.8609999999971</v>
      </c>
      <c r="I14" s="17">
        <f t="shared" si="2"/>
        <v>-0.16502598798510243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81162.5</v>
      </c>
      <c r="D15" s="20">
        <f>SUM(Jan!D15, Feb!D15, Mar!D15)</f>
        <v>89248</v>
      </c>
      <c r="E15" s="20">
        <f t="shared" si="0"/>
        <v>-8085.5</v>
      </c>
      <c r="F15" s="21">
        <f t="shared" si="1"/>
        <v>-9.0595867694514165E-2</v>
      </c>
      <c r="G15" s="22">
        <f>SUM(Jan!G15, Feb!G15, Mar!G15)</f>
        <v>85149.357999999993</v>
      </c>
      <c r="H15" s="22">
        <f>SUM(Jan!H15, Feb!H15, Mar!H15)</f>
        <v>-3986.8579999999929</v>
      </c>
      <c r="I15" s="21">
        <f t="shared" si="2"/>
        <v>-4.6821938457833036E-2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38853.75</v>
      </c>
      <c r="D16" s="14">
        <f>SUM(Jan!D16, Feb!D16, Mar!D16)</f>
        <v>47087</v>
      </c>
      <c r="E16" s="14">
        <f t="shared" ref="E16:E22" si="3">IF(AND(ISNUMBER(C16),ISNUMBER(D16)), C16-D16, "")</f>
        <v>-8233.25</v>
      </c>
      <c r="F16" s="38">
        <f t="shared" ref="F16:F22" si="4">IFERROR(E16/D16, "")</f>
        <v>-0.17485186994287172</v>
      </c>
      <c r="G16" s="39">
        <f>SUM(Jan!G16, Feb!G16, Mar!G16)</f>
        <v>39156.317000000003</v>
      </c>
      <c r="H16" s="39">
        <f>SUM(Jan!H16, Feb!H16, Mar!H16)</f>
        <v>-302.56700000000274</v>
      </c>
      <c r="I16" s="40">
        <f t="shared" ref="I16:I22" si="5">IFERROR(H16/G16, "")</f>
        <v>-7.7271567701324593E-3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61132.5</v>
      </c>
      <c r="D17" s="20">
        <f>SUM(Jan!D17, Feb!D17, Mar!D17)</f>
        <v>90683</v>
      </c>
      <c r="E17" s="20">
        <f t="shared" si="3"/>
        <v>-29550.5</v>
      </c>
      <c r="F17" s="43">
        <f t="shared" si="4"/>
        <v>-0.32586592856433949</v>
      </c>
      <c r="G17" s="44">
        <f>SUM(Jan!G17, Feb!G17, Mar!G17)</f>
        <v>84913.76</v>
      </c>
      <c r="H17" s="44">
        <f>SUM(Jan!H17, Feb!H17, Mar!H17)</f>
        <v>-23781.259999999995</v>
      </c>
      <c r="I17" s="43">
        <f t="shared" si="5"/>
        <v>-0.28006367872533255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16855.75</v>
      </c>
      <c r="D18" s="14">
        <f>SUM(Jan!D18, Feb!D18, Mar!D18)</f>
        <v>23498</v>
      </c>
      <c r="E18" s="14">
        <f t="shared" si="3"/>
        <v>-6642.25</v>
      </c>
      <c r="F18" s="38">
        <f t="shared" si="4"/>
        <v>-0.28267299344625074</v>
      </c>
      <c r="G18" s="39">
        <f>SUM(Jan!G18, Feb!G18, Mar!G18)</f>
        <v>19495.032999999999</v>
      </c>
      <c r="H18" s="39">
        <f>SUM(Jan!H18, Feb!H18, Mar!H18)</f>
        <v>-2639.2829999999994</v>
      </c>
      <c r="I18" s="40">
        <f t="shared" si="5"/>
        <v>-0.13538233046335441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22890.75</v>
      </c>
      <c r="D19" s="20">
        <f>SUM(Jan!D19, Feb!D19, Mar!D19)</f>
        <v>38233</v>
      </c>
      <c r="E19" s="20">
        <f t="shared" si="3"/>
        <v>-15342.25</v>
      </c>
      <c r="F19" s="43">
        <f t="shared" si="4"/>
        <v>-0.40128292312923391</v>
      </c>
      <c r="G19" s="44">
        <f>SUM(Jan!G19, Feb!G19, Mar!G19)</f>
        <v>30904.094000000001</v>
      </c>
      <c r="H19" s="44">
        <f>SUM(Jan!H19, Feb!H19, Mar!H19)</f>
        <v>-8013.344000000001</v>
      </c>
      <c r="I19" s="43">
        <f t="shared" si="5"/>
        <v>-0.25929716625894295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16830.5</v>
      </c>
      <c r="D20" s="14">
        <f>SUM(Jan!D20, Feb!D20, Mar!D20)</f>
        <v>15271</v>
      </c>
      <c r="E20" s="14">
        <f t="shared" si="3"/>
        <v>1559.5</v>
      </c>
      <c r="F20" s="38">
        <f t="shared" si="4"/>
        <v>0.10212166852203523</v>
      </c>
      <c r="G20" s="39">
        <f>SUM(Jan!G20, Feb!G20, Mar!G20)</f>
        <v>19231.669999999998</v>
      </c>
      <c r="H20" s="39">
        <f>SUM(Jan!H20, Feb!H20, Mar!H20)</f>
        <v>-2401.1699999999983</v>
      </c>
      <c r="I20" s="40">
        <f t="shared" si="5"/>
        <v>-0.12485499179218437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105587</v>
      </c>
      <c r="D21" s="20">
        <f>SUM(Jan!D21, Feb!D21, Mar!D21)</f>
        <v>131069</v>
      </c>
      <c r="E21" s="20">
        <f t="shared" si="3"/>
        <v>-25482</v>
      </c>
      <c r="F21" s="43">
        <f t="shared" si="4"/>
        <v>-0.19441668129000755</v>
      </c>
      <c r="G21" s="44">
        <f>SUM(Jan!G21, Feb!G21, Mar!G21)</f>
        <v>102862.192</v>
      </c>
      <c r="H21" s="44">
        <f>SUM(Jan!H21, Feb!H21, Mar!H21)</f>
        <v>2724.8080000000045</v>
      </c>
      <c r="I21" s="43">
        <f t="shared" si="5"/>
        <v>2.6489888529694222E-2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34381</v>
      </c>
      <c r="D22" s="14">
        <f>SUM(Jan!D22, Feb!D22, Mar!D22)</f>
        <v>0</v>
      </c>
      <c r="E22" s="14">
        <f t="shared" si="3"/>
        <v>34381</v>
      </c>
      <c r="F22" s="38">
        <f>IFERROR(E22/D22, 0)</f>
        <v>0</v>
      </c>
      <c r="G22" s="39">
        <f>SUM(Jan!G22, Feb!G22, Mar!G22)</f>
        <v>0</v>
      </c>
      <c r="H22" s="39">
        <f>SUM(Jan!H22, Feb!H22, Mar!H22)</f>
        <v>34381</v>
      </c>
      <c r="I22" s="40">
        <f>IFERROR(H22/G22, 0)</f>
        <v>0</v>
      </c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CITI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SUM(Apr!C5, May!C5, Jun!C5)</f>
        <v>0</v>
      </c>
      <c r="D5" s="20">
        <f>SUM(Apr!D5, May!D5, Jun!D5)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SUM(Apr!H6, May!H6, Jun!H6)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SUM(Apr!C13, May!C13, Jun!C13)</f>
        <v>0</v>
      </c>
      <c r="D13" s="20">
        <f>SUM(Apr!D13, May!D13, Jun!D13)</f>
        <v>0</v>
      </c>
      <c r="E13" s="20">
        <f t="shared" si="0"/>
        <v>0</v>
      </c>
      <c r="F13" s="21" t="str">
        <f t="shared" si="1"/>
        <v/>
      </c>
      <c r="G13" s="22"/>
      <c r="H13" s="22">
        <f>SUM(Apr!H13, May!H13, Jun!H13)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SUM(Apr!C14, May!C14, Jun!C14)</f>
        <v>0</v>
      </c>
      <c r="D14" s="14">
        <f>SUM(Apr!D14, May!D14, Jun!D14)</f>
        <v>0</v>
      </c>
      <c r="E14" s="14">
        <f t="shared" si="0"/>
        <v>0</v>
      </c>
      <c r="F14" s="15" t="str">
        <f t="shared" si="1"/>
        <v/>
      </c>
      <c r="G14" s="16"/>
      <c r="H14" s="16">
        <f>SUM(Apr!H14, May!H14, Jun!H14)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SUM(Apr!C15, May!C15, Jun!C15)</f>
        <v>0</v>
      </c>
      <c r="D15" s="20">
        <f>SUM(Apr!D15, May!D15, Jun!D15)</f>
        <v>0</v>
      </c>
      <c r="E15" s="20">
        <f t="shared" si="0"/>
        <v>0</v>
      </c>
      <c r="F15" s="21" t="str">
        <f t="shared" si="1"/>
        <v/>
      </c>
      <c r="G15" s="22"/>
      <c r="H15" s="22">
        <f>SUM(Apr!H15, May!H15, Jun!H15)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SUM(Apr!C16, May!C16, Jun!C16)</f>
        <v>0</v>
      </c>
      <c r="D16" s="14">
        <f>SUM(Apr!D16, May!D16, Jun!D16)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SUM(Apr!H16, May!H16, Jun!H16)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SUM(Apr!C17, May!C17, Jun!C17)</f>
        <v>0</v>
      </c>
      <c r="D17" s="20">
        <f>SUM(Apr!D17, May!D17, Jun!D17)</f>
        <v>0</v>
      </c>
      <c r="E17" s="20">
        <f t="shared" si="3"/>
        <v>0</v>
      </c>
      <c r="F17" s="43" t="str">
        <f t="shared" si="4"/>
        <v/>
      </c>
      <c r="G17" s="44"/>
      <c r="H17" s="44">
        <f>SUM(Apr!H17, May!H17, Jun!H17)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0</v>
      </c>
      <c r="D18" s="14">
        <f>SUM(Apr!D18, May!D18, Jun!D18)</f>
        <v>0</v>
      </c>
      <c r="E18" s="14">
        <f t="shared" si="3"/>
        <v>0</v>
      </c>
      <c r="F18" s="38" t="str">
        <f t="shared" si="4"/>
        <v/>
      </c>
      <c r="G18" s="39"/>
      <c r="H18" s="39">
        <f>SUM(Apr!H18, May!H18, Jun!H18)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SUM(Apr!C19, May!C19, Jun!C19)</f>
        <v>0</v>
      </c>
      <c r="D19" s="20">
        <f>SUM(Apr!D19, May!D19, Jun!D19)</f>
        <v>0</v>
      </c>
      <c r="E19" s="20">
        <f t="shared" si="3"/>
        <v>0</v>
      </c>
      <c r="F19" s="43" t="str">
        <f t="shared" si="4"/>
        <v/>
      </c>
      <c r="G19" s="44"/>
      <c r="H19" s="44">
        <f>SUM(Apr!H19, May!H19, Jun!H19)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SUM(Apr!C20, May!C20, Jun!C20)</f>
        <v>0</v>
      </c>
      <c r="D20" s="14">
        <f>SUM(Apr!D20, May!D20, Jun!D20)</f>
        <v>0</v>
      </c>
      <c r="E20" s="14">
        <f t="shared" si="3"/>
        <v>0</v>
      </c>
      <c r="F20" s="38" t="str">
        <f t="shared" si="4"/>
        <v/>
      </c>
      <c r="G20" s="39"/>
      <c r="H20" s="39">
        <f>SUM(Apr!H20, May!H20, Jun!H20)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SUM(Apr!C21, May!C21, Jun!C21)</f>
        <v>0</v>
      </c>
      <c r="D21" s="20">
        <f>SUM(Apr!D21, May!D21, Jun!D21)</f>
        <v>0</v>
      </c>
      <c r="E21" s="20">
        <f t="shared" si="3"/>
        <v>0</v>
      </c>
      <c r="F21" s="43" t="str">
        <f t="shared" si="4"/>
        <v/>
      </c>
      <c r="G21" s="44"/>
      <c r="H21" s="44">
        <f>SUM(Apr!H21, May!H21, Jun!H21)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G23" sqref="G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CITI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SUM(Jul!C16, Aug!C16, Sep!C16)</f>
        <v>0</v>
      </c>
      <c r="D16" s="14">
        <f>SUM(Jul!D16, Aug!D16, Sep!D16)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SUM(Jul!H16, Aug!H16, Sep!H16)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SUM(Jul!C17, Aug!C17, Sep!C17)</f>
        <v>0</v>
      </c>
      <c r="D17" s="20">
        <f>SUM(Jul!D17, Aug!D17, Sep!D17)</f>
        <v>0</v>
      </c>
      <c r="E17" s="20">
        <f t="shared" si="3"/>
        <v>0</v>
      </c>
      <c r="F17" s="43" t="str">
        <f t="shared" si="4"/>
        <v/>
      </c>
      <c r="G17" s="44"/>
      <c r="H17" s="44">
        <f>SUM(Jul!H17, Aug!H17, Sep!H17)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14">
        <f>SUM(Jul!D18, Aug!D18, Sep!D18)</f>
        <v>0</v>
      </c>
      <c r="E18" s="14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SUM(Jul!C19, Aug!C19, Sep!C19)</f>
        <v>0</v>
      </c>
      <c r="D19" s="20">
        <f>SUM(Jul!D19, Aug!D19, Sep!D19)</f>
        <v>0</v>
      </c>
      <c r="E19" s="20">
        <f t="shared" si="3"/>
        <v>0</v>
      </c>
      <c r="F19" s="43" t="str">
        <f t="shared" si="4"/>
        <v/>
      </c>
      <c r="G19" s="44"/>
      <c r="H19" s="44">
        <f>SUM(Jul!H19, Aug!H19, Sep!H19)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SUM(Jul!C20, Aug!C20, Sep!C20)</f>
        <v>0</v>
      </c>
      <c r="D20" s="14">
        <f>SUM(Jul!D20, Aug!D20, Sep!D20)</f>
        <v>0</v>
      </c>
      <c r="E20" s="14">
        <f t="shared" si="3"/>
        <v>0</v>
      </c>
      <c r="F20" s="38" t="str">
        <f t="shared" si="4"/>
        <v/>
      </c>
      <c r="G20" s="39"/>
      <c r="H20" s="39">
        <f>SUM(Jul!H20, Aug!H20, Sep!H20)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SUM(Jul!C21, Aug!C21, Sep!C21)</f>
        <v>0</v>
      </c>
      <c r="D21" s="20">
        <f>SUM(Jul!D21, Aug!D21, Sep!D21)</f>
        <v>0</v>
      </c>
      <c r="E21" s="20">
        <f t="shared" si="3"/>
        <v>0</v>
      </c>
      <c r="F21" s="43" t="str">
        <f t="shared" si="4"/>
        <v/>
      </c>
      <c r="G21" s="44"/>
      <c r="H21" s="44">
        <f>SUM(Jul!H21, Aug!H21, Sep!H21)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A22" sqref="A22:XFD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CITI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1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1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1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1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1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abSelected="1" workbookViewId="0">
      <pane ySplit="3" topLeftCell="E4" activePane="bottomLeft" state="frozen"/>
      <selection pane="bottomLeft" activeCell="J7" sqref="J7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SUM(C4:C99)</f>
        <v>761476.62</v>
      </c>
      <c r="D2" s="6">
        <f>SUM(D4:D99)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SUM(G4:G99)</f>
        <v>819042.32600000012</v>
      </c>
      <c r="H2" s="8">
        <f>C2-G2</f>
        <v>-57565.706000000122</v>
      </c>
      <c r="I2" s="7">
        <f>IFERROR(H2/G2, 0)</f>
        <v>-7.028416502128379E-2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4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14"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v>25333.654999999999</v>
      </c>
      <c r="H4" s="16">
        <f>IF(AND(ISNUMBER(C4),ISNUMBER(G4)), C4-G4, "")</f>
        <v>-1550.4049999999988</v>
      </c>
      <c r="I4" s="17">
        <f>IFERROR(H4/G4, "")</f>
        <v>-6.1199420296834346E-2</v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>
        <v>77142</v>
      </c>
      <c r="D5" s="20">
        <v>87662</v>
      </c>
      <c r="E5" s="20">
        <f t="shared" ref="E5:E6" si="0">IF(AND(ISNUMBER(C5),ISNUMBER(D5)), C5-D5, "")</f>
        <v>-10520</v>
      </c>
      <c r="F5" s="21">
        <f>IFERROR(E5/D5, "")</f>
        <v>-0.12000638817275444</v>
      </c>
      <c r="G5" s="22">
        <v>82559.584000000003</v>
      </c>
      <c r="H5" s="22">
        <f t="shared" ref="H5:H6" si="1">IF(AND(ISNUMBER(C5),ISNUMBER(G5)), C5-G5, "")</f>
        <v>-5417.5840000000026</v>
      </c>
      <c r="I5" s="21">
        <f t="shared" ref="I5:I6" si="2">IFERROR(H5/G5, "")</f>
        <v>-6.5620291885191695E-2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32833</v>
      </c>
      <c r="D6" s="14">
        <v>29586</v>
      </c>
      <c r="E6" s="14">
        <f t="shared" si="0"/>
        <v>3247</v>
      </c>
      <c r="F6" s="15">
        <f t="shared" ref="F6:F15" si="3">IFERROR(E6/D6, "")</f>
        <v>0.10974785371459474</v>
      </c>
      <c r="G6" s="16">
        <v>39905.663</v>
      </c>
      <c r="H6" s="16">
        <f t="shared" si="1"/>
        <v>-7072.6630000000005</v>
      </c>
      <c r="I6" s="17">
        <f t="shared" si="2"/>
        <v>-0.1772345694394302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45130</v>
      </c>
      <c r="D7" s="20">
        <v>54986</v>
      </c>
      <c r="E7" s="20">
        <f t="shared" ref="E7:E15" si="4">IF(AND(ISNUMBER(C7),ISNUMBER(D7)), C7-D7, "")</f>
        <v>-9856</v>
      </c>
      <c r="F7" s="21">
        <f t="shared" si="3"/>
        <v>-0.17924562615938602</v>
      </c>
      <c r="G7" s="22">
        <v>50117.35</v>
      </c>
      <c r="H7" s="22">
        <f t="shared" ref="H7:H15" si="5">IF(AND(ISNUMBER(C7),ISNUMBER(G7)), C7-G7, "")</f>
        <v>-4987.3499999999985</v>
      </c>
      <c r="I7" s="21">
        <f t="shared" ref="I7:I15" si="6">IFERROR(H7/G7, "")</f>
        <v>-9.9513441951739237E-2</v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>
        <v>22326</v>
      </c>
      <c r="D8" s="14">
        <v>30384.634999999998</v>
      </c>
      <c r="E8" s="14">
        <f t="shared" si="4"/>
        <v>-8058.6349999999984</v>
      </c>
      <c r="F8" s="15">
        <f t="shared" si="3"/>
        <v>-0.26522072751573283</v>
      </c>
      <c r="G8" s="16">
        <v>28265.13</v>
      </c>
      <c r="H8" s="16">
        <f t="shared" si="5"/>
        <v>-5939.130000000001</v>
      </c>
      <c r="I8" s="17">
        <f t="shared" si="6"/>
        <v>-0.21012215404634618</v>
      </c>
      <c r="J8" s="18" t="s">
        <v>22</v>
      </c>
      <c r="K8" s="18" t="s">
        <v>23</v>
      </c>
    </row>
    <row r="9" spans="1:11" ht="15.75">
      <c r="A9" s="32" t="str">
        <v>CA: Fresno Sequioa - Citi</v>
      </c>
      <c r="B9" s="33" t="str">
        <v>CA</v>
      </c>
      <c r="C9" s="12">
        <v>54028.75</v>
      </c>
      <c r="D9" s="20">
        <v>54179</v>
      </c>
      <c r="E9" s="20">
        <f t="shared" si="4"/>
        <v>-150.25</v>
      </c>
      <c r="F9" s="21">
        <f t="shared" si="3"/>
        <v>-2.7732147141881539E-3</v>
      </c>
      <c r="G9" s="22">
        <v>60597.623</v>
      </c>
      <c r="H9" s="22">
        <f t="shared" si="5"/>
        <v>-6568.8729999999996</v>
      </c>
      <c r="I9" s="21">
        <f t="shared" si="6"/>
        <v>-0.10840149621050317</v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>
        <v>23116</v>
      </c>
      <c r="D10" s="14">
        <v>21868</v>
      </c>
      <c r="E10" s="14">
        <f t="shared" si="4"/>
        <v>1248</v>
      </c>
      <c r="F10" s="15">
        <f t="shared" si="3"/>
        <v>5.7069690872507774E-2</v>
      </c>
      <c r="G10" s="16">
        <v>24310.019</v>
      </c>
      <c r="H10" s="16">
        <f t="shared" si="5"/>
        <v>-1194.0190000000002</v>
      </c>
      <c r="I10" s="17">
        <f t="shared" si="6"/>
        <v>-4.9116333475510664E-2</v>
      </c>
      <c r="J10" s="45"/>
      <c r="K10" s="45"/>
    </row>
    <row r="11" spans="1:11" ht="15.75">
      <c r="A11" s="32" t="str">
        <v>CA: Modesto Bangs - Citi</v>
      </c>
      <c r="B11" s="33" t="str">
        <v>CA</v>
      </c>
      <c r="C11" s="12">
        <v>12386.25</v>
      </c>
      <c r="D11" s="20">
        <v>12166</v>
      </c>
      <c r="E11" s="20">
        <f t="shared" si="4"/>
        <v>220.25</v>
      </c>
      <c r="F11" s="21">
        <f t="shared" si="3"/>
        <v>1.8103731711326648E-2</v>
      </c>
      <c r="G11" s="22">
        <v>13154.418</v>
      </c>
      <c r="H11" s="22">
        <f t="shared" si="5"/>
        <v>-768.16799999999967</v>
      </c>
      <c r="I11" s="21">
        <f t="shared" si="6"/>
        <v>-5.8396198144228022E-2</v>
      </c>
      <c r="J11" s="46"/>
      <c r="K11" s="47"/>
    </row>
    <row r="12" spans="1:11" ht="30.75">
      <c r="A12" s="30" t="str">
        <v>CA: Napa Data Center - Citi</v>
      </c>
      <c r="B12" s="31" t="str">
        <v>CA</v>
      </c>
      <c r="C12" s="26">
        <v>13910.87</v>
      </c>
      <c r="D12" s="14">
        <v>18187</v>
      </c>
      <c r="E12" s="14">
        <f t="shared" si="4"/>
        <v>-4276.1299999999992</v>
      </c>
      <c r="F12" s="15">
        <f t="shared" si="3"/>
        <v>-0.23512014075988338</v>
      </c>
      <c r="G12" s="16">
        <v>17420.203000000001</v>
      </c>
      <c r="H12" s="16">
        <f t="shared" si="5"/>
        <v>-3509.3330000000005</v>
      </c>
      <c r="I12" s="17">
        <f t="shared" si="6"/>
        <v>-0.20145190041700434</v>
      </c>
      <c r="J12" s="45" t="s">
        <v>24</v>
      </c>
      <c r="K12" s="45" t="s">
        <v>25</v>
      </c>
    </row>
    <row r="13" spans="1:11" ht="15.75">
      <c r="A13" s="32" t="str">
        <v>CA: Petaluma MOB - Citi</v>
      </c>
      <c r="B13" s="33" t="str">
        <v>CA</v>
      </c>
      <c r="C13" s="12">
        <v>33858.75</v>
      </c>
      <c r="D13" s="20">
        <v>43911</v>
      </c>
      <c r="E13" s="20">
        <f t="shared" si="4"/>
        <v>-10052.25</v>
      </c>
      <c r="F13" s="21">
        <f t="shared" si="3"/>
        <v>-0.22892327662772427</v>
      </c>
      <c r="G13" s="22">
        <v>41451.396000000001</v>
      </c>
      <c r="H13" s="22">
        <f t="shared" si="5"/>
        <v>-7592.6460000000006</v>
      </c>
      <c r="I13" s="21">
        <f t="shared" si="6"/>
        <v>-0.18316985029888982</v>
      </c>
      <c r="J13" s="46" t="s">
        <v>26</v>
      </c>
      <c r="K13" s="46" t="s">
        <v>27</v>
      </c>
    </row>
    <row r="14" spans="1:11" ht="15.75">
      <c r="A14" s="30" t="str">
        <v>CA: Pleasanton Tec Ctr - Citi</v>
      </c>
      <c r="B14" s="31" t="str">
        <v>CA</v>
      </c>
      <c r="C14" s="26">
        <v>45268</v>
      </c>
      <c r="D14" s="14">
        <v>60582</v>
      </c>
      <c r="E14" s="14">
        <f t="shared" si="4"/>
        <v>-15314</v>
      </c>
      <c r="F14" s="15">
        <f t="shared" si="3"/>
        <v>-0.25278135419761644</v>
      </c>
      <c r="G14" s="16">
        <v>54214.860999999997</v>
      </c>
      <c r="H14" s="16">
        <f t="shared" si="5"/>
        <v>-8946.8609999999971</v>
      </c>
      <c r="I14" s="17">
        <f t="shared" si="6"/>
        <v>-0.16502598798510243</v>
      </c>
      <c r="J14" s="45"/>
      <c r="K14" s="45"/>
    </row>
    <row r="15" spans="1:11" ht="15.75">
      <c r="A15" s="32" t="str">
        <v>CA: Rancho Cordova - Citi</v>
      </c>
      <c r="B15" s="33" t="str">
        <v>CA</v>
      </c>
      <c r="C15" s="12">
        <v>81162.5</v>
      </c>
      <c r="D15" s="20">
        <v>89248</v>
      </c>
      <c r="E15" s="20">
        <f t="shared" si="4"/>
        <v>-8085.5</v>
      </c>
      <c r="F15" s="21">
        <f t="shared" si="3"/>
        <v>-9.0595867694514165E-2</v>
      </c>
      <c r="G15" s="22">
        <v>85149.357999999993</v>
      </c>
      <c r="H15" s="22">
        <f t="shared" si="5"/>
        <v>-3986.8579999999929</v>
      </c>
      <c r="I15" s="21">
        <f t="shared" si="6"/>
        <v>-4.6821938457833036E-2</v>
      </c>
      <c r="J15" s="46"/>
      <c r="K15" s="47"/>
    </row>
    <row r="16" spans="1:11" ht="15.75">
      <c r="A16" s="30" t="str">
        <v>CA: S Sacramento Wyndham - Citi</v>
      </c>
      <c r="B16" s="31" t="str">
        <v>CA</v>
      </c>
      <c r="C16" s="37">
        <v>38853.75</v>
      </c>
      <c r="D16" s="14">
        <v>47087</v>
      </c>
      <c r="E16" s="14">
        <f t="shared" ref="E16:E21" si="7">IF(AND(ISNUMBER(C16),ISNUMBER(D16)), C16-D16, "")</f>
        <v>-8233.25</v>
      </c>
      <c r="F16" s="38">
        <f t="shared" ref="F16:F21" si="8">IFERROR(E16/D16, "")</f>
        <v>-0.17485186994287172</v>
      </c>
      <c r="G16" s="39">
        <v>39156.317000000003</v>
      </c>
      <c r="H16" s="39">
        <f t="shared" ref="H16:H21" si="9">IF(AND(ISNUMBER(C16),ISNUMBER(G16)), C16-G16, "")</f>
        <v>-302.56700000000274</v>
      </c>
      <c r="I16" s="40">
        <f t="shared" ref="I16:I22" si="10">IFERROR(H16/G16, "")</f>
        <v>-7.7271567701324593E-3</v>
      </c>
      <c r="J16" s="48"/>
      <c r="K16" s="48"/>
    </row>
    <row r="17" spans="1:11" ht="43.15">
      <c r="A17" s="32" t="str">
        <v>CA: Sacramento Point West - Citi</v>
      </c>
      <c r="B17" s="33" t="str">
        <v>CA</v>
      </c>
      <c r="C17" s="42">
        <v>61132.5</v>
      </c>
      <c r="D17" s="20">
        <v>90683</v>
      </c>
      <c r="E17" s="20">
        <f t="shared" si="7"/>
        <v>-29550.5</v>
      </c>
      <c r="F17" s="43">
        <f t="shared" si="8"/>
        <v>-0.32586592856433949</v>
      </c>
      <c r="G17" s="44">
        <v>84913.76</v>
      </c>
      <c r="H17" s="44">
        <f t="shared" si="9"/>
        <v>-23781.259999999995</v>
      </c>
      <c r="I17" s="43">
        <f t="shared" si="10"/>
        <v>-0.28006367872533255</v>
      </c>
      <c r="J17" s="55" t="s">
        <v>28</v>
      </c>
      <c r="K17" s="47" t="s">
        <v>29</v>
      </c>
    </row>
    <row r="18" spans="1:11" ht="15.75">
      <c r="A18" s="30" t="str">
        <v>CA: San Jose FHC - Citi</v>
      </c>
      <c r="B18" s="31" t="str">
        <v>CA</v>
      </c>
      <c r="C18" s="37">
        <v>16855.75</v>
      </c>
      <c r="D18" s="14">
        <v>23498</v>
      </c>
      <c r="E18" s="14">
        <f t="shared" si="7"/>
        <v>-6642.25</v>
      </c>
      <c r="F18" s="38">
        <f t="shared" si="8"/>
        <v>-0.28267299344625074</v>
      </c>
      <c r="G18" s="39">
        <v>19495.032999999999</v>
      </c>
      <c r="H18" s="39">
        <f t="shared" si="9"/>
        <v>-2639.2829999999994</v>
      </c>
      <c r="I18" s="40">
        <f t="shared" si="10"/>
        <v>-0.13538233046335441</v>
      </c>
      <c r="J18" s="48" t="s">
        <v>30</v>
      </c>
      <c r="K18" s="48" t="s">
        <v>31</v>
      </c>
    </row>
    <row r="19" spans="1:11" ht="15.75">
      <c r="A19" s="32" t="str">
        <v>CA: San Jose MOB - Citi</v>
      </c>
      <c r="B19" s="33" t="str">
        <v>CA</v>
      </c>
      <c r="C19" s="42">
        <v>22890.75</v>
      </c>
      <c r="D19" s="20">
        <v>38233</v>
      </c>
      <c r="E19" s="20">
        <f t="shared" si="7"/>
        <v>-15342.25</v>
      </c>
      <c r="F19" s="43">
        <f t="shared" si="8"/>
        <v>-0.40128292312923391</v>
      </c>
      <c r="G19" s="44">
        <v>30904.094000000001</v>
      </c>
      <c r="H19" s="44">
        <f t="shared" si="9"/>
        <v>-8013.344000000001</v>
      </c>
      <c r="I19" s="43">
        <f t="shared" si="10"/>
        <v>-0.25929716625894295</v>
      </c>
      <c r="J19" s="46" t="s">
        <v>32</v>
      </c>
      <c r="K19" s="47" t="s">
        <v>33</v>
      </c>
    </row>
    <row r="20" spans="1:11" ht="15.75">
      <c r="A20" s="30" t="str">
        <v>CA: Selma - Citi</v>
      </c>
      <c r="B20" s="31" t="str">
        <v>CA</v>
      </c>
      <c r="C20" s="37">
        <v>16830.5</v>
      </c>
      <c r="D20" s="14">
        <v>15271</v>
      </c>
      <c r="E20" s="14">
        <f t="shared" si="7"/>
        <v>1559.5</v>
      </c>
      <c r="F20" s="38">
        <f t="shared" si="8"/>
        <v>0.10212166852203523</v>
      </c>
      <c r="G20" s="39">
        <v>19231.669999999998</v>
      </c>
      <c r="H20" s="39">
        <f t="shared" si="9"/>
        <v>-2401.1699999999983</v>
      </c>
      <c r="I20" s="40">
        <f t="shared" si="10"/>
        <v>-0.12485499179218437</v>
      </c>
      <c r="J20" s="48"/>
      <c r="K20" s="48"/>
    </row>
    <row r="21" spans="1:11" ht="15.75">
      <c r="A21" s="32" t="str">
        <v>CA: Vacaville Hospital</v>
      </c>
      <c r="B21" s="33" t="str">
        <v>CA</v>
      </c>
      <c r="C21" s="42">
        <v>105587</v>
      </c>
      <c r="D21" s="20">
        <v>131069</v>
      </c>
      <c r="E21" s="20">
        <f t="shared" si="7"/>
        <v>-25482</v>
      </c>
      <c r="F21" s="43">
        <f t="shared" si="8"/>
        <v>-0.19441668129000755</v>
      </c>
      <c r="G21" s="44">
        <v>102862.192</v>
      </c>
      <c r="H21" s="44">
        <f t="shared" si="9"/>
        <v>2724.8080000000045</v>
      </c>
      <c r="I21" s="43">
        <f t="shared" si="10"/>
        <v>2.6489888529694222E-2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>
        <v>34381</v>
      </c>
      <c r="D22" s="14">
        <v>0</v>
      </c>
      <c r="E22" s="14">
        <f>IF(AND(ISNUMBER(C22),ISNUMBER(D22)), C22-D22, "")</f>
        <v>34381</v>
      </c>
      <c r="F22" s="38">
        <f>IFERROR(E22/D22, 0)</f>
        <v>0</v>
      </c>
      <c r="G22" s="39">
        <v>0</v>
      </c>
      <c r="H22" s="39">
        <f>IF(AND(ISNUMBER(C22),ISNUMBER(G22)), C22-G22, "")</f>
        <v>34381</v>
      </c>
      <c r="I22" s="40">
        <f>IFERROR(H22/G22, 0)</f>
        <v>0</v>
      </c>
      <c r="J22" s="48"/>
      <c r="K22" s="48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3.9">
      <c r="A25" s="23"/>
      <c r="K25" s="23"/>
    </row>
    <row r="26" spans="1:11" ht="13.9">
      <c r="A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35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35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27:F28 I27:I28 G29:G30 J29:J30 F31:F99 I31:I99 F4:F24 I4:I24">
    <cfRule type="cellIs" dxfId="24" priority="2" stopIfTrue="1" operator="lessThanOrEqual">
      <formula>-0.1</formula>
    </cfRule>
    <cfRule type="expression" dxfId="23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17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34</v>
      </c>
      <c r="E1" s="59"/>
      <c r="F1" s="59"/>
      <c r="G1" s="57" t="s">
        <v>35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36</v>
      </c>
      <c r="E1" s="59"/>
      <c r="F1" s="59"/>
      <c r="G1" s="57" t="s">
        <v>37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38</v>
      </c>
      <c r="E1" s="59"/>
      <c r="F1" s="59"/>
      <c r="G1" s="57" t="s">
        <v>39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42</v>
      </c>
      <c r="E1" s="59"/>
      <c r="F1" s="59"/>
      <c r="G1" s="57" t="s">
        <v>43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52</v>
      </c>
      <c r="E1" s="59"/>
      <c r="F1" s="59"/>
      <c r="G1" s="57" t="s">
        <v>53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CITI</v>
      </c>
      <c r="B1" s="58"/>
      <c r="C1" s="58"/>
      <c r="D1" s="59" t="s">
        <v>54</v>
      </c>
      <c r="E1" s="59"/>
      <c r="F1" s="59"/>
      <c r="G1" s="57" t="s">
        <v>55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2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2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2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2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2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3.9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B28" sqref="B2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56</v>
      </c>
      <c r="B1" t="s">
        <v>57</v>
      </c>
    </row>
    <row r="3" spans="1:6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6" ht="14.25">
      <c r="A4" t="s">
        <v>61</v>
      </c>
      <c r="B4" t="s">
        <v>62</v>
      </c>
      <c r="C4" s="4" t="s">
        <v>63</v>
      </c>
      <c r="F4" s="3"/>
    </row>
    <row r="5" spans="1:6" ht="14.25">
      <c r="A5" t="s">
        <v>64</v>
      </c>
      <c r="B5" t="s">
        <v>65</v>
      </c>
      <c r="C5" s="4" t="s">
        <v>63</v>
      </c>
      <c r="F5" s="3"/>
    </row>
    <row r="6" spans="1:6" ht="14.25">
      <c r="A6" t="s">
        <v>66</v>
      </c>
      <c r="B6" t="s">
        <v>67</v>
      </c>
      <c r="C6" s="4" t="s">
        <v>63</v>
      </c>
      <c r="F6" s="3"/>
    </row>
    <row r="7" spans="1:6" ht="12.75" customHeight="1">
      <c r="A7" t="s">
        <v>68</v>
      </c>
      <c r="B7" t="s">
        <v>69</v>
      </c>
      <c r="C7" s="4" t="s">
        <v>63</v>
      </c>
    </row>
    <row r="8" spans="1:6" ht="12.75" customHeight="1">
      <c r="A8" t="s">
        <v>70</v>
      </c>
      <c r="B8" t="s">
        <v>71</v>
      </c>
      <c r="C8" s="4" t="s">
        <v>63</v>
      </c>
    </row>
    <row r="9" spans="1:6" ht="12.75" customHeight="1">
      <c r="A9" t="s">
        <v>72</v>
      </c>
      <c r="B9" t="s">
        <v>73</v>
      </c>
      <c r="C9" s="4" t="s">
        <v>63</v>
      </c>
    </row>
    <row r="10" spans="1:6" ht="12.75" customHeight="1">
      <c r="A10" t="s">
        <v>74</v>
      </c>
      <c r="B10" t="s">
        <v>75</v>
      </c>
      <c r="C10" s="4" t="s">
        <v>63</v>
      </c>
    </row>
    <row r="11" spans="1:6" ht="12.75" customHeight="1">
      <c r="A11" t="s">
        <v>76</v>
      </c>
      <c r="B11" t="s">
        <v>77</v>
      </c>
      <c r="C11" s="4" t="s">
        <v>63</v>
      </c>
    </row>
    <row r="12" spans="1:6" ht="12.75" customHeight="1">
      <c r="A12" t="s">
        <v>78</v>
      </c>
      <c r="B12" t="s">
        <v>79</v>
      </c>
      <c r="C12" s="4" t="s">
        <v>63</v>
      </c>
    </row>
    <row r="13" spans="1:6" ht="12.75" customHeight="1">
      <c r="A13" t="s">
        <v>80</v>
      </c>
      <c r="B13" t="s">
        <v>81</v>
      </c>
      <c r="C13" s="4" t="s">
        <v>63</v>
      </c>
    </row>
    <row r="14" spans="1:6" ht="12.75" customHeight="1">
      <c r="A14" t="s">
        <v>82</v>
      </c>
      <c r="B14" t="s">
        <v>83</v>
      </c>
      <c r="C14" s="4" t="s">
        <v>63</v>
      </c>
    </row>
    <row r="15" spans="1:6" ht="12.75" customHeight="1">
      <c r="A15" t="s">
        <v>84</v>
      </c>
      <c r="B15" t="s">
        <v>85</v>
      </c>
      <c r="C15" s="4" t="s">
        <v>63</v>
      </c>
    </row>
    <row r="16" spans="1:6" ht="12.75" customHeight="1">
      <c r="A16" t="s">
        <v>86</v>
      </c>
      <c r="B16" t="s">
        <v>87</v>
      </c>
      <c r="C16" s="4" t="s">
        <v>63</v>
      </c>
    </row>
    <row r="17" spans="1:3" ht="12.75" customHeight="1">
      <c r="A17" t="s">
        <v>88</v>
      </c>
      <c r="B17" t="s">
        <v>89</v>
      </c>
      <c r="C17" s="4" t="s">
        <v>63</v>
      </c>
    </row>
    <row r="18" spans="1:3" ht="12.75" customHeight="1">
      <c r="A18" t="s">
        <v>90</v>
      </c>
      <c r="B18" t="s">
        <v>91</v>
      </c>
      <c r="C18" s="4" t="s">
        <v>63</v>
      </c>
    </row>
    <row r="19" spans="1:3" ht="12.75" customHeight="1">
      <c r="A19" t="s">
        <v>92</v>
      </c>
      <c r="B19" t="s">
        <v>93</v>
      </c>
      <c r="C19" s="4" t="s">
        <v>63</v>
      </c>
    </row>
    <row r="20" spans="1:3" ht="12.75" customHeight="1">
      <c r="A20" t="s">
        <v>94</v>
      </c>
      <c r="B20" t="s">
        <v>95</v>
      </c>
      <c r="C20" s="4" t="s">
        <v>63</v>
      </c>
    </row>
    <row r="21" spans="1:3" ht="12.75" customHeight="1">
      <c r="A21" t="s">
        <v>96</v>
      </c>
      <c r="B21" t="s">
        <v>97</v>
      </c>
      <c r="C21" s="4" t="s">
        <v>63</v>
      </c>
    </row>
    <row r="22" spans="1:3" ht="12.75" customHeight="1">
      <c r="A22" s="56" t="s">
        <v>98</v>
      </c>
      <c r="B22" t="s">
        <v>99</v>
      </c>
      <c r="C22" s="4" t="s">
        <v>63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2024-04-07T07:19:58Z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