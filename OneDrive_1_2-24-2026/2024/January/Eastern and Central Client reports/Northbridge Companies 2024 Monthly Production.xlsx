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24" documentId="13_ncr:1_{503483F9-AE85-4A76-BD57-C9F0A64F9661}" xr6:coauthVersionLast="47" xr6:coauthVersionMax="47" xr10:uidLastSave="{3D2BD740-6D38-4CAD-A024-474825C7FC6A}"/>
  <bookViews>
    <workbookView xWindow="-28920" yWindow="7725" windowWidth="29040" windowHeight="15720" tabRatio="866" firstSheet="1" activeTab="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4" l="1"/>
  <c r="F4" i="1"/>
  <c r="F4" i="72"/>
  <c r="I4" i="34"/>
  <c r="I4" i="1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32"/>
  <c r="J2" i="4"/>
  <c r="E4" i="3"/>
  <c r="F4" i="3" s="1"/>
  <c r="H4" i="3"/>
  <c r="I4" i="3"/>
  <c r="E5" i="3"/>
  <c r="F5" i="3" s="1"/>
  <c r="H5" i="3"/>
  <c r="I5" i="3" s="1"/>
  <c r="E6" i="72"/>
  <c r="F6" i="72" s="1"/>
  <c r="H6" i="72"/>
  <c r="I6" i="72" s="1"/>
  <c r="G5" i="1"/>
  <c r="G5" i="34" s="1"/>
  <c r="G4" i="1"/>
  <c r="G4" i="34" s="1"/>
  <c r="D5" i="34"/>
  <c r="C5" i="34"/>
  <c r="B4" i="34" a="1"/>
  <c r="B4" i="34" s="1"/>
  <c r="A4" i="34" a="1"/>
  <c r="A4" i="34" s="1"/>
  <c r="D5" i="30"/>
  <c r="C5" i="30"/>
  <c r="D4" i="30"/>
  <c r="D2" i="30" s="1"/>
  <c r="C4" i="30"/>
  <c r="D5" i="29"/>
  <c r="C5" i="29"/>
  <c r="E5" i="29" s="1"/>
  <c r="F5" i="29" s="1"/>
  <c r="D4" i="29"/>
  <c r="C4" i="29"/>
  <c r="D5" i="18"/>
  <c r="C5" i="18"/>
  <c r="E5" i="18" s="1"/>
  <c r="F5" i="18" s="1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D4" i="34" s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F5" i="27"/>
  <c r="E5" i="27"/>
  <c r="I4" i="27"/>
  <c r="H4" i="27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H2" i="20" s="1"/>
  <c r="I2" i="20" s="1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A1" i="72" a="1"/>
  <c r="A1" i="72" s="1"/>
  <c r="G2" i="34" l="1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E5" i="34"/>
  <c r="F5" i="34" s="1"/>
  <c r="G2" i="1"/>
  <c r="D2" i="34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E4" i="34" s="1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H5" i="1"/>
  <c r="I5" i="1" s="1"/>
  <c r="C2" i="1"/>
  <c r="E2" i="3"/>
  <c r="F2" i="3" s="1"/>
  <c r="E4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H4" i="34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<sst xmlns="http://schemas.openxmlformats.org/spreadsheetml/2006/main" count="241" uniqueCount="54">
  <si>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</si>
  <si>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</si>
  <si>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</si>
  <si>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</si>
  <si>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</si>
  <si>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</si>
  <si>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</si>
  <si>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</si>
  <si>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</si>
  <si>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</si>
  <si>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</si>
  <si>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</si>
  <si>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</si>
  <si>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</si>
  <si>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</si>
  <si>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</si>
  <si>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</si>
  <si>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</si>
  <si>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</si>
  <si>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</si>
  <si>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</si>
  <si>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</si>
  <si>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</si>
  <si>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</si>
  <si>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</si>
  <si>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</si>
  <si>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</si>
  <si>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</si>
  <si>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</si>
  <si>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</si>
  <si>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</si>
  <si>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</si>
  <si>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</si>
  <si>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</si>
  <si>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</si>
  <si>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</si>
  <si>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</si>
  <si>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</si>
  <si>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</si>
  <si>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</si>
  <si>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</si>
  <si>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</si>
  <si>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</si>
  <si>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</si>
  <si>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</si>
  <si>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</si>
  <si>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</si>
  <si>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</si>
  <si>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</si>
  <si>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</si>
  <si>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</si>
  <si>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</si>
  <si>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Northbridge Array 2</t>
  </si>
  <si>
    <t>MA: North Dartmouth - 293 Cross St (Array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</si>
</sst>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Northbridge Companies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SUM(C4:C90)</f>
        <v>21075.625</v>
      </c>
      <c r="D2" s="6">
        <f>SUM(D4:D90)</f>
        <v>38443.42</v>
      </c>
      <c r="E2" s="6">
        <f>C2-D2</f>
        <v>-17367.794999999998</v>
      </c>
      <c r="F2" s="7">
        <f>IFERROR(E2/D2, 0)</f>
        <v>-0.45177549239895926</v>
      </c>
      <c r="G2" s="6">
        <f>SUM(G4:G90)</f>
        <v>13191.29</v>
      </c>
      <c r="H2" s="8">
        <f>C2-G2</f>
        <v>7884.3349999999991</v>
      </c>
      <c r="I2" s="7">
        <f>IFERROR(H2/G2, 0)</f>
        <v>0.59769249254621792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11182</v>
      </c>
      <c r="D4" s="14">
        <f>SUM('1st Qtr'!D4, '2nd Qtr'!D4, '3rd Qtr'!D4, '4th Qtr'!D4)</f>
        <v>0</v>
      </c>
      <c r="E4" s="14">
        <f>IF(AND(ISNUMBER(C4),ISNUMBER(D4)), C4-D4, "")</f>
        <v>11182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11182</v>
      </c>
      <c r="I4" s="17">
        <f>IFERROR(H4/G4, 0)</f>
        <v>0</v>
      </c>
    </row>
    <row r="5" spans="1:9" ht="15.75">
      <c r="A5" s="19" t="str">
        <v>MA: North Dartmouth - 293 Cross St (Array 2)</v>
      </c>
      <c r="B5" s="11" t="str">
        <v>MA</v>
      </c>
      <c r="C5" s="12">
        <f>SUM(Jan!C5, Feb!C5, Mar!C5)</f>
        <v>9893.625</v>
      </c>
      <c r="D5" s="20">
        <f>SUM(Jan!D5, Feb!D5, Mar!D5)</f>
        <v>38443.42</v>
      </c>
      <c r="E5" s="20">
        <f t="shared" ref="E5" si="0">IF(AND(ISNUMBER(C5),ISNUMBER(D5)), C5-D5, "")</f>
        <v>-28549.794999999998</v>
      </c>
      <c r="F5" s="21">
        <f>IFERROR(E5/D5, "")</f>
        <v>-0.7426445149781159</v>
      </c>
      <c r="G5" s="22">
        <f>SUM('1st Qtr'!G5,'2nd Qtr'!G5,'3rd Qtr'!G5,'4th Qtr'!G5)</f>
        <v>13191.29</v>
      </c>
      <c r="H5" s="22">
        <f>SUM(Jan!H5, Feb!H5, Mar!H5)</f>
        <v>-3297.6650000000009</v>
      </c>
      <c r="I5" s="21">
        <f>IFERROR(H5/G5, "")</f>
        <v>-0.24998806030342755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tabSelected="1" workbookViewId="0">
      <pane ySplit="2" topLeftCell="A3" activePane="bottomLeft" state="frozen"/>
      <selection pane="bottomLeft" activeCell="P16" sqref="P1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Northbridge Companies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SUM(C4:C90)</f>
        <v>21075.625</v>
      </c>
      <c r="D2" s="6">
        <f>SUM(D4:D90)</f>
        <v>38443.42</v>
      </c>
      <c r="E2" s="6">
        <f>C2-D2</f>
        <v>-17367.794999999998</v>
      </c>
      <c r="F2" s="7">
        <f>IFERROR(E2/D2, 0)</f>
        <v>-0.45177549239895926</v>
      </c>
      <c r="G2" s="6">
        <f>SUM(G4:G90)</f>
        <v>13191.29</v>
      </c>
      <c r="H2" s="8">
        <f>C2-G2</f>
        <v>7884.3349999999991</v>
      </c>
      <c r="I2" s="7">
        <f>IFERROR(H2/G2, 0)</f>
        <v>0.59769249254621792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11182</v>
      </c>
      <c r="D4" s="14">
        <f>SUM(Jan!D4, Feb!D4, Mar!D4)</f>
        <v>0</v>
      </c>
      <c r="E4" s="14">
        <f>IF(AND(ISNUMBER(C4),ISNUMBER(D4)), C4-D4, "")</f>
        <v>11182</v>
      </c>
      <c r="F4" s="15" t="str">
        <f>IFERROR(E4/D4, "")</f>
        <v/>
      </c>
      <c r="G4" s="16">
        <f>SUM(Jan!G4, Feb!G4, Mar!G4)</f>
        <v>0</v>
      </c>
      <c r="H4" s="16">
        <f>SUM(Jan!H4, Feb!H4, Mar!H4)</f>
        <v>11182</v>
      </c>
      <c r="I4" s="17">
        <f>IFERROR(H4/G4, 0)</f>
        <v>0</v>
      </c>
    </row>
    <row r="5" spans="1:9" ht="15.75">
      <c r="A5" s="19" t="str">
        <v>MA: North Dartmouth - 293 Cross St (Array 2)</v>
      </c>
      <c r="B5" s="11" t="str">
        <v>MA</v>
      </c>
      <c r="C5" s="12">
        <f>SUM(Jan!C5, Feb!C5, Mar!C5)</f>
        <v>9893.625</v>
      </c>
      <c r="D5" s="20">
        <f>SUM(Jan!D5, Feb!D5, Mar!D5)</f>
        <v>38443.42</v>
      </c>
      <c r="E5" s="20">
        <f t="shared" ref="E5" si="0">IF(AND(ISNUMBER(C5),ISNUMBER(D5)), C5-D5, "")</f>
        <v>-28549.794999999998</v>
      </c>
      <c r="F5" s="21">
        <f>IFERROR(E5/D5, "")</f>
        <v>-0.7426445149781159</v>
      </c>
      <c r="G5" s="22">
        <f>SUM(Jan!G5, Feb!G5, Mar!G5)</f>
        <v>13191.29</v>
      </c>
      <c r="H5" s="22">
        <f>SUM(Jan!H5, Feb!H5, Mar!H5)</f>
        <v>-3297.6650000000009</v>
      </c>
      <c r="I5" s="21">
        <f>IFERROR(H5/G5, "")</f>
        <v>-0.24998806030342755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Northbridge Companies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SUM(Apr!C5, May!C5, Jun!C5)</f>
        <v>0</v>
      </c>
      <c r="D5" s="20">
        <f>SUM(Apr!D5, May!D5, Jun!D5)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Northbridge Companies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SUM(Jul!C5, Aug!C5, Sep!C5)</f>
        <v>0</v>
      </c>
      <c r="D5" s="20">
        <f>SUM(Jul!D5, Aug!D5, Sep!D5)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Northbridge Companies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I5" sqref="I5"/>
      <selection activeCell="E24" sqref="E24"/>
    </sheetView>
  </sheetViews>
  <sheetFormatPr defaultRowHeight="13.5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Northbridge Companies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21075.625</v>
      </c>
      <c r="D2" s="6">
        <f>SUM(D4:D89)</f>
        <v>38443.42</v>
      </c>
      <c r="E2" s="6">
        <f>C2-D2</f>
        <v>-17367.794999999998</v>
      </c>
      <c r="F2" s="7">
        <f>IFERROR(E2/D2, 0)</f>
        <v>-0.45177549239895926</v>
      </c>
      <c r="G2" s="6">
        <f>SUM(G4:G89)</f>
        <v>13191.29</v>
      </c>
      <c r="H2" s="8">
        <f>C2-G2</f>
        <v>7884.3349999999991</v>
      </c>
      <c r="I2" s="7">
        <f>IFERROR(H2/G2, 0)</f>
        <v>0.59769249254621792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11182</v>
      </c>
      <c r="D4" s="14">
        <v>0</v>
      </c>
      <c r="E4" s="14">
        <f>IF(AND(ISNUMBER(C4),ISNUMBER(D4)), C4-D4, "")</f>
        <v>11182</v>
      </c>
      <c r="F4" s="15" t="str">
        <f>IFERROR(E4/D4, "")</f>
        <v/>
      </c>
      <c r="G4" s="16">
        <v>0</v>
      </c>
      <c r="H4" s="16">
        <f>IF(AND(ISNUMBER(C4),ISNUMBER(G4)), C4-G4, "")</f>
        <v>11182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9893.625</v>
      </c>
      <c r="D5" s="20">
        <v>38443.42</v>
      </c>
      <c r="E5" s="20">
        <f t="shared" ref="E5" si="0">IF(AND(ISNUMBER(C5),ISNUMBER(D5)), C5-D5, "")</f>
        <v>-28549.794999999998</v>
      </c>
      <c r="F5" s="21">
        <f>IFERROR(E5/D5, "")</f>
        <v>-0.7426445149781159</v>
      </c>
      <c r="G5" s="22">
        <v>13191.29</v>
      </c>
      <c r="H5" s="22">
        <f t="shared" ref="H5" si="1">IF(AND(ISNUMBER(C5),ISNUMBER(G5)), C5-G5, "")</f>
        <v>-3297.6650000000009</v>
      </c>
      <c r="I5" s="21">
        <f t="shared" ref="I5" si="2">IFERROR(H5/G5, "")</f>
        <v>-0.24998806030342755</v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G5" sqref="G5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Northbridge Companies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I5" sqref="I5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Northbridge Companies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Northbridge Companies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Northbridge Companies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Northbridge Companies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Northbridge Companies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Northbridge Companies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Northbridge Companies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Northbridge Companies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E24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Northbridge Companies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F17" sqref="F1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Northbridge Companies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A5" sqref="A5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25">
      <c r="A4" t="s">
        <v>49</v>
      </c>
      <c r="B4" t="s">
        <v>50</v>
      </c>
      <c r="C4" s="4" t="s">
        <v>51</v>
      </c>
      <c r="G4" s="3"/>
    </row>
    <row r="5" spans="1:7" ht="14.25">
      <c r="A5" t="s">
        <v>52</v>
      </c>
      <c r="B5" t="s">
        <v>53</v>
      </c>
      <c r="C5" s="4" t="s">
        <v>51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2024-03-14T04:56:15Z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