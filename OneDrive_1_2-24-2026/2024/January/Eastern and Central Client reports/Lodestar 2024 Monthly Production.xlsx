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29" documentId="13_ncr:1_{AE260C41-19D3-49D3-8834-F4E92E4FAF70}" xr6:coauthVersionLast="47" xr6:coauthVersionMax="47" xr10:uidLastSave="{9BCCEC62-B7EF-4D3E-9607-3218120B56CB}"/>
  <bookViews>
    <workbookView xWindow="-28920" yWindow="7725" windowWidth="29040" windowHeight="15720" tabRatio="866" firstSheet="40" activeTab="40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Barkhamsted" sheetId="79" r:id="rId19"/>
    <sheet name="Bunce" sheetId="77" r:id="rId20"/>
    <sheet name="Norcap North" sheetId="71" r:id="rId21"/>
    <sheet name="Norcap South" sheetId="70" r:id="rId22"/>
    <sheet name="Platt Hill" sheetId="82" r:id="rId23"/>
    <sheet name="Powder Hill" sheetId="83" r:id="rId24"/>
    <sheet name="Sand Road" sheetId="85" r:id="rId25"/>
    <sheet name="Suffield" sheetId="89" r:id="rId26"/>
    <sheet name="Ashby-Duffy" sheetId="5" r:id="rId27"/>
    <sheet name="Ashland" sheetId="69" r:id="rId28"/>
    <sheet name="Barrington" sheetId="78" r:id="rId29"/>
    <sheet name="Bedford - 205 Burlington Rd" sheetId="90" r:id="rId30"/>
    <sheet name="Billerica - 6 Cook Street" sheetId="92" r:id="rId31"/>
    <sheet name="Billerica - 780 Boston Road" sheetId="91" r:id="rId32"/>
    <sheet name="Cheshire" sheetId="76" r:id="rId33"/>
    <sheet name="Lilly Lane" sheetId="73" r:id="rId34"/>
    <sheet name="Monument Valley" sheetId="80" r:id="rId35"/>
    <sheet name="Nationwide" sheetId="72" r:id="rId36"/>
    <sheet name="Pulpit Hill" sheetId="84" r:id="rId37"/>
    <sheet name="Sandwich" sheetId="93" r:id="rId38"/>
    <sheet name="Sturbridge Barn" sheetId="86" r:id="rId39"/>
    <sheet name="Sturbridge Garage" sheetId="88" r:id="rId40"/>
    <sheet name="Halsey Valley" sheetId="75" r:id="rId41"/>
    <sheet name="Hunt Creek" sheetId="74" r:id="rId42"/>
    <sheet name="Smith Creek" sheetId="87" r:id="rId43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Jan!$C$3:$C$27</definedName>
    <definedName name="JanActual2">Jan!#REF!</definedName>
    <definedName name="JanExpected">Jan!$D$3:$D$27</definedName>
    <definedName name="JanExpectedDelta">Jan!$E$3:$E$27</definedName>
    <definedName name="JanExpectedPercent">Jan!$F$3:$F$27</definedName>
    <definedName name="JanExpPercent">Jan!$F$3:$F$27</definedName>
    <definedName name="JanForecasted">Jan!$G$3:$G$27</definedName>
    <definedName name="JanForecastedDelta">Jan!$H$3:$H$27</definedName>
    <definedName name="JanForecastedPercent">Jan!$I$3:$I$27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7" l="1"/>
  <c r="D6" i="77"/>
  <c r="D7" i="77"/>
  <c r="D8" i="77"/>
  <c r="D9" i="77"/>
  <c r="D10" i="77"/>
  <c r="D11" i="77"/>
  <c r="D12" i="77"/>
  <c r="D13" i="77"/>
  <c r="D14" i="77"/>
  <c r="D15" i="77"/>
  <c r="D16" i="77"/>
  <c r="F17" i="93"/>
  <c r="C17" i="93"/>
  <c r="B17" i="93"/>
  <c r="G16" i="93"/>
  <c r="H16" i="93" s="1"/>
  <c r="D16" i="93"/>
  <c r="E16" i="93" s="1"/>
  <c r="G15" i="93"/>
  <c r="H15" i="93" s="1"/>
  <c r="D15" i="93"/>
  <c r="E15" i="93" s="1"/>
  <c r="G14" i="93"/>
  <c r="H14" i="93" s="1"/>
  <c r="D14" i="93"/>
  <c r="E14" i="93" s="1"/>
  <c r="G13" i="93"/>
  <c r="H13" i="93" s="1"/>
  <c r="D13" i="93"/>
  <c r="E13" i="93" s="1"/>
  <c r="G12" i="93"/>
  <c r="H12" i="93" s="1"/>
  <c r="D12" i="93"/>
  <c r="E12" i="93" s="1"/>
  <c r="G11" i="93"/>
  <c r="H11" i="93" s="1"/>
  <c r="D11" i="93"/>
  <c r="E11" i="93" s="1"/>
  <c r="G10" i="93"/>
  <c r="H10" i="93" s="1"/>
  <c r="D10" i="93"/>
  <c r="E10" i="93" s="1"/>
  <c r="G9" i="93"/>
  <c r="H9" i="93" s="1"/>
  <c r="D9" i="93"/>
  <c r="E9" i="93" s="1"/>
  <c r="G8" i="93"/>
  <c r="H8" i="93" s="1"/>
  <c r="D8" i="93"/>
  <c r="E8" i="93" s="1"/>
  <c r="G7" i="93"/>
  <c r="H7" i="93" s="1"/>
  <c r="D7" i="93"/>
  <c r="E7" i="93" s="1"/>
  <c r="G6" i="93"/>
  <c r="H6" i="93" s="1"/>
  <c r="D6" i="93"/>
  <c r="E6" i="93" s="1"/>
  <c r="G5" i="93"/>
  <c r="H5" i="93" s="1"/>
  <c r="D5" i="93"/>
  <c r="E5" i="93" s="1"/>
  <c r="F17" i="92"/>
  <c r="C17" i="92"/>
  <c r="B17" i="92"/>
  <c r="G16" i="92"/>
  <c r="H16" i="92" s="1"/>
  <c r="D16" i="92"/>
  <c r="E16" i="92" s="1"/>
  <c r="G15" i="92"/>
  <c r="H15" i="92" s="1"/>
  <c r="D15" i="92"/>
  <c r="E15" i="92" s="1"/>
  <c r="G14" i="92"/>
  <c r="H14" i="92" s="1"/>
  <c r="D14" i="92"/>
  <c r="E14" i="92" s="1"/>
  <c r="G13" i="92"/>
  <c r="H13" i="92" s="1"/>
  <c r="D13" i="92"/>
  <c r="E13" i="92" s="1"/>
  <c r="G12" i="92"/>
  <c r="H12" i="92" s="1"/>
  <c r="D12" i="92"/>
  <c r="E12" i="92" s="1"/>
  <c r="G11" i="92"/>
  <c r="H11" i="92" s="1"/>
  <c r="D11" i="92"/>
  <c r="E11" i="92" s="1"/>
  <c r="G10" i="92"/>
  <c r="H10" i="92" s="1"/>
  <c r="D10" i="92"/>
  <c r="E10" i="92" s="1"/>
  <c r="G9" i="92"/>
  <c r="H9" i="92" s="1"/>
  <c r="D9" i="92"/>
  <c r="E9" i="92" s="1"/>
  <c r="G8" i="92"/>
  <c r="H8" i="92" s="1"/>
  <c r="D8" i="92"/>
  <c r="E8" i="92" s="1"/>
  <c r="G7" i="92"/>
  <c r="H7" i="92" s="1"/>
  <c r="D7" i="92"/>
  <c r="E7" i="92" s="1"/>
  <c r="G6" i="92"/>
  <c r="H6" i="92" s="1"/>
  <c r="D6" i="92"/>
  <c r="E6" i="92" s="1"/>
  <c r="G5" i="92"/>
  <c r="H5" i="92" s="1"/>
  <c r="D5" i="92"/>
  <c r="E5" i="92" s="1"/>
  <c r="F17" i="91"/>
  <c r="C17" i="91"/>
  <c r="B17" i="91"/>
  <c r="G16" i="91"/>
  <c r="H16" i="91" s="1"/>
  <c r="D16" i="91"/>
  <c r="E16" i="91" s="1"/>
  <c r="G15" i="91"/>
  <c r="H15" i="91" s="1"/>
  <c r="D15" i="91"/>
  <c r="E15" i="91" s="1"/>
  <c r="G14" i="91"/>
  <c r="H14" i="91" s="1"/>
  <c r="D14" i="91"/>
  <c r="E14" i="91" s="1"/>
  <c r="G13" i="91"/>
  <c r="H13" i="91" s="1"/>
  <c r="D13" i="91"/>
  <c r="E13" i="91" s="1"/>
  <c r="G12" i="91"/>
  <c r="H12" i="91" s="1"/>
  <c r="D12" i="91"/>
  <c r="E12" i="91" s="1"/>
  <c r="G11" i="91"/>
  <c r="H11" i="91" s="1"/>
  <c r="D11" i="91"/>
  <c r="E11" i="91" s="1"/>
  <c r="G10" i="91"/>
  <c r="H10" i="91" s="1"/>
  <c r="D10" i="91"/>
  <c r="E10" i="91" s="1"/>
  <c r="G9" i="91"/>
  <c r="H9" i="91" s="1"/>
  <c r="D9" i="91"/>
  <c r="E9" i="91" s="1"/>
  <c r="G8" i="91"/>
  <c r="H8" i="91" s="1"/>
  <c r="D8" i="91"/>
  <c r="E8" i="91" s="1"/>
  <c r="G7" i="91"/>
  <c r="H7" i="91" s="1"/>
  <c r="D7" i="91"/>
  <c r="E7" i="91" s="1"/>
  <c r="G6" i="91"/>
  <c r="H6" i="91" s="1"/>
  <c r="D6" i="91"/>
  <c r="E6" i="91" s="1"/>
  <c r="G5" i="91"/>
  <c r="H5" i="91" s="1"/>
  <c r="D5" i="91"/>
  <c r="E5" i="91" s="1"/>
  <c r="F17" i="90"/>
  <c r="C17" i="90"/>
  <c r="B17" i="90"/>
  <c r="G16" i="90"/>
  <c r="H16" i="90" s="1"/>
  <c r="D16" i="90"/>
  <c r="E16" i="90" s="1"/>
  <c r="G15" i="90"/>
  <c r="H15" i="90" s="1"/>
  <c r="D15" i="90"/>
  <c r="E15" i="90" s="1"/>
  <c r="G14" i="90"/>
  <c r="H14" i="90" s="1"/>
  <c r="D14" i="90"/>
  <c r="E14" i="90" s="1"/>
  <c r="G13" i="90"/>
  <c r="H13" i="90" s="1"/>
  <c r="D13" i="90"/>
  <c r="E13" i="90" s="1"/>
  <c r="G12" i="90"/>
  <c r="H12" i="90" s="1"/>
  <c r="D12" i="90"/>
  <c r="E12" i="90" s="1"/>
  <c r="G11" i="90"/>
  <c r="H11" i="90" s="1"/>
  <c r="D11" i="90"/>
  <c r="E11" i="90" s="1"/>
  <c r="G10" i="90"/>
  <c r="H10" i="90" s="1"/>
  <c r="D10" i="90"/>
  <c r="E10" i="90" s="1"/>
  <c r="G9" i="90"/>
  <c r="H9" i="90" s="1"/>
  <c r="D9" i="90"/>
  <c r="E9" i="90" s="1"/>
  <c r="G8" i="90"/>
  <c r="H8" i="90" s="1"/>
  <c r="D8" i="90"/>
  <c r="E8" i="90" s="1"/>
  <c r="G7" i="90"/>
  <c r="H7" i="90" s="1"/>
  <c r="D7" i="90"/>
  <c r="E7" i="90" s="1"/>
  <c r="G6" i="90"/>
  <c r="H6" i="90" s="1"/>
  <c r="D6" i="90"/>
  <c r="E6" i="90" s="1"/>
  <c r="G5" i="90"/>
  <c r="H5" i="90" s="1"/>
  <c r="D5" i="90"/>
  <c r="E5" i="90" s="1"/>
  <c r="B17" i="79"/>
  <c r="F17" i="89"/>
  <c r="C17" i="89"/>
  <c r="B17" i="89"/>
  <c r="G16" i="89"/>
  <c r="H16" i="89" s="1"/>
  <c r="D16" i="89"/>
  <c r="E16" i="89" s="1"/>
  <c r="G15" i="89"/>
  <c r="H15" i="89" s="1"/>
  <c r="D15" i="89"/>
  <c r="E15" i="89" s="1"/>
  <c r="G14" i="89"/>
  <c r="H14" i="89" s="1"/>
  <c r="D14" i="89"/>
  <c r="E14" i="89" s="1"/>
  <c r="G13" i="89"/>
  <c r="H13" i="89" s="1"/>
  <c r="D13" i="89"/>
  <c r="E13" i="89" s="1"/>
  <c r="G12" i="89"/>
  <c r="H12" i="89" s="1"/>
  <c r="D12" i="89"/>
  <c r="E12" i="89" s="1"/>
  <c r="G11" i="89"/>
  <c r="H11" i="89" s="1"/>
  <c r="D11" i="89"/>
  <c r="E11" i="89" s="1"/>
  <c r="G10" i="89"/>
  <c r="H10" i="89" s="1"/>
  <c r="D10" i="89"/>
  <c r="E10" i="89" s="1"/>
  <c r="G9" i="89"/>
  <c r="H9" i="89" s="1"/>
  <c r="D9" i="89"/>
  <c r="E9" i="89" s="1"/>
  <c r="G8" i="89"/>
  <c r="H8" i="89" s="1"/>
  <c r="D8" i="89"/>
  <c r="E8" i="89" s="1"/>
  <c r="G7" i="89"/>
  <c r="H7" i="89" s="1"/>
  <c r="D7" i="89"/>
  <c r="E7" i="89" s="1"/>
  <c r="G6" i="89"/>
  <c r="H6" i="89" s="1"/>
  <c r="D6" i="89"/>
  <c r="E6" i="89" s="1"/>
  <c r="G5" i="89"/>
  <c r="H5" i="89" s="1"/>
  <c r="D5" i="89"/>
  <c r="E5" i="89" s="1"/>
  <c r="F17" i="88"/>
  <c r="C17" i="88"/>
  <c r="B17" i="88"/>
  <c r="G16" i="88"/>
  <c r="H16" i="88" s="1"/>
  <c r="D16" i="88"/>
  <c r="E16" i="88" s="1"/>
  <c r="G15" i="88"/>
  <c r="H15" i="88" s="1"/>
  <c r="D15" i="88"/>
  <c r="E15" i="88" s="1"/>
  <c r="H14" i="88"/>
  <c r="G14" i="88"/>
  <c r="D14" i="88"/>
  <c r="E14" i="88" s="1"/>
  <c r="G13" i="88"/>
  <c r="H13" i="88" s="1"/>
  <c r="D13" i="88"/>
  <c r="E13" i="88" s="1"/>
  <c r="G12" i="88"/>
  <c r="H12" i="88" s="1"/>
  <c r="D12" i="88"/>
  <c r="E12" i="88" s="1"/>
  <c r="G11" i="88"/>
  <c r="H11" i="88" s="1"/>
  <c r="D11" i="88"/>
  <c r="E11" i="88" s="1"/>
  <c r="G10" i="88"/>
  <c r="H10" i="88" s="1"/>
  <c r="D10" i="88"/>
  <c r="E10" i="88" s="1"/>
  <c r="G9" i="88"/>
  <c r="H9" i="88" s="1"/>
  <c r="D9" i="88"/>
  <c r="E9" i="88" s="1"/>
  <c r="G8" i="88"/>
  <c r="H8" i="88" s="1"/>
  <c r="D8" i="88"/>
  <c r="E8" i="88" s="1"/>
  <c r="G7" i="88"/>
  <c r="H7" i="88" s="1"/>
  <c r="D7" i="88"/>
  <c r="E7" i="88" s="1"/>
  <c r="G6" i="88"/>
  <c r="H6" i="88" s="1"/>
  <c r="D6" i="88"/>
  <c r="E6" i="88" s="1"/>
  <c r="G5" i="88"/>
  <c r="H5" i="88" s="1"/>
  <c r="D5" i="88"/>
  <c r="E5" i="88" s="1"/>
  <c r="F17" i="87"/>
  <c r="C17" i="87"/>
  <c r="B17" i="87"/>
  <c r="G16" i="87"/>
  <c r="H16" i="87" s="1"/>
  <c r="D16" i="87"/>
  <c r="E16" i="87" s="1"/>
  <c r="G15" i="87"/>
  <c r="H15" i="87" s="1"/>
  <c r="D15" i="87"/>
  <c r="E15" i="87" s="1"/>
  <c r="G14" i="87"/>
  <c r="H14" i="87" s="1"/>
  <c r="D14" i="87"/>
  <c r="E14" i="87" s="1"/>
  <c r="H13" i="87"/>
  <c r="G13" i="87"/>
  <c r="D13" i="87"/>
  <c r="E13" i="87" s="1"/>
  <c r="G12" i="87"/>
  <c r="H12" i="87" s="1"/>
  <c r="D12" i="87"/>
  <c r="E12" i="87" s="1"/>
  <c r="G11" i="87"/>
  <c r="H11" i="87" s="1"/>
  <c r="D11" i="87"/>
  <c r="E11" i="87" s="1"/>
  <c r="G10" i="87"/>
  <c r="H10" i="87" s="1"/>
  <c r="D10" i="87"/>
  <c r="E10" i="87" s="1"/>
  <c r="G9" i="87"/>
  <c r="H9" i="87" s="1"/>
  <c r="D9" i="87"/>
  <c r="E9" i="87" s="1"/>
  <c r="G8" i="87"/>
  <c r="H8" i="87" s="1"/>
  <c r="D8" i="87"/>
  <c r="E8" i="87" s="1"/>
  <c r="G7" i="87"/>
  <c r="H7" i="87" s="1"/>
  <c r="D7" i="87"/>
  <c r="E7" i="87" s="1"/>
  <c r="G6" i="87"/>
  <c r="H6" i="87" s="1"/>
  <c r="D6" i="87"/>
  <c r="E6" i="87" s="1"/>
  <c r="G5" i="87"/>
  <c r="H5" i="87" s="1"/>
  <c r="D5" i="87"/>
  <c r="E5" i="87" s="1"/>
  <c r="F17" i="86"/>
  <c r="C17" i="86"/>
  <c r="B17" i="86"/>
  <c r="G16" i="86"/>
  <c r="H16" i="86" s="1"/>
  <c r="D16" i="86"/>
  <c r="E16" i="86" s="1"/>
  <c r="G15" i="86"/>
  <c r="H15" i="86" s="1"/>
  <c r="D15" i="86"/>
  <c r="E15" i="86" s="1"/>
  <c r="G14" i="86"/>
  <c r="H14" i="86" s="1"/>
  <c r="D14" i="86"/>
  <c r="E14" i="86" s="1"/>
  <c r="G13" i="86"/>
  <c r="H13" i="86" s="1"/>
  <c r="D13" i="86"/>
  <c r="E13" i="86" s="1"/>
  <c r="G12" i="86"/>
  <c r="H12" i="86" s="1"/>
  <c r="D12" i="86"/>
  <c r="E12" i="86" s="1"/>
  <c r="G11" i="86"/>
  <c r="H11" i="86" s="1"/>
  <c r="D11" i="86"/>
  <c r="E11" i="86" s="1"/>
  <c r="G10" i="86"/>
  <c r="H10" i="86" s="1"/>
  <c r="D10" i="86"/>
  <c r="E10" i="86" s="1"/>
  <c r="G9" i="86"/>
  <c r="H9" i="86" s="1"/>
  <c r="D9" i="86"/>
  <c r="E9" i="86" s="1"/>
  <c r="G8" i="86"/>
  <c r="H8" i="86" s="1"/>
  <c r="D8" i="86"/>
  <c r="E8" i="86" s="1"/>
  <c r="G7" i="86"/>
  <c r="H7" i="86" s="1"/>
  <c r="D7" i="86"/>
  <c r="E7" i="86" s="1"/>
  <c r="G6" i="86"/>
  <c r="H6" i="86" s="1"/>
  <c r="D6" i="86"/>
  <c r="E6" i="86" s="1"/>
  <c r="G5" i="86"/>
  <c r="H5" i="86" s="1"/>
  <c r="D5" i="86"/>
  <c r="E5" i="86" s="1"/>
  <c r="F17" i="85"/>
  <c r="C17" i="85"/>
  <c r="B17" i="85"/>
  <c r="G16" i="85"/>
  <c r="H16" i="85" s="1"/>
  <c r="D16" i="85"/>
  <c r="E16" i="85" s="1"/>
  <c r="G15" i="85"/>
  <c r="H15" i="85" s="1"/>
  <c r="D15" i="85"/>
  <c r="E15" i="85" s="1"/>
  <c r="G14" i="85"/>
  <c r="H14" i="85" s="1"/>
  <c r="D14" i="85"/>
  <c r="E14" i="85" s="1"/>
  <c r="G13" i="85"/>
  <c r="H13" i="85" s="1"/>
  <c r="D13" i="85"/>
  <c r="E13" i="85" s="1"/>
  <c r="G12" i="85"/>
  <c r="H12" i="85" s="1"/>
  <c r="D12" i="85"/>
  <c r="E12" i="85" s="1"/>
  <c r="G11" i="85"/>
  <c r="H11" i="85" s="1"/>
  <c r="D11" i="85"/>
  <c r="E11" i="85" s="1"/>
  <c r="G10" i="85"/>
  <c r="H10" i="85" s="1"/>
  <c r="D10" i="85"/>
  <c r="E10" i="85" s="1"/>
  <c r="G9" i="85"/>
  <c r="H9" i="85" s="1"/>
  <c r="D9" i="85"/>
  <c r="E9" i="85" s="1"/>
  <c r="G8" i="85"/>
  <c r="H8" i="85" s="1"/>
  <c r="D8" i="85"/>
  <c r="E8" i="85" s="1"/>
  <c r="G7" i="85"/>
  <c r="H7" i="85" s="1"/>
  <c r="D7" i="85"/>
  <c r="E7" i="85" s="1"/>
  <c r="G6" i="85"/>
  <c r="H6" i="85" s="1"/>
  <c r="D6" i="85"/>
  <c r="E6" i="85" s="1"/>
  <c r="G5" i="85"/>
  <c r="H5" i="85" s="1"/>
  <c r="D5" i="85"/>
  <c r="E5" i="85" s="1"/>
  <c r="F17" i="84"/>
  <c r="C17" i="84"/>
  <c r="B17" i="84"/>
  <c r="G16" i="84"/>
  <c r="H16" i="84" s="1"/>
  <c r="D16" i="84"/>
  <c r="E16" i="84" s="1"/>
  <c r="G15" i="84"/>
  <c r="H15" i="84" s="1"/>
  <c r="D15" i="84"/>
  <c r="E15" i="84" s="1"/>
  <c r="G14" i="84"/>
  <c r="H14" i="84" s="1"/>
  <c r="D14" i="84"/>
  <c r="E14" i="84" s="1"/>
  <c r="G13" i="84"/>
  <c r="H13" i="84" s="1"/>
  <c r="D13" i="84"/>
  <c r="E13" i="84" s="1"/>
  <c r="G12" i="84"/>
  <c r="H12" i="84" s="1"/>
  <c r="D12" i="84"/>
  <c r="E12" i="84" s="1"/>
  <c r="G11" i="84"/>
  <c r="H11" i="84" s="1"/>
  <c r="D11" i="84"/>
  <c r="E11" i="84" s="1"/>
  <c r="G10" i="84"/>
  <c r="H10" i="84" s="1"/>
  <c r="D10" i="84"/>
  <c r="E10" i="84" s="1"/>
  <c r="G9" i="84"/>
  <c r="H9" i="84" s="1"/>
  <c r="D9" i="84"/>
  <c r="E9" i="84" s="1"/>
  <c r="G8" i="84"/>
  <c r="H8" i="84" s="1"/>
  <c r="D8" i="84"/>
  <c r="E8" i="84" s="1"/>
  <c r="G7" i="84"/>
  <c r="H7" i="84" s="1"/>
  <c r="D7" i="84"/>
  <c r="E7" i="84" s="1"/>
  <c r="G6" i="84"/>
  <c r="H6" i="84" s="1"/>
  <c r="D6" i="84"/>
  <c r="E6" i="84" s="1"/>
  <c r="G5" i="84"/>
  <c r="H5" i="84" s="1"/>
  <c r="D5" i="84"/>
  <c r="E5" i="84" s="1"/>
  <c r="F17" i="83"/>
  <c r="C17" i="83"/>
  <c r="B17" i="83"/>
  <c r="G16" i="83"/>
  <c r="H16" i="83" s="1"/>
  <c r="D16" i="83"/>
  <c r="E16" i="83" s="1"/>
  <c r="G15" i="83"/>
  <c r="H15" i="83" s="1"/>
  <c r="D15" i="83"/>
  <c r="E15" i="83" s="1"/>
  <c r="G14" i="83"/>
  <c r="H14" i="83" s="1"/>
  <c r="D14" i="83"/>
  <c r="E14" i="83" s="1"/>
  <c r="G13" i="83"/>
  <c r="H13" i="83" s="1"/>
  <c r="D13" i="83"/>
  <c r="E13" i="83" s="1"/>
  <c r="G12" i="83"/>
  <c r="H12" i="83" s="1"/>
  <c r="D12" i="83"/>
  <c r="E12" i="83" s="1"/>
  <c r="G11" i="83"/>
  <c r="H11" i="83" s="1"/>
  <c r="D11" i="83"/>
  <c r="E11" i="83" s="1"/>
  <c r="G10" i="83"/>
  <c r="H10" i="83" s="1"/>
  <c r="D10" i="83"/>
  <c r="E10" i="83" s="1"/>
  <c r="G9" i="83"/>
  <c r="H9" i="83" s="1"/>
  <c r="D9" i="83"/>
  <c r="E9" i="83" s="1"/>
  <c r="G8" i="83"/>
  <c r="H8" i="83" s="1"/>
  <c r="D8" i="83"/>
  <c r="E8" i="83" s="1"/>
  <c r="G7" i="83"/>
  <c r="H7" i="83" s="1"/>
  <c r="D7" i="83"/>
  <c r="E7" i="83" s="1"/>
  <c r="G6" i="83"/>
  <c r="H6" i="83" s="1"/>
  <c r="D6" i="83"/>
  <c r="E6" i="83" s="1"/>
  <c r="G5" i="83"/>
  <c r="H5" i="83" s="1"/>
  <c r="D5" i="83"/>
  <c r="E5" i="83" s="1"/>
  <c r="F17" i="82"/>
  <c r="C17" i="82"/>
  <c r="B17" i="82"/>
  <c r="G16" i="82"/>
  <c r="H16" i="82" s="1"/>
  <c r="D16" i="82"/>
  <c r="E16" i="82" s="1"/>
  <c r="G15" i="82"/>
  <c r="H15" i="82" s="1"/>
  <c r="D15" i="82"/>
  <c r="E15" i="82" s="1"/>
  <c r="G14" i="82"/>
  <c r="H14" i="82" s="1"/>
  <c r="D14" i="82"/>
  <c r="E14" i="82" s="1"/>
  <c r="G13" i="82"/>
  <c r="H13" i="82" s="1"/>
  <c r="E13" i="82"/>
  <c r="D13" i="82"/>
  <c r="G12" i="82"/>
  <c r="H12" i="82" s="1"/>
  <c r="D12" i="82"/>
  <c r="E12" i="82" s="1"/>
  <c r="G11" i="82"/>
  <c r="H11" i="82" s="1"/>
  <c r="D11" i="82"/>
  <c r="E11" i="82" s="1"/>
  <c r="G10" i="82"/>
  <c r="H10" i="82" s="1"/>
  <c r="D10" i="82"/>
  <c r="E10" i="82" s="1"/>
  <c r="G9" i="82"/>
  <c r="H9" i="82" s="1"/>
  <c r="D9" i="82"/>
  <c r="E9" i="82" s="1"/>
  <c r="G8" i="82"/>
  <c r="H8" i="82" s="1"/>
  <c r="D8" i="82"/>
  <c r="E8" i="82" s="1"/>
  <c r="G7" i="82"/>
  <c r="H7" i="82" s="1"/>
  <c r="D7" i="82"/>
  <c r="E7" i="82" s="1"/>
  <c r="G6" i="82"/>
  <c r="H6" i="82" s="1"/>
  <c r="D6" i="82"/>
  <c r="E6" i="82" s="1"/>
  <c r="G5" i="82"/>
  <c r="H5" i="82" s="1"/>
  <c r="D5" i="82"/>
  <c r="E5" i="82" s="1"/>
  <c r="A1" i="1" a="1"/>
  <c r="A1" i="1" s="1"/>
  <c r="C23" i="27" a="1"/>
  <c r="C23" i="3" a="1"/>
  <c r="C24" i="32" a="1"/>
  <c r="C22" i="3" a="1"/>
  <c r="C10" i="21" a="1"/>
  <c r="C22" i="2" a="1"/>
  <c r="C21" i="4" a="1"/>
  <c r="C22" i="27" a="1"/>
  <c r="C22" i="4" a="1"/>
  <c r="C27" i="3" a="1"/>
  <c r="C23" i="2" a="1"/>
  <c r="C22" i="19" a="1"/>
  <c r="C23" i="26" a="1"/>
  <c r="C23" i="32" a="1"/>
  <c r="C22" i="21" a="1"/>
  <c r="C21" i="33" a="1"/>
  <c r="C7" i="21" a="1"/>
  <c r="C24" i="3" a="1"/>
  <c r="C27" i="2" a="1"/>
  <c r="C27" i="32" a="1"/>
  <c r="C21" i="31" a="1"/>
  <c r="C23" i="20" a="1"/>
  <c r="C23" i="31" a="1"/>
  <c r="C27" i="4" a="1"/>
  <c r="C21" i="20" a="1"/>
  <c r="C21" i="3" a="1"/>
  <c r="C9" i="21" a="1"/>
  <c r="C16" i="21" a="1"/>
  <c r="C23" i="21" a="1"/>
  <c r="C23" i="28" a="1"/>
  <c r="C22" i="26" a="1"/>
  <c r="C22" i="32" a="1"/>
  <c r="C27" i="20" a="1"/>
  <c r="C22" i="20" a="1"/>
  <c r="C21" i="28" a="1"/>
  <c r="C27" i="21" a="1"/>
  <c r="C23" i="33" a="1"/>
  <c r="C21" i="21" a="1"/>
  <c r="C22" i="31" a="1"/>
  <c r="C8" i="21" a="1"/>
  <c r="C24" i="2" a="1"/>
  <c r="C24" i="20" a="1"/>
  <c r="C21" i="26" a="1"/>
  <c r="C21" i="2" a="1"/>
  <c r="C15" i="21" a="1"/>
  <c r="C21" i="32" a="1"/>
  <c r="C24" i="4" a="1"/>
  <c r="C22" i="33" a="1"/>
  <c r="C21" i="19" a="1"/>
  <c r="C24" i="21" a="1"/>
  <c r="C23" i="19" a="1"/>
  <c r="C14" i="21" a="1"/>
  <c r="C22" i="28" a="1"/>
  <c r="C23" i="4" a="1"/>
  <c r="C21" i="27" a="1"/>
  <c r="C22" i="3" l="1"/>
  <c r="C14" i="21"/>
  <c r="C24" i="20"/>
  <c r="C23" i="19"/>
  <c r="C22" i="33"/>
  <c r="C23" i="33"/>
  <c r="C21" i="2"/>
  <c r="C21" i="4"/>
  <c r="C27" i="20"/>
  <c r="C23" i="26"/>
  <c r="C23" i="28"/>
  <c r="C23" i="31"/>
  <c r="C24" i="2"/>
  <c r="C24" i="3"/>
  <c r="C24" i="4"/>
  <c r="C24" i="21"/>
  <c r="C16" i="21"/>
  <c r="C8" i="21"/>
  <c r="C22" i="20"/>
  <c r="C22" i="19"/>
  <c r="C22" i="26"/>
  <c r="C22" i="27"/>
  <c r="C22" i="28"/>
  <c r="C22" i="31"/>
  <c r="C22" i="32"/>
  <c r="C21" i="33"/>
  <c r="C22" i="4"/>
  <c r="C22" i="21"/>
  <c r="C10" i="21"/>
  <c r="C21" i="3"/>
  <c r="C9" i="21"/>
  <c r="C23" i="32"/>
  <c r="C22" i="2"/>
  <c r="C24" i="32"/>
  <c r="C21" i="21"/>
  <c r="C23" i="20"/>
  <c r="C23" i="27"/>
  <c r="C27" i="32"/>
  <c r="C27" i="2"/>
  <c r="C23" i="2"/>
  <c r="C27" i="3"/>
  <c r="C23" i="3"/>
  <c r="C27" i="4"/>
  <c r="C23" i="4"/>
  <c r="C27" i="21"/>
  <c r="C23" i="21"/>
  <c r="C15" i="21"/>
  <c r="C7" i="21"/>
  <c r="C21" i="20"/>
  <c r="C21" i="19"/>
  <c r="C21" i="26"/>
  <c r="C21" i="27"/>
  <c r="C21" i="28"/>
  <c r="C21" i="31"/>
  <c r="C21" i="32"/>
  <c r="D23" i="30"/>
  <c r="G23" i="30"/>
  <c r="D22" i="30"/>
  <c r="G22" i="30"/>
  <c r="D21" i="30"/>
  <c r="G21" i="30"/>
  <c r="D23" i="29"/>
  <c r="G23" i="29"/>
  <c r="D22" i="29"/>
  <c r="G22" i="29"/>
  <c r="D21" i="29"/>
  <c r="G21" i="29"/>
  <c r="D23" i="18"/>
  <c r="G23" i="18"/>
  <c r="D22" i="18"/>
  <c r="G22" i="18"/>
  <c r="D21" i="18"/>
  <c r="G21" i="18"/>
  <c r="D23" i="1"/>
  <c r="G23" i="1"/>
  <c r="D22" i="1"/>
  <c r="G22" i="1"/>
  <c r="D21" i="1"/>
  <c r="G21" i="1"/>
  <c r="G17" i="93"/>
  <c r="H17" i="93" s="1"/>
  <c r="D17" i="93"/>
  <c r="E17" i="93" s="1"/>
  <c r="G17" i="92"/>
  <c r="H17" i="92" s="1"/>
  <c r="D17" i="92"/>
  <c r="E17" i="92" s="1"/>
  <c r="G17" i="91"/>
  <c r="H17" i="91" s="1"/>
  <c r="D17" i="91"/>
  <c r="E17" i="91" s="1"/>
  <c r="G17" i="90"/>
  <c r="H17" i="90" s="1"/>
  <c r="D17" i="90"/>
  <c r="E17" i="90" s="1"/>
  <c r="G17" i="89"/>
  <c r="H17" i="89" s="1"/>
  <c r="G17" i="88"/>
  <c r="H17" i="88" s="1"/>
  <c r="G17" i="87"/>
  <c r="H17" i="87" s="1"/>
  <c r="G17" i="85"/>
  <c r="H17" i="85" s="1"/>
  <c r="G17" i="84"/>
  <c r="H17" i="84" s="1"/>
  <c r="G17" i="82"/>
  <c r="H17" i="82" s="1"/>
  <c r="D17" i="89"/>
  <c r="E17" i="89" s="1"/>
  <c r="G17" i="86"/>
  <c r="H17" i="86" s="1"/>
  <c r="G17" i="83"/>
  <c r="H17" i="83" s="1"/>
  <c r="D17" i="88"/>
  <c r="E17" i="88" s="1"/>
  <c r="D17" i="87"/>
  <c r="E17" i="87" s="1"/>
  <c r="D17" i="86"/>
  <c r="E17" i="86" s="1"/>
  <c r="D17" i="85"/>
  <c r="E17" i="85" s="1"/>
  <c r="D17" i="84"/>
  <c r="E17" i="84" s="1"/>
  <c r="D17" i="83"/>
  <c r="E17" i="83" s="1"/>
  <c r="D17" i="82"/>
  <c r="E17" i="82" s="1"/>
  <c r="C22" i="1" l="1"/>
  <c r="H22" i="1" s="1"/>
  <c r="I22" i="1" s="1"/>
  <c r="C22" i="29"/>
  <c r="E22" i="29" s="1"/>
  <c r="F22" i="29" s="1"/>
  <c r="C23" i="18"/>
  <c r="H23" i="18" s="1"/>
  <c r="I23" i="18" s="1"/>
  <c r="C21" i="1"/>
  <c r="H21" i="1" s="1"/>
  <c r="I21" i="1" s="1"/>
  <c r="C22" i="30"/>
  <c r="E22" i="30" s="1"/>
  <c r="F22" i="30" s="1"/>
  <c r="C22" i="18"/>
  <c r="H22" i="18" s="1"/>
  <c r="I22" i="18" s="1"/>
  <c r="C21" i="29"/>
  <c r="E21" i="29" s="1"/>
  <c r="F21" i="29" s="1"/>
  <c r="C21" i="18"/>
  <c r="E21" i="18" s="1"/>
  <c r="F21" i="18" s="1"/>
  <c r="C23" i="30"/>
  <c r="E23" i="30" s="1"/>
  <c r="F23" i="30" s="1"/>
  <c r="C21" i="30"/>
  <c r="E21" i="30" s="1"/>
  <c r="F21" i="30" s="1"/>
  <c r="C23" i="1"/>
  <c r="E23" i="1" s="1"/>
  <c r="F23" i="1" s="1"/>
  <c r="C23" i="29"/>
  <c r="E23" i="29" s="1"/>
  <c r="F23" i="29" s="1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80"/>
  <c r="C17" i="80"/>
  <c r="B17" i="80"/>
  <c r="G16" i="80"/>
  <c r="H16" i="80" s="1"/>
  <c r="D16" i="80"/>
  <c r="E16" i="80" s="1"/>
  <c r="G15" i="80"/>
  <c r="H15" i="80" s="1"/>
  <c r="D15" i="80"/>
  <c r="E15" i="80" s="1"/>
  <c r="G14" i="80"/>
  <c r="H14" i="80" s="1"/>
  <c r="D14" i="80"/>
  <c r="E14" i="80" s="1"/>
  <c r="G13" i="80"/>
  <c r="H13" i="80" s="1"/>
  <c r="D13" i="80"/>
  <c r="E13" i="80" s="1"/>
  <c r="G12" i="80"/>
  <c r="H12" i="80" s="1"/>
  <c r="D12" i="80"/>
  <c r="E12" i="80" s="1"/>
  <c r="G11" i="80"/>
  <c r="H11" i="80" s="1"/>
  <c r="D11" i="80"/>
  <c r="E11" i="80" s="1"/>
  <c r="G10" i="80"/>
  <c r="H10" i="80" s="1"/>
  <c r="D10" i="80"/>
  <c r="E10" i="80" s="1"/>
  <c r="G9" i="80"/>
  <c r="H9" i="80" s="1"/>
  <c r="D9" i="80"/>
  <c r="E9" i="80" s="1"/>
  <c r="G8" i="80"/>
  <c r="H8" i="80" s="1"/>
  <c r="D8" i="80"/>
  <c r="G7" i="80"/>
  <c r="H7" i="80" s="1"/>
  <c r="D7" i="80"/>
  <c r="E7" i="80" s="1"/>
  <c r="G6" i="80"/>
  <c r="H6" i="80" s="1"/>
  <c r="D6" i="80"/>
  <c r="G5" i="80"/>
  <c r="H5" i="80" s="1"/>
  <c r="D5" i="80"/>
  <c r="E5" i="80" s="1"/>
  <c r="F17" i="79"/>
  <c r="C17" i="79"/>
  <c r="G16" i="79"/>
  <c r="H16" i="79" s="1"/>
  <c r="D16" i="79"/>
  <c r="E16" i="79" s="1"/>
  <c r="G15" i="79"/>
  <c r="H15" i="79" s="1"/>
  <c r="D15" i="79"/>
  <c r="E15" i="79" s="1"/>
  <c r="G14" i="79"/>
  <c r="H14" i="79" s="1"/>
  <c r="D14" i="79"/>
  <c r="E14" i="79" s="1"/>
  <c r="G13" i="79"/>
  <c r="H13" i="79" s="1"/>
  <c r="D13" i="79"/>
  <c r="E13" i="79" s="1"/>
  <c r="G12" i="79"/>
  <c r="H12" i="79" s="1"/>
  <c r="D12" i="79"/>
  <c r="E12" i="79" s="1"/>
  <c r="G11" i="79"/>
  <c r="H11" i="79" s="1"/>
  <c r="D11" i="79"/>
  <c r="E11" i="79" s="1"/>
  <c r="G10" i="79"/>
  <c r="H10" i="79" s="1"/>
  <c r="D10" i="79"/>
  <c r="E10" i="79" s="1"/>
  <c r="G9" i="79"/>
  <c r="H9" i="79" s="1"/>
  <c r="D9" i="79"/>
  <c r="E9" i="79" s="1"/>
  <c r="G8" i="79"/>
  <c r="H8" i="79" s="1"/>
  <c r="D8" i="79"/>
  <c r="E8" i="79" s="1"/>
  <c r="G7" i="79"/>
  <c r="H7" i="79" s="1"/>
  <c r="D7" i="79"/>
  <c r="E7" i="79" s="1"/>
  <c r="G6" i="79"/>
  <c r="H6" i="79" s="1"/>
  <c r="D6" i="79"/>
  <c r="E6" i="79" s="1"/>
  <c r="G5" i="79"/>
  <c r="H5" i="79" s="1"/>
  <c r="D5" i="79"/>
  <c r="E5" i="79" s="1"/>
  <c r="F17" i="78"/>
  <c r="C17" i="78"/>
  <c r="B17" i="78"/>
  <c r="G16" i="78"/>
  <c r="H16" i="78" s="1"/>
  <c r="D16" i="78"/>
  <c r="E16" i="78" s="1"/>
  <c r="G15" i="78"/>
  <c r="H15" i="78" s="1"/>
  <c r="D15" i="78"/>
  <c r="E15" i="78" s="1"/>
  <c r="G14" i="78"/>
  <c r="H14" i="78" s="1"/>
  <c r="D14" i="78"/>
  <c r="E14" i="78" s="1"/>
  <c r="G13" i="78"/>
  <c r="H13" i="78" s="1"/>
  <c r="D13" i="78"/>
  <c r="E13" i="78" s="1"/>
  <c r="G12" i="78"/>
  <c r="H12" i="78" s="1"/>
  <c r="D12" i="78"/>
  <c r="E12" i="78" s="1"/>
  <c r="G11" i="78"/>
  <c r="H11" i="78" s="1"/>
  <c r="D11" i="78"/>
  <c r="E11" i="78" s="1"/>
  <c r="G10" i="78"/>
  <c r="H10" i="78" s="1"/>
  <c r="D10" i="78"/>
  <c r="E10" i="78" s="1"/>
  <c r="G9" i="78"/>
  <c r="H9" i="78" s="1"/>
  <c r="D9" i="78"/>
  <c r="E9" i="78" s="1"/>
  <c r="G8" i="78"/>
  <c r="H8" i="78" s="1"/>
  <c r="D8" i="78"/>
  <c r="G7" i="78"/>
  <c r="H7" i="78" s="1"/>
  <c r="D7" i="78"/>
  <c r="E7" i="78" s="1"/>
  <c r="G6" i="78"/>
  <c r="H6" i="78" s="1"/>
  <c r="D6" i="78"/>
  <c r="E6" i="78" s="1"/>
  <c r="G5" i="78"/>
  <c r="H5" i="78" s="1"/>
  <c r="D5" i="78"/>
  <c r="E5" i="78" s="1"/>
  <c r="F17" i="77"/>
  <c r="C17" i="77"/>
  <c r="B17" i="77"/>
  <c r="G16" i="77"/>
  <c r="H16" i="77" s="1"/>
  <c r="E16" i="77"/>
  <c r="G15" i="77"/>
  <c r="H15" i="77" s="1"/>
  <c r="E15" i="77"/>
  <c r="G14" i="77"/>
  <c r="H14" i="77" s="1"/>
  <c r="E14" i="77"/>
  <c r="G13" i="77"/>
  <c r="H13" i="77" s="1"/>
  <c r="E13" i="77"/>
  <c r="G12" i="77"/>
  <c r="H12" i="77" s="1"/>
  <c r="E12" i="77"/>
  <c r="G11" i="77"/>
  <c r="H11" i="77" s="1"/>
  <c r="E11" i="77"/>
  <c r="G10" i="77"/>
  <c r="H10" i="77" s="1"/>
  <c r="E10" i="77"/>
  <c r="G9" i="77"/>
  <c r="H9" i="77" s="1"/>
  <c r="E9" i="77"/>
  <c r="G8" i="77"/>
  <c r="H8" i="77" s="1"/>
  <c r="E8" i="77"/>
  <c r="G7" i="77"/>
  <c r="H7" i="77" s="1"/>
  <c r="E7" i="77"/>
  <c r="G6" i="77"/>
  <c r="H6" i="77" s="1"/>
  <c r="E6" i="77"/>
  <c r="G5" i="77"/>
  <c r="H5" i="77" s="1"/>
  <c r="E5" i="77"/>
  <c r="F17" i="76"/>
  <c r="C17" i="76"/>
  <c r="B17" i="76"/>
  <c r="G16" i="76"/>
  <c r="H16" i="76" s="1"/>
  <c r="D16" i="76"/>
  <c r="E16" i="76" s="1"/>
  <c r="G15" i="76"/>
  <c r="H15" i="76" s="1"/>
  <c r="D15" i="76"/>
  <c r="E15" i="76" s="1"/>
  <c r="G14" i="76"/>
  <c r="H14" i="76" s="1"/>
  <c r="D14" i="76"/>
  <c r="E14" i="76" s="1"/>
  <c r="G13" i="76"/>
  <c r="H13" i="76" s="1"/>
  <c r="D13" i="76"/>
  <c r="E13" i="76" s="1"/>
  <c r="G12" i="76"/>
  <c r="H12" i="76" s="1"/>
  <c r="D12" i="76"/>
  <c r="E12" i="76" s="1"/>
  <c r="G11" i="76"/>
  <c r="H11" i="76" s="1"/>
  <c r="D11" i="76"/>
  <c r="E11" i="76" s="1"/>
  <c r="G10" i="76"/>
  <c r="H10" i="76" s="1"/>
  <c r="D10" i="76"/>
  <c r="E10" i="76" s="1"/>
  <c r="G9" i="76"/>
  <c r="H9" i="76" s="1"/>
  <c r="D9" i="76"/>
  <c r="E9" i="76" s="1"/>
  <c r="G8" i="76"/>
  <c r="H8" i="76" s="1"/>
  <c r="D8" i="76"/>
  <c r="G7" i="76"/>
  <c r="H7" i="76" s="1"/>
  <c r="D7" i="76"/>
  <c r="E7" i="76" s="1"/>
  <c r="G6" i="76"/>
  <c r="H6" i="76" s="1"/>
  <c r="D6" i="76"/>
  <c r="E6" i="76" s="1"/>
  <c r="G5" i="76"/>
  <c r="H5" i="76" s="1"/>
  <c r="D5" i="76"/>
  <c r="E5" i="76" s="1"/>
  <c r="F17" i="75"/>
  <c r="C17" i="75"/>
  <c r="B17" i="75"/>
  <c r="G16" i="75"/>
  <c r="H16" i="75" s="1"/>
  <c r="D16" i="75"/>
  <c r="E16" i="75" s="1"/>
  <c r="G15" i="75"/>
  <c r="H15" i="75" s="1"/>
  <c r="D15" i="75"/>
  <c r="G14" i="75"/>
  <c r="H14" i="75" s="1"/>
  <c r="D14" i="75"/>
  <c r="E14" i="75" s="1"/>
  <c r="G13" i="75"/>
  <c r="H13" i="75" s="1"/>
  <c r="D13" i="75"/>
  <c r="E13" i="75" s="1"/>
  <c r="G12" i="75"/>
  <c r="H12" i="75" s="1"/>
  <c r="D12" i="75"/>
  <c r="E12" i="75" s="1"/>
  <c r="G11" i="75"/>
  <c r="H11" i="75" s="1"/>
  <c r="D11" i="75"/>
  <c r="E11" i="75" s="1"/>
  <c r="G10" i="75"/>
  <c r="H10" i="75" s="1"/>
  <c r="D10" i="75"/>
  <c r="E10" i="75" s="1"/>
  <c r="G9" i="75"/>
  <c r="H9" i="75" s="1"/>
  <c r="D9" i="75"/>
  <c r="G8" i="75"/>
  <c r="H8" i="75" s="1"/>
  <c r="D8" i="75"/>
  <c r="G7" i="75"/>
  <c r="H7" i="75" s="1"/>
  <c r="D7" i="75"/>
  <c r="G6" i="75"/>
  <c r="H6" i="75" s="1"/>
  <c r="D6" i="75"/>
  <c r="G5" i="75"/>
  <c r="H5" i="75" s="1"/>
  <c r="D5" i="75"/>
  <c r="F17" i="74"/>
  <c r="C17" i="74"/>
  <c r="B17" i="74"/>
  <c r="G16" i="74"/>
  <c r="H16" i="74" s="1"/>
  <c r="D16" i="74"/>
  <c r="E16" i="74" s="1"/>
  <c r="G15" i="74"/>
  <c r="H15" i="74" s="1"/>
  <c r="D15" i="74"/>
  <c r="G14" i="74"/>
  <c r="H14" i="74" s="1"/>
  <c r="D14" i="74"/>
  <c r="E14" i="74" s="1"/>
  <c r="G13" i="74"/>
  <c r="H13" i="74" s="1"/>
  <c r="D13" i="74"/>
  <c r="E13" i="74" s="1"/>
  <c r="G12" i="74"/>
  <c r="H12" i="74" s="1"/>
  <c r="D12" i="74"/>
  <c r="E12" i="74" s="1"/>
  <c r="G11" i="74"/>
  <c r="H11" i="74" s="1"/>
  <c r="D11" i="74"/>
  <c r="E11" i="74" s="1"/>
  <c r="G10" i="74"/>
  <c r="H10" i="74" s="1"/>
  <c r="D10" i="74"/>
  <c r="E10" i="74" s="1"/>
  <c r="G9" i="74"/>
  <c r="H9" i="74" s="1"/>
  <c r="D9" i="74"/>
  <c r="G8" i="74"/>
  <c r="H8" i="74" s="1"/>
  <c r="D8" i="74"/>
  <c r="G7" i="74"/>
  <c r="H7" i="74" s="1"/>
  <c r="D7" i="74"/>
  <c r="G6" i="74"/>
  <c r="H6" i="74" s="1"/>
  <c r="D6" i="74"/>
  <c r="G5" i="74"/>
  <c r="H5" i="74" s="1"/>
  <c r="D5" i="74"/>
  <c r="F17" i="73"/>
  <c r="C17" i="73"/>
  <c r="B17" i="73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E10" i="73" s="1"/>
  <c r="G9" i="73"/>
  <c r="H9" i="73" s="1"/>
  <c r="D9" i="73"/>
  <c r="E9" i="73" s="1"/>
  <c r="G8" i="73"/>
  <c r="H8" i="73" s="1"/>
  <c r="D8" i="73"/>
  <c r="G7" i="73"/>
  <c r="H7" i="73" s="1"/>
  <c r="D7" i="73"/>
  <c r="E7" i="73" s="1"/>
  <c r="G6" i="73"/>
  <c r="H6" i="73" s="1"/>
  <c r="D6" i="73"/>
  <c r="G5" i="73"/>
  <c r="H5" i="73" s="1"/>
  <c r="D5" i="73"/>
  <c r="E5" i="73" s="1"/>
  <c r="F17" i="72"/>
  <c r="C17" i="72"/>
  <c r="B17" i="72"/>
  <c r="G16" i="72"/>
  <c r="H16" i="72" s="1"/>
  <c r="D16" i="72"/>
  <c r="G15" i="72"/>
  <c r="H15" i="72" s="1"/>
  <c r="D15" i="72"/>
  <c r="E15" i="72" s="1"/>
  <c r="G14" i="72"/>
  <c r="H14" i="72" s="1"/>
  <c r="D14" i="72"/>
  <c r="H13" i="72"/>
  <c r="D13" i="72"/>
  <c r="G12" i="72"/>
  <c r="H12" i="72" s="1"/>
  <c r="D12" i="72"/>
  <c r="G11" i="72"/>
  <c r="H11" i="72" s="1"/>
  <c r="D11" i="72"/>
  <c r="G10" i="72"/>
  <c r="H10" i="72" s="1"/>
  <c r="D10" i="72"/>
  <c r="G9" i="72"/>
  <c r="H9" i="72" s="1"/>
  <c r="D9" i="72"/>
  <c r="G8" i="72"/>
  <c r="H8" i="72" s="1"/>
  <c r="D8" i="72"/>
  <c r="G7" i="72"/>
  <c r="H7" i="72" s="1"/>
  <c r="D7" i="72"/>
  <c r="G6" i="72"/>
  <c r="H6" i="72" s="1"/>
  <c r="D6" i="72"/>
  <c r="G5" i="72"/>
  <c r="H5" i="72" s="1"/>
  <c r="D5" i="72"/>
  <c r="F17" i="71"/>
  <c r="C17" i="71"/>
  <c r="B17" i="71"/>
  <c r="G16" i="71"/>
  <c r="H16" i="71" s="1"/>
  <c r="D16" i="71"/>
  <c r="E16" i="71" s="1"/>
  <c r="G15" i="71"/>
  <c r="H15" i="71" s="1"/>
  <c r="D15" i="71"/>
  <c r="E15" i="71" s="1"/>
  <c r="G14" i="71"/>
  <c r="H14" i="71" s="1"/>
  <c r="D14" i="71"/>
  <c r="E14" i="71" s="1"/>
  <c r="G13" i="71"/>
  <c r="H13" i="71" s="1"/>
  <c r="D13" i="71"/>
  <c r="E13" i="71" s="1"/>
  <c r="G12" i="71"/>
  <c r="H12" i="71" s="1"/>
  <c r="D12" i="71"/>
  <c r="E12" i="71" s="1"/>
  <c r="G11" i="71"/>
  <c r="H11" i="71" s="1"/>
  <c r="D11" i="71"/>
  <c r="E11" i="71" s="1"/>
  <c r="G10" i="71"/>
  <c r="H10" i="71" s="1"/>
  <c r="D10" i="71"/>
  <c r="E10" i="71" s="1"/>
  <c r="G9" i="71"/>
  <c r="H9" i="71" s="1"/>
  <c r="D9" i="71"/>
  <c r="E9" i="71" s="1"/>
  <c r="G8" i="71"/>
  <c r="H8" i="71" s="1"/>
  <c r="D8" i="71"/>
  <c r="E8" i="71" s="1"/>
  <c r="G7" i="71"/>
  <c r="H7" i="71" s="1"/>
  <c r="D7" i="71"/>
  <c r="E7" i="71" s="1"/>
  <c r="G6" i="71"/>
  <c r="H6" i="71" s="1"/>
  <c r="D6" i="71"/>
  <c r="G5" i="71"/>
  <c r="H5" i="71" s="1"/>
  <c r="D5" i="71"/>
  <c r="E5" i="71" s="1"/>
  <c r="F17" i="70"/>
  <c r="C17" i="70"/>
  <c r="B17" i="70"/>
  <c r="G16" i="70"/>
  <c r="H16" i="70" s="1"/>
  <c r="D16" i="70"/>
  <c r="E16" i="70" s="1"/>
  <c r="G15" i="70"/>
  <c r="H15" i="70" s="1"/>
  <c r="D15" i="70"/>
  <c r="E15" i="70" s="1"/>
  <c r="G14" i="70"/>
  <c r="H14" i="70" s="1"/>
  <c r="D14" i="70"/>
  <c r="E14" i="70" s="1"/>
  <c r="G13" i="70"/>
  <c r="H13" i="70" s="1"/>
  <c r="D13" i="70"/>
  <c r="E13" i="70" s="1"/>
  <c r="G12" i="70"/>
  <c r="H12" i="70" s="1"/>
  <c r="D12" i="70"/>
  <c r="E12" i="70" s="1"/>
  <c r="G11" i="70"/>
  <c r="H11" i="70" s="1"/>
  <c r="D11" i="70"/>
  <c r="E11" i="70" s="1"/>
  <c r="G10" i="70"/>
  <c r="H10" i="70" s="1"/>
  <c r="D10" i="70"/>
  <c r="E10" i="70" s="1"/>
  <c r="G9" i="70"/>
  <c r="H9" i="70" s="1"/>
  <c r="D9" i="70"/>
  <c r="E9" i="70" s="1"/>
  <c r="G8" i="70"/>
  <c r="H8" i="70" s="1"/>
  <c r="D8" i="70"/>
  <c r="G7" i="70"/>
  <c r="H7" i="70" s="1"/>
  <c r="D7" i="70"/>
  <c r="E7" i="70" s="1"/>
  <c r="G6" i="70"/>
  <c r="H6" i="70" s="1"/>
  <c r="D6" i="70"/>
  <c r="G5" i="70"/>
  <c r="H5" i="70" s="1"/>
  <c r="D5" i="70"/>
  <c r="E5" i="70" s="1"/>
  <c r="F17" i="69"/>
  <c r="C17" i="69"/>
  <c r="B17" i="69"/>
  <c r="G16" i="69"/>
  <c r="H16" i="69" s="1"/>
  <c r="D16" i="69"/>
  <c r="E16" i="69" s="1"/>
  <c r="G15" i="69"/>
  <c r="H15" i="69" s="1"/>
  <c r="D15" i="69"/>
  <c r="E15" i="69" s="1"/>
  <c r="G14" i="69"/>
  <c r="H14" i="69" s="1"/>
  <c r="D14" i="69"/>
  <c r="E14" i="69" s="1"/>
  <c r="G13" i="69"/>
  <c r="H13" i="69" s="1"/>
  <c r="D13" i="69"/>
  <c r="E13" i="69" s="1"/>
  <c r="G12" i="69"/>
  <c r="H12" i="69" s="1"/>
  <c r="D12" i="69"/>
  <c r="E12" i="69" s="1"/>
  <c r="G11" i="69"/>
  <c r="H11" i="69" s="1"/>
  <c r="D11" i="69"/>
  <c r="E11" i="69" s="1"/>
  <c r="G10" i="69"/>
  <c r="H10" i="69" s="1"/>
  <c r="D10" i="69"/>
  <c r="E10" i="69" s="1"/>
  <c r="G9" i="69"/>
  <c r="H9" i="69" s="1"/>
  <c r="D9" i="69"/>
  <c r="E9" i="69" s="1"/>
  <c r="G8" i="69"/>
  <c r="H8" i="69" s="1"/>
  <c r="D8" i="69"/>
  <c r="G7" i="69"/>
  <c r="H7" i="69" s="1"/>
  <c r="D7" i="69"/>
  <c r="E7" i="69" s="1"/>
  <c r="G6" i="69"/>
  <c r="H6" i="69" s="1"/>
  <c r="D6" i="69"/>
  <c r="E6" i="69" s="1"/>
  <c r="G5" i="69"/>
  <c r="H5" i="69" s="1"/>
  <c r="D5" i="69"/>
  <c r="E5" i="69" s="1"/>
  <c r="F17" i="5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A3" i="2" a="1"/>
  <c r="C15" i="26" a="1"/>
  <c r="C9" i="4" a="1"/>
  <c r="C10" i="27" a="1"/>
  <c r="C19" i="28" a="1"/>
  <c r="C6" i="20" a="1"/>
  <c r="C24" i="19" a="1"/>
  <c r="C12" i="20" a="1"/>
  <c r="C26" i="19" a="1"/>
  <c r="C14" i="31" a="1"/>
  <c r="C7" i="28" a="1"/>
  <c r="C19" i="4" a="1"/>
  <c r="C5" i="21" a="1"/>
  <c r="C17" i="28" a="1"/>
  <c r="C18" i="19" a="1"/>
  <c r="C25" i="27" a="1"/>
  <c r="C16" i="4" a="1"/>
  <c r="C4" i="26" a="1"/>
  <c r="C6" i="28" a="1"/>
  <c r="C14" i="2" a="1"/>
  <c r="C25" i="33" a="1"/>
  <c r="C17" i="3" a="1"/>
  <c r="C11" i="19" a="1"/>
  <c r="C19" i="26" a="1"/>
  <c r="C17" i="26" a="1"/>
  <c r="C15" i="32" a="1"/>
  <c r="C19" i="33" a="1"/>
  <c r="C7" i="20" a="1"/>
  <c r="C24" i="26" a="1"/>
  <c r="C15" i="33" a="1"/>
  <c r="C17" i="31" a="1"/>
  <c r="C19" i="19" a="1"/>
  <c r="C27" i="31" a="1"/>
  <c r="C6" i="33" a="1"/>
  <c r="C5" i="33" a="1"/>
  <c r="C4" i="4" a="1"/>
  <c r="C5" i="32" a="1"/>
  <c r="C6" i="26" a="1"/>
  <c r="C18" i="20" a="1"/>
  <c r="C11" i="27" a="1"/>
  <c r="C12" i="26" a="1"/>
  <c r="C11" i="28" a="1"/>
  <c r="C11" i="31" a="1"/>
  <c r="C15" i="20" a="1"/>
  <c r="C14" i="33" a="1"/>
  <c r="C4" i="33" a="1"/>
  <c r="C8" i="26" a="1"/>
  <c r="C18" i="2" a="1"/>
  <c r="C15" i="2" a="1"/>
  <c r="C17" i="27" a="1"/>
  <c r="C18" i="31" a="1"/>
  <c r="C13" i="32" a="1"/>
  <c r="C13" i="28" a="1"/>
  <c r="C15" i="31" a="1"/>
  <c r="C7" i="2" a="1"/>
  <c r="C19" i="27" a="1"/>
  <c r="C24" i="33" a="1"/>
  <c r="C6" i="2" a="1"/>
  <c r="C27" i="33" a="1"/>
  <c r="C10" i="28" a="1"/>
  <c r="C27" i="19" a="1"/>
  <c r="C9" i="19" a="1"/>
  <c r="C7" i="27" a="1"/>
  <c r="C7" i="19" a="1"/>
  <c r="C26" i="31" a="1"/>
  <c r="C4" i="27" a="1"/>
  <c r="C26" i="26" a="1"/>
  <c r="C15" i="19" a="1"/>
  <c r="C14" i="26" a="1"/>
  <c r="C11" i="26" a="1"/>
  <c r="C13" i="4" a="1"/>
  <c r="C17" i="20" a="1"/>
  <c r="C27" i="28" a="1"/>
  <c r="C11" i="33" a="1"/>
  <c r="C9" i="20" a="1"/>
  <c r="C9" i="26" a="1"/>
  <c r="C12" i="2" a="1"/>
  <c r="C14" i="32" a="1"/>
  <c r="C27" i="27" a="1"/>
  <c r="C10" i="31" a="1"/>
  <c r="C8" i="27" a="1"/>
  <c r="C12" i="33" a="1"/>
  <c r="C16" i="20" a="1"/>
  <c r="C13" i="26" a="1"/>
  <c r="C7" i="26" a="1"/>
  <c r="C9" i="32" a="1"/>
  <c r="C4" i="21" a="1"/>
  <c r="C5" i="2" a="1"/>
  <c r="C9" i="27" a="1"/>
  <c r="C4" i="28" a="1"/>
  <c r="C26" i="33" a="1"/>
  <c r="C8" i="20" a="1"/>
  <c r="C25" i="26" a="1"/>
  <c r="C16" i="31" a="1"/>
  <c r="C10" i="26" a="1"/>
  <c r="C7" i="32" a="1"/>
  <c r="C17" i="19" a="1"/>
  <c r="C24" i="31" a="1"/>
  <c r="C18" i="27" a="1"/>
  <c r="C10" i="4" a="1"/>
  <c r="C8" i="32" a="1"/>
  <c r="C5" i="27" a="1"/>
  <c r="C10" i="19" a="1"/>
  <c r="C10" i="32" a="1"/>
  <c r="C8" i="4" a="1"/>
  <c r="C17" i="4" a="1"/>
  <c r="C13" i="33" a="1"/>
  <c r="C25" i="31" a="1"/>
  <c r="C18" i="28" a="1"/>
  <c r="C4" i="2" a="1"/>
  <c r="C18" i="4" a="1"/>
  <c r="C17" i="2" a="1"/>
  <c r="C7" i="4" a="1"/>
  <c r="C13" i="31" a="1"/>
  <c r="C9" i="33" a="1"/>
  <c r="C17" i="33" a="1"/>
  <c r="C14" i="28" a="1"/>
  <c r="C16" i="27" a="1"/>
  <c r="C26" i="28" a="1"/>
  <c r="C11" i="20" a="1"/>
  <c r="C15" i="4" a="1"/>
  <c r="C6" i="4" a="1"/>
  <c r="C13" i="19" a="1"/>
  <c r="C10" i="33" a="1"/>
  <c r="C6" i="27" a="1"/>
  <c r="C25" i="28" a="1"/>
  <c r="C13" i="20" a="1"/>
  <c r="C7" i="31" a="1"/>
  <c r="C8" i="19" a="1"/>
  <c r="C9" i="2" a="1"/>
  <c r="C12" i="19" a="1"/>
  <c r="C19" i="2" a="1"/>
  <c r="C16" i="26" a="1"/>
  <c r="C19" i="31" a="1"/>
  <c r="C6" i="19" a="1"/>
  <c r="C16" i="28" a="1"/>
  <c r="C10" i="20" a="1"/>
  <c r="C25" i="19" a="1"/>
  <c r="C14" i="4" a="1"/>
  <c r="C6" i="31" a="1"/>
  <c r="C16" i="19" a="1"/>
  <c r="C12" i="32" a="1"/>
  <c r="C8" i="33" a="1"/>
  <c r="C18" i="33" a="1"/>
  <c r="C13" i="2" a="1"/>
  <c r="C4" i="32" a="1"/>
  <c r="C12" i="31" a="1"/>
  <c r="C9" i="31" a="1"/>
  <c r="C5" i="19" a="1"/>
  <c r="C16" i="3" a="1"/>
  <c r="C5" i="26" a="1"/>
  <c r="C5" i="28" a="1"/>
  <c r="C8" i="2" a="1"/>
  <c r="C12" i="28" a="1"/>
  <c r="C13" i="27" a="1"/>
  <c r="C11" i="2" a="1"/>
  <c r="C4" i="31" a="1"/>
  <c r="C24" i="27" a="1"/>
  <c r="C11" i="4" a="1"/>
  <c r="C5" i="4" a="1"/>
  <c r="C5" i="20" a="1"/>
  <c r="C27" i="26" a="1"/>
  <c r="C12" i="4" a="1"/>
  <c r="C16" i="33" a="1"/>
  <c r="C14" i="27" a="1"/>
  <c r="C14" i="19" a="1"/>
  <c r="C15" i="28" a="1"/>
  <c r="C12" i="27" a="1"/>
  <c r="C24" i="28" a="1"/>
  <c r="C11" i="32" a="1"/>
  <c r="C6" i="32" a="1"/>
  <c r="C16" i="2" a="1"/>
  <c r="C19" i="20" a="1"/>
  <c r="C5" i="31" a="1"/>
  <c r="C7" i="33" a="1"/>
  <c r="C4" i="20" a="1"/>
  <c r="C26" i="27" a="1"/>
  <c r="C15" i="27" a="1"/>
  <c r="C10" i="2" a="1"/>
  <c r="C4" i="19" a="1"/>
  <c r="C9" i="28" a="1"/>
  <c r="C8" i="31" a="1"/>
  <c r="C14" i="20" a="1"/>
  <c r="C18" i="26" a="1"/>
  <c r="C8" i="28" a="1"/>
  <c r="E5" i="74" l="1"/>
  <c r="E6" i="74"/>
  <c r="E7" i="74"/>
  <c r="E8" i="74"/>
  <c r="E9" i="74"/>
  <c r="E8" i="75"/>
  <c r="E5" i="75"/>
  <c r="E9" i="75"/>
  <c r="E6" i="75"/>
  <c r="E7" i="75"/>
  <c r="E11" i="72"/>
  <c r="E12" i="72"/>
  <c r="E10" i="72"/>
  <c r="E7" i="72"/>
  <c r="E8" i="72"/>
  <c r="E5" i="72"/>
  <c r="E9" i="72"/>
  <c r="E13" i="72"/>
  <c r="E8" i="80"/>
  <c r="E8" i="73"/>
  <c r="E8" i="76"/>
  <c r="E8" i="78"/>
  <c r="E8" i="69"/>
  <c r="H8" i="5"/>
  <c r="E8" i="70"/>
  <c r="E16" i="72"/>
  <c r="E15" i="74"/>
  <c r="E15" i="75"/>
  <c r="E14" i="72"/>
  <c r="E22" i="1"/>
  <c r="F22" i="1" s="1"/>
  <c r="H22" i="29"/>
  <c r="I22" i="29" s="1"/>
  <c r="H23" i="1"/>
  <c r="I23" i="1" s="1"/>
  <c r="H22" i="30"/>
  <c r="I22" i="30" s="1"/>
  <c r="E23" i="18"/>
  <c r="F23" i="18" s="1"/>
  <c r="H23" i="30"/>
  <c r="I23" i="30" s="1"/>
  <c r="E22" i="18"/>
  <c r="F22" i="18" s="1"/>
  <c r="H21" i="18"/>
  <c r="I21" i="18" s="1"/>
  <c r="E21" i="1"/>
  <c r="F21" i="1" s="1"/>
  <c r="H21" i="29"/>
  <c r="I21" i="29" s="1"/>
  <c r="H23" i="29"/>
  <c r="I23" i="29" s="1"/>
  <c r="H21" i="30"/>
  <c r="I21" i="30" s="1"/>
  <c r="D5" i="30"/>
  <c r="G5" i="30"/>
  <c r="D24" i="30"/>
  <c r="G24" i="30"/>
  <c r="D7" i="30"/>
  <c r="G7" i="30"/>
  <c r="D14" i="30"/>
  <c r="G14" i="30"/>
  <c r="D12" i="30"/>
  <c r="G12" i="30"/>
  <c r="D11" i="30"/>
  <c r="G11" i="30"/>
  <c r="D13" i="30"/>
  <c r="G13" i="30"/>
  <c r="D9" i="30"/>
  <c r="G9" i="30"/>
  <c r="D27" i="30"/>
  <c r="G27" i="30"/>
  <c r="D8" i="30"/>
  <c r="G8" i="30"/>
  <c r="D10" i="30"/>
  <c r="G10" i="30"/>
  <c r="D4" i="30"/>
  <c r="G4" i="30"/>
  <c r="D6" i="30"/>
  <c r="G6" i="30"/>
  <c r="D15" i="30"/>
  <c r="G15" i="30"/>
  <c r="D25" i="29"/>
  <c r="G25" i="29"/>
  <c r="D4" i="29"/>
  <c r="G4" i="29"/>
  <c r="D13" i="29"/>
  <c r="G13" i="29"/>
  <c r="D26" i="29"/>
  <c r="G26" i="29"/>
  <c r="D7" i="29"/>
  <c r="G7" i="29"/>
  <c r="D5" i="29"/>
  <c r="G5" i="29"/>
  <c r="D11" i="29"/>
  <c r="G11" i="29"/>
  <c r="D27" i="29"/>
  <c r="G27" i="29"/>
  <c r="D9" i="29"/>
  <c r="G9" i="29"/>
  <c r="D16" i="29"/>
  <c r="G16" i="29"/>
  <c r="D8" i="29"/>
  <c r="G8" i="29"/>
  <c r="D15" i="29"/>
  <c r="G15" i="29"/>
  <c r="D17" i="29"/>
  <c r="G17" i="29"/>
  <c r="D10" i="29"/>
  <c r="G10" i="29"/>
  <c r="D12" i="29"/>
  <c r="G12" i="29"/>
  <c r="D6" i="29"/>
  <c r="G6" i="29"/>
  <c r="D18" i="29"/>
  <c r="G18" i="29"/>
  <c r="D24" i="29"/>
  <c r="G24" i="29"/>
  <c r="D14" i="29"/>
  <c r="G14" i="29"/>
  <c r="D19" i="29"/>
  <c r="G19" i="29"/>
  <c r="D7" i="18"/>
  <c r="G7" i="18"/>
  <c r="D5" i="18"/>
  <c r="G5" i="18"/>
  <c r="D4" i="18"/>
  <c r="G4" i="18"/>
  <c r="D10" i="18"/>
  <c r="G10" i="18"/>
  <c r="D8" i="18"/>
  <c r="G8" i="18"/>
  <c r="D16" i="18"/>
  <c r="G16" i="18"/>
  <c r="D14" i="18"/>
  <c r="G14" i="18"/>
  <c r="D27" i="18"/>
  <c r="G27" i="18"/>
  <c r="D15" i="18"/>
  <c r="G15" i="18"/>
  <c r="D24" i="18"/>
  <c r="G24" i="18"/>
  <c r="D9" i="18"/>
  <c r="G9" i="18"/>
  <c r="C4" i="33"/>
  <c r="C8" i="33"/>
  <c r="C12" i="33"/>
  <c r="C16" i="33"/>
  <c r="C24" i="33"/>
  <c r="C17" i="33"/>
  <c r="C25" i="33"/>
  <c r="C5" i="33"/>
  <c r="C9" i="33"/>
  <c r="C13" i="33"/>
  <c r="C6" i="33"/>
  <c r="C10" i="33"/>
  <c r="C14" i="33"/>
  <c r="C18" i="33"/>
  <c r="C26" i="33"/>
  <c r="C7" i="33"/>
  <c r="C11" i="33"/>
  <c r="C15" i="33"/>
  <c r="C19" i="33"/>
  <c r="C27" i="33"/>
  <c r="C17" i="3"/>
  <c r="C16" i="3"/>
  <c r="C6" i="31"/>
  <c r="C10" i="31"/>
  <c r="C14" i="31"/>
  <c r="C18" i="31"/>
  <c r="C26" i="31"/>
  <c r="C11" i="31"/>
  <c r="C15" i="31"/>
  <c r="C27" i="31"/>
  <c r="C7" i="31"/>
  <c r="C19" i="31"/>
  <c r="C4" i="31"/>
  <c r="C8" i="31"/>
  <c r="C12" i="31"/>
  <c r="C16" i="31"/>
  <c r="C24" i="31"/>
  <c r="C5" i="31"/>
  <c r="C9" i="31"/>
  <c r="C13" i="31"/>
  <c r="C17" i="31"/>
  <c r="C25" i="31"/>
  <c r="C5" i="20"/>
  <c r="C9" i="20"/>
  <c r="C13" i="20"/>
  <c r="C17" i="20"/>
  <c r="C6" i="20"/>
  <c r="C18" i="20"/>
  <c r="C14" i="20"/>
  <c r="C19" i="20"/>
  <c r="C10" i="20"/>
  <c r="C7" i="20"/>
  <c r="C11" i="20"/>
  <c r="C15" i="20"/>
  <c r="C4" i="20"/>
  <c r="C8" i="20"/>
  <c r="C12" i="20"/>
  <c r="C16" i="20"/>
  <c r="C6" i="2"/>
  <c r="C10" i="2"/>
  <c r="C14" i="2"/>
  <c r="C18" i="2"/>
  <c r="C7" i="2"/>
  <c r="C19" i="2"/>
  <c r="C15" i="2"/>
  <c r="D27" i="1"/>
  <c r="G27" i="1"/>
  <c r="C11" i="2"/>
  <c r="C9" i="2"/>
  <c r="C17" i="2"/>
  <c r="G17" i="1"/>
  <c r="D17" i="1"/>
  <c r="C4" i="2"/>
  <c r="D24" i="1"/>
  <c r="G24" i="1"/>
  <c r="D16" i="1"/>
  <c r="G16" i="1"/>
  <c r="C16" i="2"/>
  <c r="C12" i="2"/>
  <c r="C5" i="2"/>
  <c r="C13" i="2"/>
  <c r="C8" i="2"/>
  <c r="C4" i="21"/>
  <c r="C5" i="21"/>
  <c r="C7" i="26"/>
  <c r="C11" i="26"/>
  <c r="C15" i="26"/>
  <c r="C19" i="26"/>
  <c r="C27" i="26"/>
  <c r="C24" i="26"/>
  <c r="C4" i="26"/>
  <c r="C12" i="26"/>
  <c r="C8" i="26"/>
  <c r="C16" i="26"/>
  <c r="C5" i="26"/>
  <c r="C9" i="26"/>
  <c r="C13" i="26"/>
  <c r="G21" i="34"/>
  <c r="C17" i="26"/>
  <c r="D21" i="34"/>
  <c r="C25" i="26"/>
  <c r="C6" i="26"/>
  <c r="C10" i="26"/>
  <c r="C14" i="26"/>
  <c r="C18" i="26"/>
  <c r="C26" i="26"/>
  <c r="C4" i="27"/>
  <c r="C8" i="27"/>
  <c r="C12" i="27"/>
  <c r="C16" i="27"/>
  <c r="C24" i="27"/>
  <c r="C5" i="27"/>
  <c r="C13" i="27"/>
  <c r="C17" i="27"/>
  <c r="C9" i="27"/>
  <c r="C25" i="27"/>
  <c r="C6" i="27"/>
  <c r="C10" i="27"/>
  <c r="C14" i="27"/>
  <c r="C18" i="27"/>
  <c r="C26" i="27"/>
  <c r="C7" i="27"/>
  <c r="C11" i="27"/>
  <c r="C15" i="27"/>
  <c r="C19" i="27"/>
  <c r="C27" i="27"/>
  <c r="C7" i="4"/>
  <c r="C11" i="4"/>
  <c r="C15" i="4"/>
  <c r="C19" i="4"/>
  <c r="C8" i="4"/>
  <c r="C13" i="4"/>
  <c r="C4" i="4"/>
  <c r="C16" i="4"/>
  <c r="C9" i="4"/>
  <c r="C12" i="4"/>
  <c r="C17" i="4"/>
  <c r="C5" i="4"/>
  <c r="C6" i="4"/>
  <c r="C10" i="4"/>
  <c r="C14" i="4"/>
  <c r="C18" i="4"/>
  <c r="C7" i="32"/>
  <c r="C11" i="32"/>
  <c r="C15" i="32"/>
  <c r="C4" i="32"/>
  <c r="C12" i="32"/>
  <c r="C8" i="32"/>
  <c r="C5" i="32"/>
  <c r="C9" i="32"/>
  <c r="C13" i="32"/>
  <c r="C6" i="32"/>
  <c r="C10" i="32"/>
  <c r="C14" i="32"/>
  <c r="C6" i="19"/>
  <c r="C10" i="19"/>
  <c r="C14" i="19"/>
  <c r="C18" i="19"/>
  <c r="C26" i="19"/>
  <c r="C12" i="19"/>
  <c r="C11" i="19"/>
  <c r="C19" i="19"/>
  <c r="C27" i="19"/>
  <c r="C27" i="18" s="1"/>
  <c r="C16" i="19"/>
  <c r="C7" i="19"/>
  <c r="C15" i="19"/>
  <c r="C4" i="19"/>
  <c r="C8" i="19"/>
  <c r="C24" i="19"/>
  <c r="C24" i="18" s="1"/>
  <c r="C5" i="19"/>
  <c r="C9" i="19"/>
  <c r="C13" i="19"/>
  <c r="C17" i="19"/>
  <c r="C25" i="19"/>
  <c r="C5" i="28"/>
  <c r="C9" i="28"/>
  <c r="C13" i="28"/>
  <c r="C17" i="28"/>
  <c r="C25" i="28"/>
  <c r="C10" i="28"/>
  <c r="C18" i="28"/>
  <c r="C6" i="28"/>
  <c r="C14" i="28"/>
  <c r="C26" i="28"/>
  <c r="C7" i="28"/>
  <c r="C11" i="28"/>
  <c r="C15" i="28"/>
  <c r="C19" i="28"/>
  <c r="C27" i="28"/>
  <c r="C4" i="28"/>
  <c r="C8" i="28"/>
  <c r="C12" i="28"/>
  <c r="C16" i="28"/>
  <c r="C24" i="28"/>
  <c r="E6" i="70"/>
  <c r="E6" i="71"/>
  <c r="E6" i="72"/>
  <c r="E6" i="80"/>
  <c r="E6" i="73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80"/>
  <c r="H17" i="80" s="1"/>
  <c r="D17" i="80"/>
  <c r="E17" i="80" s="1"/>
  <c r="G17" i="78"/>
  <c r="H17" i="78" s="1"/>
  <c r="D17" i="78"/>
  <c r="E17" i="78" s="1"/>
  <c r="G17" i="77"/>
  <c r="H17" i="77" s="1"/>
  <c r="D17" i="77"/>
  <c r="E17" i="77" s="1"/>
  <c r="G17" i="76"/>
  <c r="H17" i="76" s="1"/>
  <c r="D17" i="76"/>
  <c r="E17" i="76" s="1"/>
  <c r="G17" i="75"/>
  <c r="H17" i="75" s="1"/>
  <c r="D17" i="75"/>
  <c r="E17" i="75" s="1"/>
  <c r="G17" i="74"/>
  <c r="H17" i="74" s="1"/>
  <c r="D17" i="74"/>
  <c r="E17" i="74" s="1"/>
  <c r="G17" i="73"/>
  <c r="H17" i="73" s="1"/>
  <c r="D17" i="73"/>
  <c r="E17" i="73" s="1"/>
  <c r="G17" i="72"/>
  <c r="H17" i="72" s="1"/>
  <c r="D17" i="72"/>
  <c r="E17" i="72" s="1"/>
  <c r="G17" i="71"/>
  <c r="H17" i="71" s="1"/>
  <c r="D17" i="71"/>
  <c r="E17" i="71" s="1"/>
  <c r="G17" i="70"/>
  <c r="H17" i="70" s="1"/>
  <c r="D17" i="70"/>
  <c r="E17" i="70" s="1"/>
  <c r="G17" i="69"/>
  <c r="H17" i="69" s="1"/>
  <c r="D17" i="69"/>
  <c r="E17" i="69" s="1"/>
  <c r="G17" i="5"/>
  <c r="H17" i="5" s="1"/>
  <c r="D17" i="5"/>
  <c r="E17" i="5" s="1"/>
  <c r="B3" i="2" a="1"/>
  <c r="B3" i="2" s="1"/>
  <c r="C26" i="2" a="1"/>
  <c r="C13" i="21" a="1"/>
  <c r="C8" i="3" a="1"/>
  <c r="C3" i="32" a="1"/>
  <c r="C11" i="21" a="1"/>
  <c r="C12" i="3" a="1"/>
  <c r="C20" i="19" a="1"/>
  <c r="C18" i="21" a="1"/>
  <c r="C26" i="3" a="1"/>
  <c r="C3" i="19" a="1"/>
  <c r="C25" i="4" a="1"/>
  <c r="C3" i="28" a="1"/>
  <c r="C3" i="3" a="1"/>
  <c r="C20" i="2" a="1"/>
  <c r="C25" i="20" a="1"/>
  <c r="C16" i="32" a="1"/>
  <c r="C20" i="31" a="1"/>
  <c r="C13" i="3" a="1"/>
  <c r="C20" i="4" a="1"/>
  <c r="C5" i="3" a="1"/>
  <c r="C17" i="32" a="1"/>
  <c r="C25" i="21" a="1"/>
  <c r="C20" i="26" a="1"/>
  <c r="C3" i="20" a="1"/>
  <c r="C17" i="21" a="1"/>
  <c r="C6" i="21" a="1"/>
  <c r="C3" i="4" a="1"/>
  <c r="C15" i="3" a="1"/>
  <c r="C20" i="33" a="1"/>
  <c r="C26" i="21" a="1"/>
  <c r="C20" i="20" a="1"/>
  <c r="C20" i="32" a="1"/>
  <c r="C14" i="3" a="1"/>
  <c r="C18" i="32" a="1"/>
  <c r="C9" i="3" a="1"/>
  <c r="C11" i="3" a="1"/>
  <c r="C18" i="3" a="1"/>
  <c r="C7" i="3" a="1"/>
  <c r="C26" i="32" a="1"/>
  <c r="C20" i="21" a="1"/>
  <c r="C25" i="3" a="1"/>
  <c r="C3" i="21" a="1"/>
  <c r="C25" i="2" a="1"/>
  <c r="C6" i="3" a="1"/>
  <c r="C19" i="32" a="1"/>
  <c r="C25" i="32" a="1"/>
  <c r="C3" i="2" a="1"/>
  <c r="C3" i="31" a="1"/>
  <c r="C12" i="21" a="1"/>
  <c r="C26" i="4" a="1"/>
  <c r="C19" i="3" a="1"/>
  <c r="C19" i="21" a="1"/>
  <c r="C3" i="26" a="1"/>
  <c r="C26" i="20" a="1"/>
  <c r="C4" i="3" a="1"/>
  <c r="C10" i="3" a="1"/>
  <c r="C20" i="27" a="1"/>
  <c r="C20" i="3" a="1"/>
  <c r="C3" i="27" a="1"/>
  <c r="C20" i="28" a="1"/>
  <c r="C3" i="33" a="1"/>
  <c r="C26" i="20" l="1"/>
  <c r="C26" i="21"/>
  <c r="G26" i="18"/>
  <c r="D26" i="18"/>
  <c r="C26" i="4"/>
  <c r="C26" i="3"/>
  <c r="C26" i="2"/>
  <c r="G26" i="1"/>
  <c r="D26" i="1"/>
  <c r="C25" i="4"/>
  <c r="C25" i="20"/>
  <c r="C25" i="2"/>
  <c r="G25" i="1"/>
  <c r="D25" i="1"/>
  <c r="C25" i="3"/>
  <c r="C25" i="21"/>
  <c r="D25" i="18"/>
  <c r="G25" i="18"/>
  <c r="C20" i="20"/>
  <c r="C20" i="4"/>
  <c r="C20" i="19"/>
  <c r="D20" i="1"/>
  <c r="G20" i="1"/>
  <c r="C20" i="2"/>
  <c r="D20" i="18"/>
  <c r="C20" i="21"/>
  <c r="G20" i="18"/>
  <c r="C20" i="27"/>
  <c r="C20" i="28"/>
  <c r="C20" i="3"/>
  <c r="D20" i="29"/>
  <c r="C20" i="26"/>
  <c r="G20" i="29"/>
  <c r="C19" i="3"/>
  <c r="C19" i="1" s="1"/>
  <c r="D19" i="1"/>
  <c r="G19" i="1"/>
  <c r="C19" i="21"/>
  <c r="C19" i="18" s="1"/>
  <c r="D19" i="18"/>
  <c r="G19" i="18"/>
  <c r="C18" i="3"/>
  <c r="C18" i="1" s="1"/>
  <c r="D18" i="1"/>
  <c r="G18" i="1"/>
  <c r="C18" i="21"/>
  <c r="C18" i="18" s="1"/>
  <c r="D18" i="18"/>
  <c r="G18" i="18"/>
  <c r="C17" i="21"/>
  <c r="C17" i="18" s="1"/>
  <c r="D17" i="18"/>
  <c r="G17" i="18"/>
  <c r="C13" i="21"/>
  <c r="C13" i="18" s="1"/>
  <c r="G13" i="18"/>
  <c r="D13" i="18"/>
  <c r="C12" i="21"/>
  <c r="C12" i="18" s="1"/>
  <c r="D12" i="18"/>
  <c r="G12" i="18"/>
  <c r="C11" i="21"/>
  <c r="C11" i="18" s="1"/>
  <c r="G11" i="18"/>
  <c r="D11" i="18"/>
  <c r="C6" i="21"/>
  <c r="C6" i="18" s="1"/>
  <c r="D6" i="18"/>
  <c r="G6" i="18"/>
  <c r="C20" i="33"/>
  <c r="C26" i="32"/>
  <c r="C26" i="30" s="1"/>
  <c r="D26" i="30"/>
  <c r="G26" i="30"/>
  <c r="C25" i="32"/>
  <c r="C25" i="30" s="1"/>
  <c r="D25" i="30"/>
  <c r="G25" i="30"/>
  <c r="C20" i="31"/>
  <c r="C24" i="30"/>
  <c r="E24" i="30" s="1"/>
  <c r="F24" i="30" s="1"/>
  <c r="C27" i="30"/>
  <c r="E27" i="30" s="1"/>
  <c r="F27" i="30" s="1"/>
  <c r="C13" i="30"/>
  <c r="C9" i="30"/>
  <c r="C5" i="30"/>
  <c r="C12" i="30"/>
  <c r="C8" i="30"/>
  <c r="C4" i="30"/>
  <c r="C7" i="30"/>
  <c r="C15" i="30"/>
  <c r="C11" i="30"/>
  <c r="C14" i="30"/>
  <c r="C10" i="30"/>
  <c r="C6" i="30"/>
  <c r="D20" i="30"/>
  <c r="G20" i="30"/>
  <c r="D19" i="30"/>
  <c r="G19" i="30"/>
  <c r="D18" i="30"/>
  <c r="G18" i="30"/>
  <c r="D17" i="30"/>
  <c r="G17" i="30"/>
  <c r="D16" i="30"/>
  <c r="D16" i="34" s="1"/>
  <c r="G16" i="30"/>
  <c r="G16" i="34" s="1"/>
  <c r="C26" i="29"/>
  <c r="C18" i="29"/>
  <c r="C14" i="29"/>
  <c r="C10" i="29"/>
  <c r="C6" i="29"/>
  <c r="C25" i="29"/>
  <c r="C17" i="29"/>
  <c r="C13" i="29"/>
  <c r="C9" i="29"/>
  <c r="C5" i="29"/>
  <c r="C16" i="29"/>
  <c r="C8" i="29"/>
  <c r="C12" i="29"/>
  <c r="C4" i="29"/>
  <c r="C24" i="29"/>
  <c r="C27" i="29"/>
  <c r="C19" i="29"/>
  <c r="C15" i="29"/>
  <c r="C11" i="29"/>
  <c r="C7" i="29"/>
  <c r="E24" i="18"/>
  <c r="F24" i="18" s="1"/>
  <c r="H24" i="18"/>
  <c r="I24" i="18" s="1"/>
  <c r="E27" i="18"/>
  <c r="F27" i="18" s="1"/>
  <c r="H27" i="18"/>
  <c r="I27" i="18" s="1"/>
  <c r="C5" i="18"/>
  <c r="C4" i="18"/>
  <c r="C16" i="18"/>
  <c r="C8" i="18"/>
  <c r="C15" i="18"/>
  <c r="C7" i="18"/>
  <c r="C10" i="18"/>
  <c r="C14" i="18"/>
  <c r="C9" i="18"/>
  <c r="D23" i="34"/>
  <c r="G23" i="34"/>
  <c r="G22" i="34"/>
  <c r="D22" i="34"/>
  <c r="G24" i="34"/>
  <c r="D24" i="34"/>
  <c r="G27" i="34"/>
  <c r="D27" i="34"/>
  <c r="C20" i="32"/>
  <c r="C19" i="32"/>
  <c r="C19" i="30" s="1"/>
  <c r="C18" i="32"/>
  <c r="C18" i="30" s="1"/>
  <c r="C17" i="32"/>
  <c r="C17" i="30" s="1"/>
  <c r="C16" i="32"/>
  <c r="C16" i="30" s="1"/>
  <c r="C16" i="1"/>
  <c r="C24" i="1"/>
  <c r="C17" i="1"/>
  <c r="C27" i="1"/>
  <c r="C3" i="27"/>
  <c r="C3" i="2"/>
  <c r="C3" i="28"/>
  <c r="C3" i="31"/>
  <c r="C3" i="32"/>
  <c r="C3" i="4"/>
  <c r="C3" i="21"/>
  <c r="C3" i="33"/>
  <c r="C3" i="20"/>
  <c r="C3" i="26"/>
  <c r="C3" i="19"/>
  <c r="C15" i="3"/>
  <c r="C14" i="3"/>
  <c r="C13" i="3"/>
  <c r="G15" i="1"/>
  <c r="G15" i="34" s="1"/>
  <c r="D15" i="1"/>
  <c r="D15" i="34" s="1"/>
  <c r="G14" i="1"/>
  <c r="G14" i="34" s="1"/>
  <c r="D14" i="1"/>
  <c r="D14" i="34" s="1"/>
  <c r="D13" i="1"/>
  <c r="G13" i="1"/>
  <c r="D12" i="1"/>
  <c r="G12" i="1"/>
  <c r="C11" i="3"/>
  <c r="C4" i="3"/>
  <c r="C12" i="3"/>
  <c r="C5" i="3"/>
  <c r="C6" i="3"/>
  <c r="C7" i="3"/>
  <c r="C8" i="3"/>
  <c r="C9" i="3"/>
  <c r="C10" i="3"/>
  <c r="D3" i="18"/>
  <c r="G3" i="18"/>
  <c r="D3" i="29"/>
  <c r="G3" i="29"/>
  <c r="D3" i="30"/>
  <c r="G3" i="30"/>
  <c r="G3" i="1"/>
  <c r="D11" i="1"/>
  <c r="G11" i="1"/>
  <c r="D10" i="1"/>
  <c r="D10" i="34" s="1"/>
  <c r="G10" i="1"/>
  <c r="G10" i="34" s="1"/>
  <c r="D9" i="1"/>
  <c r="D9" i="34" s="1"/>
  <c r="G9" i="1"/>
  <c r="G9" i="34" s="1"/>
  <c r="D8" i="1"/>
  <c r="D8" i="34" s="1"/>
  <c r="G8" i="1"/>
  <c r="G8" i="34" s="1"/>
  <c r="D7" i="1"/>
  <c r="D7" i="34" s="1"/>
  <c r="G7" i="1"/>
  <c r="G7" i="34" s="1"/>
  <c r="D6" i="1"/>
  <c r="G6" i="1"/>
  <c r="D5" i="1"/>
  <c r="D5" i="34" s="1"/>
  <c r="G5" i="1"/>
  <c r="G5" i="34" s="1"/>
  <c r="D4" i="1"/>
  <c r="D4" i="34" s="1"/>
  <c r="G4" i="1"/>
  <c r="G4" i="34" s="1"/>
  <c r="D3" i="1"/>
  <c r="G28" i="33"/>
  <c r="D28" i="33"/>
  <c r="G28" i="32"/>
  <c r="D28" i="32"/>
  <c r="G28" i="31"/>
  <c r="D28" i="31"/>
  <c r="G28" i="28"/>
  <c r="D28" i="28"/>
  <c r="G28" i="27"/>
  <c r="D28" i="27"/>
  <c r="G28" i="26"/>
  <c r="D28" i="26"/>
  <c r="G28" i="19"/>
  <c r="D28" i="19"/>
  <c r="G28" i="20"/>
  <c r="D28" i="20"/>
  <c r="G28" i="21"/>
  <c r="D28" i="21"/>
  <c r="G28" i="4"/>
  <c r="D28" i="4"/>
  <c r="G28" i="3"/>
  <c r="D28" i="3"/>
  <c r="C3" i="3"/>
  <c r="D26" i="34" l="1"/>
  <c r="C26" i="1"/>
  <c r="E26" i="1" s="1"/>
  <c r="F26" i="1" s="1"/>
  <c r="C26" i="18"/>
  <c r="E26" i="18" s="1"/>
  <c r="F26" i="18" s="1"/>
  <c r="G26" i="34"/>
  <c r="C25" i="18"/>
  <c r="E25" i="18" s="1"/>
  <c r="F25" i="18" s="1"/>
  <c r="C25" i="1"/>
  <c r="H25" i="1" s="1"/>
  <c r="I25" i="1" s="1"/>
  <c r="G25" i="34"/>
  <c r="D25" i="34"/>
  <c r="C20" i="18"/>
  <c r="E20" i="18" s="1"/>
  <c r="F20" i="18" s="1"/>
  <c r="C20" i="29"/>
  <c r="H20" i="29" s="1"/>
  <c r="I20" i="29" s="1"/>
  <c r="C20" i="1"/>
  <c r="H20" i="1" s="1"/>
  <c r="I20" i="1" s="1"/>
  <c r="D19" i="34"/>
  <c r="G20" i="34"/>
  <c r="D20" i="34"/>
  <c r="D18" i="34"/>
  <c r="G19" i="34"/>
  <c r="G17" i="34"/>
  <c r="D17" i="34"/>
  <c r="G18" i="34"/>
  <c r="G12" i="34"/>
  <c r="D12" i="34"/>
  <c r="G11" i="34"/>
  <c r="D11" i="34"/>
  <c r="G6" i="34"/>
  <c r="D6" i="34"/>
  <c r="H26" i="30"/>
  <c r="I26" i="30" s="1"/>
  <c r="E25" i="30"/>
  <c r="F25" i="30" s="1"/>
  <c r="C20" i="30"/>
  <c r="E20" i="30" s="1"/>
  <c r="F20" i="30" s="1"/>
  <c r="H27" i="30"/>
  <c r="I27" i="30" s="1"/>
  <c r="E26" i="30"/>
  <c r="F26" i="30" s="1"/>
  <c r="H24" i="30"/>
  <c r="I24" i="30" s="1"/>
  <c r="H25" i="30"/>
  <c r="I25" i="30" s="1"/>
  <c r="C17" i="34"/>
  <c r="E16" i="30"/>
  <c r="F16" i="30" s="1"/>
  <c r="H16" i="30"/>
  <c r="I16" i="30" s="1"/>
  <c r="E17" i="30"/>
  <c r="F17" i="30" s="1"/>
  <c r="H17" i="30"/>
  <c r="I17" i="30" s="1"/>
  <c r="E18" i="30"/>
  <c r="F18" i="30" s="1"/>
  <c r="H18" i="30"/>
  <c r="I18" i="30" s="1"/>
  <c r="E19" i="30"/>
  <c r="F19" i="30" s="1"/>
  <c r="H19" i="30"/>
  <c r="I19" i="30" s="1"/>
  <c r="E6" i="30"/>
  <c r="F6" i="30" s="1"/>
  <c r="H6" i="30"/>
  <c r="I6" i="30" s="1"/>
  <c r="E10" i="30"/>
  <c r="F10" i="30" s="1"/>
  <c r="H10" i="30"/>
  <c r="I10" i="30" s="1"/>
  <c r="E14" i="30"/>
  <c r="F14" i="30" s="1"/>
  <c r="H14" i="30"/>
  <c r="I14" i="30" s="1"/>
  <c r="E11" i="30"/>
  <c r="F11" i="30" s="1"/>
  <c r="H11" i="30"/>
  <c r="I11" i="30" s="1"/>
  <c r="E15" i="30"/>
  <c r="F15" i="30" s="1"/>
  <c r="H15" i="30"/>
  <c r="I15" i="30" s="1"/>
  <c r="E7" i="30"/>
  <c r="F7" i="30" s="1"/>
  <c r="H7" i="30"/>
  <c r="I7" i="30" s="1"/>
  <c r="E4" i="30"/>
  <c r="F4" i="30" s="1"/>
  <c r="H4" i="30"/>
  <c r="I4" i="30" s="1"/>
  <c r="E8" i="30"/>
  <c r="F8" i="30" s="1"/>
  <c r="H8" i="30"/>
  <c r="I8" i="30" s="1"/>
  <c r="E12" i="30"/>
  <c r="F12" i="30" s="1"/>
  <c r="H12" i="30"/>
  <c r="I12" i="30" s="1"/>
  <c r="E5" i="30"/>
  <c r="F5" i="30" s="1"/>
  <c r="H5" i="30"/>
  <c r="I5" i="30" s="1"/>
  <c r="E9" i="30"/>
  <c r="F9" i="30" s="1"/>
  <c r="H9" i="30"/>
  <c r="I9" i="30" s="1"/>
  <c r="E13" i="30"/>
  <c r="F13" i="30" s="1"/>
  <c r="H13" i="30"/>
  <c r="I13" i="30" s="1"/>
  <c r="E7" i="29"/>
  <c r="F7" i="29" s="1"/>
  <c r="H7" i="29"/>
  <c r="I7" i="29" s="1"/>
  <c r="E11" i="29"/>
  <c r="F11" i="29" s="1"/>
  <c r="H11" i="29"/>
  <c r="I11" i="29" s="1"/>
  <c r="E15" i="29"/>
  <c r="F15" i="29" s="1"/>
  <c r="H15" i="29"/>
  <c r="I15" i="29" s="1"/>
  <c r="E19" i="29"/>
  <c r="F19" i="29" s="1"/>
  <c r="H19" i="29"/>
  <c r="I19" i="29" s="1"/>
  <c r="E27" i="29"/>
  <c r="F27" i="29" s="1"/>
  <c r="H27" i="29"/>
  <c r="I27" i="29" s="1"/>
  <c r="E24" i="29"/>
  <c r="F24" i="29" s="1"/>
  <c r="H24" i="29"/>
  <c r="I24" i="29" s="1"/>
  <c r="E4" i="29"/>
  <c r="F4" i="29" s="1"/>
  <c r="H4" i="29"/>
  <c r="I4" i="29" s="1"/>
  <c r="E12" i="29"/>
  <c r="F12" i="29" s="1"/>
  <c r="H12" i="29"/>
  <c r="I12" i="29" s="1"/>
  <c r="E8" i="29"/>
  <c r="F8" i="29" s="1"/>
  <c r="H8" i="29"/>
  <c r="I8" i="29" s="1"/>
  <c r="E16" i="29"/>
  <c r="F16" i="29" s="1"/>
  <c r="H16" i="29"/>
  <c r="I16" i="29" s="1"/>
  <c r="E5" i="29"/>
  <c r="F5" i="29" s="1"/>
  <c r="H5" i="29"/>
  <c r="I5" i="29" s="1"/>
  <c r="E9" i="29"/>
  <c r="F9" i="29" s="1"/>
  <c r="H9" i="29"/>
  <c r="I9" i="29" s="1"/>
  <c r="E13" i="29"/>
  <c r="F13" i="29" s="1"/>
  <c r="H13" i="29"/>
  <c r="I13" i="29" s="1"/>
  <c r="E17" i="29"/>
  <c r="F17" i="29" s="1"/>
  <c r="H17" i="29"/>
  <c r="I17" i="29" s="1"/>
  <c r="E25" i="29"/>
  <c r="F25" i="29" s="1"/>
  <c r="H25" i="29"/>
  <c r="I25" i="29" s="1"/>
  <c r="E6" i="29"/>
  <c r="F6" i="29" s="1"/>
  <c r="H6" i="29"/>
  <c r="I6" i="29" s="1"/>
  <c r="E10" i="29"/>
  <c r="F10" i="29" s="1"/>
  <c r="H10" i="29"/>
  <c r="I10" i="29" s="1"/>
  <c r="E14" i="29"/>
  <c r="F14" i="29" s="1"/>
  <c r="H14" i="29"/>
  <c r="I14" i="29" s="1"/>
  <c r="E18" i="29"/>
  <c r="F18" i="29" s="1"/>
  <c r="H18" i="29"/>
  <c r="I18" i="29" s="1"/>
  <c r="E26" i="29"/>
  <c r="F26" i="29" s="1"/>
  <c r="H26" i="29"/>
  <c r="I26" i="29" s="1"/>
  <c r="E9" i="18"/>
  <c r="F9" i="18" s="1"/>
  <c r="H9" i="18"/>
  <c r="I9" i="18" s="1"/>
  <c r="E13" i="18"/>
  <c r="F13" i="18" s="1"/>
  <c r="H13" i="18"/>
  <c r="I13" i="18" s="1"/>
  <c r="E17" i="18"/>
  <c r="F17" i="18" s="1"/>
  <c r="H17" i="18"/>
  <c r="I17" i="18" s="1"/>
  <c r="E6" i="18"/>
  <c r="F6" i="18" s="1"/>
  <c r="H6" i="18"/>
  <c r="I6" i="18" s="1"/>
  <c r="E18" i="18"/>
  <c r="F18" i="18" s="1"/>
  <c r="H18" i="18"/>
  <c r="I18" i="18" s="1"/>
  <c r="E14" i="18"/>
  <c r="F14" i="18" s="1"/>
  <c r="H14" i="18"/>
  <c r="I14" i="18" s="1"/>
  <c r="E19" i="18"/>
  <c r="F19" i="18" s="1"/>
  <c r="H19" i="18"/>
  <c r="I19" i="18" s="1"/>
  <c r="E10" i="18"/>
  <c r="F10" i="18" s="1"/>
  <c r="H10" i="18"/>
  <c r="I10" i="18" s="1"/>
  <c r="E7" i="18"/>
  <c r="F7" i="18" s="1"/>
  <c r="H7" i="18"/>
  <c r="I7" i="18" s="1"/>
  <c r="E11" i="18"/>
  <c r="F11" i="18" s="1"/>
  <c r="H11" i="18"/>
  <c r="I11" i="18" s="1"/>
  <c r="E15" i="18"/>
  <c r="F15" i="18" s="1"/>
  <c r="H15" i="18"/>
  <c r="I15" i="18" s="1"/>
  <c r="E8" i="18"/>
  <c r="F8" i="18" s="1"/>
  <c r="H8" i="18"/>
  <c r="I8" i="18" s="1"/>
  <c r="E12" i="18"/>
  <c r="F12" i="18" s="1"/>
  <c r="H12" i="18"/>
  <c r="I12" i="18" s="1"/>
  <c r="E16" i="18"/>
  <c r="F16" i="18" s="1"/>
  <c r="H16" i="18"/>
  <c r="I16" i="18" s="1"/>
  <c r="E4" i="18"/>
  <c r="F4" i="18" s="1"/>
  <c r="H4" i="18"/>
  <c r="I4" i="18" s="1"/>
  <c r="E5" i="18"/>
  <c r="F5" i="18" s="1"/>
  <c r="H5" i="18"/>
  <c r="I5" i="18" s="1"/>
  <c r="G13" i="34"/>
  <c r="D13" i="34"/>
  <c r="H18" i="1"/>
  <c r="I18" i="1" s="1"/>
  <c r="C18" i="34"/>
  <c r="E19" i="1"/>
  <c r="F19" i="1" s="1"/>
  <c r="H27" i="1"/>
  <c r="I27" i="1" s="1"/>
  <c r="C27" i="34"/>
  <c r="E24" i="1"/>
  <c r="F24" i="1" s="1"/>
  <c r="C24" i="34"/>
  <c r="H16" i="1"/>
  <c r="I16" i="1" s="1"/>
  <c r="C16" i="34"/>
  <c r="C22" i="34"/>
  <c r="C23" i="34"/>
  <c r="C21" i="34"/>
  <c r="H24" i="1"/>
  <c r="I24" i="1" s="1"/>
  <c r="H17" i="1"/>
  <c r="I17" i="1" s="1"/>
  <c r="E16" i="1"/>
  <c r="F16" i="1" s="1"/>
  <c r="E17" i="1"/>
  <c r="F17" i="1" s="1"/>
  <c r="E18" i="1"/>
  <c r="F18" i="1" s="1"/>
  <c r="H19" i="1"/>
  <c r="I19" i="1" s="1"/>
  <c r="E27" i="1"/>
  <c r="F27" i="1" s="1"/>
  <c r="C13" i="1"/>
  <c r="C15" i="1"/>
  <c r="C14" i="1"/>
  <c r="C14" i="34" s="1"/>
  <c r="C12" i="1"/>
  <c r="C28" i="32"/>
  <c r="H28" i="32" s="1"/>
  <c r="I28" i="32" s="1"/>
  <c r="D28" i="30"/>
  <c r="D3" i="34"/>
  <c r="D28" i="29"/>
  <c r="D28" i="18"/>
  <c r="G28" i="18"/>
  <c r="G28" i="29"/>
  <c r="C3" i="29"/>
  <c r="H3" i="29" s="1"/>
  <c r="I3" i="29" s="1"/>
  <c r="C3" i="30"/>
  <c r="H3" i="30" s="1"/>
  <c r="I3" i="30" s="1"/>
  <c r="G28" i="30"/>
  <c r="C28" i="20"/>
  <c r="E28" i="20" s="1"/>
  <c r="F28" i="20" s="1"/>
  <c r="C28" i="27"/>
  <c r="H28" i="27" s="1"/>
  <c r="I28" i="27" s="1"/>
  <c r="C28" i="4"/>
  <c r="H28" i="4" s="1"/>
  <c r="I28" i="4" s="1"/>
  <c r="C28" i="19"/>
  <c r="H28" i="19" s="1"/>
  <c r="I28" i="19" s="1"/>
  <c r="C28" i="28"/>
  <c r="E28" i="28" s="1"/>
  <c r="F28" i="28" s="1"/>
  <c r="C28" i="33"/>
  <c r="H28" i="33" s="1"/>
  <c r="I28" i="33" s="1"/>
  <c r="G28" i="1"/>
  <c r="D28" i="1"/>
  <c r="C3" i="18"/>
  <c r="H3" i="18" s="1"/>
  <c r="I3" i="18" s="1"/>
  <c r="G3" i="34"/>
  <c r="C28" i="31"/>
  <c r="H28" i="31" s="1"/>
  <c r="I28" i="31" s="1"/>
  <c r="C28" i="26"/>
  <c r="H28" i="26" s="1"/>
  <c r="I28" i="26" s="1"/>
  <c r="C28" i="21"/>
  <c r="H28" i="21" s="1"/>
  <c r="I28" i="21" s="1"/>
  <c r="C4" i="1"/>
  <c r="C5" i="1"/>
  <c r="C6" i="1"/>
  <c r="C7" i="1"/>
  <c r="C8" i="1"/>
  <c r="C8" i="34" s="1"/>
  <c r="C9" i="1"/>
  <c r="C10" i="1"/>
  <c r="C11" i="1"/>
  <c r="C11" i="34" s="1"/>
  <c r="C28" i="3"/>
  <c r="H28" i="3" s="1"/>
  <c r="I28" i="3" s="1"/>
  <c r="C3" i="1"/>
  <c r="H3" i="1" s="1"/>
  <c r="I3" i="1" s="1"/>
  <c r="H26" i="1" l="1"/>
  <c r="I26" i="1" s="1"/>
  <c r="C26" i="34"/>
  <c r="H26" i="34" s="1"/>
  <c r="I26" i="34" s="1"/>
  <c r="H26" i="18"/>
  <c r="I26" i="18" s="1"/>
  <c r="E25" i="1"/>
  <c r="F25" i="1" s="1"/>
  <c r="H17" i="34"/>
  <c r="I17" i="34" s="1"/>
  <c r="C25" i="34"/>
  <c r="H25" i="34" s="1"/>
  <c r="I25" i="34" s="1"/>
  <c r="H25" i="18"/>
  <c r="I25" i="18" s="1"/>
  <c r="E20" i="29"/>
  <c r="F20" i="29" s="1"/>
  <c r="H20" i="18"/>
  <c r="I20" i="18" s="1"/>
  <c r="E20" i="1"/>
  <c r="F20" i="1" s="1"/>
  <c r="C20" i="34"/>
  <c r="E20" i="34" s="1"/>
  <c r="F20" i="34" s="1"/>
  <c r="H20" i="30"/>
  <c r="I20" i="30" s="1"/>
  <c r="E17" i="34"/>
  <c r="F17" i="34" s="1"/>
  <c r="E11" i="34"/>
  <c r="F11" i="34" s="1"/>
  <c r="H11" i="34"/>
  <c r="I11" i="34" s="1"/>
  <c r="H10" i="1"/>
  <c r="I10" i="1" s="1"/>
  <c r="C10" i="34"/>
  <c r="H9" i="1"/>
  <c r="I9" i="1" s="1"/>
  <c r="C9" i="34"/>
  <c r="E8" i="34"/>
  <c r="F8" i="34" s="1"/>
  <c r="H8" i="34"/>
  <c r="I8" i="34" s="1"/>
  <c r="H7" i="1"/>
  <c r="I7" i="1" s="1"/>
  <c r="C7" i="34"/>
  <c r="H6" i="1"/>
  <c r="I6" i="1" s="1"/>
  <c r="C6" i="34"/>
  <c r="H5" i="1"/>
  <c r="I5" i="1" s="1"/>
  <c r="C5" i="34"/>
  <c r="H4" i="1"/>
  <c r="I4" i="1" s="1"/>
  <c r="C4" i="34"/>
  <c r="H12" i="1"/>
  <c r="I12" i="1" s="1"/>
  <c r="C12" i="34"/>
  <c r="C19" i="34"/>
  <c r="E14" i="34"/>
  <c r="F14" i="34" s="1"/>
  <c r="H14" i="34"/>
  <c r="I14" i="34" s="1"/>
  <c r="H15" i="1"/>
  <c r="I15" i="1" s="1"/>
  <c r="C15" i="34"/>
  <c r="C13" i="34"/>
  <c r="E21" i="34"/>
  <c r="F21" i="34" s="1"/>
  <c r="H21" i="34"/>
  <c r="I21" i="34" s="1"/>
  <c r="E23" i="34"/>
  <c r="F23" i="34" s="1"/>
  <c r="H23" i="34"/>
  <c r="I23" i="34" s="1"/>
  <c r="E22" i="34"/>
  <c r="F22" i="34" s="1"/>
  <c r="H22" i="34"/>
  <c r="I22" i="34" s="1"/>
  <c r="E16" i="34"/>
  <c r="F16" i="34" s="1"/>
  <c r="H16" i="34"/>
  <c r="I16" i="34" s="1"/>
  <c r="E24" i="34"/>
  <c r="F24" i="34" s="1"/>
  <c r="H24" i="34"/>
  <c r="I24" i="34" s="1"/>
  <c r="E27" i="34"/>
  <c r="F27" i="34" s="1"/>
  <c r="H27" i="34"/>
  <c r="I27" i="34" s="1"/>
  <c r="E26" i="34"/>
  <c r="F26" i="34" s="1"/>
  <c r="E18" i="34"/>
  <c r="F18" i="34" s="1"/>
  <c r="H18" i="34"/>
  <c r="I18" i="34" s="1"/>
  <c r="E11" i="1"/>
  <c r="F11" i="1" s="1"/>
  <c r="H11" i="1"/>
  <c r="I11" i="1" s="1"/>
  <c r="E8" i="1"/>
  <c r="F8" i="1" s="1"/>
  <c r="H8" i="1"/>
  <c r="I8" i="1" s="1"/>
  <c r="H14" i="1"/>
  <c r="I14" i="1" s="1"/>
  <c r="E13" i="1"/>
  <c r="F13" i="1" s="1"/>
  <c r="H13" i="1"/>
  <c r="I13" i="1" s="1"/>
  <c r="E14" i="1"/>
  <c r="E15" i="1"/>
  <c r="G28" i="34"/>
  <c r="D28" i="34"/>
  <c r="E12" i="1"/>
  <c r="E28" i="32"/>
  <c r="F28" i="32" s="1"/>
  <c r="E28" i="27"/>
  <c r="F28" i="27" s="1"/>
  <c r="H28" i="28"/>
  <c r="I28" i="28" s="1"/>
  <c r="H28" i="20"/>
  <c r="I28" i="20" s="1"/>
  <c r="E28" i="31"/>
  <c r="F28" i="31" s="1"/>
  <c r="E28" i="4"/>
  <c r="F28" i="4" s="1"/>
  <c r="E9" i="1"/>
  <c r="E10" i="1"/>
  <c r="E28" i="33"/>
  <c r="F28" i="33" s="1"/>
  <c r="E28" i="19"/>
  <c r="F28" i="19" s="1"/>
  <c r="E28" i="26"/>
  <c r="F28" i="26" s="1"/>
  <c r="E28" i="3"/>
  <c r="F28" i="3" s="1"/>
  <c r="E7" i="1"/>
  <c r="E6" i="1"/>
  <c r="E28" i="21"/>
  <c r="F28" i="21" s="1"/>
  <c r="C3" i="34"/>
  <c r="E4" i="1"/>
  <c r="E5" i="1"/>
  <c r="C28" i="30"/>
  <c r="E3" i="30"/>
  <c r="C28" i="29"/>
  <c r="E3" i="29"/>
  <c r="C28" i="18"/>
  <c r="E3" i="18"/>
  <c r="C28" i="1"/>
  <c r="E3" i="1"/>
  <c r="E25" i="34" l="1"/>
  <c r="F25" i="34" s="1"/>
  <c r="H20" i="34"/>
  <c r="I20" i="34" s="1"/>
  <c r="E13" i="34"/>
  <c r="F13" i="34" s="1"/>
  <c r="H13" i="34"/>
  <c r="I13" i="34" s="1"/>
  <c r="E15" i="34"/>
  <c r="F15" i="34" s="1"/>
  <c r="H15" i="34"/>
  <c r="I15" i="34" s="1"/>
  <c r="E19" i="34"/>
  <c r="F19" i="34" s="1"/>
  <c r="H19" i="34"/>
  <c r="I19" i="34" s="1"/>
  <c r="E12" i="34"/>
  <c r="F12" i="34" s="1"/>
  <c r="H12" i="34"/>
  <c r="I12" i="34" s="1"/>
  <c r="E4" i="34"/>
  <c r="F4" i="34" s="1"/>
  <c r="H4" i="34"/>
  <c r="I4" i="34" s="1"/>
  <c r="E5" i="34"/>
  <c r="F5" i="34" s="1"/>
  <c r="H5" i="34"/>
  <c r="I5" i="34" s="1"/>
  <c r="E6" i="34"/>
  <c r="F6" i="34" s="1"/>
  <c r="H6" i="34"/>
  <c r="I6" i="34" s="1"/>
  <c r="E7" i="34"/>
  <c r="F7" i="34" s="1"/>
  <c r="H7" i="34"/>
  <c r="I7" i="34" s="1"/>
  <c r="E9" i="34"/>
  <c r="F9" i="34" s="1"/>
  <c r="H9" i="34"/>
  <c r="I9" i="34" s="1"/>
  <c r="E10" i="34"/>
  <c r="F10" i="34" s="1"/>
  <c r="H10" i="34"/>
  <c r="I10" i="34" s="1"/>
  <c r="F3" i="30"/>
  <c r="F3" i="29"/>
  <c r="F3" i="18"/>
  <c r="F5" i="1"/>
  <c r="F4" i="1"/>
  <c r="F6" i="1"/>
  <c r="F7" i="1"/>
  <c r="F10" i="1"/>
  <c r="F9" i="1"/>
  <c r="F12" i="1"/>
  <c r="F15" i="1"/>
  <c r="F14" i="1"/>
  <c r="F3" i="1"/>
  <c r="E3" i="34"/>
  <c r="F3" i="34" s="1"/>
  <c r="H3" i="34"/>
  <c r="I3" i="34" s="1"/>
  <c r="H28" i="30"/>
  <c r="I28" i="30" s="1"/>
  <c r="E28" i="30"/>
  <c r="F28" i="30" s="1"/>
  <c r="H28" i="29"/>
  <c r="I28" i="29" s="1"/>
  <c r="E28" i="29"/>
  <c r="F28" i="29" s="1"/>
  <c r="H28" i="18"/>
  <c r="I28" i="18" s="1"/>
  <c r="E28" i="18"/>
  <c r="F28" i="18" s="1"/>
  <c r="H28" i="1"/>
  <c r="I28" i="1" s="1"/>
  <c r="E28" i="1"/>
  <c r="F28" i="1" s="1"/>
  <c r="G28" i="2"/>
  <c r="D28" i="2"/>
  <c r="C28" i="34" l="1"/>
  <c r="H28" i="34" s="1"/>
  <c r="I28" i="34" s="1"/>
  <c r="C28" i="2"/>
  <c r="E28" i="34" l="1"/>
  <c r="F28" i="34" s="1"/>
  <c r="H28" i="2"/>
  <c r="I28" i="2" s="1"/>
  <c r="E28" i="2"/>
  <c r="F28" i="2" s="1"/>
  <c r="G17" i="79"/>
  <c r="H17" i="79" s="1"/>
  <c r="D17" i="79"/>
  <c r="E17" i="7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<sst xmlns="http://schemas.openxmlformats.org/spreadsheetml/2006/main" count="1098" uniqueCount="141">
  <si>
    <t>Year to Date 2024 Actual v. Expected</t>
  </si>
  <si>
    <t xml:space="preserve"> Year to Date 2024 Forecasted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</si>
  <si>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</si>
  <si>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</si>
  <si>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</si>
  <si>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</si>
  <si>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</si>
  <si>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</si>
  <si>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</si>
  <si>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</si>
  <si>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</si>
  <si>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</si>
  <si>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</si>
  <si>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</si>
  <si>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</si>
  <si>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</si>
  <si>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</si>
  <si>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</si>
  <si>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</si>
  <si>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</si>
  <si>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January Actual v. Expected</t>
  </si>
  <si>
    <t>January Actual v. Forecasted</t>
  </si>
  <si>
    <t>NOTES</t>
  </si>
  <si>
    <t>SR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</si>
  <si>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</si>
  <si>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</si>
  <si>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</si>
  <si>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</si>
  <si>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</si>
  <si>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</si>
  <si>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</si>
  <si>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</si>
  <si>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</si>
  <si>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</si>
  <si>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</si>
  <si>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</si>
  <si>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</si>
  <si>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</si>
  <si>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</si>
  <si>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</si>
  <si>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</si>
  <si>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</si>
  <si>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</si>
  <si>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</si>
  <si>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</si>
  <si>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</si>
  <si>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</si>
  <si>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Lodestar</t>
  </si>
  <si>
    <t>Site DAS Name</t>
  </si>
  <si>
    <t>Column1</t>
  </si>
  <si>
    <t>DAS</t>
  </si>
  <si>
    <t>Barkhamsted Solar</t>
  </si>
  <si>
    <t>Barkhamsted</t>
  </si>
  <si>
    <t>CT</t>
  </si>
  <si>
    <t>AEF</t>
  </si>
  <si>
    <t>PowerTrack</t>
  </si>
  <si>
    <t>Bunce Solar</t>
  </si>
  <si>
    <t>Bunce</t>
  </si>
  <si>
    <t>Norcap North</t>
  </si>
  <si>
    <t>Norcap South</t>
  </si>
  <si>
    <t>Platt Hill</t>
  </si>
  <si>
    <t>Powder Hill</t>
  </si>
  <si>
    <t>Sand Road Solar</t>
  </si>
  <si>
    <t>Sand Road</t>
  </si>
  <si>
    <t>Suffield Solar</t>
  </si>
  <si>
    <t>Suffield</t>
  </si>
  <si>
    <t>Ashby-Duffy</t>
  </si>
  <si>
    <t>MA</t>
  </si>
  <si>
    <t>Ashland Solar</t>
  </si>
  <si>
    <t>Ashland</t>
  </si>
  <si>
    <t>Barrington Fairgrounds</t>
  </si>
  <si>
    <t>Barrington</t>
  </si>
  <si>
    <t>MA: Bedford - 205 Burlington Rd</t>
  </si>
  <si>
    <t>Bedford - 205 Burlington Rd</t>
  </si>
  <si>
    <t>GPM</t>
  </si>
  <si>
    <t>MA: Billerica: 6 Cook Street</t>
  </si>
  <si>
    <t>Billerica - 6 Cook Street</t>
  </si>
  <si>
    <t>MA: Billerica - 780 Boston Road</t>
  </si>
  <si>
    <t>Billerica - 780 Boston Road</t>
  </si>
  <si>
    <t>Cheshire Solar</t>
  </si>
  <si>
    <t>Cheshire</t>
  </si>
  <si>
    <t>Lilly Lane (N-4)</t>
  </si>
  <si>
    <t>Lilly Lane</t>
  </si>
  <si>
    <t>Monument Valley</t>
  </si>
  <si>
    <t>Nationwide</t>
  </si>
  <si>
    <t>Pulpit Hill</t>
  </si>
  <si>
    <t>MA: Sandwich - 9 Victory Drive Solar</t>
  </si>
  <si>
    <t>Sandwich</t>
  </si>
  <si>
    <t>Sturbridge Barn (N-3)</t>
  </si>
  <si>
    <t>Sturbridge Barn</t>
  </si>
  <si>
    <t>Sturbridge Garage (R-2)</t>
  </si>
  <si>
    <t>Sturbridge Garage</t>
  </si>
  <si>
    <t>Halsey Valley</t>
  </si>
  <si>
    <t>NY</t>
  </si>
  <si>
    <t>Hunt Creek Solar</t>
  </si>
  <si>
    <t>Hunt Creek</t>
  </si>
  <si>
    <t>Smith Creek Solar</t>
  </si>
  <si>
    <t>Smith Creek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</si>
  <si>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</si>
  <si>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</si>
  <si>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</si>
  <si>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</si>
  <si>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</si>
  <si>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</si>
  <si>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</si>
  <si>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</si>
  <si>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</si>
  <si>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</si>
  <si>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</si>
  <si>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</si>
  <si>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</si>
  <si>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</si>
  <si>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</si>
  <si>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</si>
  <si>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</si>
  <si>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</si>
  <si>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</si>
  <si>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</si>
  <si>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</si>
  <si>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</si>
  <si>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Inverter 1 started at 14:00 on 01/05.
2. Inverter 1 offline on 01/07 and resolved on 01/10  and reporting Bus Differential High Fault - Fault 0110.
2.  inverter 4 is currently offline on 01/07 and resolved on 01/09 and reporting Bus Differential High Fault - Fault 0110.
3. Inverters 1, 4 and 11 are offline on 01/13 and resolved on 01/14 due to "Bus differential high fault".
4.  Inverter 11 is offline on 01/13 resolved on 01/19 due to Bus differential fault.
5. Inverter 11 is offline from 01/19  due to Bus differential fault.</t>
  </si>
  <si>
    <t>1. SR079979
2.  SR080049
3. SR080194
4. SR080314
5. SR080441</t>
  </si>
  <si>
    <t>1.Inverters 61 to 64 have tripped offline at 11:15am on 01/01 and resolved next day
2.Inverters 61 to 64 have tripped offline at 11:15am on 01/15 and resolved next day
3.Inverter 48 was offline due to "Bus sum high" fault on 01/27 and RMA'd</t>
  </si>
  <si>
    <t>1.SR079853
2.SR080230
3.SR080522</t>
  </si>
  <si>
    <t>1.Inverter 1 is offline and reporting "Excessive Leakage Current" from 01/01 to 01/15
2.Inverter 5 is offline and reporting "Internal hardware failure" on 01/22 and back online next day
3.Inverter 1 is offline and reporting "Excessive Leakage Current from 01/25 and still offline</t>
  </si>
  <si>
    <t>1.SR078505
2.SR080384	
3.SR080614</t>
  </si>
  <si>
    <t xml:space="preserve"> </t>
  </si>
  <si>
    <t>1.Site tripped offline on 01/16 at 19:15 and autoreclosed at 19:30
2. CB 1.8 on DAS, (CB 10 onsite) was offline from 01/23 to 02/01.</t>
  </si>
  <si>
    <t>1.SR080271	
2.SR080413</t>
  </si>
  <si>
    <t xml:space="preserve">1.Site was tripped offline from 12/22/2023 to 01/10/2024 and again tripped offline on the same day and still offline
</t>
  </si>
  <si>
    <t xml:space="preserve">1.SR080143
</t>
  </si>
  <si>
    <t>1.Inverters 20,24,25 and 26 came back online on 01/25</t>
  </si>
  <si>
    <t>1.SR077715</t>
  </si>
  <si>
    <t>1.Site was offline at around 6:30am and later back online at 19:15 due to planned outage
2.Site was offline from 01/12 till 01/26 due to planned outage.</t>
  </si>
  <si>
    <t xml:space="preserve">1.SR080613
2.SR080117	</t>
  </si>
  <si>
    <t>1.Site has a brief outage and later auto reclosed.</t>
  </si>
  <si>
    <t>1.SR080569</t>
  </si>
  <si>
    <t>1.Inverter 11 tripped offline on an arc fault on 01/31 at EOD and back online next day.</t>
  </si>
  <si>
    <t>1.SR080631</t>
  </si>
  <si>
    <t>1. Site tripped offline at 10:05 am on 01/05 and back online at 7:00 Am  on 01/06.
2. Inverter 29 started late for the production on 01/15, 01/17 and 01/20
3. Inverter was 25 tripped offline on 01/22  and back online 02/06.
4. Site has a brief outage and later self resolved on 01/29</t>
  </si>
  <si>
    <t>1.SR079976
2.SR080227
3.SR080394
4.SR080570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</si>
</sst>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sz val="5"/>
      <color rgb="FF393939"/>
      <name val="Open Sans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9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8" fillId="0" borderId="34" xfId="0" applyFont="1" applyBorder="1" applyAlignment="1">
      <alignment horizontal="left" vertical="center"/>
    </xf>
    <xf numFmtId="0" fontId="29" fillId="0" borderId="2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9" fontId="30" fillId="43" borderId="2" xfId="2" applyFont="1" applyFill="1" applyBorder="1" applyAlignment="1">
      <alignment horizontal="left" vertical="top" wrapText="1"/>
    </xf>
    <xf numFmtId="0" fontId="29" fillId="0" borderId="3" xfId="0" applyFont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7" xfId="0" applyFont="1" applyFill="1" applyBorder="1" applyAlignment="1">
      <alignment horizontal="left" vertical="center" wrapText="1"/>
    </xf>
    <xf numFmtId="9" fontId="31" fillId="3" borderId="35" xfId="2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left" vertical="center"/>
    </xf>
    <xf numFmtId="0" fontId="31" fillId="4" borderId="17" xfId="0" applyFont="1" applyFill="1" applyBorder="1" applyAlignment="1">
      <alignment horizontal="left" vertical="center" wrapText="1"/>
    </xf>
    <xf numFmtId="9" fontId="31" fillId="4" borderId="35" xfId="2" applyFont="1" applyFill="1" applyBorder="1" applyAlignment="1">
      <alignment horizontal="left" vertical="center"/>
    </xf>
    <xf numFmtId="9" fontId="31" fillId="43" borderId="36" xfId="2" applyFont="1" applyFill="1" applyBorder="1" applyAlignment="1">
      <alignment horizontal="center" vertical="center"/>
    </xf>
    <xf numFmtId="9" fontId="31" fillId="43" borderId="37" xfId="2" applyFont="1" applyFill="1" applyBorder="1" applyAlignment="1">
      <alignment horizontal="center" vertical="center"/>
    </xf>
    <xf numFmtId="0" fontId="29" fillId="45" borderId="41" xfId="0" applyFont="1" applyFill="1" applyBorder="1" applyAlignment="1">
      <alignment horizontal="center"/>
    </xf>
    <xf numFmtId="0" fontId="29" fillId="45" borderId="1" xfId="0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right"/>
    </xf>
    <xf numFmtId="9" fontId="33" fillId="3" borderId="16" xfId="2" applyFont="1" applyFill="1" applyBorder="1" applyAlignment="1">
      <alignment horizontal="center"/>
    </xf>
    <xf numFmtId="3" fontId="33" fillId="4" borderId="16" xfId="1" applyNumberFormat="1" applyFont="1" applyFill="1" applyBorder="1"/>
    <xf numFmtId="9" fontId="33" fillId="40" borderId="16" xfId="2" applyFont="1" applyFill="1" applyBorder="1" applyAlignment="1">
      <alignment horizontal="center"/>
    </xf>
    <xf numFmtId="9" fontId="33" fillId="3" borderId="14" xfId="2" applyFont="1" applyFill="1" applyBorder="1" applyAlignment="1">
      <alignment horizontal="center"/>
    </xf>
    <xf numFmtId="9" fontId="33" fillId="40" borderId="14" xfId="2" applyFont="1" applyFill="1" applyBorder="1" applyAlignment="1">
      <alignment horizontal="center"/>
    </xf>
    <xf numFmtId="9" fontId="33" fillId="37" borderId="18" xfId="0" applyNumberFormat="1" applyFont="1" applyFill="1" applyBorder="1" applyAlignment="1">
      <alignment horizontal="center" vertical="center"/>
    </xf>
    <xf numFmtId="9" fontId="33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left" vertical="center" wrapText="1"/>
    </xf>
    <xf numFmtId="0" fontId="36" fillId="45" borderId="4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45" borderId="1" xfId="0" applyFont="1" applyFill="1" applyBorder="1" applyAlignment="1">
      <alignment horizontal="center"/>
    </xf>
    <xf numFmtId="3" fontId="33" fillId="37" borderId="18" xfId="0" applyNumberFormat="1" applyFont="1" applyFill="1" applyBorder="1" applyAlignment="1">
      <alignment horizontal="center" vertical="center"/>
    </xf>
    <xf numFmtId="3" fontId="33" fillId="37" borderId="18" xfId="1" applyNumberFormat="1" applyFont="1" applyFill="1" applyBorder="1" applyAlignment="1">
      <alignment horizontal="center" vertical="center"/>
    </xf>
    <xf numFmtId="0" fontId="2" fillId="0" borderId="0" xfId="0" applyFont="1"/>
    <xf numFmtId="3" fontId="37" fillId="3" borderId="2" xfId="0" applyNumberFormat="1" applyFont="1" applyFill="1" applyBorder="1" applyAlignment="1">
      <alignment horizontal="right"/>
    </xf>
    <xf numFmtId="9" fontId="37" fillId="3" borderId="2" xfId="2" applyFont="1" applyFill="1" applyBorder="1" applyAlignment="1">
      <alignment horizontal="center"/>
    </xf>
    <xf numFmtId="3" fontId="37" fillId="4" borderId="2" xfId="1" applyNumberFormat="1" applyFont="1" applyFill="1" applyBorder="1"/>
    <xf numFmtId="9" fontId="37" fillId="4" borderId="2" xfId="2" applyFont="1" applyFill="1" applyBorder="1" applyAlignment="1">
      <alignment horizontal="center"/>
    </xf>
    <xf numFmtId="9" fontId="37" fillId="3" borderId="1" xfId="2" applyFont="1" applyFill="1" applyBorder="1" applyAlignment="1">
      <alignment horizontal="center"/>
    </xf>
    <xf numFmtId="9" fontId="37" fillId="43" borderId="2" xfId="2" applyFont="1" applyFill="1" applyBorder="1" applyAlignment="1">
      <alignment horizontal="left" vertical="top" wrapText="1"/>
    </xf>
    <xf numFmtId="9" fontId="37" fillId="43" borderId="2" xfId="2" applyFont="1" applyFill="1" applyBorder="1" applyAlignment="1">
      <alignment horizontal="left" vertical="top"/>
    </xf>
    <xf numFmtId="3" fontId="37" fillId="4" borderId="13" xfId="1" applyNumberFormat="1" applyFont="1" applyFill="1" applyBorder="1"/>
    <xf numFmtId="3" fontId="37" fillId="4" borderId="2" xfId="1" applyNumberFormat="1" applyFont="1" applyFill="1" applyBorder="1" applyAlignment="1">
      <alignment vertical="center"/>
    </xf>
    <xf numFmtId="3" fontId="37" fillId="38" borderId="14" xfId="0" applyNumberFormat="1" applyFont="1" applyFill="1" applyBorder="1"/>
    <xf numFmtId="3" fontId="37" fillId="39" borderId="14" xfId="0" applyNumberFormat="1" applyFont="1" applyFill="1" applyBorder="1"/>
    <xf numFmtId="3" fontId="37" fillId="3" borderId="28" xfId="0" applyNumberFormat="1" applyFont="1" applyFill="1" applyBorder="1" applyAlignment="1">
      <alignment horizontal="right"/>
    </xf>
    <xf numFmtId="9" fontId="37" fillId="3" borderId="3" xfId="2" applyFont="1" applyFill="1" applyBorder="1" applyAlignment="1">
      <alignment horizontal="center"/>
    </xf>
    <xf numFmtId="3" fontId="37" fillId="4" borderId="38" xfId="1" applyNumberFormat="1" applyFont="1" applyFill="1" applyBorder="1"/>
    <xf numFmtId="3" fontId="37" fillId="4" borderId="28" xfId="1" applyNumberFormat="1" applyFont="1" applyFill="1" applyBorder="1"/>
    <xf numFmtId="9" fontId="37" fillId="4" borderId="28" xfId="2" applyFont="1" applyFill="1" applyBorder="1" applyAlignment="1">
      <alignment horizontal="center"/>
    </xf>
    <xf numFmtId="3" fontId="37" fillId="38" borderId="16" xfId="0" applyNumberFormat="1" applyFont="1" applyFill="1" applyBorder="1"/>
    <xf numFmtId="3" fontId="37" fillId="39" borderId="16" xfId="0" applyNumberFormat="1" applyFont="1" applyFill="1" applyBorder="1"/>
    <xf numFmtId="0" fontId="37" fillId="39" borderId="14" xfId="0" applyFont="1" applyFill="1" applyBorder="1"/>
    <xf numFmtId="0" fontId="37" fillId="38" borderId="14" xfId="0" applyFont="1" applyFill="1" applyBorder="1"/>
    <xf numFmtId="3" fontId="37" fillId="4" borderId="2" xfId="1" applyNumberFormat="1" applyFont="1" applyFill="1" applyBorder="1" applyAlignment="1">
      <alignment horizontal="right" vertical="center"/>
    </xf>
    <xf numFmtId="9" fontId="37" fillId="43" borderId="28" xfId="2" applyFont="1" applyFill="1" applyBorder="1" applyAlignment="1">
      <alignment horizontal="left" vertical="top"/>
    </xf>
    <xf numFmtId="1" fontId="37" fillId="39" borderId="14" xfId="0" applyNumberFormat="1" applyFont="1" applyFill="1" applyBorder="1"/>
    <xf numFmtId="9" fontId="37" fillId="43" borderId="2" xfId="2" applyFont="1" applyFill="1" applyBorder="1" applyAlignment="1">
      <alignment vertical="top" wrapText="1"/>
    </xf>
    <xf numFmtId="9" fontId="37" fillId="43" borderId="2" xfId="2" applyFont="1" applyFill="1" applyBorder="1" applyAlignment="1">
      <alignment vertical="top"/>
    </xf>
    <xf numFmtId="9" fontId="30" fillId="43" borderId="2" xfId="2" applyFont="1" applyFill="1" applyBorder="1" applyAlignment="1">
      <alignment vertical="top" wrapText="1"/>
    </xf>
    <xf numFmtId="0" fontId="29" fillId="0" borderId="1" xfId="0" applyFont="1" applyBorder="1" applyAlignment="1">
      <alignment horizontal="center" vertical="center"/>
    </xf>
    <xf numFmtId="3" fontId="37" fillId="5" borderId="3" xfId="0" applyNumberFormat="1" applyFont="1" applyFill="1" applyBorder="1" applyAlignment="1">
      <alignment horizontal="center"/>
    </xf>
    <xf numFmtId="3" fontId="37" fillId="4" borderId="28" xfId="1" applyNumberFormat="1" applyFont="1" applyFill="1" applyBorder="1" applyAlignment="1">
      <alignment horizontal="center"/>
    </xf>
    <xf numFmtId="9" fontId="37" fillId="4" borderId="28" xfId="0" applyNumberFormat="1" applyFont="1" applyFill="1" applyBorder="1" applyAlignment="1">
      <alignment horizontal="center"/>
    </xf>
    <xf numFmtId="0" fontId="37" fillId="43" borderId="28" xfId="0" applyFont="1" applyFill="1" applyBorder="1" applyAlignment="1">
      <alignment horizontal="left" vertical="top"/>
    </xf>
    <xf numFmtId="3" fontId="0" fillId="3" borderId="28" xfId="0" applyNumberFormat="1" applyFill="1" applyBorder="1" applyAlignment="1">
      <alignment horizontal="right"/>
    </xf>
    <xf numFmtId="3" fontId="37" fillId="4" borderId="2" xfId="1" applyNumberFormat="1" applyFont="1" applyFill="1" applyBorder="1" applyAlignment="1">
      <alignment horizontal="right"/>
    </xf>
    <xf numFmtId="3" fontId="37" fillId="4" borderId="13" xfId="1" applyNumberFormat="1" applyFont="1" applyFill="1" applyBorder="1" applyAlignment="1">
      <alignment horizontal="right"/>
    </xf>
    <xf numFmtId="3" fontId="37" fillId="4" borderId="2" xfId="1" applyNumberFormat="1" applyFont="1" applyFill="1" applyBorder="1" applyAlignment="1"/>
    <xf numFmtId="3" fontId="37" fillId="3" borderId="2" xfId="0" applyNumberFormat="1" applyFont="1" applyFill="1" applyBorder="1"/>
    <xf numFmtId="3" fontId="37" fillId="4" borderId="13" xfId="1" applyNumberFormat="1" applyFont="1" applyFill="1" applyBorder="1" applyAlignment="1"/>
    <xf numFmtId="0" fontId="25" fillId="0" borderId="0" xfId="43" applyFont="1"/>
    <xf numFmtId="9" fontId="30" fillId="43" borderId="2" xfId="2" applyFont="1" applyFill="1" applyBorder="1" applyAlignment="1">
      <alignment horizontal="center" wrapText="1"/>
    </xf>
    <xf numFmtId="9" fontId="30" fillId="43" borderId="2" xfId="2" applyFont="1" applyFill="1" applyBorder="1" applyAlignment="1">
      <alignment horizontal="left" wrapText="1"/>
    </xf>
    <xf numFmtId="0" fontId="36" fillId="45" borderId="41" xfId="0" applyFont="1" applyFill="1" applyBorder="1" applyAlignment="1">
      <alignment horizontal="center" vertical="center" wrapText="1"/>
    </xf>
    <xf numFmtId="0" fontId="29" fillId="45" borderId="41" xfId="0" applyFont="1" applyFill="1" applyBorder="1" applyAlignment="1">
      <alignment horizontal="center" vertical="center" wrapText="1"/>
    </xf>
    <xf numFmtId="3" fontId="33" fillId="3" borderId="16" xfId="0" applyNumberFormat="1" applyFont="1" applyFill="1" applyBorder="1" applyAlignment="1">
      <alignment horizontal="center" vertical="center" wrapText="1"/>
    </xf>
    <xf numFmtId="9" fontId="33" fillId="3" borderId="16" xfId="2" applyFont="1" applyFill="1" applyBorder="1" applyAlignment="1">
      <alignment horizontal="center" vertical="center" wrapText="1"/>
    </xf>
    <xf numFmtId="3" fontId="33" fillId="4" borderId="16" xfId="1" applyNumberFormat="1" applyFont="1" applyFill="1" applyBorder="1" applyAlignment="1">
      <alignment horizontal="center" vertical="center" wrapText="1"/>
    </xf>
    <xf numFmtId="9" fontId="33" fillId="40" borderId="16" xfId="2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9" fontId="33" fillId="40" borderId="14" xfId="2" applyFont="1" applyFill="1" applyBorder="1" applyAlignment="1">
      <alignment horizontal="center" vertical="center" wrapText="1"/>
    </xf>
    <xf numFmtId="0" fontId="36" fillId="45" borderId="1" xfId="0" applyFont="1" applyFill="1" applyBorder="1" applyAlignment="1">
      <alignment horizontal="center" vertical="center" wrapText="1"/>
    </xf>
    <xf numFmtId="0" fontId="29" fillId="45" borderId="1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left" wrapText="1"/>
    </xf>
    <xf numFmtId="3" fontId="33" fillId="3" borderId="16" xfId="0" applyNumberFormat="1" applyFont="1" applyFill="1" applyBorder="1" applyAlignment="1">
      <alignment horizontal="right" vertical="center" wrapText="1"/>
    </xf>
    <xf numFmtId="3" fontId="33" fillId="4" borderId="16" xfId="1" applyNumberFormat="1" applyFont="1" applyFill="1" applyBorder="1" applyAlignment="1">
      <alignment vertical="center" wrapText="1"/>
    </xf>
    <xf numFmtId="3" fontId="33" fillId="37" borderId="18" xfId="0" applyNumberFormat="1" applyFont="1" applyFill="1" applyBorder="1" applyAlignment="1">
      <alignment horizontal="center" vertical="center" wrapText="1"/>
    </xf>
    <xf numFmtId="9" fontId="33" fillId="37" borderId="18" xfId="0" applyNumberFormat="1" applyFont="1" applyFill="1" applyBorder="1" applyAlignment="1">
      <alignment horizontal="center" vertical="center" wrapText="1"/>
    </xf>
    <xf numFmtId="3" fontId="33" fillId="37" borderId="18" xfId="1" applyNumberFormat="1" applyFont="1" applyFill="1" applyBorder="1" applyAlignment="1">
      <alignment horizontal="center" vertical="center" wrapText="1"/>
    </xf>
    <xf numFmtId="9" fontId="33" fillId="37" borderId="2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6" fillId="45" borderId="41" xfId="0" applyFont="1" applyFill="1" applyBorder="1" applyAlignment="1">
      <alignment horizontal="center" wrapText="1"/>
    </xf>
    <xf numFmtId="0" fontId="29" fillId="45" borderId="41" xfId="0" applyFont="1" applyFill="1" applyBorder="1" applyAlignment="1">
      <alignment horizontal="center" wrapText="1"/>
    </xf>
    <xf numFmtId="3" fontId="33" fillId="3" borderId="16" xfId="0" applyNumberFormat="1" applyFont="1" applyFill="1" applyBorder="1" applyAlignment="1">
      <alignment horizontal="right" wrapText="1"/>
    </xf>
    <xf numFmtId="9" fontId="33" fillId="3" borderId="16" xfId="2" applyFont="1" applyFill="1" applyBorder="1" applyAlignment="1">
      <alignment horizontal="center" wrapText="1"/>
    </xf>
    <xf numFmtId="3" fontId="33" fillId="4" borderId="16" xfId="1" applyNumberFormat="1" applyFont="1" applyFill="1" applyBorder="1" applyAlignment="1">
      <alignment wrapText="1"/>
    </xf>
    <xf numFmtId="9" fontId="33" fillId="40" borderId="16" xfId="2" applyFont="1" applyFill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9" fontId="33" fillId="40" borderId="14" xfId="2" applyFont="1" applyFill="1" applyBorder="1" applyAlignment="1">
      <alignment horizontal="center" wrapText="1"/>
    </xf>
    <xf numFmtId="0" fontId="36" fillId="45" borderId="1" xfId="0" applyFont="1" applyFill="1" applyBorder="1" applyAlignment="1">
      <alignment horizontal="center" wrapText="1"/>
    </xf>
    <xf numFmtId="0" fontId="29" fillId="45" borderId="1" xfId="0" applyFont="1" applyFill="1" applyBorder="1" applyAlignment="1">
      <alignment horizontal="center" wrapText="1"/>
    </xf>
    <xf numFmtId="3" fontId="33" fillId="4" borderId="40" xfId="1" applyNumberFormat="1" applyFont="1" applyFill="1" applyBorder="1" applyAlignment="1">
      <alignment wrapText="1"/>
    </xf>
    <xf numFmtId="9" fontId="33" fillId="40" borderId="39" xfId="2" applyFont="1" applyFill="1" applyBorder="1" applyAlignment="1">
      <alignment horizontal="center" wrapText="1"/>
    </xf>
    <xf numFmtId="3" fontId="33" fillId="4" borderId="1" xfId="1" applyNumberFormat="1" applyFont="1" applyFill="1" applyBorder="1" applyAlignment="1">
      <alignment wrapText="1"/>
    </xf>
    <xf numFmtId="9" fontId="33" fillId="40" borderId="1" xfId="2" applyFont="1" applyFill="1" applyBorder="1" applyAlignment="1">
      <alignment horizontal="center" wrapText="1"/>
    </xf>
    <xf numFmtId="0" fontId="36" fillId="45" borderId="3" xfId="0" applyFont="1" applyFill="1" applyBorder="1" applyAlignment="1">
      <alignment horizontal="center" wrapText="1"/>
    </xf>
    <xf numFmtId="0" fontId="29" fillId="45" borderId="3" xfId="0" applyFont="1" applyFill="1" applyBorder="1" applyAlignment="1">
      <alignment horizontal="center" wrapText="1"/>
    </xf>
    <xf numFmtId="3" fontId="33" fillId="3" borderId="40" xfId="0" applyNumberFormat="1" applyFont="1" applyFill="1" applyBorder="1" applyAlignment="1">
      <alignment horizontal="right" wrapText="1"/>
    </xf>
    <xf numFmtId="9" fontId="33" fillId="3" borderId="40" xfId="2" applyFont="1" applyFill="1" applyBorder="1" applyAlignment="1">
      <alignment horizontal="center" wrapText="1"/>
    </xf>
    <xf numFmtId="3" fontId="33" fillId="4" borderId="3" xfId="1" applyNumberFormat="1" applyFont="1" applyFill="1" applyBorder="1" applyAlignment="1">
      <alignment wrapText="1"/>
    </xf>
    <xf numFmtId="9" fontId="33" fillId="40" borderId="3" xfId="2" applyFont="1" applyFill="1" applyBorder="1" applyAlignment="1">
      <alignment horizontal="center" wrapText="1"/>
    </xf>
    <xf numFmtId="3" fontId="38" fillId="0" borderId="0" xfId="0" applyNumberFormat="1" applyFont="1"/>
    <xf numFmtId="3" fontId="33" fillId="4" borderId="40" xfId="1" applyNumberFormat="1" applyFont="1" applyFill="1" applyBorder="1" applyAlignment="1">
      <alignment vertical="center" wrapText="1"/>
    </xf>
    <xf numFmtId="9" fontId="33" fillId="40" borderId="39" xfId="2" applyFont="1" applyFill="1" applyBorder="1" applyAlignment="1">
      <alignment horizontal="center" vertical="center" wrapText="1"/>
    </xf>
    <xf numFmtId="0" fontId="37" fillId="38" borderId="14" xfId="0" applyFont="1" applyFill="1" applyBorder="1" applyAlignment="1">
      <alignment vertical="center"/>
    </xf>
    <xf numFmtId="3" fontId="37" fillId="38" borderId="14" xfId="0" applyNumberFormat="1" applyFont="1" applyFill="1" applyBorder="1" applyAlignment="1">
      <alignment vertical="center"/>
    </xf>
    <xf numFmtId="3" fontId="37" fillId="3" borderId="2" xfId="0" applyNumberFormat="1" applyFont="1" applyFill="1" applyBorder="1" applyAlignment="1">
      <alignment horizontal="right" vertical="center"/>
    </xf>
    <xf numFmtId="9" fontId="37" fillId="3" borderId="2" xfId="2" applyFont="1" applyFill="1" applyBorder="1" applyAlignment="1">
      <alignment horizontal="center" vertical="center"/>
    </xf>
    <xf numFmtId="3" fontId="37" fillId="39" borderId="14" xfId="0" applyNumberFormat="1" applyFont="1" applyFill="1" applyBorder="1" applyAlignment="1">
      <alignment vertical="center"/>
    </xf>
    <xf numFmtId="9" fontId="37" fillId="4" borderId="2" xfId="2" applyFont="1" applyFill="1" applyBorder="1" applyAlignment="1">
      <alignment horizontal="center" vertical="center"/>
    </xf>
    <xf numFmtId="9" fontId="37" fillId="3" borderId="1" xfId="2" applyFont="1" applyFill="1" applyBorder="1" applyAlignment="1">
      <alignment horizontal="center" vertical="center"/>
    </xf>
    <xf numFmtId="3" fontId="37" fillId="4" borderId="13" xfId="1" applyNumberFormat="1" applyFont="1" applyFill="1" applyBorder="1" applyAlignment="1">
      <alignment vertical="center"/>
    </xf>
    <xf numFmtId="3" fontId="37" fillId="3" borderId="28" xfId="0" applyNumberFormat="1" applyFont="1" applyFill="1" applyBorder="1" applyAlignment="1">
      <alignment horizontal="right" vertical="center"/>
    </xf>
    <xf numFmtId="9" fontId="37" fillId="3" borderId="3" xfId="2" applyFont="1" applyFill="1" applyBorder="1" applyAlignment="1">
      <alignment horizontal="center" vertical="center"/>
    </xf>
    <xf numFmtId="3" fontId="37" fillId="4" borderId="38" xfId="1" applyNumberFormat="1" applyFont="1" applyFill="1" applyBorder="1" applyAlignment="1">
      <alignment vertical="center"/>
    </xf>
    <xf numFmtId="3" fontId="37" fillId="4" borderId="28" xfId="1" applyNumberFormat="1" applyFont="1" applyFill="1" applyBorder="1" applyAlignment="1">
      <alignment vertical="center"/>
    </xf>
    <xf numFmtId="9" fontId="37" fillId="4" borderId="28" xfId="2" applyFont="1" applyFill="1" applyBorder="1" applyAlignment="1">
      <alignment horizontal="center" vertical="center"/>
    </xf>
    <xf numFmtId="9" fontId="37" fillId="43" borderId="28" xfId="2" applyFont="1" applyFill="1" applyBorder="1" applyAlignment="1">
      <alignment horizontal="left" vertical="top" wrapText="1"/>
    </xf>
    <xf numFmtId="0" fontId="29" fillId="5" borderId="3" xfId="0" applyFont="1" applyFill="1" applyBorder="1" applyAlignment="1">
      <alignment horizontal="center"/>
    </xf>
    <xf numFmtId="0" fontId="36" fillId="45" borderId="41" xfId="0" applyFont="1" applyFill="1" applyBorder="1" applyAlignment="1">
      <alignment horizontal="center" vertical="center"/>
    </xf>
    <xf numFmtId="0" fontId="29" fillId="45" borderId="41" xfId="0" applyFont="1" applyFill="1" applyBorder="1" applyAlignment="1">
      <alignment horizontal="center" vertical="center"/>
    </xf>
    <xf numFmtId="3" fontId="33" fillId="3" borderId="16" xfId="0" applyNumberFormat="1" applyFont="1" applyFill="1" applyBorder="1" applyAlignment="1">
      <alignment horizontal="right" vertical="center"/>
    </xf>
    <xf numFmtId="9" fontId="33" fillId="3" borderId="16" xfId="2" applyFont="1" applyFill="1" applyBorder="1" applyAlignment="1">
      <alignment horizontal="center" vertical="center"/>
    </xf>
    <xf numFmtId="3" fontId="33" fillId="4" borderId="16" xfId="1" applyNumberFormat="1" applyFont="1" applyFill="1" applyBorder="1" applyAlignment="1">
      <alignment vertical="center"/>
    </xf>
    <xf numFmtId="9" fontId="33" fillId="40" borderId="16" xfId="2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9" fontId="33" fillId="40" borderId="14" xfId="2" applyFont="1" applyFill="1" applyBorder="1" applyAlignment="1">
      <alignment horizontal="center" vertical="center"/>
    </xf>
    <xf numFmtId="0" fontId="36" fillId="45" borderId="1" xfId="0" applyFont="1" applyFill="1" applyBorder="1" applyAlignment="1">
      <alignment horizontal="center" vertical="center"/>
    </xf>
    <xf numFmtId="0" fontId="29" fillId="45" borderId="1" xfId="0" applyFont="1" applyFill="1" applyBorder="1" applyAlignment="1">
      <alignment horizontal="center" vertical="center"/>
    </xf>
    <xf numFmtId="164" fontId="37" fillId="38" borderId="14" xfId="1" applyNumberFormat="1" applyFont="1" applyFill="1" applyBorder="1"/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2" fillId="44" borderId="23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5" xfId="0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32" fillId="44" borderId="23" xfId="0" applyFont="1" applyFill="1" applyBorder="1" applyAlignment="1">
      <alignment horizontal="center" vertical="center" wrapText="1"/>
    </xf>
    <xf numFmtId="0" fontId="32" fillId="44" borderId="24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left/>
        <right/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E27" totalsRowShown="0" tableBorderDxfId="404">
  <autoFilter ref="A2:E27" xr:uid="{66A40F5E-D45A-46FE-9183-4A31296D93F1}"/>
  <sortState xmlns:xlrd2="http://schemas.microsoft.com/office/spreadsheetml/2017/richdata2" ref="A3:E27">
    <sortCondition ref="C3:C27"/>
    <sortCondition ref="B3:B27"/>
  </sortState>
  <tableColumns count="5">
    <tableColumn id="3" xr3:uid="{BFC0214A-8820-4A19-81D0-852548EDA4BC}" name="Site DAS Name" dataDxfId="403" dataCellStyle="Normal 2"/>
    <tableColumn id="1" xr3:uid="{2ECEDF7A-47C1-4159-BC3D-6E76D6492D27}" name="Site" dataDxfId="402" dataCellStyle="Normal 2"/>
    <tableColumn id="2" xr3:uid="{2C9662E7-9933-4E8D-97A6-DB7E03BCDC09}" name="State" dataDxfId="401" dataCellStyle="Normal 2"/>
    <tableColumn id="4" xr3:uid="{90835A1D-CF48-49CE-BCC5-9B3B88C5647D}" name="Column1"/>
    <tableColumn id="5" xr3:uid="{B1DEECAA-52D1-46C7-8CD2-53FDBD001429}" name="DAS" dataDxfId="400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46876FA-EAED-4A4C-ACC8-1B2053B2BE30}" name="Data1819202122232425262728" displayName="Data1819202122232425262728" ref="A4:J16" totalsRowShown="0" headerRowDxfId="397" dataDxfId="396" headerRowBorderDxfId="394" tableBorderDxfId="395">
  <autoFilter ref="A4:J16" xr:uid="{59A959C2-52B2-422A-A87A-BC08BBF40681}"/>
  <tableColumns count="10">
    <tableColumn id="1" xr3:uid="{0C8C5D2C-22CD-4B1A-AA89-7DF9CC077053}" name="Month" dataDxfId="393"/>
    <tableColumn id="2" xr3:uid="{1504A410-2AFF-45D8-B05D-3003630C6253}" name="Actual" dataDxfId="392"/>
    <tableColumn id="3" xr3:uid="{E4620953-7DAB-4FED-A94B-5ED1A18BA51C}" name="Expected" dataDxfId="391"/>
    <tableColumn id="4" xr3:uid="{0E2D487F-5D52-4EF3-93FA-9263831DB0A2}" name="Delta Expected" dataDxfId="390">
      <calculatedColumnFormula>B5-C5</calculatedColumnFormula>
    </tableColumn>
    <tableColumn id="5" xr3:uid="{4E7B4ABC-A69B-400D-B5B2-832C6832F796}" name="% Expected" dataDxfId="389">
      <calculatedColumnFormula>IFERROR(D5/C5, 0)</calculatedColumnFormula>
    </tableColumn>
    <tableColumn id="6" xr3:uid="{01863DDF-3CCB-4609-8F75-0B0C278BB83F}" name="Forecasted" dataDxfId="388"/>
    <tableColumn id="7" xr3:uid="{8D07CC50-2E6D-421F-97CE-C028BAC10737}" name="Delta Forecasted" dataDxfId="387" dataCellStyle="Comma">
      <calculatedColumnFormula>B5-F5</calculatedColumnFormula>
    </tableColumn>
    <tableColumn id="8" xr3:uid="{4AC223A0-5E24-439A-AE0C-C81A96EC683F}" name="% Forecasted" dataDxfId="386">
      <calculatedColumnFormula>IFERROR(G5/F5, 0)</calculatedColumnFormula>
    </tableColumn>
    <tableColumn id="9" xr3:uid="{B21D21F1-1D16-4710-8885-CDF7B8E73B1F}" name="Notes" dataDxfId="385"/>
    <tableColumn id="10" xr3:uid="{7153195E-F3DA-438B-8DCB-CED54F61277D}" name="Service Request" dataDxfId="38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7F7EA7-3DE4-4425-ADD4-2BDD7BFD814D}" name="Data181920212223242526" displayName="Data181920212223242526" ref="A4:J16" totalsRowShown="0" headerRowDxfId="381" dataDxfId="380" headerRowBorderDxfId="378" tableBorderDxfId="379">
  <autoFilter ref="A4:J16" xr:uid="{59A959C2-52B2-422A-A87A-BC08BBF40681}"/>
  <tableColumns count="10">
    <tableColumn id="1" xr3:uid="{118AA2FE-E7D2-4206-B16A-6CCC68775996}" name="Month" dataDxfId="377"/>
    <tableColumn id="2" xr3:uid="{8A368234-EDD7-4E42-B9AD-515668818627}" name="Actual" dataDxfId="376"/>
    <tableColumn id="3" xr3:uid="{73D95621-FBC9-4CA1-AC2E-D1C96DE36B70}" name="Expected" dataDxfId="375"/>
    <tableColumn id="4" xr3:uid="{48DCF5B7-C57B-4CF9-A49C-382C49997254}" name="Delta Expected" dataDxfId="374">
      <calculatedColumnFormula>Data181920212223242526[[#This Row],[Actual]]-Data181920212223242526[[#This Row],[Expected]]</calculatedColumnFormula>
    </tableColumn>
    <tableColumn id="5" xr3:uid="{5063409C-2F70-4B9F-84DC-2C5F3812BB27}" name="% Expected" dataDxfId="373">
      <calculatedColumnFormula>IFERROR(D5/C5, 0)</calculatedColumnFormula>
    </tableColumn>
    <tableColumn id="6" xr3:uid="{81C000AC-8AC1-4109-A3D9-07363868E241}" name="Forecasted" dataDxfId="372"/>
    <tableColumn id="7" xr3:uid="{FE7AC5F1-C3C2-4907-9BD3-BF7CE8EFF4D8}" name="Delta Forecasted" dataDxfId="371" dataCellStyle="Comma">
      <calculatedColumnFormula>B5-F5</calculatedColumnFormula>
    </tableColumn>
    <tableColumn id="8" xr3:uid="{504FC4D5-CE5F-4A3D-8704-2F10443078A7}" name="% Forecasted" dataDxfId="370">
      <calculatedColumnFormula>IFERROR(G5/F5, 0)</calculatedColumnFormula>
    </tableColumn>
    <tableColumn id="9" xr3:uid="{FBC18841-E5E5-4300-A44D-DAAA6A23EC2A}" name="Notes" dataDxfId="369"/>
    <tableColumn id="10" xr3:uid="{9FDCDDFC-003E-4741-A2BA-7A020C5F93E1}" name="Service Request" dataDxfId="36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4CD59E-9089-431D-9329-7C988049D2AF}" name="Data181920" displayName="Data181920" ref="A4:J16" totalsRowShown="0" headerRowDxfId="365" dataDxfId="364" headerRowBorderDxfId="362" tableBorderDxfId="363">
  <autoFilter ref="A4:J16" xr:uid="{59A959C2-52B2-422A-A87A-BC08BBF40681}"/>
  <tableColumns count="10">
    <tableColumn id="1" xr3:uid="{D53E7D57-D771-4FAF-BC06-C05F5D88D9D4}" name="Month" dataDxfId="361"/>
    <tableColumn id="2" xr3:uid="{5E323DE3-0FEC-4C47-AA50-FB5FE8C8C25A}" name="Actual" dataDxfId="360"/>
    <tableColumn id="3" xr3:uid="{5B1E3641-7C82-4E82-974B-559132EE9A5F}" name="Expected" dataDxfId="359"/>
    <tableColumn id="4" xr3:uid="{281D7FFF-2047-475F-9DC6-60F0A760A82D}" name="Delta Expected" dataDxfId="358">
      <calculatedColumnFormula>B5-C5</calculatedColumnFormula>
    </tableColumn>
    <tableColumn id="5" xr3:uid="{0D02AC61-E298-4329-95FE-FB778AE1B7E4}" name="% Expected" dataDxfId="357">
      <calculatedColumnFormula>IFERROR(D5/C5, 0)</calculatedColumnFormula>
    </tableColumn>
    <tableColumn id="6" xr3:uid="{D737330F-7883-4D93-A5BD-961AE8C37A29}" name="Forecasted" dataDxfId="356"/>
    <tableColumn id="7" xr3:uid="{0D60582B-2476-4C79-8EA5-5AF64BA55860}" name="Delta Forecasted" dataDxfId="355" dataCellStyle="Comma">
      <calculatedColumnFormula>B5-F5</calculatedColumnFormula>
    </tableColumn>
    <tableColumn id="8" xr3:uid="{905D0CB4-F479-4BE7-AB1C-C4EFE56D101C}" name="% Forecasted" dataDxfId="354">
      <calculatedColumnFormula>IFERROR(G5/F5, 0)</calculatedColumnFormula>
    </tableColumn>
    <tableColumn id="9" xr3:uid="{93950D5B-A4A4-4E97-BCFD-C55D117C244E}" name="Notes" dataDxfId="353"/>
    <tableColumn id="10" xr3:uid="{1722AA17-AA2C-45F0-AB0A-AA19B15E174C}" name="Service Request" dataDxfId="35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227315E-3D45-4F14-8850-6D6F6067DADF}" name="Data1819" displayName="Data1819" ref="A4:J16" totalsRowShown="0" headerRowDxfId="349" dataDxfId="348" headerRowBorderDxfId="346" tableBorderDxfId="347">
  <autoFilter ref="A4:J16" xr:uid="{59A959C2-52B2-422A-A87A-BC08BBF40681}"/>
  <tableColumns count="10">
    <tableColumn id="1" xr3:uid="{77E6FAAF-0999-49E3-99CA-07D98C9A302A}" name="Month" dataDxfId="345"/>
    <tableColumn id="2" xr3:uid="{59B2FACE-FD04-4B01-9769-1826A4BFD80D}" name="Actual" dataDxfId="344"/>
    <tableColumn id="3" xr3:uid="{DD87B9A3-2D37-45A6-9CDD-6537DF23AD7E}" name="Expected" dataDxfId="343"/>
    <tableColumn id="4" xr3:uid="{39BA3CEA-CBCA-4E6F-A0CA-4FA3B466A116}" name="Delta Expected" dataDxfId="342">
      <calculatedColumnFormula>B5-C5</calculatedColumnFormula>
    </tableColumn>
    <tableColumn id="5" xr3:uid="{DB5ACD05-6D0B-47C1-9519-E2B6FF709AD5}" name="% Expected" dataDxfId="341">
      <calculatedColumnFormula>IFERROR(D5/C5, 0)</calculatedColumnFormula>
    </tableColumn>
    <tableColumn id="6" xr3:uid="{B193E813-1C65-4930-8970-A32E7C27509E}" name="Forecasted" dataDxfId="340"/>
    <tableColumn id="7" xr3:uid="{C6C06131-4F24-45CB-BB1F-B32FA41C796F}" name="Delta Forecasted" dataDxfId="339" dataCellStyle="Comma">
      <calculatedColumnFormula>B5-F5</calculatedColumnFormula>
    </tableColumn>
    <tableColumn id="8" xr3:uid="{6E033078-CE54-4928-B0CD-8B04664AB929}" name="% Forecasted" dataDxfId="338">
      <calculatedColumnFormula>IFERROR(G5/F5, 0)</calculatedColumnFormula>
    </tableColumn>
    <tableColumn id="9" xr3:uid="{0859B2AD-AA89-4C25-A003-2FC4E3A6AFF9}" name="Notes" dataDxfId="337"/>
    <tableColumn id="10" xr3:uid="{F24B3FC5-F17E-42AE-B8E7-5C6B1CD32D85}" name="Service Request" dataDxfId="3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CD5874-DAB5-4B1F-8F86-B91175B4CA6D}" name="Data18194" displayName="Data18194" ref="A4:J16" totalsRowShown="0" headerRowDxfId="333" dataDxfId="332" headerRowBorderDxfId="330" tableBorderDxfId="331">
  <autoFilter ref="A4:J16" xr:uid="{59A959C2-52B2-422A-A87A-BC08BBF40681}"/>
  <tableColumns count="10">
    <tableColumn id="1" xr3:uid="{0726BD8D-5F76-445E-A9B8-D14B24742738}" name="Month" dataDxfId="329"/>
    <tableColumn id="2" xr3:uid="{E21FE4FF-AEA0-4C4B-87EC-FBEEFDC8744A}" name="Actual" dataDxfId="328"/>
    <tableColumn id="3" xr3:uid="{945FEE39-7187-4128-89D0-D5A158EBF128}" name="Expected" dataDxfId="327"/>
    <tableColumn id="4" xr3:uid="{3F1EBE2D-E9CC-4229-9F5B-C4408786D16B}" name="Delta Expected" dataDxfId="326">
      <calculatedColumnFormula>B5-C5</calculatedColumnFormula>
    </tableColumn>
    <tableColumn id="5" xr3:uid="{BB51BF98-1618-4A65-B19D-0DC2940112DC}" name="% Expected" dataDxfId="325">
      <calculatedColumnFormula>IFERROR(D5/C5, 0)</calculatedColumnFormula>
    </tableColumn>
    <tableColumn id="6" xr3:uid="{94B4C132-D695-49A5-8FFB-D6869E6B07F4}" name="Forecasted" dataDxfId="324"/>
    <tableColumn id="7" xr3:uid="{8AC1ED40-0D2B-49A5-BA99-5866F7A9069E}" name="Delta Forecasted" dataDxfId="323" dataCellStyle="Comma">
      <calculatedColumnFormula>B5-F5</calculatedColumnFormula>
    </tableColumn>
    <tableColumn id="8" xr3:uid="{FBF27E6E-A7CE-449E-8D8D-881A6F0ADB1B}" name="% Forecasted" dataDxfId="322">
      <calculatedColumnFormula>IFERROR(G5/F5, 0)</calculatedColumnFormula>
    </tableColumn>
    <tableColumn id="9" xr3:uid="{860C116C-F860-45BF-B6FD-EDC56C841F38}" name="Notes" dataDxfId="321"/>
    <tableColumn id="10" xr3:uid="{4091F2BC-BF9C-41DF-BDA0-4932865C8FB8}" name="Service Request" dataDxfId="3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1F8037-9034-47F5-8251-3AC63E8B2F9B}" name="Data181945" displayName="Data181945" ref="A4:J16" totalsRowShown="0" headerRowDxfId="317" dataDxfId="316" headerRowBorderDxfId="314" tableBorderDxfId="315">
  <autoFilter ref="A4:J16" xr:uid="{59A959C2-52B2-422A-A87A-BC08BBF40681}"/>
  <tableColumns count="10">
    <tableColumn id="1" xr3:uid="{8312B39A-2764-4FC7-8ED0-4897CFD5C368}" name="Month" dataDxfId="313"/>
    <tableColumn id="2" xr3:uid="{DAC29F8B-E7E0-4909-A75E-BFEC1737F59F}" name="Actual" dataDxfId="312"/>
    <tableColumn id="3" xr3:uid="{58B23442-9425-42F9-A075-36E517A38A6F}" name="Expected" dataDxfId="311"/>
    <tableColumn id="4" xr3:uid="{B1D726EA-320D-441C-B163-D2BE572BD86D}" name="Delta Expected" dataDxfId="310">
      <calculatedColumnFormula>B5-C5</calculatedColumnFormula>
    </tableColumn>
    <tableColumn id="5" xr3:uid="{CF38E277-18BD-4059-BE68-8916E77F7BCB}" name="% Expected" dataDxfId="309">
      <calculatedColumnFormula>IFERROR(D5/C5, 0)</calculatedColumnFormula>
    </tableColumn>
    <tableColumn id="6" xr3:uid="{01EF16BD-5791-4556-99BA-41E9244D1E8A}" name="Forecasted" dataDxfId="308"/>
    <tableColumn id="7" xr3:uid="{F10BF13A-DAA3-43F1-8AC1-7559012953AB}" name="Delta Forecasted" dataDxfId="307" dataCellStyle="Comma">
      <calculatedColumnFormula>B5-F5</calculatedColumnFormula>
    </tableColumn>
    <tableColumn id="8" xr3:uid="{518C1001-34F8-44D8-9E34-86E797663CA3}" name="% Forecasted" dataDxfId="306">
      <calculatedColumnFormula>IFERROR(G5/F5, 0)</calculatedColumnFormula>
    </tableColumn>
    <tableColumn id="9" xr3:uid="{E7D6E3BE-7CF4-4F97-BAFB-AF43EBE284CA}" name="Notes" dataDxfId="305"/>
    <tableColumn id="10" xr3:uid="{C4E55017-AF0E-4546-B9F8-6502F01E9BAC}" name="Service Request" dataDxfId="30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2A7CAA-2BF4-4A10-A6EB-E7C7C59D8B9B}" name="Data18194567" displayName="Data18194567" ref="A4:J16" totalsRowShown="0" headerRowDxfId="301" dataDxfId="300" headerRowBorderDxfId="298" tableBorderDxfId="299">
  <autoFilter ref="A4:J16" xr:uid="{59A959C2-52B2-422A-A87A-BC08BBF40681}"/>
  <tableColumns count="10">
    <tableColumn id="1" xr3:uid="{FEAE95F0-2622-4E4A-B778-B5EE4E6B1CC5}" name="Month" dataDxfId="297"/>
    <tableColumn id="2" xr3:uid="{44C1C4BF-AF09-40B5-B080-5165F5696779}" name="Actual" dataDxfId="296"/>
    <tableColumn id="3" xr3:uid="{38383048-8CCD-4585-81FB-360DF7490176}" name="Expected" dataDxfId="295"/>
    <tableColumn id="4" xr3:uid="{0317B9CB-F995-4307-8035-6B080CA0ECF1}" name="Delta Expected" dataDxfId="294">
      <calculatedColumnFormula>B5-C5</calculatedColumnFormula>
    </tableColumn>
    <tableColumn id="5" xr3:uid="{937907F6-C7F9-41A7-8098-9AEF95D88C08}" name="% Expected" dataDxfId="293">
      <calculatedColumnFormula>IFERROR(D5/C5, 0)</calculatedColumnFormula>
    </tableColumn>
    <tableColumn id="6" xr3:uid="{93F092A1-06BF-41CA-AE40-F42F0F0F9245}" name="Forecasted" dataDxfId="292"/>
    <tableColumn id="7" xr3:uid="{1898FFE8-84BC-4764-9E34-D613652A2F1F}" name="Delta Forecasted" dataDxfId="291" dataCellStyle="Comma">
      <calculatedColumnFormula>B5-F5</calculatedColumnFormula>
    </tableColumn>
    <tableColumn id="8" xr3:uid="{68CB3B9D-395E-411E-9014-D0E309FDCEF1}" name="% Forecasted" dataDxfId="290">
      <calculatedColumnFormula>IFERROR(G5/F5, 0)</calculatedColumnFormula>
    </tableColumn>
    <tableColumn id="9" xr3:uid="{493E32E3-9367-4D90-9E6F-C86EFF7745A5}" name="Notes" dataDxfId="289"/>
    <tableColumn id="10" xr3:uid="{AC1D3543-1D3B-4C22-A6CA-6A6A0DF867CE}" name="Service Request" dataDxfId="28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0ED81F-3F79-44A1-8E6F-5C3F696D9220}" name="Data18194567891011" displayName="Data18194567891011" ref="A4:J16" totalsRowShown="0" headerRowDxfId="285" dataDxfId="284" headerRowBorderDxfId="282" tableBorderDxfId="283">
  <autoFilter ref="A4:J16" xr:uid="{59A959C2-52B2-422A-A87A-BC08BBF40681}"/>
  <tableColumns count="10">
    <tableColumn id="1" xr3:uid="{8C9C2CB2-228B-4D82-8F02-090B3FB8058F}" name="Month" dataDxfId="281"/>
    <tableColumn id="2" xr3:uid="{BBB5B258-9D40-40CE-8314-BA50C4641E70}" name="Actual" dataDxfId="280"/>
    <tableColumn id="3" xr3:uid="{DF8C8117-BF6D-4B65-864A-885BA9A4E3F0}" name="Expected" dataDxfId="279"/>
    <tableColumn id="4" xr3:uid="{7578A5F1-FF8C-4414-905D-391CE3277BB0}" name="Delta Expected" dataDxfId="278">
      <calculatedColumnFormula>B5-C5</calculatedColumnFormula>
    </tableColumn>
    <tableColumn id="5" xr3:uid="{92E1DAB6-28B5-4045-976C-9FCFE3502F8A}" name="% Expected" dataDxfId="277">
      <calculatedColumnFormula>IFERROR(D5/C5, 0)</calculatedColumnFormula>
    </tableColumn>
    <tableColumn id="6" xr3:uid="{20B7EAC1-6566-4894-831E-0C67B150A7EB}" name="Forecasted" dataDxfId="276"/>
    <tableColumn id="7" xr3:uid="{AE874C42-3D84-4BB3-9E24-D2E3123CC14E}" name="Delta Forecasted" dataDxfId="275" dataCellStyle="Comma">
      <calculatedColumnFormula>B5-F5</calculatedColumnFormula>
    </tableColumn>
    <tableColumn id="8" xr3:uid="{DA1FBE74-2829-480D-8E6E-60DE93E79D49}" name="% Forecasted" dataDxfId="274">
      <calculatedColumnFormula>IFERROR(G5/F5, 0)</calculatedColumnFormula>
    </tableColumn>
    <tableColumn id="9" xr3:uid="{CD6E5D0A-5192-401F-B8C8-506E6FC2DC3F}" name="Notes" dataDxfId="273"/>
    <tableColumn id="10" xr3:uid="{7D0F2FCC-91A1-43EB-9779-F514273D6652}" name="Service Request" dataDxfId="2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269" dataDxfId="268" headerRowBorderDxfId="266" tableBorderDxfId="267">
  <autoFilter ref="A4:J16" xr:uid="{59A959C2-52B2-422A-A87A-BC08BBF40681}"/>
  <tableColumns count="10">
    <tableColumn id="1" xr3:uid="{5546520C-DCC9-49E9-9FB3-CE316D4944DA}" name="Month" dataDxfId="265"/>
    <tableColumn id="2" xr3:uid="{DDF452E8-4CE6-4DD7-83F1-6C18FAC64F53}" name="Actual" dataDxfId="264"/>
    <tableColumn id="3" xr3:uid="{854FA685-1E8D-434A-A191-70ED326137F6}" name="Expected" dataDxfId="263"/>
    <tableColumn id="4" xr3:uid="{5C3F4DED-9A03-4256-AB35-C17DABA79D2D}" name="Delta Expected" dataDxfId="262">
      <calculatedColumnFormula>B5-C5</calculatedColumnFormula>
    </tableColumn>
    <tableColumn id="5" xr3:uid="{41D24EBB-4EC4-4943-84C6-B4913606DB53}" name="% Expected" dataDxfId="261">
      <calculatedColumnFormula>IFERROR(D5/C5, 0)</calculatedColumnFormula>
    </tableColumn>
    <tableColumn id="6" xr3:uid="{BD395EF8-0433-4B53-BE3C-227C7BC36415}" name="Forecasted" dataDxfId="260"/>
    <tableColumn id="7" xr3:uid="{72B64D61-E6FB-4C48-8CEB-D343DF097E3E}" name="Delta Forecasted" dataDxfId="259" dataCellStyle="Comma">
      <calculatedColumnFormula>B5-F5</calculatedColumnFormula>
    </tableColumn>
    <tableColumn id="8" xr3:uid="{27F4C8CA-7E0A-46AD-8278-F15F669646B7}" name="% Forecasted" dataDxfId="258">
      <calculatedColumnFormula>IFERROR(G5/F5, 0)</calculatedColumnFormula>
    </tableColumn>
    <tableColumn id="9" xr3:uid="{623D8263-ADF2-4E83-A133-77A77ECF5573}" name="Notes" dataDxfId="257"/>
    <tableColumn id="10" xr3:uid="{D21843AC-EB45-41B5-BBF8-600127984792}" name="Service Request" dataDxfId="2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253" dataDxfId="252" headerRowBorderDxfId="250" tableBorderDxfId="251">
  <autoFilter ref="A4:J16" xr:uid="{59A959C2-52B2-422A-A87A-BC08BBF40681}"/>
  <tableColumns count="10">
    <tableColumn id="1" xr3:uid="{300F2B93-3E43-4029-9602-E5303206602D}" name="Month" dataDxfId="249"/>
    <tableColumn id="2" xr3:uid="{37FF0282-4483-4A16-B4CD-FA5C5D2AAB66}" name="Actual" dataDxfId="248"/>
    <tableColumn id="3" xr3:uid="{4B1572C6-48CA-4285-A895-59F55B5B6A3F}" name="Expected" dataDxfId="247"/>
    <tableColumn id="4" xr3:uid="{05CC6563-3045-40DE-A32C-A03045F46221}" name="Delta Expected" dataDxfId="246">
      <calculatedColumnFormula>B5-C5</calculatedColumnFormula>
    </tableColumn>
    <tableColumn id="5" xr3:uid="{0112F9D3-7673-407D-B2C0-617699B4EADA}" name="% Expected" dataDxfId="245">
      <calculatedColumnFormula>IFERROR(D5/C5, 0)</calculatedColumnFormula>
    </tableColumn>
    <tableColumn id="6" xr3:uid="{66AF3356-8A8A-4469-9904-982EE44943E2}" name="Forecasted" dataDxfId="244"/>
    <tableColumn id="7" xr3:uid="{C6527BC9-FA83-465E-9209-CCE13ABEDC9D}" name="Delta Forecasted" dataDxfId="243" dataCellStyle="Comma">
      <calculatedColumnFormula>B5-F5</calculatedColumnFormula>
    </tableColumn>
    <tableColumn id="8" xr3:uid="{FA6C6671-F650-4018-910D-2FFB550B3762}" name="% Forecasted" dataDxfId="242">
      <calculatedColumnFormula>IFERROR(G5/F5, 0)</calculatedColumnFormula>
    </tableColumn>
    <tableColumn id="9" xr3:uid="{2783C74E-2CBC-4809-B11D-46D4F8FBBA31}" name="Notes" dataDxfId="241"/>
    <tableColumn id="10" xr3:uid="{0D13FC05-4475-4C0F-ACFE-D5CA9083D091}" name="Service Request" dataDxfId="24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C07257C-BFB6-4805-8596-0866AA78AA5C}" name="Data18192021222324252627" displayName="Data18192021222324252627" ref="A4:J16" totalsRowShown="0" headerRowDxfId="237" dataDxfId="236" headerRowBorderDxfId="234" tableBorderDxfId="235">
  <autoFilter ref="A4:J16" xr:uid="{59A959C2-52B2-422A-A87A-BC08BBF40681}"/>
  <tableColumns count="10">
    <tableColumn id="1" xr3:uid="{838083B7-0287-4C21-9A6F-17E6A9A57D22}" name="Month" dataDxfId="233"/>
    <tableColumn id="2" xr3:uid="{247316F2-665B-4CB8-AE98-B160EDC17CD1}" name="Actual" dataDxfId="232"/>
    <tableColumn id="3" xr3:uid="{28F7712E-DE86-4EF2-A5CF-1CC2167EC41E}" name="Expected" dataDxfId="231"/>
    <tableColumn id="4" xr3:uid="{D3B59548-44B6-4CD4-9C83-00A146E8357F}" name="Delta Expected" dataDxfId="230">
      <calculatedColumnFormula>B5-C5</calculatedColumnFormula>
    </tableColumn>
    <tableColumn id="5" xr3:uid="{0F77CB24-DF7E-44EB-8F7A-EF266ED592AE}" name="% Expected" dataDxfId="229">
      <calculatedColumnFormula>IFERROR(D5/C5, 0)</calculatedColumnFormula>
    </tableColumn>
    <tableColumn id="6" xr3:uid="{8C639BB8-17D1-4724-86F9-E040B1E62A03}" name="Forecasted" dataDxfId="228"/>
    <tableColumn id="7" xr3:uid="{44F5CABC-A9BD-4E7B-9A00-6B48C98165F9}" name="Delta Forecasted" dataDxfId="227" dataCellStyle="Comma">
      <calculatedColumnFormula>B5-F5</calculatedColumnFormula>
    </tableColumn>
    <tableColumn id="8" xr3:uid="{2C2956C7-5C1E-43AF-BBA2-759C09FFD0D8}" name="% Forecasted" dataDxfId="226">
      <calculatedColumnFormula>IFERROR(G5/F5, 0)</calculatedColumnFormula>
    </tableColumn>
    <tableColumn id="9" xr3:uid="{482A0B3D-F68B-4980-A8D8-A77870F1CACE}" name="Notes" dataDxfId="225"/>
    <tableColumn id="10" xr3:uid="{8EDA506D-EE14-4152-8B4C-D3AEABA8ED99}" name="Service Request" dataDxfId="22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F5D43DC-7B0D-48EC-94A4-CE40DD703B34}" name="Data18194567891012" displayName="Data18194567891012" ref="A4:J16" totalsRowShown="0" headerRowDxfId="221" dataDxfId="220" headerRowBorderDxfId="218" tableBorderDxfId="219">
  <autoFilter ref="A4:J16" xr:uid="{59A959C2-52B2-422A-A87A-BC08BBF40681}"/>
  <tableColumns count="10">
    <tableColumn id="1" xr3:uid="{3A94A1AF-72BA-48C3-BBDC-C7CCBCCD89EF}" name="Month" dataDxfId="217"/>
    <tableColumn id="2" xr3:uid="{657718C5-E5A2-433C-A986-7506D89A2FC0}" name="Actual" dataDxfId="216"/>
    <tableColumn id="3" xr3:uid="{0D52414E-506F-4691-82F1-DD939D2EDB89}" name="Expected" dataDxfId="215"/>
    <tableColumn id="4" xr3:uid="{A670DF5E-EDE0-4B53-8DD9-020EFECE4428}" name="Delta Expected" dataDxfId="214">
      <calculatedColumnFormula>B5-C5</calculatedColumnFormula>
    </tableColumn>
    <tableColumn id="5" xr3:uid="{A6287400-9C7B-49D5-91BE-A381FF815DF9}" name="% Expected" dataDxfId="213">
      <calculatedColumnFormula>IFERROR(D5/C5, 0)</calculatedColumnFormula>
    </tableColumn>
    <tableColumn id="6" xr3:uid="{94F35F2A-D09C-4BFB-85B5-6D6F1F218520}" name="Forecasted" dataDxfId="212"/>
    <tableColumn id="7" xr3:uid="{8F60CA2F-4172-452D-8DA7-18841AC7CCA3}" name="Delta Forecasted" dataDxfId="211" dataCellStyle="Comma">
      <calculatedColumnFormula>B5-F5</calculatedColumnFormula>
    </tableColumn>
    <tableColumn id="8" xr3:uid="{2C226994-EED4-46C3-91DB-3F59DCA47E50}" name="% Forecasted" dataDxfId="210">
      <calculatedColumnFormula>IFERROR(G5/F5, 0)</calculatedColumnFormula>
    </tableColumn>
    <tableColumn id="9" xr3:uid="{B995DBF2-89B8-4571-A959-E03B9D47C88B}" name="Notes" dataDxfId="209"/>
    <tableColumn id="10" xr3:uid="{340D9B11-A3A0-4D38-A5AB-762E567BE6A0}" name="Service Request" dataDxfId="20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71A082B-0D47-4E2D-9555-738163BED569}" name="Data181945678910121314" displayName="Data181945678910121314" ref="A4:J16" totalsRowShown="0" headerRowDxfId="205" dataDxfId="204" headerRowBorderDxfId="202" tableBorderDxfId="203">
  <autoFilter ref="A4:J16" xr:uid="{59A959C2-52B2-422A-A87A-BC08BBF40681}"/>
  <tableColumns count="10">
    <tableColumn id="1" xr3:uid="{96717C66-1EC6-417F-A329-F4F86C8F4593}" name="Month" dataDxfId="201"/>
    <tableColumn id="2" xr3:uid="{270348BA-BFC4-4721-B0A5-D0E2E3702D35}" name="Actual" dataDxfId="200"/>
    <tableColumn id="3" xr3:uid="{0C105F3F-A90B-4515-ADE9-FBD038E24DDB}" name="Expected" dataDxfId="199"/>
    <tableColumn id="4" xr3:uid="{249BFC0A-CAF9-452D-BE65-C60A0E8FC582}" name="Delta Expected" dataDxfId="198">
      <calculatedColumnFormula>B5-C5</calculatedColumnFormula>
    </tableColumn>
    <tableColumn id="5" xr3:uid="{2CF3C3A1-744B-40DD-9B56-03C2562E484F}" name="% Expected" dataDxfId="197">
      <calculatedColumnFormula>IFERROR(D5/C5, 0)</calculatedColumnFormula>
    </tableColumn>
    <tableColumn id="6" xr3:uid="{BF278DE6-9792-494B-B4C9-FBE0D9874BF5}" name="Forecasted" dataDxfId="196"/>
    <tableColumn id="7" xr3:uid="{AC91EE75-9556-4F37-BFF6-A561ECA79044}" name="Delta Forecasted" dataDxfId="195" dataCellStyle="Comma">
      <calculatedColumnFormula>B5-F5</calculatedColumnFormula>
    </tableColumn>
    <tableColumn id="8" xr3:uid="{E80D4F99-5E92-4153-9611-A45B969F909A}" name="% Forecasted" dataDxfId="194">
      <calculatedColumnFormula>IFERROR(G5/F5, 0)</calculatedColumnFormula>
    </tableColumn>
    <tableColumn id="9" xr3:uid="{E6D780F0-321C-4D6F-A93D-E30B735BC8B9}" name="Notes" dataDxfId="193"/>
    <tableColumn id="10" xr3:uid="{2ADC56D8-D804-46E1-9D9F-95234D7B3D55}" name="Service Request" dataDxfId="19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C46EC1-B5BA-41E9-9019-D42680A295E3}" name="Data1819456789101213" displayName="Data1819456789101213" ref="A4:J16" totalsRowShown="0" headerRowDxfId="189" dataDxfId="188" headerRowBorderDxfId="186" tableBorderDxfId="187">
  <autoFilter ref="A4:J16" xr:uid="{59A959C2-52B2-422A-A87A-BC08BBF40681}"/>
  <tableColumns count="10">
    <tableColumn id="1" xr3:uid="{80670A7E-9C43-4349-B2A1-E21486E8F4E5}" name="Month" dataDxfId="185"/>
    <tableColumn id="2" xr3:uid="{FC196C3A-7D3E-4AE2-9F6A-8DE9A66B2336}" name="Actual" dataDxfId="184"/>
    <tableColumn id="3" xr3:uid="{98BD7AAF-4C2B-4978-A925-F27258BD7E9C}" name="Expected" dataDxfId="183"/>
    <tableColumn id="4" xr3:uid="{B03EFB9C-2A5C-41C8-8A7A-DB116C5206E6}" name="Delta Expected" dataDxfId="182">
      <calculatedColumnFormula>B5-C5</calculatedColumnFormula>
    </tableColumn>
    <tableColumn id="5" xr3:uid="{8C85135D-200A-4EB5-99A5-66721D01A1BF}" name="% Expected" dataDxfId="181">
      <calculatedColumnFormula>IFERROR(D5/C5, 0)</calculatedColumnFormula>
    </tableColumn>
    <tableColumn id="6" xr3:uid="{CC03B6A4-12A5-42BD-B60D-FD46F9422345}" name="Forecasted" dataDxfId="180"/>
    <tableColumn id="7" xr3:uid="{8F5C258A-6209-4E93-A183-515C0CB64C17}" name="Delta Forecasted" dataDxfId="179" dataCellStyle="Comma">
      <calculatedColumnFormula>B5-F5</calculatedColumnFormula>
    </tableColumn>
    <tableColumn id="8" xr3:uid="{58CC76E8-3089-4649-B1EC-A959E276C5EC}" name="% Forecasted" dataDxfId="178">
      <calculatedColumnFormula>IFERROR(G5/F5, 0)</calculatedColumnFormula>
    </tableColumn>
    <tableColumn id="9" xr3:uid="{66E086C6-5CBF-4768-9192-2122A5F8F267}" name="Notes" dataDxfId="177"/>
    <tableColumn id="10" xr3:uid="{9808D9A3-DF29-4B7A-9C45-A5DF16F99560}" name="Service Request" dataDxfId="17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A9A3C44-577B-4C40-8F57-7207CDD719E6}" name="Data1819202122232425" displayName="Data1819202122232425" ref="A4:J16" totalsRowShown="0" headerRowDxfId="173" dataDxfId="172" headerRowBorderDxfId="170" tableBorderDxfId="171">
  <autoFilter ref="A4:J16" xr:uid="{59A959C2-52B2-422A-A87A-BC08BBF40681}"/>
  <tableColumns count="10">
    <tableColumn id="1" xr3:uid="{3A3EEF0D-D014-4E53-901F-CA7C928A30A1}" name="Month" dataDxfId="169"/>
    <tableColumn id="2" xr3:uid="{ACE88E48-6015-4F1C-B2B4-901B0FB7A72E}" name="Actual" dataDxfId="168"/>
    <tableColumn id="3" xr3:uid="{C450CF17-55EB-41DF-86BF-0F90B2B17116}" name="Expected" dataDxfId="167"/>
    <tableColumn id="4" xr3:uid="{D328879F-AF67-4769-A8A0-1C5A45E099F0}" name="Delta Expected" dataDxfId="166">
      <calculatedColumnFormula>B5-C5</calculatedColumnFormula>
    </tableColumn>
    <tableColumn id="5" xr3:uid="{5A328FC1-E240-4800-9AF2-110C4A4ECC65}" name="% Expected" dataDxfId="165">
      <calculatedColumnFormula>IFERROR(D5/C5, 0)</calculatedColumnFormula>
    </tableColumn>
    <tableColumn id="6" xr3:uid="{7C79FD01-0775-4035-A0D4-C688561910F6}" name="Forecasted" dataDxfId="164"/>
    <tableColumn id="7" xr3:uid="{9B11E4B3-2FEA-48ED-B46E-5AD64770E9EF}" name="Delta Forecasted" dataDxfId="163" dataCellStyle="Comma">
      <calculatedColumnFormula>B5-F5</calculatedColumnFormula>
    </tableColumn>
    <tableColumn id="8" xr3:uid="{E2E6FD63-076A-4431-AAB9-BC1A2E2B8105}" name="% Forecasted" dataDxfId="162">
      <calculatedColumnFormula>IFERROR(G5/F5, 0)</calculatedColumnFormula>
    </tableColumn>
    <tableColumn id="9" xr3:uid="{CCA03326-3B22-4649-B671-18B331CFCFC9}" name="Notes" dataDxfId="161"/>
    <tableColumn id="10" xr3:uid="{6C921FF4-9FBC-47A9-B98A-CB58C94F10C5}" name="Service Request" dataDxfId="16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83D6B4A-9416-4379-8BD6-AD0B1630A41D}" name="Data1819202122" displayName="Data1819202122" ref="A4:J16" totalsRowShown="0" headerRowDxfId="157" dataDxfId="156" headerRowBorderDxfId="154" tableBorderDxfId="155">
  <autoFilter ref="A4:J16" xr:uid="{59A959C2-52B2-422A-A87A-BC08BBF40681}"/>
  <tableColumns count="10">
    <tableColumn id="1" xr3:uid="{347C7D3C-FD82-46F9-BEBD-8735F2193CE9}" name="Month" dataDxfId="153"/>
    <tableColumn id="2" xr3:uid="{199C91A5-15D1-40E0-8621-51A592031F8A}" name="Actual" dataDxfId="152"/>
    <tableColumn id="3" xr3:uid="{7A6FD5D4-0F5A-4349-BB04-3685AC1C21F9}" name="Expected" dataDxfId="151"/>
    <tableColumn id="4" xr3:uid="{37A4EBAC-FCA0-45AD-A30B-96A8319A8E0C}" name="Delta Expected" dataDxfId="150">
      <calculatedColumnFormula>B5-C5</calculatedColumnFormula>
    </tableColumn>
    <tableColumn id="5" xr3:uid="{49F0FD00-E5C0-4904-AFDC-2209D8270C83}" name="% Expected" dataDxfId="149">
      <calculatedColumnFormula>IFERROR(D5/C5, 0)</calculatedColumnFormula>
    </tableColumn>
    <tableColumn id="6" xr3:uid="{435BBA7F-11D8-4DB8-88B6-3C87B3349883}" name="Forecasted" dataDxfId="148"/>
    <tableColumn id="7" xr3:uid="{57D2837A-D5C4-4D5B-A637-2DBB8F89E7B7}" name="Delta Forecasted" dataDxfId="147" dataCellStyle="Comma">
      <calculatedColumnFormula>B5-F5</calculatedColumnFormula>
    </tableColumn>
    <tableColumn id="8" xr3:uid="{D5D39AF6-24F2-48A2-B19B-F5FADCA2161A}" name="% Forecasted" dataDxfId="146">
      <calculatedColumnFormula>IFERROR(G5/F5, 0)</calculatedColumnFormula>
    </tableColumn>
    <tableColumn id="9" xr3:uid="{BDCD9932-214E-402F-BB90-9556552F7689}" name="Notes" dataDxfId="145"/>
    <tableColumn id="10" xr3:uid="{6961543E-6754-46C0-ABF0-4377D20747FD}" name="Service Request" dataDxfId="14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5F8F4CC-F9DF-4064-A109-D677019A6B4A}" name="Data1819202129" displayName="Data1819202129" ref="A4:J16" totalsRowShown="0" headerRowDxfId="141" dataDxfId="140" headerRowBorderDxfId="138" tableBorderDxfId="139">
  <autoFilter ref="A4:J16" xr:uid="{59A959C2-52B2-422A-A87A-BC08BBF40681}"/>
  <tableColumns count="10">
    <tableColumn id="1" xr3:uid="{5E6E1DF3-291C-4317-8B90-B38224AE85B4}" name="Month" dataDxfId="137"/>
    <tableColumn id="2" xr3:uid="{FD726984-5758-4C54-9CD2-641DEE206A55}" name="Actual" dataDxfId="136"/>
    <tableColumn id="3" xr3:uid="{0BF58DCD-6379-4A26-8254-BBFE2FFDB990}" name="Expected" dataDxfId="135"/>
    <tableColumn id="4" xr3:uid="{E6BD6D5A-EA9D-401B-8AA1-9430D80C0943}" name="Delta Expected" dataDxfId="134">
      <calculatedColumnFormula>B5-C5</calculatedColumnFormula>
    </tableColumn>
    <tableColumn id="5" xr3:uid="{CE84C08A-509D-448F-82D3-3F5FFB720A54}" name="% Expected" dataDxfId="133">
      <calculatedColumnFormula>IFERROR(D5/C5, 0)</calculatedColumnFormula>
    </tableColumn>
    <tableColumn id="6" xr3:uid="{5551BF92-6B60-4C37-A1AF-34332FF7E18F}" name="Forecasted" dataDxfId="132"/>
    <tableColumn id="7" xr3:uid="{090BB86A-DFAA-4458-8739-3FECCC845861}" name="Delta Forecasted" dataDxfId="131" dataCellStyle="Comma">
      <calculatedColumnFormula>B5-F5</calculatedColumnFormula>
    </tableColumn>
    <tableColumn id="8" xr3:uid="{A0F704B9-D9BC-4C25-9B01-EEF4CDBB244D}" name="% Forecasted" dataDxfId="130">
      <calculatedColumnFormula>IFERROR(G5/F5, 0)</calculatedColumnFormula>
    </tableColumn>
    <tableColumn id="9" xr3:uid="{013B8AF9-6C0E-4448-A9BE-F72AA4D66478}" name="Notes" dataDxfId="129"/>
    <tableColumn id="10" xr3:uid="{AF00D379-93D4-49A0-AA91-86B8B0653CB5}" name="Service Request" dataDxfId="12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2B0B743-DC6E-44E5-8EAA-B173BB52D67E}" name="Data18192021" displayName="Data18192021" ref="A4:J16" totalsRowShown="0" headerRowDxfId="125" dataDxfId="124" headerRowBorderDxfId="122" tableBorderDxfId="123">
  <autoFilter ref="A4:J16" xr:uid="{59A959C2-52B2-422A-A87A-BC08BBF40681}"/>
  <tableColumns count="10">
    <tableColumn id="1" xr3:uid="{02CBB29B-8FA5-4F92-8AF1-3ACF6DE0405A}" name="Month" dataDxfId="121"/>
    <tableColumn id="2" xr3:uid="{9F3DD7A4-1E93-48C9-865C-6884066E1FF6}" name="Actual" dataDxfId="120"/>
    <tableColumn id="3" xr3:uid="{19F29B76-B230-4627-9560-E871FAA1F939}" name="Expected" dataDxfId="119"/>
    <tableColumn id="4" xr3:uid="{816FC8AC-921F-4501-A77B-C19037E643D9}" name="Delta Expected" dataDxfId="118">
      <calculatedColumnFormula>B5-C5</calculatedColumnFormula>
    </tableColumn>
    <tableColumn id="5" xr3:uid="{D36857E3-4341-4AFF-A150-8993BE8FDE37}" name="% Expected" dataDxfId="117">
      <calculatedColumnFormula>IFERROR(D5/C5, 0)</calculatedColumnFormula>
    </tableColumn>
    <tableColumn id="6" xr3:uid="{AE4608B8-75F0-4E4F-91A6-C0556D119D4E}" name="Forecasted" dataDxfId="116"/>
    <tableColumn id="7" xr3:uid="{333D3E1E-F642-46CC-9C6B-93D4AA6809B4}" name="Delta Forecasted" dataDxfId="115" dataCellStyle="Comma">
      <calculatedColumnFormula>B5-F5</calculatedColumnFormula>
    </tableColumn>
    <tableColumn id="8" xr3:uid="{8761E2DE-58C9-41CE-A033-5FE829C1BA70}" name="% Forecasted" dataDxfId="114">
      <calculatedColumnFormula>IFERROR(G5/F5, 0)</calculatedColumnFormula>
    </tableColumn>
    <tableColumn id="9" xr3:uid="{DA86E462-D5CA-47CC-BB6F-E306D0C644A1}" name="Notes" dataDxfId="113"/>
    <tableColumn id="10" xr3:uid="{A116F92D-16FB-49E5-A53A-E4A92439DF62}" name="Service Request" dataDxfId="11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90D28C-A6C0-426B-AEE0-6BE5ECB4481D}" name="Data1819456" displayName="Data1819456" ref="A4:J16" totalsRowShown="0" headerRowDxfId="109" dataDxfId="108" headerRowBorderDxfId="106" tableBorderDxfId="107">
  <autoFilter ref="A4:J16" xr:uid="{59A959C2-52B2-422A-A87A-BC08BBF40681}"/>
  <tableColumns count="10">
    <tableColumn id="1" xr3:uid="{377A3203-E998-45CC-813E-90B2552A336B}" name="Month" dataDxfId="105"/>
    <tableColumn id="2" xr3:uid="{9A959F7D-D992-4D1F-AA27-B35581375560}" name="Actual" dataDxfId="104"/>
    <tableColumn id="3" xr3:uid="{53977CBB-688D-42DA-B38A-4EE650A6A159}" name="Expected" dataDxfId="103"/>
    <tableColumn id="4" xr3:uid="{4CEB3A2B-BE58-4BCF-8067-764B177AB0EB}" name="Delta Expected" dataDxfId="102">
      <calculatedColumnFormula>B5-C5</calculatedColumnFormula>
    </tableColumn>
    <tableColumn id="5" xr3:uid="{E73C6B2B-98A7-4A28-98D5-11049E069848}" name="% Expected" dataDxfId="101">
      <calculatedColumnFormula>IFERROR(D5/C5, 0)</calculatedColumnFormula>
    </tableColumn>
    <tableColumn id="6" xr3:uid="{49D2CD94-6A01-4B23-A714-D820372DD623}" name="Forecasted" dataDxfId="100"/>
    <tableColumn id="7" xr3:uid="{47A9E5AB-D835-4A65-92DB-DE1B8A56709A}" name="Delta Forecasted" dataDxfId="99" dataCellStyle="Comma">
      <calculatedColumnFormula>B5-F5</calculatedColumnFormula>
    </tableColumn>
    <tableColumn id="8" xr3:uid="{B07EF404-CE90-4262-97C2-EAB32574E27E}" name="% Forecasted" dataDxfId="98">
      <calculatedColumnFormula>IFERROR(G5/F5, 0)</calculatedColumnFormula>
    </tableColumn>
    <tableColumn id="9" xr3:uid="{55432DB6-11AA-4E78-A0A9-DCED5F2170BA}" name="Notes" dataDxfId="97"/>
    <tableColumn id="10" xr3:uid="{C2C18C11-8E2D-4012-98BF-881ECC39AB36}" name="Service Request" dataDxfId="9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506E4F3-2F10-474C-BBF1-B711C4A5F7C2}" name="Data181945678910121315" displayName="Data181945678910121315" ref="A4:J16" totalsRowShown="0" headerRowDxfId="93" dataDxfId="92" headerRowBorderDxfId="90" tableBorderDxfId="91">
  <autoFilter ref="A4:J16" xr:uid="{59A959C2-52B2-422A-A87A-BC08BBF40681}"/>
  <tableColumns count="10">
    <tableColumn id="1" xr3:uid="{ACC6BF72-09BF-46A2-B25F-E375F1E2DC7A}" name="Month" dataDxfId="89"/>
    <tableColumn id="2" xr3:uid="{D2D90CD5-226B-4BF7-ADA6-F52C9742CB9B}" name="Actual" dataDxfId="88"/>
    <tableColumn id="3" xr3:uid="{9156375F-C353-4C40-8AB9-DD3541164C5C}" name="Expected" dataDxfId="87"/>
    <tableColumn id="4" xr3:uid="{CBFF7170-89CC-4C17-9EB6-30CEF51AD85C}" name="Delta Expected" dataDxfId="86">
      <calculatedColumnFormula>B5-C5</calculatedColumnFormula>
    </tableColumn>
    <tableColumn id="5" xr3:uid="{33E21373-0F6C-4DBD-AAE1-27724C656FE7}" name="% Expected" dataDxfId="85">
      <calculatedColumnFormula>IFERROR(D5/C5, 0)</calculatedColumnFormula>
    </tableColumn>
    <tableColumn id="6" xr3:uid="{5B809A21-99B3-4CFE-B30B-491EEDCC1AC2}" name="Forecasted" dataDxfId="84"/>
    <tableColumn id="7" xr3:uid="{45B6F1FF-2BBC-467E-86D3-3DEC540E7E91}" name="Delta Forecasted" dataDxfId="83" dataCellStyle="Comma">
      <calculatedColumnFormula>B5-F5</calculatedColumnFormula>
    </tableColumn>
    <tableColumn id="8" xr3:uid="{C40312C6-AC58-4F16-8321-DD97134D843C}" name="% Forecasted" dataDxfId="82">
      <calculatedColumnFormula>IFERROR(G5/F5, 0)</calculatedColumnFormula>
    </tableColumn>
    <tableColumn id="9" xr3:uid="{5F7E39F5-1515-4F52-BEA2-BE2CD96B827D}" name="Notes" dataDxfId="81"/>
    <tableColumn id="10" xr3:uid="{763464C4-1B63-486E-A46A-820904223793}" name="Service Request" dataDxfId="8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0144F7-C0B3-4F73-A1F4-691A1BA2AB74}" name="Data181945678" displayName="Data181945678" ref="A4:J16" totalsRowShown="0" headerRowDxfId="77" dataDxfId="76" headerRowBorderDxfId="74" tableBorderDxfId="75">
  <autoFilter ref="A4:J16" xr:uid="{59A959C2-52B2-422A-A87A-BC08BBF40681}"/>
  <tableColumns count="10">
    <tableColumn id="1" xr3:uid="{E99F96D3-846C-46F6-BB5B-B407B9BB4B3D}" name="Month" dataDxfId="73"/>
    <tableColumn id="2" xr3:uid="{4EBFC1C4-4BBB-4E59-A4BF-8FA78F8BFC04}" name="Actual" dataDxfId="72"/>
    <tableColumn id="3" xr3:uid="{814D82B3-6732-4453-BE42-E3DED5761DF8}" name="Expected" dataDxfId="71"/>
    <tableColumn id="4" xr3:uid="{ECEC5C3C-CBE4-41EF-8DE8-803315568508}" name="Delta Expected" dataDxfId="70">
      <calculatedColumnFormula>B5-C5</calculatedColumnFormula>
    </tableColumn>
    <tableColumn id="5" xr3:uid="{A0E2E8A8-94B3-4A52-9C70-29D55BCDDB73}" name="% Expected" dataDxfId="69">
      <calculatedColumnFormula>IFERROR(D5/C5, 0)</calculatedColumnFormula>
    </tableColumn>
    <tableColumn id="6" xr3:uid="{7F0171F8-C380-460C-B709-94ADE0A6A84D}" name="Forecasted" dataDxfId="68"/>
    <tableColumn id="7" xr3:uid="{BA3F35AA-2945-469D-9235-AB8E5F8E5D31}" name="Delta Forecasted" dataDxfId="67" dataCellStyle="Comma">
      <calculatedColumnFormula>B5-F5</calculatedColumnFormula>
    </tableColumn>
    <tableColumn id="8" xr3:uid="{3032C86A-CF18-46AF-8437-97C858F0D609}" name="% Forecasted" dataDxfId="66">
      <calculatedColumnFormula>IFERROR(G5/F5, 0)</calculatedColumnFormula>
    </tableColumn>
    <tableColumn id="9" xr3:uid="{11B4BF0A-B741-4F93-9A26-823D18D3F954}" name="Notes" dataDxfId="65"/>
    <tableColumn id="10" xr3:uid="{EAE9B4C6-AE6B-463B-BCF3-D34C93DB9E7C}" name="Service Request" dataDxfId="6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54D7E5-CFF3-475C-A6FE-D42E185B13F7}" name="Data181945678910" displayName="Data181945678910" ref="A4:J16" totalsRowShown="0" headerRowDxfId="61" dataDxfId="60" headerRowBorderDxfId="58" tableBorderDxfId="59">
  <autoFilter ref="A4:J16" xr:uid="{59A959C2-52B2-422A-A87A-BC08BBF40681}"/>
  <tableColumns count="10">
    <tableColumn id="1" xr3:uid="{F77B3045-B0CB-4BB3-B8A3-451935FFB002}" name="Month" dataDxfId="57"/>
    <tableColumn id="2" xr3:uid="{1888C827-310D-4468-B38B-03C0BC445520}" name="Actual" dataDxfId="56"/>
    <tableColumn id="3" xr3:uid="{3FC5404C-35B2-4013-89EB-B3C634A64558}" name="Expected" dataDxfId="55"/>
    <tableColumn id="4" xr3:uid="{A08DF020-FE41-488E-9452-98FD599E25B5}" name="Delta Expected" dataDxfId="54">
      <calculatedColumnFormula>B5-C5</calculatedColumnFormula>
    </tableColumn>
    <tableColumn id="5" xr3:uid="{452CED36-757C-43F7-81FF-C1F13469CC7E}" name="% Expected" dataDxfId="53">
      <calculatedColumnFormula>IFERROR(D5/C5, 0)</calculatedColumnFormula>
    </tableColumn>
    <tableColumn id="6" xr3:uid="{80E24364-2E8B-4956-913D-5B1B84EB1A2A}" name="Forecasted" dataDxfId="52"/>
    <tableColumn id="7" xr3:uid="{5C3DC6C4-2932-4CC5-BFD7-4696421E7863}" name="Delta Forecasted" dataDxfId="51" dataCellStyle="Comma">
      <calculatedColumnFormula>B5-F5</calculatedColumnFormula>
    </tableColumn>
    <tableColumn id="8" xr3:uid="{867249A3-CAF5-4448-96D6-6FBA1CB76D56}" name="% Forecasted" dataDxfId="50">
      <calculatedColumnFormula>IFERROR(G5/F5, 0)</calculatedColumnFormula>
    </tableColumn>
    <tableColumn id="9" xr3:uid="{326AA964-6871-4869-8CBE-E38A969BBE3F}" name="Notes" dataDxfId="49"/>
    <tableColumn id="10" xr3:uid="{D3FF5B14-6FAB-45CD-AF7B-CA887BDC626D}" name="Service Request" dataDxfId="4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C40BF71-B37D-403C-8ED2-970FEFC4E1F8}" name="Data18192021222324" displayName="Data18192021222324" ref="A4:J16" totalsRowShown="0" headerRowDxfId="45" dataDxfId="44" headerRowBorderDxfId="42" tableBorderDxfId="43">
  <autoFilter ref="A4:J16" xr:uid="{59A959C2-52B2-422A-A87A-BC08BBF40681}"/>
  <tableColumns count="10">
    <tableColumn id="1" xr3:uid="{F9004329-C93B-4933-AB9F-534ED42FFD10}" name="Month" dataDxfId="41"/>
    <tableColumn id="2" xr3:uid="{432C2987-91D2-4E70-8181-8CD8A6D67978}" name="Actual" dataDxfId="40"/>
    <tableColumn id="3" xr3:uid="{BF6EC749-C28A-4B1B-9CA2-88C8EED0F545}" name="Expected" dataDxfId="39"/>
    <tableColumn id="4" xr3:uid="{8666E9BF-D657-45F6-BA3D-1E281BF0D8A2}" name="Delta Expected" dataDxfId="38">
      <calculatedColumnFormula>B5-C5</calculatedColumnFormula>
    </tableColumn>
    <tableColumn id="5" xr3:uid="{690EED91-B2CC-423E-A46D-0467A03087EB}" name="% Expected" dataDxfId="37">
      <calculatedColumnFormula>IFERROR(D5/C5, 0)</calculatedColumnFormula>
    </tableColumn>
    <tableColumn id="6" xr3:uid="{985AE196-ED6A-49D0-9CF5-38363D80BF1C}" name="Forecasted" dataDxfId="36"/>
    <tableColumn id="7" xr3:uid="{B3189039-676E-4B7F-B804-B61300C3AC2B}" name="Delta Forecasted" dataDxfId="35" dataCellStyle="Comma">
      <calculatedColumnFormula>B5-F5</calculatedColumnFormula>
    </tableColumn>
    <tableColumn id="8" xr3:uid="{3C865CF1-C516-404B-BD49-7AF88A316696}" name="% Forecasted" dataDxfId="34">
      <calculatedColumnFormula>IFERROR(G5/F5, 0)</calculatedColumnFormula>
    </tableColumn>
    <tableColumn id="9" xr3:uid="{A8E110DC-2AD0-4532-BAB3-F25A93C8FA14}" name="Notes" dataDxfId="33"/>
    <tableColumn id="10" xr3:uid="{6B03DC8E-AFEA-4605-83B2-335A63A6E612}" name="Service Request" dataDxfId="3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BA82670-369B-4C3A-82B7-2FD5C4776195}" name="Data181920212223" displayName="Data181920212223" ref="A4:J16" totalsRowShown="0" headerRowDxfId="29" dataDxfId="28" headerRowBorderDxfId="26" tableBorderDxfId="27">
  <autoFilter ref="A4:J16" xr:uid="{59A959C2-52B2-422A-A87A-BC08BBF40681}"/>
  <tableColumns count="10">
    <tableColumn id="1" xr3:uid="{8D8CAC86-1F92-428A-978A-419573E60EDA}" name="Month" dataDxfId="25"/>
    <tableColumn id="2" xr3:uid="{223FDFFC-2B96-4B49-A3DA-3CE9110E23BA}" name="Actual" dataDxfId="24"/>
    <tableColumn id="3" xr3:uid="{697166FB-0846-4476-A3B9-F5E3CD1A5484}" name="Expected" dataDxfId="23"/>
    <tableColumn id="4" xr3:uid="{19183987-F433-4DF0-B9DB-E51E150F6A35}" name="Delta Expected" dataDxfId="22">
      <calculatedColumnFormula>B5-C5</calculatedColumnFormula>
    </tableColumn>
    <tableColumn id="5" xr3:uid="{E16DBE60-5B92-446F-8AB1-18813170F80A}" name="% Expected" dataDxfId="21">
      <calculatedColumnFormula>IFERROR(D5/C5, 0)</calculatedColumnFormula>
    </tableColumn>
    <tableColumn id="6" xr3:uid="{9C65936D-3A2D-49C0-A20F-C0BCB81436F3}" name="Forecasted" dataDxfId="20"/>
    <tableColumn id="7" xr3:uid="{CCF7E1D2-D7A4-481E-A184-00FF7C45982A}" name="Delta Forecasted" dataDxfId="19" dataCellStyle="Comma">
      <calculatedColumnFormula>B5-F5</calculatedColumnFormula>
    </tableColumn>
    <tableColumn id="8" xr3:uid="{00CEF032-E306-4FD4-BF8E-2BA66ADCE3C9}" name="% Forecasted" dataDxfId="18">
      <calculatedColumnFormula>IFERROR(G5/F5, 0)</calculatedColumnFormula>
    </tableColumn>
    <tableColumn id="9" xr3:uid="{317641D1-0E53-4EE1-8813-736213A5B2A2}" name="Notes" dataDxfId="17"/>
    <tableColumn id="10" xr3:uid="{23757325-21CC-4B19-856B-0A394E6508D4}" name="Service Request" dataDxfId="16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AEB6A8-3196-479E-A95F-163009BB5661}" name="Data1819456789" displayName="Data1819456789" ref="A4:J16" totalsRowShown="0" headerRowDxfId="13" dataDxfId="12" headerRowBorderDxfId="10" tableBorderDxfId="11">
  <autoFilter ref="A4:J16" xr:uid="{59A959C2-52B2-422A-A87A-BC08BBF40681}"/>
  <tableColumns count="10">
    <tableColumn id="1" xr3:uid="{D1A72A5F-C5C7-48B5-9BBE-2094A2F6E066}" name="Month" dataDxfId="9"/>
    <tableColumn id="2" xr3:uid="{697D82AB-77CD-4629-9359-9D2D3A94B237}" name="Actual" dataDxfId="8"/>
    <tableColumn id="3" xr3:uid="{FFFDCE4C-5B92-48EA-8CD8-FDDF94410FCA}" name="Expected" dataDxfId="7"/>
    <tableColumn id="4" xr3:uid="{B0674359-805C-45E6-AE21-2B1ACFB8346D}" name="Delta Expected" dataDxfId="6">
      <calculatedColumnFormula>B5-C5</calculatedColumnFormula>
    </tableColumn>
    <tableColumn id="5" xr3:uid="{FDCB9308-CDEA-466B-AF73-4B45B4AF1ED5}" name="% Expected" dataDxfId="5">
      <calculatedColumnFormula>IFERROR(D5/C5, 0)</calculatedColumnFormula>
    </tableColumn>
    <tableColumn id="6" xr3:uid="{E7810126-BC82-4CC6-943A-221452F64FAF}" name="Forecasted" dataDxfId="4"/>
    <tableColumn id="7" xr3:uid="{8BE9A763-527C-4371-B0E4-BEC0D11873FE}" name="Delta Forecasted" dataDxfId="3" dataCellStyle="Comma">
      <calculatedColumnFormula>B5-F5</calculatedColumnFormula>
    </tableColumn>
    <tableColumn id="8" xr3:uid="{7CD84A92-AC6D-43B3-BC6C-132FA77FB649}" name="% Forecasted" dataDxfId="2">
      <calculatedColumnFormula>IFERROR(G5/F5, 0)</calculatedColumnFormula>
    </tableColumn>
    <tableColumn id="9" xr3:uid="{56A5BD83-9D65-46FD-9620-0545CE91FBEA}" name="Notes" dataDxfId="1"/>
    <tableColumn id="10" xr3:uid="{20EA2B73-9EBA-4FD4-8BF2-665A57300317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33"/>
  <sheetViews>
    <sheetView workbookViewId="0">
      <pane ySplit="2" topLeftCell="A5" activePane="bottomLeft" state="frozen"/>
      <selection pane="bottomLeft" activeCell="D16" sqref="D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66" t="str" cm="1">
        <f t="array" ref="A1">portfolio</f>
        <v>Lodestar</v>
      </c>
      <c r="B1" s="167"/>
      <c r="C1" s="168" t="s">
        <v>0</v>
      </c>
      <c r="D1" s="169"/>
      <c r="E1" s="169"/>
      <c r="F1" s="170"/>
      <c r="G1" s="160" t="s">
        <v>1</v>
      </c>
      <c r="H1" s="160"/>
      <c r="I1" s="161"/>
    </row>
    <row r="2" spans="1:9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</row>
    <row r="3" spans="1:9" ht="15.75">
      <c r="A3" s="44" t="str" cm="1">
        <f t="array" ref="A3:A27">Sites[Site]</f>
        <v>Barkhamsted</v>
      </c>
      <c r="B3" s="30" t="str" cm="1">
        <f t="array" ref="B3:B27">Sites[State]</f>
        <v>CT</v>
      </c>
      <c r="C3" s="32">
        <f ca="1">SUM('1st Qtr'!C3, '2nd Qtr'!C3, '3rd Qtr'!C3, '4th Qtr'!C3)</f>
        <v>40962</v>
      </c>
      <c r="D3" s="32">
        <f ca="1">SUM('1st Qtr'!D3, '2nd Qtr'!D3, '3rd Qtr'!D3, '4th Qtr'!D3)</f>
        <v>81116.11</v>
      </c>
      <c r="E3" s="32">
        <f ca="1">C3-D3</f>
        <v>-40154.11</v>
      </c>
      <c r="F3" s="33">
        <f ca="1">IFERROR(E3/D3, 0)</f>
        <v>-0.49502016307241559</v>
      </c>
      <c r="G3" s="34">
        <f ca="1">SUM('1st Qtr'!G3, '2nd Qtr'!G3, '3rd Qtr'!G3, '4th Qtr'!G3)</f>
        <v>95666.17</v>
      </c>
      <c r="H3" s="34">
        <f ca="1">C3-G3</f>
        <v>-54704.17</v>
      </c>
      <c r="I3" s="35">
        <f ca="1">IFERROR(H3/G3, 0)</f>
        <v>-0.57182356103521237</v>
      </c>
    </row>
    <row r="4" spans="1:9" ht="15.75">
      <c r="A4" s="45" t="str">
        <v>Bunce</v>
      </c>
      <c r="B4" s="15" t="str">
        <v>CT</v>
      </c>
      <c r="C4" s="32">
        <f ca="1">SUM('1st Qtr'!C4, '2nd Qtr'!C4, '3rd Qtr'!C4, '4th Qtr'!C4)</f>
        <v>85317.75</v>
      </c>
      <c r="D4" s="32">
        <f ca="1">SUM('1st Qtr'!D4, '2nd Qtr'!D4, '3rd Qtr'!D4, '4th Qtr'!D4)</f>
        <v>134339.20000000001</v>
      </c>
      <c r="E4" s="32">
        <f t="shared" ref="E4:E27" ca="1" si="0">C4-D4</f>
        <v>-49021.450000000012</v>
      </c>
      <c r="F4" s="33">
        <f t="shared" ref="F4:F27" ca="1" si="1">IFERROR(E4/D4, 0)</f>
        <v>-0.36490800898025305</v>
      </c>
      <c r="G4" s="34">
        <f ca="1">SUM('1st Qtr'!G4, '2nd Qtr'!G4, '3rd Qtr'!G4, '4th Qtr'!G4)</f>
        <v>0</v>
      </c>
      <c r="H4" s="34">
        <f t="shared" ref="H4:H27" ca="1" si="2">C4-G4</f>
        <v>85317.75</v>
      </c>
      <c r="I4" s="35">
        <f t="shared" ref="I4:I27" ca="1" si="3">IFERROR(H4/G4, 0)</f>
        <v>0</v>
      </c>
    </row>
    <row r="5" spans="1:9" ht="15.75">
      <c r="A5" s="46" t="str">
        <v>Norcap North</v>
      </c>
      <c r="B5" s="31" t="str">
        <v>CT</v>
      </c>
      <c r="C5" s="32">
        <f ca="1">SUM('1st Qtr'!C5, '2nd Qtr'!C5, '3rd Qtr'!C5, '4th Qtr'!C5)</f>
        <v>86946</v>
      </c>
      <c r="D5" s="32">
        <f ca="1">SUM('1st Qtr'!D5, '2nd Qtr'!D5, '3rd Qtr'!D5, '4th Qtr'!D5)</f>
        <v>190151.4</v>
      </c>
      <c r="E5" s="32">
        <f t="shared" ca="1" si="0"/>
        <v>-103205.4</v>
      </c>
      <c r="F5" s="33">
        <f t="shared" ca="1" si="1"/>
        <v>-0.54275382668757632</v>
      </c>
      <c r="G5" s="34">
        <f ca="1">SUM('1st Qtr'!G5, '2nd Qtr'!G5, '3rd Qtr'!G5, '4th Qtr'!G5)</f>
        <v>179846.6</v>
      </c>
      <c r="H5" s="34">
        <f t="shared" ca="1" si="2"/>
        <v>-92900.6</v>
      </c>
      <c r="I5" s="35">
        <f t="shared" ca="1" si="3"/>
        <v>-0.51655466380793413</v>
      </c>
    </row>
    <row r="6" spans="1:9" ht="15.75">
      <c r="A6" s="45" t="str">
        <v>Norcap South</v>
      </c>
      <c r="B6" s="15" t="str">
        <v>CT</v>
      </c>
      <c r="C6" s="32">
        <f ca="1">SUM('1st Qtr'!C6, '2nd Qtr'!C6, '3rd Qtr'!C6, '4th Qtr'!C6)</f>
        <v>92879.5</v>
      </c>
      <c r="D6" s="32">
        <f ca="1">SUM('1st Qtr'!D6, '2nd Qtr'!D6, '3rd Qtr'!D6, '4th Qtr'!D6)</f>
        <v>212284</v>
      </c>
      <c r="E6" s="32">
        <f t="shared" ca="1" si="0"/>
        <v>-119404.5</v>
      </c>
      <c r="F6" s="33">
        <f t="shared" ca="1" si="1"/>
        <v>-0.5624752689792919</v>
      </c>
      <c r="G6" s="34">
        <f ca="1">SUM('1st Qtr'!G6, '2nd Qtr'!G6, '3rd Qtr'!G6, '4th Qtr'!G6)</f>
        <v>156565.5</v>
      </c>
      <c r="H6" s="34">
        <f t="shared" ca="1" si="2"/>
        <v>-63686</v>
      </c>
      <c r="I6" s="35">
        <f t="shared" ca="1" si="3"/>
        <v>-0.40676905193034224</v>
      </c>
    </row>
    <row r="7" spans="1:9" ht="15.75">
      <c r="A7" s="46" t="str">
        <v>Platt Hill</v>
      </c>
      <c r="B7" s="31" t="str">
        <v>CT</v>
      </c>
      <c r="C7" s="32">
        <f ca="1">SUM('1st Qtr'!C7, '2nd Qtr'!C7, '3rd Qtr'!C7, '4th Qtr'!C7)</f>
        <v>104226.493617021</v>
      </c>
      <c r="D7" s="32">
        <f ca="1">SUM('1st Qtr'!D7, '2nd Qtr'!D7, '3rd Qtr'!D7, '4th Qtr'!D7)</f>
        <v>164040.9</v>
      </c>
      <c r="E7" s="32">
        <f t="shared" ca="1" si="0"/>
        <v>-59814.406382978996</v>
      </c>
      <c r="F7" s="33">
        <f t="shared" ca="1" si="1"/>
        <v>-0.36463105471244672</v>
      </c>
      <c r="G7" s="34">
        <f ca="1">SUM('1st Qtr'!G7, '2nd Qtr'!G7, '3rd Qtr'!G7, '4th Qtr'!G7)</f>
        <v>232504.1</v>
      </c>
      <c r="H7" s="34">
        <f t="shared" ca="1" si="2"/>
        <v>-128277.60638297901</v>
      </c>
      <c r="I7" s="35">
        <f t="shared" ca="1" si="3"/>
        <v>-0.55172191106728441</v>
      </c>
    </row>
    <row r="8" spans="1:9" ht="15.75">
      <c r="A8" s="45" t="str">
        <v>Powder Hill</v>
      </c>
      <c r="B8" s="15" t="str">
        <v>CT</v>
      </c>
      <c r="C8" s="32">
        <f ca="1">SUM('1st Qtr'!C8, '2nd Qtr'!C8, '3rd Qtr'!C8, '4th Qtr'!C8)</f>
        <v>73609</v>
      </c>
      <c r="D8" s="32">
        <f ca="1">SUM('1st Qtr'!D8, '2nd Qtr'!D8, '3rd Qtr'!D8, '4th Qtr'!D8)</f>
        <v>144364.9</v>
      </c>
      <c r="E8" s="32">
        <f t="shared" ca="1" si="0"/>
        <v>-70755.899999999994</v>
      </c>
      <c r="F8" s="33">
        <f t="shared" ca="1" si="1"/>
        <v>-0.49011844291791146</v>
      </c>
      <c r="G8" s="34">
        <f ca="1">SUM('1st Qtr'!G8, '2nd Qtr'!G8, '3rd Qtr'!G8, '4th Qtr'!G8)</f>
        <v>155676</v>
      </c>
      <c r="H8" s="34">
        <f t="shared" ca="1" si="2"/>
        <v>-82067</v>
      </c>
      <c r="I8" s="35">
        <f t="shared" ca="1" si="3"/>
        <v>-0.52716539479431646</v>
      </c>
    </row>
    <row r="9" spans="1:9" ht="15.75">
      <c r="A9" s="46" t="str">
        <v>Sand Road</v>
      </c>
      <c r="B9" s="31" t="str">
        <v>CT</v>
      </c>
      <c r="C9" s="32">
        <f ca="1">SUM('1st Qtr'!C9, '2nd Qtr'!C9, '3rd Qtr'!C9, '4th Qtr'!C9)</f>
        <v>78068.5</v>
      </c>
      <c r="D9" s="32">
        <f ca="1">SUM('1st Qtr'!D9, '2nd Qtr'!D9, '3rd Qtr'!D9, '4th Qtr'!D9)</f>
        <v>124790</v>
      </c>
      <c r="E9" s="32">
        <f t="shared" ca="1" si="0"/>
        <v>-46721.5</v>
      </c>
      <c r="F9" s="33">
        <f t="shared" ca="1" si="1"/>
        <v>-0.37440099366936452</v>
      </c>
      <c r="G9" s="34">
        <f ca="1">SUM('1st Qtr'!G9, '2nd Qtr'!G9, '3rd Qtr'!G9, '4th Qtr'!G9)</f>
        <v>145302</v>
      </c>
      <c r="H9" s="34">
        <f t="shared" ca="1" si="2"/>
        <v>-67233.5</v>
      </c>
      <c r="I9" s="35">
        <f t="shared" ca="1" si="3"/>
        <v>-0.46271558547026193</v>
      </c>
    </row>
    <row r="10" spans="1:9" ht="15.75">
      <c r="A10" s="45" t="str">
        <v>Suffield</v>
      </c>
      <c r="B10" s="15" t="str">
        <v>CT</v>
      </c>
      <c r="C10" s="32">
        <f ca="1">SUM('1st Qtr'!C10, '2nd Qtr'!C10, '3rd Qtr'!C10, '4th Qtr'!C10)</f>
        <v>86425</v>
      </c>
      <c r="D10" s="32">
        <f ca="1">SUM('1st Qtr'!D10, '2nd Qtr'!D10, '3rd Qtr'!D10, '4th Qtr'!D10)</f>
        <v>139100</v>
      </c>
      <c r="E10" s="32">
        <f t="shared" ca="1" si="0"/>
        <v>-52675</v>
      </c>
      <c r="F10" s="33">
        <f t="shared" ca="1" si="1"/>
        <v>-0.37868439971243711</v>
      </c>
      <c r="G10" s="34">
        <f ca="1">SUM('1st Qtr'!G10, '2nd Qtr'!G10, '3rd Qtr'!G10, '4th Qtr'!G10)</f>
        <v>191955.4</v>
      </c>
      <c r="H10" s="34">
        <f t="shared" ca="1" si="2"/>
        <v>-105530.4</v>
      </c>
      <c r="I10" s="35">
        <f t="shared" ca="1" si="3"/>
        <v>-0.54976520587594824</v>
      </c>
    </row>
    <row r="11" spans="1:9" ht="15.75">
      <c r="A11" s="46" t="str">
        <v>Ashby-Duffy</v>
      </c>
      <c r="B11" s="31" t="str">
        <v>MA</v>
      </c>
      <c r="C11" s="32">
        <f ca="1">SUM('1st Qtr'!C11, '2nd Qtr'!C11, '3rd Qtr'!C11, '4th Qtr'!C11)</f>
        <v>83884</v>
      </c>
      <c r="D11" s="32">
        <f ca="1">SUM('1st Qtr'!D11, '2nd Qtr'!D11, '3rd Qtr'!D11, '4th Qtr'!D11)</f>
        <v>228874</v>
      </c>
      <c r="E11" s="32">
        <f t="shared" ca="1" si="0"/>
        <v>-144990</v>
      </c>
      <c r="F11" s="33">
        <f t="shared" ca="1" si="1"/>
        <v>-0.63349266408591631</v>
      </c>
      <c r="G11" s="34">
        <f ca="1">SUM('1st Qtr'!G11, '2nd Qtr'!G11, '3rd Qtr'!G11, '4th Qtr'!G11)</f>
        <v>158269.5</v>
      </c>
      <c r="H11" s="34">
        <f t="shared" ca="1" si="2"/>
        <v>-74385.5</v>
      </c>
      <c r="I11" s="35">
        <f t="shared" ca="1" si="3"/>
        <v>-0.46999263913767342</v>
      </c>
    </row>
    <row r="12" spans="1:9" ht="15.75">
      <c r="A12" s="45" t="str">
        <v>Ashland</v>
      </c>
      <c r="B12" s="15" t="str">
        <v>MA</v>
      </c>
      <c r="C12" s="32">
        <f ca="1">SUM('1st Qtr'!C12, '2nd Qtr'!C12, '3rd Qtr'!C12, '4th Qtr'!C12)</f>
        <v>3053</v>
      </c>
      <c r="D12" s="32">
        <f ca="1">SUM('1st Qtr'!D12, '2nd Qtr'!D12, '3rd Qtr'!D12, '4th Qtr'!D12)</f>
        <v>18082.05</v>
      </c>
      <c r="E12" s="32">
        <f t="shared" ca="1" si="0"/>
        <v>-15029.05</v>
      </c>
      <c r="F12" s="33">
        <f t="shared" ca="1" si="1"/>
        <v>-0.83115852461418915</v>
      </c>
      <c r="G12" s="34">
        <f ca="1">SUM('1st Qtr'!G12, '2nd Qtr'!G12, '3rd Qtr'!G12, '4th Qtr'!G12)</f>
        <v>134293.1</v>
      </c>
      <c r="H12" s="34">
        <f t="shared" ca="1" si="2"/>
        <v>-131240.1</v>
      </c>
      <c r="I12" s="35">
        <f t="shared" ca="1" si="3"/>
        <v>-0.97726614397910239</v>
      </c>
    </row>
    <row r="13" spans="1:9" ht="15.75">
      <c r="A13" s="46" t="str">
        <v>Barrington</v>
      </c>
      <c r="B13" s="31" t="str">
        <v>MA</v>
      </c>
      <c r="C13" s="32">
        <f ca="1">SUM('1st Qtr'!C13, '2nd Qtr'!C13, '3rd Qtr'!C13, '4th Qtr'!C13)</f>
        <v>15412</v>
      </c>
      <c r="D13" s="32">
        <f ca="1">SUM('1st Qtr'!D13, '2nd Qtr'!D13, '3rd Qtr'!D13, '4th Qtr'!D13)</f>
        <v>23642.959999999999</v>
      </c>
      <c r="E13" s="32">
        <f t="shared" ca="1" si="0"/>
        <v>-8230.9599999999991</v>
      </c>
      <c r="F13" s="33">
        <f t="shared" ca="1" si="1"/>
        <v>-0.34813576641841798</v>
      </c>
      <c r="G13" s="34">
        <f ca="1">SUM('1st Qtr'!G13, '2nd Qtr'!G13, '3rd Qtr'!G13, '4th Qtr'!G13)</f>
        <v>35820</v>
      </c>
      <c r="H13" s="34">
        <f t="shared" ca="1" si="2"/>
        <v>-20408</v>
      </c>
      <c r="I13" s="35">
        <f t="shared" ca="1" si="3"/>
        <v>-0.56973757677275261</v>
      </c>
    </row>
    <row r="14" spans="1:9" ht="15.75">
      <c r="A14" s="45" t="str">
        <v>Bedford - 205 Burlington Rd</v>
      </c>
      <c r="B14" s="15" t="str">
        <v>MA</v>
      </c>
      <c r="C14" s="32">
        <f ca="1">SUM('1st Qtr'!C14, '2nd Qtr'!C14, '3rd Qtr'!C14, '4th Qtr'!C14)</f>
        <v>7938</v>
      </c>
      <c r="D14" s="32">
        <f ca="1">SUM('1st Qtr'!D14, '2nd Qtr'!D14, '3rd Qtr'!D14, '4th Qtr'!D14)</f>
        <v>0</v>
      </c>
      <c r="E14" s="32">
        <f t="shared" ca="1" si="0"/>
        <v>7938</v>
      </c>
      <c r="F14" s="33">
        <f t="shared" ca="1" si="1"/>
        <v>0</v>
      </c>
      <c r="G14" s="34">
        <f ca="1">SUM('1st Qtr'!G14, '2nd Qtr'!G14, '3rd Qtr'!G14, '4th Qtr'!G14)</f>
        <v>0</v>
      </c>
      <c r="H14" s="34">
        <f t="shared" ca="1" si="2"/>
        <v>7938</v>
      </c>
      <c r="I14" s="35">
        <f t="shared" ca="1" si="3"/>
        <v>0</v>
      </c>
    </row>
    <row r="15" spans="1:9" ht="15.75">
      <c r="A15" s="46" t="str">
        <v>Billerica - 6 Cook Street</v>
      </c>
      <c r="B15" s="31" t="str">
        <v>MA</v>
      </c>
      <c r="C15" s="32">
        <f ca="1">SUM('1st Qtr'!C15, '2nd Qtr'!C15, '3rd Qtr'!C15, '4th Qtr'!C15)</f>
        <v>7069</v>
      </c>
      <c r="D15" s="32">
        <f ca="1">SUM('1st Qtr'!D15, '2nd Qtr'!D15, '3rd Qtr'!D15, '4th Qtr'!D15)</f>
        <v>0</v>
      </c>
      <c r="E15" s="32">
        <f t="shared" ca="1" si="0"/>
        <v>7069</v>
      </c>
      <c r="F15" s="33">
        <f t="shared" ca="1" si="1"/>
        <v>0</v>
      </c>
      <c r="G15" s="34">
        <f ca="1">SUM('1st Qtr'!G15, '2nd Qtr'!G15, '3rd Qtr'!G15, '4th Qtr'!G15)</f>
        <v>0</v>
      </c>
      <c r="H15" s="34">
        <f t="shared" ca="1" si="2"/>
        <v>7069</v>
      </c>
      <c r="I15" s="35">
        <f t="shared" ca="1" si="3"/>
        <v>0</v>
      </c>
    </row>
    <row r="16" spans="1:9" ht="15.75">
      <c r="A16" s="45" t="str">
        <v>Billerica - 780 Boston Road</v>
      </c>
      <c r="B16" s="15" t="str">
        <v>MA</v>
      </c>
      <c r="C16" s="32">
        <f ca="1">SUM('1st Qtr'!C16, '2nd Qtr'!C16, '3rd Qtr'!C16, '4th Qtr'!C16)</f>
        <v>7922</v>
      </c>
      <c r="D16" s="32">
        <f ca="1">SUM('1st Qtr'!D16, '2nd Qtr'!D16, '3rd Qtr'!D16, '4th Qtr'!D16)</f>
        <v>0</v>
      </c>
      <c r="E16" s="32">
        <f t="shared" ca="1" si="0"/>
        <v>7922</v>
      </c>
      <c r="F16" s="33">
        <f t="shared" ca="1" si="1"/>
        <v>0</v>
      </c>
      <c r="G16" s="34">
        <f ca="1">SUM('1st Qtr'!G16, '2nd Qtr'!G16, '3rd Qtr'!G16, '4th Qtr'!G16)</f>
        <v>0</v>
      </c>
      <c r="H16" s="34">
        <f t="shared" ca="1" si="2"/>
        <v>7922</v>
      </c>
      <c r="I16" s="35">
        <f t="shared" ca="1" si="3"/>
        <v>0</v>
      </c>
    </row>
    <row r="17" spans="1:9" ht="15.75">
      <c r="A17" s="46" t="str">
        <v>Cheshire</v>
      </c>
      <c r="B17" s="31" t="str">
        <v>MA</v>
      </c>
      <c r="C17" s="32">
        <f ca="1">SUM('1st Qtr'!C17, '2nd Qtr'!C17, '3rd Qtr'!C17, '4th Qtr'!C17)</f>
        <v>15272</v>
      </c>
      <c r="D17" s="32">
        <f ca="1">SUM('1st Qtr'!D17, '2nd Qtr'!D17, '3rd Qtr'!D17, '4th Qtr'!D17)</f>
        <v>27330.66</v>
      </c>
      <c r="E17" s="32">
        <f t="shared" ca="1" si="0"/>
        <v>-12058.66</v>
      </c>
      <c r="F17" s="33">
        <f t="shared" ca="1" si="1"/>
        <v>-0.44121364065119539</v>
      </c>
      <c r="G17" s="34">
        <f ca="1">SUM('1st Qtr'!G17, '2nd Qtr'!G17, '3rd Qtr'!G17, '4th Qtr'!G17)</f>
        <v>24314.38</v>
      </c>
      <c r="H17" s="34">
        <f t="shared" ca="1" si="2"/>
        <v>-9042.380000000001</v>
      </c>
      <c r="I17" s="35">
        <f t="shared" ca="1" si="3"/>
        <v>-0.37189432755431151</v>
      </c>
    </row>
    <row r="18" spans="1:9" ht="15.75">
      <c r="A18" s="45" t="str">
        <v>Lilly Lane</v>
      </c>
      <c r="B18" s="15" t="str">
        <v>MA</v>
      </c>
      <c r="C18" s="32">
        <f ca="1">SUM('1st Qtr'!C18, '2nd Qtr'!C18, '3rd Qtr'!C18, '4th Qtr'!C18)</f>
        <v>37262</v>
      </c>
      <c r="D18" s="32">
        <f ca="1">SUM('1st Qtr'!D18, '2nd Qtr'!D18, '3rd Qtr'!D18, '4th Qtr'!D18)</f>
        <v>61721.41</v>
      </c>
      <c r="E18" s="32">
        <f t="shared" ca="1" si="0"/>
        <v>-24459.410000000003</v>
      </c>
      <c r="F18" s="33">
        <f t="shared" ca="1" si="1"/>
        <v>-0.39628728507660471</v>
      </c>
      <c r="G18" s="34">
        <f ca="1">SUM('1st Qtr'!G18, '2nd Qtr'!G18, '3rd Qtr'!G18, '4th Qtr'!G18)</f>
        <v>113135.5</v>
      </c>
      <c r="H18" s="34">
        <f t="shared" ca="1" si="2"/>
        <v>-75873.5</v>
      </c>
      <c r="I18" s="35">
        <f t="shared" ca="1" si="3"/>
        <v>-0.67064272487415533</v>
      </c>
    </row>
    <row r="19" spans="1:9" ht="15.75">
      <c r="A19" s="46" t="str">
        <v>Monument Valley</v>
      </c>
      <c r="B19" s="31" t="str">
        <v>MA</v>
      </c>
      <c r="C19" s="32">
        <f ca="1">SUM('1st Qtr'!C19, '2nd Qtr'!C19, '3rd Qtr'!C19, '4th Qtr'!C19)</f>
        <v>68801</v>
      </c>
      <c r="D19" s="32">
        <f ca="1">SUM('1st Qtr'!D19, '2nd Qtr'!D19, '3rd Qtr'!D19, '4th Qtr'!D19)</f>
        <v>28968.03</v>
      </c>
      <c r="E19" s="32">
        <f t="shared" ca="1" si="0"/>
        <v>39832.97</v>
      </c>
      <c r="F19" s="33">
        <f t="shared" ca="1" si="1"/>
        <v>1.3750665820216288</v>
      </c>
      <c r="G19" s="34">
        <f ca="1">SUM('1st Qtr'!G19, '2nd Qtr'!G19, '3rd Qtr'!G19, '4th Qtr'!G19)</f>
        <v>0</v>
      </c>
      <c r="H19" s="34">
        <f t="shared" ca="1" si="2"/>
        <v>68801</v>
      </c>
      <c r="I19" s="35">
        <f t="shared" ca="1" si="3"/>
        <v>0</v>
      </c>
    </row>
    <row r="20" spans="1:9" ht="15.75">
      <c r="A20" s="45" t="str">
        <v>Nationwide</v>
      </c>
      <c r="B20" s="15" t="str">
        <v>MA</v>
      </c>
      <c r="C20" s="32">
        <f ca="1">SUM('1st Qtr'!C20, '2nd Qtr'!C20, '3rd Qtr'!C20, '4th Qtr'!C20)</f>
        <v>98960</v>
      </c>
      <c r="D20" s="32">
        <f ca="1">SUM('1st Qtr'!D20, '2nd Qtr'!D20, '3rd Qtr'!D20, '4th Qtr'!D20)</f>
        <v>221313.9</v>
      </c>
      <c r="E20" s="32">
        <f t="shared" ca="1" si="0"/>
        <v>-122353.9</v>
      </c>
      <c r="F20" s="33">
        <f t="shared" ca="1" si="1"/>
        <v>-0.55285230615880876</v>
      </c>
      <c r="G20" s="34">
        <f ca="1">SUM('1st Qtr'!G20, '2nd Qtr'!G20, '3rd Qtr'!G20, '4th Qtr'!G20)</f>
        <v>298977.59999999998</v>
      </c>
      <c r="H20" s="34">
        <f t="shared" ca="1" si="2"/>
        <v>-200017.59999999998</v>
      </c>
      <c r="I20" s="35">
        <f t="shared" ca="1" si="3"/>
        <v>-0.66900530340734554</v>
      </c>
    </row>
    <row r="21" spans="1:9" ht="15.75">
      <c r="A21" s="46" t="str">
        <v>Pulpit Hill</v>
      </c>
      <c r="B21" s="31" t="str">
        <v>MA</v>
      </c>
      <c r="C21" s="32">
        <f ca="1">SUM('1st Qtr'!C21, '2nd Qtr'!C21, '3rd Qtr'!C21, '4th Qtr'!C21)</f>
        <v>147440</v>
      </c>
      <c r="D21" s="32">
        <f ca="1">SUM('1st Qtr'!D21, '2nd Qtr'!D21, '3rd Qtr'!D21, '4th Qtr'!D21)</f>
        <v>286661.3</v>
      </c>
      <c r="E21" s="32">
        <f t="shared" ca="1" si="0"/>
        <v>-139221.29999999999</v>
      </c>
      <c r="F21" s="33">
        <f t="shared" ca="1" si="1"/>
        <v>-0.48566478977106431</v>
      </c>
      <c r="G21" s="34">
        <f ca="1">SUM('1st Qtr'!G21, '2nd Qtr'!G21, '3rd Qtr'!G21, '4th Qtr'!G21)</f>
        <v>356965.5</v>
      </c>
      <c r="H21" s="34">
        <f t="shared" ca="1" si="2"/>
        <v>-209525.5</v>
      </c>
      <c r="I21" s="35">
        <f t="shared" ca="1" si="3"/>
        <v>-0.58696288576907296</v>
      </c>
    </row>
    <row r="22" spans="1:9" ht="15.75">
      <c r="A22" s="45" t="str">
        <v>Sandwich</v>
      </c>
      <c r="B22" s="15" t="str">
        <v>MA</v>
      </c>
      <c r="C22" s="32">
        <f ca="1">SUM('1st Qtr'!C22, '2nd Qtr'!C22, '3rd Qtr'!C22, '4th Qtr'!C22)</f>
        <v>69116</v>
      </c>
      <c r="D22" s="32">
        <f ca="1">SUM('1st Qtr'!D22, '2nd Qtr'!D22, '3rd Qtr'!D22, '4th Qtr'!D22)</f>
        <v>0</v>
      </c>
      <c r="E22" s="32">
        <f t="shared" ca="1" si="0"/>
        <v>69116</v>
      </c>
      <c r="F22" s="33">
        <f t="shared" ca="1" si="1"/>
        <v>0</v>
      </c>
      <c r="G22" s="34">
        <f ca="1">SUM('1st Qtr'!G22, '2nd Qtr'!G22, '3rd Qtr'!G22, '4th Qtr'!G22)</f>
        <v>0</v>
      </c>
      <c r="H22" s="34">
        <f t="shared" ca="1" si="2"/>
        <v>69116</v>
      </c>
      <c r="I22" s="35">
        <f t="shared" ca="1" si="3"/>
        <v>0</v>
      </c>
    </row>
    <row r="23" spans="1:9" ht="15.75">
      <c r="A23" s="46" t="str">
        <v>Sturbridge Barn</v>
      </c>
      <c r="B23" s="31" t="str">
        <v>MA</v>
      </c>
      <c r="C23" s="32">
        <f ca="1">SUM('1st Qtr'!C23, '2nd Qtr'!C23, '3rd Qtr'!C23, '4th Qtr'!C23)</f>
        <v>40594</v>
      </c>
      <c r="D23" s="32">
        <f ca="1">SUM('1st Qtr'!D23, '2nd Qtr'!D23, '3rd Qtr'!D23, '4th Qtr'!D23)</f>
        <v>79345.86</v>
      </c>
      <c r="E23" s="32">
        <f t="shared" ca="1" si="0"/>
        <v>-38751.86</v>
      </c>
      <c r="F23" s="33">
        <f t="shared" ca="1" si="1"/>
        <v>-0.48839170688930716</v>
      </c>
      <c r="G23" s="34">
        <f ca="1">SUM('1st Qtr'!G23, '2nd Qtr'!G23, '3rd Qtr'!G23, '4th Qtr'!G23)</f>
        <v>110612.6</v>
      </c>
      <c r="H23" s="34">
        <f t="shared" ca="1" si="2"/>
        <v>-70018.600000000006</v>
      </c>
      <c r="I23" s="35">
        <f t="shared" ca="1" si="3"/>
        <v>-0.63300745123069169</v>
      </c>
    </row>
    <row r="24" spans="1:9" ht="15.75">
      <c r="A24" s="45" t="str">
        <v>Sturbridge Garage</v>
      </c>
      <c r="B24" s="15" t="str">
        <v>MA</v>
      </c>
      <c r="C24" s="32">
        <f ca="1">SUM('1st Qtr'!C24, '2nd Qtr'!C24, '3rd Qtr'!C24, '4th Qtr'!C24)</f>
        <v>20528.25</v>
      </c>
      <c r="D24" s="32">
        <f ca="1">SUM('1st Qtr'!D24, '2nd Qtr'!D24, '3rd Qtr'!D24, '4th Qtr'!D24)</f>
        <v>36997.33</v>
      </c>
      <c r="E24" s="32">
        <f t="shared" ca="1" si="0"/>
        <v>-16469.080000000002</v>
      </c>
      <c r="F24" s="33">
        <f t="shared" ca="1" si="1"/>
        <v>-0.44514239270779815</v>
      </c>
      <c r="G24" s="34">
        <f ca="1">SUM('1st Qtr'!G24, '2nd Qtr'!G24, '3rd Qtr'!G24, '4th Qtr'!G24)</f>
        <v>55886.080000000002</v>
      </c>
      <c r="H24" s="34">
        <f t="shared" ca="1" si="2"/>
        <v>-35357.83</v>
      </c>
      <c r="I24" s="35">
        <f t="shared" ca="1" si="3"/>
        <v>-0.63267686694074809</v>
      </c>
    </row>
    <row r="25" spans="1:9" ht="15.75">
      <c r="A25" s="46" t="str">
        <v>Halsey Valley</v>
      </c>
      <c r="B25" s="31" t="str">
        <v>NY</v>
      </c>
      <c r="C25" s="32">
        <f ca="1">SUM('1st Qtr'!C25, '2nd Qtr'!C25, '3rd Qtr'!C25, '4th Qtr'!C25)</f>
        <v>147564</v>
      </c>
      <c r="D25" s="32">
        <f ca="1">SUM('1st Qtr'!D25, '2nd Qtr'!D25, '3rd Qtr'!D25, '4th Qtr'!D25)</f>
        <v>292774.59999999998</v>
      </c>
      <c r="E25" s="32">
        <f t="shared" ca="1" si="0"/>
        <v>-145210.59999999998</v>
      </c>
      <c r="F25" s="33">
        <f t="shared" ca="1" si="1"/>
        <v>-0.49598086719271406</v>
      </c>
      <c r="G25" s="34">
        <f ca="1">SUM('1st Qtr'!G25, '2nd Qtr'!G25, '3rd Qtr'!G25, '4th Qtr'!G25)</f>
        <v>384000</v>
      </c>
      <c r="H25" s="34">
        <f t="shared" ca="1" si="2"/>
        <v>-236436</v>
      </c>
      <c r="I25" s="35">
        <f t="shared" ca="1" si="3"/>
        <v>-0.61571874999999998</v>
      </c>
    </row>
    <row r="26" spans="1:9" ht="15.75">
      <c r="A26" s="45" t="str">
        <v>Hunt Creek</v>
      </c>
      <c r="B26" s="15" t="str">
        <v>NY</v>
      </c>
      <c r="C26" s="32">
        <f ca="1">SUM('1st Qtr'!C26, '2nd Qtr'!C26, '3rd Qtr'!C26, '4th Qtr'!C26)</f>
        <v>87616.95</v>
      </c>
      <c r="D26" s="32">
        <f ca="1">SUM('1st Qtr'!D26, '2nd Qtr'!D26, '3rd Qtr'!D26, '4th Qtr'!D26)</f>
        <v>201235.3</v>
      </c>
      <c r="E26" s="32">
        <f t="shared" ca="1" si="0"/>
        <v>-113618.34999999999</v>
      </c>
      <c r="F26" s="33">
        <f t="shared" ca="1" si="1"/>
        <v>-0.56460447048803064</v>
      </c>
      <c r="G26" s="34">
        <f ca="1">SUM('1st Qtr'!G26, '2nd Qtr'!G26, '3rd Qtr'!G26, '4th Qtr'!G26)</f>
        <v>228700</v>
      </c>
      <c r="H26" s="34">
        <f t="shared" ca="1" si="2"/>
        <v>-141083.04999999999</v>
      </c>
      <c r="I26" s="35">
        <f t="shared" ca="1" si="3"/>
        <v>-0.61689134236991683</v>
      </c>
    </row>
    <row r="27" spans="1:9" ht="15.75">
      <c r="A27" s="46" t="str">
        <v>Smith Creek</v>
      </c>
      <c r="B27" s="31" t="str">
        <v>NY</v>
      </c>
      <c r="C27" s="32">
        <f ca="1">SUM('1st Qtr'!C27, '2nd Qtr'!C27, '3rd Qtr'!C27, '4th Qtr'!C27)</f>
        <v>140087</v>
      </c>
      <c r="D27" s="32">
        <f ca="1">SUM('1st Qtr'!D27, '2nd Qtr'!D27, '3rd Qtr'!D27, '4th Qtr'!D27)</f>
        <v>237488.5</v>
      </c>
      <c r="E27" s="32">
        <f t="shared" ca="1" si="0"/>
        <v>-97401.5</v>
      </c>
      <c r="F27" s="33">
        <f t="shared" ca="1" si="1"/>
        <v>-0.41013143794331092</v>
      </c>
      <c r="G27" s="34">
        <f ca="1">SUM('1st Qtr'!G27, '2nd Qtr'!G27, '3rd Qtr'!G27, '4th Qtr'!G27)</f>
        <v>400605.5</v>
      </c>
      <c r="H27" s="34">
        <f t="shared" ca="1" si="2"/>
        <v>-260518.5</v>
      </c>
      <c r="I27" s="35">
        <f t="shared" ca="1" si="3"/>
        <v>-0.65031184045151647</v>
      </c>
    </row>
    <row r="28" spans="1:9" ht="24.75" customHeight="1">
      <c r="A28" s="162" t="s">
        <v>9</v>
      </c>
      <c r="B28" s="163"/>
      <c r="C28" s="47">
        <f ca="1">SUM(C3:C27)</f>
        <v>1646953.443617021</v>
      </c>
      <c r="D28" s="47">
        <f ca="1">SUM(D3:D27)</f>
        <v>2934622.4099999997</v>
      </c>
      <c r="E28" s="47">
        <f ca="1">C28-D28</f>
        <v>-1287668.9663829787</v>
      </c>
      <c r="F28" s="38">
        <f ca="1">IFERROR(E28/D28, 0)</f>
        <v>-0.43878522906222162</v>
      </c>
      <c r="G28" s="47">
        <f ca="1">SUM(G3:G27)</f>
        <v>3459095.5300000003</v>
      </c>
      <c r="H28" s="48">
        <f ca="1">C28-G28</f>
        <v>-1812142.0863829793</v>
      </c>
      <c r="I28" s="39">
        <f ca="1">IFERROR(H28/G28, 0)</f>
        <v>-0.52387743289153366</v>
      </c>
    </row>
    <row r="30" spans="1:9" ht="12.75" customHeight="1">
      <c r="A30" s="164" t="s">
        <v>10</v>
      </c>
    </row>
    <row r="31" spans="1:9">
      <c r="A31" s="164"/>
    </row>
    <row r="32" spans="1:9">
      <c r="A32" s="165" t="s">
        <v>11</v>
      </c>
    </row>
    <row r="33" spans="1:1" ht="12.75" customHeight="1">
      <c r="A33" s="165"/>
    </row>
  </sheetData>
  <autoFilter ref="A2:I2" xr:uid="{D5C25034-9971-4A61-864F-C938F31EB1B8}"/>
  <mergeCells count="6">
    <mergeCell ref="G1:I1"/>
    <mergeCell ref="A28:B28"/>
    <mergeCell ref="A30:A31"/>
    <mergeCell ref="A32:A33"/>
    <mergeCell ref="A1:B1"/>
    <mergeCell ref="C1:F1"/>
  </mergeCells>
  <conditionalFormatting sqref="F3:F28 I3:I28">
    <cfRule type="cellIs" dxfId="438" priority="1" operator="lessThanOrEqual">
      <formula>-0.1</formula>
    </cfRule>
    <cfRule type="cellIs" dxfId="437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66" t="str" cm="1">
        <f t="array" ref="A1">portfolio</f>
        <v>Lodestar</v>
      </c>
      <c r="B1" s="167"/>
      <c r="C1" s="168" t="s">
        <v>12</v>
      </c>
      <c r="D1" s="169"/>
      <c r="E1" s="169"/>
      <c r="F1" s="170"/>
      <c r="G1" s="160" t="s">
        <v>13</v>
      </c>
      <c r="H1" s="160"/>
      <c r="I1" s="161"/>
    </row>
    <row r="2" spans="1:9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</row>
    <row r="3" spans="1:9" ht="15.75">
      <c r="A3" s="44" t="str" cm="1">
        <f t="array" ref="A3:A27">Sites[Site]</f>
        <v>Barkhamsted</v>
      </c>
      <c r="B3" s="30" t="str" cm="1">
        <f t="array" ref="B3:B27">Sites[State]</f>
        <v>CT</v>
      </c>
      <c r="C3" s="32">
        <f ca="1">SUM(Jan!C3, Feb!C3, Mar!C3)</f>
        <v>40962</v>
      </c>
      <c r="D3" s="32">
        <f ca="1">SUM(Jan!D3, Feb!D3, Mar!D3)</f>
        <v>81116.11</v>
      </c>
      <c r="E3" s="32">
        <f ca="1">C3-D3</f>
        <v>-40154.11</v>
      </c>
      <c r="F3" s="33">
        <f ca="1">IFERROR(E3/D3, 0)</f>
        <v>-0.49502016307241559</v>
      </c>
      <c r="G3" s="34">
        <f ca="1">SUM(Jan!G3, Feb!G3, Mar!G3)</f>
        <v>95666.17</v>
      </c>
      <c r="H3" s="34">
        <f ca="1">C3-G3</f>
        <v>-54704.17</v>
      </c>
      <c r="I3" s="35">
        <f ca="1">IFERROR(H3/G3, 0)</f>
        <v>-0.57182356103521237</v>
      </c>
    </row>
    <row r="4" spans="1:9" ht="15.75">
      <c r="A4" s="45" t="str">
        <v>Bunce</v>
      </c>
      <c r="B4" s="15" t="str">
        <v>CT</v>
      </c>
      <c r="C4" s="32">
        <f ca="1">SUM(Jan!C4, Feb!C4, Mar!C4)</f>
        <v>85317.75</v>
      </c>
      <c r="D4" s="32">
        <f ca="1">SUM(Jan!D4, Feb!D4, Mar!D4)</f>
        <v>134339.20000000001</v>
      </c>
      <c r="E4" s="32">
        <f t="shared" ref="E4:E11" ca="1" si="0">C4-D4</f>
        <v>-49021.450000000012</v>
      </c>
      <c r="F4" s="33">
        <f t="shared" ref="F4:F27" ca="1" si="1">IFERROR(E4/D4, 0)</f>
        <v>-0.36490800898025305</v>
      </c>
      <c r="G4" s="34">
        <f ca="1">SUM(Jan!G4, Feb!G4, Mar!G4)</f>
        <v>0</v>
      </c>
      <c r="H4" s="34">
        <f t="shared" ref="H4:H27" ca="1" si="2">C4-G4</f>
        <v>85317.75</v>
      </c>
      <c r="I4" s="35">
        <f t="shared" ref="I4:I27" ca="1" si="3">IFERROR(H4/G4, 0)</f>
        <v>0</v>
      </c>
    </row>
    <row r="5" spans="1:9" ht="15.75">
      <c r="A5" s="46" t="str">
        <v>Norcap North</v>
      </c>
      <c r="B5" s="31" t="str">
        <v>CT</v>
      </c>
      <c r="C5" s="32">
        <f ca="1">SUM(Jan!C5, Feb!C5, Mar!C5)</f>
        <v>86946</v>
      </c>
      <c r="D5" s="32">
        <f ca="1">SUM(Jan!D5, Feb!D5, Mar!D5)</f>
        <v>190151.4</v>
      </c>
      <c r="E5" s="32">
        <f t="shared" ca="1" si="0"/>
        <v>-103205.4</v>
      </c>
      <c r="F5" s="33">
        <f t="shared" ca="1" si="1"/>
        <v>-0.54275382668757632</v>
      </c>
      <c r="G5" s="34">
        <f ca="1">SUM(Jan!G5, Feb!G5, Mar!G5)</f>
        <v>179846.6</v>
      </c>
      <c r="H5" s="34">
        <f t="shared" ca="1" si="2"/>
        <v>-92900.6</v>
      </c>
      <c r="I5" s="35">
        <f t="shared" ca="1" si="3"/>
        <v>-0.51655466380793413</v>
      </c>
    </row>
    <row r="6" spans="1:9" ht="15.75">
      <c r="A6" s="45" t="str">
        <v>Norcap South</v>
      </c>
      <c r="B6" s="15" t="str">
        <v>CT</v>
      </c>
      <c r="C6" s="32">
        <f ca="1">SUM(Jan!C6, Feb!C6, Mar!C6)</f>
        <v>92879.5</v>
      </c>
      <c r="D6" s="32">
        <f ca="1">SUM(Jan!D6, Feb!D6, Mar!D6)</f>
        <v>212284</v>
      </c>
      <c r="E6" s="32">
        <f t="shared" ca="1" si="0"/>
        <v>-119404.5</v>
      </c>
      <c r="F6" s="33">
        <f t="shared" ca="1" si="1"/>
        <v>-0.5624752689792919</v>
      </c>
      <c r="G6" s="34">
        <f ca="1">SUM(Jan!G6, Feb!G6, Mar!G6)</f>
        <v>156565.5</v>
      </c>
      <c r="H6" s="34">
        <f t="shared" ca="1" si="2"/>
        <v>-63686</v>
      </c>
      <c r="I6" s="35">
        <f t="shared" ca="1" si="3"/>
        <v>-0.40676905193034224</v>
      </c>
    </row>
    <row r="7" spans="1:9" ht="15.75">
      <c r="A7" s="46" t="str">
        <v>Platt Hill</v>
      </c>
      <c r="B7" s="31" t="str">
        <v>CT</v>
      </c>
      <c r="C7" s="32">
        <f ca="1">SUM(Jan!C7, Feb!C7, Mar!C7)</f>
        <v>104226.493617021</v>
      </c>
      <c r="D7" s="32">
        <f ca="1">SUM(Jan!D7, Feb!D7, Mar!D7)</f>
        <v>164040.9</v>
      </c>
      <c r="E7" s="32">
        <f t="shared" ca="1" si="0"/>
        <v>-59814.406382978996</v>
      </c>
      <c r="F7" s="33">
        <f t="shared" ca="1" si="1"/>
        <v>-0.36463105471244672</v>
      </c>
      <c r="G7" s="34">
        <f ca="1">SUM(Jan!G7, Feb!G7, Mar!G7)</f>
        <v>232504.1</v>
      </c>
      <c r="H7" s="34">
        <f t="shared" ca="1" si="2"/>
        <v>-128277.60638297901</v>
      </c>
      <c r="I7" s="35">
        <f t="shared" ca="1" si="3"/>
        <v>-0.55172191106728441</v>
      </c>
    </row>
    <row r="8" spans="1:9" ht="15.75">
      <c r="A8" s="45" t="str">
        <v>Powder Hill</v>
      </c>
      <c r="B8" s="15" t="str">
        <v>CT</v>
      </c>
      <c r="C8" s="32">
        <f ca="1">SUM(Jan!C8, Feb!C8, Mar!C8)</f>
        <v>73609</v>
      </c>
      <c r="D8" s="32">
        <f ca="1">SUM(Jan!D8, Feb!D8, Mar!D8)</f>
        <v>144364.9</v>
      </c>
      <c r="E8" s="32">
        <f t="shared" ca="1" si="0"/>
        <v>-70755.899999999994</v>
      </c>
      <c r="F8" s="33">
        <f t="shared" ca="1" si="1"/>
        <v>-0.49011844291791146</v>
      </c>
      <c r="G8" s="34">
        <f ca="1">SUM(Jan!G8, Feb!G8, Mar!G8)</f>
        <v>155676</v>
      </c>
      <c r="H8" s="34">
        <f t="shared" ca="1" si="2"/>
        <v>-82067</v>
      </c>
      <c r="I8" s="35">
        <f t="shared" ca="1" si="3"/>
        <v>-0.52716539479431646</v>
      </c>
    </row>
    <row r="9" spans="1:9" ht="15.75">
      <c r="A9" s="46" t="str">
        <v>Sand Road</v>
      </c>
      <c r="B9" s="31" t="str">
        <v>CT</v>
      </c>
      <c r="C9" s="32">
        <f ca="1">SUM(Jan!C9, Feb!C9, Mar!C9)</f>
        <v>78068.5</v>
      </c>
      <c r="D9" s="32">
        <f ca="1">SUM(Jan!D9, Feb!D9, Mar!D9)</f>
        <v>124790</v>
      </c>
      <c r="E9" s="32">
        <f t="shared" ca="1" si="0"/>
        <v>-46721.5</v>
      </c>
      <c r="F9" s="33">
        <f t="shared" ca="1" si="1"/>
        <v>-0.37440099366936452</v>
      </c>
      <c r="G9" s="34">
        <f ca="1">SUM(Jan!G9, Feb!G9, Mar!G9)</f>
        <v>145302</v>
      </c>
      <c r="H9" s="34">
        <f t="shared" ca="1" si="2"/>
        <v>-67233.5</v>
      </c>
      <c r="I9" s="35">
        <f t="shared" ca="1" si="3"/>
        <v>-0.46271558547026193</v>
      </c>
    </row>
    <row r="10" spans="1:9" ht="15.75">
      <c r="A10" s="45" t="str">
        <v>Suffield</v>
      </c>
      <c r="B10" s="15" t="str">
        <v>CT</v>
      </c>
      <c r="C10" s="32">
        <f ca="1">SUM(Jan!C10, Feb!C10, Mar!C10)</f>
        <v>86425</v>
      </c>
      <c r="D10" s="32">
        <f ca="1">SUM(Jan!D10, Feb!D10, Mar!D10)</f>
        <v>139100</v>
      </c>
      <c r="E10" s="32">
        <f t="shared" ca="1" si="0"/>
        <v>-52675</v>
      </c>
      <c r="F10" s="33">
        <f t="shared" ca="1" si="1"/>
        <v>-0.37868439971243711</v>
      </c>
      <c r="G10" s="34">
        <f ca="1">SUM(Jan!G10, Feb!G10, Mar!G10)</f>
        <v>191955.4</v>
      </c>
      <c r="H10" s="34">
        <f t="shared" ca="1" si="2"/>
        <v>-105530.4</v>
      </c>
      <c r="I10" s="35">
        <f t="shared" ca="1" si="3"/>
        <v>-0.54976520587594824</v>
      </c>
    </row>
    <row r="11" spans="1:9" ht="15.75">
      <c r="A11" s="46" t="str">
        <v>Ashby-Duffy</v>
      </c>
      <c r="B11" s="31" t="str">
        <v>MA</v>
      </c>
      <c r="C11" s="32">
        <f ca="1">SUM(Jan!C11, Feb!C11, Mar!C11)</f>
        <v>83884</v>
      </c>
      <c r="D11" s="32">
        <f ca="1">SUM(Jan!D11, Feb!D11, Mar!D11)</f>
        <v>228874</v>
      </c>
      <c r="E11" s="32">
        <f t="shared" ca="1" si="0"/>
        <v>-144990</v>
      </c>
      <c r="F11" s="33">
        <f t="shared" ca="1" si="1"/>
        <v>-0.63349266408591631</v>
      </c>
      <c r="G11" s="34">
        <f ca="1">SUM(Jan!G11, Feb!G11, Mar!G11)</f>
        <v>158269.5</v>
      </c>
      <c r="H11" s="34">
        <f t="shared" ca="1" si="2"/>
        <v>-74385.5</v>
      </c>
      <c r="I11" s="35">
        <f t="shared" ca="1" si="3"/>
        <v>-0.46999263913767342</v>
      </c>
    </row>
    <row r="12" spans="1:9" ht="15.75">
      <c r="A12" s="45" t="str">
        <v>Ashland</v>
      </c>
      <c r="B12" s="15" t="str">
        <v>MA</v>
      </c>
      <c r="C12" s="32">
        <f ca="1">SUM(Jan!C12, Feb!C12, Mar!C12)</f>
        <v>3053</v>
      </c>
      <c r="D12" s="32">
        <f ca="1">SUM(Jan!D12, Feb!D12, Mar!D12)</f>
        <v>18082.05</v>
      </c>
      <c r="E12" s="32">
        <f t="shared" ref="E12:E27" ca="1" si="4">C12-D12</f>
        <v>-15029.05</v>
      </c>
      <c r="F12" s="33">
        <f t="shared" ca="1" si="1"/>
        <v>-0.83115852461418915</v>
      </c>
      <c r="G12" s="34">
        <f ca="1">SUM(Jan!G12, Feb!G12, Mar!G12)</f>
        <v>134293.1</v>
      </c>
      <c r="H12" s="34">
        <f t="shared" ca="1" si="2"/>
        <v>-131240.1</v>
      </c>
      <c r="I12" s="35">
        <f t="shared" ca="1" si="3"/>
        <v>-0.97726614397910239</v>
      </c>
    </row>
    <row r="13" spans="1:9" ht="15.75">
      <c r="A13" s="46" t="str">
        <v>Barrington</v>
      </c>
      <c r="B13" s="31" t="str">
        <v>MA</v>
      </c>
      <c r="C13" s="32">
        <f ca="1">SUM(Jan!C13, Feb!C13, Mar!C13)</f>
        <v>15412</v>
      </c>
      <c r="D13" s="32">
        <f ca="1">SUM(Jan!D13, Feb!D13, Mar!D13)</f>
        <v>23642.959999999999</v>
      </c>
      <c r="E13" s="32">
        <f t="shared" ca="1" si="4"/>
        <v>-8230.9599999999991</v>
      </c>
      <c r="F13" s="33">
        <f t="shared" ca="1" si="1"/>
        <v>-0.34813576641841798</v>
      </c>
      <c r="G13" s="34">
        <f ca="1">SUM(Jan!G13, Feb!G13, Mar!G13)</f>
        <v>35820</v>
      </c>
      <c r="H13" s="34">
        <f t="shared" ca="1" si="2"/>
        <v>-20408</v>
      </c>
      <c r="I13" s="35">
        <f t="shared" ca="1" si="3"/>
        <v>-0.56973757677275261</v>
      </c>
    </row>
    <row r="14" spans="1:9" ht="15.75">
      <c r="A14" s="45" t="str">
        <v>Bedford - 205 Burlington Rd</v>
      </c>
      <c r="B14" s="15" t="str">
        <v>MA</v>
      </c>
      <c r="C14" s="32">
        <f ca="1">SUM(Jan!C14, Feb!C14, Mar!C14)</f>
        <v>7938</v>
      </c>
      <c r="D14" s="32">
        <f ca="1">SUM(Jan!D14, Feb!D14, Mar!D14)</f>
        <v>0</v>
      </c>
      <c r="E14" s="32">
        <f t="shared" ca="1" si="4"/>
        <v>7938</v>
      </c>
      <c r="F14" s="33">
        <f t="shared" ca="1" si="1"/>
        <v>0</v>
      </c>
      <c r="G14" s="34">
        <f ca="1">SUM(Jan!G14, Feb!G14, Mar!G14)</f>
        <v>0</v>
      </c>
      <c r="H14" s="34">
        <f t="shared" ca="1" si="2"/>
        <v>7938</v>
      </c>
      <c r="I14" s="35">
        <f t="shared" ca="1" si="3"/>
        <v>0</v>
      </c>
    </row>
    <row r="15" spans="1:9" ht="15.75">
      <c r="A15" s="46" t="str">
        <v>Billerica - 6 Cook Street</v>
      </c>
      <c r="B15" s="31" t="str">
        <v>MA</v>
      </c>
      <c r="C15" s="32">
        <f ca="1">SUM(Jan!C15, Feb!C15, Mar!C15)</f>
        <v>7069</v>
      </c>
      <c r="D15" s="32">
        <f ca="1">SUM(Jan!D15, Feb!D15, Mar!D15)</f>
        <v>0</v>
      </c>
      <c r="E15" s="32">
        <f t="shared" ca="1" si="4"/>
        <v>7069</v>
      </c>
      <c r="F15" s="33">
        <f t="shared" ca="1" si="1"/>
        <v>0</v>
      </c>
      <c r="G15" s="34">
        <f ca="1">SUM(Jan!G15, Feb!G15, Mar!G15)</f>
        <v>0</v>
      </c>
      <c r="H15" s="34">
        <f t="shared" ca="1" si="2"/>
        <v>7069</v>
      </c>
      <c r="I15" s="35">
        <f t="shared" ca="1" si="3"/>
        <v>0</v>
      </c>
    </row>
    <row r="16" spans="1:9" ht="15.75">
      <c r="A16" s="45" t="str">
        <v>Billerica - 780 Boston Road</v>
      </c>
      <c r="B16" s="15" t="str">
        <v>MA</v>
      </c>
      <c r="C16" s="32">
        <f ca="1">SUM(Jan!C16, Feb!C16, Mar!C16)</f>
        <v>7922</v>
      </c>
      <c r="D16" s="32">
        <f ca="1">SUM(Jan!D16, Feb!D16, Mar!D16)</f>
        <v>0</v>
      </c>
      <c r="E16" s="32">
        <f t="shared" ca="1" si="4"/>
        <v>7922</v>
      </c>
      <c r="F16" s="33">
        <f t="shared" ca="1" si="1"/>
        <v>0</v>
      </c>
      <c r="G16" s="34">
        <f ca="1">SUM(Jan!G16, Feb!G16, Mar!G16)</f>
        <v>0</v>
      </c>
      <c r="H16" s="34">
        <f t="shared" ca="1" si="2"/>
        <v>7922</v>
      </c>
      <c r="I16" s="35">
        <f t="shared" ca="1" si="3"/>
        <v>0</v>
      </c>
    </row>
    <row r="17" spans="1:9" ht="15.75">
      <c r="A17" s="46" t="str">
        <v>Cheshire</v>
      </c>
      <c r="B17" s="31" t="str">
        <v>MA</v>
      </c>
      <c r="C17" s="32">
        <f ca="1">SUM(Jan!C17, Feb!C17, Mar!C17)</f>
        <v>15272</v>
      </c>
      <c r="D17" s="32">
        <f ca="1">SUM(Jan!D17, Feb!D17, Mar!D17)</f>
        <v>27330.66</v>
      </c>
      <c r="E17" s="32">
        <f t="shared" ca="1" si="4"/>
        <v>-12058.66</v>
      </c>
      <c r="F17" s="33">
        <f t="shared" ca="1" si="1"/>
        <v>-0.44121364065119539</v>
      </c>
      <c r="G17" s="34">
        <f ca="1">SUM(Jan!G17, Feb!G17, Mar!G17)</f>
        <v>24314.38</v>
      </c>
      <c r="H17" s="34">
        <f t="shared" ca="1" si="2"/>
        <v>-9042.380000000001</v>
      </c>
      <c r="I17" s="35">
        <f t="shared" ca="1" si="3"/>
        <v>-0.37189432755431151</v>
      </c>
    </row>
    <row r="18" spans="1:9" ht="15.75">
      <c r="A18" s="45" t="str">
        <v>Lilly Lane</v>
      </c>
      <c r="B18" s="15" t="str">
        <v>MA</v>
      </c>
      <c r="C18" s="32">
        <f ca="1">SUM(Jan!C18, Feb!C18, Mar!C18)</f>
        <v>37262</v>
      </c>
      <c r="D18" s="32">
        <f ca="1">SUM(Jan!D18, Feb!D18, Mar!D18)</f>
        <v>61721.41</v>
      </c>
      <c r="E18" s="32">
        <f t="shared" ca="1" si="4"/>
        <v>-24459.410000000003</v>
      </c>
      <c r="F18" s="33">
        <f t="shared" ca="1" si="1"/>
        <v>-0.39628728507660471</v>
      </c>
      <c r="G18" s="34">
        <f ca="1">SUM(Jan!G18, Feb!G18, Mar!G18)</f>
        <v>113135.5</v>
      </c>
      <c r="H18" s="34">
        <f t="shared" ca="1" si="2"/>
        <v>-75873.5</v>
      </c>
      <c r="I18" s="35">
        <f t="shared" ca="1" si="3"/>
        <v>-0.67064272487415533</v>
      </c>
    </row>
    <row r="19" spans="1:9" ht="15.75">
      <c r="A19" s="46" t="str">
        <v>Monument Valley</v>
      </c>
      <c r="B19" s="31" t="str">
        <v>MA</v>
      </c>
      <c r="C19" s="32">
        <f ca="1">SUM(Jan!C19, Feb!C19, Mar!C19)</f>
        <v>68801</v>
      </c>
      <c r="D19" s="32">
        <f ca="1">SUM(Jan!D19, Feb!D19, Mar!D19)</f>
        <v>28968.03</v>
      </c>
      <c r="E19" s="32">
        <f t="shared" ca="1" si="4"/>
        <v>39832.97</v>
      </c>
      <c r="F19" s="33">
        <f t="shared" ca="1" si="1"/>
        <v>1.3750665820216288</v>
      </c>
      <c r="G19" s="34">
        <f ca="1">SUM(Jan!G19, Feb!G19, Mar!G19)</f>
        <v>0</v>
      </c>
      <c r="H19" s="34">
        <f t="shared" ca="1" si="2"/>
        <v>68801</v>
      </c>
      <c r="I19" s="35">
        <f t="shared" ca="1" si="3"/>
        <v>0</v>
      </c>
    </row>
    <row r="20" spans="1:9" ht="15.75">
      <c r="A20" s="45" t="str">
        <v>Nationwide</v>
      </c>
      <c r="B20" s="15" t="str">
        <v>MA</v>
      </c>
      <c r="C20" s="32">
        <f ca="1">SUM(Jan!C20, Feb!C20, Mar!C20)</f>
        <v>98960</v>
      </c>
      <c r="D20" s="32">
        <f ca="1">SUM(Jan!D20, Feb!D20, Mar!D20)</f>
        <v>221313.9</v>
      </c>
      <c r="E20" s="32">
        <f t="shared" ref="E20:E23" ca="1" si="5">C20-D20</f>
        <v>-122353.9</v>
      </c>
      <c r="F20" s="33">
        <f t="shared" ref="F20:F23" ca="1" si="6">IFERROR(E20/D20, 0)</f>
        <v>-0.55285230615880876</v>
      </c>
      <c r="G20" s="34">
        <f ca="1">SUM(Jan!G20, Feb!G20, Mar!G20)</f>
        <v>298977.59999999998</v>
      </c>
      <c r="H20" s="34">
        <f t="shared" ref="H20:H23" ca="1" si="7">C20-G20</f>
        <v>-200017.59999999998</v>
      </c>
      <c r="I20" s="35">
        <f t="shared" ref="I20:I23" ca="1" si="8">IFERROR(H20/G20, 0)</f>
        <v>-0.66900530340734554</v>
      </c>
    </row>
    <row r="21" spans="1:9" ht="15.75">
      <c r="A21" s="46" t="str">
        <v>Pulpit Hill</v>
      </c>
      <c r="B21" s="31" t="str">
        <v>MA</v>
      </c>
      <c r="C21" s="32">
        <f ca="1">SUM(Jan!C21, Feb!C21, Mar!C21)</f>
        <v>147440</v>
      </c>
      <c r="D21" s="32">
        <f ca="1">SUM(Jan!D21, Feb!D21, Mar!D21)</f>
        <v>286661.3</v>
      </c>
      <c r="E21" s="32">
        <f t="shared" ca="1" si="5"/>
        <v>-139221.29999999999</v>
      </c>
      <c r="F21" s="33">
        <f t="shared" ca="1" si="6"/>
        <v>-0.48566478977106431</v>
      </c>
      <c r="G21" s="34">
        <f ca="1">SUM(Jan!G21, Feb!G21, Mar!G21)</f>
        <v>356965.5</v>
      </c>
      <c r="H21" s="34">
        <f t="shared" ca="1" si="7"/>
        <v>-209525.5</v>
      </c>
      <c r="I21" s="35">
        <f t="shared" ca="1" si="8"/>
        <v>-0.58696288576907296</v>
      </c>
    </row>
    <row r="22" spans="1:9" ht="15.75">
      <c r="A22" s="45" t="str">
        <v>Sandwich</v>
      </c>
      <c r="B22" s="15" t="str">
        <v>MA</v>
      </c>
      <c r="C22" s="32">
        <f ca="1">SUM(Jan!C22, Feb!C22, Mar!C22)</f>
        <v>69116</v>
      </c>
      <c r="D22" s="32">
        <f ca="1">SUM(Jan!D22, Feb!D22, Mar!D22)</f>
        <v>0</v>
      </c>
      <c r="E22" s="32">
        <f t="shared" ca="1" si="5"/>
        <v>69116</v>
      </c>
      <c r="F22" s="33">
        <f t="shared" ca="1" si="6"/>
        <v>0</v>
      </c>
      <c r="G22" s="34">
        <f ca="1">SUM(Jan!G22, Feb!G22, Mar!G22)</f>
        <v>0</v>
      </c>
      <c r="H22" s="34">
        <f t="shared" ca="1" si="7"/>
        <v>69116</v>
      </c>
      <c r="I22" s="35">
        <f t="shared" ca="1" si="8"/>
        <v>0</v>
      </c>
    </row>
    <row r="23" spans="1:9" ht="15.75">
      <c r="A23" s="46" t="str">
        <v>Sturbridge Barn</v>
      </c>
      <c r="B23" s="31" t="str">
        <v>MA</v>
      </c>
      <c r="C23" s="32">
        <f ca="1">SUM(Jan!C23, Feb!C23, Mar!C23)</f>
        <v>40594</v>
      </c>
      <c r="D23" s="32">
        <f ca="1">SUM(Jan!D23, Feb!D23, Mar!D23)</f>
        <v>79345.86</v>
      </c>
      <c r="E23" s="32">
        <f t="shared" ca="1" si="5"/>
        <v>-38751.86</v>
      </c>
      <c r="F23" s="33">
        <f t="shared" ca="1" si="6"/>
        <v>-0.48839170688930716</v>
      </c>
      <c r="G23" s="34">
        <f ca="1">SUM(Jan!G23, Feb!G23, Mar!G23)</f>
        <v>110612.6</v>
      </c>
      <c r="H23" s="34">
        <f t="shared" ca="1" si="7"/>
        <v>-70018.600000000006</v>
      </c>
      <c r="I23" s="35">
        <f t="shared" ca="1" si="8"/>
        <v>-0.63300745123069169</v>
      </c>
    </row>
    <row r="24" spans="1:9" ht="15.75">
      <c r="A24" s="45" t="str">
        <v>Sturbridge Garage</v>
      </c>
      <c r="B24" s="15" t="str">
        <v>MA</v>
      </c>
      <c r="C24" s="32">
        <f ca="1">SUM(Jan!C24, Feb!C24, Mar!C24)</f>
        <v>20528.25</v>
      </c>
      <c r="D24" s="32">
        <f ca="1">SUM(Jan!D24, Feb!D24, Mar!D24)</f>
        <v>36997.33</v>
      </c>
      <c r="E24" s="32">
        <f t="shared" ca="1" si="4"/>
        <v>-16469.080000000002</v>
      </c>
      <c r="F24" s="33">
        <f t="shared" ca="1" si="1"/>
        <v>-0.44514239270779815</v>
      </c>
      <c r="G24" s="34">
        <f ca="1">SUM(Jan!G24, Feb!G24, Mar!G24)</f>
        <v>55886.080000000002</v>
      </c>
      <c r="H24" s="34">
        <f t="shared" ca="1" si="2"/>
        <v>-35357.83</v>
      </c>
      <c r="I24" s="35">
        <f t="shared" ca="1" si="3"/>
        <v>-0.63267686694074809</v>
      </c>
    </row>
    <row r="25" spans="1:9" ht="15.75">
      <c r="A25" s="46" t="str">
        <v>Halsey Valley</v>
      </c>
      <c r="B25" s="31" t="str">
        <v>NY</v>
      </c>
      <c r="C25" s="32">
        <f ca="1">SUM(Jan!C25, Feb!C25, Mar!C25)</f>
        <v>147564</v>
      </c>
      <c r="D25" s="32">
        <f ca="1">SUM(Jan!D25, Feb!D25, Mar!D25)</f>
        <v>292774.59999999998</v>
      </c>
      <c r="E25" s="32">
        <f t="shared" ca="1" si="4"/>
        <v>-145210.59999999998</v>
      </c>
      <c r="F25" s="33">
        <f t="shared" ca="1" si="1"/>
        <v>-0.49598086719271406</v>
      </c>
      <c r="G25" s="34">
        <f ca="1">SUM(Jan!G25, Feb!G25, Mar!G25)</f>
        <v>384000</v>
      </c>
      <c r="H25" s="34">
        <f t="shared" ca="1" si="2"/>
        <v>-236436</v>
      </c>
      <c r="I25" s="35">
        <f t="shared" ca="1" si="3"/>
        <v>-0.61571874999999998</v>
      </c>
    </row>
    <row r="26" spans="1:9" ht="15.75">
      <c r="A26" s="45" t="str">
        <v>Hunt Creek</v>
      </c>
      <c r="B26" s="15" t="str">
        <v>NY</v>
      </c>
      <c r="C26" s="32">
        <f ca="1">SUM(Jan!C26, Feb!C26, Mar!C26)</f>
        <v>87616.95</v>
      </c>
      <c r="D26" s="32">
        <f ca="1">SUM(Jan!D26, Feb!D26, Mar!D26)</f>
        <v>201235.3</v>
      </c>
      <c r="E26" s="32">
        <f t="shared" ca="1" si="4"/>
        <v>-113618.34999999999</v>
      </c>
      <c r="F26" s="33">
        <f t="shared" ca="1" si="1"/>
        <v>-0.56460447048803064</v>
      </c>
      <c r="G26" s="34">
        <f ca="1">SUM(Jan!G26, Feb!G26, Mar!G26)</f>
        <v>228700</v>
      </c>
      <c r="H26" s="34">
        <f t="shared" ca="1" si="2"/>
        <v>-141083.04999999999</v>
      </c>
      <c r="I26" s="35">
        <f t="shared" ca="1" si="3"/>
        <v>-0.61689134236991683</v>
      </c>
    </row>
    <row r="27" spans="1:9" ht="15.75">
      <c r="A27" s="46" t="str">
        <v>Smith Creek</v>
      </c>
      <c r="B27" s="31" t="str">
        <v>NY</v>
      </c>
      <c r="C27" s="32">
        <f ca="1">SUM(Jan!C27, Feb!C27, Mar!C27)</f>
        <v>140087</v>
      </c>
      <c r="D27" s="32">
        <f ca="1">SUM(Jan!D27, Feb!D27, Mar!D27)</f>
        <v>237488.5</v>
      </c>
      <c r="E27" s="32">
        <f t="shared" ca="1" si="4"/>
        <v>-97401.5</v>
      </c>
      <c r="F27" s="33">
        <f t="shared" ca="1" si="1"/>
        <v>-0.41013143794331092</v>
      </c>
      <c r="G27" s="34">
        <f ca="1">SUM(Jan!G27, Feb!G27, Mar!G27)</f>
        <v>400605.5</v>
      </c>
      <c r="H27" s="34">
        <f t="shared" ca="1" si="2"/>
        <v>-260518.5</v>
      </c>
      <c r="I27" s="35">
        <f t="shared" ca="1" si="3"/>
        <v>-0.65031184045151647</v>
      </c>
    </row>
    <row r="28" spans="1:9" ht="24.75" customHeight="1">
      <c r="A28" s="162" t="s">
        <v>9</v>
      </c>
      <c r="B28" s="163"/>
      <c r="C28" s="47">
        <f ca="1">SUM(C3:C27)</f>
        <v>1646953.443617021</v>
      </c>
      <c r="D28" s="47">
        <f ca="1">SUM(D3:D27)</f>
        <v>2934622.4099999997</v>
      </c>
      <c r="E28" s="47">
        <f ca="1">C28-D28</f>
        <v>-1287668.9663829787</v>
      </c>
      <c r="F28" s="38">
        <f ca="1">IFERROR(E28/D28, 0)</f>
        <v>-0.43878522906222162</v>
      </c>
      <c r="G28" s="47">
        <f ca="1">SUM(G3:G27)</f>
        <v>3459095.5300000003</v>
      </c>
      <c r="H28" s="48">
        <f ca="1">C28-G28</f>
        <v>-1812142.0863829793</v>
      </c>
      <c r="I28" s="39">
        <f ca="1">IFERROR(H28/G28, 0)</f>
        <v>-0.52387743289153366</v>
      </c>
    </row>
    <row r="30" spans="1:9" ht="12.75" customHeight="1">
      <c r="A30" s="164" t="s">
        <v>10</v>
      </c>
    </row>
    <row r="31" spans="1:9">
      <c r="A31" s="164"/>
    </row>
    <row r="32" spans="1:9">
      <c r="A32" s="165" t="s">
        <v>11</v>
      </c>
    </row>
    <row r="33" spans="1:1" ht="12.75" customHeight="1">
      <c r="A33" s="165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G1:I1"/>
    <mergeCell ref="A28:B28"/>
    <mergeCell ref="A30:A31"/>
    <mergeCell ref="A32:A33"/>
    <mergeCell ref="A1:B1"/>
    <mergeCell ref="C1:F1"/>
  </mergeCells>
  <conditionalFormatting sqref="F3:F28 I3:I28">
    <cfRule type="cellIs" dxfId="436" priority="1" operator="lessThanOrEqual">
      <formula>-0.1</formula>
    </cfRule>
    <cfRule type="cellIs" dxfId="435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66" t="str" cm="1">
        <f t="array" ref="A1">portfolio</f>
        <v>Lodestar</v>
      </c>
      <c r="B1" s="167"/>
      <c r="C1" s="168" t="s">
        <v>14</v>
      </c>
      <c r="D1" s="169"/>
      <c r="E1" s="169"/>
      <c r="F1" s="170"/>
      <c r="G1" s="160" t="s">
        <v>15</v>
      </c>
      <c r="H1" s="160"/>
      <c r="I1" s="161"/>
    </row>
    <row r="2" spans="1:9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</row>
    <row r="3" spans="1:9" ht="15.75">
      <c r="A3" s="44" t="str" cm="1">
        <f t="array" ref="A3:A27">Sites[Site]</f>
        <v>Barkhamsted</v>
      </c>
      <c r="B3" s="30" t="str" cm="1">
        <f t="array" ref="B3:B27">Sites[State]</f>
        <v>CT</v>
      </c>
      <c r="C3" s="32">
        <f ca="1">SUM(Apr!C3, May!C3, Jun!C3)</f>
        <v>0</v>
      </c>
      <c r="D3" s="32">
        <f ca="1">SUM(Apr!D3, May!D3, Jun!D3)</f>
        <v>0</v>
      </c>
      <c r="E3" s="32">
        <f ca="1">C3-D3</f>
        <v>0</v>
      </c>
      <c r="F3" s="33">
        <f ca="1">IFERROR(E3/D3, 0)</f>
        <v>0</v>
      </c>
      <c r="G3" s="34">
        <f ca="1">SUM(Apr!G3, May!G3, Jun!G3)</f>
        <v>0</v>
      </c>
      <c r="H3" s="34">
        <f ca="1">C3-G3</f>
        <v>0</v>
      </c>
      <c r="I3" s="35">
        <f ca="1">IFERROR(H3/G3, 0)</f>
        <v>0</v>
      </c>
    </row>
    <row r="4" spans="1:9" ht="15.75">
      <c r="A4" s="45" t="str">
        <v>Bunce</v>
      </c>
      <c r="B4" s="15" t="str">
        <v>CT</v>
      </c>
      <c r="C4" s="32">
        <f ca="1">SUM(Apr!C4, May!C4, Jun!C4)</f>
        <v>0</v>
      </c>
      <c r="D4" s="32">
        <f ca="1">SUM(Apr!D4, May!D4, Jun!D4)</f>
        <v>0</v>
      </c>
      <c r="E4" s="32">
        <f t="shared" ref="E4:E27" ca="1" si="0">C4-D4</f>
        <v>0</v>
      </c>
      <c r="F4" s="33">
        <f t="shared" ref="F4:F27" ca="1" si="1">IFERROR(E4/D4, 0)</f>
        <v>0</v>
      </c>
      <c r="G4" s="34">
        <f ca="1">SUM(Apr!G4, May!G4, Jun!G4)</f>
        <v>0</v>
      </c>
      <c r="H4" s="34">
        <f t="shared" ref="H4:H27" ca="1" si="2">C4-G4</f>
        <v>0</v>
      </c>
      <c r="I4" s="35">
        <f t="shared" ref="I4:I27" ca="1" si="3">IFERROR(H4/G4, 0)</f>
        <v>0</v>
      </c>
    </row>
    <row r="5" spans="1:9" ht="15.75">
      <c r="A5" s="46" t="str">
        <v>Norcap North</v>
      </c>
      <c r="B5" s="31" t="str">
        <v>CT</v>
      </c>
      <c r="C5" s="32">
        <f ca="1">SUM(Apr!C5, May!C5, Jun!C5)</f>
        <v>0</v>
      </c>
      <c r="D5" s="32">
        <f ca="1">SUM(Apr!D5, May!D5, Jun!D5)</f>
        <v>0</v>
      </c>
      <c r="E5" s="32">
        <f t="shared" ca="1" si="0"/>
        <v>0</v>
      </c>
      <c r="F5" s="33">
        <f t="shared" ca="1" si="1"/>
        <v>0</v>
      </c>
      <c r="G5" s="34">
        <f ca="1">SUM(Apr!G5, May!G5, Jun!G5)</f>
        <v>0</v>
      </c>
      <c r="H5" s="34">
        <f t="shared" ca="1" si="2"/>
        <v>0</v>
      </c>
      <c r="I5" s="35">
        <f t="shared" ca="1" si="3"/>
        <v>0</v>
      </c>
    </row>
    <row r="6" spans="1:9" ht="15.75">
      <c r="A6" s="45" t="str">
        <v>Norcap South</v>
      </c>
      <c r="B6" s="15" t="str">
        <v>CT</v>
      </c>
      <c r="C6" s="32">
        <f ca="1">SUM(Apr!C6, May!C6, Jun!C6)</f>
        <v>0</v>
      </c>
      <c r="D6" s="32">
        <f ca="1">SUM(Apr!D6, May!D6, Jun!D6)</f>
        <v>0</v>
      </c>
      <c r="E6" s="32">
        <f t="shared" ca="1" si="0"/>
        <v>0</v>
      </c>
      <c r="F6" s="33">
        <f t="shared" ca="1" si="1"/>
        <v>0</v>
      </c>
      <c r="G6" s="34">
        <f ca="1">SUM(Apr!G6, May!G6, Jun!G6)</f>
        <v>0</v>
      </c>
      <c r="H6" s="34">
        <f t="shared" ca="1" si="2"/>
        <v>0</v>
      </c>
      <c r="I6" s="35">
        <f t="shared" ca="1" si="3"/>
        <v>0</v>
      </c>
    </row>
    <row r="7" spans="1:9" ht="15.75">
      <c r="A7" s="46" t="str">
        <v>Platt Hill</v>
      </c>
      <c r="B7" s="31" t="str">
        <v>CT</v>
      </c>
      <c r="C7" s="32">
        <f ca="1">SUM(Apr!C7, May!C7, Jun!C7)</f>
        <v>0</v>
      </c>
      <c r="D7" s="32">
        <f ca="1">SUM(Apr!D7, May!D7, Jun!D7)</f>
        <v>0</v>
      </c>
      <c r="E7" s="32">
        <f t="shared" ca="1" si="0"/>
        <v>0</v>
      </c>
      <c r="F7" s="33">
        <f t="shared" ca="1" si="1"/>
        <v>0</v>
      </c>
      <c r="G7" s="34">
        <f ca="1">SUM(Apr!G7, May!G7, Jun!G7)</f>
        <v>0</v>
      </c>
      <c r="H7" s="34">
        <f t="shared" ca="1" si="2"/>
        <v>0</v>
      </c>
      <c r="I7" s="35">
        <f t="shared" ca="1" si="3"/>
        <v>0</v>
      </c>
    </row>
    <row r="8" spans="1:9" ht="15.75">
      <c r="A8" s="45" t="str">
        <v>Powder Hill</v>
      </c>
      <c r="B8" s="15" t="str">
        <v>CT</v>
      </c>
      <c r="C8" s="32">
        <f ca="1">SUM(Apr!C8, May!C8, Jun!C8)</f>
        <v>0</v>
      </c>
      <c r="D8" s="32">
        <f ca="1">SUM(Apr!D8, May!D8, Jun!D8)</f>
        <v>0</v>
      </c>
      <c r="E8" s="32">
        <f t="shared" ca="1" si="0"/>
        <v>0</v>
      </c>
      <c r="F8" s="33">
        <f t="shared" ca="1" si="1"/>
        <v>0</v>
      </c>
      <c r="G8" s="34">
        <f ca="1">SUM(Apr!G8, May!G8, Jun!G8)</f>
        <v>0</v>
      </c>
      <c r="H8" s="34">
        <f t="shared" ca="1" si="2"/>
        <v>0</v>
      </c>
      <c r="I8" s="35">
        <f t="shared" ca="1" si="3"/>
        <v>0</v>
      </c>
    </row>
    <row r="9" spans="1:9" ht="15.75">
      <c r="A9" s="46" t="str">
        <v>Sand Road</v>
      </c>
      <c r="B9" s="31" t="str">
        <v>CT</v>
      </c>
      <c r="C9" s="32">
        <f ca="1">SUM(Apr!C9, May!C9, Jun!C9)</f>
        <v>0</v>
      </c>
      <c r="D9" s="32">
        <f ca="1">SUM(Apr!D9, May!D9, Jun!D9)</f>
        <v>0</v>
      </c>
      <c r="E9" s="32">
        <f t="shared" ca="1" si="0"/>
        <v>0</v>
      </c>
      <c r="F9" s="33">
        <f t="shared" ca="1" si="1"/>
        <v>0</v>
      </c>
      <c r="G9" s="34">
        <f ca="1">SUM(Apr!G9, May!G9, Jun!G9)</f>
        <v>0</v>
      </c>
      <c r="H9" s="34">
        <f t="shared" ca="1" si="2"/>
        <v>0</v>
      </c>
      <c r="I9" s="35">
        <f t="shared" ca="1" si="3"/>
        <v>0</v>
      </c>
    </row>
    <row r="10" spans="1:9" ht="15.75">
      <c r="A10" s="45" t="str">
        <v>Suffield</v>
      </c>
      <c r="B10" s="15" t="str">
        <v>CT</v>
      </c>
      <c r="C10" s="32">
        <f ca="1">SUM(Apr!C10, May!C10, Jun!C10)</f>
        <v>0</v>
      </c>
      <c r="D10" s="32">
        <f ca="1">SUM(Apr!D10, May!D10, Jun!D10)</f>
        <v>0</v>
      </c>
      <c r="E10" s="32">
        <f t="shared" ca="1" si="0"/>
        <v>0</v>
      </c>
      <c r="F10" s="33">
        <f t="shared" ca="1" si="1"/>
        <v>0</v>
      </c>
      <c r="G10" s="34">
        <f ca="1">SUM(Apr!G10, May!G10, Jun!G10)</f>
        <v>0</v>
      </c>
      <c r="H10" s="34">
        <f t="shared" ca="1" si="2"/>
        <v>0</v>
      </c>
      <c r="I10" s="35">
        <f t="shared" ca="1" si="3"/>
        <v>0</v>
      </c>
    </row>
    <row r="11" spans="1:9" ht="15.75">
      <c r="A11" s="46" t="str">
        <v>Ashby-Duffy</v>
      </c>
      <c r="B11" s="31" t="str">
        <v>MA</v>
      </c>
      <c r="C11" s="32">
        <f ca="1">SUM(Apr!C11, May!C11, Jun!C11)</f>
        <v>0</v>
      </c>
      <c r="D11" s="32">
        <f ca="1">SUM(Apr!D11, May!D11, Jun!D11)</f>
        <v>0</v>
      </c>
      <c r="E11" s="32">
        <f t="shared" ca="1" si="0"/>
        <v>0</v>
      </c>
      <c r="F11" s="33">
        <f t="shared" ca="1" si="1"/>
        <v>0</v>
      </c>
      <c r="G11" s="34">
        <f ca="1">SUM(Apr!G11, May!G11, Jun!G11)</f>
        <v>0</v>
      </c>
      <c r="H11" s="34">
        <f t="shared" ca="1" si="2"/>
        <v>0</v>
      </c>
      <c r="I11" s="35">
        <f t="shared" ca="1" si="3"/>
        <v>0</v>
      </c>
    </row>
    <row r="12" spans="1:9" ht="15.75">
      <c r="A12" s="45" t="str">
        <v>Ashland</v>
      </c>
      <c r="B12" s="15" t="str">
        <v>MA</v>
      </c>
      <c r="C12" s="32">
        <f ca="1">SUM(Apr!C12, May!C12, Jun!C12)</f>
        <v>0</v>
      </c>
      <c r="D12" s="32">
        <f ca="1">SUM(Apr!D12, May!D12, Jun!D12)</f>
        <v>0</v>
      </c>
      <c r="E12" s="32">
        <f t="shared" ca="1" si="0"/>
        <v>0</v>
      </c>
      <c r="F12" s="33">
        <f t="shared" ca="1" si="1"/>
        <v>0</v>
      </c>
      <c r="G12" s="34">
        <f ca="1">SUM(Apr!G12, May!G12, Jun!G12)</f>
        <v>0</v>
      </c>
      <c r="H12" s="34">
        <f t="shared" ca="1" si="2"/>
        <v>0</v>
      </c>
      <c r="I12" s="35">
        <f t="shared" ca="1" si="3"/>
        <v>0</v>
      </c>
    </row>
    <row r="13" spans="1:9" ht="15.75">
      <c r="A13" s="46" t="str">
        <v>Barrington</v>
      </c>
      <c r="B13" s="31" t="str">
        <v>MA</v>
      </c>
      <c r="C13" s="32">
        <f ca="1">SUM(Apr!C13, May!C13, Jun!C13)</f>
        <v>0</v>
      </c>
      <c r="D13" s="32">
        <f ca="1">SUM(Apr!D13, May!D13, Jun!D13)</f>
        <v>0</v>
      </c>
      <c r="E13" s="32">
        <f t="shared" ca="1" si="0"/>
        <v>0</v>
      </c>
      <c r="F13" s="33">
        <f t="shared" ca="1" si="1"/>
        <v>0</v>
      </c>
      <c r="G13" s="34">
        <f ca="1">SUM(Apr!G13, May!G13, Jun!G13)</f>
        <v>0</v>
      </c>
      <c r="H13" s="34">
        <f t="shared" ca="1" si="2"/>
        <v>0</v>
      </c>
      <c r="I13" s="35">
        <f t="shared" ca="1" si="3"/>
        <v>0</v>
      </c>
    </row>
    <row r="14" spans="1:9" ht="15.75">
      <c r="A14" s="45" t="str">
        <v>Bedford - 205 Burlington Rd</v>
      </c>
      <c r="B14" s="15" t="str">
        <v>MA</v>
      </c>
      <c r="C14" s="32">
        <f ca="1">SUM(Apr!C14, May!C14, Jun!C14)</f>
        <v>0</v>
      </c>
      <c r="D14" s="32">
        <f ca="1">SUM(Apr!D14, May!D14, Jun!D14)</f>
        <v>0</v>
      </c>
      <c r="E14" s="32">
        <f t="shared" ca="1" si="0"/>
        <v>0</v>
      </c>
      <c r="F14" s="33">
        <f t="shared" ca="1" si="1"/>
        <v>0</v>
      </c>
      <c r="G14" s="34">
        <f ca="1">SUM(Apr!G14, May!G14, Jun!G14)</f>
        <v>0</v>
      </c>
      <c r="H14" s="34">
        <f t="shared" ca="1" si="2"/>
        <v>0</v>
      </c>
      <c r="I14" s="35">
        <f t="shared" ca="1" si="3"/>
        <v>0</v>
      </c>
    </row>
    <row r="15" spans="1:9" ht="15.75">
      <c r="A15" s="46" t="str">
        <v>Billerica - 6 Cook Street</v>
      </c>
      <c r="B15" s="31" t="str">
        <v>MA</v>
      </c>
      <c r="C15" s="32">
        <f ca="1">SUM(Apr!C15, May!C15, Jun!C15)</f>
        <v>0</v>
      </c>
      <c r="D15" s="32">
        <f ca="1">SUM(Apr!D15, May!D15, Jun!D15)</f>
        <v>0</v>
      </c>
      <c r="E15" s="32">
        <f t="shared" ca="1" si="0"/>
        <v>0</v>
      </c>
      <c r="F15" s="33">
        <f t="shared" ca="1" si="1"/>
        <v>0</v>
      </c>
      <c r="G15" s="34">
        <f ca="1">SUM(Apr!G15, May!G15, Jun!G15)</f>
        <v>0</v>
      </c>
      <c r="H15" s="34">
        <f t="shared" ca="1" si="2"/>
        <v>0</v>
      </c>
      <c r="I15" s="35">
        <f t="shared" ca="1" si="3"/>
        <v>0</v>
      </c>
    </row>
    <row r="16" spans="1:9" ht="15.75">
      <c r="A16" s="45" t="str">
        <v>Billerica - 780 Boston Road</v>
      </c>
      <c r="B16" s="15" t="str">
        <v>MA</v>
      </c>
      <c r="C16" s="32">
        <f ca="1">SUM(Apr!C16, May!C16, Jun!C16)</f>
        <v>0</v>
      </c>
      <c r="D16" s="32">
        <f ca="1">SUM(Apr!D16, May!D16, Jun!D16)</f>
        <v>0</v>
      </c>
      <c r="E16" s="32">
        <f t="shared" ca="1" si="0"/>
        <v>0</v>
      </c>
      <c r="F16" s="33">
        <f t="shared" ca="1" si="1"/>
        <v>0</v>
      </c>
      <c r="G16" s="34">
        <f ca="1">SUM(Apr!G16, May!G16, Jun!G16)</f>
        <v>0</v>
      </c>
      <c r="H16" s="34">
        <f t="shared" ca="1" si="2"/>
        <v>0</v>
      </c>
      <c r="I16" s="35">
        <f t="shared" ca="1" si="3"/>
        <v>0</v>
      </c>
    </row>
    <row r="17" spans="1:9" ht="15.75">
      <c r="A17" s="46" t="str">
        <v>Cheshire</v>
      </c>
      <c r="B17" s="31" t="str">
        <v>MA</v>
      </c>
      <c r="C17" s="32">
        <f ca="1">SUM(Apr!C17, May!C17, Jun!C17)</f>
        <v>0</v>
      </c>
      <c r="D17" s="32">
        <f ca="1">SUM(Apr!D17, May!D17, Jun!D17)</f>
        <v>0</v>
      </c>
      <c r="E17" s="32">
        <f t="shared" ca="1" si="0"/>
        <v>0</v>
      </c>
      <c r="F17" s="33">
        <f t="shared" ca="1" si="1"/>
        <v>0</v>
      </c>
      <c r="G17" s="34">
        <f ca="1">SUM(Apr!G17, May!G17, Jun!G17)</f>
        <v>0</v>
      </c>
      <c r="H17" s="34">
        <f t="shared" ca="1" si="2"/>
        <v>0</v>
      </c>
      <c r="I17" s="35">
        <f t="shared" ca="1" si="3"/>
        <v>0</v>
      </c>
    </row>
    <row r="18" spans="1:9" ht="15.75">
      <c r="A18" s="45" t="str">
        <v>Lilly Lane</v>
      </c>
      <c r="B18" s="15" t="str">
        <v>MA</v>
      </c>
      <c r="C18" s="32">
        <f ca="1">SUM(Apr!C18, May!C18, Jun!C18)</f>
        <v>0</v>
      </c>
      <c r="D18" s="32">
        <f ca="1">SUM(Apr!D18, May!D18, Jun!D18)</f>
        <v>0</v>
      </c>
      <c r="E18" s="32">
        <f t="shared" ca="1" si="0"/>
        <v>0</v>
      </c>
      <c r="F18" s="33">
        <f t="shared" ca="1" si="1"/>
        <v>0</v>
      </c>
      <c r="G18" s="34">
        <f ca="1">SUM(Apr!G18, May!G18, Jun!G18)</f>
        <v>0</v>
      </c>
      <c r="H18" s="34">
        <f t="shared" ca="1" si="2"/>
        <v>0</v>
      </c>
      <c r="I18" s="35">
        <f t="shared" ca="1" si="3"/>
        <v>0</v>
      </c>
    </row>
    <row r="19" spans="1:9" ht="15.75">
      <c r="A19" s="46" t="str">
        <v>Monument Valley</v>
      </c>
      <c r="B19" s="31" t="str">
        <v>MA</v>
      </c>
      <c r="C19" s="32">
        <f ca="1">SUM(Apr!C19, May!C19, Jun!C19)</f>
        <v>0</v>
      </c>
      <c r="D19" s="32">
        <f ca="1">SUM(Apr!D19, May!D19, Jun!D19)</f>
        <v>0</v>
      </c>
      <c r="E19" s="32">
        <f t="shared" ca="1" si="0"/>
        <v>0</v>
      </c>
      <c r="F19" s="33">
        <f t="shared" ca="1" si="1"/>
        <v>0</v>
      </c>
      <c r="G19" s="34">
        <f ca="1">SUM(Apr!G19, May!G19, Jun!G19)</f>
        <v>0</v>
      </c>
      <c r="H19" s="34">
        <f t="shared" ca="1" si="2"/>
        <v>0</v>
      </c>
      <c r="I19" s="35">
        <f t="shared" ca="1" si="3"/>
        <v>0</v>
      </c>
    </row>
    <row r="20" spans="1:9" ht="15.75">
      <c r="A20" s="45" t="str">
        <v>Nationwide</v>
      </c>
      <c r="B20" s="15" t="str">
        <v>MA</v>
      </c>
      <c r="C20" s="32">
        <f ca="1">SUM(Apr!C20, May!C20, Jun!C20)</f>
        <v>0</v>
      </c>
      <c r="D20" s="32">
        <f ca="1">SUM(Apr!D20, May!D20, Jun!D20)</f>
        <v>0</v>
      </c>
      <c r="E20" s="32">
        <f t="shared" ca="1" si="0"/>
        <v>0</v>
      </c>
      <c r="F20" s="33">
        <f t="shared" ca="1" si="1"/>
        <v>0</v>
      </c>
      <c r="G20" s="34">
        <f ca="1">SUM(Apr!G20, May!G20, Jun!G20)</f>
        <v>0</v>
      </c>
      <c r="H20" s="34">
        <f t="shared" ca="1" si="2"/>
        <v>0</v>
      </c>
      <c r="I20" s="35">
        <f t="shared" ca="1" si="3"/>
        <v>0</v>
      </c>
    </row>
    <row r="21" spans="1:9" ht="15.75">
      <c r="A21" s="46" t="str">
        <v>Pulpit Hill</v>
      </c>
      <c r="B21" s="31" t="str">
        <v>MA</v>
      </c>
      <c r="C21" s="32">
        <f ca="1">SUM(Apr!C21, May!C21, Jun!C21)</f>
        <v>0</v>
      </c>
      <c r="D21" s="32">
        <f ca="1">SUM(Apr!D21, May!D21, Jun!D21)</f>
        <v>0</v>
      </c>
      <c r="E21" s="32">
        <f t="shared" ca="1" si="0"/>
        <v>0</v>
      </c>
      <c r="F21" s="33">
        <f t="shared" ca="1" si="1"/>
        <v>0</v>
      </c>
      <c r="G21" s="34">
        <f ca="1">SUM(Apr!G21, May!G21, Jun!G21)</f>
        <v>0</v>
      </c>
      <c r="H21" s="34">
        <f t="shared" ca="1" si="2"/>
        <v>0</v>
      </c>
      <c r="I21" s="35">
        <f t="shared" ca="1" si="3"/>
        <v>0</v>
      </c>
    </row>
    <row r="22" spans="1:9" ht="15.75">
      <c r="A22" s="45" t="str">
        <v>Sandwich</v>
      </c>
      <c r="B22" s="15" t="str">
        <v>MA</v>
      </c>
      <c r="C22" s="32">
        <f ca="1">SUM(Apr!C22, May!C22, Jun!C22)</f>
        <v>0</v>
      </c>
      <c r="D22" s="32">
        <f ca="1">SUM(Apr!D22, May!D22, Jun!D22)</f>
        <v>0</v>
      </c>
      <c r="E22" s="32">
        <f t="shared" ca="1" si="0"/>
        <v>0</v>
      </c>
      <c r="F22" s="33">
        <f t="shared" ca="1" si="1"/>
        <v>0</v>
      </c>
      <c r="G22" s="34">
        <f ca="1">SUM(Apr!G22, May!G22, Jun!G22)</f>
        <v>0</v>
      </c>
      <c r="H22" s="34">
        <f t="shared" ca="1" si="2"/>
        <v>0</v>
      </c>
      <c r="I22" s="35">
        <f t="shared" ca="1" si="3"/>
        <v>0</v>
      </c>
    </row>
    <row r="23" spans="1:9" ht="15.75">
      <c r="A23" s="46" t="str">
        <v>Sturbridge Barn</v>
      </c>
      <c r="B23" s="31" t="str">
        <v>MA</v>
      </c>
      <c r="C23" s="32">
        <f ca="1">SUM(Apr!C23, May!C23, Jun!C23)</f>
        <v>0</v>
      </c>
      <c r="D23" s="32">
        <f ca="1">SUM(Apr!D23, May!D23, Jun!D23)</f>
        <v>0</v>
      </c>
      <c r="E23" s="32">
        <f t="shared" ca="1" si="0"/>
        <v>0</v>
      </c>
      <c r="F23" s="33">
        <f t="shared" ca="1" si="1"/>
        <v>0</v>
      </c>
      <c r="G23" s="34">
        <f ca="1">SUM(Apr!G23, May!G23, Jun!G23)</f>
        <v>0</v>
      </c>
      <c r="H23" s="34">
        <f t="shared" ca="1" si="2"/>
        <v>0</v>
      </c>
      <c r="I23" s="35">
        <f t="shared" ca="1" si="3"/>
        <v>0</v>
      </c>
    </row>
    <row r="24" spans="1:9" ht="15.75">
      <c r="A24" s="45" t="str">
        <v>Sturbridge Garage</v>
      </c>
      <c r="B24" s="15" t="str">
        <v>MA</v>
      </c>
      <c r="C24" s="32">
        <f ca="1">SUM(Apr!C24, May!C24, Jun!C24)</f>
        <v>0</v>
      </c>
      <c r="D24" s="32">
        <f ca="1">SUM(Apr!D24, May!D24, Jun!D24)</f>
        <v>0</v>
      </c>
      <c r="E24" s="32">
        <f t="shared" ca="1" si="0"/>
        <v>0</v>
      </c>
      <c r="F24" s="33">
        <f t="shared" ca="1" si="1"/>
        <v>0</v>
      </c>
      <c r="G24" s="34">
        <f ca="1">SUM(Apr!G24, May!G24, Jun!G24)</f>
        <v>0</v>
      </c>
      <c r="H24" s="34">
        <f t="shared" ca="1" si="2"/>
        <v>0</v>
      </c>
      <c r="I24" s="35">
        <f t="shared" ca="1" si="3"/>
        <v>0</v>
      </c>
    </row>
    <row r="25" spans="1:9" ht="15.75">
      <c r="A25" s="46" t="str">
        <v>Halsey Valley</v>
      </c>
      <c r="B25" s="31" t="str">
        <v>NY</v>
      </c>
      <c r="C25" s="32">
        <f ca="1">SUM(Apr!C25, May!C25, Jun!C25)</f>
        <v>0</v>
      </c>
      <c r="D25" s="32">
        <f ca="1">SUM(Apr!D25, May!D25, Jun!D25)</f>
        <v>0</v>
      </c>
      <c r="E25" s="32">
        <f t="shared" ca="1" si="0"/>
        <v>0</v>
      </c>
      <c r="F25" s="33">
        <f t="shared" ca="1" si="1"/>
        <v>0</v>
      </c>
      <c r="G25" s="34">
        <f ca="1">SUM(Apr!G25, May!G25, Jun!G25)</f>
        <v>0</v>
      </c>
      <c r="H25" s="34">
        <f t="shared" ca="1" si="2"/>
        <v>0</v>
      </c>
      <c r="I25" s="35">
        <f t="shared" ca="1" si="3"/>
        <v>0</v>
      </c>
    </row>
    <row r="26" spans="1:9" ht="15.75">
      <c r="A26" s="45" t="str">
        <v>Hunt Creek</v>
      </c>
      <c r="B26" s="15" t="str">
        <v>NY</v>
      </c>
      <c r="C26" s="32">
        <f ca="1">SUM(Apr!C26, May!C26, Jun!C26)</f>
        <v>0</v>
      </c>
      <c r="D26" s="32">
        <f ca="1">SUM(Apr!D26, May!D26, Jun!D26)</f>
        <v>0</v>
      </c>
      <c r="E26" s="32">
        <f t="shared" ca="1" si="0"/>
        <v>0</v>
      </c>
      <c r="F26" s="33">
        <f t="shared" ca="1" si="1"/>
        <v>0</v>
      </c>
      <c r="G26" s="34">
        <f ca="1">SUM(Apr!G26, May!G26, Jun!G26)</f>
        <v>0</v>
      </c>
      <c r="H26" s="34">
        <f t="shared" ca="1" si="2"/>
        <v>0</v>
      </c>
      <c r="I26" s="35">
        <f t="shared" ca="1" si="3"/>
        <v>0</v>
      </c>
    </row>
    <row r="27" spans="1:9" ht="15.75">
      <c r="A27" s="46" t="str">
        <v>Smith Creek</v>
      </c>
      <c r="B27" s="31" t="str">
        <v>NY</v>
      </c>
      <c r="C27" s="32">
        <f ca="1">SUM(Apr!C27, May!C27, Jun!C27)</f>
        <v>0</v>
      </c>
      <c r="D27" s="32">
        <f ca="1">SUM(Apr!D27, May!D27, Jun!D27)</f>
        <v>0</v>
      </c>
      <c r="E27" s="32">
        <f t="shared" ca="1" si="0"/>
        <v>0</v>
      </c>
      <c r="F27" s="33">
        <f t="shared" ca="1" si="1"/>
        <v>0</v>
      </c>
      <c r="G27" s="34">
        <f ca="1">SUM(Apr!G27, May!G27, Jun!G27)</f>
        <v>0</v>
      </c>
      <c r="H27" s="34">
        <f t="shared" ca="1" si="2"/>
        <v>0</v>
      </c>
      <c r="I27" s="35">
        <f t="shared" ca="1" si="3"/>
        <v>0</v>
      </c>
    </row>
    <row r="28" spans="1:9" ht="24.75" customHeight="1">
      <c r="A28" s="162" t="s">
        <v>9</v>
      </c>
      <c r="B28" s="163"/>
      <c r="C28" s="47">
        <f ca="1">SUM(C3:C27)</f>
        <v>0</v>
      </c>
      <c r="D28" s="47">
        <f ca="1">SUM(D3:D27)</f>
        <v>0</v>
      </c>
      <c r="E28" s="47">
        <f ca="1">C28-D28</f>
        <v>0</v>
      </c>
      <c r="F28" s="38">
        <f ca="1">IFERROR(E28/D28, 0)</f>
        <v>0</v>
      </c>
      <c r="G28" s="47">
        <f ca="1">SUM(G3:G27)</f>
        <v>0</v>
      </c>
      <c r="H28" s="48">
        <f ca="1">C28-G28</f>
        <v>0</v>
      </c>
      <c r="I28" s="39">
        <f ca="1">IFERROR(H28/G28, 0)</f>
        <v>0</v>
      </c>
    </row>
    <row r="30" spans="1:9" ht="12.75" customHeight="1">
      <c r="A30" s="164" t="s">
        <v>10</v>
      </c>
    </row>
    <row r="31" spans="1:9">
      <c r="A31" s="164"/>
    </row>
    <row r="32" spans="1:9">
      <c r="A32" s="165" t="s">
        <v>11</v>
      </c>
    </row>
    <row r="33" spans="1:1" ht="12.75" customHeight="1">
      <c r="A33" s="165"/>
    </row>
  </sheetData>
  <autoFilter ref="A2:I2" xr:uid="{38E74E64-E3A4-43F8-9B1A-78F26543F23E}"/>
  <sortState xmlns:xlrd2="http://schemas.microsoft.com/office/spreadsheetml/2017/richdata2" ref="A3:I4">
    <sortCondition ref="A3:A4"/>
  </sortState>
  <mergeCells count="6">
    <mergeCell ref="G1:I1"/>
    <mergeCell ref="A28:B28"/>
    <mergeCell ref="A30:A31"/>
    <mergeCell ref="A32:A33"/>
    <mergeCell ref="A1:B1"/>
    <mergeCell ref="C1:F1"/>
  </mergeCells>
  <conditionalFormatting sqref="F3:F28 I3:I28">
    <cfRule type="cellIs" dxfId="434" priority="1" operator="lessThanOrEqual">
      <formula>-0.1</formula>
    </cfRule>
    <cfRule type="cellIs" dxfId="43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66" t="str" cm="1">
        <f t="array" ref="A1">portfolio</f>
        <v>Lodestar</v>
      </c>
      <c r="B1" s="167"/>
      <c r="C1" s="168" t="s">
        <v>16</v>
      </c>
      <c r="D1" s="169"/>
      <c r="E1" s="169"/>
      <c r="F1" s="170"/>
      <c r="G1" s="160" t="s">
        <v>17</v>
      </c>
      <c r="H1" s="160"/>
      <c r="I1" s="161"/>
    </row>
    <row r="2" spans="1:9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</row>
    <row r="3" spans="1:9" ht="15.75">
      <c r="A3" s="44" t="str" cm="1">
        <f t="array" ref="A3:A27">Sites[Site]</f>
        <v>Barkhamsted</v>
      </c>
      <c r="B3" s="30" t="str" cm="1">
        <f t="array" ref="B3:B27">Sites[State]</f>
        <v>CT</v>
      </c>
      <c r="C3" s="32">
        <f ca="1">SUM(Jul!C3, Aug!C3, Sep!C3)</f>
        <v>0</v>
      </c>
      <c r="D3" s="32">
        <f ca="1">SUM(Jul!D3, Aug!D3, Sep!D3)</f>
        <v>0</v>
      </c>
      <c r="E3" s="32">
        <f ca="1">C3-D3</f>
        <v>0</v>
      </c>
      <c r="F3" s="33">
        <f ca="1">IFERROR(E3/D3, 0)</f>
        <v>0</v>
      </c>
      <c r="G3" s="34">
        <f ca="1">SUM(Jul!G3, Aug!G3, Sep!G3)</f>
        <v>0</v>
      </c>
      <c r="H3" s="34">
        <f ca="1">C3-G3</f>
        <v>0</v>
      </c>
      <c r="I3" s="35">
        <f ca="1">IFERROR(H3/G3, 0)</f>
        <v>0</v>
      </c>
    </row>
    <row r="4" spans="1:9" ht="15.75">
      <c r="A4" s="45" t="str">
        <v>Bunce</v>
      </c>
      <c r="B4" s="15" t="str">
        <v>CT</v>
      </c>
      <c r="C4" s="32">
        <f ca="1">SUM(Jul!C4, Aug!C4, Sep!C4)</f>
        <v>0</v>
      </c>
      <c r="D4" s="32">
        <f ca="1">SUM(Jul!D4, Aug!D4, Sep!D4)</f>
        <v>0</v>
      </c>
      <c r="E4" s="32">
        <f t="shared" ref="E4:E27" ca="1" si="0">C4-D4</f>
        <v>0</v>
      </c>
      <c r="F4" s="33">
        <f t="shared" ref="F4:F27" ca="1" si="1">IFERROR(E4/D4, 0)</f>
        <v>0</v>
      </c>
      <c r="G4" s="34">
        <f ca="1">SUM(Jul!G4, Aug!G4, Sep!G4)</f>
        <v>0</v>
      </c>
      <c r="H4" s="34">
        <f t="shared" ref="H4:H27" ca="1" si="2">C4-G4</f>
        <v>0</v>
      </c>
      <c r="I4" s="35">
        <f t="shared" ref="I4:I27" ca="1" si="3">IFERROR(H4/G4, 0)</f>
        <v>0</v>
      </c>
    </row>
    <row r="5" spans="1:9" ht="15.75">
      <c r="A5" s="46" t="str">
        <v>Norcap North</v>
      </c>
      <c r="B5" s="31" t="str">
        <v>CT</v>
      </c>
      <c r="C5" s="32">
        <f ca="1">SUM(Jul!C5, Aug!C5, Sep!C5)</f>
        <v>0</v>
      </c>
      <c r="D5" s="32">
        <f ca="1">SUM(Jul!D5, Aug!D5, Sep!D5)</f>
        <v>0</v>
      </c>
      <c r="E5" s="32">
        <f t="shared" ca="1" si="0"/>
        <v>0</v>
      </c>
      <c r="F5" s="33">
        <f t="shared" ca="1" si="1"/>
        <v>0</v>
      </c>
      <c r="G5" s="34">
        <f ca="1">SUM(Jul!G5, Aug!G5, Sep!G5)</f>
        <v>0</v>
      </c>
      <c r="H5" s="34">
        <f t="shared" ca="1" si="2"/>
        <v>0</v>
      </c>
      <c r="I5" s="35">
        <f t="shared" ca="1" si="3"/>
        <v>0</v>
      </c>
    </row>
    <row r="6" spans="1:9" ht="15.75">
      <c r="A6" s="45" t="str">
        <v>Norcap South</v>
      </c>
      <c r="B6" s="15" t="str">
        <v>CT</v>
      </c>
      <c r="C6" s="32">
        <f ca="1">SUM(Jul!C6, Aug!C6, Sep!C6)</f>
        <v>0</v>
      </c>
      <c r="D6" s="32">
        <f ca="1">SUM(Jul!D6, Aug!D6, Sep!D6)</f>
        <v>0</v>
      </c>
      <c r="E6" s="32">
        <f t="shared" ca="1" si="0"/>
        <v>0</v>
      </c>
      <c r="F6" s="33">
        <f t="shared" ca="1" si="1"/>
        <v>0</v>
      </c>
      <c r="G6" s="34">
        <f ca="1">SUM(Jul!G6, Aug!G6, Sep!G6)</f>
        <v>0</v>
      </c>
      <c r="H6" s="34">
        <f t="shared" ca="1" si="2"/>
        <v>0</v>
      </c>
      <c r="I6" s="35">
        <f t="shared" ca="1" si="3"/>
        <v>0</v>
      </c>
    </row>
    <row r="7" spans="1:9" ht="15.75">
      <c r="A7" s="46" t="str">
        <v>Platt Hill</v>
      </c>
      <c r="B7" s="31" t="str">
        <v>CT</v>
      </c>
      <c r="C7" s="32">
        <f ca="1">SUM(Jul!C7, Aug!C7, Sep!C7)</f>
        <v>0</v>
      </c>
      <c r="D7" s="32">
        <f ca="1">SUM(Jul!D7, Aug!D7, Sep!D7)</f>
        <v>0</v>
      </c>
      <c r="E7" s="32">
        <f t="shared" ca="1" si="0"/>
        <v>0</v>
      </c>
      <c r="F7" s="33">
        <f t="shared" ca="1" si="1"/>
        <v>0</v>
      </c>
      <c r="G7" s="34">
        <f ca="1">SUM(Jul!G7, Aug!G7, Sep!G7)</f>
        <v>0</v>
      </c>
      <c r="H7" s="34">
        <f t="shared" ca="1" si="2"/>
        <v>0</v>
      </c>
      <c r="I7" s="35">
        <f t="shared" ca="1" si="3"/>
        <v>0</v>
      </c>
    </row>
    <row r="8" spans="1:9" ht="15.75">
      <c r="A8" s="45" t="str">
        <v>Powder Hill</v>
      </c>
      <c r="B8" s="15" t="str">
        <v>CT</v>
      </c>
      <c r="C8" s="32">
        <f ca="1">SUM(Jul!C8, Aug!C8, Sep!C8)</f>
        <v>0</v>
      </c>
      <c r="D8" s="32">
        <f ca="1">SUM(Jul!D8, Aug!D8, Sep!D8)</f>
        <v>0</v>
      </c>
      <c r="E8" s="32">
        <f t="shared" ca="1" si="0"/>
        <v>0</v>
      </c>
      <c r="F8" s="33">
        <f t="shared" ca="1" si="1"/>
        <v>0</v>
      </c>
      <c r="G8" s="34">
        <f ca="1">SUM(Jul!G8, Aug!G8, Sep!G8)</f>
        <v>0</v>
      </c>
      <c r="H8" s="34">
        <f t="shared" ca="1" si="2"/>
        <v>0</v>
      </c>
      <c r="I8" s="35">
        <f t="shared" ca="1" si="3"/>
        <v>0</v>
      </c>
    </row>
    <row r="9" spans="1:9" ht="15.75">
      <c r="A9" s="46" t="str">
        <v>Sand Road</v>
      </c>
      <c r="B9" s="31" t="str">
        <v>CT</v>
      </c>
      <c r="C9" s="32">
        <f ca="1">SUM(Jul!C9, Aug!C9, Sep!C9)</f>
        <v>0</v>
      </c>
      <c r="D9" s="32">
        <f ca="1">SUM(Jul!D9, Aug!D9, Sep!D9)</f>
        <v>0</v>
      </c>
      <c r="E9" s="32">
        <f t="shared" ca="1" si="0"/>
        <v>0</v>
      </c>
      <c r="F9" s="33">
        <f t="shared" ca="1" si="1"/>
        <v>0</v>
      </c>
      <c r="G9" s="34">
        <f ca="1">SUM(Jul!G9, Aug!G9, Sep!G9)</f>
        <v>0</v>
      </c>
      <c r="H9" s="34">
        <f t="shared" ca="1" si="2"/>
        <v>0</v>
      </c>
      <c r="I9" s="35">
        <f t="shared" ca="1" si="3"/>
        <v>0</v>
      </c>
    </row>
    <row r="10" spans="1:9" ht="15.75">
      <c r="A10" s="45" t="str">
        <v>Suffield</v>
      </c>
      <c r="B10" s="15" t="str">
        <v>CT</v>
      </c>
      <c r="C10" s="32">
        <f ca="1">SUM(Jul!C10, Aug!C10, Sep!C10)</f>
        <v>0</v>
      </c>
      <c r="D10" s="32">
        <f ca="1">SUM(Jul!D10, Aug!D10, Sep!D10)</f>
        <v>0</v>
      </c>
      <c r="E10" s="32">
        <f t="shared" ca="1" si="0"/>
        <v>0</v>
      </c>
      <c r="F10" s="33">
        <f t="shared" ca="1" si="1"/>
        <v>0</v>
      </c>
      <c r="G10" s="34">
        <f ca="1">SUM(Jul!G10, Aug!G10, Sep!G10)</f>
        <v>0</v>
      </c>
      <c r="H10" s="34">
        <f t="shared" ca="1" si="2"/>
        <v>0</v>
      </c>
      <c r="I10" s="35">
        <f t="shared" ca="1" si="3"/>
        <v>0</v>
      </c>
    </row>
    <row r="11" spans="1:9" ht="15.75">
      <c r="A11" s="46" t="str">
        <v>Ashby-Duffy</v>
      </c>
      <c r="B11" s="31" t="str">
        <v>MA</v>
      </c>
      <c r="C11" s="32">
        <f ca="1">SUM(Jul!C11, Aug!C11, Sep!C11)</f>
        <v>0</v>
      </c>
      <c r="D11" s="32">
        <f ca="1">SUM(Jul!D11, Aug!D11, Sep!D11)</f>
        <v>0</v>
      </c>
      <c r="E11" s="32">
        <f t="shared" ca="1" si="0"/>
        <v>0</v>
      </c>
      <c r="F11" s="33">
        <f t="shared" ca="1" si="1"/>
        <v>0</v>
      </c>
      <c r="G11" s="34">
        <f ca="1">SUM(Jul!G11, Aug!G11, Sep!G11)</f>
        <v>0</v>
      </c>
      <c r="H11" s="34">
        <f t="shared" ca="1" si="2"/>
        <v>0</v>
      </c>
      <c r="I11" s="35">
        <f t="shared" ca="1" si="3"/>
        <v>0</v>
      </c>
    </row>
    <row r="12" spans="1:9" ht="15.75">
      <c r="A12" s="45" t="str">
        <v>Ashland</v>
      </c>
      <c r="B12" s="15" t="str">
        <v>MA</v>
      </c>
      <c r="C12" s="32">
        <f ca="1">SUM(Jul!C12, Aug!C12, Sep!C12)</f>
        <v>0</v>
      </c>
      <c r="D12" s="32">
        <f ca="1">SUM(Jul!D12, Aug!D12, Sep!D12)</f>
        <v>0</v>
      </c>
      <c r="E12" s="32">
        <f t="shared" ca="1" si="0"/>
        <v>0</v>
      </c>
      <c r="F12" s="33">
        <f t="shared" ca="1" si="1"/>
        <v>0</v>
      </c>
      <c r="G12" s="34">
        <f ca="1">SUM(Jul!G12, Aug!G12, Sep!G12)</f>
        <v>0</v>
      </c>
      <c r="H12" s="34">
        <f t="shared" ca="1" si="2"/>
        <v>0</v>
      </c>
      <c r="I12" s="35">
        <f t="shared" ca="1" si="3"/>
        <v>0</v>
      </c>
    </row>
    <row r="13" spans="1:9" ht="15.75">
      <c r="A13" s="46" t="str">
        <v>Barrington</v>
      </c>
      <c r="B13" s="31" t="str">
        <v>MA</v>
      </c>
      <c r="C13" s="32">
        <f ca="1">SUM(Jul!C13, Aug!C13, Sep!C13)</f>
        <v>0</v>
      </c>
      <c r="D13" s="32">
        <f ca="1">SUM(Jul!D13, Aug!D13, Sep!D13)</f>
        <v>0</v>
      </c>
      <c r="E13" s="32">
        <f t="shared" ca="1" si="0"/>
        <v>0</v>
      </c>
      <c r="F13" s="33">
        <f t="shared" ca="1" si="1"/>
        <v>0</v>
      </c>
      <c r="G13" s="34">
        <f ca="1">SUM(Jul!G13, Aug!G13, Sep!G13)</f>
        <v>0</v>
      </c>
      <c r="H13" s="34">
        <f t="shared" ca="1" si="2"/>
        <v>0</v>
      </c>
      <c r="I13" s="35">
        <f t="shared" ca="1" si="3"/>
        <v>0</v>
      </c>
    </row>
    <row r="14" spans="1:9" ht="15.75">
      <c r="A14" s="45" t="str">
        <v>Bedford - 205 Burlington Rd</v>
      </c>
      <c r="B14" s="15" t="str">
        <v>MA</v>
      </c>
      <c r="C14" s="32">
        <f ca="1">SUM(Jul!C14, Aug!C14, Sep!C14)</f>
        <v>0</v>
      </c>
      <c r="D14" s="32">
        <f ca="1">SUM(Jul!D14, Aug!D14, Sep!D14)</f>
        <v>0</v>
      </c>
      <c r="E14" s="32">
        <f t="shared" ca="1" si="0"/>
        <v>0</v>
      </c>
      <c r="F14" s="33">
        <f t="shared" ca="1" si="1"/>
        <v>0</v>
      </c>
      <c r="G14" s="34">
        <f ca="1">SUM(Jul!G14, Aug!G14, Sep!G14)</f>
        <v>0</v>
      </c>
      <c r="H14" s="34">
        <f t="shared" ca="1" si="2"/>
        <v>0</v>
      </c>
      <c r="I14" s="35">
        <f t="shared" ca="1" si="3"/>
        <v>0</v>
      </c>
    </row>
    <row r="15" spans="1:9" ht="15.75">
      <c r="A15" s="46" t="str">
        <v>Billerica - 6 Cook Street</v>
      </c>
      <c r="B15" s="31" t="str">
        <v>MA</v>
      </c>
      <c r="C15" s="32">
        <f ca="1">SUM(Jul!C15, Aug!C15, Sep!C15)</f>
        <v>0</v>
      </c>
      <c r="D15" s="32">
        <f ca="1">SUM(Jul!D15, Aug!D15, Sep!D15)</f>
        <v>0</v>
      </c>
      <c r="E15" s="32">
        <f t="shared" ca="1" si="0"/>
        <v>0</v>
      </c>
      <c r="F15" s="33">
        <f t="shared" ca="1" si="1"/>
        <v>0</v>
      </c>
      <c r="G15" s="34">
        <f ca="1">SUM(Jul!G15, Aug!G15, Sep!G15)</f>
        <v>0</v>
      </c>
      <c r="H15" s="34">
        <f t="shared" ca="1" si="2"/>
        <v>0</v>
      </c>
      <c r="I15" s="35">
        <f t="shared" ca="1" si="3"/>
        <v>0</v>
      </c>
    </row>
    <row r="16" spans="1:9" ht="15.75">
      <c r="A16" s="45" t="str">
        <v>Billerica - 780 Boston Road</v>
      </c>
      <c r="B16" s="15" t="str">
        <v>MA</v>
      </c>
      <c r="C16" s="32">
        <f ca="1">SUM(Jul!C16, Aug!C16, Sep!C16)</f>
        <v>0</v>
      </c>
      <c r="D16" s="32">
        <f ca="1">SUM(Jul!D16, Aug!D16, Sep!D16)</f>
        <v>0</v>
      </c>
      <c r="E16" s="32">
        <f t="shared" ca="1" si="0"/>
        <v>0</v>
      </c>
      <c r="F16" s="33">
        <f t="shared" ca="1" si="1"/>
        <v>0</v>
      </c>
      <c r="G16" s="34">
        <f ca="1">SUM(Jul!G16, Aug!G16, Sep!G16)</f>
        <v>0</v>
      </c>
      <c r="H16" s="34">
        <f t="shared" ca="1" si="2"/>
        <v>0</v>
      </c>
      <c r="I16" s="35">
        <f t="shared" ca="1" si="3"/>
        <v>0</v>
      </c>
    </row>
    <row r="17" spans="1:9" ht="15.75">
      <c r="A17" s="46" t="str">
        <v>Cheshire</v>
      </c>
      <c r="B17" s="31" t="str">
        <v>MA</v>
      </c>
      <c r="C17" s="32">
        <f ca="1">SUM(Jul!C17, Aug!C17, Sep!C17)</f>
        <v>0</v>
      </c>
      <c r="D17" s="32">
        <f ca="1">SUM(Jul!D17, Aug!D17, Sep!D17)</f>
        <v>0</v>
      </c>
      <c r="E17" s="32">
        <f t="shared" ca="1" si="0"/>
        <v>0</v>
      </c>
      <c r="F17" s="33">
        <f t="shared" ca="1" si="1"/>
        <v>0</v>
      </c>
      <c r="G17" s="34">
        <f ca="1">SUM(Jul!G17, Aug!G17, Sep!G17)</f>
        <v>0</v>
      </c>
      <c r="H17" s="34">
        <f t="shared" ca="1" si="2"/>
        <v>0</v>
      </c>
      <c r="I17" s="35">
        <f t="shared" ca="1" si="3"/>
        <v>0</v>
      </c>
    </row>
    <row r="18" spans="1:9" ht="15.75">
      <c r="A18" s="45" t="str">
        <v>Lilly Lane</v>
      </c>
      <c r="B18" s="15" t="str">
        <v>MA</v>
      </c>
      <c r="C18" s="32">
        <f ca="1">SUM(Jul!C18, Aug!C18, Sep!C18)</f>
        <v>0</v>
      </c>
      <c r="D18" s="32">
        <f ca="1">SUM(Jul!D18, Aug!D18, Sep!D18)</f>
        <v>0</v>
      </c>
      <c r="E18" s="32">
        <f t="shared" ca="1" si="0"/>
        <v>0</v>
      </c>
      <c r="F18" s="33">
        <f t="shared" ca="1" si="1"/>
        <v>0</v>
      </c>
      <c r="G18" s="34">
        <f ca="1">SUM(Jul!G18, Aug!G18, Sep!G18)</f>
        <v>0</v>
      </c>
      <c r="H18" s="34">
        <f t="shared" ca="1" si="2"/>
        <v>0</v>
      </c>
      <c r="I18" s="35">
        <f t="shared" ca="1" si="3"/>
        <v>0</v>
      </c>
    </row>
    <row r="19" spans="1:9" ht="15.75">
      <c r="A19" s="46" t="str">
        <v>Monument Valley</v>
      </c>
      <c r="B19" s="31" t="str">
        <v>MA</v>
      </c>
      <c r="C19" s="32">
        <f ca="1">SUM(Jul!C19, Aug!C19, Sep!C19)</f>
        <v>0</v>
      </c>
      <c r="D19" s="32">
        <f ca="1">SUM(Jul!D19, Aug!D19, Sep!D19)</f>
        <v>0</v>
      </c>
      <c r="E19" s="32">
        <f t="shared" ca="1" si="0"/>
        <v>0</v>
      </c>
      <c r="F19" s="33">
        <f t="shared" ca="1" si="1"/>
        <v>0</v>
      </c>
      <c r="G19" s="34">
        <f ca="1">SUM(Jul!G19, Aug!G19, Sep!G19)</f>
        <v>0</v>
      </c>
      <c r="H19" s="34">
        <f t="shared" ca="1" si="2"/>
        <v>0</v>
      </c>
      <c r="I19" s="35">
        <f t="shared" ca="1" si="3"/>
        <v>0</v>
      </c>
    </row>
    <row r="20" spans="1:9" ht="15.75">
      <c r="A20" s="45" t="str">
        <v>Nationwide</v>
      </c>
      <c r="B20" s="15" t="str">
        <v>MA</v>
      </c>
      <c r="C20" s="32">
        <f ca="1">SUM(Jul!C20, Aug!C20, Sep!C20)</f>
        <v>0</v>
      </c>
      <c r="D20" s="32">
        <f ca="1">SUM(Jul!D20, Aug!D20, Sep!D20)</f>
        <v>0</v>
      </c>
      <c r="E20" s="32">
        <f t="shared" ca="1" si="0"/>
        <v>0</v>
      </c>
      <c r="F20" s="33">
        <f t="shared" ca="1" si="1"/>
        <v>0</v>
      </c>
      <c r="G20" s="34">
        <f ca="1">SUM(Jul!G20, Aug!G20, Sep!G20)</f>
        <v>0</v>
      </c>
      <c r="H20" s="34">
        <f t="shared" ca="1" si="2"/>
        <v>0</v>
      </c>
      <c r="I20" s="35">
        <f t="shared" ca="1" si="3"/>
        <v>0</v>
      </c>
    </row>
    <row r="21" spans="1:9" ht="15.75">
      <c r="A21" s="46" t="str">
        <v>Pulpit Hill</v>
      </c>
      <c r="B21" s="31" t="str">
        <v>MA</v>
      </c>
      <c r="C21" s="32">
        <f ca="1">SUM(Jul!C21, Aug!C21, Sep!C21)</f>
        <v>0</v>
      </c>
      <c r="D21" s="32">
        <f ca="1">SUM(Jul!D21, Aug!D21, Sep!D21)</f>
        <v>0</v>
      </c>
      <c r="E21" s="32">
        <f t="shared" ca="1" si="0"/>
        <v>0</v>
      </c>
      <c r="F21" s="33">
        <f t="shared" ca="1" si="1"/>
        <v>0</v>
      </c>
      <c r="G21" s="34">
        <f ca="1">SUM(Jul!G21, Aug!G21, Sep!G21)</f>
        <v>0</v>
      </c>
      <c r="H21" s="34">
        <f t="shared" ca="1" si="2"/>
        <v>0</v>
      </c>
      <c r="I21" s="35">
        <f t="shared" ca="1" si="3"/>
        <v>0</v>
      </c>
    </row>
    <row r="22" spans="1:9" ht="15.75">
      <c r="A22" s="45" t="str">
        <v>Sandwich</v>
      </c>
      <c r="B22" s="15" t="str">
        <v>MA</v>
      </c>
      <c r="C22" s="32">
        <f ca="1">SUM(Jul!C22, Aug!C22, Sep!C22)</f>
        <v>0</v>
      </c>
      <c r="D22" s="32">
        <f ca="1">SUM(Jul!D22, Aug!D22, Sep!D22)</f>
        <v>0</v>
      </c>
      <c r="E22" s="32">
        <f t="shared" ca="1" si="0"/>
        <v>0</v>
      </c>
      <c r="F22" s="33">
        <f t="shared" ca="1" si="1"/>
        <v>0</v>
      </c>
      <c r="G22" s="34">
        <f ca="1">SUM(Jul!G22, Aug!G22, Sep!G22)</f>
        <v>0</v>
      </c>
      <c r="H22" s="34">
        <f t="shared" ca="1" si="2"/>
        <v>0</v>
      </c>
      <c r="I22" s="35">
        <f t="shared" ca="1" si="3"/>
        <v>0</v>
      </c>
    </row>
    <row r="23" spans="1:9" ht="15.75">
      <c r="A23" s="46" t="str">
        <v>Sturbridge Barn</v>
      </c>
      <c r="B23" s="31" t="str">
        <v>MA</v>
      </c>
      <c r="C23" s="32">
        <f ca="1">SUM(Jul!C23, Aug!C23, Sep!C23)</f>
        <v>0</v>
      </c>
      <c r="D23" s="32">
        <f ca="1">SUM(Jul!D23, Aug!D23, Sep!D23)</f>
        <v>0</v>
      </c>
      <c r="E23" s="32">
        <f t="shared" ca="1" si="0"/>
        <v>0</v>
      </c>
      <c r="F23" s="33">
        <f t="shared" ca="1" si="1"/>
        <v>0</v>
      </c>
      <c r="G23" s="34">
        <f ca="1">SUM(Jul!G23, Aug!G23, Sep!G23)</f>
        <v>0</v>
      </c>
      <c r="H23" s="34">
        <f t="shared" ca="1" si="2"/>
        <v>0</v>
      </c>
      <c r="I23" s="35">
        <f t="shared" ca="1" si="3"/>
        <v>0</v>
      </c>
    </row>
    <row r="24" spans="1:9" ht="15.75">
      <c r="A24" s="45" t="str">
        <v>Sturbridge Garage</v>
      </c>
      <c r="B24" s="15" t="str">
        <v>MA</v>
      </c>
      <c r="C24" s="32">
        <f ca="1">SUM(Jul!C24, Aug!C24, Sep!C24)</f>
        <v>0</v>
      </c>
      <c r="D24" s="32">
        <f ca="1">SUM(Jul!D24, Aug!D24, Sep!D24)</f>
        <v>0</v>
      </c>
      <c r="E24" s="32">
        <f t="shared" ca="1" si="0"/>
        <v>0</v>
      </c>
      <c r="F24" s="33">
        <f t="shared" ca="1" si="1"/>
        <v>0</v>
      </c>
      <c r="G24" s="34">
        <f ca="1">SUM(Jul!G24, Aug!G24, Sep!G24)</f>
        <v>0</v>
      </c>
      <c r="H24" s="34">
        <f t="shared" ca="1" si="2"/>
        <v>0</v>
      </c>
      <c r="I24" s="35">
        <f t="shared" ca="1" si="3"/>
        <v>0</v>
      </c>
    </row>
    <row r="25" spans="1:9" ht="15.75">
      <c r="A25" s="46" t="str">
        <v>Halsey Valley</v>
      </c>
      <c r="B25" s="31" t="str">
        <v>NY</v>
      </c>
      <c r="C25" s="32">
        <f ca="1">SUM(Jul!C25, Aug!C25, Sep!C25)</f>
        <v>0</v>
      </c>
      <c r="D25" s="32">
        <f ca="1">SUM(Jul!D25, Aug!D25, Sep!D25)</f>
        <v>0</v>
      </c>
      <c r="E25" s="32">
        <f t="shared" ca="1" si="0"/>
        <v>0</v>
      </c>
      <c r="F25" s="33">
        <f t="shared" ca="1" si="1"/>
        <v>0</v>
      </c>
      <c r="G25" s="34">
        <f ca="1">SUM(Jul!G25, Aug!G25, Sep!G25)</f>
        <v>0</v>
      </c>
      <c r="H25" s="34">
        <f t="shared" ca="1" si="2"/>
        <v>0</v>
      </c>
      <c r="I25" s="35">
        <f t="shared" ca="1" si="3"/>
        <v>0</v>
      </c>
    </row>
    <row r="26" spans="1:9" ht="15.75">
      <c r="A26" s="45" t="str">
        <v>Hunt Creek</v>
      </c>
      <c r="B26" s="15" t="str">
        <v>NY</v>
      </c>
      <c r="C26" s="32">
        <f ca="1">SUM(Jul!C26, Aug!C26, Sep!C26)</f>
        <v>0</v>
      </c>
      <c r="D26" s="32">
        <f ca="1">SUM(Jul!D26, Aug!D26, Sep!D26)</f>
        <v>0</v>
      </c>
      <c r="E26" s="32">
        <f t="shared" ca="1" si="0"/>
        <v>0</v>
      </c>
      <c r="F26" s="33">
        <f t="shared" ca="1" si="1"/>
        <v>0</v>
      </c>
      <c r="G26" s="34">
        <f ca="1">SUM(Jul!G26, Aug!G26, Sep!G26)</f>
        <v>0</v>
      </c>
      <c r="H26" s="34">
        <f t="shared" ca="1" si="2"/>
        <v>0</v>
      </c>
      <c r="I26" s="35">
        <f t="shared" ca="1" si="3"/>
        <v>0</v>
      </c>
    </row>
    <row r="27" spans="1:9" ht="15.75">
      <c r="A27" s="46" t="str">
        <v>Smith Creek</v>
      </c>
      <c r="B27" s="31" t="str">
        <v>NY</v>
      </c>
      <c r="C27" s="32">
        <f ca="1">SUM(Jul!C27, Aug!C27, Sep!C27)</f>
        <v>0</v>
      </c>
      <c r="D27" s="32">
        <f ca="1">SUM(Jul!D27, Aug!D27, Sep!D27)</f>
        <v>0</v>
      </c>
      <c r="E27" s="32">
        <f t="shared" ca="1" si="0"/>
        <v>0</v>
      </c>
      <c r="F27" s="33">
        <f t="shared" ca="1" si="1"/>
        <v>0</v>
      </c>
      <c r="G27" s="34">
        <f ca="1">SUM(Jul!G27, Aug!G27, Sep!G27)</f>
        <v>0</v>
      </c>
      <c r="H27" s="34">
        <f t="shared" ca="1" si="2"/>
        <v>0</v>
      </c>
      <c r="I27" s="35">
        <f t="shared" ca="1" si="3"/>
        <v>0</v>
      </c>
    </row>
    <row r="28" spans="1:9" ht="24.75" customHeight="1">
      <c r="A28" s="162" t="s">
        <v>9</v>
      </c>
      <c r="B28" s="163"/>
      <c r="C28" s="47">
        <f ca="1">SUM(C3:C27)</f>
        <v>0</v>
      </c>
      <c r="D28" s="47">
        <f ca="1">SUM(D3:D27)</f>
        <v>0</v>
      </c>
      <c r="E28" s="47">
        <f ca="1">C28-D28</f>
        <v>0</v>
      </c>
      <c r="F28" s="38">
        <f ca="1">IFERROR(E28/D28, 0)</f>
        <v>0</v>
      </c>
      <c r="G28" s="47">
        <f ca="1">SUM(G3:G27)</f>
        <v>0</v>
      </c>
      <c r="H28" s="48">
        <f ca="1">C28-G28</f>
        <v>0</v>
      </c>
      <c r="I28" s="39">
        <f ca="1">IFERROR(H28/G28, 0)</f>
        <v>0</v>
      </c>
    </row>
    <row r="30" spans="1:9" ht="12.75" customHeight="1">
      <c r="A30" s="164" t="s">
        <v>10</v>
      </c>
    </row>
    <row r="31" spans="1:9">
      <c r="A31" s="164"/>
    </row>
    <row r="32" spans="1:9" ht="12.75" customHeight="1">
      <c r="A32" s="165" t="s">
        <v>11</v>
      </c>
    </row>
    <row r="33" spans="1:1">
      <c r="A33" s="165"/>
    </row>
  </sheetData>
  <autoFilter ref="A2:I2" xr:uid="{CACFAF7D-C0A7-49C0-9FFC-8D8BC8F00BC8}"/>
  <mergeCells count="6">
    <mergeCell ref="G1:I1"/>
    <mergeCell ref="A28:B28"/>
    <mergeCell ref="A30:A31"/>
    <mergeCell ref="A32:A33"/>
    <mergeCell ref="A1:B1"/>
    <mergeCell ref="C1:F1"/>
  </mergeCells>
  <conditionalFormatting sqref="F3:F28 I3:I28">
    <cfRule type="cellIs" dxfId="432" priority="1" operator="lessThanOrEqual">
      <formula>-0.1</formula>
    </cfRule>
    <cfRule type="cellIs" dxfId="43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66" t="str" cm="1">
        <f t="array" ref="A1">portfolio</f>
        <v>Lodestar</v>
      </c>
      <c r="B1" s="167"/>
      <c r="C1" s="168" t="s">
        <v>18</v>
      </c>
      <c r="D1" s="169"/>
      <c r="E1" s="169"/>
      <c r="F1" s="170"/>
      <c r="G1" s="160" t="s">
        <v>19</v>
      </c>
      <c r="H1" s="160"/>
      <c r="I1" s="161"/>
    </row>
    <row r="2" spans="1:9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</row>
    <row r="3" spans="1:9" ht="15.75">
      <c r="A3" s="44" t="str" cm="1">
        <f t="array" ref="A3:A27">Sites[Site]</f>
        <v>Barkhamsted</v>
      </c>
      <c r="B3" s="30" t="str" cm="1">
        <f t="array" ref="B3:B27">Sites[State]</f>
        <v>CT</v>
      </c>
      <c r="C3" s="32">
        <f ca="1">SUM(Oct!C3, Nov!C3, Dec!C3)</f>
        <v>0</v>
      </c>
      <c r="D3" s="32">
        <f ca="1">SUM(Oct!D3, Nov!D3, Dec!D3)</f>
        <v>0</v>
      </c>
      <c r="E3" s="32">
        <f ca="1">C3-D3</f>
        <v>0</v>
      </c>
      <c r="F3" s="33">
        <f ca="1">IFERROR(E3/D3, 0)</f>
        <v>0</v>
      </c>
      <c r="G3" s="34">
        <f ca="1">SUM(Oct!G3, Nov!G3, Dec!G3)</f>
        <v>0</v>
      </c>
      <c r="H3" s="34">
        <f ca="1">C3-G3</f>
        <v>0</v>
      </c>
      <c r="I3" s="35">
        <f ca="1">IFERROR(H3/G3, 0)</f>
        <v>0</v>
      </c>
    </row>
    <row r="4" spans="1:9" ht="15.75">
      <c r="A4" s="45" t="str">
        <v>Bunce</v>
      </c>
      <c r="B4" s="15" t="str">
        <v>CT</v>
      </c>
      <c r="C4" s="32">
        <f ca="1">SUM(Oct!C4, Nov!C4, Dec!C4)</f>
        <v>0</v>
      </c>
      <c r="D4" s="32">
        <f ca="1">SUM(Oct!D4, Nov!D4, Dec!D4)</f>
        <v>0</v>
      </c>
      <c r="E4" s="32">
        <f t="shared" ref="E4:E27" ca="1" si="0">C4-D4</f>
        <v>0</v>
      </c>
      <c r="F4" s="33">
        <f t="shared" ref="F4:F27" ca="1" si="1">IFERROR(E4/D4, 0)</f>
        <v>0</v>
      </c>
      <c r="G4" s="34">
        <f ca="1">SUM(Oct!G4, Nov!G4, Dec!G4)</f>
        <v>0</v>
      </c>
      <c r="H4" s="34">
        <f t="shared" ref="H4:H27" ca="1" si="2">C4-G4</f>
        <v>0</v>
      </c>
      <c r="I4" s="35">
        <f t="shared" ref="I4:I27" ca="1" si="3">IFERROR(H4/G4, 0)</f>
        <v>0</v>
      </c>
    </row>
    <row r="5" spans="1:9" ht="15.75">
      <c r="A5" s="46" t="str">
        <v>Norcap North</v>
      </c>
      <c r="B5" s="31" t="str">
        <v>CT</v>
      </c>
      <c r="C5" s="32">
        <f ca="1">SUM(Oct!C5, Nov!C5, Dec!C5)</f>
        <v>0</v>
      </c>
      <c r="D5" s="32">
        <f ca="1">SUM(Oct!D5, Nov!D5, Dec!D5)</f>
        <v>0</v>
      </c>
      <c r="E5" s="32">
        <f t="shared" ca="1" si="0"/>
        <v>0</v>
      </c>
      <c r="F5" s="33">
        <f t="shared" ca="1" si="1"/>
        <v>0</v>
      </c>
      <c r="G5" s="34">
        <f ca="1">SUM(Oct!G5, Nov!G5, Dec!G5)</f>
        <v>0</v>
      </c>
      <c r="H5" s="34">
        <f t="shared" ca="1" si="2"/>
        <v>0</v>
      </c>
      <c r="I5" s="35">
        <f t="shared" ca="1" si="3"/>
        <v>0</v>
      </c>
    </row>
    <row r="6" spans="1:9" ht="15.75">
      <c r="A6" s="45" t="str">
        <v>Norcap South</v>
      </c>
      <c r="B6" s="15" t="str">
        <v>CT</v>
      </c>
      <c r="C6" s="32">
        <f ca="1">SUM(Oct!C6, Nov!C6, Dec!C6)</f>
        <v>0</v>
      </c>
      <c r="D6" s="32">
        <f ca="1">SUM(Oct!D6, Nov!D6, Dec!D6)</f>
        <v>0</v>
      </c>
      <c r="E6" s="32">
        <f t="shared" ca="1" si="0"/>
        <v>0</v>
      </c>
      <c r="F6" s="33">
        <f t="shared" ca="1" si="1"/>
        <v>0</v>
      </c>
      <c r="G6" s="34">
        <f ca="1">SUM(Oct!G6, Nov!G6, Dec!G6)</f>
        <v>0</v>
      </c>
      <c r="H6" s="34">
        <f t="shared" ca="1" si="2"/>
        <v>0</v>
      </c>
      <c r="I6" s="35">
        <f t="shared" ca="1" si="3"/>
        <v>0</v>
      </c>
    </row>
    <row r="7" spans="1:9" ht="15.75">
      <c r="A7" s="46" t="str">
        <v>Platt Hill</v>
      </c>
      <c r="B7" s="31" t="str">
        <v>CT</v>
      </c>
      <c r="C7" s="32">
        <f ca="1">SUM(Oct!C7, Nov!C7, Dec!C7)</f>
        <v>0</v>
      </c>
      <c r="D7" s="32">
        <f ca="1">SUM(Oct!D7, Nov!D7, Dec!D7)</f>
        <v>0</v>
      </c>
      <c r="E7" s="32">
        <f t="shared" ca="1" si="0"/>
        <v>0</v>
      </c>
      <c r="F7" s="33">
        <f t="shared" ca="1" si="1"/>
        <v>0</v>
      </c>
      <c r="G7" s="34">
        <f ca="1">SUM(Oct!G7, Nov!G7, Dec!G7)</f>
        <v>0</v>
      </c>
      <c r="H7" s="34">
        <f t="shared" ca="1" si="2"/>
        <v>0</v>
      </c>
      <c r="I7" s="35">
        <f t="shared" ca="1" si="3"/>
        <v>0</v>
      </c>
    </row>
    <row r="8" spans="1:9" ht="15.75">
      <c r="A8" s="45" t="str">
        <v>Powder Hill</v>
      </c>
      <c r="B8" s="15" t="str">
        <v>CT</v>
      </c>
      <c r="C8" s="32">
        <f ca="1">SUM(Oct!C8, Nov!C8, Dec!C8)</f>
        <v>0</v>
      </c>
      <c r="D8" s="32">
        <f ca="1">SUM(Oct!D8, Nov!D8, Dec!D8)</f>
        <v>0</v>
      </c>
      <c r="E8" s="32">
        <f t="shared" ca="1" si="0"/>
        <v>0</v>
      </c>
      <c r="F8" s="33">
        <f t="shared" ca="1" si="1"/>
        <v>0</v>
      </c>
      <c r="G8" s="34">
        <f ca="1">SUM(Oct!G8, Nov!G8, Dec!G8)</f>
        <v>0</v>
      </c>
      <c r="H8" s="34">
        <f t="shared" ca="1" si="2"/>
        <v>0</v>
      </c>
      <c r="I8" s="35">
        <f t="shared" ca="1" si="3"/>
        <v>0</v>
      </c>
    </row>
    <row r="9" spans="1:9" ht="15.75">
      <c r="A9" s="46" t="str">
        <v>Sand Road</v>
      </c>
      <c r="B9" s="31" t="str">
        <v>CT</v>
      </c>
      <c r="C9" s="32">
        <f ca="1">SUM(Oct!C9, Nov!C9, Dec!C9)</f>
        <v>0</v>
      </c>
      <c r="D9" s="32">
        <f ca="1">SUM(Oct!D9, Nov!D9, Dec!D9)</f>
        <v>0</v>
      </c>
      <c r="E9" s="32">
        <f t="shared" ca="1" si="0"/>
        <v>0</v>
      </c>
      <c r="F9" s="33">
        <f t="shared" ca="1" si="1"/>
        <v>0</v>
      </c>
      <c r="G9" s="34">
        <f ca="1">SUM(Oct!G9, Nov!G9, Dec!G9)</f>
        <v>0</v>
      </c>
      <c r="H9" s="34">
        <f t="shared" ca="1" si="2"/>
        <v>0</v>
      </c>
      <c r="I9" s="35">
        <f t="shared" ca="1" si="3"/>
        <v>0</v>
      </c>
    </row>
    <row r="10" spans="1:9" ht="15.75">
      <c r="A10" s="45" t="str">
        <v>Suffield</v>
      </c>
      <c r="B10" s="15" t="str">
        <v>CT</v>
      </c>
      <c r="C10" s="32">
        <f ca="1">SUM(Oct!C10, Nov!C10, Dec!C10)</f>
        <v>0</v>
      </c>
      <c r="D10" s="32">
        <f ca="1">SUM(Oct!D10, Nov!D10, Dec!D10)</f>
        <v>0</v>
      </c>
      <c r="E10" s="32">
        <f t="shared" ca="1" si="0"/>
        <v>0</v>
      </c>
      <c r="F10" s="33">
        <f t="shared" ca="1" si="1"/>
        <v>0</v>
      </c>
      <c r="G10" s="34">
        <f ca="1">SUM(Oct!G10, Nov!G10, Dec!G10)</f>
        <v>0</v>
      </c>
      <c r="H10" s="34">
        <f t="shared" ca="1" si="2"/>
        <v>0</v>
      </c>
      <c r="I10" s="35">
        <f t="shared" ca="1" si="3"/>
        <v>0</v>
      </c>
    </row>
    <row r="11" spans="1:9" ht="15.75">
      <c r="A11" s="46" t="str">
        <v>Ashby-Duffy</v>
      </c>
      <c r="B11" s="31" t="str">
        <v>MA</v>
      </c>
      <c r="C11" s="32">
        <f ca="1">SUM(Oct!C11, Nov!C11, Dec!C11)</f>
        <v>0</v>
      </c>
      <c r="D11" s="32">
        <f ca="1">SUM(Oct!D11, Nov!D11, Dec!D11)</f>
        <v>0</v>
      </c>
      <c r="E11" s="32">
        <f t="shared" ca="1" si="0"/>
        <v>0</v>
      </c>
      <c r="F11" s="33">
        <f t="shared" ca="1" si="1"/>
        <v>0</v>
      </c>
      <c r="G11" s="34">
        <f ca="1">SUM(Oct!G11, Nov!G11, Dec!G11)</f>
        <v>0</v>
      </c>
      <c r="H11" s="34">
        <f t="shared" ca="1" si="2"/>
        <v>0</v>
      </c>
      <c r="I11" s="35">
        <f t="shared" ca="1" si="3"/>
        <v>0</v>
      </c>
    </row>
    <row r="12" spans="1:9" ht="15.75">
      <c r="A12" s="45" t="str">
        <v>Ashland</v>
      </c>
      <c r="B12" s="15" t="str">
        <v>MA</v>
      </c>
      <c r="C12" s="32">
        <f ca="1">SUM(Oct!C12, Nov!C12, Dec!C12)</f>
        <v>0</v>
      </c>
      <c r="D12" s="32">
        <f ca="1">SUM(Oct!D12, Nov!D12, Dec!D12)</f>
        <v>0</v>
      </c>
      <c r="E12" s="32">
        <f t="shared" ca="1" si="0"/>
        <v>0</v>
      </c>
      <c r="F12" s="33">
        <f t="shared" ca="1" si="1"/>
        <v>0</v>
      </c>
      <c r="G12" s="34">
        <f ca="1">SUM(Oct!G12, Nov!G12, Dec!G12)</f>
        <v>0</v>
      </c>
      <c r="H12" s="34">
        <f t="shared" ca="1" si="2"/>
        <v>0</v>
      </c>
      <c r="I12" s="35">
        <f t="shared" ca="1" si="3"/>
        <v>0</v>
      </c>
    </row>
    <row r="13" spans="1:9" ht="15.75">
      <c r="A13" s="46" t="str">
        <v>Barrington</v>
      </c>
      <c r="B13" s="31" t="str">
        <v>MA</v>
      </c>
      <c r="C13" s="32">
        <f ca="1">SUM(Oct!C13, Nov!C13, Dec!C13)</f>
        <v>0</v>
      </c>
      <c r="D13" s="32">
        <f ca="1">SUM(Oct!D13, Nov!D13, Dec!D13)</f>
        <v>0</v>
      </c>
      <c r="E13" s="32">
        <f t="shared" ca="1" si="0"/>
        <v>0</v>
      </c>
      <c r="F13" s="33">
        <f t="shared" ca="1" si="1"/>
        <v>0</v>
      </c>
      <c r="G13" s="34">
        <f ca="1">SUM(Oct!G13, Nov!G13, Dec!G13)</f>
        <v>0</v>
      </c>
      <c r="H13" s="34">
        <f t="shared" ca="1" si="2"/>
        <v>0</v>
      </c>
      <c r="I13" s="35">
        <f t="shared" ca="1" si="3"/>
        <v>0</v>
      </c>
    </row>
    <row r="14" spans="1:9" ht="15.75">
      <c r="A14" s="45" t="str">
        <v>Bedford - 205 Burlington Rd</v>
      </c>
      <c r="B14" s="15" t="str">
        <v>MA</v>
      </c>
      <c r="C14" s="32">
        <f ca="1">SUM(Oct!C14, Nov!C14, Dec!C14)</f>
        <v>0</v>
      </c>
      <c r="D14" s="32">
        <f ca="1">SUM(Oct!D14, Nov!D14, Dec!D14)</f>
        <v>0</v>
      </c>
      <c r="E14" s="32">
        <f t="shared" ca="1" si="0"/>
        <v>0</v>
      </c>
      <c r="F14" s="33">
        <f t="shared" ca="1" si="1"/>
        <v>0</v>
      </c>
      <c r="G14" s="34">
        <f ca="1">SUM(Oct!G14, Nov!G14, Dec!G14)</f>
        <v>0</v>
      </c>
      <c r="H14" s="34">
        <f t="shared" ca="1" si="2"/>
        <v>0</v>
      </c>
      <c r="I14" s="35">
        <f t="shared" ca="1" si="3"/>
        <v>0</v>
      </c>
    </row>
    <row r="15" spans="1:9" ht="15.75">
      <c r="A15" s="46" t="str">
        <v>Billerica - 6 Cook Street</v>
      </c>
      <c r="B15" s="31" t="str">
        <v>MA</v>
      </c>
      <c r="C15" s="32">
        <f ca="1">SUM(Oct!C15, Nov!C15, Dec!C15)</f>
        <v>0</v>
      </c>
      <c r="D15" s="32">
        <f ca="1">SUM(Oct!D15, Nov!D15, Dec!D15)</f>
        <v>0</v>
      </c>
      <c r="E15" s="32">
        <f t="shared" ca="1" si="0"/>
        <v>0</v>
      </c>
      <c r="F15" s="33">
        <f t="shared" ca="1" si="1"/>
        <v>0</v>
      </c>
      <c r="G15" s="34">
        <f ca="1">SUM(Oct!G15, Nov!G15, Dec!G15)</f>
        <v>0</v>
      </c>
      <c r="H15" s="34">
        <f t="shared" ca="1" si="2"/>
        <v>0</v>
      </c>
      <c r="I15" s="35">
        <f t="shared" ca="1" si="3"/>
        <v>0</v>
      </c>
    </row>
    <row r="16" spans="1:9" ht="15.75">
      <c r="A16" s="45" t="str">
        <v>Billerica - 780 Boston Road</v>
      </c>
      <c r="B16" s="15" t="str">
        <v>MA</v>
      </c>
      <c r="C16" s="32">
        <f ca="1">SUM(Oct!C16, Nov!C16, Dec!C16)</f>
        <v>0</v>
      </c>
      <c r="D16" s="32">
        <f ca="1">SUM(Oct!D16, Nov!D16, Dec!D16)</f>
        <v>0</v>
      </c>
      <c r="E16" s="32">
        <f t="shared" ca="1" si="0"/>
        <v>0</v>
      </c>
      <c r="F16" s="33">
        <f t="shared" ca="1" si="1"/>
        <v>0</v>
      </c>
      <c r="G16" s="34">
        <f ca="1">SUM(Oct!G16, Nov!G16, Dec!G16)</f>
        <v>0</v>
      </c>
      <c r="H16" s="34">
        <f t="shared" ca="1" si="2"/>
        <v>0</v>
      </c>
      <c r="I16" s="35">
        <f t="shared" ca="1" si="3"/>
        <v>0</v>
      </c>
    </row>
    <row r="17" spans="1:9" ht="15.75">
      <c r="A17" s="46" t="str">
        <v>Cheshire</v>
      </c>
      <c r="B17" s="31" t="str">
        <v>MA</v>
      </c>
      <c r="C17" s="32">
        <f ca="1">SUM(Oct!C17, Nov!C17, Dec!C17)</f>
        <v>0</v>
      </c>
      <c r="D17" s="32">
        <f ca="1">SUM(Oct!D17, Nov!D17, Dec!D17)</f>
        <v>0</v>
      </c>
      <c r="E17" s="32">
        <f t="shared" ca="1" si="0"/>
        <v>0</v>
      </c>
      <c r="F17" s="33">
        <f t="shared" ca="1" si="1"/>
        <v>0</v>
      </c>
      <c r="G17" s="34">
        <f ca="1">SUM(Oct!G17, Nov!G17, Dec!G17)</f>
        <v>0</v>
      </c>
      <c r="H17" s="34">
        <f t="shared" ca="1" si="2"/>
        <v>0</v>
      </c>
      <c r="I17" s="35">
        <f t="shared" ca="1" si="3"/>
        <v>0</v>
      </c>
    </row>
    <row r="18" spans="1:9" ht="15.75">
      <c r="A18" s="45" t="str">
        <v>Lilly Lane</v>
      </c>
      <c r="B18" s="15" t="str">
        <v>MA</v>
      </c>
      <c r="C18" s="32">
        <f ca="1">SUM(Oct!C18, Nov!C18, Dec!C18)</f>
        <v>0</v>
      </c>
      <c r="D18" s="32">
        <f ca="1">SUM(Oct!D18, Nov!D18, Dec!D18)</f>
        <v>0</v>
      </c>
      <c r="E18" s="32">
        <f t="shared" ca="1" si="0"/>
        <v>0</v>
      </c>
      <c r="F18" s="33">
        <f t="shared" ca="1" si="1"/>
        <v>0</v>
      </c>
      <c r="G18" s="34">
        <f ca="1">SUM(Oct!G18, Nov!G18, Dec!G18)</f>
        <v>0</v>
      </c>
      <c r="H18" s="34">
        <f t="shared" ca="1" si="2"/>
        <v>0</v>
      </c>
      <c r="I18" s="35">
        <f t="shared" ca="1" si="3"/>
        <v>0</v>
      </c>
    </row>
    <row r="19" spans="1:9" ht="15.75">
      <c r="A19" s="46" t="str">
        <v>Monument Valley</v>
      </c>
      <c r="B19" s="31" t="str">
        <v>MA</v>
      </c>
      <c r="C19" s="32">
        <f ca="1">SUM(Oct!C19, Nov!C19, Dec!C19)</f>
        <v>0</v>
      </c>
      <c r="D19" s="32">
        <f ca="1">SUM(Oct!D19, Nov!D19, Dec!D19)</f>
        <v>0</v>
      </c>
      <c r="E19" s="32">
        <f t="shared" ca="1" si="0"/>
        <v>0</v>
      </c>
      <c r="F19" s="33">
        <f t="shared" ca="1" si="1"/>
        <v>0</v>
      </c>
      <c r="G19" s="34">
        <f ca="1">SUM(Oct!G19, Nov!G19, Dec!G19)</f>
        <v>0</v>
      </c>
      <c r="H19" s="34">
        <f t="shared" ca="1" si="2"/>
        <v>0</v>
      </c>
      <c r="I19" s="35">
        <f t="shared" ca="1" si="3"/>
        <v>0</v>
      </c>
    </row>
    <row r="20" spans="1:9" ht="15.75">
      <c r="A20" s="45" t="str">
        <v>Nationwide</v>
      </c>
      <c r="B20" s="15" t="str">
        <v>MA</v>
      </c>
      <c r="C20" s="32">
        <f ca="1">SUM(Oct!C20, Nov!C20, Dec!C20)</f>
        <v>0</v>
      </c>
      <c r="D20" s="32">
        <f ca="1">SUM(Oct!D20, Nov!D20, Dec!D20)</f>
        <v>0</v>
      </c>
      <c r="E20" s="32">
        <f t="shared" ca="1" si="0"/>
        <v>0</v>
      </c>
      <c r="F20" s="33">
        <f t="shared" ca="1" si="1"/>
        <v>0</v>
      </c>
      <c r="G20" s="34">
        <f ca="1">SUM(Oct!G20, Nov!G20, Dec!G20)</f>
        <v>0</v>
      </c>
      <c r="H20" s="34">
        <f t="shared" ca="1" si="2"/>
        <v>0</v>
      </c>
      <c r="I20" s="35">
        <f t="shared" ca="1" si="3"/>
        <v>0</v>
      </c>
    </row>
    <row r="21" spans="1:9" ht="15.75">
      <c r="A21" s="46" t="str">
        <v>Pulpit Hill</v>
      </c>
      <c r="B21" s="31" t="str">
        <v>MA</v>
      </c>
      <c r="C21" s="32">
        <f ca="1">SUM(Oct!C21, Nov!C21, Dec!C21)</f>
        <v>0</v>
      </c>
      <c r="D21" s="32">
        <f ca="1">SUM(Oct!D21, Nov!D21, Dec!D21)</f>
        <v>0</v>
      </c>
      <c r="E21" s="32">
        <f t="shared" ca="1" si="0"/>
        <v>0</v>
      </c>
      <c r="F21" s="33">
        <f t="shared" ca="1" si="1"/>
        <v>0</v>
      </c>
      <c r="G21" s="34">
        <f ca="1">SUM(Oct!G21, Nov!G21, Dec!G21)</f>
        <v>0</v>
      </c>
      <c r="H21" s="34">
        <f t="shared" ca="1" si="2"/>
        <v>0</v>
      </c>
      <c r="I21" s="35">
        <f t="shared" ca="1" si="3"/>
        <v>0</v>
      </c>
    </row>
    <row r="22" spans="1:9" ht="15.75">
      <c r="A22" s="45" t="str">
        <v>Sandwich</v>
      </c>
      <c r="B22" s="15" t="str">
        <v>MA</v>
      </c>
      <c r="C22" s="32">
        <f ca="1">SUM(Oct!C22, Nov!C22, Dec!C22)</f>
        <v>0</v>
      </c>
      <c r="D22" s="32">
        <f ca="1">SUM(Oct!D22, Nov!D22, Dec!D22)</f>
        <v>0</v>
      </c>
      <c r="E22" s="32">
        <f t="shared" ca="1" si="0"/>
        <v>0</v>
      </c>
      <c r="F22" s="33">
        <f t="shared" ca="1" si="1"/>
        <v>0</v>
      </c>
      <c r="G22" s="34">
        <f ca="1">SUM(Oct!G22, Nov!G22, Dec!G22)</f>
        <v>0</v>
      </c>
      <c r="H22" s="34">
        <f t="shared" ca="1" si="2"/>
        <v>0</v>
      </c>
      <c r="I22" s="35">
        <f t="shared" ca="1" si="3"/>
        <v>0</v>
      </c>
    </row>
    <row r="23" spans="1:9" ht="15.75">
      <c r="A23" s="46" t="str">
        <v>Sturbridge Barn</v>
      </c>
      <c r="B23" s="31" t="str">
        <v>MA</v>
      </c>
      <c r="C23" s="32">
        <f ca="1">SUM(Oct!C23, Nov!C23, Dec!C23)</f>
        <v>0</v>
      </c>
      <c r="D23" s="32">
        <f ca="1">SUM(Oct!D23, Nov!D23, Dec!D23)</f>
        <v>0</v>
      </c>
      <c r="E23" s="32">
        <f t="shared" ca="1" si="0"/>
        <v>0</v>
      </c>
      <c r="F23" s="33">
        <f t="shared" ca="1" si="1"/>
        <v>0</v>
      </c>
      <c r="G23" s="34">
        <f ca="1">SUM(Oct!G23, Nov!G23, Dec!G23)</f>
        <v>0</v>
      </c>
      <c r="H23" s="34">
        <f t="shared" ca="1" si="2"/>
        <v>0</v>
      </c>
      <c r="I23" s="35">
        <f t="shared" ca="1" si="3"/>
        <v>0</v>
      </c>
    </row>
    <row r="24" spans="1:9" ht="15.75">
      <c r="A24" s="45" t="str">
        <v>Sturbridge Garage</v>
      </c>
      <c r="B24" s="15" t="str">
        <v>MA</v>
      </c>
      <c r="C24" s="32">
        <f ca="1">SUM(Oct!C24, Nov!C24, Dec!C24)</f>
        <v>0</v>
      </c>
      <c r="D24" s="32">
        <f ca="1">SUM(Oct!D24, Nov!D24, Dec!D24)</f>
        <v>0</v>
      </c>
      <c r="E24" s="32">
        <f t="shared" ca="1" si="0"/>
        <v>0</v>
      </c>
      <c r="F24" s="33">
        <f t="shared" ca="1" si="1"/>
        <v>0</v>
      </c>
      <c r="G24" s="34">
        <f ca="1">SUM(Oct!G24, Nov!G24, Dec!G24)</f>
        <v>0</v>
      </c>
      <c r="H24" s="34">
        <f t="shared" ca="1" si="2"/>
        <v>0</v>
      </c>
      <c r="I24" s="35">
        <f t="shared" ca="1" si="3"/>
        <v>0</v>
      </c>
    </row>
    <row r="25" spans="1:9" ht="15.75">
      <c r="A25" s="46" t="str">
        <v>Halsey Valley</v>
      </c>
      <c r="B25" s="31" t="str">
        <v>NY</v>
      </c>
      <c r="C25" s="32">
        <f ca="1">SUM(Oct!C25, Nov!C25, Dec!C25)</f>
        <v>0</v>
      </c>
      <c r="D25" s="32">
        <f ca="1">SUM(Oct!D25, Nov!D25, Dec!D25)</f>
        <v>0</v>
      </c>
      <c r="E25" s="32">
        <f t="shared" ca="1" si="0"/>
        <v>0</v>
      </c>
      <c r="F25" s="33">
        <f t="shared" ca="1" si="1"/>
        <v>0</v>
      </c>
      <c r="G25" s="34">
        <f ca="1">SUM(Oct!G25, Nov!G25, Dec!G25)</f>
        <v>0</v>
      </c>
      <c r="H25" s="34">
        <f t="shared" ca="1" si="2"/>
        <v>0</v>
      </c>
      <c r="I25" s="35">
        <f t="shared" ca="1" si="3"/>
        <v>0</v>
      </c>
    </row>
    <row r="26" spans="1:9" ht="15.75">
      <c r="A26" s="45" t="str">
        <v>Hunt Creek</v>
      </c>
      <c r="B26" s="15" t="str">
        <v>NY</v>
      </c>
      <c r="C26" s="32">
        <f ca="1">SUM(Oct!C26, Nov!C26, Dec!C26)</f>
        <v>0</v>
      </c>
      <c r="D26" s="32">
        <f ca="1">SUM(Oct!D26, Nov!D26, Dec!D26)</f>
        <v>0</v>
      </c>
      <c r="E26" s="32">
        <f t="shared" ca="1" si="0"/>
        <v>0</v>
      </c>
      <c r="F26" s="33">
        <f t="shared" ca="1" si="1"/>
        <v>0</v>
      </c>
      <c r="G26" s="34">
        <f ca="1">SUM(Oct!G26, Nov!G26, Dec!G26)</f>
        <v>0</v>
      </c>
      <c r="H26" s="34">
        <f t="shared" ca="1" si="2"/>
        <v>0</v>
      </c>
      <c r="I26" s="35">
        <f t="shared" ca="1" si="3"/>
        <v>0</v>
      </c>
    </row>
    <row r="27" spans="1:9" ht="15.75">
      <c r="A27" s="46" t="str">
        <v>Smith Creek</v>
      </c>
      <c r="B27" s="31" t="str">
        <v>NY</v>
      </c>
      <c r="C27" s="32">
        <f ca="1">SUM(Oct!C27, Nov!C27, Dec!C27)</f>
        <v>0</v>
      </c>
      <c r="D27" s="32">
        <f ca="1">SUM(Oct!D27, Nov!D27, Dec!D27)</f>
        <v>0</v>
      </c>
      <c r="E27" s="32">
        <f t="shared" ca="1" si="0"/>
        <v>0</v>
      </c>
      <c r="F27" s="33">
        <f t="shared" ca="1" si="1"/>
        <v>0</v>
      </c>
      <c r="G27" s="34">
        <f ca="1">SUM(Oct!G27, Nov!G27, Dec!G27)</f>
        <v>0</v>
      </c>
      <c r="H27" s="34">
        <f t="shared" ca="1" si="2"/>
        <v>0</v>
      </c>
      <c r="I27" s="35">
        <f t="shared" ca="1" si="3"/>
        <v>0</v>
      </c>
    </row>
    <row r="28" spans="1:9" ht="24.75" customHeight="1">
      <c r="A28" s="162" t="s">
        <v>9</v>
      </c>
      <c r="B28" s="163"/>
      <c r="C28" s="47">
        <f ca="1">SUM(C3:C27)</f>
        <v>0</v>
      </c>
      <c r="D28" s="47">
        <f ca="1">SUM(D3:D27)</f>
        <v>0</v>
      </c>
      <c r="E28" s="47">
        <f ca="1">C28-D28</f>
        <v>0</v>
      </c>
      <c r="F28" s="38">
        <f ca="1">IFERROR(E28/D28, 0)</f>
        <v>0</v>
      </c>
      <c r="G28" s="47">
        <f ca="1">SUM(G3:G27)</f>
        <v>0</v>
      </c>
      <c r="H28" s="48">
        <f ca="1">C28-G28</f>
        <v>0</v>
      </c>
      <c r="I28" s="39">
        <f ca="1">IFERROR(H28/G28, 0)</f>
        <v>0</v>
      </c>
    </row>
    <row r="30" spans="1:9" ht="12.75" customHeight="1">
      <c r="A30" s="164" t="s">
        <v>10</v>
      </c>
    </row>
    <row r="31" spans="1:9">
      <c r="A31" s="164"/>
    </row>
    <row r="32" spans="1:9">
      <c r="A32" s="165" t="s">
        <v>11</v>
      </c>
    </row>
    <row r="33" spans="1:1" ht="12.75" customHeight="1">
      <c r="A33" s="165"/>
    </row>
  </sheetData>
  <autoFilter ref="A2:I2" xr:uid="{CE62352A-0CAA-4862-87B6-A6A1C7531211}"/>
  <mergeCells count="6">
    <mergeCell ref="G1:I1"/>
    <mergeCell ref="A28:B28"/>
    <mergeCell ref="A30:A31"/>
    <mergeCell ref="A32:A33"/>
    <mergeCell ref="A1:B1"/>
    <mergeCell ref="C1:F1"/>
  </mergeCells>
  <conditionalFormatting sqref="F3:F28 I3:I28">
    <cfRule type="cellIs" dxfId="430" priority="1" operator="lessThanOrEqual">
      <formula>-0.1</formula>
    </cfRule>
    <cfRule type="cellIs" dxfId="42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34"/>
  <sheetViews>
    <sheetView workbookViewId="0">
      <pane ySplit="2" topLeftCell="A3" activePane="bottomLeft" state="frozen"/>
      <selection pane="bottomLeft" activeCell="J5" sqref="J5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96.42578125" customWidth="1"/>
    <col min="11" max="11" width="19.42578125" customWidth="1"/>
  </cols>
  <sheetData>
    <row r="1" spans="1:11" ht="15">
      <c r="A1" s="166" t="str" cm="1">
        <f t="array" ref="A1">portfolio</f>
        <v>Lodestar</v>
      </c>
      <c r="B1" s="167"/>
      <c r="C1" s="168" t="s">
        <v>20</v>
      </c>
      <c r="D1" s="169"/>
      <c r="E1" s="169"/>
      <c r="F1" s="170"/>
      <c r="G1" s="160" t="s">
        <v>21</v>
      </c>
      <c r="H1" s="160"/>
      <c r="I1" s="161"/>
      <c r="J1" s="171" t="s">
        <v>22</v>
      </c>
      <c r="K1" s="171" t="s">
        <v>23</v>
      </c>
    </row>
    <row r="2" spans="1:11" ht="13.9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  <c r="J2" s="172"/>
      <c r="K2" s="172"/>
    </row>
    <row r="3" spans="1:11" ht="15.75">
      <c r="A3" s="149" t="str" cm="1">
        <f t="array" ref="A3:A27">Sites[Site]</f>
        <v>Barkhamsted</v>
      </c>
      <c r="B3" s="150" t="str" cm="1">
        <f t="array" ref="B3:B27">Sites[State]</f>
        <v>CT</v>
      </c>
      <c r="C3" s="151" cm="1">
        <f t="array" aca="1" ref="C3:K3" ca="1">IF(INDIRECT("'" &amp; $A3 &amp; "'!B5:J5")="", "", INDIRECT("'" &amp; $A3 &amp; "'!B5:J5"))</f>
        <v>40962</v>
      </c>
      <c r="D3" s="151">
        <f ca="1"/>
        <v>81116.11</v>
      </c>
      <c r="E3" s="151">
        <f ca="1"/>
        <v>-40154.11</v>
      </c>
      <c r="F3" s="152">
        <f ca="1"/>
        <v>-0.49502016307241559</v>
      </c>
      <c r="G3" s="153">
        <f ca="1"/>
        <v>95666.17</v>
      </c>
      <c r="H3" s="153">
        <f ca="1"/>
        <v>-54704.17</v>
      </c>
      <c r="I3" s="154">
        <f ca="1"/>
        <v>-0.57182356103521237</v>
      </c>
      <c r="J3" s="16" t="str">
        <f ca="1"/>
        <v/>
      </c>
      <c r="K3" s="16" t="str">
        <f ca="1"/>
        <v/>
      </c>
    </row>
    <row r="4" spans="1:11" ht="15.75">
      <c r="A4" s="155" t="str">
        <v>Bunce</v>
      </c>
      <c r="B4" s="76" t="str">
        <v>CT</v>
      </c>
      <c r="C4" s="151" cm="1">
        <f t="array" aca="1" ref="C4:K4" ca="1">IF(INDIRECT("'" &amp; $A4 &amp; "'!B5:J5")="", "", INDIRECT("'" &amp; $A4 &amp; "'!B5:J5"))</f>
        <v>85317.75</v>
      </c>
      <c r="D4" s="151">
        <f ca="1"/>
        <v>134339.20000000001</v>
      </c>
      <c r="E4" s="151">
        <f ca="1"/>
        <v>-49021.450000000012</v>
      </c>
      <c r="F4" s="152">
        <f ca="1"/>
        <v>-0.36490800898025305</v>
      </c>
      <c r="G4" s="153">
        <f ca="1"/>
        <v>0</v>
      </c>
      <c r="H4" s="153">
        <f ca="1"/>
        <v>85317.75</v>
      </c>
      <c r="I4" s="156">
        <f ca="1"/>
        <v>0</v>
      </c>
      <c r="J4" s="16" t="str">
        <f ca="1"/>
        <v/>
      </c>
      <c r="K4" s="16" t="str">
        <f ca="1"/>
        <v/>
      </c>
    </row>
    <row r="5" spans="1:11" ht="99.75">
      <c r="A5" s="157" t="str">
        <v>Norcap North</v>
      </c>
      <c r="B5" s="158" t="str">
        <v>CT</v>
      </c>
      <c r="C5" s="151" cm="1">
        <f t="array" aca="1" ref="C5:K5" ca="1">IF(INDIRECT("'" &amp; $A5 &amp; "'!B5:J5")="", "", INDIRECT("'" &amp; $A5 &amp; "'!B5:J5"))</f>
        <v>86946</v>
      </c>
      <c r="D5" s="151">
        <f ca="1"/>
        <v>190151.4</v>
      </c>
      <c r="E5" s="151">
        <f ca="1"/>
        <v>-103205.4</v>
      </c>
      <c r="F5" s="152">
        <f ca="1"/>
        <v>-0.54275382668757632</v>
      </c>
      <c r="G5" s="153">
        <f ca="1"/>
        <v>179846.6</v>
      </c>
      <c r="H5" s="153">
        <f ca="1"/>
        <v>-92900.6</v>
      </c>
      <c r="I5" s="156">
        <f ca="1"/>
        <v>-0.51655466380793413</v>
      </c>
      <c r="J5" s="16" t="str">
        <f ca="1"/>
        <v>1. Inverter 1 started at 14:00 on 01/05.
2. Inverter 1 offline on 01/07 and resolved on 01/10  and reporting Bus Differential High Fault - Fault 0110.
2.  inverter 4 is currently offline on 01/07 and resolved on 01/09 and reporting Bus Differential High Fault - Fault 0110.
3. Inverters 1, 4 and 11 are offline on 01/13 and resolved on 01/14 due to "Bus differential high fault".
4.  Inverter 11 is offline on 01/13 resolved on 01/19 due to Bus differential fault.
5. Inverter 11 is offline from 01/19  due to Bus differential fault.</v>
      </c>
      <c r="K5" s="16" t="str">
        <f ca="1"/>
        <v>1. SR079979
2.  SR080049
3. SR080194
4. SR080314
5. SR080441</v>
      </c>
    </row>
    <row r="6" spans="1:11" ht="42.75">
      <c r="A6" s="155" t="str">
        <v>Norcap South</v>
      </c>
      <c r="B6" s="76" t="str">
        <v>CT</v>
      </c>
      <c r="C6" s="151" cm="1">
        <f t="array" aca="1" ref="C6:K6" ca="1">IF(INDIRECT("'" &amp; $A6 &amp; "'!B5:J5")="", "", INDIRECT("'" &amp; $A6 &amp; "'!B5:J5"))</f>
        <v>92879.5</v>
      </c>
      <c r="D6" s="151">
        <f ca="1"/>
        <v>212284</v>
      </c>
      <c r="E6" s="151">
        <f ca="1"/>
        <v>-119404.5</v>
      </c>
      <c r="F6" s="152">
        <f ca="1"/>
        <v>-0.5624752689792919</v>
      </c>
      <c r="G6" s="153">
        <f ca="1"/>
        <v>156565.5</v>
      </c>
      <c r="H6" s="153">
        <f ca="1"/>
        <v>-63686</v>
      </c>
      <c r="I6" s="156">
        <f ca="1"/>
        <v>-0.40676905193034224</v>
      </c>
      <c r="J6" s="16" t="str">
        <f ca="1"/>
        <v>1.Inverters 61 to 64 have tripped offline at 11:15am on 01/01 and resolved next day
2.Inverters 61 to 64 have tripped offline at 11:15am on 01/15 and resolved next day
3.Inverter 48 was offline due to "Bus sum high" fault on 01/27 and RMA'd</v>
      </c>
      <c r="K6" s="16" t="str">
        <f ca="1"/>
        <v>1.SR079853
2.SR080230
3.SR080522</v>
      </c>
    </row>
    <row r="7" spans="1:11" ht="15.75">
      <c r="A7" s="157" t="str">
        <v>Platt Hill</v>
      </c>
      <c r="B7" s="158" t="str">
        <v>CT</v>
      </c>
      <c r="C7" s="151" cm="1">
        <f t="array" aca="1" ref="C7:K7" ca="1">IF(INDIRECT("'" &amp; $A7 &amp; "'!B5:J5")="", "", INDIRECT("'" &amp; $A7 &amp; "'!B5:J5"))</f>
        <v>104226.493617021</v>
      </c>
      <c r="D7" s="151">
        <f ca="1"/>
        <v>164040.9</v>
      </c>
      <c r="E7" s="151">
        <f ca="1"/>
        <v>-59814.406382978996</v>
      </c>
      <c r="F7" s="152">
        <f ca="1"/>
        <v>-0.36463105471244672</v>
      </c>
      <c r="G7" s="153">
        <f ca="1"/>
        <v>232504.1</v>
      </c>
      <c r="H7" s="153">
        <f ca="1"/>
        <v>-128277.60638297901</v>
      </c>
      <c r="I7" s="156">
        <f ca="1"/>
        <v>-0.55172191106728441</v>
      </c>
      <c r="J7" s="16" t="str">
        <f ca="1"/>
        <v/>
      </c>
      <c r="K7" s="16" t="str">
        <f ca="1"/>
        <v/>
      </c>
    </row>
    <row r="8" spans="1:11" ht="42.75">
      <c r="A8" s="155" t="str">
        <v>Powder Hill</v>
      </c>
      <c r="B8" s="76" t="str">
        <v>CT</v>
      </c>
      <c r="C8" s="151" cm="1">
        <f t="array" aca="1" ref="C8:K8" ca="1">IF(INDIRECT("'" &amp; $A8 &amp; "'!B5:J5")="", "", INDIRECT("'" &amp; $A8 &amp; "'!B5:J5"))</f>
        <v>73609</v>
      </c>
      <c r="D8" s="151">
        <f ca="1"/>
        <v>144364.9</v>
      </c>
      <c r="E8" s="151">
        <f ca="1"/>
        <v>-70755.899999999994</v>
      </c>
      <c r="F8" s="152">
        <f ca="1"/>
        <v>-0.49011844291791146</v>
      </c>
      <c r="G8" s="153">
        <f ca="1"/>
        <v>155676</v>
      </c>
      <c r="H8" s="153">
        <f ca="1"/>
        <v>-82067</v>
      </c>
      <c r="I8" s="156">
        <f ca="1"/>
        <v>-0.52716539479431646</v>
      </c>
      <c r="J8" s="16" t="str">
        <f ca="1"/>
        <v>1.Inverter 1 is offline and reporting "Excessive Leakage Current" from 01/01 to 01/15
2.Inverter 5 is offline and reporting "Internal hardware failure" on 01/22 and back online next day
3.Inverter 1 is offline and reporting "Excessive Leakage Current from 01/25 and still offline</v>
      </c>
      <c r="K8" s="16" t="str">
        <f ca="1"/>
        <v>1.SR078505
2.SR080384	
3.SR080614</v>
      </c>
    </row>
    <row r="9" spans="1:11" ht="15.75">
      <c r="A9" s="157" t="str">
        <v>Sand Road</v>
      </c>
      <c r="B9" s="158" t="str">
        <v>CT</v>
      </c>
      <c r="C9" s="151" cm="1">
        <f t="array" aca="1" ref="C9:K9" ca="1">IF(INDIRECT("'" &amp; $A9 &amp; "'!B5:J5")="", "", INDIRECT("'" &amp; $A9 &amp; "'!B5:J5"))</f>
        <v>78068.5</v>
      </c>
      <c r="D9" s="151">
        <f ca="1"/>
        <v>124790</v>
      </c>
      <c r="E9" s="151">
        <f ca="1"/>
        <v>-46721.5</v>
      </c>
      <c r="F9" s="152">
        <f ca="1"/>
        <v>-0.37440099366936452</v>
      </c>
      <c r="G9" s="153">
        <f ca="1"/>
        <v>145302</v>
      </c>
      <c r="H9" s="153">
        <f ca="1"/>
        <v>-67233.5</v>
      </c>
      <c r="I9" s="156">
        <f ca="1"/>
        <v>-0.46271558547026193</v>
      </c>
      <c r="J9" s="16" t="str">
        <f ca="1"/>
        <v/>
      </c>
      <c r="K9" s="16" t="str">
        <f ca="1"/>
        <v xml:space="preserve"> </v>
      </c>
    </row>
    <row r="10" spans="1:11" ht="28.5">
      <c r="A10" s="155" t="str">
        <v>Suffield</v>
      </c>
      <c r="B10" s="76" t="str">
        <v>CT</v>
      </c>
      <c r="C10" s="151" cm="1">
        <f t="array" aca="1" ref="C10:K10" ca="1">IF(INDIRECT("'" &amp; $A10 &amp; "'!B5:J5")="", "", INDIRECT("'" &amp; $A10 &amp; "'!B5:J5"))</f>
        <v>86425</v>
      </c>
      <c r="D10" s="151">
        <f ca="1"/>
        <v>139100</v>
      </c>
      <c r="E10" s="151">
        <f ca="1"/>
        <v>-52675</v>
      </c>
      <c r="F10" s="152">
        <f ca="1"/>
        <v>-0.37868439971243711</v>
      </c>
      <c r="G10" s="153">
        <f ca="1"/>
        <v>191955.4</v>
      </c>
      <c r="H10" s="153">
        <f ca="1"/>
        <v>-105530.4</v>
      </c>
      <c r="I10" s="156">
        <f ca="1"/>
        <v>-0.54976520587594824</v>
      </c>
      <c r="J10" s="16" t="str">
        <f ca="1"/>
        <v>1.Site tripped offline on 01/16 at 19:15 and autoreclosed at 19:30
2. CB 1.8 on DAS, (CB 10 onsite) was offline from 01/23 to 02/01.</v>
      </c>
      <c r="K10" s="16" t="str">
        <f ca="1"/>
        <v>1.SR080271	
2.SR080413</v>
      </c>
    </row>
    <row r="11" spans="1:11" ht="15.75">
      <c r="A11" s="157" t="str">
        <v>Ashby-Duffy</v>
      </c>
      <c r="B11" s="158" t="str">
        <v>MA</v>
      </c>
      <c r="C11" s="151" cm="1">
        <f t="array" aca="1" ref="C11:K11" ca="1">IF(INDIRECT("'" &amp; $A11 &amp; "'!B5:J5")="", "", INDIRECT("'" &amp; $A11 &amp; "'!B5:J5"))</f>
        <v>83884</v>
      </c>
      <c r="D11" s="151">
        <f ca="1"/>
        <v>228874</v>
      </c>
      <c r="E11" s="151">
        <f ca="1"/>
        <v>-144990</v>
      </c>
      <c r="F11" s="152">
        <f ca="1"/>
        <v>-0.63349266408591631</v>
      </c>
      <c r="G11" s="153">
        <f ca="1"/>
        <v>158269.5</v>
      </c>
      <c r="H11" s="153">
        <f ca="1"/>
        <v>-74385.5</v>
      </c>
      <c r="I11" s="156">
        <f ca="1"/>
        <v>-0.46999263913767342</v>
      </c>
      <c r="J11" s="16" t="str">
        <f ca="1"/>
        <v/>
      </c>
      <c r="K11" s="16" t="str">
        <f ca="1"/>
        <v/>
      </c>
    </row>
    <row r="12" spans="1:11" ht="28.5">
      <c r="A12" s="155" t="str">
        <v>Ashland</v>
      </c>
      <c r="B12" s="76" t="str">
        <v>MA</v>
      </c>
      <c r="C12" s="151" cm="1">
        <f t="array" aca="1" ref="C12:K12" ca="1">IF(INDIRECT("'" &amp; $A12 &amp; "'!B5:J5")="", "", INDIRECT("'" &amp; $A12 &amp; "'!B5:J5"))</f>
        <v>3053</v>
      </c>
      <c r="D12" s="151">
        <f ca="1"/>
        <v>18082.05</v>
      </c>
      <c r="E12" s="151">
        <f ca="1"/>
        <v>-15029.05</v>
      </c>
      <c r="F12" s="152">
        <f ca="1"/>
        <v>-0.83115852461418915</v>
      </c>
      <c r="G12" s="153">
        <f ca="1"/>
        <v>134293.1</v>
      </c>
      <c r="H12" s="153">
        <f ca="1"/>
        <v>-131240.1</v>
      </c>
      <c r="I12" s="156">
        <f ca="1"/>
        <v>-0.97726614397910239</v>
      </c>
      <c r="J12" s="16" t="str">
        <f ca="1"/>
        <v xml:space="preserve">1.Site was tripped offline from 12/22/2023 to 01/10/2024 and again tripped offline on the same day and still offline
</v>
      </c>
      <c r="K12" s="16" t="str">
        <f ca="1"/>
        <v xml:space="preserve">1.SR080143
</v>
      </c>
    </row>
    <row r="13" spans="1:11" ht="15.75">
      <c r="A13" s="157" t="str">
        <v>Barrington</v>
      </c>
      <c r="B13" s="158" t="str">
        <v>MA</v>
      </c>
      <c r="C13" s="151" cm="1">
        <f t="array" aca="1" ref="C13:K13" ca="1">IF(INDIRECT("'" &amp; $A13 &amp; "'!B5:J5")="", "", INDIRECT("'" &amp; $A13 &amp; "'!B5:J5"))</f>
        <v>15412</v>
      </c>
      <c r="D13" s="151">
        <f ca="1"/>
        <v>23642.959999999999</v>
      </c>
      <c r="E13" s="151">
        <f ca="1"/>
        <v>-8230.9599999999991</v>
      </c>
      <c r="F13" s="152">
        <f ca="1"/>
        <v>-0.34813576641841798</v>
      </c>
      <c r="G13" s="153">
        <f ca="1"/>
        <v>35820</v>
      </c>
      <c r="H13" s="153">
        <f ca="1"/>
        <v>-20408</v>
      </c>
      <c r="I13" s="156">
        <f ca="1"/>
        <v>-0.56973757677275261</v>
      </c>
      <c r="J13" s="16" t="str">
        <f ca="1"/>
        <v/>
      </c>
      <c r="K13" s="16" t="str">
        <f ca="1"/>
        <v/>
      </c>
    </row>
    <row r="14" spans="1:11" ht="15.75">
      <c r="A14" s="155" t="str">
        <v>Bedford - 205 Burlington Rd</v>
      </c>
      <c r="B14" s="76" t="str">
        <v>MA</v>
      </c>
      <c r="C14" s="151" cm="1">
        <f t="array" aca="1" ref="C14:K14" ca="1">IF(INDIRECT("'" &amp; $A14 &amp; "'!B5:J5")="", "", INDIRECT("'" &amp; $A14 &amp; "'!B5:J5"))</f>
        <v>7938</v>
      </c>
      <c r="D14" s="151">
        <f ca="1"/>
        <v>0</v>
      </c>
      <c r="E14" s="151">
        <f ca="1"/>
        <v>7938</v>
      </c>
      <c r="F14" s="152">
        <f ca="1"/>
        <v>0</v>
      </c>
      <c r="G14" s="153">
        <f ca="1"/>
        <v>0</v>
      </c>
      <c r="H14" s="153">
        <f ca="1"/>
        <v>7938</v>
      </c>
      <c r="I14" s="156">
        <f ca="1"/>
        <v>0</v>
      </c>
      <c r="J14" s="16" t="str">
        <f ca="1"/>
        <v/>
      </c>
      <c r="K14" s="16" t="str">
        <f ca="1"/>
        <v/>
      </c>
    </row>
    <row r="15" spans="1:11" ht="15.75">
      <c r="A15" s="157" t="str">
        <v>Billerica - 6 Cook Street</v>
      </c>
      <c r="B15" s="158" t="str">
        <v>MA</v>
      </c>
      <c r="C15" s="151" cm="1">
        <f t="array" aca="1" ref="C15:K15" ca="1">IF(INDIRECT("'" &amp; $A15 &amp; "'!B5:J5")="", "", INDIRECT("'" &amp; $A15 &amp; "'!B5:J5"))</f>
        <v>7069</v>
      </c>
      <c r="D15" s="151">
        <f ca="1"/>
        <v>0</v>
      </c>
      <c r="E15" s="151">
        <f ca="1"/>
        <v>7069</v>
      </c>
      <c r="F15" s="152">
        <f ca="1"/>
        <v>0</v>
      </c>
      <c r="G15" s="153">
        <f ca="1"/>
        <v>0</v>
      </c>
      <c r="H15" s="153">
        <f ca="1"/>
        <v>7069</v>
      </c>
      <c r="I15" s="156">
        <f ca="1"/>
        <v>0</v>
      </c>
      <c r="J15" s="16" t="str">
        <f ca="1"/>
        <v/>
      </c>
      <c r="K15" s="16" t="str">
        <f ca="1"/>
        <v/>
      </c>
    </row>
    <row r="16" spans="1:11" ht="15.75">
      <c r="A16" s="155" t="str">
        <v>Billerica - 780 Boston Road</v>
      </c>
      <c r="B16" s="76" t="str">
        <v>MA</v>
      </c>
      <c r="C16" s="151" cm="1">
        <f t="array" aca="1" ref="C16:K16" ca="1">IF(INDIRECT("'" &amp; $A16 &amp; "'!B5:J5")="", "", INDIRECT("'" &amp; $A16 &amp; "'!B5:J5"))</f>
        <v>7922</v>
      </c>
      <c r="D16" s="151">
        <f ca="1"/>
        <v>0</v>
      </c>
      <c r="E16" s="151">
        <f ca="1"/>
        <v>7922</v>
      </c>
      <c r="F16" s="152">
        <f ca="1"/>
        <v>0</v>
      </c>
      <c r="G16" s="153">
        <f ca="1"/>
        <v>0</v>
      </c>
      <c r="H16" s="153">
        <f ca="1"/>
        <v>7922</v>
      </c>
      <c r="I16" s="156">
        <f ca="1"/>
        <v>0</v>
      </c>
      <c r="J16" s="16" t="str">
        <f ca="1"/>
        <v/>
      </c>
      <c r="K16" s="16" t="str">
        <f ca="1"/>
        <v/>
      </c>
    </row>
    <row r="17" spans="1:11" ht="15.75">
      <c r="A17" s="157" t="str">
        <v>Cheshire</v>
      </c>
      <c r="B17" s="158" t="str">
        <v>MA</v>
      </c>
      <c r="C17" s="151" cm="1">
        <f t="array" aca="1" ref="C17:K17" ca="1">IF(INDIRECT("'" &amp; $A17 &amp; "'!B5:J5")="", "", INDIRECT("'" &amp; $A17 &amp; "'!B5:J5"))</f>
        <v>15272</v>
      </c>
      <c r="D17" s="151">
        <f ca="1"/>
        <v>27330.66</v>
      </c>
      <c r="E17" s="151">
        <f ca="1"/>
        <v>-12058.66</v>
      </c>
      <c r="F17" s="152">
        <f ca="1"/>
        <v>-0.44121364065119539</v>
      </c>
      <c r="G17" s="153">
        <f ca="1"/>
        <v>24314.38</v>
      </c>
      <c r="H17" s="153">
        <f ca="1"/>
        <v>-9042.380000000001</v>
      </c>
      <c r="I17" s="156">
        <f ca="1"/>
        <v>-0.37189432755431151</v>
      </c>
      <c r="J17" s="16" t="str">
        <f ca="1"/>
        <v/>
      </c>
      <c r="K17" s="16" t="str">
        <f ca="1"/>
        <v/>
      </c>
    </row>
    <row r="18" spans="1:11" ht="15.75">
      <c r="A18" s="155" t="str">
        <v>Lilly Lane</v>
      </c>
      <c r="B18" s="76" t="str">
        <v>MA</v>
      </c>
      <c r="C18" s="151" cm="1">
        <f t="array" aca="1" ref="C18:K18" ca="1">IF(INDIRECT("'" &amp; $A18 &amp; "'!B5:J5")="", "", INDIRECT("'" &amp; $A18 &amp; "'!B5:J5"))</f>
        <v>37262</v>
      </c>
      <c r="D18" s="151">
        <f ca="1"/>
        <v>61721.41</v>
      </c>
      <c r="E18" s="151">
        <f ca="1"/>
        <v>-24459.410000000003</v>
      </c>
      <c r="F18" s="152">
        <f ca="1"/>
        <v>-0.39628728507660471</v>
      </c>
      <c r="G18" s="153">
        <f ca="1"/>
        <v>113135.5</v>
      </c>
      <c r="H18" s="153">
        <f ca="1"/>
        <v>-75873.5</v>
      </c>
      <c r="I18" s="156">
        <f ca="1"/>
        <v>-0.67064272487415533</v>
      </c>
      <c r="J18" s="16" t="str">
        <f ca="1"/>
        <v/>
      </c>
      <c r="K18" s="16" t="str">
        <f ca="1"/>
        <v/>
      </c>
    </row>
    <row r="19" spans="1:11" ht="15.75">
      <c r="A19" s="157" t="str">
        <v>Monument Valley</v>
      </c>
      <c r="B19" s="158" t="str">
        <v>MA</v>
      </c>
      <c r="C19" s="151" cm="1">
        <f t="array" aca="1" ref="C19:K19" ca="1">IF(INDIRECT("'" &amp; $A19 &amp; "'!B5:J5")="", "", INDIRECT("'" &amp; $A19 &amp; "'!B5:J5"))</f>
        <v>68801</v>
      </c>
      <c r="D19" s="151">
        <f ca="1"/>
        <v>28968.03</v>
      </c>
      <c r="E19" s="151">
        <f ca="1"/>
        <v>39832.97</v>
      </c>
      <c r="F19" s="152">
        <f ca="1"/>
        <v>1.3750665820216288</v>
      </c>
      <c r="G19" s="153">
        <f ca="1"/>
        <v>0</v>
      </c>
      <c r="H19" s="153">
        <f ca="1"/>
        <v>68801</v>
      </c>
      <c r="I19" s="156">
        <f ca="1"/>
        <v>0</v>
      </c>
      <c r="J19" s="16" t="str">
        <f ca="1"/>
        <v/>
      </c>
      <c r="K19" s="16" t="str">
        <f ca="1"/>
        <v/>
      </c>
    </row>
    <row r="20" spans="1:11" ht="15.75">
      <c r="A20" s="155" t="str">
        <v>Nationwide</v>
      </c>
      <c r="B20" s="76" t="str">
        <v>MA</v>
      </c>
      <c r="C20" s="151" cm="1">
        <f t="array" aca="1" ref="C20:K20" ca="1">IF(INDIRECT("'" &amp; $A20 &amp; "'!B5:J5")="", "", INDIRECT("'" &amp; $A20 &amp; "'!B5:J5"))</f>
        <v>98960</v>
      </c>
      <c r="D20" s="151">
        <f ca="1"/>
        <v>221313.9</v>
      </c>
      <c r="E20" s="151">
        <f ca="1"/>
        <v>-122353.9</v>
      </c>
      <c r="F20" s="152">
        <f ca="1"/>
        <v>-0.55285230615880876</v>
      </c>
      <c r="G20" s="153">
        <f ca="1"/>
        <v>298977.59999999998</v>
      </c>
      <c r="H20" s="153">
        <f ca="1"/>
        <v>-200017.59999999998</v>
      </c>
      <c r="I20" s="156">
        <f ca="1"/>
        <v>-0.66900530340734554</v>
      </c>
      <c r="J20" s="16" t="str">
        <f ca="1"/>
        <v>1.Inverters 20,24,25 and 26 came back online on 01/25</v>
      </c>
      <c r="K20" s="16" t="str">
        <f ca="1"/>
        <v>1.SR077715</v>
      </c>
    </row>
    <row r="21" spans="1:11" ht="15.75">
      <c r="A21" s="157" t="str">
        <v>Pulpit Hill</v>
      </c>
      <c r="B21" s="158" t="str">
        <v>MA</v>
      </c>
      <c r="C21" s="151" cm="1">
        <f t="array" aca="1" ref="C21:K21" ca="1">IF(INDIRECT("'" &amp; $A21 &amp; "'!B5:J5")="", "", INDIRECT("'" &amp; $A21 &amp; "'!B5:J5"))</f>
        <v>147440</v>
      </c>
      <c r="D21" s="151">
        <f ca="1"/>
        <v>286661.3</v>
      </c>
      <c r="E21" s="151">
        <f ca="1"/>
        <v>-139221.29999999999</v>
      </c>
      <c r="F21" s="152">
        <f ca="1"/>
        <v>-0.48566478977106431</v>
      </c>
      <c r="G21" s="153">
        <f ca="1"/>
        <v>356965.5</v>
      </c>
      <c r="H21" s="153">
        <f ca="1"/>
        <v>-209525.5</v>
      </c>
      <c r="I21" s="156">
        <f ca="1"/>
        <v>-0.58696288576907296</v>
      </c>
      <c r="J21" s="16" t="str">
        <f ca="1"/>
        <v/>
      </c>
      <c r="K21" s="16" t="str">
        <f ca="1"/>
        <v/>
      </c>
    </row>
    <row r="22" spans="1:11" ht="28.5">
      <c r="A22" s="155" t="str">
        <v>Sandwich</v>
      </c>
      <c r="B22" s="76" t="str">
        <v>MA</v>
      </c>
      <c r="C22" s="151" cm="1">
        <f t="array" aca="1" ref="C22:K22" ca="1">IF(INDIRECT("'" &amp; $A22 &amp; "'!B5:J5")="", "", INDIRECT("'" &amp; $A22 &amp; "'!B5:J5"))</f>
        <v>69116</v>
      </c>
      <c r="D22" s="151">
        <f ca="1"/>
        <v>0</v>
      </c>
      <c r="E22" s="151">
        <f ca="1"/>
        <v>69116</v>
      </c>
      <c r="F22" s="152">
        <f ca="1"/>
        <v>0</v>
      </c>
      <c r="G22" s="153">
        <f ca="1"/>
        <v>0</v>
      </c>
      <c r="H22" s="153">
        <f ca="1"/>
        <v>69116</v>
      </c>
      <c r="I22" s="156">
        <f ca="1"/>
        <v>0</v>
      </c>
      <c r="J22" s="16" t="str">
        <f ca="1"/>
        <v>1.Site was offline at around 6:30am and later back online at 19:15 due to planned outage
2.Site was offline from 01/12 till 01/26 due to planned outage.</v>
      </c>
      <c r="K22" s="16" t="str">
        <f ca="1"/>
        <v xml:space="preserve">1.SR080613
2.SR080117	</v>
      </c>
    </row>
    <row r="23" spans="1:11" ht="15.75">
      <c r="A23" s="157" t="str">
        <v>Sturbridge Barn</v>
      </c>
      <c r="B23" s="158" t="str">
        <v>MA</v>
      </c>
      <c r="C23" s="151" cm="1">
        <f t="array" aca="1" ref="C23:K23" ca="1">IF(INDIRECT("'" &amp; $A23 &amp; "'!B5:J5")="", "", INDIRECT("'" &amp; $A23 &amp; "'!B5:J5"))</f>
        <v>40594</v>
      </c>
      <c r="D23" s="151">
        <f ca="1"/>
        <v>79345.86</v>
      </c>
      <c r="E23" s="151">
        <f ca="1"/>
        <v>-38751.86</v>
      </c>
      <c r="F23" s="152">
        <f ca="1"/>
        <v>-0.48839170688930716</v>
      </c>
      <c r="G23" s="153">
        <f ca="1"/>
        <v>110612.6</v>
      </c>
      <c r="H23" s="153">
        <f ca="1"/>
        <v>-70018.600000000006</v>
      </c>
      <c r="I23" s="156">
        <f ca="1"/>
        <v>-0.63300745123069169</v>
      </c>
      <c r="J23" s="16" t="str">
        <f ca="1"/>
        <v>1.Site has a brief outage and later auto reclosed.</v>
      </c>
      <c r="K23" s="16" t="str">
        <f ca="1"/>
        <v>1.SR080569</v>
      </c>
    </row>
    <row r="24" spans="1:11" ht="15.75">
      <c r="A24" s="155" t="str">
        <v>Sturbridge Garage</v>
      </c>
      <c r="B24" s="76" t="str">
        <v>MA</v>
      </c>
      <c r="C24" s="151" cm="1">
        <f t="array" aca="1" ref="C24:K24" ca="1">IF(INDIRECT("'" &amp; $A24 &amp; "'!B5:J5")="", "", INDIRECT("'" &amp; $A24 &amp; "'!B5:J5"))</f>
        <v>20528.25</v>
      </c>
      <c r="D24" s="151">
        <f ca="1"/>
        <v>36997.33</v>
      </c>
      <c r="E24" s="151">
        <f ca="1"/>
        <v>-16469.080000000002</v>
      </c>
      <c r="F24" s="152">
        <f ca="1"/>
        <v>-0.44514239270779815</v>
      </c>
      <c r="G24" s="153">
        <f ca="1"/>
        <v>55886.080000000002</v>
      </c>
      <c r="H24" s="153">
        <f ca="1"/>
        <v>-35357.83</v>
      </c>
      <c r="I24" s="156">
        <f ca="1"/>
        <v>-0.63267686694074809</v>
      </c>
      <c r="J24" s="16" t="str">
        <f ca="1"/>
        <v>1.Inverter 11 tripped offline on an arc fault on 01/31 at EOD and back online next day.</v>
      </c>
      <c r="K24" s="16" t="str">
        <f ca="1"/>
        <v>1.SR080631</v>
      </c>
    </row>
    <row r="25" spans="1:11" ht="57">
      <c r="A25" s="157" t="str">
        <v>Halsey Valley</v>
      </c>
      <c r="B25" s="158" t="str">
        <v>NY</v>
      </c>
      <c r="C25" s="151" cm="1">
        <f t="array" aca="1" ref="C25:K25" ca="1">IF(INDIRECT("'" &amp; $A25 &amp; "'!B5:J5")="", "", INDIRECT("'" &amp; $A25 &amp; "'!B5:J5"))</f>
        <v>147564</v>
      </c>
      <c r="D25" s="151">
        <f ca="1"/>
        <v>292774.59999999998</v>
      </c>
      <c r="E25" s="151">
        <f ca="1"/>
        <v>-145210.59999999998</v>
      </c>
      <c r="F25" s="152">
        <f ca="1"/>
        <v>-0.49598086719271406</v>
      </c>
      <c r="G25" s="153">
        <f ca="1"/>
        <v>384000</v>
      </c>
      <c r="H25" s="153">
        <f ca="1"/>
        <v>-236436</v>
      </c>
      <c r="I25" s="156">
        <f ca="1"/>
        <v>-0.61571874999999998</v>
      </c>
      <c r="J25" s="16" t="str">
        <f ca="1"/>
        <v>1. Site tripped offline at 10:05 am on 01/05 and back online at 7:00 Am  on 01/06.
2. Inverter 29 started late for the production on 01/15, 01/17 and 01/20
3. Inverter was 25 tripped offline on 01/22  and back online 02/06.
4. Site has a brief outage and later self resolved on 01/29</v>
      </c>
      <c r="K25" s="16" t="str">
        <f ca="1"/>
        <v>1.SR079976
2.SR080227
3.SR080394
4.SR080570</v>
      </c>
    </row>
    <row r="26" spans="1:11" ht="15.75">
      <c r="A26" s="155" t="str">
        <v>Hunt Creek</v>
      </c>
      <c r="B26" s="76" t="str">
        <v>NY</v>
      </c>
      <c r="C26" s="151" cm="1">
        <f t="array" aca="1" ref="C26:K26" ca="1">IF(INDIRECT("'" &amp; $A26 &amp; "'!B5:J5")="", "", INDIRECT("'" &amp; $A26 &amp; "'!B5:J5"))</f>
        <v>87616.95</v>
      </c>
      <c r="D26" s="151">
        <f ca="1"/>
        <v>201235.3</v>
      </c>
      <c r="E26" s="151">
        <f ca="1"/>
        <v>-113618.34999999999</v>
      </c>
      <c r="F26" s="152">
        <f ca="1"/>
        <v>-0.56460447048803064</v>
      </c>
      <c r="G26" s="153">
        <f ca="1"/>
        <v>228700</v>
      </c>
      <c r="H26" s="153">
        <f ca="1"/>
        <v>-141083.04999999999</v>
      </c>
      <c r="I26" s="156">
        <f ca="1"/>
        <v>-0.61689134236991683</v>
      </c>
      <c r="J26" s="16" t="str">
        <f ca="1"/>
        <v/>
      </c>
      <c r="K26" s="16" t="str">
        <f ca="1"/>
        <v/>
      </c>
    </row>
    <row r="27" spans="1:11" ht="15.75">
      <c r="A27" s="157" t="str">
        <v>Smith Creek</v>
      </c>
      <c r="B27" s="158" t="str">
        <v>NY</v>
      </c>
      <c r="C27" s="151" cm="1">
        <f t="array" aca="1" ref="C27:K27" ca="1">IF(INDIRECT("'" &amp; $A27 &amp; "'!B5:J5")="", "", INDIRECT("'" &amp; $A27 &amp; "'!B5:J5"))</f>
        <v>140087</v>
      </c>
      <c r="D27" s="151">
        <f ca="1"/>
        <v>237488.5</v>
      </c>
      <c r="E27" s="151">
        <f ca="1"/>
        <v>-97401.5</v>
      </c>
      <c r="F27" s="152">
        <f ca="1"/>
        <v>-0.41013143794331092</v>
      </c>
      <c r="G27" s="153">
        <f ca="1"/>
        <v>400605.5</v>
      </c>
      <c r="H27" s="153">
        <f ca="1"/>
        <v>-260518.5</v>
      </c>
      <c r="I27" s="156">
        <f ca="1"/>
        <v>-0.65031184045151647</v>
      </c>
      <c r="J27" s="16" t="str">
        <f ca="1"/>
        <v/>
      </c>
      <c r="K27" s="16" t="str">
        <f ca="1"/>
        <v xml:space="preserve"> </v>
      </c>
    </row>
    <row r="28" spans="1:11" ht="13.5">
      <c r="A28" s="162" t="s">
        <v>9</v>
      </c>
      <c r="B28" s="163"/>
      <c r="C28" s="47">
        <f ca="1">SUM(C3:C27)</f>
        <v>1646953.443617021</v>
      </c>
      <c r="D28" s="47">
        <f ca="1">SUM(D3:D27)</f>
        <v>2934622.4099999997</v>
      </c>
      <c r="E28" s="47">
        <f ca="1">C28-D28</f>
        <v>-1287668.9663829787</v>
      </c>
      <c r="F28" s="38">
        <f ca="1">IFERROR(E28/D28, 0)</f>
        <v>-0.43878522906222162</v>
      </c>
      <c r="G28" s="47">
        <f ca="1">SUM(G3:G27)</f>
        <v>3459095.5300000003</v>
      </c>
      <c r="H28" s="48">
        <f ca="1">C28-G28</f>
        <v>-1812142.0863829793</v>
      </c>
      <c r="I28" s="39">
        <f ca="1">IFERROR(H28/G28, 0)</f>
        <v>-0.52387743289153366</v>
      </c>
      <c r="J28" s="8"/>
    </row>
    <row r="29" spans="1:11">
      <c r="J29" s="8"/>
    </row>
    <row r="30" spans="1:1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>
      <c r="A33" s="165"/>
      <c r="J33" s="8"/>
    </row>
    <row r="34" spans="1:10">
      <c r="J34" s="8"/>
    </row>
  </sheetData>
  <autoFilter ref="A2:I2" xr:uid="{B0362DDA-D4B4-4F79-9A5D-D43AD85A6C79}"/>
  <mergeCells count="8">
    <mergeCell ref="A30:A31"/>
    <mergeCell ref="A32:A33"/>
    <mergeCell ref="A28:B28"/>
    <mergeCell ref="K1:K2"/>
    <mergeCell ref="C1:F1"/>
    <mergeCell ref="G1:I1"/>
    <mergeCell ref="A1:B1"/>
    <mergeCell ref="J1:J2"/>
  </mergeCells>
  <conditionalFormatting sqref="F3:F28 I3:I28">
    <cfRule type="cellIs" dxfId="428" priority="4" operator="lessThanOrEqual">
      <formula>-0.1</formula>
    </cfRule>
    <cfRule type="cellIs" dxfId="427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"/>
  <sheetViews>
    <sheetView workbookViewId="0">
      <pane ySplit="2" topLeftCell="A3" activePane="bottomLeft" state="frozen"/>
      <selection pane="bottomLeft" activeCell="J18" sqref="J18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7109375" customWidth="1"/>
    <col min="11" max="11" width="21.42578125" customWidth="1"/>
  </cols>
  <sheetData>
    <row r="1" spans="1:11" ht="19.5" customHeight="1">
      <c r="A1" s="166" t="str" cm="1">
        <f t="array" ref="A1">portfolio</f>
        <v>Lodestar</v>
      </c>
      <c r="B1" s="167"/>
      <c r="C1" s="168" t="s">
        <v>24</v>
      </c>
      <c r="D1" s="169"/>
      <c r="E1" s="169"/>
      <c r="F1" s="170"/>
      <c r="G1" s="160" t="s">
        <v>25</v>
      </c>
      <c r="H1" s="160"/>
      <c r="I1" s="161"/>
      <c r="J1" s="171" t="s">
        <v>22</v>
      </c>
      <c r="K1" s="171" t="s">
        <v>23</v>
      </c>
    </row>
    <row r="2" spans="1:11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  <c r="J2" s="172"/>
      <c r="K2" s="172"/>
    </row>
    <row r="3" spans="1:11" ht="15.75">
      <c r="A3" s="44" t="str" cm="1">
        <f t="array" ref="A3:A27">Sites[Site]</f>
        <v>Barkhamsted</v>
      </c>
      <c r="B3" s="30" t="str" cm="1">
        <f t="array" ref="B3:B27">Sites[State]</f>
        <v>CT</v>
      </c>
      <c r="C3" s="32" t="str" cm="1">
        <f t="array" aca="1" ref="C3:K3" ca="1">IF(INDIRECT("'" &amp; $A3 &amp; "'!B6:J6")="", "", INDIRECT("'" &amp; $A3 &amp; "'!B6:J6"))</f>
        <v/>
      </c>
      <c r="D3" s="32" t="str">
        <f ca="1"/>
        <v/>
      </c>
      <c r="E3" s="32">
        <f ca="1"/>
        <v>0</v>
      </c>
      <c r="F3" s="33">
        <f ca="1"/>
        <v>0</v>
      </c>
      <c r="G3" s="34" t="str">
        <f ca="1"/>
        <v/>
      </c>
      <c r="H3" s="34">
        <f ca="1"/>
        <v>0</v>
      </c>
      <c r="I3" s="35">
        <f ca="1"/>
        <v>0</v>
      </c>
      <c r="J3" s="16" t="str">
        <f ca="1"/>
        <v/>
      </c>
      <c r="K3" s="16" t="str">
        <f ca="1"/>
        <v/>
      </c>
    </row>
    <row r="4" spans="1:11" ht="15.75">
      <c r="A4" s="45" t="str">
        <v>Bunce</v>
      </c>
      <c r="B4" s="15" t="str">
        <v>CT</v>
      </c>
      <c r="C4" s="32" t="str" cm="1">
        <f t="array" aca="1" ref="C4:K4" ca="1">IF(INDIRECT("'" &amp; $A4 &amp; "'!B6:J6")="", "", INDIRECT("'" &amp; $A4 &amp; "'!B6:J6"))</f>
        <v/>
      </c>
      <c r="D4" s="32" t="str">
        <f ca="1"/>
        <v/>
      </c>
      <c r="E4" s="32">
        <f ca="1"/>
        <v>0</v>
      </c>
      <c r="F4" s="36">
        <f ca="1"/>
        <v>0</v>
      </c>
      <c r="G4" s="34" t="str">
        <f ca="1"/>
        <v/>
      </c>
      <c r="H4" s="34">
        <f ca="1"/>
        <v>0</v>
      </c>
      <c r="I4" s="37">
        <f ca="1"/>
        <v>0</v>
      </c>
      <c r="J4" s="16" t="str">
        <f ca="1"/>
        <v/>
      </c>
      <c r="K4" s="16" t="str">
        <f ca="1"/>
        <v/>
      </c>
    </row>
    <row r="5" spans="1:11" ht="15.75">
      <c r="A5" s="46" t="str">
        <v>Norcap North</v>
      </c>
      <c r="B5" s="31" t="str">
        <v>CT</v>
      </c>
      <c r="C5" s="32" t="str" cm="1">
        <f t="array" aca="1" ref="C5:K5" ca="1">IF(INDIRECT("'" &amp; $A5 &amp; "'!B6:J6")="", "", INDIRECT("'" &amp; $A5 &amp; "'!B6:J6"))</f>
        <v/>
      </c>
      <c r="D5" s="32" t="str">
        <f ca="1"/>
        <v/>
      </c>
      <c r="E5" s="32">
        <f ca="1"/>
        <v>0</v>
      </c>
      <c r="F5" s="36">
        <f ca="1"/>
        <v>0</v>
      </c>
      <c r="G5" s="34" t="str">
        <f ca="1"/>
        <v/>
      </c>
      <c r="H5" s="34">
        <f ca="1"/>
        <v>0</v>
      </c>
      <c r="I5" s="37">
        <f ca="1"/>
        <v>0</v>
      </c>
      <c r="J5" s="16" t="str">
        <f ca="1"/>
        <v/>
      </c>
      <c r="K5" s="16" t="str">
        <f ca="1"/>
        <v/>
      </c>
    </row>
    <row r="6" spans="1:11" ht="15.75">
      <c r="A6" s="45" t="str">
        <v>Norcap South</v>
      </c>
      <c r="B6" s="15" t="str">
        <v>CT</v>
      </c>
      <c r="C6" s="32" t="str" cm="1">
        <f t="array" aca="1" ref="C6:K6" ca="1">IF(INDIRECT("'" &amp; $A6 &amp; "'!B6:J6")="", "", INDIRECT("'" &amp; $A6 &amp; "'!B6:J6"))</f>
        <v/>
      </c>
      <c r="D6" s="32" t="str">
        <f ca="1"/>
        <v/>
      </c>
      <c r="E6" s="32">
        <f ca="1"/>
        <v>0</v>
      </c>
      <c r="F6" s="36">
        <f ca="1"/>
        <v>0</v>
      </c>
      <c r="G6" s="34" t="str">
        <f ca="1"/>
        <v/>
      </c>
      <c r="H6" s="34">
        <f ca="1"/>
        <v>0</v>
      </c>
      <c r="I6" s="37">
        <f ca="1"/>
        <v>0</v>
      </c>
      <c r="J6" s="16" t="str">
        <f ca="1"/>
        <v/>
      </c>
      <c r="K6" s="16" t="str">
        <f ca="1"/>
        <v/>
      </c>
    </row>
    <row r="7" spans="1:11" ht="15.75">
      <c r="A7" s="46" t="str">
        <v>Platt Hill</v>
      </c>
      <c r="B7" s="31" t="str">
        <v>CT</v>
      </c>
      <c r="C7" s="32" t="str" cm="1">
        <f t="array" aca="1" ref="C7:K7" ca="1">IF(INDIRECT("'" &amp; $A7 &amp; "'!B6:J6")="", "", INDIRECT("'" &amp; $A7 &amp; "'!B6:J6"))</f>
        <v/>
      </c>
      <c r="D7" s="32" t="str">
        <f ca="1"/>
        <v/>
      </c>
      <c r="E7" s="32">
        <f ca="1"/>
        <v>0</v>
      </c>
      <c r="F7" s="36">
        <f ca="1"/>
        <v>0</v>
      </c>
      <c r="G7" s="34" t="str">
        <f ca="1"/>
        <v/>
      </c>
      <c r="H7" s="34">
        <f ca="1"/>
        <v>0</v>
      </c>
      <c r="I7" s="37">
        <f ca="1"/>
        <v>0</v>
      </c>
      <c r="J7" s="16" t="str">
        <f ca="1"/>
        <v/>
      </c>
      <c r="K7" s="16" t="str">
        <f ca="1"/>
        <v/>
      </c>
    </row>
    <row r="8" spans="1:11" ht="15.75">
      <c r="A8" s="45" t="str">
        <v>Powder Hill</v>
      </c>
      <c r="B8" s="15" t="str">
        <v>CT</v>
      </c>
      <c r="C8" s="32" t="str" cm="1">
        <f t="array" aca="1" ref="C8:K8" ca="1">IF(INDIRECT("'" &amp; $A8 &amp; "'!B6:J6")="", "", INDIRECT("'" &amp; $A8 &amp; "'!B6:J6"))</f>
        <v/>
      </c>
      <c r="D8" s="32" t="str">
        <f ca="1"/>
        <v/>
      </c>
      <c r="E8" s="32">
        <f ca="1"/>
        <v>0</v>
      </c>
      <c r="F8" s="36">
        <f ca="1"/>
        <v>0</v>
      </c>
      <c r="G8" s="34" t="str">
        <f ca="1"/>
        <v/>
      </c>
      <c r="H8" s="34">
        <f ca="1"/>
        <v>0</v>
      </c>
      <c r="I8" s="37">
        <f ca="1"/>
        <v>0</v>
      </c>
      <c r="J8" s="16" t="str">
        <f ca="1"/>
        <v/>
      </c>
      <c r="K8" s="16" t="str">
        <f ca="1"/>
        <v/>
      </c>
    </row>
    <row r="9" spans="1:11" ht="15.75">
      <c r="A9" s="46" t="str">
        <v>Sand Road</v>
      </c>
      <c r="B9" s="31" t="str">
        <v>CT</v>
      </c>
      <c r="C9" s="32" t="str" cm="1">
        <f t="array" aca="1" ref="C9:K9" ca="1">IF(INDIRECT("'" &amp; $A9 &amp; "'!B6:J6")="", "", INDIRECT("'" &amp; $A9 &amp; "'!B6:J6"))</f>
        <v/>
      </c>
      <c r="D9" s="32" t="str">
        <f ca="1"/>
        <v/>
      </c>
      <c r="E9" s="32">
        <f ca="1"/>
        <v>0</v>
      </c>
      <c r="F9" s="36">
        <f ca="1"/>
        <v>0</v>
      </c>
      <c r="G9" s="34" t="str">
        <f ca="1"/>
        <v/>
      </c>
      <c r="H9" s="34">
        <f ca="1"/>
        <v>0</v>
      </c>
      <c r="I9" s="37">
        <f ca="1"/>
        <v>0</v>
      </c>
      <c r="J9" s="16" t="str">
        <f ca="1"/>
        <v/>
      </c>
      <c r="K9" s="16" t="str">
        <f ca="1"/>
        <v xml:space="preserve"> </v>
      </c>
    </row>
    <row r="10" spans="1:11" ht="15.75">
      <c r="A10" s="45" t="str">
        <v>Suffield</v>
      </c>
      <c r="B10" s="15" t="str">
        <v>CT</v>
      </c>
      <c r="C10" s="32" t="str" cm="1">
        <f t="array" aca="1" ref="C10:K10" ca="1">IF(INDIRECT("'" &amp; $A10 &amp; "'!B6:J6")="", "", INDIRECT("'" &amp; $A10 &amp; "'!B6:J6"))</f>
        <v/>
      </c>
      <c r="D10" s="32" t="str">
        <f ca="1"/>
        <v/>
      </c>
      <c r="E10" s="32">
        <f ca="1"/>
        <v>0</v>
      </c>
      <c r="F10" s="36">
        <f ca="1"/>
        <v>0</v>
      </c>
      <c r="G10" s="34" t="str">
        <f ca="1"/>
        <v/>
      </c>
      <c r="H10" s="34">
        <f ca="1"/>
        <v>0</v>
      </c>
      <c r="I10" s="37">
        <f ca="1"/>
        <v>0</v>
      </c>
      <c r="J10" s="16" t="str">
        <f ca="1"/>
        <v/>
      </c>
      <c r="K10" s="16" t="str">
        <f ca="1"/>
        <v/>
      </c>
    </row>
    <row r="11" spans="1:11" ht="15.75">
      <c r="A11" s="46" t="str">
        <v>Ashby-Duffy</v>
      </c>
      <c r="B11" s="31" t="str">
        <v>MA</v>
      </c>
      <c r="C11" s="32" t="str" cm="1">
        <f t="array" aca="1" ref="C11:K11" ca="1">IF(INDIRECT("'" &amp; $A11 &amp; "'!B6:J6")="", "", INDIRECT("'" &amp; $A11 &amp; "'!B6:J6"))</f>
        <v/>
      </c>
      <c r="D11" s="32" t="str">
        <f ca="1"/>
        <v/>
      </c>
      <c r="E11" s="32">
        <f ca="1"/>
        <v>0</v>
      </c>
      <c r="F11" s="36">
        <f ca="1"/>
        <v>0</v>
      </c>
      <c r="G11" s="34" t="str">
        <f ca="1"/>
        <v/>
      </c>
      <c r="H11" s="34">
        <f ca="1"/>
        <v>0</v>
      </c>
      <c r="I11" s="37">
        <f ca="1"/>
        <v>0</v>
      </c>
      <c r="J11" s="16" t="str">
        <f ca="1"/>
        <v/>
      </c>
      <c r="K11" s="16" t="str">
        <f ca="1"/>
        <v/>
      </c>
    </row>
    <row r="12" spans="1:11" ht="15.75">
      <c r="A12" s="45" t="str">
        <v>Ashland</v>
      </c>
      <c r="B12" s="15" t="str">
        <v>MA</v>
      </c>
      <c r="C12" s="32" t="str" cm="1">
        <f t="array" aca="1" ref="C12:K12" ca="1">IF(INDIRECT("'" &amp; $A12 &amp; "'!B6:J6")="", "", INDIRECT("'" &amp; $A12 &amp; "'!B6:J6"))</f>
        <v/>
      </c>
      <c r="D12" s="32" t="str">
        <f ca="1"/>
        <v/>
      </c>
      <c r="E12" s="32">
        <f ca="1"/>
        <v>0</v>
      </c>
      <c r="F12" s="36">
        <f ca="1"/>
        <v>0</v>
      </c>
      <c r="G12" s="34" t="str">
        <f ca="1"/>
        <v/>
      </c>
      <c r="H12" s="34">
        <f ca="1"/>
        <v>0</v>
      </c>
      <c r="I12" s="37">
        <f ca="1"/>
        <v>0</v>
      </c>
      <c r="J12" s="16" t="str">
        <f ca="1"/>
        <v/>
      </c>
      <c r="K12" s="16" t="str">
        <f ca="1"/>
        <v/>
      </c>
    </row>
    <row r="13" spans="1:11" ht="15.75">
      <c r="A13" s="46" t="str">
        <v>Barrington</v>
      </c>
      <c r="B13" s="31" t="str">
        <v>MA</v>
      </c>
      <c r="C13" s="32" t="str" cm="1">
        <f t="array" aca="1" ref="C13:K13" ca="1">IF(INDIRECT("'" &amp; $A13 &amp; "'!B6:J6")="", "", INDIRECT("'" &amp; $A13 &amp; "'!B6:J6"))</f>
        <v/>
      </c>
      <c r="D13" s="32" t="str">
        <f ca="1"/>
        <v/>
      </c>
      <c r="E13" s="32">
        <f ca="1"/>
        <v>0</v>
      </c>
      <c r="F13" s="36">
        <f ca="1"/>
        <v>0</v>
      </c>
      <c r="G13" s="34" t="str">
        <f ca="1"/>
        <v/>
      </c>
      <c r="H13" s="34">
        <f ca="1"/>
        <v>0</v>
      </c>
      <c r="I13" s="37">
        <f ca="1"/>
        <v>0</v>
      </c>
      <c r="J13" s="16" t="str">
        <f ca="1"/>
        <v/>
      </c>
      <c r="K13" s="16" t="str">
        <f ca="1"/>
        <v/>
      </c>
    </row>
    <row r="14" spans="1:11" ht="15.75">
      <c r="A14" s="45" t="str">
        <v>Bedford - 205 Burlington Rd</v>
      </c>
      <c r="B14" s="15" t="str">
        <v>MA</v>
      </c>
      <c r="C14" s="32" t="str" cm="1">
        <f t="array" aca="1" ref="C14:K14" ca="1">IF(INDIRECT("'" &amp; $A14 &amp; "'!B6:J6")="", "", INDIRECT("'" &amp; $A14 &amp; "'!B6:J6"))</f>
        <v/>
      </c>
      <c r="D14" s="32" t="str">
        <f ca="1"/>
        <v/>
      </c>
      <c r="E14" s="32">
        <f ca="1"/>
        <v>0</v>
      </c>
      <c r="F14" s="36">
        <f ca="1"/>
        <v>0</v>
      </c>
      <c r="G14" s="34" t="str">
        <f ca="1"/>
        <v/>
      </c>
      <c r="H14" s="34">
        <f ca="1"/>
        <v>0</v>
      </c>
      <c r="I14" s="37">
        <f ca="1"/>
        <v>0</v>
      </c>
      <c r="J14" s="16" t="str">
        <f ca="1"/>
        <v/>
      </c>
      <c r="K14" s="16" t="str">
        <f ca="1"/>
        <v/>
      </c>
    </row>
    <row r="15" spans="1:11" ht="15.75">
      <c r="A15" s="46" t="str">
        <v>Billerica - 6 Cook Street</v>
      </c>
      <c r="B15" s="31" t="str">
        <v>MA</v>
      </c>
      <c r="C15" s="32" t="str" cm="1">
        <f t="array" aca="1" ref="C15:K15" ca="1">IF(INDIRECT("'" &amp; $A15 &amp; "'!B6:J6")="", "", INDIRECT("'" &amp; $A15 &amp; "'!B6:J6"))</f>
        <v/>
      </c>
      <c r="D15" s="32" t="str">
        <f ca="1"/>
        <v/>
      </c>
      <c r="E15" s="32">
        <f ca="1"/>
        <v>0</v>
      </c>
      <c r="F15" s="36">
        <f ca="1"/>
        <v>0</v>
      </c>
      <c r="G15" s="34" t="str">
        <f ca="1"/>
        <v/>
      </c>
      <c r="H15" s="34">
        <f ca="1"/>
        <v>0</v>
      </c>
      <c r="I15" s="37">
        <f ca="1"/>
        <v>0</v>
      </c>
      <c r="J15" s="16" t="str">
        <f ca="1"/>
        <v/>
      </c>
      <c r="K15" s="16" t="str">
        <f ca="1"/>
        <v/>
      </c>
    </row>
    <row r="16" spans="1:11" ht="15.75">
      <c r="A16" s="45" t="str">
        <v>Billerica - 780 Boston Road</v>
      </c>
      <c r="B16" s="15" t="str">
        <v>MA</v>
      </c>
      <c r="C16" s="32" t="str" cm="1">
        <f t="array" aca="1" ref="C16:K16" ca="1">IF(INDIRECT("'" &amp; $A16 &amp; "'!B6:J6")="", "", INDIRECT("'" &amp; $A16 &amp; "'!B6:J6"))</f>
        <v/>
      </c>
      <c r="D16" s="32" t="str">
        <f ca="1"/>
        <v/>
      </c>
      <c r="E16" s="32">
        <f ca="1"/>
        <v>0</v>
      </c>
      <c r="F16" s="36">
        <f ca="1"/>
        <v>0</v>
      </c>
      <c r="G16" s="34" t="str">
        <f ca="1"/>
        <v/>
      </c>
      <c r="H16" s="34">
        <f ca="1"/>
        <v>0</v>
      </c>
      <c r="I16" s="37">
        <f ca="1"/>
        <v>0</v>
      </c>
      <c r="J16" s="16" t="str">
        <f ca="1"/>
        <v/>
      </c>
      <c r="K16" s="16" t="str">
        <f ca="1"/>
        <v/>
      </c>
    </row>
    <row r="17" spans="1:11" ht="15.75">
      <c r="A17" s="46" t="str">
        <v>Cheshire</v>
      </c>
      <c r="B17" s="31" t="str">
        <v>MA</v>
      </c>
      <c r="C17" s="32" t="str" cm="1">
        <f t="array" aca="1" ref="C17:K17" ca="1">IF(INDIRECT("'" &amp; $A17 &amp; "'!B6:J6")="", "", INDIRECT("'" &amp; $A17 &amp; "'!B6:J6"))</f>
        <v/>
      </c>
      <c r="D17" s="32" t="str">
        <f ca="1"/>
        <v/>
      </c>
      <c r="E17" s="32">
        <f ca="1"/>
        <v>0</v>
      </c>
      <c r="F17" s="36">
        <f ca="1"/>
        <v>0</v>
      </c>
      <c r="G17" s="34" t="str">
        <f ca="1"/>
        <v/>
      </c>
      <c r="H17" s="34">
        <f ca="1"/>
        <v>0</v>
      </c>
      <c r="I17" s="37">
        <f ca="1"/>
        <v>0</v>
      </c>
      <c r="J17" s="16" t="str">
        <f ca="1"/>
        <v/>
      </c>
      <c r="K17" s="16" t="str">
        <f ca="1"/>
        <v/>
      </c>
    </row>
    <row r="18" spans="1:11" ht="15.75">
      <c r="A18" s="45" t="str">
        <v>Lilly Lane</v>
      </c>
      <c r="B18" s="15" t="str">
        <v>MA</v>
      </c>
      <c r="C18" s="32" t="str" cm="1">
        <f t="array" aca="1" ref="C18:K18" ca="1">IF(INDIRECT("'" &amp; $A18 &amp; "'!B6:J6")="", "", INDIRECT("'" &amp; $A18 &amp; "'!B6:J6"))</f>
        <v/>
      </c>
      <c r="D18" s="32" t="str">
        <f ca="1"/>
        <v/>
      </c>
      <c r="E18" s="32">
        <f ca="1"/>
        <v>0</v>
      </c>
      <c r="F18" s="36">
        <f ca="1"/>
        <v>0</v>
      </c>
      <c r="G18" s="34" t="str">
        <f ca="1"/>
        <v/>
      </c>
      <c r="H18" s="34">
        <f ca="1"/>
        <v>0</v>
      </c>
      <c r="I18" s="37">
        <f ca="1"/>
        <v>0</v>
      </c>
      <c r="J18" s="16" t="str">
        <f ca="1"/>
        <v/>
      </c>
      <c r="K18" s="16" t="str">
        <f ca="1"/>
        <v/>
      </c>
    </row>
    <row r="19" spans="1:11" ht="15.75">
      <c r="A19" s="46" t="str">
        <v>Monument Valley</v>
      </c>
      <c r="B19" s="31" t="str">
        <v>MA</v>
      </c>
      <c r="C19" s="32" t="str" cm="1">
        <f t="array" aca="1" ref="C19:K19" ca="1">IF(INDIRECT("'" &amp; $A19 &amp; "'!B6:J6")="", "", INDIRECT("'" &amp; $A19 &amp; "'!B6:J6"))</f>
        <v/>
      </c>
      <c r="D19" s="32" t="str">
        <f ca="1"/>
        <v/>
      </c>
      <c r="E19" s="32">
        <f ca="1"/>
        <v>0</v>
      </c>
      <c r="F19" s="36">
        <f ca="1"/>
        <v>0</v>
      </c>
      <c r="G19" s="34" t="str">
        <f ca="1"/>
        <v/>
      </c>
      <c r="H19" s="34">
        <f ca="1"/>
        <v>0</v>
      </c>
      <c r="I19" s="37">
        <f ca="1"/>
        <v>0</v>
      </c>
      <c r="J19" s="16" t="str">
        <f ca="1"/>
        <v/>
      </c>
      <c r="K19" s="16" t="str">
        <f ca="1"/>
        <v/>
      </c>
    </row>
    <row r="20" spans="1:11" ht="15.75">
      <c r="A20" s="45" t="str">
        <v>Nationwide</v>
      </c>
      <c r="B20" s="15" t="str">
        <v>MA</v>
      </c>
      <c r="C20" s="32" t="str" cm="1">
        <f t="array" aca="1" ref="C20:K20" ca="1">IF(INDIRECT("'" &amp; $A20 &amp; "'!B6:J6")="", "", INDIRECT("'" &amp; $A20 &amp; "'!B6:J6"))</f>
        <v/>
      </c>
      <c r="D20" s="32" t="str">
        <f ca="1"/>
        <v/>
      </c>
      <c r="E20" s="32">
        <f ca="1"/>
        <v>0</v>
      </c>
      <c r="F20" s="36">
        <f ca="1"/>
        <v>0</v>
      </c>
      <c r="G20" s="34" t="str">
        <f ca="1"/>
        <v/>
      </c>
      <c r="H20" s="34">
        <f ca="1"/>
        <v>0</v>
      </c>
      <c r="I20" s="37">
        <f ca="1"/>
        <v>0</v>
      </c>
      <c r="J20" s="16" t="str">
        <f ca="1"/>
        <v/>
      </c>
      <c r="K20" s="16" t="str">
        <f ca="1"/>
        <v/>
      </c>
    </row>
    <row r="21" spans="1:11" ht="15.75">
      <c r="A21" s="46" t="str">
        <v>Pulpit Hill</v>
      </c>
      <c r="B21" s="31" t="str">
        <v>MA</v>
      </c>
      <c r="C21" s="32" t="str" cm="1">
        <f t="array" aca="1" ref="C21:K21" ca="1">IF(INDIRECT("'" &amp; $A21 &amp; "'!B6:J6")="", "", INDIRECT("'" &amp; $A21 &amp; "'!B6:J6"))</f>
        <v/>
      </c>
      <c r="D21" s="32" t="str">
        <f ca="1"/>
        <v/>
      </c>
      <c r="E21" s="32">
        <f ca="1"/>
        <v>0</v>
      </c>
      <c r="F21" s="36">
        <f ca="1"/>
        <v>0</v>
      </c>
      <c r="G21" s="34" t="str">
        <f ca="1"/>
        <v/>
      </c>
      <c r="H21" s="34">
        <f ca="1"/>
        <v>0</v>
      </c>
      <c r="I21" s="37">
        <f ca="1"/>
        <v>0</v>
      </c>
      <c r="J21" s="16" t="str">
        <f ca="1"/>
        <v/>
      </c>
      <c r="K21" s="16" t="str">
        <f ca="1"/>
        <v/>
      </c>
    </row>
    <row r="22" spans="1:11" ht="15.75">
      <c r="A22" s="45" t="str">
        <v>Sandwich</v>
      </c>
      <c r="B22" s="15" t="str">
        <v>MA</v>
      </c>
      <c r="C22" s="32" t="str" cm="1">
        <f t="array" aca="1" ref="C22:K22" ca="1">IF(INDIRECT("'" &amp; $A22 &amp; "'!B6:J6")="", "", INDIRECT("'" &amp; $A22 &amp; "'!B6:J6"))</f>
        <v/>
      </c>
      <c r="D22" s="32" t="str">
        <f ca="1"/>
        <v/>
      </c>
      <c r="E22" s="32">
        <f ca="1"/>
        <v>0</v>
      </c>
      <c r="F22" s="36">
        <f ca="1"/>
        <v>0</v>
      </c>
      <c r="G22" s="34" t="str">
        <f ca="1"/>
        <v/>
      </c>
      <c r="H22" s="34">
        <f ca="1"/>
        <v>0</v>
      </c>
      <c r="I22" s="37">
        <f ca="1"/>
        <v>0</v>
      </c>
      <c r="J22" s="16" t="str">
        <f ca="1"/>
        <v/>
      </c>
      <c r="K22" s="16" t="str">
        <f ca="1"/>
        <v/>
      </c>
    </row>
    <row r="23" spans="1:11" ht="15.75">
      <c r="A23" s="46" t="str">
        <v>Sturbridge Barn</v>
      </c>
      <c r="B23" s="31" t="str">
        <v>MA</v>
      </c>
      <c r="C23" s="32" t="str" cm="1">
        <f t="array" aca="1" ref="C23:K23" ca="1">IF(INDIRECT("'" &amp; $A23 &amp; "'!B6:J6")="", "", INDIRECT("'" &amp; $A23 &amp; "'!B6:J6"))</f>
        <v/>
      </c>
      <c r="D23" s="32" t="str">
        <f ca="1"/>
        <v/>
      </c>
      <c r="E23" s="32">
        <f ca="1"/>
        <v>0</v>
      </c>
      <c r="F23" s="36">
        <f ca="1"/>
        <v>0</v>
      </c>
      <c r="G23" s="34" t="str">
        <f ca="1"/>
        <v/>
      </c>
      <c r="H23" s="34">
        <f ca="1"/>
        <v>0</v>
      </c>
      <c r="I23" s="37">
        <f ca="1"/>
        <v>0</v>
      </c>
      <c r="J23" s="16" t="str">
        <f ca="1"/>
        <v/>
      </c>
      <c r="K23" s="16" t="str">
        <f ca="1"/>
        <v/>
      </c>
    </row>
    <row r="24" spans="1:11" ht="15.75">
      <c r="A24" s="45" t="str">
        <v>Sturbridge Garage</v>
      </c>
      <c r="B24" s="15" t="str">
        <v>MA</v>
      </c>
      <c r="C24" s="32" t="str" cm="1">
        <f t="array" aca="1" ref="C24:K24" ca="1">IF(INDIRECT("'" &amp; $A24 &amp; "'!B6:J6")="", "", INDIRECT("'" &amp; $A24 &amp; "'!B6:J6"))</f>
        <v/>
      </c>
      <c r="D24" s="32" t="str">
        <f ca="1"/>
        <v/>
      </c>
      <c r="E24" s="32">
        <f ca="1"/>
        <v>0</v>
      </c>
      <c r="F24" s="36">
        <f ca="1"/>
        <v>0</v>
      </c>
      <c r="G24" s="34" t="str">
        <f ca="1"/>
        <v/>
      </c>
      <c r="H24" s="34">
        <f ca="1"/>
        <v>0</v>
      </c>
      <c r="I24" s="37">
        <f ca="1"/>
        <v>0</v>
      </c>
      <c r="J24" s="75" t="str">
        <f ca="1"/>
        <v/>
      </c>
      <c r="K24" s="16" t="str">
        <f ca="1"/>
        <v/>
      </c>
    </row>
    <row r="25" spans="1:11" ht="15.75">
      <c r="A25" s="46" t="str">
        <v>Halsey Valley</v>
      </c>
      <c r="B25" s="31" t="str">
        <v>NY</v>
      </c>
      <c r="C25" s="32" t="str" cm="1">
        <f t="array" aca="1" ref="C25:K25" ca="1">IF(INDIRECT("'" &amp; $A25 &amp; "'!B6:J6")="", "", INDIRECT("'" &amp; $A25 &amp; "'!B6:J6"))</f>
        <v/>
      </c>
      <c r="D25" s="32" t="str">
        <f ca="1"/>
        <v/>
      </c>
      <c r="E25" s="32">
        <f ca="1"/>
        <v>0</v>
      </c>
      <c r="F25" s="36">
        <f ca="1"/>
        <v>0</v>
      </c>
      <c r="G25" s="34" t="str">
        <f ca="1"/>
        <v/>
      </c>
      <c r="H25" s="34">
        <f ca="1"/>
        <v>0</v>
      </c>
      <c r="I25" s="37">
        <f ca="1"/>
        <v>0</v>
      </c>
      <c r="J25" s="75" t="str">
        <f ca="1"/>
        <v/>
      </c>
      <c r="K25" s="16" t="str">
        <f ca="1"/>
        <v/>
      </c>
    </row>
    <row r="26" spans="1:11" ht="15.75">
      <c r="A26" s="45" t="str">
        <v>Hunt Creek</v>
      </c>
      <c r="B26" s="15" t="str">
        <v>NY</v>
      </c>
      <c r="C26" s="32" t="str" cm="1">
        <f t="array" aca="1" ref="C26:K26" ca="1">IF(INDIRECT("'" &amp; $A26 &amp; "'!B6:J6")="", "", INDIRECT("'" &amp; $A26 &amp; "'!B6:J6"))</f>
        <v/>
      </c>
      <c r="D26" s="32" t="str">
        <f ca="1"/>
        <v/>
      </c>
      <c r="E26" s="32">
        <f ca="1"/>
        <v>0</v>
      </c>
      <c r="F26" s="36">
        <f ca="1"/>
        <v>0</v>
      </c>
      <c r="G26" s="34" t="str">
        <f ca="1"/>
        <v/>
      </c>
      <c r="H26" s="34">
        <f ca="1"/>
        <v>0</v>
      </c>
      <c r="I26" s="37">
        <f ca="1"/>
        <v>0</v>
      </c>
      <c r="J26" s="75" t="str">
        <f ca="1"/>
        <v/>
      </c>
      <c r="K26" s="16" t="str">
        <f ca="1"/>
        <v/>
      </c>
    </row>
    <row r="27" spans="1:11" ht="15.75">
      <c r="A27" s="46" t="str">
        <v>Smith Creek</v>
      </c>
      <c r="B27" s="31" t="str">
        <v>NY</v>
      </c>
      <c r="C27" s="32" t="str" cm="1">
        <f t="array" aca="1" ref="C27:K27" ca="1">IF(INDIRECT("'" &amp; $A27 &amp; "'!B6:J6")="", "", INDIRECT("'" &amp; $A27 &amp; "'!B6:J6"))</f>
        <v/>
      </c>
      <c r="D27" s="32" t="str">
        <f ca="1"/>
        <v/>
      </c>
      <c r="E27" s="32">
        <f ca="1"/>
        <v>0</v>
      </c>
      <c r="F27" s="36">
        <f ca="1"/>
        <v>0</v>
      </c>
      <c r="G27" s="34" t="str">
        <f ca="1"/>
        <v/>
      </c>
      <c r="H27" s="34">
        <f ca="1"/>
        <v>0</v>
      </c>
      <c r="I27" s="37">
        <f ca="1"/>
        <v>0</v>
      </c>
      <c r="J27" s="16" t="str">
        <f ca="1"/>
        <v/>
      </c>
      <c r="K27" s="16" t="str">
        <f ca="1"/>
        <v/>
      </c>
    </row>
    <row r="28" spans="1:11" ht="24.75" customHeight="1">
      <c r="A28" s="162" t="s">
        <v>9</v>
      </c>
      <c r="B28" s="163"/>
      <c r="C28" s="47">
        <f ca="1">SUM(C3:C27)</f>
        <v>0</v>
      </c>
      <c r="D28" s="47">
        <f ca="1">SUM(D3:D27)</f>
        <v>0</v>
      </c>
      <c r="E28" s="47">
        <f ca="1">C28-D28</f>
        <v>0</v>
      </c>
      <c r="F28" s="38">
        <f ca="1">IFERROR(E28/D28, 0)</f>
        <v>0</v>
      </c>
      <c r="G28" s="47">
        <f ca="1">SUM(G3:G27)</f>
        <v>0</v>
      </c>
      <c r="H28" s="48">
        <f ca="1">C28-G28</f>
        <v>0</v>
      </c>
      <c r="I28" s="39">
        <f ca="1">IFERROR(H28/G28, 0)</f>
        <v>0</v>
      </c>
      <c r="J28" s="8"/>
    </row>
    <row r="29" spans="1:11">
      <c r="J29" s="8"/>
    </row>
    <row r="30" spans="1:11" ht="12.75" customHeight="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 ht="12.75" customHeight="1">
      <c r="A33" s="165"/>
      <c r="J33" s="8"/>
    </row>
    <row r="34" spans="1:10">
      <c r="J34" s="8"/>
    </row>
  </sheetData>
  <autoFilter ref="A2:I2" xr:uid="{CAF24030-967D-40AB-9B78-5C3C0C46A55D}"/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26" priority="1" operator="lessThanOrEqual">
      <formula>-0.1</formula>
    </cfRule>
    <cfRule type="cellIs" dxfId="42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"/>
  <sheetViews>
    <sheetView workbookViewId="0">
      <pane ySplit="2" topLeftCell="A3" activePane="bottomLeft" state="frozen"/>
      <selection pane="bottomLeft" activeCell="J3" sqref="J3:K27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6" t="str" cm="1">
        <f t="array" ref="A1">portfolio</f>
        <v>Lodestar</v>
      </c>
      <c r="B1" s="167"/>
      <c r="C1" s="168" t="s">
        <v>26</v>
      </c>
      <c r="D1" s="169"/>
      <c r="E1" s="169"/>
      <c r="F1" s="170"/>
      <c r="G1" s="160" t="s">
        <v>27</v>
      </c>
      <c r="H1" s="160"/>
      <c r="I1" s="161"/>
      <c r="J1" s="171" t="s">
        <v>22</v>
      </c>
      <c r="K1" s="171" t="s">
        <v>23</v>
      </c>
    </row>
    <row r="2" spans="1:11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  <c r="J2" s="172"/>
      <c r="K2" s="172"/>
    </row>
    <row r="3" spans="1:11" ht="15.75">
      <c r="A3" s="44" t="str" cm="1">
        <f t="array" ref="A3:A27">Sites[Site]</f>
        <v>Barkhamsted</v>
      </c>
      <c r="B3" s="30" t="str" cm="1">
        <f t="array" ref="B3:B27">Sites[State]</f>
        <v>CT</v>
      </c>
      <c r="C3" s="32" t="str" cm="1">
        <f t="array" aca="1" ref="C3:K3" ca="1">IF(INDIRECT("'" &amp; $A3 &amp; "'!B7:J7")="", "", INDIRECT("'" &amp; $A3 &amp; "'!B7:J7"))</f>
        <v/>
      </c>
      <c r="D3" s="32" t="str">
        <f ca="1"/>
        <v/>
      </c>
      <c r="E3" s="32">
        <f ca="1"/>
        <v>0</v>
      </c>
      <c r="F3" s="33">
        <f ca="1"/>
        <v>0</v>
      </c>
      <c r="G3" s="34" t="str">
        <f ca="1"/>
        <v/>
      </c>
      <c r="H3" s="34">
        <f ca="1"/>
        <v>0</v>
      </c>
      <c r="I3" s="35">
        <f ca="1"/>
        <v>0</v>
      </c>
      <c r="J3" s="16" t="str">
        <f ca="1"/>
        <v/>
      </c>
      <c r="K3" s="88" t="str">
        <f ca="1"/>
        <v/>
      </c>
    </row>
    <row r="4" spans="1:11" ht="15.75">
      <c r="A4" s="45" t="str">
        <v>Bunce</v>
      </c>
      <c r="B4" s="15" t="str">
        <v>CT</v>
      </c>
      <c r="C4" s="32" t="str" cm="1">
        <f t="array" aca="1" ref="C4:K4" ca="1">IF(INDIRECT("'" &amp; $A4 &amp; "'!B7:J7")="", "", INDIRECT("'" &amp; $A4 &amp; "'!B7:J7"))</f>
        <v/>
      </c>
      <c r="D4" s="32" t="str">
        <f ca="1"/>
        <v/>
      </c>
      <c r="E4" s="32">
        <f ca="1"/>
        <v>0</v>
      </c>
      <c r="F4" s="33">
        <f ca="1"/>
        <v>0</v>
      </c>
      <c r="G4" s="34" t="str">
        <f ca="1"/>
        <v/>
      </c>
      <c r="H4" s="34">
        <f ca="1"/>
        <v>0</v>
      </c>
      <c r="I4" s="37">
        <f ca="1"/>
        <v>0</v>
      </c>
      <c r="J4" s="16" t="str">
        <f ca="1"/>
        <v/>
      </c>
      <c r="K4" s="16" t="str">
        <f ca="1"/>
        <v/>
      </c>
    </row>
    <row r="5" spans="1:11" ht="15.75">
      <c r="A5" s="46" t="str">
        <v>Norcap North</v>
      </c>
      <c r="B5" s="31" t="str">
        <v>CT</v>
      </c>
      <c r="C5" s="32" t="str" cm="1">
        <f t="array" aca="1" ref="C5:K5" ca="1">IF(INDIRECT("'" &amp; $A5 &amp; "'!B7:J7")="", "", INDIRECT("'" &amp; $A5 &amp; "'!B7:J7"))</f>
        <v/>
      </c>
      <c r="D5" s="32" t="str">
        <f ca="1"/>
        <v/>
      </c>
      <c r="E5" s="32">
        <f ca="1"/>
        <v>0</v>
      </c>
      <c r="F5" s="33">
        <f ca="1"/>
        <v>0</v>
      </c>
      <c r="G5" s="34" t="str">
        <f ca="1"/>
        <v/>
      </c>
      <c r="H5" s="34">
        <f ca="1"/>
        <v>0</v>
      </c>
      <c r="I5" s="37">
        <f ca="1"/>
        <v>0</v>
      </c>
      <c r="J5" s="16" t="str">
        <f ca="1"/>
        <v/>
      </c>
      <c r="K5" s="16" t="str">
        <f ca="1"/>
        <v/>
      </c>
    </row>
    <row r="6" spans="1:11" ht="15.75">
      <c r="A6" s="45" t="str">
        <v>Norcap South</v>
      </c>
      <c r="B6" s="15" t="str">
        <v>CT</v>
      </c>
      <c r="C6" s="32" t="str" cm="1">
        <f t="array" aca="1" ref="C6:K6" ca="1">IF(INDIRECT("'" &amp; $A6 &amp; "'!B7:J7")="", "", INDIRECT("'" &amp; $A6 &amp; "'!B7:J7"))</f>
        <v/>
      </c>
      <c r="D6" s="32" t="str">
        <f ca="1"/>
        <v/>
      </c>
      <c r="E6" s="32">
        <f ca="1"/>
        <v>0</v>
      </c>
      <c r="F6" s="33">
        <f ca="1"/>
        <v>0</v>
      </c>
      <c r="G6" s="34" t="str">
        <f ca="1"/>
        <v/>
      </c>
      <c r="H6" s="34">
        <f ca="1"/>
        <v>0</v>
      </c>
      <c r="I6" s="37">
        <f ca="1"/>
        <v>0</v>
      </c>
      <c r="J6" s="16" t="str">
        <f ca="1"/>
        <v/>
      </c>
      <c r="K6" s="16" t="str">
        <f ca="1"/>
        <v/>
      </c>
    </row>
    <row r="7" spans="1:11" ht="15.75">
      <c r="A7" s="46" t="str">
        <v>Platt Hill</v>
      </c>
      <c r="B7" s="31" t="str">
        <v>CT</v>
      </c>
      <c r="C7" s="32" t="str" cm="1">
        <f t="array" aca="1" ref="C7:K7" ca="1">IF(INDIRECT("'" &amp; $A7 &amp; "'!B7:J7")="", "", INDIRECT("'" &amp; $A7 &amp; "'!B7:J7"))</f>
        <v/>
      </c>
      <c r="D7" s="32" t="str">
        <f ca="1"/>
        <v/>
      </c>
      <c r="E7" s="32">
        <f ca="1"/>
        <v>0</v>
      </c>
      <c r="F7" s="33">
        <f ca="1"/>
        <v>0</v>
      </c>
      <c r="G7" s="34" t="str">
        <f ca="1"/>
        <v/>
      </c>
      <c r="H7" s="34">
        <f ca="1"/>
        <v>0</v>
      </c>
      <c r="I7" s="37">
        <f ca="1"/>
        <v>0</v>
      </c>
      <c r="J7" s="16" t="str">
        <f ca="1"/>
        <v/>
      </c>
      <c r="K7" s="16" t="str">
        <f ca="1"/>
        <v/>
      </c>
    </row>
    <row r="8" spans="1:11" ht="15.75">
      <c r="A8" s="45" t="str">
        <v>Powder Hill</v>
      </c>
      <c r="B8" s="15" t="str">
        <v>CT</v>
      </c>
      <c r="C8" s="32" t="str" cm="1">
        <f t="array" aca="1" ref="C8:K8" ca="1">IF(INDIRECT("'" &amp; $A8 &amp; "'!B7:J7")="", "", INDIRECT("'" &amp; $A8 &amp; "'!B7:J7"))</f>
        <v/>
      </c>
      <c r="D8" s="32" t="str">
        <f ca="1"/>
        <v/>
      </c>
      <c r="E8" s="32">
        <f ca="1"/>
        <v>0</v>
      </c>
      <c r="F8" s="33">
        <f ca="1"/>
        <v>0</v>
      </c>
      <c r="G8" s="34" t="str">
        <f ca="1"/>
        <v/>
      </c>
      <c r="H8" s="34">
        <f ca="1"/>
        <v>0</v>
      </c>
      <c r="I8" s="37">
        <f ca="1"/>
        <v>0</v>
      </c>
      <c r="J8" s="16" t="str">
        <f ca="1"/>
        <v/>
      </c>
      <c r="K8" s="16" t="str">
        <f ca="1"/>
        <v/>
      </c>
    </row>
    <row r="9" spans="1:11" ht="15.75">
      <c r="A9" s="46" t="str">
        <v>Sand Road</v>
      </c>
      <c r="B9" s="31" t="str">
        <v>CT</v>
      </c>
      <c r="C9" s="32" t="str" cm="1">
        <f t="array" aca="1" ref="C9:K9" ca="1">IF(INDIRECT("'" &amp; $A9 &amp; "'!B7:J7")="", "", INDIRECT("'" &amp; $A9 &amp; "'!B7:J7"))</f>
        <v/>
      </c>
      <c r="D9" s="32" t="str">
        <f ca="1"/>
        <v/>
      </c>
      <c r="E9" s="32">
        <f ca="1"/>
        <v>0</v>
      </c>
      <c r="F9" s="33">
        <f ca="1"/>
        <v>0</v>
      </c>
      <c r="G9" s="34" t="str">
        <f ca="1"/>
        <v/>
      </c>
      <c r="H9" s="34">
        <f ca="1"/>
        <v>0</v>
      </c>
      <c r="I9" s="37">
        <f ca="1"/>
        <v>0</v>
      </c>
      <c r="J9" s="16" t="str">
        <f ca="1"/>
        <v/>
      </c>
      <c r="K9" s="16" t="str">
        <f ca="1"/>
        <v/>
      </c>
    </row>
    <row r="10" spans="1:11" ht="15.75">
      <c r="A10" s="45" t="str">
        <v>Suffield</v>
      </c>
      <c r="B10" s="15" t="str">
        <v>CT</v>
      </c>
      <c r="C10" s="32" t="str" cm="1">
        <f t="array" aca="1" ref="C10:K10" ca="1">IF(INDIRECT("'" &amp; $A10 &amp; "'!B7:J7")="", "", INDIRECT("'" &amp; $A10 &amp; "'!B7:J7"))</f>
        <v/>
      </c>
      <c r="D10" s="32" t="str">
        <f ca="1"/>
        <v/>
      </c>
      <c r="E10" s="32">
        <f ca="1"/>
        <v>0</v>
      </c>
      <c r="F10" s="33">
        <f ca="1"/>
        <v>0</v>
      </c>
      <c r="G10" s="34" t="str">
        <f ca="1"/>
        <v/>
      </c>
      <c r="H10" s="34">
        <f ca="1"/>
        <v>0</v>
      </c>
      <c r="I10" s="37">
        <f ca="1"/>
        <v>0</v>
      </c>
      <c r="J10" s="16" t="str">
        <f ca="1"/>
        <v/>
      </c>
      <c r="K10" s="16" t="str">
        <f ca="1"/>
        <v/>
      </c>
    </row>
    <row r="11" spans="1:11" ht="15.75">
      <c r="A11" s="46" t="str">
        <v>Ashby-Duffy</v>
      </c>
      <c r="B11" s="31" t="str">
        <v>MA</v>
      </c>
      <c r="C11" s="32" t="str" cm="1">
        <f t="array" aca="1" ref="C11:K11" ca="1">IF(INDIRECT("'" &amp; $A11 &amp; "'!B7:J7")="", "", INDIRECT("'" &amp; $A11 &amp; "'!B7:J7"))</f>
        <v/>
      </c>
      <c r="D11" s="32" t="str">
        <f ca="1"/>
        <v/>
      </c>
      <c r="E11" s="32">
        <f ca="1"/>
        <v>0</v>
      </c>
      <c r="F11" s="33">
        <f ca="1"/>
        <v>0</v>
      </c>
      <c r="G11" s="34" t="str">
        <f ca="1"/>
        <v/>
      </c>
      <c r="H11" s="34">
        <f ca="1"/>
        <v>0</v>
      </c>
      <c r="I11" s="37">
        <f ca="1"/>
        <v>0</v>
      </c>
      <c r="J11" s="16" t="str">
        <f ca="1"/>
        <v/>
      </c>
      <c r="K11" s="16" t="str">
        <f ca="1"/>
        <v/>
      </c>
    </row>
    <row r="12" spans="1:11" ht="15.75">
      <c r="A12" s="45" t="str">
        <v>Ashland</v>
      </c>
      <c r="B12" s="15" t="str">
        <v>MA</v>
      </c>
      <c r="C12" s="32" t="str" cm="1">
        <f t="array" aca="1" ref="C12:K12" ca="1">IF(INDIRECT("'" &amp; $A12 &amp; "'!B7:J7")="", "", INDIRECT("'" &amp; $A12 &amp; "'!B7:J7"))</f>
        <v/>
      </c>
      <c r="D12" s="32" t="str">
        <f ca="1"/>
        <v/>
      </c>
      <c r="E12" s="32">
        <f ca="1"/>
        <v>0</v>
      </c>
      <c r="F12" s="33">
        <f ca="1"/>
        <v>0</v>
      </c>
      <c r="G12" s="34" t="str">
        <f ca="1"/>
        <v/>
      </c>
      <c r="H12" s="34">
        <f ca="1"/>
        <v>0</v>
      </c>
      <c r="I12" s="37">
        <f ca="1"/>
        <v>0</v>
      </c>
      <c r="J12" s="16" t="str">
        <f ca="1"/>
        <v/>
      </c>
      <c r="K12" s="16" t="str">
        <f ca="1"/>
        <v/>
      </c>
    </row>
    <row r="13" spans="1:11" ht="15.75">
      <c r="A13" s="46" t="str">
        <v>Barrington</v>
      </c>
      <c r="B13" s="31" t="str">
        <v>MA</v>
      </c>
      <c r="C13" s="32" t="str" cm="1">
        <f t="array" aca="1" ref="C13:K13" ca="1">IF(INDIRECT("'" &amp; $A13 &amp; "'!B7:J7")="", "", INDIRECT("'" &amp; $A13 &amp; "'!B7:J7"))</f>
        <v/>
      </c>
      <c r="D13" s="32" t="str">
        <f ca="1"/>
        <v/>
      </c>
      <c r="E13" s="32">
        <f ca="1"/>
        <v>0</v>
      </c>
      <c r="F13" s="33">
        <f ca="1"/>
        <v>0</v>
      </c>
      <c r="G13" s="34" t="str">
        <f ca="1"/>
        <v/>
      </c>
      <c r="H13" s="34">
        <f ca="1"/>
        <v>0</v>
      </c>
      <c r="I13" s="37">
        <f ca="1"/>
        <v>0</v>
      </c>
      <c r="J13" s="16" t="str">
        <f ca="1"/>
        <v/>
      </c>
      <c r="K13" s="16" t="str">
        <f ca="1"/>
        <v/>
      </c>
    </row>
    <row r="14" spans="1:11" ht="15.75">
      <c r="A14" s="45" t="str">
        <v>Bedford - 205 Burlington Rd</v>
      </c>
      <c r="B14" s="15" t="str">
        <v>MA</v>
      </c>
      <c r="C14" s="32" t="str" cm="1">
        <f t="array" aca="1" ref="C14:K14" ca="1">IF(INDIRECT("'" &amp; $A14 &amp; "'!B7:J7")="", "", INDIRECT("'" &amp; $A14 &amp; "'!B7:J7"))</f>
        <v/>
      </c>
      <c r="D14" s="32" t="str">
        <f ca="1"/>
        <v/>
      </c>
      <c r="E14" s="32">
        <f ca="1"/>
        <v>0</v>
      </c>
      <c r="F14" s="33">
        <f ca="1"/>
        <v>0</v>
      </c>
      <c r="G14" s="34" t="str">
        <f ca="1"/>
        <v/>
      </c>
      <c r="H14" s="34">
        <f ca="1"/>
        <v>0</v>
      </c>
      <c r="I14" s="37">
        <f ca="1"/>
        <v>0</v>
      </c>
      <c r="J14" s="16" t="str">
        <f ca="1"/>
        <v/>
      </c>
      <c r="K14" s="16" t="str">
        <f ca="1"/>
        <v/>
      </c>
    </row>
    <row r="15" spans="1:11" ht="15.75">
      <c r="A15" s="46" t="str">
        <v>Billerica - 6 Cook Street</v>
      </c>
      <c r="B15" s="31" t="str">
        <v>MA</v>
      </c>
      <c r="C15" s="32" t="str" cm="1">
        <f t="array" aca="1" ref="C15:K15" ca="1">IF(INDIRECT("'" &amp; $A15 &amp; "'!B7:J7")="", "", INDIRECT("'" &amp; $A15 &amp; "'!B7:J7"))</f>
        <v/>
      </c>
      <c r="D15" s="32" t="str">
        <f ca="1"/>
        <v/>
      </c>
      <c r="E15" s="32">
        <f ca="1"/>
        <v>0</v>
      </c>
      <c r="F15" s="33">
        <f ca="1"/>
        <v>0</v>
      </c>
      <c r="G15" s="34" t="str">
        <f ca="1"/>
        <v/>
      </c>
      <c r="H15" s="34">
        <f ca="1"/>
        <v>0</v>
      </c>
      <c r="I15" s="37">
        <f ca="1"/>
        <v>0</v>
      </c>
      <c r="J15" s="16" t="str">
        <f ca="1"/>
        <v/>
      </c>
      <c r="K15" s="16" t="str">
        <f ca="1"/>
        <v/>
      </c>
    </row>
    <row r="16" spans="1:11" ht="15.75">
      <c r="A16" s="45" t="str">
        <v>Billerica - 780 Boston Road</v>
      </c>
      <c r="B16" s="15" t="str">
        <v>MA</v>
      </c>
      <c r="C16" s="32" t="str" cm="1">
        <f t="array" aca="1" ref="C16:K16" ca="1">IF(INDIRECT("'" &amp; $A16 &amp; "'!B7:J7")="", "", INDIRECT("'" &amp; $A16 &amp; "'!B7:J7"))</f>
        <v/>
      </c>
      <c r="D16" s="32" t="str">
        <f ca="1"/>
        <v/>
      </c>
      <c r="E16" s="32">
        <f ca="1"/>
        <v>0</v>
      </c>
      <c r="F16" s="33">
        <f ca="1"/>
        <v>0</v>
      </c>
      <c r="G16" s="34" t="str">
        <f ca="1"/>
        <v/>
      </c>
      <c r="H16" s="34">
        <f ca="1"/>
        <v>0</v>
      </c>
      <c r="I16" s="37">
        <f ca="1"/>
        <v>0</v>
      </c>
      <c r="J16" s="16" t="str">
        <f ca="1"/>
        <v/>
      </c>
      <c r="K16" s="16" t="str">
        <f ca="1"/>
        <v/>
      </c>
    </row>
    <row r="17" spans="1:11" ht="15.75">
      <c r="A17" s="46" t="str">
        <v>Cheshire</v>
      </c>
      <c r="B17" s="31" t="str">
        <v>MA</v>
      </c>
      <c r="C17" s="32" t="str" cm="1">
        <f t="array" aca="1" ref="C17:K17" ca="1">IF(INDIRECT("'" &amp; $A17 &amp; "'!B7:J7")="", "", INDIRECT("'" &amp; $A17 &amp; "'!B7:J7"))</f>
        <v/>
      </c>
      <c r="D17" s="32" t="str">
        <f ca="1"/>
        <v/>
      </c>
      <c r="E17" s="32">
        <f ca="1"/>
        <v>0</v>
      </c>
      <c r="F17" s="33">
        <f ca="1"/>
        <v>0</v>
      </c>
      <c r="G17" s="34" t="str">
        <f ca="1"/>
        <v/>
      </c>
      <c r="H17" s="34">
        <f ca="1"/>
        <v>0</v>
      </c>
      <c r="I17" s="37">
        <f ca="1"/>
        <v>0</v>
      </c>
      <c r="J17" s="16" t="str">
        <f ca="1"/>
        <v/>
      </c>
      <c r="K17" s="16" t="str">
        <f ca="1"/>
        <v/>
      </c>
    </row>
    <row r="18" spans="1:11" ht="15.75">
      <c r="A18" s="45" t="str">
        <v>Lilly Lane</v>
      </c>
      <c r="B18" s="15" t="str">
        <v>MA</v>
      </c>
      <c r="C18" s="32" t="str" cm="1">
        <f t="array" aca="1" ref="C18:K18" ca="1">IF(INDIRECT("'" &amp; $A18 &amp; "'!B7:J7")="", "", INDIRECT("'" &amp; $A18 &amp; "'!B7:J7"))</f>
        <v/>
      </c>
      <c r="D18" s="32" t="str">
        <f ca="1"/>
        <v/>
      </c>
      <c r="E18" s="32">
        <f ca="1"/>
        <v>0</v>
      </c>
      <c r="F18" s="33">
        <f ca="1"/>
        <v>0</v>
      </c>
      <c r="G18" s="34" t="str">
        <f ca="1"/>
        <v/>
      </c>
      <c r="H18" s="34">
        <f ca="1"/>
        <v>0</v>
      </c>
      <c r="I18" s="37">
        <f ca="1"/>
        <v>0</v>
      </c>
      <c r="J18" s="16" t="str">
        <f ca="1"/>
        <v/>
      </c>
      <c r="K18" s="16" t="str">
        <f ca="1"/>
        <v/>
      </c>
    </row>
    <row r="19" spans="1:11" ht="15.75">
      <c r="A19" s="46" t="str">
        <v>Monument Valley</v>
      </c>
      <c r="B19" s="31" t="str">
        <v>MA</v>
      </c>
      <c r="C19" s="32" t="str" cm="1">
        <f t="array" aca="1" ref="C19:K19" ca="1">IF(INDIRECT("'" &amp; $A19 &amp; "'!B7:J7")="", "", INDIRECT("'" &amp; $A19 &amp; "'!B7:J7"))</f>
        <v/>
      </c>
      <c r="D19" s="32" t="str">
        <f ca="1"/>
        <v/>
      </c>
      <c r="E19" s="32">
        <f ca="1"/>
        <v>0</v>
      </c>
      <c r="F19" s="33">
        <f ca="1"/>
        <v>0</v>
      </c>
      <c r="G19" s="34" t="str">
        <f ca="1"/>
        <v/>
      </c>
      <c r="H19" s="34">
        <f ca="1"/>
        <v>0</v>
      </c>
      <c r="I19" s="37">
        <f ca="1"/>
        <v>0</v>
      </c>
      <c r="J19" s="16" t="str">
        <f ca="1"/>
        <v/>
      </c>
      <c r="K19" s="16" t="str">
        <f ca="1"/>
        <v/>
      </c>
    </row>
    <row r="20" spans="1:11" ht="15.75">
      <c r="A20" s="45" t="str">
        <v>Nationwide</v>
      </c>
      <c r="B20" s="15" t="str">
        <v>MA</v>
      </c>
      <c r="C20" s="32" t="str" cm="1">
        <f t="array" aca="1" ref="C20:K20" ca="1">IF(INDIRECT("'" &amp; $A20 &amp; "'!B7:J7")="", "", INDIRECT("'" &amp; $A20 &amp; "'!B7:J7"))</f>
        <v/>
      </c>
      <c r="D20" s="32" t="str">
        <f ca="1"/>
        <v/>
      </c>
      <c r="E20" s="32">
        <f ca="1"/>
        <v>0</v>
      </c>
      <c r="F20" s="33">
        <f ca="1"/>
        <v>0</v>
      </c>
      <c r="G20" s="34" t="str">
        <f ca="1"/>
        <v/>
      </c>
      <c r="H20" s="34">
        <f ca="1"/>
        <v>0</v>
      </c>
      <c r="I20" s="37">
        <f ca="1"/>
        <v>0</v>
      </c>
      <c r="J20" s="16" t="str">
        <f ca="1"/>
        <v/>
      </c>
      <c r="K20" s="16" t="str">
        <f ca="1"/>
        <v/>
      </c>
    </row>
    <row r="21" spans="1:11" ht="15.75">
      <c r="A21" s="46" t="str">
        <v>Pulpit Hill</v>
      </c>
      <c r="B21" s="31" t="str">
        <v>MA</v>
      </c>
      <c r="C21" s="32" t="str" cm="1">
        <f t="array" aca="1" ref="C21:K21" ca="1">IF(INDIRECT("'" &amp; $A21 &amp; "'!B7:J7")="", "", INDIRECT("'" &amp; $A21 &amp; "'!B7:J7"))</f>
        <v/>
      </c>
      <c r="D21" s="32" t="str">
        <f ca="1"/>
        <v/>
      </c>
      <c r="E21" s="32">
        <f ca="1"/>
        <v>0</v>
      </c>
      <c r="F21" s="33">
        <f ca="1"/>
        <v>0</v>
      </c>
      <c r="G21" s="34" t="str">
        <f ca="1"/>
        <v/>
      </c>
      <c r="H21" s="34">
        <f ca="1"/>
        <v>0</v>
      </c>
      <c r="I21" s="37">
        <f ca="1"/>
        <v>0</v>
      </c>
      <c r="J21" s="16" t="str">
        <f ca="1"/>
        <v/>
      </c>
      <c r="K21" s="16" t="str">
        <f ca="1"/>
        <v/>
      </c>
    </row>
    <row r="22" spans="1:11" ht="15.75">
      <c r="A22" s="45" t="str">
        <v>Sandwich</v>
      </c>
      <c r="B22" s="15" t="str">
        <v>MA</v>
      </c>
      <c r="C22" s="32" t="str" cm="1">
        <f t="array" aca="1" ref="C22:K22" ca="1">IF(INDIRECT("'" &amp; $A22 &amp; "'!B7:J7")="", "", INDIRECT("'" &amp; $A22 &amp; "'!B7:J7"))</f>
        <v/>
      </c>
      <c r="D22" s="32" t="str">
        <f ca="1"/>
        <v/>
      </c>
      <c r="E22" s="32">
        <f ca="1"/>
        <v>0</v>
      </c>
      <c r="F22" s="33">
        <f ca="1"/>
        <v>0</v>
      </c>
      <c r="G22" s="34" t="str">
        <f ca="1"/>
        <v/>
      </c>
      <c r="H22" s="34">
        <f ca="1"/>
        <v>0</v>
      </c>
      <c r="I22" s="37">
        <f ca="1"/>
        <v>0</v>
      </c>
      <c r="J22" s="16" t="str">
        <f ca="1"/>
        <v/>
      </c>
      <c r="K22" s="16" t="str">
        <f ca="1"/>
        <v/>
      </c>
    </row>
    <row r="23" spans="1:11" ht="15.75">
      <c r="A23" s="46" t="str">
        <v>Sturbridge Barn</v>
      </c>
      <c r="B23" s="31" t="str">
        <v>MA</v>
      </c>
      <c r="C23" s="32" t="str" cm="1">
        <f t="array" aca="1" ref="C23:K23" ca="1">IF(INDIRECT("'" &amp; $A23 &amp; "'!B7:J7")="", "", INDIRECT("'" &amp; $A23 &amp; "'!B7:J7"))</f>
        <v/>
      </c>
      <c r="D23" s="32" t="str">
        <f ca="1"/>
        <v/>
      </c>
      <c r="E23" s="32">
        <f ca="1"/>
        <v>0</v>
      </c>
      <c r="F23" s="33">
        <f ca="1"/>
        <v>0</v>
      </c>
      <c r="G23" s="34" t="str">
        <f ca="1"/>
        <v/>
      </c>
      <c r="H23" s="34">
        <f ca="1"/>
        <v>0</v>
      </c>
      <c r="I23" s="37">
        <f ca="1"/>
        <v>0</v>
      </c>
      <c r="J23" s="16" t="str">
        <f ca="1"/>
        <v/>
      </c>
      <c r="K23" s="16" t="str">
        <f ca="1"/>
        <v/>
      </c>
    </row>
    <row r="24" spans="1:11" ht="15.75">
      <c r="A24" s="45" t="str">
        <v>Sturbridge Garage</v>
      </c>
      <c r="B24" s="15" t="str">
        <v>MA</v>
      </c>
      <c r="C24" s="32" t="str" cm="1">
        <f t="array" aca="1" ref="C24:K24" ca="1">IF(INDIRECT("'" &amp; $A24 &amp; "'!B7:J7")="", "", INDIRECT("'" &amp; $A24 &amp; "'!B7:J7"))</f>
        <v/>
      </c>
      <c r="D24" s="32" t="str">
        <f ca="1"/>
        <v/>
      </c>
      <c r="E24" s="32">
        <f ca="1"/>
        <v>0</v>
      </c>
      <c r="F24" s="33">
        <f ca="1"/>
        <v>0</v>
      </c>
      <c r="G24" s="34" t="str">
        <f ca="1"/>
        <v/>
      </c>
      <c r="H24" s="34">
        <f ca="1"/>
        <v>0</v>
      </c>
      <c r="I24" s="37">
        <f ca="1"/>
        <v>0</v>
      </c>
      <c r="J24" s="16" t="str">
        <f ca="1"/>
        <v/>
      </c>
      <c r="K24" s="16" t="str">
        <f ca="1"/>
        <v/>
      </c>
    </row>
    <row r="25" spans="1:11" ht="15.75">
      <c r="A25" s="46" t="str">
        <v>Halsey Valley</v>
      </c>
      <c r="B25" s="31" t="str">
        <v>NY</v>
      </c>
      <c r="C25" s="32" t="str" cm="1">
        <f t="array" aca="1" ref="C25:K25" ca="1">IF(INDIRECT("'" &amp; $A25 &amp; "'!B7:J7")="", "", INDIRECT("'" &amp; $A25 &amp; "'!B7:J7"))</f>
        <v/>
      </c>
      <c r="D25" s="32" t="str">
        <f ca="1"/>
        <v/>
      </c>
      <c r="E25" s="32">
        <f ca="1"/>
        <v>0</v>
      </c>
      <c r="F25" s="33">
        <f ca="1"/>
        <v>0</v>
      </c>
      <c r="G25" s="34" t="str">
        <f ca="1"/>
        <v/>
      </c>
      <c r="H25" s="34">
        <f ca="1"/>
        <v>0</v>
      </c>
      <c r="I25" s="37">
        <f ca="1"/>
        <v>0</v>
      </c>
      <c r="J25" s="16" t="str">
        <f ca="1"/>
        <v/>
      </c>
      <c r="K25" s="16" t="str">
        <f ca="1"/>
        <v/>
      </c>
    </row>
    <row r="26" spans="1:11" ht="15.75">
      <c r="A26" s="45" t="str">
        <v>Hunt Creek</v>
      </c>
      <c r="B26" s="15" t="str">
        <v>NY</v>
      </c>
      <c r="C26" s="32" t="str" cm="1">
        <f t="array" aca="1" ref="C26:K26" ca="1">IF(INDIRECT("'" &amp; $A26 &amp; "'!B7:J7")="", "", INDIRECT("'" &amp; $A26 &amp; "'!B7:J7"))</f>
        <v/>
      </c>
      <c r="D26" s="32" t="str">
        <f ca="1"/>
        <v/>
      </c>
      <c r="E26" s="32">
        <f ca="1"/>
        <v>0</v>
      </c>
      <c r="F26" s="33">
        <f ca="1"/>
        <v>0</v>
      </c>
      <c r="G26" s="34" t="str">
        <f ca="1"/>
        <v/>
      </c>
      <c r="H26" s="34">
        <f ca="1"/>
        <v>0</v>
      </c>
      <c r="I26" s="37">
        <f ca="1"/>
        <v>0</v>
      </c>
      <c r="J26" s="16" t="str">
        <f ca="1"/>
        <v/>
      </c>
      <c r="K26" s="16" t="str">
        <f ca="1"/>
        <v/>
      </c>
    </row>
    <row r="27" spans="1:11" ht="15.75">
      <c r="A27" s="46" t="str">
        <v>Smith Creek</v>
      </c>
      <c r="B27" s="31" t="str">
        <v>NY</v>
      </c>
      <c r="C27" s="32" t="str" cm="1">
        <f t="array" aca="1" ref="C27:K27" ca="1">IF(INDIRECT("'" &amp; $A27 &amp; "'!B7:J7")="", "", INDIRECT("'" &amp; $A27 &amp; "'!B7:J7"))</f>
        <v/>
      </c>
      <c r="D27" s="32" t="str">
        <f ca="1"/>
        <v/>
      </c>
      <c r="E27" s="32">
        <f ca="1"/>
        <v>0</v>
      </c>
      <c r="F27" s="33">
        <f ca="1"/>
        <v>0</v>
      </c>
      <c r="G27" s="34" t="str">
        <f ca="1"/>
        <v/>
      </c>
      <c r="H27" s="34">
        <f ca="1"/>
        <v>0</v>
      </c>
      <c r="I27" s="37">
        <f ca="1"/>
        <v>0</v>
      </c>
      <c r="J27" s="16" t="str">
        <f ca="1"/>
        <v/>
      </c>
      <c r="K27" s="16" t="str">
        <f ca="1"/>
        <v/>
      </c>
    </row>
    <row r="28" spans="1:11" ht="24.75" customHeight="1">
      <c r="A28" s="162" t="s">
        <v>9</v>
      </c>
      <c r="B28" s="163"/>
      <c r="C28" s="47">
        <f ca="1">SUM(C3:C27)</f>
        <v>0</v>
      </c>
      <c r="D28" s="47">
        <f ca="1">SUM(D3:D27)</f>
        <v>0</v>
      </c>
      <c r="E28" s="47">
        <f ca="1">C28-D28</f>
        <v>0</v>
      </c>
      <c r="F28" s="38">
        <f ca="1">IFERROR(E28/D28, 0)</f>
        <v>0</v>
      </c>
      <c r="G28" s="47">
        <f ca="1">SUM(G3:G27)</f>
        <v>0</v>
      </c>
      <c r="H28" s="48">
        <f ca="1">C28-G28</f>
        <v>0</v>
      </c>
      <c r="I28" s="39">
        <f ca="1">IFERROR(H28/G28, 0)</f>
        <v>0</v>
      </c>
      <c r="J28" s="8"/>
    </row>
    <row r="29" spans="1:11">
      <c r="J29" s="8"/>
    </row>
    <row r="30" spans="1:11" ht="12.75" customHeight="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 ht="12.75" customHeight="1">
      <c r="A33" s="165"/>
      <c r="J33" s="8"/>
    </row>
    <row r="34" spans="1:10">
      <c r="J34" s="8"/>
    </row>
  </sheetData>
  <autoFilter ref="A2:I2" xr:uid="{E69961AB-A757-4049-8AB9-40F3BCB812B3}"/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24" priority="1" operator="lessThanOrEqual">
      <formula>-0.1</formula>
    </cfRule>
    <cfRule type="cellIs" dxfId="42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"/>
  <sheetViews>
    <sheetView workbookViewId="0">
      <pane ySplit="2" topLeftCell="A3" activePane="bottomLeft" state="frozen"/>
      <selection pane="bottomLeft" activeCell="J3" sqref="J3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6" t="str" cm="1">
        <f t="array" ref="A1">portfolio</f>
        <v>Lodestar</v>
      </c>
      <c r="B1" s="167"/>
      <c r="C1" s="168" t="s">
        <v>28</v>
      </c>
      <c r="D1" s="169"/>
      <c r="E1" s="169"/>
      <c r="F1" s="170"/>
      <c r="G1" s="160" t="s">
        <v>29</v>
      </c>
      <c r="H1" s="160"/>
      <c r="I1" s="161"/>
      <c r="J1" s="171" t="s">
        <v>22</v>
      </c>
      <c r="K1" s="171" t="s">
        <v>23</v>
      </c>
    </row>
    <row r="2" spans="1:11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  <c r="J2" s="172"/>
      <c r="K2" s="172"/>
    </row>
    <row r="3" spans="1:11" ht="15.75">
      <c r="A3" s="44" t="str" cm="1">
        <f t="array" ref="A3:A27">Sites[Site]</f>
        <v>Barkhamsted</v>
      </c>
      <c r="B3" s="30" t="str" cm="1">
        <f t="array" ref="B3:B27">Sites[State]</f>
        <v>CT</v>
      </c>
      <c r="C3" s="32" t="str" cm="1">
        <f t="array" aca="1" ref="C3:K3" ca="1">IF(INDIRECT("'" &amp; $A3 &amp; "'!B8:J8")="", "", INDIRECT("'" &amp; $A3 &amp; "'!B8:J8"))</f>
        <v/>
      </c>
      <c r="D3" s="32" t="str">
        <f ca="1"/>
        <v/>
      </c>
      <c r="E3" s="32">
        <f ca="1"/>
        <v>0</v>
      </c>
      <c r="F3" s="33">
        <f ca="1"/>
        <v>0</v>
      </c>
      <c r="G3" s="34" t="str">
        <f ca="1"/>
        <v/>
      </c>
      <c r="H3" s="34">
        <f ca="1"/>
        <v>0</v>
      </c>
      <c r="I3" s="35">
        <f ca="1"/>
        <v>0</v>
      </c>
      <c r="J3" s="89" t="str">
        <f ca="1"/>
        <v/>
      </c>
      <c r="K3" s="88" t="str">
        <f ca="1"/>
        <v/>
      </c>
    </row>
    <row r="4" spans="1:11" ht="15.75">
      <c r="A4" s="45" t="str">
        <v>Bunce</v>
      </c>
      <c r="B4" s="15" t="str">
        <v>CT</v>
      </c>
      <c r="C4" s="32" t="str" cm="1">
        <f t="array" aca="1" ref="C4:K4" ca="1">IF(INDIRECT("'" &amp; $A4 &amp; "'!B8:J8")="", "", INDIRECT("'" &amp; $A4 &amp; "'!B8:J8"))</f>
        <v/>
      </c>
      <c r="D4" s="32" t="str">
        <f ca="1"/>
        <v/>
      </c>
      <c r="E4" s="32">
        <f ca="1"/>
        <v>0</v>
      </c>
      <c r="F4" s="33">
        <f ca="1"/>
        <v>0</v>
      </c>
      <c r="G4" s="34" t="str">
        <f ca="1"/>
        <v/>
      </c>
      <c r="H4" s="34">
        <f ca="1"/>
        <v>0</v>
      </c>
      <c r="I4" s="37">
        <f ca="1"/>
        <v>0</v>
      </c>
      <c r="J4" s="16" t="str">
        <f ca="1"/>
        <v/>
      </c>
      <c r="K4" s="16" t="str">
        <f ca="1"/>
        <v/>
      </c>
    </row>
    <row r="5" spans="1:11" ht="15.75">
      <c r="A5" s="46" t="str">
        <v>Norcap North</v>
      </c>
      <c r="B5" s="31" t="str">
        <v>CT</v>
      </c>
      <c r="C5" s="32" t="str" cm="1">
        <f t="array" aca="1" ref="C5:K5" ca="1">IF(INDIRECT("'" &amp; $A5 &amp; "'!B8:J8")="", "", INDIRECT("'" &amp; $A5 &amp; "'!B8:J8"))</f>
        <v/>
      </c>
      <c r="D5" s="32" t="str">
        <f ca="1"/>
        <v/>
      </c>
      <c r="E5" s="32">
        <f ca="1"/>
        <v>0</v>
      </c>
      <c r="F5" s="33">
        <f ca="1"/>
        <v>0</v>
      </c>
      <c r="G5" s="34" t="str">
        <f ca="1"/>
        <v/>
      </c>
      <c r="H5" s="34">
        <f ca="1"/>
        <v>0</v>
      </c>
      <c r="I5" s="37">
        <f ca="1"/>
        <v>0</v>
      </c>
      <c r="J5" s="16" t="str">
        <f ca="1"/>
        <v/>
      </c>
      <c r="K5" s="16" t="str">
        <f ca="1"/>
        <v/>
      </c>
    </row>
    <row r="6" spans="1:11" ht="15.75">
      <c r="A6" s="45" t="str">
        <v>Norcap South</v>
      </c>
      <c r="B6" s="15" t="str">
        <v>CT</v>
      </c>
      <c r="C6" s="32" t="str" cm="1">
        <f t="array" aca="1" ref="C6:K6" ca="1">IF(INDIRECT("'" &amp; $A6 &amp; "'!B8:J8")="", "", INDIRECT("'" &amp; $A6 &amp; "'!B8:J8"))</f>
        <v/>
      </c>
      <c r="D6" s="32" t="str">
        <f ca="1"/>
        <v/>
      </c>
      <c r="E6" s="32">
        <f ca="1"/>
        <v>0</v>
      </c>
      <c r="F6" s="33">
        <f ca="1"/>
        <v>0</v>
      </c>
      <c r="G6" s="34" t="str">
        <f ca="1"/>
        <v/>
      </c>
      <c r="H6" s="34">
        <f ca="1"/>
        <v>0</v>
      </c>
      <c r="I6" s="37">
        <f ca="1"/>
        <v>0</v>
      </c>
      <c r="J6" s="16" t="str">
        <f ca="1"/>
        <v/>
      </c>
      <c r="K6" s="16" t="str">
        <f ca="1"/>
        <v/>
      </c>
    </row>
    <row r="7" spans="1:11" ht="15.75">
      <c r="A7" s="46" t="str">
        <v>Platt Hill</v>
      </c>
      <c r="B7" s="31" t="str">
        <v>CT</v>
      </c>
      <c r="C7" s="32" t="str" cm="1">
        <f t="array" aca="1" ref="C7:K7" ca="1">IF(INDIRECT("'" &amp; $A7 &amp; "'!B8:J8")="", "", INDIRECT("'" &amp; $A7 &amp; "'!B8:J8"))</f>
        <v/>
      </c>
      <c r="D7" s="32" t="str">
        <f ca="1"/>
        <v/>
      </c>
      <c r="E7" s="32">
        <f ca="1"/>
        <v>0</v>
      </c>
      <c r="F7" s="33">
        <f ca="1"/>
        <v>0</v>
      </c>
      <c r="G7" s="34" t="str">
        <f ca="1"/>
        <v/>
      </c>
      <c r="H7" s="34">
        <f ca="1"/>
        <v>0</v>
      </c>
      <c r="I7" s="37">
        <f ca="1"/>
        <v>0</v>
      </c>
      <c r="J7" s="16" t="str">
        <f ca="1"/>
        <v/>
      </c>
      <c r="K7" s="16" t="str">
        <f ca="1"/>
        <v/>
      </c>
    </row>
    <row r="8" spans="1:11" ht="15.75">
      <c r="A8" s="45" t="str">
        <v>Powder Hill</v>
      </c>
      <c r="B8" s="15" t="str">
        <v>CT</v>
      </c>
      <c r="C8" s="32" t="str" cm="1">
        <f t="array" aca="1" ref="C8:K8" ca="1">IF(INDIRECT("'" &amp; $A8 &amp; "'!B8:J8")="", "", INDIRECT("'" &amp; $A8 &amp; "'!B8:J8"))</f>
        <v/>
      </c>
      <c r="D8" s="32" t="str">
        <f ca="1"/>
        <v/>
      </c>
      <c r="E8" s="32">
        <f ca="1"/>
        <v>0</v>
      </c>
      <c r="F8" s="33">
        <f ca="1"/>
        <v>0</v>
      </c>
      <c r="G8" s="34" t="str">
        <f ca="1"/>
        <v/>
      </c>
      <c r="H8" s="34">
        <f ca="1"/>
        <v>0</v>
      </c>
      <c r="I8" s="37">
        <f ca="1"/>
        <v>0</v>
      </c>
      <c r="J8" s="16" t="str">
        <f ca="1"/>
        <v/>
      </c>
      <c r="K8" s="16" t="str">
        <f ca="1"/>
        <v/>
      </c>
    </row>
    <row r="9" spans="1:11" ht="15.75">
      <c r="A9" s="46" t="str">
        <v>Sand Road</v>
      </c>
      <c r="B9" s="31" t="str">
        <v>CT</v>
      </c>
      <c r="C9" s="32" t="str" cm="1">
        <f t="array" aca="1" ref="C9:K9" ca="1">IF(INDIRECT("'" &amp; $A9 &amp; "'!B8:J8")="", "", INDIRECT("'" &amp; $A9 &amp; "'!B8:J8"))</f>
        <v/>
      </c>
      <c r="D9" s="32" t="str">
        <f ca="1"/>
        <v/>
      </c>
      <c r="E9" s="32">
        <f ca="1"/>
        <v>0</v>
      </c>
      <c r="F9" s="33">
        <f ca="1"/>
        <v>0</v>
      </c>
      <c r="G9" s="34" t="str">
        <f ca="1"/>
        <v/>
      </c>
      <c r="H9" s="34">
        <f ca="1"/>
        <v>0</v>
      </c>
      <c r="I9" s="37">
        <f ca="1"/>
        <v>0</v>
      </c>
      <c r="J9" s="16" t="str">
        <f ca="1"/>
        <v/>
      </c>
      <c r="K9" s="16" t="str">
        <f ca="1"/>
        <v/>
      </c>
    </row>
    <row r="10" spans="1:11" ht="15.75">
      <c r="A10" s="45" t="str">
        <v>Suffield</v>
      </c>
      <c r="B10" s="15" t="str">
        <v>CT</v>
      </c>
      <c r="C10" s="32" t="str" cm="1">
        <f t="array" aca="1" ref="C10:K10" ca="1">IF(INDIRECT("'" &amp; $A10 &amp; "'!B8:J8")="", "", INDIRECT("'" &amp; $A10 &amp; "'!B8:J8"))</f>
        <v/>
      </c>
      <c r="D10" s="32" t="str">
        <f ca="1"/>
        <v/>
      </c>
      <c r="E10" s="32">
        <f ca="1"/>
        <v>0</v>
      </c>
      <c r="F10" s="33">
        <f ca="1"/>
        <v>0</v>
      </c>
      <c r="G10" s="34" t="str">
        <f ca="1"/>
        <v/>
      </c>
      <c r="H10" s="34">
        <f ca="1"/>
        <v>0</v>
      </c>
      <c r="I10" s="37">
        <f ca="1"/>
        <v>0</v>
      </c>
      <c r="J10" s="16" t="str">
        <f ca="1"/>
        <v/>
      </c>
      <c r="K10" s="16" t="str">
        <f ca="1"/>
        <v/>
      </c>
    </row>
    <row r="11" spans="1:11" ht="15.75">
      <c r="A11" s="46" t="str">
        <v>Ashby-Duffy</v>
      </c>
      <c r="B11" s="31" t="str">
        <v>MA</v>
      </c>
      <c r="C11" s="32" t="str" cm="1">
        <f t="array" aca="1" ref="C11:K11" ca="1">IF(INDIRECT("'" &amp; $A11 &amp; "'!B8:J8")="", "", INDIRECT("'" &amp; $A11 &amp; "'!B8:J8"))</f>
        <v/>
      </c>
      <c r="D11" s="32" t="str">
        <f ca="1"/>
        <v/>
      </c>
      <c r="E11" s="32">
        <f ca="1"/>
        <v>0</v>
      </c>
      <c r="F11" s="33">
        <f ca="1"/>
        <v>0</v>
      </c>
      <c r="G11" s="34" t="str">
        <f ca="1"/>
        <v/>
      </c>
      <c r="H11" s="34">
        <f ca="1"/>
        <v>0</v>
      </c>
      <c r="I11" s="37">
        <f ca="1"/>
        <v>0</v>
      </c>
      <c r="J11" s="16" t="str">
        <f ca="1"/>
        <v/>
      </c>
      <c r="K11" s="16" t="str">
        <f ca="1"/>
        <v/>
      </c>
    </row>
    <row r="12" spans="1:11" ht="15.75">
      <c r="A12" s="45" t="str">
        <v>Ashland</v>
      </c>
      <c r="B12" s="15" t="str">
        <v>MA</v>
      </c>
      <c r="C12" s="32" t="str" cm="1">
        <f t="array" aca="1" ref="C12:K12" ca="1">IF(INDIRECT("'" &amp; $A12 &amp; "'!B8:J8")="", "", INDIRECT("'" &amp; $A12 &amp; "'!B8:J8"))</f>
        <v/>
      </c>
      <c r="D12" s="32" t="str">
        <f ca="1"/>
        <v/>
      </c>
      <c r="E12" s="32">
        <f ca="1"/>
        <v>0</v>
      </c>
      <c r="F12" s="33">
        <f ca="1"/>
        <v>0</v>
      </c>
      <c r="G12" s="34" t="str">
        <f ca="1"/>
        <v/>
      </c>
      <c r="H12" s="34">
        <f ca="1"/>
        <v>0</v>
      </c>
      <c r="I12" s="37">
        <f ca="1"/>
        <v>0</v>
      </c>
      <c r="J12" s="16" t="str">
        <f ca="1"/>
        <v/>
      </c>
      <c r="K12" s="16" t="str">
        <f ca="1"/>
        <v/>
      </c>
    </row>
    <row r="13" spans="1:11" ht="15.75">
      <c r="A13" s="46" t="str">
        <v>Barrington</v>
      </c>
      <c r="B13" s="31" t="str">
        <v>MA</v>
      </c>
      <c r="C13" s="32" t="str" cm="1">
        <f t="array" aca="1" ref="C13:K13" ca="1">IF(INDIRECT("'" &amp; $A13 &amp; "'!B8:J8")="", "", INDIRECT("'" &amp; $A13 &amp; "'!B8:J8"))</f>
        <v/>
      </c>
      <c r="D13" s="32" t="str">
        <f ca="1"/>
        <v/>
      </c>
      <c r="E13" s="32">
        <f ca="1"/>
        <v>0</v>
      </c>
      <c r="F13" s="33">
        <f ca="1"/>
        <v>0</v>
      </c>
      <c r="G13" s="34" t="str">
        <f ca="1"/>
        <v/>
      </c>
      <c r="H13" s="34">
        <f ca="1"/>
        <v>0</v>
      </c>
      <c r="I13" s="37">
        <f ca="1"/>
        <v>0</v>
      </c>
      <c r="J13" s="16" t="str">
        <f ca="1"/>
        <v/>
      </c>
      <c r="K13" s="16" t="str">
        <f ca="1"/>
        <v/>
      </c>
    </row>
    <row r="14" spans="1:11" ht="15.75">
      <c r="A14" s="45" t="str">
        <v>Bedford - 205 Burlington Rd</v>
      </c>
      <c r="B14" s="15" t="str">
        <v>MA</v>
      </c>
      <c r="C14" s="32" t="str" cm="1">
        <f t="array" aca="1" ref="C14:K14" ca="1">IF(INDIRECT("'" &amp; $A14 &amp; "'!B8:J8")="", "", INDIRECT("'" &amp; $A14 &amp; "'!B8:J8"))</f>
        <v/>
      </c>
      <c r="D14" s="32" t="str">
        <f ca="1"/>
        <v/>
      </c>
      <c r="E14" s="32">
        <f ca="1"/>
        <v>0</v>
      </c>
      <c r="F14" s="33">
        <f ca="1"/>
        <v>0</v>
      </c>
      <c r="G14" s="34" t="str">
        <f ca="1"/>
        <v/>
      </c>
      <c r="H14" s="34">
        <f ca="1"/>
        <v>0</v>
      </c>
      <c r="I14" s="37">
        <f ca="1"/>
        <v>0</v>
      </c>
      <c r="J14" s="16" t="str">
        <f ca="1"/>
        <v/>
      </c>
      <c r="K14" s="16" t="str">
        <f ca="1"/>
        <v/>
      </c>
    </row>
    <row r="15" spans="1:11" ht="15.75">
      <c r="A15" s="46" t="str">
        <v>Billerica - 6 Cook Street</v>
      </c>
      <c r="B15" s="31" t="str">
        <v>MA</v>
      </c>
      <c r="C15" s="32" t="str" cm="1">
        <f t="array" aca="1" ref="C15:K15" ca="1">IF(INDIRECT("'" &amp; $A15 &amp; "'!B8:J8")="", "", INDIRECT("'" &amp; $A15 &amp; "'!B8:J8"))</f>
        <v/>
      </c>
      <c r="D15" s="32" t="str">
        <f ca="1"/>
        <v/>
      </c>
      <c r="E15" s="32">
        <f ca="1"/>
        <v>0</v>
      </c>
      <c r="F15" s="33">
        <f ca="1"/>
        <v>0</v>
      </c>
      <c r="G15" s="34" t="str">
        <f ca="1"/>
        <v/>
      </c>
      <c r="H15" s="34">
        <f ca="1"/>
        <v>0</v>
      </c>
      <c r="I15" s="37">
        <f ca="1"/>
        <v>0</v>
      </c>
      <c r="J15" s="16" t="str">
        <f ca="1"/>
        <v/>
      </c>
      <c r="K15" s="16" t="str">
        <f ca="1"/>
        <v/>
      </c>
    </row>
    <row r="16" spans="1:11" ht="15.75">
      <c r="A16" s="45" t="str">
        <v>Billerica - 780 Boston Road</v>
      </c>
      <c r="B16" s="15" t="str">
        <v>MA</v>
      </c>
      <c r="C16" s="32" t="str" cm="1">
        <f t="array" aca="1" ref="C16:K16" ca="1">IF(INDIRECT("'" &amp; $A16 &amp; "'!B8:J8")="", "", INDIRECT("'" &amp; $A16 &amp; "'!B8:J8"))</f>
        <v/>
      </c>
      <c r="D16" s="32" t="str">
        <f ca="1"/>
        <v/>
      </c>
      <c r="E16" s="32">
        <f ca="1"/>
        <v>0</v>
      </c>
      <c r="F16" s="33">
        <f ca="1"/>
        <v>0</v>
      </c>
      <c r="G16" s="34" t="str">
        <f ca="1"/>
        <v/>
      </c>
      <c r="H16" s="34">
        <f ca="1"/>
        <v>0</v>
      </c>
      <c r="I16" s="37">
        <f ca="1"/>
        <v>0</v>
      </c>
      <c r="J16" s="16" t="str">
        <f ca="1"/>
        <v/>
      </c>
      <c r="K16" s="16" t="str">
        <f ca="1"/>
        <v/>
      </c>
    </row>
    <row r="17" spans="1:11" ht="15.75">
      <c r="A17" s="46" t="str">
        <v>Cheshire</v>
      </c>
      <c r="B17" s="31" t="str">
        <v>MA</v>
      </c>
      <c r="C17" s="32" t="str" cm="1">
        <f t="array" aca="1" ref="C17:K17" ca="1">IF(INDIRECT("'" &amp; $A17 &amp; "'!B8:J8")="", "", INDIRECT("'" &amp; $A17 &amp; "'!B8:J8"))</f>
        <v/>
      </c>
      <c r="D17" s="32" t="str">
        <f ca="1"/>
        <v/>
      </c>
      <c r="E17" s="32">
        <f ca="1"/>
        <v>0</v>
      </c>
      <c r="F17" s="33">
        <f ca="1"/>
        <v>0</v>
      </c>
      <c r="G17" s="34" t="str">
        <f ca="1"/>
        <v/>
      </c>
      <c r="H17" s="34">
        <f ca="1"/>
        <v>0</v>
      </c>
      <c r="I17" s="37">
        <f ca="1"/>
        <v>0</v>
      </c>
      <c r="J17" s="16" t="str">
        <f ca="1"/>
        <v/>
      </c>
      <c r="K17" s="16" t="str">
        <f ca="1"/>
        <v/>
      </c>
    </row>
    <row r="18" spans="1:11" ht="15.75">
      <c r="A18" s="45" t="str">
        <v>Lilly Lane</v>
      </c>
      <c r="B18" s="15" t="str">
        <v>MA</v>
      </c>
      <c r="C18" s="32" t="str" cm="1">
        <f t="array" aca="1" ref="C18:K18" ca="1">IF(INDIRECT("'" &amp; $A18 &amp; "'!B8:J8")="", "", INDIRECT("'" &amp; $A18 &amp; "'!B8:J8"))</f>
        <v/>
      </c>
      <c r="D18" s="32" t="str">
        <f ca="1"/>
        <v/>
      </c>
      <c r="E18" s="32">
        <f ca="1"/>
        <v>0</v>
      </c>
      <c r="F18" s="33">
        <f ca="1"/>
        <v>0</v>
      </c>
      <c r="G18" s="34" t="str">
        <f ca="1"/>
        <v/>
      </c>
      <c r="H18" s="34">
        <f ca="1"/>
        <v>0</v>
      </c>
      <c r="I18" s="37">
        <f ca="1"/>
        <v>0</v>
      </c>
      <c r="J18" s="16" t="str">
        <f ca="1"/>
        <v/>
      </c>
      <c r="K18" s="16" t="str">
        <f ca="1"/>
        <v/>
      </c>
    </row>
    <row r="19" spans="1:11" ht="15.75">
      <c r="A19" s="46" t="str">
        <v>Monument Valley</v>
      </c>
      <c r="B19" s="31" t="str">
        <v>MA</v>
      </c>
      <c r="C19" s="32" t="str" cm="1">
        <f t="array" aca="1" ref="C19:K19" ca="1">IF(INDIRECT("'" &amp; $A19 &amp; "'!B8:J8")="", "", INDIRECT("'" &amp; $A19 &amp; "'!B8:J8"))</f>
        <v/>
      </c>
      <c r="D19" s="32" t="str">
        <f ca="1"/>
        <v/>
      </c>
      <c r="E19" s="32">
        <f ca="1"/>
        <v>0</v>
      </c>
      <c r="F19" s="33">
        <f ca="1"/>
        <v>0</v>
      </c>
      <c r="G19" s="34" t="str">
        <f ca="1"/>
        <v/>
      </c>
      <c r="H19" s="34">
        <f ca="1"/>
        <v>0</v>
      </c>
      <c r="I19" s="37">
        <f ca="1"/>
        <v>0</v>
      </c>
      <c r="J19" s="16" t="str">
        <f ca="1"/>
        <v/>
      </c>
      <c r="K19" s="16" t="str">
        <f ca="1"/>
        <v/>
      </c>
    </row>
    <row r="20" spans="1:11" ht="15.75">
      <c r="A20" s="45" t="str">
        <v>Nationwide</v>
      </c>
      <c r="B20" s="15" t="str">
        <v>MA</v>
      </c>
      <c r="C20" s="32" t="str" cm="1">
        <f t="array" aca="1" ref="C20:K20" ca="1">IF(INDIRECT("'" &amp; $A20 &amp; "'!B8:J8")="", "", INDIRECT("'" &amp; $A20 &amp; "'!B8:J8"))</f>
        <v/>
      </c>
      <c r="D20" s="32" t="str">
        <f ca="1"/>
        <v/>
      </c>
      <c r="E20" s="32">
        <f ca="1"/>
        <v>0</v>
      </c>
      <c r="F20" s="33">
        <f ca="1"/>
        <v>0</v>
      </c>
      <c r="G20" s="34" t="str">
        <f ca="1"/>
        <v/>
      </c>
      <c r="H20" s="34">
        <f ca="1"/>
        <v>0</v>
      </c>
      <c r="I20" s="37">
        <f ca="1"/>
        <v>0</v>
      </c>
      <c r="J20" s="16" t="str">
        <f ca="1"/>
        <v/>
      </c>
      <c r="K20" s="16" t="str">
        <f ca="1"/>
        <v/>
      </c>
    </row>
    <row r="21" spans="1:11" ht="15.75">
      <c r="A21" s="46" t="str">
        <v>Pulpit Hill</v>
      </c>
      <c r="B21" s="31" t="str">
        <v>MA</v>
      </c>
      <c r="C21" s="32" t="str" cm="1">
        <f t="array" aca="1" ref="C21:K21" ca="1">IF(INDIRECT("'" &amp; $A21 &amp; "'!B8:J8")="", "", INDIRECT("'" &amp; $A21 &amp; "'!B8:J8"))</f>
        <v/>
      </c>
      <c r="D21" s="32" t="str">
        <f ca="1"/>
        <v/>
      </c>
      <c r="E21" s="32">
        <f ca="1"/>
        <v>0</v>
      </c>
      <c r="F21" s="33">
        <f ca="1"/>
        <v>0</v>
      </c>
      <c r="G21" s="34" t="str">
        <f ca="1"/>
        <v/>
      </c>
      <c r="H21" s="34">
        <f ca="1"/>
        <v>0</v>
      </c>
      <c r="I21" s="37">
        <f ca="1"/>
        <v>0</v>
      </c>
      <c r="J21" s="16" t="str">
        <f ca="1"/>
        <v/>
      </c>
      <c r="K21" s="16" t="str">
        <f ca="1"/>
        <v/>
      </c>
    </row>
    <row r="22" spans="1:11" ht="15.75">
      <c r="A22" s="45" t="str">
        <v>Sandwich</v>
      </c>
      <c r="B22" s="15" t="str">
        <v>MA</v>
      </c>
      <c r="C22" s="32" t="str" cm="1">
        <f t="array" aca="1" ref="C22:K22" ca="1">IF(INDIRECT("'" &amp; $A22 &amp; "'!B8:J8")="", "", INDIRECT("'" &amp; $A22 &amp; "'!B8:J8"))</f>
        <v/>
      </c>
      <c r="D22" s="32" t="str">
        <f ca="1"/>
        <v/>
      </c>
      <c r="E22" s="32">
        <f ca="1"/>
        <v>0</v>
      </c>
      <c r="F22" s="33">
        <f ca="1"/>
        <v>0</v>
      </c>
      <c r="G22" s="34" t="str">
        <f ca="1"/>
        <v/>
      </c>
      <c r="H22" s="34">
        <f ca="1"/>
        <v>0</v>
      </c>
      <c r="I22" s="37">
        <f ca="1"/>
        <v>0</v>
      </c>
      <c r="J22" s="16" t="str">
        <f ca="1"/>
        <v/>
      </c>
      <c r="K22" s="16" t="str">
        <f ca="1"/>
        <v/>
      </c>
    </row>
    <row r="23" spans="1:11" ht="15.75">
      <c r="A23" s="46" t="str">
        <v>Sturbridge Barn</v>
      </c>
      <c r="B23" s="31" t="str">
        <v>MA</v>
      </c>
      <c r="C23" s="32" t="str" cm="1">
        <f t="array" aca="1" ref="C23:K23" ca="1">IF(INDIRECT("'" &amp; $A23 &amp; "'!B8:J8")="", "", INDIRECT("'" &amp; $A23 &amp; "'!B8:J8"))</f>
        <v/>
      </c>
      <c r="D23" s="32" t="str">
        <f ca="1"/>
        <v/>
      </c>
      <c r="E23" s="32">
        <f ca="1"/>
        <v>0</v>
      </c>
      <c r="F23" s="33">
        <f ca="1"/>
        <v>0</v>
      </c>
      <c r="G23" s="34" t="str">
        <f ca="1"/>
        <v/>
      </c>
      <c r="H23" s="34">
        <f ca="1"/>
        <v>0</v>
      </c>
      <c r="I23" s="37">
        <f ca="1"/>
        <v>0</v>
      </c>
      <c r="J23" s="16" t="str">
        <f ca="1"/>
        <v/>
      </c>
      <c r="K23" s="16" t="str">
        <f ca="1"/>
        <v/>
      </c>
    </row>
    <row r="24" spans="1:11" ht="15.75">
      <c r="A24" s="45" t="str">
        <v>Sturbridge Garage</v>
      </c>
      <c r="B24" s="15" t="str">
        <v>MA</v>
      </c>
      <c r="C24" s="32" t="str" cm="1">
        <f t="array" aca="1" ref="C24:K24" ca="1">IF(INDIRECT("'" &amp; $A24 &amp; "'!B8:J8")="", "", INDIRECT("'" &amp; $A24 &amp; "'!B8:J8"))</f>
        <v/>
      </c>
      <c r="D24" s="32" t="str">
        <f ca="1"/>
        <v/>
      </c>
      <c r="E24" s="32">
        <f ca="1"/>
        <v>0</v>
      </c>
      <c r="F24" s="33">
        <f ca="1"/>
        <v>0</v>
      </c>
      <c r="G24" s="34" t="str">
        <f ca="1"/>
        <v/>
      </c>
      <c r="H24" s="34">
        <f ca="1"/>
        <v>0</v>
      </c>
      <c r="I24" s="37">
        <f ca="1"/>
        <v>0</v>
      </c>
      <c r="J24" s="16" t="str">
        <f ca="1"/>
        <v/>
      </c>
      <c r="K24" s="16" t="str">
        <f ca="1"/>
        <v/>
      </c>
    </row>
    <row r="25" spans="1:11" ht="15.75">
      <c r="A25" s="46" t="str">
        <v>Halsey Valley</v>
      </c>
      <c r="B25" s="31" t="str">
        <v>NY</v>
      </c>
      <c r="C25" s="32" t="str" cm="1">
        <f t="array" aca="1" ref="C25:K25" ca="1">IF(INDIRECT("'" &amp; $A25 &amp; "'!B8:J8")="", "", INDIRECT("'" &amp; $A25 &amp; "'!B8:J8"))</f>
        <v/>
      </c>
      <c r="D25" s="32" t="str">
        <f ca="1"/>
        <v/>
      </c>
      <c r="E25" s="32">
        <f ca="1"/>
        <v>0</v>
      </c>
      <c r="F25" s="33">
        <f ca="1"/>
        <v>0</v>
      </c>
      <c r="G25" s="34" t="str">
        <f ca="1"/>
        <v/>
      </c>
      <c r="H25" s="34">
        <f ca="1"/>
        <v>0</v>
      </c>
      <c r="I25" s="37">
        <f ca="1"/>
        <v>0</v>
      </c>
      <c r="J25" s="16" t="str">
        <f ca="1"/>
        <v/>
      </c>
      <c r="K25" s="16" t="str">
        <f ca="1"/>
        <v/>
      </c>
    </row>
    <row r="26" spans="1:11" ht="15.75">
      <c r="A26" s="45" t="str">
        <v>Hunt Creek</v>
      </c>
      <c r="B26" s="15" t="str">
        <v>NY</v>
      </c>
      <c r="C26" s="32" t="str" cm="1">
        <f t="array" aca="1" ref="C26:K26" ca="1">IF(INDIRECT("'" &amp; $A26 &amp; "'!B8:J8")="", "", INDIRECT("'" &amp; $A26 &amp; "'!B8:J8"))</f>
        <v/>
      </c>
      <c r="D26" s="32" t="str">
        <f ca="1"/>
        <v/>
      </c>
      <c r="E26" s="32">
        <f ca="1"/>
        <v>0</v>
      </c>
      <c r="F26" s="33">
        <f ca="1"/>
        <v>0</v>
      </c>
      <c r="G26" s="34" t="str">
        <f ca="1"/>
        <v/>
      </c>
      <c r="H26" s="34">
        <f ca="1"/>
        <v>0</v>
      </c>
      <c r="I26" s="37">
        <f ca="1"/>
        <v>0</v>
      </c>
      <c r="J26" s="16" t="str">
        <f ca="1"/>
        <v/>
      </c>
      <c r="K26" s="16" t="str">
        <f ca="1"/>
        <v/>
      </c>
    </row>
    <row r="27" spans="1:11" ht="15.75">
      <c r="A27" s="46" t="str">
        <v>Smith Creek</v>
      </c>
      <c r="B27" s="31" t="str">
        <v>NY</v>
      </c>
      <c r="C27" s="32" t="str" cm="1">
        <f t="array" aca="1" ref="C27:K27" ca="1">IF(INDIRECT("'" &amp; $A27 &amp; "'!B8:J8")="", "", INDIRECT("'" &amp; $A27 &amp; "'!B8:J8"))</f>
        <v/>
      </c>
      <c r="D27" s="32" t="str">
        <f ca="1"/>
        <v/>
      </c>
      <c r="E27" s="32">
        <f ca="1"/>
        <v>0</v>
      </c>
      <c r="F27" s="33">
        <f ca="1"/>
        <v>0</v>
      </c>
      <c r="G27" s="34" t="str">
        <f ca="1"/>
        <v/>
      </c>
      <c r="H27" s="34">
        <f ca="1"/>
        <v>0</v>
      </c>
      <c r="I27" s="37">
        <f ca="1"/>
        <v>0</v>
      </c>
      <c r="J27" s="16" t="str">
        <f ca="1"/>
        <v/>
      </c>
      <c r="K27" s="16" t="str">
        <f ca="1"/>
        <v/>
      </c>
    </row>
    <row r="28" spans="1:11" ht="24.75" customHeight="1">
      <c r="A28" s="162" t="s">
        <v>9</v>
      </c>
      <c r="B28" s="163"/>
      <c r="C28" s="47">
        <f ca="1">SUM(C3:C27)</f>
        <v>0</v>
      </c>
      <c r="D28" s="47">
        <f ca="1">SUM(D3:D27)</f>
        <v>0</v>
      </c>
      <c r="E28" s="47">
        <f ca="1">C28-D28</f>
        <v>0</v>
      </c>
      <c r="F28" s="38">
        <f ca="1">IFERROR(E28/D28, 0)</f>
        <v>0</v>
      </c>
      <c r="G28" s="47">
        <f ca="1">SUM(G3:G27)</f>
        <v>0</v>
      </c>
      <c r="H28" s="48">
        <f ca="1">C28-G28</f>
        <v>0</v>
      </c>
      <c r="I28" s="39">
        <f ca="1">IFERROR(H28/G28, 0)</f>
        <v>0</v>
      </c>
      <c r="J28" s="8"/>
    </row>
    <row r="29" spans="1:11">
      <c r="J29" s="8"/>
    </row>
    <row r="30" spans="1:11" ht="12.75" customHeight="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 ht="12.75" customHeight="1">
      <c r="A33" s="165"/>
      <c r="J33" s="8"/>
    </row>
    <row r="34" spans="1:10">
      <c r="J34" s="8"/>
    </row>
  </sheetData>
  <autoFilter ref="A2:I2" xr:uid="{9CEFA865-F03F-435F-98CB-83683B1083B8}"/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22" priority="1" operator="lessThanOrEqual">
      <formula>-0.1</formula>
    </cfRule>
    <cfRule type="cellIs" dxfId="42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"/>
  <sheetViews>
    <sheetView workbookViewId="0">
      <pane ySplit="2" topLeftCell="A11" activePane="bottomLeft" state="frozen"/>
      <selection pane="bottomLeft" activeCell="J28" sqref="J28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46.5703125" bestFit="1" customWidth="1"/>
  </cols>
  <sheetData>
    <row r="1" spans="1:11" ht="15.6" customHeight="1">
      <c r="A1" s="166" t="str" cm="1">
        <f t="array" ref="A1">portfolio</f>
        <v>Lodestar</v>
      </c>
      <c r="B1" s="167"/>
      <c r="C1" s="168" t="s">
        <v>30</v>
      </c>
      <c r="D1" s="169"/>
      <c r="E1" s="169"/>
      <c r="F1" s="170"/>
      <c r="G1" s="160" t="s">
        <v>31</v>
      </c>
      <c r="H1" s="160"/>
      <c r="I1" s="161"/>
      <c r="J1" s="171" t="s">
        <v>22</v>
      </c>
      <c r="K1" s="171" t="s">
        <v>23</v>
      </c>
    </row>
    <row r="2" spans="1:11" ht="13.9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  <c r="J2" s="172"/>
      <c r="K2" s="172"/>
    </row>
    <row r="3" spans="1:11" ht="15.75">
      <c r="A3" s="44" t="str" cm="1">
        <f t="array" ref="A3:A27">Sites[Site]</f>
        <v>Barkhamsted</v>
      </c>
      <c r="B3" s="30" t="str" cm="1">
        <f t="array" ref="B3:B27">Sites[State]</f>
        <v>CT</v>
      </c>
      <c r="C3" s="32" t="str" cm="1">
        <f t="array" aca="1" ref="C3:K3" ca="1">IF(INDIRECT("'" &amp; $A3 &amp; "'!B9:J9")="", "", INDIRECT("'" &amp; $A3 &amp; "'!B9:J9"))</f>
        <v/>
      </c>
      <c r="D3" s="32" t="str">
        <f ca="1"/>
        <v/>
      </c>
      <c r="E3" s="32">
        <f ca="1"/>
        <v>0</v>
      </c>
      <c r="F3" s="33">
        <f ca="1"/>
        <v>0</v>
      </c>
      <c r="G3" s="34" t="str">
        <f ca="1"/>
        <v/>
      </c>
      <c r="H3" s="34">
        <f ca="1"/>
        <v>0</v>
      </c>
      <c r="I3" s="35">
        <f ca="1"/>
        <v>0</v>
      </c>
      <c r="J3" s="16" t="str">
        <f ca="1"/>
        <v/>
      </c>
      <c r="K3" s="16" t="str">
        <f ca="1"/>
        <v/>
      </c>
    </row>
    <row r="4" spans="1:11" ht="15.75">
      <c r="A4" s="45" t="str">
        <v>Bunce</v>
      </c>
      <c r="B4" s="15" t="str">
        <v>CT</v>
      </c>
      <c r="C4" s="32" t="str" cm="1">
        <f t="array" aca="1" ref="C4:K4" ca="1">IF(INDIRECT("'" &amp; $A4 &amp; "'!B9:J9")="", "", INDIRECT("'" &amp; $A4 &amp; "'!B9:J9"))</f>
        <v/>
      </c>
      <c r="D4" s="32" t="str">
        <f ca="1"/>
        <v/>
      </c>
      <c r="E4" s="32">
        <f ca="1"/>
        <v>0</v>
      </c>
      <c r="F4" s="33">
        <f ca="1"/>
        <v>0</v>
      </c>
      <c r="G4" s="34" t="str">
        <f ca="1"/>
        <v/>
      </c>
      <c r="H4" s="34">
        <f ca="1"/>
        <v>0</v>
      </c>
      <c r="I4" s="37">
        <f ca="1"/>
        <v>0</v>
      </c>
      <c r="J4" s="16" t="str">
        <f ca="1"/>
        <v/>
      </c>
      <c r="K4" s="16" t="str">
        <f ca="1"/>
        <v/>
      </c>
    </row>
    <row r="5" spans="1:11" ht="15.75">
      <c r="A5" s="46" t="str">
        <v>Norcap North</v>
      </c>
      <c r="B5" s="31" t="str">
        <v>CT</v>
      </c>
      <c r="C5" s="32" t="str" cm="1">
        <f t="array" aca="1" ref="C5:K5" ca="1">IF(INDIRECT("'" &amp; $A5 &amp; "'!B9:J9")="", "", INDIRECT("'" &amp; $A5 &amp; "'!B9:J9"))</f>
        <v/>
      </c>
      <c r="D5" s="32" t="str">
        <f ca="1"/>
        <v/>
      </c>
      <c r="E5" s="32">
        <f ca="1"/>
        <v>0</v>
      </c>
      <c r="F5" s="33">
        <f ca="1"/>
        <v>0</v>
      </c>
      <c r="G5" s="34" t="str">
        <f ca="1"/>
        <v/>
      </c>
      <c r="H5" s="34">
        <f ca="1"/>
        <v>0</v>
      </c>
      <c r="I5" s="37">
        <f ca="1"/>
        <v>0</v>
      </c>
      <c r="J5" s="16" t="str">
        <f ca="1"/>
        <v/>
      </c>
      <c r="K5" s="16" t="str">
        <f ca="1"/>
        <v/>
      </c>
    </row>
    <row r="6" spans="1:11" ht="15.75">
      <c r="A6" s="45" t="str">
        <v>Norcap South</v>
      </c>
      <c r="B6" s="15" t="str">
        <v>CT</v>
      </c>
      <c r="C6" s="32" t="str" cm="1">
        <f t="array" aca="1" ref="C6:K6" ca="1">IF(INDIRECT("'" &amp; $A6 &amp; "'!B9:J9")="", "", INDIRECT("'" &amp; $A6 &amp; "'!B9:J9"))</f>
        <v/>
      </c>
      <c r="D6" s="32" t="str">
        <f ca="1"/>
        <v/>
      </c>
      <c r="E6" s="32">
        <f ca="1"/>
        <v>0</v>
      </c>
      <c r="F6" s="33">
        <f ca="1"/>
        <v>0</v>
      </c>
      <c r="G6" s="34" t="str">
        <f ca="1"/>
        <v/>
      </c>
      <c r="H6" s="34">
        <f ca="1"/>
        <v>0</v>
      </c>
      <c r="I6" s="37">
        <f ca="1"/>
        <v>0</v>
      </c>
      <c r="J6" s="16" t="str">
        <f ca="1"/>
        <v/>
      </c>
      <c r="K6" s="16" t="str">
        <f ca="1"/>
        <v/>
      </c>
    </row>
    <row r="7" spans="1:11" ht="15.75">
      <c r="A7" s="46" t="str">
        <v>Platt Hill</v>
      </c>
      <c r="B7" s="31" t="str">
        <v>CT</v>
      </c>
      <c r="C7" s="32" t="str" cm="1">
        <f t="array" aca="1" ref="C7:K7" ca="1">IF(INDIRECT("'" &amp; $A7 &amp; "'!B9:J9")="", "", INDIRECT("'" &amp; $A7 &amp; "'!B9:J9"))</f>
        <v/>
      </c>
      <c r="D7" s="32" t="str">
        <f ca="1"/>
        <v/>
      </c>
      <c r="E7" s="32">
        <f ca="1"/>
        <v>0</v>
      </c>
      <c r="F7" s="33">
        <f ca="1"/>
        <v>0</v>
      </c>
      <c r="G7" s="34" t="str">
        <f ca="1"/>
        <v/>
      </c>
      <c r="H7" s="34">
        <f ca="1"/>
        <v>0</v>
      </c>
      <c r="I7" s="37">
        <f ca="1"/>
        <v>0</v>
      </c>
      <c r="J7" s="16" t="str">
        <f ca="1"/>
        <v/>
      </c>
      <c r="K7" s="16" t="str">
        <f ca="1"/>
        <v/>
      </c>
    </row>
    <row r="8" spans="1:11" ht="15.75">
      <c r="A8" s="45" t="str">
        <v>Powder Hill</v>
      </c>
      <c r="B8" s="15" t="str">
        <v>CT</v>
      </c>
      <c r="C8" s="32" t="str" cm="1">
        <f t="array" aca="1" ref="C8:K8" ca="1">IF(INDIRECT("'" &amp; $A8 &amp; "'!B9:J9")="", "", INDIRECT("'" &amp; $A8 &amp; "'!B9:J9"))</f>
        <v/>
      </c>
      <c r="D8" s="32" t="str">
        <f ca="1"/>
        <v/>
      </c>
      <c r="E8" s="32">
        <f ca="1"/>
        <v>0</v>
      </c>
      <c r="F8" s="33">
        <f ca="1"/>
        <v>0</v>
      </c>
      <c r="G8" s="34" t="str">
        <f ca="1"/>
        <v/>
      </c>
      <c r="H8" s="34">
        <f ca="1"/>
        <v>0</v>
      </c>
      <c r="I8" s="37">
        <f ca="1"/>
        <v>0</v>
      </c>
      <c r="J8" s="16" t="str">
        <f ca="1"/>
        <v/>
      </c>
      <c r="K8" s="16" t="str">
        <f ca="1"/>
        <v/>
      </c>
    </row>
    <row r="9" spans="1:11" ht="15.75">
      <c r="A9" s="46" t="str">
        <v>Sand Road</v>
      </c>
      <c r="B9" s="31" t="str">
        <v>CT</v>
      </c>
      <c r="C9" s="32" t="str" cm="1">
        <f t="array" aca="1" ref="C9:K9" ca="1">IF(INDIRECT("'" &amp; $A9 &amp; "'!B9:J9")="", "", INDIRECT("'" &amp; $A9 &amp; "'!B9:J9"))</f>
        <v/>
      </c>
      <c r="D9" s="32" t="str">
        <f ca="1"/>
        <v/>
      </c>
      <c r="E9" s="32">
        <f ca="1"/>
        <v>0</v>
      </c>
      <c r="F9" s="33">
        <f ca="1"/>
        <v>0</v>
      </c>
      <c r="G9" s="34" t="str">
        <f ca="1"/>
        <v/>
      </c>
      <c r="H9" s="34">
        <f ca="1"/>
        <v>0</v>
      </c>
      <c r="I9" s="37">
        <f ca="1"/>
        <v>0</v>
      </c>
      <c r="J9" s="16" t="str">
        <f ca="1"/>
        <v/>
      </c>
      <c r="K9" s="16" t="str">
        <f ca="1"/>
        <v/>
      </c>
    </row>
    <row r="10" spans="1:11" ht="15.75">
      <c r="A10" s="45" t="str">
        <v>Suffield</v>
      </c>
      <c r="B10" s="15" t="str">
        <v>CT</v>
      </c>
      <c r="C10" s="32" t="str" cm="1">
        <f t="array" aca="1" ref="C10:K10" ca="1">IF(INDIRECT("'" &amp; $A10 &amp; "'!B9:J9")="", "", INDIRECT("'" &amp; $A10 &amp; "'!B9:J9"))</f>
        <v/>
      </c>
      <c r="D10" s="32" t="str">
        <f ca="1"/>
        <v/>
      </c>
      <c r="E10" s="32">
        <f ca="1"/>
        <v>0</v>
      </c>
      <c r="F10" s="33">
        <f ca="1"/>
        <v>0</v>
      </c>
      <c r="G10" s="34" t="str">
        <f ca="1"/>
        <v/>
      </c>
      <c r="H10" s="34">
        <f ca="1"/>
        <v>0</v>
      </c>
      <c r="I10" s="37">
        <f ca="1"/>
        <v>0</v>
      </c>
      <c r="J10" s="16" t="str">
        <f ca="1"/>
        <v/>
      </c>
      <c r="K10" s="16" t="str">
        <f ca="1"/>
        <v/>
      </c>
    </row>
    <row r="11" spans="1:11" ht="15.75">
      <c r="A11" s="46" t="str">
        <v>Ashby-Duffy</v>
      </c>
      <c r="B11" s="31" t="str">
        <v>MA</v>
      </c>
      <c r="C11" s="32" t="str" cm="1">
        <f t="array" aca="1" ref="C11:K11" ca="1">IF(INDIRECT("'" &amp; $A11 &amp; "'!B9:J9")="", "", INDIRECT("'" &amp; $A11 &amp; "'!B9:J9"))</f>
        <v/>
      </c>
      <c r="D11" s="32" t="str">
        <f ca="1"/>
        <v/>
      </c>
      <c r="E11" s="32">
        <f ca="1"/>
        <v>0</v>
      </c>
      <c r="F11" s="33">
        <f ca="1"/>
        <v>0</v>
      </c>
      <c r="G11" s="34" t="str">
        <f ca="1"/>
        <v/>
      </c>
      <c r="H11" s="34">
        <f ca="1"/>
        <v>0</v>
      </c>
      <c r="I11" s="37">
        <f ca="1"/>
        <v>0</v>
      </c>
      <c r="J11" s="16" t="str">
        <f ca="1"/>
        <v/>
      </c>
      <c r="K11" s="16" t="str">
        <f ca="1"/>
        <v/>
      </c>
    </row>
    <row r="12" spans="1:11" ht="15.75">
      <c r="A12" s="45" t="str">
        <v>Ashland</v>
      </c>
      <c r="B12" s="15" t="str">
        <v>MA</v>
      </c>
      <c r="C12" s="32" t="str" cm="1">
        <f t="array" aca="1" ref="C12:K12" ca="1">IF(INDIRECT("'" &amp; $A12 &amp; "'!B9:J9")="", "", INDIRECT("'" &amp; $A12 &amp; "'!B9:J9"))</f>
        <v/>
      </c>
      <c r="D12" s="32" t="str">
        <f ca="1"/>
        <v/>
      </c>
      <c r="E12" s="32">
        <f ca="1"/>
        <v>0</v>
      </c>
      <c r="F12" s="33">
        <f ca="1"/>
        <v>0</v>
      </c>
      <c r="G12" s="34" t="str">
        <f ca="1"/>
        <v/>
      </c>
      <c r="H12" s="34">
        <f ca="1"/>
        <v>0</v>
      </c>
      <c r="I12" s="37">
        <f ca="1"/>
        <v>0</v>
      </c>
      <c r="J12" s="16" t="str">
        <f ca="1"/>
        <v/>
      </c>
      <c r="K12" s="16" t="str">
        <f ca="1"/>
        <v/>
      </c>
    </row>
    <row r="13" spans="1:11" ht="15.75">
      <c r="A13" s="46" t="str">
        <v>Barrington</v>
      </c>
      <c r="B13" s="31" t="str">
        <v>MA</v>
      </c>
      <c r="C13" s="32" t="str" cm="1">
        <f t="array" aca="1" ref="C13:K13" ca="1">IF(INDIRECT("'" &amp; $A13 &amp; "'!B9:J9")="", "", INDIRECT("'" &amp; $A13 &amp; "'!B9:J9"))</f>
        <v/>
      </c>
      <c r="D13" s="32" t="str">
        <f ca="1"/>
        <v/>
      </c>
      <c r="E13" s="32">
        <f ca="1"/>
        <v>0</v>
      </c>
      <c r="F13" s="33">
        <f ca="1"/>
        <v>0</v>
      </c>
      <c r="G13" s="34" t="str">
        <f ca="1"/>
        <v/>
      </c>
      <c r="H13" s="34">
        <f ca="1"/>
        <v>0</v>
      </c>
      <c r="I13" s="37">
        <f ca="1"/>
        <v>0</v>
      </c>
      <c r="J13" s="16" t="str">
        <f ca="1"/>
        <v/>
      </c>
      <c r="K13" s="16" t="str">
        <f ca="1"/>
        <v/>
      </c>
    </row>
    <row r="14" spans="1:11" ht="15.75">
      <c r="A14" s="45" t="str">
        <v>Bedford - 205 Burlington Rd</v>
      </c>
      <c r="B14" s="15" t="str">
        <v>MA</v>
      </c>
      <c r="C14" s="32" t="str" cm="1">
        <f t="array" aca="1" ref="C14:K14" ca="1">IF(INDIRECT("'" &amp; $A14 &amp; "'!B9:J9")="", "", INDIRECT("'" &amp; $A14 &amp; "'!B9:J9"))</f>
        <v/>
      </c>
      <c r="D14" s="32" t="str">
        <f ca="1"/>
        <v/>
      </c>
      <c r="E14" s="32">
        <f ca="1"/>
        <v>0</v>
      </c>
      <c r="F14" s="33">
        <f ca="1"/>
        <v>0</v>
      </c>
      <c r="G14" s="34" t="str">
        <f ca="1"/>
        <v/>
      </c>
      <c r="H14" s="34">
        <f ca="1"/>
        <v>0</v>
      </c>
      <c r="I14" s="37">
        <f ca="1"/>
        <v>0</v>
      </c>
      <c r="J14" s="16" t="str">
        <f ca="1"/>
        <v/>
      </c>
      <c r="K14" s="16" t="str">
        <f ca="1"/>
        <v/>
      </c>
    </row>
    <row r="15" spans="1:11" ht="15.75">
      <c r="A15" s="46" t="str">
        <v>Billerica - 6 Cook Street</v>
      </c>
      <c r="B15" s="31" t="str">
        <v>MA</v>
      </c>
      <c r="C15" s="32" t="str" cm="1">
        <f t="array" aca="1" ref="C15:K15" ca="1">IF(INDIRECT("'" &amp; $A15 &amp; "'!B9:J9")="", "", INDIRECT("'" &amp; $A15 &amp; "'!B9:J9"))</f>
        <v/>
      </c>
      <c r="D15" s="32" t="str">
        <f ca="1"/>
        <v/>
      </c>
      <c r="E15" s="32">
        <f ca="1"/>
        <v>0</v>
      </c>
      <c r="F15" s="33">
        <f ca="1"/>
        <v>0</v>
      </c>
      <c r="G15" s="34" t="str">
        <f ca="1"/>
        <v/>
      </c>
      <c r="H15" s="34">
        <f ca="1"/>
        <v>0</v>
      </c>
      <c r="I15" s="37">
        <f ca="1"/>
        <v>0</v>
      </c>
      <c r="J15" s="16" t="str">
        <f ca="1"/>
        <v/>
      </c>
      <c r="K15" s="16" t="str">
        <f ca="1"/>
        <v/>
      </c>
    </row>
    <row r="16" spans="1:11" ht="15.75">
      <c r="A16" s="45" t="str">
        <v>Billerica - 780 Boston Road</v>
      </c>
      <c r="B16" s="15" t="str">
        <v>MA</v>
      </c>
      <c r="C16" s="32" t="str" cm="1">
        <f t="array" aca="1" ref="C16:K16" ca="1">IF(INDIRECT("'" &amp; $A16 &amp; "'!B9:J9")="", "", INDIRECT("'" &amp; $A16 &amp; "'!B9:J9"))</f>
        <v/>
      </c>
      <c r="D16" s="32" t="str">
        <f ca="1"/>
        <v/>
      </c>
      <c r="E16" s="32">
        <f ca="1"/>
        <v>0</v>
      </c>
      <c r="F16" s="33">
        <f ca="1"/>
        <v>0</v>
      </c>
      <c r="G16" s="34" t="str">
        <f ca="1"/>
        <v/>
      </c>
      <c r="H16" s="34">
        <f ca="1"/>
        <v>0</v>
      </c>
      <c r="I16" s="37">
        <f ca="1"/>
        <v>0</v>
      </c>
      <c r="J16" s="16" t="str">
        <f ca="1"/>
        <v/>
      </c>
      <c r="K16" s="16" t="str">
        <f ca="1"/>
        <v/>
      </c>
    </row>
    <row r="17" spans="1:11" ht="15.75">
      <c r="A17" s="46" t="str">
        <v>Cheshire</v>
      </c>
      <c r="B17" s="31" t="str">
        <v>MA</v>
      </c>
      <c r="C17" s="32" t="str" cm="1">
        <f t="array" aca="1" ref="C17:K17" ca="1">IF(INDIRECT("'" &amp; $A17 &amp; "'!B9:J9")="", "", INDIRECT("'" &amp; $A17 &amp; "'!B9:J9"))</f>
        <v/>
      </c>
      <c r="D17" s="32" t="str">
        <f ca="1"/>
        <v/>
      </c>
      <c r="E17" s="32">
        <f ca="1"/>
        <v>0</v>
      </c>
      <c r="F17" s="33">
        <f ca="1"/>
        <v>0</v>
      </c>
      <c r="G17" s="34" t="str">
        <f ca="1"/>
        <v/>
      </c>
      <c r="H17" s="34">
        <f ca="1"/>
        <v>0</v>
      </c>
      <c r="I17" s="37">
        <f ca="1"/>
        <v>0</v>
      </c>
      <c r="J17" s="16" t="str">
        <f ca="1"/>
        <v/>
      </c>
      <c r="K17" s="16" t="str">
        <f ca="1"/>
        <v/>
      </c>
    </row>
    <row r="18" spans="1:11" ht="15.75">
      <c r="A18" s="45" t="str">
        <v>Lilly Lane</v>
      </c>
      <c r="B18" s="15" t="str">
        <v>MA</v>
      </c>
      <c r="C18" s="32" t="str" cm="1">
        <f t="array" aca="1" ref="C18:K18" ca="1">IF(INDIRECT("'" &amp; $A18 &amp; "'!B9:J9")="", "", INDIRECT("'" &amp; $A18 &amp; "'!B9:J9"))</f>
        <v/>
      </c>
      <c r="D18" s="32" t="str">
        <f ca="1"/>
        <v/>
      </c>
      <c r="E18" s="32">
        <f ca="1"/>
        <v>0</v>
      </c>
      <c r="F18" s="33">
        <f ca="1"/>
        <v>0</v>
      </c>
      <c r="G18" s="34" t="str">
        <f ca="1"/>
        <v/>
      </c>
      <c r="H18" s="34">
        <f ca="1"/>
        <v>0</v>
      </c>
      <c r="I18" s="37">
        <f ca="1"/>
        <v>0</v>
      </c>
      <c r="J18" s="16" t="str">
        <f ca="1"/>
        <v/>
      </c>
      <c r="K18" s="16" t="str">
        <f ca="1"/>
        <v/>
      </c>
    </row>
    <row r="19" spans="1:11" ht="15.75">
      <c r="A19" s="46" t="str">
        <v>Monument Valley</v>
      </c>
      <c r="B19" s="31" t="str">
        <v>MA</v>
      </c>
      <c r="C19" s="32" t="str" cm="1">
        <f t="array" aca="1" ref="C19:K19" ca="1">IF(INDIRECT("'" &amp; $A19 &amp; "'!B9:J9")="", "", INDIRECT("'" &amp; $A19 &amp; "'!B9:J9"))</f>
        <v/>
      </c>
      <c r="D19" s="32" t="str">
        <f ca="1"/>
        <v/>
      </c>
      <c r="E19" s="32">
        <f ca="1"/>
        <v>0</v>
      </c>
      <c r="F19" s="33">
        <f ca="1"/>
        <v>0</v>
      </c>
      <c r="G19" s="34" t="str">
        <f ca="1"/>
        <v/>
      </c>
      <c r="H19" s="34">
        <f ca="1"/>
        <v>0</v>
      </c>
      <c r="I19" s="37">
        <f ca="1"/>
        <v>0</v>
      </c>
      <c r="J19" s="16" t="str">
        <f ca="1"/>
        <v/>
      </c>
      <c r="K19" s="16" t="str">
        <f ca="1"/>
        <v/>
      </c>
    </row>
    <row r="20" spans="1:11" ht="15.75">
      <c r="A20" s="45" t="str">
        <v>Nationwide</v>
      </c>
      <c r="B20" s="15" t="str">
        <v>MA</v>
      </c>
      <c r="C20" s="32" t="str" cm="1">
        <f t="array" aca="1" ref="C20:K20" ca="1">IF(INDIRECT("'" &amp; $A20 &amp; "'!B9:J9")="", "", INDIRECT("'" &amp; $A20 &amp; "'!B9:J9"))</f>
        <v/>
      </c>
      <c r="D20" s="32" t="str">
        <f ca="1"/>
        <v/>
      </c>
      <c r="E20" s="32">
        <f ca="1"/>
        <v>0</v>
      </c>
      <c r="F20" s="33">
        <f ca="1"/>
        <v>0</v>
      </c>
      <c r="G20" s="34" t="str">
        <f ca="1"/>
        <v/>
      </c>
      <c r="H20" s="34">
        <f ca="1"/>
        <v>0</v>
      </c>
      <c r="I20" s="37">
        <f ca="1"/>
        <v>0</v>
      </c>
      <c r="J20" s="16" t="str">
        <f ca="1"/>
        <v/>
      </c>
      <c r="K20" s="16" t="str">
        <f ca="1"/>
        <v/>
      </c>
    </row>
    <row r="21" spans="1:11" ht="15.75">
      <c r="A21" s="46" t="str">
        <v>Pulpit Hill</v>
      </c>
      <c r="B21" s="31" t="str">
        <v>MA</v>
      </c>
      <c r="C21" s="32" t="str" cm="1">
        <f t="array" aca="1" ref="C21:K21" ca="1">IF(INDIRECT("'" &amp; $A21 &amp; "'!B9:J9")="", "", INDIRECT("'" &amp; $A21 &amp; "'!B9:J9"))</f>
        <v/>
      </c>
      <c r="D21" s="32" t="str">
        <f ca="1"/>
        <v/>
      </c>
      <c r="E21" s="32">
        <f ca="1"/>
        <v>0</v>
      </c>
      <c r="F21" s="33">
        <f ca="1"/>
        <v>0</v>
      </c>
      <c r="G21" s="34" t="str">
        <f ca="1"/>
        <v/>
      </c>
      <c r="H21" s="34">
        <f ca="1"/>
        <v>0</v>
      </c>
      <c r="I21" s="37">
        <f ca="1"/>
        <v>0</v>
      </c>
      <c r="J21" s="16" t="str">
        <f ca="1"/>
        <v/>
      </c>
      <c r="K21" s="16" t="str">
        <f ca="1"/>
        <v/>
      </c>
    </row>
    <row r="22" spans="1:11" ht="15.75">
      <c r="A22" s="45" t="str">
        <v>Sandwich</v>
      </c>
      <c r="B22" s="15" t="str">
        <v>MA</v>
      </c>
      <c r="C22" s="32" t="str" cm="1">
        <f t="array" aca="1" ref="C22:K22" ca="1">IF(INDIRECT("'" &amp; $A22 &amp; "'!B9:J9")="", "", INDIRECT("'" &amp; $A22 &amp; "'!B9:J9"))</f>
        <v/>
      </c>
      <c r="D22" s="32" t="str">
        <f ca="1"/>
        <v/>
      </c>
      <c r="E22" s="32">
        <f ca="1"/>
        <v>0</v>
      </c>
      <c r="F22" s="33">
        <f ca="1"/>
        <v>0</v>
      </c>
      <c r="G22" s="34" t="str">
        <f ca="1"/>
        <v/>
      </c>
      <c r="H22" s="34">
        <f ca="1"/>
        <v>0</v>
      </c>
      <c r="I22" s="37">
        <f ca="1"/>
        <v>0</v>
      </c>
      <c r="J22" s="16" t="str">
        <f ca="1"/>
        <v/>
      </c>
      <c r="K22" s="16" t="str">
        <f ca="1"/>
        <v/>
      </c>
    </row>
    <row r="23" spans="1:11" ht="15.75">
      <c r="A23" s="46" t="str">
        <v>Sturbridge Barn</v>
      </c>
      <c r="B23" s="31" t="str">
        <v>MA</v>
      </c>
      <c r="C23" s="32" t="str" cm="1">
        <f t="array" aca="1" ref="C23:K23" ca="1">IF(INDIRECT("'" &amp; $A23 &amp; "'!B9:J9")="", "", INDIRECT("'" &amp; $A23 &amp; "'!B9:J9"))</f>
        <v/>
      </c>
      <c r="D23" s="32" t="str">
        <f ca="1"/>
        <v/>
      </c>
      <c r="E23" s="32">
        <f ca="1"/>
        <v>0</v>
      </c>
      <c r="F23" s="33">
        <f ca="1"/>
        <v>0</v>
      </c>
      <c r="G23" s="34" t="str">
        <f ca="1"/>
        <v/>
      </c>
      <c r="H23" s="34">
        <f ca="1"/>
        <v>0</v>
      </c>
      <c r="I23" s="37">
        <f ca="1"/>
        <v>0</v>
      </c>
      <c r="J23" s="16" t="str">
        <f ca="1"/>
        <v/>
      </c>
      <c r="K23" s="16" t="str">
        <f ca="1"/>
        <v/>
      </c>
    </row>
    <row r="24" spans="1:11" ht="15.75">
      <c r="A24" s="45" t="str">
        <v>Sturbridge Garage</v>
      </c>
      <c r="B24" s="15" t="str">
        <v>MA</v>
      </c>
      <c r="C24" s="32" t="str" cm="1">
        <f t="array" aca="1" ref="C24:K24" ca="1">IF(INDIRECT("'" &amp; $A24 &amp; "'!B9:J9")="", "", INDIRECT("'" &amp; $A24 &amp; "'!B9:J9"))</f>
        <v/>
      </c>
      <c r="D24" s="32" t="str">
        <f ca="1"/>
        <v/>
      </c>
      <c r="E24" s="32">
        <f ca="1"/>
        <v>0</v>
      </c>
      <c r="F24" s="33">
        <f ca="1"/>
        <v>0</v>
      </c>
      <c r="G24" s="34" t="str">
        <f ca="1"/>
        <v/>
      </c>
      <c r="H24" s="34">
        <f ca="1"/>
        <v>0</v>
      </c>
      <c r="I24" s="37">
        <f ca="1"/>
        <v>0</v>
      </c>
      <c r="J24" s="16" t="str">
        <f ca="1"/>
        <v/>
      </c>
      <c r="K24" s="16" t="str">
        <f ca="1"/>
        <v/>
      </c>
    </row>
    <row r="25" spans="1:11" ht="15.75">
      <c r="A25" s="46" t="str">
        <v>Halsey Valley</v>
      </c>
      <c r="B25" s="31" t="str">
        <v>NY</v>
      </c>
      <c r="C25" s="32" t="str" cm="1">
        <f t="array" aca="1" ref="C25:K25" ca="1">IF(INDIRECT("'" &amp; $A25 &amp; "'!B9:J9")="", "", INDIRECT("'" &amp; $A25 &amp; "'!B9:J9"))</f>
        <v/>
      </c>
      <c r="D25" s="32" t="str">
        <f ca="1"/>
        <v/>
      </c>
      <c r="E25" s="32">
        <f ca="1"/>
        <v>0</v>
      </c>
      <c r="F25" s="33">
        <f ca="1"/>
        <v>0</v>
      </c>
      <c r="G25" s="34" t="str">
        <f ca="1"/>
        <v/>
      </c>
      <c r="H25" s="34">
        <f ca="1"/>
        <v>0</v>
      </c>
      <c r="I25" s="37">
        <f ca="1"/>
        <v>0</v>
      </c>
      <c r="J25" s="16" t="str">
        <f ca="1"/>
        <v/>
      </c>
      <c r="K25" s="16" t="str">
        <f ca="1"/>
        <v/>
      </c>
    </row>
    <row r="26" spans="1:11" ht="15.75">
      <c r="A26" s="45" t="str">
        <v>Hunt Creek</v>
      </c>
      <c r="B26" s="15" t="str">
        <v>NY</v>
      </c>
      <c r="C26" s="32" t="str" cm="1">
        <f t="array" aca="1" ref="C26:K26" ca="1">IF(INDIRECT("'" &amp; $A26 &amp; "'!B9:J9")="", "", INDIRECT("'" &amp; $A26 &amp; "'!B9:J9"))</f>
        <v/>
      </c>
      <c r="D26" s="32" t="str">
        <f ca="1"/>
        <v/>
      </c>
      <c r="E26" s="32">
        <f ca="1"/>
        <v>0</v>
      </c>
      <c r="F26" s="33">
        <f ca="1"/>
        <v>0</v>
      </c>
      <c r="G26" s="34" t="str">
        <f ca="1"/>
        <v/>
      </c>
      <c r="H26" s="34">
        <f ca="1"/>
        <v>0</v>
      </c>
      <c r="I26" s="37">
        <f ca="1"/>
        <v>0</v>
      </c>
      <c r="J26" s="16" t="str">
        <f ca="1"/>
        <v/>
      </c>
      <c r="K26" s="16" t="str">
        <f ca="1"/>
        <v/>
      </c>
    </row>
    <row r="27" spans="1:11" ht="15.75">
      <c r="A27" s="46" t="str">
        <v>Smith Creek</v>
      </c>
      <c r="B27" s="31" t="str">
        <v>NY</v>
      </c>
      <c r="C27" s="32" t="str" cm="1">
        <f t="array" aca="1" ref="C27:K27" ca="1">IF(INDIRECT("'" &amp; $A27 &amp; "'!B9:J9")="", "", INDIRECT("'" &amp; $A27 &amp; "'!B9:J9"))</f>
        <v/>
      </c>
      <c r="D27" s="32" t="str">
        <f ca="1"/>
        <v/>
      </c>
      <c r="E27" s="32">
        <f ca="1"/>
        <v>0</v>
      </c>
      <c r="F27" s="33">
        <f ca="1"/>
        <v>0</v>
      </c>
      <c r="G27" s="34" t="str">
        <f ca="1"/>
        <v/>
      </c>
      <c r="H27" s="34">
        <f ca="1"/>
        <v>0</v>
      </c>
      <c r="I27" s="37">
        <f ca="1"/>
        <v>0</v>
      </c>
      <c r="J27" s="16" t="str">
        <f ca="1"/>
        <v/>
      </c>
      <c r="K27" s="16" t="str">
        <f ca="1"/>
        <v/>
      </c>
    </row>
    <row r="28" spans="1:11" ht="19.5" customHeight="1">
      <c r="A28" s="173" t="s">
        <v>9</v>
      </c>
      <c r="B28" s="174"/>
      <c r="C28" s="104">
        <f ca="1">SUM(C3:C27)</f>
        <v>0</v>
      </c>
      <c r="D28" s="104">
        <f ca="1">SUM(D3:D27)</f>
        <v>0</v>
      </c>
      <c r="E28" s="104">
        <f ca="1">C28-D28</f>
        <v>0</v>
      </c>
      <c r="F28" s="105">
        <f ca="1">IFERROR(E28/D28, 0)</f>
        <v>0</v>
      </c>
      <c r="G28" s="104">
        <f ca="1">SUM(G3:G27)</f>
        <v>0</v>
      </c>
      <c r="H28" s="106">
        <f ca="1">C28-G28</f>
        <v>0</v>
      </c>
      <c r="I28" s="107">
        <f ca="1">IFERROR(H28/G28, 0)</f>
        <v>0</v>
      </c>
      <c r="J28" s="8"/>
    </row>
    <row r="29" spans="1:11">
      <c r="J29" s="8"/>
    </row>
    <row r="30" spans="1:1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>
      <c r="A33" s="165"/>
      <c r="J33" s="8"/>
    </row>
    <row r="34" spans="1:10">
      <c r="J34" s="8"/>
    </row>
  </sheetData>
  <autoFilter ref="A2:I2" xr:uid="{BC8A3C74-EDA3-4B8F-8C65-FD4243AE8FF6}"/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20" priority="1" operator="lessThanOrEqual">
      <formula>-0.1</formula>
    </cfRule>
    <cfRule type="cellIs" dxfId="41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"/>
  <sheetViews>
    <sheetView workbookViewId="0">
      <pane ySplit="2" topLeftCell="A11" activePane="bottomLeft" state="frozen"/>
      <selection pane="bottomLeft" activeCell="J24" sqref="J24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44.5703125" customWidth="1"/>
  </cols>
  <sheetData>
    <row r="1" spans="1:11" ht="19.5" customHeight="1">
      <c r="A1" s="166" t="str" cm="1">
        <f t="array" ref="A1">portfolio</f>
        <v>Lodestar</v>
      </c>
      <c r="B1" s="167"/>
      <c r="C1" s="168" t="s">
        <v>32</v>
      </c>
      <c r="D1" s="169"/>
      <c r="E1" s="169"/>
      <c r="F1" s="170"/>
      <c r="G1" s="160" t="s">
        <v>33</v>
      </c>
      <c r="H1" s="160"/>
      <c r="I1" s="161"/>
      <c r="J1" s="171" t="s">
        <v>22</v>
      </c>
      <c r="K1" s="171" t="s">
        <v>23</v>
      </c>
    </row>
    <row r="2" spans="1:11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41" t="s">
        <v>8</v>
      </c>
      <c r="H2" s="7" t="s">
        <v>6</v>
      </c>
      <c r="I2" s="9" t="s">
        <v>7</v>
      </c>
      <c r="J2" s="172"/>
      <c r="K2" s="172"/>
    </row>
    <row r="3" spans="1:11" ht="15.75">
      <c r="A3" s="90" t="str" cm="1">
        <f t="array" ref="A3:A27">Sites[Site]</f>
        <v>Barkhamsted</v>
      </c>
      <c r="B3" s="91" t="str" cm="1">
        <f t="array" ref="B3:B27">Sites[State]</f>
        <v>CT</v>
      </c>
      <c r="C3" s="92" t="str" cm="1">
        <f t="array" aca="1" ref="C3:K3" ca="1">IF(INDIRECT("'" &amp; $A3 &amp; "'!B10:J10")="", "", INDIRECT("'" &amp; $A3 &amp; "'!B10:J10"))</f>
        <v/>
      </c>
      <c r="D3" s="92" t="str">
        <f ca="1"/>
        <v/>
      </c>
      <c r="E3" s="92">
        <f ca="1"/>
        <v>0</v>
      </c>
      <c r="F3" s="93">
        <f ca="1"/>
        <v>0</v>
      </c>
      <c r="G3" s="94" t="str">
        <f ca="1"/>
        <v/>
      </c>
      <c r="H3" s="94">
        <f ca="1"/>
        <v>0</v>
      </c>
      <c r="I3" s="95">
        <f ca="1"/>
        <v>0</v>
      </c>
      <c r="J3" s="16" t="str">
        <f ca="1"/>
        <v/>
      </c>
      <c r="K3" s="16" t="str">
        <f ca="1"/>
        <v/>
      </c>
    </row>
    <row r="4" spans="1:11" ht="15.75">
      <c r="A4" s="96" t="str">
        <v>Bunce</v>
      </c>
      <c r="B4" s="97" t="str">
        <v>CT</v>
      </c>
      <c r="C4" s="92" t="str" cm="1">
        <f t="array" aca="1" ref="C4:K4" ca="1">IF(INDIRECT("'" &amp; $A4 &amp; "'!B10:J10")="", "", INDIRECT("'" &amp; $A4 &amp; "'!B10:J10"))</f>
        <v/>
      </c>
      <c r="D4" s="92" t="str">
        <f ca="1"/>
        <v/>
      </c>
      <c r="E4" s="92">
        <f ca="1"/>
        <v>0</v>
      </c>
      <c r="F4" s="93">
        <f ca="1"/>
        <v>0</v>
      </c>
      <c r="G4" s="94" t="str">
        <f ca="1"/>
        <v/>
      </c>
      <c r="H4" s="94">
        <f ca="1"/>
        <v>0</v>
      </c>
      <c r="I4" s="98">
        <f ca="1"/>
        <v>0</v>
      </c>
      <c r="J4" s="16" t="str">
        <f ca="1"/>
        <v/>
      </c>
      <c r="K4" s="16" t="str">
        <f ca="1"/>
        <v/>
      </c>
    </row>
    <row r="5" spans="1:11" ht="15.75">
      <c r="A5" s="99" t="str">
        <v>Norcap North</v>
      </c>
      <c r="B5" s="100" t="str">
        <v>CT</v>
      </c>
      <c r="C5" s="92" t="str" cm="1">
        <f t="array" aca="1" ref="C5:K5" ca="1">IF(INDIRECT("'" &amp; $A5 &amp; "'!B10:J10")="", "", INDIRECT("'" &amp; $A5 &amp; "'!B10:J10"))</f>
        <v/>
      </c>
      <c r="D5" s="92" t="str">
        <f ca="1"/>
        <v/>
      </c>
      <c r="E5" s="92">
        <f ca="1"/>
        <v>0</v>
      </c>
      <c r="F5" s="93">
        <f ca="1"/>
        <v>0</v>
      </c>
      <c r="G5" s="94" t="str">
        <f ca="1"/>
        <v/>
      </c>
      <c r="H5" s="94">
        <f ca="1"/>
        <v>0</v>
      </c>
      <c r="I5" s="98">
        <f ca="1"/>
        <v>0</v>
      </c>
      <c r="J5" s="16" t="str">
        <f ca="1"/>
        <v/>
      </c>
      <c r="K5" s="16" t="str">
        <f ca="1"/>
        <v/>
      </c>
    </row>
    <row r="6" spans="1:11" ht="15.75">
      <c r="A6" s="96" t="str">
        <v>Norcap South</v>
      </c>
      <c r="B6" s="97" t="str">
        <v>CT</v>
      </c>
      <c r="C6" s="92" t="str" cm="1">
        <f t="array" aca="1" ref="C6:K6" ca="1">IF(INDIRECT("'" &amp; $A6 &amp; "'!B10:J10")="", "", INDIRECT("'" &amp; $A6 &amp; "'!B10:J10"))</f>
        <v/>
      </c>
      <c r="D6" s="92" t="str">
        <f ca="1"/>
        <v/>
      </c>
      <c r="E6" s="92">
        <f ca="1"/>
        <v>0</v>
      </c>
      <c r="F6" s="93">
        <f ca="1"/>
        <v>0</v>
      </c>
      <c r="G6" s="94" t="str">
        <f ca="1"/>
        <v/>
      </c>
      <c r="H6" s="94">
        <f ca="1"/>
        <v>0</v>
      </c>
      <c r="I6" s="98">
        <f ca="1"/>
        <v>0</v>
      </c>
      <c r="J6" s="16" t="str">
        <f ca="1"/>
        <v/>
      </c>
      <c r="K6" s="16" t="str">
        <f ca="1"/>
        <v/>
      </c>
    </row>
    <row r="7" spans="1:11" ht="15.75">
      <c r="A7" s="99" t="str">
        <v>Platt Hill</v>
      </c>
      <c r="B7" s="100" t="str">
        <v>CT</v>
      </c>
      <c r="C7" s="92" t="str" cm="1">
        <f t="array" aca="1" ref="C7:K7" ca="1">IF(INDIRECT("'" &amp; $A7 &amp; "'!B10:J10")="", "", INDIRECT("'" &amp; $A7 &amp; "'!B10:J10"))</f>
        <v/>
      </c>
      <c r="D7" s="92" t="str">
        <f ca="1"/>
        <v/>
      </c>
      <c r="E7" s="92">
        <f ca="1"/>
        <v>0</v>
      </c>
      <c r="F7" s="93">
        <f ca="1"/>
        <v>0</v>
      </c>
      <c r="G7" s="94" t="str">
        <f ca="1"/>
        <v/>
      </c>
      <c r="H7" s="94">
        <f ca="1"/>
        <v>0</v>
      </c>
      <c r="I7" s="98">
        <f ca="1"/>
        <v>0</v>
      </c>
      <c r="J7" s="16" t="str">
        <f ca="1"/>
        <v/>
      </c>
      <c r="K7" s="16" t="str">
        <f ca="1"/>
        <v/>
      </c>
    </row>
    <row r="8" spans="1:11" ht="15.75">
      <c r="A8" s="96" t="str">
        <v>Powder Hill</v>
      </c>
      <c r="B8" s="97" t="str">
        <v>CT</v>
      </c>
      <c r="C8" s="92" t="str" cm="1">
        <f t="array" aca="1" ref="C8:K8" ca="1">IF(INDIRECT("'" &amp; $A8 &amp; "'!B10:J10")="", "", INDIRECT("'" &amp; $A8 &amp; "'!B10:J10"))</f>
        <v/>
      </c>
      <c r="D8" s="92" t="str">
        <f ca="1"/>
        <v/>
      </c>
      <c r="E8" s="92">
        <f ca="1"/>
        <v>0</v>
      </c>
      <c r="F8" s="93">
        <f ca="1"/>
        <v>0</v>
      </c>
      <c r="G8" s="94" t="str">
        <f ca="1"/>
        <v/>
      </c>
      <c r="H8" s="94">
        <f ca="1"/>
        <v>0</v>
      </c>
      <c r="I8" s="98">
        <f ca="1"/>
        <v>0</v>
      </c>
      <c r="J8" s="16" t="str">
        <f ca="1"/>
        <v/>
      </c>
      <c r="K8" s="16" t="str">
        <f ca="1"/>
        <v/>
      </c>
    </row>
    <row r="9" spans="1:11" ht="15.75">
      <c r="A9" s="99" t="str">
        <v>Sand Road</v>
      </c>
      <c r="B9" s="100" t="str">
        <v>CT</v>
      </c>
      <c r="C9" s="92" t="str" cm="1">
        <f t="array" aca="1" ref="C9:K9" ca="1">IF(INDIRECT("'" &amp; $A9 &amp; "'!B10:J10")="", "", INDIRECT("'" &amp; $A9 &amp; "'!B10:J10"))</f>
        <v/>
      </c>
      <c r="D9" s="92" t="str">
        <f ca="1"/>
        <v/>
      </c>
      <c r="E9" s="92">
        <f ca="1"/>
        <v>0</v>
      </c>
      <c r="F9" s="93">
        <f ca="1"/>
        <v>0</v>
      </c>
      <c r="G9" s="94" t="str">
        <f ca="1"/>
        <v/>
      </c>
      <c r="H9" s="94">
        <f ca="1"/>
        <v>0</v>
      </c>
      <c r="I9" s="98">
        <f ca="1"/>
        <v>0</v>
      </c>
      <c r="J9" s="16" t="str">
        <f ca="1"/>
        <v/>
      </c>
      <c r="K9" s="16" t="str">
        <f ca="1"/>
        <v xml:space="preserve"> </v>
      </c>
    </row>
    <row r="10" spans="1:11" ht="15.75">
      <c r="A10" s="96" t="str">
        <v>Suffield</v>
      </c>
      <c r="B10" s="97" t="str">
        <v>CT</v>
      </c>
      <c r="C10" s="92" t="str" cm="1">
        <f t="array" aca="1" ref="C10:K10" ca="1">IF(INDIRECT("'" &amp; $A10 &amp; "'!B10:J10")="", "", INDIRECT("'" &amp; $A10 &amp; "'!B10:J10"))</f>
        <v/>
      </c>
      <c r="D10" s="92" t="str">
        <f ca="1"/>
        <v/>
      </c>
      <c r="E10" s="92">
        <f ca="1"/>
        <v>0</v>
      </c>
      <c r="F10" s="93">
        <f ca="1"/>
        <v>0</v>
      </c>
      <c r="G10" s="94" t="str">
        <f ca="1"/>
        <v/>
      </c>
      <c r="H10" s="94">
        <f ca="1"/>
        <v>0</v>
      </c>
      <c r="I10" s="98">
        <f ca="1"/>
        <v>0</v>
      </c>
      <c r="J10" s="16" t="str">
        <f ca="1"/>
        <v/>
      </c>
      <c r="K10" s="16" t="str">
        <f ca="1"/>
        <v/>
      </c>
    </row>
    <row r="11" spans="1:11" ht="15.75">
      <c r="A11" s="99" t="str">
        <v>Ashby-Duffy</v>
      </c>
      <c r="B11" s="100" t="str">
        <v>MA</v>
      </c>
      <c r="C11" s="92" t="str" cm="1">
        <f t="array" aca="1" ref="C11:K11" ca="1">IF(INDIRECT("'" &amp; $A11 &amp; "'!B10:J10")="", "", INDIRECT("'" &amp; $A11 &amp; "'!B10:J10"))</f>
        <v/>
      </c>
      <c r="D11" s="92" t="str">
        <f ca="1"/>
        <v/>
      </c>
      <c r="E11" s="92">
        <f ca="1"/>
        <v>0</v>
      </c>
      <c r="F11" s="93">
        <f ca="1"/>
        <v>0</v>
      </c>
      <c r="G11" s="94" t="str">
        <f ca="1"/>
        <v/>
      </c>
      <c r="H11" s="94">
        <f ca="1"/>
        <v>0</v>
      </c>
      <c r="I11" s="98">
        <f ca="1"/>
        <v>0</v>
      </c>
      <c r="J11" s="16" t="str">
        <f ca="1"/>
        <v/>
      </c>
      <c r="K11" s="16" t="str">
        <f ca="1"/>
        <v/>
      </c>
    </row>
    <row r="12" spans="1:11" ht="15.75">
      <c r="A12" s="96" t="str">
        <v>Ashland</v>
      </c>
      <c r="B12" s="97" t="str">
        <v>MA</v>
      </c>
      <c r="C12" s="92" t="str" cm="1">
        <f t="array" aca="1" ref="C12:K12" ca="1">IF(INDIRECT("'" &amp; $A12 &amp; "'!B10:J10")="", "", INDIRECT("'" &amp; $A12 &amp; "'!B10:J10"))</f>
        <v/>
      </c>
      <c r="D12" s="92" t="str">
        <f ca="1"/>
        <v/>
      </c>
      <c r="E12" s="92">
        <f ca="1"/>
        <v>0</v>
      </c>
      <c r="F12" s="93">
        <f ca="1"/>
        <v>0</v>
      </c>
      <c r="G12" s="94" t="str">
        <f ca="1"/>
        <v/>
      </c>
      <c r="H12" s="94">
        <f ca="1"/>
        <v>0</v>
      </c>
      <c r="I12" s="98">
        <f ca="1"/>
        <v>0</v>
      </c>
      <c r="J12" s="16" t="str">
        <f ca="1"/>
        <v/>
      </c>
      <c r="K12" s="16" t="str">
        <f ca="1"/>
        <v/>
      </c>
    </row>
    <row r="13" spans="1:11" ht="15.75">
      <c r="A13" s="99" t="str">
        <v>Barrington</v>
      </c>
      <c r="B13" s="100" t="str">
        <v>MA</v>
      </c>
      <c r="C13" s="92" t="str" cm="1">
        <f t="array" aca="1" ref="C13:K13" ca="1">IF(INDIRECT("'" &amp; $A13 &amp; "'!B10:J10")="", "", INDIRECT("'" &amp; $A13 &amp; "'!B10:J10"))</f>
        <v/>
      </c>
      <c r="D13" s="92" t="str">
        <f ca="1"/>
        <v/>
      </c>
      <c r="E13" s="92">
        <f ca="1"/>
        <v>0</v>
      </c>
      <c r="F13" s="93">
        <f ca="1"/>
        <v>0</v>
      </c>
      <c r="G13" s="94" t="str">
        <f ca="1"/>
        <v/>
      </c>
      <c r="H13" s="94">
        <f ca="1"/>
        <v>0</v>
      </c>
      <c r="I13" s="98">
        <f ca="1"/>
        <v>0</v>
      </c>
      <c r="J13" s="16" t="str">
        <f ca="1"/>
        <v/>
      </c>
      <c r="K13" s="16" t="str">
        <f ca="1"/>
        <v/>
      </c>
    </row>
    <row r="14" spans="1:11" ht="15.75">
      <c r="A14" s="96" t="str">
        <v>Bedford - 205 Burlington Rd</v>
      </c>
      <c r="B14" s="97" t="str">
        <v>MA</v>
      </c>
      <c r="C14" s="92" t="str" cm="1">
        <f t="array" aca="1" ref="C14:K14" ca="1">IF(INDIRECT("'" &amp; $A14 &amp; "'!B10:J10")="", "", INDIRECT("'" &amp; $A14 &amp; "'!B10:J10"))</f>
        <v/>
      </c>
      <c r="D14" s="92" t="str">
        <f ca="1"/>
        <v/>
      </c>
      <c r="E14" s="92">
        <f ca="1"/>
        <v>0</v>
      </c>
      <c r="F14" s="93">
        <f ca="1"/>
        <v>0</v>
      </c>
      <c r="G14" s="94" t="str">
        <f ca="1"/>
        <v/>
      </c>
      <c r="H14" s="94">
        <f ca="1"/>
        <v>0</v>
      </c>
      <c r="I14" s="98">
        <f ca="1"/>
        <v>0</v>
      </c>
      <c r="J14" s="16" t="str">
        <f ca="1"/>
        <v/>
      </c>
      <c r="K14" s="16" t="str">
        <f ca="1"/>
        <v/>
      </c>
    </row>
    <row r="15" spans="1:11" ht="15.75">
      <c r="A15" s="99" t="str">
        <v>Billerica - 6 Cook Street</v>
      </c>
      <c r="B15" s="100" t="str">
        <v>MA</v>
      </c>
      <c r="C15" s="92" t="str" cm="1">
        <f t="array" aca="1" ref="C15:K15" ca="1">IF(INDIRECT("'" &amp; $A15 &amp; "'!B10:J10")="", "", INDIRECT("'" &amp; $A15 &amp; "'!B10:J10"))</f>
        <v/>
      </c>
      <c r="D15" s="92" t="str">
        <f ca="1"/>
        <v/>
      </c>
      <c r="E15" s="92">
        <f ca="1"/>
        <v>0</v>
      </c>
      <c r="F15" s="93">
        <f ca="1"/>
        <v>0</v>
      </c>
      <c r="G15" s="94" t="str">
        <f ca="1"/>
        <v/>
      </c>
      <c r="H15" s="94">
        <f ca="1"/>
        <v>0</v>
      </c>
      <c r="I15" s="98">
        <f ca="1"/>
        <v>0</v>
      </c>
      <c r="J15" s="16" t="str">
        <f ca="1"/>
        <v/>
      </c>
      <c r="K15" s="16" t="str">
        <f ca="1"/>
        <v/>
      </c>
    </row>
    <row r="16" spans="1:11" ht="15.75">
      <c r="A16" s="96" t="str">
        <v>Billerica - 780 Boston Road</v>
      </c>
      <c r="B16" s="97" t="str">
        <v>MA</v>
      </c>
      <c r="C16" s="92" t="str" cm="1">
        <f t="array" aca="1" ref="C16:K16" ca="1">IF(INDIRECT("'" &amp; $A16 &amp; "'!B10:J10")="", "", INDIRECT("'" &amp; $A16 &amp; "'!B10:J10"))</f>
        <v/>
      </c>
      <c r="D16" s="92" t="str">
        <f ca="1"/>
        <v/>
      </c>
      <c r="E16" s="92">
        <f ca="1"/>
        <v>0</v>
      </c>
      <c r="F16" s="93">
        <f ca="1"/>
        <v>0</v>
      </c>
      <c r="G16" s="94" t="str">
        <f ca="1"/>
        <v/>
      </c>
      <c r="H16" s="94">
        <f ca="1"/>
        <v>0</v>
      </c>
      <c r="I16" s="98">
        <f ca="1"/>
        <v>0</v>
      </c>
      <c r="J16" s="16" t="str">
        <f ca="1"/>
        <v/>
      </c>
      <c r="K16" s="16" t="str">
        <f ca="1"/>
        <v/>
      </c>
    </row>
    <row r="17" spans="1:11" ht="15.75">
      <c r="A17" s="99" t="str">
        <v>Cheshire</v>
      </c>
      <c r="B17" s="100" t="str">
        <v>MA</v>
      </c>
      <c r="C17" s="92" t="str" cm="1">
        <f t="array" aca="1" ref="C17:K17" ca="1">IF(INDIRECT("'" &amp; $A17 &amp; "'!B10:J10")="", "", INDIRECT("'" &amp; $A17 &amp; "'!B10:J10"))</f>
        <v/>
      </c>
      <c r="D17" s="92" t="str">
        <f ca="1"/>
        <v/>
      </c>
      <c r="E17" s="92">
        <f ca="1"/>
        <v>0</v>
      </c>
      <c r="F17" s="93">
        <f ca="1"/>
        <v>0</v>
      </c>
      <c r="G17" s="94" t="str">
        <f ca="1"/>
        <v/>
      </c>
      <c r="H17" s="94">
        <f ca="1"/>
        <v>0</v>
      </c>
      <c r="I17" s="98">
        <f ca="1"/>
        <v>0</v>
      </c>
      <c r="J17" s="16" t="str">
        <f ca="1"/>
        <v/>
      </c>
      <c r="K17" s="16" t="str">
        <f ca="1"/>
        <v xml:space="preserve"> </v>
      </c>
    </row>
    <row r="18" spans="1:11" ht="15.75">
      <c r="A18" s="96" t="str">
        <v>Lilly Lane</v>
      </c>
      <c r="B18" s="97" t="str">
        <v>MA</v>
      </c>
      <c r="C18" s="92" t="str" cm="1">
        <f t="array" aca="1" ref="C18:K18" ca="1">IF(INDIRECT("'" &amp; $A18 &amp; "'!B10:J10")="", "", INDIRECT("'" &amp; $A18 &amp; "'!B10:J10"))</f>
        <v/>
      </c>
      <c r="D18" s="92" t="str">
        <f ca="1"/>
        <v/>
      </c>
      <c r="E18" s="92">
        <f ca="1"/>
        <v>0</v>
      </c>
      <c r="F18" s="93">
        <f ca="1"/>
        <v>0</v>
      </c>
      <c r="G18" s="94" t="str">
        <f ca="1"/>
        <v/>
      </c>
      <c r="H18" s="94">
        <f ca="1"/>
        <v>0</v>
      </c>
      <c r="I18" s="98">
        <f ca="1"/>
        <v>0</v>
      </c>
      <c r="J18" s="16" t="str">
        <f ca="1"/>
        <v/>
      </c>
      <c r="K18" s="16" t="str">
        <f ca="1"/>
        <v/>
      </c>
    </row>
    <row r="19" spans="1:11" ht="15.75">
      <c r="A19" s="99" t="str">
        <v>Monument Valley</v>
      </c>
      <c r="B19" s="100" t="str">
        <v>MA</v>
      </c>
      <c r="C19" s="92" t="str" cm="1">
        <f t="array" aca="1" ref="C19:K19" ca="1">IF(INDIRECT("'" &amp; $A19 &amp; "'!B10:J10")="", "", INDIRECT("'" &amp; $A19 &amp; "'!B10:J10"))</f>
        <v/>
      </c>
      <c r="D19" s="92" t="str">
        <f ca="1"/>
        <v/>
      </c>
      <c r="E19" s="92">
        <f ca="1"/>
        <v>0</v>
      </c>
      <c r="F19" s="93">
        <f ca="1"/>
        <v>0</v>
      </c>
      <c r="G19" s="94" t="str">
        <f ca="1"/>
        <v/>
      </c>
      <c r="H19" s="94">
        <f ca="1"/>
        <v>0</v>
      </c>
      <c r="I19" s="98">
        <f ca="1"/>
        <v>0</v>
      </c>
      <c r="J19" s="16" t="str">
        <f ca="1"/>
        <v/>
      </c>
      <c r="K19" s="16" t="str">
        <f ca="1"/>
        <v/>
      </c>
    </row>
    <row r="20" spans="1:11" ht="15.75">
      <c r="A20" s="96" t="str">
        <v>Nationwide</v>
      </c>
      <c r="B20" s="97" t="str">
        <v>MA</v>
      </c>
      <c r="C20" s="92" t="str" cm="1">
        <f t="array" aca="1" ref="C20:K20" ca="1">IF(INDIRECT("'" &amp; $A20 &amp; "'!B10:J10")="", "", INDIRECT("'" &amp; $A20 &amp; "'!B10:J10"))</f>
        <v/>
      </c>
      <c r="D20" s="92" t="str">
        <f ca="1"/>
        <v/>
      </c>
      <c r="E20" s="92">
        <f ca="1"/>
        <v>0</v>
      </c>
      <c r="F20" s="93">
        <f ca="1"/>
        <v>0</v>
      </c>
      <c r="G20" s="94" t="str">
        <f ca="1"/>
        <v/>
      </c>
      <c r="H20" s="94">
        <f ca="1"/>
        <v>0</v>
      </c>
      <c r="I20" s="98">
        <f ca="1"/>
        <v>0</v>
      </c>
      <c r="J20" s="16" t="str">
        <f ca="1"/>
        <v/>
      </c>
      <c r="K20" s="16" t="str">
        <f ca="1"/>
        <v/>
      </c>
    </row>
    <row r="21" spans="1:11" ht="15.75">
      <c r="A21" s="99" t="str">
        <v>Pulpit Hill</v>
      </c>
      <c r="B21" s="100" t="str">
        <v>MA</v>
      </c>
      <c r="C21" s="92" t="str" cm="1">
        <f t="array" aca="1" ref="C21:K21" ca="1">IF(INDIRECT("'" &amp; $A21 &amp; "'!B10:J10")="", "", INDIRECT("'" &amp; $A21 &amp; "'!B10:J10"))</f>
        <v/>
      </c>
      <c r="D21" s="92" t="str">
        <f ca="1"/>
        <v/>
      </c>
      <c r="E21" s="92">
        <f ca="1"/>
        <v>0</v>
      </c>
      <c r="F21" s="93">
        <f ca="1"/>
        <v>0</v>
      </c>
      <c r="G21" s="94" t="str">
        <f ca="1"/>
        <v/>
      </c>
      <c r="H21" s="94">
        <f ca="1"/>
        <v>0</v>
      </c>
      <c r="I21" s="98">
        <f ca="1"/>
        <v>0</v>
      </c>
      <c r="J21" s="16" t="str">
        <f ca="1"/>
        <v/>
      </c>
      <c r="K21" s="16" t="str">
        <f ca="1"/>
        <v/>
      </c>
    </row>
    <row r="22" spans="1:11" ht="15.75">
      <c r="A22" s="96" t="str">
        <v>Sandwich</v>
      </c>
      <c r="B22" s="97" t="str">
        <v>MA</v>
      </c>
      <c r="C22" s="92" t="str" cm="1">
        <f t="array" aca="1" ref="C22:K22" ca="1">IF(INDIRECT("'" &amp; $A22 &amp; "'!B10:J10")="", "", INDIRECT("'" &amp; $A22 &amp; "'!B10:J10"))</f>
        <v/>
      </c>
      <c r="D22" s="92" t="str">
        <f ca="1"/>
        <v/>
      </c>
      <c r="E22" s="92">
        <f ca="1"/>
        <v>0</v>
      </c>
      <c r="F22" s="93">
        <f ca="1"/>
        <v>0</v>
      </c>
      <c r="G22" s="94" t="str">
        <f ca="1"/>
        <v/>
      </c>
      <c r="H22" s="94">
        <f ca="1"/>
        <v>0</v>
      </c>
      <c r="I22" s="98">
        <f ca="1"/>
        <v>0</v>
      </c>
      <c r="J22" s="16" t="str">
        <f ca="1"/>
        <v/>
      </c>
      <c r="K22" s="16" t="str">
        <f ca="1"/>
        <v/>
      </c>
    </row>
    <row r="23" spans="1:11" ht="15.75">
      <c r="A23" s="99" t="str">
        <v>Sturbridge Barn</v>
      </c>
      <c r="B23" s="100" t="str">
        <v>MA</v>
      </c>
      <c r="C23" s="92" t="str" cm="1">
        <f t="array" aca="1" ref="C23:K23" ca="1">IF(INDIRECT("'" &amp; $A23 &amp; "'!B10:J10")="", "", INDIRECT("'" &amp; $A23 &amp; "'!B10:J10"))</f>
        <v/>
      </c>
      <c r="D23" s="92" t="str">
        <f ca="1"/>
        <v/>
      </c>
      <c r="E23" s="92">
        <f ca="1"/>
        <v>0</v>
      </c>
      <c r="F23" s="93">
        <f ca="1"/>
        <v>0</v>
      </c>
      <c r="G23" s="94" t="str">
        <f ca="1"/>
        <v/>
      </c>
      <c r="H23" s="94">
        <f ca="1"/>
        <v>0</v>
      </c>
      <c r="I23" s="98">
        <f ca="1"/>
        <v>0</v>
      </c>
      <c r="J23" s="16" t="str">
        <f ca="1"/>
        <v/>
      </c>
      <c r="K23" s="16" t="str">
        <f ca="1"/>
        <v/>
      </c>
    </row>
    <row r="24" spans="1:11" ht="15.75">
      <c r="A24" s="96" t="str">
        <v>Sturbridge Garage</v>
      </c>
      <c r="B24" s="97" t="str">
        <v>MA</v>
      </c>
      <c r="C24" s="92" t="str" cm="1">
        <f t="array" aca="1" ref="C24:K24" ca="1">IF(INDIRECT("'" &amp; $A24 &amp; "'!B10:J10")="", "", INDIRECT("'" &amp; $A24 &amp; "'!B10:J10"))</f>
        <v/>
      </c>
      <c r="D24" s="92" t="str">
        <f ca="1"/>
        <v/>
      </c>
      <c r="E24" s="92">
        <f ca="1"/>
        <v>0</v>
      </c>
      <c r="F24" s="93">
        <f ca="1"/>
        <v>0</v>
      </c>
      <c r="G24" s="94" t="str">
        <f ca="1"/>
        <v/>
      </c>
      <c r="H24" s="94">
        <f ca="1"/>
        <v>0</v>
      </c>
      <c r="I24" s="98">
        <f ca="1"/>
        <v>0</v>
      </c>
      <c r="J24" s="16" t="str">
        <f ca="1"/>
        <v/>
      </c>
      <c r="K24" s="16" t="str">
        <f ca="1"/>
        <v/>
      </c>
    </row>
    <row r="25" spans="1:11" ht="15.75">
      <c r="A25" s="99" t="str">
        <v>Halsey Valley</v>
      </c>
      <c r="B25" s="100" t="str">
        <v>NY</v>
      </c>
      <c r="C25" s="92" t="str" cm="1">
        <f t="array" aca="1" ref="C25:K25" ca="1">IF(INDIRECT("'" &amp; $A25 &amp; "'!B10:J10")="", "", INDIRECT("'" &amp; $A25 &amp; "'!B10:J10"))</f>
        <v/>
      </c>
      <c r="D25" s="92" t="str">
        <f ca="1"/>
        <v/>
      </c>
      <c r="E25" s="92">
        <f ca="1"/>
        <v>0</v>
      </c>
      <c r="F25" s="93">
        <f ca="1"/>
        <v>0</v>
      </c>
      <c r="G25" s="94" t="str">
        <f ca="1"/>
        <v/>
      </c>
      <c r="H25" s="94">
        <f ca="1"/>
        <v>0</v>
      </c>
      <c r="I25" s="98">
        <f ca="1"/>
        <v>0</v>
      </c>
      <c r="J25" s="16" t="str">
        <f ca="1"/>
        <v/>
      </c>
      <c r="K25" s="16" t="str">
        <f ca="1"/>
        <v/>
      </c>
    </row>
    <row r="26" spans="1:11" ht="15.75">
      <c r="A26" s="96" t="str">
        <v>Hunt Creek</v>
      </c>
      <c r="B26" s="97" t="str">
        <v>NY</v>
      </c>
      <c r="C26" s="92" t="str" cm="1">
        <f t="array" aca="1" ref="C26:K26" ca="1">IF(INDIRECT("'" &amp; $A26 &amp; "'!B10:J10")="", "", INDIRECT("'" &amp; $A26 &amp; "'!B10:J10"))</f>
        <v/>
      </c>
      <c r="D26" s="92" t="str">
        <f ca="1"/>
        <v/>
      </c>
      <c r="E26" s="92">
        <f ca="1"/>
        <v>0</v>
      </c>
      <c r="F26" s="93">
        <f ca="1"/>
        <v>0</v>
      </c>
      <c r="G26" s="94" t="str">
        <f ca="1"/>
        <v/>
      </c>
      <c r="H26" s="94">
        <f ca="1"/>
        <v>0</v>
      </c>
      <c r="I26" s="98">
        <f ca="1"/>
        <v>0</v>
      </c>
      <c r="J26" s="16" t="str">
        <f ca="1"/>
        <v/>
      </c>
      <c r="K26" s="16" t="str">
        <f ca="1"/>
        <v/>
      </c>
    </row>
    <row r="27" spans="1:11" ht="15.75">
      <c r="A27" s="99" t="str">
        <v>Smith Creek</v>
      </c>
      <c r="B27" s="100" t="str">
        <v>NY</v>
      </c>
      <c r="C27" s="92" t="str" cm="1">
        <f t="array" aca="1" ref="C27:K27" ca="1">IF(INDIRECT("'" &amp; $A27 &amp; "'!B10:J10")="", "", INDIRECT("'" &amp; $A27 &amp; "'!B10:J10"))</f>
        <v/>
      </c>
      <c r="D27" s="92" t="str">
        <f ca="1"/>
        <v/>
      </c>
      <c r="E27" s="92">
        <f ca="1"/>
        <v>0</v>
      </c>
      <c r="F27" s="93">
        <f ca="1"/>
        <v>0</v>
      </c>
      <c r="G27" s="94" t="str">
        <f ca="1"/>
        <v/>
      </c>
      <c r="H27" s="94">
        <f ca="1"/>
        <v>0</v>
      </c>
      <c r="I27" s="98">
        <f ca="1"/>
        <v>0</v>
      </c>
      <c r="J27" s="16" t="str">
        <f ca="1"/>
        <v/>
      </c>
      <c r="K27" s="16" t="str">
        <f ca="1"/>
        <v/>
      </c>
    </row>
    <row r="28" spans="1:11" ht="24.75" customHeight="1" thickBot="1">
      <c r="A28" s="162" t="s">
        <v>9</v>
      </c>
      <c r="B28" s="163"/>
      <c r="C28" s="47">
        <f ca="1">SUM(C3:C27)</f>
        <v>0</v>
      </c>
      <c r="D28" s="47">
        <f ca="1">SUM(D3:D27)</f>
        <v>0</v>
      </c>
      <c r="E28" s="47">
        <f ca="1">C28-D28</f>
        <v>0</v>
      </c>
      <c r="F28" s="38">
        <f ca="1">IFERROR(E28/D28, 0)</f>
        <v>0</v>
      </c>
      <c r="G28" s="47">
        <f ca="1">SUM(G3:G27)</f>
        <v>0</v>
      </c>
      <c r="H28" s="48">
        <f ca="1">C28-G28</f>
        <v>0</v>
      </c>
      <c r="I28" s="39">
        <f ca="1">IFERROR(H28/G28, 0)</f>
        <v>0</v>
      </c>
      <c r="J28" s="8"/>
    </row>
    <row r="29" spans="1:11">
      <c r="J29" s="8"/>
    </row>
    <row r="30" spans="1:11" ht="12.75" customHeight="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 ht="12.75" customHeight="1">
      <c r="A33" s="165"/>
      <c r="J33" s="8"/>
    </row>
    <row r="34" spans="1:10">
      <c r="J34" s="8"/>
    </row>
  </sheetData>
  <autoFilter ref="A2:I2" xr:uid="{6C08AFFB-6AF8-48AC-9706-52E390C2AC4B}"/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18" priority="1" operator="lessThanOrEqual">
      <formula>-0.1</formula>
    </cfRule>
    <cfRule type="cellIs" dxfId="41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"/>
  <sheetViews>
    <sheetView workbookViewId="0">
      <pane ySplit="2" topLeftCell="A11" activePane="bottomLeft" state="frozen"/>
      <selection pane="bottomLeft" activeCell="J18" sqref="J18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6" t="str" cm="1">
        <f t="array" ref="A1">portfolio</f>
        <v>Lodestar</v>
      </c>
      <c r="B1" s="167"/>
      <c r="C1" s="179" t="s">
        <v>34</v>
      </c>
      <c r="D1" s="180"/>
      <c r="E1" s="180"/>
      <c r="F1" s="181"/>
      <c r="G1" s="175" t="s">
        <v>35</v>
      </c>
      <c r="H1" s="175"/>
      <c r="I1" s="176"/>
      <c r="J1" s="177" t="s">
        <v>22</v>
      </c>
      <c r="K1" s="177" t="s">
        <v>23</v>
      </c>
    </row>
    <row r="2" spans="1:11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101" t="s">
        <v>8</v>
      </c>
      <c r="H2" s="7" t="s">
        <v>6</v>
      </c>
      <c r="I2" s="9" t="s">
        <v>7</v>
      </c>
      <c r="J2" s="178"/>
      <c r="K2" s="178"/>
    </row>
    <row r="3" spans="1:11" ht="15.75">
      <c r="A3" s="90" t="str" cm="1">
        <f t="array" ref="A3:A27">Sites[Site]</f>
        <v>Barkhamsted</v>
      </c>
      <c r="B3" s="91" t="str" cm="1">
        <f t="array" ref="B3:B27">Sites[State]</f>
        <v>CT</v>
      </c>
      <c r="C3" s="102" t="str" cm="1">
        <f t="array" aca="1" ref="C3:K3" ca="1">IF(INDIRECT("'" &amp; $A3 &amp; "'!B11:J11")="", "", INDIRECT("'" &amp; $A3 &amp; "'!B11:J11"))</f>
        <v/>
      </c>
      <c r="D3" s="102" t="str">
        <f ca="1"/>
        <v/>
      </c>
      <c r="E3" s="102">
        <f ca="1"/>
        <v>0</v>
      </c>
      <c r="F3" s="93">
        <f ca="1"/>
        <v>0</v>
      </c>
      <c r="G3" s="103" t="str">
        <f ca="1"/>
        <v/>
      </c>
      <c r="H3" s="103">
        <f ca="1"/>
        <v>0</v>
      </c>
      <c r="I3" s="95">
        <f ca="1"/>
        <v>0</v>
      </c>
      <c r="J3" s="16" t="str">
        <f ca="1"/>
        <v/>
      </c>
      <c r="K3" s="16" t="str">
        <f ca="1"/>
        <v/>
      </c>
    </row>
    <row r="4" spans="1:11" ht="15.75">
      <c r="A4" s="96" t="str">
        <v>Bunce</v>
      </c>
      <c r="B4" s="97" t="str">
        <v>CT</v>
      </c>
      <c r="C4" s="102" t="str" cm="1">
        <f t="array" aca="1" ref="C4:K4" ca="1">IF(INDIRECT("'" &amp; $A4 &amp; "'!B11:J11")="", "", INDIRECT("'" &amp; $A4 &amp; "'!B11:J11"))</f>
        <v/>
      </c>
      <c r="D4" s="102" t="str">
        <f ca="1"/>
        <v/>
      </c>
      <c r="E4" s="102">
        <f ca="1"/>
        <v>0</v>
      </c>
      <c r="F4" s="93">
        <f ca="1"/>
        <v>0</v>
      </c>
      <c r="G4" s="103" t="str">
        <f ca="1"/>
        <v/>
      </c>
      <c r="H4" s="103">
        <f ca="1"/>
        <v>0</v>
      </c>
      <c r="I4" s="98">
        <f ca="1"/>
        <v>0</v>
      </c>
      <c r="J4" s="16" t="str">
        <f ca="1"/>
        <v/>
      </c>
      <c r="K4" s="16" t="str">
        <f ca="1"/>
        <v/>
      </c>
    </row>
    <row r="5" spans="1:11" ht="15.75">
      <c r="A5" s="99" t="str">
        <v>Norcap North</v>
      </c>
      <c r="B5" s="100" t="str">
        <v>CT</v>
      </c>
      <c r="C5" s="102" t="str" cm="1">
        <f t="array" aca="1" ref="C5:K5" ca="1">IF(INDIRECT("'" &amp; $A5 &amp; "'!B11:J11")="", "", INDIRECT("'" &amp; $A5 &amp; "'!B11:J11"))</f>
        <v/>
      </c>
      <c r="D5" s="102" t="str">
        <f ca="1"/>
        <v/>
      </c>
      <c r="E5" s="102">
        <f ca="1"/>
        <v>0</v>
      </c>
      <c r="F5" s="93">
        <f ca="1"/>
        <v>0</v>
      </c>
      <c r="G5" s="103" t="str">
        <f ca="1"/>
        <v/>
      </c>
      <c r="H5" s="103">
        <f ca="1"/>
        <v>0</v>
      </c>
      <c r="I5" s="98">
        <f ca="1"/>
        <v>0</v>
      </c>
      <c r="J5" s="16" t="str">
        <f ca="1"/>
        <v/>
      </c>
      <c r="K5" s="16" t="str">
        <f ca="1"/>
        <v/>
      </c>
    </row>
    <row r="6" spans="1:11" ht="15.75">
      <c r="A6" s="96" t="str">
        <v>Norcap South</v>
      </c>
      <c r="B6" s="97" t="str">
        <v>CT</v>
      </c>
      <c r="C6" s="102" t="str" cm="1">
        <f t="array" aca="1" ref="C6:K6" ca="1">IF(INDIRECT("'" &amp; $A6 &amp; "'!B11:J11")="", "", INDIRECT("'" &amp; $A6 &amp; "'!B11:J11"))</f>
        <v/>
      </c>
      <c r="D6" s="102" t="str">
        <f ca="1"/>
        <v/>
      </c>
      <c r="E6" s="102">
        <f ca="1"/>
        <v>0</v>
      </c>
      <c r="F6" s="93">
        <f ca="1"/>
        <v>0</v>
      </c>
      <c r="G6" s="103" t="str">
        <f ca="1"/>
        <v/>
      </c>
      <c r="H6" s="103">
        <f ca="1"/>
        <v>0</v>
      </c>
      <c r="I6" s="98">
        <f ca="1"/>
        <v>0</v>
      </c>
      <c r="J6" s="16" t="str">
        <f ca="1"/>
        <v/>
      </c>
      <c r="K6" s="16" t="str">
        <f ca="1"/>
        <v/>
      </c>
    </row>
    <row r="7" spans="1:11" ht="15.75">
      <c r="A7" s="99" t="str">
        <v>Platt Hill</v>
      </c>
      <c r="B7" s="100" t="str">
        <v>CT</v>
      </c>
      <c r="C7" s="102" t="str" cm="1">
        <f t="array" aca="1" ref="C7:K7" ca="1">IF(INDIRECT("'" &amp; $A7 &amp; "'!B11:J11")="", "", INDIRECT("'" &amp; $A7 &amp; "'!B11:J11"))</f>
        <v/>
      </c>
      <c r="D7" s="102" t="str">
        <f ca="1"/>
        <v/>
      </c>
      <c r="E7" s="102">
        <f ca="1"/>
        <v>0</v>
      </c>
      <c r="F7" s="93">
        <f ca="1"/>
        <v>0</v>
      </c>
      <c r="G7" s="103" t="str">
        <f ca="1"/>
        <v/>
      </c>
      <c r="H7" s="103">
        <f ca="1"/>
        <v>0</v>
      </c>
      <c r="I7" s="98">
        <f ca="1"/>
        <v>0</v>
      </c>
      <c r="J7" s="16" t="str">
        <f ca="1"/>
        <v/>
      </c>
      <c r="K7" s="16" t="str">
        <f ca="1"/>
        <v/>
      </c>
    </row>
    <row r="8" spans="1:11" ht="15.75">
      <c r="A8" s="96" t="str">
        <v>Powder Hill</v>
      </c>
      <c r="B8" s="97" t="str">
        <v>CT</v>
      </c>
      <c r="C8" s="102" t="str" cm="1">
        <f t="array" aca="1" ref="C8:K8" ca="1">IF(INDIRECT("'" &amp; $A8 &amp; "'!B11:J11")="", "", INDIRECT("'" &amp; $A8 &amp; "'!B11:J11"))</f>
        <v/>
      </c>
      <c r="D8" s="102" t="str">
        <f ca="1"/>
        <v/>
      </c>
      <c r="E8" s="102">
        <f ca="1"/>
        <v>0</v>
      </c>
      <c r="F8" s="93">
        <f ca="1"/>
        <v>0</v>
      </c>
      <c r="G8" s="103" t="str">
        <f ca="1"/>
        <v/>
      </c>
      <c r="H8" s="103">
        <f ca="1"/>
        <v>0</v>
      </c>
      <c r="I8" s="98">
        <f ca="1"/>
        <v>0</v>
      </c>
      <c r="J8" s="16" t="str">
        <f ca="1"/>
        <v/>
      </c>
      <c r="K8" s="16" t="str">
        <f ca="1"/>
        <v/>
      </c>
    </row>
    <row r="9" spans="1:11" ht="15.75">
      <c r="A9" s="99" t="str">
        <v>Sand Road</v>
      </c>
      <c r="B9" s="100" t="str">
        <v>CT</v>
      </c>
      <c r="C9" s="102" t="str" cm="1">
        <f t="array" aca="1" ref="C9:K9" ca="1">IF(INDIRECT("'" &amp; $A9 &amp; "'!B11:J11")="", "", INDIRECT("'" &amp; $A9 &amp; "'!B11:J11"))</f>
        <v/>
      </c>
      <c r="D9" s="102" t="str">
        <f ca="1"/>
        <v/>
      </c>
      <c r="E9" s="102">
        <f ca="1"/>
        <v>0</v>
      </c>
      <c r="F9" s="93">
        <f ca="1"/>
        <v>0</v>
      </c>
      <c r="G9" s="103" t="str">
        <f ca="1"/>
        <v/>
      </c>
      <c r="H9" s="103">
        <f ca="1"/>
        <v>0</v>
      </c>
      <c r="I9" s="98">
        <f ca="1"/>
        <v>0</v>
      </c>
      <c r="J9" s="16" t="str">
        <f ca="1"/>
        <v/>
      </c>
      <c r="K9" s="16" t="str">
        <f ca="1"/>
        <v xml:space="preserve"> </v>
      </c>
    </row>
    <row r="10" spans="1:11" ht="15.75">
      <c r="A10" s="96" t="str">
        <v>Suffield</v>
      </c>
      <c r="B10" s="97" t="str">
        <v>CT</v>
      </c>
      <c r="C10" s="102" t="str" cm="1">
        <f t="array" aca="1" ref="C10:K10" ca="1">IF(INDIRECT("'" &amp; $A10 &amp; "'!B11:J11")="", "", INDIRECT("'" &amp; $A10 &amp; "'!B11:J11"))</f>
        <v/>
      </c>
      <c r="D10" s="102" t="str">
        <f ca="1"/>
        <v/>
      </c>
      <c r="E10" s="102">
        <f ca="1"/>
        <v>0</v>
      </c>
      <c r="F10" s="93">
        <f ca="1"/>
        <v>0</v>
      </c>
      <c r="G10" s="103" t="str">
        <f ca="1"/>
        <v/>
      </c>
      <c r="H10" s="103">
        <f ca="1"/>
        <v>0</v>
      </c>
      <c r="I10" s="98">
        <f ca="1"/>
        <v>0</v>
      </c>
      <c r="J10" s="16" t="str">
        <f ca="1"/>
        <v/>
      </c>
      <c r="K10" s="16" t="str">
        <f ca="1"/>
        <v/>
      </c>
    </row>
    <row r="11" spans="1:11" ht="15.75">
      <c r="A11" s="99" t="str">
        <v>Ashby-Duffy</v>
      </c>
      <c r="B11" s="100" t="str">
        <v>MA</v>
      </c>
      <c r="C11" s="102" t="str" cm="1">
        <f t="array" aca="1" ref="C11:K11" ca="1">IF(INDIRECT("'" &amp; $A11 &amp; "'!B11:J11")="", "", INDIRECT("'" &amp; $A11 &amp; "'!B11:J11"))</f>
        <v/>
      </c>
      <c r="D11" s="102" t="str">
        <f ca="1"/>
        <v/>
      </c>
      <c r="E11" s="102">
        <f ca="1"/>
        <v>0</v>
      </c>
      <c r="F11" s="93">
        <f ca="1"/>
        <v>0</v>
      </c>
      <c r="G11" s="103" t="str">
        <f ca="1"/>
        <v/>
      </c>
      <c r="H11" s="103">
        <f ca="1"/>
        <v>0</v>
      </c>
      <c r="I11" s="98">
        <f ca="1"/>
        <v>0</v>
      </c>
      <c r="J11" s="16" t="str">
        <f ca="1"/>
        <v/>
      </c>
      <c r="K11" s="16" t="str">
        <f ca="1"/>
        <v/>
      </c>
    </row>
    <row r="12" spans="1:11" ht="15.75">
      <c r="A12" s="96" t="str">
        <v>Ashland</v>
      </c>
      <c r="B12" s="97" t="str">
        <v>MA</v>
      </c>
      <c r="C12" s="102" t="str" cm="1">
        <f t="array" aca="1" ref="C12:K12" ca="1">IF(INDIRECT("'" &amp; $A12 &amp; "'!B11:J11")="", "", INDIRECT("'" &amp; $A12 &amp; "'!B11:J11"))</f>
        <v/>
      </c>
      <c r="D12" s="102" t="str">
        <f ca="1"/>
        <v/>
      </c>
      <c r="E12" s="102">
        <f ca="1"/>
        <v>0</v>
      </c>
      <c r="F12" s="93">
        <f ca="1"/>
        <v>0</v>
      </c>
      <c r="G12" s="103" t="str">
        <f ca="1"/>
        <v/>
      </c>
      <c r="H12" s="103">
        <f ca="1"/>
        <v>0</v>
      </c>
      <c r="I12" s="98">
        <f ca="1"/>
        <v>0</v>
      </c>
      <c r="J12" s="16" t="str">
        <f ca="1"/>
        <v/>
      </c>
      <c r="K12" s="16" t="str">
        <f ca="1"/>
        <v/>
      </c>
    </row>
    <row r="13" spans="1:11" ht="15.75">
      <c r="A13" s="99" t="str">
        <v>Barrington</v>
      </c>
      <c r="B13" s="100" t="str">
        <v>MA</v>
      </c>
      <c r="C13" s="102" t="str" cm="1">
        <f t="array" aca="1" ref="C13:K13" ca="1">IF(INDIRECT("'" &amp; $A13 &amp; "'!B11:J11")="", "", INDIRECT("'" &amp; $A13 &amp; "'!B11:J11"))</f>
        <v/>
      </c>
      <c r="D13" s="102" t="str">
        <f ca="1"/>
        <v/>
      </c>
      <c r="E13" s="102">
        <f ca="1"/>
        <v>0</v>
      </c>
      <c r="F13" s="93">
        <f ca="1"/>
        <v>0</v>
      </c>
      <c r="G13" s="103" t="str">
        <f ca="1"/>
        <v/>
      </c>
      <c r="H13" s="103">
        <f ca="1"/>
        <v>0</v>
      </c>
      <c r="I13" s="98">
        <f ca="1"/>
        <v>0</v>
      </c>
      <c r="J13" s="16" t="str">
        <f ca="1"/>
        <v/>
      </c>
      <c r="K13" s="16" t="str">
        <f ca="1"/>
        <v/>
      </c>
    </row>
    <row r="14" spans="1:11" ht="15.75">
      <c r="A14" s="96" t="str">
        <v>Bedford - 205 Burlington Rd</v>
      </c>
      <c r="B14" s="97" t="str">
        <v>MA</v>
      </c>
      <c r="C14" s="102" t="str" cm="1">
        <f t="array" aca="1" ref="C14:K14" ca="1">IF(INDIRECT("'" &amp; $A14 &amp; "'!B11:J11")="", "", INDIRECT("'" &amp; $A14 &amp; "'!B11:J11"))</f>
        <v/>
      </c>
      <c r="D14" s="102" t="str">
        <f ca="1"/>
        <v/>
      </c>
      <c r="E14" s="102">
        <f ca="1"/>
        <v>0</v>
      </c>
      <c r="F14" s="93">
        <f ca="1"/>
        <v>0</v>
      </c>
      <c r="G14" s="103" t="str">
        <f ca="1"/>
        <v/>
      </c>
      <c r="H14" s="103">
        <f ca="1"/>
        <v>0</v>
      </c>
      <c r="I14" s="98">
        <f ca="1"/>
        <v>0</v>
      </c>
      <c r="J14" s="16" t="str">
        <f ca="1"/>
        <v/>
      </c>
      <c r="K14" s="16" t="str">
        <f ca="1"/>
        <v/>
      </c>
    </row>
    <row r="15" spans="1:11" ht="15.75">
      <c r="A15" s="99" t="str">
        <v>Billerica - 6 Cook Street</v>
      </c>
      <c r="B15" s="100" t="str">
        <v>MA</v>
      </c>
      <c r="C15" s="102" t="str" cm="1">
        <f t="array" aca="1" ref="C15:K15" ca="1">IF(INDIRECT("'" &amp; $A15 &amp; "'!B11:J11")="", "", INDIRECT("'" &amp; $A15 &amp; "'!B11:J11"))</f>
        <v/>
      </c>
      <c r="D15" s="102" t="str">
        <f ca="1"/>
        <v/>
      </c>
      <c r="E15" s="102">
        <f ca="1"/>
        <v>0</v>
      </c>
      <c r="F15" s="93">
        <f ca="1"/>
        <v>0</v>
      </c>
      <c r="G15" s="103" t="str">
        <f ca="1"/>
        <v/>
      </c>
      <c r="H15" s="103">
        <f ca="1"/>
        <v>0</v>
      </c>
      <c r="I15" s="98">
        <f ca="1"/>
        <v>0</v>
      </c>
      <c r="J15" s="16" t="str">
        <f ca="1"/>
        <v/>
      </c>
      <c r="K15" s="16" t="str">
        <f ca="1"/>
        <v/>
      </c>
    </row>
    <row r="16" spans="1:11" ht="15.75">
      <c r="A16" s="96" t="str">
        <v>Billerica - 780 Boston Road</v>
      </c>
      <c r="B16" s="97" t="str">
        <v>MA</v>
      </c>
      <c r="C16" s="102" t="str" cm="1">
        <f t="array" aca="1" ref="C16:K16" ca="1">IF(INDIRECT("'" &amp; $A16 &amp; "'!B11:J11")="", "", INDIRECT("'" &amp; $A16 &amp; "'!B11:J11"))</f>
        <v/>
      </c>
      <c r="D16" s="102" t="str">
        <f ca="1"/>
        <v/>
      </c>
      <c r="E16" s="102">
        <f ca="1"/>
        <v>0</v>
      </c>
      <c r="F16" s="93">
        <f ca="1"/>
        <v>0</v>
      </c>
      <c r="G16" s="103" t="str">
        <f ca="1"/>
        <v/>
      </c>
      <c r="H16" s="103">
        <f ca="1"/>
        <v>0</v>
      </c>
      <c r="I16" s="98">
        <f ca="1"/>
        <v>0</v>
      </c>
      <c r="J16" s="16" t="str">
        <f ca="1"/>
        <v/>
      </c>
      <c r="K16" s="16" t="str">
        <f ca="1"/>
        <v/>
      </c>
    </row>
    <row r="17" spans="1:11" ht="15.75">
      <c r="A17" s="99" t="str">
        <v>Cheshire</v>
      </c>
      <c r="B17" s="100" t="str">
        <v>MA</v>
      </c>
      <c r="C17" s="102" t="str" cm="1">
        <f t="array" aca="1" ref="C17:K17" ca="1">IF(INDIRECT("'" &amp; $A17 &amp; "'!B11:J11")="", "", INDIRECT("'" &amp; $A17 &amp; "'!B11:J11"))</f>
        <v/>
      </c>
      <c r="D17" s="102" t="str">
        <f ca="1"/>
        <v/>
      </c>
      <c r="E17" s="102">
        <f ca="1"/>
        <v>0</v>
      </c>
      <c r="F17" s="93">
        <f ca="1"/>
        <v>0</v>
      </c>
      <c r="G17" s="103" t="str">
        <f ca="1"/>
        <v/>
      </c>
      <c r="H17" s="103">
        <f ca="1"/>
        <v>0</v>
      </c>
      <c r="I17" s="98">
        <f ca="1"/>
        <v>0</v>
      </c>
      <c r="J17" s="16" t="str">
        <f ca="1"/>
        <v/>
      </c>
      <c r="K17" s="16" t="str">
        <f ca="1"/>
        <v xml:space="preserve"> </v>
      </c>
    </row>
    <row r="18" spans="1:11" ht="15.75">
      <c r="A18" s="96" t="str">
        <v>Lilly Lane</v>
      </c>
      <c r="B18" s="97" t="str">
        <v>MA</v>
      </c>
      <c r="C18" s="102" t="str" cm="1">
        <f t="array" aca="1" ref="C18:K18" ca="1">IF(INDIRECT("'" &amp; $A18 &amp; "'!B11:J11")="", "", INDIRECT("'" &amp; $A18 &amp; "'!B11:J11"))</f>
        <v/>
      </c>
      <c r="D18" s="102" t="str">
        <f ca="1"/>
        <v/>
      </c>
      <c r="E18" s="102">
        <f ca="1"/>
        <v>0</v>
      </c>
      <c r="F18" s="93">
        <f ca="1"/>
        <v>0</v>
      </c>
      <c r="G18" s="103" t="str">
        <f ca="1"/>
        <v/>
      </c>
      <c r="H18" s="103">
        <f ca="1"/>
        <v>0</v>
      </c>
      <c r="I18" s="98">
        <f ca="1"/>
        <v>0</v>
      </c>
      <c r="J18" s="16" t="str">
        <f ca="1"/>
        <v/>
      </c>
      <c r="K18" s="16" t="str">
        <f ca="1"/>
        <v/>
      </c>
    </row>
    <row r="19" spans="1:11" ht="15.75">
      <c r="A19" s="99" t="str">
        <v>Monument Valley</v>
      </c>
      <c r="B19" s="100" t="str">
        <v>MA</v>
      </c>
      <c r="C19" s="102" t="str" cm="1">
        <f t="array" aca="1" ref="C19:K19" ca="1">IF(INDIRECT("'" &amp; $A19 &amp; "'!B11:J11")="", "", INDIRECT("'" &amp; $A19 &amp; "'!B11:J11"))</f>
        <v/>
      </c>
      <c r="D19" s="102" t="str">
        <f ca="1"/>
        <v/>
      </c>
      <c r="E19" s="102">
        <f ca="1"/>
        <v>0</v>
      </c>
      <c r="F19" s="93">
        <f ca="1"/>
        <v>0</v>
      </c>
      <c r="G19" s="103" t="str">
        <f ca="1"/>
        <v/>
      </c>
      <c r="H19" s="103">
        <f ca="1"/>
        <v>0</v>
      </c>
      <c r="I19" s="98">
        <f ca="1"/>
        <v>0</v>
      </c>
      <c r="J19" s="16" t="str">
        <f ca="1"/>
        <v/>
      </c>
      <c r="K19" s="16" t="str">
        <f ca="1"/>
        <v/>
      </c>
    </row>
    <row r="20" spans="1:11" ht="15.75">
      <c r="A20" s="96" t="str">
        <v>Nationwide</v>
      </c>
      <c r="B20" s="97" t="str">
        <v>MA</v>
      </c>
      <c r="C20" s="102" t="str" cm="1">
        <f t="array" aca="1" ref="C20:K20" ca="1">IF(INDIRECT("'" &amp; $A20 &amp; "'!B11:J11")="", "", INDIRECT("'" &amp; $A20 &amp; "'!B11:J11"))</f>
        <v/>
      </c>
      <c r="D20" s="102" t="str">
        <f ca="1"/>
        <v/>
      </c>
      <c r="E20" s="102">
        <f ca="1"/>
        <v>0</v>
      </c>
      <c r="F20" s="93">
        <f ca="1"/>
        <v>0</v>
      </c>
      <c r="G20" s="103" t="str">
        <f ca="1"/>
        <v/>
      </c>
      <c r="H20" s="103">
        <f ca="1"/>
        <v>0</v>
      </c>
      <c r="I20" s="98">
        <f ca="1"/>
        <v>0</v>
      </c>
      <c r="J20" s="16" t="str">
        <f ca="1"/>
        <v/>
      </c>
      <c r="K20" s="16" t="str">
        <f ca="1"/>
        <v/>
      </c>
    </row>
    <row r="21" spans="1:11" ht="15.75">
      <c r="A21" s="99" t="str">
        <v>Pulpit Hill</v>
      </c>
      <c r="B21" s="100" t="str">
        <v>MA</v>
      </c>
      <c r="C21" s="102" t="str" cm="1">
        <f t="array" aca="1" ref="C21:K21" ca="1">IF(INDIRECT("'" &amp; $A21 &amp; "'!B11:J11")="", "", INDIRECT("'" &amp; $A21 &amp; "'!B11:J11"))</f>
        <v/>
      </c>
      <c r="D21" s="102" t="str">
        <f ca="1"/>
        <v/>
      </c>
      <c r="E21" s="102">
        <f ca="1"/>
        <v>0</v>
      </c>
      <c r="F21" s="93">
        <f ca="1"/>
        <v>0</v>
      </c>
      <c r="G21" s="103" t="str">
        <f ca="1"/>
        <v/>
      </c>
      <c r="H21" s="103">
        <f ca="1"/>
        <v>0</v>
      </c>
      <c r="I21" s="98">
        <f ca="1"/>
        <v>0</v>
      </c>
      <c r="J21" s="16" t="str">
        <f ca="1"/>
        <v/>
      </c>
      <c r="K21" s="16" t="str">
        <f ca="1"/>
        <v/>
      </c>
    </row>
    <row r="22" spans="1:11" ht="15.75">
      <c r="A22" s="96" t="str">
        <v>Sandwich</v>
      </c>
      <c r="B22" s="97" t="str">
        <v>MA</v>
      </c>
      <c r="C22" s="102" t="str" cm="1">
        <f t="array" aca="1" ref="C22:K22" ca="1">IF(INDIRECT("'" &amp; $A22 &amp; "'!B11:J11")="", "", INDIRECT("'" &amp; $A22 &amp; "'!B11:J11"))</f>
        <v/>
      </c>
      <c r="D22" s="102" t="str">
        <f ca="1"/>
        <v/>
      </c>
      <c r="E22" s="102">
        <f ca="1"/>
        <v>0</v>
      </c>
      <c r="F22" s="93">
        <f ca="1"/>
        <v>0</v>
      </c>
      <c r="G22" s="103" t="str">
        <f ca="1"/>
        <v/>
      </c>
      <c r="H22" s="103">
        <f ca="1"/>
        <v>0</v>
      </c>
      <c r="I22" s="98">
        <f ca="1"/>
        <v>0</v>
      </c>
      <c r="J22" s="16" t="str">
        <f ca="1"/>
        <v/>
      </c>
      <c r="K22" s="16" t="str">
        <f ca="1"/>
        <v/>
      </c>
    </row>
    <row r="23" spans="1:11" ht="15.75">
      <c r="A23" s="99" t="str">
        <v>Sturbridge Barn</v>
      </c>
      <c r="B23" s="100" t="str">
        <v>MA</v>
      </c>
      <c r="C23" s="102" t="str" cm="1">
        <f t="array" aca="1" ref="C23:K23" ca="1">IF(INDIRECT("'" &amp; $A23 &amp; "'!B11:J11")="", "", INDIRECT("'" &amp; $A23 &amp; "'!B11:J11"))</f>
        <v/>
      </c>
      <c r="D23" s="102" t="str">
        <f ca="1"/>
        <v/>
      </c>
      <c r="E23" s="102">
        <f ca="1"/>
        <v>0</v>
      </c>
      <c r="F23" s="93">
        <f ca="1"/>
        <v>0</v>
      </c>
      <c r="G23" s="103" t="str">
        <f ca="1"/>
        <v/>
      </c>
      <c r="H23" s="103">
        <f ca="1"/>
        <v>0</v>
      </c>
      <c r="I23" s="98">
        <f ca="1"/>
        <v>0</v>
      </c>
      <c r="J23" s="16" t="str">
        <f ca="1"/>
        <v/>
      </c>
      <c r="K23" s="16" t="str">
        <f ca="1"/>
        <v/>
      </c>
    </row>
    <row r="24" spans="1:11" ht="15.75">
      <c r="A24" s="96" t="str">
        <v>Sturbridge Garage</v>
      </c>
      <c r="B24" s="97" t="str">
        <v>MA</v>
      </c>
      <c r="C24" s="102" t="str" cm="1">
        <f t="array" aca="1" ref="C24:K24" ca="1">IF(INDIRECT("'" &amp; $A24 &amp; "'!B11:J11")="", "", INDIRECT("'" &amp; $A24 &amp; "'!B11:J11"))</f>
        <v/>
      </c>
      <c r="D24" s="102" t="str">
        <f ca="1"/>
        <v/>
      </c>
      <c r="E24" s="102">
        <f ca="1"/>
        <v>0</v>
      </c>
      <c r="F24" s="93">
        <f ca="1"/>
        <v>0</v>
      </c>
      <c r="G24" s="103" t="str">
        <f ca="1"/>
        <v/>
      </c>
      <c r="H24" s="103">
        <f ca="1"/>
        <v>0</v>
      </c>
      <c r="I24" s="98">
        <f ca="1"/>
        <v>0</v>
      </c>
      <c r="J24" s="16" t="str">
        <f ca="1"/>
        <v/>
      </c>
      <c r="K24" s="16" t="str">
        <f ca="1"/>
        <v/>
      </c>
    </row>
    <row r="25" spans="1:11" ht="15.75">
      <c r="A25" s="99" t="str">
        <v>Halsey Valley</v>
      </c>
      <c r="B25" s="100" t="str">
        <v>NY</v>
      </c>
      <c r="C25" s="102" t="str" cm="1">
        <f t="array" aca="1" ref="C25:K25" ca="1">IF(INDIRECT("'" &amp; $A25 &amp; "'!B11:J11")="", "", INDIRECT("'" &amp; $A25 &amp; "'!B11:J11"))</f>
        <v/>
      </c>
      <c r="D25" s="102" t="str">
        <f ca="1"/>
        <v/>
      </c>
      <c r="E25" s="102">
        <f ca="1"/>
        <v>0</v>
      </c>
      <c r="F25" s="93">
        <f ca="1"/>
        <v>0</v>
      </c>
      <c r="G25" s="103" t="str">
        <f ca="1"/>
        <v/>
      </c>
      <c r="H25" s="103">
        <f ca="1"/>
        <v>0</v>
      </c>
      <c r="I25" s="98">
        <f ca="1"/>
        <v>0</v>
      </c>
      <c r="J25" s="16" t="str">
        <f ca="1"/>
        <v/>
      </c>
      <c r="K25" s="16" t="str">
        <f ca="1"/>
        <v/>
      </c>
    </row>
    <row r="26" spans="1:11" ht="15.75">
      <c r="A26" s="96" t="str">
        <v>Hunt Creek</v>
      </c>
      <c r="B26" s="97" t="str">
        <v>NY</v>
      </c>
      <c r="C26" s="102" t="str" cm="1">
        <f t="array" aca="1" ref="C26:K26" ca="1">IF(INDIRECT("'" &amp; $A26 &amp; "'!B11:J11")="", "", INDIRECT("'" &amp; $A26 &amp; "'!B11:J11"))</f>
        <v/>
      </c>
      <c r="D26" s="102" t="str">
        <f ca="1"/>
        <v/>
      </c>
      <c r="E26" s="102">
        <f ca="1"/>
        <v>0</v>
      </c>
      <c r="F26" s="93">
        <f ca="1"/>
        <v>0</v>
      </c>
      <c r="G26" s="103" t="str">
        <f ca="1"/>
        <v/>
      </c>
      <c r="H26" s="103">
        <f ca="1"/>
        <v>0</v>
      </c>
      <c r="I26" s="98">
        <f ca="1"/>
        <v>0</v>
      </c>
      <c r="J26" s="16" t="str">
        <f ca="1"/>
        <v/>
      </c>
      <c r="K26" s="16" t="str">
        <f ca="1"/>
        <v/>
      </c>
    </row>
    <row r="27" spans="1:11" ht="15.75">
      <c r="A27" s="99" t="str">
        <v>Smith Creek</v>
      </c>
      <c r="B27" s="100" t="str">
        <v>NY</v>
      </c>
      <c r="C27" s="102" t="str" cm="1">
        <f t="array" aca="1" ref="C27:K27" ca="1">IF(INDIRECT("'" &amp; $A27 &amp; "'!B11:J11")="", "", INDIRECT("'" &amp; $A27 &amp; "'!B11:J11"))</f>
        <v/>
      </c>
      <c r="D27" s="102" t="str">
        <f ca="1"/>
        <v/>
      </c>
      <c r="E27" s="102">
        <f ca="1"/>
        <v>0</v>
      </c>
      <c r="F27" s="93">
        <f ca="1"/>
        <v>0</v>
      </c>
      <c r="G27" s="103" t="str">
        <f ca="1"/>
        <v/>
      </c>
      <c r="H27" s="103">
        <f ca="1"/>
        <v>0</v>
      </c>
      <c r="I27" s="98">
        <f ca="1"/>
        <v>0</v>
      </c>
      <c r="J27" s="16" t="str">
        <f ca="1"/>
        <v/>
      </c>
      <c r="K27" s="16" t="str">
        <f ca="1"/>
        <v/>
      </c>
    </row>
    <row r="28" spans="1:11" ht="24.75" customHeight="1">
      <c r="A28" s="173" t="s">
        <v>9</v>
      </c>
      <c r="B28" s="174"/>
      <c r="C28" s="104">
        <f ca="1">SUM(C3:C27)</f>
        <v>0</v>
      </c>
      <c r="D28" s="104">
        <f ca="1">SUM(D3:D27)</f>
        <v>0</v>
      </c>
      <c r="E28" s="104">
        <f ca="1">C28-D28</f>
        <v>0</v>
      </c>
      <c r="F28" s="105">
        <f ca="1">IFERROR(E28/D28, 0)</f>
        <v>0</v>
      </c>
      <c r="G28" s="104">
        <f ca="1">SUM(G3:G27)</f>
        <v>0</v>
      </c>
      <c r="H28" s="106">
        <f ca="1">C28-G28</f>
        <v>0</v>
      </c>
      <c r="I28" s="107">
        <f ca="1">IFERROR(H28/G28, 0)</f>
        <v>0</v>
      </c>
      <c r="J28" s="108"/>
      <c r="K28" s="109"/>
    </row>
    <row r="29" spans="1:11">
      <c r="J29" s="8"/>
    </row>
    <row r="30" spans="1:11" ht="12.75" customHeight="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 ht="12.75" customHeight="1">
      <c r="A33" s="165"/>
      <c r="J33" s="8"/>
    </row>
    <row r="34" spans="1:10">
      <c r="J34" s="8"/>
    </row>
  </sheetData>
  <autoFilter ref="A2:I2" xr:uid="{957CD936-B73F-469A-B0B5-B8EA155C9C51}"/>
  <sortState xmlns:xlrd2="http://schemas.microsoft.com/office/spreadsheetml/2017/richdata2" ref="A3:K27">
    <sortCondition ref="A3:A27"/>
  </sortState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16" priority="1" operator="lessThanOrEqual">
      <formula>-0.1</formula>
    </cfRule>
    <cfRule type="cellIs" dxfId="41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"/>
  <sheetViews>
    <sheetView workbookViewId="0">
      <pane ySplit="2" topLeftCell="A3" activePane="bottomLeft" state="frozen"/>
      <selection pane="bottomLeft" activeCell="J13" sqref="J13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13.2851562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6" t="str" cm="1">
        <f t="array" ref="A1">portfolio</f>
        <v>Lodestar</v>
      </c>
      <c r="B1" s="167"/>
      <c r="C1" s="179" t="s">
        <v>36</v>
      </c>
      <c r="D1" s="180"/>
      <c r="E1" s="180"/>
      <c r="F1" s="181"/>
      <c r="G1" s="175" t="s">
        <v>37</v>
      </c>
      <c r="H1" s="175"/>
      <c r="I1" s="176"/>
      <c r="J1" s="177" t="s">
        <v>22</v>
      </c>
      <c r="K1" s="177" t="s">
        <v>23</v>
      </c>
    </row>
    <row r="2" spans="1:11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101" t="s">
        <v>8</v>
      </c>
      <c r="H2" s="7" t="s">
        <v>6</v>
      </c>
      <c r="I2" s="9" t="s">
        <v>7</v>
      </c>
      <c r="J2" s="178"/>
      <c r="K2" s="178"/>
    </row>
    <row r="3" spans="1:11" ht="15.75">
      <c r="A3" s="110" t="str" cm="1">
        <f t="array" ref="A3:A27">Sites[Site]</f>
        <v>Barkhamsted</v>
      </c>
      <c r="B3" s="111" t="str" cm="1">
        <f t="array" ref="B3:B27">Sites[State]</f>
        <v>CT</v>
      </c>
      <c r="C3" s="112" t="str" cm="1">
        <f t="array" aca="1" ref="C3:K3" ca="1">IF(INDIRECT("'" &amp; $A3 &amp; "'!B12:J12")="", "", INDIRECT("'" &amp; $A3 &amp; "'!B12:J12"))</f>
        <v/>
      </c>
      <c r="D3" s="112" t="str">
        <f ca="1"/>
        <v/>
      </c>
      <c r="E3" s="112">
        <f ca="1"/>
        <v>0</v>
      </c>
      <c r="F3" s="113">
        <f ca="1"/>
        <v>0</v>
      </c>
      <c r="G3" s="114" t="str">
        <f ca="1"/>
        <v/>
      </c>
      <c r="H3" s="114">
        <f ca="1"/>
        <v>0</v>
      </c>
      <c r="I3" s="115">
        <f ca="1"/>
        <v>0</v>
      </c>
      <c r="J3" s="88" t="str">
        <f ca="1"/>
        <v/>
      </c>
      <c r="K3" s="16" t="str">
        <f ca="1"/>
        <v/>
      </c>
    </row>
    <row r="4" spans="1:11" ht="15.75">
      <c r="A4" s="116" t="str">
        <v>Bunce</v>
      </c>
      <c r="B4" s="117" t="str">
        <v>CT</v>
      </c>
      <c r="C4" s="112" t="str" cm="1">
        <f t="array" aca="1" ref="C4:K4" ca="1">IF(INDIRECT("'" &amp; $A4 &amp; "'!B12:J12")="", "", INDIRECT("'" &amp; $A4 &amp; "'!B12:J12"))</f>
        <v/>
      </c>
      <c r="D4" s="112" t="str">
        <f ca="1"/>
        <v/>
      </c>
      <c r="E4" s="112">
        <f ca="1"/>
        <v>0</v>
      </c>
      <c r="F4" s="113">
        <f ca="1"/>
        <v>0</v>
      </c>
      <c r="G4" s="114" t="str">
        <f ca="1"/>
        <v/>
      </c>
      <c r="H4" s="114">
        <f ca="1"/>
        <v>0</v>
      </c>
      <c r="I4" s="118">
        <f ca="1"/>
        <v>0</v>
      </c>
      <c r="J4" s="16" t="str">
        <f ca="1"/>
        <v/>
      </c>
      <c r="K4" s="16" t="str">
        <f ca="1"/>
        <v/>
      </c>
    </row>
    <row r="5" spans="1:11" ht="15.75">
      <c r="A5" s="119" t="str">
        <v>Norcap North</v>
      </c>
      <c r="B5" s="120" t="str">
        <v>CT</v>
      </c>
      <c r="C5" s="112" t="str" cm="1">
        <f t="array" aca="1" ref="C5:K5" ca="1">IF(INDIRECT("'" &amp; $A5 &amp; "'!B12:J12")="", "", INDIRECT("'" &amp; $A5 &amp; "'!B12:J12"))</f>
        <v/>
      </c>
      <c r="D5" s="112" t="str">
        <f ca="1"/>
        <v/>
      </c>
      <c r="E5" s="112">
        <f ca="1"/>
        <v>0</v>
      </c>
      <c r="F5" s="113">
        <f ca="1"/>
        <v>0</v>
      </c>
      <c r="G5" s="114" t="str">
        <f ca="1"/>
        <v/>
      </c>
      <c r="H5" s="114">
        <f ca="1"/>
        <v>0</v>
      </c>
      <c r="I5" s="118">
        <f ca="1"/>
        <v>0</v>
      </c>
      <c r="J5" s="16" t="str">
        <f ca="1"/>
        <v/>
      </c>
      <c r="K5" s="16" t="str">
        <f ca="1"/>
        <v/>
      </c>
    </row>
    <row r="6" spans="1:11" ht="15.75">
      <c r="A6" s="116" t="str">
        <v>Norcap South</v>
      </c>
      <c r="B6" s="117" t="str">
        <v>CT</v>
      </c>
      <c r="C6" s="112" t="str" cm="1">
        <f t="array" aca="1" ref="C6:K6" ca="1">IF(INDIRECT("'" &amp; $A6 &amp; "'!B12:J12")="", "", INDIRECT("'" &amp; $A6 &amp; "'!B12:J12"))</f>
        <v/>
      </c>
      <c r="D6" s="112" t="str">
        <f ca="1"/>
        <v/>
      </c>
      <c r="E6" s="112">
        <f ca="1"/>
        <v>0</v>
      </c>
      <c r="F6" s="113">
        <f ca="1"/>
        <v>0</v>
      </c>
      <c r="G6" s="114" t="str">
        <f ca="1"/>
        <v/>
      </c>
      <c r="H6" s="114">
        <f ca="1"/>
        <v>0</v>
      </c>
      <c r="I6" s="118">
        <f ca="1"/>
        <v>0</v>
      </c>
      <c r="J6" s="16" t="str">
        <f ca="1"/>
        <v/>
      </c>
      <c r="K6" s="16" t="str">
        <f ca="1"/>
        <v/>
      </c>
    </row>
    <row r="7" spans="1:11" ht="15.75">
      <c r="A7" s="119" t="str">
        <v>Platt Hill</v>
      </c>
      <c r="B7" s="120" t="str">
        <v>CT</v>
      </c>
      <c r="C7" s="112" t="str" cm="1">
        <f t="array" aca="1" ref="C7:K7" ca="1">IF(INDIRECT("'" &amp; $A7 &amp; "'!B12:J12")="", "", INDIRECT("'" &amp; $A7 &amp; "'!B12:J12"))</f>
        <v/>
      </c>
      <c r="D7" s="112" t="str">
        <f ca="1"/>
        <v/>
      </c>
      <c r="E7" s="112">
        <f ca="1"/>
        <v>0</v>
      </c>
      <c r="F7" s="113">
        <f ca="1"/>
        <v>0</v>
      </c>
      <c r="G7" s="114" t="str">
        <f ca="1"/>
        <v/>
      </c>
      <c r="H7" s="114">
        <f ca="1"/>
        <v>0</v>
      </c>
      <c r="I7" s="118">
        <f ca="1"/>
        <v>0</v>
      </c>
      <c r="J7" s="16" t="str">
        <f ca="1"/>
        <v/>
      </c>
      <c r="K7" s="16" t="str">
        <f ca="1"/>
        <v/>
      </c>
    </row>
    <row r="8" spans="1:11" ht="15.75">
      <c r="A8" s="116" t="str">
        <v>Powder Hill</v>
      </c>
      <c r="B8" s="117" t="str">
        <v>CT</v>
      </c>
      <c r="C8" s="112" t="str" cm="1">
        <f t="array" aca="1" ref="C8:K8" ca="1">IF(INDIRECT("'" &amp; $A8 &amp; "'!B12:J12")="", "", INDIRECT("'" &amp; $A8 &amp; "'!B12:J12"))</f>
        <v/>
      </c>
      <c r="D8" s="112" t="str">
        <f ca="1"/>
        <v/>
      </c>
      <c r="E8" s="112">
        <f ca="1"/>
        <v>0</v>
      </c>
      <c r="F8" s="113">
        <f ca="1"/>
        <v>0</v>
      </c>
      <c r="G8" s="114" t="str">
        <f ca="1"/>
        <v/>
      </c>
      <c r="H8" s="114">
        <f ca="1"/>
        <v>0</v>
      </c>
      <c r="I8" s="118">
        <f ca="1"/>
        <v>0</v>
      </c>
      <c r="J8" s="16" t="str">
        <f ca="1"/>
        <v/>
      </c>
      <c r="K8" s="16" t="str">
        <f ca="1"/>
        <v/>
      </c>
    </row>
    <row r="9" spans="1:11" ht="15.75">
      <c r="A9" s="119" t="str">
        <v>Sand Road</v>
      </c>
      <c r="B9" s="120" t="str">
        <v>CT</v>
      </c>
      <c r="C9" s="112" t="str" cm="1">
        <f t="array" aca="1" ref="C9:K9" ca="1">IF(INDIRECT("'" &amp; $A9 &amp; "'!B12:J12")="", "", INDIRECT("'" &amp; $A9 &amp; "'!B12:J12"))</f>
        <v/>
      </c>
      <c r="D9" s="112" t="str">
        <f ca="1"/>
        <v/>
      </c>
      <c r="E9" s="112">
        <f ca="1"/>
        <v>0</v>
      </c>
      <c r="F9" s="113">
        <f ca="1"/>
        <v>0</v>
      </c>
      <c r="G9" s="114" t="str">
        <f ca="1"/>
        <v/>
      </c>
      <c r="H9" s="114">
        <f ca="1"/>
        <v>0</v>
      </c>
      <c r="I9" s="118">
        <f ca="1"/>
        <v>0</v>
      </c>
      <c r="J9" s="16" t="str">
        <f ca="1"/>
        <v/>
      </c>
      <c r="K9" s="16" t="str">
        <f ca="1"/>
        <v/>
      </c>
    </row>
    <row r="10" spans="1:11" ht="15.75">
      <c r="A10" s="116" t="str">
        <v>Suffield</v>
      </c>
      <c r="B10" s="117" t="str">
        <v>CT</v>
      </c>
      <c r="C10" s="112" t="str" cm="1">
        <f t="array" aca="1" ref="C10:K10" ca="1">IF(INDIRECT("'" &amp; $A10 &amp; "'!B12:J12")="", "", INDIRECT("'" &amp; $A10 &amp; "'!B12:J12"))</f>
        <v/>
      </c>
      <c r="D10" s="112" t="str">
        <f ca="1"/>
        <v/>
      </c>
      <c r="E10" s="112">
        <f ca="1"/>
        <v>0</v>
      </c>
      <c r="F10" s="113">
        <f ca="1"/>
        <v>0</v>
      </c>
      <c r="G10" s="114" t="str">
        <f ca="1"/>
        <v/>
      </c>
      <c r="H10" s="114">
        <f ca="1"/>
        <v>0</v>
      </c>
      <c r="I10" s="118">
        <f ca="1"/>
        <v>0</v>
      </c>
      <c r="J10" s="16" t="str">
        <f ca="1"/>
        <v/>
      </c>
      <c r="K10" s="16" t="str">
        <f ca="1"/>
        <v/>
      </c>
    </row>
    <row r="11" spans="1:11" ht="15.75">
      <c r="A11" s="119" t="str">
        <v>Ashby-Duffy</v>
      </c>
      <c r="B11" s="120" t="str">
        <v>MA</v>
      </c>
      <c r="C11" s="112" t="str" cm="1">
        <f t="array" aca="1" ref="C11:K11" ca="1">IF(INDIRECT("'" &amp; $A11 &amp; "'!B12:J12")="", "", INDIRECT("'" &amp; $A11 &amp; "'!B12:J12"))</f>
        <v/>
      </c>
      <c r="D11" s="112" t="str">
        <f ca="1"/>
        <v/>
      </c>
      <c r="E11" s="112">
        <f ca="1"/>
        <v>0</v>
      </c>
      <c r="F11" s="113">
        <f ca="1"/>
        <v>0</v>
      </c>
      <c r="G11" s="114" t="str">
        <f ca="1"/>
        <v/>
      </c>
      <c r="H11" s="114">
        <f ca="1"/>
        <v>0</v>
      </c>
      <c r="I11" s="118">
        <f ca="1"/>
        <v>0</v>
      </c>
      <c r="J11" s="16" t="str">
        <f ca="1"/>
        <v/>
      </c>
      <c r="K11" s="16" t="str">
        <f ca="1"/>
        <v/>
      </c>
    </row>
    <row r="12" spans="1:11" ht="15.75">
      <c r="A12" s="116" t="str">
        <v>Ashland</v>
      </c>
      <c r="B12" s="117" t="str">
        <v>MA</v>
      </c>
      <c r="C12" s="112" t="str" cm="1">
        <f t="array" aca="1" ref="C12:K12" ca="1">IF(INDIRECT("'" &amp; $A12 &amp; "'!B12:J12")="", "", INDIRECT("'" &amp; $A12 &amp; "'!B12:J12"))</f>
        <v/>
      </c>
      <c r="D12" s="112" t="str">
        <f ca="1"/>
        <v/>
      </c>
      <c r="E12" s="112">
        <f ca="1"/>
        <v>0</v>
      </c>
      <c r="F12" s="113">
        <f ca="1"/>
        <v>0</v>
      </c>
      <c r="G12" s="114" t="str">
        <f ca="1"/>
        <v/>
      </c>
      <c r="H12" s="114">
        <f ca="1"/>
        <v>0</v>
      </c>
      <c r="I12" s="118">
        <f ca="1"/>
        <v>0</v>
      </c>
      <c r="J12" s="16" t="str">
        <f ca="1"/>
        <v/>
      </c>
      <c r="K12" s="16" t="str">
        <f ca="1"/>
        <v/>
      </c>
    </row>
    <row r="13" spans="1:11" ht="15.75">
      <c r="A13" s="119" t="str">
        <v>Barrington</v>
      </c>
      <c r="B13" s="120" t="str">
        <v>MA</v>
      </c>
      <c r="C13" s="112" t="str" cm="1">
        <f t="array" aca="1" ref="C13:K13" ca="1">IF(INDIRECT("'" &amp; $A13 &amp; "'!B12:J12")="", "", INDIRECT("'" &amp; $A13 &amp; "'!B12:J12"))</f>
        <v/>
      </c>
      <c r="D13" s="112" t="str">
        <f ca="1"/>
        <v/>
      </c>
      <c r="E13" s="112">
        <f ca="1"/>
        <v>0</v>
      </c>
      <c r="F13" s="113">
        <f ca="1"/>
        <v>0</v>
      </c>
      <c r="G13" s="114" t="str">
        <f ca="1"/>
        <v/>
      </c>
      <c r="H13" s="114">
        <f ca="1"/>
        <v>0</v>
      </c>
      <c r="I13" s="118">
        <f ca="1"/>
        <v>0</v>
      </c>
      <c r="J13" s="16" t="str">
        <f ca="1"/>
        <v/>
      </c>
      <c r="K13" s="16" t="str">
        <f ca="1"/>
        <v/>
      </c>
    </row>
    <row r="14" spans="1:11" ht="15.75">
      <c r="A14" s="116" t="str">
        <v>Bedford - 205 Burlington Rd</v>
      </c>
      <c r="B14" s="117" t="str">
        <v>MA</v>
      </c>
      <c r="C14" s="112" t="str" cm="1">
        <f t="array" aca="1" ref="C14:K14" ca="1">IF(INDIRECT("'" &amp; $A14 &amp; "'!B12:J12")="", "", INDIRECT("'" &amp; $A14 &amp; "'!B12:J12"))</f>
        <v/>
      </c>
      <c r="D14" s="112" t="str">
        <f ca="1"/>
        <v/>
      </c>
      <c r="E14" s="112">
        <f ca="1"/>
        <v>0</v>
      </c>
      <c r="F14" s="113">
        <f ca="1"/>
        <v>0</v>
      </c>
      <c r="G14" s="114" t="str">
        <f ca="1"/>
        <v/>
      </c>
      <c r="H14" s="114">
        <f ca="1"/>
        <v>0</v>
      </c>
      <c r="I14" s="118">
        <f ca="1"/>
        <v>0</v>
      </c>
      <c r="J14" s="16" t="str">
        <f ca="1"/>
        <v/>
      </c>
      <c r="K14" s="16" t="str">
        <f ca="1"/>
        <v/>
      </c>
    </row>
    <row r="15" spans="1:11" ht="15.75">
      <c r="A15" s="119" t="str">
        <v>Billerica - 6 Cook Street</v>
      </c>
      <c r="B15" s="120" t="str">
        <v>MA</v>
      </c>
      <c r="C15" s="112" t="str" cm="1">
        <f t="array" aca="1" ref="C15:K15" ca="1">IF(INDIRECT("'" &amp; $A15 &amp; "'!B12:J12")="", "", INDIRECT("'" &amp; $A15 &amp; "'!B12:J12"))</f>
        <v/>
      </c>
      <c r="D15" s="112" t="str">
        <f ca="1"/>
        <v/>
      </c>
      <c r="E15" s="112">
        <f ca="1"/>
        <v>0</v>
      </c>
      <c r="F15" s="113">
        <f ca="1"/>
        <v>0</v>
      </c>
      <c r="G15" s="114" t="str">
        <f ca="1"/>
        <v/>
      </c>
      <c r="H15" s="114">
        <f ca="1"/>
        <v>0</v>
      </c>
      <c r="I15" s="118">
        <f ca="1"/>
        <v>0</v>
      </c>
      <c r="J15" s="16" t="str">
        <f ca="1"/>
        <v/>
      </c>
      <c r="K15" s="16" t="str">
        <f ca="1"/>
        <v/>
      </c>
    </row>
    <row r="16" spans="1:11" ht="15.75">
      <c r="A16" s="116" t="str">
        <v>Billerica - 780 Boston Road</v>
      </c>
      <c r="B16" s="117" t="str">
        <v>MA</v>
      </c>
      <c r="C16" s="112" t="str" cm="1">
        <f t="array" aca="1" ref="C16:K16" ca="1">IF(INDIRECT("'" &amp; $A16 &amp; "'!B12:J12")="", "", INDIRECT("'" &amp; $A16 &amp; "'!B12:J12"))</f>
        <v/>
      </c>
      <c r="D16" s="112" t="str">
        <f ca="1"/>
        <v/>
      </c>
      <c r="E16" s="112">
        <f ca="1"/>
        <v>0</v>
      </c>
      <c r="F16" s="113">
        <f ca="1"/>
        <v>0</v>
      </c>
      <c r="G16" s="114" t="str">
        <f ca="1"/>
        <v/>
      </c>
      <c r="H16" s="114">
        <f ca="1"/>
        <v>0</v>
      </c>
      <c r="I16" s="118">
        <f ca="1"/>
        <v>0</v>
      </c>
      <c r="J16" s="16" t="str">
        <f ca="1"/>
        <v/>
      </c>
      <c r="K16" s="16" t="str">
        <f ca="1"/>
        <v/>
      </c>
    </row>
    <row r="17" spans="1:11" ht="15.75">
      <c r="A17" s="119" t="str">
        <v>Cheshire</v>
      </c>
      <c r="B17" s="120" t="str">
        <v>MA</v>
      </c>
      <c r="C17" s="112" t="str" cm="1">
        <f t="array" aca="1" ref="C17:K17" ca="1">IF(INDIRECT("'" &amp; $A17 &amp; "'!B12:J12")="", "", INDIRECT("'" &amp; $A17 &amp; "'!B12:J12"))</f>
        <v/>
      </c>
      <c r="D17" s="112" t="str">
        <f ca="1"/>
        <v/>
      </c>
      <c r="E17" s="112">
        <f ca="1"/>
        <v>0</v>
      </c>
      <c r="F17" s="113">
        <f ca="1"/>
        <v>0</v>
      </c>
      <c r="G17" s="114" t="str">
        <f ca="1"/>
        <v/>
      </c>
      <c r="H17" s="114">
        <f ca="1"/>
        <v>0</v>
      </c>
      <c r="I17" s="118">
        <f ca="1"/>
        <v>0</v>
      </c>
      <c r="J17" s="16" t="str">
        <f ca="1"/>
        <v/>
      </c>
      <c r="K17" s="16" t="str">
        <f ca="1"/>
        <v/>
      </c>
    </row>
    <row r="18" spans="1:11" ht="15.75">
      <c r="A18" s="116" t="str">
        <v>Lilly Lane</v>
      </c>
      <c r="B18" s="117" t="str">
        <v>MA</v>
      </c>
      <c r="C18" s="112" t="str" cm="1">
        <f t="array" aca="1" ref="C18:K18" ca="1">IF(INDIRECT("'" &amp; $A18 &amp; "'!B12:J12")="", "", INDIRECT("'" &amp; $A18 &amp; "'!B12:J12"))</f>
        <v/>
      </c>
      <c r="D18" s="112" t="str">
        <f ca="1"/>
        <v/>
      </c>
      <c r="E18" s="112">
        <f ca="1"/>
        <v>0</v>
      </c>
      <c r="F18" s="113">
        <f ca="1"/>
        <v>0</v>
      </c>
      <c r="G18" s="114" t="str">
        <f ca="1"/>
        <v/>
      </c>
      <c r="H18" s="114">
        <f ca="1"/>
        <v>0</v>
      </c>
      <c r="I18" s="118">
        <f ca="1"/>
        <v>0</v>
      </c>
      <c r="J18" s="16" t="str">
        <f ca="1"/>
        <v/>
      </c>
      <c r="K18" s="16" t="str">
        <f ca="1"/>
        <v/>
      </c>
    </row>
    <row r="19" spans="1:11" ht="15.75">
      <c r="A19" s="119" t="str">
        <v>Monument Valley</v>
      </c>
      <c r="B19" s="120" t="str">
        <v>MA</v>
      </c>
      <c r="C19" s="112" t="str" cm="1">
        <f t="array" aca="1" ref="C19:K19" ca="1">IF(INDIRECT("'" &amp; $A19 &amp; "'!B12:J12")="", "", INDIRECT("'" &amp; $A19 &amp; "'!B12:J12"))</f>
        <v/>
      </c>
      <c r="D19" s="112" t="str">
        <f ca="1"/>
        <v/>
      </c>
      <c r="E19" s="112">
        <f ca="1"/>
        <v>0</v>
      </c>
      <c r="F19" s="113">
        <f ca="1"/>
        <v>0</v>
      </c>
      <c r="G19" s="114" t="str">
        <f ca="1"/>
        <v/>
      </c>
      <c r="H19" s="114">
        <f ca="1"/>
        <v>0</v>
      </c>
      <c r="I19" s="118">
        <f ca="1"/>
        <v>0</v>
      </c>
      <c r="J19" s="16" t="str">
        <f ca="1"/>
        <v/>
      </c>
      <c r="K19" s="16" t="str">
        <f ca="1"/>
        <v/>
      </c>
    </row>
    <row r="20" spans="1:11" ht="15.75">
      <c r="A20" s="116" t="str">
        <v>Nationwide</v>
      </c>
      <c r="B20" s="117" t="str">
        <v>MA</v>
      </c>
      <c r="C20" s="112" t="str" cm="1">
        <f t="array" aca="1" ref="C20:K20" ca="1">IF(INDIRECT("'" &amp; $A20 &amp; "'!B12:J12")="", "", INDIRECT("'" &amp; $A20 &amp; "'!B12:J12"))</f>
        <v/>
      </c>
      <c r="D20" s="112" t="str">
        <f ca="1"/>
        <v/>
      </c>
      <c r="E20" s="112">
        <f ca="1"/>
        <v>0</v>
      </c>
      <c r="F20" s="113">
        <f ca="1"/>
        <v>0</v>
      </c>
      <c r="G20" s="114" t="str">
        <f ca="1"/>
        <v/>
      </c>
      <c r="H20" s="114">
        <f ca="1"/>
        <v>0</v>
      </c>
      <c r="I20" s="118">
        <f ca="1"/>
        <v>0</v>
      </c>
      <c r="J20" s="16" t="str">
        <f ca="1"/>
        <v/>
      </c>
      <c r="K20" s="16" t="str">
        <f ca="1"/>
        <v/>
      </c>
    </row>
    <row r="21" spans="1:11" ht="15.75">
      <c r="A21" s="119" t="str">
        <v>Pulpit Hill</v>
      </c>
      <c r="B21" s="120" t="str">
        <v>MA</v>
      </c>
      <c r="C21" s="112" t="str" cm="1">
        <f t="array" aca="1" ref="C21:K21" ca="1">IF(INDIRECT("'" &amp; $A21 &amp; "'!B12:J12")="", "", INDIRECT("'" &amp; $A21 &amp; "'!B12:J12"))</f>
        <v/>
      </c>
      <c r="D21" s="112" t="str">
        <f ca="1"/>
        <v/>
      </c>
      <c r="E21" s="112">
        <f ca="1"/>
        <v>0</v>
      </c>
      <c r="F21" s="113">
        <f ca="1"/>
        <v>0</v>
      </c>
      <c r="G21" s="114" t="str">
        <f ca="1"/>
        <v/>
      </c>
      <c r="H21" s="114">
        <f ca="1"/>
        <v>0</v>
      </c>
      <c r="I21" s="118">
        <f ca="1"/>
        <v>0</v>
      </c>
      <c r="J21" s="16" t="str">
        <f ca="1"/>
        <v/>
      </c>
      <c r="K21" s="16" t="str">
        <f ca="1"/>
        <v/>
      </c>
    </row>
    <row r="22" spans="1:11" ht="15.75">
      <c r="A22" s="116" t="str">
        <v>Sandwich</v>
      </c>
      <c r="B22" s="117" t="str">
        <v>MA</v>
      </c>
      <c r="C22" s="112" t="str" cm="1">
        <f t="array" aca="1" ref="C22:K22" ca="1">IF(INDIRECT("'" &amp; $A22 &amp; "'!B12:J12")="", "", INDIRECT("'" &amp; $A22 &amp; "'!B12:J12"))</f>
        <v/>
      </c>
      <c r="D22" s="112" t="str">
        <f ca="1"/>
        <v/>
      </c>
      <c r="E22" s="112">
        <f ca="1"/>
        <v>0</v>
      </c>
      <c r="F22" s="113">
        <f ca="1"/>
        <v>0</v>
      </c>
      <c r="G22" s="114" t="str">
        <f ca="1"/>
        <v/>
      </c>
      <c r="H22" s="114">
        <f ca="1"/>
        <v>0</v>
      </c>
      <c r="I22" s="118">
        <f ca="1"/>
        <v>0</v>
      </c>
      <c r="J22" s="16" t="str">
        <f ca="1"/>
        <v/>
      </c>
      <c r="K22" s="16" t="str">
        <f ca="1"/>
        <v/>
      </c>
    </row>
    <row r="23" spans="1:11" ht="15.75">
      <c r="A23" s="119" t="str">
        <v>Sturbridge Barn</v>
      </c>
      <c r="B23" s="120" t="str">
        <v>MA</v>
      </c>
      <c r="C23" s="112" t="str" cm="1">
        <f t="array" aca="1" ref="C23:K23" ca="1">IF(INDIRECT("'" &amp; $A23 &amp; "'!B12:J12")="", "", INDIRECT("'" &amp; $A23 &amp; "'!B12:J12"))</f>
        <v/>
      </c>
      <c r="D23" s="112" t="str">
        <f ca="1"/>
        <v/>
      </c>
      <c r="E23" s="112">
        <f ca="1"/>
        <v>0</v>
      </c>
      <c r="F23" s="113">
        <f ca="1"/>
        <v>0</v>
      </c>
      <c r="G23" s="114" t="str">
        <f ca="1"/>
        <v/>
      </c>
      <c r="H23" s="114">
        <f ca="1"/>
        <v>0</v>
      </c>
      <c r="I23" s="118">
        <f ca="1"/>
        <v>0</v>
      </c>
      <c r="J23" s="16" t="str">
        <f ca="1"/>
        <v/>
      </c>
      <c r="K23" s="16" t="str">
        <f ca="1"/>
        <v/>
      </c>
    </row>
    <row r="24" spans="1:11" ht="15.75">
      <c r="A24" s="116" t="str">
        <v>Sturbridge Garage</v>
      </c>
      <c r="B24" s="117" t="str">
        <v>MA</v>
      </c>
      <c r="C24" s="112" t="str" cm="1">
        <f t="array" aca="1" ref="C24:K24" ca="1">IF(INDIRECT("'" &amp; $A24 &amp; "'!B12:J12")="", "", INDIRECT("'" &amp; $A24 &amp; "'!B12:J12"))</f>
        <v/>
      </c>
      <c r="D24" s="112" t="str">
        <f ca="1"/>
        <v/>
      </c>
      <c r="E24" s="112">
        <f ca="1"/>
        <v>0</v>
      </c>
      <c r="F24" s="113">
        <f ca="1"/>
        <v>0</v>
      </c>
      <c r="G24" s="114" t="str">
        <f ca="1"/>
        <v/>
      </c>
      <c r="H24" s="114">
        <f ca="1"/>
        <v>0</v>
      </c>
      <c r="I24" s="118">
        <f ca="1"/>
        <v>0</v>
      </c>
      <c r="J24" s="16" t="str">
        <f ca="1"/>
        <v/>
      </c>
      <c r="K24" s="16" t="str">
        <f ca="1"/>
        <v/>
      </c>
    </row>
    <row r="25" spans="1:11" ht="15.75">
      <c r="A25" s="119" t="str">
        <v>Halsey Valley</v>
      </c>
      <c r="B25" s="120" t="str">
        <v>NY</v>
      </c>
      <c r="C25" s="112" t="str" cm="1">
        <f t="array" aca="1" ref="C25:K25" ca="1">IF(INDIRECT("'" &amp; $A25 &amp; "'!B12:J12")="", "", INDIRECT("'" &amp; $A25 &amp; "'!B12:J12"))</f>
        <v/>
      </c>
      <c r="D25" s="112" t="str">
        <f ca="1"/>
        <v/>
      </c>
      <c r="E25" s="112">
        <f ca="1"/>
        <v>0</v>
      </c>
      <c r="F25" s="113">
        <f ca="1"/>
        <v>0</v>
      </c>
      <c r="G25" s="114" t="str">
        <f ca="1"/>
        <v/>
      </c>
      <c r="H25" s="114">
        <f ca="1"/>
        <v>0</v>
      </c>
      <c r="I25" s="118">
        <f ca="1"/>
        <v>0</v>
      </c>
      <c r="J25" s="16" t="str">
        <f ca="1"/>
        <v/>
      </c>
      <c r="K25" s="16" t="str">
        <f ca="1"/>
        <v/>
      </c>
    </row>
    <row r="26" spans="1:11" ht="15.75">
      <c r="A26" s="116" t="str">
        <v>Hunt Creek</v>
      </c>
      <c r="B26" s="117" t="str">
        <v>NY</v>
      </c>
      <c r="C26" s="112" t="str" cm="1">
        <f t="array" aca="1" ref="C26:K26" ca="1">IF(INDIRECT("'" &amp; $A26 &amp; "'!B12:J12")="", "", INDIRECT("'" &amp; $A26 &amp; "'!B12:J12"))</f>
        <v/>
      </c>
      <c r="D26" s="112" t="str">
        <f ca="1"/>
        <v/>
      </c>
      <c r="E26" s="112">
        <f ca="1"/>
        <v>0</v>
      </c>
      <c r="F26" s="113">
        <f ca="1"/>
        <v>0</v>
      </c>
      <c r="G26" s="114" t="str">
        <f ca="1"/>
        <v/>
      </c>
      <c r="H26" s="114">
        <f ca="1"/>
        <v>0</v>
      </c>
      <c r="I26" s="118">
        <f ca="1"/>
        <v>0</v>
      </c>
      <c r="J26" s="16" t="str">
        <f ca="1"/>
        <v/>
      </c>
      <c r="K26" s="16" t="str">
        <f ca="1"/>
        <v/>
      </c>
    </row>
    <row r="27" spans="1:11" ht="15.75">
      <c r="A27" s="119" t="str">
        <v>Smith Creek</v>
      </c>
      <c r="B27" s="120" t="str">
        <v>NY</v>
      </c>
      <c r="C27" s="112" t="str" cm="1">
        <f t="array" aca="1" ref="C27:K27" ca="1">IF(INDIRECT("'" &amp; $A27 &amp; "'!B12:J12")="", "", INDIRECT("'" &amp; $A27 &amp; "'!B12:J12"))</f>
        <v/>
      </c>
      <c r="D27" s="112" t="str">
        <f ca="1"/>
        <v/>
      </c>
      <c r="E27" s="112">
        <f ca="1"/>
        <v>0</v>
      </c>
      <c r="F27" s="113">
        <f ca="1"/>
        <v>0</v>
      </c>
      <c r="G27" s="114" t="str">
        <f ca="1"/>
        <v/>
      </c>
      <c r="H27" s="114">
        <f ca="1"/>
        <v>0</v>
      </c>
      <c r="I27" s="118">
        <f ca="1"/>
        <v>0</v>
      </c>
      <c r="J27" s="16" t="str">
        <f ca="1"/>
        <v/>
      </c>
      <c r="K27" s="16" t="str">
        <f ca="1"/>
        <v/>
      </c>
    </row>
    <row r="28" spans="1:11" ht="24.75" customHeight="1">
      <c r="A28" s="173" t="s">
        <v>9</v>
      </c>
      <c r="B28" s="174"/>
      <c r="C28" s="104">
        <f ca="1">SUM(C3:C27)</f>
        <v>0</v>
      </c>
      <c r="D28" s="104">
        <f ca="1">SUM(D3:D27)</f>
        <v>0</v>
      </c>
      <c r="E28" s="104">
        <f ca="1">C28-D28</f>
        <v>0</v>
      </c>
      <c r="F28" s="105">
        <f ca="1">IFERROR(E28/D28, 0)</f>
        <v>0</v>
      </c>
      <c r="G28" s="104">
        <f ca="1">SUM(G3:G27)</f>
        <v>0</v>
      </c>
      <c r="H28" s="106">
        <f ca="1">C28-G28</f>
        <v>0</v>
      </c>
      <c r="I28" s="107">
        <f ca="1">IFERROR(H28/G28, 0)</f>
        <v>0</v>
      </c>
      <c r="J28" s="108"/>
      <c r="K28" s="109"/>
    </row>
    <row r="29" spans="1:11">
      <c r="J29" s="8"/>
    </row>
    <row r="30" spans="1:11" ht="12.75" customHeight="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 ht="12.75" customHeight="1">
      <c r="A33" s="165"/>
      <c r="J33" s="8"/>
    </row>
    <row r="34" spans="1:10">
      <c r="J34" s="8"/>
    </row>
  </sheetData>
  <autoFilter ref="A2:I2" xr:uid="{48D80AE8-42BF-4DAC-863F-113F77A3E00F}"/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14" priority="1" operator="lessThanOrEqual">
      <formula>-0.1</formula>
    </cfRule>
    <cfRule type="cellIs" dxfId="41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"/>
  <sheetViews>
    <sheetView zoomScaleNormal="100" workbookViewId="0">
      <pane ySplit="2" topLeftCell="A3" activePane="bottomLeft" state="frozen"/>
      <selection pane="bottomLeft" activeCell="F19" sqref="F19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105.28515625" customWidth="1"/>
    <col min="11" max="11" width="21.5703125" bestFit="1" customWidth="1"/>
  </cols>
  <sheetData>
    <row r="1" spans="1:11" ht="19.5" customHeight="1">
      <c r="A1" s="166" t="str" cm="1">
        <f t="array" ref="A1">portfolio</f>
        <v>Lodestar</v>
      </c>
      <c r="B1" s="167"/>
      <c r="C1" s="179" t="s">
        <v>38</v>
      </c>
      <c r="D1" s="180"/>
      <c r="E1" s="180"/>
      <c r="F1" s="181"/>
      <c r="G1" s="175" t="s">
        <v>39</v>
      </c>
      <c r="H1" s="175"/>
      <c r="I1" s="176"/>
      <c r="J1" s="177" t="s">
        <v>22</v>
      </c>
      <c r="K1" s="177" t="s">
        <v>23</v>
      </c>
    </row>
    <row r="2" spans="1:11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101" t="s">
        <v>8</v>
      </c>
      <c r="H2" s="7" t="s">
        <v>6</v>
      </c>
      <c r="I2" s="9" t="s">
        <v>7</v>
      </c>
      <c r="J2" s="178"/>
      <c r="K2" s="178"/>
    </row>
    <row r="3" spans="1:11" ht="15.75">
      <c r="A3" s="110" t="str" cm="1">
        <f t="array" ref="A3:A27">Sites[Site]</f>
        <v>Barkhamsted</v>
      </c>
      <c r="B3" s="111" t="str" cm="1">
        <f t="array" ref="B3:B27">Sites[State]</f>
        <v>CT</v>
      </c>
      <c r="C3" s="112" t="str" cm="1">
        <f t="array" aca="1" ref="C3:K3" ca="1">IF(INDIRECT("'" &amp; $A3 &amp; "'!B13:J13")="", "", INDIRECT("'" &amp; $A3 &amp; "'!B13:J13"))</f>
        <v/>
      </c>
      <c r="D3" s="112" t="str">
        <f ca="1"/>
        <v/>
      </c>
      <c r="E3" s="112">
        <f ca="1"/>
        <v>0</v>
      </c>
      <c r="F3" s="113">
        <f ca="1"/>
        <v>0</v>
      </c>
      <c r="G3" s="114" t="str">
        <f ca="1"/>
        <v/>
      </c>
      <c r="H3" s="114">
        <f ca="1"/>
        <v>0</v>
      </c>
      <c r="I3" s="115">
        <f ca="1"/>
        <v>0</v>
      </c>
      <c r="J3" s="16" t="str">
        <f ca="1"/>
        <v/>
      </c>
      <c r="K3" s="16" t="str">
        <f ca="1"/>
        <v/>
      </c>
    </row>
    <row r="4" spans="1:11" ht="15.75">
      <c r="A4" s="116" t="str">
        <v>Bunce</v>
      </c>
      <c r="B4" s="117" t="str">
        <v>CT</v>
      </c>
      <c r="C4" s="112" t="str" cm="1">
        <f t="array" aca="1" ref="C4:K4" ca="1">IF(INDIRECT("'" &amp; $A4 &amp; "'!B13:J13")="", "", INDIRECT("'" &amp; $A4 &amp; "'!B13:J13"))</f>
        <v/>
      </c>
      <c r="D4" s="112" t="str">
        <f ca="1"/>
        <v/>
      </c>
      <c r="E4" s="112">
        <f ca="1"/>
        <v>0</v>
      </c>
      <c r="F4" s="113">
        <f ca="1"/>
        <v>0</v>
      </c>
      <c r="G4" s="114" t="str">
        <f ca="1"/>
        <v/>
      </c>
      <c r="H4" s="114">
        <f ca="1"/>
        <v>0</v>
      </c>
      <c r="I4" s="118">
        <f ca="1"/>
        <v>0</v>
      </c>
      <c r="J4" s="16" t="str">
        <f ca="1"/>
        <v/>
      </c>
      <c r="K4" s="16" t="str">
        <f ca="1"/>
        <v/>
      </c>
    </row>
    <row r="5" spans="1:11" ht="15.75">
      <c r="A5" s="119" t="str">
        <v>Norcap North</v>
      </c>
      <c r="B5" s="120" t="str">
        <v>CT</v>
      </c>
      <c r="C5" s="112" t="str" cm="1">
        <f t="array" aca="1" ref="C5:K5" ca="1">IF(INDIRECT("'" &amp; $A5 &amp; "'!B13:J13")="", "", INDIRECT("'" &amp; $A5 &amp; "'!B13:J13"))</f>
        <v/>
      </c>
      <c r="D5" s="112" t="str">
        <f ca="1"/>
        <v/>
      </c>
      <c r="E5" s="112">
        <f ca="1"/>
        <v>0</v>
      </c>
      <c r="F5" s="113">
        <f ca="1"/>
        <v>0</v>
      </c>
      <c r="G5" s="114" t="str">
        <f ca="1"/>
        <v/>
      </c>
      <c r="H5" s="114">
        <f ca="1"/>
        <v>0</v>
      </c>
      <c r="I5" s="118">
        <f ca="1"/>
        <v>0</v>
      </c>
      <c r="J5" s="16" t="str">
        <f ca="1"/>
        <v/>
      </c>
      <c r="K5" s="16" t="str">
        <f ca="1"/>
        <v/>
      </c>
    </row>
    <row r="6" spans="1:11" ht="15.75">
      <c r="A6" s="116" t="str">
        <v>Norcap South</v>
      </c>
      <c r="B6" s="117" t="str">
        <v>CT</v>
      </c>
      <c r="C6" s="112" t="str" cm="1">
        <f t="array" aca="1" ref="C6:K6" ca="1">IF(INDIRECT("'" &amp; $A6 &amp; "'!B13:J13")="", "", INDIRECT("'" &amp; $A6 &amp; "'!B13:J13"))</f>
        <v/>
      </c>
      <c r="D6" s="112" t="str">
        <f ca="1"/>
        <v/>
      </c>
      <c r="E6" s="112">
        <f ca="1"/>
        <v>0</v>
      </c>
      <c r="F6" s="113">
        <f ca="1"/>
        <v>0</v>
      </c>
      <c r="G6" s="114" t="str">
        <f ca="1"/>
        <v/>
      </c>
      <c r="H6" s="114">
        <f ca="1"/>
        <v>0</v>
      </c>
      <c r="I6" s="118">
        <f ca="1"/>
        <v>0</v>
      </c>
      <c r="J6" s="16" t="str">
        <f ca="1"/>
        <v/>
      </c>
      <c r="K6" s="16" t="str">
        <f ca="1"/>
        <v/>
      </c>
    </row>
    <row r="7" spans="1:11" ht="15.75">
      <c r="A7" s="119" t="str">
        <v>Platt Hill</v>
      </c>
      <c r="B7" s="120" t="str">
        <v>CT</v>
      </c>
      <c r="C7" s="112" t="str" cm="1">
        <f t="array" aca="1" ref="C7:K7" ca="1">IF(INDIRECT("'" &amp; $A7 &amp; "'!B13:J13")="", "", INDIRECT("'" &amp; $A7 &amp; "'!B13:J13"))</f>
        <v/>
      </c>
      <c r="D7" s="112" t="str">
        <f ca="1"/>
        <v/>
      </c>
      <c r="E7" s="112">
        <f ca="1"/>
        <v>0</v>
      </c>
      <c r="F7" s="113">
        <f ca="1"/>
        <v>0</v>
      </c>
      <c r="G7" s="114" t="str">
        <f ca="1"/>
        <v/>
      </c>
      <c r="H7" s="114">
        <f ca="1"/>
        <v>0</v>
      </c>
      <c r="I7" s="118">
        <f ca="1"/>
        <v>0</v>
      </c>
      <c r="J7" s="16" t="str">
        <f ca="1"/>
        <v/>
      </c>
      <c r="K7" s="16" t="str">
        <f ca="1"/>
        <v/>
      </c>
    </row>
    <row r="8" spans="1:11" ht="15.75">
      <c r="A8" s="116" t="str">
        <v>Powder Hill</v>
      </c>
      <c r="B8" s="117" t="str">
        <v>CT</v>
      </c>
      <c r="C8" s="112" t="str" cm="1">
        <f t="array" aca="1" ref="C8:K8" ca="1">IF(INDIRECT("'" &amp; $A8 &amp; "'!B13:J13")="", "", INDIRECT("'" &amp; $A8 &amp; "'!B13:J13"))</f>
        <v/>
      </c>
      <c r="D8" s="112" t="str">
        <f ca="1"/>
        <v/>
      </c>
      <c r="E8" s="112">
        <f ca="1"/>
        <v>0</v>
      </c>
      <c r="F8" s="113">
        <f ca="1"/>
        <v>0</v>
      </c>
      <c r="G8" s="114" t="str">
        <f ca="1"/>
        <v/>
      </c>
      <c r="H8" s="114">
        <f ca="1"/>
        <v>0</v>
      </c>
      <c r="I8" s="118">
        <f ca="1"/>
        <v>0</v>
      </c>
      <c r="J8" s="16" t="str">
        <f ca="1"/>
        <v/>
      </c>
      <c r="K8" s="16" t="str">
        <f ca="1"/>
        <v/>
      </c>
    </row>
    <row r="9" spans="1:11" ht="15.75">
      <c r="A9" s="119" t="str">
        <v>Sand Road</v>
      </c>
      <c r="B9" s="120" t="str">
        <v>CT</v>
      </c>
      <c r="C9" s="112" t="str" cm="1">
        <f t="array" aca="1" ref="C9:K9" ca="1">IF(INDIRECT("'" &amp; $A9 &amp; "'!B13:J13")="", "", INDIRECT("'" &amp; $A9 &amp; "'!B13:J13"))</f>
        <v/>
      </c>
      <c r="D9" s="112" t="str">
        <f ca="1"/>
        <v/>
      </c>
      <c r="E9" s="112">
        <f ca="1"/>
        <v>0</v>
      </c>
      <c r="F9" s="113">
        <f ca="1"/>
        <v>0</v>
      </c>
      <c r="G9" s="114" t="str">
        <f ca="1"/>
        <v/>
      </c>
      <c r="H9" s="114">
        <f ca="1"/>
        <v>0</v>
      </c>
      <c r="I9" s="118">
        <f ca="1"/>
        <v>0</v>
      </c>
      <c r="J9" s="16" t="str">
        <f ca="1"/>
        <v/>
      </c>
      <c r="K9" s="16" t="str">
        <f ca="1"/>
        <v/>
      </c>
    </row>
    <row r="10" spans="1:11" ht="15.75">
      <c r="A10" s="116" t="str">
        <v>Suffield</v>
      </c>
      <c r="B10" s="117" t="str">
        <v>CT</v>
      </c>
      <c r="C10" s="112" t="str" cm="1">
        <f t="array" aca="1" ref="C10:K10" ca="1">IF(INDIRECT("'" &amp; $A10 &amp; "'!B13:J13")="", "", INDIRECT("'" &amp; $A10 &amp; "'!B13:J13"))</f>
        <v/>
      </c>
      <c r="D10" s="112" t="str">
        <f ca="1"/>
        <v/>
      </c>
      <c r="E10" s="112">
        <f ca="1"/>
        <v>0</v>
      </c>
      <c r="F10" s="113">
        <f ca="1"/>
        <v>0</v>
      </c>
      <c r="G10" s="114" t="str">
        <f ca="1"/>
        <v/>
      </c>
      <c r="H10" s="114">
        <f ca="1"/>
        <v>0</v>
      </c>
      <c r="I10" s="118">
        <f ca="1"/>
        <v>0</v>
      </c>
      <c r="J10" s="16" t="str">
        <f ca="1"/>
        <v/>
      </c>
      <c r="K10" s="16" t="str">
        <f ca="1"/>
        <v/>
      </c>
    </row>
    <row r="11" spans="1:11" ht="15.75">
      <c r="A11" s="119" t="str">
        <v>Ashby-Duffy</v>
      </c>
      <c r="B11" s="120" t="str">
        <v>MA</v>
      </c>
      <c r="C11" s="112" t="str" cm="1">
        <f t="array" aca="1" ref="C11:K11" ca="1">IF(INDIRECT("'" &amp; $A11 &amp; "'!B13:J13")="", "", INDIRECT("'" &amp; $A11 &amp; "'!B13:J13"))</f>
        <v/>
      </c>
      <c r="D11" s="112" t="str">
        <f ca="1"/>
        <v/>
      </c>
      <c r="E11" s="112">
        <f ca="1"/>
        <v>0</v>
      </c>
      <c r="F11" s="113">
        <f ca="1"/>
        <v>0</v>
      </c>
      <c r="G11" s="114" t="str">
        <f ca="1"/>
        <v/>
      </c>
      <c r="H11" s="114">
        <f ca="1"/>
        <v>0</v>
      </c>
      <c r="I11" s="118">
        <f ca="1"/>
        <v>0</v>
      </c>
      <c r="J11" s="16" t="str">
        <f ca="1"/>
        <v/>
      </c>
      <c r="K11" s="16" t="str">
        <f ca="1"/>
        <v/>
      </c>
    </row>
    <row r="12" spans="1:11" ht="15.75">
      <c r="A12" s="116" t="str">
        <v>Ashland</v>
      </c>
      <c r="B12" s="117" t="str">
        <v>MA</v>
      </c>
      <c r="C12" s="112" t="str" cm="1">
        <f t="array" aca="1" ref="C12:K12" ca="1">IF(INDIRECT("'" &amp; $A12 &amp; "'!B13:J13")="", "", INDIRECT("'" &amp; $A12 &amp; "'!B13:J13"))</f>
        <v/>
      </c>
      <c r="D12" s="112" t="str">
        <f ca="1"/>
        <v/>
      </c>
      <c r="E12" s="112">
        <f ca="1"/>
        <v>0</v>
      </c>
      <c r="F12" s="113">
        <f ca="1"/>
        <v>0</v>
      </c>
      <c r="G12" s="114" t="str">
        <f ca="1"/>
        <v/>
      </c>
      <c r="H12" s="114">
        <f ca="1"/>
        <v>0</v>
      </c>
      <c r="I12" s="118">
        <f ca="1"/>
        <v>0</v>
      </c>
      <c r="J12" s="16" t="str">
        <f ca="1"/>
        <v/>
      </c>
      <c r="K12" s="16" t="str">
        <f ca="1"/>
        <v/>
      </c>
    </row>
    <row r="13" spans="1:11" ht="15.75">
      <c r="A13" s="119" t="str">
        <v>Barrington</v>
      </c>
      <c r="B13" s="120" t="str">
        <v>MA</v>
      </c>
      <c r="C13" s="112" t="str" cm="1">
        <f t="array" aca="1" ref="C13:K13" ca="1">IF(INDIRECT("'" &amp; $A13 &amp; "'!B13:J13")="", "", INDIRECT("'" &amp; $A13 &amp; "'!B13:J13"))</f>
        <v/>
      </c>
      <c r="D13" s="112" t="str">
        <f ca="1"/>
        <v/>
      </c>
      <c r="E13" s="112">
        <f ca="1"/>
        <v>0</v>
      </c>
      <c r="F13" s="113">
        <f ca="1"/>
        <v>0</v>
      </c>
      <c r="G13" s="114" t="str">
        <f ca="1"/>
        <v/>
      </c>
      <c r="H13" s="114">
        <f ca="1"/>
        <v>0</v>
      </c>
      <c r="I13" s="118">
        <f ca="1"/>
        <v>0</v>
      </c>
      <c r="J13" s="16" t="str">
        <f ca="1"/>
        <v/>
      </c>
      <c r="K13" s="16" t="str">
        <f ca="1"/>
        <v/>
      </c>
    </row>
    <row r="14" spans="1:11" ht="15.75">
      <c r="A14" s="116" t="str">
        <v>Bedford - 205 Burlington Rd</v>
      </c>
      <c r="B14" s="117" t="str">
        <v>MA</v>
      </c>
      <c r="C14" s="112" t="str" cm="1">
        <f t="array" aca="1" ref="C14:K14" ca="1">IF(INDIRECT("'" &amp; $A14 &amp; "'!B13:J13")="", "", INDIRECT("'" &amp; $A14 &amp; "'!B13:J13"))</f>
        <v/>
      </c>
      <c r="D14" s="112" t="str">
        <f ca="1"/>
        <v/>
      </c>
      <c r="E14" s="112">
        <f ca="1"/>
        <v>0</v>
      </c>
      <c r="F14" s="113">
        <f ca="1"/>
        <v>0</v>
      </c>
      <c r="G14" s="114" t="str">
        <f ca="1"/>
        <v/>
      </c>
      <c r="H14" s="114">
        <f ca="1"/>
        <v>0</v>
      </c>
      <c r="I14" s="118">
        <f ca="1"/>
        <v>0</v>
      </c>
      <c r="J14" s="16" t="str">
        <f ca="1"/>
        <v/>
      </c>
      <c r="K14" s="16" t="str">
        <f ca="1"/>
        <v/>
      </c>
    </row>
    <row r="15" spans="1:11" ht="15.75">
      <c r="A15" s="119" t="str">
        <v>Billerica - 6 Cook Street</v>
      </c>
      <c r="B15" s="120" t="str">
        <v>MA</v>
      </c>
      <c r="C15" s="112" t="str" cm="1">
        <f t="array" aca="1" ref="C15:K15" ca="1">IF(INDIRECT("'" &amp; $A15 &amp; "'!B13:J13")="", "", INDIRECT("'" &amp; $A15 &amp; "'!B13:J13"))</f>
        <v/>
      </c>
      <c r="D15" s="112" t="str">
        <f ca="1"/>
        <v/>
      </c>
      <c r="E15" s="112">
        <f ca="1"/>
        <v>0</v>
      </c>
      <c r="F15" s="113">
        <f ca="1"/>
        <v>0</v>
      </c>
      <c r="G15" s="114" t="str">
        <f ca="1"/>
        <v/>
      </c>
      <c r="H15" s="114">
        <f ca="1"/>
        <v>0</v>
      </c>
      <c r="I15" s="118">
        <f ca="1"/>
        <v>0</v>
      </c>
      <c r="J15" s="16" t="str">
        <f ca="1"/>
        <v/>
      </c>
      <c r="K15" s="16" t="str">
        <f ca="1"/>
        <v/>
      </c>
    </row>
    <row r="16" spans="1:11" ht="15.75">
      <c r="A16" s="116" t="str">
        <v>Billerica - 780 Boston Road</v>
      </c>
      <c r="B16" s="117" t="str">
        <v>MA</v>
      </c>
      <c r="C16" s="112" t="str" cm="1">
        <f t="array" aca="1" ref="C16:K16" ca="1">IF(INDIRECT("'" &amp; $A16 &amp; "'!B13:J13")="", "", INDIRECT("'" &amp; $A16 &amp; "'!B13:J13"))</f>
        <v/>
      </c>
      <c r="D16" s="112" t="str">
        <f ca="1"/>
        <v/>
      </c>
      <c r="E16" s="112">
        <f ca="1"/>
        <v>0</v>
      </c>
      <c r="F16" s="113">
        <f ca="1"/>
        <v>0</v>
      </c>
      <c r="G16" s="114" t="str">
        <f ca="1"/>
        <v/>
      </c>
      <c r="H16" s="114">
        <f ca="1"/>
        <v>0</v>
      </c>
      <c r="I16" s="118">
        <f ca="1"/>
        <v>0</v>
      </c>
      <c r="J16" s="16" t="str">
        <f ca="1"/>
        <v/>
      </c>
      <c r="K16" s="16" t="str">
        <f ca="1"/>
        <v/>
      </c>
    </row>
    <row r="17" spans="1:11" ht="15.75">
      <c r="A17" s="119" t="str">
        <v>Cheshire</v>
      </c>
      <c r="B17" s="120" t="str">
        <v>MA</v>
      </c>
      <c r="C17" s="112" t="str" cm="1">
        <f t="array" aca="1" ref="C17:K17" ca="1">IF(INDIRECT("'" &amp; $A17 &amp; "'!B13:J13")="", "", INDIRECT("'" &amp; $A17 &amp; "'!B13:J13"))</f>
        <v/>
      </c>
      <c r="D17" s="112" t="str">
        <f ca="1"/>
        <v/>
      </c>
      <c r="E17" s="112">
        <f ca="1"/>
        <v>0</v>
      </c>
      <c r="F17" s="113">
        <f ca="1"/>
        <v>0</v>
      </c>
      <c r="G17" s="114" t="str">
        <f ca="1"/>
        <v/>
      </c>
      <c r="H17" s="114">
        <f ca="1"/>
        <v>0</v>
      </c>
      <c r="I17" s="118">
        <f ca="1"/>
        <v>0</v>
      </c>
      <c r="J17" s="16" t="str">
        <f ca="1"/>
        <v/>
      </c>
      <c r="K17" s="16" t="str">
        <f ca="1"/>
        <v/>
      </c>
    </row>
    <row r="18" spans="1:11" ht="15.75">
      <c r="A18" s="116" t="str">
        <v>Lilly Lane</v>
      </c>
      <c r="B18" s="117" t="str">
        <v>MA</v>
      </c>
      <c r="C18" s="112" t="str" cm="1">
        <f t="array" aca="1" ref="C18:K18" ca="1">IF(INDIRECT("'" &amp; $A18 &amp; "'!B13:J13")="", "", INDIRECT("'" &amp; $A18 &amp; "'!B13:J13"))</f>
        <v/>
      </c>
      <c r="D18" s="112" t="str">
        <f ca="1"/>
        <v/>
      </c>
      <c r="E18" s="112">
        <f ca="1"/>
        <v>0</v>
      </c>
      <c r="F18" s="113">
        <f ca="1"/>
        <v>0</v>
      </c>
      <c r="G18" s="114" t="str">
        <f ca="1"/>
        <v/>
      </c>
      <c r="H18" s="114">
        <f ca="1"/>
        <v>0</v>
      </c>
      <c r="I18" s="118">
        <f ca="1"/>
        <v>0</v>
      </c>
      <c r="J18" s="16" t="str">
        <f ca="1"/>
        <v/>
      </c>
      <c r="K18" s="16" t="str">
        <f ca="1"/>
        <v/>
      </c>
    </row>
    <row r="19" spans="1:11" ht="15.75">
      <c r="A19" s="119" t="str">
        <v>Monument Valley</v>
      </c>
      <c r="B19" s="120" t="str">
        <v>MA</v>
      </c>
      <c r="C19" s="112" t="str" cm="1">
        <f t="array" aca="1" ref="C19:K19" ca="1">IF(INDIRECT("'" &amp; $A19 &amp; "'!B13:J13")="", "", INDIRECT("'" &amp; $A19 &amp; "'!B13:J13"))</f>
        <v/>
      </c>
      <c r="D19" s="112" t="str">
        <f ca="1"/>
        <v/>
      </c>
      <c r="E19" s="112">
        <f ca="1"/>
        <v>0</v>
      </c>
      <c r="F19" s="113">
        <f ca="1"/>
        <v>0</v>
      </c>
      <c r="G19" s="114" t="str">
        <f ca="1"/>
        <v/>
      </c>
      <c r="H19" s="114">
        <f ca="1"/>
        <v>0</v>
      </c>
      <c r="I19" s="118">
        <f ca="1"/>
        <v>0</v>
      </c>
      <c r="J19" s="16" t="str">
        <f ca="1"/>
        <v/>
      </c>
      <c r="K19" s="16" t="str">
        <f ca="1"/>
        <v/>
      </c>
    </row>
    <row r="20" spans="1:11" ht="15.75">
      <c r="A20" s="116" t="str">
        <v>Nationwide</v>
      </c>
      <c r="B20" s="117" t="str">
        <v>MA</v>
      </c>
      <c r="C20" s="112" t="str" cm="1">
        <f t="array" aca="1" ref="C20:K20" ca="1">IF(INDIRECT("'" &amp; $A20 &amp; "'!B13:J13")="", "", INDIRECT("'" &amp; $A20 &amp; "'!B13:J13"))</f>
        <v/>
      </c>
      <c r="D20" s="112" t="str">
        <f ca="1"/>
        <v/>
      </c>
      <c r="E20" s="112">
        <f ca="1"/>
        <v>0</v>
      </c>
      <c r="F20" s="113">
        <f ca="1"/>
        <v>0</v>
      </c>
      <c r="G20" s="114" t="str">
        <f ca="1"/>
        <v/>
      </c>
      <c r="H20" s="114">
        <f ca="1"/>
        <v>0</v>
      </c>
      <c r="I20" s="118">
        <f ca="1"/>
        <v>0</v>
      </c>
      <c r="J20" s="16" t="str">
        <f ca="1"/>
        <v/>
      </c>
      <c r="K20" s="16" t="str">
        <f ca="1"/>
        <v/>
      </c>
    </row>
    <row r="21" spans="1:11" ht="15.75">
      <c r="A21" s="119" t="str">
        <v>Pulpit Hill</v>
      </c>
      <c r="B21" s="120" t="str">
        <v>MA</v>
      </c>
      <c r="C21" s="112" t="str" cm="1">
        <f t="array" aca="1" ref="C21:K21" ca="1">IF(INDIRECT("'" &amp; $A21 &amp; "'!B13:J13")="", "", INDIRECT("'" &amp; $A21 &amp; "'!B13:J13"))</f>
        <v/>
      </c>
      <c r="D21" s="112" t="str">
        <f ca="1"/>
        <v/>
      </c>
      <c r="E21" s="112">
        <f ca="1"/>
        <v>0</v>
      </c>
      <c r="F21" s="113">
        <f ca="1"/>
        <v>0</v>
      </c>
      <c r="G21" s="114" t="str">
        <f ca="1"/>
        <v/>
      </c>
      <c r="H21" s="114">
        <f ca="1"/>
        <v>0</v>
      </c>
      <c r="I21" s="118">
        <f ca="1"/>
        <v>0</v>
      </c>
      <c r="J21" s="16" t="str">
        <f ca="1"/>
        <v/>
      </c>
      <c r="K21" s="16" t="str">
        <f ca="1"/>
        <v/>
      </c>
    </row>
    <row r="22" spans="1:11" ht="15.75">
      <c r="A22" s="116" t="str">
        <v>Sandwich</v>
      </c>
      <c r="B22" s="117" t="str">
        <v>MA</v>
      </c>
      <c r="C22" s="112" t="str" cm="1">
        <f t="array" aca="1" ref="C22:K22" ca="1">IF(INDIRECT("'" &amp; $A22 &amp; "'!B13:J13")="", "", INDIRECT("'" &amp; $A22 &amp; "'!B13:J13"))</f>
        <v/>
      </c>
      <c r="D22" s="112" t="str">
        <f ca="1"/>
        <v/>
      </c>
      <c r="E22" s="112">
        <f ca="1"/>
        <v>0</v>
      </c>
      <c r="F22" s="113">
        <f ca="1"/>
        <v>0</v>
      </c>
      <c r="G22" s="114" t="str">
        <f ca="1"/>
        <v/>
      </c>
      <c r="H22" s="114">
        <f ca="1"/>
        <v>0</v>
      </c>
      <c r="I22" s="118">
        <f ca="1"/>
        <v>0</v>
      </c>
      <c r="J22" s="16" t="str">
        <f ca="1"/>
        <v/>
      </c>
      <c r="K22" s="16" t="str">
        <f ca="1"/>
        <v/>
      </c>
    </row>
    <row r="23" spans="1:11" ht="15.75">
      <c r="A23" s="119" t="str">
        <v>Sturbridge Barn</v>
      </c>
      <c r="B23" s="120" t="str">
        <v>MA</v>
      </c>
      <c r="C23" s="112" t="str" cm="1">
        <f t="array" aca="1" ref="C23:K23" ca="1">IF(INDIRECT("'" &amp; $A23 &amp; "'!B13:J13")="", "", INDIRECT("'" &amp; $A23 &amp; "'!B13:J13"))</f>
        <v/>
      </c>
      <c r="D23" s="112" t="str">
        <f ca="1"/>
        <v/>
      </c>
      <c r="E23" s="112">
        <f ca="1"/>
        <v>0</v>
      </c>
      <c r="F23" s="113">
        <f ca="1"/>
        <v>0</v>
      </c>
      <c r="G23" s="114" t="str">
        <f ca="1"/>
        <v/>
      </c>
      <c r="H23" s="114">
        <f ca="1"/>
        <v>0</v>
      </c>
      <c r="I23" s="118">
        <f ca="1"/>
        <v>0</v>
      </c>
      <c r="J23" s="16" t="str">
        <f ca="1"/>
        <v/>
      </c>
      <c r="K23" s="16" t="str">
        <f ca="1"/>
        <v/>
      </c>
    </row>
    <row r="24" spans="1:11" ht="15.75">
      <c r="A24" s="116" t="str">
        <v>Sturbridge Garage</v>
      </c>
      <c r="B24" s="117" t="str">
        <v>MA</v>
      </c>
      <c r="C24" s="112" t="str" cm="1">
        <f t="array" aca="1" ref="C24:K24" ca="1">IF(INDIRECT("'" &amp; $A24 &amp; "'!B13:J13")="", "", INDIRECT("'" &amp; $A24 &amp; "'!B13:J13"))</f>
        <v/>
      </c>
      <c r="D24" s="112" t="str">
        <f ca="1"/>
        <v/>
      </c>
      <c r="E24" s="112">
        <f ca="1"/>
        <v>0</v>
      </c>
      <c r="F24" s="113">
        <f ca="1"/>
        <v>0</v>
      </c>
      <c r="G24" s="114" t="str">
        <f ca="1"/>
        <v/>
      </c>
      <c r="H24" s="114">
        <f ca="1"/>
        <v>0</v>
      </c>
      <c r="I24" s="118">
        <f ca="1"/>
        <v>0</v>
      </c>
      <c r="J24" s="16" t="str">
        <f ca="1"/>
        <v/>
      </c>
      <c r="K24" s="16" t="str">
        <f ca="1"/>
        <v/>
      </c>
    </row>
    <row r="25" spans="1:11" ht="15.75">
      <c r="A25" s="119" t="str">
        <v>Halsey Valley</v>
      </c>
      <c r="B25" s="120" t="str">
        <v>NY</v>
      </c>
      <c r="C25" s="112" t="str" cm="1">
        <f t="array" aca="1" ref="C25:K25" ca="1">IF(INDIRECT("'" &amp; $A25 &amp; "'!B13:J13")="", "", INDIRECT("'" &amp; $A25 &amp; "'!B13:J13"))</f>
        <v/>
      </c>
      <c r="D25" s="112" t="str">
        <f ca="1"/>
        <v/>
      </c>
      <c r="E25" s="112">
        <f ca="1"/>
        <v>0</v>
      </c>
      <c r="F25" s="113">
        <f ca="1"/>
        <v>0</v>
      </c>
      <c r="G25" s="114" t="str">
        <f ca="1"/>
        <v/>
      </c>
      <c r="H25" s="114">
        <f ca="1"/>
        <v>0</v>
      </c>
      <c r="I25" s="118">
        <f ca="1"/>
        <v>0</v>
      </c>
      <c r="J25" s="16" t="str">
        <f ca="1"/>
        <v/>
      </c>
      <c r="K25" s="16" t="str">
        <f ca="1"/>
        <v/>
      </c>
    </row>
    <row r="26" spans="1:11" ht="15.75">
      <c r="A26" s="116" t="str">
        <v>Hunt Creek</v>
      </c>
      <c r="B26" s="117" t="str">
        <v>NY</v>
      </c>
      <c r="C26" s="112" t="str" cm="1">
        <f t="array" aca="1" ref="C26:K26" ca="1">IF(INDIRECT("'" &amp; $A26 &amp; "'!B13:J13")="", "", INDIRECT("'" &amp; $A26 &amp; "'!B13:J13"))</f>
        <v/>
      </c>
      <c r="D26" s="112" t="str">
        <f ca="1"/>
        <v/>
      </c>
      <c r="E26" s="112">
        <f ca="1"/>
        <v>0</v>
      </c>
      <c r="F26" s="113">
        <f ca="1"/>
        <v>0</v>
      </c>
      <c r="G26" s="114" t="str">
        <f ca="1"/>
        <v/>
      </c>
      <c r="H26" s="114">
        <f ca="1"/>
        <v>0</v>
      </c>
      <c r="I26" s="118">
        <f ca="1"/>
        <v>0</v>
      </c>
      <c r="J26" s="16" t="str">
        <f ca="1"/>
        <v/>
      </c>
      <c r="K26" s="16" t="str">
        <f ca="1"/>
        <v/>
      </c>
    </row>
    <row r="27" spans="1:11" ht="15.75">
      <c r="A27" s="119" t="str">
        <v>Smith Creek</v>
      </c>
      <c r="B27" s="120" t="str">
        <v>NY</v>
      </c>
      <c r="C27" s="112" t="str" cm="1">
        <f t="array" aca="1" ref="C27:K27" ca="1">IF(INDIRECT("'" &amp; $A27 &amp; "'!B13:J13")="", "", INDIRECT("'" &amp; $A27 &amp; "'!B13:J13"))</f>
        <v/>
      </c>
      <c r="D27" s="112" t="str">
        <f ca="1"/>
        <v/>
      </c>
      <c r="E27" s="112">
        <f ca="1"/>
        <v>0</v>
      </c>
      <c r="F27" s="113">
        <f ca="1"/>
        <v>0</v>
      </c>
      <c r="G27" s="121" t="str">
        <f ca="1"/>
        <v/>
      </c>
      <c r="H27" s="121">
        <f ca="1"/>
        <v>0</v>
      </c>
      <c r="I27" s="122">
        <f ca="1"/>
        <v>0</v>
      </c>
      <c r="J27" s="16" t="str">
        <f ca="1"/>
        <v/>
      </c>
      <c r="K27" s="16" t="str">
        <f ca="1"/>
        <v/>
      </c>
    </row>
    <row r="28" spans="1:11" ht="24.75" customHeight="1">
      <c r="A28" s="173" t="s">
        <v>9</v>
      </c>
      <c r="B28" s="174"/>
      <c r="C28" s="104">
        <f ca="1">SUM(C3:C27)</f>
        <v>0</v>
      </c>
      <c r="D28" s="104">
        <f ca="1">SUM(D3:D27)</f>
        <v>0</v>
      </c>
      <c r="E28" s="104">
        <f ca="1">C28-D28</f>
        <v>0</v>
      </c>
      <c r="F28" s="105">
        <f ca="1">IFERROR(E28/D28, 0)</f>
        <v>0</v>
      </c>
      <c r="G28" s="104">
        <f ca="1">SUM(G3:G27)</f>
        <v>0</v>
      </c>
      <c r="H28" s="106">
        <f ca="1">C28-G28</f>
        <v>0</v>
      </c>
      <c r="I28" s="107">
        <f ca="1">IFERROR(H28/G28, 0)</f>
        <v>0</v>
      </c>
      <c r="J28" s="108"/>
      <c r="K28" s="109"/>
    </row>
    <row r="29" spans="1:11">
      <c r="J29" s="8"/>
    </row>
    <row r="30" spans="1:11" ht="12.75" customHeight="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 ht="12.75" customHeight="1">
      <c r="A33" s="165"/>
      <c r="J33" s="8"/>
    </row>
    <row r="34" spans="1:10">
      <c r="J34" s="8"/>
    </row>
  </sheetData>
  <autoFilter ref="A2:I2" xr:uid="{534CA70E-2643-48AC-AA44-E3F75A2814BF}"/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12" priority="1" operator="lessThanOrEqual">
      <formula>-0.1</formula>
    </cfRule>
    <cfRule type="cellIs" dxfId="41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"/>
  <sheetViews>
    <sheetView workbookViewId="0">
      <pane ySplit="2" topLeftCell="A8" activePane="bottomLeft" state="frozen"/>
      <selection pane="bottomLeft" activeCell="N10" sqref="M10:N10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6" t="str" cm="1">
        <f t="array" ref="A1">portfolio</f>
        <v>Lodestar</v>
      </c>
      <c r="B1" s="167"/>
      <c r="C1" s="179" t="s">
        <v>40</v>
      </c>
      <c r="D1" s="180"/>
      <c r="E1" s="180"/>
      <c r="F1" s="181"/>
      <c r="G1" s="175" t="s">
        <v>41</v>
      </c>
      <c r="H1" s="175"/>
      <c r="I1" s="176"/>
      <c r="J1" s="177" t="s">
        <v>22</v>
      </c>
      <c r="K1" s="177" t="s">
        <v>23</v>
      </c>
    </row>
    <row r="2" spans="1:11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101" t="s">
        <v>8</v>
      </c>
      <c r="H2" s="7" t="s">
        <v>6</v>
      </c>
      <c r="I2" s="9" t="s">
        <v>7</v>
      </c>
      <c r="J2" s="178"/>
      <c r="K2" s="178"/>
    </row>
    <row r="3" spans="1:11" ht="29.25" customHeight="1">
      <c r="A3" s="90" t="str" cm="1">
        <f t="array" ref="A3:A27">Sites[Site]</f>
        <v>Barkhamsted</v>
      </c>
      <c r="B3" s="91" t="str" cm="1">
        <f t="array" ref="B3:B27">Sites[State]</f>
        <v>CT</v>
      </c>
      <c r="C3" s="102" t="str" cm="1">
        <f t="array" aca="1" ref="C3:K3" ca="1">IF(INDIRECT("'" &amp; $A3 &amp; "'!B14:J14")="", "", INDIRECT("'" &amp; $A3 &amp; "'!B14:J14"))</f>
        <v/>
      </c>
      <c r="D3" s="102" t="str">
        <f ca="1"/>
        <v/>
      </c>
      <c r="E3" s="102">
        <f ca="1"/>
        <v>0</v>
      </c>
      <c r="F3" s="93">
        <f ca="1"/>
        <v>0</v>
      </c>
      <c r="G3" s="103" t="str">
        <f ca="1"/>
        <v/>
      </c>
      <c r="H3" s="103">
        <f ca="1"/>
        <v>0</v>
      </c>
      <c r="I3" s="95">
        <f ca="1"/>
        <v>0</v>
      </c>
      <c r="J3" s="16" t="str">
        <f ca="1"/>
        <v/>
      </c>
      <c r="K3" s="16" t="str">
        <f ca="1"/>
        <v/>
      </c>
    </row>
    <row r="4" spans="1:11" ht="15.75">
      <c r="A4" s="96" t="str">
        <v>Bunce</v>
      </c>
      <c r="B4" s="97" t="str">
        <v>CT</v>
      </c>
      <c r="C4" s="102" t="str" cm="1">
        <f t="array" aca="1" ref="C4:K4" ca="1">IF(INDIRECT("'" &amp; $A4 &amp; "'!B14:J14")="", "", INDIRECT("'" &amp; $A4 &amp; "'!B14:J14"))</f>
        <v/>
      </c>
      <c r="D4" s="102" t="str">
        <f ca="1"/>
        <v/>
      </c>
      <c r="E4" s="102">
        <f ca="1"/>
        <v>0</v>
      </c>
      <c r="F4" s="93">
        <f ca="1"/>
        <v>0</v>
      </c>
      <c r="G4" s="103" t="str">
        <f ca="1"/>
        <v/>
      </c>
      <c r="H4" s="103">
        <f ca="1"/>
        <v>0</v>
      </c>
      <c r="I4" s="98">
        <f ca="1"/>
        <v>0</v>
      </c>
      <c r="J4" s="16" t="str">
        <f ca="1"/>
        <v/>
      </c>
      <c r="K4" s="16" t="str">
        <f ca="1"/>
        <v/>
      </c>
    </row>
    <row r="5" spans="1:11" ht="15.75">
      <c r="A5" s="99" t="str">
        <v>Norcap North</v>
      </c>
      <c r="B5" s="100" t="str">
        <v>CT</v>
      </c>
      <c r="C5" s="102" t="str" cm="1">
        <f t="array" aca="1" ref="C5:K5" ca="1">IF(INDIRECT("'" &amp; $A5 &amp; "'!B14:J14")="", "", INDIRECT("'" &amp; $A5 &amp; "'!B14:J14"))</f>
        <v/>
      </c>
      <c r="D5" s="102" t="str">
        <f ca="1"/>
        <v/>
      </c>
      <c r="E5" s="102">
        <f ca="1"/>
        <v>0</v>
      </c>
      <c r="F5" s="93">
        <f ca="1"/>
        <v>0</v>
      </c>
      <c r="G5" s="103" t="str">
        <f ca="1"/>
        <v/>
      </c>
      <c r="H5" s="103">
        <f ca="1"/>
        <v>0</v>
      </c>
      <c r="I5" s="98">
        <f ca="1"/>
        <v>0</v>
      </c>
      <c r="J5" s="16" t="str">
        <f ca="1"/>
        <v/>
      </c>
      <c r="K5" s="16" t="str">
        <f ca="1"/>
        <v/>
      </c>
    </row>
    <row r="6" spans="1:11" ht="36.950000000000003" customHeight="1">
      <c r="A6" s="96" t="str">
        <v>Norcap South</v>
      </c>
      <c r="B6" s="97" t="str">
        <v>CT</v>
      </c>
      <c r="C6" s="102" t="str" cm="1">
        <f t="array" aca="1" ref="C6:K6" ca="1">IF(INDIRECT("'" &amp; $A6 &amp; "'!B14:J14")="", "", INDIRECT("'" &amp; $A6 &amp; "'!B14:J14"))</f>
        <v/>
      </c>
      <c r="D6" s="102" t="str">
        <f ca="1"/>
        <v/>
      </c>
      <c r="E6" s="102">
        <f ca="1"/>
        <v>0</v>
      </c>
      <c r="F6" s="93">
        <f ca="1"/>
        <v>0</v>
      </c>
      <c r="G6" s="103" t="str">
        <f ca="1"/>
        <v/>
      </c>
      <c r="H6" s="103">
        <f ca="1"/>
        <v>0</v>
      </c>
      <c r="I6" s="98">
        <f ca="1"/>
        <v>0</v>
      </c>
      <c r="J6" s="16" t="str">
        <f ca="1"/>
        <v/>
      </c>
      <c r="K6" s="16" t="str">
        <f ca="1"/>
        <v/>
      </c>
    </row>
    <row r="7" spans="1:11" ht="15.75">
      <c r="A7" s="99" t="str">
        <v>Platt Hill</v>
      </c>
      <c r="B7" s="100" t="str">
        <v>CT</v>
      </c>
      <c r="C7" s="102" t="str" cm="1">
        <f t="array" aca="1" ref="C7:K7" ca="1">IF(INDIRECT("'" &amp; $A7 &amp; "'!B14:J14")="", "", INDIRECT("'" &amp; $A7 &amp; "'!B14:J14"))</f>
        <v/>
      </c>
      <c r="D7" s="102" t="str">
        <f ca="1"/>
        <v/>
      </c>
      <c r="E7" s="102">
        <f ca="1"/>
        <v>0</v>
      </c>
      <c r="F7" s="93">
        <f ca="1"/>
        <v>0</v>
      </c>
      <c r="G7" s="103" t="str">
        <f ca="1"/>
        <v/>
      </c>
      <c r="H7" s="103">
        <f ca="1"/>
        <v>0</v>
      </c>
      <c r="I7" s="98">
        <f ca="1"/>
        <v>0</v>
      </c>
      <c r="J7" s="16" t="str">
        <f ca="1"/>
        <v/>
      </c>
      <c r="K7" s="16" t="str">
        <f ca="1"/>
        <v/>
      </c>
    </row>
    <row r="8" spans="1:11" ht="15.75">
      <c r="A8" s="96" t="str">
        <v>Powder Hill</v>
      </c>
      <c r="B8" s="97" t="str">
        <v>CT</v>
      </c>
      <c r="C8" s="102" t="str" cm="1">
        <f t="array" aca="1" ref="C8:K8" ca="1">IF(INDIRECT("'" &amp; $A8 &amp; "'!B14:J14")="", "", INDIRECT("'" &amp; $A8 &amp; "'!B14:J14"))</f>
        <v/>
      </c>
      <c r="D8" s="102" t="str">
        <f ca="1"/>
        <v/>
      </c>
      <c r="E8" s="102">
        <f ca="1"/>
        <v>0</v>
      </c>
      <c r="F8" s="93">
        <f ca="1"/>
        <v>0</v>
      </c>
      <c r="G8" s="103" t="str">
        <f ca="1"/>
        <v/>
      </c>
      <c r="H8" s="103">
        <f ca="1"/>
        <v>0</v>
      </c>
      <c r="I8" s="98">
        <f ca="1"/>
        <v>0</v>
      </c>
      <c r="J8" s="16" t="str">
        <f ca="1"/>
        <v/>
      </c>
      <c r="K8" s="16" t="str">
        <f ca="1"/>
        <v/>
      </c>
    </row>
    <row r="9" spans="1:11" ht="15.75">
      <c r="A9" s="99" t="str">
        <v>Sand Road</v>
      </c>
      <c r="B9" s="100" t="str">
        <v>CT</v>
      </c>
      <c r="C9" s="102" t="str" cm="1">
        <f t="array" aca="1" ref="C9:K9" ca="1">IF(INDIRECT("'" &amp; $A9 &amp; "'!B14:J14")="", "", INDIRECT("'" &amp; $A9 &amp; "'!B14:J14"))</f>
        <v/>
      </c>
      <c r="D9" s="102" t="str">
        <f ca="1"/>
        <v/>
      </c>
      <c r="E9" s="102">
        <f ca="1"/>
        <v>0</v>
      </c>
      <c r="F9" s="93">
        <f ca="1"/>
        <v>0</v>
      </c>
      <c r="G9" s="103" t="str">
        <f ca="1"/>
        <v/>
      </c>
      <c r="H9" s="103">
        <f ca="1"/>
        <v>0</v>
      </c>
      <c r="I9" s="98">
        <f ca="1"/>
        <v>0</v>
      </c>
      <c r="J9" s="16" t="str">
        <f ca="1"/>
        <v/>
      </c>
      <c r="K9" s="16" t="str">
        <f ca="1"/>
        <v/>
      </c>
    </row>
    <row r="10" spans="1:11" ht="15.75">
      <c r="A10" s="96" t="str">
        <v>Suffield</v>
      </c>
      <c r="B10" s="97" t="str">
        <v>CT</v>
      </c>
      <c r="C10" s="102" t="str" cm="1">
        <f t="array" aca="1" ref="C10:K10" ca="1">IF(INDIRECT("'" &amp; $A10 &amp; "'!B14:J14")="", "", INDIRECT("'" &amp; $A10 &amp; "'!B14:J14"))</f>
        <v/>
      </c>
      <c r="D10" s="102" t="str">
        <f ca="1"/>
        <v/>
      </c>
      <c r="E10" s="102">
        <f ca="1"/>
        <v>0</v>
      </c>
      <c r="F10" s="93">
        <f ca="1"/>
        <v>0</v>
      </c>
      <c r="G10" s="103" t="str">
        <f ca="1"/>
        <v/>
      </c>
      <c r="H10" s="103">
        <f ca="1"/>
        <v>0</v>
      </c>
      <c r="I10" s="98">
        <f ca="1"/>
        <v>0</v>
      </c>
      <c r="J10" s="16" t="str">
        <f ca="1"/>
        <v/>
      </c>
      <c r="K10" s="16" t="str">
        <f ca="1"/>
        <v/>
      </c>
    </row>
    <row r="11" spans="1:11" ht="15.75">
      <c r="A11" s="99" t="str">
        <v>Ashby-Duffy</v>
      </c>
      <c r="B11" s="100" t="str">
        <v>MA</v>
      </c>
      <c r="C11" s="102" t="str" cm="1">
        <f t="array" aca="1" ref="C11:K11" ca="1">IF(INDIRECT("'" &amp; $A11 &amp; "'!B14:J14")="", "", INDIRECT("'" &amp; $A11 &amp; "'!B14:J14"))</f>
        <v/>
      </c>
      <c r="D11" s="102" t="str">
        <f ca="1"/>
        <v/>
      </c>
      <c r="E11" s="102">
        <f ca="1"/>
        <v>0</v>
      </c>
      <c r="F11" s="93">
        <f ca="1"/>
        <v>0</v>
      </c>
      <c r="G11" s="103" t="str">
        <f ca="1"/>
        <v/>
      </c>
      <c r="H11" s="103">
        <f ca="1"/>
        <v>0</v>
      </c>
      <c r="I11" s="98">
        <f ca="1"/>
        <v>0</v>
      </c>
      <c r="J11" s="16" t="str">
        <f ca="1"/>
        <v/>
      </c>
      <c r="K11" s="16" t="str">
        <f ca="1"/>
        <v/>
      </c>
    </row>
    <row r="12" spans="1:11" ht="15.75">
      <c r="A12" s="96" t="str">
        <v>Ashland</v>
      </c>
      <c r="B12" s="97" t="str">
        <v>MA</v>
      </c>
      <c r="C12" s="102" t="str" cm="1">
        <f t="array" aca="1" ref="C12:K12" ca="1">IF(INDIRECT("'" &amp; $A12 &amp; "'!B14:J14")="", "", INDIRECT("'" &amp; $A12 &amp; "'!B14:J14"))</f>
        <v/>
      </c>
      <c r="D12" s="102" t="str">
        <f ca="1"/>
        <v/>
      </c>
      <c r="E12" s="102">
        <f ca="1"/>
        <v>0</v>
      </c>
      <c r="F12" s="93">
        <f ca="1"/>
        <v>0</v>
      </c>
      <c r="G12" s="103" t="str">
        <f ca="1"/>
        <v/>
      </c>
      <c r="H12" s="103">
        <f ca="1"/>
        <v>0</v>
      </c>
      <c r="I12" s="98">
        <f ca="1"/>
        <v>0</v>
      </c>
      <c r="J12" s="16" t="str">
        <f ca="1"/>
        <v/>
      </c>
      <c r="K12" s="16" t="str">
        <f ca="1"/>
        <v/>
      </c>
    </row>
    <row r="13" spans="1:11" ht="15.75">
      <c r="A13" s="99" t="str">
        <v>Barrington</v>
      </c>
      <c r="B13" s="100" t="str">
        <v>MA</v>
      </c>
      <c r="C13" s="102" t="str" cm="1">
        <f t="array" aca="1" ref="C13:K13" ca="1">IF(INDIRECT("'" &amp; $A13 &amp; "'!B14:J14")="", "", INDIRECT("'" &amp; $A13 &amp; "'!B14:J14"))</f>
        <v/>
      </c>
      <c r="D13" s="102" t="str">
        <f ca="1"/>
        <v/>
      </c>
      <c r="E13" s="102">
        <f ca="1"/>
        <v>0</v>
      </c>
      <c r="F13" s="93">
        <f ca="1"/>
        <v>0</v>
      </c>
      <c r="G13" s="103" t="str">
        <f ca="1"/>
        <v/>
      </c>
      <c r="H13" s="103">
        <f ca="1"/>
        <v>0</v>
      </c>
      <c r="I13" s="98">
        <f ca="1"/>
        <v>0</v>
      </c>
      <c r="J13" s="16" t="str">
        <f ca="1"/>
        <v/>
      </c>
      <c r="K13" s="16" t="str">
        <f ca="1"/>
        <v/>
      </c>
    </row>
    <row r="14" spans="1:11" ht="15.75">
      <c r="A14" s="96" t="str">
        <v>Bedford - 205 Burlington Rd</v>
      </c>
      <c r="B14" s="97" t="str">
        <v>MA</v>
      </c>
      <c r="C14" s="102" t="str" cm="1">
        <f t="array" aca="1" ref="C14:K14" ca="1">IF(INDIRECT("'" &amp; $A14 &amp; "'!B14:J14")="", "", INDIRECT("'" &amp; $A14 &amp; "'!B14:J14"))</f>
        <v/>
      </c>
      <c r="D14" s="102" t="str">
        <f ca="1"/>
        <v/>
      </c>
      <c r="E14" s="102">
        <f ca="1"/>
        <v>0</v>
      </c>
      <c r="F14" s="93">
        <f ca="1"/>
        <v>0</v>
      </c>
      <c r="G14" s="103" t="str">
        <f ca="1"/>
        <v/>
      </c>
      <c r="H14" s="103">
        <f ca="1"/>
        <v>0</v>
      </c>
      <c r="I14" s="98">
        <f ca="1"/>
        <v>0</v>
      </c>
      <c r="J14" s="16" t="str">
        <f ca="1"/>
        <v/>
      </c>
      <c r="K14" s="16" t="str">
        <f ca="1"/>
        <v/>
      </c>
    </row>
    <row r="15" spans="1:11" ht="15.75">
      <c r="A15" s="99" t="str">
        <v>Billerica - 6 Cook Street</v>
      </c>
      <c r="B15" s="100" t="str">
        <v>MA</v>
      </c>
      <c r="C15" s="102" t="str" cm="1">
        <f t="array" aca="1" ref="C15:K15" ca="1">IF(INDIRECT("'" &amp; $A15 &amp; "'!B14:J14")="", "", INDIRECT("'" &amp; $A15 &amp; "'!B14:J14"))</f>
        <v/>
      </c>
      <c r="D15" s="102" t="str">
        <f ca="1"/>
        <v/>
      </c>
      <c r="E15" s="102">
        <f ca="1"/>
        <v>0</v>
      </c>
      <c r="F15" s="93">
        <f ca="1"/>
        <v>0</v>
      </c>
      <c r="G15" s="103" t="str">
        <f ca="1"/>
        <v/>
      </c>
      <c r="H15" s="103">
        <f ca="1"/>
        <v>0</v>
      </c>
      <c r="I15" s="98">
        <f ca="1"/>
        <v>0</v>
      </c>
      <c r="J15" s="16" t="str">
        <f ca="1"/>
        <v/>
      </c>
      <c r="K15" s="16" t="str">
        <f ca="1"/>
        <v/>
      </c>
    </row>
    <row r="16" spans="1:11" ht="15.75">
      <c r="A16" s="96" t="str">
        <v>Billerica - 780 Boston Road</v>
      </c>
      <c r="B16" s="97" t="str">
        <v>MA</v>
      </c>
      <c r="C16" s="102" t="str" cm="1">
        <f t="array" aca="1" ref="C16:K16" ca="1">IF(INDIRECT("'" &amp; $A16 &amp; "'!B14:J14")="", "", INDIRECT("'" &amp; $A16 &amp; "'!B14:J14"))</f>
        <v/>
      </c>
      <c r="D16" s="102" t="str">
        <f ca="1"/>
        <v/>
      </c>
      <c r="E16" s="102">
        <f ca="1"/>
        <v>0</v>
      </c>
      <c r="F16" s="93">
        <f ca="1"/>
        <v>0</v>
      </c>
      <c r="G16" s="103" t="str">
        <f ca="1"/>
        <v/>
      </c>
      <c r="H16" s="103">
        <f ca="1"/>
        <v>0</v>
      </c>
      <c r="I16" s="98">
        <f ca="1"/>
        <v>0</v>
      </c>
      <c r="J16" s="16" t="str">
        <f ca="1"/>
        <v/>
      </c>
      <c r="K16" s="16" t="str">
        <f ca="1"/>
        <v/>
      </c>
    </row>
    <row r="17" spans="1:11" ht="15.75">
      <c r="A17" s="99" t="str">
        <v>Cheshire</v>
      </c>
      <c r="B17" s="100" t="str">
        <v>MA</v>
      </c>
      <c r="C17" s="102" t="str" cm="1">
        <f t="array" aca="1" ref="C17:K17" ca="1">IF(INDIRECT("'" &amp; $A17 &amp; "'!B14:J14")="", "", INDIRECT("'" &amp; $A17 &amp; "'!B14:J14"))</f>
        <v/>
      </c>
      <c r="D17" s="102" t="str">
        <f ca="1"/>
        <v/>
      </c>
      <c r="E17" s="102">
        <f ca="1"/>
        <v>0</v>
      </c>
      <c r="F17" s="93">
        <f ca="1"/>
        <v>0</v>
      </c>
      <c r="G17" s="103" t="str">
        <f ca="1"/>
        <v/>
      </c>
      <c r="H17" s="103">
        <f ca="1"/>
        <v>0</v>
      </c>
      <c r="I17" s="98">
        <f ca="1"/>
        <v>0</v>
      </c>
      <c r="J17" s="16" t="str">
        <f ca="1"/>
        <v/>
      </c>
      <c r="K17" s="16" t="str">
        <f ca="1"/>
        <v/>
      </c>
    </row>
    <row r="18" spans="1:11" ht="15.75">
      <c r="A18" s="96" t="str">
        <v>Lilly Lane</v>
      </c>
      <c r="B18" s="97" t="str">
        <v>MA</v>
      </c>
      <c r="C18" s="102" t="str" cm="1">
        <f t="array" aca="1" ref="C18:K18" ca="1">IF(INDIRECT("'" &amp; $A18 &amp; "'!B14:J14")="", "", INDIRECT("'" &amp; $A18 &amp; "'!B14:J14"))</f>
        <v/>
      </c>
      <c r="D18" s="102" t="str">
        <f ca="1"/>
        <v/>
      </c>
      <c r="E18" s="102">
        <f ca="1"/>
        <v>0</v>
      </c>
      <c r="F18" s="93">
        <f ca="1"/>
        <v>0</v>
      </c>
      <c r="G18" s="103" t="str">
        <f ca="1"/>
        <v/>
      </c>
      <c r="H18" s="103">
        <f ca="1"/>
        <v>0</v>
      </c>
      <c r="I18" s="98">
        <f ca="1"/>
        <v>0</v>
      </c>
      <c r="J18" s="16" t="str">
        <f ca="1"/>
        <v/>
      </c>
      <c r="K18" s="16" t="str">
        <f ca="1"/>
        <v/>
      </c>
    </row>
    <row r="19" spans="1:11" ht="15.75">
      <c r="A19" s="99" t="str">
        <v>Monument Valley</v>
      </c>
      <c r="B19" s="100" t="str">
        <v>MA</v>
      </c>
      <c r="C19" s="102" t="str" cm="1">
        <f t="array" aca="1" ref="C19:K19" ca="1">IF(INDIRECT("'" &amp; $A19 &amp; "'!B14:J14")="", "", INDIRECT("'" &amp; $A19 &amp; "'!B14:J14"))</f>
        <v/>
      </c>
      <c r="D19" s="102" t="str">
        <f ca="1"/>
        <v/>
      </c>
      <c r="E19" s="102">
        <f ca="1"/>
        <v>0</v>
      </c>
      <c r="F19" s="93">
        <f ca="1"/>
        <v>0</v>
      </c>
      <c r="G19" s="103" t="str">
        <f ca="1"/>
        <v/>
      </c>
      <c r="H19" s="103">
        <f ca="1"/>
        <v>0</v>
      </c>
      <c r="I19" s="98">
        <f ca="1"/>
        <v>0</v>
      </c>
      <c r="J19" s="16" t="str">
        <f ca="1"/>
        <v/>
      </c>
      <c r="K19" s="16" t="str">
        <f ca="1"/>
        <v/>
      </c>
    </row>
    <row r="20" spans="1:11" ht="30.75" customHeight="1">
      <c r="A20" s="96" t="str">
        <v>Nationwide</v>
      </c>
      <c r="B20" s="97" t="str">
        <v>MA</v>
      </c>
      <c r="C20" s="102" t="str" cm="1">
        <f t="array" aca="1" ref="C20:K20" ca="1">IF(INDIRECT("'" &amp; $A20 &amp; "'!B14:J14")="", "", INDIRECT("'" &amp; $A20 &amp; "'!B14:J14"))</f>
        <v/>
      </c>
      <c r="D20" s="102" t="str">
        <f ca="1"/>
        <v/>
      </c>
      <c r="E20" s="102">
        <f ca="1"/>
        <v>0</v>
      </c>
      <c r="F20" s="93">
        <f ca="1"/>
        <v>0</v>
      </c>
      <c r="G20" s="103" t="str">
        <f ca="1"/>
        <v/>
      </c>
      <c r="H20" s="103">
        <f ca="1"/>
        <v>0</v>
      </c>
      <c r="I20" s="98">
        <f ca="1"/>
        <v>0</v>
      </c>
      <c r="J20" s="16" t="str">
        <f ca="1"/>
        <v/>
      </c>
      <c r="K20" s="16" t="str">
        <f ca="1"/>
        <v/>
      </c>
    </row>
    <row r="21" spans="1:11" ht="15.75">
      <c r="A21" s="99" t="str">
        <v>Pulpit Hill</v>
      </c>
      <c r="B21" s="100" t="str">
        <v>MA</v>
      </c>
      <c r="C21" s="102" t="str" cm="1">
        <f t="array" aca="1" ref="C21:K21" ca="1">IF(INDIRECT("'" &amp; $A21 &amp; "'!B14:J14")="", "", INDIRECT("'" &amp; $A21 &amp; "'!B14:J14"))</f>
        <v/>
      </c>
      <c r="D21" s="102" t="str">
        <f ca="1"/>
        <v/>
      </c>
      <c r="E21" s="102">
        <f ca="1"/>
        <v>0</v>
      </c>
      <c r="F21" s="93">
        <f ca="1"/>
        <v>0</v>
      </c>
      <c r="G21" s="103" t="str">
        <f ca="1"/>
        <v/>
      </c>
      <c r="H21" s="103">
        <f ca="1"/>
        <v>0</v>
      </c>
      <c r="I21" s="98">
        <f ca="1"/>
        <v>0</v>
      </c>
      <c r="J21" s="16" t="str">
        <f ca="1"/>
        <v/>
      </c>
      <c r="K21" s="16" t="str">
        <f ca="1"/>
        <v/>
      </c>
    </row>
    <row r="22" spans="1:11" ht="15.75">
      <c r="A22" s="96" t="str">
        <v>Sandwich</v>
      </c>
      <c r="B22" s="97" t="str">
        <v>MA</v>
      </c>
      <c r="C22" s="102" t="str" cm="1">
        <f t="array" aca="1" ref="C22:K22" ca="1">IF(INDIRECT("'" &amp; $A22 &amp; "'!B14:J14")="", "", INDIRECT("'" &amp; $A22 &amp; "'!B14:J14"))</f>
        <v/>
      </c>
      <c r="D22" s="102" t="str">
        <f ca="1"/>
        <v/>
      </c>
      <c r="E22" s="102">
        <f ca="1"/>
        <v>0</v>
      </c>
      <c r="F22" s="93">
        <f ca="1"/>
        <v>0</v>
      </c>
      <c r="G22" s="103" t="str">
        <f ca="1"/>
        <v/>
      </c>
      <c r="H22" s="103">
        <f ca="1"/>
        <v>0</v>
      </c>
      <c r="I22" s="98">
        <f ca="1"/>
        <v>0</v>
      </c>
      <c r="J22" s="16" t="str">
        <f ca="1"/>
        <v/>
      </c>
      <c r="K22" s="16" t="str">
        <f ca="1"/>
        <v/>
      </c>
    </row>
    <row r="23" spans="1:11" ht="15.75">
      <c r="A23" s="99" t="str">
        <v>Sturbridge Barn</v>
      </c>
      <c r="B23" s="100" t="str">
        <v>MA</v>
      </c>
      <c r="C23" s="102" t="str" cm="1">
        <f t="array" aca="1" ref="C23:K23" ca="1">IF(INDIRECT("'" &amp; $A23 &amp; "'!B14:J14")="", "", INDIRECT("'" &amp; $A23 &amp; "'!B14:J14"))</f>
        <v/>
      </c>
      <c r="D23" s="102" t="str">
        <f ca="1"/>
        <v/>
      </c>
      <c r="E23" s="102">
        <f ca="1"/>
        <v>0</v>
      </c>
      <c r="F23" s="93">
        <f ca="1"/>
        <v>0</v>
      </c>
      <c r="G23" s="103" t="str">
        <f ca="1"/>
        <v/>
      </c>
      <c r="H23" s="103">
        <f ca="1"/>
        <v>0</v>
      </c>
      <c r="I23" s="98">
        <f ca="1"/>
        <v>0</v>
      </c>
      <c r="J23" s="16" t="str">
        <f ca="1"/>
        <v/>
      </c>
      <c r="K23" s="16" t="str">
        <f ca="1"/>
        <v/>
      </c>
    </row>
    <row r="24" spans="1:11" ht="15.75">
      <c r="A24" s="96" t="str">
        <v>Sturbridge Garage</v>
      </c>
      <c r="B24" s="97" t="str">
        <v>MA</v>
      </c>
      <c r="C24" s="102" t="str" cm="1">
        <f t="array" aca="1" ref="C24:K24" ca="1">IF(INDIRECT("'" &amp; $A24 &amp; "'!B14:J14")="", "", INDIRECT("'" &amp; $A24 &amp; "'!B14:J14"))</f>
        <v/>
      </c>
      <c r="D24" s="102" t="str">
        <f ca="1"/>
        <v/>
      </c>
      <c r="E24" s="102">
        <f ca="1"/>
        <v>0</v>
      </c>
      <c r="F24" s="93">
        <f ca="1"/>
        <v>0</v>
      </c>
      <c r="G24" s="103" t="str">
        <f ca="1"/>
        <v/>
      </c>
      <c r="H24" s="103">
        <f ca="1"/>
        <v>0</v>
      </c>
      <c r="I24" s="98">
        <f ca="1"/>
        <v>0</v>
      </c>
      <c r="J24" s="16" t="str">
        <f ca="1"/>
        <v/>
      </c>
      <c r="K24" s="16" t="str">
        <f ca="1"/>
        <v/>
      </c>
    </row>
    <row r="25" spans="1:11" ht="15.75">
      <c r="A25" s="99" t="str">
        <v>Halsey Valley</v>
      </c>
      <c r="B25" s="100" t="str">
        <v>NY</v>
      </c>
      <c r="C25" s="102" t="str" cm="1">
        <f t="array" aca="1" ref="C25:K25" ca="1">IF(INDIRECT("'" &amp; $A25 &amp; "'!B14:J14")="", "", INDIRECT("'" &amp; $A25 &amp; "'!B14:J14"))</f>
        <v/>
      </c>
      <c r="D25" s="102" t="str">
        <f ca="1"/>
        <v/>
      </c>
      <c r="E25" s="102">
        <f ca="1"/>
        <v>0</v>
      </c>
      <c r="F25" s="93">
        <f ca="1"/>
        <v>0</v>
      </c>
      <c r="G25" s="103" t="str">
        <f ca="1"/>
        <v/>
      </c>
      <c r="H25" s="103">
        <f ca="1"/>
        <v>0</v>
      </c>
      <c r="I25" s="98">
        <f ca="1"/>
        <v>0</v>
      </c>
      <c r="J25" s="16" t="str">
        <f ca="1"/>
        <v/>
      </c>
      <c r="K25" s="16" t="str">
        <f ca="1"/>
        <v/>
      </c>
    </row>
    <row r="26" spans="1:11" ht="15.75">
      <c r="A26" s="96" t="str">
        <v>Hunt Creek</v>
      </c>
      <c r="B26" s="97" t="str">
        <v>NY</v>
      </c>
      <c r="C26" s="102" t="str" cm="1">
        <f t="array" aca="1" ref="C26:K26" ca="1">IF(INDIRECT("'" &amp; $A26 &amp; "'!B14:J14")="", "", INDIRECT("'" &amp; $A26 &amp; "'!B14:J14"))</f>
        <v/>
      </c>
      <c r="D26" s="102" t="str">
        <f ca="1"/>
        <v/>
      </c>
      <c r="E26" s="102">
        <f ca="1"/>
        <v>0</v>
      </c>
      <c r="F26" s="93">
        <f ca="1"/>
        <v>0</v>
      </c>
      <c r="G26" s="103" t="str">
        <f ca="1"/>
        <v/>
      </c>
      <c r="H26" s="103">
        <f ca="1"/>
        <v>0</v>
      </c>
      <c r="I26" s="98">
        <f ca="1"/>
        <v>0</v>
      </c>
      <c r="J26" s="16" t="str">
        <f ca="1"/>
        <v/>
      </c>
      <c r="K26" s="16" t="str">
        <f ca="1"/>
        <v/>
      </c>
    </row>
    <row r="27" spans="1:11" ht="15.75">
      <c r="A27" s="99" t="str">
        <v>Smith Creek</v>
      </c>
      <c r="B27" s="100" t="str">
        <v>NY</v>
      </c>
      <c r="C27" s="102" t="str" cm="1">
        <f t="array" aca="1" ref="C27:K27" ca="1">IF(INDIRECT("'" &amp; $A27 &amp; "'!B14:J14")="", "", INDIRECT("'" &amp; $A27 &amp; "'!B14:J14"))</f>
        <v/>
      </c>
      <c r="D27" s="102" t="str">
        <f ca="1"/>
        <v/>
      </c>
      <c r="E27" s="102">
        <f ca="1"/>
        <v>0</v>
      </c>
      <c r="F27" s="93">
        <f ca="1"/>
        <v>0</v>
      </c>
      <c r="G27" s="132" t="str">
        <f ca="1"/>
        <v/>
      </c>
      <c r="H27" s="132">
        <f ca="1"/>
        <v>0</v>
      </c>
      <c r="I27" s="133">
        <f ca="1"/>
        <v>0</v>
      </c>
      <c r="J27" s="16" t="str">
        <f ca="1"/>
        <v/>
      </c>
      <c r="K27" s="16" t="str">
        <f ca="1"/>
        <v/>
      </c>
    </row>
    <row r="28" spans="1:11" ht="24.75" customHeight="1">
      <c r="A28" s="173" t="s">
        <v>9</v>
      </c>
      <c r="B28" s="174"/>
      <c r="C28" s="104">
        <f ca="1">SUM(C3:C27)</f>
        <v>0</v>
      </c>
      <c r="D28" s="104">
        <f ca="1">SUM(D3:D27)</f>
        <v>0</v>
      </c>
      <c r="E28" s="104">
        <f ca="1">C28-D28</f>
        <v>0</v>
      </c>
      <c r="F28" s="105">
        <f ca="1">IFERROR(E28/D28, 0)</f>
        <v>0</v>
      </c>
      <c r="G28" s="104">
        <f ca="1">SUM(G3:G27)</f>
        <v>0</v>
      </c>
      <c r="H28" s="106">
        <f ca="1">C28-G28</f>
        <v>0</v>
      </c>
      <c r="I28" s="107">
        <f ca="1">IFERROR(H28/G28, 0)</f>
        <v>0</v>
      </c>
      <c r="J28" s="108"/>
      <c r="K28" s="109"/>
    </row>
    <row r="29" spans="1:11">
      <c r="J29" s="8"/>
    </row>
    <row r="30" spans="1:11" ht="12.75" customHeight="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 ht="12.75" customHeight="1">
      <c r="A33" s="165"/>
      <c r="J33" s="8"/>
    </row>
    <row r="34" spans="1:10">
      <c r="J34" s="8"/>
    </row>
  </sheetData>
  <autoFilter ref="A2:I2" xr:uid="{B87DE706-15D9-4E58-ADBD-0129509DEFD6}"/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10" priority="1" operator="lessThanOrEqual">
      <formula>-0.1</formula>
    </cfRule>
    <cfRule type="cellIs" dxfId="40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"/>
  <sheetViews>
    <sheetView workbookViewId="0">
      <pane ySplit="2" topLeftCell="A3" activePane="bottomLeft" state="frozen"/>
      <selection pane="bottomLeft" activeCell="G14" sqref="G14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6" t="str" cm="1">
        <f t="array" ref="A1">portfolio</f>
        <v>Lodestar</v>
      </c>
      <c r="B1" s="167"/>
      <c r="C1" s="179" t="s">
        <v>42</v>
      </c>
      <c r="D1" s="180"/>
      <c r="E1" s="180"/>
      <c r="F1" s="181"/>
      <c r="G1" s="175" t="s">
        <v>43</v>
      </c>
      <c r="H1" s="175"/>
      <c r="I1" s="176"/>
      <c r="J1" s="177" t="s">
        <v>22</v>
      </c>
      <c r="K1" s="177" t="s">
        <v>23</v>
      </c>
    </row>
    <row r="2" spans="1:11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101" t="s">
        <v>8</v>
      </c>
      <c r="H2" s="7" t="s">
        <v>6</v>
      </c>
      <c r="I2" s="9" t="s">
        <v>7</v>
      </c>
      <c r="J2" s="178"/>
      <c r="K2" s="178"/>
    </row>
    <row r="3" spans="1:11" ht="15.75">
      <c r="A3" s="110" t="str" cm="1">
        <f t="array" ref="A3:A27">Sites[Site]</f>
        <v>Barkhamsted</v>
      </c>
      <c r="B3" s="111" t="str" cm="1">
        <f t="array" ref="B3:B27">Sites[State]</f>
        <v>CT</v>
      </c>
      <c r="C3" s="112" t="str" cm="1">
        <f t="array" aca="1" ref="C3:K3" ca="1">IF(INDIRECT("'" &amp; $A3 &amp; "'!B15:J15")="", "", INDIRECT("'" &amp; $A3 &amp; "'!B15:J15"))</f>
        <v/>
      </c>
      <c r="D3" s="112" t="str">
        <f ca="1"/>
        <v/>
      </c>
      <c r="E3" s="112">
        <f ca="1"/>
        <v>0</v>
      </c>
      <c r="F3" s="113">
        <f ca="1"/>
        <v>0</v>
      </c>
      <c r="G3" s="114" t="str">
        <f ca="1"/>
        <v/>
      </c>
      <c r="H3" s="114">
        <f ca="1"/>
        <v>0</v>
      </c>
      <c r="I3" s="115">
        <f ca="1"/>
        <v>0</v>
      </c>
      <c r="J3" s="16" t="str">
        <f ca="1"/>
        <v/>
      </c>
      <c r="K3" s="16" t="str">
        <f ca="1"/>
        <v/>
      </c>
    </row>
    <row r="4" spans="1:11" ht="15.75">
      <c r="A4" s="116" t="str">
        <v>Bunce</v>
      </c>
      <c r="B4" s="117" t="str">
        <v>CT</v>
      </c>
      <c r="C4" s="112" t="str" cm="1">
        <f t="array" aca="1" ref="C4:K4" ca="1">IF(INDIRECT("'" &amp; $A4 &amp; "'!B15:J15")="", "", INDIRECT("'" &amp; $A4 &amp; "'!B15:J15"))</f>
        <v/>
      </c>
      <c r="D4" s="112" t="str">
        <f ca="1"/>
        <v/>
      </c>
      <c r="E4" s="112">
        <f ca="1"/>
        <v>0</v>
      </c>
      <c r="F4" s="113">
        <f ca="1"/>
        <v>0</v>
      </c>
      <c r="G4" s="114" t="str">
        <f ca="1"/>
        <v/>
      </c>
      <c r="H4" s="114">
        <f ca="1"/>
        <v>0</v>
      </c>
      <c r="I4" s="118">
        <f ca="1"/>
        <v>0</v>
      </c>
      <c r="J4" s="16" t="str">
        <f ca="1"/>
        <v/>
      </c>
      <c r="K4" s="16" t="str">
        <f ca="1"/>
        <v/>
      </c>
    </row>
    <row r="5" spans="1:11" ht="15.75">
      <c r="A5" s="119" t="str">
        <v>Norcap North</v>
      </c>
      <c r="B5" s="120" t="str">
        <v>CT</v>
      </c>
      <c r="C5" s="112" t="str" cm="1">
        <f t="array" aca="1" ref="C5:K5" ca="1">IF(INDIRECT("'" &amp; $A5 &amp; "'!B15:J15")="", "", INDIRECT("'" &amp; $A5 &amp; "'!B15:J15"))</f>
        <v/>
      </c>
      <c r="D5" s="112" t="str">
        <f ca="1"/>
        <v/>
      </c>
      <c r="E5" s="112">
        <f ca="1"/>
        <v>0</v>
      </c>
      <c r="F5" s="113">
        <f ca="1"/>
        <v>0</v>
      </c>
      <c r="G5" s="114" t="str">
        <f ca="1"/>
        <v/>
      </c>
      <c r="H5" s="114">
        <f ca="1"/>
        <v>0</v>
      </c>
      <c r="I5" s="118">
        <f ca="1"/>
        <v>0</v>
      </c>
      <c r="J5" s="16" t="str">
        <f ca="1"/>
        <v/>
      </c>
      <c r="K5" s="16" t="str">
        <f ca="1"/>
        <v/>
      </c>
    </row>
    <row r="6" spans="1:11" ht="15.75">
      <c r="A6" s="116" t="str">
        <v>Norcap South</v>
      </c>
      <c r="B6" s="117" t="str">
        <v>CT</v>
      </c>
      <c r="C6" s="112" t="str" cm="1">
        <f t="array" aca="1" ref="C6:K6" ca="1">IF(INDIRECT("'" &amp; $A6 &amp; "'!B15:J15")="", "", INDIRECT("'" &amp; $A6 &amp; "'!B15:J15"))</f>
        <v/>
      </c>
      <c r="D6" s="112" t="str">
        <f ca="1"/>
        <v/>
      </c>
      <c r="E6" s="112">
        <f ca="1"/>
        <v>0</v>
      </c>
      <c r="F6" s="113">
        <f ca="1"/>
        <v>0</v>
      </c>
      <c r="G6" s="114" t="str">
        <f ca="1"/>
        <v/>
      </c>
      <c r="H6" s="114">
        <f ca="1"/>
        <v>0</v>
      </c>
      <c r="I6" s="118">
        <f ca="1"/>
        <v>0</v>
      </c>
      <c r="J6" s="16" t="str">
        <f ca="1"/>
        <v/>
      </c>
      <c r="K6" s="16" t="str">
        <f ca="1"/>
        <v/>
      </c>
    </row>
    <row r="7" spans="1:11" ht="15.75">
      <c r="A7" s="119" t="str">
        <v>Platt Hill</v>
      </c>
      <c r="B7" s="120" t="str">
        <v>CT</v>
      </c>
      <c r="C7" s="112" t="str" cm="1">
        <f t="array" aca="1" ref="C7:K7" ca="1">IF(INDIRECT("'" &amp; $A7 &amp; "'!B15:J15")="", "", INDIRECT("'" &amp; $A7 &amp; "'!B15:J15"))</f>
        <v/>
      </c>
      <c r="D7" s="112" t="str">
        <f ca="1"/>
        <v/>
      </c>
      <c r="E7" s="112">
        <f ca="1"/>
        <v>0</v>
      </c>
      <c r="F7" s="113">
        <f ca="1"/>
        <v>0</v>
      </c>
      <c r="G7" s="114" t="str">
        <f ca="1"/>
        <v/>
      </c>
      <c r="H7" s="114">
        <f ca="1"/>
        <v>0</v>
      </c>
      <c r="I7" s="118">
        <f ca="1"/>
        <v>0</v>
      </c>
      <c r="J7" s="16" t="str">
        <f ca="1"/>
        <v/>
      </c>
      <c r="K7" s="16" t="str">
        <f ca="1"/>
        <v/>
      </c>
    </row>
    <row r="8" spans="1:11" ht="66" customHeight="1">
      <c r="A8" s="116" t="str">
        <v>Powder Hill</v>
      </c>
      <c r="B8" s="117" t="str">
        <v>CT</v>
      </c>
      <c r="C8" s="112" t="str" cm="1">
        <f t="array" aca="1" ref="C8:K8" ca="1">IF(INDIRECT("'" &amp; $A8 &amp; "'!B15:J15")="", "", INDIRECT("'" &amp; $A8 &amp; "'!B15:J15"))</f>
        <v/>
      </c>
      <c r="D8" s="112" t="str">
        <f ca="1"/>
        <v/>
      </c>
      <c r="E8" s="112">
        <f ca="1"/>
        <v>0</v>
      </c>
      <c r="F8" s="113">
        <f ca="1"/>
        <v>0</v>
      </c>
      <c r="G8" s="114" t="str">
        <f ca="1"/>
        <v/>
      </c>
      <c r="H8" s="114">
        <f ca="1"/>
        <v>0</v>
      </c>
      <c r="I8" s="118">
        <f ca="1"/>
        <v>0</v>
      </c>
      <c r="J8" s="16" t="str">
        <f ca="1"/>
        <v/>
      </c>
      <c r="K8" s="16" t="str">
        <f ca="1"/>
        <v/>
      </c>
    </row>
    <row r="9" spans="1:11" ht="15.75">
      <c r="A9" s="119" t="str">
        <v>Sand Road</v>
      </c>
      <c r="B9" s="120" t="str">
        <v>CT</v>
      </c>
      <c r="C9" s="112" t="str" cm="1">
        <f t="array" aca="1" ref="C9:K9" ca="1">IF(INDIRECT("'" &amp; $A9 &amp; "'!B15:J15")="", "", INDIRECT("'" &amp; $A9 &amp; "'!B15:J15"))</f>
        <v/>
      </c>
      <c r="D9" s="112" t="str">
        <f ca="1"/>
        <v/>
      </c>
      <c r="E9" s="112">
        <f ca="1"/>
        <v>0</v>
      </c>
      <c r="F9" s="113">
        <f ca="1"/>
        <v>0</v>
      </c>
      <c r="G9" s="114" t="str">
        <f ca="1"/>
        <v/>
      </c>
      <c r="H9" s="114">
        <f ca="1"/>
        <v>0</v>
      </c>
      <c r="I9" s="118">
        <f ca="1"/>
        <v>0</v>
      </c>
      <c r="J9" s="16" t="str">
        <f ca="1"/>
        <v/>
      </c>
      <c r="K9" s="16" t="str">
        <f ca="1"/>
        <v xml:space="preserve"> </v>
      </c>
    </row>
    <row r="10" spans="1:11" ht="15.75">
      <c r="A10" s="116" t="str">
        <v>Suffield</v>
      </c>
      <c r="B10" s="117" t="str">
        <v>CT</v>
      </c>
      <c r="C10" s="112" t="str" cm="1">
        <f t="array" aca="1" ref="C10:K10" ca="1">IF(INDIRECT("'" &amp; $A10 &amp; "'!B15:J15")="", "", INDIRECT("'" &amp; $A10 &amp; "'!B15:J15"))</f>
        <v/>
      </c>
      <c r="D10" s="112" t="str">
        <f ca="1"/>
        <v/>
      </c>
      <c r="E10" s="112">
        <f ca="1"/>
        <v>0</v>
      </c>
      <c r="F10" s="113">
        <f ca="1"/>
        <v>0</v>
      </c>
      <c r="G10" s="114" t="str">
        <f ca="1"/>
        <v/>
      </c>
      <c r="H10" s="114">
        <f ca="1"/>
        <v>0</v>
      </c>
      <c r="I10" s="118">
        <f ca="1"/>
        <v>0</v>
      </c>
      <c r="J10" s="16" t="str">
        <f ca="1"/>
        <v/>
      </c>
      <c r="K10" s="16" t="str">
        <f ca="1"/>
        <v/>
      </c>
    </row>
    <row r="11" spans="1:11" ht="15.75">
      <c r="A11" s="119" t="str">
        <v>Ashby-Duffy</v>
      </c>
      <c r="B11" s="120" t="str">
        <v>MA</v>
      </c>
      <c r="C11" s="112" t="str" cm="1">
        <f t="array" aca="1" ref="C11:K11" ca="1">IF(INDIRECT("'" &amp; $A11 &amp; "'!B15:J15")="", "", INDIRECT("'" &amp; $A11 &amp; "'!B15:J15"))</f>
        <v/>
      </c>
      <c r="D11" s="112" t="str">
        <f ca="1"/>
        <v/>
      </c>
      <c r="E11" s="112">
        <f ca="1"/>
        <v>0</v>
      </c>
      <c r="F11" s="113">
        <f ca="1"/>
        <v>0</v>
      </c>
      <c r="G11" s="114" t="str">
        <f ca="1"/>
        <v/>
      </c>
      <c r="H11" s="114">
        <f ca="1"/>
        <v>0</v>
      </c>
      <c r="I11" s="118">
        <f ca="1"/>
        <v>0</v>
      </c>
      <c r="J11" s="16" t="str">
        <f ca="1"/>
        <v/>
      </c>
      <c r="K11" s="16" t="str">
        <f ca="1"/>
        <v/>
      </c>
    </row>
    <row r="12" spans="1:11" ht="188.25" customHeight="1">
      <c r="A12" s="116" t="str">
        <v>Ashland</v>
      </c>
      <c r="B12" s="117" t="str">
        <v>MA</v>
      </c>
      <c r="C12" s="112" t="str" cm="1">
        <f t="array" aca="1" ref="C12:K12" ca="1">IF(INDIRECT("'" &amp; $A12 &amp; "'!B15:J15")="", "", INDIRECT("'" &amp; $A12 &amp; "'!B15:J15"))</f>
        <v/>
      </c>
      <c r="D12" s="112" t="str">
        <f ca="1"/>
        <v/>
      </c>
      <c r="E12" s="112">
        <f ca="1"/>
        <v>0</v>
      </c>
      <c r="F12" s="113">
        <f ca="1"/>
        <v>0</v>
      </c>
      <c r="G12" s="114" t="str">
        <f ca="1"/>
        <v/>
      </c>
      <c r="H12" s="114">
        <f ca="1"/>
        <v>0</v>
      </c>
      <c r="I12" s="118">
        <f ca="1"/>
        <v>0</v>
      </c>
      <c r="J12" s="16" t="str">
        <f ca="1"/>
        <v/>
      </c>
      <c r="K12" s="16" t="str">
        <f ca="1"/>
        <v/>
      </c>
    </row>
    <row r="13" spans="1:11" ht="31.5" customHeight="1">
      <c r="A13" s="119" t="str">
        <v>Barrington</v>
      </c>
      <c r="B13" s="120" t="str">
        <v>MA</v>
      </c>
      <c r="C13" s="112" t="str" cm="1">
        <f t="array" aca="1" ref="C13:K13" ca="1">IF(INDIRECT("'" &amp; $A13 &amp; "'!B15:J15")="", "", INDIRECT("'" &amp; $A13 &amp; "'!B15:J15"))</f>
        <v/>
      </c>
      <c r="D13" s="112" t="str">
        <f ca="1"/>
        <v/>
      </c>
      <c r="E13" s="112">
        <f ca="1"/>
        <v>0</v>
      </c>
      <c r="F13" s="113">
        <f ca="1"/>
        <v>0</v>
      </c>
      <c r="G13" s="114" t="str">
        <f ca="1"/>
        <v/>
      </c>
      <c r="H13" s="114">
        <f ca="1"/>
        <v>0</v>
      </c>
      <c r="I13" s="118">
        <f ca="1"/>
        <v>0</v>
      </c>
      <c r="J13" s="16" t="str">
        <f ca="1"/>
        <v/>
      </c>
      <c r="K13" s="16" t="str">
        <f ca="1"/>
        <v/>
      </c>
    </row>
    <row r="14" spans="1:11" ht="15.75">
      <c r="A14" s="116" t="str">
        <v>Bedford - 205 Burlington Rd</v>
      </c>
      <c r="B14" s="117" t="str">
        <v>MA</v>
      </c>
      <c r="C14" s="112" t="str" cm="1">
        <f t="array" aca="1" ref="C14:K14" ca="1">IF(INDIRECT("'" &amp; $A14 &amp; "'!B15:J15")="", "", INDIRECT("'" &amp; $A14 &amp; "'!B15:J15"))</f>
        <v/>
      </c>
      <c r="D14" s="112" t="str">
        <f ca="1"/>
        <v/>
      </c>
      <c r="E14" s="112">
        <f ca="1"/>
        <v>0</v>
      </c>
      <c r="F14" s="113">
        <f ca="1"/>
        <v>0</v>
      </c>
      <c r="G14" s="114" t="str">
        <f ca="1"/>
        <v/>
      </c>
      <c r="H14" s="114">
        <f ca="1"/>
        <v>0</v>
      </c>
      <c r="I14" s="118">
        <f ca="1"/>
        <v>0</v>
      </c>
      <c r="J14" s="16" t="str">
        <f ca="1"/>
        <v/>
      </c>
      <c r="K14" s="16" t="str">
        <f ca="1"/>
        <v/>
      </c>
    </row>
    <row r="15" spans="1:11" ht="15.75">
      <c r="A15" s="119" t="str">
        <v>Billerica - 6 Cook Street</v>
      </c>
      <c r="B15" s="120" t="str">
        <v>MA</v>
      </c>
      <c r="C15" s="112" t="str" cm="1">
        <f t="array" aca="1" ref="C15:K15" ca="1">IF(INDIRECT("'" &amp; $A15 &amp; "'!B15:J15")="", "", INDIRECT("'" &amp; $A15 &amp; "'!B15:J15"))</f>
        <v/>
      </c>
      <c r="D15" s="112" t="str">
        <f ca="1"/>
        <v/>
      </c>
      <c r="E15" s="112">
        <f ca="1"/>
        <v>0</v>
      </c>
      <c r="F15" s="113">
        <f ca="1"/>
        <v>0</v>
      </c>
      <c r="G15" s="114" t="str">
        <f ca="1"/>
        <v/>
      </c>
      <c r="H15" s="114">
        <f ca="1"/>
        <v>0</v>
      </c>
      <c r="I15" s="118">
        <f ca="1"/>
        <v>0</v>
      </c>
      <c r="J15" s="16" t="str">
        <f ca="1"/>
        <v/>
      </c>
      <c r="K15" s="16" t="str">
        <f ca="1"/>
        <v/>
      </c>
    </row>
    <row r="16" spans="1:11" ht="15.75">
      <c r="A16" s="116" t="str">
        <v>Billerica - 780 Boston Road</v>
      </c>
      <c r="B16" s="117" t="str">
        <v>MA</v>
      </c>
      <c r="C16" s="112" t="str" cm="1">
        <f t="array" aca="1" ref="C16:K16" ca="1">IF(INDIRECT("'" &amp; $A16 &amp; "'!B15:J15")="", "", INDIRECT("'" &amp; $A16 &amp; "'!B15:J15"))</f>
        <v/>
      </c>
      <c r="D16" s="112" t="str">
        <f ca="1"/>
        <v/>
      </c>
      <c r="E16" s="112">
        <f ca="1"/>
        <v>0</v>
      </c>
      <c r="F16" s="113">
        <f ca="1"/>
        <v>0</v>
      </c>
      <c r="G16" s="114" t="str">
        <f ca="1"/>
        <v/>
      </c>
      <c r="H16" s="114">
        <f ca="1"/>
        <v>0</v>
      </c>
      <c r="I16" s="118">
        <f ca="1"/>
        <v>0</v>
      </c>
      <c r="J16" s="16" t="str">
        <f ca="1"/>
        <v/>
      </c>
      <c r="K16" s="16" t="str">
        <f ca="1"/>
        <v/>
      </c>
    </row>
    <row r="17" spans="1:11" ht="15.75">
      <c r="A17" s="119" t="str">
        <v>Cheshire</v>
      </c>
      <c r="B17" s="120" t="str">
        <v>MA</v>
      </c>
      <c r="C17" s="112" t="str" cm="1">
        <f t="array" aca="1" ref="C17:K17" ca="1">IF(INDIRECT("'" &amp; $A17 &amp; "'!B15:J15")="", "", INDIRECT("'" &amp; $A17 &amp; "'!B15:J15"))</f>
        <v/>
      </c>
      <c r="D17" s="112" t="str">
        <f ca="1"/>
        <v/>
      </c>
      <c r="E17" s="112">
        <f ca="1"/>
        <v>0</v>
      </c>
      <c r="F17" s="113">
        <f ca="1"/>
        <v>0</v>
      </c>
      <c r="G17" s="114" t="str">
        <f ca="1"/>
        <v/>
      </c>
      <c r="H17" s="114">
        <f ca="1"/>
        <v>0</v>
      </c>
      <c r="I17" s="118">
        <f ca="1"/>
        <v>0</v>
      </c>
      <c r="J17" s="16" t="str">
        <f ca="1"/>
        <v/>
      </c>
      <c r="K17" s="16" t="str">
        <f ca="1"/>
        <v xml:space="preserve"> </v>
      </c>
    </row>
    <row r="18" spans="1:11" ht="15.75">
      <c r="A18" s="116" t="str">
        <v>Lilly Lane</v>
      </c>
      <c r="B18" s="117" t="str">
        <v>MA</v>
      </c>
      <c r="C18" s="112" t="str" cm="1">
        <f t="array" aca="1" ref="C18:K18" ca="1">IF(INDIRECT("'" &amp; $A18 &amp; "'!B15:J15")="", "", INDIRECT("'" &amp; $A18 &amp; "'!B15:J15"))</f>
        <v/>
      </c>
      <c r="D18" s="112" t="str">
        <f ca="1"/>
        <v/>
      </c>
      <c r="E18" s="112">
        <f ca="1"/>
        <v>0</v>
      </c>
      <c r="F18" s="113">
        <f ca="1"/>
        <v>0</v>
      </c>
      <c r="G18" s="114" t="str">
        <f ca="1"/>
        <v/>
      </c>
      <c r="H18" s="114">
        <f ca="1"/>
        <v>0</v>
      </c>
      <c r="I18" s="118">
        <f ca="1"/>
        <v>0</v>
      </c>
      <c r="J18" s="16" t="str">
        <f ca="1"/>
        <v/>
      </c>
      <c r="K18" s="16" t="str">
        <f ca="1"/>
        <v/>
      </c>
    </row>
    <row r="19" spans="1:11" ht="15.75">
      <c r="A19" s="119" t="str">
        <v>Monument Valley</v>
      </c>
      <c r="B19" s="120" t="str">
        <v>MA</v>
      </c>
      <c r="C19" s="112" t="str" cm="1">
        <f t="array" aca="1" ref="C19:K19" ca="1">IF(INDIRECT("'" &amp; $A19 &amp; "'!B15:J15")="", "", INDIRECT("'" &amp; $A19 &amp; "'!B15:J15"))</f>
        <v/>
      </c>
      <c r="D19" s="112" t="str">
        <f ca="1"/>
        <v/>
      </c>
      <c r="E19" s="112">
        <f ca="1"/>
        <v>0</v>
      </c>
      <c r="F19" s="113">
        <f ca="1"/>
        <v>0</v>
      </c>
      <c r="G19" s="114" t="str">
        <f ca="1"/>
        <v/>
      </c>
      <c r="H19" s="114">
        <f ca="1"/>
        <v>0</v>
      </c>
      <c r="I19" s="118">
        <f ca="1"/>
        <v>0</v>
      </c>
      <c r="J19" s="16" t="str">
        <f ca="1"/>
        <v/>
      </c>
      <c r="K19" s="16" t="str">
        <f ca="1"/>
        <v/>
      </c>
    </row>
    <row r="20" spans="1:11" ht="33" customHeight="1">
      <c r="A20" s="116" t="str">
        <v>Nationwide</v>
      </c>
      <c r="B20" s="117" t="str">
        <v>MA</v>
      </c>
      <c r="C20" s="112" t="str" cm="1">
        <f t="array" aca="1" ref="C20:K20" ca="1">IF(INDIRECT("'" &amp; $A20 &amp; "'!B15:J15")="", "", INDIRECT("'" &amp; $A20 &amp; "'!B15:J15"))</f>
        <v/>
      </c>
      <c r="D20" s="112" t="str">
        <f ca="1"/>
        <v/>
      </c>
      <c r="E20" s="112">
        <f ca="1"/>
        <v>0</v>
      </c>
      <c r="F20" s="113">
        <f ca="1"/>
        <v>0</v>
      </c>
      <c r="G20" s="114" t="str">
        <f ca="1"/>
        <v/>
      </c>
      <c r="H20" s="114">
        <f ca="1"/>
        <v>0</v>
      </c>
      <c r="I20" s="118">
        <f ca="1"/>
        <v>0</v>
      </c>
      <c r="J20" s="16" t="str">
        <f ca="1"/>
        <v/>
      </c>
      <c r="K20" s="16" t="str">
        <f ca="1"/>
        <v/>
      </c>
    </row>
    <row r="21" spans="1:11" ht="33.75" customHeight="1">
      <c r="A21" s="119" t="str">
        <v>Pulpit Hill</v>
      </c>
      <c r="B21" s="120" t="str">
        <v>MA</v>
      </c>
      <c r="C21" s="112" t="str" cm="1">
        <f t="array" aca="1" ref="C21:K21" ca="1">IF(INDIRECT("'" &amp; $A21 &amp; "'!B15:J15")="", "", INDIRECT("'" &amp; $A21 &amp; "'!B15:J15"))</f>
        <v/>
      </c>
      <c r="D21" s="112" t="str">
        <f ca="1"/>
        <v/>
      </c>
      <c r="E21" s="112">
        <f ca="1"/>
        <v>0</v>
      </c>
      <c r="F21" s="113">
        <f ca="1"/>
        <v>0</v>
      </c>
      <c r="G21" s="114" t="str">
        <f ca="1"/>
        <v/>
      </c>
      <c r="H21" s="114">
        <f ca="1"/>
        <v>0</v>
      </c>
      <c r="I21" s="118">
        <f ca="1"/>
        <v>0</v>
      </c>
      <c r="J21" s="16" t="str">
        <f ca="1"/>
        <v/>
      </c>
      <c r="K21" s="16" t="str">
        <f ca="1"/>
        <v/>
      </c>
    </row>
    <row r="22" spans="1:11" ht="15.75">
      <c r="A22" s="116" t="str">
        <v>Sandwich</v>
      </c>
      <c r="B22" s="117" t="str">
        <v>MA</v>
      </c>
      <c r="C22" s="112" t="str" cm="1">
        <f t="array" aca="1" ref="C22:K22" ca="1">IF(INDIRECT("'" &amp; $A22 &amp; "'!B15:J15")="", "", INDIRECT("'" &amp; $A22 &amp; "'!B15:J15"))</f>
        <v/>
      </c>
      <c r="D22" s="112" t="str">
        <f ca="1"/>
        <v/>
      </c>
      <c r="E22" s="112">
        <f ca="1"/>
        <v>0</v>
      </c>
      <c r="F22" s="113">
        <f ca="1"/>
        <v>0</v>
      </c>
      <c r="G22" s="114" t="str">
        <f ca="1"/>
        <v/>
      </c>
      <c r="H22" s="114">
        <f ca="1"/>
        <v>0</v>
      </c>
      <c r="I22" s="118">
        <f ca="1"/>
        <v>0</v>
      </c>
      <c r="J22" s="16" t="str">
        <f ca="1"/>
        <v/>
      </c>
      <c r="K22" s="16" t="str">
        <f ca="1"/>
        <v/>
      </c>
    </row>
    <row r="23" spans="1:11" ht="44.25" customHeight="1">
      <c r="A23" s="119" t="str">
        <v>Sturbridge Barn</v>
      </c>
      <c r="B23" s="120" t="str">
        <v>MA</v>
      </c>
      <c r="C23" s="112" t="str" cm="1">
        <f t="array" aca="1" ref="C23:K23" ca="1">IF(INDIRECT("'" &amp; $A23 &amp; "'!B15:J15")="", "", INDIRECT("'" &amp; $A23 &amp; "'!B15:J15"))</f>
        <v/>
      </c>
      <c r="D23" s="112" t="str">
        <f ca="1"/>
        <v/>
      </c>
      <c r="E23" s="112">
        <f ca="1"/>
        <v>0</v>
      </c>
      <c r="F23" s="113">
        <f ca="1"/>
        <v>0</v>
      </c>
      <c r="G23" s="114" t="str">
        <f ca="1"/>
        <v/>
      </c>
      <c r="H23" s="114">
        <f ca="1"/>
        <v>0</v>
      </c>
      <c r="I23" s="118">
        <f ca="1"/>
        <v>0</v>
      </c>
      <c r="J23" s="16" t="str">
        <f ca="1"/>
        <v/>
      </c>
      <c r="K23" s="16" t="str">
        <f ca="1"/>
        <v/>
      </c>
    </row>
    <row r="24" spans="1:11" ht="15.75">
      <c r="A24" s="116" t="str">
        <v>Sturbridge Garage</v>
      </c>
      <c r="B24" s="117" t="str">
        <v>MA</v>
      </c>
      <c r="C24" s="112" t="str" cm="1">
        <f t="array" aca="1" ref="C24:K24" ca="1">IF(INDIRECT("'" &amp; $A24 &amp; "'!B15:J15")="", "", INDIRECT("'" &amp; $A24 &amp; "'!B15:J15"))</f>
        <v/>
      </c>
      <c r="D24" s="112" t="str">
        <f ca="1"/>
        <v/>
      </c>
      <c r="E24" s="112">
        <f ca="1"/>
        <v>0</v>
      </c>
      <c r="F24" s="113">
        <f ca="1"/>
        <v>0</v>
      </c>
      <c r="G24" s="114" t="str">
        <f ca="1"/>
        <v/>
      </c>
      <c r="H24" s="114">
        <f ca="1"/>
        <v>0</v>
      </c>
      <c r="I24" s="118">
        <f ca="1"/>
        <v>0</v>
      </c>
      <c r="J24" s="16" t="str">
        <f ca="1"/>
        <v/>
      </c>
      <c r="K24" s="16" t="str">
        <f ca="1"/>
        <v/>
      </c>
    </row>
    <row r="25" spans="1:11" ht="36.75" customHeight="1">
      <c r="A25" s="119" t="str">
        <v>Halsey Valley</v>
      </c>
      <c r="B25" s="120" t="str">
        <v>NY</v>
      </c>
      <c r="C25" s="112" t="str" cm="1">
        <f t="array" aca="1" ref="C25:K25" ca="1">IF(INDIRECT("'" &amp; $A25 &amp; "'!B15:J15")="", "", INDIRECT("'" &amp; $A25 &amp; "'!B15:J15"))</f>
        <v/>
      </c>
      <c r="D25" s="112" t="str">
        <f ca="1"/>
        <v/>
      </c>
      <c r="E25" s="112">
        <f ca="1"/>
        <v>0</v>
      </c>
      <c r="F25" s="113">
        <f ca="1"/>
        <v>0</v>
      </c>
      <c r="G25" s="114" t="str">
        <f ca="1"/>
        <v/>
      </c>
      <c r="H25" s="114">
        <f ca="1"/>
        <v>0</v>
      </c>
      <c r="I25" s="118">
        <f ca="1"/>
        <v>0</v>
      </c>
      <c r="J25" s="16" t="str">
        <f ca="1"/>
        <v/>
      </c>
      <c r="K25" s="16" t="str">
        <f ca="1"/>
        <v/>
      </c>
    </row>
    <row r="26" spans="1:11" ht="15.75">
      <c r="A26" s="116" t="str">
        <v>Hunt Creek</v>
      </c>
      <c r="B26" s="117" t="str">
        <v>NY</v>
      </c>
      <c r="C26" s="112" t="str" cm="1">
        <f t="array" aca="1" ref="C26:K26" ca="1">IF(INDIRECT("'" &amp; $A26 &amp; "'!B15:J15")="", "", INDIRECT("'" &amp; $A26 &amp; "'!B15:J15"))</f>
        <v/>
      </c>
      <c r="D26" s="112" t="str">
        <f ca="1"/>
        <v/>
      </c>
      <c r="E26" s="112">
        <f ca="1"/>
        <v>0</v>
      </c>
      <c r="F26" s="113">
        <f ca="1"/>
        <v>0</v>
      </c>
      <c r="G26" s="114" t="str">
        <f ca="1"/>
        <v/>
      </c>
      <c r="H26" s="114">
        <f ca="1"/>
        <v>0</v>
      </c>
      <c r="I26" s="118">
        <f ca="1"/>
        <v>0</v>
      </c>
      <c r="J26" s="16" t="str">
        <f ca="1"/>
        <v/>
      </c>
      <c r="K26" s="16" t="str">
        <f ca="1"/>
        <v/>
      </c>
    </row>
    <row r="27" spans="1:11" ht="15.75">
      <c r="A27" s="119" t="str">
        <v>Smith Creek</v>
      </c>
      <c r="B27" s="120" t="str">
        <v>NY</v>
      </c>
      <c r="C27" s="112" t="str" cm="1">
        <f t="array" aca="1" ref="C27:K27" ca="1">IF(INDIRECT("'" &amp; $A27 &amp; "'!B15:J15")="", "", INDIRECT("'" &amp; $A27 &amp; "'!B15:J15"))</f>
        <v/>
      </c>
      <c r="D27" s="112" t="str">
        <f ca="1"/>
        <v/>
      </c>
      <c r="E27" s="112">
        <f ca="1"/>
        <v>0</v>
      </c>
      <c r="F27" s="113">
        <f ca="1"/>
        <v>0</v>
      </c>
      <c r="G27" s="114" t="str">
        <f ca="1"/>
        <v/>
      </c>
      <c r="H27" s="114">
        <f ca="1"/>
        <v>0</v>
      </c>
      <c r="I27" s="118">
        <f ca="1"/>
        <v>0</v>
      </c>
      <c r="J27" s="16" t="str">
        <f ca="1"/>
        <v/>
      </c>
      <c r="K27" s="16" t="str">
        <f ca="1"/>
        <v/>
      </c>
    </row>
    <row r="28" spans="1:11" ht="24.75" customHeight="1">
      <c r="A28" s="173" t="s">
        <v>9</v>
      </c>
      <c r="B28" s="174"/>
      <c r="C28" s="104">
        <f ca="1">SUM(C3:C27)</f>
        <v>0</v>
      </c>
      <c r="D28" s="104">
        <f ca="1">SUM(D3:D27)</f>
        <v>0</v>
      </c>
      <c r="E28" s="104">
        <f ca="1">C28-D28</f>
        <v>0</v>
      </c>
      <c r="F28" s="105">
        <f ca="1">IFERROR(E28/D28, 0)</f>
        <v>0</v>
      </c>
      <c r="G28" s="104">
        <f ca="1">SUM(G3:G27)</f>
        <v>0</v>
      </c>
      <c r="H28" s="106">
        <f ca="1">C28-G28</f>
        <v>0</v>
      </c>
      <c r="I28" s="107">
        <f ca="1">IFERROR(H28/G28, 0)</f>
        <v>0</v>
      </c>
      <c r="J28" s="108"/>
      <c r="K28" s="109"/>
    </row>
    <row r="29" spans="1:11">
      <c r="J29" s="8"/>
    </row>
    <row r="30" spans="1:11" ht="12.75" customHeight="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 ht="12.75" customHeight="1">
      <c r="A33" s="165"/>
      <c r="J33" s="8"/>
    </row>
    <row r="34" spans="1:10">
      <c r="J34" s="8"/>
    </row>
  </sheetData>
  <autoFilter ref="A2:I2" xr:uid="{7397A98F-A32F-42EE-8114-2658DE422011}"/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08" priority="1" operator="lessThanOrEqual">
      <formula>-0.1</formula>
    </cfRule>
    <cfRule type="cellIs" dxfId="407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"/>
  <sheetViews>
    <sheetView workbookViewId="0">
      <pane ySplit="2" topLeftCell="A10" activePane="bottomLeft" state="frozen"/>
      <selection pane="bottomLeft" activeCell="D4" sqref="D4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66" t="str" cm="1">
        <f t="array" ref="A1">portfolio</f>
        <v>Lodestar</v>
      </c>
      <c r="B1" s="167"/>
      <c r="C1" s="179" t="s">
        <v>44</v>
      </c>
      <c r="D1" s="180"/>
      <c r="E1" s="180"/>
      <c r="F1" s="181"/>
      <c r="G1" s="175" t="s">
        <v>45</v>
      </c>
      <c r="H1" s="175"/>
      <c r="I1" s="176"/>
      <c r="J1" s="177" t="s">
        <v>22</v>
      </c>
      <c r="K1" s="177" t="s">
        <v>23</v>
      </c>
    </row>
    <row r="2" spans="1:11" ht="14.25" customHeight="1">
      <c r="A2" s="42" t="s">
        <v>2</v>
      </c>
      <c r="B2" s="43" t="s">
        <v>3</v>
      </c>
      <c r="C2" s="5" t="s">
        <v>4</v>
      </c>
      <c r="D2" s="40" t="s">
        <v>5</v>
      </c>
      <c r="E2" s="5" t="s">
        <v>6</v>
      </c>
      <c r="F2" s="6" t="s">
        <v>7</v>
      </c>
      <c r="G2" s="101" t="s">
        <v>8</v>
      </c>
      <c r="H2" s="7" t="s">
        <v>6</v>
      </c>
      <c r="I2" s="9" t="s">
        <v>7</v>
      </c>
      <c r="J2" s="178"/>
      <c r="K2" s="178"/>
    </row>
    <row r="3" spans="1:11" ht="15.75">
      <c r="A3" s="110" t="str" cm="1">
        <f t="array" ref="A3:A27">Sites[Site]</f>
        <v>Barkhamsted</v>
      </c>
      <c r="B3" s="111" t="str" cm="1">
        <f t="array" ref="B3:B27">Sites[State]</f>
        <v>CT</v>
      </c>
      <c r="C3" s="112" t="str" cm="1">
        <f t="array" aca="1" ref="C3:K3" ca="1">IF(INDIRECT("'" &amp; $A3 &amp; "'!B16:J16")="", "", INDIRECT("'" &amp; $A3 &amp; "'!B16:J16"))</f>
        <v/>
      </c>
      <c r="D3" s="112" t="str">
        <f ca="1"/>
        <v/>
      </c>
      <c r="E3" s="112">
        <f ca="1"/>
        <v>0</v>
      </c>
      <c r="F3" s="113">
        <f ca="1"/>
        <v>0</v>
      </c>
      <c r="G3" s="114" t="str">
        <f ca="1"/>
        <v/>
      </c>
      <c r="H3" s="114">
        <f ca="1"/>
        <v>0</v>
      </c>
      <c r="I3" s="115">
        <f ca="1"/>
        <v>0</v>
      </c>
      <c r="J3" s="16" t="str">
        <f ca="1"/>
        <v/>
      </c>
      <c r="K3" s="16" t="str">
        <f ca="1"/>
        <v/>
      </c>
    </row>
    <row r="4" spans="1:11" ht="15.75">
      <c r="A4" s="116" t="str">
        <v>Bunce</v>
      </c>
      <c r="B4" s="117" t="str">
        <v>CT</v>
      </c>
      <c r="C4" s="112" t="str" cm="1">
        <f t="array" aca="1" ref="C4:K4" ca="1">IF(INDIRECT("'" &amp; $A4 &amp; "'!B16:J16")="", "", INDIRECT("'" &amp; $A4 &amp; "'!B16:J16"))</f>
        <v/>
      </c>
      <c r="D4" s="112" t="str">
        <f ca="1"/>
        <v/>
      </c>
      <c r="E4" s="112">
        <f ca="1"/>
        <v>0</v>
      </c>
      <c r="F4" s="113">
        <f ca="1"/>
        <v>0</v>
      </c>
      <c r="G4" s="114" t="str">
        <f ca="1"/>
        <v/>
      </c>
      <c r="H4" s="114">
        <f ca="1"/>
        <v>0</v>
      </c>
      <c r="I4" s="118">
        <f ca="1"/>
        <v>0</v>
      </c>
      <c r="J4" s="16" t="str">
        <f ca="1"/>
        <v/>
      </c>
      <c r="K4" s="16" t="str">
        <f ca="1"/>
        <v/>
      </c>
    </row>
    <row r="5" spans="1:11" ht="15.75">
      <c r="A5" s="119" t="str">
        <v>Norcap North</v>
      </c>
      <c r="B5" s="120" t="str">
        <v>CT</v>
      </c>
      <c r="C5" s="112" t="str" cm="1">
        <f t="array" aca="1" ref="C5:K5" ca="1">IF(INDIRECT("'" &amp; $A5 &amp; "'!B16:J16")="", "", INDIRECT("'" &amp; $A5 &amp; "'!B16:J16"))</f>
        <v/>
      </c>
      <c r="D5" s="112" t="str">
        <f ca="1"/>
        <v/>
      </c>
      <c r="E5" s="112">
        <f ca="1"/>
        <v>0</v>
      </c>
      <c r="F5" s="113">
        <f ca="1"/>
        <v>0</v>
      </c>
      <c r="G5" s="114" t="str">
        <f ca="1"/>
        <v/>
      </c>
      <c r="H5" s="114">
        <f ca="1"/>
        <v>0</v>
      </c>
      <c r="I5" s="118">
        <f ca="1"/>
        <v>0</v>
      </c>
      <c r="J5" s="16" t="str">
        <f ca="1"/>
        <v/>
      </c>
      <c r="K5" s="16" t="str">
        <f ca="1"/>
        <v/>
      </c>
    </row>
    <row r="6" spans="1:11" ht="15.75">
      <c r="A6" s="116" t="str">
        <v>Norcap South</v>
      </c>
      <c r="B6" s="117" t="str">
        <v>CT</v>
      </c>
      <c r="C6" s="112" t="str" cm="1">
        <f t="array" aca="1" ref="C6:K6" ca="1">IF(INDIRECT("'" &amp; $A6 &amp; "'!B16:J16")="", "", INDIRECT("'" &amp; $A6 &amp; "'!B16:J16"))</f>
        <v/>
      </c>
      <c r="D6" s="112" t="str">
        <f ca="1"/>
        <v/>
      </c>
      <c r="E6" s="112">
        <f ca="1"/>
        <v>0</v>
      </c>
      <c r="F6" s="113">
        <f ca="1"/>
        <v>0</v>
      </c>
      <c r="G6" s="114" t="str">
        <f ca="1"/>
        <v/>
      </c>
      <c r="H6" s="114">
        <f ca="1"/>
        <v>0</v>
      </c>
      <c r="I6" s="118">
        <f ca="1"/>
        <v>0</v>
      </c>
      <c r="J6" s="16" t="str">
        <f ca="1"/>
        <v/>
      </c>
      <c r="K6" s="16" t="str">
        <f ca="1"/>
        <v/>
      </c>
    </row>
    <row r="7" spans="1:11" ht="15.75">
      <c r="A7" s="119" t="str">
        <v>Platt Hill</v>
      </c>
      <c r="B7" s="120" t="str">
        <v>CT</v>
      </c>
      <c r="C7" s="112" t="str" cm="1">
        <f t="array" aca="1" ref="C7:K7" ca="1">IF(INDIRECT("'" &amp; $A7 &amp; "'!B16:J16")="", "", INDIRECT("'" &amp; $A7 &amp; "'!B16:J16"))</f>
        <v/>
      </c>
      <c r="D7" s="112" t="str">
        <f ca="1"/>
        <v/>
      </c>
      <c r="E7" s="112">
        <f ca="1"/>
        <v>0</v>
      </c>
      <c r="F7" s="113">
        <f ca="1"/>
        <v>0</v>
      </c>
      <c r="G7" s="114" t="str">
        <f ca="1"/>
        <v/>
      </c>
      <c r="H7" s="114">
        <f ca="1"/>
        <v>0</v>
      </c>
      <c r="I7" s="118">
        <f ca="1"/>
        <v>0</v>
      </c>
      <c r="J7" s="16" t="str">
        <f ca="1"/>
        <v/>
      </c>
      <c r="K7" s="16" t="str">
        <f ca="1"/>
        <v/>
      </c>
    </row>
    <row r="8" spans="1:11" ht="15.75">
      <c r="A8" s="116" t="str">
        <v>Powder Hill</v>
      </c>
      <c r="B8" s="117" t="str">
        <v>CT</v>
      </c>
      <c r="C8" s="112" t="str" cm="1">
        <f t="array" aca="1" ref="C8:K8" ca="1">IF(INDIRECT("'" &amp; $A8 &amp; "'!B16:J16")="", "", INDIRECT("'" &amp; $A8 &amp; "'!B16:J16"))</f>
        <v/>
      </c>
      <c r="D8" s="112" t="str">
        <f ca="1"/>
        <v/>
      </c>
      <c r="E8" s="112">
        <f ca="1"/>
        <v>0</v>
      </c>
      <c r="F8" s="113">
        <f ca="1"/>
        <v>0</v>
      </c>
      <c r="G8" s="114" t="str">
        <f ca="1"/>
        <v/>
      </c>
      <c r="H8" s="114">
        <f ca="1"/>
        <v>0</v>
      </c>
      <c r="I8" s="118">
        <f ca="1"/>
        <v>0</v>
      </c>
      <c r="J8" s="16" t="str">
        <f ca="1"/>
        <v/>
      </c>
      <c r="K8" s="16" t="str">
        <f ca="1"/>
        <v/>
      </c>
    </row>
    <row r="9" spans="1:11" ht="15.75">
      <c r="A9" s="119" t="str">
        <v>Sand Road</v>
      </c>
      <c r="B9" s="120" t="str">
        <v>CT</v>
      </c>
      <c r="C9" s="112" t="str" cm="1">
        <f t="array" aca="1" ref="C9:K9" ca="1">IF(INDIRECT("'" &amp; $A9 &amp; "'!B16:J16")="", "", INDIRECT("'" &amp; $A9 &amp; "'!B16:J16"))</f>
        <v/>
      </c>
      <c r="D9" s="112" t="str">
        <f ca="1"/>
        <v/>
      </c>
      <c r="E9" s="112">
        <f ca="1"/>
        <v>0</v>
      </c>
      <c r="F9" s="113">
        <f ca="1"/>
        <v>0</v>
      </c>
      <c r="G9" s="114" t="str">
        <f ca="1"/>
        <v/>
      </c>
      <c r="H9" s="114">
        <f ca="1"/>
        <v>0</v>
      </c>
      <c r="I9" s="118">
        <f ca="1"/>
        <v>0</v>
      </c>
      <c r="J9" s="16" t="str">
        <f ca="1"/>
        <v/>
      </c>
      <c r="K9" s="16" t="str">
        <f ca="1"/>
        <v xml:space="preserve"> </v>
      </c>
    </row>
    <row r="10" spans="1:11" ht="15.75">
      <c r="A10" s="116" t="str">
        <v>Suffield</v>
      </c>
      <c r="B10" s="117" t="str">
        <v>CT</v>
      </c>
      <c r="C10" s="112" t="str" cm="1">
        <f t="array" aca="1" ref="C10:K10" ca="1">IF(INDIRECT("'" &amp; $A10 &amp; "'!B16:J16")="", "", INDIRECT("'" &amp; $A10 &amp; "'!B16:J16"))</f>
        <v/>
      </c>
      <c r="D10" s="112" t="str">
        <f ca="1"/>
        <v/>
      </c>
      <c r="E10" s="112">
        <f ca="1"/>
        <v>0</v>
      </c>
      <c r="F10" s="113">
        <f ca="1"/>
        <v>0</v>
      </c>
      <c r="G10" s="114" t="str">
        <f ca="1"/>
        <v/>
      </c>
      <c r="H10" s="114">
        <f ca="1"/>
        <v>0</v>
      </c>
      <c r="I10" s="118">
        <f ca="1"/>
        <v>0</v>
      </c>
      <c r="J10" s="16" t="str">
        <f ca="1"/>
        <v/>
      </c>
      <c r="K10" s="16" t="str">
        <f ca="1"/>
        <v/>
      </c>
    </row>
    <row r="11" spans="1:11" ht="15.75">
      <c r="A11" s="119" t="str">
        <v>Ashby-Duffy</v>
      </c>
      <c r="B11" s="120" t="str">
        <v>MA</v>
      </c>
      <c r="C11" s="112" t="str" cm="1">
        <f t="array" aca="1" ref="C11:K11" ca="1">IF(INDIRECT("'" &amp; $A11 &amp; "'!B16:J16")="", "", INDIRECT("'" &amp; $A11 &amp; "'!B16:J16"))</f>
        <v/>
      </c>
      <c r="D11" s="112" t="str">
        <f ca="1"/>
        <v/>
      </c>
      <c r="E11" s="112">
        <f ca="1"/>
        <v>0</v>
      </c>
      <c r="F11" s="113">
        <f ca="1"/>
        <v>0</v>
      </c>
      <c r="G11" s="114" t="str">
        <f ca="1"/>
        <v/>
      </c>
      <c r="H11" s="114">
        <f ca="1"/>
        <v>0</v>
      </c>
      <c r="I11" s="118">
        <f ca="1"/>
        <v>0</v>
      </c>
      <c r="J11" s="16" t="str">
        <f ca="1"/>
        <v/>
      </c>
      <c r="K11" s="16" t="str">
        <f ca="1"/>
        <v/>
      </c>
    </row>
    <row r="12" spans="1:11" ht="15.75">
      <c r="A12" s="116" t="str">
        <v>Ashland</v>
      </c>
      <c r="B12" s="117" t="str">
        <v>MA</v>
      </c>
      <c r="C12" s="112" t="str" cm="1">
        <f t="array" aca="1" ref="C12:K12" ca="1">IF(INDIRECT("'" &amp; $A12 &amp; "'!B16:J16")="", "", INDIRECT("'" &amp; $A12 &amp; "'!B16:J16"))</f>
        <v/>
      </c>
      <c r="D12" s="112" t="str">
        <f ca="1"/>
        <v/>
      </c>
      <c r="E12" s="112">
        <f ca="1"/>
        <v>0</v>
      </c>
      <c r="F12" s="113">
        <f ca="1"/>
        <v>0</v>
      </c>
      <c r="G12" s="114" t="str">
        <f ca="1"/>
        <v/>
      </c>
      <c r="H12" s="114">
        <f ca="1"/>
        <v>0</v>
      </c>
      <c r="I12" s="118">
        <f ca="1"/>
        <v>0</v>
      </c>
      <c r="J12" s="16" t="str">
        <f ca="1"/>
        <v/>
      </c>
      <c r="K12" s="16" t="str">
        <f ca="1"/>
        <v/>
      </c>
    </row>
    <row r="13" spans="1:11" ht="15.75">
      <c r="A13" s="119" t="str">
        <v>Barrington</v>
      </c>
      <c r="B13" s="120" t="str">
        <v>MA</v>
      </c>
      <c r="C13" s="112" t="str" cm="1">
        <f t="array" aca="1" ref="C13:K13" ca="1">IF(INDIRECT("'" &amp; $A13 &amp; "'!B16:J16")="", "", INDIRECT("'" &amp; $A13 &amp; "'!B16:J16"))</f>
        <v/>
      </c>
      <c r="D13" s="112" t="str">
        <f ca="1"/>
        <v/>
      </c>
      <c r="E13" s="112">
        <f ca="1"/>
        <v>0</v>
      </c>
      <c r="F13" s="113">
        <f ca="1"/>
        <v>0</v>
      </c>
      <c r="G13" s="114" t="str">
        <f ca="1"/>
        <v/>
      </c>
      <c r="H13" s="114">
        <f ca="1"/>
        <v>0</v>
      </c>
      <c r="I13" s="118">
        <f ca="1"/>
        <v>0</v>
      </c>
      <c r="J13" s="16" t="str">
        <f ca="1"/>
        <v/>
      </c>
      <c r="K13" s="16" t="str">
        <f ca="1"/>
        <v/>
      </c>
    </row>
    <row r="14" spans="1:11" ht="15.75">
      <c r="A14" s="116" t="str">
        <v>Bedford - 205 Burlington Rd</v>
      </c>
      <c r="B14" s="117" t="str">
        <v>MA</v>
      </c>
      <c r="C14" s="112" t="str" cm="1">
        <f t="array" aca="1" ref="C14:K14" ca="1">IF(INDIRECT("'" &amp; $A14 &amp; "'!B16:J16")="", "", INDIRECT("'" &amp; $A14 &amp; "'!B16:J16"))</f>
        <v/>
      </c>
      <c r="D14" s="112" t="str">
        <f ca="1"/>
        <v/>
      </c>
      <c r="E14" s="112">
        <f ca="1"/>
        <v>0</v>
      </c>
      <c r="F14" s="113">
        <f ca="1"/>
        <v>0</v>
      </c>
      <c r="G14" s="121" t="str">
        <f ca="1"/>
        <v/>
      </c>
      <c r="H14" s="121">
        <f ca="1"/>
        <v>0</v>
      </c>
      <c r="I14" s="122">
        <f ca="1"/>
        <v>0</v>
      </c>
      <c r="J14" s="16" t="str">
        <f ca="1"/>
        <v/>
      </c>
      <c r="K14" s="16" t="str">
        <f ca="1"/>
        <v xml:space="preserve"> </v>
      </c>
    </row>
    <row r="15" spans="1:11" ht="15.75">
      <c r="A15" s="119" t="str">
        <v>Billerica - 6 Cook Street</v>
      </c>
      <c r="B15" s="120" t="str">
        <v>MA</v>
      </c>
      <c r="C15" s="112" t="str" cm="1">
        <f t="array" aca="1" ref="C15:K15" ca="1">IF(INDIRECT("'" &amp; $A15 &amp; "'!B16:J16")="", "", INDIRECT("'" &amp; $A15 &amp; "'!B16:J16"))</f>
        <v/>
      </c>
      <c r="D15" s="112" t="str">
        <f ca="1"/>
        <v/>
      </c>
      <c r="E15" s="112">
        <f ca="1"/>
        <v>0</v>
      </c>
      <c r="F15" s="113">
        <f ca="1"/>
        <v>0</v>
      </c>
      <c r="G15" s="123" t="str">
        <f ca="1"/>
        <v/>
      </c>
      <c r="H15" s="123">
        <f ca="1"/>
        <v>0</v>
      </c>
      <c r="I15" s="124">
        <f ca="1"/>
        <v>0</v>
      </c>
      <c r="J15" s="16" t="str">
        <f ca="1"/>
        <v/>
      </c>
      <c r="K15" s="16" t="str">
        <f ca="1"/>
        <v xml:space="preserve"> </v>
      </c>
    </row>
    <row r="16" spans="1:11" ht="15.75">
      <c r="A16" s="116" t="str">
        <v>Billerica - 780 Boston Road</v>
      </c>
      <c r="B16" s="117" t="str">
        <v>MA</v>
      </c>
      <c r="C16" s="112" t="str" cm="1">
        <f t="array" aca="1" ref="C16:K16" ca="1">IF(INDIRECT("'" &amp; $A16 &amp; "'!B16:J16")="", "", INDIRECT("'" &amp; $A16 &amp; "'!B16:J16"))</f>
        <v/>
      </c>
      <c r="D16" s="112" t="str">
        <f ca="1"/>
        <v/>
      </c>
      <c r="E16" s="112">
        <f ca="1"/>
        <v>0</v>
      </c>
      <c r="F16" s="113">
        <f ca="1"/>
        <v>0</v>
      </c>
      <c r="G16" s="123">
        <f ca="1"/>
        <v>0</v>
      </c>
      <c r="H16" s="123">
        <f ca="1"/>
        <v>0</v>
      </c>
      <c r="I16" s="124">
        <f ca="1"/>
        <v>0</v>
      </c>
      <c r="J16" s="16" t="str">
        <f ca="1"/>
        <v/>
      </c>
      <c r="K16" s="16" t="str">
        <f ca="1"/>
        <v/>
      </c>
    </row>
    <row r="17" spans="1:11" ht="15.75">
      <c r="A17" s="119" t="str">
        <v>Cheshire</v>
      </c>
      <c r="B17" s="120" t="str">
        <v>MA</v>
      </c>
      <c r="C17" s="112" t="str" cm="1">
        <f t="array" aca="1" ref="C17:K17" ca="1">IF(INDIRECT("'" &amp; $A17 &amp; "'!B16:J16")="", "", INDIRECT("'" &amp; $A17 &amp; "'!B16:J16"))</f>
        <v/>
      </c>
      <c r="D17" s="112" t="str">
        <f ca="1"/>
        <v/>
      </c>
      <c r="E17" s="112">
        <f ca="1"/>
        <v>0</v>
      </c>
      <c r="F17" s="113">
        <f ca="1"/>
        <v>0</v>
      </c>
      <c r="G17" s="123" t="str">
        <f ca="1"/>
        <v/>
      </c>
      <c r="H17" s="123">
        <f ca="1"/>
        <v>0</v>
      </c>
      <c r="I17" s="124">
        <f ca="1"/>
        <v>0</v>
      </c>
      <c r="J17" s="16" t="str">
        <f ca="1"/>
        <v/>
      </c>
      <c r="K17" s="16" t="str">
        <f ca="1"/>
        <v xml:space="preserve"> </v>
      </c>
    </row>
    <row r="18" spans="1:11" ht="15.75">
      <c r="A18" s="116" t="str">
        <v>Lilly Lane</v>
      </c>
      <c r="B18" s="117" t="str">
        <v>MA</v>
      </c>
      <c r="C18" s="112" t="str" cm="1">
        <f t="array" aca="1" ref="C18:K18" ca="1">IF(INDIRECT("'" &amp; $A18 &amp; "'!B16:J16")="", "", INDIRECT("'" &amp; $A18 &amp; "'!B16:J16"))</f>
        <v/>
      </c>
      <c r="D18" s="112" t="str">
        <f ca="1"/>
        <v/>
      </c>
      <c r="E18" s="112">
        <f ca="1"/>
        <v>0</v>
      </c>
      <c r="F18" s="113">
        <f ca="1"/>
        <v>0</v>
      </c>
      <c r="G18" s="123" t="str">
        <f ca="1"/>
        <v/>
      </c>
      <c r="H18" s="123">
        <f ca="1"/>
        <v>0</v>
      </c>
      <c r="I18" s="124">
        <f ca="1"/>
        <v>0</v>
      </c>
      <c r="J18" s="16" t="str">
        <f ca="1"/>
        <v/>
      </c>
      <c r="K18" s="16" t="str">
        <f ca="1"/>
        <v/>
      </c>
    </row>
    <row r="19" spans="1:11" ht="15.75">
      <c r="A19" s="119" t="str">
        <v>Monument Valley</v>
      </c>
      <c r="B19" s="120" t="str">
        <v>MA</v>
      </c>
      <c r="C19" s="112" t="str" cm="1">
        <f t="array" aca="1" ref="C19:K19" ca="1">IF(INDIRECT("'" &amp; $A19 &amp; "'!B16:J16")="", "", INDIRECT("'" &amp; $A19 &amp; "'!B16:J16"))</f>
        <v/>
      </c>
      <c r="D19" s="112" t="str">
        <f ca="1"/>
        <v/>
      </c>
      <c r="E19" s="112">
        <f ca="1"/>
        <v>0</v>
      </c>
      <c r="F19" s="113">
        <f ca="1"/>
        <v>0</v>
      </c>
      <c r="G19" s="123" t="str">
        <f ca="1"/>
        <v/>
      </c>
      <c r="H19" s="123">
        <f ca="1"/>
        <v>0</v>
      </c>
      <c r="I19" s="124">
        <f ca="1"/>
        <v>0</v>
      </c>
      <c r="J19" s="16" t="str">
        <f ca="1"/>
        <v/>
      </c>
      <c r="K19" s="16" t="str">
        <f ca="1"/>
        <v/>
      </c>
    </row>
    <row r="20" spans="1:11" ht="15.75">
      <c r="A20" s="116" t="str">
        <v>Nationwide</v>
      </c>
      <c r="B20" s="117" t="str">
        <v>MA</v>
      </c>
      <c r="C20" s="112" t="str" cm="1">
        <f t="array" aca="1" ref="C20:K20" ca="1">IF(INDIRECT("'" &amp; $A20 &amp; "'!B16:J16")="", "", INDIRECT("'" &amp; $A20 &amp; "'!B16:J16"))</f>
        <v/>
      </c>
      <c r="D20" s="112" t="str">
        <f ca="1"/>
        <v/>
      </c>
      <c r="E20" s="112">
        <f ca="1"/>
        <v>0</v>
      </c>
      <c r="F20" s="113">
        <f ca="1"/>
        <v>0</v>
      </c>
      <c r="G20" s="123" t="str">
        <f ca="1"/>
        <v/>
      </c>
      <c r="H20" s="123">
        <f ca="1"/>
        <v>0</v>
      </c>
      <c r="I20" s="124">
        <f ca="1"/>
        <v>0</v>
      </c>
      <c r="J20" s="16" t="str">
        <f ca="1"/>
        <v/>
      </c>
      <c r="K20" s="16" t="str">
        <f ca="1"/>
        <v/>
      </c>
    </row>
    <row r="21" spans="1:11" ht="15.75">
      <c r="A21" s="119" t="str">
        <v>Pulpit Hill</v>
      </c>
      <c r="B21" s="120" t="str">
        <v>MA</v>
      </c>
      <c r="C21" s="112" t="str" cm="1">
        <f t="array" aca="1" ref="C21:K21" ca="1">IF(INDIRECT("'" &amp; $A21 &amp; "'!B16:J16")="", "", INDIRECT("'" &amp; $A21 &amp; "'!B16:J16"))</f>
        <v/>
      </c>
      <c r="D21" s="112" t="str">
        <f ca="1"/>
        <v/>
      </c>
      <c r="E21" s="112">
        <f ca="1"/>
        <v>0</v>
      </c>
      <c r="F21" s="113">
        <f ca="1"/>
        <v>0</v>
      </c>
      <c r="G21" s="123" t="str">
        <f ca="1"/>
        <v/>
      </c>
      <c r="H21" s="123">
        <f ca="1"/>
        <v>0</v>
      </c>
      <c r="I21" s="124">
        <f ca="1"/>
        <v>0</v>
      </c>
      <c r="J21" s="16" t="str">
        <f ca="1"/>
        <v/>
      </c>
      <c r="K21" s="16" t="str">
        <f ca="1"/>
        <v/>
      </c>
    </row>
    <row r="22" spans="1:11" ht="15.75">
      <c r="A22" s="116" t="str">
        <v>Sandwich</v>
      </c>
      <c r="B22" s="117" t="str">
        <v>MA</v>
      </c>
      <c r="C22" s="112" t="str" cm="1">
        <f t="array" aca="1" ref="C22:K22" ca="1">IF(INDIRECT("'" &amp; $A22 &amp; "'!B16:J16")="", "", INDIRECT("'" &amp; $A22 &amp; "'!B16:J16"))</f>
        <v/>
      </c>
      <c r="D22" s="112" t="str">
        <f ca="1"/>
        <v/>
      </c>
      <c r="E22" s="112">
        <f ca="1"/>
        <v>0</v>
      </c>
      <c r="F22" s="113">
        <f ca="1"/>
        <v>0</v>
      </c>
      <c r="G22" s="123" t="str">
        <f ca="1"/>
        <v/>
      </c>
      <c r="H22" s="123">
        <f ca="1"/>
        <v>0</v>
      </c>
      <c r="I22" s="124">
        <f ca="1"/>
        <v>0</v>
      </c>
      <c r="J22" s="16" t="str">
        <f ca="1"/>
        <v/>
      </c>
      <c r="K22" s="16" t="str">
        <f ca="1"/>
        <v/>
      </c>
    </row>
    <row r="23" spans="1:11" ht="15.75">
      <c r="A23" s="119" t="str">
        <v>Sturbridge Barn</v>
      </c>
      <c r="B23" s="120" t="str">
        <v>MA</v>
      </c>
      <c r="C23" s="112" t="str" cm="1">
        <f t="array" aca="1" ref="C23:K23" ca="1">IF(INDIRECT("'" &amp; $A23 &amp; "'!B16:J16")="", "", INDIRECT("'" &amp; $A23 &amp; "'!B16:J16"))</f>
        <v/>
      </c>
      <c r="D23" s="112" t="str">
        <f ca="1"/>
        <v/>
      </c>
      <c r="E23" s="112">
        <f ca="1"/>
        <v>0</v>
      </c>
      <c r="F23" s="113">
        <f ca="1"/>
        <v>0</v>
      </c>
      <c r="G23" s="123" t="str">
        <f ca="1"/>
        <v/>
      </c>
      <c r="H23" s="123">
        <f ca="1"/>
        <v>0</v>
      </c>
      <c r="I23" s="124">
        <f ca="1"/>
        <v>0</v>
      </c>
      <c r="J23" s="16" t="str">
        <f ca="1"/>
        <v/>
      </c>
      <c r="K23" s="16" t="str">
        <f ca="1"/>
        <v/>
      </c>
    </row>
    <row r="24" spans="1:11" ht="15.75">
      <c r="A24" s="116" t="str">
        <v>Sturbridge Garage</v>
      </c>
      <c r="B24" s="117" t="str">
        <v>MA</v>
      </c>
      <c r="C24" s="112" t="str" cm="1">
        <f t="array" aca="1" ref="C24:K24" ca="1">IF(INDIRECT("'" &amp; $A24 &amp; "'!B16:J16")="", "", INDIRECT("'" &amp; $A24 &amp; "'!B16:J16"))</f>
        <v/>
      </c>
      <c r="D24" s="112" t="str">
        <f ca="1"/>
        <v/>
      </c>
      <c r="E24" s="112">
        <f ca="1"/>
        <v>0</v>
      </c>
      <c r="F24" s="113">
        <f ca="1"/>
        <v>0</v>
      </c>
      <c r="G24" s="123" t="str">
        <f ca="1"/>
        <v/>
      </c>
      <c r="H24" s="123">
        <f ca="1"/>
        <v>0</v>
      </c>
      <c r="I24" s="124">
        <f ca="1"/>
        <v>0</v>
      </c>
      <c r="J24" s="16" t="str">
        <f ca="1"/>
        <v/>
      </c>
      <c r="K24" s="16" t="str">
        <f ca="1"/>
        <v/>
      </c>
    </row>
    <row r="25" spans="1:11" ht="15.75">
      <c r="A25" s="119" t="str">
        <v>Halsey Valley</v>
      </c>
      <c r="B25" s="120" t="str">
        <v>NY</v>
      </c>
      <c r="C25" s="112" t="str" cm="1">
        <f t="array" aca="1" ref="C25:K25" ca="1">IF(INDIRECT("'" &amp; $A25 &amp; "'!B16:J16")="", "", INDIRECT("'" &amp; $A25 &amp; "'!B16:J16"))</f>
        <v/>
      </c>
      <c r="D25" s="112" t="str">
        <f ca="1"/>
        <v/>
      </c>
      <c r="E25" s="112">
        <f ca="1"/>
        <v>0</v>
      </c>
      <c r="F25" s="113">
        <f ca="1"/>
        <v>0</v>
      </c>
      <c r="G25" s="123" t="str">
        <f ca="1"/>
        <v/>
      </c>
      <c r="H25" s="123">
        <f ca="1"/>
        <v>0</v>
      </c>
      <c r="I25" s="124">
        <f ca="1"/>
        <v>0</v>
      </c>
      <c r="J25" s="16" t="str">
        <f ca="1"/>
        <v/>
      </c>
      <c r="K25" s="16" t="str">
        <f ca="1"/>
        <v/>
      </c>
    </row>
    <row r="26" spans="1:11" ht="15.75">
      <c r="A26" s="116" t="str">
        <v>Hunt Creek</v>
      </c>
      <c r="B26" s="117" t="str">
        <v>NY</v>
      </c>
      <c r="C26" s="112" t="str" cm="1">
        <f t="array" aca="1" ref="C26:K26" ca="1">IF(INDIRECT("'" &amp; $A26 &amp; "'!B16:J16")="", "", INDIRECT("'" &amp; $A26 &amp; "'!B16:J16"))</f>
        <v/>
      </c>
      <c r="D26" s="112" t="str">
        <f ca="1"/>
        <v/>
      </c>
      <c r="E26" s="112">
        <f ca="1"/>
        <v>0</v>
      </c>
      <c r="F26" s="113">
        <f ca="1"/>
        <v>0</v>
      </c>
      <c r="G26" s="123" t="str">
        <f ca="1"/>
        <v/>
      </c>
      <c r="H26" s="123">
        <f ca="1"/>
        <v>0</v>
      </c>
      <c r="I26" s="124">
        <f ca="1"/>
        <v>0</v>
      </c>
      <c r="J26" s="16" t="str">
        <f ca="1"/>
        <v/>
      </c>
      <c r="K26" s="16" t="str">
        <f ca="1"/>
        <v/>
      </c>
    </row>
    <row r="27" spans="1:11" ht="15.75">
      <c r="A27" s="125" t="str">
        <v>Smith Creek</v>
      </c>
      <c r="B27" s="126" t="str">
        <v>NY</v>
      </c>
      <c r="C27" s="127" t="str" cm="1">
        <f t="array" aca="1" ref="C27:K27" ca="1">IF(INDIRECT("'" &amp; $A27 &amp; "'!B16:J16")="", "", INDIRECT("'" &amp; $A27 &amp; "'!B16:J16"))</f>
        <v/>
      </c>
      <c r="D27" s="127" t="str">
        <f ca="1"/>
        <v/>
      </c>
      <c r="E27" s="127">
        <f ca="1"/>
        <v>0</v>
      </c>
      <c r="F27" s="128">
        <f ca="1"/>
        <v>0</v>
      </c>
      <c r="G27" s="129" t="str">
        <f ca="1"/>
        <v/>
      </c>
      <c r="H27" s="129">
        <f ca="1"/>
        <v>0</v>
      </c>
      <c r="I27" s="130">
        <f ca="1"/>
        <v>0</v>
      </c>
      <c r="J27" s="16" t="str">
        <f ca="1"/>
        <v/>
      </c>
      <c r="K27" s="16" t="str">
        <f ca="1"/>
        <v/>
      </c>
    </row>
    <row r="28" spans="1:11" ht="24.75" customHeight="1">
      <c r="A28" s="173" t="s">
        <v>9</v>
      </c>
      <c r="B28" s="174"/>
      <c r="C28" s="104">
        <f ca="1">SUM(C3:C27)</f>
        <v>0</v>
      </c>
      <c r="D28" s="104">
        <f ca="1">SUM(D3:D27)</f>
        <v>0</v>
      </c>
      <c r="E28" s="104">
        <f ca="1">C28-D28</f>
        <v>0</v>
      </c>
      <c r="F28" s="105">
        <f ca="1">IFERROR(E28/D28, 0)</f>
        <v>0</v>
      </c>
      <c r="G28" s="104">
        <f ca="1">SUM(G3:G27)</f>
        <v>0</v>
      </c>
      <c r="H28" s="106">
        <f ca="1">C28-G28</f>
        <v>0</v>
      </c>
      <c r="I28" s="107">
        <f ca="1">IFERROR(H28/G28, 0)</f>
        <v>0</v>
      </c>
      <c r="J28" s="108"/>
      <c r="K28" s="109"/>
    </row>
    <row r="29" spans="1:11">
      <c r="J29" s="8"/>
    </row>
    <row r="30" spans="1:11" ht="12.75" customHeight="1">
      <c r="A30" s="164" t="s">
        <v>10</v>
      </c>
      <c r="J30" s="8"/>
    </row>
    <row r="31" spans="1:11">
      <c r="A31" s="164"/>
      <c r="J31" s="8"/>
    </row>
    <row r="32" spans="1:11">
      <c r="A32" s="165" t="s">
        <v>11</v>
      </c>
      <c r="J32" s="8"/>
    </row>
    <row r="33" spans="1:10" ht="12.75" customHeight="1">
      <c r="A33" s="165"/>
      <c r="J33" s="8"/>
    </row>
    <row r="34" spans="1:10">
      <c r="J34" s="8"/>
    </row>
  </sheetData>
  <autoFilter ref="A2:I2" xr:uid="{7BFACBC8-3831-4E2B-BAD7-988F02FCC664}"/>
  <mergeCells count="8">
    <mergeCell ref="G1:I1"/>
    <mergeCell ref="J1:J2"/>
    <mergeCell ref="K1:K2"/>
    <mergeCell ref="A30:A31"/>
    <mergeCell ref="A32:A33"/>
    <mergeCell ref="A28:B28"/>
    <mergeCell ref="C1:F1"/>
    <mergeCell ref="A1:B1"/>
  </mergeCells>
  <conditionalFormatting sqref="F3:F28 I3:I28">
    <cfRule type="cellIs" dxfId="406" priority="1" operator="lessThanOrEqual">
      <formula>-0.1</formula>
    </cfRule>
    <cfRule type="cellIs" dxfId="40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7"/>
  <sheetViews>
    <sheetView workbookViewId="0">
      <pane ySplit="2" topLeftCell="A3" activePane="bottomLeft" state="frozen"/>
      <selection pane="bottomLeft" activeCell="I14" sqref="I14"/>
    </sheetView>
  </sheetViews>
  <sheetFormatPr defaultRowHeight="12.75" customHeight="1"/>
  <cols>
    <col min="1" max="2" width="41.85546875" customWidth="1"/>
    <col min="4" max="4" width="9.140625" customWidth="1"/>
    <col min="5" max="5" width="18.42578125" customWidth="1"/>
    <col min="6" max="13" width="9.140625" customWidth="1"/>
  </cols>
  <sheetData>
    <row r="1" spans="1:6" ht="12.75" customHeight="1">
      <c r="A1" t="s">
        <v>46</v>
      </c>
      <c r="B1" s="49" t="s">
        <v>47</v>
      </c>
    </row>
    <row r="2" spans="1:6">
      <c r="A2" t="s">
        <v>48</v>
      </c>
      <c r="B2" t="s">
        <v>2</v>
      </c>
      <c r="C2" t="s">
        <v>3</v>
      </c>
      <c r="D2" t="s">
        <v>49</v>
      </c>
      <c r="E2" t="s">
        <v>50</v>
      </c>
    </row>
    <row r="3" spans="1:6" ht="14.25">
      <c r="A3" s="87" t="s">
        <v>51</v>
      </c>
      <c r="B3" s="87" t="s">
        <v>52</v>
      </c>
      <c r="C3" s="87" t="s">
        <v>53</v>
      </c>
      <c r="D3" t="s">
        <v>54</v>
      </c>
      <c r="E3" s="87" t="s">
        <v>55</v>
      </c>
      <c r="F3" s="12"/>
    </row>
    <row r="4" spans="1:6" ht="14.25">
      <c r="A4" s="87" t="s">
        <v>56</v>
      </c>
      <c r="B4" s="87" t="s">
        <v>57</v>
      </c>
      <c r="C4" s="87" t="s">
        <v>53</v>
      </c>
      <c r="D4" t="s">
        <v>54</v>
      </c>
      <c r="E4" s="87" t="s">
        <v>55</v>
      </c>
      <c r="F4" s="12"/>
    </row>
    <row r="5" spans="1:6" ht="14.25">
      <c r="A5" s="87" t="s">
        <v>58</v>
      </c>
      <c r="B5" s="87" t="s">
        <v>58</v>
      </c>
      <c r="C5" s="87" t="s">
        <v>53</v>
      </c>
      <c r="D5" t="s">
        <v>54</v>
      </c>
      <c r="E5" s="87" t="s">
        <v>55</v>
      </c>
      <c r="F5" s="12"/>
    </row>
    <row r="6" spans="1:6" ht="14.25">
      <c r="A6" s="87" t="s">
        <v>59</v>
      </c>
      <c r="B6" s="87" t="s">
        <v>59</v>
      </c>
      <c r="C6" s="87" t="s">
        <v>53</v>
      </c>
      <c r="D6" t="s">
        <v>54</v>
      </c>
      <c r="E6" s="87" t="s">
        <v>55</v>
      </c>
      <c r="F6" s="12"/>
    </row>
    <row r="7" spans="1:6" ht="14.25">
      <c r="A7" s="87" t="s">
        <v>60</v>
      </c>
      <c r="B7" s="87" t="s">
        <v>60</v>
      </c>
      <c r="C7" s="87" t="s">
        <v>53</v>
      </c>
      <c r="D7" t="s">
        <v>54</v>
      </c>
      <c r="E7" s="87" t="s">
        <v>55</v>
      </c>
      <c r="F7" s="12"/>
    </row>
    <row r="8" spans="1:6" ht="14.25">
      <c r="A8" s="87" t="s">
        <v>61</v>
      </c>
      <c r="B8" s="87" t="s">
        <v>61</v>
      </c>
      <c r="C8" s="87" t="s">
        <v>53</v>
      </c>
      <c r="D8" t="s">
        <v>54</v>
      </c>
      <c r="E8" s="87" t="s">
        <v>55</v>
      </c>
      <c r="F8" s="12"/>
    </row>
    <row r="9" spans="1:6" ht="14.25">
      <c r="A9" s="87" t="s">
        <v>62</v>
      </c>
      <c r="B9" s="87" t="s">
        <v>63</v>
      </c>
      <c r="C9" s="87" t="s">
        <v>53</v>
      </c>
      <c r="D9" t="s">
        <v>54</v>
      </c>
      <c r="E9" s="87" t="s">
        <v>55</v>
      </c>
      <c r="F9" s="12"/>
    </row>
    <row r="10" spans="1:6" ht="14.25">
      <c r="A10" s="87" t="s">
        <v>64</v>
      </c>
      <c r="B10" s="87" t="s">
        <v>65</v>
      </c>
      <c r="C10" s="87" t="s">
        <v>53</v>
      </c>
      <c r="D10" t="s">
        <v>54</v>
      </c>
      <c r="E10" s="87" t="s">
        <v>55</v>
      </c>
      <c r="F10" s="12"/>
    </row>
    <row r="11" spans="1:6" ht="14.25">
      <c r="A11" s="87" t="s">
        <v>66</v>
      </c>
      <c r="B11" s="87" t="s">
        <v>66</v>
      </c>
      <c r="C11" s="87" t="s">
        <v>67</v>
      </c>
      <c r="D11" t="s">
        <v>54</v>
      </c>
      <c r="E11" s="87" t="s">
        <v>55</v>
      </c>
      <c r="F11" s="12"/>
    </row>
    <row r="12" spans="1:6" ht="14.25">
      <c r="A12" s="87" t="s">
        <v>68</v>
      </c>
      <c r="B12" s="87" t="s">
        <v>69</v>
      </c>
      <c r="C12" s="87" t="s">
        <v>67</v>
      </c>
      <c r="D12" t="s">
        <v>54</v>
      </c>
      <c r="E12" s="87" t="s">
        <v>55</v>
      </c>
      <c r="F12" s="12"/>
    </row>
    <row r="13" spans="1:6" ht="14.25">
      <c r="A13" s="87" t="s">
        <v>70</v>
      </c>
      <c r="B13" s="87" t="s">
        <v>71</v>
      </c>
      <c r="C13" s="87" t="s">
        <v>67</v>
      </c>
      <c r="D13" t="s">
        <v>54</v>
      </c>
      <c r="E13" s="87" t="s">
        <v>55</v>
      </c>
      <c r="F13" s="12"/>
    </row>
    <row r="14" spans="1:6" ht="14.25">
      <c r="A14" s="87" t="s">
        <v>72</v>
      </c>
      <c r="B14" t="s">
        <v>73</v>
      </c>
      <c r="C14" s="87" t="s">
        <v>67</v>
      </c>
      <c r="E14" t="s">
        <v>74</v>
      </c>
      <c r="F14" s="12"/>
    </row>
    <row r="15" spans="1:6" ht="14.25">
      <c r="A15" s="87" t="s">
        <v>75</v>
      </c>
      <c r="B15" t="s">
        <v>76</v>
      </c>
      <c r="C15" s="87" t="s">
        <v>67</v>
      </c>
      <c r="E15" t="s">
        <v>74</v>
      </c>
      <c r="F15" s="12"/>
    </row>
    <row r="16" spans="1:6" ht="12.75" customHeight="1">
      <c r="A16" s="87" t="s">
        <v>77</v>
      </c>
      <c r="B16" t="s">
        <v>78</v>
      </c>
      <c r="C16" s="87" t="s">
        <v>67</v>
      </c>
      <c r="E16" t="s">
        <v>74</v>
      </c>
    </row>
    <row r="17" spans="1:5" ht="12.75" customHeight="1">
      <c r="A17" s="87" t="s">
        <v>79</v>
      </c>
      <c r="B17" s="87" t="s">
        <v>80</v>
      </c>
      <c r="C17" s="87" t="s">
        <v>67</v>
      </c>
      <c r="D17" t="s">
        <v>54</v>
      </c>
      <c r="E17" s="87" t="s">
        <v>55</v>
      </c>
    </row>
    <row r="18" spans="1:5" ht="12.75" customHeight="1">
      <c r="A18" s="87" t="s">
        <v>81</v>
      </c>
      <c r="B18" s="87" t="s">
        <v>82</v>
      </c>
      <c r="C18" s="87" t="s">
        <v>67</v>
      </c>
      <c r="D18" t="s">
        <v>54</v>
      </c>
      <c r="E18" s="87" t="s">
        <v>55</v>
      </c>
    </row>
    <row r="19" spans="1:5" ht="12.75" customHeight="1">
      <c r="A19" s="87" t="s">
        <v>83</v>
      </c>
      <c r="B19" s="87" t="s">
        <v>83</v>
      </c>
      <c r="C19" s="87" t="s">
        <v>67</v>
      </c>
      <c r="D19" t="s">
        <v>54</v>
      </c>
      <c r="E19" s="87" t="s">
        <v>55</v>
      </c>
    </row>
    <row r="20" spans="1:5" ht="12.75" customHeight="1">
      <c r="A20" s="87" t="s">
        <v>84</v>
      </c>
      <c r="B20" s="87" t="s">
        <v>84</v>
      </c>
      <c r="C20" s="87" t="s">
        <v>67</v>
      </c>
      <c r="D20" t="s">
        <v>54</v>
      </c>
      <c r="E20" s="87" t="s">
        <v>55</v>
      </c>
    </row>
    <row r="21" spans="1:5" ht="12.75" customHeight="1">
      <c r="A21" s="87" t="s">
        <v>85</v>
      </c>
      <c r="B21" s="87" t="s">
        <v>85</v>
      </c>
      <c r="C21" s="87" t="s">
        <v>67</v>
      </c>
      <c r="D21" t="s">
        <v>54</v>
      </c>
      <c r="E21" s="87" t="s">
        <v>55</v>
      </c>
    </row>
    <row r="22" spans="1:5" ht="12.75" customHeight="1">
      <c r="A22" s="87" t="s">
        <v>86</v>
      </c>
      <c r="B22" t="s">
        <v>87</v>
      </c>
      <c r="C22" s="87" t="s">
        <v>67</v>
      </c>
      <c r="E22" t="s">
        <v>55</v>
      </c>
    </row>
    <row r="23" spans="1:5" ht="12.75" customHeight="1">
      <c r="A23" s="87" t="s">
        <v>88</v>
      </c>
      <c r="B23" s="87" t="s">
        <v>89</v>
      </c>
      <c r="C23" s="87" t="s">
        <v>67</v>
      </c>
      <c r="D23" t="s">
        <v>54</v>
      </c>
      <c r="E23" s="87" t="s">
        <v>55</v>
      </c>
    </row>
    <row r="24" spans="1:5" ht="12.75" customHeight="1">
      <c r="A24" s="87" t="s">
        <v>90</v>
      </c>
      <c r="B24" s="87" t="s">
        <v>91</v>
      </c>
      <c r="C24" s="87" t="s">
        <v>67</v>
      </c>
      <c r="D24" t="s">
        <v>54</v>
      </c>
      <c r="E24" s="87" t="s">
        <v>55</v>
      </c>
    </row>
    <row r="25" spans="1:5" ht="12.75" customHeight="1">
      <c r="A25" s="87" t="s">
        <v>92</v>
      </c>
      <c r="B25" s="87" t="s">
        <v>92</v>
      </c>
      <c r="C25" s="87" t="s">
        <v>93</v>
      </c>
      <c r="D25" t="s">
        <v>54</v>
      </c>
      <c r="E25" s="87" t="s">
        <v>55</v>
      </c>
    </row>
    <row r="26" spans="1:5" ht="12.75" customHeight="1">
      <c r="A26" s="87" t="s">
        <v>94</v>
      </c>
      <c r="B26" s="87" t="s">
        <v>95</v>
      </c>
      <c r="C26" s="87" t="s">
        <v>93</v>
      </c>
      <c r="D26" t="s">
        <v>54</v>
      </c>
      <c r="E26" s="87" t="s">
        <v>55</v>
      </c>
    </row>
    <row r="27" spans="1:5" ht="12.75" customHeight="1">
      <c r="A27" s="87" t="s">
        <v>96</v>
      </c>
      <c r="B27" s="87" t="s">
        <v>97</v>
      </c>
      <c r="C27" s="87" t="s">
        <v>93</v>
      </c>
      <c r="D27" t="s">
        <v>54</v>
      </c>
      <c r="E27" s="87" t="s">
        <v>55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F61-AB9F-4A30-84FF-25FDD04000F5}">
  <sheetPr codeName="Sheet21">
    <tabColor theme="7" tint="-0.249977111117893"/>
  </sheetPr>
  <dimension ref="A1:O20"/>
  <sheetViews>
    <sheetView zoomScale="80" zoomScaleNormal="80" workbookViewId="0">
      <selection activeCell="H23" sqref="H2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6.7109375" customWidth="1"/>
    <col min="10" max="10" width="18.5703125" bestFit="1" customWidth="1"/>
  </cols>
  <sheetData>
    <row r="1" spans="1:15" ht="25.15">
      <c r="A1" s="190" t="s">
        <v>52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69">
        <v>40962</v>
      </c>
      <c r="C5" s="69">
        <v>81116.11</v>
      </c>
      <c r="D5" s="50">
        <f>B5-C5</f>
        <v>-40154.11</v>
      </c>
      <c r="E5" s="51">
        <f t="shared" ref="E5:E16" si="0">IFERROR(D5/C5, 0)</f>
        <v>-0.49502016307241559</v>
      </c>
      <c r="F5" s="60">
        <v>95666.17</v>
      </c>
      <c r="G5" s="52">
        <f>B5-F5</f>
        <v>-54704.17</v>
      </c>
      <c r="H5" s="53">
        <f t="shared" ref="H5:H16" si="1">IFERROR(G5/F5, 0)</f>
        <v>-0.57182356103521237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6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55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5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6"/>
      <c r="J10" s="56"/>
    </row>
    <row r="11" spans="1:15" ht="14.25">
      <c r="A11" s="76" t="s">
        <v>113</v>
      </c>
      <c r="B11" s="85"/>
      <c r="C11" s="85"/>
      <c r="D11" s="85">
        <f t="shared" si="2"/>
        <v>0</v>
      </c>
      <c r="E11" s="54">
        <f t="shared" si="0"/>
        <v>0</v>
      </c>
      <c r="F11" s="86"/>
      <c r="G11" s="84">
        <f t="shared" si="3"/>
        <v>0</v>
      </c>
      <c r="H11" s="53">
        <f t="shared" si="1"/>
        <v>0</v>
      </c>
      <c r="I11" s="55"/>
      <c r="J11" s="56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56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5"/>
      <c r="J15" s="55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147"/>
      <c r="J16" s="71"/>
    </row>
    <row r="17" spans="1:15" ht="14.25">
      <c r="A17" s="148" t="s">
        <v>119</v>
      </c>
      <c r="B17" s="81">
        <f>SUM(B5:B16)</f>
        <v>40962</v>
      </c>
      <c r="C17" s="61">
        <f t="shared" ref="C17:F17" si="4">SUM(C5:C16)</f>
        <v>81116.11</v>
      </c>
      <c r="D17" s="61">
        <f>B17-C17</f>
        <v>-40154.11</v>
      </c>
      <c r="E17" s="62">
        <f>IFERROR(D17/C17, 0)</f>
        <v>-0.49502016307241559</v>
      </c>
      <c r="F17" s="77">
        <f t="shared" si="4"/>
        <v>95666.17</v>
      </c>
      <c r="G17" s="78">
        <f>B17-F17</f>
        <v>-54704.17</v>
      </c>
      <c r="H17" s="79">
        <f>IFERROR(G17/F17, 0)</f>
        <v>-0.57182356103521237</v>
      </c>
      <c r="I17" s="80"/>
      <c r="J17" s="80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6 H5:H16">
    <cfRule type="cellIs" dxfId="399" priority="1" operator="lessThanOrEqual">
      <formula>-0.1</formula>
    </cfRule>
    <cfRule type="cellIs" dxfId="39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6948-5DBB-4934-87C3-6A89FE70D843}">
  <sheetPr codeName="Sheet23">
    <tabColor theme="7" tint="-0.249977111117893"/>
  </sheetPr>
  <dimension ref="A1:O20"/>
  <sheetViews>
    <sheetView zoomScale="80" zoomScaleNormal="80" workbookViewId="0">
      <selection activeCell="I17" sqref="I17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8" bestFit="1" customWidth="1"/>
    <col min="10" max="10" width="18.5703125" bestFit="1" customWidth="1"/>
  </cols>
  <sheetData>
    <row r="1" spans="1:15" ht="25.15">
      <c r="A1" s="190" t="s">
        <v>57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66">
        <v>85317.75</v>
      </c>
      <c r="C5" s="66">
        <v>134339.20000000001</v>
      </c>
      <c r="D5" s="50">
        <f>Data181920212223242526[[#This Row],[Actual]]-Data181920212223242526[[#This Row],[Expected]]</f>
        <v>-49021.450000000012</v>
      </c>
      <c r="E5" s="51">
        <f t="shared" ref="E5:E16" si="0">IFERROR(D5/C5, 0)</f>
        <v>-0.36490800898025305</v>
      </c>
      <c r="F5" s="67">
        <v>0</v>
      </c>
      <c r="G5" s="52">
        <f>B5-F5</f>
        <v>85317.75</v>
      </c>
      <c r="H5" s="53">
        <f t="shared" ref="H5:H16" si="1">IFERROR(G5/F5, 0)</f>
        <v>0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>Data181920212223242526[[#This Row],[Actual]]-Data181920212223242526[[#This Row],[Expected]]</f>
        <v>0</v>
      </c>
      <c r="E6" s="54">
        <f t="shared" si="0"/>
        <v>0</v>
      </c>
      <c r="F6" s="57"/>
      <c r="G6" s="52">
        <f t="shared" ref="G6:G16" si="2">B6-F6</f>
        <v>0</v>
      </c>
      <c r="H6" s="53">
        <f t="shared" si="1"/>
        <v>0</v>
      </c>
      <c r="I6" s="56"/>
      <c r="J6" s="56"/>
    </row>
    <row r="7" spans="1:15" ht="14.25">
      <c r="A7" s="15" t="s">
        <v>109</v>
      </c>
      <c r="B7" s="50"/>
      <c r="C7" s="50"/>
      <c r="D7" s="50">
        <f>Data181920212223242526[[#This Row],[Actual]]-Data181920212223242526[[#This Row],[Expected]]</f>
        <v>0</v>
      </c>
      <c r="E7" s="54">
        <f t="shared" si="0"/>
        <v>0</v>
      </c>
      <c r="F7" s="58"/>
      <c r="G7" s="52">
        <f t="shared" si="2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>Data181920212223242526[[#This Row],[Actual]]-Data181920212223242526[[#This Row],[Expected]]</f>
        <v>0</v>
      </c>
      <c r="E8" s="54">
        <f t="shared" si="0"/>
        <v>0</v>
      </c>
      <c r="F8" s="52"/>
      <c r="G8" s="52">
        <f t="shared" si="2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>Data181920212223242526[[#This Row],[Actual]]-Data181920212223242526[[#This Row],[Expected]]</f>
        <v>0</v>
      </c>
      <c r="E9" s="54">
        <f t="shared" si="0"/>
        <v>0</v>
      </c>
      <c r="F9" s="52"/>
      <c r="G9" s="52">
        <f t="shared" si="2"/>
        <v>0</v>
      </c>
      <c r="H9" s="53">
        <f t="shared" si="1"/>
        <v>0</v>
      </c>
      <c r="I9" s="73"/>
      <c r="J9" s="74"/>
    </row>
    <row r="10" spans="1:15" ht="14.25">
      <c r="A10" s="15" t="s">
        <v>112</v>
      </c>
      <c r="B10" s="50"/>
      <c r="C10" s="50"/>
      <c r="D10" s="50">
        <f>Data181920212223242526[[#This Row],[Actual]]-Data181920212223242526[[#This Row],[Expected]]</f>
        <v>0</v>
      </c>
      <c r="E10" s="54">
        <f t="shared" si="0"/>
        <v>0</v>
      </c>
      <c r="F10" s="52"/>
      <c r="G10" s="52">
        <f t="shared" si="2"/>
        <v>0</v>
      </c>
      <c r="H10" s="53">
        <f t="shared" si="1"/>
        <v>0</v>
      </c>
      <c r="I10" s="74"/>
      <c r="J10" s="74"/>
    </row>
    <row r="11" spans="1:15" ht="14.25">
      <c r="A11" s="76" t="s">
        <v>113</v>
      </c>
      <c r="B11" s="50"/>
      <c r="C11" s="50"/>
      <c r="D11" s="50">
        <f>Data181920212223242526[[#This Row],[Actual]]-Data181920212223242526[[#This Row],[Expected]]</f>
        <v>0</v>
      </c>
      <c r="E11" s="54">
        <f t="shared" si="0"/>
        <v>0</v>
      </c>
      <c r="F11" s="86"/>
      <c r="G11" s="84">
        <f t="shared" si="2"/>
        <v>0</v>
      </c>
      <c r="H11" s="53">
        <f t="shared" si="1"/>
        <v>0</v>
      </c>
      <c r="I11" s="73"/>
      <c r="J11" s="74"/>
    </row>
    <row r="12" spans="1:15" ht="14.25">
      <c r="A12" s="15" t="s">
        <v>114</v>
      </c>
      <c r="B12" s="50"/>
      <c r="C12" s="50"/>
      <c r="D12" s="50">
        <f>Data181920212223242526[[#This Row],[Actual]]-Data181920212223242526[[#This Row],[Expected]]</f>
        <v>0</v>
      </c>
      <c r="E12" s="54">
        <f t="shared" si="0"/>
        <v>0</v>
      </c>
      <c r="F12" s="58"/>
      <c r="G12" s="52">
        <f t="shared" si="2"/>
        <v>0</v>
      </c>
      <c r="H12" s="53">
        <f t="shared" si="1"/>
        <v>0</v>
      </c>
      <c r="I12" s="56"/>
      <c r="J12" s="56"/>
    </row>
    <row r="13" spans="1:15" ht="14.25">
      <c r="A13" s="15" t="s">
        <v>115</v>
      </c>
      <c r="B13" s="50"/>
      <c r="C13" s="50"/>
      <c r="D13" s="50">
        <f>Data181920212223242526[[#This Row],[Actual]]-Data181920212223242526[[#This Row],[Expected]]</f>
        <v>0</v>
      </c>
      <c r="E13" s="54">
        <f t="shared" si="0"/>
        <v>0</v>
      </c>
      <c r="F13" s="52"/>
      <c r="G13" s="52">
        <f t="shared" si="2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>Data181920212223242526[[#This Row],[Actual]]-Data181920212223242526[[#This Row],[Expected]]</f>
        <v>0</v>
      </c>
      <c r="E14" s="54">
        <f t="shared" si="0"/>
        <v>0</v>
      </c>
      <c r="F14" s="52"/>
      <c r="G14" s="52">
        <f t="shared" si="2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>Data181920212223242526[[#This Row],[Actual]]-Data181920212223242526[[#This Row],[Expected]]</f>
        <v>0</v>
      </c>
      <c r="E15" s="54">
        <f t="shared" si="0"/>
        <v>0</v>
      </c>
      <c r="F15" s="60"/>
      <c r="G15" s="52">
        <f t="shared" si="2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>Data181920212223242526[[#This Row],[Actual]]-Data181920212223242526[[#This Row],[Expected]]</f>
        <v>0</v>
      </c>
      <c r="E16" s="62">
        <f t="shared" si="0"/>
        <v>0</v>
      </c>
      <c r="F16" s="63"/>
      <c r="G16" s="64">
        <f t="shared" si="2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85317.75</v>
      </c>
      <c r="C17" s="19">
        <f t="shared" ref="C17:F17" si="3">SUM(C5:C16)</f>
        <v>134339.20000000001</v>
      </c>
      <c r="D17" s="19">
        <f>B17-C17</f>
        <v>-49021.450000000012</v>
      </c>
      <c r="E17" s="20">
        <f>IFERROR(D17/C17, 0)</f>
        <v>-0.36490800898025305</v>
      </c>
      <c r="F17" s="19">
        <f t="shared" si="3"/>
        <v>0</v>
      </c>
      <c r="G17" s="19">
        <f>B17-F17</f>
        <v>85317.75</v>
      </c>
      <c r="H17" s="21">
        <f>IFERROR(G17/F17, 0)</f>
        <v>0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83" priority="1" operator="lessThanOrEqual">
      <formula>-0.1</formula>
    </cfRule>
    <cfRule type="cellIs" dxfId="38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D247-F01A-48EA-812F-62CB2CDB5B3C}">
  <sheetPr codeName="Sheet30">
    <tabColor theme="7" tint="-0.249977111117893"/>
  </sheetPr>
  <dimension ref="A1:O20"/>
  <sheetViews>
    <sheetView zoomScale="80" zoomScaleNormal="80" workbookViewId="0">
      <selection activeCell="I12" sqref="I1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108" customWidth="1"/>
    <col min="10" max="10" width="18.5703125" bestFit="1" customWidth="1"/>
  </cols>
  <sheetData>
    <row r="1" spans="1:15" ht="25.15">
      <c r="A1" s="190" t="s">
        <v>58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85.5">
      <c r="A5" s="14" t="s">
        <v>107</v>
      </c>
      <c r="B5" s="69">
        <v>86946</v>
      </c>
      <c r="C5" s="59">
        <v>190151.4</v>
      </c>
      <c r="D5" s="50">
        <f>B5-C5</f>
        <v>-103205.4</v>
      </c>
      <c r="E5" s="51">
        <f t="shared" ref="E5:E16" si="0">IFERROR(D5/C5, 0)</f>
        <v>-0.54275382668757632</v>
      </c>
      <c r="F5" s="68">
        <v>179846.6</v>
      </c>
      <c r="G5" s="52">
        <f>B5-F5</f>
        <v>-92900.6</v>
      </c>
      <c r="H5" s="53">
        <f t="shared" ref="H5:H16" si="1">IFERROR(G5/F5, 0)</f>
        <v>-0.51655466380793413</v>
      </c>
      <c r="I5" s="55" t="s">
        <v>120</v>
      </c>
      <c r="J5" s="55" t="s">
        <v>121</v>
      </c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6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5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5"/>
      <c r="J10" s="55"/>
    </row>
    <row r="11" spans="1:15" ht="47.25" customHeight="1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55"/>
      <c r="J11" s="55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56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86946</v>
      </c>
      <c r="C17" s="19">
        <f t="shared" ref="C17:F17" si="4">SUM(C5:C16)</f>
        <v>190151.4</v>
      </c>
      <c r="D17" s="19">
        <f>B17-C17</f>
        <v>-103205.4</v>
      </c>
      <c r="E17" s="20">
        <f>IFERROR(D17/C17, 0)</f>
        <v>-0.54275382668757632</v>
      </c>
      <c r="F17" s="19">
        <f t="shared" si="4"/>
        <v>179846.6</v>
      </c>
      <c r="G17" s="19">
        <f>B17-F17</f>
        <v>-92900.6</v>
      </c>
      <c r="H17" s="21">
        <f>IFERROR(G17/F17, 0)</f>
        <v>-0.51655466380793413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67" priority="1" operator="lessThanOrEqual">
      <formula>-0.1</formula>
    </cfRule>
    <cfRule type="cellIs" dxfId="36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8D96-6D4C-40E6-9F96-37CE715411C8}">
  <sheetPr codeName="Sheet31">
    <tabColor theme="7" tint="-0.249977111117893"/>
  </sheetPr>
  <dimension ref="A1:O20"/>
  <sheetViews>
    <sheetView zoomScale="90" zoomScaleNormal="90" workbookViewId="0">
      <selection activeCell="I30" sqref="I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4.140625" customWidth="1"/>
    <col min="10" max="10" width="19.28515625" bestFit="1" customWidth="1"/>
  </cols>
  <sheetData>
    <row r="1" spans="1:15" ht="25.15">
      <c r="A1" s="190" t="s">
        <v>59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42.75">
      <c r="A5" s="14" t="s">
        <v>107</v>
      </c>
      <c r="B5" s="59">
        <v>92879.5</v>
      </c>
      <c r="C5" s="69">
        <v>212284</v>
      </c>
      <c r="D5" s="50">
        <f>B5-C5</f>
        <v>-119404.5</v>
      </c>
      <c r="E5" s="51">
        <f t="shared" ref="E5:E16" si="0">IFERROR(D5/C5, 0)</f>
        <v>-0.5624752689792919</v>
      </c>
      <c r="F5" s="60">
        <v>156565.5</v>
      </c>
      <c r="G5" s="52">
        <f>B5-F5</f>
        <v>-63686</v>
      </c>
      <c r="H5" s="53">
        <f t="shared" ref="H5:H16" si="1">IFERROR(G5/F5, 0)</f>
        <v>-0.40676905193034224</v>
      </c>
      <c r="I5" s="55" t="s">
        <v>122</v>
      </c>
      <c r="J5" s="55" t="s">
        <v>123</v>
      </c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73"/>
      <c r="J6" s="74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73"/>
      <c r="J7" s="74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70"/>
      <c r="G8" s="52">
        <f t="shared" si="3"/>
        <v>0</v>
      </c>
      <c r="H8" s="53">
        <f t="shared" si="1"/>
        <v>0</v>
      </c>
      <c r="I8" s="74"/>
      <c r="J8" s="74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73"/>
      <c r="J9" s="74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3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3"/>
      <c r="J11" s="73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82"/>
      <c r="G12" s="52">
        <f t="shared" si="3"/>
        <v>0</v>
      </c>
      <c r="H12" s="53">
        <f t="shared" si="1"/>
        <v>0</v>
      </c>
      <c r="I12" s="73"/>
      <c r="J12" s="74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5"/>
      <c r="J13" s="55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5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147"/>
      <c r="J16" s="71"/>
    </row>
    <row r="17" spans="1:15" ht="14.25">
      <c r="A17" s="18" t="s">
        <v>119</v>
      </c>
      <c r="B17" s="19">
        <f>SUM(B5:B16)</f>
        <v>92879.5</v>
      </c>
      <c r="C17" s="19">
        <f t="shared" ref="C17:F17" si="4">SUM(C5:C16)</f>
        <v>212284</v>
      </c>
      <c r="D17" s="19">
        <f>B17-C17</f>
        <v>-119404.5</v>
      </c>
      <c r="E17" s="20">
        <f>IFERROR(D17/C17, 0)</f>
        <v>-0.5624752689792919</v>
      </c>
      <c r="F17" s="19">
        <f t="shared" si="4"/>
        <v>156565.5</v>
      </c>
      <c r="G17" s="19">
        <f>B17-F17</f>
        <v>-63686</v>
      </c>
      <c r="H17" s="21">
        <f>IFERROR(G17/F17, 0)</f>
        <v>-0.40676905193034224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51" priority="1" operator="lessThanOrEqual">
      <formula>-0.1</formula>
    </cfRule>
    <cfRule type="cellIs" dxfId="35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CD34-CB90-46BF-8E4F-C99324188B17}">
  <sheetPr codeName="Sheet32">
    <tabColor theme="7" tint="-0.249977111117893"/>
  </sheetPr>
  <dimension ref="A1:O20"/>
  <sheetViews>
    <sheetView workbookViewId="0">
      <selection activeCell="I29" sqref="I2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3.7109375" bestFit="1" customWidth="1"/>
    <col min="10" max="10" width="18.5703125" bestFit="1" customWidth="1"/>
  </cols>
  <sheetData>
    <row r="1" spans="1:15" ht="25.15">
      <c r="A1" s="190" t="s">
        <v>60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5" thickBot="1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 ht="13.15" thickBot="1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69">
        <v>104226.493617021</v>
      </c>
      <c r="C5" s="69">
        <v>164040.9</v>
      </c>
      <c r="D5" s="50">
        <f>B5-C5</f>
        <v>-59814.406382978996</v>
      </c>
      <c r="E5" s="51">
        <f t="shared" ref="E5:E16" si="0">IFERROR(D5/C5, 0)</f>
        <v>-0.36463105471244672</v>
      </c>
      <c r="F5" s="60">
        <v>232504.1</v>
      </c>
      <c r="G5" s="52">
        <f>B5-F5</f>
        <v>-128277.60638297901</v>
      </c>
      <c r="H5" s="53">
        <f t="shared" ref="H5:H16" si="1">IFERROR(G5/F5, 0)</f>
        <v>-0.55172191106728441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74"/>
      <c r="J6" s="74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74"/>
      <c r="J7" s="74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8"/>
      <c r="G8" s="52">
        <f t="shared" si="3"/>
        <v>0</v>
      </c>
      <c r="H8" s="53">
        <f t="shared" si="1"/>
        <v>0</v>
      </c>
      <c r="I8" s="74"/>
      <c r="J8" s="74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73"/>
      <c r="J9" s="74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4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3"/>
      <c r="J11" s="73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56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104226.493617021</v>
      </c>
      <c r="C17" s="19">
        <f t="shared" ref="C17:F17" si="4">SUM(C5:C16)</f>
        <v>164040.9</v>
      </c>
      <c r="D17" s="19">
        <f>B17-C17</f>
        <v>-59814.406382978996</v>
      </c>
      <c r="E17" s="20">
        <f>IFERROR(D17/C17, 0)</f>
        <v>-0.36463105471244672</v>
      </c>
      <c r="F17" s="19">
        <f t="shared" si="4"/>
        <v>232504.1</v>
      </c>
      <c r="G17" s="19">
        <f>B17-F17</f>
        <v>-128277.60638297901</v>
      </c>
      <c r="H17" s="21">
        <f>IFERROR(G17/F17, 0)</f>
        <v>-0.55172191106728441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335" priority="1" operator="lessThanOrEqual">
      <formula>-0.1</formula>
    </cfRule>
    <cfRule type="cellIs" dxfId="33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9A98-75DF-47A6-A881-3360117CA636}">
  <sheetPr codeName="Sheet33">
    <tabColor theme="7" tint="-0.249977111117893"/>
  </sheetPr>
  <dimension ref="A1:O20"/>
  <sheetViews>
    <sheetView workbookViewId="0">
      <selection activeCell="I14" sqref="I14:I1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1" customWidth="1"/>
    <col min="10" max="10" width="18.5703125" bestFit="1" customWidth="1"/>
  </cols>
  <sheetData>
    <row r="1" spans="1:15" ht="25.15">
      <c r="A1" s="190" t="s">
        <v>61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5" thickBot="1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 ht="13.15" thickBot="1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42.75">
      <c r="A5" s="14" t="s">
        <v>107</v>
      </c>
      <c r="B5" s="59">
        <v>73609</v>
      </c>
      <c r="C5" s="59">
        <v>144364.9</v>
      </c>
      <c r="D5" s="50">
        <f>B5-C5</f>
        <v>-70755.899999999994</v>
      </c>
      <c r="E5" s="51">
        <f t="shared" ref="E5:E16" si="0">IFERROR(D5/C5, 0)</f>
        <v>-0.49011844291791146</v>
      </c>
      <c r="F5" s="60">
        <v>155676</v>
      </c>
      <c r="G5" s="52">
        <f>B5-F5</f>
        <v>-82067</v>
      </c>
      <c r="H5" s="53">
        <f t="shared" ref="H5:H16" si="1">IFERROR(G5/F5, 0)</f>
        <v>-0.52716539479431646</v>
      </c>
      <c r="I5" s="55" t="s">
        <v>124</v>
      </c>
      <c r="J5" s="55" t="s">
        <v>125</v>
      </c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6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74"/>
      <c r="J9" s="74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4"/>
      <c r="J10" s="74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4"/>
      <c r="J11" s="74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56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5"/>
      <c r="J15" s="55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147"/>
      <c r="J16" s="71"/>
    </row>
    <row r="17" spans="1:15" ht="14.25">
      <c r="A17" s="18" t="s">
        <v>119</v>
      </c>
      <c r="B17" s="19">
        <f>SUM(B5:B16)</f>
        <v>73609</v>
      </c>
      <c r="C17" s="19">
        <f t="shared" ref="C17:F17" si="4">SUM(C5:C16)</f>
        <v>144364.9</v>
      </c>
      <c r="D17" s="19">
        <f>B17-C17</f>
        <v>-70755.899999999994</v>
      </c>
      <c r="E17" s="20">
        <f>IFERROR(D17/C17, 0)</f>
        <v>-0.49011844291791146</v>
      </c>
      <c r="F17" s="19">
        <f t="shared" si="4"/>
        <v>155676</v>
      </c>
      <c r="G17" s="19">
        <f>B17-F17</f>
        <v>-82067</v>
      </c>
      <c r="H17" s="21">
        <f>IFERROR(G17/F17, 0)</f>
        <v>-0.52716539479431646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319" priority="1" operator="lessThanOrEqual">
      <formula>-0.1</formula>
    </cfRule>
    <cfRule type="cellIs" dxfId="31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2F6F-F86D-47F1-94F4-71940C6B34C4}">
  <sheetPr codeName="Sheet35">
    <tabColor theme="7" tint="-0.249977111117893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7.7109375" customWidth="1"/>
    <col min="10" max="10" width="18.5703125" bestFit="1" customWidth="1"/>
  </cols>
  <sheetData>
    <row r="1" spans="1:15" ht="25.15">
      <c r="A1" s="190" t="s">
        <v>63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5" thickBot="1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 ht="13.15" thickBot="1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9">
        <v>78068.5</v>
      </c>
      <c r="C5" s="59">
        <v>124790</v>
      </c>
      <c r="D5" s="50">
        <f>B5-C5</f>
        <v>-46721.5</v>
      </c>
      <c r="E5" s="51">
        <f t="shared" ref="E5:E16" si="0">IFERROR(D5/C5, 0)</f>
        <v>-0.37440099366936452</v>
      </c>
      <c r="F5" s="60">
        <v>145302</v>
      </c>
      <c r="G5" s="52">
        <f>B5-F5</f>
        <v>-67233.5</v>
      </c>
      <c r="H5" s="53">
        <f t="shared" ref="H5:H16" si="1">IFERROR(G5/F5, 0)</f>
        <v>-0.46271558547026193</v>
      </c>
      <c r="I5" s="56"/>
      <c r="J5" s="56" t="s">
        <v>126</v>
      </c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6"/>
      <c r="J6" s="56" t="s">
        <v>126</v>
      </c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5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6"/>
      <c r="J10" s="56" t="s">
        <v>126</v>
      </c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56"/>
      <c r="J11" s="56" t="s">
        <v>126</v>
      </c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56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 t="s">
        <v>126</v>
      </c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 t="s">
        <v>126</v>
      </c>
    </row>
    <row r="17" spans="1:15" ht="14.25">
      <c r="A17" s="18" t="s">
        <v>119</v>
      </c>
      <c r="B17" s="19">
        <f>SUM(B5:B16)</f>
        <v>78068.5</v>
      </c>
      <c r="C17" s="19">
        <f t="shared" ref="C17:F17" si="4">SUM(C5:C16)</f>
        <v>124790</v>
      </c>
      <c r="D17" s="19">
        <f>B17-C17</f>
        <v>-46721.5</v>
      </c>
      <c r="E17" s="20">
        <f>IFERROR(D17/C17, 0)</f>
        <v>-0.37440099366936452</v>
      </c>
      <c r="F17" s="19">
        <f t="shared" si="4"/>
        <v>145302</v>
      </c>
      <c r="G17" s="19">
        <f>B17-F17</f>
        <v>-67233.5</v>
      </c>
      <c r="H17" s="21">
        <f>IFERROR(G17/F17, 0)</f>
        <v>-0.46271558547026193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303" priority="1" operator="lessThanOrEqual">
      <formula>-0.1</formula>
    </cfRule>
    <cfRule type="cellIs" dxfId="30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F5B6-BEDF-41CC-819E-92B33D52ED36}">
  <sheetPr codeName="Sheet39">
    <tabColor theme="7" tint="-0.249977111117893"/>
  </sheetPr>
  <dimension ref="A1:O20"/>
  <sheetViews>
    <sheetView zoomScale="80" zoomScaleNormal="80" workbookViewId="0">
      <selection activeCell="I26" sqref="I2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5.140625" bestFit="1" customWidth="1"/>
    <col min="10" max="10" width="18.5703125" bestFit="1" customWidth="1"/>
  </cols>
  <sheetData>
    <row r="1" spans="1:15" ht="25.15">
      <c r="A1" s="190" t="s">
        <v>65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5" thickBot="1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 ht="13.15" thickBot="1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28.5">
      <c r="A5" s="14" t="s">
        <v>107</v>
      </c>
      <c r="B5" s="59">
        <v>86425</v>
      </c>
      <c r="C5" s="59">
        <v>139100</v>
      </c>
      <c r="D5" s="50">
        <f>B5-C5</f>
        <v>-52675</v>
      </c>
      <c r="E5" s="51">
        <f t="shared" ref="E5:E16" si="0">IFERROR(D5/C5, 0)</f>
        <v>-0.37868439971243711</v>
      </c>
      <c r="F5" s="72">
        <v>191955.4</v>
      </c>
      <c r="G5" s="52">
        <f>B5-F5</f>
        <v>-105530.4</v>
      </c>
      <c r="H5" s="53">
        <f t="shared" ref="H5:H16" si="1">IFERROR(G5/F5, 0)</f>
        <v>-0.54976520587594824</v>
      </c>
      <c r="I5" s="55" t="s">
        <v>127</v>
      </c>
      <c r="J5" s="55" t="s">
        <v>128</v>
      </c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6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5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3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3"/>
      <c r="J11" s="73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74"/>
      <c r="J12" s="74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5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147"/>
      <c r="J16" s="147"/>
    </row>
    <row r="17" spans="1:15" ht="14.25">
      <c r="A17" s="18" t="s">
        <v>119</v>
      </c>
      <c r="B17" s="19">
        <f>SUM(B5:B16)</f>
        <v>86425</v>
      </c>
      <c r="C17" s="19">
        <f t="shared" ref="C17:F17" si="4">SUM(C5:C16)</f>
        <v>139100</v>
      </c>
      <c r="D17" s="19">
        <f>B17-C17</f>
        <v>-52675</v>
      </c>
      <c r="E17" s="20">
        <f>IFERROR(D17/C17, 0)</f>
        <v>-0.37868439971243711</v>
      </c>
      <c r="F17" s="19">
        <f t="shared" si="4"/>
        <v>191955.4</v>
      </c>
      <c r="G17" s="19">
        <f>B17-F17</f>
        <v>-105530.4</v>
      </c>
      <c r="H17" s="21">
        <f>IFERROR(G17/F17, 0)</f>
        <v>-0.54976520587594824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287" priority="1" operator="lessThanOrEqual">
      <formula>-0.1</formula>
    </cfRule>
    <cfRule type="cellIs" dxfId="28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I5" sqref="I5: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102.42578125" customWidth="1"/>
    <col min="10" max="10" width="18.5703125" bestFit="1" customWidth="1"/>
  </cols>
  <sheetData>
    <row r="1" spans="1:15" ht="25.15">
      <c r="A1" s="190" t="s">
        <v>66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0">
        <v>83884</v>
      </c>
      <c r="C5" s="50">
        <v>228874</v>
      </c>
      <c r="D5" s="50">
        <f>B5-C5</f>
        <v>-144990</v>
      </c>
      <c r="E5" s="51">
        <f t="shared" ref="E5:E16" si="0">IFERROR(D5/C5, 0)</f>
        <v>-0.63349266408591631</v>
      </c>
      <c r="F5" s="68">
        <v>158269.5</v>
      </c>
      <c r="G5" s="52">
        <f>B5-F5</f>
        <v>-74385.5</v>
      </c>
      <c r="H5" s="53">
        <f t="shared" ref="H5:H16" si="1">IFERROR(G5/F5, 0)</f>
        <v>-0.46999263913767342</v>
      </c>
      <c r="I5" s="74"/>
      <c r="J5" s="74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73"/>
      <c r="J6" s="73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74"/>
      <c r="J7" s="74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74"/>
      <c r="J8" s="74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6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5"/>
      <c r="J10" s="55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83"/>
      <c r="G11" s="82">
        <f t="shared" si="3"/>
        <v>0</v>
      </c>
      <c r="H11" s="53">
        <f t="shared" si="1"/>
        <v>0</v>
      </c>
      <c r="I11" s="55"/>
      <c r="J11" s="56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74"/>
      <c r="J12" s="74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147"/>
      <c r="J16" s="147"/>
    </row>
    <row r="17" spans="1:15" ht="14.25">
      <c r="A17" s="18" t="s">
        <v>119</v>
      </c>
      <c r="B17" s="19">
        <f>SUM(B5:B16)</f>
        <v>83884</v>
      </c>
      <c r="C17" s="19">
        <f t="shared" ref="C17:F17" si="4">SUM(C5:C16)</f>
        <v>228874</v>
      </c>
      <c r="D17" s="19">
        <f>B17-C17</f>
        <v>-144990</v>
      </c>
      <c r="E17" s="20">
        <f>IFERROR(D17/C17, 0)</f>
        <v>-0.63349266408591631</v>
      </c>
      <c r="F17" s="19">
        <f t="shared" si="4"/>
        <v>158269.5</v>
      </c>
      <c r="G17" s="19">
        <f>B17-F17</f>
        <v>-74385.5</v>
      </c>
      <c r="H17" s="21">
        <f>IFERROR(G17/F17, 0)</f>
        <v>-0.46999263913767342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271" priority="1" operator="lessThanOrEqual">
      <formula>-0.1</formula>
    </cfRule>
    <cfRule type="cellIs" dxfId="27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zoomScale="70" zoomScaleNormal="70" workbookViewId="0">
      <selection activeCell="I5" sqref="I5"/>
    </sheetView>
  </sheetViews>
  <sheetFormatPr defaultRowHeight="12.75"/>
  <cols>
    <col min="1" max="1" width="8.85546875" bestFit="1" customWidth="1"/>
    <col min="2" max="2" width="8.42578125" style="2" bestFit="1" customWidth="1"/>
    <col min="3" max="3" width="10.5703125" bestFit="1" customWidth="1"/>
    <col min="4" max="4" width="14.5703125" bestFit="1" customWidth="1"/>
    <col min="5" max="5" width="12.42578125" bestFit="1" customWidth="1"/>
    <col min="6" max="6" width="12" bestFit="1" customWidth="1"/>
    <col min="7" max="7" width="16" bestFit="1" customWidth="1"/>
    <col min="8" max="8" width="13.85546875" bestFit="1" customWidth="1"/>
    <col min="9" max="9" width="75.5703125" customWidth="1"/>
    <col min="10" max="10" width="18.7109375" bestFit="1" customWidth="1"/>
  </cols>
  <sheetData>
    <row r="1" spans="1:15" ht="25.15">
      <c r="A1" s="190" t="s">
        <v>69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42.75">
      <c r="A5" s="14" t="s">
        <v>107</v>
      </c>
      <c r="B5" s="69">
        <v>3053</v>
      </c>
      <c r="C5" s="69">
        <v>18082.05</v>
      </c>
      <c r="D5" s="50">
        <f>B5-C5</f>
        <v>-15029.05</v>
      </c>
      <c r="E5" s="51">
        <f t="shared" ref="E5:E16" si="0">IFERROR(D5/C5, 0)</f>
        <v>-0.83115852461418915</v>
      </c>
      <c r="F5" s="60">
        <v>134293.1</v>
      </c>
      <c r="G5" s="52">
        <f>B5-F5</f>
        <v>-131240.1</v>
      </c>
      <c r="H5" s="53">
        <f t="shared" ref="H5:H16" si="1">IFERROR(G5/F5, 0)</f>
        <v>-0.97726614397910239</v>
      </c>
      <c r="I5" s="55" t="s">
        <v>129</v>
      </c>
      <c r="J5" s="55" t="s">
        <v>130</v>
      </c>
      <c r="O5" s="4"/>
    </row>
    <row r="6" spans="1:15" ht="33" customHeight="1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5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5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8"/>
      <c r="G8" s="52">
        <f t="shared" si="3"/>
        <v>0</v>
      </c>
      <c r="H8" s="53">
        <f t="shared" si="1"/>
        <v>0</v>
      </c>
      <c r="I8" s="55"/>
      <c r="J8" s="56"/>
    </row>
    <row r="9" spans="1:15" ht="77.25" customHeight="1">
      <c r="A9" s="76" t="s">
        <v>111</v>
      </c>
      <c r="B9" s="50"/>
      <c r="C9" s="50"/>
      <c r="D9" s="50">
        <f t="shared" si="2"/>
        <v>0</v>
      </c>
      <c r="E9" s="54">
        <f t="shared" si="0"/>
        <v>0</v>
      </c>
      <c r="F9" s="84"/>
      <c r="G9" s="84">
        <f t="shared" si="3"/>
        <v>0</v>
      </c>
      <c r="H9" s="53">
        <f t="shared" si="1"/>
        <v>0</v>
      </c>
      <c r="I9" s="55"/>
      <c r="J9" s="55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5"/>
      <c r="J10" s="56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55"/>
      <c r="J11" s="56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55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5"/>
      <c r="J13" s="55"/>
    </row>
    <row r="14" spans="1:15" ht="120" customHeight="1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5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5"/>
      <c r="J15" s="55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147"/>
      <c r="J16" s="147"/>
    </row>
    <row r="17" spans="1:15" ht="14.25">
      <c r="A17" s="18" t="s">
        <v>119</v>
      </c>
      <c r="B17" s="19">
        <f>SUM(B5:B16)</f>
        <v>3053</v>
      </c>
      <c r="C17" s="19">
        <f t="shared" ref="C17:F17" si="4">SUM(C5:C16)</f>
        <v>18082.05</v>
      </c>
      <c r="D17" s="19">
        <f>B17-C17</f>
        <v>-15029.05</v>
      </c>
      <c r="E17" s="20">
        <f>IFERROR(D17/C17, 0)</f>
        <v>-0.83115852461418915</v>
      </c>
      <c r="F17" s="19">
        <f t="shared" si="4"/>
        <v>134293.1</v>
      </c>
      <c r="G17" s="19">
        <f>B17-F17</f>
        <v>-131240.1</v>
      </c>
      <c r="H17" s="21">
        <f>IFERROR(G17/F17, 0)</f>
        <v>-0.97726614397910239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255" priority="1" operator="lessThanOrEqual">
      <formula>-0.1</formula>
    </cfRule>
    <cfRule type="cellIs" dxfId="25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4E75-1EC8-4BDA-8175-FAF2B4D842B8}">
  <sheetPr codeName="Sheet22">
    <tabColor rgb="FFFFFF00"/>
  </sheetPr>
  <dimension ref="A1:O20"/>
  <sheetViews>
    <sheetView workbookViewId="0">
      <selection activeCell="G22" sqref="G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4.7109375" customWidth="1"/>
    <col min="10" max="10" width="18.5703125" bestFit="1" customWidth="1"/>
  </cols>
  <sheetData>
    <row r="1" spans="1:15" ht="25.15">
      <c r="A1" s="190" t="s">
        <v>71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69">
        <v>15412</v>
      </c>
      <c r="C5" s="69">
        <v>23642.959999999999</v>
      </c>
      <c r="D5" s="50">
        <f>B5-C5</f>
        <v>-8230.9599999999991</v>
      </c>
      <c r="E5" s="51">
        <f t="shared" ref="E5:E16" si="0">IFERROR(D5/C5, 0)</f>
        <v>-0.34813576641841798</v>
      </c>
      <c r="F5" s="60">
        <v>35820</v>
      </c>
      <c r="G5" s="52">
        <f>B5-F5</f>
        <v>-20408</v>
      </c>
      <c r="H5" s="53">
        <f t="shared" ref="H5:H16" si="1">IFERROR(G5/F5, 0)</f>
        <v>-0.56973757677275261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6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6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5"/>
      <c r="J10" s="55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55"/>
      <c r="J11" s="55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56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5"/>
      <c r="J13" s="55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5"/>
      <c r="J15" s="55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15412</v>
      </c>
      <c r="C17" s="19">
        <f t="shared" ref="C17:F17" si="4">SUM(C5:C16)</f>
        <v>23642.959999999999</v>
      </c>
      <c r="D17" s="19">
        <f>B17-C17</f>
        <v>-8230.9599999999991</v>
      </c>
      <c r="E17" s="20">
        <f>IFERROR(D17/C17, 0)</f>
        <v>-0.34813576641841798</v>
      </c>
      <c r="F17" s="19">
        <f t="shared" si="4"/>
        <v>35820</v>
      </c>
      <c r="G17" s="19">
        <f>B17-F17</f>
        <v>-20408</v>
      </c>
      <c r="H17" s="21">
        <f>IFERROR(G17/F17, 0)</f>
        <v>-0.56973757677275261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239" priority="1" operator="lessThanOrEqual">
      <formula>-0.1</formula>
    </cfRule>
    <cfRule type="cellIs" dxfId="23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68AF-DAB9-4E8A-A4D9-CC1D3D977F9E}">
  <sheetPr codeName="Sheet40">
    <tabColor rgb="FFFFFF00"/>
  </sheetPr>
  <dimension ref="A1:O27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2.7109375" bestFit="1" customWidth="1"/>
    <col min="10" max="10" width="18.5703125" bestFit="1" customWidth="1"/>
  </cols>
  <sheetData>
    <row r="1" spans="1:15" ht="25.15">
      <c r="A1" s="190" t="s">
        <v>73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9">
        <v>7938</v>
      </c>
      <c r="C5" s="59">
        <v>0</v>
      </c>
      <c r="D5" s="50">
        <f>B5-C5</f>
        <v>7938</v>
      </c>
      <c r="E5" s="51">
        <f t="shared" ref="E5:E16" si="0">IFERROR(D5/C5, 0)</f>
        <v>0</v>
      </c>
      <c r="F5" s="60">
        <v>0</v>
      </c>
      <c r="G5" s="52">
        <f>B5-F5</f>
        <v>7938</v>
      </c>
      <c r="H5" s="53">
        <f t="shared" ref="H5:H16" si="1">IFERROR(G5/F5, 0)</f>
        <v>0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74"/>
      <c r="J6" s="74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74"/>
      <c r="J7" s="74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74"/>
      <c r="J8" s="74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73"/>
      <c r="J9" s="74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4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4"/>
      <c r="J11" s="74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74"/>
      <c r="J12" s="74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 t="s">
        <v>126</v>
      </c>
    </row>
    <row r="17" spans="1:15" ht="14.25">
      <c r="A17" s="18" t="s">
        <v>119</v>
      </c>
      <c r="B17" s="19">
        <f>SUM(B5:B16)</f>
        <v>7938</v>
      </c>
      <c r="C17" s="19">
        <f t="shared" ref="C17:F17" si="4">SUM(C5:C16)</f>
        <v>0</v>
      </c>
      <c r="D17" s="19">
        <f>B17-C17</f>
        <v>7938</v>
      </c>
      <c r="E17" s="20">
        <f>IFERROR(D17/C17, 0)</f>
        <v>0</v>
      </c>
      <c r="F17" s="19">
        <f t="shared" si="4"/>
        <v>0</v>
      </c>
      <c r="G17" s="19">
        <f>B17-F17</f>
        <v>7938</v>
      </c>
      <c r="H17" s="21">
        <f>IFERROR(G17/F17, 0)</f>
        <v>0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  <row r="27" spans="1:15">
      <c r="J27" s="131"/>
      <c r="K27" s="3"/>
    </row>
  </sheetData>
  <mergeCells count="4">
    <mergeCell ref="A1:J1"/>
    <mergeCell ref="A3:E3"/>
    <mergeCell ref="F3:H3"/>
    <mergeCell ref="I3:J3"/>
  </mergeCells>
  <conditionalFormatting sqref="E5:E17 H5:H17">
    <cfRule type="cellIs" dxfId="223" priority="1" operator="lessThanOrEqual">
      <formula>-0.1</formula>
    </cfRule>
    <cfRule type="cellIs" dxfId="22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DF0B-4927-4EC9-9597-65D507224121}">
  <sheetPr codeName="Sheet41">
    <tabColor rgb="FFFFFF00"/>
  </sheetPr>
  <dimension ref="A1:O3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2.7109375" bestFit="1" customWidth="1"/>
    <col min="10" max="10" width="18.5703125" bestFit="1" customWidth="1"/>
  </cols>
  <sheetData>
    <row r="1" spans="1:15" ht="25.15">
      <c r="A1" s="190" t="s">
        <v>76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9">
        <v>7069</v>
      </c>
      <c r="C5" s="59">
        <v>0</v>
      </c>
      <c r="D5" s="50">
        <f>B5-C5</f>
        <v>7069</v>
      </c>
      <c r="E5" s="51">
        <f t="shared" ref="E5:E16" si="0">IFERROR(D5/C5, 0)</f>
        <v>0</v>
      </c>
      <c r="F5" s="60">
        <v>0</v>
      </c>
      <c r="G5" s="52">
        <f>B5-F5</f>
        <v>7069</v>
      </c>
      <c r="H5" s="53">
        <f t="shared" ref="H5:H16" si="1">IFERROR(G5/F5, 0)</f>
        <v>0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74"/>
      <c r="J6" s="74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74"/>
      <c r="J7" s="74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74"/>
      <c r="J8" s="74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73"/>
      <c r="J9" s="74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4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4"/>
      <c r="J11" s="74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74"/>
      <c r="J12" s="74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 t="s">
        <v>126</v>
      </c>
    </row>
    <row r="17" spans="1:15" ht="14.25">
      <c r="A17" s="18" t="s">
        <v>119</v>
      </c>
      <c r="B17" s="19">
        <f>SUM(B5:B16)</f>
        <v>7069</v>
      </c>
      <c r="C17" s="19">
        <f t="shared" ref="C17:F17" si="4">SUM(C5:C16)</f>
        <v>0</v>
      </c>
      <c r="D17" s="19">
        <f>B17-C17</f>
        <v>7069</v>
      </c>
      <c r="E17" s="20">
        <f>IFERROR(D17/C17, 0)</f>
        <v>0</v>
      </c>
      <c r="F17" s="19">
        <f t="shared" si="4"/>
        <v>0</v>
      </c>
      <c r="G17" s="19">
        <f>B17-F17</f>
        <v>7069</v>
      </c>
      <c r="H17" s="21">
        <f>IFERROR(G17/F17, 0)</f>
        <v>0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  <row r="21" spans="1:15">
      <c r="H21" s="3"/>
      <c r="I21" s="3"/>
    </row>
    <row r="22" spans="1:15">
      <c r="I22" s="3"/>
    </row>
    <row r="23" spans="1:15">
      <c r="H23" s="3"/>
      <c r="I23" s="3"/>
    </row>
    <row r="24" spans="1:15">
      <c r="I24" s="3"/>
    </row>
    <row r="26" spans="1:15">
      <c r="I26" s="3"/>
    </row>
    <row r="29" spans="1:15">
      <c r="I29" s="3"/>
      <c r="J29" s="3"/>
    </row>
    <row r="30" spans="1:15">
      <c r="I30" s="3"/>
    </row>
  </sheetData>
  <mergeCells count="4">
    <mergeCell ref="A1:J1"/>
    <mergeCell ref="A3:E3"/>
    <mergeCell ref="F3:H3"/>
    <mergeCell ref="I3:J3"/>
  </mergeCells>
  <conditionalFormatting sqref="E5:E17 H5:H17">
    <cfRule type="cellIs" dxfId="207" priority="1" operator="lessThanOrEqual">
      <formula>-0.1</formula>
    </cfRule>
    <cfRule type="cellIs" dxfId="20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A6AC-0E86-441E-A821-C35DE324478D}">
  <sheetPr codeName="Sheet42">
    <tabColor rgb="FFFFFF00"/>
  </sheetPr>
  <dimension ref="A1:O26"/>
  <sheetViews>
    <sheetView workbookViewId="0">
      <selection activeCell="F5" sqref="F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2.7109375" bestFit="1" customWidth="1"/>
    <col min="10" max="10" width="18.5703125" bestFit="1" customWidth="1"/>
  </cols>
  <sheetData>
    <row r="1" spans="1:15" ht="25.15">
      <c r="A1" s="190" t="s">
        <v>78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9">
        <v>7922</v>
      </c>
      <c r="C5" s="59">
        <v>0</v>
      </c>
      <c r="D5" s="50">
        <f>B5-C5</f>
        <v>7922</v>
      </c>
      <c r="E5" s="51">
        <f t="shared" ref="E5:E16" si="0">IFERROR(D5/C5, 0)</f>
        <v>0</v>
      </c>
      <c r="F5" s="60">
        <v>0</v>
      </c>
      <c r="G5" s="52">
        <f>B5-F5</f>
        <v>7922</v>
      </c>
      <c r="H5" s="53">
        <f t="shared" ref="H5:H16" si="1">IFERROR(G5/F5, 0)</f>
        <v>0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74"/>
      <c r="J6" s="74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74"/>
      <c r="J7" s="74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74"/>
      <c r="J8" s="74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73"/>
      <c r="J9" s="74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4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4"/>
      <c r="J11" s="74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74"/>
      <c r="J12" s="74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5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>
        <v>0</v>
      </c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7922</v>
      </c>
      <c r="C17" s="19">
        <f t="shared" ref="C17:F17" si="4">SUM(C5:C16)</f>
        <v>0</v>
      </c>
      <c r="D17" s="19">
        <f>B17-C17</f>
        <v>7922</v>
      </c>
      <c r="E17" s="20">
        <f>IFERROR(D17/C17, 0)</f>
        <v>0</v>
      </c>
      <c r="F17" s="19">
        <f t="shared" si="4"/>
        <v>0</v>
      </c>
      <c r="G17" s="19">
        <f>B17-F17</f>
        <v>7922</v>
      </c>
      <c r="H17" s="21">
        <f>IFERROR(G17/F17, 0)</f>
        <v>0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  <row r="25" spans="1:15">
      <c r="I25" s="3"/>
      <c r="J25" s="3"/>
    </row>
    <row r="26" spans="1:15">
      <c r="I26" s="3"/>
    </row>
  </sheetData>
  <mergeCells count="4">
    <mergeCell ref="A1:J1"/>
    <mergeCell ref="A3:E3"/>
    <mergeCell ref="F3:H3"/>
    <mergeCell ref="I3:J3"/>
  </mergeCells>
  <conditionalFormatting sqref="E5:E17 H5:H17">
    <cfRule type="cellIs" dxfId="191" priority="1" operator="lessThanOrEqual">
      <formula>-0.1</formula>
    </cfRule>
    <cfRule type="cellIs" dxfId="19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91FA-534A-4F59-A9AE-A70764A2D848}">
  <sheetPr codeName="Sheet24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7.85546875" customWidth="1"/>
    <col min="10" max="10" width="18.5703125" bestFit="1" customWidth="1"/>
  </cols>
  <sheetData>
    <row r="1" spans="1:15" ht="25.15">
      <c r="A1" s="190" t="s">
        <v>80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9">
        <v>15272</v>
      </c>
      <c r="C5" s="59">
        <v>27330.66</v>
      </c>
      <c r="D5" s="50">
        <f>B5-C5</f>
        <v>-12058.66</v>
      </c>
      <c r="E5" s="51">
        <f t="shared" ref="E5:E16" si="0">IFERROR(D5/C5, 0)</f>
        <v>-0.44121364065119539</v>
      </c>
      <c r="F5" s="60">
        <v>24314.38</v>
      </c>
      <c r="G5" s="52">
        <f>B5-F5</f>
        <v>-9042.380000000001</v>
      </c>
      <c r="H5" s="53">
        <f t="shared" ref="H5:H16" si="1">IFERROR(G5/F5, 0)</f>
        <v>-0.37189432755431151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6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82"/>
      <c r="G7" s="52">
        <f t="shared" si="3"/>
        <v>0</v>
      </c>
      <c r="H7" s="53">
        <f t="shared" si="1"/>
        <v>0</v>
      </c>
      <c r="I7" s="55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8"/>
      <c r="G8" s="52">
        <f t="shared" si="3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5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6"/>
      <c r="J10" s="56" t="s">
        <v>126</v>
      </c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56"/>
      <c r="J11" s="56" t="s">
        <v>126</v>
      </c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56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 t="s">
        <v>126</v>
      </c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 t="s">
        <v>126</v>
      </c>
    </row>
    <row r="17" spans="1:15" ht="14.25">
      <c r="A17" s="18" t="s">
        <v>119</v>
      </c>
      <c r="B17" s="19">
        <f>SUM(B5:B16)</f>
        <v>15272</v>
      </c>
      <c r="C17" s="19">
        <f t="shared" ref="C17:F17" si="4">SUM(C5:C16)</f>
        <v>27330.66</v>
      </c>
      <c r="D17" s="19">
        <f>B17-C17</f>
        <v>-12058.66</v>
      </c>
      <c r="E17" s="20">
        <f>IFERROR(D17/C17, 0)</f>
        <v>-0.44121364065119539</v>
      </c>
      <c r="F17" s="19">
        <f t="shared" si="4"/>
        <v>24314.38</v>
      </c>
      <c r="G17" s="19">
        <f>B17-F17</f>
        <v>-9042.380000000001</v>
      </c>
      <c r="H17" s="21">
        <f>IFERROR(G17/F17, 0)</f>
        <v>-0.37189432755431151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75" priority="1" operator="lessThanOrEqual">
      <formula>-0.1</formula>
    </cfRule>
    <cfRule type="cellIs" dxfId="17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EF1-12CA-4F2E-B504-1435118765CA}">
  <sheetPr codeName="Sheet27">
    <tabColor rgb="FFFFFF00"/>
  </sheetPr>
  <dimension ref="A1:O20"/>
  <sheetViews>
    <sheetView topLeftCell="A2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8.42578125" customWidth="1"/>
    <col min="10" max="10" width="18.5703125" bestFit="1" customWidth="1"/>
  </cols>
  <sheetData>
    <row r="1" spans="1:15" ht="25.15">
      <c r="A1" s="190" t="s">
        <v>82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69">
        <v>37262</v>
      </c>
      <c r="C5" s="59">
        <v>61721.41</v>
      </c>
      <c r="D5" s="50">
        <f>B5-C5</f>
        <v>-24459.410000000003</v>
      </c>
      <c r="E5" s="51">
        <f t="shared" ref="E5:E16" si="0">IFERROR(D5/C5, 0)</f>
        <v>-0.39628728507660471</v>
      </c>
      <c r="F5" s="60">
        <v>113135.5</v>
      </c>
      <c r="G5" s="52">
        <f>B5-F5</f>
        <v>-75873.5</v>
      </c>
      <c r="H5" s="53">
        <f t="shared" ref="H5:H16" si="1">IFERROR(G5/F5, 0)</f>
        <v>-0.67064272487415533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5"/>
      <c r="J6" s="55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5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5"/>
      <c r="J10" s="56"/>
    </row>
    <row r="11" spans="1:15" ht="14.25">
      <c r="A11" s="76" t="s">
        <v>113</v>
      </c>
      <c r="B11" s="50"/>
      <c r="C11" s="50"/>
      <c r="D11" s="50">
        <f t="shared" si="2"/>
        <v>0</v>
      </c>
      <c r="E11" s="54">
        <f t="shared" si="0"/>
        <v>0</v>
      </c>
      <c r="F11" s="86"/>
      <c r="G11" s="84">
        <f t="shared" si="3"/>
        <v>0</v>
      </c>
      <c r="H11" s="53">
        <f t="shared" si="1"/>
        <v>0</v>
      </c>
      <c r="I11" s="55"/>
      <c r="J11" s="55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82"/>
      <c r="G12" s="52">
        <f t="shared" si="3"/>
        <v>0</v>
      </c>
      <c r="H12" s="53">
        <f t="shared" si="1"/>
        <v>0</v>
      </c>
      <c r="I12" s="55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5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147"/>
      <c r="J16" s="71"/>
    </row>
    <row r="17" spans="1:15" ht="14.25">
      <c r="A17" s="18" t="s">
        <v>119</v>
      </c>
      <c r="B17" s="19">
        <f>SUM(B5:B16)</f>
        <v>37262</v>
      </c>
      <c r="C17" s="19">
        <f t="shared" ref="C17:F17" si="4">SUM(C5:C16)</f>
        <v>61721.41</v>
      </c>
      <c r="D17" s="19">
        <f>B17-C17</f>
        <v>-24459.410000000003</v>
      </c>
      <c r="E17" s="20">
        <f>IFERROR(D17/C17, 0)</f>
        <v>-0.39628728507660471</v>
      </c>
      <c r="F17" s="19">
        <f t="shared" si="4"/>
        <v>113135.5</v>
      </c>
      <c r="G17" s="19">
        <f>B17-F17</f>
        <v>-75873.5</v>
      </c>
      <c r="H17" s="21">
        <f>IFERROR(G17/F17, 0)</f>
        <v>-0.67064272487415533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59" priority="1" operator="lessThanOrEqual">
      <formula>-0.1</formula>
    </cfRule>
    <cfRule type="cellIs" dxfId="15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7B0E-92E3-425E-9B70-A5D72654A3A5}">
  <sheetPr codeName="Sheet28">
    <tabColor rgb="FFFFFF00"/>
  </sheetPr>
  <dimension ref="A1:O20"/>
  <sheetViews>
    <sheetView workbookViewId="0">
      <selection activeCell="F25" sqref="F2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107.42578125" customWidth="1"/>
    <col min="10" max="10" width="18.5703125" bestFit="1" customWidth="1"/>
  </cols>
  <sheetData>
    <row r="1" spans="1:15" ht="25.15">
      <c r="A1" s="190" t="s">
        <v>83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159">
        <v>68801</v>
      </c>
      <c r="C5" s="159">
        <v>28968.03</v>
      </c>
      <c r="D5" s="50">
        <f>B5-C5</f>
        <v>39832.97</v>
      </c>
      <c r="E5" s="51">
        <f t="shared" ref="E5:E16" si="0">IFERROR(D5/C5, 0)</f>
        <v>1.3750665820216288</v>
      </c>
      <c r="F5" s="60">
        <v>0</v>
      </c>
      <c r="G5" s="52">
        <f>B5-F5</f>
        <v>68801</v>
      </c>
      <c r="H5" s="53">
        <f t="shared" ref="H5:H16" si="1">IFERROR(G5/F5, 0)</f>
        <v>0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6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5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5"/>
      <c r="J10" s="56"/>
    </row>
    <row r="11" spans="1:15" ht="14.25">
      <c r="A11" s="76" t="s">
        <v>113</v>
      </c>
      <c r="B11" s="50"/>
      <c r="C11" s="50"/>
      <c r="D11" s="50">
        <f t="shared" si="2"/>
        <v>0</v>
      </c>
      <c r="E11" s="54">
        <f t="shared" si="0"/>
        <v>0</v>
      </c>
      <c r="F11" s="86"/>
      <c r="G11" s="84">
        <f t="shared" si="3"/>
        <v>0</v>
      </c>
      <c r="H11" s="53">
        <f t="shared" si="1"/>
        <v>0</v>
      </c>
      <c r="I11" s="55"/>
      <c r="J11" s="55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56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68801</v>
      </c>
      <c r="C17" s="19">
        <f t="shared" ref="C17:F17" si="4">SUM(C5:C16)</f>
        <v>28968.03</v>
      </c>
      <c r="D17" s="19">
        <f>B17-C17</f>
        <v>39832.97</v>
      </c>
      <c r="E17" s="20">
        <f>IFERROR(D17/C17, 0)</f>
        <v>1.3750665820216288</v>
      </c>
      <c r="F17" s="19">
        <f t="shared" si="4"/>
        <v>0</v>
      </c>
      <c r="G17" s="19">
        <f>B17-F17</f>
        <v>68801</v>
      </c>
      <c r="H17" s="21">
        <f>IFERROR(G17/F17, 0)</f>
        <v>0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43" priority="1" operator="lessThanOrEqual">
      <formula>-0.1</formula>
    </cfRule>
    <cfRule type="cellIs" dxfId="14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6B16-D497-4605-A7F3-4374FFA66927}">
  <sheetPr codeName="Sheet29">
    <tabColor rgb="FFFFFF00"/>
  </sheetPr>
  <dimension ref="A1:O20"/>
  <sheetViews>
    <sheetView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3.7109375" customWidth="1"/>
    <col min="10" max="10" width="18.5703125" bestFit="1" customWidth="1"/>
  </cols>
  <sheetData>
    <row r="1" spans="1:15" ht="25.15">
      <c r="A1" s="190" t="s">
        <v>84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134">
        <v>98960</v>
      </c>
      <c r="C5" s="135">
        <v>221313.9</v>
      </c>
      <c r="D5" s="136">
        <f>B5-C5</f>
        <v>-122353.9</v>
      </c>
      <c r="E5" s="137">
        <f t="shared" ref="E5:E16" si="0">IFERROR(D5/C5, 0)</f>
        <v>-0.55285230615880876</v>
      </c>
      <c r="F5" s="138">
        <v>298977.59999999998</v>
      </c>
      <c r="G5" s="58">
        <f>B5-F5</f>
        <v>-200017.59999999998</v>
      </c>
      <c r="H5" s="139">
        <f t="shared" ref="H5:H16" si="1">IFERROR(G5/F5, 0)</f>
        <v>-0.66900530340734554</v>
      </c>
      <c r="I5" s="56" t="s">
        <v>131</v>
      </c>
      <c r="J5" s="56" t="s">
        <v>132</v>
      </c>
      <c r="O5" s="4"/>
    </row>
    <row r="6" spans="1:15" ht="14.25">
      <c r="A6" s="15" t="s">
        <v>108</v>
      </c>
      <c r="B6" s="136"/>
      <c r="C6" s="136"/>
      <c r="D6" s="136">
        <f t="shared" ref="D6:D16" si="2">B6-C6</f>
        <v>0</v>
      </c>
      <c r="E6" s="140">
        <f t="shared" si="0"/>
        <v>0</v>
      </c>
      <c r="F6" s="141"/>
      <c r="G6" s="58">
        <f t="shared" ref="G6:G16" si="3">B6-F6</f>
        <v>0</v>
      </c>
      <c r="H6" s="139">
        <f t="shared" si="1"/>
        <v>0</v>
      </c>
      <c r="I6" s="55"/>
      <c r="J6" s="56"/>
    </row>
    <row r="7" spans="1:15" ht="14.25">
      <c r="A7" s="15" t="s">
        <v>109</v>
      </c>
      <c r="B7" s="136"/>
      <c r="C7" s="136"/>
      <c r="D7" s="136">
        <f t="shared" si="2"/>
        <v>0</v>
      </c>
      <c r="E7" s="140">
        <f t="shared" si="0"/>
        <v>0</v>
      </c>
      <c r="F7" s="58"/>
      <c r="G7" s="58">
        <f t="shared" si="3"/>
        <v>0</v>
      </c>
      <c r="H7" s="139">
        <f t="shared" si="1"/>
        <v>0</v>
      </c>
      <c r="I7" s="55"/>
      <c r="J7" s="56"/>
    </row>
    <row r="8" spans="1:15" ht="14.25">
      <c r="A8" s="15" t="s">
        <v>110</v>
      </c>
      <c r="B8" s="136"/>
      <c r="C8" s="136"/>
      <c r="D8" s="136">
        <f t="shared" si="2"/>
        <v>0</v>
      </c>
      <c r="E8" s="140">
        <f t="shared" si="0"/>
        <v>0</v>
      </c>
      <c r="F8" s="58"/>
      <c r="G8" s="58">
        <f t="shared" si="3"/>
        <v>0</v>
      </c>
      <c r="H8" s="139">
        <f t="shared" si="1"/>
        <v>0</v>
      </c>
      <c r="I8" s="56"/>
      <c r="J8" s="56"/>
    </row>
    <row r="9" spans="1:15" ht="14.25">
      <c r="A9" s="15" t="s">
        <v>111</v>
      </c>
      <c r="B9" s="136"/>
      <c r="C9" s="136"/>
      <c r="D9" s="136">
        <f t="shared" si="2"/>
        <v>0</v>
      </c>
      <c r="E9" s="140">
        <f t="shared" si="0"/>
        <v>0</v>
      </c>
      <c r="F9" s="58"/>
      <c r="G9" s="58">
        <f t="shared" si="3"/>
        <v>0</v>
      </c>
      <c r="H9" s="139">
        <f t="shared" si="1"/>
        <v>0</v>
      </c>
      <c r="I9" s="55"/>
      <c r="J9" s="56"/>
    </row>
    <row r="10" spans="1:15" ht="14.25">
      <c r="A10" s="15" t="s">
        <v>112</v>
      </c>
      <c r="B10" s="136"/>
      <c r="C10" s="136"/>
      <c r="D10" s="136">
        <f t="shared" si="2"/>
        <v>0</v>
      </c>
      <c r="E10" s="140">
        <f t="shared" si="0"/>
        <v>0</v>
      </c>
      <c r="F10" s="58"/>
      <c r="G10" s="58">
        <f t="shared" si="3"/>
        <v>0</v>
      </c>
      <c r="H10" s="139">
        <f t="shared" si="1"/>
        <v>0</v>
      </c>
      <c r="I10" s="56"/>
      <c r="J10" s="56"/>
    </row>
    <row r="11" spans="1:15" ht="14.25">
      <c r="A11" s="76" t="s">
        <v>113</v>
      </c>
      <c r="B11" s="136"/>
      <c r="C11" s="136"/>
      <c r="D11" s="136">
        <f t="shared" si="2"/>
        <v>0</v>
      </c>
      <c r="E11" s="140">
        <f t="shared" si="0"/>
        <v>0</v>
      </c>
      <c r="F11" s="141"/>
      <c r="G11" s="58">
        <f t="shared" si="3"/>
        <v>0</v>
      </c>
      <c r="H11" s="139">
        <f t="shared" si="1"/>
        <v>0</v>
      </c>
      <c r="I11" s="55"/>
      <c r="J11" s="55"/>
    </row>
    <row r="12" spans="1:15" ht="14.25">
      <c r="A12" s="15" t="s">
        <v>114</v>
      </c>
      <c r="B12" s="136"/>
      <c r="C12" s="136"/>
      <c r="D12" s="136">
        <f t="shared" si="2"/>
        <v>0</v>
      </c>
      <c r="E12" s="140">
        <f t="shared" si="0"/>
        <v>0</v>
      </c>
      <c r="F12" s="70"/>
      <c r="G12" s="58">
        <f t="shared" si="3"/>
        <v>0</v>
      </c>
      <c r="H12" s="139">
        <f t="shared" si="1"/>
        <v>0</v>
      </c>
      <c r="I12" s="55"/>
      <c r="J12" s="55"/>
    </row>
    <row r="13" spans="1:15" ht="14.25">
      <c r="A13" s="15" t="s">
        <v>115</v>
      </c>
      <c r="B13" s="136"/>
      <c r="C13" s="136"/>
      <c r="D13" s="136">
        <f t="shared" si="2"/>
        <v>0</v>
      </c>
      <c r="E13" s="140">
        <f t="shared" si="0"/>
        <v>0</v>
      </c>
      <c r="F13" s="58"/>
      <c r="G13" s="58">
        <v>0</v>
      </c>
      <c r="H13" s="139">
        <f t="shared" si="1"/>
        <v>0</v>
      </c>
      <c r="I13" s="55"/>
      <c r="J13" s="55"/>
    </row>
    <row r="14" spans="1:15" ht="14.25">
      <c r="A14" s="15" t="s">
        <v>116</v>
      </c>
      <c r="B14" s="136"/>
      <c r="C14" s="136"/>
      <c r="D14" s="136">
        <f t="shared" si="2"/>
        <v>0</v>
      </c>
      <c r="E14" s="140">
        <f t="shared" si="0"/>
        <v>0</v>
      </c>
      <c r="F14" s="58"/>
      <c r="G14" s="58">
        <f t="shared" si="3"/>
        <v>0</v>
      </c>
      <c r="H14" s="139">
        <f t="shared" si="1"/>
        <v>0</v>
      </c>
      <c r="I14" s="55"/>
      <c r="J14" s="56"/>
    </row>
    <row r="15" spans="1:15" ht="14.25">
      <c r="A15" s="15" t="s">
        <v>117</v>
      </c>
      <c r="B15" s="135"/>
      <c r="C15" s="135"/>
      <c r="D15" s="136">
        <f t="shared" si="2"/>
        <v>0</v>
      </c>
      <c r="E15" s="140">
        <f t="shared" si="0"/>
        <v>0</v>
      </c>
      <c r="F15" s="138"/>
      <c r="G15" s="58">
        <f t="shared" si="3"/>
        <v>0</v>
      </c>
      <c r="H15" s="139">
        <f t="shared" si="1"/>
        <v>0</v>
      </c>
      <c r="I15" s="55"/>
      <c r="J15" s="56"/>
    </row>
    <row r="16" spans="1:15" ht="14.25">
      <c r="A16" s="17" t="s">
        <v>118</v>
      </c>
      <c r="B16" s="142"/>
      <c r="C16" s="142"/>
      <c r="D16" s="142">
        <f t="shared" si="2"/>
        <v>0</v>
      </c>
      <c r="E16" s="143">
        <f t="shared" si="0"/>
        <v>0</v>
      </c>
      <c r="F16" s="144"/>
      <c r="G16" s="145">
        <f t="shared" si="3"/>
        <v>0</v>
      </c>
      <c r="H16" s="146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98960</v>
      </c>
      <c r="C17" s="19">
        <f t="shared" ref="C17:F17" si="4">SUM(C5:C16)</f>
        <v>221313.9</v>
      </c>
      <c r="D17" s="19">
        <f>B17-C17</f>
        <v>-122353.9</v>
      </c>
      <c r="E17" s="20">
        <f>IFERROR(D17/C17, 0)</f>
        <v>-0.55285230615880876</v>
      </c>
      <c r="F17" s="19">
        <f t="shared" si="4"/>
        <v>298977.59999999998</v>
      </c>
      <c r="G17" s="19">
        <f>B17-F17</f>
        <v>-200017.59999999998</v>
      </c>
      <c r="H17" s="21">
        <f>IFERROR(G17/F17, 0)</f>
        <v>-0.66900530340734554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27" priority="1" operator="lessThanOrEqual">
      <formula>-0.1</formula>
    </cfRule>
    <cfRule type="cellIs" dxfId="12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FAEE-706E-4993-9F90-4B93F6D3E341}">
  <sheetPr codeName="Sheet34">
    <tabColor rgb="FFFFFF00"/>
  </sheetPr>
  <dimension ref="A1:O20"/>
  <sheetViews>
    <sheetView zoomScale="90" zoomScaleNormal="90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5.42578125" bestFit="1" customWidth="1"/>
    <col min="10" max="10" width="23.28515625" customWidth="1"/>
  </cols>
  <sheetData>
    <row r="1" spans="1:15" ht="25.15">
      <c r="A1" s="190" t="s">
        <v>85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5" thickBot="1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 ht="13.15" thickBot="1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9">
        <v>147440</v>
      </c>
      <c r="C5" s="59">
        <v>286661.3</v>
      </c>
      <c r="D5" s="50">
        <f>B5-C5</f>
        <v>-139221.29999999999</v>
      </c>
      <c r="E5" s="51">
        <f t="shared" ref="E5:E16" si="0">IFERROR(D5/C5, 0)</f>
        <v>-0.48566478977106431</v>
      </c>
      <c r="F5" s="60">
        <v>356965.5</v>
      </c>
      <c r="G5" s="52">
        <f>B5-F5</f>
        <v>-209525.5</v>
      </c>
      <c r="H5" s="53">
        <f t="shared" ref="H5:H16" si="1">IFERROR(G5/F5, 0)</f>
        <v>-0.58696288576907296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6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5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3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3"/>
      <c r="J11" s="73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82"/>
      <c r="G12" s="52">
        <f t="shared" si="3"/>
        <v>0</v>
      </c>
      <c r="H12" s="53">
        <f t="shared" si="1"/>
        <v>0</v>
      </c>
      <c r="I12" s="73"/>
      <c r="J12" s="74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5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5"/>
      <c r="J15" s="55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147440</v>
      </c>
      <c r="C17" s="19">
        <f t="shared" ref="C17:F17" si="4">SUM(C5:C16)</f>
        <v>286661.3</v>
      </c>
      <c r="D17" s="19">
        <f>B17-C17</f>
        <v>-139221.29999999999</v>
      </c>
      <c r="E17" s="20">
        <f>IFERROR(D17/C17, 0)</f>
        <v>-0.48566478977106431</v>
      </c>
      <c r="F17" s="19">
        <f t="shared" si="4"/>
        <v>356965.5</v>
      </c>
      <c r="G17" s="19">
        <f>B17-F17</f>
        <v>-209525.5</v>
      </c>
      <c r="H17" s="21">
        <f>IFERROR(G17/F17, 0)</f>
        <v>-0.58696288576907296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11" priority="1" operator="lessThanOrEqual">
      <formula>-0.1</formula>
    </cfRule>
    <cfRule type="cellIs" dxfId="11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AEB4-4AAA-4063-B502-A7976A7D3B39}">
  <sheetPr codeName="Sheet43">
    <tabColor rgb="FFFFFF00"/>
  </sheetPr>
  <dimension ref="A1:O20"/>
  <sheetViews>
    <sheetView topLeftCell="A2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2.7109375" bestFit="1" customWidth="1"/>
    <col min="10" max="10" width="18.5703125" bestFit="1" customWidth="1"/>
  </cols>
  <sheetData>
    <row r="1" spans="1:15" ht="25.15">
      <c r="A1" s="190" t="s">
        <v>87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42.75">
      <c r="A5" s="14" t="s">
        <v>107</v>
      </c>
      <c r="B5" s="59">
        <v>69116</v>
      </c>
      <c r="C5" s="59">
        <v>0</v>
      </c>
      <c r="D5" s="50">
        <f>B5-C5</f>
        <v>69116</v>
      </c>
      <c r="E5" s="51">
        <f t="shared" ref="E5:E16" si="0">IFERROR(D5/C5, 0)</f>
        <v>0</v>
      </c>
      <c r="F5" s="60">
        <v>0</v>
      </c>
      <c r="G5" s="52">
        <f>B5-F5</f>
        <v>69116</v>
      </c>
      <c r="H5" s="53">
        <f t="shared" ref="H5:H16" si="1">IFERROR(G5/F5, 0)</f>
        <v>0</v>
      </c>
      <c r="I5" s="55" t="s">
        <v>133</v>
      </c>
      <c r="J5" s="55" t="s">
        <v>134</v>
      </c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74"/>
      <c r="J6" s="74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74"/>
      <c r="J7" s="74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74"/>
      <c r="J8" s="74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73"/>
      <c r="J9" s="74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4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3"/>
      <c r="J11" s="73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73"/>
      <c r="J12" s="73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5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5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69116</v>
      </c>
      <c r="C17" s="19">
        <f t="shared" ref="C17:F17" si="4">SUM(C5:C16)</f>
        <v>0</v>
      </c>
      <c r="D17" s="19">
        <f>B17-C17</f>
        <v>69116</v>
      </c>
      <c r="E17" s="20">
        <f>IFERROR(D17/C17, 0)</f>
        <v>0</v>
      </c>
      <c r="F17" s="19">
        <f t="shared" si="4"/>
        <v>0</v>
      </c>
      <c r="G17" s="19">
        <f>B17-F17</f>
        <v>69116</v>
      </c>
      <c r="H17" s="21">
        <f>IFERROR(G17/F17, 0)</f>
        <v>0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95" priority="1" operator="lessThanOrEqual">
      <formula>-0.1</formula>
    </cfRule>
    <cfRule type="cellIs" dxfId="9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EB15-13C7-40B6-B469-8F15DFCDDF14}">
  <sheetPr codeName="Sheet37">
    <tabColor rgb="FFFFFF00"/>
  </sheetPr>
  <dimension ref="A1:O20"/>
  <sheetViews>
    <sheetView zoomScale="90" zoomScaleNormal="90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2.7109375" bestFit="1" customWidth="1"/>
    <col min="10" max="10" width="18.5703125" bestFit="1" customWidth="1"/>
  </cols>
  <sheetData>
    <row r="1" spans="1:15" ht="25.15">
      <c r="A1" s="190" t="s">
        <v>89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5" thickBot="1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 ht="13.15" thickBot="1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9">
        <v>40594</v>
      </c>
      <c r="C5" s="59">
        <v>79345.86</v>
      </c>
      <c r="D5" s="50">
        <f>B5-C5</f>
        <v>-38751.86</v>
      </c>
      <c r="E5" s="51">
        <f t="shared" ref="E5:E16" si="0">IFERROR(D5/C5, 0)</f>
        <v>-0.48839170688930716</v>
      </c>
      <c r="F5" s="68">
        <v>110612.6</v>
      </c>
      <c r="G5" s="52">
        <f>B5-F5</f>
        <v>-70018.600000000006</v>
      </c>
      <c r="H5" s="53">
        <f t="shared" ref="H5:H16" si="1">IFERROR(G5/F5, 0)</f>
        <v>-0.63300745123069169</v>
      </c>
      <c r="I5" s="56" t="s">
        <v>135</v>
      </c>
      <c r="J5" s="56" t="s">
        <v>136</v>
      </c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74"/>
      <c r="J6" s="74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74"/>
      <c r="J7" s="74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74"/>
      <c r="J8" s="74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74"/>
      <c r="J9" s="74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4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4"/>
      <c r="J11" s="74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82"/>
      <c r="G12" s="52">
        <f t="shared" si="3"/>
        <v>0</v>
      </c>
      <c r="H12" s="53">
        <f t="shared" si="1"/>
        <v>0</v>
      </c>
      <c r="I12" s="73"/>
      <c r="J12" s="74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5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5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40594</v>
      </c>
      <c r="C17" s="19">
        <f t="shared" ref="C17:F17" si="4">SUM(C5:C16)</f>
        <v>79345.86</v>
      </c>
      <c r="D17" s="19">
        <f>B17-C17</f>
        <v>-38751.86</v>
      </c>
      <c r="E17" s="20">
        <f>IFERROR(D17/C17, 0)</f>
        <v>-0.48839170688930716</v>
      </c>
      <c r="F17" s="19">
        <f t="shared" si="4"/>
        <v>110612.6</v>
      </c>
      <c r="G17" s="19">
        <f>B17-F17</f>
        <v>-70018.600000000006</v>
      </c>
      <c r="H17" s="21">
        <f>IFERROR(G17/F17, 0)</f>
        <v>-0.63300745123069169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79" priority="1" operator="lessThanOrEqual">
      <formula>-0.1</formula>
    </cfRule>
    <cfRule type="cellIs" dxfId="7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70A9-0B4C-4569-9060-0F667A96986D}">
  <sheetPr codeName="Sheet38">
    <tabColor rgb="FFFFFF00"/>
  </sheetPr>
  <dimension ref="A1:O20"/>
  <sheetViews>
    <sheetView topLeftCell="E1" workbookViewId="0">
      <selection activeCell="I10" sqref="I1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2.7109375" bestFit="1" customWidth="1"/>
    <col min="10" max="10" width="18.5703125" bestFit="1" customWidth="1"/>
  </cols>
  <sheetData>
    <row r="1" spans="1:15" ht="25.15">
      <c r="A1" s="190" t="s">
        <v>91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5" thickBot="1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 ht="13.15" thickBot="1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9">
        <v>20528.25</v>
      </c>
      <c r="C5" s="59">
        <v>36997.33</v>
      </c>
      <c r="D5" s="50">
        <f>B5-C5</f>
        <v>-16469.080000000002</v>
      </c>
      <c r="E5" s="51">
        <f t="shared" ref="E5:E16" si="0">IFERROR(D5/C5, 0)</f>
        <v>-0.44514239270779815</v>
      </c>
      <c r="F5" s="60">
        <v>55886.080000000002</v>
      </c>
      <c r="G5" s="52">
        <f>B5-F5</f>
        <v>-35357.83</v>
      </c>
      <c r="H5" s="53">
        <f t="shared" ref="H5:H16" si="1">IFERROR(G5/F5, 0)</f>
        <v>-0.63267686694074809</v>
      </c>
      <c r="I5" s="56" t="s">
        <v>137</v>
      </c>
      <c r="J5" s="56" t="s">
        <v>138</v>
      </c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74"/>
      <c r="J6" s="74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74"/>
      <c r="J7" s="74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74"/>
      <c r="J8" s="74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73"/>
      <c r="J9" s="74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4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4"/>
      <c r="J11" s="74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74"/>
      <c r="J12" s="74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20528.25</v>
      </c>
      <c r="C17" s="19">
        <f t="shared" ref="C17:F17" si="4">SUM(C5:C16)</f>
        <v>36997.33</v>
      </c>
      <c r="D17" s="19">
        <f>B17-C17</f>
        <v>-16469.080000000002</v>
      </c>
      <c r="E17" s="20">
        <f>IFERROR(D17/C17, 0)</f>
        <v>-0.44514239270779815</v>
      </c>
      <c r="F17" s="19">
        <f t="shared" si="4"/>
        <v>55886.080000000002</v>
      </c>
      <c r="G17" s="19">
        <f>B17-F17</f>
        <v>-35357.83</v>
      </c>
      <c r="H17" s="21">
        <f>IFERROR(G17/F17, 0)</f>
        <v>-0.63267686694074809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63" priority="1" operator="lessThanOrEqual">
      <formula>-0.1</formula>
    </cfRule>
    <cfRule type="cellIs" dxfId="6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4A71-5E79-4031-8921-6A4F1831EF88}">
  <sheetPr codeName="Sheet25">
    <tabColor theme="8" tint="-0.249977111117893"/>
  </sheetPr>
  <dimension ref="A1:O20"/>
  <sheetViews>
    <sheetView tabSelected="1" workbookViewId="0">
      <selection sqref="A1:XFD104857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0.42578125" customWidth="1"/>
    <col min="10" max="10" width="18.5703125" bestFit="1" customWidth="1"/>
  </cols>
  <sheetData>
    <row r="1" spans="1:15" ht="25.15">
      <c r="A1" s="190" t="s">
        <v>92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57">
      <c r="A5" s="14" t="s">
        <v>107</v>
      </c>
      <c r="B5" s="69">
        <v>147564</v>
      </c>
      <c r="C5" s="69">
        <v>292774.59999999998</v>
      </c>
      <c r="D5" s="50">
        <f>B5-C5</f>
        <v>-145210.59999999998</v>
      </c>
      <c r="E5" s="51">
        <f t="shared" ref="E5:E16" si="0">IFERROR(D5/C5, 0)</f>
        <v>-0.49598086719271406</v>
      </c>
      <c r="F5" s="60">
        <v>384000</v>
      </c>
      <c r="G5" s="52">
        <f>B5-F5</f>
        <v>-236436</v>
      </c>
      <c r="H5" s="53">
        <f t="shared" ref="H5:H16" si="1">IFERROR(G5/F5, 0)</f>
        <v>-0.61571874999999998</v>
      </c>
      <c r="I5" s="55" t="s">
        <v>139</v>
      </c>
      <c r="J5" s="55" t="s">
        <v>140</v>
      </c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5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5"/>
      <c r="J7" s="56"/>
    </row>
    <row r="8" spans="1:15" ht="14.25">
      <c r="A8" s="76" t="s">
        <v>110</v>
      </c>
      <c r="B8" s="50"/>
      <c r="C8" s="50"/>
      <c r="D8" s="50">
        <f t="shared" si="2"/>
        <v>0</v>
      </c>
      <c r="E8" s="54">
        <f t="shared" si="0"/>
        <v>0</v>
      </c>
      <c r="F8" s="84"/>
      <c r="G8" s="84">
        <f t="shared" si="3"/>
        <v>0</v>
      </c>
      <c r="H8" s="53">
        <f t="shared" si="1"/>
        <v>0</v>
      </c>
      <c r="I8" s="55"/>
      <c r="J8" s="55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5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6"/>
      <c r="J10" s="56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56"/>
      <c r="J11" s="56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82"/>
      <c r="G12" s="52">
        <f t="shared" si="3"/>
        <v>0</v>
      </c>
      <c r="H12" s="53">
        <f t="shared" si="1"/>
        <v>0</v>
      </c>
      <c r="I12" s="55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5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5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147"/>
      <c r="J16" s="71"/>
    </row>
    <row r="17" spans="1:15" ht="14.25">
      <c r="A17" s="18" t="s">
        <v>119</v>
      </c>
      <c r="B17" s="19">
        <f>SUM(B5:B16)</f>
        <v>147564</v>
      </c>
      <c r="C17" s="19">
        <f t="shared" ref="C17:F17" si="4">SUM(C5:C16)</f>
        <v>292774.59999999998</v>
      </c>
      <c r="D17" s="19">
        <f>B17-C17</f>
        <v>-145210.59999999998</v>
      </c>
      <c r="E17" s="20">
        <f>IFERROR(D17/C17, 0)</f>
        <v>-0.49598086719271406</v>
      </c>
      <c r="F17" s="19">
        <f t="shared" si="4"/>
        <v>384000</v>
      </c>
      <c r="G17" s="19">
        <f>B17-F17</f>
        <v>-236436</v>
      </c>
      <c r="H17" s="21">
        <f>IFERROR(G17/F17, 0)</f>
        <v>-0.61571874999999998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47" priority="1" operator="lessThanOrEqual">
      <formula>-0.1</formula>
    </cfRule>
    <cfRule type="cellIs" dxfId="4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0CF4-28D7-4AC1-88AA-26AD70AD233C}">
  <sheetPr codeName="Sheet26">
    <tabColor theme="8" tint="-0.249977111117893"/>
  </sheetPr>
  <dimension ref="A1:O20"/>
  <sheetViews>
    <sheetView topLeftCell="E1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3.5703125" bestFit="1" customWidth="1"/>
    <col min="10" max="10" width="18.5703125" bestFit="1" customWidth="1"/>
  </cols>
  <sheetData>
    <row r="1" spans="1:15" ht="25.15">
      <c r="A1" s="190" t="s">
        <v>95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15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9">
        <v>87616.95</v>
      </c>
      <c r="C5" s="59">
        <v>201235.3</v>
      </c>
      <c r="D5" s="50">
        <f>B5-C5</f>
        <v>-113618.34999999999</v>
      </c>
      <c r="E5" s="51">
        <f t="shared" ref="E5:E16" si="0">IFERROR(D5/C5, 0)</f>
        <v>-0.56460447048803064</v>
      </c>
      <c r="F5" s="60">
        <v>228700</v>
      </c>
      <c r="G5" s="52">
        <f>B5-F5</f>
        <v>-141083.04999999999</v>
      </c>
      <c r="H5" s="53">
        <f t="shared" ref="H5:H16" si="1">IFERROR(G5/F5, 0)</f>
        <v>-0.61689134236991683</v>
      </c>
      <c r="I5" s="56"/>
      <c r="J5" s="56"/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56"/>
      <c r="J6" s="56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56"/>
      <c r="J7" s="56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56"/>
      <c r="J8" s="56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55"/>
      <c r="J9" s="56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56"/>
      <c r="J10" s="56"/>
    </row>
    <row r="11" spans="1:15" ht="14.25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56"/>
      <c r="J11" s="56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82"/>
      <c r="G12" s="52">
        <f t="shared" si="3"/>
        <v>0</v>
      </c>
      <c r="H12" s="53">
        <f t="shared" si="1"/>
        <v>0</v>
      </c>
      <c r="I12" s="55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74"/>
      <c r="J13" s="74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6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87616.95</v>
      </c>
      <c r="C17" s="19">
        <f t="shared" ref="C17:F17" si="4">SUM(C5:C16)</f>
        <v>201235.3</v>
      </c>
      <c r="D17" s="19">
        <f>B17-C17</f>
        <v>-113618.34999999999</v>
      </c>
      <c r="E17" s="20">
        <f>IFERROR(D17/C17, 0)</f>
        <v>-0.56460447048803064</v>
      </c>
      <c r="F17" s="19">
        <f t="shared" si="4"/>
        <v>228700</v>
      </c>
      <c r="G17" s="19">
        <f>B17-F17</f>
        <v>-141083.04999999999</v>
      </c>
      <c r="H17" s="21">
        <f>IFERROR(G17/F17, 0)</f>
        <v>-0.61689134236991683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0A11-ECC3-4E66-8657-447FD6C5B0C4}">
  <sheetPr codeName="Sheet36">
    <tabColor theme="8" tint="-0.249977111117893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5.28515625" customWidth="1"/>
    <col min="10" max="10" width="18.5703125" bestFit="1" customWidth="1"/>
  </cols>
  <sheetData>
    <row r="1" spans="1:15" ht="25.15">
      <c r="A1" s="190" t="s">
        <v>97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5" ht="25.5" thickBot="1">
      <c r="A2" s="10"/>
      <c r="B2" s="10"/>
      <c r="C2" s="10"/>
      <c r="D2" s="10"/>
      <c r="E2" s="10"/>
    </row>
    <row r="3" spans="1:15" ht="15">
      <c r="A3" s="182" t="s">
        <v>98</v>
      </c>
      <c r="B3" s="183"/>
      <c r="C3" s="183"/>
      <c r="D3" s="183"/>
      <c r="E3" s="184"/>
      <c r="F3" s="185" t="s">
        <v>99</v>
      </c>
      <c r="G3" s="186"/>
      <c r="H3" s="187"/>
      <c r="I3" s="188" t="s">
        <v>100</v>
      </c>
      <c r="J3" s="189"/>
    </row>
    <row r="4" spans="1:15" ht="13.15" thickBot="1">
      <c r="A4" s="13" t="s">
        <v>101</v>
      </c>
      <c r="B4" s="23" t="s">
        <v>4</v>
      </c>
      <c r="C4" s="23" t="s">
        <v>5</v>
      </c>
      <c r="D4" s="23" t="s">
        <v>102</v>
      </c>
      <c r="E4" s="24" t="s">
        <v>103</v>
      </c>
      <c r="F4" s="25" t="s">
        <v>8</v>
      </c>
      <c r="G4" s="26" t="s">
        <v>104</v>
      </c>
      <c r="H4" s="27" t="s">
        <v>105</v>
      </c>
      <c r="I4" s="28" t="s">
        <v>100</v>
      </c>
      <c r="J4" s="29" t="s">
        <v>106</v>
      </c>
    </row>
    <row r="5" spans="1:15" ht="14.25">
      <c r="A5" s="14" t="s">
        <v>107</v>
      </c>
      <c r="B5" s="59">
        <v>140087</v>
      </c>
      <c r="C5" s="69">
        <v>237488.5</v>
      </c>
      <c r="D5" s="50">
        <f>B5-C5</f>
        <v>-97401.5</v>
      </c>
      <c r="E5" s="51">
        <f t="shared" ref="E5:E16" si="0">IFERROR(D5/C5, 0)</f>
        <v>-0.41013143794331092</v>
      </c>
      <c r="F5" s="60">
        <v>400605.5</v>
      </c>
      <c r="G5" s="52">
        <f>B5-F5</f>
        <v>-260518.5</v>
      </c>
      <c r="H5" s="53">
        <f t="shared" ref="H5:H16" si="1">IFERROR(G5/F5, 0)</f>
        <v>-0.65031184045151647</v>
      </c>
      <c r="I5" s="56"/>
      <c r="J5" s="56" t="s">
        <v>126</v>
      </c>
      <c r="O5" s="4"/>
    </row>
    <row r="6" spans="1:15" ht="14.25">
      <c r="A6" s="15" t="s">
        <v>108</v>
      </c>
      <c r="B6" s="50"/>
      <c r="C6" s="50"/>
      <c r="D6" s="50">
        <f t="shared" ref="D6:D16" si="2">B6-C6</f>
        <v>0</v>
      </c>
      <c r="E6" s="54">
        <f t="shared" si="0"/>
        <v>0</v>
      </c>
      <c r="F6" s="57"/>
      <c r="G6" s="52">
        <f t="shared" ref="G6:G16" si="3">B6-F6</f>
        <v>0</v>
      </c>
      <c r="H6" s="53">
        <f t="shared" si="1"/>
        <v>0</v>
      </c>
      <c r="I6" s="73"/>
      <c r="J6" s="74"/>
    </row>
    <row r="7" spans="1:15" ht="14.25">
      <c r="A7" s="15" t="s">
        <v>109</v>
      </c>
      <c r="B7" s="50"/>
      <c r="C7" s="50"/>
      <c r="D7" s="50">
        <f t="shared" si="2"/>
        <v>0</v>
      </c>
      <c r="E7" s="54">
        <f t="shared" si="0"/>
        <v>0</v>
      </c>
      <c r="F7" s="58"/>
      <c r="G7" s="52">
        <f t="shared" si="3"/>
        <v>0</v>
      </c>
      <c r="H7" s="53">
        <f t="shared" si="1"/>
        <v>0</v>
      </c>
      <c r="I7" s="74"/>
      <c r="J7" s="74"/>
    </row>
    <row r="8" spans="1:15" ht="14.25">
      <c r="A8" s="15" t="s">
        <v>110</v>
      </c>
      <c r="B8" s="50"/>
      <c r="C8" s="50"/>
      <c r="D8" s="50">
        <f t="shared" si="2"/>
        <v>0</v>
      </c>
      <c r="E8" s="54">
        <f t="shared" si="0"/>
        <v>0</v>
      </c>
      <c r="F8" s="52"/>
      <c r="G8" s="52">
        <f t="shared" si="3"/>
        <v>0</v>
      </c>
      <c r="H8" s="53">
        <f t="shared" si="1"/>
        <v>0</v>
      </c>
      <c r="I8" s="73"/>
      <c r="J8" s="74"/>
    </row>
    <row r="9" spans="1:15" ht="14.25">
      <c r="A9" s="15" t="s">
        <v>111</v>
      </c>
      <c r="B9" s="50"/>
      <c r="C9" s="50"/>
      <c r="D9" s="50">
        <f t="shared" si="2"/>
        <v>0</v>
      </c>
      <c r="E9" s="54">
        <f t="shared" si="0"/>
        <v>0</v>
      </c>
      <c r="F9" s="52"/>
      <c r="G9" s="52">
        <f t="shared" si="3"/>
        <v>0</v>
      </c>
      <c r="H9" s="53">
        <f t="shared" si="1"/>
        <v>0</v>
      </c>
      <c r="I9" s="73"/>
      <c r="J9" s="74"/>
    </row>
    <row r="10" spans="1:15" ht="14.25">
      <c r="A10" s="15" t="s">
        <v>112</v>
      </c>
      <c r="B10" s="50"/>
      <c r="C10" s="50"/>
      <c r="D10" s="50">
        <f t="shared" si="2"/>
        <v>0</v>
      </c>
      <c r="E10" s="54">
        <f t="shared" si="0"/>
        <v>0</v>
      </c>
      <c r="F10" s="52"/>
      <c r="G10" s="52">
        <f t="shared" si="3"/>
        <v>0</v>
      </c>
      <c r="H10" s="53">
        <f t="shared" si="1"/>
        <v>0</v>
      </c>
      <c r="I10" s="73"/>
      <c r="J10" s="74"/>
    </row>
    <row r="11" spans="1:15" ht="30" customHeight="1">
      <c r="A11" s="15" t="s">
        <v>113</v>
      </c>
      <c r="B11" s="50"/>
      <c r="C11" s="50"/>
      <c r="D11" s="50">
        <f t="shared" si="2"/>
        <v>0</v>
      </c>
      <c r="E11" s="54">
        <f t="shared" si="0"/>
        <v>0</v>
      </c>
      <c r="F11" s="57"/>
      <c r="G11" s="52">
        <f t="shared" si="3"/>
        <v>0</v>
      </c>
      <c r="H11" s="53">
        <f t="shared" si="1"/>
        <v>0</v>
      </c>
      <c r="I11" s="74"/>
      <c r="J11" s="74"/>
    </row>
    <row r="12" spans="1:15" ht="14.25">
      <c r="A12" s="15" t="s">
        <v>114</v>
      </c>
      <c r="B12" s="50"/>
      <c r="C12" s="50"/>
      <c r="D12" s="50">
        <f t="shared" si="2"/>
        <v>0</v>
      </c>
      <c r="E12" s="54">
        <f t="shared" si="0"/>
        <v>0</v>
      </c>
      <c r="F12" s="58"/>
      <c r="G12" s="52">
        <f t="shared" si="3"/>
        <v>0</v>
      </c>
      <c r="H12" s="53">
        <f t="shared" si="1"/>
        <v>0</v>
      </c>
      <c r="I12" s="56"/>
      <c r="J12" s="56"/>
    </row>
    <row r="13" spans="1:15" ht="14.25">
      <c r="A13" s="15" t="s">
        <v>115</v>
      </c>
      <c r="B13" s="50"/>
      <c r="C13" s="50"/>
      <c r="D13" s="50">
        <f t="shared" si="2"/>
        <v>0</v>
      </c>
      <c r="E13" s="54">
        <f t="shared" si="0"/>
        <v>0</v>
      </c>
      <c r="F13" s="52"/>
      <c r="G13" s="52">
        <f t="shared" si="3"/>
        <v>0</v>
      </c>
      <c r="H13" s="53">
        <f t="shared" si="1"/>
        <v>0</v>
      </c>
      <c r="I13" s="56"/>
      <c r="J13" s="56"/>
    </row>
    <row r="14" spans="1:15" ht="14.25">
      <c r="A14" s="15" t="s">
        <v>116</v>
      </c>
      <c r="B14" s="50"/>
      <c r="C14" s="50"/>
      <c r="D14" s="50">
        <f t="shared" si="2"/>
        <v>0</v>
      </c>
      <c r="E14" s="54">
        <f t="shared" si="0"/>
        <v>0</v>
      </c>
      <c r="F14" s="52"/>
      <c r="G14" s="52">
        <f t="shared" si="3"/>
        <v>0</v>
      </c>
      <c r="H14" s="53">
        <f t="shared" si="1"/>
        <v>0</v>
      </c>
      <c r="I14" s="55"/>
      <c r="J14" s="55"/>
    </row>
    <row r="15" spans="1:15" ht="14.25">
      <c r="A15" s="15" t="s">
        <v>117</v>
      </c>
      <c r="B15" s="59"/>
      <c r="C15" s="59"/>
      <c r="D15" s="50">
        <f t="shared" si="2"/>
        <v>0</v>
      </c>
      <c r="E15" s="54">
        <f t="shared" si="0"/>
        <v>0</v>
      </c>
      <c r="F15" s="60"/>
      <c r="G15" s="52">
        <f t="shared" si="3"/>
        <v>0</v>
      </c>
      <c r="H15" s="53">
        <f t="shared" si="1"/>
        <v>0</v>
      </c>
      <c r="I15" s="56"/>
      <c r="J15" s="56"/>
    </row>
    <row r="16" spans="1:15" ht="14.25">
      <c r="A16" s="17" t="s">
        <v>118</v>
      </c>
      <c r="B16" s="61"/>
      <c r="C16" s="61"/>
      <c r="D16" s="61">
        <f t="shared" si="2"/>
        <v>0</v>
      </c>
      <c r="E16" s="62">
        <f t="shared" si="0"/>
        <v>0</v>
      </c>
      <c r="F16" s="63"/>
      <c r="G16" s="64">
        <f t="shared" si="3"/>
        <v>0</v>
      </c>
      <c r="H16" s="65">
        <f t="shared" si="1"/>
        <v>0</v>
      </c>
      <c r="I16" s="71"/>
      <c r="J16" s="71"/>
    </row>
    <row r="17" spans="1:15" ht="14.25">
      <c r="A17" s="18" t="s">
        <v>119</v>
      </c>
      <c r="B17" s="19">
        <f>SUM(B5:B16)</f>
        <v>140087</v>
      </c>
      <c r="C17" s="19">
        <f t="shared" ref="C17:F17" si="4">SUM(C5:C16)</f>
        <v>237488.5</v>
      </c>
      <c r="D17" s="19">
        <f>B17-C17</f>
        <v>-97401.5</v>
      </c>
      <c r="E17" s="20">
        <f>IFERROR(D17/C17, 0)</f>
        <v>-0.41013143794331092</v>
      </c>
      <c r="F17" s="19">
        <f t="shared" si="4"/>
        <v>400605.5</v>
      </c>
      <c r="G17" s="19">
        <f>B17-F17</f>
        <v>-260518.5</v>
      </c>
      <c r="H17" s="21">
        <f>IFERROR(G17/F17, 0)</f>
        <v>-0.65031184045151647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3391C6-4826-4E4D-82AE-B9CF6FC33089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2024-04-09T09:45:57Z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