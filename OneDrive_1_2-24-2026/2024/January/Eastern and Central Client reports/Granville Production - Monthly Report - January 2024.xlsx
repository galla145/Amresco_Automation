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2" documentId="13_ncr:1_{FF015FDB-D2EC-48F6-A18D-BDB9BCF5BA96}" xr6:coauthVersionLast="47" xr6:coauthVersionMax="47" xr10:uidLastSave="{AAF1C175-6FD6-4D2A-918E-06003DFCF719}"/>
  <bookViews>
    <workbookView xWindow="-28920" yWindow="7725" windowWidth="29040" windowHeight="15720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0" i="1" l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D57" i="2"/>
  <c r="F57" i="2" s="1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G57" i="2" l="1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<sst xmlns="http://schemas.openxmlformats.org/spreadsheetml/2006/main" count="1318" uniqueCount="180">
  <si>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</si>
  <si>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</si>
  <si>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</si>
  <si>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</si>
  <si>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</si>
  <si>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</si>
  <si>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</si>
  <si>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</si>
  <si>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</si>
  <si>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</si>
  <si>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</si>
  <si>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</si>
  <si>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</si>
  <si>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</si>
  <si>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</si>
  <si>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</si>
  <si>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</si>
  <si>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</si>
  <si>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</si>
  <si>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</si>
  <si>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</si>
  <si>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</si>
  <si>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</si>
  <si>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</si>
  <si>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</si>
  <si>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</si>
  <si>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</si>
  <si>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</si>
  <si>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</si>
  <si>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</si>
  <si>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</si>
  <si>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</si>
  <si>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</si>
  <si>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</si>
  <si>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</si>
  <si>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</si>
  <si>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</si>
  <si>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</si>
  <si>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</si>
  <si>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</si>
  <si>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</si>
  <si>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</si>
  <si>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</si>
  <si>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</si>
  <si>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</si>
  <si>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</si>
  <si>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PV Monitoring - Major</t>
  </si>
  <si>
    <t>Ameresco UM - Inverter Troubleshooting</t>
  </si>
  <si>
    <t>INV 2-13 - Solectria 1500XGI Inverter</t>
  </si>
  <si>
    <t>10278</t>
  </si>
  <si>
    <t>10582</t>
  </si>
  <si>
    <t>INV 2-15 - Solectria 1500XGI Inverter</t>
  </si>
  <si>
    <t>Received to Westboro warehouse</t>
  </si>
  <si>
    <t>10506</t>
  </si>
  <si>
    <t>10372</t>
  </si>
  <si>
    <t>10539</t>
  </si>
  <si>
    <t>INV 3-34 - Solectria 1500XGI Inverter</t>
  </si>
  <si>
    <t>INV 1-12 - Solectria 1500XGI Inverter</t>
  </si>
  <si>
    <t>10404</t>
  </si>
  <si>
    <t>10509</t>
  </si>
  <si>
    <t>INV 3-29 - Solectria 1500XGI Inverter</t>
  </si>
  <si>
    <t>10562</t>
  </si>
  <si>
    <t>10561</t>
  </si>
  <si>
    <t>10560</t>
  </si>
  <si>
    <t>11192</t>
  </si>
  <si>
    <t>PV Monitoring - PM Return Visit - Low</t>
  </si>
  <si>
    <t>Ameresco UM - Required Return Visit</t>
  </si>
  <si>
    <t xml:space="preserve">Inverter Troubleshooting </t>
  </si>
  <si>
    <t>11191</t>
  </si>
  <si>
    <t>INV 3-36 - Solectria 1500XGI Inverter</t>
  </si>
  <si>
    <t>Inverter Troubleshooting</t>
  </si>
  <si>
    <t>10939</t>
  </si>
  <si>
    <t>11052</t>
  </si>
  <si>
    <t>Ameresco UM - Communications Failure</t>
  </si>
  <si>
    <t>11093</t>
  </si>
  <si>
    <t>11190</t>
  </si>
  <si>
    <t>11479</t>
  </si>
  <si>
    <t>11193</t>
  </si>
  <si>
    <t>INV 1-2 - Solectria 1500XGI Inverter</t>
  </si>
  <si>
    <t>INV 2-22 - Solectria 1500XGI Inverter</t>
  </si>
  <si>
    <t>received Westborough</t>
  </si>
  <si>
    <t>11365</t>
  </si>
  <si>
    <t>INV 3-32 - Solectria 1500XGI Inverter</t>
  </si>
  <si>
    <t>11363</t>
  </si>
  <si>
    <t>11392</t>
  </si>
  <si>
    <t>INV 1-1 - Solectria 1500XGI Inverter</t>
  </si>
  <si>
    <t>12139</t>
  </si>
  <si>
    <t>Site Maintenance - Snow Plowing - Civil Work</t>
  </si>
  <si>
    <t>Contract Payment</t>
  </si>
  <si>
    <t>Preventative Maintenance / Contract Payment / Contract Payment</t>
  </si>
  <si>
    <t>11632</t>
  </si>
  <si>
    <t>INV 2-20 - Solectria 1500XGI Inverter</t>
  </si>
  <si>
    <t>Ameresco UM - Medium Voltage Troubleshooting</t>
  </si>
  <si>
    <t>PV - SWBD 02 - 2000A - AC Switchboard</t>
  </si>
  <si>
    <t>PV - SWBD 03 - 2000A - AC Switchboard</t>
  </si>
  <si>
    <t>INV 1-5 - Solectria 1500XGI Inverter</t>
  </si>
  <si>
    <t>T2 - 1500kva Transformer</t>
  </si>
  <si>
    <t>13321</t>
  </si>
  <si>
    <t>MA: Blackstone–142 Blackstone St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</si>
  <si>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</si>
  <si>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</si>
  <si>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</si>
  <si>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</si>
  <si>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</si>
  <si>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</si>
  <si>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2-24 - Solectria 1500XGI Inverter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</si>
  <si>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</si>
  <si>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</si>
  <si>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</si>
  <si>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</si>
  <si>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</si>
  <si>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</si>
  <si>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</si>
  <si>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8144</t>
  </si>
  <si>
    <t>MA: Dighton - Brooks Street</t>
  </si>
  <si>
    <t>8145</t>
  </si>
  <si>
    <t>8146</t>
  </si>
  <si>
    <t>8147</t>
  </si>
  <si>
    <t>Site Visit/ Training</t>
  </si>
  <si>
    <t>INV 3-26 - Solectria 1500XGI Inverter</t>
  </si>
  <si>
    <t>Logger reset</t>
  </si>
  <si>
    <t>Ameresco UM - Partial Site Outage</t>
  </si>
  <si>
    <t>11044</t>
  </si>
  <si>
    <t>INV 1-7 - Solectria 1500XGI Inverter</t>
  </si>
  <si>
    <t>12371</t>
  </si>
  <si>
    <t>11669</t>
  </si>
  <si>
    <t>12573</t>
  </si>
  <si>
    <t>11683</t>
  </si>
  <si>
    <t>13353</t>
  </si>
  <si>
    <t xml:space="preserve">PV - Site Maintenance </t>
  </si>
  <si>
    <t>Ameresco UM - Module Replacement</t>
  </si>
  <si>
    <t>12735</t>
  </si>
  <si>
    <t>INV 3-30 - Solectria 1500XGI Inverter</t>
  </si>
  <si>
    <t>12665</t>
  </si>
  <si>
    <t>12683</t>
  </si>
  <si>
    <t>12740</t>
  </si>
  <si>
    <t>Vegetative Maintenance</t>
  </si>
  <si>
    <t>13418</t>
  </si>
  <si>
    <t>13419</t>
  </si>
  <si>
    <t>12841</t>
  </si>
  <si>
    <t>12734</t>
  </si>
  <si>
    <t>12842</t>
  </si>
  <si>
    <t>13003</t>
  </si>
  <si>
    <t>13004</t>
  </si>
  <si>
    <t>12831</t>
  </si>
  <si>
    <t>13779</t>
  </si>
  <si>
    <t>13267</t>
  </si>
  <si>
    <t>12971</t>
  </si>
  <si>
    <t>12977</t>
  </si>
  <si>
    <t>13693</t>
  </si>
  <si>
    <t>13686</t>
  </si>
  <si>
    <t>13739</t>
  </si>
  <si>
    <t>13875</t>
  </si>
  <si>
    <t>13924</t>
  </si>
  <si>
    <t>14611</t>
  </si>
  <si>
    <t>13963</t>
  </si>
  <si>
    <t>13964</t>
  </si>
  <si>
    <t>13969</t>
  </si>
  <si>
    <t>13970</t>
  </si>
  <si>
    <t>14115</t>
  </si>
  <si>
    <t>14139</t>
  </si>
  <si>
    <t>New</t>
  </si>
  <si>
    <t>MA: Granville – 0 Hayes Rd</t>
  </si>
  <si>
    <t>Subcontractor - Mowing</t>
  </si>
  <si>
    <t>14890</t>
  </si>
  <si>
    <t>15016</t>
  </si>
  <si>
    <t>15778</t>
  </si>
  <si>
    <t>Quarterly Invoice</t>
  </si>
  <si>
    <t>15777</t>
  </si>
  <si>
    <t>PV Monitoring Weather - 12-18-2023</t>
  </si>
  <si>
    <t>Subcontractor UM - Electrical - Other</t>
  </si>
  <si>
    <t>15681</t>
  </si>
  <si>
    <t>15683</t>
  </si>
  <si>
    <t>2024 Plant Health Data
Granville</t>
  </si>
  <si>
    <t>MA: Hopkington – 17 Wilson St</t>
  </si>
  <si>
    <t>15984</t>
  </si>
  <si>
    <t>MA: Blackstone - 142 Blackstone BESS</t>
  </si>
  <si>
    <t>15989</t>
  </si>
  <si>
    <t>Sungrow 125kw Inverter 01</t>
  </si>
  <si>
    <t>Ameresco UM - Snow Plowing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</si>
</sst>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5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/>
    <xf numFmtId="14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/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abSelected="1" topLeftCell="A19" zoomScaleNormal="100" workbookViewId="0">
      <selection activeCell="K51" sqref="K51"/>
    </sheetView>
  </sheetViews>
  <sheetFormatPr defaultColWidth="9.1328125" defaultRowHeight="14.25" x14ac:dyDescent="0.45"/>
  <cols>
    <col min="1" max="2" width="9.1328125" style="1"/>
    <col min="3" max="3" width="10.59765625" style="1" bestFit="1" customWidth="1"/>
    <col min="4" max="4" width="18.19921875" style="1" customWidth="1"/>
    <col min="5" max="5" width="10.1328125" style="1" bestFit="1" customWidth="1"/>
    <col min="6" max="6" width="7.1328125" style="1" bestFit="1" customWidth="1"/>
    <col min="7" max="7" width="9.1328125" style="1"/>
    <col min="8" max="8" width="9.86328125" style="1" bestFit="1" customWidth="1"/>
    <col min="9" max="16384" width="9.1328125" style="1"/>
  </cols>
  <sheetData>
    <row r="6" spans="3:9" ht="45" customHeight="1" x14ac:dyDescent="0.45">
      <c r="C6" s="19" t="s">
        <v>0</v>
      </c>
      <c r="D6" s="20"/>
      <c r="E6" s="20"/>
      <c r="F6" s="20"/>
      <c r="G6" s="20"/>
      <c r="H6" s="20"/>
      <c r="I6" s="21"/>
    </row>
    <row r="7" spans="3:9" ht="15.75" customHeight="1" x14ac:dyDescent="0.45">
      <c r="C7" s="22"/>
      <c r="D7" s="23"/>
      <c r="E7" s="23"/>
      <c r="F7" s="23"/>
      <c r="G7" s="23"/>
      <c r="H7" s="23"/>
      <c r="I7" s="24"/>
    </row>
    <row r="8" spans="3:9" x14ac:dyDescent="0.4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4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4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4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4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4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4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4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4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4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4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4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4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4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45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 x14ac:dyDescent="0.45">
      <c r="C25" s="22"/>
      <c r="D25" s="23"/>
      <c r="E25" s="23"/>
      <c r="F25" s="23"/>
      <c r="G25" s="23"/>
      <c r="H25" s="23"/>
      <c r="I25" s="24"/>
    </row>
    <row r="26" spans="3:9" x14ac:dyDescent="0.4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4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4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4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4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4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4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4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4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4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4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4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4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4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45">
      <c r="C42" s="19" t="s">
        <v>173</v>
      </c>
      <c r="D42" s="20"/>
      <c r="E42" s="20"/>
      <c r="F42" s="20"/>
      <c r="G42" s="20"/>
      <c r="H42" s="20"/>
      <c r="I42" s="21"/>
    </row>
    <row r="43" spans="3:9" x14ac:dyDescent="0.45">
      <c r="C43" s="22"/>
      <c r="D43" s="23"/>
      <c r="E43" s="23"/>
      <c r="F43" s="23"/>
      <c r="G43" s="23"/>
      <c r="H43" s="23"/>
      <c r="I43" s="24"/>
    </row>
    <row r="44" spans="3:9" x14ac:dyDescent="0.45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45">
      <c r="C45" s="3" t="s">
        <v>5</v>
      </c>
      <c r="D45" s="5">
        <v>133982</v>
      </c>
      <c r="E45" s="5">
        <v>302347.77999999997</v>
      </c>
      <c r="F45" s="10">
        <f>D45/E45</f>
        <v>0.44313869279939816</v>
      </c>
      <c r="G45" s="5">
        <f>D45</f>
        <v>133982</v>
      </c>
      <c r="H45" s="5">
        <v>445000</v>
      </c>
      <c r="I45" s="6">
        <f t="shared" ref="I45:I57" si="6">G45/H45</f>
        <v>0.30108314606741571</v>
      </c>
    </row>
    <row r="46" spans="3:9" x14ac:dyDescent="0.45">
      <c r="C46" s="3" t="s">
        <v>7</v>
      </c>
      <c r="D46" s="4"/>
      <c r="E46" s="4"/>
      <c r="F46" s="10"/>
      <c r="G46" s="5">
        <f t="shared" ref="G46:G56" si="7">D46</f>
        <v>0</v>
      </c>
      <c r="H46" s="4"/>
      <c r="I46" s="6"/>
    </row>
    <row r="47" spans="3:9" x14ac:dyDescent="0.45">
      <c r="C47" s="3" t="s">
        <v>8</v>
      </c>
      <c r="D47" s="4"/>
      <c r="E47" s="4"/>
      <c r="F47" s="10"/>
      <c r="G47" s="5">
        <f t="shared" si="7"/>
        <v>0</v>
      </c>
      <c r="H47" s="4"/>
      <c r="I47" s="6"/>
    </row>
    <row r="48" spans="3:9" x14ac:dyDescent="0.45">
      <c r="C48" s="3" t="s">
        <v>9</v>
      </c>
      <c r="D48" s="11"/>
      <c r="E48" s="4"/>
      <c r="F48" s="10"/>
      <c r="G48" s="5">
        <f t="shared" si="7"/>
        <v>0</v>
      </c>
      <c r="H48" s="4"/>
      <c r="I48" s="6"/>
    </row>
    <row r="49" spans="3:9" x14ac:dyDescent="0.45">
      <c r="C49" s="3" t="s">
        <v>10</v>
      </c>
      <c r="D49" s="12"/>
      <c r="E49" s="4"/>
      <c r="F49" s="10"/>
      <c r="G49" s="5">
        <f t="shared" si="7"/>
        <v>0</v>
      </c>
      <c r="H49" s="4"/>
      <c r="I49" s="6"/>
    </row>
    <row r="50" spans="3:9" x14ac:dyDescent="0.45">
      <c r="C50" s="3" t="s">
        <v>11</v>
      </c>
      <c r="D50" s="4"/>
      <c r="E50" s="4"/>
      <c r="F50" s="10"/>
      <c r="G50" s="5">
        <f t="shared" si="7"/>
        <v>0</v>
      </c>
      <c r="H50" s="4"/>
      <c r="I50" s="6"/>
    </row>
    <row r="51" spans="3:9" x14ac:dyDescent="0.45">
      <c r="C51" s="3" t="s">
        <v>12</v>
      </c>
      <c r="D51" s="4"/>
      <c r="E51" s="4"/>
      <c r="F51" s="10"/>
      <c r="G51" s="5">
        <f t="shared" si="7"/>
        <v>0</v>
      </c>
      <c r="H51" s="4"/>
      <c r="I51" s="6"/>
    </row>
    <row r="52" spans="3:9" x14ac:dyDescent="0.45">
      <c r="C52" s="3" t="s">
        <v>13</v>
      </c>
      <c r="D52" s="4"/>
      <c r="E52" s="4"/>
      <c r="F52" s="10"/>
      <c r="G52" s="5">
        <f t="shared" si="7"/>
        <v>0</v>
      </c>
      <c r="H52" s="4"/>
      <c r="I52" s="6"/>
    </row>
    <row r="53" spans="3:9" x14ac:dyDescent="0.45">
      <c r="C53" s="3" t="s">
        <v>14</v>
      </c>
      <c r="D53" s="4"/>
      <c r="E53" s="4"/>
      <c r="F53" s="10"/>
      <c r="G53" s="5">
        <f t="shared" si="7"/>
        <v>0</v>
      </c>
      <c r="H53" s="4"/>
      <c r="I53" s="6"/>
    </row>
    <row r="54" spans="3:9" x14ac:dyDescent="0.45">
      <c r="C54" s="3" t="s">
        <v>15</v>
      </c>
      <c r="D54" s="4"/>
      <c r="E54" s="4"/>
      <c r="F54" s="10"/>
      <c r="G54" s="5">
        <f t="shared" si="7"/>
        <v>0</v>
      </c>
      <c r="H54" s="4"/>
      <c r="I54" s="6"/>
    </row>
    <row r="55" spans="3:9" x14ac:dyDescent="0.45">
      <c r="C55" s="3" t="s">
        <v>16</v>
      </c>
      <c r="D55" s="4"/>
      <c r="E55" s="4"/>
      <c r="F55" s="10"/>
      <c r="G55" s="5">
        <f t="shared" si="7"/>
        <v>0</v>
      </c>
      <c r="H55" s="4"/>
      <c r="I55" s="6"/>
    </row>
    <row r="56" spans="3:9" x14ac:dyDescent="0.45">
      <c r="C56" s="3" t="s">
        <v>17</v>
      </c>
      <c r="D56" s="4"/>
      <c r="E56" s="4"/>
      <c r="F56" s="10"/>
      <c r="G56" s="5">
        <f t="shared" si="7"/>
        <v>0</v>
      </c>
      <c r="H56" s="4"/>
      <c r="I56" s="6"/>
    </row>
    <row r="57" spans="3:9" x14ac:dyDescent="0.45">
      <c r="C57" s="7" t="s">
        <v>18</v>
      </c>
      <c r="D57" s="8">
        <f>SUM(D45:D56)</f>
        <v>133982</v>
      </c>
      <c r="E57" s="8">
        <f>SUM(E45:E56)</f>
        <v>302347.77999999997</v>
      </c>
      <c r="F57" s="9">
        <f t="shared" ref="F46:F57" si="8">D57/E57</f>
        <v>0.44313869279939816</v>
      </c>
      <c r="G57" s="8">
        <f>SUM(G45:G56)</f>
        <v>133982</v>
      </c>
      <c r="H57" s="8">
        <f>SUM(H45:H56)</f>
        <v>445000</v>
      </c>
      <c r="I57" s="9">
        <f t="shared" si="6"/>
        <v>0.30108314606741571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0"/>
  <sheetViews>
    <sheetView topLeftCell="A75" zoomScale="70" zoomScaleNormal="70" workbookViewId="0">
      <selection activeCell="C89" sqref="C89"/>
    </sheetView>
  </sheetViews>
  <sheetFormatPr defaultRowHeight="15" x14ac:dyDescent="0.4"/>
  <cols>
    <col min="1" max="1" width="17.73046875" style="18" customWidth="1"/>
    <col min="2" max="2" width="33.73046875" style="18" customWidth="1"/>
    <col min="3" max="6" width="17.73046875" style="18" customWidth="1"/>
    <col min="7" max="9" width="33.73046875" style="18" customWidth="1"/>
    <col min="10" max="10" width="25.73046875" style="18" customWidth="1"/>
    <col min="11" max="13" width="17.73046875" style="18" customWidth="1"/>
    <col min="14" max="14" width="9.06640625" style="18"/>
  </cols>
  <sheetData>
    <row r="1" spans="1:12" x14ac:dyDescent="0.4">
      <c r="A1" s="17" t="s">
        <v>20</v>
      </c>
      <c r="B1" s="17" t="s">
        <v>21</v>
      </c>
      <c r="C1" s="17" t="s">
        <v>22</v>
      </c>
      <c r="D1" s="17" t="s">
        <v>23</v>
      </c>
      <c r="E1" s="17" t="s">
        <v>24</v>
      </c>
      <c r="F1" s="17" t="s">
        <v>25</v>
      </c>
      <c r="G1" s="17" t="s">
        <v>26</v>
      </c>
      <c r="H1" s="17" t="s">
        <v>27</v>
      </c>
      <c r="I1" s="17" t="s">
        <v>28</v>
      </c>
      <c r="J1" s="17" t="s">
        <v>29</v>
      </c>
      <c r="K1" s="17" t="s">
        <v>30</v>
      </c>
      <c r="L1" s="17" t="s">
        <v>31</v>
      </c>
    </row>
    <row r="2" spans="1:12" x14ac:dyDescent="0.4">
      <c r="A2" s="13" t="s">
        <v>32</v>
      </c>
      <c r="B2" s="13" t="s">
        <v>33</v>
      </c>
      <c r="C2" s="14" t="str">
        <f>HYPERLINK("https://us.assetplanner.com/service_request?ID=58449","SR058449")</f>
        <v>SR058449</v>
      </c>
      <c r="D2" s="15">
        <v>44358.518055555556</v>
      </c>
      <c r="E2" s="13" t="s">
        <v>34</v>
      </c>
      <c r="F2" s="13" t="s">
        <v>35</v>
      </c>
      <c r="G2" s="13" t="s">
        <v>36</v>
      </c>
      <c r="H2" s="13" t="s">
        <v>37</v>
      </c>
      <c r="I2" s="13" t="s">
        <v>35</v>
      </c>
      <c r="J2" s="13" t="s">
        <v>35</v>
      </c>
      <c r="K2" s="15">
        <v>44461</v>
      </c>
      <c r="L2" s="13" t="s">
        <v>38</v>
      </c>
    </row>
    <row r="3" spans="1:12" x14ac:dyDescent="0.4">
      <c r="A3" s="13" t="s">
        <v>32</v>
      </c>
      <c r="B3" s="13" t="s">
        <v>98</v>
      </c>
      <c r="C3" s="14" t="str">
        <f>HYPERLINK("https://us.assetplanner.com/service_request?ID=60831","SR060831")</f>
        <v>SR060831</v>
      </c>
      <c r="D3" s="15">
        <v>44553.4375</v>
      </c>
      <c r="E3" s="13" t="s">
        <v>34</v>
      </c>
      <c r="F3" s="13" t="s">
        <v>35</v>
      </c>
      <c r="G3" s="13" t="s">
        <v>36</v>
      </c>
      <c r="H3" s="13" t="s">
        <v>89</v>
      </c>
      <c r="I3" s="13" t="s">
        <v>35</v>
      </c>
      <c r="J3" s="13" t="s">
        <v>35</v>
      </c>
      <c r="K3" s="15">
        <v>44553</v>
      </c>
      <c r="L3" s="13" t="s">
        <v>113</v>
      </c>
    </row>
    <row r="4" spans="1:12" x14ac:dyDescent="0.4">
      <c r="A4" s="13" t="s">
        <v>32</v>
      </c>
      <c r="B4" s="13" t="s">
        <v>114</v>
      </c>
      <c r="C4" s="14" t="str">
        <f>HYPERLINK("https://us.assetplanner.com/service_request?ID=60832","SR060832")</f>
        <v>SR060832</v>
      </c>
      <c r="D4" s="15">
        <v>44553.439583333333</v>
      </c>
      <c r="E4" s="13" t="s">
        <v>34</v>
      </c>
      <c r="F4" s="13" t="s">
        <v>35</v>
      </c>
      <c r="G4" s="13" t="s">
        <v>36</v>
      </c>
      <c r="H4" s="13" t="s">
        <v>89</v>
      </c>
      <c r="I4" s="13" t="s">
        <v>35</v>
      </c>
      <c r="J4" s="13" t="s">
        <v>35</v>
      </c>
      <c r="K4" s="15">
        <v>44553</v>
      </c>
      <c r="L4" s="13" t="s">
        <v>115</v>
      </c>
    </row>
    <row r="5" spans="1:12" x14ac:dyDescent="0.4">
      <c r="A5" s="13" t="s">
        <v>32</v>
      </c>
      <c r="B5" s="13" t="s">
        <v>174</v>
      </c>
      <c r="C5" s="14" t="str">
        <f>HYPERLINK("https://us.assetplanner.com/service_request?ID=60834","SR060834")</f>
        <v>SR060834</v>
      </c>
      <c r="D5" s="15">
        <v>44553.458333333336</v>
      </c>
      <c r="E5" s="13" t="s">
        <v>34</v>
      </c>
      <c r="F5" s="13" t="s">
        <v>35</v>
      </c>
      <c r="G5" s="13" t="s">
        <v>36</v>
      </c>
      <c r="H5" s="13" t="s">
        <v>89</v>
      </c>
      <c r="I5" s="13" t="s">
        <v>35</v>
      </c>
      <c r="J5" s="13" t="s">
        <v>35</v>
      </c>
      <c r="K5" s="15">
        <v>44553</v>
      </c>
      <c r="L5" s="13" t="s">
        <v>116</v>
      </c>
    </row>
    <row r="6" spans="1:12" x14ac:dyDescent="0.4">
      <c r="A6" s="13" t="s">
        <v>32</v>
      </c>
      <c r="B6" s="13" t="s">
        <v>162</v>
      </c>
      <c r="C6" s="14" t="str">
        <f>HYPERLINK("https://us.assetplanner.com/service_request?ID=60835","SR060835")</f>
        <v>SR060835</v>
      </c>
      <c r="D6" s="15">
        <v>44553.462500000001</v>
      </c>
      <c r="E6" s="13" t="s">
        <v>34</v>
      </c>
      <c r="F6" s="13" t="s">
        <v>35</v>
      </c>
      <c r="G6" s="13" t="s">
        <v>36</v>
      </c>
      <c r="H6" s="13" t="s">
        <v>89</v>
      </c>
      <c r="I6" s="13" t="s">
        <v>35</v>
      </c>
      <c r="J6" s="13" t="s">
        <v>35</v>
      </c>
      <c r="K6" s="15">
        <v>44553</v>
      </c>
      <c r="L6" s="13" t="s">
        <v>117</v>
      </c>
    </row>
    <row r="7" spans="1:12" x14ac:dyDescent="0.4">
      <c r="A7" s="13" t="s">
        <v>32</v>
      </c>
      <c r="B7" s="13" t="s">
        <v>162</v>
      </c>
      <c r="C7" s="14" t="str">
        <f>HYPERLINK("https://us.assetplanner.com/service_request?ID=63974","SR063974")</f>
        <v>SR063974</v>
      </c>
      <c r="D7" s="15">
        <v>44754.793749999997</v>
      </c>
      <c r="E7" s="13" t="s">
        <v>34</v>
      </c>
      <c r="F7" s="13" t="s">
        <v>35</v>
      </c>
      <c r="G7" s="13" t="s">
        <v>36</v>
      </c>
      <c r="H7" s="13" t="s">
        <v>89</v>
      </c>
      <c r="I7" s="13" t="s">
        <v>35</v>
      </c>
      <c r="J7" s="13" t="s">
        <v>118</v>
      </c>
      <c r="K7" s="16" t="s">
        <v>35</v>
      </c>
      <c r="L7" s="13" t="s">
        <v>35</v>
      </c>
    </row>
    <row r="8" spans="1:12" x14ac:dyDescent="0.4">
      <c r="A8" s="13" t="s">
        <v>32</v>
      </c>
      <c r="B8" s="13" t="s">
        <v>98</v>
      </c>
      <c r="C8" s="14" t="str">
        <f>HYPERLINK("https://us.assetplanner.com/service_request?ID=64975","SR064975")</f>
        <v>SR064975</v>
      </c>
      <c r="D8" s="15">
        <v>44798.36041666667</v>
      </c>
      <c r="E8" s="13" t="s">
        <v>34</v>
      </c>
      <c r="F8" s="13" t="s">
        <v>35</v>
      </c>
      <c r="G8" s="13" t="s">
        <v>39</v>
      </c>
      <c r="H8" s="13" t="s">
        <v>40</v>
      </c>
      <c r="I8" s="13" t="s">
        <v>35</v>
      </c>
      <c r="J8" s="13" t="s">
        <v>35</v>
      </c>
      <c r="K8" s="16" t="s">
        <v>35</v>
      </c>
      <c r="L8" s="13" t="s">
        <v>35</v>
      </c>
    </row>
    <row r="9" spans="1:12" x14ac:dyDescent="0.4">
      <c r="A9" s="13" t="s">
        <v>32</v>
      </c>
      <c r="B9" s="13" t="s">
        <v>174</v>
      </c>
      <c r="C9" s="14" t="str">
        <f>HYPERLINK("https://us.assetplanner.com/service_request?ID=65196","SR065196")</f>
        <v>SR065196</v>
      </c>
      <c r="D9" s="15">
        <v>44804.362500000003</v>
      </c>
      <c r="E9" s="13" t="s">
        <v>34</v>
      </c>
      <c r="F9" s="13" t="s">
        <v>35</v>
      </c>
      <c r="G9" s="13" t="s">
        <v>39</v>
      </c>
      <c r="H9" s="13" t="s">
        <v>40</v>
      </c>
      <c r="I9" s="13" t="s">
        <v>35</v>
      </c>
      <c r="J9" s="13" t="s">
        <v>35</v>
      </c>
      <c r="K9" s="16" t="s">
        <v>35</v>
      </c>
      <c r="L9" s="13" t="s">
        <v>35</v>
      </c>
    </row>
    <row r="10" spans="1:12" x14ac:dyDescent="0.4">
      <c r="A10" s="13" t="s">
        <v>32</v>
      </c>
      <c r="B10" s="13" t="s">
        <v>162</v>
      </c>
      <c r="C10" s="14" t="str">
        <f>HYPERLINK("https://us.assetplanner.com/service_request?ID=65847","SR065847")</f>
        <v>SR065847</v>
      </c>
      <c r="D10" s="15">
        <v>44825.661111111112</v>
      </c>
      <c r="E10" s="13" t="s">
        <v>34</v>
      </c>
      <c r="F10" s="13" t="s">
        <v>35</v>
      </c>
      <c r="G10" s="13" t="s">
        <v>39</v>
      </c>
      <c r="H10" s="13" t="s">
        <v>41</v>
      </c>
      <c r="I10" s="13" t="s">
        <v>35</v>
      </c>
      <c r="J10" s="13" t="s">
        <v>35</v>
      </c>
      <c r="K10" s="15">
        <v>44838</v>
      </c>
      <c r="L10" s="13" t="s">
        <v>42</v>
      </c>
    </row>
    <row r="11" spans="1:12" x14ac:dyDescent="0.4">
      <c r="A11" s="13" t="s">
        <v>32</v>
      </c>
      <c r="B11" s="13" t="s">
        <v>98</v>
      </c>
      <c r="C11" s="14" t="str">
        <f>HYPERLINK("https://us.assetplanner.com/service_request?ID=65888","SR065888")</f>
        <v>SR065888</v>
      </c>
      <c r="D11" s="15">
        <v>44826.469444444447</v>
      </c>
      <c r="E11" s="13" t="s">
        <v>34</v>
      </c>
      <c r="F11" s="13" t="s">
        <v>35</v>
      </c>
      <c r="G11" s="13" t="s">
        <v>43</v>
      </c>
      <c r="H11" s="13" t="s">
        <v>44</v>
      </c>
      <c r="I11" s="13" t="s">
        <v>35</v>
      </c>
      <c r="J11" s="13" t="s">
        <v>35</v>
      </c>
      <c r="K11" s="15">
        <v>44887</v>
      </c>
      <c r="L11" s="13" t="s">
        <v>45</v>
      </c>
    </row>
    <row r="12" spans="1:12" x14ac:dyDescent="0.4">
      <c r="A12" s="13" t="s">
        <v>32</v>
      </c>
      <c r="B12" s="13" t="s">
        <v>162</v>
      </c>
      <c r="C12" s="14" t="str">
        <f>HYPERLINK("https://us.assetplanner.com/service_request?ID=65909","SR065909")</f>
        <v>SR065909</v>
      </c>
      <c r="D12" s="15">
        <v>44827.313194444447</v>
      </c>
      <c r="E12" s="13" t="s">
        <v>34</v>
      </c>
      <c r="F12" s="13" t="s">
        <v>35</v>
      </c>
      <c r="G12" s="13" t="s">
        <v>39</v>
      </c>
      <c r="H12" s="13" t="s">
        <v>47</v>
      </c>
      <c r="I12" s="13" t="s">
        <v>119</v>
      </c>
      <c r="J12" s="13" t="s">
        <v>35</v>
      </c>
      <c r="K12" s="16" t="s">
        <v>35</v>
      </c>
      <c r="L12" s="13" t="s">
        <v>35</v>
      </c>
    </row>
    <row r="13" spans="1:12" x14ac:dyDescent="0.4">
      <c r="A13" s="13" t="s">
        <v>32</v>
      </c>
      <c r="B13" s="13" t="s">
        <v>162</v>
      </c>
      <c r="C13" s="14" t="str">
        <f>HYPERLINK("https://us.assetplanner.com/service_request?ID=65925","SR065925")</f>
        <v>SR065925</v>
      </c>
      <c r="D13" s="15">
        <v>44827.567361111112</v>
      </c>
      <c r="E13" s="13" t="s">
        <v>34</v>
      </c>
      <c r="F13" s="13" t="s">
        <v>35</v>
      </c>
      <c r="G13" s="13" t="s">
        <v>46</v>
      </c>
      <c r="H13" s="13" t="s">
        <v>47</v>
      </c>
      <c r="I13" s="13" t="s">
        <v>48</v>
      </c>
      <c r="J13" s="13" t="s">
        <v>35</v>
      </c>
      <c r="K13" s="15">
        <v>44838</v>
      </c>
      <c r="L13" s="13" t="s">
        <v>49</v>
      </c>
    </row>
    <row r="14" spans="1:12" x14ac:dyDescent="0.4">
      <c r="A14" s="13" t="s">
        <v>32</v>
      </c>
      <c r="B14" s="13" t="s">
        <v>162</v>
      </c>
      <c r="C14" s="14" t="str">
        <f>HYPERLINK("https://us.assetplanner.com/service_request?ID=65928","SR065928")</f>
        <v>SR065928</v>
      </c>
      <c r="D14" s="15">
        <v>44827.615972222222</v>
      </c>
      <c r="E14" s="13" t="s">
        <v>34</v>
      </c>
      <c r="F14" s="13" t="s">
        <v>35</v>
      </c>
      <c r="G14" s="13" t="s">
        <v>46</v>
      </c>
      <c r="H14" s="13" t="s">
        <v>41</v>
      </c>
      <c r="I14" s="13" t="s">
        <v>35</v>
      </c>
      <c r="J14" s="13" t="s">
        <v>35</v>
      </c>
      <c r="K14" s="15">
        <v>44895</v>
      </c>
      <c r="L14" s="13" t="s">
        <v>50</v>
      </c>
    </row>
    <row r="15" spans="1:12" x14ac:dyDescent="0.4">
      <c r="A15" s="13" t="s">
        <v>32</v>
      </c>
      <c r="B15" s="13" t="s">
        <v>162</v>
      </c>
      <c r="C15" s="14" t="str">
        <f>HYPERLINK("https://us.assetplanner.com/service_request?ID=65936","SR065936")</f>
        <v>SR065936</v>
      </c>
      <c r="D15" s="15">
        <v>44827.754166666666</v>
      </c>
      <c r="E15" s="13" t="s">
        <v>34</v>
      </c>
      <c r="F15" s="13" t="s">
        <v>35</v>
      </c>
      <c r="G15" s="13" t="s">
        <v>65</v>
      </c>
      <c r="H15" s="13" t="s">
        <v>66</v>
      </c>
      <c r="I15" s="13" t="s">
        <v>35</v>
      </c>
      <c r="J15" s="13" t="s">
        <v>35</v>
      </c>
      <c r="K15" s="16" t="s">
        <v>35</v>
      </c>
      <c r="L15" s="13" t="s">
        <v>35</v>
      </c>
    </row>
    <row r="16" spans="1:12" x14ac:dyDescent="0.4">
      <c r="A16" s="13" t="s">
        <v>32</v>
      </c>
      <c r="B16" s="13" t="s">
        <v>162</v>
      </c>
      <c r="C16" s="14" t="str">
        <f>HYPERLINK("https://us.assetplanner.com/service_request?ID=66116","SR066116")</f>
        <v>SR066116</v>
      </c>
      <c r="D16" s="15">
        <v>44833.655555555553</v>
      </c>
      <c r="E16" s="13" t="s">
        <v>34</v>
      </c>
      <c r="F16" s="13" t="s">
        <v>35</v>
      </c>
      <c r="G16" s="13" t="s">
        <v>65</v>
      </c>
      <c r="H16" s="13" t="s">
        <v>66</v>
      </c>
      <c r="I16" s="13" t="s">
        <v>35</v>
      </c>
      <c r="J16" s="13" t="s">
        <v>35</v>
      </c>
      <c r="K16" s="16" t="s">
        <v>35</v>
      </c>
      <c r="L16" s="13" t="s">
        <v>35</v>
      </c>
    </row>
    <row r="17" spans="1:12" x14ac:dyDescent="0.4">
      <c r="A17" s="13" t="s">
        <v>32</v>
      </c>
      <c r="B17" s="13" t="s">
        <v>162</v>
      </c>
      <c r="C17" s="14" t="str">
        <f>HYPERLINK("https://us.assetplanner.com/service_request?ID=66216","SR066216")</f>
        <v>SR066216</v>
      </c>
      <c r="D17" s="15">
        <v>44836.782638888886</v>
      </c>
      <c r="E17" s="13" t="s">
        <v>34</v>
      </c>
      <c r="F17" s="13" t="s">
        <v>35</v>
      </c>
      <c r="G17" s="13" t="s">
        <v>46</v>
      </c>
      <c r="H17" s="13" t="s">
        <v>47</v>
      </c>
      <c r="I17" s="13" t="s">
        <v>51</v>
      </c>
      <c r="J17" s="13" t="s">
        <v>52</v>
      </c>
      <c r="K17" s="15">
        <v>44880</v>
      </c>
      <c r="L17" s="13" t="s">
        <v>53</v>
      </c>
    </row>
    <row r="18" spans="1:12" x14ac:dyDescent="0.4">
      <c r="A18" s="13" t="s">
        <v>32</v>
      </c>
      <c r="B18" s="13" t="s">
        <v>162</v>
      </c>
      <c r="C18" s="14" t="str">
        <f>HYPERLINK("https://us.assetplanner.com/service_request?ID=66238","SR066238")</f>
        <v>SR066238</v>
      </c>
      <c r="D18" s="15">
        <v>44838.463888888888</v>
      </c>
      <c r="E18" s="13" t="s">
        <v>34</v>
      </c>
      <c r="F18" s="13" t="s">
        <v>35</v>
      </c>
      <c r="G18" s="13" t="s">
        <v>39</v>
      </c>
      <c r="H18" s="13" t="s">
        <v>41</v>
      </c>
      <c r="I18" s="13" t="s">
        <v>35</v>
      </c>
      <c r="J18" s="13" t="s">
        <v>35</v>
      </c>
      <c r="K18" s="16" t="s">
        <v>35</v>
      </c>
      <c r="L18" s="13" t="s">
        <v>35</v>
      </c>
    </row>
    <row r="19" spans="1:12" x14ac:dyDescent="0.4">
      <c r="A19" s="13" t="s">
        <v>32</v>
      </c>
      <c r="B19" s="13" t="s">
        <v>174</v>
      </c>
      <c r="C19" s="14" t="str">
        <f>HYPERLINK("https://us.assetplanner.com/service_request?ID=66247","SR066247")</f>
        <v>SR066247</v>
      </c>
      <c r="D19" s="15">
        <v>44838.631249999999</v>
      </c>
      <c r="E19" s="13" t="s">
        <v>34</v>
      </c>
      <c r="F19" s="13" t="s">
        <v>35</v>
      </c>
      <c r="G19" s="13" t="s">
        <v>43</v>
      </c>
      <c r="H19" s="13" t="s">
        <v>44</v>
      </c>
      <c r="I19" s="13" t="s">
        <v>35</v>
      </c>
      <c r="J19" s="13" t="s">
        <v>35</v>
      </c>
      <c r="K19" s="15">
        <v>44887</v>
      </c>
      <c r="L19" s="13" t="s">
        <v>54</v>
      </c>
    </row>
    <row r="20" spans="1:12" x14ac:dyDescent="0.4">
      <c r="A20" s="13" t="s">
        <v>32</v>
      </c>
      <c r="B20" s="13" t="s">
        <v>162</v>
      </c>
      <c r="C20" s="14" t="str">
        <f>HYPERLINK("https://us.assetplanner.com/service_request?ID=66327","SR066327")</f>
        <v>SR066327</v>
      </c>
      <c r="D20" s="15">
        <v>44840.4375</v>
      </c>
      <c r="E20" s="13" t="s">
        <v>34</v>
      </c>
      <c r="F20" s="13" t="s">
        <v>35</v>
      </c>
      <c r="G20" s="13" t="s">
        <v>39</v>
      </c>
      <c r="H20" s="13" t="s">
        <v>47</v>
      </c>
      <c r="I20" s="13" t="s">
        <v>48</v>
      </c>
      <c r="J20" s="13" t="s">
        <v>35</v>
      </c>
      <c r="K20" s="15">
        <v>44886</v>
      </c>
      <c r="L20" s="13" t="s">
        <v>55</v>
      </c>
    </row>
    <row r="21" spans="1:12" x14ac:dyDescent="0.4">
      <c r="A21" s="13" t="s">
        <v>32</v>
      </c>
      <c r="B21" s="13" t="s">
        <v>162</v>
      </c>
      <c r="C21" s="14" t="str">
        <f>HYPERLINK("https://us.assetplanner.com/service_request?ID=66349","SR066349")</f>
        <v>SR066349</v>
      </c>
      <c r="D21" s="15">
        <v>44841.579861111109</v>
      </c>
      <c r="E21" s="13" t="s">
        <v>34</v>
      </c>
      <c r="F21" s="13" t="s">
        <v>35</v>
      </c>
      <c r="G21" s="13" t="s">
        <v>39</v>
      </c>
      <c r="H21" s="13" t="s">
        <v>47</v>
      </c>
      <c r="I21" s="13" t="s">
        <v>51</v>
      </c>
      <c r="J21" s="13" t="s">
        <v>35</v>
      </c>
      <c r="K21" s="16" t="s">
        <v>35</v>
      </c>
      <c r="L21" s="13" t="s">
        <v>35</v>
      </c>
    </row>
    <row r="22" spans="1:12" x14ac:dyDescent="0.4">
      <c r="A22" s="13" t="s">
        <v>32</v>
      </c>
      <c r="B22" s="13" t="s">
        <v>162</v>
      </c>
      <c r="C22" s="14" t="str">
        <f>HYPERLINK("https://us.assetplanner.com/service_request?ID=66506","SR066506")</f>
        <v>SR066506</v>
      </c>
      <c r="D22" s="15">
        <v>44853.359027777777</v>
      </c>
      <c r="E22" s="13" t="s">
        <v>34</v>
      </c>
      <c r="F22" s="13" t="s">
        <v>35</v>
      </c>
      <c r="G22" s="13" t="s">
        <v>46</v>
      </c>
      <c r="H22" s="13" t="s">
        <v>47</v>
      </c>
      <c r="I22" s="13" t="s">
        <v>56</v>
      </c>
      <c r="J22" s="13" t="s">
        <v>35</v>
      </c>
      <c r="K22" s="16" t="s">
        <v>35</v>
      </c>
      <c r="L22" s="13" t="s">
        <v>35</v>
      </c>
    </row>
    <row r="23" spans="1:12" x14ac:dyDescent="0.4">
      <c r="A23" s="13" t="s">
        <v>32</v>
      </c>
      <c r="B23" s="13" t="s">
        <v>162</v>
      </c>
      <c r="C23" s="14" t="str">
        <f>HYPERLINK("https://us.assetplanner.com/service_request?ID=66614","SR066614")</f>
        <v>SR066614</v>
      </c>
      <c r="D23" s="15">
        <v>44860.397916666669</v>
      </c>
      <c r="E23" s="13" t="s">
        <v>34</v>
      </c>
      <c r="F23" s="13" t="s">
        <v>35</v>
      </c>
      <c r="G23" s="13" t="s">
        <v>46</v>
      </c>
      <c r="H23" s="13" t="s">
        <v>47</v>
      </c>
      <c r="I23" s="13" t="s">
        <v>57</v>
      </c>
      <c r="J23" s="13" t="s">
        <v>35</v>
      </c>
      <c r="K23" s="15">
        <v>44866</v>
      </c>
      <c r="L23" s="13" t="s">
        <v>58</v>
      </c>
    </row>
    <row r="24" spans="1:12" x14ac:dyDescent="0.4">
      <c r="A24" s="13" t="s">
        <v>32</v>
      </c>
      <c r="B24" s="13" t="s">
        <v>162</v>
      </c>
      <c r="C24" s="14" t="str">
        <f>HYPERLINK("https://us.assetplanner.com/service_request?ID=66867","SR066867")</f>
        <v>SR066867</v>
      </c>
      <c r="D24" s="15">
        <v>44875.385416666664</v>
      </c>
      <c r="E24" s="13" t="s">
        <v>34</v>
      </c>
      <c r="F24" s="13" t="s">
        <v>35</v>
      </c>
      <c r="G24" s="13" t="s">
        <v>65</v>
      </c>
      <c r="H24" s="13" t="s">
        <v>66</v>
      </c>
      <c r="I24" s="13" t="s">
        <v>56</v>
      </c>
      <c r="J24" s="13" t="s">
        <v>35</v>
      </c>
      <c r="K24" s="16" t="s">
        <v>35</v>
      </c>
      <c r="L24" s="13" t="s">
        <v>35</v>
      </c>
    </row>
    <row r="25" spans="1:12" x14ac:dyDescent="0.4">
      <c r="A25" s="13" t="s">
        <v>32</v>
      </c>
      <c r="B25" s="13" t="s">
        <v>162</v>
      </c>
      <c r="C25" s="14" t="str">
        <f>HYPERLINK("https://us.assetplanner.com/service_request?ID=66877","SR066877")</f>
        <v>SR066877</v>
      </c>
      <c r="D25" s="15">
        <v>44876.409722222219</v>
      </c>
      <c r="E25" s="13" t="s">
        <v>34</v>
      </c>
      <c r="F25" s="13" t="s">
        <v>35</v>
      </c>
      <c r="G25" s="13" t="s">
        <v>46</v>
      </c>
      <c r="H25" s="13" t="s">
        <v>47</v>
      </c>
      <c r="I25" s="13" t="s">
        <v>57</v>
      </c>
      <c r="J25" s="13" t="s">
        <v>35</v>
      </c>
      <c r="K25" s="15">
        <v>44881</v>
      </c>
      <c r="L25" s="13" t="s">
        <v>59</v>
      </c>
    </row>
    <row r="26" spans="1:12" x14ac:dyDescent="0.4">
      <c r="A26" s="13" t="s">
        <v>32</v>
      </c>
      <c r="B26" s="13" t="s">
        <v>162</v>
      </c>
      <c r="C26" s="14" t="str">
        <f>HYPERLINK("https://us.assetplanner.com/service_request?ID=66880","SR066880")</f>
        <v>SR066880</v>
      </c>
      <c r="D26" s="15">
        <v>44876.447222222225</v>
      </c>
      <c r="E26" s="13" t="s">
        <v>34</v>
      </c>
      <c r="F26" s="13" t="s">
        <v>35</v>
      </c>
      <c r="G26" s="13" t="s">
        <v>46</v>
      </c>
      <c r="H26" s="13" t="s">
        <v>47</v>
      </c>
      <c r="I26" s="13" t="s">
        <v>48</v>
      </c>
      <c r="J26" s="13" t="s">
        <v>52</v>
      </c>
      <c r="K26" s="16" t="s">
        <v>35</v>
      </c>
      <c r="L26" s="13" t="s">
        <v>35</v>
      </c>
    </row>
    <row r="27" spans="1:12" x14ac:dyDescent="0.4">
      <c r="A27" s="13" t="s">
        <v>32</v>
      </c>
      <c r="B27" s="13" t="s">
        <v>162</v>
      </c>
      <c r="C27" s="14" t="str">
        <f>HYPERLINK("https://us.assetplanner.com/service_request?ID=66941","SR066941")</f>
        <v>SR066941</v>
      </c>
      <c r="D27" s="15">
        <v>44880.431944444441</v>
      </c>
      <c r="E27" s="13" t="s">
        <v>34</v>
      </c>
      <c r="F27" s="13" t="s">
        <v>35</v>
      </c>
      <c r="G27" s="13" t="s">
        <v>46</v>
      </c>
      <c r="H27" s="13" t="s">
        <v>47</v>
      </c>
      <c r="I27" s="13" t="s">
        <v>60</v>
      </c>
      <c r="J27" s="13" t="s">
        <v>35</v>
      </c>
      <c r="K27" s="15">
        <v>44887</v>
      </c>
      <c r="L27" s="13" t="s">
        <v>61</v>
      </c>
    </row>
    <row r="28" spans="1:12" x14ac:dyDescent="0.4">
      <c r="A28" s="13" t="s">
        <v>32</v>
      </c>
      <c r="B28" s="13" t="s">
        <v>162</v>
      </c>
      <c r="C28" s="14" t="str">
        <f>HYPERLINK("https://us.assetplanner.com/service_request?ID=66944","SR066944")</f>
        <v>SR066944</v>
      </c>
      <c r="D28" s="15">
        <v>44880.512499999997</v>
      </c>
      <c r="E28" s="13" t="s">
        <v>34</v>
      </c>
      <c r="F28" s="13" t="s">
        <v>35</v>
      </c>
      <c r="G28" s="13" t="s">
        <v>46</v>
      </c>
      <c r="H28" s="13" t="s">
        <v>47</v>
      </c>
      <c r="I28" s="13" t="s">
        <v>35</v>
      </c>
      <c r="J28" s="13" t="s">
        <v>35</v>
      </c>
      <c r="K28" s="15">
        <v>44887</v>
      </c>
      <c r="L28" s="13" t="s">
        <v>62</v>
      </c>
    </row>
    <row r="29" spans="1:12" x14ac:dyDescent="0.4">
      <c r="A29" s="13" t="s">
        <v>32</v>
      </c>
      <c r="B29" s="13" t="s">
        <v>162</v>
      </c>
      <c r="C29" s="14" t="str">
        <f>HYPERLINK("https://us.assetplanner.com/service_request?ID=66961","SR066961")</f>
        <v>SR066961</v>
      </c>
      <c r="D29" s="15">
        <v>44881.421527777777</v>
      </c>
      <c r="E29" s="13" t="s">
        <v>34</v>
      </c>
      <c r="F29" s="13" t="s">
        <v>35</v>
      </c>
      <c r="G29" s="13" t="s">
        <v>46</v>
      </c>
      <c r="H29" s="13" t="s">
        <v>47</v>
      </c>
      <c r="I29" s="13" t="s">
        <v>51</v>
      </c>
      <c r="J29" s="13" t="s">
        <v>35</v>
      </c>
      <c r="K29" s="15">
        <v>44887</v>
      </c>
      <c r="L29" s="13" t="s">
        <v>63</v>
      </c>
    </row>
    <row r="30" spans="1:12" x14ac:dyDescent="0.4">
      <c r="A30" s="13" t="s">
        <v>32</v>
      </c>
      <c r="B30" s="13" t="s">
        <v>162</v>
      </c>
      <c r="C30" s="14" t="str">
        <f>HYPERLINK("https://us.assetplanner.com/service_request?ID=66994","SR066994")</f>
        <v>SR066994</v>
      </c>
      <c r="D30" s="15">
        <v>44884.675000000003</v>
      </c>
      <c r="E30" s="13" t="s">
        <v>34</v>
      </c>
      <c r="F30" s="13" t="s">
        <v>35</v>
      </c>
      <c r="G30" s="13" t="s">
        <v>46</v>
      </c>
      <c r="H30" s="13" t="s">
        <v>47</v>
      </c>
      <c r="I30" s="13" t="s">
        <v>60</v>
      </c>
      <c r="J30" s="13" t="s">
        <v>52</v>
      </c>
      <c r="K30" s="15">
        <v>44943</v>
      </c>
      <c r="L30" s="13" t="s">
        <v>64</v>
      </c>
    </row>
    <row r="31" spans="1:12" x14ac:dyDescent="0.4">
      <c r="A31" s="13" t="s">
        <v>32</v>
      </c>
      <c r="B31" s="13" t="s">
        <v>162</v>
      </c>
      <c r="C31" s="14" t="str">
        <f>HYPERLINK("https://us.assetplanner.com/service_request?ID=67010","SR067010")</f>
        <v>SR067010</v>
      </c>
      <c r="D31" s="15">
        <v>44886.45208333333</v>
      </c>
      <c r="E31" s="13" t="s">
        <v>34</v>
      </c>
      <c r="F31" s="13" t="s">
        <v>35</v>
      </c>
      <c r="G31" s="13" t="s">
        <v>65</v>
      </c>
      <c r="H31" s="13" t="s">
        <v>66</v>
      </c>
      <c r="I31" s="13" t="s">
        <v>35</v>
      </c>
      <c r="J31" s="13" t="s">
        <v>35</v>
      </c>
      <c r="K31" s="16" t="s">
        <v>35</v>
      </c>
      <c r="L31" s="13" t="s">
        <v>35</v>
      </c>
    </row>
    <row r="32" spans="1:12" x14ac:dyDescent="0.4">
      <c r="A32" s="13" t="s">
        <v>32</v>
      </c>
      <c r="B32" s="13" t="s">
        <v>162</v>
      </c>
      <c r="C32" s="14" t="str">
        <f>HYPERLINK("https://us.assetplanner.com/service_request?ID=67011","SR067011")</f>
        <v>SR067011</v>
      </c>
      <c r="D32" s="15">
        <v>44886.45416666667</v>
      </c>
      <c r="E32" s="13" t="s">
        <v>34</v>
      </c>
      <c r="F32" s="13" t="s">
        <v>35</v>
      </c>
      <c r="G32" s="13" t="s">
        <v>65</v>
      </c>
      <c r="H32" s="13" t="s">
        <v>66</v>
      </c>
      <c r="I32" s="13" t="s">
        <v>60</v>
      </c>
      <c r="J32" s="13" t="s">
        <v>35</v>
      </c>
      <c r="K32" s="16" t="s">
        <v>35</v>
      </c>
      <c r="L32" s="13" t="s">
        <v>35</v>
      </c>
    </row>
    <row r="33" spans="1:12" x14ac:dyDescent="0.4">
      <c r="A33" s="13" t="s">
        <v>32</v>
      </c>
      <c r="B33" s="13" t="s">
        <v>162</v>
      </c>
      <c r="C33" s="14" t="str">
        <f>HYPERLINK("https://us.assetplanner.com/service_request?ID=67012","SR067012")</f>
        <v>SR067012</v>
      </c>
      <c r="D33" s="15">
        <v>44886.464583333334</v>
      </c>
      <c r="E33" s="13" t="s">
        <v>34</v>
      </c>
      <c r="F33" s="13" t="s">
        <v>35</v>
      </c>
      <c r="G33" s="13" t="s">
        <v>46</v>
      </c>
      <c r="H33" s="13" t="s">
        <v>73</v>
      </c>
      <c r="I33" s="13" t="s">
        <v>35</v>
      </c>
      <c r="J33" s="13" t="s">
        <v>120</v>
      </c>
      <c r="K33" s="16" t="s">
        <v>35</v>
      </c>
      <c r="L33" s="13" t="s">
        <v>35</v>
      </c>
    </row>
    <row r="34" spans="1:12" x14ac:dyDescent="0.4">
      <c r="A34" s="13" t="s">
        <v>32</v>
      </c>
      <c r="B34" s="13" t="s">
        <v>162</v>
      </c>
      <c r="C34" s="14" t="str">
        <f>HYPERLINK("https://us.assetplanner.com/service_request?ID=67043","SR067043")</f>
        <v>SR067043</v>
      </c>
      <c r="D34" s="15">
        <v>44887.502083333333</v>
      </c>
      <c r="E34" s="13" t="s">
        <v>34</v>
      </c>
      <c r="F34" s="13" t="s">
        <v>35</v>
      </c>
      <c r="G34" s="13" t="s">
        <v>46</v>
      </c>
      <c r="H34" s="13" t="s">
        <v>121</v>
      </c>
      <c r="I34" s="13" t="s">
        <v>35</v>
      </c>
      <c r="J34" s="13" t="s">
        <v>35</v>
      </c>
      <c r="K34" s="16" t="s">
        <v>35</v>
      </c>
      <c r="L34" s="13" t="s">
        <v>35</v>
      </c>
    </row>
    <row r="35" spans="1:12" x14ac:dyDescent="0.4">
      <c r="A35" s="13" t="s">
        <v>32</v>
      </c>
      <c r="B35" s="13" t="s">
        <v>162</v>
      </c>
      <c r="C35" s="14" t="str">
        <f>HYPERLINK("https://us.assetplanner.com/service_request?ID=67094","SR067094")</f>
        <v>SR067094</v>
      </c>
      <c r="D35" s="15">
        <v>44892.650694444441</v>
      </c>
      <c r="E35" s="13" t="s">
        <v>34</v>
      </c>
      <c r="F35" s="13" t="s">
        <v>35</v>
      </c>
      <c r="G35" s="13" t="s">
        <v>46</v>
      </c>
      <c r="H35" s="13" t="s">
        <v>47</v>
      </c>
      <c r="I35" s="13" t="s">
        <v>57</v>
      </c>
      <c r="J35" s="13" t="s">
        <v>67</v>
      </c>
      <c r="K35" s="15">
        <v>44943</v>
      </c>
      <c r="L35" s="13" t="s">
        <v>68</v>
      </c>
    </row>
    <row r="36" spans="1:12" x14ac:dyDescent="0.4">
      <c r="A36" s="13" t="s">
        <v>32</v>
      </c>
      <c r="B36" s="13" t="s">
        <v>162</v>
      </c>
      <c r="C36" s="14" t="str">
        <f>HYPERLINK("https://us.assetplanner.com/service_request?ID=67109","SR067109")</f>
        <v>SR067109</v>
      </c>
      <c r="D36" s="15">
        <v>44894.5</v>
      </c>
      <c r="E36" s="13" t="s">
        <v>34</v>
      </c>
      <c r="F36" s="13" t="s">
        <v>35</v>
      </c>
      <c r="G36" s="13" t="s">
        <v>39</v>
      </c>
      <c r="H36" s="13" t="s">
        <v>47</v>
      </c>
      <c r="I36" s="13" t="s">
        <v>51</v>
      </c>
      <c r="J36" s="13" t="s">
        <v>67</v>
      </c>
      <c r="K36" s="16" t="s">
        <v>35</v>
      </c>
      <c r="L36" s="13" t="s">
        <v>35</v>
      </c>
    </row>
    <row r="37" spans="1:12" x14ac:dyDescent="0.4">
      <c r="A37" s="13" t="s">
        <v>32</v>
      </c>
      <c r="B37" s="13" t="s">
        <v>162</v>
      </c>
      <c r="C37" s="14" t="str">
        <f>HYPERLINK("https://us.assetplanner.com/service_request?ID=67284","SR067284")</f>
        <v>SR067284</v>
      </c>
      <c r="D37" s="15">
        <v>44901.728472222225</v>
      </c>
      <c r="E37" s="13" t="s">
        <v>34</v>
      </c>
      <c r="F37" s="13" t="s">
        <v>35</v>
      </c>
      <c r="G37" s="13" t="s">
        <v>39</v>
      </c>
      <c r="H37" s="13" t="s">
        <v>47</v>
      </c>
      <c r="I37" s="13" t="s">
        <v>69</v>
      </c>
      <c r="J37" s="13" t="s">
        <v>70</v>
      </c>
      <c r="K37" s="16" t="s">
        <v>35</v>
      </c>
      <c r="L37" s="13" t="s">
        <v>35</v>
      </c>
    </row>
    <row r="38" spans="1:12" x14ac:dyDescent="0.4">
      <c r="A38" s="13" t="s">
        <v>32</v>
      </c>
      <c r="B38" s="13" t="s">
        <v>162</v>
      </c>
      <c r="C38" s="14" t="str">
        <f>HYPERLINK("https://us.assetplanner.com/service_request?ID=67328","SR067328")</f>
        <v>SR067328</v>
      </c>
      <c r="D38" s="15">
        <v>44902.711111111108</v>
      </c>
      <c r="E38" s="13" t="s">
        <v>34</v>
      </c>
      <c r="F38" s="13" t="s">
        <v>35</v>
      </c>
      <c r="G38" s="13" t="s">
        <v>39</v>
      </c>
      <c r="H38" s="13" t="s">
        <v>47</v>
      </c>
      <c r="I38" s="13" t="s">
        <v>35</v>
      </c>
      <c r="J38" s="13" t="s">
        <v>35</v>
      </c>
      <c r="K38" s="16" t="s">
        <v>35</v>
      </c>
      <c r="L38" s="13" t="s">
        <v>35</v>
      </c>
    </row>
    <row r="39" spans="1:12" x14ac:dyDescent="0.4">
      <c r="A39" s="13" t="s">
        <v>32</v>
      </c>
      <c r="B39" s="13" t="s">
        <v>174</v>
      </c>
      <c r="C39" s="14" t="str">
        <f>HYPERLINK("https://us.assetplanner.com/service_request?ID=67688","SR067688")</f>
        <v>SR067688</v>
      </c>
      <c r="D39" s="15">
        <v>44910.654861111114</v>
      </c>
      <c r="E39" s="13" t="s">
        <v>34</v>
      </c>
      <c r="F39" s="13" t="s">
        <v>35</v>
      </c>
      <c r="G39" s="13" t="s">
        <v>39</v>
      </c>
      <c r="H39" s="13" t="s">
        <v>47</v>
      </c>
      <c r="I39" s="13" t="s">
        <v>35</v>
      </c>
      <c r="J39" s="13" t="s">
        <v>35</v>
      </c>
      <c r="K39" s="15">
        <v>44914</v>
      </c>
      <c r="L39" s="13" t="s">
        <v>71</v>
      </c>
    </row>
    <row r="40" spans="1:12" x14ac:dyDescent="0.4">
      <c r="A40" s="13" t="s">
        <v>32</v>
      </c>
      <c r="B40" s="13" t="s">
        <v>174</v>
      </c>
      <c r="C40" s="14" t="str">
        <f>HYPERLINK("https://us.assetplanner.com/service_request?ID=67761","SR067761")</f>
        <v>SR067761</v>
      </c>
      <c r="D40" s="15">
        <v>44911.440972222219</v>
      </c>
      <c r="E40" s="13" t="s">
        <v>34</v>
      </c>
      <c r="F40" s="13" t="s">
        <v>35</v>
      </c>
      <c r="G40" s="13" t="s">
        <v>39</v>
      </c>
      <c r="H40" s="13" t="s">
        <v>41</v>
      </c>
      <c r="I40" s="13" t="s">
        <v>35</v>
      </c>
      <c r="J40" s="13" t="s">
        <v>35</v>
      </c>
      <c r="K40" s="15">
        <v>44918</v>
      </c>
      <c r="L40" s="13" t="s">
        <v>72</v>
      </c>
    </row>
    <row r="41" spans="1:12" x14ac:dyDescent="0.4">
      <c r="A41" s="13" t="s">
        <v>32</v>
      </c>
      <c r="B41" s="13" t="s">
        <v>162</v>
      </c>
      <c r="C41" s="14" t="str">
        <f>HYPERLINK("https://us.assetplanner.com/service_request?ID=67818","SR067818")</f>
        <v>SR067818</v>
      </c>
      <c r="D41" s="15">
        <v>44915.543055555558</v>
      </c>
      <c r="E41" s="13" t="s">
        <v>34</v>
      </c>
      <c r="F41" s="13" t="s">
        <v>35</v>
      </c>
      <c r="G41" s="13" t="s">
        <v>46</v>
      </c>
      <c r="H41" s="13" t="s">
        <v>73</v>
      </c>
      <c r="I41" s="13" t="s">
        <v>35</v>
      </c>
      <c r="J41" s="13" t="s">
        <v>35</v>
      </c>
      <c r="K41" s="15">
        <v>44924</v>
      </c>
      <c r="L41" s="13" t="s">
        <v>74</v>
      </c>
    </row>
    <row r="42" spans="1:12" x14ac:dyDescent="0.4">
      <c r="A42" s="13" t="s">
        <v>32</v>
      </c>
      <c r="B42" s="13" t="s">
        <v>162</v>
      </c>
      <c r="C42" s="14" t="str">
        <f>HYPERLINK("https://us.assetplanner.com/service_request?ID=67877","SR067877")</f>
        <v>SR067877</v>
      </c>
      <c r="D42" s="15">
        <v>44917.597916666666</v>
      </c>
      <c r="E42" s="13" t="s">
        <v>34</v>
      </c>
      <c r="F42" s="13" t="s">
        <v>35</v>
      </c>
      <c r="G42" s="13" t="s">
        <v>88</v>
      </c>
      <c r="H42" s="13" t="s">
        <v>89</v>
      </c>
      <c r="I42" s="13" t="s">
        <v>35</v>
      </c>
      <c r="J42" s="13" t="s">
        <v>35</v>
      </c>
      <c r="K42" s="15">
        <v>44917</v>
      </c>
      <c r="L42" s="13" t="s">
        <v>122</v>
      </c>
    </row>
    <row r="43" spans="1:12" x14ac:dyDescent="0.4">
      <c r="A43" s="13" t="s">
        <v>32</v>
      </c>
      <c r="B43" s="13" t="s">
        <v>162</v>
      </c>
      <c r="C43" s="14" t="str">
        <f>HYPERLINK("https://us.assetplanner.com/service_request?ID=67901","SR067901")</f>
        <v>SR067901</v>
      </c>
      <c r="D43" s="15">
        <v>44918.45416666667</v>
      </c>
      <c r="E43" s="13" t="s">
        <v>34</v>
      </c>
      <c r="F43" s="13" t="s">
        <v>35</v>
      </c>
      <c r="G43" s="13" t="s">
        <v>46</v>
      </c>
      <c r="H43" s="13" t="s">
        <v>47</v>
      </c>
      <c r="I43" s="13" t="s">
        <v>123</v>
      </c>
      <c r="J43" s="13" t="s">
        <v>35</v>
      </c>
      <c r="K43" s="16" t="s">
        <v>35</v>
      </c>
      <c r="L43" s="13" t="s">
        <v>35</v>
      </c>
    </row>
    <row r="44" spans="1:12" x14ac:dyDescent="0.4">
      <c r="A44" s="13" t="s">
        <v>32</v>
      </c>
      <c r="B44" s="13" t="s">
        <v>98</v>
      </c>
      <c r="C44" s="14" t="str">
        <f>HYPERLINK("https://us.assetplanner.com/service_request?ID=68211","SR068211")</f>
        <v>SR068211</v>
      </c>
      <c r="D44" s="15">
        <v>44931.569444444445</v>
      </c>
      <c r="E44" s="13" t="s">
        <v>34</v>
      </c>
      <c r="F44" s="13" t="s">
        <v>35</v>
      </c>
      <c r="G44" s="13" t="s">
        <v>46</v>
      </c>
      <c r="H44" s="13" t="s">
        <v>41</v>
      </c>
      <c r="I44" s="13" t="s">
        <v>35</v>
      </c>
      <c r="J44" s="13" t="s">
        <v>35</v>
      </c>
      <c r="K44" s="15">
        <v>44943</v>
      </c>
      <c r="L44" s="13" t="s">
        <v>75</v>
      </c>
    </row>
    <row r="45" spans="1:12" x14ac:dyDescent="0.4">
      <c r="A45" s="13" t="s">
        <v>32</v>
      </c>
      <c r="B45" s="13" t="s">
        <v>162</v>
      </c>
      <c r="C45" s="14" t="str">
        <f>HYPERLINK("https://us.assetplanner.com/service_request?ID=68253","SR068253")</f>
        <v>SR068253</v>
      </c>
      <c r="D45" s="15">
        <v>44934.661111111112</v>
      </c>
      <c r="E45" s="13" t="s">
        <v>34</v>
      </c>
      <c r="F45" s="13" t="s">
        <v>35</v>
      </c>
      <c r="G45" s="13" t="s">
        <v>46</v>
      </c>
      <c r="H45" s="13" t="s">
        <v>47</v>
      </c>
      <c r="I45" s="13" t="s">
        <v>60</v>
      </c>
      <c r="J45" s="13" t="s">
        <v>52</v>
      </c>
      <c r="K45" s="15">
        <v>44985</v>
      </c>
      <c r="L45" s="13" t="s">
        <v>76</v>
      </c>
    </row>
    <row r="46" spans="1:12" x14ac:dyDescent="0.4">
      <c r="A46" s="13" t="s">
        <v>32</v>
      </c>
      <c r="B46" s="13" t="s">
        <v>174</v>
      </c>
      <c r="C46" s="14" t="str">
        <f>HYPERLINK("https://us.assetplanner.com/service_request?ID=68275","SR068275")</f>
        <v>SR068275</v>
      </c>
      <c r="D46" s="15">
        <v>44935.665277777778</v>
      </c>
      <c r="E46" s="13" t="s">
        <v>34</v>
      </c>
      <c r="F46" s="13" t="s">
        <v>35</v>
      </c>
      <c r="G46" s="13" t="s">
        <v>39</v>
      </c>
      <c r="H46" s="13" t="s">
        <v>41</v>
      </c>
      <c r="I46" s="13" t="s">
        <v>35</v>
      </c>
      <c r="J46" s="13" t="s">
        <v>35</v>
      </c>
      <c r="K46" s="15">
        <v>44943</v>
      </c>
      <c r="L46" s="13" t="s">
        <v>77</v>
      </c>
    </row>
    <row r="47" spans="1:12" x14ac:dyDescent="0.4">
      <c r="A47" s="13" t="s">
        <v>32</v>
      </c>
      <c r="B47" s="13" t="s">
        <v>162</v>
      </c>
      <c r="C47" s="14" t="str">
        <f>HYPERLINK("https://us.assetplanner.com/service_request?ID=68280","SR068280")</f>
        <v>SR068280</v>
      </c>
      <c r="D47" s="15">
        <v>44936.432638888888</v>
      </c>
      <c r="E47" s="13" t="s">
        <v>34</v>
      </c>
      <c r="F47" s="13" t="s">
        <v>35</v>
      </c>
      <c r="G47" s="13" t="s">
        <v>46</v>
      </c>
      <c r="H47" s="13" t="s">
        <v>47</v>
      </c>
      <c r="I47" s="13" t="s">
        <v>78</v>
      </c>
      <c r="J47" s="13" t="s">
        <v>52</v>
      </c>
      <c r="K47" s="16" t="s">
        <v>35</v>
      </c>
      <c r="L47" s="13" t="s">
        <v>35</v>
      </c>
    </row>
    <row r="48" spans="1:12" x14ac:dyDescent="0.4">
      <c r="A48" s="13" t="s">
        <v>32</v>
      </c>
      <c r="B48" s="13" t="s">
        <v>162</v>
      </c>
      <c r="C48" s="14" t="str">
        <f>HYPERLINK("https://us.assetplanner.com/service_request?ID=68325","SR068325")</f>
        <v>SR068325</v>
      </c>
      <c r="D48" s="15">
        <v>44938.413194444445</v>
      </c>
      <c r="E48" s="13" t="s">
        <v>34</v>
      </c>
      <c r="F48" s="13" t="s">
        <v>35</v>
      </c>
      <c r="G48" s="13" t="s">
        <v>46</v>
      </c>
      <c r="H48" s="13" t="s">
        <v>47</v>
      </c>
      <c r="I48" s="13" t="s">
        <v>79</v>
      </c>
      <c r="J48" s="13" t="s">
        <v>80</v>
      </c>
      <c r="K48" s="15">
        <v>44963</v>
      </c>
      <c r="L48" s="13" t="s">
        <v>81</v>
      </c>
    </row>
    <row r="49" spans="1:12" x14ac:dyDescent="0.4">
      <c r="A49" s="13" t="s">
        <v>32</v>
      </c>
      <c r="B49" s="13" t="s">
        <v>162</v>
      </c>
      <c r="C49" s="14" t="str">
        <f>HYPERLINK("https://us.assetplanner.com/service_request?ID=68365","SR068365")</f>
        <v>SR068365</v>
      </c>
      <c r="D49" s="15">
        <v>44942.413888888892</v>
      </c>
      <c r="E49" s="13" t="s">
        <v>34</v>
      </c>
      <c r="F49" s="13" t="s">
        <v>35</v>
      </c>
      <c r="G49" s="13" t="s">
        <v>46</v>
      </c>
      <c r="H49" s="13" t="s">
        <v>47</v>
      </c>
      <c r="I49" s="13" t="s">
        <v>82</v>
      </c>
      <c r="J49" s="13" t="s">
        <v>52</v>
      </c>
      <c r="K49" s="15">
        <v>44963</v>
      </c>
      <c r="L49" s="13" t="s">
        <v>83</v>
      </c>
    </row>
    <row r="50" spans="1:12" x14ac:dyDescent="0.4">
      <c r="A50" s="13" t="s">
        <v>32</v>
      </c>
      <c r="B50" s="13" t="s">
        <v>174</v>
      </c>
      <c r="C50" s="14" t="str">
        <f>HYPERLINK("https://us.assetplanner.com/service_request?ID=68672","SR068672")</f>
        <v>SR068672</v>
      </c>
      <c r="D50" s="15">
        <v>44959.451388888891</v>
      </c>
      <c r="E50" s="13" t="s">
        <v>34</v>
      </c>
      <c r="F50" s="13" t="s">
        <v>35</v>
      </c>
      <c r="G50" s="13" t="s">
        <v>39</v>
      </c>
      <c r="H50" s="13" t="s">
        <v>41</v>
      </c>
      <c r="I50" s="13" t="s">
        <v>35</v>
      </c>
      <c r="J50" s="13" t="s">
        <v>35</v>
      </c>
      <c r="K50" s="15">
        <v>44966</v>
      </c>
      <c r="L50" s="13" t="s">
        <v>84</v>
      </c>
    </row>
    <row r="51" spans="1:12" x14ac:dyDescent="0.4">
      <c r="A51" s="13" t="s">
        <v>32</v>
      </c>
      <c r="B51" s="13" t="s">
        <v>174</v>
      </c>
      <c r="C51" s="14" t="str">
        <f>HYPERLINK("https://us.assetplanner.com/service_request?ID=68673","SR068673")</f>
        <v>SR068673</v>
      </c>
      <c r="D51" s="15">
        <v>44959.468055555553</v>
      </c>
      <c r="E51" s="13" t="s">
        <v>34</v>
      </c>
      <c r="F51" s="13" t="s">
        <v>35</v>
      </c>
      <c r="G51" s="13" t="s">
        <v>39</v>
      </c>
      <c r="H51" s="13" t="s">
        <v>41</v>
      </c>
      <c r="I51" s="13" t="s">
        <v>35</v>
      </c>
      <c r="J51" s="13" t="s">
        <v>35</v>
      </c>
      <c r="K51" s="16" t="s">
        <v>35</v>
      </c>
      <c r="L51" s="13" t="s">
        <v>35</v>
      </c>
    </row>
    <row r="52" spans="1:12" x14ac:dyDescent="0.4">
      <c r="A52" s="13" t="s">
        <v>32</v>
      </c>
      <c r="B52" s="13" t="s">
        <v>162</v>
      </c>
      <c r="C52" s="14" t="str">
        <f>HYPERLINK("https://us.assetplanner.com/service_request?ID=69139","SR069139")</f>
        <v>SR069139</v>
      </c>
      <c r="D52" s="15">
        <v>44979.486111111109</v>
      </c>
      <c r="E52" s="13" t="s">
        <v>34</v>
      </c>
      <c r="F52" s="13" t="s">
        <v>35</v>
      </c>
      <c r="G52" s="13" t="s">
        <v>39</v>
      </c>
      <c r="H52" s="13" t="s">
        <v>47</v>
      </c>
      <c r="I52" s="13" t="s">
        <v>69</v>
      </c>
      <c r="J52" s="13" t="s">
        <v>52</v>
      </c>
      <c r="K52" s="15">
        <v>45037</v>
      </c>
      <c r="L52" s="13" t="s">
        <v>124</v>
      </c>
    </row>
    <row r="53" spans="1:12" x14ac:dyDescent="0.4">
      <c r="A53" s="13" t="s">
        <v>32</v>
      </c>
      <c r="B53" s="13" t="s">
        <v>162</v>
      </c>
      <c r="C53" s="14" t="str">
        <f>HYPERLINK("https://us.assetplanner.com/service_request?ID=69497","SR069497")</f>
        <v>SR069497</v>
      </c>
      <c r="D53" s="15">
        <v>44991.611805555556</v>
      </c>
      <c r="E53" s="13" t="s">
        <v>34</v>
      </c>
      <c r="F53" s="13" t="s">
        <v>35</v>
      </c>
      <c r="G53" s="13" t="s">
        <v>88</v>
      </c>
      <c r="H53" s="13" t="s">
        <v>89</v>
      </c>
      <c r="I53" s="13" t="s">
        <v>35</v>
      </c>
      <c r="J53" s="13" t="s">
        <v>35</v>
      </c>
      <c r="K53" s="15">
        <v>44991</v>
      </c>
      <c r="L53" s="13" t="s">
        <v>90</v>
      </c>
    </row>
    <row r="54" spans="1:12" x14ac:dyDescent="0.4">
      <c r="A54" s="13" t="s">
        <v>32</v>
      </c>
      <c r="B54" s="13" t="s">
        <v>174</v>
      </c>
      <c r="C54" s="14" t="str">
        <f>HYPERLINK("https://us.assetplanner.com/service_request?ID=69507","SR069507")</f>
        <v>SR069507</v>
      </c>
      <c r="D54" s="15">
        <v>44991.943749999999</v>
      </c>
      <c r="E54" s="13" t="s">
        <v>34</v>
      </c>
      <c r="F54" s="13" t="s">
        <v>35</v>
      </c>
      <c r="G54" s="13" t="s">
        <v>46</v>
      </c>
      <c r="H54" s="13" t="s">
        <v>41</v>
      </c>
      <c r="I54" s="13" t="s">
        <v>35</v>
      </c>
      <c r="J54" s="13" t="s">
        <v>35</v>
      </c>
      <c r="K54" s="15">
        <v>44998</v>
      </c>
      <c r="L54" s="13" t="s">
        <v>125</v>
      </c>
    </row>
    <row r="55" spans="1:12" x14ac:dyDescent="0.4">
      <c r="A55" s="13" t="s">
        <v>32</v>
      </c>
      <c r="B55" s="13" t="s">
        <v>162</v>
      </c>
      <c r="C55" s="14" t="str">
        <f>HYPERLINK("https://us.assetplanner.com/service_request?ID=69661","SR069661")</f>
        <v>SR069661</v>
      </c>
      <c r="D55" s="15">
        <v>44998.628472222219</v>
      </c>
      <c r="E55" s="13" t="s">
        <v>34</v>
      </c>
      <c r="F55" s="13" t="s">
        <v>35</v>
      </c>
      <c r="G55" s="13" t="s">
        <v>43</v>
      </c>
      <c r="H55" s="13" t="s">
        <v>87</v>
      </c>
      <c r="I55" s="13" t="s">
        <v>35</v>
      </c>
      <c r="J55" s="13" t="s">
        <v>35</v>
      </c>
      <c r="K55" s="15">
        <v>45063</v>
      </c>
      <c r="L55" s="13" t="s">
        <v>126</v>
      </c>
    </row>
    <row r="56" spans="1:12" x14ac:dyDescent="0.4">
      <c r="A56" s="13" t="s">
        <v>32</v>
      </c>
      <c r="B56" s="13" t="s">
        <v>98</v>
      </c>
      <c r="C56" s="14" t="str">
        <f>HYPERLINK("https://us.assetplanner.com/service_request?ID=69669","SR069669")</f>
        <v>SR069669</v>
      </c>
      <c r="D56" s="15">
        <v>44998.665972222225</v>
      </c>
      <c r="E56" s="13" t="s">
        <v>34</v>
      </c>
      <c r="F56" s="13" t="s">
        <v>35</v>
      </c>
      <c r="G56" s="13" t="s">
        <v>39</v>
      </c>
      <c r="H56" s="13" t="s">
        <v>37</v>
      </c>
      <c r="I56" s="13" t="s">
        <v>35</v>
      </c>
      <c r="J56" s="13" t="s">
        <v>35</v>
      </c>
      <c r="K56" s="15">
        <v>45037</v>
      </c>
      <c r="L56" s="13" t="s">
        <v>127</v>
      </c>
    </row>
    <row r="57" spans="1:12" x14ac:dyDescent="0.4">
      <c r="A57" s="13" t="s">
        <v>32</v>
      </c>
      <c r="B57" s="13" t="s">
        <v>162</v>
      </c>
      <c r="C57" s="14" t="str">
        <f>HYPERLINK("https://us.assetplanner.com/service_request?ID=69961","SR069961")</f>
        <v>SR069961</v>
      </c>
      <c r="D57" s="15">
        <v>45005.72152777778</v>
      </c>
      <c r="E57" s="13" t="s">
        <v>34</v>
      </c>
      <c r="F57" s="13" t="s">
        <v>35</v>
      </c>
      <c r="G57" s="13" t="s">
        <v>39</v>
      </c>
      <c r="H57" s="13" t="s">
        <v>47</v>
      </c>
      <c r="I57" s="13" t="s">
        <v>85</v>
      </c>
      <c r="J57" s="13" t="s">
        <v>35</v>
      </c>
      <c r="K57" s="15">
        <v>45016</v>
      </c>
      <c r="L57" s="13" t="s">
        <v>86</v>
      </c>
    </row>
    <row r="58" spans="1:12" x14ac:dyDescent="0.4">
      <c r="A58" s="13" t="s">
        <v>32</v>
      </c>
      <c r="B58" s="13" t="s">
        <v>162</v>
      </c>
      <c r="C58" s="14" t="str">
        <f>HYPERLINK("https://us.assetplanner.com/service_request?ID=69962","SR069962")</f>
        <v>SR069962</v>
      </c>
      <c r="D58" s="15">
        <v>45005.740277777775</v>
      </c>
      <c r="E58" s="13" t="s">
        <v>34</v>
      </c>
      <c r="F58" s="13" t="s">
        <v>35</v>
      </c>
      <c r="G58" s="13" t="s">
        <v>46</v>
      </c>
      <c r="H58" s="13" t="s">
        <v>41</v>
      </c>
      <c r="I58" s="13" t="s">
        <v>35</v>
      </c>
      <c r="J58" s="13" t="s">
        <v>35</v>
      </c>
      <c r="K58" s="16" t="s">
        <v>35</v>
      </c>
      <c r="L58" s="13" t="s">
        <v>35</v>
      </c>
    </row>
    <row r="59" spans="1:12" x14ac:dyDescent="0.4">
      <c r="A59" s="13" t="s">
        <v>32</v>
      </c>
      <c r="B59" s="13" t="s">
        <v>162</v>
      </c>
      <c r="C59" s="14" t="str">
        <f>HYPERLINK("https://us.assetplanner.com/service_request?ID=69970","SR069970")</f>
        <v>SR069970</v>
      </c>
      <c r="D59" s="15">
        <v>45006.383333333331</v>
      </c>
      <c r="E59" s="13" t="s">
        <v>34</v>
      </c>
      <c r="F59" s="13" t="s">
        <v>35</v>
      </c>
      <c r="G59" s="13" t="s">
        <v>46</v>
      </c>
      <c r="H59" s="13" t="s">
        <v>37</v>
      </c>
      <c r="I59" s="13" t="s">
        <v>35</v>
      </c>
      <c r="J59" s="13" t="s">
        <v>35</v>
      </c>
      <c r="K59" s="15">
        <v>45127</v>
      </c>
      <c r="L59" s="13" t="s">
        <v>128</v>
      </c>
    </row>
    <row r="60" spans="1:12" x14ac:dyDescent="0.4">
      <c r="A60" s="13" t="s">
        <v>32</v>
      </c>
      <c r="B60" s="13" t="s">
        <v>162</v>
      </c>
      <c r="C60" s="14" t="str">
        <f>HYPERLINK("https://us.assetplanner.com/service_request?ID=69977","SR069977")</f>
        <v>SR069977</v>
      </c>
      <c r="D60" s="15">
        <v>45006.581944444442</v>
      </c>
      <c r="E60" s="13" t="s">
        <v>34</v>
      </c>
      <c r="F60" s="13" t="s">
        <v>35</v>
      </c>
      <c r="G60" s="13" t="s">
        <v>129</v>
      </c>
      <c r="H60" s="13" t="s">
        <v>66</v>
      </c>
      <c r="I60" s="13" t="s">
        <v>35</v>
      </c>
      <c r="J60" s="13" t="s">
        <v>35</v>
      </c>
      <c r="K60" s="16" t="s">
        <v>35</v>
      </c>
      <c r="L60" s="13" t="s">
        <v>35</v>
      </c>
    </row>
    <row r="61" spans="1:12" x14ac:dyDescent="0.4">
      <c r="A61" s="13" t="s">
        <v>32</v>
      </c>
      <c r="B61" s="13" t="s">
        <v>162</v>
      </c>
      <c r="C61" s="14" t="str">
        <f>HYPERLINK("https://us.assetplanner.com/service_request?ID=70354","SR070354")</f>
        <v>SR070354</v>
      </c>
      <c r="D61" s="15">
        <v>45015.738194444442</v>
      </c>
      <c r="E61" s="13" t="s">
        <v>34</v>
      </c>
      <c r="F61" s="13" t="s">
        <v>35</v>
      </c>
      <c r="G61" s="13" t="s">
        <v>46</v>
      </c>
      <c r="H61" s="13" t="s">
        <v>47</v>
      </c>
      <c r="I61" s="13" t="s">
        <v>82</v>
      </c>
      <c r="J61" s="13" t="s">
        <v>35</v>
      </c>
      <c r="K61" s="16" t="s">
        <v>35</v>
      </c>
      <c r="L61" s="13" t="s">
        <v>35</v>
      </c>
    </row>
    <row r="62" spans="1:12" x14ac:dyDescent="0.4">
      <c r="A62" s="13" t="s">
        <v>32</v>
      </c>
      <c r="B62" s="13" t="s">
        <v>98</v>
      </c>
      <c r="C62" s="14" t="str">
        <f>HYPERLINK("https://us.assetplanner.com/service_request?ID=70898","SR070898")</f>
        <v>SR070898</v>
      </c>
      <c r="D62" s="15">
        <v>45034.652777777781</v>
      </c>
      <c r="E62" s="13" t="s">
        <v>34</v>
      </c>
      <c r="F62" s="13" t="s">
        <v>35</v>
      </c>
      <c r="G62" s="13" t="s">
        <v>39</v>
      </c>
      <c r="H62" s="13" t="s">
        <v>130</v>
      </c>
      <c r="I62" s="13" t="s">
        <v>35</v>
      </c>
      <c r="J62" s="13" t="s">
        <v>35</v>
      </c>
      <c r="K62" s="16" t="s">
        <v>35</v>
      </c>
      <c r="L62" s="13" t="s">
        <v>35</v>
      </c>
    </row>
    <row r="63" spans="1:12" x14ac:dyDescent="0.4">
      <c r="A63" s="13" t="s">
        <v>32</v>
      </c>
      <c r="B63" s="13" t="s">
        <v>162</v>
      </c>
      <c r="C63" s="14" t="str">
        <f>HYPERLINK("https://us.assetplanner.com/service_request?ID=70953","SR070953")</f>
        <v>SR070953</v>
      </c>
      <c r="D63" s="15">
        <v>45036.51458333333</v>
      </c>
      <c r="E63" s="13" t="s">
        <v>34</v>
      </c>
      <c r="F63" s="13" t="s">
        <v>35</v>
      </c>
      <c r="G63" s="13" t="s">
        <v>46</v>
      </c>
      <c r="H63" s="13" t="s">
        <v>37</v>
      </c>
      <c r="I63" s="13" t="s">
        <v>35</v>
      </c>
      <c r="J63" s="13" t="s">
        <v>35</v>
      </c>
      <c r="K63" s="15">
        <v>45090</v>
      </c>
      <c r="L63" s="13" t="s">
        <v>131</v>
      </c>
    </row>
    <row r="64" spans="1:12" x14ac:dyDescent="0.4">
      <c r="A64" s="13" t="s">
        <v>32</v>
      </c>
      <c r="B64" s="13" t="s">
        <v>162</v>
      </c>
      <c r="C64" s="14" t="str">
        <f>HYPERLINK("https://us.assetplanner.com/service_request?ID=71004","SR071004")</f>
        <v>SR071004</v>
      </c>
      <c r="D64" s="15">
        <v>45037.759722222225</v>
      </c>
      <c r="E64" s="13" t="s">
        <v>34</v>
      </c>
      <c r="F64" s="13" t="s">
        <v>35</v>
      </c>
      <c r="G64" s="13" t="s">
        <v>46</v>
      </c>
      <c r="H64" s="13" t="s">
        <v>47</v>
      </c>
      <c r="I64" s="13" t="s">
        <v>132</v>
      </c>
      <c r="J64" s="13" t="s">
        <v>35</v>
      </c>
      <c r="K64" s="16" t="s">
        <v>35</v>
      </c>
      <c r="L64" s="13" t="s">
        <v>35</v>
      </c>
    </row>
    <row r="65" spans="1:12" x14ac:dyDescent="0.4">
      <c r="A65" s="13" t="s">
        <v>32</v>
      </c>
      <c r="B65" s="13" t="s">
        <v>162</v>
      </c>
      <c r="C65" s="14" t="str">
        <f>HYPERLINK("https://us.assetplanner.com/service_request?ID=71770","SR071770")</f>
        <v>SR071770</v>
      </c>
      <c r="D65" s="15">
        <v>45068.355555555558</v>
      </c>
      <c r="E65" s="13" t="s">
        <v>34</v>
      </c>
      <c r="F65" s="13" t="s">
        <v>35</v>
      </c>
      <c r="G65" s="13" t="s">
        <v>46</v>
      </c>
      <c r="H65" s="13" t="s">
        <v>47</v>
      </c>
      <c r="I65" s="13" t="s">
        <v>51</v>
      </c>
      <c r="J65" s="13" t="s">
        <v>35</v>
      </c>
      <c r="K65" s="15">
        <v>45077</v>
      </c>
      <c r="L65" s="13" t="s">
        <v>133</v>
      </c>
    </row>
    <row r="66" spans="1:12" x14ac:dyDescent="0.4">
      <c r="A66" s="13" t="s">
        <v>32</v>
      </c>
      <c r="B66" s="13" t="s">
        <v>162</v>
      </c>
      <c r="C66" s="14" t="str">
        <f>HYPERLINK("https://us.assetplanner.com/service_request?ID=72106","SR072106")</f>
        <v>SR072106</v>
      </c>
      <c r="D66" s="15">
        <v>45077.515972222223</v>
      </c>
      <c r="E66" s="13" t="s">
        <v>34</v>
      </c>
      <c r="F66" s="13" t="s">
        <v>35</v>
      </c>
      <c r="G66" s="13" t="s">
        <v>39</v>
      </c>
      <c r="H66" s="13" t="s">
        <v>47</v>
      </c>
      <c r="I66" s="13" t="s">
        <v>35</v>
      </c>
      <c r="J66" s="13" t="s">
        <v>35</v>
      </c>
      <c r="K66" s="15">
        <v>45082</v>
      </c>
      <c r="L66" s="13" t="s">
        <v>134</v>
      </c>
    </row>
    <row r="67" spans="1:12" x14ac:dyDescent="0.4">
      <c r="A67" s="13" t="s">
        <v>32</v>
      </c>
      <c r="B67" s="13" t="s">
        <v>162</v>
      </c>
      <c r="C67" s="14" t="str">
        <f>HYPERLINK("https://us.assetplanner.com/service_request?ID=72219","SR072219")</f>
        <v>SR072219</v>
      </c>
      <c r="D67" s="15">
        <v>45081.704861111109</v>
      </c>
      <c r="E67" s="13" t="s">
        <v>34</v>
      </c>
      <c r="F67" s="13" t="s">
        <v>35</v>
      </c>
      <c r="G67" s="13" t="s">
        <v>46</v>
      </c>
      <c r="H67" s="13" t="s">
        <v>47</v>
      </c>
      <c r="I67" s="13" t="s">
        <v>91</v>
      </c>
      <c r="J67" s="13" t="s">
        <v>52</v>
      </c>
      <c r="K67" s="15">
        <v>45091</v>
      </c>
      <c r="L67" s="13" t="s">
        <v>135</v>
      </c>
    </row>
    <row r="68" spans="1:12" x14ac:dyDescent="0.4">
      <c r="A68" s="13" t="s">
        <v>32</v>
      </c>
      <c r="B68" s="13" t="s">
        <v>162</v>
      </c>
      <c r="C68" s="14" t="str">
        <f>HYPERLINK("https://us.assetplanner.com/service_request?ID=72307","SR072307")</f>
        <v>SR072307</v>
      </c>
      <c r="D68" s="15">
        <v>45083.511111111111</v>
      </c>
      <c r="E68" s="13" t="s">
        <v>34</v>
      </c>
      <c r="F68" s="13" t="s">
        <v>35</v>
      </c>
      <c r="G68" s="13" t="s">
        <v>43</v>
      </c>
      <c r="H68" s="13" t="s">
        <v>136</v>
      </c>
      <c r="I68" s="13" t="s">
        <v>35</v>
      </c>
      <c r="J68" s="13" t="s">
        <v>35</v>
      </c>
      <c r="K68" s="15">
        <v>45135</v>
      </c>
      <c r="L68" s="13" t="s">
        <v>137</v>
      </c>
    </row>
    <row r="69" spans="1:12" x14ac:dyDescent="0.4">
      <c r="A69" s="13" t="s">
        <v>32</v>
      </c>
      <c r="B69" s="13" t="s">
        <v>98</v>
      </c>
      <c r="C69" s="14" t="str">
        <f>HYPERLINK("https://us.assetplanner.com/service_request?ID=72308","SR072308")</f>
        <v>SR072308</v>
      </c>
      <c r="D69" s="15">
        <v>45083.511805555558</v>
      </c>
      <c r="E69" s="13" t="s">
        <v>34</v>
      </c>
      <c r="F69" s="13" t="s">
        <v>35</v>
      </c>
      <c r="G69" s="13" t="s">
        <v>43</v>
      </c>
      <c r="H69" s="13" t="s">
        <v>136</v>
      </c>
      <c r="I69" s="13" t="s">
        <v>35</v>
      </c>
      <c r="J69" s="13" t="s">
        <v>35</v>
      </c>
      <c r="K69" s="15">
        <v>45135</v>
      </c>
      <c r="L69" s="13" t="s">
        <v>138</v>
      </c>
    </row>
    <row r="70" spans="1:12" x14ac:dyDescent="0.4">
      <c r="A70" s="13" t="s">
        <v>32</v>
      </c>
      <c r="B70" s="13" t="s">
        <v>162</v>
      </c>
      <c r="C70" s="14" t="str">
        <f>HYPERLINK("https://us.assetplanner.com/service_request?ID=72573","SR072573")</f>
        <v>SR072573</v>
      </c>
      <c r="D70" s="15">
        <v>45088.604166666664</v>
      </c>
      <c r="E70" s="13" t="s">
        <v>34</v>
      </c>
      <c r="F70" s="13" t="s">
        <v>35</v>
      </c>
      <c r="G70" s="13" t="s">
        <v>46</v>
      </c>
      <c r="H70" s="13" t="s">
        <v>47</v>
      </c>
      <c r="I70" s="13" t="s">
        <v>35</v>
      </c>
      <c r="J70" s="13" t="s">
        <v>35</v>
      </c>
      <c r="K70" s="15">
        <v>45099</v>
      </c>
      <c r="L70" s="13" t="s">
        <v>139</v>
      </c>
    </row>
    <row r="71" spans="1:12" x14ac:dyDescent="0.4">
      <c r="A71" s="13" t="s">
        <v>32</v>
      </c>
      <c r="B71" s="13" t="s">
        <v>98</v>
      </c>
      <c r="C71" s="14" t="str">
        <f>HYPERLINK("https://us.assetplanner.com/service_request?ID=72604","SR072604")</f>
        <v>SR072604</v>
      </c>
      <c r="D71" s="15">
        <v>45089.557638888888</v>
      </c>
      <c r="E71" s="13" t="s">
        <v>34</v>
      </c>
      <c r="F71" s="13" t="s">
        <v>35</v>
      </c>
      <c r="G71" s="13" t="s">
        <v>46</v>
      </c>
      <c r="H71" s="13" t="s">
        <v>41</v>
      </c>
      <c r="I71" s="13" t="s">
        <v>35</v>
      </c>
      <c r="J71" s="13" t="s">
        <v>35</v>
      </c>
      <c r="K71" s="15">
        <v>45090</v>
      </c>
      <c r="L71" s="13" t="s">
        <v>140</v>
      </c>
    </row>
    <row r="72" spans="1:12" x14ac:dyDescent="0.4">
      <c r="A72" s="13" t="s">
        <v>32</v>
      </c>
      <c r="B72" s="13" t="s">
        <v>162</v>
      </c>
      <c r="C72" s="14" t="str">
        <f>HYPERLINK("https://us.assetplanner.com/service_request?ID=72643","SR072643")</f>
        <v>SR072643</v>
      </c>
      <c r="D72" s="15">
        <v>45090.638194444444</v>
      </c>
      <c r="E72" s="13" t="s">
        <v>34</v>
      </c>
      <c r="F72" s="13" t="s">
        <v>35</v>
      </c>
      <c r="G72" s="13" t="s">
        <v>46</v>
      </c>
      <c r="H72" s="13" t="s">
        <v>47</v>
      </c>
      <c r="I72" s="13" t="s">
        <v>85</v>
      </c>
      <c r="J72" s="13" t="s">
        <v>35</v>
      </c>
      <c r="K72" s="15">
        <v>45099</v>
      </c>
      <c r="L72" s="13" t="s">
        <v>141</v>
      </c>
    </row>
    <row r="73" spans="1:12" x14ac:dyDescent="0.4">
      <c r="A73" s="13" t="s">
        <v>32</v>
      </c>
      <c r="B73" s="13" t="s">
        <v>162</v>
      </c>
      <c r="C73" s="14" t="str">
        <f>HYPERLINK("https://us.assetplanner.com/service_request?ID=72674","SR072674")</f>
        <v>SR072674</v>
      </c>
      <c r="D73" s="15">
        <v>45091.604166666664</v>
      </c>
      <c r="E73" s="13" t="s">
        <v>34</v>
      </c>
      <c r="F73" s="13" t="s">
        <v>35</v>
      </c>
      <c r="G73" s="13" t="s">
        <v>46</v>
      </c>
      <c r="H73" s="13" t="s">
        <v>92</v>
      </c>
      <c r="I73" s="13" t="s">
        <v>93</v>
      </c>
      <c r="J73" s="13" t="s">
        <v>35</v>
      </c>
      <c r="K73" s="15">
        <v>45104</v>
      </c>
      <c r="L73" s="13" t="s">
        <v>142</v>
      </c>
    </row>
    <row r="74" spans="1:12" x14ac:dyDescent="0.4">
      <c r="A74" s="13" t="s">
        <v>32</v>
      </c>
      <c r="B74" s="13" t="s">
        <v>162</v>
      </c>
      <c r="C74" s="14" t="str">
        <f>HYPERLINK("https://us.assetplanner.com/service_request?ID=72675","SR072675")</f>
        <v>SR072675</v>
      </c>
      <c r="D74" s="15">
        <v>45091.604861111111</v>
      </c>
      <c r="E74" s="13" t="s">
        <v>34</v>
      </c>
      <c r="F74" s="13" t="s">
        <v>35</v>
      </c>
      <c r="G74" s="13" t="s">
        <v>46</v>
      </c>
      <c r="H74" s="13" t="s">
        <v>92</v>
      </c>
      <c r="I74" s="13" t="s">
        <v>94</v>
      </c>
      <c r="J74" s="13" t="s">
        <v>35</v>
      </c>
      <c r="K74" s="15">
        <v>45104</v>
      </c>
      <c r="L74" s="13" t="s">
        <v>143</v>
      </c>
    </row>
    <row r="75" spans="1:12" x14ac:dyDescent="0.4">
      <c r="A75" s="13" t="s">
        <v>32</v>
      </c>
      <c r="B75" s="13" t="s">
        <v>162</v>
      </c>
      <c r="C75" s="14" t="str">
        <f>HYPERLINK("https://us.assetplanner.com/service_request?ID=72763","SR072763")</f>
        <v>SR072763</v>
      </c>
      <c r="D75" s="15">
        <v>45096.481249999997</v>
      </c>
      <c r="E75" s="13" t="s">
        <v>34</v>
      </c>
      <c r="F75" s="13" t="s">
        <v>35</v>
      </c>
      <c r="G75" s="13" t="s">
        <v>46</v>
      </c>
      <c r="H75" s="13" t="s">
        <v>47</v>
      </c>
      <c r="I75" s="13" t="s">
        <v>95</v>
      </c>
      <c r="J75" s="13" t="s">
        <v>35</v>
      </c>
      <c r="K75" s="15">
        <v>45099</v>
      </c>
      <c r="L75" s="13" t="s">
        <v>144</v>
      </c>
    </row>
    <row r="76" spans="1:12" x14ac:dyDescent="0.4">
      <c r="A76" s="13" t="s">
        <v>32</v>
      </c>
      <c r="B76" s="13" t="s">
        <v>98</v>
      </c>
      <c r="C76" s="14" t="str">
        <f>HYPERLINK("https://us.assetplanner.com/service_request?ID=72888","SR072888")</f>
        <v>SR072888</v>
      </c>
      <c r="D76" s="15">
        <v>45099.316666666666</v>
      </c>
      <c r="E76" s="13" t="s">
        <v>34</v>
      </c>
      <c r="F76" s="13" t="s">
        <v>35</v>
      </c>
      <c r="G76" s="13" t="s">
        <v>39</v>
      </c>
      <c r="H76" s="13" t="s">
        <v>37</v>
      </c>
      <c r="I76" s="13" t="s">
        <v>35</v>
      </c>
      <c r="J76" s="13" t="s">
        <v>35</v>
      </c>
      <c r="K76" s="15">
        <v>45168</v>
      </c>
      <c r="L76" s="13" t="s">
        <v>145</v>
      </c>
    </row>
    <row r="77" spans="1:12" x14ac:dyDescent="0.4">
      <c r="A77" s="13" t="s">
        <v>32</v>
      </c>
      <c r="B77" s="13" t="s">
        <v>162</v>
      </c>
      <c r="C77" s="14" t="str">
        <f>HYPERLINK("https://us.assetplanner.com/service_request?ID=73072","SR073072")</f>
        <v>SR073072</v>
      </c>
      <c r="D77" s="15">
        <v>45103.469444444447</v>
      </c>
      <c r="E77" s="13" t="s">
        <v>34</v>
      </c>
      <c r="F77" s="13" t="s">
        <v>35</v>
      </c>
      <c r="G77" s="13" t="s">
        <v>65</v>
      </c>
      <c r="H77" s="13" t="s">
        <v>66</v>
      </c>
      <c r="I77" s="13" t="s">
        <v>96</v>
      </c>
      <c r="J77" s="13" t="s">
        <v>35</v>
      </c>
      <c r="K77" s="15">
        <v>45110</v>
      </c>
      <c r="L77" s="13" t="s">
        <v>146</v>
      </c>
    </row>
    <row r="78" spans="1:12" x14ac:dyDescent="0.4">
      <c r="A78" s="13" t="s">
        <v>32</v>
      </c>
      <c r="B78" s="13" t="s">
        <v>162</v>
      </c>
      <c r="C78" s="14" t="str">
        <f>HYPERLINK("https://us.assetplanner.com/service_request?ID=73123","SR073123")</f>
        <v>SR073123</v>
      </c>
      <c r="D78" s="15">
        <v>45103.634027777778</v>
      </c>
      <c r="E78" s="13" t="s">
        <v>34</v>
      </c>
      <c r="F78" s="13" t="s">
        <v>35</v>
      </c>
      <c r="G78" s="13" t="s">
        <v>88</v>
      </c>
      <c r="H78" s="13" t="s">
        <v>89</v>
      </c>
      <c r="I78" s="13" t="s">
        <v>35</v>
      </c>
      <c r="J78" s="13" t="s">
        <v>35</v>
      </c>
      <c r="K78" s="15">
        <v>45103</v>
      </c>
      <c r="L78" s="13" t="s">
        <v>147</v>
      </c>
    </row>
    <row r="79" spans="1:12" x14ac:dyDescent="0.4">
      <c r="A79" s="13" t="s">
        <v>32</v>
      </c>
      <c r="B79" s="13" t="s">
        <v>98</v>
      </c>
      <c r="C79" s="14" t="str">
        <f>HYPERLINK("https://us.assetplanner.com/service_request?ID=73133","SR073133")</f>
        <v>SR073133</v>
      </c>
      <c r="D79" s="15">
        <v>45103.681944444441</v>
      </c>
      <c r="E79" s="13" t="s">
        <v>34</v>
      </c>
      <c r="F79" s="13" t="s">
        <v>35</v>
      </c>
      <c r="G79" s="13" t="s">
        <v>88</v>
      </c>
      <c r="H79" s="13" t="s">
        <v>89</v>
      </c>
      <c r="I79" s="13" t="s">
        <v>35</v>
      </c>
      <c r="J79" s="13" t="s">
        <v>35</v>
      </c>
      <c r="K79" s="15">
        <v>45103</v>
      </c>
      <c r="L79" s="13" t="s">
        <v>148</v>
      </c>
    </row>
    <row r="80" spans="1:12" x14ac:dyDescent="0.4">
      <c r="A80" s="13" t="s">
        <v>32</v>
      </c>
      <c r="B80" s="13" t="s">
        <v>162</v>
      </c>
      <c r="C80" s="14" t="str">
        <f>HYPERLINK("https://us.assetplanner.com/service_request?ID=73495","SR073495")</f>
        <v>SR073495</v>
      </c>
      <c r="D80" s="15">
        <v>45110.331944444442</v>
      </c>
      <c r="E80" s="13" t="s">
        <v>34</v>
      </c>
      <c r="F80" s="13" t="s">
        <v>35</v>
      </c>
      <c r="G80" s="13" t="s">
        <v>46</v>
      </c>
      <c r="H80" s="13" t="s">
        <v>47</v>
      </c>
      <c r="I80" s="13" t="s">
        <v>91</v>
      </c>
      <c r="J80" s="13" t="s">
        <v>35</v>
      </c>
      <c r="K80" s="15">
        <v>45120</v>
      </c>
      <c r="L80" s="13" t="s">
        <v>97</v>
      </c>
    </row>
    <row r="81" spans="1:12" x14ac:dyDescent="0.4">
      <c r="A81" s="13" t="s">
        <v>32</v>
      </c>
      <c r="B81" s="13" t="s">
        <v>98</v>
      </c>
      <c r="C81" s="14" t="str">
        <f>HYPERLINK("https://us.assetplanner.com/service_request?ID=73596","SR073596")</f>
        <v>SR073596</v>
      </c>
      <c r="D81" s="15">
        <v>45113.469444444447</v>
      </c>
      <c r="E81" s="13" t="s">
        <v>34</v>
      </c>
      <c r="F81" s="13" t="s">
        <v>35</v>
      </c>
      <c r="G81" s="13" t="s">
        <v>39</v>
      </c>
      <c r="H81" s="13" t="s">
        <v>99</v>
      </c>
      <c r="I81" s="13" t="s">
        <v>35</v>
      </c>
      <c r="J81" s="13" t="s">
        <v>35</v>
      </c>
      <c r="K81" s="15">
        <v>45124</v>
      </c>
      <c r="L81" s="13" t="s">
        <v>100</v>
      </c>
    </row>
    <row r="82" spans="1:12" x14ac:dyDescent="0.4">
      <c r="A82" s="13" t="s">
        <v>32</v>
      </c>
      <c r="B82" s="13" t="s">
        <v>98</v>
      </c>
      <c r="C82" s="14" t="str">
        <f>HYPERLINK("https://us.assetplanner.com/service_request?ID=73633","SR073633")</f>
        <v>SR073633</v>
      </c>
      <c r="D82" s="15">
        <v>45114.468055555553</v>
      </c>
      <c r="E82" s="13" t="s">
        <v>34</v>
      </c>
      <c r="F82" s="13" t="s">
        <v>35</v>
      </c>
      <c r="G82" s="13" t="s">
        <v>101</v>
      </c>
      <c r="H82" s="13" t="s">
        <v>102</v>
      </c>
      <c r="I82" s="13" t="s">
        <v>35</v>
      </c>
      <c r="J82" s="13" t="s">
        <v>35</v>
      </c>
      <c r="K82" s="15">
        <v>45142</v>
      </c>
      <c r="L82" s="13" t="s">
        <v>103</v>
      </c>
    </row>
    <row r="83" spans="1:12" x14ac:dyDescent="0.4">
      <c r="A83" s="13" t="s">
        <v>32</v>
      </c>
      <c r="B83" s="13" t="s">
        <v>162</v>
      </c>
      <c r="C83" s="14" t="str">
        <f>HYPERLINK("https://us.assetplanner.com/service_request?ID=73728","SR073728")</f>
        <v>SR073728</v>
      </c>
      <c r="D83" s="15">
        <v>45118.44027777778</v>
      </c>
      <c r="E83" s="13" t="s">
        <v>34</v>
      </c>
      <c r="F83" s="13" t="s">
        <v>35</v>
      </c>
      <c r="G83" s="13" t="s">
        <v>39</v>
      </c>
      <c r="H83" s="13" t="s">
        <v>104</v>
      </c>
      <c r="I83" s="13" t="s">
        <v>105</v>
      </c>
      <c r="J83" s="13" t="s">
        <v>35</v>
      </c>
      <c r="K83" s="15">
        <v>45120</v>
      </c>
      <c r="L83" s="13" t="s">
        <v>106</v>
      </c>
    </row>
    <row r="84" spans="1:12" x14ac:dyDescent="0.4">
      <c r="A84" s="13" t="s">
        <v>32</v>
      </c>
      <c r="B84" s="13" t="s">
        <v>162</v>
      </c>
      <c r="C84" s="14" t="str">
        <f>HYPERLINK("https://us.assetplanner.com/service_request?ID=73759","SR073759")</f>
        <v>SR073759</v>
      </c>
      <c r="D84" s="15">
        <v>45118.713888888888</v>
      </c>
      <c r="E84" s="13" t="s">
        <v>34</v>
      </c>
      <c r="F84" s="13" t="s">
        <v>35</v>
      </c>
      <c r="G84" s="13" t="s">
        <v>46</v>
      </c>
      <c r="H84" s="13" t="s">
        <v>47</v>
      </c>
      <c r="I84" s="13" t="s">
        <v>35</v>
      </c>
      <c r="J84" s="13" t="s">
        <v>35</v>
      </c>
      <c r="K84" s="15">
        <v>45120</v>
      </c>
      <c r="L84" s="13" t="s">
        <v>107</v>
      </c>
    </row>
    <row r="85" spans="1:12" x14ac:dyDescent="0.4">
      <c r="A85" s="13" t="s">
        <v>32</v>
      </c>
      <c r="B85" s="13" t="s">
        <v>98</v>
      </c>
      <c r="C85" s="14" t="str">
        <f>HYPERLINK("https://us.assetplanner.com/service_request?ID=73850","SR073850")</f>
        <v>SR073850</v>
      </c>
      <c r="D85" s="15">
        <v>45121.361111111109</v>
      </c>
      <c r="E85" s="13" t="s">
        <v>34</v>
      </c>
      <c r="F85" s="13" t="s">
        <v>35</v>
      </c>
      <c r="G85" s="13" t="s">
        <v>39</v>
      </c>
      <c r="H85" s="13" t="s">
        <v>99</v>
      </c>
      <c r="I85" s="13" t="s">
        <v>108</v>
      </c>
      <c r="J85" s="13" t="s">
        <v>35</v>
      </c>
      <c r="K85" s="15">
        <v>45229</v>
      </c>
      <c r="L85" s="13" t="s">
        <v>109</v>
      </c>
    </row>
    <row r="86" spans="1:12" x14ac:dyDescent="0.4">
      <c r="A86" s="13" t="s">
        <v>32</v>
      </c>
      <c r="B86" s="13" t="s">
        <v>162</v>
      </c>
      <c r="C86" s="14" t="str">
        <f>HYPERLINK("https://us.assetplanner.com/service_request?ID=73857","SR073857")</f>
        <v>SR073857</v>
      </c>
      <c r="D86" s="15">
        <v>45121.459027777775</v>
      </c>
      <c r="E86" s="13" t="s">
        <v>34</v>
      </c>
      <c r="F86" s="13" t="s">
        <v>35</v>
      </c>
      <c r="G86" s="13" t="s">
        <v>46</v>
      </c>
      <c r="H86" s="13" t="s">
        <v>37</v>
      </c>
      <c r="I86" s="13" t="s">
        <v>35</v>
      </c>
      <c r="J86" s="13" t="s">
        <v>35</v>
      </c>
      <c r="K86" s="15">
        <v>45124</v>
      </c>
      <c r="L86" s="13" t="s">
        <v>110</v>
      </c>
    </row>
    <row r="87" spans="1:12" x14ac:dyDescent="0.4">
      <c r="A87" s="13" t="s">
        <v>32</v>
      </c>
      <c r="B87" s="13" t="s">
        <v>162</v>
      </c>
      <c r="C87" s="14" t="str">
        <f>HYPERLINK("https://us.assetplanner.com/service_request?ID=73921","SR073921")</f>
        <v>SR073921</v>
      </c>
      <c r="D87" s="15">
        <v>45124.466666666667</v>
      </c>
      <c r="E87" s="13" t="s">
        <v>34</v>
      </c>
      <c r="F87" s="13" t="s">
        <v>35</v>
      </c>
      <c r="G87" s="13" t="s">
        <v>46</v>
      </c>
      <c r="H87" s="13" t="s">
        <v>47</v>
      </c>
      <c r="I87" s="13" t="s">
        <v>95</v>
      </c>
      <c r="J87" s="13" t="s">
        <v>35</v>
      </c>
      <c r="K87" s="15">
        <v>45135</v>
      </c>
      <c r="L87" s="13" t="s">
        <v>111</v>
      </c>
    </row>
    <row r="88" spans="1:12" x14ac:dyDescent="0.4">
      <c r="A88" s="13" t="s">
        <v>32</v>
      </c>
      <c r="B88" s="13" t="s">
        <v>162</v>
      </c>
      <c r="C88" s="14" t="str">
        <f>HYPERLINK("https://us.assetplanner.com/service_request?ID=74367","SR074367")</f>
        <v>SR074367</v>
      </c>
      <c r="D88" s="15">
        <v>45135.109027777777</v>
      </c>
      <c r="E88" s="13" t="s">
        <v>34</v>
      </c>
      <c r="F88" s="13" t="s">
        <v>35</v>
      </c>
      <c r="G88" s="13" t="s">
        <v>46</v>
      </c>
      <c r="H88" s="13" t="s">
        <v>47</v>
      </c>
      <c r="I88" s="13" t="s">
        <v>35</v>
      </c>
      <c r="J88" s="13" t="s">
        <v>35</v>
      </c>
      <c r="K88" s="16" t="s">
        <v>35</v>
      </c>
      <c r="L88" s="13" t="s">
        <v>35</v>
      </c>
    </row>
    <row r="89" spans="1:12" x14ac:dyDescent="0.4">
      <c r="A89" s="13" t="s">
        <v>32</v>
      </c>
      <c r="B89" s="13" t="s">
        <v>98</v>
      </c>
      <c r="C89" s="14" t="str">
        <f>HYPERLINK("https://us.assetplanner.com/service_request?ID=74651","SR074651")</f>
        <v>SR074651</v>
      </c>
      <c r="D89" s="15">
        <v>45144.359027777777</v>
      </c>
      <c r="E89" s="13" t="s">
        <v>34</v>
      </c>
      <c r="F89" s="13" t="s">
        <v>35</v>
      </c>
      <c r="G89" s="13" t="s">
        <v>46</v>
      </c>
      <c r="H89" s="13" t="s">
        <v>73</v>
      </c>
      <c r="I89" s="13" t="s">
        <v>35</v>
      </c>
      <c r="J89" s="13" t="s">
        <v>35</v>
      </c>
      <c r="K89" s="16" t="s">
        <v>35</v>
      </c>
      <c r="L89" s="13" t="s">
        <v>35</v>
      </c>
    </row>
    <row r="90" spans="1:12" x14ac:dyDescent="0.4">
      <c r="A90" s="13" t="s">
        <v>32</v>
      </c>
      <c r="B90" s="13" t="s">
        <v>174</v>
      </c>
      <c r="C90" s="14" t="str">
        <f>HYPERLINK("https://us.assetplanner.com/service_request?ID=74652","SR074652")</f>
        <v>SR074652</v>
      </c>
      <c r="D90" s="15">
        <v>45144.361111111109</v>
      </c>
      <c r="E90" s="13" t="s">
        <v>34</v>
      </c>
      <c r="F90" s="13" t="s">
        <v>35</v>
      </c>
      <c r="G90" s="13" t="s">
        <v>46</v>
      </c>
      <c r="H90" s="13" t="s">
        <v>73</v>
      </c>
      <c r="I90" s="13" t="s">
        <v>35</v>
      </c>
      <c r="J90" s="13" t="s">
        <v>35</v>
      </c>
      <c r="K90" s="16" t="s">
        <v>35</v>
      </c>
      <c r="L90" s="13" t="s">
        <v>35</v>
      </c>
    </row>
    <row r="91" spans="1:12" x14ac:dyDescent="0.4">
      <c r="A91" s="13" t="s">
        <v>32</v>
      </c>
      <c r="B91" s="13" t="s">
        <v>98</v>
      </c>
      <c r="C91" s="14" t="str">
        <f>HYPERLINK("https://us.assetplanner.com/service_request?ID=75127","SR075127")</f>
        <v>SR075127</v>
      </c>
      <c r="D91" s="15">
        <v>45153.336805555555</v>
      </c>
      <c r="E91" s="13" t="s">
        <v>34</v>
      </c>
      <c r="F91" s="13" t="s">
        <v>35</v>
      </c>
      <c r="G91" s="13" t="s">
        <v>46</v>
      </c>
      <c r="H91" s="13" t="s">
        <v>41</v>
      </c>
      <c r="I91" s="13" t="s">
        <v>35</v>
      </c>
      <c r="J91" s="13" t="s">
        <v>35</v>
      </c>
      <c r="K91" s="16" t="s">
        <v>35</v>
      </c>
      <c r="L91" s="13" t="s">
        <v>35</v>
      </c>
    </row>
    <row r="92" spans="1:12" x14ac:dyDescent="0.4">
      <c r="A92" s="13" t="s">
        <v>32</v>
      </c>
      <c r="B92" s="13" t="s">
        <v>162</v>
      </c>
      <c r="C92" s="14" t="str">
        <f>HYPERLINK("https://us.assetplanner.com/service_request?ID=75138","SR075138")</f>
        <v>SR075138</v>
      </c>
      <c r="D92" s="15">
        <v>45153.534722222219</v>
      </c>
      <c r="E92" s="13" t="s">
        <v>34</v>
      </c>
      <c r="F92" s="13" t="s">
        <v>35</v>
      </c>
      <c r="G92" s="13" t="s">
        <v>43</v>
      </c>
      <c r="H92" s="13" t="s">
        <v>112</v>
      </c>
      <c r="I92" s="13" t="s">
        <v>35</v>
      </c>
      <c r="J92" s="13" t="s">
        <v>35</v>
      </c>
      <c r="K92" s="15">
        <v>45196</v>
      </c>
      <c r="L92" s="13" t="s">
        <v>149</v>
      </c>
    </row>
    <row r="93" spans="1:12" x14ac:dyDescent="0.4">
      <c r="A93" s="13" t="s">
        <v>32</v>
      </c>
      <c r="B93" s="13" t="s">
        <v>162</v>
      </c>
      <c r="C93" s="14" t="str">
        <f>HYPERLINK("https://us.assetplanner.com/service_request?ID=75237","SR075237")</f>
        <v>SR075237</v>
      </c>
      <c r="D93" s="15">
        <v>45156.521527777775</v>
      </c>
      <c r="E93" s="13" t="s">
        <v>34</v>
      </c>
      <c r="F93" s="13" t="s">
        <v>35</v>
      </c>
      <c r="G93" s="13" t="s">
        <v>46</v>
      </c>
      <c r="H93" s="13" t="s">
        <v>47</v>
      </c>
      <c r="I93" s="13" t="s">
        <v>35</v>
      </c>
      <c r="J93" s="13" t="s">
        <v>35</v>
      </c>
      <c r="K93" s="15">
        <v>45162</v>
      </c>
      <c r="L93" s="13" t="s">
        <v>150</v>
      </c>
    </row>
    <row r="94" spans="1:12" x14ac:dyDescent="0.4">
      <c r="A94" s="13" t="s">
        <v>32</v>
      </c>
      <c r="B94" s="13" t="s">
        <v>98</v>
      </c>
      <c r="C94" s="14" t="str">
        <f>HYPERLINK("https://us.assetplanner.com/service_request?ID=75313","SR075313")</f>
        <v>SR075313</v>
      </c>
      <c r="D94" s="15">
        <v>45159.681250000001</v>
      </c>
      <c r="E94" s="13" t="s">
        <v>34</v>
      </c>
      <c r="F94" s="13" t="s">
        <v>35</v>
      </c>
      <c r="G94" s="13" t="s">
        <v>46</v>
      </c>
      <c r="H94" s="13" t="s">
        <v>37</v>
      </c>
      <c r="I94" s="13" t="s">
        <v>35</v>
      </c>
      <c r="J94" s="13" t="s">
        <v>35</v>
      </c>
      <c r="K94" s="16" t="s">
        <v>35</v>
      </c>
      <c r="L94" s="13" t="s">
        <v>35</v>
      </c>
    </row>
    <row r="95" spans="1:12" x14ac:dyDescent="0.4">
      <c r="A95" s="13" t="s">
        <v>32</v>
      </c>
      <c r="B95" s="13" t="s">
        <v>174</v>
      </c>
      <c r="C95" s="14" t="str">
        <f>HYPERLINK("https://us.assetplanner.com/service_request?ID=75314","SR075314")</f>
        <v>SR075314</v>
      </c>
      <c r="D95" s="15">
        <v>45159.682638888888</v>
      </c>
      <c r="E95" s="13" t="s">
        <v>34</v>
      </c>
      <c r="F95" s="13" t="s">
        <v>35</v>
      </c>
      <c r="G95" s="13" t="s">
        <v>46</v>
      </c>
      <c r="H95" s="13" t="s">
        <v>37</v>
      </c>
      <c r="I95" s="13" t="s">
        <v>35</v>
      </c>
      <c r="J95" s="13" t="s">
        <v>35</v>
      </c>
      <c r="K95" s="16" t="s">
        <v>35</v>
      </c>
      <c r="L95" s="13" t="s">
        <v>35</v>
      </c>
    </row>
    <row r="96" spans="1:12" x14ac:dyDescent="0.4">
      <c r="A96" s="13" t="s">
        <v>32</v>
      </c>
      <c r="B96" s="13" t="s">
        <v>162</v>
      </c>
      <c r="C96" s="14" t="str">
        <f>HYPERLINK("https://us.assetplanner.com/service_request?ID=75356","SR075356")</f>
        <v>SR075356</v>
      </c>
      <c r="D96" s="15">
        <v>45161.307638888888</v>
      </c>
      <c r="E96" s="13" t="s">
        <v>34</v>
      </c>
      <c r="F96" s="13" t="s">
        <v>35</v>
      </c>
      <c r="G96" s="13" t="s">
        <v>129</v>
      </c>
      <c r="H96" s="13" t="s">
        <v>66</v>
      </c>
      <c r="I96" s="13" t="s">
        <v>35</v>
      </c>
      <c r="J96" s="13" t="s">
        <v>35</v>
      </c>
      <c r="K96" s="16" t="s">
        <v>35</v>
      </c>
      <c r="L96" s="13" t="s">
        <v>35</v>
      </c>
    </row>
    <row r="97" spans="1:12" x14ac:dyDescent="0.4">
      <c r="A97" s="13" t="s">
        <v>32</v>
      </c>
      <c r="B97" s="13" t="s">
        <v>162</v>
      </c>
      <c r="C97" s="14" t="str">
        <f>HYPERLINK("https://us.assetplanner.com/service_request?ID=75446","SR075446")</f>
        <v>SR075446</v>
      </c>
      <c r="D97" s="15">
        <v>45164.518750000003</v>
      </c>
      <c r="E97" s="13" t="s">
        <v>34</v>
      </c>
      <c r="F97" s="13" t="s">
        <v>35</v>
      </c>
      <c r="G97" s="13" t="s">
        <v>46</v>
      </c>
      <c r="H97" s="13" t="s">
        <v>47</v>
      </c>
      <c r="I97" s="13" t="s">
        <v>35</v>
      </c>
      <c r="J97" s="13" t="s">
        <v>35</v>
      </c>
      <c r="K97" s="15">
        <v>45166</v>
      </c>
      <c r="L97" s="13" t="s">
        <v>151</v>
      </c>
    </row>
    <row r="98" spans="1:12" x14ac:dyDescent="0.4">
      <c r="A98" s="13" t="s">
        <v>32</v>
      </c>
      <c r="B98" s="13" t="s">
        <v>162</v>
      </c>
      <c r="C98" s="14" t="str">
        <f>HYPERLINK("https://us.assetplanner.com/service_request?ID=75638","SR075638")</f>
        <v>SR075638</v>
      </c>
      <c r="D98" s="15">
        <v>45169.571527777778</v>
      </c>
      <c r="E98" s="13" t="s">
        <v>34</v>
      </c>
      <c r="F98" s="13" t="s">
        <v>35</v>
      </c>
      <c r="G98" s="13" t="s">
        <v>46</v>
      </c>
      <c r="H98" s="13" t="s">
        <v>47</v>
      </c>
      <c r="I98" s="13" t="s">
        <v>85</v>
      </c>
      <c r="J98" s="13" t="s">
        <v>35</v>
      </c>
      <c r="K98" s="15">
        <v>45174</v>
      </c>
      <c r="L98" s="13" t="s">
        <v>152</v>
      </c>
    </row>
    <row r="99" spans="1:12" x14ac:dyDescent="0.4">
      <c r="A99" s="13" t="s">
        <v>32</v>
      </c>
      <c r="B99" s="13" t="s">
        <v>162</v>
      </c>
      <c r="C99" s="14" t="str">
        <f>HYPERLINK("https://us.assetplanner.com/service_request?ID=75855","SR075855")</f>
        <v>SR075855</v>
      </c>
      <c r="D99" s="15">
        <v>45176.605555555558</v>
      </c>
      <c r="E99" s="13" t="s">
        <v>34</v>
      </c>
      <c r="F99" s="13" t="s">
        <v>35</v>
      </c>
      <c r="G99" s="13" t="s">
        <v>46</v>
      </c>
      <c r="H99" s="13" t="s">
        <v>47</v>
      </c>
      <c r="I99" s="13" t="s">
        <v>85</v>
      </c>
      <c r="J99" s="13" t="s">
        <v>35</v>
      </c>
      <c r="K99" s="15">
        <v>45180</v>
      </c>
      <c r="L99" s="13" t="s">
        <v>153</v>
      </c>
    </row>
    <row r="100" spans="1:12" x14ac:dyDescent="0.4">
      <c r="A100" s="13" t="s">
        <v>32</v>
      </c>
      <c r="B100" s="13" t="s">
        <v>162</v>
      </c>
      <c r="C100" s="14" t="str">
        <f>HYPERLINK("https://us.assetplanner.com/service_request?ID=75888","SR075888")</f>
        <v>SR075888</v>
      </c>
      <c r="D100" s="15">
        <v>45177.681944444441</v>
      </c>
      <c r="E100" s="13" t="s">
        <v>34</v>
      </c>
      <c r="F100" s="13" t="s">
        <v>35</v>
      </c>
      <c r="G100" s="13" t="s">
        <v>46</v>
      </c>
      <c r="H100" s="13" t="s">
        <v>47</v>
      </c>
      <c r="I100" s="13" t="s">
        <v>35</v>
      </c>
      <c r="J100" s="13" t="s">
        <v>35</v>
      </c>
      <c r="K100" s="15">
        <v>45209</v>
      </c>
      <c r="L100" s="13" t="s">
        <v>154</v>
      </c>
    </row>
    <row r="101" spans="1:12" x14ac:dyDescent="0.4">
      <c r="A101" s="13" t="s">
        <v>32</v>
      </c>
      <c r="B101" s="13" t="s">
        <v>162</v>
      </c>
      <c r="C101" s="14" t="str">
        <f>HYPERLINK("https://us.assetplanner.com/service_request?ID=76111","SR076111")</f>
        <v>SR076111</v>
      </c>
      <c r="D101" s="15">
        <v>45184.648611111108</v>
      </c>
      <c r="E101" s="13" t="s">
        <v>34</v>
      </c>
      <c r="F101" s="13" t="s">
        <v>35</v>
      </c>
      <c r="G101" s="13" t="s">
        <v>129</v>
      </c>
      <c r="H101" s="13" t="s">
        <v>163</v>
      </c>
      <c r="I101" s="13" t="s">
        <v>35</v>
      </c>
      <c r="J101" s="13" t="s">
        <v>35</v>
      </c>
      <c r="K101" s="15">
        <v>45184</v>
      </c>
      <c r="L101" s="13" t="s">
        <v>155</v>
      </c>
    </row>
    <row r="102" spans="1:12" x14ac:dyDescent="0.4">
      <c r="A102" s="13" t="s">
        <v>32</v>
      </c>
      <c r="B102" s="13" t="s">
        <v>162</v>
      </c>
      <c r="C102" s="14" t="str">
        <f>HYPERLINK("https://us.assetplanner.com/service_request?ID=76112","SR076112")</f>
        <v>SR076112</v>
      </c>
      <c r="D102" s="15">
        <v>45184.649305555555</v>
      </c>
      <c r="E102" s="13" t="s">
        <v>34</v>
      </c>
      <c r="F102" s="13" t="s">
        <v>35</v>
      </c>
      <c r="G102" s="13" t="s">
        <v>129</v>
      </c>
      <c r="H102" s="13" t="s">
        <v>163</v>
      </c>
      <c r="I102" s="13" t="s">
        <v>35</v>
      </c>
      <c r="J102" s="13" t="s">
        <v>35</v>
      </c>
      <c r="K102" s="15">
        <v>45184</v>
      </c>
      <c r="L102" s="13" t="s">
        <v>156</v>
      </c>
    </row>
    <row r="103" spans="1:12" x14ac:dyDescent="0.4">
      <c r="A103" s="13" t="s">
        <v>32</v>
      </c>
      <c r="B103" s="13" t="s">
        <v>98</v>
      </c>
      <c r="C103" s="14" t="str">
        <f>HYPERLINK("https://us.assetplanner.com/service_request?ID=76122","SR076122")</f>
        <v>SR076122</v>
      </c>
      <c r="D103" s="15">
        <v>45184.699305555558</v>
      </c>
      <c r="E103" s="13" t="s">
        <v>34</v>
      </c>
      <c r="F103" s="13" t="s">
        <v>35</v>
      </c>
      <c r="G103" s="13" t="s">
        <v>43</v>
      </c>
      <c r="H103" s="13" t="s">
        <v>136</v>
      </c>
      <c r="I103" s="13" t="s">
        <v>35</v>
      </c>
      <c r="J103" s="13" t="s">
        <v>35</v>
      </c>
      <c r="K103" s="15">
        <v>45184</v>
      </c>
      <c r="L103" s="13" t="s">
        <v>157</v>
      </c>
    </row>
    <row r="104" spans="1:12" x14ac:dyDescent="0.4">
      <c r="A104" s="13" t="s">
        <v>32</v>
      </c>
      <c r="B104" s="13" t="s">
        <v>98</v>
      </c>
      <c r="C104" s="14" t="str">
        <f>HYPERLINK("https://us.assetplanner.com/service_request?ID=76123","SR076123")</f>
        <v>SR076123</v>
      </c>
      <c r="D104" s="15">
        <v>45184.7</v>
      </c>
      <c r="E104" s="13" t="s">
        <v>34</v>
      </c>
      <c r="F104" s="13" t="s">
        <v>35</v>
      </c>
      <c r="G104" s="13" t="s">
        <v>43</v>
      </c>
      <c r="H104" s="13" t="s">
        <v>136</v>
      </c>
      <c r="I104" s="13" t="s">
        <v>35</v>
      </c>
      <c r="J104" s="13" t="s">
        <v>35</v>
      </c>
      <c r="K104" s="15">
        <v>45184</v>
      </c>
      <c r="L104" s="13" t="s">
        <v>158</v>
      </c>
    </row>
    <row r="105" spans="1:12" x14ac:dyDescent="0.4">
      <c r="A105" s="13" t="s">
        <v>32</v>
      </c>
      <c r="B105" s="13" t="s">
        <v>98</v>
      </c>
      <c r="C105" s="14" t="str">
        <f>HYPERLINK("https://us.assetplanner.com/service_request?ID=76472","SR076472")</f>
        <v>SR076472</v>
      </c>
      <c r="D105" s="15">
        <v>45189.556944444441</v>
      </c>
      <c r="E105" s="13" t="s">
        <v>34</v>
      </c>
      <c r="F105" s="13" t="s">
        <v>35</v>
      </c>
      <c r="G105" s="13" t="s">
        <v>88</v>
      </c>
      <c r="H105" s="13" t="s">
        <v>89</v>
      </c>
      <c r="I105" s="13" t="s">
        <v>35</v>
      </c>
      <c r="J105" s="13" t="s">
        <v>35</v>
      </c>
      <c r="K105" s="15">
        <v>45189</v>
      </c>
      <c r="L105" s="13" t="s">
        <v>159</v>
      </c>
    </row>
    <row r="106" spans="1:12" x14ac:dyDescent="0.4">
      <c r="A106" s="13" t="s">
        <v>32</v>
      </c>
      <c r="B106" s="13" t="s">
        <v>98</v>
      </c>
      <c r="C106" s="14" t="str">
        <f>HYPERLINK("https://us.assetplanner.com/service_request?ID=76478","SR076478")</f>
        <v>SR076478</v>
      </c>
      <c r="D106" s="15">
        <v>45189.589583333334</v>
      </c>
      <c r="E106" s="13" t="s">
        <v>34</v>
      </c>
      <c r="F106" s="13" t="s">
        <v>35</v>
      </c>
      <c r="G106" s="13" t="s">
        <v>88</v>
      </c>
      <c r="H106" s="13" t="s">
        <v>89</v>
      </c>
      <c r="I106" s="13" t="s">
        <v>35</v>
      </c>
      <c r="J106" s="13" t="s">
        <v>35</v>
      </c>
      <c r="K106" s="15">
        <v>45280</v>
      </c>
      <c r="L106" s="13" t="s">
        <v>172</v>
      </c>
    </row>
    <row r="107" spans="1:12" x14ac:dyDescent="0.4">
      <c r="A107" s="13" t="s">
        <v>32</v>
      </c>
      <c r="B107" s="13" t="s">
        <v>162</v>
      </c>
      <c r="C107" s="14" t="str">
        <f>HYPERLINK("https://us.assetplanner.com/service_request?ID=76528","SR076528")</f>
        <v>SR076528</v>
      </c>
      <c r="D107" s="15">
        <v>45190.513194444444</v>
      </c>
      <c r="E107" s="13" t="s">
        <v>34</v>
      </c>
      <c r="F107" s="13" t="s">
        <v>35</v>
      </c>
      <c r="G107" s="13" t="s">
        <v>88</v>
      </c>
      <c r="H107" s="13" t="s">
        <v>89</v>
      </c>
      <c r="I107" s="13" t="s">
        <v>35</v>
      </c>
      <c r="J107" s="13" t="s">
        <v>35</v>
      </c>
      <c r="K107" s="15">
        <v>45190</v>
      </c>
      <c r="L107" s="13" t="s">
        <v>160</v>
      </c>
    </row>
    <row r="108" spans="1:12" x14ac:dyDescent="0.4">
      <c r="A108" s="13" t="s">
        <v>32</v>
      </c>
      <c r="B108" s="13" t="s">
        <v>162</v>
      </c>
      <c r="C108" s="14" t="str">
        <f>HYPERLINK("https://us.assetplanner.com/service_request?ID=76527","SR076527")</f>
        <v>SR076527</v>
      </c>
      <c r="D108" s="15">
        <v>45190.513194444444</v>
      </c>
      <c r="E108" s="13" t="s">
        <v>25</v>
      </c>
      <c r="F108" s="13" t="s">
        <v>167</v>
      </c>
      <c r="G108" s="13" t="s">
        <v>88</v>
      </c>
      <c r="H108" s="13" t="s">
        <v>89</v>
      </c>
      <c r="I108" s="13" t="s">
        <v>35</v>
      </c>
      <c r="J108" s="13" t="s">
        <v>35</v>
      </c>
      <c r="K108" s="16" t="s">
        <v>35</v>
      </c>
      <c r="L108" s="13" t="s">
        <v>35</v>
      </c>
    </row>
    <row r="109" spans="1:12" x14ac:dyDescent="0.4">
      <c r="A109" s="13" t="s">
        <v>32</v>
      </c>
      <c r="B109" s="13" t="s">
        <v>162</v>
      </c>
      <c r="C109" s="14" t="str">
        <f>HYPERLINK("https://us.assetplanner.com/service_request?ID=76529","SR076529")</f>
        <v>SR076529</v>
      </c>
      <c r="D109" s="15">
        <v>45190.517361111109</v>
      </c>
      <c r="E109" s="13" t="s">
        <v>34</v>
      </c>
      <c r="F109" s="13" t="s">
        <v>35</v>
      </c>
      <c r="G109" s="13" t="s">
        <v>88</v>
      </c>
      <c r="H109" s="13" t="s">
        <v>89</v>
      </c>
      <c r="I109" s="13" t="s">
        <v>35</v>
      </c>
      <c r="J109" s="13" t="s">
        <v>35</v>
      </c>
      <c r="K109" s="15">
        <v>45280</v>
      </c>
      <c r="L109" s="13" t="s">
        <v>171</v>
      </c>
    </row>
    <row r="110" spans="1:12" x14ac:dyDescent="0.4">
      <c r="A110" s="13" t="s">
        <v>32</v>
      </c>
      <c r="B110" s="13" t="s">
        <v>162</v>
      </c>
      <c r="C110" s="14" t="str">
        <f>HYPERLINK("https://us.assetplanner.com/service_request?ID=77199","SR077199")</f>
        <v>SR077199</v>
      </c>
      <c r="D110" s="15">
        <v>45203.357638888891</v>
      </c>
      <c r="E110" s="13" t="s">
        <v>34</v>
      </c>
      <c r="F110" s="13" t="s">
        <v>35</v>
      </c>
      <c r="G110" s="13" t="s">
        <v>46</v>
      </c>
      <c r="H110" s="13" t="s">
        <v>47</v>
      </c>
      <c r="I110" s="13" t="s">
        <v>35</v>
      </c>
      <c r="J110" s="13" t="s">
        <v>35</v>
      </c>
      <c r="K110" s="15">
        <v>45239</v>
      </c>
      <c r="L110" s="13" t="s">
        <v>164</v>
      </c>
    </row>
    <row r="111" spans="1:12" x14ac:dyDescent="0.4">
      <c r="A111" s="13" t="s">
        <v>32</v>
      </c>
      <c r="B111" s="13" t="s">
        <v>162</v>
      </c>
      <c r="C111" s="14" t="str">
        <f>HYPERLINK("https://us.assetplanner.com/service_request?ID=77198","SR077198")</f>
        <v>SR077198</v>
      </c>
      <c r="D111" s="15">
        <v>45203.357638888891</v>
      </c>
      <c r="E111" s="13" t="s">
        <v>34</v>
      </c>
      <c r="F111" s="13" t="s">
        <v>35</v>
      </c>
      <c r="G111" s="13" t="s">
        <v>129</v>
      </c>
      <c r="H111" s="13" t="s">
        <v>66</v>
      </c>
      <c r="I111" s="13" t="s">
        <v>35</v>
      </c>
      <c r="J111" s="13" t="s">
        <v>35</v>
      </c>
      <c r="K111" s="16" t="s">
        <v>35</v>
      </c>
      <c r="L111" s="13" t="s">
        <v>35</v>
      </c>
    </row>
    <row r="112" spans="1:12" x14ac:dyDescent="0.4">
      <c r="A112" s="13" t="s">
        <v>32</v>
      </c>
      <c r="B112" s="13" t="s">
        <v>162</v>
      </c>
      <c r="C112" s="14" t="str">
        <f>HYPERLINK("https://us.assetplanner.com/service_request?ID=78135","SR078135")</f>
        <v>SR078135</v>
      </c>
      <c r="D112" s="15">
        <v>45238.364583333336</v>
      </c>
      <c r="E112" s="13" t="s">
        <v>161</v>
      </c>
      <c r="F112" s="13" t="s">
        <v>35</v>
      </c>
      <c r="G112" s="13" t="s">
        <v>46</v>
      </c>
      <c r="H112" s="13" t="s">
        <v>47</v>
      </c>
      <c r="I112" s="13" t="s">
        <v>35</v>
      </c>
      <c r="J112" s="13" t="s">
        <v>35</v>
      </c>
      <c r="K112" s="16" t="s">
        <v>35</v>
      </c>
      <c r="L112" s="13" t="s">
        <v>35</v>
      </c>
    </row>
    <row r="113" spans="1:12" x14ac:dyDescent="0.4">
      <c r="A113" s="13" t="s">
        <v>32</v>
      </c>
      <c r="B113" s="13" t="s">
        <v>174</v>
      </c>
      <c r="C113" s="14" t="str">
        <f>HYPERLINK("https://us.assetplanner.com/service_request?ID=78177","SR078177")</f>
        <v>SR078177</v>
      </c>
      <c r="D113" s="15">
        <v>45239.866666666669</v>
      </c>
      <c r="E113" s="13" t="s">
        <v>34</v>
      </c>
      <c r="F113" s="13" t="s">
        <v>35</v>
      </c>
      <c r="G113" s="13" t="s">
        <v>46</v>
      </c>
      <c r="H113" s="13" t="s">
        <v>37</v>
      </c>
      <c r="I113" s="13" t="s">
        <v>35</v>
      </c>
      <c r="J113" s="13" t="s">
        <v>35</v>
      </c>
      <c r="K113" s="16" t="s">
        <v>35</v>
      </c>
      <c r="L113" s="13" t="s">
        <v>35</v>
      </c>
    </row>
    <row r="114" spans="1:12" x14ac:dyDescent="0.4">
      <c r="A114" s="13" t="s">
        <v>32</v>
      </c>
      <c r="B114" s="13" t="s">
        <v>98</v>
      </c>
      <c r="C114" s="14" t="str">
        <f>HYPERLINK("https://us.assetplanner.com/service_request?ID=78431","SR078431")</f>
        <v>SR078431</v>
      </c>
      <c r="D114" s="15">
        <v>45250.54791666667</v>
      </c>
      <c r="E114" s="13" t="s">
        <v>34</v>
      </c>
      <c r="F114" s="13" t="s">
        <v>35</v>
      </c>
      <c r="G114" s="13" t="s">
        <v>39</v>
      </c>
      <c r="H114" s="13" t="s">
        <v>37</v>
      </c>
      <c r="I114" s="13" t="s">
        <v>35</v>
      </c>
      <c r="J114" s="13" t="s">
        <v>35</v>
      </c>
      <c r="K114" s="15">
        <v>45258</v>
      </c>
      <c r="L114" s="13" t="s">
        <v>165</v>
      </c>
    </row>
    <row r="115" spans="1:12" x14ac:dyDescent="0.4">
      <c r="A115" s="13" t="s">
        <v>32</v>
      </c>
      <c r="B115" s="13" t="s">
        <v>98</v>
      </c>
      <c r="C115" s="14" t="str">
        <f>HYPERLINK("https://us.assetplanner.com/service_request?ID=78430","SR078430")</f>
        <v>SR078430</v>
      </c>
      <c r="D115" s="15">
        <v>45250.54791666667</v>
      </c>
      <c r="E115" s="13" t="s">
        <v>34</v>
      </c>
      <c r="F115" s="13" t="s">
        <v>35</v>
      </c>
      <c r="G115" s="13" t="s">
        <v>39</v>
      </c>
      <c r="H115" s="13" t="s">
        <v>37</v>
      </c>
      <c r="I115" s="13" t="s">
        <v>35</v>
      </c>
      <c r="J115" s="13" t="s">
        <v>35</v>
      </c>
      <c r="K115" s="16" t="s">
        <v>35</v>
      </c>
      <c r="L115" s="13" t="s">
        <v>35</v>
      </c>
    </row>
    <row r="116" spans="1:12" x14ac:dyDescent="0.4">
      <c r="A116" s="13" t="s">
        <v>32</v>
      </c>
      <c r="B116" s="13" t="s">
        <v>174</v>
      </c>
      <c r="C116" s="14" t="str">
        <f>HYPERLINK("https://us.assetplanner.com/service_request?ID=78763","SR078763")</f>
        <v>SR078763</v>
      </c>
      <c r="D116" s="15">
        <v>45263.126388888886</v>
      </c>
      <c r="E116" s="13" t="s">
        <v>34</v>
      </c>
      <c r="F116" s="13" t="s">
        <v>35</v>
      </c>
      <c r="G116" s="13" t="s">
        <v>46</v>
      </c>
      <c r="H116" s="13" t="s">
        <v>37</v>
      </c>
      <c r="I116" s="13" t="s">
        <v>35</v>
      </c>
      <c r="J116" s="13" t="s">
        <v>35</v>
      </c>
      <c r="K116" s="16" t="s">
        <v>35</v>
      </c>
      <c r="L116" s="13" t="s">
        <v>35</v>
      </c>
    </row>
    <row r="117" spans="1:12" x14ac:dyDescent="0.4">
      <c r="A117" s="13" t="s">
        <v>32</v>
      </c>
      <c r="B117" s="13" t="s">
        <v>98</v>
      </c>
      <c r="C117" s="14" t="str">
        <f>HYPERLINK("https://us.assetplanner.com/service_request?ID=78860","SR078860")</f>
        <v>SR078860</v>
      </c>
      <c r="D117" s="15">
        <v>45265.388194444444</v>
      </c>
      <c r="E117" s="13" t="s">
        <v>34</v>
      </c>
      <c r="F117" s="13" t="s">
        <v>35</v>
      </c>
      <c r="G117" s="13" t="s">
        <v>39</v>
      </c>
      <c r="H117" s="13" t="s">
        <v>170</v>
      </c>
      <c r="I117" s="13" t="s">
        <v>35</v>
      </c>
      <c r="J117" s="13" t="s">
        <v>35</v>
      </c>
      <c r="K117" s="16" t="s">
        <v>35</v>
      </c>
      <c r="L117" s="13" t="s">
        <v>35</v>
      </c>
    </row>
    <row r="118" spans="1:12" x14ac:dyDescent="0.4">
      <c r="A118" s="13" t="s">
        <v>32</v>
      </c>
      <c r="B118" s="13" t="s">
        <v>162</v>
      </c>
      <c r="C118" s="14" t="str">
        <f>HYPERLINK("https://us.assetplanner.com/service_request?ID=79459","SR079459")</f>
        <v>SR079459</v>
      </c>
      <c r="D118" s="15">
        <v>45278.536111111112</v>
      </c>
      <c r="E118" s="13" t="s">
        <v>34</v>
      </c>
      <c r="F118" s="13" t="s">
        <v>35</v>
      </c>
      <c r="G118" s="13" t="s">
        <v>169</v>
      </c>
      <c r="H118" s="13" t="s">
        <v>47</v>
      </c>
      <c r="I118" s="13" t="s">
        <v>35</v>
      </c>
      <c r="J118" s="13" t="s">
        <v>35</v>
      </c>
      <c r="K118" s="16" t="s">
        <v>35</v>
      </c>
      <c r="L118" s="13" t="s">
        <v>35</v>
      </c>
    </row>
    <row r="119" spans="1:12" x14ac:dyDescent="0.4">
      <c r="A119" s="13" t="s">
        <v>32</v>
      </c>
      <c r="B119" s="13" t="s">
        <v>98</v>
      </c>
      <c r="C119" s="14" t="str">
        <f>HYPERLINK("https://us.assetplanner.com/service_request?ID=79566","SR079566")</f>
        <v>SR079566</v>
      </c>
      <c r="D119" s="15">
        <v>45280.318055555559</v>
      </c>
      <c r="E119" s="13" t="s">
        <v>34</v>
      </c>
      <c r="F119" s="13" t="s">
        <v>35</v>
      </c>
      <c r="G119" s="13" t="s">
        <v>39</v>
      </c>
      <c r="H119" s="13" t="s">
        <v>41</v>
      </c>
      <c r="I119" s="13" t="s">
        <v>35</v>
      </c>
      <c r="J119" s="13" t="s">
        <v>35</v>
      </c>
      <c r="K119" s="15">
        <v>45286</v>
      </c>
      <c r="L119" s="13" t="s">
        <v>168</v>
      </c>
    </row>
    <row r="120" spans="1:12" x14ac:dyDescent="0.4">
      <c r="A120" s="13" t="s">
        <v>32</v>
      </c>
      <c r="B120" s="13" t="s">
        <v>162</v>
      </c>
      <c r="C120" s="14" t="str">
        <f>HYPERLINK("https://us.assetplanner.com/service_request?ID=79570","SR079570")</f>
        <v>SR079570</v>
      </c>
      <c r="D120" s="15">
        <v>45280.414583333331</v>
      </c>
      <c r="E120" s="13" t="s">
        <v>25</v>
      </c>
      <c r="F120" s="13" t="s">
        <v>167</v>
      </c>
      <c r="G120" s="13" t="s">
        <v>88</v>
      </c>
      <c r="H120" s="13" t="s">
        <v>89</v>
      </c>
      <c r="I120" s="13" t="s">
        <v>35</v>
      </c>
      <c r="J120" s="13" t="s">
        <v>35</v>
      </c>
      <c r="K120" s="16" t="s">
        <v>35</v>
      </c>
      <c r="L120" s="13" t="s">
        <v>35</v>
      </c>
    </row>
    <row r="121" spans="1:12" x14ac:dyDescent="0.4">
      <c r="A121" s="13" t="s">
        <v>32</v>
      </c>
      <c r="B121" s="13" t="s">
        <v>98</v>
      </c>
      <c r="C121" s="14" t="str">
        <f>HYPERLINK("https://us.assetplanner.com/service_request?ID=79572","SR079572")</f>
        <v>SR079572</v>
      </c>
      <c r="D121" s="15">
        <v>45280.425000000003</v>
      </c>
      <c r="E121" s="13" t="s">
        <v>25</v>
      </c>
      <c r="F121" s="13" t="s">
        <v>167</v>
      </c>
      <c r="G121" s="13" t="s">
        <v>88</v>
      </c>
      <c r="H121" s="13" t="s">
        <v>89</v>
      </c>
      <c r="I121" s="13" t="s">
        <v>35</v>
      </c>
      <c r="J121" s="13" t="s">
        <v>35</v>
      </c>
      <c r="K121" s="16" t="s">
        <v>35</v>
      </c>
      <c r="L121" s="13" t="s">
        <v>35</v>
      </c>
    </row>
    <row r="122" spans="1:12" x14ac:dyDescent="0.4">
      <c r="A122" s="13" t="s">
        <v>32</v>
      </c>
      <c r="B122" s="13" t="s">
        <v>174</v>
      </c>
      <c r="C122" s="14" t="str">
        <f>HYPERLINK("https://us.assetplanner.com/service_request?ID=79577","SR079577")</f>
        <v>SR079577</v>
      </c>
      <c r="D122" s="15">
        <v>45280.444444444445</v>
      </c>
      <c r="E122" s="13" t="s">
        <v>34</v>
      </c>
      <c r="F122" s="13" t="s">
        <v>35</v>
      </c>
      <c r="G122" s="13" t="s">
        <v>39</v>
      </c>
      <c r="H122" s="13" t="s">
        <v>41</v>
      </c>
      <c r="I122" s="13" t="s">
        <v>35</v>
      </c>
      <c r="J122" s="13" t="s">
        <v>35</v>
      </c>
      <c r="K122" s="15">
        <v>45286</v>
      </c>
      <c r="L122" s="13" t="s">
        <v>166</v>
      </c>
    </row>
    <row r="123" spans="1:12" x14ac:dyDescent="0.4">
      <c r="A123" s="13" t="s">
        <v>32</v>
      </c>
      <c r="B123" s="13" t="s">
        <v>174</v>
      </c>
      <c r="C123" s="14" t="str">
        <f>HYPERLINK("https://us.assetplanner.com/service_request?ID=79607","SR079607")</f>
        <v>SR079607</v>
      </c>
      <c r="D123" s="15">
        <v>45280.611805555556</v>
      </c>
      <c r="E123" s="13" t="s">
        <v>34</v>
      </c>
      <c r="F123" s="13" t="s">
        <v>35</v>
      </c>
      <c r="G123" s="13" t="s">
        <v>129</v>
      </c>
      <c r="H123" s="13" t="s">
        <v>66</v>
      </c>
      <c r="I123" s="13" t="s">
        <v>35</v>
      </c>
      <c r="J123" s="13" t="s">
        <v>35</v>
      </c>
      <c r="K123" s="16" t="s">
        <v>35</v>
      </c>
      <c r="L123" s="13" t="s">
        <v>35</v>
      </c>
    </row>
    <row r="124" spans="1:12" x14ac:dyDescent="0.4">
      <c r="A124" s="13" t="s">
        <v>32</v>
      </c>
      <c r="B124" s="13" t="s">
        <v>174</v>
      </c>
      <c r="C124" s="14" t="str">
        <f>HYPERLINK("https://us.assetplanner.com/service_request?ID=79740","SR079740")</f>
        <v>SR079740</v>
      </c>
      <c r="D124" s="15">
        <v>45287.255555555559</v>
      </c>
      <c r="E124" s="13" t="s">
        <v>161</v>
      </c>
      <c r="F124" s="13" t="s">
        <v>35</v>
      </c>
      <c r="G124" s="13" t="s">
        <v>39</v>
      </c>
      <c r="H124" s="13" t="s">
        <v>41</v>
      </c>
      <c r="I124" s="13" t="s">
        <v>35</v>
      </c>
      <c r="J124" s="13" t="s">
        <v>35</v>
      </c>
      <c r="K124" s="16" t="s">
        <v>35</v>
      </c>
      <c r="L124" s="13" t="s">
        <v>35</v>
      </c>
    </row>
    <row r="125" spans="1:12" x14ac:dyDescent="0.4">
      <c r="A125" s="13" t="s">
        <v>32</v>
      </c>
      <c r="B125" s="13" t="s">
        <v>174</v>
      </c>
      <c r="C125" s="14" t="str">
        <f>HYPERLINK("https://us.assetplanner.com/service_request?ID=80039","SR080039")</f>
        <v>SR080039</v>
      </c>
      <c r="D125" s="15">
        <v>45299.354861111111</v>
      </c>
      <c r="E125" s="13" t="s">
        <v>34</v>
      </c>
      <c r="F125" s="13" t="s">
        <v>35</v>
      </c>
      <c r="G125" s="13" t="s">
        <v>46</v>
      </c>
      <c r="H125" s="13" t="s">
        <v>41</v>
      </c>
      <c r="I125" s="13" t="s">
        <v>35</v>
      </c>
      <c r="J125" s="13" t="s">
        <v>35</v>
      </c>
      <c r="K125" s="15">
        <v>45307</v>
      </c>
      <c r="L125" s="13" t="s">
        <v>175</v>
      </c>
    </row>
    <row r="126" spans="1:12" x14ac:dyDescent="0.4">
      <c r="A126" s="13" t="s">
        <v>32</v>
      </c>
      <c r="B126" s="13" t="s">
        <v>174</v>
      </c>
      <c r="C126" s="14" t="str">
        <f>HYPERLINK("https://us.assetplanner.com/service_request?ID=80038","SR080038")</f>
        <v>SR080038</v>
      </c>
      <c r="D126" s="15">
        <v>45299.354861111111</v>
      </c>
      <c r="E126" s="13" t="s">
        <v>161</v>
      </c>
      <c r="F126" s="13" t="s">
        <v>35</v>
      </c>
      <c r="G126" s="13" t="s">
        <v>39</v>
      </c>
      <c r="H126" s="13" t="s">
        <v>41</v>
      </c>
      <c r="I126" s="13" t="s">
        <v>35</v>
      </c>
      <c r="J126" s="13" t="s">
        <v>35</v>
      </c>
      <c r="K126" s="16" t="s">
        <v>35</v>
      </c>
      <c r="L126" s="13" t="s">
        <v>35</v>
      </c>
    </row>
    <row r="127" spans="1:12" x14ac:dyDescent="0.4">
      <c r="A127" s="13" t="s">
        <v>32</v>
      </c>
      <c r="B127" s="13" t="s">
        <v>176</v>
      </c>
      <c r="C127" s="14" t="str">
        <f>HYPERLINK("https://us.assetplanner.com/service_request?ID=80246","SR080246")</f>
        <v>SR080246</v>
      </c>
      <c r="D127" s="15">
        <v>45306.886111111111</v>
      </c>
      <c r="E127" s="13" t="s">
        <v>161</v>
      </c>
      <c r="F127" s="13" t="s">
        <v>35</v>
      </c>
      <c r="G127" s="13" t="s">
        <v>46</v>
      </c>
      <c r="H127" s="13" t="s">
        <v>41</v>
      </c>
      <c r="I127" s="13" t="s">
        <v>35</v>
      </c>
      <c r="J127" s="13" t="s">
        <v>35</v>
      </c>
      <c r="K127" s="16" t="s">
        <v>35</v>
      </c>
      <c r="L127" s="13" t="s">
        <v>35</v>
      </c>
    </row>
    <row r="128" spans="1:12" x14ac:dyDescent="0.4">
      <c r="A128" s="13" t="s">
        <v>32</v>
      </c>
      <c r="B128" s="13" t="s">
        <v>98</v>
      </c>
      <c r="C128" s="14" t="str">
        <f>HYPERLINK("https://us.assetplanner.com/service_request?ID=80251","SR080251")</f>
        <v>SR080251</v>
      </c>
      <c r="D128" s="15">
        <v>45307.381249999999</v>
      </c>
      <c r="E128" s="13" t="s">
        <v>34</v>
      </c>
      <c r="F128" s="13" t="s">
        <v>35</v>
      </c>
      <c r="G128" s="13" t="s">
        <v>39</v>
      </c>
      <c r="H128" s="13" t="s">
        <v>41</v>
      </c>
      <c r="I128" s="13" t="s">
        <v>35</v>
      </c>
      <c r="J128" s="13" t="s">
        <v>35</v>
      </c>
      <c r="K128" s="15">
        <v>45308</v>
      </c>
      <c r="L128" s="13" t="s">
        <v>177</v>
      </c>
    </row>
    <row r="129" spans="1:12" x14ac:dyDescent="0.4">
      <c r="A129" s="13" t="s">
        <v>32</v>
      </c>
      <c r="B129" s="13" t="s">
        <v>98</v>
      </c>
      <c r="C129" s="14" t="str">
        <f>HYPERLINK("https://us.assetplanner.com/service_request?ID=80261","SR080261")</f>
        <v>SR080261</v>
      </c>
      <c r="D129" s="15">
        <v>45307.493750000001</v>
      </c>
      <c r="E129" s="13" t="s">
        <v>161</v>
      </c>
      <c r="F129" s="13" t="s">
        <v>35</v>
      </c>
      <c r="G129" s="13" t="s">
        <v>39</v>
      </c>
      <c r="H129" s="13" t="s">
        <v>47</v>
      </c>
      <c r="I129" s="13" t="s">
        <v>178</v>
      </c>
      <c r="J129" s="13" t="s">
        <v>35</v>
      </c>
      <c r="K129" s="16" t="s">
        <v>35</v>
      </c>
      <c r="L129" s="13" t="s">
        <v>35</v>
      </c>
    </row>
    <row r="130" spans="1:12" x14ac:dyDescent="0.4">
      <c r="A130" s="13" t="s">
        <v>32</v>
      </c>
      <c r="B130" s="13" t="s">
        <v>162</v>
      </c>
      <c r="C130" s="14" t="str">
        <f>HYPERLINK("https://us.assetplanner.com/service_request?ID=80578","SR080578")</f>
        <v>SR080578</v>
      </c>
      <c r="D130" s="15">
        <v>45320.515277777777</v>
      </c>
      <c r="E130" s="13" t="s">
        <v>34</v>
      </c>
      <c r="F130" s="13" t="s">
        <v>35</v>
      </c>
      <c r="G130" s="13" t="s">
        <v>43</v>
      </c>
      <c r="H130" s="13" t="s">
        <v>179</v>
      </c>
      <c r="I130" s="13" t="s">
        <v>35</v>
      </c>
      <c r="J130" s="13" t="s">
        <v>35</v>
      </c>
      <c r="K130" s="16" t="s">
        <v>35</v>
      </c>
      <c r="L130" s="13" t="s">
        <v>35</v>
      </c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B7EE9D-36CE-4FCD-B7F7-28389DF55AD2}">
  <ds:schemaRefs>
    <ds:schemaRef ds:uri="7f39bfab-6331-41a1-b6d4-5b974a316951"/>
    <ds:schemaRef ds:uri="ddcd8467-55ca-498e-a9f8-86795db5db7a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0F4C2E-7F47-43F9-9EEC-28E6AAD81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Dileep Siriki [Libsys]</cp:lastModifiedBy>
  <cp:revision/>
  <dcterms:created xsi:type="dcterms:W3CDTF">2023-01-26T19:30:47Z</dcterms:created>
  <dcterms:modified xsi:type="dcterms:W3CDTF">2024-02-10T22:41:11Z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