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1" documentId="13_ncr:1_{1972C468-8CC5-4F42-8B9E-A3AFA3832F56}" xr6:coauthVersionLast="47" xr6:coauthVersionMax="47" xr10:uidLastSave="{BB7F22AC-8AD8-4CB7-93A8-53CB02FE0AE8}"/>
  <bookViews>
    <workbookView xWindow="43080" yWindow="7560" windowWidth="29040" windowHeight="15720" tabRatio="866" activeTab="19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South Easton - Hajjar Solar LLC" sheetId="5" r:id="rId19"/>
    <sheet name="Hanover - Hajjar Solar LLC" sheetId="69" r:id="rId20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'01-2024'!$C$3:$C$4</definedName>
    <definedName name="JanActual2">'01-2024'!#REF!</definedName>
    <definedName name="JanExpected">'01-2024'!$D$3:$D$4</definedName>
    <definedName name="JanExpectedDelta">'01-2024'!$E$3:$E$4</definedName>
    <definedName name="JanExpectedPercent">'01-2024'!$F$3:$F$4</definedName>
    <definedName name="JanExpPercent">'01-2024'!$F$3:$F$4</definedName>
    <definedName name="JanForecasted">'01-2024'!$G$3:$G$4</definedName>
    <definedName name="JanForecastedDelta">'01-2024'!$H$3:$H$4</definedName>
    <definedName name="JanForecastedPercent">'01-2024'!$I$3:$I$4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9" l="1"/>
  <c r="E16" i="69" s="1"/>
  <c r="G16" i="69"/>
  <c r="H16" i="69" s="1"/>
  <c r="G16" i="5"/>
  <c r="H16" i="5" s="1"/>
  <c r="D16" i="5"/>
  <c r="E16" i="5" s="1"/>
  <c r="G15" i="69"/>
  <c r="H15" i="69" s="1"/>
  <c r="D15" i="69"/>
  <c r="E15" i="69" s="1"/>
  <c r="D15" i="5"/>
  <c r="E15" i="5" s="1"/>
  <c r="G15" i="5"/>
  <c r="H15" i="5" s="1"/>
  <c r="G14" i="69"/>
  <c r="H14" i="69" s="1"/>
  <c r="D14" i="69"/>
  <c r="E14" i="69" s="1"/>
  <c r="G14" i="5"/>
  <c r="H14" i="5" s="1"/>
  <c r="E14" i="5"/>
  <c r="D14" i="5"/>
  <c r="G13" i="69"/>
  <c r="H13" i="69" s="1"/>
  <c r="D13" i="69"/>
  <c r="E13" i="69" s="1"/>
  <c r="G13" i="5"/>
  <c r="H13" i="5" s="1"/>
  <c r="D13" i="5"/>
  <c r="E13" i="5" s="1"/>
  <c r="G12" i="69"/>
  <c r="H12" i="69" s="1"/>
  <c r="D12" i="69"/>
  <c r="E12" i="69" s="1"/>
  <c r="G12" i="5"/>
  <c r="H12" i="5" s="1"/>
  <c r="D12" i="5"/>
  <c r="E12" i="5" s="1"/>
  <c r="G11" i="69" l="1"/>
  <c r="H11" i="69" s="1"/>
  <c r="D11" i="69"/>
  <c r="E11" i="69" s="1"/>
  <c r="G11" i="5"/>
  <c r="H11" i="5" s="1"/>
  <c r="D11" i="5"/>
  <c r="E11" i="5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69"/>
  <c r="C17" i="69"/>
  <c r="B17" i="69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G6" i="69"/>
  <c r="H6" i="69" s="1"/>
  <c r="D6" i="69"/>
  <c r="E6" i="69" s="1"/>
  <c r="G5" i="69"/>
  <c r="H5" i="69" s="1"/>
  <c r="D5" i="69"/>
  <c r="F17" i="5"/>
  <c r="C17" i="5"/>
  <c r="B17" i="5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A3" i="2" a="1"/>
  <c r="C4" i="33" a="1"/>
  <c r="C4" i="28" a="1"/>
  <c r="C4" i="31" a="1"/>
  <c r="C4" i="26" a="1"/>
  <c r="C4" i="27" a="1"/>
  <c r="C4" i="20" a="1"/>
  <c r="C4" i="21" a="1"/>
  <c r="C4" i="32" a="1"/>
  <c r="C4" i="27" l="1"/>
  <c r="C4" i="33"/>
  <c r="C4" i="32"/>
  <c r="C4" i="20"/>
  <c r="C4" i="26"/>
  <c r="C4" i="31"/>
  <c r="C4" i="21"/>
  <c r="C4" i="28"/>
  <c r="E5" i="69"/>
  <c r="E7" i="69"/>
  <c r="E5" i="5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69"/>
  <c r="H17" i="69" s="1"/>
  <c r="D17" i="69"/>
  <c r="E17" i="69" s="1"/>
  <c r="G17" i="5"/>
  <c r="H17" i="5" s="1"/>
  <c r="D17" i="5"/>
  <c r="E17" i="5" s="1"/>
  <c r="B3" i="2" a="1"/>
  <c r="B3" i="2" s="1"/>
  <c r="C3" i="3" a="1"/>
  <c r="C3" i="21" a="1"/>
  <c r="C3" i="19" a="1"/>
  <c r="C4" i="2" a="1"/>
  <c r="C4" i="4" a="1"/>
  <c r="C3" i="20" a="1"/>
  <c r="C3" i="26" a="1"/>
  <c r="C4" i="3" a="1"/>
  <c r="C4" i="19" a="1"/>
  <c r="C3" i="4" a="1"/>
  <c r="C3" i="33" a="1"/>
  <c r="C3" i="27" a="1"/>
  <c r="C3" i="31" a="1"/>
  <c r="C3" i="32" a="1"/>
  <c r="C3" i="28" a="1"/>
  <c r="C3" i="2" a="1"/>
  <c r="C3" i="21" l="1"/>
  <c r="C3" i="4"/>
  <c r="C3" i="32"/>
  <c r="C3" i="33"/>
  <c r="C3" i="20"/>
  <c r="C3" i="26"/>
  <c r="C3" i="27"/>
  <c r="C3" i="2"/>
  <c r="C3" i="28"/>
  <c r="C3" i="31"/>
  <c r="C3" i="19"/>
  <c r="C4" i="19"/>
  <c r="C4" i="2"/>
  <c r="C4" i="4"/>
  <c r="C4" i="3"/>
  <c r="D3" i="18"/>
  <c r="G3" i="18"/>
  <c r="D4" i="18"/>
  <c r="G4" i="18"/>
  <c r="D3" i="29"/>
  <c r="G3" i="29"/>
  <c r="D4" i="29"/>
  <c r="G4" i="29"/>
  <c r="D3" i="30"/>
  <c r="G3" i="30"/>
  <c r="D4" i="30"/>
  <c r="G4" i="30"/>
  <c r="G3" i="1"/>
  <c r="D4" i="1"/>
  <c r="G4" i="1"/>
  <c r="D3" i="1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G5" i="3"/>
  <c r="D5" i="3"/>
  <c r="C3" i="3"/>
  <c r="C3" i="18" l="1"/>
  <c r="H3" i="18" s="1"/>
  <c r="I3" i="18" s="1"/>
  <c r="C3" i="29"/>
  <c r="H3" i="29" s="1"/>
  <c r="I3" i="29" s="1"/>
  <c r="C4" i="18"/>
  <c r="C5" i="27"/>
  <c r="H5" i="27" s="1"/>
  <c r="I5" i="27" s="1"/>
  <c r="D5" i="18"/>
  <c r="G5" i="18"/>
  <c r="D5" i="30"/>
  <c r="D5" i="29"/>
  <c r="G5" i="1"/>
  <c r="C4" i="30"/>
  <c r="G5" i="30"/>
  <c r="D3" i="34"/>
  <c r="C5" i="32"/>
  <c r="E5" i="32" s="1"/>
  <c r="F5" i="32" s="1"/>
  <c r="C4" i="29"/>
  <c r="G5" i="29"/>
  <c r="D4" i="34"/>
  <c r="C5" i="4"/>
  <c r="H5" i="4" s="1"/>
  <c r="I5" i="4" s="1"/>
  <c r="C5" i="28"/>
  <c r="H5" i="28" s="1"/>
  <c r="I5" i="28" s="1"/>
  <c r="G4" i="34"/>
  <c r="C5" i="19"/>
  <c r="H5" i="19" s="1"/>
  <c r="I5" i="19" s="1"/>
  <c r="C5" i="33"/>
  <c r="H5" i="33" s="1"/>
  <c r="I5" i="33" s="1"/>
  <c r="C3" i="30"/>
  <c r="H3" i="30" s="1"/>
  <c r="I3" i="30" s="1"/>
  <c r="C5" i="20"/>
  <c r="E5" i="20" s="1"/>
  <c r="F5" i="20" s="1"/>
  <c r="D5" i="1"/>
  <c r="G3" i="34"/>
  <c r="C5" i="31"/>
  <c r="E5" i="31" s="1"/>
  <c r="F5" i="31" s="1"/>
  <c r="C5" i="26"/>
  <c r="H5" i="26" s="1"/>
  <c r="I5" i="26" s="1"/>
  <c r="C5" i="21"/>
  <c r="E5" i="21" s="1"/>
  <c r="F5" i="21" s="1"/>
  <c r="C4" i="1"/>
  <c r="C5" i="3"/>
  <c r="E5" i="3" s="1"/>
  <c r="F5" i="3" s="1"/>
  <c r="C3" i="1"/>
  <c r="E4" i="30" l="1"/>
  <c r="F4" i="30" s="1"/>
  <c r="H4" i="30"/>
  <c r="I4" i="30" s="1"/>
  <c r="E4" i="29"/>
  <c r="F4" i="29" s="1"/>
  <c r="H4" i="29"/>
  <c r="I4" i="29" s="1"/>
  <c r="E4" i="18"/>
  <c r="F4" i="18" s="1"/>
  <c r="H4" i="18"/>
  <c r="I4" i="18" s="1"/>
  <c r="E4" i="1"/>
  <c r="F4" i="1" s="1"/>
  <c r="H4" i="1"/>
  <c r="I4" i="1" s="1"/>
  <c r="E3" i="1"/>
  <c r="F3" i="1" s="1"/>
  <c r="H3" i="1"/>
  <c r="I3" i="1" s="1"/>
  <c r="E5" i="27"/>
  <c r="F5" i="27" s="1"/>
  <c r="H5" i="32"/>
  <c r="I5" i="32" s="1"/>
  <c r="E5" i="19"/>
  <c r="F5" i="19" s="1"/>
  <c r="E5" i="4"/>
  <c r="F5" i="4" s="1"/>
  <c r="H5" i="20"/>
  <c r="I5" i="20" s="1"/>
  <c r="C4" i="34"/>
  <c r="H5" i="3"/>
  <c r="I5" i="3" s="1"/>
  <c r="E5" i="33"/>
  <c r="F5" i="33" s="1"/>
  <c r="D5" i="34"/>
  <c r="E5" i="28"/>
  <c r="F5" i="28" s="1"/>
  <c r="G5" i="34"/>
  <c r="C3" i="34"/>
  <c r="H5" i="21"/>
  <c r="I5" i="21" s="1"/>
  <c r="H5" i="31"/>
  <c r="I5" i="31" s="1"/>
  <c r="E5" i="26"/>
  <c r="F5" i="26" s="1"/>
  <c r="C5" i="30"/>
  <c r="E3" i="30"/>
  <c r="C5" i="29"/>
  <c r="E3" i="29"/>
  <c r="C5" i="18"/>
  <c r="E3" i="18"/>
  <c r="C5" i="1"/>
  <c r="E4" i="34" l="1"/>
  <c r="F4" i="34" s="1"/>
  <c r="H4" i="34"/>
  <c r="I4" i="34" s="1"/>
  <c r="E3" i="34"/>
  <c r="F3" i="34" s="1"/>
  <c r="H3" i="34"/>
  <c r="I3" i="34" s="1"/>
  <c r="F3" i="30"/>
  <c r="F3" i="29"/>
  <c r="F3" i="18"/>
  <c r="C5" i="34"/>
  <c r="H5" i="34" s="1"/>
  <c r="I5" i="34" s="1"/>
  <c r="H5" i="30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G5" i="2"/>
  <c r="D5" i="2"/>
  <c r="E5" i="34" l="1"/>
  <c r="F5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<sst xmlns="http://schemas.openxmlformats.org/spreadsheetml/2006/main" count="341" uniqueCount="79">
  <si>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</si>
  <si>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</si>
  <si>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</si>
  <si>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</si>
  <si>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</si>
  <si>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</si>
  <si>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</si>
  <si>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</si>
  <si>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</si>
  <si>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</si>
  <si>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</si>
  <si>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</si>
  <si>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</si>
  <si>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</si>
  <si>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</si>
  <si>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</si>
  <si>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</si>
  <si>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</si>
  <si>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</si>
  <si>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</si>
  <si>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</si>
  <si>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</si>
  <si>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</si>
  <si>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</si>
  <si>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</si>
  <si>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</si>
  <si>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</si>
  <si>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</si>
  <si>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</si>
  <si>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</si>
  <si>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</si>
  <si>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</si>
  <si>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</si>
  <si>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</si>
  <si>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</si>
  <si>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</si>
  <si>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</si>
  <si>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</si>
  <si>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</si>
  <si>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</si>
  <si>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</si>
  <si>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</si>
  <si>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</si>
  <si>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</si>
  <si>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</si>
  <si>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</si>
  <si>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</si>
  <si>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HAJJAR SOLAR LLC</t>
  </si>
  <si>
    <t>Site DAS Name</t>
  </si>
  <si>
    <t>Column1</t>
  </si>
  <si>
    <t>24 Norfolk Ave</t>
  </si>
  <si>
    <t>South Easton - Hajjar Solar LLC</t>
  </si>
  <si>
    <t>MA</t>
  </si>
  <si>
    <t>389 Columbia Road</t>
  </si>
  <si>
    <t>Hanover - Hajjar Solar LLC</t>
  </si>
  <si>
    <t>AF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</si>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</sst>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6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29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4" fillId="3" borderId="15" xfId="0" applyFont="1" applyFill="1" applyBorder="1" applyAlignment="1">
      <alignment horizontal="center" vertical="center" wrapText="1"/>
    </xf>
    <xf numFmtId="9" fontId="6" fillId="3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6" fillId="40" borderId="15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9" fillId="0" borderId="35" xfId="0" applyFont="1" applyBorder="1" applyAlignment="1">
      <alignment horizontal="left" vertical="center"/>
    </xf>
    <xf numFmtId="0" fontId="30" fillId="0" borderId="2" xfId="0" applyFont="1" applyBorder="1" applyAlignment="1">
      <alignment horizontal="center"/>
    </xf>
    <xf numFmtId="9" fontId="31" fillId="43" borderId="2" xfId="2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7" xfId="0" applyFont="1" applyFill="1" applyBorder="1" applyAlignment="1">
      <alignment horizontal="left" vertical="center" wrapText="1"/>
    </xf>
    <xf numFmtId="9" fontId="32" fillId="3" borderId="36" xfId="2" applyFont="1" applyFill="1" applyBorder="1" applyAlignment="1">
      <alignment horizontal="left" vertical="center" wrapText="1"/>
    </xf>
    <xf numFmtId="0" fontId="32" fillId="4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horizontal="left" vertical="center" wrapText="1"/>
    </xf>
    <xf numFmtId="9" fontId="32" fillId="4" borderId="36" xfId="2" applyFont="1" applyFill="1" applyBorder="1" applyAlignment="1">
      <alignment horizontal="left" vertical="center"/>
    </xf>
    <xf numFmtId="9" fontId="32" fillId="43" borderId="37" xfId="2" applyFont="1" applyFill="1" applyBorder="1" applyAlignment="1">
      <alignment horizontal="center" vertical="center"/>
    </xf>
    <xf numFmtId="9" fontId="32" fillId="43" borderId="38" xfId="2" applyFont="1" applyFill="1" applyBorder="1" applyAlignment="1">
      <alignment horizontal="center" vertical="center"/>
    </xf>
    <xf numFmtId="0" fontId="30" fillId="45" borderId="40" xfId="0" applyFont="1" applyFill="1" applyBorder="1" applyAlignment="1">
      <alignment horizontal="center"/>
    </xf>
    <xf numFmtId="3" fontId="34" fillId="3" borderId="16" xfId="0" applyNumberFormat="1" applyFont="1" applyFill="1" applyBorder="1" applyAlignment="1">
      <alignment horizontal="right"/>
    </xf>
    <xf numFmtId="9" fontId="34" fillId="3" borderId="16" xfId="2" applyFont="1" applyFill="1" applyBorder="1" applyAlignment="1">
      <alignment horizontal="center"/>
    </xf>
    <xf numFmtId="3" fontId="34" fillId="4" borderId="16" xfId="1" applyNumberFormat="1" applyFont="1" applyFill="1" applyBorder="1"/>
    <xf numFmtId="9" fontId="34" fillId="40" borderId="16" xfId="2" applyFont="1" applyFill="1" applyBorder="1" applyAlignment="1">
      <alignment horizontal="center"/>
    </xf>
    <xf numFmtId="9" fontId="34" fillId="3" borderId="14" xfId="2" applyFont="1" applyFill="1" applyBorder="1" applyAlignment="1">
      <alignment horizontal="center"/>
    </xf>
    <xf numFmtId="9" fontId="34" fillId="40" borderId="14" xfId="2" applyFont="1" applyFill="1" applyBorder="1" applyAlignment="1">
      <alignment horizontal="center"/>
    </xf>
    <xf numFmtId="9" fontId="34" fillId="37" borderId="18" xfId="0" applyNumberFormat="1" applyFont="1" applyFill="1" applyBorder="1" applyAlignment="1">
      <alignment horizontal="center" vertical="center"/>
    </xf>
    <xf numFmtId="9" fontId="34" fillId="37" borderId="22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/>
    </xf>
    <xf numFmtId="0" fontId="35" fillId="2" borderId="15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left" vertical="center" wrapText="1"/>
    </xf>
    <xf numFmtId="0" fontId="37" fillId="45" borderId="40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3" fontId="34" fillId="37" borderId="18" xfId="0" applyNumberFormat="1" applyFont="1" applyFill="1" applyBorder="1" applyAlignment="1">
      <alignment horizontal="center" vertical="center"/>
    </xf>
    <xf numFmtId="3" fontId="34" fillId="37" borderId="18" xfId="1" applyNumberFormat="1" applyFont="1" applyFill="1" applyBorder="1" applyAlignment="1">
      <alignment horizontal="center" vertical="center"/>
    </xf>
    <xf numFmtId="3" fontId="38" fillId="3" borderId="2" xfId="0" applyNumberFormat="1" applyFont="1" applyFill="1" applyBorder="1" applyAlignment="1">
      <alignment horizontal="right"/>
    </xf>
    <xf numFmtId="9" fontId="38" fillId="3" borderId="2" xfId="2" applyFont="1" applyFill="1" applyBorder="1" applyAlignment="1">
      <alignment horizontal="center"/>
    </xf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/>
    </xf>
    <xf numFmtId="9" fontId="38" fillId="3" borderId="1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 wrapText="1"/>
    </xf>
    <xf numFmtId="3" fontId="38" fillId="38" borderId="14" xfId="0" applyNumberFormat="1" applyFont="1" applyFill="1" applyBorder="1"/>
    <xf numFmtId="3" fontId="38" fillId="4" borderId="13" xfId="1" applyNumberFormat="1" applyFont="1" applyFill="1" applyBorder="1"/>
    <xf numFmtId="3" fontId="38" fillId="4" borderId="2" xfId="1" applyNumberFormat="1" applyFont="1" applyFill="1" applyBorder="1" applyAlignment="1">
      <alignment vertical="center"/>
    </xf>
    <xf numFmtId="3" fontId="38" fillId="39" borderId="14" xfId="0" applyNumberFormat="1" applyFont="1" applyFill="1" applyBorder="1"/>
    <xf numFmtId="3" fontId="38" fillId="3" borderId="28" xfId="0" applyNumberFormat="1" applyFont="1" applyFill="1" applyBorder="1" applyAlignment="1">
      <alignment horizontal="right"/>
    </xf>
    <xf numFmtId="3" fontId="38" fillId="4" borderId="39" xfId="1" applyNumberFormat="1" applyFont="1" applyFill="1" applyBorder="1"/>
    <xf numFmtId="9" fontId="38" fillId="43" borderId="28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center" vertical="center"/>
    </xf>
    <xf numFmtId="9" fontId="38" fillId="43" borderId="28" xfId="2" applyFont="1" applyFill="1" applyBorder="1" applyAlignment="1">
      <alignment horizontal="center"/>
    </xf>
    <xf numFmtId="3" fontId="38" fillId="37" borderId="18" xfId="0" applyNumberFormat="1" applyFont="1" applyFill="1" applyBorder="1" applyAlignment="1">
      <alignment horizontal="center" vertical="center"/>
    </xf>
    <xf numFmtId="9" fontId="38" fillId="37" borderId="18" xfId="0" applyNumberFormat="1" applyFont="1" applyFill="1" applyBorder="1" applyAlignment="1">
      <alignment horizontal="center" vertical="center"/>
    </xf>
    <xf numFmtId="3" fontId="38" fillId="37" borderId="18" xfId="1" applyNumberFormat="1" applyFont="1" applyFill="1" applyBorder="1" applyAlignment="1">
      <alignment horizontal="center" vertical="center"/>
    </xf>
    <xf numFmtId="9" fontId="38" fillId="37" borderId="22" xfId="0" applyNumberFormat="1" applyFont="1" applyFill="1" applyBorder="1" applyAlignment="1">
      <alignment horizontal="center" vertical="center"/>
    </xf>
    <xf numFmtId="49" fontId="38" fillId="0" borderId="0" xfId="0" applyNumberFormat="1" applyFont="1"/>
    <xf numFmtId="0" fontId="38" fillId="0" borderId="0" xfId="0" applyFont="1"/>
    <xf numFmtId="9" fontId="38" fillId="0" borderId="0" xfId="2" applyFont="1" applyAlignment="1">
      <alignment horizontal="center"/>
    </xf>
    <xf numFmtId="49" fontId="38" fillId="43" borderId="2" xfId="2" applyNumberFormat="1" applyFont="1" applyFill="1" applyBorder="1" applyAlignment="1">
      <alignment horizontal="left"/>
    </xf>
    <xf numFmtId="0" fontId="26" fillId="0" borderId="1" xfId="65" applyFont="1" applyBorder="1"/>
    <xf numFmtId="0" fontId="26" fillId="0" borderId="2" xfId="65" applyFont="1" applyBorder="1"/>
    <xf numFmtId="3" fontId="38" fillId="4" borderId="2" xfId="46" applyNumberFormat="1" applyFont="1" applyFill="1" applyBorder="1" applyAlignment="1">
      <alignment horizontal="right" vertical="center"/>
    </xf>
    <xf numFmtId="3" fontId="34" fillId="37" borderId="18" xfId="1" applyNumberFormat="1" applyFont="1" applyFill="1" applyBorder="1" applyAlignment="1">
      <alignment vertical="center"/>
    </xf>
    <xf numFmtId="3" fontId="38" fillId="3" borderId="2" xfId="45" applyNumberFormat="1" applyFont="1" applyFill="1" applyBorder="1" applyAlignment="1">
      <alignment horizontal="right"/>
    </xf>
    <xf numFmtId="3" fontId="34" fillId="37" borderId="18" xfId="0" applyNumberFormat="1" applyFont="1" applyFill="1" applyBorder="1" applyAlignment="1">
      <alignment vertical="center"/>
    </xf>
    <xf numFmtId="3" fontId="38" fillId="4" borderId="13" xfId="46" applyNumberFormat="1" applyFont="1" applyFill="1" applyBorder="1"/>
    <xf numFmtId="49" fontId="38" fillId="43" borderId="2" xfId="2" applyNumberFormat="1" applyFont="1" applyFill="1" applyBorder="1" applyAlignment="1">
      <alignment horizontal="left" vertical="top"/>
    </xf>
    <xf numFmtId="3" fontId="38" fillId="4" borderId="2" xfId="46" applyNumberFormat="1" applyFont="1" applyFill="1" applyBorder="1"/>
    <xf numFmtId="9" fontId="31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vertical="top"/>
    </xf>
    <xf numFmtId="9" fontId="31" fillId="43" borderId="2" xfId="2" applyFont="1" applyFill="1" applyBorder="1" applyAlignment="1">
      <alignment horizontal="left"/>
    </xf>
    <xf numFmtId="3" fontId="38" fillId="3" borderId="2" xfId="45" applyNumberFormat="1" applyFont="1" applyFill="1" applyBorder="1" applyAlignment="1">
      <alignment horizontal="right" vertic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2" xfId="2" applyFont="1" applyFill="1" applyBorder="1" applyAlignment="1">
      <alignment horizontal="center" vertical="center"/>
    </xf>
    <xf numFmtId="3" fontId="38" fillId="4" borderId="2" xfId="46" applyNumberFormat="1" applyFont="1" applyFill="1" applyBorder="1" applyAlignment="1">
      <alignment vertical="center"/>
    </xf>
    <xf numFmtId="9" fontId="38" fillId="4" borderId="2" xfId="2" applyFont="1" applyFill="1" applyBorder="1" applyAlignment="1">
      <alignment horizontal="center" vertical="center"/>
    </xf>
    <xf numFmtId="9" fontId="38" fillId="3" borderId="1" xfId="2" applyFont="1" applyFill="1" applyBorder="1" applyAlignment="1">
      <alignment horizontal="center" vertical="center"/>
    </xf>
    <xf numFmtId="3" fontId="38" fillId="4" borderId="13" xfId="46" applyNumberFormat="1" applyFont="1" applyFill="1" applyBorder="1" applyAlignment="1">
      <alignment vertical="center"/>
    </xf>
    <xf numFmtId="3" fontId="38" fillId="4" borderId="13" xfId="1" applyNumberFormat="1" applyFont="1" applyFill="1" applyBorder="1" applyAlignment="1">
      <alignment vertical="center"/>
    </xf>
    <xf numFmtId="3" fontId="38" fillId="38" borderId="14" xfId="0" applyNumberFormat="1" applyFont="1" applyFill="1" applyBorder="1" applyAlignment="1">
      <alignment vertical="center"/>
    </xf>
    <xf numFmtId="3" fontId="38" fillId="39" borderId="14" xfId="0" applyNumberFormat="1" applyFont="1" applyFill="1" applyBorder="1" applyAlignment="1">
      <alignment vertical="center"/>
    </xf>
    <xf numFmtId="3" fontId="38" fillId="3" borderId="28" xfId="0" applyNumberFormat="1" applyFont="1" applyFill="1" applyBorder="1" applyAlignment="1">
      <alignment horizontal="right" vertical="center"/>
    </xf>
    <xf numFmtId="3" fontId="38" fillId="4" borderId="39" xfId="1" applyNumberFormat="1" applyFont="1" applyFill="1" applyBorder="1" applyAlignment="1">
      <alignment vertical="center"/>
    </xf>
    <xf numFmtId="3" fontId="30" fillId="5" borderId="1" xfId="0" applyNumberFormat="1" applyFont="1" applyFill="1" applyBorder="1" applyAlignment="1">
      <alignment horizontal="center" vertical="center"/>
    </xf>
    <xf numFmtId="9" fontId="30" fillId="5" borderId="1" xfId="2" applyFont="1" applyFill="1" applyBorder="1" applyAlignment="1">
      <alignment horizontal="center" vertical="center"/>
    </xf>
    <xf numFmtId="9" fontId="30" fillId="5" borderId="1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9" fontId="38" fillId="43" borderId="28" xfId="2" applyFont="1" applyFill="1" applyBorder="1" applyAlignment="1">
      <alignment horizontal="left"/>
    </xf>
    <xf numFmtId="0" fontId="8" fillId="5" borderId="31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 vertical="center"/>
    </xf>
    <xf numFmtId="0" fontId="33" fillId="44" borderId="24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9" fillId="44" borderId="24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67">
    <cellStyle name="20% - Accent1" xfId="20" builtinId="30" customBuiltin="1"/>
    <cellStyle name="20% - Accent1 2" xfId="47" xr:uid="{EC88CFE4-C4A4-4CF4-BF25-9CED574AD8CE}"/>
    <cellStyle name="20% - Accent2" xfId="24" builtinId="34" customBuiltin="1"/>
    <cellStyle name="20% - Accent2 2" xfId="50" xr:uid="{47362E79-9690-4687-87A0-7DCD64CAEC85}"/>
    <cellStyle name="20% - Accent3" xfId="28" builtinId="38" customBuiltin="1"/>
    <cellStyle name="20% - Accent3 2" xfId="53" xr:uid="{1B414A72-2D03-4067-93FB-F28F040A7869}"/>
    <cellStyle name="20% - Accent4" xfId="32" builtinId="42" customBuiltin="1"/>
    <cellStyle name="20% - Accent4 2" xfId="56" xr:uid="{59D3F091-610D-4548-A578-0A924E45475F}"/>
    <cellStyle name="20% - Accent5" xfId="36" builtinId="46" customBuiltin="1"/>
    <cellStyle name="20% - Accent5 2" xfId="59" xr:uid="{B1B8B501-BF7D-4160-A83E-E941D8565557}"/>
    <cellStyle name="20% - Accent6" xfId="40" builtinId="50" customBuiltin="1"/>
    <cellStyle name="20% - Accent6 2" xfId="62" xr:uid="{AA059411-25CF-4FD2-ACF4-3973A6D05002}"/>
    <cellStyle name="40% - Accent1" xfId="21" builtinId="31" customBuiltin="1"/>
    <cellStyle name="40% - Accent1 2" xfId="48" xr:uid="{0583292E-1E60-45D5-9EB4-C1D1A6517FDB}"/>
    <cellStyle name="40% - Accent2" xfId="25" builtinId="35" customBuiltin="1"/>
    <cellStyle name="40% - Accent2 2" xfId="51" xr:uid="{5FBF5E44-54B1-4214-B731-FC7096F589AC}"/>
    <cellStyle name="40% - Accent3" xfId="29" builtinId="39" customBuiltin="1"/>
    <cellStyle name="40% - Accent3 2" xfId="54" xr:uid="{EF7F9D1F-8CA1-4021-8110-FD4252E1CFD1}"/>
    <cellStyle name="40% - Accent4" xfId="33" builtinId="43" customBuiltin="1"/>
    <cellStyle name="40% - Accent4 2" xfId="57" xr:uid="{6CF61D87-4DFC-4765-9A9A-E6A3236BFC93}"/>
    <cellStyle name="40% - Accent5" xfId="37" builtinId="47" customBuiltin="1"/>
    <cellStyle name="40% - Accent5 2" xfId="60" xr:uid="{8F78757B-9C3B-415A-AD18-7E930C8AF8E2}"/>
    <cellStyle name="40% - Accent6" xfId="41" builtinId="51" customBuiltin="1"/>
    <cellStyle name="40% - Accent6 2" xfId="63" xr:uid="{35635D36-4417-4C67-8604-E2926871112D}"/>
    <cellStyle name="60% - Accent1" xfId="22" builtinId="32" customBuiltin="1"/>
    <cellStyle name="60% - Accent1 2" xfId="49" xr:uid="{E5754BFA-BE9D-4105-9258-1F1A08046D55}"/>
    <cellStyle name="60% - Accent2" xfId="26" builtinId="36" customBuiltin="1"/>
    <cellStyle name="60% - Accent2 2" xfId="52" xr:uid="{D79893D2-4A15-4CDA-B97E-23753D18BEAD}"/>
    <cellStyle name="60% - Accent3" xfId="30" builtinId="40" customBuiltin="1"/>
    <cellStyle name="60% - Accent3 2" xfId="55" xr:uid="{6E4B005A-16CF-45E3-BA85-10B4B83AC9FA}"/>
    <cellStyle name="60% - Accent4" xfId="34" builtinId="44" customBuiltin="1"/>
    <cellStyle name="60% - Accent4 2" xfId="58" xr:uid="{9CA7E8BB-7FDA-46FE-8BE6-79A1FE4619A9}"/>
    <cellStyle name="60% - Accent5" xfId="38" builtinId="48" customBuiltin="1"/>
    <cellStyle name="60% - Accent5 2" xfId="61" xr:uid="{8451DB3F-E2C7-4885-99A6-2E4D819D0EFC}"/>
    <cellStyle name="60% - Accent6" xfId="42" builtinId="52" customBuiltin="1"/>
    <cellStyle name="60% - Accent6 2" xfId="64" xr:uid="{E7472323-38D6-4148-A463-87EC011BFDD2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F8859F72-1AD1-4948-95DD-2A3FCAF06CE3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65" xr:uid="{5703F01E-B080-4216-B1AE-0BDE71F783B9}"/>
    <cellStyle name="Normal 3" xfId="45" xr:uid="{982F074A-794E-4C2D-BC79-5C1F7E8A76F1}"/>
    <cellStyle name="Note 2" xfId="44" xr:uid="{74FD8891-0B2B-4B5A-B89E-AB361AD9C09D}"/>
    <cellStyle name="Note 2 2" xfId="66" xr:uid="{FB49C709-DD7E-4438-BC01-B5C5C8E2D53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4" totalsRowShown="0" headerRowBorderDxfId="36">
  <autoFilter ref="A2:D4" xr:uid="{66A40F5E-D45A-46FE-9183-4A31296D93F1}"/>
  <sortState xmlns:xlrd2="http://schemas.microsoft.com/office/spreadsheetml/2017/richdata2" ref="A3:D4">
    <sortCondition ref="C2:C4"/>
  </sortState>
  <tableColumns count="4">
    <tableColumn id="3" xr3:uid="{BFC0214A-8820-4A19-81D0-852548EDA4BC}" name="Site DAS Name" dataDxfId="35" dataCellStyle="Normal 2"/>
    <tableColumn id="1" xr3:uid="{2ECEDF7A-47C1-4159-BC3D-6E76D6492D27}" name="Site" dataDxfId="34" dataCellStyle="Normal 2"/>
    <tableColumn id="2" xr3:uid="{2C9662E7-9933-4E8D-97A6-DB7E03BCDC09}" name="State" dataDxfId="33" dataCellStyle="Normal 2"/>
    <tableColumn id="5" xr3:uid="{F1D3BF47-C530-4653-922C-CDF1211AB5F9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9" dataDxfId="28" headerRowBorderDxfId="26" tableBorderDxfId="27">
  <autoFilter ref="A4:J16" xr:uid="{59A959C2-52B2-422A-A87A-BC08BBF40681}"/>
  <tableColumns count="10">
    <tableColumn id="1" xr3:uid="{5546520C-DCC9-49E9-9FB3-CE316D4944DA}" name="Month" dataDxfId="25"/>
    <tableColumn id="2" xr3:uid="{DDF452E8-4CE6-4DD7-83F1-6C18FAC64F53}" name="Actual" dataDxfId="24"/>
    <tableColumn id="3" xr3:uid="{854FA685-1E8D-434A-A191-70ED326137F6}" name="Expected" dataDxfId="23"/>
    <tableColumn id="4" xr3:uid="{5C3F4DED-9A03-4256-AB35-C17DABA79D2D}" name="Delta Expected" dataDxfId="22">
      <calculatedColumnFormula>B5-C5</calculatedColumnFormula>
    </tableColumn>
    <tableColumn id="5" xr3:uid="{41D24EBB-4EC4-4943-84C6-B4913606DB53}" name="% Expected" dataDxfId="21">
      <calculatedColumnFormula>IFERROR(D5/C5, 0)</calculatedColumnFormula>
    </tableColumn>
    <tableColumn id="6" xr3:uid="{BD395EF8-0433-4B53-BE3C-227C7BC36415}" name="Forecasted" dataDxfId="20"/>
    <tableColumn id="7" xr3:uid="{72B64D61-E6FB-4C48-8CEB-D343DF097E3E}" name="Delta Forecasted" dataDxfId="19" dataCellStyle="Comma">
      <calculatedColumnFormula>B5-F5</calculatedColumnFormula>
    </tableColumn>
    <tableColumn id="8" xr3:uid="{27F4C8CA-7E0A-46AD-8278-F15F669646B7}" name="% Forecasted" dataDxfId="18">
      <calculatedColumnFormula>IFERROR(G5/F5, 0)</calculatedColumnFormula>
    </tableColumn>
    <tableColumn id="9" xr3:uid="{623D8263-ADF2-4E83-A133-77A77ECF5573}" name="Notes" dataDxfId="17"/>
    <tableColumn id="10" xr3:uid="{D21843AC-EB45-41B5-BBF8-600127984792}" name="Service Reques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3" dataDxfId="12" headerRowBorderDxfId="10" tableBorderDxfId="11">
  <autoFilter ref="A4:J16" xr:uid="{59A959C2-52B2-422A-A87A-BC08BBF40681}"/>
  <tableColumns count="10">
    <tableColumn id="1" xr3:uid="{300F2B93-3E43-4029-9602-E5303206602D}" name="Month" dataDxfId="9"/>
    <tableColumn id="2" xr3:uid="{37FF0282-4483-4A16-B4CD-FA5C5D2AAB66}" name="Actual" dataDxfId="8"/>
    <tableColumn id="3" xr3:uid="{4B1572C6-48CA-4285-A895-59F55B5B6A3F}" name="Expected" dataDxfId="7"/>
    <tableColumn id="4" xr3:uid="{05CC6563-3045-40DE-A32C-A03045F46221}" name="Delta Expected" dataDxfId="6">
      <calculatedColumnFormula>B5-C5</calculatedColumnFormula>
    </tableColumn>
    <tableColumn id="5" xr3:uid="{0112F9D3-7673-407D-B2C0-617699B4EADA}" name="% Expected" dataDxfId="5">
      <calculatedColumnFormula>IFERROR(D5/C5, 0)</calculatedColumnFormula>
    </tableColumn>
    <tableColumn id="6" xr3:uid="{66AF3356-8A8A-4469-9904-982EE44943E2}" name="Forecasted" dataDxfId="4"/>
    <tableColumn id="7" xr3:uid="{C6527BC9-FA83-465E-9209-CCE13ABEDC9D}" name="Delta Forecasted" dataDxfId="3" dataCellStyle="Comma">
      <calculatedColumnFormula>B5-F5</calculatedColumnFormula>
    </tableColumn>
    <tableColumn id="8" xr3:uid="{FA6C6671-F650-4018-910D-2FFB550B3762}" name="% Forecasted" dataDxfId="2">
      <calculatedColumnFormula>IFERROR(G5/F5, 0)</calculatedColumnFormula>
    </tableColumn>
    <tableColumn id="9" xr3:uid="{2783C74E-2CBC-4809-B11D-46D4F8FBBA31}" name="Notes" dataDxfId="1"/>
    <tableColumn id="10" xr3:uid="{0D13FC05-4475-4C0F-ACFE-D5CA9083D091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1"/>
  <sheetViews>
    <sheetView workbookViewId="0">
      <pane ySplit="2" topLeftCell="C3" activePane="bottomLeft" state="frozen"/>
      <selection pane="bottomLeft" activeCell="C33" sqref="C33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0</v>
      </c>
      <c r="D1" s="115"/>
      <c r="E1" s="115"/>
      <c r="F1" s="116"/>
      <c r="G1" s="117" t="s">
        <v>1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>
        <f ca="1">SUM('1st Quarter 2024'!C3, '2nd Quarter 2024'!C3, '3rd Quarter 2024'!C3, '4th Quarter 2024'!C3)</f>
        <v>7854.4374986065104</v>
      </c>
      <c r="D3" s="33">
        <f ca="1">SUM('1st Quarter 2024'!D3, '2nd Quarter 2024'!D3, '3rd Quarter 2024'!D3, '4th Quarter 2024'!D3)</f>
        <v>0</v>
      </c>
      <c r="E3" s="33">
        <f ca="1">C3-D3</f>
        <v>7854.4374986065104</v>
      </c>
      <c r="F3" s="34">
        <f ca="1">IFERROR(E3/D3, 0)</f>
        <v>0</v>
      </c>
      <c r="G3" s="35">
        <f ca="1">SUM('1st Quarter 2024'!G3, '2nd Quarter 2024'!G3, '3rd Quarter 2024'!G3, '4th Quarter 2024'!G3)</f>
        <v>23810</v>
      </c>
      <c r="H3" s="35">
        <f ca="1">C3-G3</f>
        <v>-15955.56250139349</v>
      </c>
      <c r="I3" s="36">
        <f ca="1">IFERROR(H3/G3, 0)</f>
        <v>-0.67012022265407345</v>
      </c>
      <c r="J3" s="17"/>
      <c r="K3" s="17"/>
    </row>
    <row r="4" spans="1:11" ht="15.75">
      <c r="A4" s="46" t="str">
        <v>Hanover - Hajjar Solar LLC</v>
      </c>
      <c r="B4" s="18" t="str">
        <v>MA</v>
      </c>
      <c r="C4" s="33">
        <f ca="1">SUM('1st Quarter 2024'!C4, '2nd Quarter 2024'!C4, '3rd Quarter 2024'!C4, '4th Quarter 2024'!C4)</f>
        <v>14572.9899902344</v>
      </c>
      <c r="D4" s="33">
        <f ca="1">SUM('1st Quarter 2024'!D4, '2nd Quarter 2024'!D4, '3rd Quarter 2024'!D4, '4th Quarter 2024'!D4)</f>
        <v>0</v>
      </c>
      <c r="E4" s="33">
        <f t="shared" ref="E4" ca="1" si="0">C4-D4</f>
        <v>14572.9899902344</v>
      </c>
      <c r="F4" s="34">
        <f t="shared" ref="F4" ca="1" si="1">IFERROR(E4/D4, 0)</f>
        <v>0</v>
      </c>
      <c r="G4" s="35">
        <f ca="1">SUM('1st Quarter 2024'!G4, '2nd Quarter 2024'!G4, '3rd Quarter 2024'!G4, '4th Quarter 2024'!G4)</f>
        <v>28762.45</v>
      </c>
      <c r="H4" s="35">
        <f t="shared" ref="H4" ca="1" si="2">C4-G4</f>
        <v>-14189.4600097656</v>
      </c>
      <c r="I4" s="36">
        <f t="shared" ref="I4" ca="1" si="3">IFERROR(H4/G4, 0)</f>
        <v>-0.49333280057038253</v>
      </c>
      <c r="J4" s="17"/>
      <c r="K4" s="17"/>
    </row>
    <row r="5" spans="1:11" ht="13.5">
      <c r="A5" s="108" t="s">
        <v>11</v>
      </c>
      <c r="B5" s="109"/>
      <c r="C5" s="79">
        <f ca="1">SUM(C3:C4)</f>
        <v>22427.427488840913</v>
      </c>
      <c r="D5" s="79">
        <f ca="1">SUM(D3:D4)</f>
        <v>0</v>
      </c>
      <c r="E5" s="79">
        <f ca="1">C5-D5</f>
        <v>22427.427488840913</v>
      </c>
      <c r="F5" s="39">
        <f ca="1">IFERROR(E5/D5, 0)</f>
        <v>0</v>
      </c>
      <c r="G5" s="79">
        <f ca="1">SUM(G3:G4)</f>
        <v>52572.45</v>
      </c>
      <c r="H5" s="77">
        <f ca="1">C5-G5</f>
        <v>-30145.022511159084</v>
      </c>
      <c r="I5" s="40">
        <f ca="1">IFERROR(H5/G5, 0)</f>
        <v>-0.57339961350781798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D5C25034-9971-4A61-864F-C938F31EB1B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1"/>
  <sheetViews>
    <sheetView workbookViewId="0">
      <pane ySplit="2" topLeftCell="D32" activePane="bottomLeft" state="frozen"/>
      <selection pane="bottomLeft" activeCell="D32" sqref="D31:D32"/>
      <selection activeCell="C10" sqref="C10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14</v>
      </c>
      <c r="D1" s="115"/>
      <c r="E1" s="115"/>
      <c r="F1" s="116"/>
      <c r="G1" s="117" t="s">
        <v>15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>
        <f ca="1">SUM('01-2024'!C3, '02-2024'!C3, '03-2024'!C3)</f>
        <v>7854.4374986065104</v>
      </c>
      <c r="D3" s="33">
        <f ca="1">SUM('01-2024'!D3, '02-2024'!D3, '03-2024'!D3)</f>
        <v>0</v>
      </c>
      <c r="E3" s="33">
        <f ca="1">C3-D3</f>
        <v>7854.4374986065104</v>
      </c>
      <c r="F3" s="34">
        <f ca="1">IFERROR(E3/D3, 0)</f>
        <v>0</v>
      </c>
      <c r="G3" s="35">
        <f ca="1">SUM('01-2024'!G3, '02-2024'!G3, '03-2024'!G3)</f>
        <v>23810</v>
      </c>
      <c r="H3" s="35">
        <f ca="1">C3-G3</f>
        <v>-15955.56250139349</v>
      </c>
      <c r="I3" s="36">
        <f ca="1">IFERROR(H3/G3, 0)</f>
        <v>-0.67012022265407345</v>
      </c>
      <c r="J3" s="17"/>
      <c r="K3" s="17"/>
    </row>
    <row r="4" spans="1:11" ht="15.75">
      <c r="A4" s="46" t="str">
        <v>Hanover - Hajjar Solar LLC</v>
      </c>
      <c r="B4" s="18" t="str">
        <v>MA</v>
      </c>
      <c r="C4" s="33">
        <f ca="1">SUM('01-2024'!C4, '02-2024'!C4, '03-2024'!C4)</f>
        <v>14572.9899902344</v>
      </c>
      <c r="D4" s="33">
        <f ca="1">SUM('01-2024'!D4, '02-2024'!D4, '03-2024'!D4)</f>
        <v>0</v>
      </c>
      <c r="E4" s="33">
        <f t="shared" ref="E4" ca="1" si="0">C4-D4</f>
        <v>14572.9899902344</v>
      </c>
      <c r="F4" s="34">
        <f t="shared" ref="F4" ca="1" si="1">IFERROR(E4/D4, 0)</f>
        <v>0</v>
      </c>
      <c r="G4" s="35">
        <f ca="1">SUM('01-2024'!G4, '02-2024'!G4, '03-2024'!G4)</f>
        <v>28762.45</v>
      </c>
      <c r="H4" s="35">
        <f t="shared" ref="H4" ca="1" si="2">C4-G4</f>
        <v>-14189.4600097656</v>
      </c>
      <c r="I4" s="36">
        <f t="shared" ref="I4" ca="1" si="3">IFERROR(H4/G4, 0)</f>
        <v>-0.49333280057038253</v>
      </c>
      <c r="J4" s="17"/>
      <c r="K4" s="17"/>
    </row>
    <row r="5" spans="1:11" ht="13.5">
      <c r="A5" s="108" t="s">
        <v>11</v>
      </c>
      <c r="B5" s="109"/>
      <c r="C5" s="79">
        <f ca="1">SUM(C3:C4)</f>
        <v>22427.427488840913</v>
      </c>
      <c r="D5" s="79">
        <f ca="1">SUM(D3:D4)</f>
        <v>0</v>
      </c>
      <c r="E5" s="79">
        <f ca="1">C5-D5</f>
        <v>22427.427488840913</v>
      </c>
      <c r="F5" s="39">
        <f ca="1">IFERROR(E5/D5, 0)</f>
        <v>0</v>
      </c>
      <c r="G5" s="79">
        <f ca="1">SUM(G3:G4)</f>
        <v>52572.45</v>
      </c>
      <c r="H5" s="77">
        <f ca="1">C5-G5</f>
        <v>-30145.022511159084</v>
      </c>
      <c r="I5" s="40">
        <f ca="1">IFERROR(H5/G5, 0)</f>
        <v>-0.57339961350781798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0" sqref="C10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16</v>
      </c>
      <c r="D1" s="115"/>
      <c r="E1" s="115"/>
      <c r="F1" s="116"/>
      <c r="G1" s="117" t="s">
        <v>17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>
        <f ca="1">SUM('04-2024'!C3, '05-2024'!C3, '06-2024'!C3)</f>
        <v>0</v>
      </c>
      <c r="D3" s="33">
        <f ca="1">SUM('04-2024'!D3, '05-2024'!D3, '06-2024'!D3)</f>
        <v>0</v>
      </c>
      <c r="E3" s="33">
        <f ca="1">C3-D3</f>
        <v>0</v>
      </c>
      <c r="F3" s="34">
        <f ca="1">IFERROR(E3/D3, 0)</f>
        <v>0</v>
      </c>
      <c r="G3" s="35">
        <f ca="1">SUM('04-2024'!G3, '05-2024'!G3, '06-2024'!G3)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Hanover - Hajjar Solar LLC</v>
      </c>
      <c r="B4" s="18" t="str">
        <v>MA</v>
      </c>
      <c r="C4" s="33">
        <f ca="1">SUM('04-2024'!C4, '05-2024'!C4, '06-2024'!C4)</f>
        <v>0</v>
      </c>
      <c r="D4" s="33">
        <f ca="1">SUM('04-2024'!D4, '05-2024'!D4, '06-2024'!D4)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SUM('04-2024'!G4, '05-2024'!G4, '06-2024'!G4)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13.5">
      <c r="A5" s="108" t="s">
        <v>11</v>
      </c>
      <c r="B5" s="109"/>
      <c r="C5" s="79">
        <f ca="1">SUM(C3:C4)</f>
        <v>0</v>
      </c>
      <c r="D5" s="79">
        <f ca="1">SUM(D3:D4)</f>
        <v>0</v>
      </c>
      <c r="E5" s="79">
        <f ca="1">C5-D5</f>
        <v>0</v>
      </c>
      <c r="F5" s="39">
        <f ca="1">IFERROR(E5/D5, 0)</f>
        <v>0</v>
      </c>
      <c r="G5" s="79">
        <f ca="1">SUM(G3:G4)</f>
        <v>0</v>
      </c>
      <c r="H5" s="77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0"/>
  <sheetViews>
    <sheetView topLeftCell="B1" workbookViewId="0">
      <pane ySplit="2" topLeftCell="A3" activePane="bottomLeft" state="frozen"/>
      <selection pane="bottomLeft" activeCell="C1" sqref="C1:I1"/>
      <selection activeCell="C10" sqref="C10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18</v>
      </c>
      <c r="D1" s="115"/>
      <c r="E1" s="115"/>
      <c r="F1" s="116"/>
      <c r="G1" s="117" t="s">
        <v>19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>
        <f ca="1">SUM('07-2024'!C3, '08-2024'!C3, '09-2024'!C3)</f>
        <v>0</v>
      </c>
      <c r="D3" s="33">
        <f ca="1">SUM('07-2024'!D3, '08-2024'!D3, '09-2024'!D3)</f>
        <v>0</v>
      </c>
      <c r="E3" s="33">
        <f ca="1">C3-D3</f>
        <v>0</v>
      </c>
      <c r="F3" s="34">
        <f ca="1">IFERROR(E3/D3, 0)</f>
        <v>0</v>
      </c>
      <c r="G3" s="35">
        <f ca="1">SUM('07-2024'!G3, '08-2024'!G3, '09-2024'!G3)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Hanover - Hajjar Solar LLC</v>
      </c>
      <c r="B4" s="18" t="str">
        <v>MA</v>
      </c>
      <c r="C4" s="33">
        <f ca="1">SUM('07-2024'!C4, '08-2024'!C4, '09-2024'!C4)</f>
        <v>0</v>
      </c>
      <c r="D4" s="33">
        <f ca="1">SUM('07-2024'!D4, '08-2024'!D4, '09-2024'!D4)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SUM('07-2024'!G4, '08-2024'!G4, '09-2024'!G4)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13.5">
      <c r="A5" s="108" t="s">
        <v>11</v>
      </c>
      <c r="B5" s="109"/>
      <c r="C5" s="79">
        <f ca="1">SUM(C3:C4)</f>
        <v>0</v>
      </c>
      <c r="D5" s="79">
        <f ca="1">SUM(D3:D4)</f>
        <v>0</v>
      </c>
      <c r="E5" s="79">
        <f ca="1">C5-D5</f>
        <v>0</v>
      </c>
      <c r="F5" s="39">
        <f ca="1">IFERROR(E5/D5, 0)</f>
        <v>0</v>
      </c>
      <c r="G5" s="79">
        <f ca="1">SUM(G3:G4)</f>
        <v>0</v>
      </c>
      <c r="H5" s="77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</sheetData>
  <autoFilter ref="A2:I2" xr:uid="{CACFAF7D-C0A7-49C0-9FFC-8D8BC8F00BC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0" sqref="C10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20</v>
      </c>
      <c r="D1" s="115"/>
      <c r="E1" s="115"/>
      <c r="F1" s="116"/>
      <c r="G1" s="117" t="s">
        <v>21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>
        <f ca="1">SUM('10-2024'!C3, '11-2024'!C3, '12-2024'!C3)</f>
        <v>0</v>
      </c>
      <c r="D3" s="33">
        <f ca="1">SUM('10-2024'!D3, '11-2024'!D3, '12-2024'!D3)</f>
        <v>0</v>
      </c>
      <c r="E3" s="33">
        <f ca="1">C3-D3</f>
        <v>0</v>
      </c>
      <c r="F3" s="34">
        <f ca="1">IFERROR(E3/D3, 0)</f>
        <v>0</v>
      </c>
      <c r="G3" s="35">
        <f ca="1">SUM('10-2024'!G3, '11-2024'!G3, '12-2024'!G3)</f>
        <v>0</v>
      </c>
      <c r="H3" s="35">
        <f ca="1">C3-G3</f>
        <v>0</v>
      </c>
      <c r="I3" s="36">
        <f ca="1">IFERROR(H3/G3, 0)</f>
        <v>0</v>
      </c>
      <c r="J3" s="17"/>
      <c r="K3" s="17"/>
    </row>
    <row r="4" spans="1:11" ht="15.75">
      <c r="A4" s="46" t="str">
        <v>Hanover - Hajjar Solar LLC</v>
      </c>
      <c r="B4" s="18" t="str">
        <v>MA</v>
      </c>
      <c r="C4" s="33">
        <f ca="1">SUM('10-2024'!C4, '11-2024'!C4, '12-2024'!C4)</f>
        <v>0</v>
      </c>
      <c r="D4" s="33">
        <f ca="1">SUM('10-2024'!D4, '11-2024'!D4, '12-2024'!D4)</f>
        <v>0</v>
      </c>
      <c r="E4" s="33">
        <f t="shared" ref="E4" ca="1" si="0">C4-D4</f>
        <v>0</v>
      </c>
      <c r="F4" s="34">
        <f t="shared" ref="F4" ca="1" si="1">IFERROR(E4/D4, 0)</f>
        <v>0</v>
      </c>
      <c r="G4" s="35">
        <f ca="1">SUM('10-2024'!G4, '11-2024'!G4, '12-2024'!G4)</f>
        <v>0</v>
      </c>
      <c r="H4" s="35">
        <f t="shared" ref="H4" ca="1" si="2">C4-G4</f>
        <v>0</v>
      </c>
      <c r="I4" s="36">
        <f t="shared" ref="I4" ca="1" si="3">IFERROR(H4/G4, 0)</f>
        <v>0</v>
      </c>
      <c r="J4" s="17"/>
      <c r="K4" s="17"/>
    </row>
    <row r="5" spans="1:11" ht="13.5">
      <c r="A5" s="108" t="s">
        <v>11</v>
      </c>
      <c r="B5" s="109"/>
      <c r="C5" s="79">
        <f ca="1">SUM(C3:C4)</f>
        <v>0</v>
      </c>
      <c r="D5" s="79">
        <f ca="1">SUM(D3:D4)</f>
        <v>0</v>
      </c>
      <c r="E5" s="79">
        <f ca="1">C5-D5</f>
        <v>0</v>
      </c>
      <c r="F5" s="39">
        <f ca="1">IFERROR(E5/D5, 0)</f>
        <v>0</v>
      </c>
      <c r="G5" s="79">
        <f ca="1">SUM(G3:G4)</f>
        <v>0</v>
      </c>
      <c r="H5" s="77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CE62352A-0CAA-4862-87B6-A6A1C7531211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2" priority="1" operator="lessThanOrEqual">
      <formula>-0.1</formula>
    </cfRule>
    <cfRule type="cellIs" dxfId="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2"/>
  <sheetViews>
    <sheetView workbookViewId="0">
      <pane ySplit="2" topLeftCell="A3" activePane="bottomLeft" state="frozen"/>
      <selection pane="bottomLeft" activeCell="B29" sqref="B29"/>
      <selection activeCell="C1" sqref="C1:I1"/>
    </sheetView>
  </sheetViews>
  <sheetFormatPr defaultRowHeight="12.75" customHeight="1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22</v>
      </c>
      <c r="D1" s="115"/>
      <c r="E1" s="115"/>
      <c r="F1" s="116"/>
      <c r="G1" s="117" t="s">
        <v>23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cm="1">
        <f t="array" aca="1" ref="C3:K3" ca="1">IF(INDIRECT("'" &amp; $A3 &amp; "'!B5:J5")="", "", INDIRECT("'" &amp; $A3 &amp; "'!B5:J5"))</f>
        <v>7854.4374986065104</v>
      </c>
      <c r="D3" s="33">
        <f ca="1"/>
        <v>0</v>
      </c>
      <c r="E3" s="33">
        <f ca="1"/>
        <v>7854.4374986065104</v>
      </c>
      <c r="F3" s="34">
        <f ca="1"/>
        <v>0</v>
      </c>
      <c r="G3" s="35">
        <f ca="1"/>
        <v>23810</v>
      </c>
      <c r="H3" s="35">
        <f ca="1"/>
        <v>-15955.56250139349</v>
      </c>
      <c r="I3" s="36">
        <f ca="1"/>
        <v>-0.67012022265407345</v>
      </c>
      <c r="J3" s="17" t="str">
        <f ca="1"/>
        <v/>
      </c>
      <c r="K3" s="17" t="str">
        <f ca="1"/>
        <v xml:space="preserve"> </v>
      </c>
    </row>
    <row r="4" spans="1:11" ht="15.75">
      <c r="A4" s="46" t="str">
        <v>Hanover - Hajjar Solar LLC</v>
      </c>
      <c r="B4" s="18" t="str">
        <v>MA</v>
      </c>
      <c r="C4" s="33" cm="1">
        <f t="array" aca="1" ref="C4:K4" ca="1">IF(INDIRECT("'" &amp; $A4 &amp; "'!B5:J5")="", "", INDIRECT("'" &amp; $A4 &amp; "'!B5:J5"))</f>
        <v>14572.9899902344</v>
      </c>
      <c r="D4" s="33">
        <f ca="1"/>
        <v>0</v>
      </c>
      <c r="E4" s="33">
        <f ca="1"/>
        <v>14572.9899902344</v>
      </c>
      <c r="F4" s="37">
        <f ca="1"/>
        <v>0</v>
      </c>
      <c r="G4" s="35">
        <f ca="1"/>
        <v>28762.45</v>
      </c>
      <c r="H4" s="35">
        <f ca="1"/>
        <v>-14189.4600097656</v>
      </c>
      <c r="I4" s="38">
        <f ca="1"/>
        <v>-0.49333280057038253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22427.427488840913</v>
      </c>
      <c r="D5" s="47">
        <f ca="1">SUM(D3:D4)</f>
        <v>0</v>
      </c>
      <c r="E5" s="47">
        <f ca="1">C5-D5</f>
        <v>22427.427488840913</v>
      </c>
      <c r="F5" s="39">
        <f ca="1">IFERROR(E5/D5, 0)</f>
        <v>0</v>
      </c>
      <c r="G5" s="47">
        <f ca="1">SUM(G3:G4)</f>
        <v>52572.45</v>
      </c>
      <c r="H5" s="48">
        <f ca="1">C5-G5</f>
        <v>-30145.022511159084</v>
      </c>
      <c r="I5" s="40">
        <f ca="1">IFERROR(H5/G5, 0)</f>
        <v>-0.57339961350781798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  <row r="12" spans="1:11"/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60" priority="4" operator="lessThanOrEqual">
      <formula>-0.1</formula>
    </cfRule>
    <cfRule type="cellIs" dxfId="5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24</v>
      </c>
      <c r="D1" s="115"/>
      <c r="E1" s="115"/>
      <c r="F1" s="116"/>
      <c r="G1" s="117" t="s">
        <v>25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"'!B6:J6")="", "", INDIRECT("'" &amp; $A3 &amp; "'!B6:J6"))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 xml:space="preserve"> </v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"'!B6:J6")="", "", INDIRECT("'" &amp; $A4 &amp; "'!B6:J6"))</f>
        <v/>
      </c>
      <c r="D4" s="33" t="str">
        <f ca="1"/>
        <v/>
      </c>
      <c r="E4" s="33">
        <f ca="1"/>
        <v>0</v>
      </c>
      <c r="F4" s="37">
        <f ca="1"/>
        <v>0</v>
      </c>
      <c r="G4" s="35" t="str">
        <f ca="1"/>
        <v/>
      </c>
      <c r="H4" s="35">
        <f ca="1"/>
        <v>0</v>
      </c>
      <c r="I4" s="38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8" priority="1" operator="lessThanOrEqual">
      <formula>-0.1</formula>
    </cfRule>
    <cfRule type="cellIs" dxfId="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26</v>
      </c>
      <c r="D1" s="115"/>
      <c r="E1" s="115"/>
      <c r="F1" s="116"/>
      <c r="G1" s="117" t="s">
        <v>27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"'!B7:J7")="", "", INDIRECT("'" &amp; $A3 &amp; "'!B7:J7"))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"'!B7:J7")="", "", INDIRECT("'" &amp; $A4 &amp; "'!B7:J7"))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E69961AB-A757-4049-8AB9-40F3BCB812B3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28</v>
      </c>
      <c r="D1" s="115"/>
      <c r="E1" s="115"/>
      <c r="F1" s="116"/>
      <c r="G1" s="117" t="s">
        <v>29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"'!B8:J8")="", "", INDIRECT("'" &amp; $A3 &amp; "'!B8:J8"))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"'!B8:J8")="", "", INDIRECT("'" &amp; $A4 &amp; "'!B8:J8"))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9CEFA865-F03F-435F-98CB-83683B1083B8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5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30</v>
      </c>
      <c r="D1" s="115"/>
      <c r="E1" s="115"/>
      <c r="F1" s="116"/>
      <c r="G1" s="117" t="s">
        <v>31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"'!B9:J9")="", "", INDIRECT("'" &amp; $A3 &amp; "'!B9:J9"))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84" t="str">
        <f ca="1"/>
        <v/>
      </c>
      <c r="K3" s="84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"'!B9:J9")="", "", INDIRECT("'" &amp; $A4 &amp; "'!B9:J9"))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4.25">
      <c r="A5" s="108" t="s">
        <v>11</v>
      </c>
      <c r="B5" s="119"/>
      <c r="C5" s="66">
        <f ca="1">SUM(C3:C4)</f>
        <v>0</v>
      </c>
      <c r="D5" s="66">
        <f ca="1">SUM(D3:D4)</f>
        <v>0</v>
      </c>
      <c r="E5" s="66">
        <f ca="1">C5-D5</f>
        <v>0</v>
      </c>
      <c r="F5" s="67">
        <f ca="1">IFERROR(E5/D5, 0)</f>
        <v>0</v>
      </c>
      <c r="G5" s="66">
        <f ca="1">SUM(G3:G4)</f>
        <v>0</v>
      </c>
      <c r="H5" s="68">
        <f ca="1">C5-G5</f>
        <v>0</v>
      </c>
      <c r="I5" s="69">
        <f ca="1">IFERROR(H5/G5, 0)</f>
        <v>0</v>
      </c>
      <c r="J5" s="70"/>
    </row>
    <row r="6" spans="1:11" ht="24.75" customHeight="1">
      <c r="B6" s="71"/>
      <c r="C6" s="71"/>
      <c r="D6" s="71"/>
      <c r="E6" s="71"/>
      <c r="F6" s="72"/>
      <c r="G6" s="71"/>
      <c r="H6" s="71"/>
      <c r="I6" s="72"/>
      <c r="J6" s="70"/>
    </row>
    <row r="7" spans="1:11" ht="14.25">
      <c r="A7" s="110" t="s">
        <v>12</v>
      </c>
      <c r="B7" s="71"/>
      <c r="C7" s="71"/>
      <c r="D7" s="71"/>
      <c r="E7" s="71"/>
      <c r="F7" s="72"/>
      <c r="G7" s="71"/>
      <c r="H7" s="71"/>
      <c r="I7" s="72"/>
      <c r="J7" s="70"/>
    </row>
    <row r="8" spans="1:11" ht="12.75" customHeight="1">
      <c r="A8" s="110"/>
      <c r="B8" s="71"/>
      <c r="C8" s="71"/>
      <c r="D8" s="71"/>
      <c r="E8" s="71"/>
      <c r="F8" s="72"/>
      <c r="G8" s="71"/>
      <c r="H8" s="71"/>
      <c r="I8" s="72"/>
      <c r="J8" s="70"/>
    </row>
    <row r="9" spans="1:11" ht="14.25">
      <c r="A9" s="111" t="s">
        <v>13</v>
      </c>
      <c r="B9" s="71"/>
      <c r="C9" s="71"/>
      <c r="D9" s="71"/>
      <c r="E9" s="71"/>
      <c r="F9" s="72"/>
      <c r="G9" s="71"/>
      <c r="H9" s="71"/>
      <c r="I9" s="72"/>
      <c r="J9" s="70"/>
    </row>
    <row r="10" spans="1:11" ht="14.25">
      <c r="A10" s="111"/>
      <c r="B10" s="71"/>
      <c r="C10" s="71"/>
      <c r="D10" s="71"/>
      <c r="E10" s="71"/>
      <c r="F10" s="72"/>
      <c r="G10" s="71"/>
      <c r="H10" s="71"/>
      <c r="I10" s="72"/>
      <c r="J10" s="70"/>
    </row>
    <row r="11" spans="1:11" ht="12.75" customHeight="1">
      <c r="B11" s="71"/>
      <c r="C11" s="71"/>
      <c r="D11" s="71"/>
      <c r="E11" s="71"/>
      <c r="F11" s="72"/>
      <c r="G11" s="71"/>
      <c r="H11" s="71"/>
      <c r="I11" s="72"/>
      <c r="J11" s="70"/>
    </row>
    <row r="12" spans="1:11" ht="14.25">
      <c r="B12" s="71"/>
      <c r="C12" s="71"/>
      <c r="D12" s="71"/>
      <c r="E12" s="71"/>
      <c r="F12" s="72"/>
      <c r="G12" s="71"/>
      <c r="H12" s="71"/>
      <c r="I12" s="72"/>
      <c r="J12" s="71"/>
    </row>
    <row r="13" spans="1:11" ht="14.25">
      <c r="B13" s="71"/>
      <c r="C13" s="71"/>
      <c r="D13" s="71"/>
      <c r="E13" s="71"/>
      <c r="F13" s="72"/>
      <c r="G13" s="71"/>
      <c r="H13" s="71"/>
      <c r="I13" s="72"/>
      <c r="J13" s="71"/>
    </row>
    <row r="14" spans="1:11" ht="14.25">
      <c r="B14" s="71"/>
      <c r="C14" s="71"/>
      <c r="D14" s="71"/>
      <c r="E14" s="71"/>
      <c r="F14" s="72"/>
      <c r="G14" s="71"/>
      <c r="H14" s="71"/>
      <c r="I14" s="72"/>
      <c r="J14" s="71"/>
    </row>
    <row r="15" spans="1:11" ht="14.25">
      <c r="B15" s="71"/>
      <c r="C15" s="71"/>
      <c r="D15" s="71"/>
      <c r="E15" s="71"/>
      <c r="F15" s="72"/>
      <c r="G15" s="71"/>
      <c r="H15" s="71"/>
      <c r="I15" s="72"/>
      <c r="J15" s="71"/>
    </row>
  </sheetData>
  <autoFilter ref="A2:I2" xr:uid="{BC8A3C74-EDA3-4B8F-8C65-FD4243AE8FF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32</v>
      </c>
      <c r="D1" s="115"/>
      <c r="E1" s="115"/>
      <c r="F1" s="116"/>
      <c r="G1" s="117" t="s">
        <v>33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"'!B10:J10")="", "", INDIRECT("'" &amp; $A3 &amp; "'!B10:J10"))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83" t="str">
        <f ca="1"/>
        <v/>
      </c>
      <c r="K3" s="83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"'!B10:J10")="", "", INDIRECT("'" &amp; $A4 &amp; "'!B10:J10"))</f>
        <v/>
      </c>
      <c r="D4" s="33" t="str">
        <f ca="1"/>
        <v/>
      </c>
      <c r="E4" s="33">
        <f ca="1"/>
        <v>0</v>
      </c>
      <c r="F4" s="37">
        <f ca="1"/>
        <v>0</v>
      </c>
      <c r="G4" s="35" t="str">
        <f ca="1"/>
        <v/>
      </c>
      <c r="H4" s="35">
        <f ca="1"/>
        <v>0</v>
      </c>
      <c r="I4" s="38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6C08AFFB-6AF8-48AC-9706-52E390C2AC4B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34</v>
      </c>
      <c r="D1" s="115"/>
      <c r="E1" s="115"/>
      <c r="F1" s="116"/>
      <c r="G1" s="117" t="s">
        <v>35</v>
      </c>
      <c r="H1" s="117"/>
      <c r="I1" s="118"/>
      <c r="J1" s="106" t="s">
        <v>2</v>
      </c>
      <c r="K1" s="106" t="s">
        <v>3</v>
      </c>
    </row>
    <row r="2" spans="1:11" ht="14.25" customHeight="1" thickBo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"'!B11:J11")="", "", INDIRECT("'" &amp; $A3 &amp; "'!B11:J11"))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84" t="str">
        <f ca="1"/>
        <v/>
      </c>
      <c r="K3" s="84" t="str">
        <f ca="1"/>
        <v/>
      </c>
    </row>
    <row r="4" spans="1:11" ht="16.149999999999999" thickBot="1">
      <c r="A4" s="46" t="str">
        <v>Hanover - Hajjar Solar LLC</v>
      </c>
      <c r="B4" s="18" t="str">
        <v>MA</v>
      </c>
      <c r="C4" s="33" t="str" cm="1">
        <f t="array" aca="1" ref="C4:K4" ca="1">IF(INDIRECT("'" &amp; $A4 &amp; "'!B11:J11")="", "", INDIRECT("'" &amp; $A4 &amp; "'!B11:J11"))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84" t="str">
        <f ca="1"/>
        <v/>
      </c>
      <c r="K4" s="84" t="str">
        <f ca="1"/>
        <v/>
      </c>
    </row>
    <row r="5" spans="1:11" ht="13.9" thickBot="1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</row>
    <row r="10" spans="1:11">
      <c r="A10" s="111"/>
      <c r="J10" s="8"/>
    </row>
    <row r="11" spans="1:11" ht="12.75" customHeight="1">
      <c r="J11" s="8"/>
    </row>
  </sheetData>
  <autoFilter ref="A2:I2" xr:uid="{957CD936-B73F-469A-B0B5-B8EA155C9C51}"/>
  <sortState xmlns:xlrd2="http://schemas.microsoft.com/office/spreadsheetml/2017/richdata2" ref="A3:K4">
    <sortCondition ref="A3:A4"/>
  </sortState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36</v>
      </c>
      <c r="D1" s="115"/>
      <c r="E1" s="115"/>
      <c r="F1" s="116"/>
      <c r="G1" s="117" t="s">
        <v>37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"'!B12:J12")="", "", INDIRECT("'" &amp; $A3 &amp; "'!B12:J12"))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"'!B12:J12")="", "", INDIRECT("'" &amp; $A4 &amp; "'!B12:J12"))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84" t="str">
        <f ca="1"/>
        <v/>
      </c>
      <c r="K4" s="84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48D80AE8-42BF-4DAC-863F-113F77A3E00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94.140625" bestFit="1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38</v>
      </c>
      <c r="D1" s="115"/>
      <c r="E1" s="115"/>
      <c r="F1" s="116"/>
      <c r="G1" s="117" t="s">
        <v>39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"'!B13:J13")="", "", INDIRECT("'" &amp; $A3 &amp; "'!B13:J13"))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"'!B13:J13")="", "", INDIRECT("'" &amp; $A4 &amp; "'!B13:J13"))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86" t="str">
        <f ca="1"/>
        <v/>
      </c>
      <c r="K4" s="86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534CA70E-2643-48AC-AA44-E3F75A2814B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40</v>
      </c>
      <c r="D1" s="115"/>
      <c r="E1" s="115"/>
      <c r="F1" s="116"/>
      <c r="G1" s="117" t="s">
        <v>41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"'!B14:J14")="", "", INDIRECT("'" &amp; $A3 &amp; "'!B14:J14"))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"'!B14:J14")="", "", INDIRECT("'" &amp; $A4 &amp; "'!B14:J14"))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B87DE706-15D9-4E58-ADBD-0129509DEFD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42</v>
      </c>
      <c r="D1" s="115"/>
      <c r="E1" s="115"/>
      <c r="F1" s="116"/>
      <c r="G1" s="117" t="s">
        <v>43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"'!B15:J15")="", "", INDIRECT("'" &amp; $A3 &amp; "'!B15:J15"))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"'!B15:J15")="", "", INDIRECT("'" &amp; $A4 &amp; "'!B15:J15"))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7397A98F-A32F-42EE-8114-2658DE422011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1"/>
  <sheetViews>
    <sheetView workbookViewId="0">
      <pane ySplit="2" topLeftCell="A3" activePane="bottomLeft" state="frozen"/>
      <selection pane="bottomLeft" activeCell="J28" sqref="J28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HAJJAR SOLAR LLC</v>
      </c>
      <c r="B1" s="113"/>
      <c r="C1" s="114" t="s">
        <v>44</v>
      </c>
      <c r="D1" s="115"/>
      <c r="E1" s="115"/>
      <c r="F1" s="116"/>
      <c r="G1" s="117" t="s">
        <v>45</v>
      </c>
      <c r="H1" s="117"/>
      <c r="I1" s="118"/>
      <c r="J1" s="106" t="s">
        <v>2</v>
      </c>
      <c r="K1" s="106" t="s">
        <v>3</v>
      </c>
    </row>
    <row r="2" spans="1:11" ht="14.25" customHeight="1">
      <c r="A2" s="43" t="s">
        <v>4</v>
      </c>
      <c r="B2" s="44" t="s">
        <v>5</v>
      </c>
      <c r="C2" s="5" t="s">
        <v>6</v>
      </c>
      <c r="D2" s="41" t="s">
        <v>7</v>
      </c>
      <c r="E2" s="5" t="s">
        <v>8</v>
      </c>
      <c r="F2" s="6" t="s">
        <v>9</v>
      </c>
      <c r="G2" s="42" t="s">
        <v>10</v>
      </c>
      <c r="H2" s="7" t="s">
        <v>8</v>
      </c>
      <c r="I2" s="9" t="s">
        <v>9</v>
      </c>
      <c r="J2" s="107"/>
      <c r="K2" s="107"/>
    </row>
    <row r="3" spans="1:11" ht="15.75">
      <c r="A3" s="45" t="str" cm="1">
        <f t="array" ref="A3:A4">Sites[Site]</f>
        <v>South Easton - Hajjar Solar LLC</v>
      </c>
      <c r="B3" s="32" t="str" cm="1">
        <f t="array" ref="B3:B4">Sites[State]</f>
        <v>MA</v>
      </c>
      <c r="C3" s="33" t="str" cm="1">
        <f t="array" aca="1" ref="C3:K3" ca="1">IF(INDIRECT("'" &amp; $A3 &amp; "'!B16:J16")="", "", INDIRECT("'" &amp; $A3 &amp; "'!B16:J16"))</f>
        <v/>
      </c>
      <c r="D3" s="33" t="str">
        <f ca="1"/>
        <v/>
      </c>
      <c r="E3" s="33">
        <f ca="1"/>
        <v>0</v>
      </c>
      <c r="F3" s="34">
        <f ca="1"/>
        <v>0</v>
      </c>
      <c r="G3" s="35" t="str">
        <f ca="1"/>
        <v/>
      </c>
      <c r="H3" s="35">
        <f ca="1"/>
        <v>0</v>
      </c>
      <c r="I3" s="36">
        <f ca="1"/>
        <v>0</v>
      </c>
      <c r="J3" s="17" t="str">
        <f ca="1"/>
        <v/>
      </c>
      <c r="K3" s="17" t="str">
        <f ca="1"/>
        <v/>
      </c>
    </row>
    <row r="4" spans="1:11" ht="15.75">
      <c r="A4" s="46" t="str">
        <v>Hanover - Hajjar Solar LLC</v>
      </c>
      <c r="B4" s="18" t="str">
        <v>MA</v>
      </c>
      <c r="C4" s="33" t="str" cm="1">
        <f t="array" aca="1" ref="C4:K4" ca="1">IF(INDIRECT("'" &amp; $A4 &amp; "'!B16:J16")="", "", INDIRECT("'" &amp; $A4 &amp; "'!B16:J16"))</f>
        <v/>
      </c>
      <c r="D4" s="33" t="str">
        <f ca="1"/>
        <v/>
      </c>
      <c r="E4" s="33">
        <f ca="1"/>
        <v>0</v>
      </c>
      <c r="F4" s="34">
        <f ca="1"/>
        <v>0</v>
      </c>
      <c r="G4" s="35" t="str">
        <f ca="1"/>
        <v/>
      </c>
      <c r="H4" s="35">
        <f ca="1"/>
        <v>0</v>
      </c>
      <c r="I4" s="36">
        <f ca="1"/>
        <v>0</v>
      </c>
      <c r="J4" s="17" t="str">
        <f ca="1"/>
        <v/>
      </c>
      <c r="K4" s="17" t="str">
        <f ca="1"/>
        <v/>
      </c>
    </row>
    <row r="5" spans="1:11" ht="13.5">
      <c r="A5" s="108" t="s">
        <v>11</v>
      </c>
      <c r="B5" s="109"/>
      <c r="C5" s="47">
        <f ca="1">SUM(C3:C4)</f>
        <v>0</v>
      </c>
      <c r="D5" s="47">
        <f ca="1">SUM(D3:D4)</f>
        <v>0</v>
      </c>
      <c r="E5" s="47">
        <f ca="1">C5-D5</f>
        <v>0</v>
      </c>
      <c r="F5" s="39">
        <f ca="1">IFERROR(E5/D5, 0)</f>
        <v>0</v>
      </c>
      <c r="G5" s="47">
        <f ca="1">SUM(G3:G4)</f>
        <v>0</v>
      </c>
      <c r="H5" s="48">
        <f ca="1">C5-G5</f>
        <v>0</v>
      </c>
      <c r="I5" s="40">
        <f ca="1">IFERROR(H5/G5, 0)</f>
        <v>0</v>
      </c>
      <c r="J5" s="8"/>
    </row>
    <row r="6" spans="1:11" ht="24.75" customHeight="1">
      <c r="J6" s="8"/>
    </row>
    <row r="7" spans="1:11">
      <c r="A7" s="110" t="s">
        <v>12</v>
      </c>
      <c r="J7" s="8"/>
    </row>
    <row r="8" spans="1:11" ht="12.75" customHeight="1">
      <c r="A8" s="110"/>
      <c r="J8" s="8"/>
    </row>
    <row r="9" spans="1:11">
      <c r="A9" s="111" t="s">
        <v>13</v>
      </c>
      <c r="J9" s="8"/>
    </row>
    <row r="10" spans="1:11">
      <c r="A10" s="111"/>
      <c r="J10" s="8"/>
    </row>
    <row r="11" spans="1:11" ht="12.75" customHeight="1">
      <c r="J11" s="8"/>
    </row>
  </sheetData>
  <autoFilter ref="A2:I2" xr:uid="{7BFACBC8-3831-4E2B-BAD7-988F02FCC664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s="2" t="s">
        <v>47</v>
      </c>
      <c r="C1" s="2"/>
    </row>
    <row r="2" spans="1:7">
      <c r="A2" t="s">
        <v>48</v>
      </c>
      <c r="B2" s="14" t="s">
        <v>4</v>
      </c>
      <c r="C2" s="14" t="s">
        <v>5</v>
      </c>
      <c r="D2" t="s">
        <v>49</v>
      </c>
    </row>
    <row r="3" spans="1:7" ht="14.25">
      <c r="A3" s="75" t="s">
        <v>50</v>
      </c>
      <c r="B3" s="75" t="s">
        <v>51</v>
      </c>
      <c r="C3" s="75" t="s">
        <v>52</v>
      </c>
      <c r="D3" s="13"/>
      <c r="G3" s="12"/>
    </row>
    <row r="4" spans="1:7" ht="14.25">
      <c r="A4" s="74" t="s">
        <v>53</v>
      </c>
      <c r="B4" s="74" t="s">
        <v>54</v>
      </c>
      <c r="C4" s="75" t="s">
        <v>52</v>
      </c>
      <c r="D4" s="13" t="s">
        <v>55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3.42578125" bestFit="1" customWidth="1"/>
    <col min="10" max="10" width="18.5703125" bestFit="1" customWidth="1"/>
  </cols>
  <sheetData>
    <row r="1" spans="1:15" ht="24.6" customHeight="1">
      <c r="A1" s="128" t="s">
        <v>51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5" ht="25.15">
      <c r="A2" s="10"/>
      <c r="B2" s="10"/>
      <c r="C2" s="10"/>
      <c r="D2" s="10"/>
      <c r="E2" s="10"/>
    </row>
    <row r="3" spans="1:15" ht="16.5" customHeight="1">
      <c r="A3" s="120" t="s">
        <v>56</v>
      </c>
      <c r="B3" s="121"/>
      <c r="C3" s="121"/>
      <c r="D3" s="121"/>
      <c r="E3" s="122"/>
      <c r="F3" s="123" t="s">
        <v>57</v>
      </c>
      <c r="G3" s="124"/>
      <c r="H3" s="125"/>
      <c r="I3" s="126" t="s">
        <v>58</v>
      </c>
      <c r="J3" s="127"/>
    </row>
    <row r="4" spans="1:15" ht="13.35" customHeight="1" thickBot="1">
      <c r="A4" s="15" t="s">
        <v>59</v>
      </c>
      <c r="B4" s="25" t="s">
        <v>6</v>
      </c>
      <c r="C4" s="25" t="s">
        <v>7</v>
      </c>
      <c r="D4" s="25" t="s">
        <v>60</v>
      </c>
      <c r="E4" s="26" t="s">
        <v>61</v>
      </c>
      <c r="F4" s="27" t="s">
        <v>10</v>
      </c>
      <c r="G4" s="28" t="s">
        <v>62</v>
      </c>
      <c r="H4" s="29" t="s">
        <v>63</v>
      </c>
      <c r="I4" s="30" t="s">
        <v>58</v>
      </c>
      <c r="J4" s="31" t="s">
        <v>64</v>
      </c>
    </row>
    <row r="5" spans="1:15" ht="13.35" customHeight="1">
      <c r="A5" s="16" t="s">
        <v>65</v>
      </c>
      <c r="B5" s="78">
        <v>7854.4374986065104</v>
      </c>
      <c r="C5" s="78">
        <v>0</v>
      </c>
      <c r="D5" s="49">
        <f>B5-C5</f>
        <v>7854.4374986065104</v>
      </c>
      <c r="E5" s="50">
        <f t="shared" ref="E5:E16" si="0">IFERROR(D5/C5, 0)</f>
        <v>0</v>
      </c>
      <c r="F5" s="82">
        <v>23810</v>
      </c>
      <c r="G5" s="51">
        <f>B5-F5</f>
        <v>-15955.56250139349</v>
      </c>
      <c r="H5" s="52">
        <f t="shared" ref="H5:H16" si="1">IFERROR(G5/F5, 0)</f>
        <v>-0.67012022265407345</v>
      </c>
      <c r="I5" s="53"/>
      <c r="J5" s="53" t="s">
        <v>66</v>
      </c>
      <c r="O5" s="4"/>
    </row>
    <row r="6" spans="1:15" ht="13.35" customHeight="1">
      <c r="A6" s="18" t="s">
        <v>67</v>
      </c>
      <c r="B6" s="78"/>
      <c r="C6" s="78"/>
      <c r="D6" s="49">
        <f t="shared" ref="D6:D16" si="2">B6-C6</f>
        <v>0</v>
      </c>
      <c r="E6" s="54">
        <f t="shared" si="0"/>
        <v>0</v>
      </c>
      <c r="F6" s="80"/>
      <c r="G6" s="51">
        <f t="shared" ref="G6:G16" si="3">B6-F6</f>
        <v>0</v>
      </c>
      <c r="H6" s="52">
        <f t="shared" si="1"/>
        <v>0</v>
      </c>
      <c r="I6" s="53"/>
      <c r="J6" s="53" t="s">
        <v>66</v>
      </c>
    </row>
    <row r="7" spans="1:15" ht="13.35" customHeight="1">
      <c r="A7" s="18" t="s">
        <v>68</v>
      </c>
      <c r="B7" s="78"/>
      <c r="C7" s="78"/>
      <c r="D7" s="49">
        <f t="shared" si="2"/>
        <v>0</v>
      </c>
      <c r="E7" s="54">
        <f t="shared" si="0"/>
        <v>0</v>
      </c>
      <c r="F7" s="76"/>
      <c r="G7" s="51">
        <f t="shared" si="3"/>
        <v>0</v>
      </c>
      <c r="H7" s="52">
        <f t="shared" si="1"/>
        <v>0</v>
      </c>
      <c r="I7" s="53"/>
      <c r="J7" s="53"/>
    </row>
    <row r="8" spans="1:15" ht="13.35" customHeight="1">
      <c r="A8" s="18" t="s">
        <v>69</v>
      </c>
      <c r="B8" s="78"/>
      <c r="C8" s="78"/>
      <c r="D8" s="49">
        <f t="shared" si="2"/>
        <v>0</v>
      </c>
      <c r="E8" s="54">
        <f t="shared" si="0"/>
        <v>0</v>
      </c>
      <c r="F8" s="82"/>
      <c r="G8" s="51">
        <f t="shared" si="3"/>
        <v>0</v>
      </c>
      <c r="H8" s="52">
        <f t="shared" si="1"/>
        <v>0</v>
      </c>
      <c r="I8" s="53"/>
      <c r="J8" s="53"/>
    </row>
    <row r="9" spans="1:15" ht="13.35" customHeight="1">
      <c r="A9" s="18" t="s">
        <v>70</v>
      </c>
      <c r="B9" s="78"/>
      <c r="C9" s="78"/>
      <c r="D9" s="49">
        <f t="shared" si="2"/>
        <v>0</v>
      </c>
      <c r="E9" s="54">
        <f t="shared" si="0"/>
        <v>0</v>
      </c>
      <c r="F9" s="82"/>
      <c r="G9" s="51">
        <f t="shared" si="3"/>
        <v>0</v>
      </c>
      <c r="H9" s="52">
        <f t="shared" si="1"/>
        <v>0</v>
      </c>
      <c r="I9" s="81"/>
      <c r="J9" s="73"/>
    </row>
    <row r="10" spans="1:15" ht="13.35" customHeight="1">
      <c r="A10" s="18" t="s">
        <v>71</v>
      </c>
      <c r="B10" s="78"/>
      <c r="C10" s="78"/>
      <c r="D10" s="49">
        <f t="shared" si="2"/>
        <v>0</v>
      </c>
      <c r="E10" s="54">
        <f t="shared" si="0"/>
        <v>0</v>
      </c>
      <c r="F10" s="82"/>
      <c r="G10" s="51">
        <f t="shared" si="3"/>
        <v>0</v>
      </c>
      <c r="H10" s="52">
        <f t="shared" si="1"/>
        <v>0</v>
      </c>
      <c r="I10" s="81"/>
      <c r="J10" s="81"/>
    </row>
    <row r="11" spans="1:15" ht="13.35" customHeight="1">
      <c r="A11" s="18" t="s">
        <v>72</v>
      </c>
      <c r="B11" s="49"/>
      <c r="C11" s="49"/>
      <c r="D11" s="49">
        <f t="shared" si="2"/>
        <v>0</v>
      </c>
      <c r="E11" s="54">
        <f t="shared" si="0"/>
        <v>0</v>
      </c>
      <c r="F11" s="57"/>
      <c r="G11" s="51">
        <f t="shared" si="3"/>
        <v>0</v>
      </c>
      <c r="H11" s="52">
        <f t="shared" si="1"/>
        <v>0</v>
      </c>
      <c r="I11" s="53"/>
      <c r="J11" s="53"/>
    </row>
    <row r="12" spans="1:15" ht="13.35" customHeight="1">
      <c r="A12" s="18" t="s">
        <v>73</v>
      </c>
      <c r="B12" s="49"/>
      <c r="C12" s="49"/>
      <c r="D12" s="49">
        <f t="shared" si="2"/>
        <v>0</v>
      </c>
      <c r="E12" s="54">
        <f t="shared" si="0"/>
        <v>0</v>
      </c>
      <c r="F12" s="58"/>
      <c r="G12" s="51">
        <f t="shared" si="3"/>
        <v>0</v>
      </c>
      <c r="H12" s="52">
        <f t="shared" si="1"/>
        <v>0</v>
      </c>
      <c r="I12" s="53"/>
      <c r="J12" s="53"/>
    </row>
    <row r="13" spans="1:15" ht="13.35" customHeight="1">
      <c r="A13" s="18" t="s">
        <v>74</v>
      </c>
      <c r="B13" s="49"/>
      <c r="C13" s="49"/>
      <c r="D13" s="49">
        <f t="shared" si="2"/>
        <v>0</v>
      </c>
      <c r="E13" s="54">
        <f t="shared" si="0"/>
        <v>0</v>
      </c>
      <c r="F13" s="51"/>
      <c r="G13" s="51">
        <f t="shared" si="3"/>
        <v>0</v>
      </c>
      <c r="H13" s="52">
        <f t="shared" si="1"/>
        <v>0</v>
      </c>
      <c r="I13" s="53"/>
      <c r="J13" s="53"/>
    </row>
    <row r="14" spans="1:15" ht="13.35" customHeight="1">
      <c r="A14" s="18" t="s">
        <v>75</v>
      </c>
      <c r="B14" s="49"/>
      <c r="C14" s="49"/>
      <c r="D14" s="49">
        <f t="shared" si="2"/>
        <v>0</v>
      </c>
      <c r="E14" s="54">
        <f t="shared" si="0"/>
        <v>0</v>
      </c>
      <c r="F14" s="51"/>
      <c r="G14" s="51">
        <f t="shared" si="3"/>
        <v>0</v>
      </c>
      <c r="H14" s="52">
        <f t="shared" si="1"/>
        <v>0</v>
      </c>
      <c r="I14" s="55"/>
      <c r="J14" s="53"/>
    </row>
    <row r="15" spans="1:15" ht="13.35" customHeight="1">
      <c r="A15" s="18" t="s">
        <v>76</v>
      </c>
      <c r="B15" s="56"/>
      <c r="C15" s="49"/>
      <c r="D15" s="49">
        <f t="shared" si="2"/>
        <v>0</v>
      </c>
      <c r="E15" s="54">
        <f t="shared" si="0"/>
        <v>0</v>
      </c>
      <c r="F15" s="59"/>
      <c r="G15" s="51">
        <f t="shared" si="3"/>
        <v>0</v>
      </c>
      <c r="H15" s="52">
        <f t="shared" si="1"/>
        <v>0</v>
      </c>
      <c r="I15" s="53"/>
      <c r="J15" s="53"/>
    </row>
    <row r="16" spans="1:15" ht="13.35" customHeight="1">
      <c r="A16" s="19" t="s">
        <v>77</v>
      </c>
      <c r="B16" s="60"/>
      <c r="C16" s="60"/>
      <c r="D16" s="49">
        <f t="shared" si="2"/>
        <v>0</v>
      </c>
      <c r="E16" s="54">
        <f t="shared" si="0"/>
        <v>0</v>
      </c>
      <c r="F16" s="61"/>
      <c r="G16" s="51">
        <f t="shared" si="3"/>
        <v>0</v>
      </c>
      <c r="H16" s="52">
        <f t="shared" si="1"/>
        <v>0</v>
      </c>
      <c r="I16" s="62"/>
      <c r="J16" s="62"/>
    </row>
    <row r="17" spans="1:15" ht="13.35" customHeight="1">
      <c r="A17" s="20" t="s">
        <v>78</v>
      </c>
      <c r="B17" s="21">
        <f>SUM(B5:B16)</f>
        <v>7854.4374986065104</v>
      </c>
      <c r="C17" s="21">
        <f t="shared" ref="C17:F17" si="4">SUM(C5:C16)</f>
        <v>0</v>
      </c>
      <c r="D17" s="21">
        <f>B17-C17</f>
        <v>7854.4374986065104</v>
      </c>
      <c r="E17" s="22">
        <f>IFERROR(D17/C17, 0)</f>
        <v>0</v>
      </c>
      <c r="F17" s="21">
        <f t="shared" si="4"/>
        <v>23810</v>
      </c>
      <c r="G17" s="21">
        <f>B17-F17</f>
        <v>-15955.56250139349</v>
      </c>
      <c r="H17" s="23">
        <f>IFERROR(G17/F17, 0)</f>
        <v>-0.67012022265407345</v>
      </c>
      <c r="I17" s="24"/>
      <c r="J17" s="24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tabSelected="1" workbookViewId="0">
      <selection activeCell="H5" sqref="H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5.42578125" customWidth="1"/>
    <col min="10" max="10" width="18.5703125" bestFit="1" customWidth="1"/>
  </cols>
  <sheetData>
    <row r="1" spans="1:15" ht="25.15">
      <c r="A1" s="128" t="s">
        <v>54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5" ht="25.15">
      <c r="A2" s="10"/>
      <c r="B2" s="10"/>
      <c r="C2" s="10"/>
      <c r="D2" s="10"/>
      <c r="E2" s="10"/>
    </row>
    <row r="3" spans="1:15" ht="16.5" customHeight="1">
      <c r="A3" s="120" t="s">
        <v>56</v>
      </c>
      <c r="B3" s="121"/>
      <c r="C3" s="121"/>
      <c r="D3" s="121"/>
      <c r="E3" s="122"/>
      <c r="F3" s="123" t="s">
        <v>57</v>
      </c>
      <c r="G3" s="124"/>
      <c r="H3" s="125"/>
      <c r="I3" s="126" t="s">
        <v>58</v>
      </c>
      <c r="J3" s="127"/>
    </row>
    <row r="4" spans="1:15" ht="13.35" customHeight="1" thickBot="1">
      <c r="A4" s="15" t="s">
        <v>59</v>
      </c>
      <c r="B4" s="25" t="s">
        <v>6</v>
      </c>
      <c r="C4" s="25" t="s">
        <v>7</v>
      </c>
      <c r="D4" s="25" t="s">
        <v>60</v>
      </c>
      <c r="E4" s="26" t="s">
        <v>61</v>
      </c>
      <c r="F4" s="27" t="s">
        <v>10</v>
      </c>
      <c r="G4" s="28" t="s">
        <v>62</v>
      </c>
      <c r="H4" s="29" t="s">
        <v>63</v>
      </c>
      <c r="I4" s="30" t="s">
        <v>58</v>
      </c>
      <c r="J4" s="31" t="s">
        <v>64</v>
      </c>
    </row>
    <row r="5" spans="1:15" ht="13.35" customHeight="1">
      <c r="A5" s="102" t="s">
        <v>65</v>
      </c>
      <c r="B5" s="87">
        <v>14572.9899902344</v>
      </c>
      <c r="C5" s="87">
        <v>0</v>
      </c>
      <c r="D5" s="88">
        <f>B5-C5</f>
        <v>14572.9899902344</v>
      </c>
      <c r="E5" s="89">
        <f t="shared" ref="E5:E13" si="0">IFERROR(D5/C5, 0)</f>
        <v>0</v>
      </c>
      <c r="F5" s="90">
        <v>28762.45</v>
      </c>
      <c r="G5" s="58">
        <f>B5-F5</f>
        <v>-14189.4600097656</v>
      </c>
      <c r="H5" s="91">
        <f t="shared" ref="H5:H13" si="1">IFERROR(G5/F5, 0)</f>
        <v>-0.49333280057038253</v>
      </c>
      <c r="I5" s="63"/>
      <c r="J5" s="63"/>
      <c r="O5" s="4"/>
    </row>
    <row r="6" spans="1:15" ht="13.35" customHeight="1">
      <c r="A6" s="103" t="s">
        <v>67</v>
      </c>
      <c r="B6" s="87"/>
      <c r="C6" s="87"/>
      <c r="D6" s="88">
        <f t="shared" ref="D6:D13" si="2">B6-C6</f>
        <v>0</v>
      </c>
      <c r="E6" s="92">
        <f t="shared" si="0"/>
        <v>0</v>
      </c>
      <c r="F6" s="93"/>
      <c r="G6" s="58">
        <f t="shared" ref="G6:G13" si="3">B6-F6</f>
        <v>0</v>
      </c>
      <c r="H6" s="91">
        <f t="shared" si="1"/>
        <v>0</v>
      </c>
      <c r="I6" s="63"/>
      <c r="J6" s="63"/>
    </row>
    <row r="7" spans="1:15" ht="13.35" customHeight="1">
      <c r="A7" s="103" t="s">
        <v>68</v>
      </c>
      <c r="B7" s="87"/>
      <c r="C7" s="87"/>
      <c r="D7" s="88">
        <f t="shared" si="2"/>
        <v>0</v>
      </c>
      <c r="E7" s="92">
        <f t="shared" si="0"/>
        <v>0</v>
      </c>
      <c r="F7" s="90"/>
      <c r="G7" s="58">
        <f t="shared" si="3"/>
        <v>0</v>
      </c>
      <c r="H7" s="91">
        <f t="shared" si="1"/>
        <v>0</v>
      </c>
      <c r="I7" s="64"/>
      <c r="J7" s="64"/>
    </row>
    <row r="8" spans="1:15" ht="13.35" customHeight="1">
      <c r="A8" s="103" t="s">
        <v>69</v>
      </c>
      <c r="B8" s="87"/>
      <c r="C8" s="87"/>
      <c r="D8" s="88">
        <f t="shared" si="2"/>
        <v>0</v>
      </c>
      <c r="E8" s="92">
        <f t="shared" si="0"/>
        <v>0</v>
      </c>
      <c r="F8" s="90"/>
      <c r="G8" s="58">
        <f t="shared" si="3"/>
        <v>0</v>
      </c>
      <c r="H8" s="91">
        <f t="shared" si="1"/>
        <v>0</v>
      </c>
      <c r="I8" s="63"/>
      <c r="J8" s="63"/>
    </row>
    <row r="9" spans="1:15" ht="13.35" customHeight="1">
      <c r="A9" s="103" t="s">
        <v>70</v>
      </c>
      <c r="B9" s="87"/>
      <c r="C9" s="87"/>
      <c r="D9" s="88">
        <f t="shared" si="2"/>
        <v>0</v>
      </c>
      <c r="E9" s="92">
        <f t="shared" si="0"/>
        <v>0</v>
      </c>
      <c r="F9" s="90"/>
      <c r="G9" s="58">
        <f t="shared" si="3"/>
        <v>0</v>
      </c>
      <c r="H9" s="91">
        <f t="shared" si="1"/>
        <v>0</v>
      </c>
      <c r="I9" s="81"/>
      <c r="J9" s="73"/>
    </row>
    <row r="10" spans="1:15" ht="13.35" customHeight="1">
      <c r="A10" s="103" t="s">
        <v>71</v>
      </c>
      <c r="B10" s="87"/>
      <c r="C10" s="87"/>
      <c r="D10" s="88">
        <f t="shared" si="2"/>
        <v>0</v>
      </c>
      <c r="E10" s="92">
        <f t="shared" si="0"/>
        <v>0</v>
      </c>
      <c r="F10" s="90"/>
      <c r="G10" s="58">
        <f t="shared" si="3"/>
        <v>0</v>
      </c>
      <c r="H10" s="91">
        <f t="shared" si="1"/>
        <v>0</v>
      </c>
      <c r="I10" s="81"/>
      <c r="J10" s="81"/>
    </row>
    <row r="11" spans="1:15" ht="13.35" customHeight="1">
      <c r="A11" s="103" t="s">
        <v>72</v>
      </c>
      <c r="B11" s="88"/>
      <c r="C11" s="87"/>
      <c r="D11" s="88">
        <f t="shared" si="2"/>
        <v>0</v>
      </c>
      <c r="E11" s="92">
        <f t="shared" si="0"/>
        <v>0</v>
      </c>
      <c r="F11" s="94"/>
      <c r="G11" s="58">
        <f t="shared" si="3"/>
        <v>0</v>
      </c>
      <c r="H11" s="91">
        <f t="shared" si="1"/>
        <v>0</v>
      </c>
      <c r="I11" s="63"/>
      <c r="J11" s="63"/>
    </row>
    <row r="12" spans="1:15" ht="13.35" customHeight="1">
      <c r="A12" s="103" t="s">
        <v>73</v>
      </c>
      <c r="B12" s="88"/>
      <c r="C12" s="88"/>
      <c r="D12" s="88">
        <f t="shared" si="2"/>
        <v>0</v>
      </c>
      <c r="E12" s="92">
        <f t="shared" si="0"/>
        <v>0</v>
      </c>
      <c r="F12" s="58"/>
      <c r="G12" s="58">
        <f t="shared" si="3"/>
        <v>0</v>
      </c>
      <c r="H12" s="91">
        <f t="shared" si="1"/>
        <v>0</v>
      </c>
      <c r="I12" s="53"/>
      <c r="J12" s="85"/>
    </row>
    <row r="13" spans="1:15" ht="14.25">
      <c r="A13" s="103" t="s">
        <v>74</v>
      </c>
      <c r="B13" s="88"/>
      <c r="C13" s="88"/>
      <c r="D13" s="88">
        <f t="shared" si="2"/>
        <v>0</v>
      </c>
      <c r="E13" s="92">
        <f t="shared" si="0"/>
        <v>0</v>
      </c>
      <c r="F13" s="58"/>
      <c r="G13" s="58">
        <f t="shared" si="3"/>
        <v>0</v>
      </c>
      <c r="H13" s="91">
        <f t="shared" si="1"/>
        <v>0</v>
      </c>
      <c r="I13" s="55"/>
      <c r="J13" s="53"/>
    </row>
    <row r="14" spans="1:15" ht="13.35" customHeight="1">
      <c r="A14" s="103" t="s">
        <v>75</v>
      </c>
      <c r="B14" s="88"/>
      <c r="C14" s="88"/>
      <c r="D14" s="88">
        <f t="shared" ref="D14:D16" si="4">B14-C14</f>
        <v>0</v>
      </c>
      <c r="E14" s="92">
        <f t="shared" ref="E14:E16" si="5">IFERROR(D14/C14, 0)</f>
        <v>0</v>
      </c>
      <c r="F14" s="58"/>
      <c r="G14" s="58">
        <f t="shared" ref="G14:G16" si="6">B14-F14</f>
        <v>0</v>
      </c>
      <c r="H14" s="91">
        <f t="shared" ref="H14:H16" si="7">IFERROR(G14/F14, 0)</f>
        <v>0</v>
      </c>
      <c r="I14" s="55"/>
      <c r="J14" s="53"/>
    </row>
    <row r="15" spans="1:15" ht="13.35" customHeight="1">
      <c r="A15" s="103" t="s">
        <v>76</v>
      </c>
      <c r="B15" s="95"/>
      <c r="C15" s="88"/>
      <c r="D15" s="88">
        <f t="shared" si="4"/>
        <v>0</v>
      </c>
      <c r="E15" s="92">
        <f t="shared" si="5"/>
        <v>0</v>
      </c>
      <c r="F15" s="96"/>
      <c r="G15" s="58">
        <f t="shared" si="6"/>
        <v>0</v>
      </c>
      <c r="H15" s="91">
        <f t="shared" si="7"/>
        <v>0</v>
      </c>
      <c r="I15" s="63"/>
      <c r="J15" s="63"/>
    </row>
    <row r="16" spans="1:15" ht="13.35" customHeight="1">
      <c r="A16" s="104" t="s">
        <v>77</v>
      </c>
      <c r="B16" s="97"/>
      <c r="C16" s="88"/>
      <c r="D16" s="88">
        <f t="shared" si="4"/>
        <v>0</v>
      </c>
      <c r="E16" s="92">
        <f t="shared" si="5"/>
        <v>0</v>
      </c>
      <c r="F16" s="98"/>
      <c r="G16" s="58">
        <f t="shared" si="6"/>
        <v>0</v>
      </c>
      <c r="H16" s="91">
        <f t="shared" si="7"/>
        <v>0</v>
      </c>
      <c r="I16" s="105"/>
      <c r="J16" s="65"/>
    </row>
    <row r="17" spans="1:15" ht="13.35" customHeight="1">
      <c r="A17" s="20" t="s">
        <v>78</v>
      </c>
      <c r="B17" s="99">
        <f>SUM(B5:B16)</f>
        <v>14572.9899902344</v>
      </c>
      <c r="C17" s="99">
        <f t="shared" ref="C17:F17" si="8">SUM(C5:C16)</f>
        <v>0</v>
      </c>
      <c r="D17" s="99">
        <f>B17-C17</f>
        <v>14572.9899902344</v>
      </c>
      <c r="E17" s="100">
        <f>IFERROR(D17/C17, 0)</f>
        <v>0</v>
      </c>
      <c r="F17" s="99">
        <f t="shared" si="8"/>
        <v>28762.45</v>
      </c>
      <c r="G17" s="99">
        <f>B17-F17</f>
        <v>-14189.4600097656</v>
      </c>
      <c r="H17" s="101">
        <f>IFERROR(G17/F17, 0)</f>
        <v>-0.49333280057038253</v>
      </c>
      <c r="I17" s="24"/>
      <c r="J17" s="24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D6641AFF-9EF2-4FD6-B290-0AAFE55D8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2024-02-06T09:49:13Z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