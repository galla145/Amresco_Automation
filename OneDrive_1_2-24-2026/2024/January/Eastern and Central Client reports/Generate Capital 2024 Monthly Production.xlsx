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7" documentId="13_ncr:1_{49D234DF-E299-49CB-876C-F3F3E7106F1B}" xr6:coauthVersionLast="47" xr6:coauthVersionMax="47" xr10:uidLastSave="{35540C33-1E90-47D6-911B-DA77A2F43F68}"/>
  <bookViews>
    <workbookView xWindow="-28920" yWindow="7725" windowWidth="29040" windowHeight="15720" tabRatio="866" firstSheet="5" activeTab="5" xr2:uid="{00000000-000D-0000-FFFF-FFFF00000000}"/>
  </bookViews>
  <sheets>
    <sheet name="YTD Total 2023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heet1" sheetId="194" state="hidden" r:id="rId18"/>
    <sheet name="Sites" sheetId="68" r:id="rId19"/>
    <sheet name="Farmer" sheetId="134" r:id="rId20"/>
    <sheet name="Fulton" sheetId="136" r:id="rId21"/>
    <sheet name="JFK Elementary" sheetId="139" r:id="rId22"/>
    <sheet name="Noble" sheetId="138" r:id="rId23"/>
    <sheet name="Parking 3" sheetId="137" r:id="rId24"/>
    <sheet name="PE East" sheetId="135" r:id="rId25"/>
    <sheet name="Schwada" sheetId="141" r:id="rId26"/>
    <sheet name="Starshine" sheetId="143" r:id="rId27"/>
    <sheet name="Yuma Airport" sheetId="142" r:id="rId28"/>
    <sheet name="Kinsman" sheetId="129" r:id="rId29"/>
    <sheet name="Wooster" sheetId="130" r:id="rId30"/>
    <sheet name="Globe Gila CC" sheetId="146" r:id="rId31"/>
    <sheet name="Payson Gila CC" sheetId="145" r:id="rId32"/>
    <sheet name="SCNM" sheetId="147" r:id="rId33"/>
    <sheet name="Sequoia Charter School" sheetId="144" r:id="rId34"/>
    <sheet name="RCAB" sheetId="149" r:id="rId35"/>
    <sheet name="Spectro Coatings" sheetId="148" r:id="rId36"/>
    <sheet name="K026" sheetId="5" r:id="rId37"/>
    <sheet name="K041" sheetId="197" r:id="rId38"/>
    <sheet name="K043" sheetId="69" r:id="rId39"/>
    <sheet name="K058" sheetId="79" r:id="rId40"/>
    <sheet name="K115" sheetId="78" r:id="rId41"/>
    <sheet name="K152" sheetId="77" r:id="rId42"/>
    <sheet name="K166" sheetId="76" r:id="rId43"/>
    <sheet name="K206" sheetId="198" r:id="rId44"/>
    <sheet name="K251" sheetId="75" r:id="rId45"/>
    <sheet name="K269" sheetId="74" r:id="rId46"/>
    <sheet name="K273" sheetId="73" r:id="rId47"/>
    <sheet name="K287" sheetId="80" r:id="rId48"/>
    <sheet name="K298" sheetId="72" r:id="rId49"/>
    <sheet name="K335" sheetId="71" r:id="rId50"/>
    <sheet name="K345" sheetId="195" r:id="rId51"/>
    <sheet name="K445" sheetId="196" r:id="rId52"/>
    <sheet name="K495" sheetId="70" r:id="rId53"/>
    <sheet name="M020" sheetId="89" r:id="rId54"/>
    <sheet name="M092" sheetId="88" r:id="rId55"/>
    <sheet name="M143" sheetId="87" r:id="rId56"/>
    <sheet name="M144" sheetId="86" r:id="rId57"/>
    <sheet name="M167" sheetId="199" r:id="rId58"/>
    <sheet name="M188" sheetId="85" r:id="rId59"/>
    <sheet name="EMHC" sheetId="200" r:id="rId60"/>
    <sheet name="Q008" sheetId="84" r:id="rId61"/>
    <sheet name="Q018" sheetId="83" r:id="rId62"/>
    <sheet name="Q021" sheetId="82" r:id="rId63"/>
    <sheet name="Q025" sheetId="81" r:id="rId64"/>
    <sheet name="Q074" sheetId="126" r:id="rId65"/>
    <sheet name="Q115" sheetId="98" r:id="rId66"/>
    <sheet name="Q139" sheetId="97" r:id="rId67"/>
    <sheet name="Q157" sheetId="95" r:id="rId68"/>
    <sheet name="Q192" sheetId="96" r:id="rId69"/>
    <sheet name="Q210" sheetId="94" r:id="rId70"/>
    <sheet name="Q229" sheetId="93" r:id="rId71"/>
    <sheet name="Q231" sheetId="92" r:id="rId72"/>
    <sheet name="Q405" sheetId="91" r:id="rId73"/>
    <sheet name="Q435" sheetId="90" r:id="rId74"/>
    <sheet name="Q485" sheetId="201" r:id="rId75"/>
    <sheet name="Q490" sheetId="107" r:id="rId76"/>
    <sheet name="Q620" sheetId="106" r:id="rId77"/>
    <sheet name="QMOA" sheetId="105" r:id="rId78"/>
    <sheet name="X024" sheetId="202" r:id="rId79"/>
    <sheet name="X026" sheetId="104" r:id="rId80"/>
    <sheet name="X090" sheetId="103" r:id="rId81"/>
    <sheet name="X117" sheetId="102" r:id="rId82"/>
    <sheet name="X125" sheetId="101" r:id="rId83"/>
    <sheet name="X134" sheetId="100" r:id="rId84"/>
    <sheet name="X135" sheetId="99" r:id="rId85"/>
    <sheet name="X139 JHS 222" sheetId="109" r:id="rId86"/>
    <sheet name="X140" sheetId="203" r:id="rId87"/>
    <sheet name="X166" sheetId="108" r:id="rId88"/>
    <sheet name="Murphy" sheetId="111" r:id="rId89"/>
    <sheet name="Terning" sheetId="110" r:id="rId90"/>
    <sheet name="Boas Road 04" sheetId="127" r:id="rId91"/>
    <sheet name="Kelly Bridge Farm" sheetId="123" r:id="rId92"/>
    <sheet name="Pool Brook Road" sheetId="124" r:id="rId93"/>
    <sheet name="Sackett Lake" sheetId="125" r:id="rId94"/>
    <sheet name="Burritt Road" sheetId="150" r:id="rId95"/>
    <sheet name="Villa Roma 1" sheetId="154" r:id="rId96"/>
    <sheet name="Villa Roma 2" sheetId="153" r:id="rId97"/>
    <sheet name="Washington 1" sheetId="152" r:id="rId98"/>
    <sheet name="Washington 3" sheetId="155" r:id="rId99"/>
    <sheet name="Washington 4" sheetId="151" r:id="rId100"/>
    <sheet name="Big Tree" sheetId="167" r:id="rId101"/>
    <sheet name="Canoga" sheetId="166" r:id="rId102"/>
    <sheet name="County Route 84" sheetId="165" r:id="rId103"/>
    <sheet name="Donati" sheetId="164" r:id="rId104"/>
    <sheet name="Henrietta" sheetId="163" r:id="rId105"/>
    <sheet name="NY 70" sheetId="162" r:id="rId106"/>
    <sheet name="Reid" sheetId="161" r:id="rId107"/>
    <sheet name="Sangolqui" sheetId="160" r:id="rId108"/>
    <sheet name="State Highway 17B" sheetId="159" r:id="rId109"/>
    <sheet name="State Route 14A" sheetId="158" r:id="rId110"/>
    <sheet name="West Creek" sheetId="157" r:id="rId111"/>
    <sheet name="Wildflower" sheetId="156" r:id="rId112"/>
    <sheet name="Glen Mary 1" sheetId="119" r:id="rId113"/>
    <sheet name="Glen Mary 2" sheetId="118" r:id="rId114"/>
    <sheet name="Telegraph 1" sheetId="122" r:id="rId115"/>
    <sheet name="Telegraph 2" sheetId="121" r:id="rId116"/>
    <sheet name="Cafferty Hill" sheetId="117" r:id="rId117"/>
    <sheet name="Dunkleman" sheetId="120" r:id="rId118"/>
    <sheet name="Route 19 1" sheetId="116" r:id="rId119"/>
    <sheet name="Route 19 2" sheetId="115" r:id="rId120"/>
    <sheet name="Yellow Mills 1" sheetId="114" r:id="rId121"/>
    <sheet name="Yellow Mills 2" sheetId="113" r:id="rId122"/>
    <sheet name="Yellow Mills 3" sheetId="112" r:id="rId123"/>
    <sheet name="Catskill" sheetId="128" r:id="rId124"/>
    <sheet name="Eddy Ridge" sheetId="168" r:id="rId125"/>
    <sheet name="Ridgeway #1" sheetId="204" r:id="rId126"/>
    <sheet name="Rivard 1" sheetId="205" r:id="rId127"/>
    <sheet name="Rivard 2" sheetId="206" r:id="rId128"/>
    <sheet name="Essex" sheetId="182" r:id="rId129"/>
    <sheet name="Temple Sinai" sheetId="169" r:id="rId130"/>
    <sheet name="Weinberg 1" sheetId="170" r:id="rId131"/>
    <sheet name="Weinberg 2" sheetId="171" r:id="rId132"/>
    <sheet name="Weinberg 3" sheetId="172" r:id="rId133"/>
    <sheet name="Clayton Hall" sheetId="173" r:id="rId134"/>
    <sheet name="Field House" sheetId="174" r:id="rId135"/>
    <sheet name="Wyoming Road" sheetId="175" r:id="rId136"/>
    <sheet name="Leoku" sheetId="176" r:id="rId137"/>
    <sheet name="Waipahu" sheetId="177" r:id="rId138"/>
    <sheet name="Bird in Hand" sheetId="178" r:id="rId139"/>
    <sheet name="Shortal" sheetId="183" r:id="rId140"/>
    <sheet name="Aguadilla" sheetId="131" r:id="rId141"/>
    <sheet name="Bayamon" sheetId="132" r:id="rId142"/>
    <sheet name="St Francis" sheetId="133" r:id="rId143"/>
    <sheet name="Seaport" sheetId="184" r:id="rId144"/>
    <sheet name="Sprague St" sheetId="193" r:id="rId145"/>
    <sheet name="Summer St" sheetId="192" r:id="rId146"/>
    <sheet name="Brock St Vocational" sheetId="191" r:id="rId147"/>
    <sheet name="McClelland ES" sheetId="190" r:id="rId148"/>
    <sheet name="Portland St" sheetId="189" r:id="rId149"/>
    <sheet name="Portsmouth HS" sheetId="188" r:id="rId150"/>
    <sheet name="Portsmouth WTP" sheetId="187" r:id="rId151"/>
    <sheet name="Rochester St" sheetId="186" r:id="rId152"/>
    <sheet name="Spaulding HS" sheetId="185" r:id="rId153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 2023'!$B$2:$I$2</definedName>
    <definedName name="JanActual">Jan!$C$3:$C$58</definedName>
    <definedName name="JanActual2">Jan!#REF!</definedName>
    <definedName name="JanExpected">Jan!$D$3:$D$58</definedName>
    <definedName name="JanExpectedDelta">Jan!$E$3:$E$58</definedName>
    <definedName name="JanExpectedPercent">Jan!$F$3:$F$58</definedName>
    <definedName name="JanExpPercent">Jan!$F$3:$F$58</definedName>
    <definedName name="JanForecasted">Jan!$G$3:$G$58</definedName>
    <definedName name="JanForecastedDelta">Jan!$H$3:$H$58</definedName>
    <definedName name="JanForecastedPercent">Jan!$I$3:$I$58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06" l="1"/>
  <c r="C17" i="206"/>
  <c r="B17" i="206"/>
  <c r="H16" i="206"/>
  <c r="G16" i="206"/>
  <c r="D16" i="206"/>
  <c r="E16" i="206" s="1"/>
  <c r="G15" i="206"/>
  <c r="H15" i="206" s="1"/>
  <c r="D15" i="206"/>
  <c r="E15" i="206" s="1"/>
  <c r="H14" i="206"/>
  <c r="G14" i="206"/>
  <c r="D14" i="206"/>
  <c r="E14" i="206" s="1"/>
  <c r="G13" i="206"/>
  <c r="H13" i="206" s="1"/>
  <c r="D13" i="206"/>
  <c r="E13" i="206" s="1"/>
  <c r="H12" i="206"/>
  <c r="G12" i="206"/>
  <c r="D12" i="206"/>
  <c r="E12" i="206" s="1"/>
  <c r="G11" i="206"/>
  <c r="H11" i="206" s="1"/>
  <c r="D11" i="206"/>
  <c r="E11" i="206" s="1"/>
  <c r="H10" i="206"/>
  <c r="G10" i="206"/>
  <c r="D10" i="206"/>
  <c r="E10" i="206" s="1"/>
  <c r="G9" i="206"/>
  <c r="H9" i="206" s="1"/>
  <c r="D9" i="206"/>
  <c r="E9" i="206" s="1"/>
  <c r="H8" i="206"/>
  <c r="G8" i="206"/>
  <c r="D8" i="206"/>
  <c r="E8" i="206" s="1"/>
  <c r="G7" i="206"/>
  <c r="H7" i="206" s="1"/>
  <c r="D7" i="206"/>
  <c r="E7" i="206" s="1"/>
  <c r="H6" i="206"/>
  <c r="G6" i="206"/>
  <c r="D6" i="206"/>
  <c r="E6" i="206" s="1"/>
  <c r="G5" i="206"/>
  <c r="H5" i="206" s="1"/>
  <c r="D5" i="206"/>
  <c r="E5" i="206" s="1"/>
  <c r="F17" i="205"/>
  <c r="C17" i="205"/>
  <c r="D17" i="205" s="1"/>
  <c r="E17" i="205" s="1"/>
  <c r="B17" i="205"/>
  <c r="H16" i="205"/>
  <c r="G16" i="205"/>
  <c r="D16" i="205"/>
  <c r="E16" i="205" s="1"/>
  <c r="G15" i="205"/>
  <c r="H15" i="205" s="1"/>
  <c r="E15" i="205"/>
  <c r="D15" i="205"/>
  <c r="H14" i="205"/>
  <c r="G14" i="205"/>
  <c r="D14" i="205"/>
  <c r="E14" i="205" s="1"/>
  <c r="G13" i="205"/>
  <c r="H13" i="205" s="1"/>
  <c r="E13" i="205"/>
  <c r="D13" i="205"/>
  <c r="H12" i="205"/>
  <c r="G12" i="205"/>
  <c r="D12" i="205"/>
  <c r="E12" i="205" s="1"/>
  <c r="G11" i="205"/>
  <c r="H11" i="205" s="1"/>
  <c r="E11" i="205"/>
  <c r="D11" i="205"/>
  <c r="H10" i="205"/>
  <c r="G10" i="205"/>
  <c r="D10" i="205"/>
  <c r="E10" i="205" s="1"/>
  <c r="G9" i="205"/>
  <c r="H9" i="205" s="1"/>
  <c r="E9" i="205"/>
  <c r="D9" i="205"/>
  <c r="H8" i="205"/>
  <c r="G8" i="205"/>
  <c r="D8" i="205"/>
  <c r="E8" i="205" s="1"/>
  <c r="G7" i="205"/>
  <c r="H7" i="205" s="1"/>
  <c r="E7" i="205"/>
  <c r="D7" i="205"/>
  <c r="H6" i="205"/>
  <c r="G6" i="205"/>
  <c r="D6" i="205"/>
  <c r="E6" i="205" s="1"/>
  <c r="G5" i="205"/>
  <c r="H5" i="205" s="1"/>
  <c r="D5" i="205"/>
  <c r="E5" i="205" s="1"/>
  <c r="F17" i="204"/>
  <c r="C17" i="204"/>
  <c r="B17" i="204"/>
  <c r="H16" i="204"/>
  <c r="G16" i="204"/>
  <c r="D16" i="204"/>
  <c r="E16" i="204" s="1"/>
  <c r="G15" i="204"/>
  <c r="H15" i="204" s="1"/>
  <c r="E15" i="204"/>
  <c r="D15" i="204"/>
  <c r="H14" i="204"/>
  <c r="G14" i="204"/>
  <c r="D14" i="204"/>
  <c r="E14" i="204" s="1"/>
  <c r="G13" i="204"/>
  <c r="H13" i="204" s="1"/>
  <c r="E13" i="204"/>
  <c r="D13" i="204"/>
  <c r="H12" i="204"/>
  <c r="G12" i="204"/>
  <c r="D12" i="204"/>
  <c r="E12" i="204" s="1"/>
  <c r="G11" i="204"/>
  <c r="H11" i="204" s="1"/>
  <c r="E11" i="204"/>
  <c r="D11" i="204"/>
  <c r="H10" i="204"/>
  <c r="G10" i="204"/>
  <c r="D10" i="204"/>
  <c r="E10" i="204" s="1"/>
  <c r="G9" i="204"/>
  <c r="H9" i="204" s="1"/>
  <c r="E9" i="204"/>
  <c r="D9" i="204"/>
  <c r="H8" i="204"/>
  <c r="G8" i="204"/>
  <c r="D8" i="204"/>
  <c r="E8" i="204" s="1"/>
  <c r="G7" i="204"/>
  <c r="H7" i="204" s="1"/>
  <c r="E7" i="204"/>
  <c r="D7" i="204"/>
  <c r="H6" i="204"/>
  <c r="G6" i="204"/>
  <c r="D6" i="204"/>
  <c r="E6" i="204" s="1"/>
  <c r="G5" i="204"/>
  <c r="H5" i="204" s="1"/>
  <c r="D5" i="204"/>
  <c r="E5" i="204" s="1"/>
  <c r="F17" i="203"/>
  <c r="C17" i="203"/>
  <c r="B17" i="203"/>
  <c r="G17" i="203" s="1"/>
  <c r="H17" i="203" s="1"/>
  <c r="H16" i="203"/>
  <c r="G16" i="203"/>
  <c r="D16" i="203"/>
  <c r="E16" i="203" s="1"/>
  <c r="G15" i="203"/>
  <c r="H15" i="203" s="1"/>
  <c r="E15" i="203"/>
  <c r="D15" i="203"/>
  <c r="H14" i="203"/>
  <c r="G14" i="203"/>
  <c r="D14" i="203"/>
  <c r="E14" i="203" s="1"/>
  <c r="G13" i="203"/>
  <c r="H13" i="203" s="1"/>
  <c r="E13" i="203"/>
  <c r="D13" i="203"/>
  <c r="H12" i="203"/>
  <c r="G12" i="203"/>
  <c r="D12" i="203"/>
  <c r="E12" i="203" s="1"/>
  <c r="G11" i="203"/>
  <c r="H11" i="203" s="1"/>
  <c r="E11" i="203"/>
  <c r="D11" i="203"/>
  <c r="H10" i="203"/>
  <c r="G10" i="203"/>
  <c r="D10" i="203"/>
  <c r="E10" i="203" s="1"/>
  <c r="G9" i="203"/>
  <c r="H9" i="203" s="1"/>
  <c r="E9" i="203"/>
  <c r="D9" i="203"/>
  <c r="H8" i="203"/>
  <c r="G8" i="203"/>
  <c r="D8" i="203"/>
  <c r="E8" i="203" s="1"/>
  <c r="G7" i="203"/>
  <c r="H7" i="203" s="1"/>
  <c r="E7" i="203"/>
  <c r="D7" i="203"/>
  <c r="H6" i="203"/>
  <c r="G6" i="203"/>
  <c r="D6" i="203"/>
  <c r="E6" i="203" s="1"/>
  <c r="G5" i="203"/>
  <c r="H5" i="203" s="1"/>
  <c r="D5" i="203"/>
  <c r="E5" i="203" s="1"/>
  <c r="F17" i="202"/>
  <c r="C17" i="202"/>
  <c r="B17" i="202"/>
  <c r="H16" i="202"/>
  <c r="G16" i="202"/>
  <c r="D16" i="202"/>
  <c r="E16" i="202" s="1"/>
  <c r="G15" i="202"/>
  <c r="H15" i="202" s="1"/>
  <c r="D15" i="202"/>
  <c r="E15" i="202" s="1"/>
  <c r="H14" i="202"/>
  <c r="G14" i="202"/>
  <c r="D14" i="202"/>
  <c r="E14" i="202" s="1"/>
  <c r="G13" i="202"/>
  <c r="H13" i="202" s="1"/>
  <c r="D13" i="202"/>
  <c r="E13" i="202" s="1"/>
  <c r="H12" i="202"/>
  <c r="G12" i="202"/>
  <c r="D12" i="202"/>
  <c r="E12" i="202" s="1"/>
  <c r="G11" i="202"/>
  <c r="H11" i="202" s="1"/>
  <c r="D11" i="202"/>
  <c r="E11" i="202" s="1"/>
  <c r="H10" i="202"/>
  <c r="G10" i="202"/>
  <c r="D10" i="202"/>
  <c r="E10" i="202" s="1"/>
  <c r="G9" i="202"/>
  <c r="H9" i="202" s="1"/>
  <c r="D9" i="202"/>
  <c r="E9" i="202" s="1"/>
  <c r="H8" i="202"/>
  <c r="G8" i="202"/>
  <c r="D8" i="202"/>
  <c r="E8" i="202" s="1"/>
  <c r="G7" i="202"/>
  <c r="H7" i="202" s="1"/>
  <c r="D7" i="202"/>
  <c r="E7" i="202" s="1"/>
  <c r="H6" i="202"/>
  <c r="G6" i="202"/>
  <c r="D6" i="202"/>
  <c r="E6" i="202" s="1"/>
  <c r="G5" i="202"/>
  <c r="H5" i="202" s="1"/>
  <c r="D5" i="202"/>
  <c r="E5" i="202" s="1"/>
  <c r="B17" i="104"/>
  <c r="F17" i="201"/>
  <c r="C17" i="201"/>
  <c r="B17" i="201"/>
  <c r="H16" i="201"/>
  <c r="G16" i="201"/>
  <c r="D16" i="201"/>
  <c r="E16" i="201" s="1"/>
  <c r="G15" i="201"/>
  <c r="H15" i="201" s="1"/>
  <c r="D15" i="201"/>
  <c r="E15" i="201" s="1"/>
  <c r="H14" i="201"/>
  <c r="G14" i="201"/>
  <c r="D14" i="201"/>
  <c r="E14" i="201" s="1"/>
  <c r="G13" i="201"/>
  <c r="H13" i="201" s="1"/>
  <c r="D13" i="201"/>
  <c r="E13" i="201" s="1"/>
  <c r="H12" i="201"/>
  <c r="G12" i="201"/>
  <c r="D12" i="201"/>
  <c r="E12" i="201" s="1"/>
  <c r="G11" i="201"/>
  <c r="H11" i="201" s="1"/>
  <c r="D11" i="201"/>
  <c r="E11" i="201" s="1"/>
  <c r="H10" i="201"/>
  <c r="G10" i="201"/>
  <c r="D10" i="201"/>
  <c r="E10" i="201" s="1"/>
  <c r="G9" i="201"/>
  <c r="H9" i="201" s="1"/>
  <c r="D9" i="201"/>
  <c r="E9" i="201" s="1"/>
  <c r="H8" i="201"/>
  <c r="G8" i="201"/>
  <c r="D8" i="201"/>
  <c r="E8" i="201" s="1"/>
  <c r="G7" i="201"/>
  <c r="H7" i="201" s="1"/>
  <c r="D7" i="201"/>
  <c r="E7" i="201" s="1"/>
  <c r="H6" i="201"/>
  <c r="G6" i="201"/>
  <c r="D6" i="201"/>
  <c r="E6" i="201" s="1"/>
  <c r="G5" i="201"/>
  <c r="H5" i="201" s="1"/>
  <c r="D5" i="201"/>
  <c r="E5" i="201" s="1"/>
  <c r="F17" i="200"/>
  <c r="C17" i="200"/>
  <c r="B17" i="200"/>
  <c r="H16" i="200"/>
  <c r="G16" i="200"/>
  <c r="E16" i="200"/>
  <c r="D16" i="200"/>
  <c r="G15" i="200"/>
  <c r="H15" i="200" s="1"/>
  <c r="D15" i="200"/>
  <c r="E15" i="200" s="1"/>
  <c r="H14" i="200"/>
  <c r="G14" i="200"/>
  <c r="E14" i="200"/>
  <c r="D14" i="200"/>
  <c r="G13" i="200"/>
  <c r="H13" i="200" s="1"/>
  <c r="D13" i="200"/>
  <c r="E13" i="200" s="1"/>
  <c r="H12" i="200"/>
  <c r="G12" i="200"/>
  <c r="E12" i="200"/>
  <c r="D12" i="200"/>
  <c r="G11" i="200"/>
  <c r="H11" i="200" s="1"/>
  <c r="D11" i="200"/>
  <c r="E11" i="200" s="1"/>
  <c r="H10" i="200"/>
  <c r="G10" i="200"/>
  <c r="E10" i="200"/>
  <c r="D10" i="200"/>
  <c r="G9" i="200"/>
  <c r="H9" i="200" s="1"/>
  <c r="D9" i="200"/>
  <c r="E9" i="200" s="1"/>
  <c r="H8" i="200"/>
  <c r="G8" i="200"/>
  <c r="E8" i="200"/>
  <c r="D8" i="200"/>
  <c r="G7" i="200"/>
  <c r="H7" i="200" s="1"/>
  <c r="D7" i="200"/>
  <c r="E7" i="200" s="1"/>
  <c r="H6" i="200"/>
  <c r="G6" i="200"/>
  <c r="E6" i="200"/>
  <c r="D6" i="200"/>
  <c r="G5" i="200"/>
  <c r="H5" i="200" s="1"/>
  <c r="D5" i="200"/>
  <c r="E5" i="200" s="1"/>
  <c r="F17" i="199"/>
  <c r="C17" i="199"/>
  <c r="B17" i="199"/>
  <c r="H16" i="199"/>
  <c r="G16" i="199"/>
  <c r="E16" i="199"/>
  <c r="D16" i="199"/>
  <c r="H15" i="199"/>
  <c r="G15" i="199"/>
  <c r="E15" i="199"/>
  <c r="D15" i="199"/>
  <c r="H14" i="199"/>
  <c r="G14" i="199"/>
  <c r="E14" i="199"/>
  <c r="D14" i="199"/>
  <c r="H13" i="199"/>
  <c r="G13" i="199"/>
  <c r="E13" i="199"/>
  <c r="D13" i="199"/>
  <c r="H12" i="199"/>
  <c r="G12" i="199"/>
  <c r="E12" i="199"/>
  <c r="D12" i="199"/>
  <c r="H11" i="199"/>
  <c r="G11" i="199"/>
  <c r="E11" i="199"/>
  <c r="D11" i="199"/>
  <c r="H10" i="199"/>
  <c r="G10" i="199"/>
  <c r="E10" i="199"/>
  <c r="D10" i="199"/>
  <c r="H9" i="199"/>
  <c r="G9" i="199"/>
  <c r="E9" i="199"/>
  <c r="D9" i="199"/>
  <c r="H8" i="199"/>
  <c r="G8" i="199"/>
  <c r="E8" i="199"/>
  <c r="D8" i="199"/>
  <c r="H7" i="199"/>
  <c r="G7" i="199"/>
  <c r="E7" i="199"/>
  <c r="D7" i="199"/>
  <c r="H6" i="199"/>
  <c r="G6" i="199"/>
  <c r="E6" i="199"/>
  <c r="D6" i="199"/>
  <c r="G5" i="199"/>
  <c r="H5" i="199" s="1"/>
  <c r="D5" i="199"/>
  <c r="E5" i="199" s="1"/>
  <c r="F17" i="198"/>
  <c r="C17" i="198"/>
  <c r="B17" i="198"/>
  <c r="H16" i="198"/>
  <c r="G16" i="198"/>
  <c r="D16" i="198"/>
  <c r="E16" i="198" s="1"/>
  <c r="G15" i="198"/>
  <c r="H15" i="198" s="1"/>
  <c r="D15" i="198"/>
  <c r="E15" i="198" s="1"/>
  <c r="H14" i="198"/>
  <c r="G14" i="198"/>
  <c r="D14" i="198"/>
  <c r="E14" i="198" s="1"/>
  <c r="G13" i="198"/>
  <c r="H13" i="198" s="1"/>
  <c r="D13" i="198"/>
  <c r="E13" i="198" s="1"/>
  <c r="H12" i="198"/>
  <c r="G12" i="198"/>
  <c r="D12" i="198"/>
  <c r="E12" i="198" s="1"/>
  <c r="G11" i="198"/>
  <c r="H11" i="198" s="1"/>
  <c r="D11" i="198"/>
  <c r="E11" i="198" s="1"/>
  <c r="H10" i="198"/>
  <c r="G10" i="198"/>
  <c r="D10" i="198"/>
  <c r="E10" i="198" s="1"/>
  <c r="G9" i="198"/>
  <c r="H9" i="198" s="1"/>
  <c r="D9" i="198"/>
  <c r="E9" i="198" s="1"/>
  <c r="H8" i="198"/>
  <c r="G8" i="198"/>
  <c r="D8" i="198"/>
  <c r="E8" i="198" s="1"/>
  <c r="G7" i="198"/>
  <c r="H7" i="198" s="1"/>
  <c r="D7" i="198"/>
  <c r="E7" i="198" s="1"/>
  <c r="H6" i="198"/>
  <c r="G6" i="198"/>
  <c r="D6" i="198"/>
  <c r="E6" i="198" s="1"/>
  <c r="G5" i="198"/>
  <c r="H5" i="198" s="1"/>
  <c r="D5" i="198"/>
  <c r="E5" i="198" s="1"/>
  <c r="F17" i="197"/>
  <c r="C17" i="197"/>
  <c r="B17" i="197"/>
  <c r="G17" i="197" s="1"/>
  <c r="H17" i="197" s="1"/>
  <c r="H16" i="197"/>
  <c r="G16" i="197"/>
  <c r="D16" i="197"/>
  <c r="E16" i="197" s="1"/>
  <c r="G15" i="197"/>
  <c r="H15" i="197" s="1"/>
  <c r="D15" i="197"/>
  <c r="E15" i="197" s="1"/>
  <c r="H14" i="197"/>
  <c r="G14" i="197"/>
  <c r="D14" i="197"/>
  <c r="E14" i="197" s="1"/>
  <c r="G13" i="197"/>
  <c r="H13" i="197" s="1"/>
  <c r="D13" i="197"/>
  <c r="E13" i="197" s="1"/>
  <c r="H12" i="197"/>
  <c r="G12" i="197"/>
  <c r="D12" i="197"/>
  <c r="E12" i="197" s="1"/>
  <c r="G11" i="197"/>
  <c r="H11" i="197" s="1"/>
  <c r="D11" i="197"/>
  <c r="E11" i="197" s="1"/>
  <c r="H10" i="197"/>
  <c r="G10" i="197"/>
  <c r="D10" i="197"/>
  <c r="E10" i="197" s="1"/>
  <c r="G9" i="197"/>
  <c r="H9" i="197" s="1"/>
  <c r="D9" i="197"/>
  <c r="E9" i="197" s="1"/>
  <c r="H8" i="197"/>
  <c r="G8" i="197"/>
  <c r="D8" i="197"/>
  <c r="E8" i="197" s="1"/>
  <c r="G7" i="197"/>
  <c r="H7" i="197" s="1"/>
  <c r="D7" i="197"/>
  <c r="E7" i="197" s="1"/>
  <c r="H6" i="197"/>
  <c r="G6" i="197"/>
  <c r="D6" i="197"/>
  <c r="E6" i="197" s="1"/>
  <c r="G5" i="197"/>
  <c r="H5" i="197" s="1"/>
  <c r="D5" i="197"/>
  <c r="E5" i="197" s="1"/>
  <c r="F17" i="196"/>
  <c r="C17" i="196"/>
  <c r="B17" i="196"/>
  <c r="G17" i="196" s="1"/>
  <c r="H17" i="196" s="1"/>
  <c r="H16" i="196"/>
  <c r="G16" i="196"/>
  <c r="D16" i="196"/>
  <c r="E16" i="196" s="1"/>
  <c r="G15" i="196"/>
  <c r="H15" i="196" s="1"/>
  <c r="D15" i="196"/>
  <c r="E15" i="196" s="1"/>
  <c r="H14" i="196"/>
  <c r="G14" i="196"/>
  <c r="D14" i="196"/>
  <c r="E14" i="196" s="1"/>
  <c r="G13" i="196"/>
  <c r="H13" i="196" s="1"/>
  <c r="D13" i="196"/>
  <c r="E13" i="196" s="1"/>
  <c r="H12" i="196"/>
  <c r="G12" i="196"/>
  <c r="D12" i="196"/>
  <c r="E12" i="196" s="1"/>
  <c r="G11" i="196"/>
  <c r="H11" i="196" s="1"/>
  <c r="D11" i="196"/>
  <c r="E11" i="196" s="1"/>
  <c r="H10" i="196"/>
  <c r="G10" i="196"/>
  <c r="D10" i="196"/>
  <c r="E10" i="196" s="1"/>
  <c r="G9" i="196"/>
  <c r="H9" i="196" s="1"/>
  <c r="D9" i="196"/>
  <c r="E9" i="196" s="1"/>
  <c r="H8" i="196"/>
  <c r="G8" i="196"/>
  <c r="D8" i="196"/>
  <c r="E8" i="196" s="1"/>
  <c r="G7" i="196"/>
  <c r="H7" i="196" s="1"/>
  <c r="D7" i="196"/>
  <c r="E7" i="196" s="1"/>
  <c r="H6" i="196"/>
  <c r="G6" i="196"/>
  <c r="D6" i="196"/>
  <c r="E6" i="196" s="1"/>
  <c r="G5" i="196"/>
  <c r="H5" i="196" s="1"/>
  <c r="D5" i="196"/>
  <c r="E5" i="196" s="1"/>
  <c r="F17" i="195"/>
  <c r="C17" i="195"/>
  <c r="B17" i="195"/>
  <c r="G17" i="195" s="1"/>
  <c r="H17" i="195" s="1"/>
  <c r="H16" i="195"/>
  <c r="G16" i="195"/>
  <c r="E16" i="195"/>
  <c r="D16" i="195"/>
  <c r="H15" i="195"/>
  <c r="G15" i="195"/>
  <c r="D15" i="195"/>
  <c r="E15" i="195" s="1"/>
  <c r="H14" i="195"/>
  <c r="G14" i="195"/>
  <c r="E14" i="195"/>
  <c r="D14" i="195"/>
  <c r="H13" i="195"/>
  <c r="G13" i="195"/>
  <c r="D13" i="195"/>
  <c r="E13" i="195" s="1"/>
  <c r="H12" i="195"/>
  <c r="G12" i="195"/>
  <c r="E12" i="195"/>
  <c r="D12" i="195"/>
  <c r="H11" i="195"/>
  <c r="G11" i="195"/>
  <c r="D11" i="195"/>
  <c r="E11" i="195" s="1"/>
  <c r="H10" i="195"/>
  <c r="G10" i="195"/>
  <c r="E10" i="195"/>
  <c r="D10" i="195"/>
  <c r="H9" i="195"/>
  <c r="G9" i="195"/>
  <c r="D9" i="195"/>
  <c r="E9" i="195" s="1"/>
  <c r="H8" i="195"/>
  <c r="G8" i="195"/>
  <c r="E8" i="195"/>
  <c r="D8" i="195"/>
  <c r="H7" i="195"/>
  <c r="G7" i="195"/>
  <c r="D7" i="195"/>
  <c r="E7" i="195" s="1"/>
  <c r="H6" i="195"/>
  <c r="G6" i="195"/>
  <c r="E6" i="195"/>
  <c r="D6" i="195"/>
  <c r="G5" i="195"/>
  <c r="H5" i="195" s="1"/>
  <c r="D5" i="195"/>
  <c r="E5" i="195" s="1"/>
  <c r="F17" i="82"/>
  <c r="B17" i="76"/>
  <c r="B17" i="88"/>
  <c r="B18" i="126"/>
  <c r="G17" i="126"/>
  <c r="H17" i="126" s="1"/>
  <c r="D17" i="126"/>
  <c r="E17" i="126" s="1"/>
  <c r="G16" i="112"/>
  <c r="D16" i="112"/>
  <c r="B17" i="93"/>
  <c r="B18" i="103"/>
  <c r="G17" i="103"/>
  <c r="H17" i="103" s="1"/>
  <c r="D17" i="103"/>
  <c r="E17" i="103" s="1"/>
  <c r="G15" i="167"/>
  <c r="C4" i="33" a="1"/>
  <c r="C8" i="33" a="1"/>
  <c r="C12" i="33" a="1"/>
  <c r="C16" i="33" a="1"/>
  <c r="C20" i="33" a="1"/>
  <c r="C24" i="33" a="1"/>
  <c r="C28" i="33" a="1"/>
  <c r="C32" i="33" a="1"/>
  <c r="C36" i="33" a="1"/>
  <c r="C40" i="33" a="1"/>
  <c r="C44" i="33" a="1"/>
  <c r="C48" i="33" a="1"/>
  <c r="C52" i="33" a="1"/>
  <c r="C56" i="33" a="1"/>
  <c r="C60" i="33" a="1"/>
  <c r="C64" i="33" a="1"/>
  <c r="C68" i="33" a="1"/>
  <c r="C72" i="33" a="1"/>
  <c r="C76" i="33" a="1"/>
  <c r="C80" i="33" a="1"/>
  <c r="C84" i="33" a="1"/>
  <c r="C88" i="33" a="1"/>
  <c r="C92" i="33" a="1"/>
  <c r="C96" i="33" a="1"/>
  <c r="C100" i="33" a="1"/>
  <c r="C104" i="33" a="1"/>
  <c r="C108" i="33" a="1"/>
  <c r="C112" i="33" a="1"/>
  <c r="C116" i="33" a="1"/>
  <c r="C120" i="33" a="1"/>
  <c r="C124" i="33" a="1"/>
  <c r="C128" i="33" a="1"/>
  <c r="C132" i="33" a="1"/>
  <c r="C136" i="33" a="1"/>
  <c r="C69" i="33" a="1"/>
  <c r="C105" i="33" a="1"/>
  <c r="C117" i="33" a="1"/>
  <c r="C125" i="33" a="1"/>
  <c r="C133" i="33" a="1"/>
  <c r="C5" i="33" a="1"/>
  <c r="C9" i="33" a="1"/>
  <c r="C13" i="33" a="1"/>
  <c r="C17" i="33" a="1"/>
  <c r="C21" i="33" a="1"/>
  <c r="C25" i="33" a="1"/>
  <c r="C29" i="33" a="1"/>
  <c r="C33" i="33" a="1"/>
  <c r="C37" i="33" a="1"/>
  <c r="C41" i="33" a="1"/>
  <c r="C45" i="33" a="1"/>
  <c r="C49" i="33" a="1"/>
  <c r="C53" i="33" a="1"/>
  <c r="C57" i="33" a="1"/>
  <c r="C61" i="33" a="1"/>
  <c r="C65" i="33" a="1"/>
  <c r="C73" i="33" a="1"/>
  <c r="C77" i="33" a="1"/>
  <c r="C81" i="33" a="1"/>
  <c r="C85" i="33" a="1"/>
  <c r="C89" i="33" a="1"/>
  <c r="C93" i="33" a="1"/>
  <c r="C97" i="33" a="1"/>
  <c r="C101" i="33" a="1"/>
  <c r="C109" i="33" a="1"/>
  <c r="C113" i="33" a="1"/>
  <c r="C121" i="33" a="1"/>
  <c r="C129" i="33" a="1"/>
  <c r="C6" i="33" a="1"/>
  <c r="C10" i="33" a="1"/>
  <c r="C14" i="33" a="1"/>
  <c r="C18" i="33" a="1"/>
  <c r="C22" i="33" a="1"/>
  <c r="C26" i="33" a="1"/>
  <c r="C30" i="33" a="1"/>
  <c r="C34" i="33" a="1"/>
  <c r="C38" i="33" a="1"/>
  <c r="C42" i="33" a="1"/>
  <c r="C46" i="33" a="1"/>
  <c r="C50" i="33" a="1"/>
  <c r="C54" i="33" a="1"/>
  <c r="C58" i="33" a="1"/>
  <c r="C62" i="33" a="1"/>
  <c r="C66" i="33" a="1"/>
  <c r="C70" i="33" a="1"/>
  <c r="C74" i="33" a="1"/>
  <c r="C78" i="33" a="1"/>
  <c r="C82" i="33" a="1"/>
  <c r="C86" i="33" a="1"/>
  <c r="C90" i="33" a="1"/>
  <c r="C94" i="33" a="1"/>
  <c r="C98" i="33" a="1"/>
  <c r="C102" i="33" a="1"/>
  <c r="C106" i="33" a="1"/>
  <c r="C110" i="33" a="1"/>
  <c r="C114" i="33" a="1"/>
  <c r="C118" i="33" a="1"/>
  <c r="C122" i="33" a="1"/>
  <c r="C126" i="33" a="1"/>
  <c r="C130" i="33" a="1"/>
  <c r="C134" i="33" a="1"/>
  <c r="C7" i="33" a="1"/>
  <c r="C11" i="33" a="1"/>
  <c r="C19" i="33" a="1"/>
  <c r="C23" i="33" a="1"/>
  <c r="C27" i="33" a="1"/>
  <c r="C31" i="33" a="1"/>
  <c r="C35" i="33" a="1"/>
  <c r="C39" i="33" a="1"/>
  <c r="C43" i="33" a="1"/>
  <c r="C47" i="33" a="1"/>
  <c r="C51" i="33" a="1"/>
  <c r="C55" i="33" a="1"/>
  <c r="C59" i="33" a="1"/>
  <c r="C63" i="33" a="1"/>
  <c r="C67" i="33" a="1"/>
  <c r="C71" i="33" a="1"/>
  <c r="C75" i="33" a="1"/>
  <c r="C79" i="33" a="1"/>
  <c r="C83" i="33" a="1"/>
  <c r="C87" i="33" a="1"/>
  <c r="C91" i="33" a="1"/>
  <c r="C95" i="33" a="1"/>
  <c r="C99" i="33" a="1"/>
  <c r="C103" i="33" a="1"/>
  <c r="C107" i="33" a="1"/>
  <c r="C111" i="33" a="1"/>
  <c r="C115" i="33" a="1"/>
  <c r="C119" i="33" a="1"/>
  <c r="C123" i="33" a="1"/>
  <c r="C127" i="33" a="1"/>
  <c r="C131" i="33" a="1"/>
  <c r="C135" i="33" a="1"/>
  <c r="C4" i="32" a="1"/>
  <c r="C8" i="32" a="1"/>
  <c r="C12" i="32" a="1"/>
  <c r="C16" i="32" a="1"/>
  <c r="C20" i="32" a="1"/>
  <c r="C24" i="32" a="1"/>
  <c r="C28" i="32" a="1"/>
  <c r="C32" i="32" a="1"/>
  <c r="C36" i="32" a="1"/>
  <c r="C40" i="32" a="1"/>
  <c r="C44" i="32" a="1"/>
  <c r="C48" i="32" a="1"/>
  <c r="C52" i="32" a="1"/>
  <c r="C56" i="32" a="1"/>
  <c r="C60" i="32" a="1"/>
  <c r="C64" i="32" a="1"/>
  <c r="C68" i="32" a="1"/>
  <c r="C72" i="32" a="1"/>
  <c r="C76" i="32" a="1"/>
  <c r="C80" i="32" a="1"/>
  <c r="C84" i="32" a="1"/>
  <c r="C88" i="32" a="1"/>
  <c r="C92" i="32" a="1"/>
  <c r="C96" i="32" a="1"/>
  <c r="C100" i="32" a="1"/>
  <c r="C104" i="32" a="1"/>
  <c r="C108" i="32" a="1"/>
  <c r="C112" i="32" a="1"/>
  <c r="C116" i="32" a="1"/>
  <c r="C120" i="32" a="1"/>
  <c r="C124" i="32" a="1"/>
  <c r="C128" i="32" a="1"/>
  <c r="C132" i="32" a="1"/>
  <c r="C136" i="32" a="1"/>
  <c r="C5" i="32" a="1"/>
  <c r="C9" i="32" a="1"/>
  <c r="C13" i="32" a="1"/>
  <c r="C17" i="32" a="1"/>
  <c r="C21" i="32" a="1"/>
  <c r="C25" i="32" a="1"/>
  <c r="C29" i="32" a="1"/>
  <c r="C33" i="32" a="1"/>
  <c r="C37" i="32" a="1"/>
  <c r="C41" i="32" a="1"/>
  <c r="C45" i="32" a="1"/>
  <c r="C49" i="32" a="1"/>
  <c r="C53" i="32" a="1"/>
  <c r="C57" i="32" a="1"/>
  <c r="C61" i="32" a="1"/>
  <c r="C65" i="32" a="1"/>
  <c r="C69" i="32" a="1"/>
  <c r="C73" i="32" a="1"/>
  <c r="C77" i="32" a="1"/>
  <c r="C81" i="32" a="1"/>
  <c r="C85" i="32" a="1"/>
  <c r="C89" i="32" a="1"/>
  <c r="C93" i="32" a="1"/>
  <c r="C97" i="32" a="1"/>
  <c r="C101" i="32" a="1"/>
  <c r="C105" i="32" a="1"/>
  <c r="C109" i="32" a="1"/>
  <c r="C113" i="32" a="1"/>
  <c r="C117" i="32" a="1"/>
  <c r="C121" i="32" a="1"/>
  <c r="C125" i="32" a="1"/>
  <c r="C129" i="32" a="1"/>
  <c r="C133" i="32" a="1"/>
  <c r="C6" i="32" a="1"/>
  <c r="C10" i="32" a="1"/>
  <c r="C14" i="32" a="1"/>
  <c r="C18" i="32" a="1"/>
  <c r="C22" i="32" a="1"/>
  <c r="C26" i="32" a="1"/>
  <c r="C30" i="32" a="1"/>
  <c r="C34" i="32" a="1"/>
  <c r="C38" i="32" a="1"/>
  <c r="C42" i="32" a="1"/>
  <c r="C46" i="32" a="1"/>
  <c r="C50" i="32" a="1"/>
  <c r="C54" i="32" a="1"/>
  <c r="C58" i="32" a="1"/>
  <c r="C62" i="32" a="1"/>
  <c r="C66" i="32" a="1"/>
  <c r="C70" i="32" a="1"/>
  <c r="C74" i="32" a="1"/>
  <c r="C78" i="32" a="1"/>
  <c r="C82" i="32" a="1"/>
  <c r="C86" i="32" a="1"/>
  <c r="C90" i="32" a="1"/>
  <c r="C94" i="32" a="1"/>
  <c r="C98" i="32" a="1"/>
  <c r="C102" i="32" a="1"/>
  <c r="C106" i="32" a="1"/>
  <c r="C110" i="32" a="1"/>
  <c r="C114" i="32" a="1"/>
  <c r="C118" i="32" a="1"/>
  <c r="C122" i="32" a="1"/>
  <c r="C126" i="32" a="1"/>
  <c r="C130" i="32" a="1"/>
  <c r="C134" i="32" a="1"/>
  <c r="C7" i="32" a="1"/>
  <c r="C11" i="32" a="1"/>
  <c r="C19" i="32" a="1"/>
  <c r="C23" i="32" a="1"/>
  <c r="C27" i="32" a="1"/>
  <c r="C31" i="32" a="1"/>
  <c r="C35" i="32" a="1"/>
  <c r="C39" i="32" a="1"/>
  <c r="C43" i="32" a="1"/>
  <c r="C47" i="32" a="1"/>
  <c r="C51" i="32" a="1"/>
  <c r="C55" i="32" a="1"/>
  <c r="C59" i="32" a="1"/>
  <c r="C63" i="32" a="1"/>
  <c r="C67" i="32" a="1"/>
  <c r="C71" i="32" a="1"/>
  <c r="C75" i="32" a="1"/>
  <c r="C79" i="32" a="1"/>
  <c r="C83" i="32" a="1"/>
  <c r="C87" i="32" a="1"/>
  <c r="C91" i="32" a="1"/>
  <c r="C95" i="32" a="1"/>
  <c r="C99" i="32" a="1"/>
  <c r="C103" i="32" a="1"/>
  <c r="C107" i="32" a="1"/>
  <c r="C111" i="32" a="1"/>
  <c r="C115" i="32" a="1"/>
  <c r="C119" i="32" a="1"/>
  <c r="C123" i="32" a="1"/>
  <c r="C127" i="32" a="1"/>
  <c r="C131" i="32" a="1"/>
  <c r="C135" i="32" a="1"/>
  <c r="C5" i="31" a="1"/>
  <c r="C9" i="31" a="1"/>
  <c r="C13" i="31" a="1"/>
  <c r="C17" i="31" a="1"/>
  <c r="C21" i="31" a="1"/>
  <c r="C25" i="31" a="1"/>
  <c r="C29" i="31" a="1"/>
  <c r="C33" i="31" a="1"/>
  <c r="C37" i="31" a="1"/>
  <c r="C41" i="31" a="1"/>
  <c r="C45" i="31" a="1"/>
  <c r="C49" i="31" a="1"/>
  <c r="C53" i="31" a="1"/>
  <c r="C57" i="31" a="1"/>
  <c r="C61" i="31" a="1"/>
  <c r="C65" i="31" a="1"/>
  <c r="C69" i="31" a="1"/>
  <c r="C73" i="31" a="1"/>
  <c r="C77" i="31" a="1"/>
  <c r="C81" i="31" a="1"/>
  <c r="C85" i="31" a="1"/>
  <c r="C89" i="31" a="1"/>
  <c r="C93" i="31" a="1"/>
  <c r="C97" i="31" a="1"/>
  <c r="C101" i="31" a="1"/>
  <c r="C105" i="31" a="1"/>
  <c r="C109" i="31" a="1"/>
  <c r="C113" i="31" a="1"/>
  <c r="C117" i="31" a="1"/>
  <c r="C121" i="31" a="1"/>
  <c r="C125" i="31" a="1"/>
  <c r="C129" i="31" a="1"/>
  <c r="C133" i="31" a="1"/>
  <c r="C6" i="31" a="1"/>
  <c r="C10" i="31" a="1"/>
  <c r="C14" i="31" a="1"/>
  <c r="C18" i="31" a="1"/>
  <c r="C22" i="31" a="1"/>
  <c r="C26" i="31" a="1"/>
  <c r="C30" i="31" a="1"/>
  <c r="C34" i="31" a="1"/>
  <c r="C38" i="31" a="1"/>
  <c r="C42" i="31" a="1"/>
  <c r="C46" i="31" a="1"/>
  <c r="C50" i="31" a="1"/>
  <c r="C54" i="31" a="1"/>
  <c r="C58" i="31" a="1"/>
  <c r="C62" i="31" a="1"/>
  <c r="C66" i="31" a="1"/>
  <c r="C70" i="31" a="1"/>
  <c r="C74" i="31" a="1"/>
  <c r="C78" i="31" a="1"/>
  <c r="C82" i="31" a="1"/>
  <c r="C86" i="31" a="1"/>
  <c r="C90" i="31" a="1"/>
  <c r="C94" i="31" a="1"/>
  <c r="C98" i="31" a="1"/>
  <c r="C102" i="31" a="1"/>
  <c r="C106" i="31" a="1"/>
  <c r="C110" i="31" a="1"/>
  <c r="C114" i="31" a="1"/>
  <c r="C118" i="31" a="1"/>
  <c r="C122" i="31" a="1"/>
  <c r="C126" i="31" a="1"/>
  <c r="C130" i="31" a="1"/>
  <c r="C134" i="31" a="1"/>
  <c r="C7" i="31" a="1"/>
  <c r="C11" i="31" a="1"/>
  <c r="C15" i="31" a="1"/>
  <c r="C19" i="31" a="1"/>
  <c r="C23" i="31" a="1"/>
  <c r="C27" i="31" a="1"/>
  <c r="C31" i="31" a="1"/>
  <c r="C35" i="31" a="1"/>
  <c r="C39" i="31" a="1"/>
  <c r="C43" i="31" a="1"/>
  <c r="C47" i="31" a="1"/>
  <c r="C51" i="31" a="1"/>
  <c r="C55" i="31" a="1"/>
  <c r="C59" i="31" a="1"/>
  <c r="C63" i="31" a="1"/>
  <c r="C67" i="31" a="1"/>
  <c r="C71" i="31" a="1"/>
  <c r="C75" i="31" a="1"/>
  <c r="C79" i="31" a="1"/>
  <c r="C83" i="31" a="1"/>
  <c r="C87" i="31" a="1"/>
  <c r="C91" i="31" a="1"/>
  <c r="C95" i="31" a="1"/>
  <c r="C99" i="31" a="1"/>
  <c r="C103" i="31" a="1"/>
  <c r="C107" i="31" a="1"/>
  <c r="C111" i="31" a="1"/>
  <c r="C115" i="31" a="1"/>
  <c r="C119" i="31" a="1"/>
  <c r="C123" i="31" a="1"/>
  <c r="C127" i="31" a="1"/>
  <c r="C131" i="31" a="1"/>
  <c r="C135" i="31" a="1"/>
  <c r="C136" i="31" a="1"/>
  <c r="C8" i="31" a="1"/>
  <c r="C12" i="31" a="1"/>
  <c r="C16" i="31" a="1"/>
  <c r="C20" i="31" a="1"/>
  <c r="C24" i="31" a="1"/>
  <c r="C28" i="31" a="1"/>
  <c r="C32" i="31" a="1"/>
  <c r="C36" i="31" a="1"/>
  <c r="C40" i="31" a="1"/>
  <c r="C44" i="31" a="1"/>
  <c r="C48" i="31" a="1"/>
  <c r="C52" i="31" a="1"/>
  <c r="C56" i="31" a="1"/>
  <c r="C60" i="31" a="1"/>
  <c r="C64" i="31" a="1"/>
  <c r="C68" i="31" a="1"/>
  <c r="C72" i="31" a="1"/>
  <c r="C76" i="31" a="1"/>
  <c r="C80" i="31" a="1"/>
  <c r="C84" i="31" a="1"/>
  <c r="C88" i="31" a="1"/>
  <c r="C92" i="31" a="1"/>
  <c r="C96" i="31" a="1"/>
  <c r="C100" i="31" a="1"/>
  <c r="C104" i="31" a="1"/>
  <c r="C108" i="31" a="1"/>
  <c r="C112" i="31" a="1"/>
  <c r="C116" i="31" a="1"/>
  <c r="C120" i="31" a="1"/>
  <c r="C124" i="31" a="1"/>
  <c r="C128" i="31" a="1"/>
  <c r="C132" i="31" a="1"/>
  <c r="C4" i="28" a="1"/>
  <c r="C8" i="28" a="1"/>
  <c r="C12" i="28" a="1"/>
  <c r="C16" i="28" a="1"/>
  <c r="C20" i="28" a="1"/>
  <c r="C24" i="28" a="1"/>
  <c r="C28" i="28" a="1"/>
  <c r="C32" i="28" a="1"/>
  <c r="C36" i="28" a="1"/>
  <c r="C40" i="28" a="1"/>
  <c r="C44" i="28" a="1"/>
  <c r="C48" i="28" a="1"/>
  <c r="C52" i="28" a="1"/>
  <c r="C56" i="28" a="1"/>
  <c r="C60" i="28" a="1"/>
  <c r="C64" i="28" a="1"/>
  <c r="C68" i="28" a="1"/>
  <c r="C72" i="28" a="1"/>
  <c r="C76" i="28" a="1"/>
  <c r="C80" i="28" a="1"/>
  <c r="C84" i="28" a="1"/>
  <c r="C88" i="28" a="1"/>
  <c r="C92" i="28" a="1"/>
  <c r="C96" i="28" a="1"/>
  <c r="C100" i="28" a="1"/>
  <c r="C104" i="28" a="1"/>
  <c r="C108" i="28" a="1"/>
  <c r="C112" i="28" a="1"/>
  <c r="C116" i="28" a="1"/>
  <c r="C120" i="28" a="1"/>
  <c r="C124" i="28" a="1"/>
  <c r="C128" i="28" a="1"/>
  <c r="C132" i="28" a="1"/>
  <c r="C136" i="28" a="1"/>
  <c r="C117" i="28" a="1"/>
  <c r="C5" i="28" a="1"/>
  <c r="C9" i="28" a="1"/>
  <c r="C13" i="28" a="1"/>
  <c r="C17" i="28" a="1"/>
  <c r="C21" i="28" a="1"/>
  <c r="C25" i="28" a="1"/>
  <c r="C29" i="28" a="1"/>
  <c r="C33" i="28" a="1"/>
  <c r="C37" i="28" a="1"/>
  <c r="C41" i="28" a="1"/>
  <c r="C45" i="28" a="1"/>
  <c r="C49" i="28" a="1"/>
  <c r="C53" i="28" a="1"/>
  <c r="C57" i="28" a="1"/>
  <c r="C61" i="28" a="1"/>
  <c r="C65" i="28" a="1"/>
  <c r="C69" i="28" a="1"/>
  <c r="C73" i="28" a="1"/>
  <c r="C77" i="28" a="1"/>
  <c r="C81" i="28" a="1"/>
  <c r="C85" i="28" a="1"/>
  <c r="C89" i="28" a="1"/>
  <c r="C93" i="28" a="1"/>
  <c r="C97" i="28" a="1"/>
  <c r="C101" i="28" a="1"/>
  <c r="C105" i="28" a="1"/>
  <c r="C109" i="28" a="1"/>
  <c r="C113" i="28" a="1"/>
  <c r="C121" i="28" a="1"/>
  <c r="C125" i="28" a="1"/>
  <c r="C129" i="28" a="1"/>
  <c r="C133" i="28" a="1"/>
  <c r="C6" i="28" a="1"/>
  <c r="C10" i="28" a="1"/>
  <c r="C14" i="28" a="1"/>
  <c r="C18" i="28" a="1"/>
  <c r="C22" i="28" a="1"/>
  <c r="C26" i="28" a="1"/>
  <c r="C30" i="28" a="1"/>
  <c r="C34" i="28" a="1"/>
  <c r="C38" i="28" a="1"/>
  <c r="C42" i="28" a="1"/>
  <c r="C46" i="28" a="1"/>
  <c r="C50" i="28" a="1"/>
  <c r="C54" i="28" a="1"/>
  <c r="C58" i="28" a="1"/>
  <c r="C62" i="28" a="1"/>
  <c r="C66" i="28" a="1"/>
  <c r="C70" i="28" a="1"/>
  <c r="C74" i="28" a="1"/>
  <c r="C78" i="28" a="1"/>
  <c r="C82" i="28" a="1"/>
  <c r="C86" i="28" a="1"/>
  <c r="C90" i="28" a="1"/>
  <c r="C94" i="28" a="1"/>
  <c r="C98" i="28" a="1"/>
  <c r="C102" i="28" a="1"/>
  <c r="C106" i="28" a="1"/>
  <c r="C110" i="28" a="1"/>
  <c r="C114" i="28" a="1"/>
  <c r="C118" i="28" a="1"/>
  <c r="C122" i="28" a="1"/>
  <c r="C126" i="28" a="1"/>
  <c r="C130" i="28" a="1"/>
  <c r="C134" i="28" a="1"/>
  <c r="C7" i="28" a="1"/>
  <c r="C11" i="28" a="1"/>
  <c r="C15" i="28" a="1"/>
  <c r="C19" i="28" a="1"/>
  <c r="C23" i="28" a="1"/>
  <c r="C27" i="28" a="1"/>
  <c r="C31" i="28" a="1"/>
  <c r="C35" i="28" a="1"/>
  <c r="C39" i="28" a="1"/>
  <c r="C43" i="28" a="1"/>
  <c r="C47" i="28" a="1"/>
  <c r="C51" i="28" a="1"/>
  <c r="C55" i="28" a="1"/>
  <c r="C59" i="28" a="1"/>
  <c r="C63" i="28" a="1"/>
  <c r="C67" i="28" a="1"/>
  <c r="C71" i="28" a="1"/>
  <c r="C75" i="28" a="1"/>
  <c r="C79" i="28" a="1"/>
  <c r="C83" i="28" a="1"/>
  <c r="C87" i="28" a="1"/>
  <c r="C91" i="28" a="1"/>
  <c r="C95" i="28" a="1"/>
  <c r="C99" i="28" a="1"/>
  <c r="C103" i="28" a="1"/>
  <c r="C107" i="28" a="1"/>
  <c r="C111" i="28" a="1"/>
  <c r="C115" i="28" a="1"/>
  <c r="C119" i="28" a="1"/>
  <c r="C123" i="28" a="1"/>
  <c r="C127" i="28" a="1"/>
  <c r="C131" i="28" a="1"/>
  <c r="C135" i="28" a="1"/>
  <c r="C4" i="27" a="1"/>
  <c r="C8" i="27" a="1"/>
  <c r="C12" i="27" a="1"/>
  <c r="C16" i="27" a="1"/>
  <c r="C20" i="27" a="1"/>
  <c r="C24" i="27" a="1"/>
  <c r="C28" i="27" a="1"/>
  <c r="C32" i="27" a="1"/>
  <c r="C36" i="27" a="1"/>
  <c r="C40" i="27" a="1"/>
  <c r="C44" i="27" a="1"/>
  <c r="C48" i="27" a="1"/>
  <c r="C52" i="27" a="1"/>
  <c r="C56" i="27" a="1"/>
  <c r="C60" i="27" a="1"/>
  <c r="C64" i="27" a="1"/>
  <c r="C68" i="27" a="1"/>
  <c r="C72" i="27" a="1"/>
  <c r="C76" i="27" a="1"/>
  <c r="C80" i="27" a="1"/>
  <c r="C84" i="27" a="1"/>
  <c r="C88" i="27" a="1"/>
  <c r="C92" i="27" a="1"/>
  <c r="C96" i="27" a="1"/>
  <c r="C100" i="27" a="1"/>
  <c r="C104" i="27" a="1"/>
  <c r="C108" i="27" a="1"/>
  <c r="C112" i="27" a="1"/>
  <c r="C116" i="27" a="1"/>
  <c r="C120" i="27" a="1"/>
  <c r="C124" i="27" a="1"/>
  <c r="C128" i="27" a="1"/>
  <c r="C132" i="27" a="1"/>
  <c r="C136" i="27" a="1"/>
  <c r="C105" i="27" a="1"/>
  <c r="C125" i="27" a="1"/>
  <c r="C101" i="27" a="1"/>
  <c r="C5" i="27" a="1"/>
  <c r="C9" i="27" a="1"/>
  <c r="C13" i="27" a="1"/>
  <c r="C17" i="27" a="1"/>
  <c r="C21" i="27" a="1"/>
  <c r="C25" i="27" a="1"/>
  <c r="C29" i="27" a="1"/>
  <c r="C33" i="27" a="1"/>
  <c r="C37" i="27" a="1"/>
  <c r="C41" i="27" a="1"/>
  <c r="C45" i="27" a="1"/>
  <c r="C49" i="27" a="1"/>
  <c r="C53" i="27" a="1"/>
  <c r="C57" i="27" a="1"/>
  <c r="C61" i="27" a="1"/>
  <c r="C65" i="27" a="1"/>
  <c r="C69" i="27" a="1"/>
  <c r="C73" i="27" a="1"/>
  <c r="C77" i="27" a="1"/>
  <c r="C81" i="27" a="1"/>
  <c r="C85" i="27" a="1"/>
  <c r="C89" i="27" a="1"/>
  <c r="C93" i="27" a="1"/>
  <c r="C97" i="27" a="1"/>
  <c r="C109" i="27" a="1"/>
  <c r="C113" i="27" a="1"/>
  <c r="C117" i="27" a="1"/>
  <c r="C121" i="27" a="1"/>
  <c r="C129" i="27" a="1"/>
  <c r="C133" i="27" a="1"/>
  <c r="C6" i="27" a="1"/>
  <c r="C10" i="27" a="1"/>
  <c r="C14" i="27" a="1"/>
  <c r="C18" i="27" a="1"/>
  <c r="C22" i="27" a="1"/>
  <c r="C26" i="27" a="1"/>
  <c r="C30" i="27" a="1"/>
  <c r="C34" i="27" a="1"/>
  <c r="C38" i="27" a="1"/>
  <c r="C42" i="27" a="1"/>
  <c r="C46" i="27" a="1"/>
  <c r="C50" i="27" a="1"/>
  <c r="C54" i="27" a="1"/>
  <c r="C58" i="27" a="1"/>
  <c r="C62" i="27" a="1"/>
  <c r="C66" i="27" a="1"/>
  <c r="C70" i="27" a="1"/>
  <c r="C74" i="27" a="1"/>
  <c r="C78" i="27" a="1"/>
  <c r="C82" i="27" a="1"/>
  <c r="C86" i="27" a="1"/>
  <c r="C90" i="27" a="1"/>
  <c r="C94" i="27" a="1"/>
  <c r="C98" i="27" a="1"/>
  <c r="C102" i="27" a="1"/>
  <c r="C106" i="27" a="1"/>
  <c r="C110" i="27" a="1"/>
  <c r="C114" i="27" a="1"/>
  <c r="C118" i="27" a="1"/>
  <c r="C122" i="27" a="1"/>
  <c r="C126" i="27" a="1"/>
  <c r="C130" i="27" a="1"/>
  <c r="C134" i="27" a="1"/>
  <c r="C7" i="27" a="1"/>
  <c r="C11" i="27" a="1"/>
  <c r="C15" i="27" a="1"/>
  <c r="C19" i="27" a="1"/>
  <c r="C23" i="27" a="1"/>
  <c r="C27" i="27" a="1"/>
  <c r="C31" i="27" a="1"/>
  <c r="C35" i="27" a="1"/>
  <c r="C39" i="27" a="1"/>
  <c r="C43" i="27" a="1"/>
  <c r="C47" i="27" a="1"/>
  <c r="C51" i="27" a="1"/>
  <c r="C55" i="27" a="1"/>
  <c r="C59" i="27" a="1"/>
  <c r="C63" i="27" a="1"/>
  <c r="C67" i="27" a="1"/>
  <c r="C71" i="27" a="1"/>
  <c r="C75" i="27" a="1"/>
  <c r="C79" i="27" a="1"/>
  <c r="C83" i="27" a="1"/>
  <c r="C87" i="27" a="1"/>
  <c r="C91" i="27" a="1"/>
  <c r="C95" i="27" a="1"/>
  <c r="C99" i="27" a="1"/>
  <c r="C103" i="27" a="1"/>
  <c r="C107" i="27" a="1"/>
  <c r="C111" i="27" a="1"/>
  <c r="C115" i="27" a="1"/>
  <c r="C119" i="27" a="1"/>
  <c r="C123" i="27" a="1"/>
  <c r="C127" i="27" a="1"/>
  <c r="C131" i="27" a="1"/>
  <c r="C135" i="27" a="1"/>
  <c r="C4" i="26" a="1"/>
  <c r="C8" i="26" a="1"/>
  <c r="C12" i="26" a="1"/>
  <c r="C16" i="26" a="1"/>
  <c r="C20" i="26" a="1"/>
  <c r="C24" i="26" a="1"/>
  <c r="C28" i="26" a="1"/>
  <c r="C32" i="26" a="1"/>
  <c r="C36" i="26" a="1"/>
  <c r="C40" i="26" a="1"/>
  <c r="C44" i="26" a="1"/>
  <c r="C48" i="26" a="1"/>
  <c r="C52" i="26" a="1"/>
  <c r="C56" i="26" a="1"/>
  <c r="C60" i="26" a="1"/>
  <c r="C64" i="26" a="1"/>
  <c r="C68" i="26" a="1"/>
  <c r="C72" i="26" a="1"/>
  <c r="C76" i="26" a="1"/>
  <c r="C80" i="26" a="1"/>
  <c r="C84" i="26" a="1"/>
  <c r="C88" i="26" a="1"/>
  <c r="C92" i="26" a="1"/>
  <c r="C96" i="26" a="1"/>
  <c r="C100" i="26" a="1"/>
  <c r="C104" i="26" a="1"/>
  <c r="C108" i="26" a="1"/>
  <c r="C112" i="26" a="1"/>
  <c r="C116" i="26" a="1"/>
  <c r="C120" i="26" a="1"/>
  <c r="C124" i="26" a="1"/>
  <c r="C128" i="26" a="1"/>
  <c r="C132" i="26" a="1"/>
  <c r="C136" i="26" a="1"/>
  <c r="C5" i="26" a="1"/>
  <c r="C9" i="26" a="1"/>
  <c r="C13" i="26" a="1"/>
  <c r="C17" i="26" a="1"/>
  <c r="C21" i="26" a="1"/>
  <c r="C25" i="26" a="1"/>
  <c r="C29" i="26" a="1"/>
  <c r="C33" i="26" a="1"/>
  <c r="C37" i="26" a="1"/>
  <c r="C41" i="26" a="1"/>
  <c r="C45" i="26" a="1"/>
  <c r="C49" i="26" a="1"/>
  <c r="C53" i="26" a="1"/>
  <c r="C57" i="26" a="1"/>
  <c r="C61" i="26" a="1"/>
  <c r="C65" i="26" a="1"/>
  <c r="C69" i="26" a="1"/>
  <c r="C73" i="26" a="1"/>
  <c r="C77" i="26" a="1"/>
  <c r="C81" i="26" a="1"/>
  <c r="C85" i="26" a="1"/>
  <c r="C89" i="26" a="1"/>
  <c r="C93" i="26" a="1"/>
  <c r="C97" i="26" a="1"/>
  <c r="C101" i="26" a="1"/>
  <c r="C105" i="26" a="1"/>
  <c r="C109" i="26" a="1"/>
  <c r="C113" i="26" a="1"/>
  <c r="C117" i="26" a="1"/>
  <c r="C121" i="26" a="1"/>
  <c r="C125" i="26" a="1"/>
  <c r="C129" i="26" a="1"/>
  <c r="C133" i="26" a="1"/>
  <c r="C6" i="26" a="1"/>
  <c r="C10" i="26" a="1"/>
  <c r="C14" i="26" a="1"/>
  <c r="C18" i="26" a="1"/>
  <c r="C22" i="26" a="1"/>
  <c r="C26" i="26" a="1"/>
  <c r="C30" i="26" a="1"/>
  <c r="C34" i="26" a="1"/>
  <c r="C38" i="26" a="1"/>
  <c r="C42" i="26" a="1"/>
  <c r="C46" i="26" a="1"/>
  <c r="C50" i="26" a="1"/>
  <c r="C54" i="26" a="1"/>
  <c r="C58" i="26" a="1"/>
  <c r="C62" i="26" a="1"/>
  <c r="C66" i="26" a="1"/>
  <c r="C70" i="26" a="1"/>
  <c r="C74" i="26" a="1"/>
  <c r="C78" i="26" a="1"/>
  <c r="C82" i="26" a="1"/>
  <c r="C86" i="26" a="1"/>
  <c r="C90" i="26" a="1"/>
  <c r="C94" i="26" a="1"/>
  <c r="C98" i="26" a="1"/>
  <c r="C102" i="26" a="1"/>
  <c r="C106" i="26" a="1"/>
  <c r="C110" i="26" a="1"/>
  <c r="C114" i="26" a="1"/>
  <c r="C118" i="26" a="1"/>
  <c r="C122" i="26" a="1"/>
  <c r="C126" i="26" a="1"/>
  <c r="C130" i="26" a="1"/>
  <c r="C134" i="26" a="1"/>
  <c r="C7" i="26" a="1"/>
  <c r="C11" i="26" a="1"/>
  <c r="C15" i="26" a="1"/>
  <c r="C19" i="26" a="1"/>
  <c r="C23" i="26" a="1"/>
  <c r="C27" i="26" a="1"/>
  <c r="C31" i="26" a="1"/>
  <c r="C35" i="26" a="1"/>
  <c r="C39" i="26" a="1"/>
  <c r="C43" i="26" a="1"/>
  <c r="C47" i="26" a="1"/>
  <c r="C51" i="26" a="1"/>
  <c r="C55" i="26" a="1"/>
  <c r="C59" i="26" a="1"/>
  <c r="C63" i="26" a="1"/>
  <c r="C67" i="26" a="1"/>
  <c r="C71" i="26" a="1"/>
  <c r="C75" i="26" a="1"/>
  <c r="C79" i="26" a="1"/>
  <c r="C83" i="26" a="1"/>
  <c r="C87" i="26" a="1"/>
  <c r="C91" i="26" a="1"/>
  <c r="C95" i="26" a="1"/>
  <c r="C99" i="26" a="1"/>
  <c r="C103" i="26" a="1"/>
  <c r="C107" i="26" a="1"/>
  <c r="C111" i="26" a="1"/>
  <c r="C115" i="26" a="1"/>
  <c r="C119" i="26" a="1"/>
  <c r="C123" i="26" a="1"/>
  <c r="C127" i="26" a="1"/>
  <c r="C131" i="26" a="1"/>
  <c r="C135" i="26" a="1"/>
  <c r="C4" i="19" a="1"/>
  <c r="C8" i="19" a="1"/>
  <c r="C12" i="19" a="1"/>
  <c r="C16" i="19" a="1"/>
  <c r="C20" i="19" a="1"/>
  <c r="C24" i="19" a="1"/>
  <c r="C28" i="19" a="1"/>
  <c r="C32" i="19" a="1"/>
  <c r="C36" i="19" a="1"/>
  <c r="C40" i="19" a="1"/>
  <c r="C44" i="19" a="1"/>
  <c r="C48" i="19" a="1"/>
  <c r="C52" i="19" a="1"/>
  <c r="C56" i="19" a="1"/>
  <c r="C60" i="19" a="1"/>
  <c r="C64" i="19" a="1"/>
  <c r="C68" i="19" a="1"/>
  <c r="C72" i="19" a="1"/>
  <c r="C76" i="19" a="1"/>
  <c r="C80" i="19" a="1"/>
  <c r="C84" i="19" a="1"/>
  <c r="C88" i="19" a="1"/>
  <c r="C92" i="19" a="1"/>
  <c r="C96" i="19" a="1"/>
  <c r="C100" i="19" a="1"/>
  <c r="C104" i="19" a="1"/>
  <c r="C108" i="19" a="1"/>
  <c r="C112" i="19" a="1"/>
  <c r="C116" i="19" a="1"/>
  <c r="C120" i="19" a="1"/>
  <c r="C124" i="19" a="1"/>
  <c r="C128" i="19" a="1"/>
  <c r="C132" i="19" a="1"/>
  <c r="C136" i="19" a="1"/>
  <c r="C133" i="19" a="1"/>
  <c r="C5" i="19" a="1"/>
  <c r="C9" i="19" a="1"/>
  <c r="C13" i="19" a="1"/>
  <c r="C17" i="19" a="1"/>
  <c r="C21" i="19" a="1"/>
  <c r="C25" i="19" a="1"/>
  <c r="C29" i="19" a="1"/>
  <c r="C33" i="19" a="1"/>
  <c r="C37" i="19" a="1"/>
  <c r="C41" i="19" a="1"/>
  <c r="C45" i="19" a="1"/>
  <c r="C49" i="19" a="1"/>
  <c r="C53" i="19" a="1"/>
  <c r="C57" i="19" a="1"/>
  <c r="C61" i="19" a="1"/>
  <c r="C65" i="19" a="1"/>
  <c r="C69" i="19" a="1"/>
  <c r="C73" i="19" a="1"/>
  <c r="C77" i="19" a="1"/>
  <c r="C81" i="19" a="1"/>
  <c r="C85" i="19" a="1"/>
  <c r="C89" i="19" a="1"/>
  <c r="C93" i="19" a="1"/>
  <c r="C97" i="19" a="1"/>
  <c r="C101" i="19" a="1"/>
  <c r="C105" i="19" a="1"/>
  <c r="C109" i="19" a="1"/>
  <c r="C113" i="19" a="1"/>
  <c r="C117" i="19" a="1"/>
  <c r="C121" i="19" a="1"/>
  <c r="C125" i="19" a="1"/>
  <c r="C129" i="19" a="1"/>
  <c r="C114" i="19" a="1"/>
  <c r="C134" i="19" a="1"/>
  <c r="C6" i="19" a="1"/>
  <c r="C10" i="19" a="1"/>
  <c r="C14" i="19" a="1"/>
  <c r="C18" i="19" a="1"/>
  <c r="C22" i="19" a="1"/>
  <c r="C26" i="19" a="1"/>
  <c r="C30" i="19" a="1"/>
  <c r="C34" i="19" a="1"/>
  <c r="C38" i="19" a="1"/>
  <c r="C42" i="19" a="1"/>
  <c r="C46" i="19" a="1"/>
  <c r="C50" i="19" a="1"/>
  <c r="C54" i="19" a="1"/>
  <c r="C58" i="19" a="1"/>
  <c r="C62" i="19" a="1"/>
  <c r="C66" i="19" a="1"/>
  <c r="C70" i="19" a="1"/>
  <c r="C74" i="19" a="1"/>
  <c r="C78" i="19" a="1"/>
  <c r="C82" i="19" a="1"/>
  <c r="C86" i="19" a="1"/>
  <c r="C90" i="19" a="1"/>
  <c r="C94" i="19" a="1"/>
  <c r="C98" i="19" a="1"/>
  <c r="C102" i="19" a="1"/>
  <c r="C106" i="19" a="1"/>
  <c r="C110" i="19" a="1"/>
  <c r="C118" i="19" a="1"/>
  <c r="C122" i="19" a="1"/>
  <c r="C126" i="19" a="1"/>
  <c r="C130" i="19" a="1"/>
  <c r="C123" i="19" a="1"/>
  <c r="C7" i="19" a="1"/>
  <c r="C11" i="19" a="1"/>
  <c r="C15" i="19" a="1"/>
  <c r="C19" i="19" a="1"/>
  <c r="C23" i="19" a="1"/>
  <c r="C27" i="19" a="1"/>
  <c r="C31" i="19" a="1"/>
  <c r="C35" i="19" a="1"/>
  <c r="C39" i="19" a="1"/>
  <c r="C43" i="19" a="1"/>
  <c r="C47" i="19" a="1"/>
  <c r="C51" i="19" a="1"/>
  <c r="C55" i="19" a="1"/>
  <c r="C59" i="19" a="1"/>
  <c r="C63" i="19" a="1"/>
  <c r="C67" i="19" a="1"/>
  <c r="C71" i="19" a="1"/>
  <c r="C75" i="19" a="1"/>
  <c r="C79" i="19" a="1"/>
  <c r="C83" i="19" a="1"/>
  <c r="C87" i="19" a="1"/>
  <c r="C91" i="19" a="1"/>
  <c r="C95" i="19" a="1"/>
  <c r="C99" i="19" a="1"/>
  <c r="C103" i="19" a="1"/>
  <c r="C107" i="19" a="1"/>
  <c r="C111" i="19" a="1"/>
  <c r="C115" i="19" a="1"/>
  <c r="C119" i="19" a="1"/>
  <c r="C127" i="19" a="1"/>
  <c r="C131" i="19" a="1"/>
  <c r="C135" i="19" a="1"/>
  <c r="C4" i="20" a="1"/>
  <c r="C8" i="20" a="1"/>
  <c r="C12" i="20" a="1"/>
  <c r="C16" i="20" a="1"/>
  <c r="C20" i="20" a="1"/>
  <c r="C24" i="20" a="1"/>
  <c r="C28" i="20" a="1"/>
  <c r="C32" i="20" a="1"/>
  <c r="C36" i="20" a="1"/>
  <c r="C40" i="20" a="1"/>
  <c r="C44" i="20" a="1"/>
  <c r="C48" i="20" a="1"/>
  <c r="C52" i="20" a="1"/>
  <c r="C56" i="20" a="1"/>
  <c r="C60" i="20" a="1"/>
  <c r="C64" i="20" a="1"/>
  <c r="C68" i="20" a="1"/>
  <c r="C72" i="20" a="1"/>
  <c r="C76" i="20" a="1"/>
  <c r="C80" i="20" a="1"/>
  <c r="C84" i="20" a="1"/>
  <c r="C88" i="20" a="1"/>
  <c r="C92" i="20" a="1"/>
  <c r="C96" i="20" a="1"/>
  <c r="C100" i="20" a="1"/>
  <c r="C104" i="20" a="1"/>
  <c r="C108" i="20" a="1"/>
  <c r="C112" i="20" a="1"/>
  <c r="C116" i="20" a="1"/>
  <c r="C120" i="20" a="1"/>
  <c r="C124" i="20" a="1"/>
  <c r="C128" i="20" a="1"/>
  <c r="C132" i="20" a="1"/>
  <c r="C136" i="20" a="1"/>
  <c r="C5" i="20" a="1"/>
  <c r="C9" i="20" a="1"/>
  <c r="C13" i="20" a="1"/>
  <c r="C17" i="20" a="1"/>
  <c r="C21" i="20" a="1"/>
  <c r="C25" i="20" a="1"/>
  <c r="C29" i="20" a="1"/>
  <c r="C33" i="20" a="1"/>
  <c r="C37" i="20" a="1"/>
  <c r="C41" i="20" a="1"/>
  <c r="C45" i="20" a="1"/>
  <c r="C49" i="20" a="1"/>
  <c r="C53" i="20" a="1"/>
  <c r="C57" i="20" a="1"/>
  <c r="C61" i="20" a="1"/>
  <c r="C65" i="20" a="1"/>
  <c r="C69" i="20" a="1"/>
  <c r="C73" i="20" a="1"/>
  <c r="C77" i="20" a="1"/>
  <c r="C81" i="20" a="1"/>
  <c r="C85" i="20" a="1"/>
  <c r="C89" i="20" a="1"/>
  <c r="C93" i="20" a="1"/>
  <c r="C97" i="20" a="1"/>
  <c r="C101" i="20" a="1"/>
  <c r="C105" i="20" a="1"/>
  <c r="C109" i="20" a="1"/>
  <c r="C113" i="20" a="1"/>
  <c r="C117" i="20" a="1"/>
  <c r="C121" i="20" a="1"/>
  <c r="C125" i="20" a="1"/>
  <c r="C129" i="20" a="1"/>
  <c r="C133" i="20" a="1"/>
  <c r="C6" i="20" a="1"/>
  <c r="C10" i="20" a="1"/>
  <c r="C14" i="20" a="1"/>
  <c r="C18" i="20" a="1"/>
  <c r="C22" i="20" a="1"/>
  <c r="C26" i="20" a="1"/>
  <c r="C30" i="20" a="1"/>
  <c r="C34" i="20" a="1"/>
  <c r="C38" i="20" a="1"/>
  <c r="C42" i="20" a="1"/>
  <c r="C46" i="20" a="1"/>
  <c r="C50" i="20" a="1"/>
  <c r="C54" i="20" a="1"/>
  <c r="C58" i="20" a="1"/>
  <c r="C62" i="20" a="1"/>
  <c r="C66" i="20" a="1"/>
  <c r="C70" i="20" a="1"/>
  <c r="C74" i="20" a="1"/>
  <c r="C78" i="20" a="1"/>
  <c r="C82" i="20" a="1"/>
  <c r="C86" i="20" a="1"/>
  <c r="C90" i="20" a="1"/>
  <c r="C94" i="20" a="1"/>
  <c r="C98" i="20" a="1"/>
  <c r="C102" i="20" a="1"/>
  <c r="C106" i="20" a="1"/>
  <c r="C110" i="20" a="1"/>
  <c r="C114" i="20" a="1"/>
  <c r="C118" i="20" a="1"/>
  <c r="C122" i="20" a="1"/>
  <c r="C126" i="20" a="1"/>
  <c r="C130" i="20" a="1"/>
  <c r="C134" i="20" a="1"/>
  <c r="C7" i="20" a="1"/>
  <c r="C11" i="20" a="1"/>
  <c r="C15" i="20" a="1"/>
  <c r="C19" i="20" a="1"/>
  <c r="C23" i="20" a="1"/>
  <c r="C27" i="20" a="1"/>
  <c r="C31" i="20" a="1"/>
  <c r="C35" i="20" a="1"/>
  <c r="C39" i="20" a="1"/>
  <c r="C43" i="20" a="1"/>
  <c r="C47" i="20" a="1"/>
  <c r="C51" i="20" a="1"/>
  <c r="C55" i="20" a="1"/>
  <c r="C59" i="20" a="1"/>
  <c r="C63" i="20" a="1"/>
  <c r="C67" i="20" a="1"/>
  <c r="C71" i="20" a="1"/>
  <c r="C75" i="20" a="1"/>
  <c r="C79" i="20" a="1"/>
  <c r="C83" i="20" a="1"/>
  <c r="C87" i="20" a="1"/>
  <c r="C91" i="20" a="1"/>
  <c r="C95" i="20" a="1"/>
  <c r="C99" i="20" a="1"/>
  <c r="C103" i="20" a="1"/>
  <c r="C107" i="20" a="1"/>
  <c r="C111" i="20" a="1"/>
  <c r="C115" i="20" a="1"/>
  <c r="C119" i="20" a="1"/>
  <c r="C123" i="20" a="1"/>
  <c r="C127" i="20" a="1"/>
  <c r="C131" i="20" a="1"/>
  <c r="C135" i="20" a="1"/>
  <c r="C4" i="21" a="1"/>
  <c r="C8" i="21" a="1"/>
  <c r="C12" i="21" a="1"/>
  <c r="C16" i="21" a="1"/>
  <c r="C20" i="21" a="1"/>
  <c r="C24" i="21" a="1"/>
  <c r="C28" i="21" a="1"/>
  <c r="C32" i="21" a="1"/>
  <c r="C36" i="21" a="1"/>
  <c r="C40" i="21" a="1"/>
  <c r="C44" i="21" a="1"/>
  <c r="C48" i="21" a="1"/>
  <c r="C52" i="21" a="1"/>
  <c r="C56" i="21" a="1"/>
  <c r="C60" i="21" a="1"/>
  <c r="C64" i="21" a="1"/>
  <c r="C68" i="21" a="1"/>
  <c r="C72" i="21" a="1"/>
  <c r="C76" i="21" a="1"/>
  <c r="C80" i="21" a="1"/>
  <c r="C84" i="21" a="1"/>
  <c r="C88" i="21" a="1"/>
  <c r="C92" i="21" a="1"/>
  <c r="C96" i="21" a="1"/>
  <c r="C100" i="21" a="1"/>
  <c r="C104" i="21" a="1"/>
  <c r="C108" i="21" a="1"/>
  <c r="C112" i="21" a="1"/>
  <c r="C116" i="21" a="1"/>
  <c r="C120" i="21" a="1"/>
  <c r="C124" i="21" a="1"/>
  <c r="C128" i="21" a="1"/>
  <c r="C132" i="21" a="1"/>
  <c r="C136" i="21" a="1"/>
  <c r="C5" i="21" a="1"/>
  <c r="C9" i="21" a="1"/>
  <c r="C13" i="21" a="1"/>
  <c r="C17" i="21" a="1"/>
  <c r="C21" i="21" a="1"/>
  <c r="C25" i="21" a="1"/>
  <c r="C29" i="21" a="1"/>
  <c r="C33" i="21" a="1"/>
  <c r="C37" i="21" a="1"/>
  <c r="C41" i="21" a="1"/>
  <c r="C45" i="21" a="1"/>
  <c r="C49" i="21" a="1"/>
  <c r="C53" i="21" a="1"/>
  <c r="C57" i="21" a="1"/>
  <c r="C61" i="21" a="1"/>
  <c r="C65" i="21" a="1"/>
  <c r="C69" i="21" a="1"/>
  <c r="C73" i="21" a="1"/>
  <c r="C77" i="21" a="1"/>
  <c r="C81" i="21" a="1"/>
  <c r="C85" i="21" a="1"/>
  <c r="C89" i="21" a="1"/>
  <c r="C93" i="21" a="1"/>
  <c r="C97" i="21" a="1"/>
  <c r="C101" i="21" a="1"/>
  <c r="C105" i="21" a="1"/>
  <c r="C109" i="21" a="1"/>
  <c r="C113" i="21" a="1"/>
  <c r="C117" i="21" a="1"/>
  <c r="C121" i="21" a="1"/>
  <c r="C125" i="21" a="1"/>
  <c r="C129" i="21" a="1"/>
  <c r="C133" i="21" a="1"/>
  <c r="C6" i="21" a="1"/>
  <c r="C10" i="21" a="1"/>
  <c r="C14" i="21" a="1"/>
  <c r="C18" i="21" a="1"/>
  <c r="C22" i="21" a="1"/>
  <c r="C26" i="21" a="1"/>
  <c r="C30" i="21" a="1"/>
  <c r="C34" i="21" a="1"/>
  <c r="C38" i="21" a="1"/>
  <c r="C42" i="21" a="1"/>
  <c r="C46" i="21" a="1"/>
  <c r="C50" i="21" a="1"/>
  <c r="C54" i="21" a="1"/>
  <c r="C58" i="21" a="1"/>
  <c r="C62" i="21" a="1"/>
  <c r="C66" i="21" a="1"/>
  <c r="C70" i="21" a="1"/>
  <c r="C74" i="21" a="1"/>
  <c r="C78" i="21" a="1"/>
  <c r="C82" i="21" a="1"/>
  <c r="C86" i="21" a="1"/>
  <c r="C90" i="21" a="1"/>
  <c r="C94" i="21" a="1"/>
  <c r="C98" i="21" a="1"/>
  <c r="C102" i="21" a="1"/>
  <c r="C106" i="21" a="1"/>
  <c r="C110" i="21" a="1"/>
  <c r="C114" i="21" a="1"/>
  <c r="C118" i="21" a="1"/>
  <c r="C122" i="21" a="1"/>
  <c r="C126" i="21" a="1"/>
  <c r="C130" i="21" a="1"/>
  <c r="C134" i="21" a="1"/>
  <c r="C7" i="21" a="1"/>
  <c r="C11" i="21" a="1"/>
  <c r="C15" i="21" a="1"/>
  <c r="C19" i="21" a="1"/>
  <c r="C23" i="21" a="1"/>
  <c r="C27" i="21" a="1"/>
  <c r="C31" i="21" a="1"/>
  <c r="C35" i="21" a="1"/>
  <c r="C39" i="21" a="1"/>
  <c r="C43" i="21" a="1"/>
  <c r="C47" i="21" a="1"/>
  <c r="C51" i="21" a="1"/>
  <c r="C55" i="21" a="1"/>
  <c r="C59" i="21" a="1"/>
  <c r="C63" i="21" a="1"/>
  <c r="C67" i="21" a="1"/>
  <c r="C71" i="21" a="1"/>
  <c r="C75" i="21" a="1"/>
  <c r="C79" i="21" a="1"/>
  <c r="C83" i="21" a="1"/>
  <c r="C87" i="21" a="1"/>
  <c r="C91" i="21" a="1"/>
  <c r="C95" i="21" a="1"/>
  <c r="C99" i="21" a="1"/>
  <c r="C103" i="21" a="1"/>
  <c r="C107" i="21" a="1"/>
  <c r="C111" i="21" a="1"/>
  <c r="C115" i="21" a="1"/>
  <c r="C119" i="21" a="1"/>
  <c r="C123" i="21" a="1"/>
  <c r="C127" i="21" a="1"/>
  <c r="C131" i="21" a="1"/>
  <c r="C135" i="21" a="1"/>
  <c r="C4" i="4" a="1"/>
  <c r="C8" i="4" a="1"/>
  <c r="C12" i="4" a="1"/>
  <c r="C16" i="4" a="1"/>
  <c r="C20" i="4" a="1"/>
  <c r="C24" i="4" a="1"/>
  <c r="C28" i="4" a="1"/>
  <c r="C32" i="4" a="1"/>
  <c r="C36" i="4" a="1"/>
  <c r="C40" i="4" a="1"/>
  <c r="C44" i="4" a="1"/>
  <c r="C48" i="4" a="1"/>
  <c r="C52" i="4" a="1"/>
  <c r="C56" i="4" a="1"/>
  <c r="C60" i="4" a="1"/>
  <c r="C64" i="4" a="1"/>
  <c r="C68" i="4" a="1"/>
  <c r="C72" i="4" a="1"/>
  <c r="C76" i="4" a="1"/>
  <c r="C80" i="4" a="1"/>
  <c r="C84" i="4" a="1"/>
  <c r="C88" i="4" a="1"/>
  <c r="C92" i="4" a="1"/>
  <c r="C96" i="4" a="1"/>
  <c r="C100" i="4" a="1"/>
  <c r="C104" i="4" a="1"/>
  <c r="C108" i="4" a="1"/>
  <c r="C112" i="4" a="1"/>
  <c r="C116" i="4" a="1"/>
  <c r="C120" i="4" a="1"/>
  <c r="C124" i="4" a="1"/>
  <c r="C128" i="4" a="1"/>
  <c r="C132" i="4" a="1"/>
  <c r="C136" i="4" a="1"/>
  <c r="C23" i="4" a="1"/>
  <c r="C35" i="4" a="1"/>
  <c r="C51" i="4" a="1"/>
  <c r="C67" i="4" a="1"/>
  <c r="C83" i="4" a="1"/>
  <c r="C111" i="4" a="1"/>
  <c r="C131" i="4" a="1"/>
  <c r="C11" i="4" a="1"/>
  <c r="C95" i="4" a="1"/>
  <c r="C135" i="4" a="1"/>
  <c r="C5" i="4" a="1"/>
  <c r="C9" i="4" a="1"/>
  <c r="C13" i="4" a="1"/>
  <c r="C17" i="4" a="1"/>
  <c r="C21" i="4" a="1"/>
  <c r="C25" i="4" a="1"/>
  <c r="C29" i="4" a="1"/>
  <c r="C33" i="4" a="1"/>
  <c r="C37" i="4" a="1"/>
  <c r="C41" i="4" a="1"/>
  <c r="C45" i="4" a="1"/>
  <c r="C49" i="4" a="1"/>
  <c r="C53" i="4" a="1"/>
  <c r="C57" i="4" a="1"/>
  <c r="C61" i="4" a="1"/>
  <c r="C65" i="4" a="1"/>
  <c r="C69" i="4" a="1"/>
  <c r="C73" i="4" a="1"/>
  <c r="C77" i="4" a="1"/>
  <c r="C81" i="4" a="1"/>
  <c r="C85" i="4" a="1"/>
  <c r="C89" i="4" a="1"/>
  <c r="C93" i="4" a="1"/>
  <c r="C97" i="4" a="1"/>
  <c r="C101" i="4" a="1"/>
  <c r="C105" i="4" a="1"/>
  <c r="C109" i="4" a="1"/>
  <c r="C113" i="4" a="1"/>
  <c r="C117" i="4" a="1"/>
  <c r="C121" i="4" a="1"/>
  <c r="C125" i="4" a="1"/>
  <c r="C129" i="4" a="1"/>
  <c r="C133" i="4" a="1"/>
  <c r="C19" i="4" a="1"/>
  <c r="C39" i="4" a="1"/>
  <c r="C55" i="4" a="1"/>
  <c r="C71" i="4" a="1"/>
  <c r="C87" i="4" a="1"/>
  <c r="C107" i="4" a="1"/>
  <c r="C123" i="4" a="1"/>
  <c r="C15" i="4" a="1"/>
  <c r="C103" i="4" a="1"/>
  <c r="C6" i="4" a="1"/>
  <c r="C10" i="4" a="1"/>
  <c r="C14" i="4" a="1"/>
  <c r="C18" i="4" a="1"/>
  <c r="C22" i="4" a="1"/>
  <c r="C26" i="4" a="1"/>
  <c r="C30" i="4" a="1"/>
  <c r="C34" i="4" a="1"/>
  <c r="C38" i="4" a="1"/>
  <c r="C42" i="4" a="1"/>
  <c r="C46" i="4" a="1"/>
  <c r="C50" i="4" a="1"/>
  <c r="C54" i="4" a="1"/>
  <c r="C58" i="4" a="1"/>
  <c r="C62" i="4" a="1"/>
  <c r="C66" i="4" a="1"/>
  <c r="C70" i="4" a="1"/>
  <c r="C74" i="4" a="1"/>
  <c r="C78" i="4" a="1"/>
  <c r="C82" i="4" a="1"/>
  <c r="C86" i="4" a="1"/>
  <c r="C90" i="4" a="1"/>
  <c r="C94" i="4" a="1"/>
  <c r="C98" i="4" a="1"/>
  <c r="C102" i="4" a="1"/>
  <c r="C106" i="4" a="1"/>
  <c r="C110" i="4" a="1"/>
  <c r="C114" i="4" a="1"/>
  <c r="C118" i="4" a="1"/>
  <c r="C122" i="4" a="1"/>
  <c r="C126" i="4" a="1"/>
  <c r="C130" i="4" a="1"/>
  <c r="C134" i="4" a="1"/>
  <c r="C27" i="4" a="1"/>
  <c r="C43" i="4" a="1"/>
  <c r="C59" i="4" a="1"/>
  <c r="C75" i="4" a="1"/>
  <c r="C91" i="4" a="1"/>
  <c r="C115" i="4" a="1"/>
  <c r="C127" i="4" a="1"/>
  <c r="C7" i="4" a="1"/>
  <c r="C31" i="4" a="1"/>
  <c r="C47" i="4" a="1"/>
  <c r="C63" i="4" a="1"/>
  <c r="C79" i="4" a="1"/>
  <c r="C99" i="4" a="1"/>
  <c r="C119" i="4" a="1"/>
  <c r="C4" i="3" a="1"/>
  <c r="C8" i="3" a="1"/>
  <c r="C12" i="3" a="1"/>
  <c r="C16" i="3" a="1"/>
  <c r="C20" i="3" a="1"/>
  <c r="C24" i="3" a="1"/>
  <c r="C28" i="3" a="1"/>
  <c r="C32" i="3" a="1"/>
  <c r="C36" i="3" a="1"/>
  <c r="C40" i="3" a="1"/>
  <c r="C44" i="3" a="1"/>
  <c r="C48" i="3" a="1"/>
  <c r="C52" i="3" a="1"/>
  <c r="C56" i="3" a="1"/>
  <c r="C60" i="3" a="1"/>
  <c r="C64" i="3" a="1"/>
  <c r="C68" i="3" a="1"/>
  <c r="C72" i="3" a="1"/>
  <c r="C76" i="3" a="1"/>
  <c r="C100" i="3" a="1"/>
  <c r="C104" i="3" a="1"/>
  <c r="C108" i="3" a="1"/>
  <c r="C112" i="3" a="1"/>
  <c r="C128" i="3" a="1"/>
  <c r="C80" i="3" a="1"/>
  <c r="C136" i="3" a="1"/>
  <c r="C5" i="3" a="1"/>
  <c r="C9" i="3" a="1"/>
  <c r="C13" i="3" a="1"/>
  <c r="C17" i="3" a="1"/>
  <c r="C21" i="3" a="1"/>
  <c r="C25" i="3" a="1"/>
  <c r="C29" i="3" a="1"/>
  <c r="C33" i="3" a="1"/>
  <c r="C37" i="3" a="1"/>
  <c r="C41" i="3" a="1"/>
  <c r="C45" i="3" a="1"/>
  <c r="C49" i="3" a="1"/>
  <c r="C53" i="3" a="1"/>
  <c r="C57" i="3" a="1"/>
  <c r="C61" i="3" a="1"/>
  <c r="C65" i="3" a="1"/>
  <c r="C69" i="3" a="1"/>
  <c r="C73" i="3" a="1"/>
  <c r="C77" i="3" a="1"/>
  <c r="C81" i="3" a="1"/>
  <c r="C85" i="3" a="1"/>
  <c r="C89" i="3" a="1"/>
  <c r="C93" i="3" a="1"/>
  <c r="C97" i="3" a="1"/>
  <c r="C101" i="3" a="1"/>
  <c r="C105" i="3" a="1"/>
  <c r="C109" i="3" a="1"/>
  <c r="C113" i="3" a="1"/>
  <c r="C117" i="3" a="1"/>
  <c r="C121" i="3" a="1"/>
  <c r="C125" i="3" a="1"/>
  <c r="C129" i="3" a="1"/>
  <c r="C133" i="3" a="1"/>
  <c r="C88" i="3" a="1"/>
  <c r="C116" i="3" a="1"/>
  <c r="C132" i="3" a="1"/>
  <c r="C92" i="3" a="1"/>
  <c r="C6" i="3" a="1"/>
  <c r="C10" i="3" a="1"/>
  <c r="C14" i="3" a="1"/>
  <c r="C18" i="3" a="1"/>
  <c r="C22" i="3" a="1"/>
  <c r="C26" i="3" a="1"/>
  <c r="C30" i="3" a="1"/>
  <c r="C34" i="3" a="1"/>
  <c r="C38" i="3" a="1"/>
  <c r="C42" i="3" a="1"/>
  <c r="C46" i="3" a="1"/>
  <c r="C50" i="3" a="1"/>
  <c r="C54" i="3" a="1"/>
  <c r="C58" i="3" a="1"/>
  <c r="C62" i="3" a="1"/>
  <c r="C66" i="3" a="1"/>
  <c r="C70" i="3" a="1"/>
  <c r="C74" i="3" a="1"/>
  <c r="C78" i="3" a="1"/>
  <c r="C82" i="3" a="1"/>
  <c r="C86" i="3" a="1"/>
  <c r="C90" i="3" a="1"/>
  <c r="C94" i="3" a="1"/>
  <c r="C98" i="3" a="1"/>
  <c r="C102" i="3" a="1"/>
  <c r="C106" i="3" a="1"/>
  <c r="C110" i="3" a="1"/>
  <c r="C114" i="3" a="1"/>
  <c r="C118" i="3" a="1"/>
  <c r="C122" i="3" a="1"/>
  <c r="C126" i="3" a="1"/>
  <c r="C130" i="3" a="1"/>
  <c r="C134" i="3" a="1"/>
  <c r="C96" i="3" a="1"/>
  <c r="C124" i="3" a="1"/>
  <c r="C7" i="3" a="1"/>
  <c r="C11" i="3" a="1"/>
  <c r="C15" i="3" a="1"/>
  <c r="C19" i="3" a="1"/>
  <c r="C23" i="3" a="1"/>
  <c r="C27" i="3" a="1"/>
  <c r="C31" i="3" a="1"/>
  <c r="C35" i="3" a="1"/>
  <c r="C39" i="3" a="1"/>
  <c r="C43" i="3" a="1"/>
  <c r="C47" i="3" a="1"/>
  <c r="C51" i="3" a="1"/>
  <c r="C55" i="3" a="1"/>
  <c r="C59" i="3" a="1"/>
  <c r="C63" i="3" a="1"/>
  <c r="C67" i="3" a="1"/>
  <c r="C71" i="3" a="1"/>
  <c r="C75" i="3" a="1"/>
  <c r="C79" i="3" a="1"/>
  <c r="C83" i="3" a="1"/>
  <c r="C87" i="3" a="1"/>
  <c r="C91" i="3" a="1"/>
  <c r="C95" i="3" a="1"/>
  <c r="C99" i="3" a="1"/>
  <c r="C103" i="3" a="1"/>
  <c r="C107" i="3" a="1"/>
  <c r="C111" i="3" a="1"/>
  <c r="C115" i="3" a="1"/>
  <c r="C119" i="3" a="1"/>
  <c r="C123" i="3" a="1"/>
  <c r="C127" i="3" a="1"/>
  <c r="C131" i="3" a="1"/>
  <c r="C135" i="3" a="1"/>
  <c r="C84" i="3" a="1"/>
  <c r="C120" i="3" a="1"/>
  <c r="G17" i="206" l="1"/>
  <c r="H17" i="206" s="1"/>
  <c r="G17" i="205"/>
  <c r="H17" i="205" s="1"/>
  <c r="C135" i="33"/>
  <c r="C131" i="33"/>
  <c r="C127" i="33"/>
  <c r="C123" i="33"/>
  <c r="C119" i="33"/>
  <c r="C115" i="33"/>
  <c r="C111" i="33"/>
  <c r="C107" i="33"/>
  <c r="C103" i="33"/>
  <c r="C99" i="33"/>
  <c r="C95" i="33"/>
  <c r="C91" i="33"/>
  <c r="C87" i="33"/>
  <c r="C83" i="33"/>
  <c r="C79" i="33"/>
  <c r="C75" i="33"/>
  <c r="C71" i="33"/>
  <c r="C67" i="33"/>
  <c r="C63" i="33"/>
  <c r="C59" i="33"/>
  <c r="C55" i="33"/>
  <c r="C51" i="33"/>
  <c r="C47" i="33"/>
  <c r="C43" i="33"/>
  <c r="C39" i="33"/>
  <c r="C35" i="33"/>
  <c r="C31" i="33"/>
  <c r="C27" i="33"/>
  <c r="C23" i="33"/>
  <c r="C19" i="33"/>
  <c r="C11" i="33"/>
  <c r="C7" i="33"/>
  <c r="C134" i="33"/>
  <c r="C130" i="33"/>
  <c r="C126" i="33"/>
  <c r="C122" i="33"/>
  <c r="C118" i="33"/>
  <c r="C114" i="33"/>
  <c r="C110" i="33"/>
  <c r="C106" i="33"/>
  <c r="C102" i="33"/>
  <c r="C98" i="33"/>
  <c r="C94" i="33"/>
  <c r="C90" i="33"/>
  <c r="C86" i="33"/>
  <c r="C82" i="33"/>
  <c r="C78" i="33"/>
  <c r="C74" i="33"/>
  <c r="C70" i="33"/>
  <c r="C66" i="33"/>
  <c r="C62" i="33"/>
  <c r="C58" i="33"/>
  <c r="C54" i="33"/>
  <c r="C50" i="33"/>
  <c r="C46" i="33"/>
  <c r="C42" i="33"/>
  <c r="C38" i="33"/>
  <c r="C34" i="33"/>
  <c r="C30" i="33"/>
  <c r="C26" i="33"/>
  <c r="C22" i="33"/>
  <c r="C18" i="33"/>
  <c r="C14" i="33"/>
  <c r="C10" i="33"/>
  <c r="C6" i="33"/>
  <c r="C129" i="33"/>
  <c r="C121" i="33"/>
  <c r="C113" i="33"/>
  <c r="C109" i="33"/>
  <c r="C101" i="33"/>
  <c r="C97" i="33"/>
  <c r="C93" i="33"/>
  <c r="C89" i="33"/>
  <c r="C85" i="33"/>
  <c r="C81" i="33"/>
  <c r="C77" i="33"/>
  <c r="C73" i="33"/>
  <c r="C65" i="33"/>
  <c r="C61" i="33"/>
  <c r="C57" i="33"/>
  <c r="C53" i="33"/>
  <c r="C49" i="33"/>
  <c r="C45" i="33"/>
  <c r="C41" i="33"/>
  <c r="C37" i="33"/>
  <c r="C33" i="33"/>
  <c r="C29" i="33"/>
  <c r="C25" i="33"/>
  <c r="C21" i="33"/>
  <c r="C17" i="33"/>
  <c r="C13" i="33"/>
  <c r="C9" i="33"/>
  <c r="C5" i="33"/>
  <c r="C133" i="33"/>
  <c r="C125" i="33"/>
  <c r="C117" i="33"/>
  <c r="C105" i="33"/>
  <c r="C69" i="33"/>
  <c r="C136" i="33"/>
  <c r="C132" i="33"/>
  <c r="C128" i="33"/>
  <c r="C124" i="33"/>
  <c r="C120" i="33"/>
  <c r="C116" i="33"/>
  <c r="C112" i="33"/>
  <c r="C108" i="33"/>
  <c r="C104" i="33"/>
  <c r="C100" i="33"/>
  <c r="C96" i="33"/>
  <c r="C92" i="33"/>
  <c r="C88" i="33"/>
  <c r="C84" i="33"/>
  <c r="C80" i="33"/>
  <c r="C76" i="33"/>
  <c r="C72" i="33"/>
  <c r="C68" i="33"/>
  <c r="C64" i="33"/>
  <c r="C60" i="33"/>
  <c r="C56" i="33"/>
  <c r="C52" i="33"/>
  <c r="C48" i="33"/>
  <c r="C44" i="33"/>
  <c r="C40" i="33"/>
  <c r="C36" i="33"/>
  <c r="C32" i="33"/>
  <c r="C28" i="33"/>
  <c r="C24" i="33"/>
  <c r="C20" i="33"/>
  <c r="C16" i="33"/>
  <c r="C12" i="33"/>
  <c r="C8" i="33"/>
  <c r="C4" i="33"/>
  <c r="C135" i="32"/>
  <c r="C131" i="32"/>
  <c r="C127" i="32"/>
  <c r="C123" i="32"/>
  <c r="C119" i="32"/>
  <c r="C115" i="32"/>
  <c r="C111" i="32"/>
  <c r="C107" i="32"/>
  <c r="C103" i="32"/>
  <c r="C99" i="32"/>
  <c r="C95" i="32"/>
  <c r="C91" i="32"/>
  <c r="C87" i="32"/>
  <c r="C83" i="32"/>
  <c r="C79" i="32"/>
  <c r="C75" i="32"/>
  <c r="C71" i="32"/>
  <c r="C67" i="32"/>
  <c r="C63" i="32"/>
  <c r="C59" i="32"/>
  <c r="C55" i="32"/>
  <c r="C51" i="32"/>
  <c r="C47" i="32"/>
  <c r="C43" i="32"/>
  <c r="C39" i="32"/>
  <c r="C35" i="32"/>
  <c r="C31" i="32"/>
  <c r="C27" i="32"/>
  <c r="C23" i="32"/>
  <c r="C19" i="32"/>
  <c r="C11" i="32"/>
  <c r="C7" i="32"/>
  <c r="C134" i="32"/>
  <c r="C130" i="32"/>
  <c r="C126" i="32"/>
  <c r="C122" i="32"/>
  <c r="C118" i="32"/>
  <c r="C114" i="32"/>
  <c r="C110" i="32"/>
  <c r="C106" i="32"/>
  <c r="C102" i="32"/>
  <c r="C98" i="32"/>
  <c r="C94" i="32"/>
  <c r="C90" i="32"/>
  <c r="C86" i="32"/>
  <c r="C82" i="32"/>
  <c r="C78" i="32"/>
  <c r="C74" i="32"/>
  <c r="C70" i="32"/>
  <c r="C66" i="32"/>
  <c r="C62" i="32"/>
  <c r="C58" i="32"/>
  <c r="C54" i="32"/>
  <c r="C50" i="32"/>
  <c r="C46" i="32"/>
  <c r="C42" i="32"/>
  <c r="C38" i="32"/>
  <c r="C34" i="32"/>
  <c r="C30" i="32"/>
  <c r="C26" i="32"/>
  <c r="C22" i="32"/>
  <c r="C18" i="32"/>
  <c r="C14" i="32"/>
  <c r="C10" i="32"/>
  <c r="C6" i="32"/>
  <c r="C133" i="32"/>
  <c r="C129" i="32"/>
  <c r="C125" i="32"/>
  <c r="C121" i="32"/>
  <c r="C117" i="32"/>
  <c r="C113" i="32"/>
  <c r="C109" i="32"/>
  <c r="C105" i="32"/>
  <c r="C101" i="32"/>
  <c r="C97" i="32"/>
  <c r="C93" i="32"/>
  <c r="C89" i="32"/>
  <c r="C85" i="32"/>
  <c r="C81" i="32"/>
  <c r="C77" i="32"/>
  <c r="C73" i="32"/>
  <c r="C69" i="32"/>
  <c r="C65" i="32"/>
  <c r="C61" i="32"/>
  <c r="C57" i="32"/>
  <c r="C53" i="32"/>
  <c r="C49" i="32"/>
  <c r="C45" i="32"/>
  <c r="C41" i="32"/>
  <c r="C37" i="32"/>
  <c r="C33" i="32"/>
  <c r="C29" i="32"/>
  <c r="C25" i="32"/>
  <c r="C21" i="32"/>
  <c r="C17" i="32"/>
  <c r="C13" i="32"/>
  <c r="C9" i="32"/>
  <c r="C5" i="32"/>
  <c r="C136" i="32"/>
  <c r="C132" i="32"/>
  <c r="C128" i="32"/>
  <c r="C124" i="32"/>
  <c r="C120" i="32"/>
  <c r="C116" i="32"/>
  <c r="C112" i="32"/>
  <c r="C108" i="32"/>
  <c r="C104" i="32"/>
  <c r="C100" i="32"/>
  <c r="C96" i="32"/>
  <c r="C92" i="32"/>
  <c r="C88" i="32"/>
  <c r="C84" i="32"/>
  <c r="C80" i="32"/>
  <c r="C76" i="32"/>
  <c r="C72" i="32"/>
  <c r="C68" i="32"/>
  <c r="C64" i="32"/>
  <c r="C60" i="32"/>
  <c r="C56" i="32"/>
  <c r="C52" i="32"/>
  <c r="C48" i="32"/>
  <c r="C44" i="32"/>
  <c r="C40" i="32"/>
  <c r="C36" i="32"/>
  <c r="C32" i="32"/>
  <c r="C28" i="32"/>
  <c r="C24" i="32"/>
  <c r="C20" i="32"/>
  <c r="C16" i="32"/>
  <c r="C12" i="32"/>
  <c r="C8" i="32"/>
  <c r="C4" i="32"/>
  <c r="C132" i="31"/>
  <c r="C128" i="31"/>
  <c r="C124" i="31"/>
  <c r="C120" i="31"/>
  <c r="C116" i="31"/>
  <c r="C112" i="31"/>
  <c r="C108" i="31"/>
  <c r="C104" i="31"/>
  <c r="C100" i="31"/>
  <c r="C96" i="31"/>
  <c r="C92" i="31"/>
  <c r="C88" i="31"/>
  <c r="C84" i="31"/>
  <c r="C80" i="31"/>
  <c r="C76" i="31"/>
  <c r="C72" i="31"/>
  <c r="C68" i="31"/>
  <c r="C64" i="31"/>
  <c r="C60" i="31"/>
  <c r="C56" i="31"/>
  <c r="C52" i="31"/>
  <c r="C48" i="31"/>
  <c r="C44" i="31"/>
  <c r="C40" i="31"/>
  <c r="C36" i="31"/>
  <c r="C32" i="31"/>
  <c r="C28" i="31"/>
  <c r="C24" i="31"/>
  <c r="C20" i="31"/>
  <c r="C16" i="31"/>
  <c r="C12" i="31"/>
  <c r="C8" i="31"/>
  <c r="C136" i="31"/>
  <c r="C135" i="31"/>
  <c r="C131" i="31"/>
  <c r="C127" i="31"/>
  <c r="C123" i="31"/>
  <c r="C119" i="31"/>
  <c r="C115" i="31"/>
  <c r="C111" i="31"/>
  <c r="C107" i="31"/>
  <c r="C103" i="31"/>
  <c r="C99" i="31"/>
  <c r="C95" i="31"/>
  <c r="C91" i="31"/>
  <c r="C87" i="31"/>
  <c r="C83" i="31"/>
  <c r="C79" i="31"/>
  <c r="C75" i="31"/>
  <c r="C71" i="31"/>
  <c r="C67" i="31"/>
  <c r="C63" i="31"/>
  <c r="C59" i="31"/>
  <c r="C55" i="31"/>
  <c r="C51" i="31"/>
  <c r="C47" i="31"/>
  <c r="C43" i="31"/>
  <c r="C39" i="31"/>
  <c r="C35" i="31"/>
  <c r="C31" i="31"/>
  <c r="C27" i="31"/>
  <c r="C23" i="31"/>
  <c r="C19" i="31"/>
  <c r="C15" i="31"/>
  <c r="C11" i="31"/>
  <c r="C7" i="31"/>
  <c r="C134" i="31"/>
  <c r="C130" i="31"/>
  <c r="C126" i="31"/>
  <c r="C122" i="31"/>
  <c r="C118" i="31"/>
  <c r="C114" i="31"/>
  <c r="C110" i="31"/>
  <c r="C106" i="31"/>
  <c r="C102" i="31"/>
  <c r="C98" i="31"/>
  <c r="C94" i="31"/>
  <c r="C90" i="31"/>
  <c r="C86" i="31"/>
  <c r="C82" i="31"/>
  <c r="C78" i="31"/>
  <c r="C74" i="31"/>
  <c r="C70" i="31"/>
  <c r="C66" i="31"/>
  <c r="C62" i="31"/>
  <c r="C58" i="31"/>
  <c r="C54" i="31"/>
  <c r="C50" i="31"/>
  <c r="C46" i="31"/>
  <c r="C42" i="31"/>
  <c r="C38" i="31"/>
  <c r="C34" i="31"/>
  <c r="C30" i="31"/>
  <c r="C26" i="31"/>
  <c r="C22" i="31"/>
  <c r="C18" i="31"/>
  <c r="C14" i="31"/>
  <c r="C10" i="31"/>
  <c r="C6" i="31"/>
  <c r="C133" i="31"/>
  <c r="C129" i="31"/>
  <c r="C125" i="31"/>
  <c r="C121" i="31"/>
  <c r="C117" i="31"/>
  <c r="C113" i="31"/>
  <c r="C109" i="31"/>
  <c r="C105" i="31"/>
  <c r="C101" i="31"/>
  <c r="C97" i="31"/>
  <c r="C93" i="31"/>
  <c r="C89" i="31"/>
  <c r="C85" i="31"/>
  <c r="C81" i="31"/>
  <c r="C77" i="31"/>
  <c r="C73" i="31"/>
  <c r="C69" i="31"/>
  <c r="C65" i="31"/>
  <c r="C61" i="31"/>
  <c r="C57" i="31"/>
  <c r="C53" i="31"/>
  <c r="C49" i="31"/>
  <c r="C45" i="31"/>
  <c r="C41" i="31"/>
  <c r="C37" i="31"/>
  <c r="C33" i="31"/>
  <c r="C29" i="31"/>
  <c r="C25" i="31"/>
  <c r="C21" i="31"/>
  <c r="C17" i="31"/>
  <c r="C13" i="31"/>
  <c r="C9" i="31"/>
  <c r="C5" i="31"/>
  <c r="C135" i="28"/>
  <c r="C131" i="28"/>
  <c r="C127" i="28"/>
  <c r="C123" i="28"/>
  <c r="C119" i="28"/>
  <c r="C115" i="28"/>
  <c r="C111" i="28"/>
  <c r="C107" i="28"/>
  <c r="C103" i="28"/>
  <c r="C99" i="28"/>
  <c r="C95" i="28"/>
  <c r="C91" i="28"/>
  <c r="C87" i="28"/>
  <c r="C83" i="28"/>
  <c r="C79" i="28"/>
  <c r="C75" i="28"/>
  <c r="C71" i="28"/>
  <c r="C67" i="28"/>
  <c r="C63" i="28"/>
  <c r="C59" i="28"/>
  <c r="C55" i="28"/>
  <c r="C51" i="28"/>
  <c r="C47" i="28"/>
  <c r="C43" i="28"/>
  <c r="C39" i="28"/>
  <c r="C35" i="28"/>
  <c r="C31" i="28"/>
  <c r="C27" i="28"/>
  <c r="C23" i="28"/>
  <c r="C19" i="28"/>
  <c r="C15" i="28"/>
  <c r="C11" i="28"/>
  <c r="C7" i="28"/>
  <c r="C134" i="28"/>
  <c r="C130" i="28"/>
  <c r="C126" i="28"/>
  <c r="C122" i="28"/>
  <c r="C118" i="28"/>
  <c r="C114" i="28"/>
  <c r="C110" i="28"/>
  <c r="C106" i="28"/>
  <c r="C102" i="28"/>
  <c r="C98" i="28"/>
  <c r="C94" i="28"/>
  <c r="C90" i="28"/>
  <c r="C86" i="28"/>
  <c r="C82" i="28"/>
  <c r="C78" i="28"/>
  <c r="C74" i="28"/>
  <c r="C70" i="28"/>
  <c r="C66" i="28"/>
  <c r="C62" i="28"/>
  <c r="C58" i="28"/>
  <c r="C54" i="28"/>
  <c r="C50" i="28"/>
  <c r="C46" i="28"/>
  <c r="C42" i="28"/>
  <c r="C38" i="28"/>
  <c r="C34" i="28"/>
  <c r="C30" i="28"/>
  <c r="C26" i="28"/>
  <c r="C22" i="28"/>
  <c r="C18" i="28"/>
  <c r="C14" i="28"/>
  <c r="C10" i="28"/>
  <c r="C6" i="28"/>
  <c r="C133" i="28"/>
  <c r="C129" i="28"/>
  <c r="C125" i="28"/>
  <c r="C121" i="28"/>
  <c r="C113" i="28"/>
  <c r="C109" i="28"/>
  <c r="C105" i="28"/>
  <c r="C101" i="28"/>
  <c r="C97" i="28"/>
  <c r="C93" i="28"/>
  <c r="C89" i="28"/>
  <c r="C85" i="28"/>
  <c r="C81" i="28"/>
  <c r="C77" i="28"/>
  <c r="C73" i="28"/>
  <c r="C69" i="28"/>
  <c r="C65" i="28"/>
  <c r="C61" i="28"/>
  <c r="C57" i="28"/>
  <c r="C53" i="28"/>
  <c r="C49" i="28"/>
  <c r="C45" i="28"/>
  <c r="C41" i="28"/>
  <c r="C37" i="28"/>
  <c r="C33" i="28"/>
  <c r="C29" i="28"/>
  <c r="C25" i="28"/>
  <c r="C21" i="28"/>
  <c r="C17" i="28"/>
  <c r="C13" i="28"/>
  <c r="C9" i="28"/>
  <c r="C5" i="28"/>
  <c r="C117" i="28"/>
  <c r="C136" i="28"/>
  <c r="C132" i="28"/>
  <c r="C128" i="28"/>
  <c r="C124" i="28"/>
  <c r="C120" i="28"/>
  <c r="C116" i="28"/>
  <c r="C112" i="28"/>
  <c r="C108" i="28"/>
  <c r="C104" i="28"/>
  <c r="C100" i="28"/>
  <c r="C96" i="28"/>
  <c r="C92" i="28"/>
  <c r="C88" i="28"/>
  <c r="C84" i="28"/>
  <c r="C80" i="28"/>
  <c r="C76" i="28"/>
  <c r="C72" i="28"/>
  <c r="C68" i="28"/>
  <c r="C64" i="28"/>
  <c r="C60" i="28"/>
  <c r="C56" i="28"/>
  <c r="C52" i="28"/>
  <c r="C48" i="28"/>
  <c r="C44" i="28"/>
  <c r="C40" i="28"/>
  <c r="C36" i="28"/>
  <c r="C32" i="28"/>
  <c r="C28" i="28"/>
  <c r="C24" i="28"/>
  <c r="C20" i="28"/>
  <c r="C16" i="28"/>
  <c r="C12" i="28"/>
  <c r="C8" i="28"/>
  <c r="C4" i="28"/>
  <c r="C135" i="27"/>
  <c r="C131" i="27"/>
  <c r="C127" i="27"/>
  <c r="C123" i="27"/>
  <c r="C119" i="27"/>
  <c r="C115" i="27"/>
  <c r="C111" i="27"/>
  <c r="C107" i="27"/>
  <c r="C103" i="27"/>
  <c r="C99" i="27"/>
  <c r="C95" i="27"/>
  <c r="C91" i="27"/>
  <c r="C87" i="27"/>
  <c r="C83" i="27"/>
  <c r="C79" i="27"/>
  <c r="C75" i="27"/>
  <c r="C71" i="27"/>
  <c r="C67" i="27"/>
  <c r="C63" i="27"/>
  <c r="C59" i="27"/>
  <c r="C55" i="27"/>
  <c r="C51" i="27"/>
  <c r="C47" i="27"/>
  <c r="C43" i="27"/>
  <c r="C39" i="27"/>
  <c r="C35" i="27"/>
  <c r="C31" i="27"/>
  <c r="C27" i="27"/>
  <c r="C23" i="27"/>
  <c r="C19" i="27"/>
  <c r="C15" i="27"/>
  <c r="C11" i="27"/>
  <c r="C7" i="27"/>
  <c r="C134" i="27"/>
  <c r="C130" i="27"/>
  <c r="C126" i="27"/>
  <c r="C122" i="27"/>
  <c r="C118" i="27"/>
  <c r="C114" i="27"/>
  <c r="C110" i="27"/>
  <c r="C106" i="27"/>
  <c r="C102" i="27"/>
  <c r="C98" i="27"/>
  <c r="C94" i="27"/>
  <c r="C90" i="27"/>
  <c r="C86" i="27"/>
  <c r="C82" i="27"/>
  <c r="C78" i="27"/>
  <c r="C74" i="27"/>
  <c r="C70" i="27"/>
  <c r="C66" i="27"/>
  <c r="C62" i="27"/>
  <c r="C58" i="27"/>
  <c r="C54" i="27"/>
  <c r="C50" i="27"/>
  <c r="C46" i="27"/>
  <c r="C42" i="27"/>
  <c r="C38" i="27"/>
  <c r="C34" i="27"/>
  <c r="C30" i="27"/>
  <c r="C26" i="27"/>
  <c r="C22" i="27"/>
  <c r="C18" i="27"/>
  <c r="C14" i="27"/>
  <c r="C10" i="27"/>
  <c r="C6" i="27"/>
  <c r="C133" i="27"/>
  <c r="C129" i="27"/>
  <c r="C121" i="27"/>
  <c r="C117" i="27"/>
  <c r="C113" i="27"/>
  <c r="C109" i="27"/>
  <c r="C97" i="27"/>
  <c r="C93" i="27"/>
  <c r="C89" i="27"/>
  <c r="C85" i="27"/>
  <c r="C81" i="27"/>
  <c r="C77" i="27"/>
  <c r="C73" i="27"/>
  <c r="C69" i="27"/>
  <c r="C65" i="27"/>
  <c r="C61" i="27"/>
  <c r="C57" i="27"/>
  <c r="C53" i="27"/>
  <c r="C49" i="27"/>
  <c r="C45" i="27"/>
  <c r="C41" i="27"/>
  <c r="C37" i="27"/>
  <c r="C33" i="27"/>
  <c r="C29" i="27"/>
  <c r="C25" i="27"/>
  <c r="C21" i="27"/>
  <c r="C17" i="27"/>
  <c r="C13" i="27"/>
  <c r="C9" i="27"/>
  <c r="C5" i="27"/>
  <c r="C101" i="27"/>
  <c r="C125" i="27"/>
  <c r="C105" i="27"/>
  <c r="C136" i="27"/>
  <c r="C132" i="27"/>
  <c r="C128" i="27"/>
  <c r="C124" i="27"/>
  <c r="C120" i="27"/>
  <c r="C116" i="27"/>
  <c r="C112" i="27"/>
  <c r="C108" i="27"/>
  <c r="C104" i="27"/>
  <c r="C100" i="27"/>
  <c r="C96" i="27"/>
  <c r="C92" i="27"/>
  <c r="C88" i="27"/>
  <c r="C84" i="27"/>
  <c r="C80" i="27"/>
  <c r="C76" i="27"/>
  <c r="C72" i="27"/>
  <c r="C68" i="27"/>
  <c r="C64" i="27"/>
  <c r="C60" i="27"/>
  <c r="C56" i="27"/>
  <c r="C52" i="27"/>
  <c r="C48" i="27"/>
  <c r="C44" i="27"/>
  <c r="C40" i="27"/>
  <c r="C36" i="27"/>
  <c r="C32" i="27"/>
  <c r="C28" i="27"/>
  <c r="C24" i="27"/>
  <c r="C20" i="27"/>
  <c r="C16" i="27"/>
  <c r="C12" i="27"/>
  <c r="C8" i="27"/>
  <c r="C4" i="27"/>
  <c r="C135" i="26"/>
  <c r="C131" i="26"/>
  <c r="C127" i="26"/>
  <c r="C123" i="26"/>
  <c r="C119" i="26"/>
  <c r="C115" i="26"/>
  <c r="C111" i="26"/>
  <c r="C107" i="26"/>
  <c r="C103" i="26"/>
  <c r="C99" i="26"/>
  <c r="C95" i="26"/>
  <c r="C91" i="26"/>
  <c r="C87" i="26"/>
  <c r="C83" i="26"/>
  <c r="C79" i="26"/>
  <c r="C75" i="26"/>
  <c r="C71" i="26"/>
  <c r="C67" i="26"/>
  <c r="C63" i="26"/>
  <c r="C59" i="26"/>
  <c r="C55" i="26"/>
  <c r="C51" i="26"/>
  <c r="C47" i="26"/>
  <c r="C43" i="26"/>
  <c r="C39" i="26"/>
  <c r="C35" i="26"/>
  <c r="C31" i="26"/>
  <c r="C27" i="26"/>
  <c r="C23" i="26"/>
  <c r="C19" i="26"/>
  <c r="G15" i="29"/>
  <c r="C15" i="26"/>
  <c r="D15" i="29"/>
  <c r="C11" i="26"/>
  <c r="C7" i="26"/>
  <c r="C134" i="26"/>
  <c r="C130" i="26"/>
  <c r="C126" i="26"/>
  <c r="C122" i="26"/>
  <c r="C118" i="26"/>
  <c r="C114" i="26"/>
  <c r="C110" i="26"/>
  <c r="C106" i="26"/>
  <c r="C102" i="26"/>
  <c r="C98" i="26"/>
  <c r="C94" i="26"/>
  <c r="C90" i="26"/>
  <c r="C86" i="26"/>
  <c r="C82" i="26"/>
  <c r="C78" i="26"/>
  <c r="C74" i="26"/>
  <c r="C70" i="26"/>
  <c r="C66" i="26"/>
  <c r="C62" i="26"/>
  <c r="C58" i="26"/>
  <c r="C54" i="26"/>
  <c r="C50" i="26"/>
  <c r="C46" i="26"/>
  <c r="C42" i="26"/>
  <c r="C38" i="26"/>
  <c r="C34" i="26"/>
  <c r="C30" i="26"/>
  <c r="C26" i="26"/>
  <c r="C22" i="26"/>
  <c r="C18" i="26"/>
  <c r="D14" i="29"/>
  <c r="G14" i="29"/>
  <c r="C14" i="26"/>
  <c r="C10" i="26"/>
  <c r="C6" i="26"/>
  <c r="C133" i="26"/>
  <c r="C129" i="26"/>
  <c r="C125" i="26"/>
  <c r="C121" i="26"/>
  <c r="C117" i="26"/>
  <c r="C113" i="26"/>
  <c r="C109" i="26"/>
  <c r="C105" i="26"/>
  <c r="C101" i="26"/>
  <c r="C97" i="26"/>
  <c r="C93" i="26"/>
  <c r="C89" i="26"/>
  <c r="C85" i="26"/>
  <c r="C81" i="26"/>
  <c r="C77" i="26"/>
  <c r="C73" i="26"/>
  <c r="C69" i="26"/>
  <c r="C65" i="26"/>
  <c r="C61" i="26"/>
  <c r="C57" i="26"/>
  <c r="C53" i="26"/>
  <c r="C49" i="26"/>
  <c r="C45" i="26"/>
  <c r="C41" i="26"/>
  <c r="C37" i="26"/>
  <c r="C33" i="26"/>
  <c r="C29" i="26"/>
  <c r="C25" i="26"/>
  <c r="C21" i="26"/>
  <c r="C17" i="26"/>
  <c r="C13" i="26"/>
  <c r="C9" i="26"/>
  <c r="C5" i="26"/>
  <c r="C136" i="26"/>
  <c r="C132" i="26"/>
  <c r="C128" i="26"/>
  <c r="C124" i="26"/>
  <c r="C120" i="26"/>
  <c r="C116" i="26"/>
  <c r="C112" i="26"/>
  <c r="C108" i="26"/>
  <c r="C104" i="26"/>
  <c r="C100" i="26"/>
  <c r="C96" i="26"/>
  <c r="C92" i="26"/>
  <c r="C88" i="26"/>
  <c r="C84" i="26"/>
  <c r="C80" i="26"/>
  <c r="C76" i="26"/>
  <c r="C72" i="26"/>
  <c r="C68" i="26"/>
  <c r="C64" i="26"/>
  <c r="C60" i="26"/>
  <c r="C56" i="26"/>
  <c r="C52" i="26"/>
  <c r="C48" i="26"/>
  <c r="C44" i="26"/>
  <c r="C40" i="26"/>
  <c r="C36" i="26"/>
  <c r="C32" i="26"/>
  <c r="C28" i="26"/>
  <c r="C24" i="26"/>
  <c r="C20" i="26"/>
  <c r="C16" i="26"/>
  <c r="D16" i="29"/>
  <c r="G16" i="29"/>
  <c r="C12" i="26"/>
  <c r="C8" i="26"/>
  <c r="C4" i="26"/>
  <c r="C135" i="19"/>
  <c r="C131" i="19"/>
  <c r="C127" i="19"/>
  <c r="C119" i="19"/>
  <c r="C115" i="19"/>
  <c r="C111" i="19"/>
  <c r="C107" i="19"/>
  <c r="C103" i="19"/>
  <c r="C99" i="19"/>
  <c r="C95" i="19"/>
  <c r="C91" i="19"/>
  <c r="C87" i="19"/>
  <c r="C83" i="19"/>
  <c r="C79" i="19"/>
  <c r="C75" i="19"/>
  <c r="C71" i="19"/>
  <c r="C67" i="19"/>
  <c r="C63" i="19"/>
  <c r="C59" i="19"/>
  <c r="C55" i="19"/>
  <c r="C51" i="19"/>
  <c r="C47" i="19"/>
  <c r="C43" i="19"/>
  <c r="C39" i="19"/>
  <c r="C35" i="19"/>
  <c r="C31" i="19"/>
  <c r="C27" i="19"/>
  <c r="C23" i="19"/>
  <c r="C19" i="19"/>
  <c r="C15" i="19"/>
  <c r="C11" i="19"/>
  <c r="C7" i="19"/>
  <c r="C123" i="19"/>
  <c r="C130" i="19"/>
  <c r="C126" i="19"/>
  <c r="C122" i="19"/>
  <c r="C118" i="19"/>
  <c r="C110" i="19"/>
  <c r="C106" i="19"/>
  <c r="C102" i="19"/>
  <c r="C98" i="19"/>
  <c r="C94" i="19"/>
  <c r="C90" i="19"/>
  <c r="C86" i="19"/>
  <c r="C82" i="19"/>
  <c r="C78" i="19"/>
  <c r="C74" i="19"/>
  <c r="C70" i="19"/>
  <c r="C66" i="19"/>
  <c r="C62" i="19"/>
  <c r="C58" i="19"/>
  <c r="C54" i="19"/>
  <c r="C50" i="19"/>
  <c r="C46" i="19"/>
  <c r="C42" i="19"/>
  <c r="C38" i="19"/>
  <c r="C34" i="19"/>
  <c r="C30" i="19"/>
  <c r="C26" i="19"/>
  <c r="C22" i="19"/>
  <c r="C18" i="19"/>
  <c r="C14" i="19"/>
  <c r="C10" i="19"/>
  <c r="C6" i="19"/>
  <c r="C134" i="19"/>
  <c r="C114" i="19"/>
  <c r="C129" i="19"/>
  <c r="C125" i="19"/>
  <c r="C121" i="19"/>
  <c r="C117" i="19"/>
  <c r="C113" i="19"/>
  <c r="C109" i="19"/>
  <c r="C105" i="19"/>
  <c r="C101" i="19"/>
  <c r="C97" i="19"/>
  <c r="C93" i="19"/>
  <c r="C89" i="19"/>
  <c r="C85" i="19"/>
  <c r="C81" i="19"/>
  <c r="C77" i="19"/>
  <c r="C73" i="19"/>
  <c r="C69" i="19"/>
  <c r="C65" i="19"/>
  <c r="C61" i="19"/>
  <c r="C57" i="19"/>
  <c r="C53" i="19"/>
  <c r="C49" i="19"/>
  <c r="C45" i="19"/>
  <c r="C41" i="19"/>
  <c r="C37" i="19"/>
  <c r="C33" i="19"/>
  <c r="C29" i="19"/>
  <c r="C25" i="19"/>
  <c r="C21" i="19"/>
  <c r="C17" i="19"/>
  <c r="C13" i="19"/>
  <c r="C9" i="19"/>
  <c r="C5" i="19"/>
  <c r="C133" i="19"/>
  <c r="C136" i="19"/>
  <c r="C132" i="19"/>
  <c r="C128" i="19"/>
  <c r="C124" i="19"/>
  <c r="C120" i="19"/>
  <c r="C116" i="19"/>
  <c r="C112" i="19"/>
  <c r="C108" i="19"/>
  <c r="C104" i="19"/>
  <c r="C100" i="19"/>
  <c r="C96" i="19"/>
  <c r="C92" i="19"/>
  <c r="C88" i="19"/>
  <c r="C84" i="19"/>
  <c r="C80" i="19"/>
  <c r="C76" i="19"/>
  <c r="C72" i="19"/>
  <c r="C68" i="19"/>
  <c r="C64" i="19"/>
  <c r="C60" i="19"/>
  <c r="C56" i="19"/>
  <c r="C52" i="19"/>
  <c r="C48" i="19"/>
  <c r="C44" i="19"/>
  <c r="C40" i="19"/>
  <c r="C36" i="19"/>
  <c r="C32" i="19"/>
  <c r="C28" i="19"/>
  <c r="C24" i="19"/>
  <c r="C20" i="19"/>
  <c r="C16" i="19"/>
  <c r="C12" i="19"/>
  <c r="C8" i="19"/>
  <c r="C4" i="19"/>
  <c r="C135" i="20"/>
  <c r="C131" i="20"/>
  <c r="C127" i="20"/>
  <c r="C123" i="20"/>
  <c r="C119" i="20"/>
  <c r="C115" i="20"/>
  <c r="C111" i="20"/>
  <c r="C107" i="20"/>
  <c r="C103" i="20"/>
  <c r="C99" i="20"/>
  <c r="C95" i="20"/>
  <c r="C91" i="20"/>
  <c r="C87" i="20"/>
  <c r="C83" i="20"/>
  <c r="C79" i="20"/>
  <c r="C75" i="20"/>
  <c r="C71" i="20"/>
  <c r="C67" i="20"/>
  <c r="C63" i="20"/>
  <c r="C59" i="20"/>
  <c r="C55" i="20"/>
  <c r="C51" i="20"/>
  <c r="C47" i="20"/>
  <c r="C43" i="20"/>
  <c r="C39" i="20"/>
  <c r="C35" i="20"/>
  <c r="C31" i="20"/>
  <c r="C27" i="20"/>
  <c r="C23" i="20"/>
  <c r="C19" i="20"/>
  <c r="C15" i="20"/>
  <c r="C11" i="20"/>
  <c r="C7" i="20"/>
  <c r="C134" i="20"/>
  <c r="C130" i="20"/>
  <c r="C126" i="20"/>
  <c r="C122" i="20"/>
  <c r="C118" i="20"/>
  <c r="C114" i="20"/>
  <c r="C110" i="20"/>
  <c r="C106" i="20"/>
  <c r="C102" i="20"/>
  <c r="C98" i="20"/>
  <c r="C94" i="20"/>
  <c r="C90" i="20"/>
  <c r="C86" i="20"/>
  <c r="C82" i="20"/>
  <c r="C78" i="20"/>
  <c r="C74" i="20"/>
  <c r="C70" i="20"/>
  <c r="C66" i="20"/>
  <c r="C62" i="20"/>
  <c r="C58" i="20"/>
  <c r="C54" i="20"/>
  <c r="C50" i="20"/>
  <c r="C46" i="20"/>
  <c r="C42" i="20"/>
  <c r="C38" i="20"/>
  <c r="C34" i="20"/>
  <c r="C30" i="20"/>
  <c r="C26" i="20"/>
  <c r="C22" i="20"/>
  <c r="C18" i="20"/>
  <c r="C14" i="20"/>
  <c r="C10" i="20"/>
  <c r="C6" i="20"/>
  <c r="C133" i="20"/>
  <c r="C129" i="20"/>
  <c r="C125" i="20"/>
  <c r="C121" i="20"/>
  <c r="C117" i="20"/>
  <c r="C113" i="20"/>
  <c r="C109" i="20"/>
  <c r="C105" i="20"/>
  <c r="C101" i="20"/>
  <c r="C97" i="20"/>
  <c r="C93" i="20"/>
  <c r="C89" i="20"/>
  <c r="C85" i="20"/>
  <c r="C81" i="20"/>
  <c r="C77" i="20"/>
  <c r="C73" i="20"/>
  <c r="C69" i="20"/>
  <c r="C65" i="20"/>
  <c r="C61" i="20"/>
  <c r="C57" i="20"/>
  <c r="C53" i="20"/>
  <c r="C49" i="20"/>
  <c r="C45" i="20"/>
  <c r="C41" i="20"/>
  <c r="C37" i="20"/>
  <c r="C33" i="20"/>
  <c r="C29" i="20"/>
  <c r="C25" i="20"/>
  <c r="C21" i="20"/>
  <c r="C17" i="20"/>
  <c r="C13" i="20"/>
  <c r="C9" i="20"/>
  <c r="C5" i="20"/>
  <c r="C136" i="20"/>
  <c r="C132" i="20"/>
  <c r="C128" i="20"/>
  <c r="C124" i="20"/>
  <c r="C120" i="20"/>
  <c r="C116" i="20"/>
  <c r="C112" i="20"/>
  <c r="C108" i="20"/>
  <c r="C104" i="20"/>
  <c r="C100" i="20"/>
  <c r="C96" i="20"/>
  <c r="C92" i="20"/>
  <c r="C88" i="20"/>
  <c r="C84" i="20"/>
  <c r="C80" i="20"/>
  <c r="C76" i="20"/>
  <c r="C72" i="20"/>
  <c r="C68" i="20"/>
  <c r="C64" i="20"/>
  <c r="C60" i="20"/>
  <c r="C56" i="20"/>
  <c r="C52" i="20"/>
  <c r="C48" i="20"/>
  <c r="C44" i="20"/>
  <c r="C40" i="20"/>
  <c r="C36" i="20"/>
  <c r="C32" i="20"/>
  <c r="C28" i="20"/>
  <c r="C24" i="20"/>
  <c r="C20" i="20"/>
  <c r="C16" i="20"/>
  <c r="C12" i="20"/>
  <c r="C8" i="20"/>
  <c r="C4" i="20"/>
  <c r="C135" i="21"/>
  <c r="C131" i="21"/>
  <c r="C127" i="21"/>
  <c r="C123" i="21"/>
  <c r="C119" i="21"/>
  <c r="C115" i="21"/>
  <c r="C111" i="21"/>
  <c r="C107" i="21"/>
  <c r="C103" i="21"/>
  <c r="C99" i="21"/>
  <c r="C95" i="21"/>
  <c r="C91" i="21"/>
  <c r="C87" i="21"/>
  <c r="C83" i="21"/>
  <c r="C79" i="21"/>
  <c r="C75" i="21"/>
  <c r="C71" i="21"/>
  <c r="C67" i="21"/>
  <c r="C63" i="21"/>
  <c r="C59" i="21"/>
  <c r="C55" i="21"/>
  <c r="C51" i="21"/>
  <c r="C47" i="21"/>
  <c r="C43" i="21"/>
  <c r="C39" i="21"/>
  <c r="C35" i="21"/>
  <c r="C31" i="21"/>
  <c r="C27" i="21"/>
  <c r="C23" i="21"/>
  <c r="C19" i="21"/>
  <c r="D15" i="18"/>
  <c r="G15" i="18"/>
  <c r="C15" i="21"/>
  <c r="C11" i="21"/>
  <c r="C7" i="21"/>
  <c r="C134" i="21"/>
  <c r="C130" i="21"/>
  <c r="C126" i="21"/>
  <c r="C122" i="21"/>
  <c r="C118" i="21"/>
  <c r="C114" i="21"/>
  <c r="C110" i="21"/>
  <c r="C106" i="21"/>
  <c r="C102" i="21"/>
  <c r="C98" i="21"/>
  <c r="C94" i="21"/>
  <c r="C90" i="21"/>
  <c r="C86" i="21"/>
  <c r="C82" i="21"/>
  <c r="C78" i="21"/>
  <c r="C74" i="21"/>
  <c r="C70" i="21"/>
  <c r="C66" i="21"/>
  <c r="C62" i="21"/>
  <c r="C58" i="21"/>
  <c r="C54" i="21"/>
  <c r="C50" i="21"/>
  <c r="C46" i="21"/>
  <c r="C42" i="21"/>
  <c r="C38" i="21"/>
  <c r="C34" i="21"/>
  <c r="C30" i="21"/>
  <c r="C26" i="21"/>
  <c r="C22" i="21"/>
  <c r="C18" i="21"/>
  <c r="G14" i="18"/>
  <c r="C14" i="21"/>
  <c r="D14" i="18"/>
  <c r="C10" i="21"/>
  <c r="C6" i="21"/>
  <c r="C133" i="21"/>
  <c r="C129" i="21"/>
  <c r="C125" i="21"/>
  <c r="C121" i="21"/>
  <c r="C117" i="21"/>
  <c r="C113" i="21"/>
  <c r="C109" i="21"/>
  <c r="C105" i="21"/>
  <c r="C101" i="21"/>
  <c r="C97" i="21"/>
  <c r="C93" i="21"/>
  <c r="C89" i="21"/>
  <c r="C85" i="21"/>
  <c r="C81" i="21"/>
  <c r="C77" i="21"/>
  <c r="C73" i="21"/>
  <c r="C69" i="21"/>
  <c r="C65" i="21"/>
  <c r="C61" i="21"/>
  <c r="C57" i="21"/>
  <c r="C53" i="21"/>
  <c r="C49" i="21"/>
  <c r="C45" i="21"/>
  <c r="C41" i="21"/>
  <c r="C37" i="21"/>
  <c r="C33" i="21"/>
  <c r="C29" i="21"/>
  <c r="C25" i="21"/>
  <c r="C21" i="21"/>
  <c r="C17" i="21"/>
  <c r="C13" i="21"/>
  <c r="C9" i="21"/>
  <c r="C5" i="21"/>
  <c r="C136" i="21"/>
  <c r="C132" i="21"/>
  <c r="C128" i="21"/>
  <c r="C124" i="21"/>
  <c r="C120" i="21"/>
  <c r="C116" i="21"/>
  <c r="C112" i="21"/>
  <c r="C108" i="21"/>
  <c r="C104" i="21"/>
  <c r="C100" i="21"/>
  <c r="C96" i="21"/>
  <c r="C92" i="21"/>
  <c r="C88" i="21"/>
  <c r="C84" i="21"/>
  <c r="C80" i="21"/>
  <c r="C76" i="21"/>
  <c r="C72" i="21"/>
  <c r="C68" i="21"/>
  <c r="C64" i="21"/>
  <c r="C60" i="21"/>
  <c r="C56" i="21"/>
  <c r="C52" i="21"/>
  <c r="C48" i="21"/>
  <c r="C44" i="21"/>
  <c r="C40" i="21"/>
  <c r="C36" i="21"/>
  <c r="C32" i="21"/>
  <c r="C28" i="21"/>
  <c r="C24" i="21"/>
  <c r="C20" i="21"/>
  <c r="C16" i="21"/>
  <c r="D16" i="18"/>
  <c r="G16" i="18"/>
  <c r="C12" i="21"/>
  <c r="C8" i="21"/>
  <c r="C4" i="21"/>
  <c r="C119" i="4"/>
  <c r="C99" i="4"/>
  <c r="C79" i="4"/>
  <c r="C63" i="4"/>
  <c r="C47" i="4"/>
  <c r="C31" i="4"/>
  <c r="C7" i="4"/>
  <c r="C127" i="4"/>
  <c r="C115" i="4"/>
  <c r="C91" i="4"/>
  <c r="C75" i="4"/>
  <c r="C59" i="4"/>
  <c r="C43" i="4"/>
  <c r="C27" i="4"/>
  <c r="C134" i="4"/>
  <c r="C130" i="4"/>
  <c r="C126" i="4"/>
  <c r="C122" i="4"/>
  <c r="C118" i="4"/>
  <c r="C114" i="4"/>
  <c r="C110" i="4"/>
  <c r="C106" i="4"/>
  <c r="C102" i="4"/>
  <c r="C98" i="4"/>
  <c r="C94" i="4"/>
  <c r="C90" i="4"/>
  <c r="C86" i="4"/>
  <c r="C82" i="4"/>
  <c r="C78" i="4"/>
  <c r="C74" i="4"/>
  <c r="C70" i="4"/>
  <c r="C66" i="4"/>
  <c r="C62" i="4"/>
  <c r="C58" i="4"/>
  <c r="C54" i="4"/>
  <c r="C50" i="4"/>
  <c r="C46" i="4"/>
  <c r="C42" i="4"/>
  <c r="C38" i="4"/>
  <c r="C34" i="4"/>
  <c r="C30" i="4"/>
  <c r="C26" i="4"/>
  <c r="C22" i="4"/>
  <c r="C18" i="4"/>
  <c r="C14" i="4"/>
  <c r="C10" i="4"/>
  <c r="C6" i="4"/>
  <c r="C103" i="4"/>
  <c r="C15" i="4"/>
  <c r="C123" i="4"/>
  <c r="C107" i="4"/>
  <c r="C87" i="4"/>
  <c r="C71" i="4"/>
  <c r="C55" i="4"/>
  <c r="C39" i="4"/>
  <c r="C19" i="4"/>
  <c r="C133" i="4"/>
  <c r="C129" i="4"/>
  <c r="C125" i="4"/>
  <c r="C121" i="4"/>
  <c r="C117" i="4"/>
  <c r="C113" i="4"/>
  <c r="C109" i="4"/>
  <c r="C105" i="4"/>
  <c r="C101" i="4"/>
  <c r="C97" i="4"/>
  <c r="C93" i="4"/>
  <c r="C89" i="4"/>
  <c r="C85" i="4"/>
  <c r="C81" i="4"/>
  <c r="C77" i="4"/>
  <c r="C73" i="4"/>
  <c r="C69" i="4"/>
  <c r="C65" i="4"/>
  <c r="C61" i="4"/>
  <c r="C57" i="4"/>
  <c r="C53" i="4"/>
  <c r="C49" i="4"/>
  <c r="C45" i="4"/>
  <c r="C41" i="4"/>
  <c r="C37" i="4"/>
  <c r="C33" i="4"/>
  <c r="C29" i="4"/>
  <c r="C25" i="4"/>
  <c r="C21" i="4"/>
  <c r="C17" i="4"/>
  <c r="C13" i="4"/>
  <c r="C9" i="4"/>
  <c r="C5" i="4"/>
  <c r="C135" i="4"/>
  <c r="C95" i="4"/>
  <c r="C11" i="4"/>
  <c r="C131" i="4"/>
  <c r="C111" i="4"/>
  <c r="C83" i="4"/>
  <c r="C67" i="4"/>
  <c r="C51" i="4"/>
  <c r="C35" i="4"/>
  <c r="C23" i="4"/>
  <c r="C136" i="4"/>
  <c r="C132" i="4"/>
  <c r="C128" i="4"/>
  <c r="C124" i="4"/>
  <c r="C120" i="4"/>
  <c r="C116" i="4"/>
  <c r="C112" i="4"/>
  <c r="C108" i="4"/>
  <c r="C104" i="4"/>
  <c r="C100" i="4"/>
  <c r="C96" i="4"/>
  <c r="C92" i="4"/>
  <c r="C88" i="4"/>
  <c r="C84" i="4"/>
  <c r="C80" i="4"/>
  <c r="C76" i="4"/>
  <c r="C72" i="4"/>
  <c r="C68" i="4"/>
  <c r="C64" i="4"/>
  <c r="C60" i="4"/>
  <c r="C56" i="4"/>
  <c r="C52" i="4"/>
  <c r="C48" i="4"/>
  <c r="C44" i="4"/>
  <c r="C40" i="4"/>
  <c r="C36" i="4"/>
  <c r="C32" i="4"/>
  <c r="C28" i="4"/>
  <c r="C24" i="4"/>
  <c r="C20" i="4"/>
  <c r="C16" i="4"/>
  <c r="C12" i="4"/>
  <c r="C8" i="4"/>
  <c r="C4" i="4"/>
  <c r="C120" i="3"/>
  <c r="C84" i="3"/>
  <c r="C135" i="3"/>
  <c r="C131" i="3"/>
  <c r="C127" i="3"/>
  <c r="C123" i="3"/>
  <c r="C119" i="3"/>
  <c r="C115" i="3"/>
  <c r="C111" i="3"/>
  <c r="C107" i="3"/>
  <c r="C103" i="3"/>
  <c r="C99" i="3"/>
  <c r="C95" i="3"/>
  <c r="C91" i="3"/>
  <c r="C87" i="3"/>
  <c r="C83" i="3"/>
  <c r="C79" i="3"/>
  <c r="C75" i="3"/>
  <c r="C71" i="3"/>
  <c r="C67" i="3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C124" i="3"/>
  <c r="C96" i="3"/>
  <c r="C134" i="3"/>
  <c r="C130" i="3"/>
  <c r="C126" i="3"/>
  <c r="C122" i="3"/>
  <c r="C118" i="3"/>
  <c r="C114" i="3"/>
  <c r="C110" i="3"/>
  <c r="C106" i="3"/>
  <c r="C102" i="3"/>
  <c r="C98" i="3"/>
  <c r="C94" i="3"/>
  <c r="C90" i="3"/>
  <c r="C86" i="3"/>
  <c r="C82" i="3"/>
  <c r="C78" i="3"/>
  <c r="C74" i="3"/>
  <c r="C70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92" i="3"/>
  <c r="C132" i="3"/>
  <c r="C116" i="3"/>
  <c r="C88" i="3"/>
  <c r="C133" i="3"/>
  <c r="C129" i="3"/>
  <c r="C125" i="3"/>
  <c r="C121" i="3"/>
  <c r="C117" i="3"/>
  <c r="C113" i="3"/>
  <c r="C109" i="3"/>
  <c r="C105" i="3"/>
  <c r="C101" i="3"/>
  <c r="C97" i="3"/>
  <c r="C93" i="3"/>
  <c r="C89" i="3"/>
  <c r="C85" i="3"/>
  <c r="C81" i="3"/>
  <c r="C77" i="3"/>
  <c r="C73" i="3"/>
  <c r="C69" i="3"/>
  <c r="C65" i="3"/>
  <c r="C61" i="3"/>
  <c r="C57" i="3"/>
  <c r="C53" i="3"/>
  <c r="C49" i="3"/>
  <c r="C45" i="3"/>
  <c r="C41" i="3"/>
  <c r="C37" i="3"/>
  <c r="C33" i="3"/>
  <c r="C29" i="3"/>
  <c r="C25" i="3"/>
  <c r="C21" i="3"/>
  <c r="C17" i="3"/>
  <c r="C13" i="3"/>
  <c r="C9" i="3"/>
  <c r="C5" i="3"/>
  <c r="C136" i="3"/>
  <c r="C80" i="3"/>
  <c r="C128" i="3"/>
  <c r="C112" i="3"/>
  <c r="C108" i="3"/>
  <c r="C104" i="3"/>
  <c r="C100" i="3"/>
  <c r="C76" i="3"/>
  <c r="C72" i="3"/>
  <c r="C68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D17" i="206"/>
  <c r="E17" i="206" s="1"/>
  <c r="G17" i="204"/>
  <c r="H17" i="204" s="1"/>
  <c r="D17" i="204"/>
  <c r="E17" i="204" s="1"/>
  <c r="D17" i="203"/>
  <c r="E17" i="203" s="1"/>
  <c r="G17" i="202"/>
  <c r="H17" i="202" s="1"/>
  <c r="D17" i="202"/>
  <c r="E17" i="202" s="1"/>
  <c r="G17" i="201"/>
  <c r="H17" i="201" s="1"/>
  <c r="D17" i="201"/>
  <c r="E17" i="201" s="1"/>
  <c r="G17" i="200"/>
  <c r="H17" i="200" s="1"/>
  <c r="D17" i="200"/>
  <c r="E17" i="200" s="1"/>
  <c r="G17" i="199"/>
  <c r="H17" i="199" s="1"/>
  <c r="D17" i="199"/>
  <c r="E17" i="199" s="1"/>
  <c r="G17" i="198"/>
  <c r="H17" i="198" s="1"/>
  <c r="D17" i="198"/>
  <c r="E17" i="198" s="1"/>
  <c r="D17" i="197"/>
  <c r="E17" i="197" s="1"/>
  <c r="D17" i="196"/>
  <c r="E17" i="196" s="1"/>
  <c r="D17" i="195"/>
  <c r="E17" i="195" s="1"/>
  <c r="B3" i="34" a="1"/>
  <c r="B3" i="34" s="1"/>
  <c r="A3" i="34" a="1"/>
  <c r="A3" i="34" s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F17" i="193"/>
  <c r="C17" i="193"/>
  <c r="B17" i="193"/>
  <c r="G16" i="193"/>
  <c r="H16" i="193" s="1"/>
  <c r="D16" i="193"/>
  <c r="G15" i="193"/>
  <c r="H15" i="193" s="1"/>
  <c r="D15" i="193"/>
  <c r="E15" i="193" s="1"/>
  <c r="G14" i="193"/>
  <c r="H14" i="193" s="1"/>
  <c r="D14" i="193"/>
  <c r="E14" i="193" s="1"/>
  <c r="G13" i="193"/>
  <c r="H13" i="193" s="1"/>
  <c r="D13" i="193"/>
  <c r="E13" i="193" s="1"/>
  <c r="G12" i="193"/>
  <c r="H12" i="193" s="1"/>
  <c r="D12" i="193"/>
  <c r="E12" i="193" s="1"/>
  <c r="G11" i="193"/>
  <c r="H11" i="193" s="1"/>
  <c r="D11" i="193"/>
  <c r="E11" i="193" s="1"/>
  <c r="G10" i="193"/>
  <c r="H10" i="193" s="1"/>
  <c r="D10" i="193"/>
  <c r="E10" i="193" s="1"/>
  <c r="G9" i="193"/>
  <c r="H9" i="193" s="1"/>
  <c r="D9" i="193"/>
  <c r="E9" i="193" s="1"/>
  <c r="G8" i="193"/>
  <c r="H8" i="193" s="1"/>
  <c r="D8" i="193"/>
  <c r="E8" i="193" s="1"/>
  <c r="G7" i="193"/>
  <c r="H7" i="193" s="1"/>
  <c r="D7" i="193"/>
  <c r="E7" i="193" s="1"/>
  <c r="G6" i="193"/>
  <c r="H6" i="193" s="1"/>
  <c r="D6" i="193"/>
  <c r="E6" i="193" s="1"/>
  <c r="G5" i="193"/>
  <c r="H5" i="193" s="1"/>
  <c r="D5" i="193"/>
  <c r="E5" i="193" s="1"/>
  <c r="F17" i="192"/>
  <c r="C17" i="192"/>
  <c r="B17" i="192"/>
  <c r="G16" i="192"/>
  <c r="H16" i="192" s="1"/>
  <c r="D16" i="192"/>
  <c r="E16" i="192" s="1"/>
  <c r="G15" i="192"/>
  <c r="H15" i="192" s="1"/>
  <c r="D15" i="192"/>
  <c r="E15" i="192" s="1"/>
  <c r="G14" i="192"/>
  <c r="H14" i="192" s="1"/>
  <c r="D14" i="192"/>
  <c r="E14" i="192" s="1"/>
  <c r="G13" i="192"/>
  <c r="H13" i="192" s="1"/>
  <c r="D13" i="192"/>
  <c r="E13" i="192" s="1"/>
  <c r="G12" i="192"/>
  <c r="H12" i="192" s="1"/>
  <c r="D12" i="192"/>
  <c r="E12" i="192" s="1"/>
  <c r="G11" i="192"/>
  <c r="H11" i="192" s="1"/>
  <c r="D11" i="192"/>
  <c r="E11" i="192" s="1"/>
  <c r="G10" i="192"/>
  <c r="H10" i="192" s="1"/>
  <c r="D10" i="192"/>
  <c r="E10" i="192" s="1"/>
  <c r="G9" i="192"/>
  <c r="H9" i="192" s="1"/>
  <c r="D9" i="192"/>
  <c r="E9" i="192" s="1"/>
  <c r="G8" i="192"/>
  <c r="H8" i="192" s="1"/>
  <c r="D8" i="192"/>
  <c r="E8" i="192" s="1"/>
  <c r="G7" i="192"/>
  <c r="H7" i="192" s="1"/>
  <c r="D7" i="192"/>
  <c r="E7" i="192" s="1"/>
  <c r="G6" i="192"/>
  <c r="H6" i="192" s="1"/>
  <c r="D6" i="192"/>
  <c r="E6" i="192" s="1"/>
  <c r="G5" i="192"/>
  <c r="H5" i="192" s="1"/>
  <c r="D5" i="192"/>
  <c r="E5" i="192" s="1"/>
  <c r="F17" i="191"/>
  <c r="C17" i="191"/>
  <c r="B17" i="191"/>
  <c r="G16" i="191"/>
  <c r="H16" i="191" s="1"/>
  <c r="D16" i="191"/>
  <c r="E16" i="191" s="1"/>
  <c r="G15" i="191"/>
  <c r="H15" i="191" s="1"/>
  <c r="D15" i="191"/>
  <c r="E15" i="191" s="1"/>
  <c r="G14" i="191"/>
  <c r="H14" i="191" s="1"/>
  <c r="D14" i="191"/>
  <c r="E14" i="191" s="1"/>
  <c r="G13" i="191"/>
  <c r="H13" i="191" s="1"/>
  <c r="D13" i="191"/>
  <c r="E13" i="191" s="1"/>
  <c r="G12" i="191"/>
  <c r="H12" i="191" s="1"/>
  <c r="D12" i="191"/>
  <c r="E12" i="191" s="1"/>
  <c r="G11" i="191"/>
  <c r="H11" i="191" s="1"/>
  <c r="D11" i="191"/>
  <c r="E11" i="191" s="1"/>
  <c r="G10" i="191"/>
  <c r="H10" i="191" s="1"/>
  <c r="D10" i="191"/>
  <c r="E10" i="191" s="1"/>
  <c r="G9" i="191"/>
  <c r="H9" i="191" s="1"/>
  <c r="D9" i="191"/>
  <c r="E9" i="191" s="1"/>
  <c r="G8" i="191"/>
  <c r="H8" i="191" s="1"/>
  <c r="D8" i="191"/>
  <c r="E8" i="191" s="1"/>
  <c r="G7" i="191"/>
  <c r="H7" i="191" s="1"/>
  <c r="D7" i="191"/>
  <c r="E7" i="191" s="1"/>
  <c r="G6" i="191"/>
  <c r="H6" i="191" s="1"/>
  <c r="D6" i="191"/>
  <c r="E6" i="191" s="1"/>
  <c r="G5" i="191"/>
  <c r="H5" i="191" s="1"/>
  <c r="D5" i="191"/>
  <c r="E5" i="191" s="1"/>
  <c r="F17" i="190"/>
  <c r="C17" i="190"/>
  <c r="B17" i="190"/>
  <c r="G16" i="190"/>
  <c r="H16" i="190" s="1"/>
  <c r="D16" i="190"/>
  <c r="G15" i="190"/>
  <c r="H15" i="190" s="1"/>
  <c r="D15" i="190"/>
  <c r="E15" i="190" s="1"/>
  <c r="G14" i="190"/>
  <c r="H14" i="190" s="1"/>
  <c r="D14" i="190"/>
  <c r="E14" i="190" s="1"/>
  <c r="G13" i="190"/>
  <c r="H13" i="190" s="1"/>
  <c r="D13" i="190"/>
  <c r="E13" i="190" s="1"/>
  <c r="G12" i="190"/>
  <c r="H12" i="190" s="1"/>
  <c r="D12" i="190"/>
  <c r="E12" i="190" s="1"/>
  <c r="G11" i="190"/>
  <c r="H11" i="190" s="1"/>
  <c r="D11" i="190"/>
  <c r="E11" i="190" s="1"/>
  <c r="G10" i="190"/>
  <c r="H10" i="190" s="1"/>
  <c r="D10" i="190"/>
  <c r="E10" i="190" s="1"/>
  <c r="G9" i="190"/>
  <c r="H9" i="190" s="1"/>
  <c r="D9" i="190"/>
  <c r="E9" i="190" s="1"/>
  <c r="G8" i="190"/>
  <c r="H8" i="190" s="1"/>
  <c r="D8" i="190"/>
  <c r="E8" i="190" s="1"/>
  <c r="G7" i="190"/>
  <c r="H7" i="190" s="1"/>
  <c r="D7" i="190"/>
  <c r="E7" i="190" s="1"/>
  <c r="G6" i="190"/>
  <c r="H6" i="190" s="1"/>
  <c r="D6" i="190"/>
  <c r="E6" i="190" s="1"/>
  <c r="G5" i="190"/>
  <c r="H5" i="190" s="1"/>
  <c r="D5" i="190"/>
  <c r="E5" i="190" s="1"/>
  <c r="F17" i="189"/>
  <c r="C17" i="189"/>
  <c r="B17" i="189"/>
  <c r="G16" i="189"/>
  <c r="H16" i="189" s="1"/>
  <c r="D16" i="189"/>
  <c r="G15" i="189"/>
  <c r="H15" i="189" s="1"/>
  <c r="D15" i="189"/>
  <c r="E15" i="189" s="1"/>
  <c r="G14" i="189"/>
  <c r="H14" i="189" s="1"/>
  <c r="D14" i="189"/>
  <c r="E14" i="189" s="1"/>
  <c r="G13" i="189"/>
  <c r="H13" i="189" s="1"/>
  <c r="D13" i="189"/>
  <c r="E13" i="189" s="1"/>
  <c r="G12" i="189"/>
  <c r="H12" i="189" s="1"/>
  <c r="D12" i="189"/>
  <c r="E12" i="189" s="1"/>
  <c r="G11" i="189"/>
  <c r="H11" i="189" s="1"/>
  <c r="D11" i="189"/>
  <c r="E11" i="189" s="1"/>
  <c r="G10" i="189"/>
  <c r="H10" i="189" s="1"/>
  <c r="D10" i="189"/>
  <c r="E10" i="189" s="1"/>
  <c r="G9" i="189"/>
  <c r="H9" i="189" s="1"/>
  <c r="D9" i="189"/>
  <c r="E9" i="189" s="1"/>
  <c r="G8" i="189"/>
  <c r="H8" i="189" s="1"/>
  <c r="D8" i="189"/>
  <c r="E8" i="189" s="1"/>
  <c r="G7" i="189"/>
  <c r="H7" i="189" s="1"/>
  <c r="D7" i="189"/>
  <c r="E7" i="189" s="1"/>
  <c r="G6" i="189"/>
  <c r="H6" i="189" s="1"/>
  <c r="D6" i="189"/>
  <c r="E6" i="189" s="1"/>
  <c r="G5" i="189"/>
  <c r="H5" i="189" s="1"/>
  <c r="D5" i="189"/>
  <c r="E5" i="189" s="1"/>
  <c r="F17" i="188"/>
  <c r="C17" i="188"/>
  <c r="B17" i="188"/>
  <c r="G16" i="188"/>
  <c r="H16" i="188" s="1"/>
  <c r="D16" i="188"/>
  <c r="G15" i="188"/>
  <c r="H15" i="188" s="1"/>
  <c r="D15" i="188"/>
  <c r="E15" i="188" s="1"/>
  <c r="G14" i="188"/>
  <c r="H14" i="188" s="1"/>
  <c r="D14" i="188"/>
  <c r="E14" i="188" s="1"/>
  <c r="G13" i="188"/>
  <c r="H13" i="188" s="1"/>
  <c r="D13" i="188"/>
  <c r="E13" i="188" s="1"/>
  <c r="G12" i="188"/>
  <c r="H12" i="188" s="1"/>
  <c r="D12" i="188"/>
  <c r="E12" i="188" s="1"/>
  <c r="G11" i="188"/>
  <c r="H11" i="188" s="1"/>
  <c r="D11" i="188"/>
  <c r="E11" i="188" s="1"/>
  <c r="G10" i="188"/>
  <c r="H10" i="188" s="1"/>
  <c r="D10" i="188"/>
  <c r="E10" i="188" s="1"/>
  <c r="G9" i="188"/>
  <c r="H9" i="188" s="1"/>
  <c r="D9" i="188"/>
  <c r="E9" i="188" s="1"/>
  <c r="G8" i="188"/>
  <c r="H8" i="188" s="1"/>
  <c r="D8" i="188"/>
  <c r="E8" i="188" s="1"/>
  <c r="G7" i="188"/>
  <c r="H7" i="188" s="1"/>
  <c r="D7" i="188"/>
  <c r="E7" i="188" s="1"/>
  <c r="G6" i="188"/>
  <c r="H6" i="188" s="1"/>
  <c r="D6" i="188"/>
  <c r="E6" i="188" s="1"/>
  <c r="G5" i="188"/>
  <c r="H5" i="188" s="1"/>
  <c r="D5" i="188"/>
  <c r="E5" i="188" s="1"/>
  <c r="F17" i="187"/>
  <c r="C17" i="187"/>
  <c r="B17" i="187"/>
  <c r="G16" i="187"/>
  <c r="H16" i="187" s="1"/>
  <c r="D16" i="187"/>
  <c r="E16" i="187" s="1"/>
  <c r="G15" i="187"/>
  <c r="H15" i="187" s="1"/>
  <c r="D15" i="187"/>
  <c r="E15" i="187" s="1"/>
  <c r="G14" i="187"/>
  <c r="H14" i="187" s="1"/>
  <c r="D14" i="187"/>
  <c r="E14" i="187" s="1"/>
  <c r="G13" i="187"/>
  <c r="H13" i="187" s="1"/>
  <c r="D13" i="187"/>
  <c r="E13" i="187" s="1"/>
  <c r="G12" i="187"/>
  <c r="H12" i="187" s="1"/>
  <c r="D12" i="187"/>
  <c r="E12" i="187" s="1"/>
  <c r="G11" i="187"/>
  <c r="H11" i="187" s="1"/>
  <c r="D11" i="187"/>
  <c r="E11" i="187" s="1"/>
  <c r="G10" i="187"/>
  <c r="H10" i="187" s="1"/>
  <c r="D10" i="187"/>
  <c r="E10" i="187" s="1"/>
  <c r="G9" i="187"/>
  <c r="H9" i="187" s="1"/>
  <c r="D9" i="187"/>
  <c r="E9" i="187" s="1"/>
  <c r="G8" i="187"/>
  <c r="H8" i="187" s="1"/>
  <c r="D8" i="187"/>
  <c r="E8" i="187" s="1"/>
  <c r="G7" i="187"/>
  <c r="H7" i="187" s="1"/>
  <c r="D7" i="187"/>
  <c r="E7" i="187" s="1"/>
  <c r="G6" i="187"/>
  <c r="H6" i="187" s="1"/>
  <c r="D6" i="187"/>
  <c r="E6" i="187" s="1"/>
  <c r="G5" i="187"/>
  <c r="H5" i="187" s="1"/>
  <c r="D5" i="187"/>
  <c r="E5" i="187" s="1"/>
  <c r="F17" i="186"/>
  <c r="C17" i="186"/>
  <c r="B17" i="186"/>
  <c r="G16" i="186"/>
  <c r="H16" i="186" s="1"/>
  <c r="D16" i="186"/>
  <c r="G15" i="186"/>
  <c r="H15" i="186" s="1"/>
  <c r="D15" i="186"/>
  <c r="E15" i="186" s="1"/>
  <c r="G14" i="186"/>
  <c r="H14" i="186" s="1"/>
  <c r="D14" i="186"/>
  <c r="E14" i="186" s="1"/>
  <c r="G13" i="186"/>
  <c r="H13" i="186" s="1"/>
  <c r="D13" i="186"/>
  <c r="E13" i="186" s="1"/>
  <c r="G12" i="186"/>
  <c r="H12" i="186" s="1"/>
  <c r="D12" i="186"/>
  <c r="E12" i="186" s="1"/>
  <c r="G11" i="186"/>
  <c r="H11" i="186" s="1"/>
  <c r="D11" i="186"/>
  <c r="E11" i="186" s="1"/>
  <c r="G10" i="186"/>
  <c r="H10" i="186" s="1"/>
  <c r="D10" i="186"/>
  <c r="E10" i="186" s="1"/>
  <c r="G9" i="186"/>
  <c r="H9" i="186" s="1"/>
  <c r="D9" i="186"/>
  <c r="E9" i="186" s="1"/>
  <c r="G8" i="186"/>
  <c r="H8" i="186" s="1"/>
  <c r="D8" i="186"/>
  <c r="E8" i="186" s="1"/>
  <c r="G7" i="186"/>
  <c r="H7" i="186" s="1"/>
  <c r="D7" i="186"/>
  <c r="E7" i="186" s="1"/>
  <c r="G6" i="186"/>
  <c r="H6" i="186" s="1"/>
  <c r="D6" i="186"/>
  <c r="E6" i="186" s="1"/>
  <c r="G5" i="186"/>
  <c r="H5" i="186" s="1"/>
  <c r="D5" i="186"/>
  <c r="F17" i="185"/>
  <c r="C17" i="185"/>
  <c r="B17" i="185"/>
  <c r="G16" i="185"/>
  <c r="H16" i="185" s="1"/>
  <c r="D16" i="185"/>
  <c r="E16" i="185" s="1"/>
  <c r="G15" i="185"/>
  <c r="H15" i="185" s="1"/>
  <c r="D15" i="185"/>
  <c r="E15" i="185" s="1"/>
  <c r="G14" i="185"/>
  <c r="H14" i="185" s="1"/>
  <c r="D14" i="185"/>
  <c r="E14" i="185" s="1"/>
  <c r="G13" i="185"/>
  <c r="H13" i="185" s="1"/>
  <c r="D13" i="185"/>
  <c r="E13" i="185" s="1"/>
  <c r="G12" i="185"/>
  <c r="H12" i="185" s="1"/>
  <c r="D12" i="185"/>
  <c r="E12" i="185" s="1"/>
  <c r="G11" i="185"/>
  <c r="H11" i="185" s="1"/>
  <c r="D11" i="185"/>
  <c r="E11" i="185" s="1"/>
  <c r="G10" i="185"/>
  <c r="H10" i="185" s="1"/>
  <c r="D10" i="185"/>
  <c r="E10" i="185" s="1"/>
  <c r="G9" i="185"/>
  <c r="H9" i="185" s="1"/>
  <c r="D9" i="185"/>
  <c r="E9" i="185" s="1"/>
  <c r="G8" i="185"/>
  <c r="H8" i="185" s="1"/>
  <c r="D8" i="185"/>
  <c r="E8" i="185" s="1"/>
  <c r="G7" i="185"/>
  <c r="H7" i="185" s="1"/>
  <c r="D7" i="185"/>
  <c r="E7" i="185" s="1"/>
  <c r="G6" i="185"/>
  <c r="H6" i="185" s="1"/>
  <c r="D6" i="185"/>
  <c r="E6" i="185" s="1"/>
  <c r="G5" i="185"/>
  <c r="H5" i="185" s="1"/>
  <c r="D5" i="185"/>
  <c r="E5" i="185" s="1"/>
  <c r="F17" i="184"/>
  <c r="C17" i="184"/>
  <c r="B17" i="184"/>
  <c r="G16" i="184"/>
  <c r="H16" i="184" s="1"/>
  <c r="D16" i="184"/>
  <c r="E16" i="184" s="1"/>
  <c r="G15" i="184"/>
  <c r="H15" i="184" s="1"/>
  <c r="D15" i="184"/>
  <c r="E15" i="184" s="1"/>
  <c r="G14" i="184"/>
  <c r="H14" i="184" s="1"/>
  <c r="D14" i="184"/>
  <c r="E14" i="184" s="1"/>
  <c r="G13" i="184"/>
  <c r="H13" i="184" s="1"/>
  <c r="D13" i="184"/>
  <c r="E13" i="184" s="1"/>
  <c r="G12" i="184"/>
  <c r="H12" i="184" s="1"/>
  <c r="D12" i="184"/>
  <c r="E12" i="184" s="1"/>
  <c r="G11" i="184"/>
  <c r="H11" i="184" s="1"/>
  <c r="D11" i="184"/>
  <c r="E11" i="184" s="1"/>
  <c r="G10" i="184"/>
  <c r="H10" i="184" s="1"/>
  <c r="D10" i="184"/>
  <c r="E10" i="184" s="1"/>
  <c r="G9" i="184"/>
  <c r="H9" i="184" s="1"/>
  <c r="D9" i="184"/>
  <c r="E9" i="184" s="1"/>
  <c r="G8" i="184"/>
  <c r="H8" i="184" s="1"/>
  <c r="D8" i="184"/>
  <c r="E8" i="184" s="1"/>
  <c r="G7" i="184"/>
  <c r="H7" i="184" s="1"/>
  <c r="D7" i="184"/>
  <c r="E7" i="184" s="1"/>
  <c r="G6" i="184"/>
  <c r="H6" i="184" s="1"/>
  <c r="D6" i="184"/>
  <c r="E6" i="184" s="1"/>
  <c r="G5" i="184"/>
  <c r="H5" i="184" s="1"/>
  <c r="D5" i="184"/>
  <c r="E5" i="184" s="1"/>
  <c r="F17" i="183"/>
  <c r="C17" i="183"/>
  <c r="B17" i="183"/>
  <c r="G16" i="183"/>
  <c r="H16" i="183" s="1"/>
  <c r="D16" i="183"/>
  <c r="E16" i="183" s="1"/>
  <c r="G15" i="183"/>
  <c r="H15" i="183" s="1"/>
  <c r="D15" i="183"/>
  <c r="E15" i="183" s="1"/>
  <c r="G14" i="183"/>
  <c r="H14" i="183" s="1"/>
  <c r="D14" i="183"/>
  <c r="E14" i="183" s="1"/>
  <c r="G13" i="183"/>
  <c r="H13" i="183" s="1"/>
  <c r="D13" i="183"/>
  <c r="E13" i="183" s="1"/>
  <c r="G12" i="183"/>
  <c r="H12" i="183" s="1"/>
  <c r="D12" i="183"/>
  <c r="E12" i="183" s="1"/>
  <c r="G11" i="183"/>
  <c r="H11" i="183" s="1"/>
  <c r="D11" i="183"/>
  <c r="E11" i="183" s="1"/>
  <c r="G10" i="183"/>
  <c r="H10" i="183" s="1"/>
  <c r="D10" i="183"/>
  <c r="E10" i="183" s="1"/>
  <c r="G9" i="183"/>
  <c r="H9" i="183" s="1"/>
  <c r="D9" i="183"/>
  <c r="E9" i="183" s="1"/>
  <c r="G8" i="183"/>
  <c r="H8" i="183" s="1"/>
  <c r="D8" i="183"/>
  <c r="E8" i="183" s="1"/>
  <c r="G7" i="183"/>
  <c r="H7" i="183" s="1"/>
  <c r="D7" i="183"/>
  <c r="E7" i="183" s="1"/>
  <c r="G6" i="183"/>
  <c r="H6" i="183" s="1"/>
  <c r="D6" i="183"/>
  <c r="E6" i="183" s="1"/>
  <c r="G5" i="183"/>
  <c r="H5" i="183" s="1"/>
  <c r="D5" i="183"/>
  <c r="E5" i="183" s="1"/>
  <c r="F17" i="182"/>
  <c r="C17" i="182"/>
  <c r="B17" i="182"/>
  <c r="G16" i="182"/>
  <c r="H16" i="182" s="1"/>
  <c r="D16" i="182"/>
  <c r="E16" i="182" s="1"/>
  <c r="G15" i="182"/>
  <c r="H15" i="182" s="1"/>
  <c r="D15" i="182"/>
  <c r="E15" i="182" s="1"/>
  <c r="G14" i="182"/>
  <c r="H14" i="182" s="1"/>
  <c r="D14" i="182"/>
  <c r="E14" i="182" s="1"/>
  <c r="G13" i="182"/>
  <c r="H13" i="182" s="1"/>
  <c r="D13" i="182"/>
  <c r="E13" i="182" s="1"/>
  <c r="G12" i="182"/>
  <c r="H12" i="182" s="1"/>
  <c r="D12" i="182"/>
  <c r="E12" i="182" s="1"/>
  <c r="G11" i="182"/>
  <c r="H11" i="182" s="1"/>
  <c r="D11" i="182"/>
  <c r="E11" i="182" s="1"/>
  <c r="G10" i="182"/>
  <c r="H10" i="182" s="1"/>
  <c r="D10" i="182"/>
  <c r="E10" i="182" s="1"/>
  <c r="G9" i="182"/>
  <c r="H9" i="182" s="1"/>
  <c r="D9" i="182"/>
  <c r="E9" i="182" s="1"/>
  <c r="G8" i="182"/>
  <c r="H8" i="182" s="1"/>
  <c r="D8" i="182"/>
  <c r="E8" i="182" s="1"/>
  <c r="G7" i="182"/>
  <c r="H7" i="182" s="1"/>
  <c r="D7" i="182"/>
  <c r="E7" i="182" s="1"/>
  <c r="G6" i="182"/>
  <c r="H6" i="182" s="1"/>
  <c r="D6" i="182"/>
  <c r="E6" i="182" s="1"/>
  <c r="G5" i="182"/>
  <c r="H5" i="182" s="1"/>
  <c r="D5" i="182"/>
  <c r="E5" i="182" s="1"/>
  <c r="F17" i="178"/>
  <c r="C17" i="178"/>
  <c r="B17" i="178"/>
  <c r="G16" i="178"/>
  <c r="H16" i="178" s="1"/>
  <c r="D16" i="178"/>
  <c r="E16" i="178" s="1"/>
  <c r="G15" i="178"/>
  <c r="H15" i="178" s="1"/>
  <c r="D15" i="178"/>
  <c r="E15" i="178" s="1"/>
  <c r="G14" i="178"/>
  <c r="H14" i="178" s="1"/>
  <c r="D14" i="178"/>
  <c r="E14" i="178" s="1"/>
  <c r="G13" i="178"/>
  <c r="H13" i="178" s="1"/>
  <c r="D13" i="178"/>
  <c r="E13" i="178" s="1"/>
  <c r="G12" i="178"/>
  <c r="H12" i="178" s="1"/>
  <c r="D12" i="178"/>
  <c r="E12" i="178" s="1"/>
  <c r="G11" i="178"/>
  <c r="H11" i="178" s="1"/>
  <c r="D11" i="178"/>
  <c r="E11" i="178" s="1"/>
  <c r="G10" i="178"/>
  <c r="H10" i="178" s="1"/>
  <c r="D10" i="178"/>
  <c r="E10" i="178" s="1"/>
  <c r="G9" i="178"/>
  <c r="H9" i="178" s="1"/>
  <c r="D9" i="178"/>
  <c r="E9" i="178" s="1"/>
  <c r="G8" i="178"/>
  <c r="H8" i="178" s="1"/>
  <c r="D8" i="178"/>
  <c r="E8" i="178" s="1"/>
  <c r="G7" i="178"/>
  <c r="H7" i="178" s="1"/>
  <c r="D7" i="178"/>
  <c r="E7" i="178" s="1"/>
  <c r="G6" i="178"/>
  <c r="H6" i="178" s="1"/>
  <c r="D6" i="178"/>
  <c r="E6" i="178" s="1"/>
  <c r="G5" i="178"/>
  <c r="H5" i="178" s="1"/>
  <c r="D5" i="178"/>
  <c r="E5" i="178" s="1"/>
  <c r="F17" i="177"/>
  <c r="C17" i="177"/>
  <c r="B17" i="177"/>
  <c r="G16" i="177"/>
  <c r="H16" i="177" s="1"/>
  <c r="D16" i="177"/>
  <c r="G15" i="177"/>
  <c r="H15" i="177" s="1"/>
  <c r="D15" i="177"/>
  <c r="E15" i="177" s="1"/>
  <c r="G14" i="177"/>
  <c r="H14" i="177" s="1"/>
  <c r="D14" i="177"/>
  <c r="E14" i="177" s="1"/>
  <c r="G13" i="177"/>
  <c r="H13" i="177" s="1"/>
  <c r="D13" i="177"/>
  <c r="E13" i="177" s="1"/>
  <c r="G12" i="177"/>
  <c r="H12" i="177" s="1"/>
  <c r="D12" i="177"/>
  <c r="E12" i="177" s="1"/>
  <c r="G11" i="177"/>
  <c r="H11" i="177" s="1"/>
  <c r="D11" i="177"/>
  <c r="E11" i="177" s="1"/>
  <c r="G10" i="177"/>
  <c r="H10" i="177" s="1"/>
  <c r="D10" i="177"/>
  <c r="E10" i="177" s="1"/>
  <c r="G9" i="177"/>
  <c r="H9" i="177" s="1"/>
  <c r="D9" i="177"/>
  <c r="E9" i="177" s="1"/>
  <c r="G8" i="177"/>
  <c r="H8" i="177" s="1"/>
  <c r="D8" i="177"/>
  <c r="E8" i="177" s="1"/>
  <c r="G7" i="177"/>
  <c r="H7" i="177" s="1"/>
  <c r="D7" i="177"/>
  <c r="E7" i="177" s="1"/>
  <c r="G6" i="177"/>
  <c r="H6" i="177" s="1"/>
  <c r="D6" i="177"/>
  <c r="E6" i="177" s="1"/>
  <c r="G5" i="177"/>
  <c r="H5" i="177" s="1"/>
  <c r="D5" i="177"/>
  <c r="E5" i="177" s="1"/>
  <c r="F17" i="176"/>
  <c r="C17" i="176"/>
  <c r="B17" i="176"/>
  <c r="G16" i="176"/>
  <c r="H16" i="176" s="1"/>
  <c r="D16" i="176"/>
  <c r="G15" i="176"/>
  <c r="H15" i="176" s="1"/>
  <c r="D15" i="176"/>
  <c r="E15" i="176" s="1"/>
  <c r="G14" i="176"/>
  <c r="H14" i="176" s="1"/>
  <c r="D14" i="176"/>
  <c r="E14" i="176" s="1"/>
  <c r="G13" i="176"/>
  <c r="H13" i="176" s="1"/>
  <c r="D13" i="176"/>
  <c r="E13" i="176" s="1"/>
  <c r="G12" i="176"/>
  <c r="H12" i="176" s="1"/>
  <c r="D12" i="176"/>
  <c r="E12" i="176" s="1"/>
  <c r="G11" i="176"/>
  <c r="H11" i="176" s="1"/>
  <c r="D11" i="176"/>
  <c r="E11" i="176" s="1"/>
  <c r="G10" i="176"/>
  <c r="H10" i="176" s="1"/>
  <c r="D10" i="176"/>
  <c r="E10" i="176" s="1"/>
  <c r="G9" i="176"/>
  <c r="H9" i="176" s="1"/>
  <c r="D9" i="176"/>
  <c r="E9" i="176" s="1"/>
  <c r="G8" i="176"/>
  <c r="H8" i="176" s="1"/>
  <c r="D8" i="176"/>
  <c r="E8" i="176" s="1"/>
  <c r="G7" i="176"/>
  <c r="H7" i="176" s="1"/>
  <c r="D7" i="176"/>
  <c r="E7" i="176" s="1"/>
  <c r="G6" i="176"/>
  <c r="H6" i="176" s="1"/>
  <c r="D6" i="176"/>
  <c r="E6" i="176" s="1"/>
  <c r="G5" i="176"/>
  <c r="H5" i="176" s="1"/>
  <c r="D5" i="176"/>
  <c r="E5" i="176" s="1"/>
  <c r="F17" i="175"/>
  <c r="C17" i="175"/>
  <c r="B17" i="175"/>
  <c r="G16" i="175"/>
  <c r="H16" i="175" s="1"/>
  <c r="D16" i="175"/>
  <c r="G15" i="175"/>
  <c r="H15" i="175" s="1"/>
  <c r="D15" i="175"/>
  <c r="E15" i="175" s="1"/>
  <c r="G14" i="175"/>
  <c r="H14" i="175" s="1"/>
  <c r="D14" i="175"/>
  <c r="E14" i="175" s="1"/>
  <c r="G13" i="175"/>
  <c r="H13" i="175" s="1"/>
  <c r="D13" i="175"/>
  <c r="E13" i="175" s="1"/>
  <c r="G12" i="175"/>
  <c r="H12" i="175" s="1"/>
  <c r="D12" i="175"/>
  <c r="E12" i="175" s="1"/>
  <c r="G11" i="175"/>
  <c r="H11" i="175" s="1"/>
  <c r="D11" i="175"/>
  <c r="E11" i="175" s="1"/>
  <c r="G10" i="175"/>
  <c r="H10" i="175" s="1"/>
  <c r="D10" i="175"/>
  <c r="E10" i="175" s="1"/>
  <c r="G9" i="175"/>
  <c r="H9" i="175" s="1"/>
  <c r="D9" i="175"/>
  <c r="E9" i="175" s="1"/>
  <c r="G8" i="175"/>
  <c r="H8" i="175" s="1"/>
  <c r="D8" i="175"/>
  <c r="E8" i="175" s="1"/>
  <c r="G7" i="175"/>
  <c r="H7" i="175" s="1"/>
  <c r="D7" i="175"/>
  <c r="E7" i="175" s="1"/>
  <c r="G6" i="175"/>
  <c r="H6" i="175" s="1"/>
  <c r="D6" i="175"/>
  <c r="E6" i="175" s="1"/>
  <c r="G5" i="175"/>
  <c r="H5" i="175" s="1"/>
  <c r="D5" i="175"/>
  <c r="E5" i="175" s="1"/>
  <c r="F17" i="174"/>
  <c r="C17" i="174"/>
  <c r="B17" i="174"/>
  <c r="G16" i="174"/>
  <c r="H16" i="174" s="1"/>
  <c r="D16" i="174"/>
  <c r="G15" i="174"/>
  <c r="H15" i="174" s="1"/>
  <c r="D15" i="174"/>
  <c r="E15" i="174" s="1"/>
  <c r="G14" i="174"/>
  <c r="H14" i="174" s="1"/>
  <c r="D14" i="174"/>
  <c r="E14" i="174" s="1"/>
  <c r="G13" i="174"/>
  <c r="H13" i="174" s="1"/>
  <c r="D13" i="174"/>
  <c r="E13" i="174" s="1"/>
  <c r="G12" i="174"/>
  <c r="H12" i="174" s="1"/>
  <c r="D12" i="174"/>
  <c r="E12" i="174" s="1"/>
  <c r="G11" i="174"/>
  <c r="H11" i="174" s="1"/>
  <c r="D11" i="174"/>
  <c r="E11" i="174" s="1"/>
  <c r="G10" i="174"/>
  <c r="H10" i="174" s="1"/>
  <c r="D10" i="174"/>
  <c r="E10" i="174" s="1"/>
  <c r="G9" i="174"/>
  <c r="H9" i="174" s="1"/>
  <c r="D9" i="174"/>
  <c r="E9" i="174" s="1"/>
  <c r="G8" i="174"/>
  <c r="H8" i="174" s="1"/>
  <c r="D8" i="174"/>
  <c r="E8" i="174" s="1"/>
  <c r="G7" i="174"/>
  <c r="H7" i="174" s="1"/>
  <c r="D7" i="174"/>
  <c r="E7" i="174" s="1"/>
  <c r="G6" i="174"/>
  <c r="H6" i="174" s="1"/>
  <c r="D6" i="174"/>
  <c r="E6" i="174" s="1"/>
  <c r="G5" i="174"/>
  <c r="H5" i="174" s="1"/>
  <c r="D5" i="174"/>
  <c r="E5" i="174" s="1"/>
  <c r="F17" i="173"/>
  <c r="C17" i="173"/>
  <c r="B17" i="173"/>
  <c r="G16" i="173"/>
  <c r="H16" i="173" s="1"/>
  <c r="D16" i="173"/>
  <c r="G15" i="173"/>
  <c r="H15" i="173" s="1"/>
  <c r="D15" i="173"/>
  <c r="E15" i="173" s="1"/>
  <c r="G14" i="173"/>
  <c r="H14" i="173" s="1"/>
  <c r="D14" i="173"/>
  <c r="E14" i="173" s="1"/>
  <c r="G13" i="173"/>
  <c r="H13" i="173" s="1"/>
  <c r="D13" i="173"/>
  <c r="E13" i="173" s="1"/>
  <c r="G12" i="173"/>
  <c r="H12" i="173" s="1"/>
  <c r="D12" i="173"/>
  <c r="E12" i="173" s="1"/>
  <c r="G11" i="173"/>
  <c r="H11" i="173" s="1"/>
  <c r="D11" i="173"/>
  <c r="E11" i="173" s="1"/>
  <c r="G10" i="173"/>
  <c r="H10" i="173" s="1"/>
  <c r="D10" i="173"/>
  <c r="E10" i="173" s="1"/>
  <c r="G9" i="173"/>
  <c r="H9" i="173" s="1"/>
  <c r="D9" i="173"/>
  <c r="E9" i="173" s="1"/>
  <c r="G8" i="173"/>
  <c r="H8" i="173" s="1"/>
  <c r="D8" i="173"/>
  <c r="E8" i="173" s="1"/>
  <c r="G7" i="173"/>
  <c r="H7" i="173" s="1"/>
  <c r="D7" i="173"/>
  <c r="E7" i="173" s="1"/>
  <c r="G6" i="173"/>
  <c r="H6" i="173" s="1"/>
  <c r="D6" i="173"/>
  <c r="E6" i="173" s="1"/>
  <c r="G5" i="173"/>
  <c r="H5" i="173" s="1"/>
  <c r="D5" i="173"/>
  <c r="E5" i="173" s="1"/>
  <c r="F17" i="172"/>
  <c r="C17" i="172"/>
  <c r="B17" i="172"/>
  <c r="G16" i="172"/>
  <c r="H16" i="172" s="1"/>
  <c r="D16" i="172"/>
  <c r="E16" i="172" s="1"/>
  <c r="G15" i="172"/>
  <c r="H15" i="172" s="1"/>
  <c r="D15" i="172"/>
  <c r="E15" i="172" s="1"/>
  <c r="G14" i="172"/>
  <c r="H14" i="172" s="1"/>
  <c r="D14" i="172"/>
  <c r="E14" i="172" s="1"/>
  <c r="G13" i="172"/>
  <c r="H13" i="172" s="1"/>
  <c r="D13" i="172"/>
  <c r="E13" i="172" s="1"/>
  <c r="G12" i="172"/>
  <c r="H12" i="172" s="1"/>
  <c r="D12" i="172"/>
  <c r="E12" i="172" s="1"/>
  <c r="G11" i="172"/>
  <c r="H11" i="172" s="1"/>
  <c r="D11" i="172"/>
  <c r="E11" i="172" s="1"/>
  <c r="G10" i="172"/>
  <c r="H10" i="172" s="1"/>
  <c r="D10" i="172"/>
  <c r="E10" i="172" s="1"/>
  <c r="G9" i="172"/>
  <c r="H9" i="172" s="1"/>
  <c r="D9" i="172"/>
  <c r="E9" i="172" s="1"/>
  <c r="G8" i="172"/>
  <c r="H8" i="172" s="1"/>
  <c r="D8" i="172"/>
  <c r="E8" i="172" s="1"/>
  <c r="G7" i="172"/>
  <c r="H7" i="172" s="1"/>
  <c r="D7" i="172"/>
  <c r="E7" i="172" s="1"/>
  <c r="G6" i="172"/>
  <c r="H6" i="172" s="1"/>
  <c r="D6" i="172"/>
  <c r="E6" i="172" s="1"/>
  <c r="G5" i="172"/>
  <c r="H5" i="172" s="1"/>
  <c r="D5" i="172"/>
  <c r="E5" i="172" s="1"/>
  <c r="F17" i="171"/>
  <c r="C17" i="171"/>
  <c r="B17" i="171"/>
  <c r="G16" i="171"/>
  <c r="H16" i="171" s="1"/>
  <c r="D16" i="171"/>
  <c r="E16" i="171" s="1"/>
  <c r="G15" i="171"/>
  <c r="H15" i="171" s="1"/>
  <c r="D15" i="171"/>
  <c r="E15" i="171" s="1"/>
  <c r="G14" i="171"/>
  <c r="H14" i="171" s="1"/>
  <c r="D14" i="171"/>
  <c r="E14" i="171" s="1"/>
  <c r="G13" i="171"/>
  <c r="H13" i="171" s="1"/>
  <c r="D13" i="171"/>
  <c r="E13" i="171" s="1"/>
  <c r="G12" i="171"/>
  <c r="H12" i="171" s="1"/>
  <c r="D12" i="171"/>
  <c r="E12" i="171" s="1"/>
  <c r="G11" i="171"/>
  <c r="H11" i="171" s="1"/>
  <c r="D11" i="171"/>
  <c r="E11" i="171" s="1"/>
  <c r="G10" i="171"/>
  <c r="H10" i="171" s="1"/>
  <c r="D10" i="171"/>
  <c r="E10" i="171" s="1"/>
  <c r="G9" i="171"/>
  <c r="H9" i="171" s="1"/>
  <c r="D9" i="171"/>
  <c r="E9" i="171" s="1"/>
  <c r="G8" i="171"/>
  <c r="H8" i="171" s="1"/>
  <c r="D8" i="171"/>
  <c r="E8" i="171" s="1"/>
  <c r="G7" i="171"/>
  <c r="H7" i="171" s="1"/>
  <c r="D7" i="171"/>
  <c r="E7" i="171" s="1"/>
  <c r="G6" i="171"/>
  <c r="H6" i="171" s="1"/>
  <c r="D6" i="171"/>
  <c r="E6" i="171" s="1"/>
  <c r="G5" i="171"/>
  <c r="H5" i="171" s="1"/>
  <c r="D5" i="171"/>
  <c r="E5" i="171" s="1"/>
  <c r="F17" i="170"/>
  <c r="C17" i="170"/>
  <c r="B17" i="170"/>
  <c r="G16" i="170"/>
  <c r="H16" i="170" s="1"/>
  <c r="D16" i="170"/>
  <c r="E16" i="170" s="1"/>
  <c r="G15" i="170"/>
  <c r="H15" i="170" s="1"/>
  <c r="D15" i="170"/>
  <c r="E15" i="170" s="1"/>
  <c r="G14" i="170"/>
  <c r="H14" i="170" s="1"/>
  <c r="D14" i="170"/>
  <c r="E14" i="170" s="1"/>
  <c r="G13" i="170"/>
  <c r="H13" i="170" s="1"/>
  <c r="D13" i="170"/>
  <c r="E13" i="170" s="1"/>
  <c r="G12" i="170"/>
  <c r="H12" i="170" s="1"/>
  <c r="D12" i="170"/>
  <c r="E12" i="170" s="1"/>
  <c r="G11" i="170"/>
  <c r="H11" i="170" s="1"/>
  <c r="D11" i="170"/>
  <c r="E11" i="170" s="1"/>
  <c r="G10" i="170"/>
  <c r="H10" i="170" s="1"/>
  <c r="D10" i="170"/>
  <c r="E10" i="170" s="1"/>
  <c r="G9" i="170"/>
  <c r="H9" i="170" s="1"/>
  <c r="D9" i="170"/>
  <c r="E9" i="170" s="1"/>
  <c r="G8" i="170"/>
  <c r="H8" i="170" s="1"/>
  <c r="D8" i="170"/>
  <c r="E8" i="170" s="1"/>
  <c r="G7" i="170"/>
  <c r="H7" i="170" s="1"/>
  <c r="D7" i="170"/>
  <c r="E7" i="170" s="1"/>
  <c r="G6" i="170"/>
  <c r="H6" i="170" s="1"/>
  <c r="D6" i="170"/>
  <c r="E6" i="170" s="1"/>
  <c r="G5" i="170"/>
  <c r="H5" i="170" s="1"/>
  <c r="D5" i="170"/>
  <c r="E5" i="170" s="1"/>
  <c r="F17" i="169"/>
  <c r="C17" i="169"/>
  <c r="B17" i="169"/>
  <c r="G16" i="169"/>
  <c r="H16" i="169" s="1"/>
  <c r="D16" i="169"/>
  <c r="E16" i="169" s="1"/>
  <c r="G15" i="169"/>
  <c r="H15" i="169" s="1"/>
  <c r="D15" i="169"/>
  <c r="E15" i="169" s="1"/>
  <c r="G14" i="169"/>
  <c r="H14" i="169" s="1"/>
  <c r="D14" i="169"/>
  <c r="E14" i="169" s="1"/>
  <c r="G13" i="169"/>
  <c r="H13" i="169" s="1"/>
  <c r="D13" i="169"/>
  <c r="E13" i="169" s="1"/>
  <c r="G12" i="169"/>
  <c r="H12" i="169" s="1"/>
  <c r="D12" i="169"/>
  <c r="E12" i="169" s="1"/>
  <c r="G11" i="169"/>
  <c r="H11" i="169" s="1"/>
  <c r="D11" i="169"/>
  <c r="E11" i="169" s="1"/>
  <c r="G10" i="169"/>
  <c r="H10" i="169" s="1"/>
  <c r="D10" i="169"/>
  <c r="E10" i="169" s="1"/>
  <c r="G9" i="169"/>
  <c r="H9" i="169" s="1"/>
  <c r="D9" i="169"/>
  <c r="E9" i="169" s="1"/>
  <c r="G8" i="169"/>
  <c r="H8" i="169" s="1"/>
  <c r="D8" i="169"/>
  <c r="E8" i="169" s="1"/>
  <c r="G7" i="169"/>
  <c r="H7" i="169" s="1"/>
  <c r="D7" i="169"/>
  <c r="E7" i="169" s="1"/>
  <c r="G6" i="169"/>
  <c r="H6" i="169" s="1"/>
  <c r="D6" i="169"/>
  <c r="E6" i="169" s="1"/>
  <c r="G5" i="169"/>
  <c r="H5" i="169" s="1"/>
  <c r="D5" i="169"/>
  <c r="E5" i="169" s="1"/>
  <c r="F17" i="168"/>
  <c r="C17" i="168"/>
  <c r="B17" i="168"/>
  <c r="G16" i="168"/>
  <c r="H16" i="168" s="1"/>
  <c r="D16" i="168"/>
  <c r="G15" i="168"/>
  <c r="H15" i="168" s="1"/>
  <c r="D15" i="168"/>
  <c r="E15" i="168" s="1"/>
  <c r="G14" i="168"/>
  <c r="H14" i="168" s="1"/>
  <c r="D14" i="168"/>
  <c r="E14" i="168" s="1"/>
  <c r="G13" i="168"/>
  <c r="H13" i="168" s="1"/>
  <c r="D13" i="168"/>
  <c r="E13" i="168" s="1"/>
  <c r="G12" i="168"/>
  <c r="H12" i="168" s="1"/>
  <c r="D12" i="168"/>
  <c r="E12" i="168" s="1"/>
  <c r="G11" i="168"/>
  <c r="H11" i="168" s="1"/>
  <c r="D11" i="168"/>
  <c r="E11" i="168" s="1"/>
  <c r="G10" i="168"/>
  <c r="H10" i="168" s="1"/>
  <c r="D10" i="168"/>
  <c r="E10" i="168" s="1"/>
  <c r="G9" i="168"/>
  <c r="H9" i="168" s="1"/>
  <c r="D9" i="168"/>
  <c r="E9" i="168" s="1"/>
  <c r="G8" i="168"/>
  <c r="H8" i="168" s="1"/>
  <c r="D8" i="168"/>
  <c r="E8" i="168" s="1"/>
  <c r="G7" i="168"/>
  <c r="H7" i="168" s="1"/>
  <c r="D7" i="168"/>
  <c r="E7" i="168" s="1"/>
  <c r="G6" i="168"/>
  <c r="H6" i="168" s="1"/>
  <c r="D6" i="168"/>
  <c r="E6" i="168" s="1"/>
  <c r="G5" i="168"/>
  <c r="H5" i="168" s="1"/>
  <c r="D5" i="168"/>
  <c r="E5" i="168" s="1"/>
  <c r="F17" i="167"/>
  <c r="C17" i="167"/>
  <c r="B17" i="167"/>
  <c r="G16" i="167"/>
  <c r="H16" i="167" s="1"/>
  <c r="D16" i="167"/>
  <c r="H15" i="167"/>
  <c r="D15" i="167"/>
  <c r="G14" i="167"/>
  <c r="H14" i="167" s="1"/>
  <c r="D14" i="167"/>
  <c r="E14" i="167" s="1"/>
  <c r="G13" i="167"/>
  <c r="H13" i="167" s="1"/>
  <c r="D13" i="167"/>
  <c r="E13" i="167" s="1"/>
  <c r="G12" i="167"/>
  <c r="H12" i="167" s="1"/>
  <c r="D12" i="167"/>
  <c r="E12" i="167" s="1"/>
  <c r="G11" i="167"/>
  <c r="H11" i="167" s="1"/>
  <c r="D11" i="167"/>
  <c r="E11" i="167" s="1"/>
  <c r="G10" i="167"/>
  <c r="H10" i="167" s="1"/>
  <c r="D10" i="167"/>
  <c r="E10" i="167" s="1"/>
  <c r="G9" i="167"/>
  <c r="H9" i="167" s="1"/>
  <c r="D9" i="167"/>
  <c r="E9" i="167" s="1"/>
  <c r="G8" i="167"/>
  <c r="H8" i="167" s="1"/>
  <c r="D8" i="167"/>
  <c r="E8" i="167" s="1"/>
  <c r="G7" i="167"/>
  <c r="H7" i="167" s="1"/>
  <c r="D7" i="167"/>
  <c r="E7" i="167" s="1"/>
  <c r="G6" i="167"/>
  <c r="H6" i="167" s="1"/>
  <c r="D6" i="167"/>
  <c r="E6" i="167" s="1"/>
  <c r="G5" i="167"/>
  <c r="H5" i="167" s="1"/>
  <c r="D5" i="167"/>
  <c r="E5" i="167" s="1"/>
  <c r="F17" i="166"/>
  <c r="C17" i="166"/>
  <c r="B17" i="166"/>
  <c r="G16" i="166"/>
  <c r="H16" i="166" s="1"/>
  <c r="D16" i="166"/>
  <c r="G15" i="166"/>
  <c r="H15" i="166" s="1"/>
  <c r="D15" i="166"/>
  <c r="G14" i="166"/>
  <c r="H14" i="166" s="1"/>
  <c r="D14" i="166"/>
  <c r="E14" i="166" s="1"/>
  <c r="G13" i="166"/>
  <c r="H13" i="166" s="1"/>
  <c r="D13" i="166"/>
  <c r="E13" i="166" s="1"/>
  <c r="G12" i="166"/>
  <c r="H12" i="166" s="1"/>
  <c r="D12" i="166"/>
  <c r="E12" i="166" s="1"/>
  <c r="G11" i="166"/>
  <c r="H11" i="166" s="1"/>
  <c r="D11" i="166"/>
  <c r="E11" i="166" s="1"/>
  <c r="G10" i="166"/>
  <c r="H10" i="166" s="1"/>
  <c r="D10" i="166"/>
  <c r="E10" i="166" s="1"/>
  <c r="G9" i="166"/>
  <c r="H9" i="166" s="1"/>
  <c r="D9" i="166"/>
  <c r="E9" i="166" s="1"/>
  <c r="G8" i="166"/>
  <c r="H8" i="166" s="1"/>
  <c r="D8" i="166"/>
  <c r="E8" i="166" s="1"/>
  <c r="G7" i="166"/>
  <c r="H7" i="166" s="1"/>
  <c r="D7" i="166"/>
  <c r="E7" i="166" s="1"/>
  <c r="G6" i="166"/>
  <c r="H6" i="166" s="1"/>
  <c r="D6" i="166"/>
  <c r="E6" i="166" s="1"/>
  <c r="G5" i="166"/>
  <c r="H5" i="166" s="1"/>
  <c r="D5" i="166"/>
  <c r="E5" i="166" s="1"/>
  <c r="F17" i="165"/>
  <c r="C17" i="165"/>
  <c r="B17" i="165"/>
  <c r="G16" i="165"/>
  <c r="H16" i="165" s="1"/>
  <c r="D16" i="165"/>
  <c r="G15" i="165"/>
  <c r="H15" i="165" s="1"/>
  <c r="D15" i="165"/>
  <c r="G14" i="165"/>
  <c r="H14" i="165" s="1"/>
  <c r="D14" i="165"/>
  <c r="E14" i="165" s="1"/>
  <c r="G13" i="165"/>
  <c r="H13" i="165" s="1"/>
  <c r="D13" i="165"/>
  <c r="E13" i="165" s="1"/>
  <c r="G12" i="165"/>
  <c r="H12" i="165" s="1"/>
  <c r="D12" i="165"/>
  <c r="E12" i="165" s="1"/>
  <c r="G11" i="165"/>
  <c r="H11" i="165" s="1"/>
  <c r="D11" i="165"/>
  <c r="E11" i="165" s="1"/>
  <c r="G10" i="165"/>
  <c r="H10" i="165" s="1"/>
  <c r="D10" i="165"/>
  <c r="E10" i="165" s="1"/>
  <c r="G9" i="165"/>
  <c r="H9" i="165" s="1"/>
  <c r="D9" i="165"/>
  <c r="E9" i="165" s="1"/>
  <c r="G8" i="165"/>
  <c r="H8" i="165" s="1"/>
  <c r="D8" i="165"/>
  <c r="E8" i="165" s="1"/>
  <c r="G7" i="165"/>
  <c r="H7" i="165" s="1"/>
  <c r="D7" i="165"/>
  <c r="E7" i="165" s="1"/>
  <c r="G6" i="165"/>
  <c r="H6" i="165" s="1"/>
  <c r="D6" i="165"/>
  <c r="E6" i="165" s="1"/>
  <c r="G5" i="165"/>
  <c r="H5" i="165" s="1"/>
  <c r="D5" i="165"/>
  <c r="E5" i="165" s="1"/>
  <c r="F17" i="164"/>
  <c r="C17" i="164"/>
  <c r="B17" i="164"/>
  <c r="G16" i="164"/>
  <c r="H16" i="164" s="1"/>
  <c r="D16" i="164"/>
  <c r="G15" i="164"/>
  <c r="H15" i="164" s="1"/>
  <c r="D15" i="164"/>
  <c r="G14" i="164"/>
  <c r="H14" i="164" s="1"/>
  <c r="D14" i="164"/>
  <c r="E14" i="164" s="1"/>
  <c r="G13" i="164"/>
  <c r="H13" i="164" s="1"/>
  <c r="D13" i="164"/>
  <c r="E13" i="164" s="1"/>
  <c r="G12" i="164"/>
  <c r="H12" i="164" s="1"/>
  <c r="D12" i="164"/>
  <c r="E12" i="164" s="1"/>
  <c r="G11" i="164"/>
  <c r="H11" i="164" s="1"/>
  <c r="D11" i="164"/>
  <c r="E11" i="164" s="1"/>
  <c r="G10" i="164"/>
  <c r="H10" i="164" s="1"/>
  <c r="D10" i="164"/>
  <c r="E10" i="164" s="1"/>
  <c r="G9" i="164"/>
  <c r="H9" i="164" s="1"/>
  <c r="D9" i="164"/>
  <c r="E9" i="164" s="1"/>
  <c r="G8" i="164"/>
  <c r="H8" i="164" s="1"/>
  <c r="D8" i="164"/>
  <c r="E8" i="164" s="1"/>
  <c r="G7" i="164"/>
  <c r="H7" i="164" s="1"/>
  <c r="D7" i="164"/>
  <c r="E7" i="164" s="1"/>
  <c r="G6" i="164"/>
  <c r="H6" i="164" s="1"/>
  <c r="D6" i="164"/>
  <c r="E6" i="164" s="1"/>
  <c r="G5" i="164"/>
  <c r="H5" i="164" s="1"/>
  <c r="D5" i="164"/>
  <c r="E5" i="164" s="1"/>
  <c r="F17" i="163"/>
  <c r="C17" i="163"/>
  <c r="B17" i="163"/>
  <c r="G16" i="163"/>
  <c r="H16" i="163" s="1"/>
  <c r="D16" i="163"/>
  <c r="G15" i="163"/>
  <c r="H15" i="163" s="1"/>
  <c r="D15" i="163"/>
  <c r="E15" i="163" s="1"/>
  <c r="G14" i="163"/>
  <c r="H14" i="163" s="1"/>
  <c r="D14" i="163"/>
  <c r="E14" i="163" s="1"/>
  <c r="G13" i="163"/>
  <c r="H13" i="163" s="1"/>
  <c r="D13" i="163"/>
  <c r="E13" i="163" s="1"/>
  <c r="G12" i="163"/>
  <c r="H12" i="163" s="1"/>
  <c r="D12" i="163"/>
  <c r="E12" i="163" s="1"/>
  <c r="G11" i="163"/>
  <c r="H11" i="163" s="1"/>
  <c r="D11" i="163"/>
  <c r="E11" i="163" s="1"/>
  <c r="G10" i="163"/>
  <c r="H10" i="163" s="1"/>
  <c r="D10" i="163"/>
  <c r="E10" i="163" s="1"/>
  <c r="G9" i="163"/>
  <c r="H9" i="163" s="1"/>
  <c r="D9" i="163"/>
  <c r="E9" i="163" s="1"/>
  <c r="G8" i="163"/>
  <c r="H8" i="163" s="1"/>
  <c r="D8" i="163"/>
  <c r="E8" i="163" s="1"/>
  <c r="G7" i="163"/>
  <c r="H7" i="163" s="1"/>
  <c r="D7" i="163"/>
  <c r="E7" i="163" s="1"/>
  <c r="G6" i="163"/>
  <c r="H6" i="163" s="1"/>
  <c r="D6" i="163"/>
  <c r="E6" i="163" s="1"/>
  <c r="G5" i="163"/>
  <c r="H5" i="163" s="1"/>
  <c r="D5" i="163"/>
  <c r="E5" i="163" s="1"/>
  <c r="F17" i="162"/>
  <c r="C17" i="162"/>
  <c r="B17" i="162"/>
  <c r="G16" i="162"/>
  <c r="H16" i="162" s="1"/>
  <c r="D16" i="162"/>
  <c r="G15" i="162"/>
  <c r="H15" i="162" s="1"/>
  <c r="D15" i="162"/>
  <c r="E15" i="162" s="1"/>
  <c r="G14" i="162"/>
  <c r="H14" i="162" s="1"/>
  <c r="D14" i="162"/>
  <c r="E14" i="162" s="1"/>
  <c r="G13" i="162"/>
  <c r="H13" i="162" s="1"/>
  <c r="D13" i="162"/>
  <c r="E13" i="162" s="1"/>
  <c r="G12" i="162"/>
  <c r="H12" i="162" s="1"/>
  <c r="D12" i="162"/>
  <c r="E12" i="162" s="1"/>
  <c r="G11" i="162"/>
  <c r="H11" i="162" s="1"/>
  <c r="D11" i="162"/>
  <c r="E11" i="162" s="1"/>
  <c r="G10" i="162"/>
  <c r="H10" i="162" s="1"/>
  <c r="D10" i="162"/>
  <c r="E10" i="162" s="1"/>
  <c r="G9" i="162"/>
  <c r="H9" i="162" s="1"/>
  <c r="D9" i="162"/>
  <c r="E9" i="162" s="1"/>
  <c r="G8" i="162"/>
  <c r="H8" i="162" s="1"/>
  <c r="D8" i="162"/>
  <c r="E8" i="162" s="1"/>
  <c r="G7" i="162"/>
  <c r="H7" i="162" s="1"/>
  <c r="D7" i="162"/>
  <c r="E7" i="162" s="1"/>
  <c r="G6" i="162"/>
  <c r="H6" i="162" s="1"/>
  <c r="D6" i="162"/>
  <c r="E6" i="162" s="1"/>
  <c r="G5" i="162"/>
  <c r="H5" i="162" s="1"/>
  <c r="D5" i="162"/>
  <c r="E5" i="162" s="1"/>
  <c r="F17" i="161"/>
  <c r="C17" i="161"/>
  <c r="B17" i="161"/>
  <c r="G16" i="161"/>
  <c r="H16" i="161" s="1"/>
  <c r="D16" i="161"/>
  <c r="E16" i="161" s="1"/>
  <c r="G15" i="161"/>
  <c r="H15" i="161" s="1"/>
  <c r="D15" i="161"/>
  <c r="E15" i="161" s="1"/>
  <c r="G14" i="161"/>
  <c r="H14" i="161" s="1"/>
  <c r="D14" i="161"/>
  <c r="E14" i="161" s="1"/>
  <c r="G13" i="161"/>
  <c r="H13" i="161" s="1"/>
  <c r="D13" i="161"/>
  <c r="E13" i="161" s="1"/>
  <c r="G12" i="161"/>
  <c r="H12" i="161" s="1"/>
  <c r="D12" i="161"/>
  <c r="E12" i="161" s="1"/>
  <c r="G11" i="161"/>
  <c r="H11" i="161" s="1"/>
  <c r="D11" i="161"/>
  <c r="E11" i="161" s="1"/>
  <c r="G10" i="161"/>
  <c r="H10" i="161" s="1"/>
  <c r="D10" i="161"/>
  <c r="E10" i="161" s="1"/>
  <c r="G9" i="161"/>
  <c r="H9" i="161" s="1"/>
  <c r="D9" i="161"/>
  <c r="E9" i="161" s="1"/>
  <c r="G8" i="161"/>
  <c r="H8" i="161" s="1"/>
  <c r="D8" i="161"/>
  <c r="E8" i="161" s="1"/>
  <c r="G7" i="161"/>
  <c r="H7" i="161" s="1"/>
  <c r="D7" i="161"/>
  <c r="E7" i="161" s="1"/>
  <c r="G6" i="161"/>
  <c r="H6" i="161" s="1"/>
  <c r="D6" i="161"/>
  <c r="E6" i="161" s="1"/>
  <c r="G5" i="161"/>
  <c r="H5" i="161" s="1"/>
  <c r="D5" i="161"/>
  <c r="E5" i="161" s="1"/>
  <c r="F17" i="160"/>
  <c r="C17" i="160"/>
  <c r="B17" i="160"/>
  <c r="G16" i="160"/>
  <c r="H16" i="160" s="1"/>
  <c r="D16" i="160"/>
  <c r="G15" i="160"/>
  <c r="H15" i="160" s="1"/>
  <c r="D15" i="160"/>
  <c r="E15" i="160" s="1"/>
  <c r="G14" i="160"/>
  <c r="H14" i="160" s="1"/>
  <c r="D14" i="160"/>
  <c r="E14" i="160" s="1"/>
  <c r="G13" i="160"/>
  <c r="H13" i="160" s="1"/>
  <c r="D13" i="160"/>
  <c r="E13" i="160" s="1"/>
  <c r="G12" i="160"/>
  <c r="H12" i="160" s="1"/>
  <c r="D12" i="160"/>
  <c r="E12" i="160" s="1"/>
  <c r="G11" i="160"/>
  <c r="H11" i="160" s="1"/>
  <c r="D11" i="160"/>
  <c r="E11" i="160" s="1"/>
  <c r="G10" i="160"/>
  <c r="H10" i="160" s="1"/>
  <c r="D10" i="160"/>
  <c r="E10" i="160" s="1"/>
  <c r="G9" i="160"/>
  <c r="H9" i="160" s="1"/>
  <c r="D9" i="160"/>
  <c r="E9" i="160" s="1"/>
  <c r="G8" i="160"/>
  <c r="H8" i="160" s="1"/>
  <c r="D8" i="160"/>
  <c r="E8" i="160" s="1"/>
  <c r="G7" i="160"/>
  <c r="H7" i="160" s="1"/>
  <c r="D7" i="160"/>
  <c r="E7" i="160" s="1"/>
  <c r="G6" i="160"/>
  <c r="H6" i="160" s="1"/>
  <c r="D6" i="160"/>
  <c r="E6" i="160" s="1"/>
  <c r="G5" i="160"/>
  <c r="H5" i="160" s="1"/>
  <c r="D5" i="160"/>
  <c r="E5" i="160" s="1"/>
  <c r="F17" i="159"/>
  <c r="C17" i="159"/>
  <c r="B17" i="159"/>
  <c r="G16" i="159"/>
  <c r="H16" i="159" s="1"/>
  <c r="D16" i="159"/>
  <c r="G15" i="159"/>
  <c r="H15" i="159" s="1"/>
  <c r="D15" i="159"/>
  <c r="E15" i="159" s="1"/>
  <c r="G14" i="159"/>
  <c r="H14" i="159" s="1"/>
  <c r="D14" i="159"/>
  <c r="E14" i="159" s="1"/>
  <c r="G13" i="159"/>
  <c r="H13" i="159" s="1"/>
  <c r="D13" i="159"/>
  <c r="E13" i="159" s="1"/>
  <c r="G12" i="159"/>
  <c r="H12" i="159" s="1"/>
  <c r="D12" i="159"/>
  <c r="E12" i="159" s="1"/>
  <c r="G11" i="159"/>
  <c r="H11" i="159" s="1"/>
  <c r="D11" i="159"/>
  <c r="E11" i="159" s="1"/>
  <c r="G10" i="159"/>
  <c r="H10" i="159" s="1"/>
  <c r="D10" i="159"/>
  <c r="E10" i="159" s="1"/>
  <c r="G9" i="159"/>
  <c r="H9" i="159" s="1"/>
  <c r="D9" i="159"/>
  <c r="E9" i="159" s="1"/>
  <c r="G8" i="159"/>
  <c r="H8" i="159" s="1"/>
  <c r="D8" i="159"/>
  <c r="E8" i="159" s="1"/>
  <c r="G7" i="159"/>
  <c r="H7" i="159" s="1"/>
  <c r="D7" i="159"/>
  <c r="E7" i="159" s="1"/>
  <c r="G6" i="159"/>
  <c r="H6" i="159" s="1"/>
  <c r="D6" i="159"/>
  <c r="E6" i="159" s="1"/>
  <c r="G5" i="159"/>
  <c r="H5" i="159" s="1"/>
  <c r="D5" i="159"/>
  <c r="E5" i="159" s="1"/>
  <c r="F17" i="158"/>
  <c r="C17" i="158"/>
  <c r="B17" i="158"/>
  <c r="G16" i="158"/>
  <c r="H16" i="158" s="1"/>
  <c r="D16" i="158"/>
  <c r="G15" i="158"/>
  <c r="H15" i="158" s="1"/>
  <c r="D15" i="158"/>
  <c r="E15" i="158" s="1"/>
  <c r="G14" i="158"/>
  <c r="H14" i="158" s="1"/>
  <c r="D14" i="158"/>
  <c r="E14" i="158" s="1"/>
  <c r="G13" i="158"/>
  <c r="H13" i="158" s="1"/>
  <c r="D13" i="158"/>
  <c r="E13" i="158" s="1"/>
  <c r="G12" i="158"/>
  <c r="H12" i="158" s="1"/>
  <c r="D12" i="158"/>
  <c r="E12" i="158" s="1"/>
  <c r="G11" i="158"/>
  <c r="H11" i="158" s="1"/>
  <c r="D11" i="158"/>
  <c r="E11" i="158" s="1"/>
  <c r="G10" i="158"/>
  <c r="H10" i="158" s="1"/>
  <c r="D10" i="158"/>
  <c r="E10" i="158" s="1"/>
  <c r="G9" i="158"/>
  <c r="H9" i="158" s="1"/>
  <c r="D9" i="158"/>
  <c r="E9" i="158" s="1"/>
  <c r="G8" i="158"/>
  <c r="H8" i="158" s="1"/>
  <c r="D8" i="158"/>
  <c r="E8" i="158" s="1"/>
  <c r="G7" i="158"/>
  <c r="H7" i="158" s="1"/>
  <c r="D7" i="158"/>
  <c r="E7" i="158" s="1"/>
  <c r="G6" i="158"/>
  <c r="H6" i="158" s="1"/>
  <c r="D6" i="158"/>
  <c r="E6" i="158" s="1"/>
  <c r="G5" i="158"/>
  <c r="H5" i="158" s="1"/>
  <c r="D5" i="158"/>
  <c r="E5" i="158" s="1"/>
  <c r="F17" i="157"/>
  <c r="C17" i="157"/>
  <c r="B17" i="157"/>
  <c r="G16" i="157"/>
  <c r="H16" i="157" s="1"/>
  <c r="D16" i="157"/>
  <c r="G15" i="157"/>
  <c r="H15" i="157" s="1"/>
  <c r="D15" i="157"/>
  <c r="E15" i="157" s="1"/>
  <c r="G14" i="157"/>
  <c r="H14" i="157" s="1"/>
  <c r="D14" i="157"/>
  <c r="E14" i="157" s="1"/>
  <c r="G13" i="157"/>
  <c r="H13" i="157" s="1"/>
  <c r="D13" i="157"/>
  <c r="E13" i="157" s="1"/>
  <c r="G12" i="157"/>
  <c r="H12" i="157" s="1"/>
  <c r="D12" i="157"/>
  <c r="E12" i="157" s="1"/>
  <c r="G11" i="157"/>
  <c r="H11" i="157" s="1"/>
  <c r="D11" i="157"/>
  <c r="E11" i="157" s="1"/>
  <c r="G10" i="157"/>
  <c r="H10" i="157" s="1"/>
  <c r="D10" i="157"/>
  <c r="E10" i="157" s="1"/>
  <c r="G9" i="157"/>
  <c r="H9" i="157" s="1"/>
  <c r="D9" i="157"/>
  <c r="E9" i="157" s="1"/>
  <c r="G8" i="157"/>
  <c r="H8" i="157" s="1"/>
  <c r="D8" i="157"/>
  <c r="E8" i="157" s="1"/>
  <c r="G7" i="157"/>
  <c r="H7" i="157" s="1"/>
  <c r="D7" i="157"/>
  <c r="E7" i="157" s="1"/>
  <c r="G6" i="157"/>
  <c r="H6" i="157" s="1"/>
  <c r="D6" i="157"/>
  <c r="E6" i="157" s="1"/>
  <c r="G5" i="157"/>
  <c r="H5" i="157" s="1"/>
  <c r="D5" i="157"/>
  <c r="E5" i="157" s="1"/>
  <c r="F17" i="156"/>
  <c r="C17" i="156"/>
  <c r="B17" i="156"/>
  <c r="G16" i="156"/>
  <c r="H16" i="156" s="1"/>
  <c r="D16" i="156"/>
  <c r="G15" i="156"/>
  <c r="H15" i="156" s="1"/>
  <c r="D15" i="156"/>
  <c r="E15" i="156" s="1"/>
  <c r="G14" i="156"/>
  <c r="H14" i="156" s="1"/>
  <c r="D14" i="156"/>
  <c r="E14" i="156" s="1"/>
  <c r="G13" i="156"/>
  <c r="H13" i="156" s="1"/>
  <c r="D13" i="156"/>
  <c r="E13" i="156" s="1"/>
  <c r="G12" i="156"/>
  <c r="H12" i="156" s="1"/>
  <c r="D12" i="156"/>
  <c r="E12" i="156" s="1"/>
  <c r="G11" i="156"/>
  <c r="H11" i="156" s="1"/>
  <c r="D11" i="156"/>
  <c r="E11" i="156" s="1"/>
  <c r="G10" i="156"/>
  <c r="H10" i="156" s="1"/>
  <c r="D10" i="156"/>
  <c r="E10" i="156" s="1"/>
  <c r="G9" i="156"/>
  <c r="H9" i="156" s="1"/>
  <c r="D9" i="156"/>
  <c r="E9" i="156" s="1"/>
  <c r="G8" i="156"/>
  <c r="H8" i="156" s="1"/>
  <c r="D8" i="156"/>
  <c r="E8" i="156" s="1"/>
  <c r="G7" i="156"/>
  <c r="H7" i="156" s="1"/>
  <c r="D7" i="156"/>
  <c r="E7" i="156" s="1"/>
  <c r="G6" i="156"/>
  <c r="H6" i="156" s="1"/>
  <c r="D6" i="156"/>
  <c r="E6" i="156" s="1"/>
  <c r="G5" i="156"/>
  <c r="H5" i="156" s="1"/>
  <c r="D5" i="156"/>
  <c r="E5" i="156" s="1"/>
  <c r="F17" i="155"/>
  <c r="C17" i="155"/>
  <c r="B17" i="155"/>
  <c r="G16" i="155"/>
  <c r="H16" i="155" s="1"/>
  <c r="D16" i="155"/>
  <c r="E16" i="155" s="1"/>
  <c r="G15" i="155"/>
  <c r="H15" i="155" s="1"/>
  <c r="D15" i="155"/>
  <c r="G14" i="155"/>
  <c r="H14" i="155" s="1"/>
  <c r="D14" i="155"/>
  <c r="E14" i="155" s="1"/>
  <c r="G13" i="155"/>
  <c r="H13" i="155" s="1"/>
  <c r="D13" i="155"/>
  <c r="E13" i="155" s="1"/>
  <c r="G12" i="155"/>
  <c r="H12" i="155" s="1"/>
  <c r="D12" i="155"/>
  <c r="E12" i="155" s="1"/>
  <c r="G11" i="155"/>
  <c r="H11" i="155" s="1"/>
  <c r="D11" i="155"/>
  <c r="E11" i="155" s="1"/>
  <c r="G10" i="155"/>
  <c r="H10" i="155" s="1"/>
  <c r="D10" i="155"/>
  <c r="E10" i="155" s="1"/>
  <c r="G9" i="155"/>
  <c r="H9" i="155" s="1"/>
  <c r="D9" i="155"/>
  <c r="E9" i="155" s="1"/>
  <c r="G8" i="155"/>
  <c r="H8" i="155" s="1"/>
  <c r="D8" i="155"/>
  <c r="E8" i="155" s="1"/>
  <c r="G7" i="155"/>
  <c r="H7" i="155" s="1"/>
  <c r="D7" i="155"/>
  <c r="E7" i="155" s="1"/>
  <c r="G6" i="155"/>
  <c r="H6" i="155" s="1"/>
  <c r="D6" i="155"/>
  <c r="E6" i="155" s="1"/>
  <c r="G5" i="155"/>
  <c r="H5" i="155" s="1"/>
  <c r="D5" i="155"/>
  <c r="E5" i="155" s="1"/>
  <c r="F17" i="154"/>
  <c r="C17" i="154"/>
  <c r="B17" i="154"/>
  <c r="G16" i="154"/>
  <c r="H16" i="154" s="1"/>
  <c r="D16" i="154"/>
  <c r="E16" i="154" s="1"/>
  <c r="G15" i="154"/>
  <c r="H15" i="154" s="1"/>
  <c r="D15" i="154"/>
  <c r="G14" i="154"/>
  <c r="H14" i="154" s="1"/>
  <c r="D14" i="154"/>
  <c r="E14" i="154" s="1"/>
  <c r="G13" i="154"/>
  <c r="H13" i="154" s="1"/>
  <c r="D13" i="154"/>
  <c r="E13" i="154" s="1"/>
  <c r="G12" i="154"/>
  <c r="H12" i="154" s="1"/>
  <c r="D12" i="154"/>
  <c r="E12" i="154" s="1"/>
  <c r="G11" i="154"/>
  <c r="H11" i="154" s="1"/>
  <c r="D11" i="154"/>
  <c r="E11" i="154" s="1"/>
  <c r="G10" i="154"/>
  <c r="H10" i="154" s="1"/>
  <c r="D10" i="154"/>
  <c r="E10" i="154" s="1"/>
  <c r="G9" i="154"/>
  <c r="H9" i="154" s="1"/>
  <c r="D9" i="154"/>
  <c r="E9" i="154" s="1"/>
  <c r="G8" i="154"/>
  <c r="H8" i="154" s="1"/>
  <c r="D8" i="154"/>
  <c r="E8" i="154" s="1"/>
  <c r="G7" i="154"/>
  <c r="H7" i="154" s="1"/>
  <c r="D7" i="154"/>
  <c r="E7" i="154" s="1"/>
  <c r="G6" i="154"/>
  <c r="H6" i="154" s="1"/>
  <c r="D6" i="154"/>
  <c r="E6" i="154" s="1"/>
  <c r="G5" i="154"/>
  <c r="H5" i="154" s="1"/>
  <c r="D5" i="154"/>
  <c r="E5" i="154" s="1"/>
  <c r="F17" i="153"/>
  <c r="C17" i="153"/>
  <c r="B17" i="153"/>
  <c r="G16" i="153"/>
  <c r="H16" i="153" s="1"/>
  <c r="D16" i="153"/>
  <c r="E16" i="153" s="1"/>
  <c r="G15" i="153"/>
  <c r="H15" i="153" s="1"/>
  <c r="D15" i="153"/>
  <c r="G14" i="153"/>
  <c r="H14" i="153" s="1"/>
  <c r="D14" i="153"/>
  <c r="E14" i="153" s="1"/>
  <c r="G13" i="153"/>
  <c r="H13" i="153" s="1"/>
  <c r="D13" i="153"/>
  <c r="E13" i="153" s="1"/>
  <c r="G12" i="153"/>
  <c r="H12" i="153" s="1"/>
  <c r="D12" i="153"/>
  <c r="E12" i="153" s="1"/>
  <c r="G11" i="153"/>
  <c r="H11" i="153" s="1"/>
  <c r="D11" i="153"/>
  <c r="E11" i="153" s="1"/>
  <c r="G10" i="153"/>
  <c r="H10" i="153" s="1"/>
  <c r="D10" i="153"/>
  <c r="E10" i="153" s="1"/>
  <c r="G9" i="153"/>
  <c r="H9" i="153" s="1"/>
  <c r="D9" i="153"/>
  <c r="E9" i="153" s="1"/>
  <c r="G8" i="153"/>
  <c r="H8" i="153" s="1"/>
  <c r="D8" i="153"/>
  <c r="E8" i="153" s="1"/>
  <c r="G7" i="153"/>
  <c r="H7" i="153" s="1"/>
  <c r="D7" i="153"/>
  <c r="E7" i="153" s="1"/>
  <c r="G6" i="153"/>
  <c r="H6" i="153" s="1"/>
  <c r="D6" i="153"/>
  <c r="E6" i="153" s="1"/>
  <c r="G5" i="153"/>
  <c r="H5" i="153" s="1"/>
  <c r="D5" i="153"/>
  <c r="F17" i="152"/>
  <c r="C17" i="152"/>
  <c r="B17" i="152"/>
  <c r="G16" i="152"/>
  <c r="H16" i="152" s="1"/>
  <c r="D16" i="152"/>
  <c r="E16" i="152" s="1"/>
  <c r="G15" i="152"/>
  <c r="H15" i="152" s="1"/>
  <c r="D15" i="152"/>
  <c r="G14" i="152"/>
  <c r="H14" i="152" s="1"/>
  <c r="D14" i="152"/>
  <c r="E14" i="152" s="1"/>
  <c r="G13" i="152"/>
  <c r="H13" i="152" s="1"/>
  <c r="D13" i="152"/>
  <c r="E13" i="152" s="1"/>
  <c r="G12" i="152"/>
  <c r="H12" i="152" s="1"/>
  <c r="D12" i="152"/>
  <c r="E12" i="152" s="1"/>
  <c r="G11" i="152"/>
  <c r="H11" i="152" s="1"/>
  <c r="D11" i="152"/>
  <c r="E11" i="152" s="1"/>
  <c r="G10" i="152"/>
  <c r="H10" i="152" s="1"/>
  <c r="D10" i="152"/>
  <c r="E10" i="152" s="1"/>
  <c r="G9" i="152"/>
  <c r="H9" i="152" s="1"/>
  <c r="D9" i="152"/>
  <c r="E9" i="152" s="1"/>
  <c r="G8" i="152"/>
  <c r="H8" i="152" s="1"/>
  <c r="D8" i="152"/>
  <c r="E8" i="152" s="1"/>
  <c r="G7" i="152"/>
  <c r="H7" i="152" s="1"/>
  <c r="D7" i="152"/>
  <c r="E7" i="152" s="1"/>
  <c r="G6" i="152"/>
  <c r="H6" i="152" s="1"/>
  <c r="D6" i="152"/>
  <c r="E6" i="152" s="1"/>
  <c r="G5" i="152"/>
  <c r="H5" i="152" s="1"/>
  <c r="D5" i="152"/>
  <c r="E5" i="152" s="1"/>
  <c r="F17" i="151"/>
  <c r="C17" i="151"/>
  <c r="B17" i="151"/>
  <c r="G16" i="151"/>
  <c r="H16" i="151" s="1"/>
  <c r="D16" i="151"/>
  <c r="E16" i="151" s="1"/>
  <c r="G15" i="151"/>
  <c r="H15" i="151" s="1"/>
  <c r="D15" i="151"/>
  <c r="G14" i="151"/>
  <c r="H14" i="151" s="1"/>
  <c r="D14" i="151"/>
  <c r="E14" i="151" s="1"/>
  <c r="G13" i="151"/>
  <c r="H13" i="151" s="1"/>
  <c r="D13" i="151"/>
  <c r="E13" i="151" s="1"/>
  <c r="G12" i="151"/>
  <c r="H12" i="151" s="1"/>
  <c r="D12" i="151"/>
  <c r="E12" i="151" s="1"/>
  <c r="G11" i="151"/>
  <c r="H11" i="151" s="1"/>
  <c r="D11" i="151"/>
  <c r="E11" i="151" s="1"/>
  <c r="G10" i="151"/>
  <c r="H10" i="151" s="1"/>
  <c r="D10" i="151"/>
  <c r="E10" i="151" s="1"/>
  <c r="G9" i="151"/>
  <c r="H9" i="151" s="1"/>
  <c r="D9" i="151"/>
  <c r="E9" i="151" s="1"/>
  <c r="G8" i="151"/>
  <c r="H8" i="151" s="1"/>
  <c r="D8" i="151"/>
  <c r="E8" i="151" s="1"/>
  <c r="G7" i="151"/>
  <c r="H7" i="151" s="1"/>
  <c r="D7" i="151"/>
  <c r="E7" i="151" s="1"/>
  <c r="G6" i="151"/>
  <c r="H6" i="151" s="1"/>
  <c r="D6" i="151"/>
  <c r="E6" i="151" s="1"/>
  <c r="G5" i="151"/>
  <c r="H5" i="151" s="1"/>
  <c r="D5" i="151"/>
  <c r="E5" i="151" s="1"/>
  <c r="F17" i="150"/>
  <c r="C17" i="150"/>
  <c r="G16" i="150"/>
  <c r="H16" i="150" s="1"/>
  <c r="D16" i="150"/>
  <c r="E16" i="150" s="1"/>
  <c r="G14" i="150"/>
  <c r="H14" i="150" s="1"/>
  <c r="D14" i="150"/>
  <c r="E14" i="150" s="1"/>
  <c r="G13" i="150"/>
  <c r="H13" i="150" s="1"/>
  <c r="D13" i="150"/>
  <c r="E13" i="150" s="1"/>
  <c r="G12" i="150"/>
  <c r="H12" i="150" s="1"/>
  <c r="D12" i="150"/>
  <c r="E12" i="150" s="1"/>
  <c r="G11" i="150"/>
  <c r="H11" i="150" s="1"/>
  <c r="D11" i="150"/>
  <c r="E11" i="150" s="1"/>
  <c r="G10" i="150"/>
  <c r="H10" i="150" s="1"/>
  <c r="D10" i="150"/>
  <c r="E10" i="150" s="1"/>
  <c r="G9" i="150"/>
  <c r="H9" i="150" s="1"/>
  <c r="D9" i="150"/>
  <c r="E9" i="150" s="1"/>
  <c r="G8" i="150"/>
  <c r="H8" i="150" s="1"/>
  <c r="D8" i="150"/>
  <c r="E8" i="150" s="1"/>
  <c r="G7" i="150"/>
  <c r="H7" i="150" s="1"/>
  <c r="D7" i="150"/>
  <c r="E7" i="150" s="1"/>
  <c r="G6" i="150"/>
  <c r="H6" i="150" s="1"/>
  <c r="D6" i="150"/>
  <c r="E6" i="150" s="1"/>
  <c r="G5" i="150"/>
  <c r="H5" i="150" s="1"/>
  <c r="D5" i="150"/>
  <c r="E5" i="150" s="1"/>
  <c r="F17" i="149"/>
  <c r="C17" i="149"/>
  <c r="B17" i="149"/>
  <c r="G16" i="149"/>
  <c r="H16" i="149" s="1"/>
  <c r="D16" i="149"/>
  <c r="G15" i="149"/>
  <c r="H15" i="149" s="1"/>
  <c r="D15" i="149"/>
  <c r="E15" i="149" s="1"/>
  <c r="G14" i="149"/>
  <c r="H14" i="149" s="1"/>
  <c r="D14" i="149"/>
  <c r="E14" i="149" s="1"/>
  <c r="G13" i="149"/>
  <c r="H13" i="149" s="1"/>
  <c r="D13" i="149"/>
  <c r="E13" i="149" s="1"/>
  <c r="G12" i="149"/>
  <c r="H12" i="149" s="1"/>
  <c r="D12" i="149"/>
  <c r="E12" i="149" s="1"/>
  <c r="G11" i="149"/>
  <c r="H11" i="149" s="1"/>
  <c r="D11" i="149"/>
  <c r="E11" i="149" s="1"/>
  <c r="G10" i="149"/>
  <c r="H10" i="149" s="1"/>
  <c r="D10" i="149"/>
  <c r="E10" i="149" s="1"/>
  <c r="G9" i="149"/>
  <c r="H9" i="149" s="1"/>
  <c r="D9" i="149"/>
  <c r="E9" i="149" s="1"/>
  <c r="G8" i="149"/>
  <c r="H8" i="149" s="1"/>
  <c r="D8" i="149"/>
  <c r="E8" i="149" s="1"/>
  <c r="G7" i="149"/>
  <c r="H7" i="149" s="1"/>
  <c r="D7" i="149"/>
  <c r="E7" i="149" s="1"/>
  <c r="G6" i="149"/>
  <c r="H6" i="149" s="1"/>
  <c r="D6" i="149"/>
  <c r="E6" i="149" s="1"/>
  <c r="G5" i="149"/>
  <c r="H5" i="149" s="1"/>
  <c r="D5" i="149"/>
  <c r="E5" i="149" s="1"/>
  <c r="F17" i="148"/>
  <c r="C17" i="148"/>
  <c r="B17" i="148"/>
  <c r="G16" i="148"/>
  <c r="H16" i="148" s="1"/>
  <c r="D16" i="148"/>
  <c r="G15" i="148"/>
  <c r="H15" i="148" s="1"/>
  <c r="D15" i="148"/>
  <c r="E15" i="148" s="1"/>
  <c r="G14" i="148"/>
  <c r="H14" i="148" s="1"/>
  <c r="D14" i="148"/>
  <c r="E14" i="148" s="1"/>
  <c r="G13" i="148"/>
  <c r="H13" i="148" s="1"/>
  <c r="D13" i="148"/>
  <c r="E13" i="148" s="1"/>
  <c r="G12" i="148"/>
  <c r="H12" i="148" s="1"/>
  <c r="D12" i="148"/>
  <c r="E12" i="148" s="1"/>
  <c r="G11" i="148"/>
  <c r="H11" i="148" s="1"/>
  <c r="D11" i="148"/>
  <c r="E11" i="148" s="1"/>
  <c r="G10" i="148"/>
  <c r="H10" i="148" s="1"/>
  <c r="D10" i="148"/>
  <c r="E10" i="148" s="1"/>
  <c r="G9" i="148"/>
  <c r="H9" i="148" s="1"/>
  <c r="D9" i="148"/>
  <c r="E9" i="148" s="1"/>
  <c r="G8" i="148"/>
  <c r="H8" i="148" s="1"/>
  <c r="D8" i="148"/>
  <c r="E8" i="148" s="1"/>
  <c r="G7" i="148"/>
  <c r="H7" i="148" s="1"/>
  <c r="D7" i="148"/>
  <c r="E7" i="148" s="1"/>
  <c r="G6" i="148"/>
  <c r="H6" i="148" s="1"/>
  <c r="D6" i="148"/>
  <c r="E6" i="148" s="1"/>
  <c r="G5" i="148"/>
  <c r="H5" i="148" s="1"/>
  <c r="D5" i="148"/>
  <c r="E5" i="148" s="1"/>
  <c r="F17" i="147"/>
  <c r="C17" i="147"/>
  <c r="B17" i="147"/>
  <c r="G16" i="147"/>
  <c r="H16" i="147" s="1"/>
  <c r="D16" i="147"/>
  <c r="G15" i="147"/>
  <c r="H15" i="147" s="1"/>
  <c r="D15" i="147"/>
  <c r="E15" i="147" s="1"/>
  <c r="G14" i="147"/>
  <c r="H14" i="147" s="1"/>
  <c r="D14" i="147"/>
  <c r="E14" i="147" s="1"/>
  <c r="G13" i="147"/>
  <c r="H13" i="147" s="1"/>
  <c r="D13" i="147"/>
  <c r="E13" i="147" s="1"/>
  <c r="G12" i="147"/>
  <c r="H12" i="147" s="1"/>
  <c r="D12" i="147"/>
  <c r="E12" i="147" s="1"/>
  <c r="G11" i="147"/>
  <c r="H11" i="147" s="1"/>
  <c r="D11" i="147"/>
  <c r="E11" i="147" s="1"/>
  <c r="G10" i="147"/>
  <c r="H10" i="147" s="1"/>
  <c r="D10" i="147"/>
  <c r="E10" i="147" s="1"/>
  <c r="G9" i="147"/>
  <c r="H9" i="147" s="1"/>
  <c r="D9" i="147"/>
  <c r="E9" i="147" s="1"/>
  <c r="G8" i="147"/>
  <c r="H8" i="147" s="1"/>
  <c r="D8" i="147"/>
  <c r="E8" i="147" s="1"/>
  <c r="G7" i="147"/>
  <c r="H7" i="147" s="1"/>
  <c r="D7" i="147"/>
  <c r="E7" i="147" s="1"/>
  <c r="G6" i="147"/>
  <c r="H6" i="147" s="1"/>
  <c r="D6" i="147"/>
  <c r="E6" i="147" s="1"/>
  <c r="G5" i="147"/>
  <c r="H5" i="147" s="1"/>
  <c r="D5" i="147"/>
  <c r="E5" i="147" s="1"/>
  <c r="F17" i="146"/>
  <c r="C17" i="146"/>
  <c r="B17" i="146"/>
  <c r="G16" i="146"/>
  <c r="H16" i="146" s="1"/>
  <c r="D16" i="146"/>
  <c r="G15" i="146"/>
  <c r="H15" i="146" s="1"/>
  <c r="D15" i="146"/>
  <c r="E15" i="146" s="1"/>
  <c r="G14" i="146"/>
  <c r="H14" i="146" s="1"/>
  <c r="D14" i="146"/>
  <c r="E14" i="146" s="1"/>
  <c r="G13" i="146"/>
  <c r="H13" i="146" s="1"/>
  <c r="D13" i="146"/>
  <c r="E13" i="146" s="1"/>
  <c r="G12" i="146"/>
  <c r="H12" i="146" s="1"/>
  <c r="D12" i="146"/>
  <c r="E12" i="146" s="1"/>
  <c r="G11" i="146"/>
  <c r="H11" i="146" s="1"/>
  <c r="D11" i="146"/>
  <c r="E11" i="146" s="1"/>
  <c r="G10" i="146"/>
  <c r="H10" i="146" s="1"/>
  <c r="D10" i="146"/>
  <c r="E10" i="146" s="1"/>
  <c r="G9" i="146"/>
  <c r="H9" i="146" s="1"/>
  <c r="D9" i="146"/>
  <c r="E9" i="146" s="1"/>
  <c r="G8" i="146"/>
  <c r="H8" i="146" s="1"/>
  <c r="D8" i="146"/>
  <c r="E8" i="146" s="1"/>
  <c r="G7" i="146"/>
  <c r="H7" i="146" s="1"/>
  <c r="D7" i="146"/>
  <c r="E7" i="146" s="1"/>
  <c r="G6" i="146"/>
  <c r="H6" i="146" s="1"/>
  <c r="D6" i="146"/>
  <c r="E6" i="146" s="1"/>
  <c r="G5" i="146"/>
  <c r="H5" i="146" s="1"/>
  <c r="D5" i="146"/>
  <c r="E5" i="146" s="1"/>
  <c r="F17" i="145"/>
  <c r="C17" i="145"/>
  <c r="B17" i="145"/>
  <c r="G16" i="145"/>
  <c r="H16" i="145" s="1"/>
  <c r="D16" i="145"/>
  <c r="G15" i="145"/>
  <c r="H15" i="145" s="1"/>
  <c r="D15" i="145"/>
  <c r="G14" i="145"/>
  <c r="H14" i="145" s="1"/>
  <c r="D14" i="145"/>
  <c r="E14" i="145" s="1"/>
  <c r="G13" i="145"/>
  <c r="H13" i="145" s="1"/>
  <c r="D13" i="145"/>
  <c r="E13" i="145" s="1"/>
  <c r="G12" i="145"/>
  <c r="H12" i="145" s="1"/>
  <c r="D12" i="145"/>
  <c r="E12" i="145" s="1"/>
  <c r="G11" i="145"/>
  <c r="H11" i="145" s="1"/>
  <c r="D11" i="145"/>
  <c r="E11" i="145" s="1"/>
  <c r="G10" i="145"/>
  <c r="H10" i="145" s="1"/>
  <c r="D10" i="145"/>
  <c r="E10" i="145" s="1"/>
  <c r="G9" i="145"/>
  <c r="H9" i="145" s="1"/>
  <c r="D9" i="145"/>
  <c r="E9" i="145" s="1"/>
  <c r="G8" i="145"/>
  <c r="H8" i="145" s="1"/>
  <c r="D8" i="145"/>
  <c r="E8" i="145" s="1"/>
  <c r="G7" i="145"/>
  <c r="H7" i="145" s="1"/>
  <c r="D7" i="145"/>
  <c r="E7" i="145" s="1"/>
  <c r="G6" i="145"/>
  <c r="H6" i="145" s="1"/>
  <c r="D6" i="145"/>
  <c r="E6" i="145" s="1"/>
  <c r="G5" i="145"/>
  <c r="H5" i="145" s="1"/>
  <c r="D5" i="145"/>
  <c r="E5" i="145" s="1"/>
  <c r="F17" i="144"/>
  <c r="C17" i="144"/>
  <c r="B17" i="144"/>
  <c r="G16" i="144"/>
  <c r="H16" i="144" s="1"/>
  <c r="D16" i="144"/>
  <c r="G15" i="144"/>
  <c r="H15" i="144" s="1"/>
  <c r="D15" i="144"/>
  <c r="E15" i="144" s="1"/>
  <c r="G14" i="144"/>
  <c r="H14" i="144" s="1"/>
  <c r="D14" i="144"/>
  <c r="E14" i="144" s="1"/>
  <c r="G13" i="144"/>
  <c r="H13" i="144" s="1"/>
  <c r="D13" i="144"/>
  <c r="E13" i="144" s="1"/>
  <c r="G12" i="144"/>
  <c r="H12" i="144" s="1"/>
  <c r="D12" i="144"/>
  <c r="E12" i="144" s="1"/>
  <c r="G11" i="144"/>
  <c r="H11" i="144" s="1"/>
  <c r="D11" i="144"/>
  <c r="E11" i="144" s="1"/>
  <c r="G10" i="144"/>
  <c r="H10" i="144" s="1"/>
  <c r="D10" i="144"/>
  <c r="E10" i="144" s="1"/>
  <c r="G9" i="144"/>
  <c r="H9" i="144" s="1"/>
  <c r="D9" i="144"/>
  <c r="E9" i="144" s="1"/>
  <c r="G8" i="144"/>
  <c r="H8" i="144" s="1"/>
  <c r="D8" i="144"/>
  <c r="E8" i="144" s="1"/>
  <c r="G7" i="144"/>
  <c r="H7" i="144" s="1"/>
  <c r="D7" i="144"/>
  <c r="E7" i="144" s="1"/>
  <c r="G6" i="144"/>
  <c r="H6" i="144" s="1"/>
  <c r="D6" i="144"/>
  <c r="E6" i="144" s="1"/>
  <c r="G5" i="144"/>
  <c r="H5" i="144" s="1"/>
  <c r="D5" i="144"/>
  <c r="E5" i="144" s="1"/>
  <c r="F17" i="143"/>
  <c r="C17" i="143"/>
  <c r="B17" i="143"/>
  <c r="G16" i="143"/>
  <c r="H16" i="143" s="1"/>
  <c r="D16" i="143"/>
  <c r="G15" i="143"/>
  <c r="H15" i="143" s="1"/>
  <c r="D15" i="143"/>
  <c r="E15" i="143" s="1"/>
  <c r="G14" i="143"/>
  <c r="H14" i="143" s="1"/>
  <c r="D14" i="143"/>
  <c r="E14" i="143" s="1"/>
  <c r="G13" i="143"/>
  <c r="H13" i="143" s="1"/>
  <c r="D13" i="143"/>
  <c r="E13" i="143" s="1"/>
  <c r="G12" i="143"/>
  <c r="H12" i="143" s="1"/>
  <c r="D12" i="143"/>
  <c r="E12" i="143" s="1"/>
  <c r="G11" i="143"/>
  <c r="H11" i="143" s="1"/>
  <c r="D11" i="143"/>
  <c r="E11" i="143" s="1"/>
  <c r="G10" i="143"/>
  <c r="H10" i="143" s="1"/>
  <c r="D10" i="143"/>
  <c r="E10" i="143" s="1"/>
  <c r="G9" i="143"/>
  <c r="H9" i="143" s="1"/>
  <c r="D9" i="143"/>
  <c r="E9" i="143" s="1"/>
  <c r="G8" i="143"/>
  <c r="H8" i="143" s="1"/>
  <c r="D8" i="143"/>
  <c r="E8" i="143" s="1"/>
  <c r="G7" i="143"/>
  <c r="H7" i="143" s="1"/>
  <c r="D7" i="143"/>
  <c r="E7" i="143" s="1"/>
  <c r="G6" i="143"/>
  <c r="H6" i="143" s="1"/>
  <c r="D6" i="143"/>
  <c r="E6" i="143" s="1"/>
  <c r="G5" i="143"/>
  <c r="H5" i="143" s="1"/>
  <c r="D5" i="143"/>
  <c r="E5" i="143" s="1"/>
  <c r="F17" i="142"/>
  <c r="C17" i="142"/>
  <c r="B17" i="142"/>
  <c r="G16" i="142"/>
  <c r="H16" i="142" s="1"/>
  <c r="D16" i="142"/>
  <c r="G15" i="142"/>
  <c r="H15" i="142" s="1"/>
  <c r="D15" i="142"/>
  <c r="E15" i="142" s="1"/>
  <c r="G14" i="142"/>
  <c r="H14" i="142" s="1"/>
  <c r="D14" i="142"/>
  <c r="E14" i="142" s="1"/>
  <c r="G13" i="142"/>
  <c r="H13" i="142" s="1"/>
  <c r="D13" i="142"/>
  <c r="E13" i="142" s="1"/>
  <c r="G12" i="142"/>
  <c r="H12" i="142" s="1"/>
  <c r="D12" i="142"/>
  <c r="E12" i="142" s="1"/>
  <c r="G11" i="142"/>
  <c r="H11" i="142" s="1"/>
  <c r="D11" i="142"/>
  <c r="E11" i="142" s="1"/>
  <c r="G10" i="142"/>
  <c r="H10" i="142" s="1"/>
  <c r="D10" i="142"/>
  <c r="E10" i="142" s="1"/>
  <c r="G9" i="142"/>
  <c r="H9" i="142" s="1"/>
  <c r="D9" i="142"/>
  <c r="E9" i="142" s="1"/>
  <c r="G8" i="142"/>
  <c r="H8" i="142" s="1"/>
  <c r="D8" i="142"/>
  <c r="E8" i="142" s="1"/>
  <c r="G7" i="142"/>
  <c r="H7" i="142" s="1"/>
  <c r="D7" i="142"/>
  <c r="E7" i="142" s="1"/>
  <c r="G6" i="142"/>
  <c r="H6" i="142" s="1"/>
  <c r="D6" i="142"/>
  <c r="E6" i="142" s="1"/>
  <c r="G5" i="142"/>
  <c r="H5" i="142" s="1"/>
  <c r="D5" i="142"/>
  <c r="E5" i="142" s="1"/>
  <c r="F17" i="141"/>
  <c r="C17" i="141"/>
  <c r="B17" i="141"/>
  <c r="G16" i="141"/>
  <c r="H16" i="141" s="1"/>
  <c r="D16" i="141"/>
  <c r="G15" i="141"/>
  <c r="H15" i="141" s="1"/>
  <c r="D15" i="141"/>
  <c r="E15" i="141" s="1"/>
  <c r="G14" i="141"/>
  <c r="H14" i="141" s="1"/>
  <c r="D14" i="141"/>
  <c r="E14" i="141" s="1"/>
  <c r="G13" i="141"/>
  <c r="H13" i="141" s="1"/>
  <c r="D13" i="141"/>
  <c r="E13" i="141" s="1"/>
  <c r="G12" i="141"/>
  <c r="H12" i="141" s="1"/>
  <c r="D12" i="141"/>
  <c r="E12" i="141" s="1"/>
  <c r="G11" i="141"/>
  <c r="H11" i="141" s="1"/>
  <c r="D11" i="141"/>
  <c r="E11" i="141" s="1"/>
  <c r="G10" i="141"/>
  <c r="H10" i="141" s="1"/>
  <c r="D10" i="141"/>
  <c r="E10" i="141" s="1"/>
  <c r="G9" i="141"/>
  <c r="H9" i="141" s="1"/>
  <c r="D9" i="141"/>
  <c r="E9" i="141" s="1"/>
  <c r="G8" i="141"/>
  <c r="H8" i="141" s="1"/>
  <c r="D8" i="141"/>
  <c r="E8" i="141" s="1"/>
  <c r="G7" i="141"/>
  <c r="H7" i="141" s="1"/>
  <c r="D7" i="141"/>
  <c r="E7" i="141" s="1"/>
  <c r="G6" i="141"/>
  <c r="H6" i="141" s="1"/>
  <c r="D6" i="141"/>
  <c r="E6" i="141" s="1"/>
  <c r="G5" i="141"/>
  <c r="H5" i="141" s="1"/>
  <c r="D5" i="141"/>
  <c r="E5" i="141" s="1"/>
  <c r="F17" i="139"/>
  <c r="C17" i="139"/>
  <c r="B17" i="139"/>
  <c r="G16" i="139"/>
  <c r="H16" i="139" s="1"/>
  <c r="D16" i="139"/>
  <c r="E16" i="139" s="1"/>
  <c r="G15" i="139"/>
  <c r="H15" i="139" s="1"/>
  <c r="D15" i="139"/>
  <c r="E15" i="139" s="1"/>
  <c r="G14" i="139"/>
  <c r="H14" i="139" s="1"/>
  <c r="D14" i="139"/>
  <c r="E14" i="139" s="1"/>
  <c r="G13" i="139"/>
  <c r="H13" i="139" s="1"/>
  <c r="D13" i="139"/>
  <c r="E13" i="139" s="1"/>
  <c r="G12" i="139"/>
  <c r="H12" i="139" s="1"/>
  <c r="D12" i="139"/>
  <c r="E12" i="139" s="1"/>
  <c r="G11" i="139"/>
  <c r="H11" i="139" s="1"/>
  <c r="D11" i="139"/>
  <c r="E11" i="139" s="1"/>
  <c r="G10" i="139"/>
  <c r="H10" i="139" s="1"/>
  <c r="D10" i="139"/>
  <c r="E10" i="139" s="1"/>
  <c r="G9" i="139"/>
  <c r="H9" i="139" s="1"/>
  <c r="D9" i="139"/>
  <c r="E9" i="139" s="1"/>
  <c r="G8" i="139"/>
  <c r="H8" i="139" s="1"/>
  <c r="D8" i="139"/>
  <c r="E8" i="139" s="1"/>
  <c r="G7" i="139"/>
  <c r="H7" i="139" s="1"/>
  <c r="D7" i="139"/>
  <c r="E7" i="139" s="1"/>
  <c r="G6" i="139"/>
  <c r="H6" i="139" s="1"/>
  <c r="D6" i="139"/>
  <c r="E6" i="139" s="1"/>
  <c r="G5" i="139"/>
  <c r="H5" i="139" s="1"/>
  <c r="D5" i="139"/>
  <c r="E5" i="139" s="1"/>
  <c r="F17" i="138"/>
  <c r="C17" i="138"/>
  <c r="B17" i="138"/>
  <c r="G16" i="138"/>
  <c r="H16" i="138" s="1"/>
  <c r="D16" i="138"/>
  <c r="G15" i="138"/>
  <c r="H15" i="138" s="1"/>
  <c r="D15" i="138"/>
  <c r="E15" i="138" s="1"/>
  <c r="G14" i="138"/>
  <c r="H14" i="138" s="1"/>
  <c r="D14" i="138"/>
  <c r="E14" i="138" s="1"/>
  <c r="G13" i="138"/>
  <c r="H13" i="138" s="1"/>
  <c r="D13" i="138"/>
  <c r="E13" i="138" s="1"/>
  <c r="G12" i="138"/>
  <c r="H12" i="138" s="1"/>
  <c r="D12" i="138"/>
  <c r="E12" i="138" s="1"/>
  <c r="G11" i="138"/>
  <c r="H11" i="138" s="1"/>
  <c r="D11" i="138"/>
  <c r="E11" i="138" s="1"/>
  <c r="G10" i="138"/>
  <c r="H10" i="138" s="1"/>
  <c r="D10" i="138"/>
  <c r="E10" i="138" s="1"/>
  <c r="G9" i="138"/>
  <c r="H9" i="138" s="1"/>
  <c r="D9" i="138"/>
  <c r="E9" i="138" s="1"/>
  <c r="G8" i="138"/>
  <c r="H8" i="138" s="1"/>
  <c r="D8" i="138"/>
  <c r="E8" i="138" s="1"/>
  <c r="G7" i="138"/>
  <c r="H7" i="138" s="1"/>
  <c r="D7" i="138"/>
  <c r="E7" i="138" s="1"/>
  <c r="G6" i="138"/>
  <c r="H6" i="138" s="1"/>
  <c r="D6" i="138"/>
  <c r="E6" i="138" s="1"/>
  <c r="G5" i="138"/>
  <c r="H5" i="138" s="1"/>
  <c r="D5" i="138"/>
  <c r="E5" i="138" s="1"/>
  <c r="F17" i="137"/>
  <c r="C17" i="137"/>
  <c r="B17" i="137"/>
  <c r="G16" i="137"/>
  <c r="H16" i="137" s="1"/>
  <c r="D16" i="137"/>
  <c r="G15" i="137"/>
  <c r="H15" i="137" s="1"/>
  <c r="D15" i="137"/>
  <c r="E15" i="137" s="1"/>
  <c r="G14" i="137"/>
  <c r="H14" i="137" s="1"/>
  <c r="D14" i="137"/>
  <c r="E14" i="137" s="1"/>
  <c r="G13" i="137"/>
  <c r="H13" i="137" s="1"/>
  <c r="D13" i="137"/>
  <c r="E13" i="137" s="1"/>
  <c r="G12" i="137"/>
  <c r="H12" i="137" s="1"/>
  <c r="D12" i="137"/>
  <c r="E12" i="137" s="1"/>
  <c r="G11" i="137"/>
  <c r="H11" i="137" s="1"/>
  <c r="D11" i="137"/>
  <c r="E11" i="137" s="1"/>
  <c r="G10" i="137"/>
  <c r="H10" i="137" s="1"/>
  <c r="D10" i="137"/>
  <c r="E10" i="137" s="1"/>
  <c r="G9" i="137"/>
  <c r="H9" i="137" s="1"/>
  <c r="D9" i="137"/>
  <c r="E9" i="137" s="1"/>
  <c r="G8" i="137"/>
  <c r="H8" i="137" s="1"/>
  <c r="D8" i="137"/>
  <c r="E8" i="137" s="1"/>
  <c r="G7" i="137"/>
  <c r="H7" i="137" s="1"/>
  <c r="D7" i="137"/>
  <c r="E7" i="137" s="1"/>
  <c r="G6" i="137"/>
  <c r="H6" i="137" s="1"/>
  <c r="D6" i="137"/>
  <c r="E6" i="137" s="1"/>
  <c r="G5" i="137"/>
  <c r="H5" i="137" s="1"/>
  <c r="D5" i="137"/>
  <c r="E5" i="137" s="1"/>
  <c r="F17" i="136"/>
  <c r="C17" i="136"/>
  <c r="B17" i="136"/>
  <c r="G16" i="136"/>
  <c r="H16" i="136" s="1"/>
  <c r="D16" i="136"/>
  <c r="E16" i="136" s="1"/>
  <c r="G15" i="136"/>
  <c r="H15" i="136" s="1"/>
  <c r="D15" i="136"/>
  <c r="E15" i="136" s="1"/>
  <c r="G14" i="136"/>
  <c r="H14" i="136" s="1"/>
  <c r="D14" i="136"/>
  <c r="E14" i="136" s="1"/>
  <c r="G13" i="136"/>
  <c r="H13" i="136" s="1"/>
  <c r="D13" i="136"/>
  <c r="E13" i="136" s="1"/>
  <c r="G12" i="136"/>
  <c r="H12" i="136" s="1"/>
  <c r="D12" i="136"/>
  <c r="E12" i="136" s="1"/>
  <c r="G11" i="136"/>
  <c r="H11" i="136" s="1"/>
  <c r="D11" i="136"/>
  <c r="E11" i="136" s="1"/>
  <c r="G10" i="136"/>
  <c r="H10" i="136" s="1"/>
  <c r="D10" i="136"/>
  <c r="E10" i="136" s="1"/>
  <c r="G9" i="136"/>
  <c r="H9" i="136" s="1"/>
  <c r="D9" i="136"/>
  <c r="E9" i="136" s="1"/>
  <c r="G8" i="136"/>
  <c r="H8" i="136" s="1"/>
  <c r="D8" i="136"/>
  <c r="E8" i="136" s="1"/>
  <c r="G7" i="136"/>
  <c r="H7" i="136" s="1"/>
  <c r="D7" i="136"/>
  <c r="E7" i="136" s="1"/>
  <c r="G6" i="136"/>
  <c r="H6" i="136" s="1"/>
  <c r="D6" i="136"/>
  <c r="E6" i="136" s="1"/>
  <c r="G5" i="136"/>
  <c r="H5" i="136" s="1"/>
  <c r="D5" i="136"/>
  <c r="E5" i="136" s="1"/>
  <c r="F17" i="135"/>
  <c r="C17" i="135"/>
  <c r="B17" i="135"/>
  <c r="G16" i="135"/>
  <c r="H16" i="135" s="1"/>
  <c r="D16" i="135"/>
  <c r="G15" i="135"/>
  <c r="H15" i="135" s="1"/>
  <c r="D15" i="135"/>
  <c r="E15" i="135" s="1"/>
  <c r="G14" i="135"/>
  <c r="H14" i="135" s="1"/>
  <c r="D14" i="135"/>
  <c r="E14" i="135" s="1"/>
  <c r="G13" i="135"/>
  <c r="H13" i="135" s="1"/>
  <c r="D13" i="135"/>
  <c r="E13" i="135" s="1"/>
  <c r="G12" i="135"/>
  <c r="H12" i="135" s="1"/>
  <c r="D12" i="135"/>
  <c r="E12" i="135" s="1"/>
  <c r="G11" i="135"/>
  <c r="H11" i="135" s="1"/>
  <c r="D11" i="135"/>
  <c r="E11" i="135" s="1"/>
  <c r="G10" i="135"/>
  <c r="H10" i="135" s="1"/>
  <c r="D10" i="135"/>
  <c r="E10" i="135" s="1"/>
  <c r="G9" i="135"/>
  <c r="H9" i="135" s="1"/>
  <c r="D9" i="135"/>
  <c r="E9" i="135" s="1"/>
  <c r="G8" i="135"/>
  <c r="H8" i="135" s="1"/>
  <c r="D8" i="135"/>
  <c r="E8" i="135" s="1"/>
  <c r="G7" i="135"/>
  <c r="H7" i="135" s="1"/>
  <c r="D7" i="135"/>
  <c r="E7" i="135" s="1"/>
  <c r="G6" i="135"/>
  <c r="H6" i="135" s="1"/>
  <c r="D6" i="135"/>
  <c r="E6" i="135" s="1"/>
  <c r="G5" i="135"/>
  <c r="H5" i="135" s="1"/>
  <c r="D5" i="135"/>
  <c r="E5" i="135" s="1"/>
  <c r="F17" i="134"/>
  <c r="C17" i="134"/>
  <c r="B17" i="134"/>
  <c r="G16" i="134"/>
  <c r="H16" i="134" s="1"/>
  <c r="D16" i="134"/>
  <c r="E16" i="134" s="1"/>
  <c r="G15" i="134"/>
  <c r="H15" i="134" s="1"/>
  <c r="D15" i="134"/>
  <c r="E15" i="134" s="1"/>
  <c r="G14" i="134"/>
  <c r="H14" i="134" s="1"/>
  <c r="D14" i="134"/>
  <c r="E14" i="134" s="1"/>
  <c r="G13" i="134"/>
  <c r="H13" i="134" s="1"/>
  <c r="D13" i="134"/>
  <c r="E13" i="134" s="1"/>
  <c r="G12" i="134"/>
  <c r="H12" i="134" s="1"/>
  <c r="D12" i="134"/>
  <c r="E12" i="134" s="1"/>
  <c r="G11" i="134"/>
  <c r="H11" i="134" s="1"/>
  <c r="D11" i="134"/>
  <c r="E11" i="134" s="1"/>
  <c r="G10" i="134"/>
  <c r="H10" i="134" s="1"/>
  <c r="D10" i="134"/>
  <c r="E10" i="134" s="1"/>
  <c r="G9" i="134"/>
  <c r="H9" i="134" s="1"/>
  <c r="D9" i="134"/>
  <c r="E9" i="134" s="1"/>
  <c r="G8" i="134"/>
  <c r="H8" i="134" s="1"/>
  <c r="D8" i="134"/>
  <c r="E8" i="134" s="1"/>
  <c r="G7" i="134"/>
  <c r="H7" i="134" s="1"/>
  <c r="D7" i="134"/>
  <c r="E7" i="134" s="1"/>
  <c r="G6" i="134"/>
  <c r="H6" i="134" s="1"/>
  <c r="D6" i="134"/>
  <c r="E6" i="134" s="1"/>
  <c r="G5" i="134"/>
  <c r="H5" i="134" s="1"/>
  <c r="D5" i="134"/>
  <c r="E5" i="134" s="1"/>
  <c r="F17" i="133"/>
  <c r="C17" i="133"/>
  <c r="B17" i="133"/>
  <c r="G16" i="133"/>
  <c r="H16" i="133" s="1"/>
  <c r="D16" i="133"/>
  <c r="E16" i="133" s="1"/>
  <c r="G15" i="133"/>
  <c r="H15" i="133" s="1"/>
  <c r="D15" i="133"/>
  <c r="E15" i="133" s="1"/>
  <c r="G14" i="133"/>
  <c r="H14" i="133" s="1"/>
  <c r="D14" i="133"/>
  <c r="E14" i="133" s="1"/>
  <c r="G13" i="133"/>
  <c r="H13" i="133" s="1"/>
  <c r="D13" i="133"/>
  <c r="E13" i="133" s="1"/>
  <c r="G12" i="133"/>
  <c r="H12" i="133" s="1"/>
  <c r="D12" i="133"/>
  <c r="E12" i="133" s="1"/>
  <c r="G11" i="133"/>
  <c r="H11" i="133" s="1"/>
  <c r="D11" i="133"/>
  <c r="E11" i="133" s="1"/>
  <c r="G10" i="133"/>
  <c r="H10" i="133" s="1"/>
  <c r="D10" i="133"/>
  <c r="E10" i="133" s="1"/>
  <c r="G9" i="133"/>
  <c r="H9" i="133" s="1"/>
  <c r="D9" i="133"/>
  <c r="E9" i="133" s="1"/>
  <c r="G8" i="133"/>
  <c r="H8" i="133" s="1"/>
  <c r="D8" i="133"/>
  <c r="E8" i="133" s="1"/>
  <c r="G7" i="133"/>
  <c r="H7" i="133" s="1"/>
  <c r="D7" i="133"/>
  <c r="E7" i="133" s="1"/>
  <c r="G6" i="133"/>
  <c r="H6" i="133" s="1"/>
  <c r="D6" i="133"/>
  <c r="E6" i="133" s="1"/>
  <c r="G5" i="133"/>
  <c r="H5" i="133" s="1"/>
  <c r="D5" i="133"/>
  <c r="E5" i="133" s="1"/>
  <c r="F17" i="132"/>
  <c r="C17" i="132"/>
  <c r="B17" i="132"/>
  <c r="G16" i="132"/>
  <c r="H16" i="132" s="1"/>
  <c r="D16" i="132"/>
  <c r="E16" i="132" s="1"/>
  <c r="G15" i="132"/>
  <c r="H15" i="132" s="1"/>
  <c r="D15" i="132"/>
  <c r="E15" i="132" s="1"/>
  <c r="G14" i="132"/>
  <c r="H14" i="132" s="1"/>
  <c r="D14" i="132"/>
  <c r="E14" i="132" s="1"/>
  <c r="G13" i="132"/>
  <c r="H13" i="132" s="1"/>
  <c r="D13" i="132"/>
  <c r="E13" i="132" s="1"/>
  <c r="G12" i="132"/>
  <c r="H12" i="132" s="1"/>
  <c r="D12" i="132"/>
  <c r="E12" i="132" s="1"/>
  <c r="G11" i="132"/>
  <c r="H11" i="132" s="1"/>
  <c r="D11" i="132"/>
  <c r="E11" i="132" s="1"/>
  <c r="G10" i="132"/>
  <c r="H10" i="132" s="1"/>
  <c r="D10" i="132"/>
  <c r="E10" i="132" s="1"/>
  <c r="G9" i="132"/>
  <c r="H9" i="132" s="1"/>
  <c r="D9" i="132"/>
  <c r="E9" i="132" s="1"/>
  <c r="G8" i="132"/>
  <c r="H8" i="132" s="1"/>
  <c r="D8" i="132"/>
  <c r="E8" i="132" s="1"/>
  <c r="G7" i="132"/>
  <c r="H7" i="132" s="1"/>
  <c r="D7" i="132"/>
  <c r="E7" i="132" s="1"/>
  <c r="G6" i="132"/>
  <c r="H6" i="132" s="1"/>
  <c r="D6" i="132"/>
  <c r="E6" i="132" s="1"/>
  <c r="G5" i="132"/>
  <c r="H5" i="132" s="1"/>
  <c r="D5" i="132"/>
  <c r="E5" i="132" s="1"/>
  <c r="F17" i="131"/>
  <c r="C17" i="131"/>
  <c r="B17" i="131"/>
  <c r="G16" i="131"/>
  <c r="H16" i="131" s="1"/>
  <c r="D16" i="131"/>
  <c r="E16" i="131" s="1"/>
  <c r="G15" i="131"/>
  <c r="H15" i="131" s="1"/>
  <c r="D15" i="131"/>
  <c r="E15" i="131" s="1"/>
  <c r="G14" i="131"/>
  <c r="H14" i="131" s="1"/>
  <c r="D14" i="131"/>
  <c r="E14" i="131" s="1"/>
  <c r="G13" i="131"/>
  <c r="H13" i="131" s="1"/>
  <c r="D13" i="131"/>
  <c r="E13" i="131" s="1"/>
  <c r="G12" i="131"/>
  <c r="H12" i="131" s="1"/>
  <c r="D12" i="131"/>
  <c r="E12" i="131" s="1"/>
  <c r="G11" i="131"/>
  <c r="H11" i="131" s="1"/>
  <c r="D11" i="131"/>
  <c r="E11" i="131" s="1"/>
  <c r="G10" i="131"/>
  <c r="H10" i="131" s="1"/>
  <c r="D10" i="131"/>
  <c r="E10" i="131" s="1"/>
  <c r="G9" i="131"/>
  <c r="H9" i="131" s="1"/>
  <c r="D9" i="131"/>
  <c r="E9" i="131" s="1"/>
  <c r="G8" i="131"/>
  <c r="H8" i="131" s="1"/>
  <c r="D8" i="131"/>
  <c r="E8" i="131" s="1"/>
  <c r="G7" i="131"/>
  <c r="H7" i="131" s="1"/>
  <c r="D7" i="131"/>
  <c r="E7" i="131" s="1"/>
  <c r="G6" i="131"/>
  <c r="H6" i="131" s="1"/>
  <c r="D6" i="131"/>
  <c r="E6" i="131" s="1"/>
  <c r="G5" i="131"/>
  <c r="H5" i="131" s="1"/>
  <c r="D5" i="131"/>
  <c r="E5" i="131" s="1"/>
  <c r="F17" i="130"/>
  <c r="C17" i="130"/>
  <c r="B17" i="130"/>
  <c r="G16" i="130"/>
  <c r="H16" i="130" s="1"/>
  <c r="D16" i="130"/>
  <c r="G15" i="130"/>
  <c r="H15" i="130" s="1"/>
  <c r="D15" i="130"/>
  <c r="E15" i="130" s="1"/>
  <c r="G14" i="130"/>
  <c r="H14" i="130" s="1"/>
  <c r="D14" i="130"/>
  <c r="E14" i="130" s="1"/>
  <c r="G13" i="130"/>
  <c r="H13" i="130" s="1"/>
  <c r="D13" i="130"/>
  <c r="E13" i="130" s="1"/>
  <c r="G12" i="130"/>
  <c r="H12" i="130" s="1"/>
  <c r="D12" i="130"/>
  <c r="E12" i="130" s="1"/>
  <c r="G11" i="130"/>
  <c r="H11" i="130" s="1"/>
  <c r="D11" i="130"/>
  <c r="E11" i="130" s="1"/>
  <c r="G10" i="130"/>
  <c r="H10" i="130" s="1"/>
  <c r="D10" i="130"/>
  <c r="E10" i="130" s="1"/>
  <c r="G9" i="130"/>
  <c r="H9" i="130" s="1"/>
  <c r="D9" i="130"/>
  <c r="E9" i="130" s="1"/>
  <c r="G8" i="130"/>
  <c r="H8" i="130" s="1"/>
  <c r="D8" i="130"/>
  <c r="E8" i="130" s="1"/>
  <c r="G7" i="130"/>
  <c r="H7" i="130" s="1"/>
  <c r="D7" i="130"/>
  <c r="E7" i="130" s="1"/>
  <c r="G6" i="130"/>
  <c r="H6" i="130" s="1"/>
  <c r="D6" i="130"/>
  <c r="E6" i="130" s="1"/>
  <c r="G5" i="130"/>
  <c r="H5" i="130" s="1"/>
  <c r="D5" i="130"/>
  <c r="E5" i="130" s="1"/>
  <c r="F17" i="129"/>
  <c r="C17" i="129"/>
  <c r="B17" i="129"/>
  <c r="G16" i="129"/>
  <c r="H16" i="129" s="1"/>
  <c r="D16" i="129"/>
  <c r="G15" i="129"/>
  <c r="H15" i="129" s="1"/>
  <c r="D15" i="129"/>
  <c r="E15" i="129" s="1"/>
  <c r="G14" i="129"/>
  <c r="H14" i="129" s="1"/>
  <c r="D14" i="129"/>
  <c r="E14" i="129" s="1"/>
  <c r="G13" i="129"/>
  <c r="H13" i="129" s="1"/>
  <c r="D13" i="129"/>
  <c r="E13" i="129" s="1"/>
  <c r="G12" i="129"/>
  <c r="H12" i="129" s="1"/>
  <c r="D12" i="129"/>
  <c r="E12" i="129" s="1"/>
  <c r="G11" i="129"/>
  <c r="H11" i="129" s="1"/>
  <c r="D11" i="129"/>
  <c r="E11" i="129" s="1"/>
  <c r="G10" i="129"/>
  <c r="H10" i="129" s="1"/>
  <c r="D10" i="129"/>
  <c r="E10" i="129" s="1"/>
  <c r="G9" i="129"/>
  <c r="H9" i="129" s="1"/>
  <c r="D9" i="129"/>
  <c r="E9" i="129" s="1"/>
  <c r="G8" i="129"/>
  <c r="H8" i="129" s="1"/>
  <c r="D8" i="129"/>
  <c r="E8" i="129" s="1"/>
  <c r="G7" i="129"/>
  <c r="H7" i="129" s="1"/>
  <c r="D7" i="129"/>
  <c r="E7" i="129" s="1"/>
  <c r="G6" i="129"/>
  <c r="H6" i="129" s="1"/>
  <c r="D6" i="129"/>
  <c r="E6" i="129" s="1"/>
  <c r="G5" i="129"/>
  <c r="H5" i="129" s="1"/>
  <c r="D5" i="129"/>
  <c r="E5" i="129" s="1"/>
  <c r="F17" i="128"/>
  <c r="C17" i="128"/>
  <c r="B17" i="128"/>
  <c r="G16" i="128"/>
  <c r="H16" i="128" s="1"/>
  <c r="G15" i="128"/>
  <c r="H15" i="128" s="1"/>
  <c r="E15" i="128"/>
  <c r="G14" i="128"/>
  <c r="H14" i="128" s="1"/>
  <c r="E14" i="128"/>
  <c r="G13" i="128"/>
  <c r="H13" i="128" s="1"/>
  <c r="E13" i="128"/>
  <c r="G12" i="128"/>
  <c r="H12" i="128" s="1"/>
  <c r="E12" i="128"/>
  <c r="G11" i="128"/>
  <c r="H11" i="128" s="1"/>
  <c r="D11" i="128"/>
  <c r="E11" i="128" s="1"/>
  <c r="G10" i="128"/>
  <c r="H10" i="128" s="1"/>
  <c r="D10" i="128"/>
  <c r="E10" i="128" s="1"/>
  <c r="G9" i="128"/>
  <c r="H9" i="128" s="1"/>
  <c r="D9" i="128"/>
  <c r="E9" i="128" s="1"/>
  <c r="G8" i="128"/>
  <c r="H8" i="128" s="1"/>
  <c r="D8" i="128"/>
  <c r="E8" i="128" s="1"/>
  <c r="G7" i="128"/>
  <c r="H7" i="128" s="1"/>
  <c r="D7" i="128"/>
  <c r="E7" i="128" s="1"/>
  <c r="G6" i="128"/>
  <c r="H6" i="128" s="1"/>
  <c r="D6" i="128"/>
  <c r="E6" i="128" s="1"/>
  <c r="G5" i="128"/>
  <c r="H5" i="128" s="1"/>
  <c r="D5" i="128"/>
  <c r="E5" i="128" s="1"/>
  <c r="D13" i="126"/>
  <c r="G13" i="126"/>
  <c r="D13" i="127"/>
  <c r="E13" i="127" s="1"/>
  <c r="G13" i="127"/>
  <c r="H13" i="127" s="1"/>
  <c r="F17" i="127"/>
  <c r="C17" i="127"/>
  <c r="B17" i="127"/>
  <c r="G16" i="127"/>
  <c r="H16" i="127" s="1"/>
  <c r="D16" i="127"/>
  <c r="E16" i="127" s="1"/>
  <c r="G15" i="127"/>
  <c r="H15" i="127" s="1"/>
  <c r="D15" i="127"/>
  <c r="G14" i="127"/>
  <c r="H14" i="127" s="1"/>
  <c r="D14" i="127"/>
  <c r="E14" i="127" s="1"/>
  <c r="G12" i="127"/>
  <c r="H12" i="127" s="1"/>
  <c r="D12" i="127"/>
  <c r="E12" i="127" s="1"/>
  <c r="G11" i="127"/>
  <c r="H11" i="127" s="1"/>
  <c r="D11" i="127"/>
  <c r="E11" i="127" s="1"/>
  <c r="G10" i="127"/>
  <c r="H10" i="127" s="1"/>
  <c r="D10" i="127"/>
  <c r="E10" i="127" s="1"/>
  <c r="G9" i="127"/>
  <c r="H9" i="127" s="1"/>
  <c r="E9" i="127"/>
  <c r="D9" i="127"/>
  <c r="G8" i="127"/>
  <c r="H8" i="127" s="1"/>
  <c r="D8" i="127"/>
  <c r="E8" i="127" s="1"/>
  <c r="G7" i="127"/>
  <c r="H7" i="127" s="1"/>
  <c r="E7" i="127"/>
  <c r="D7" i="127"/>
  <c r="G6" i="127"/>
  <c r="H6" i="127" s="1"/>
  <c r="D6" i="127"/>
  <c r="E6" i="127" s="1"/>
  <c r="G5" i="127"/>
  <c r="H5" i="127" s="1"/>
  <c r="D5" i="127"/>
  <c r="E5" i="127" s="1"/>
  <c r="F18" i="126"/>
  <c r="C18" i="126"/>
  <c r="G16" i="126"/>
  <c r="D16" i="126"/>
  <c r="E16" i="126" s="1"/>
  <c r="G15" i="126"/>
  <c r="H15" i="126" s="1"/>
  <c r="D15" i="126"/>
  <c r="E15" i="126" s="1"/>
  <c r="G14" i="126"/>
  <c r="H14" i="126" s="1"/>
  <c r="D14" i="126"/>
  <c r="E14" i="126" s="1"/>
  <c r="H13" i="126"/>
  <c r="E13" i="126"/>
  <c r="G12" i="126"/>
  <c r="H12" i="126" s="1"/>
  <c r="D12" i="126"/>
  <c r="E12" i="126" s="1"/>
  <c r="G11" i="126"/>
  <c r="H11" i="126" s="1"/>
  <c r="D11" i="126"/>
  <c r="E11" i="126" s="1"/>
  <c r="G10" i="126"/>
  <c r="H10" i="126" s="1"/>
  <c r="D10" i="126"/>
  <c r="E10" i="126" s="1"/>
  <c r="G9" i="126"/>
  <c r="H9" i="126" s="1"/>
  <c r="D9" i="126"/>
  <c r="E9" i="126" s="1"/>
  <c r="G8" i="126"/>
  <c r="H8" i="126" s="1"/>
  <c r="D8" i="126"/>
  <c r="E8" i="126" s="1"/>
  <c r="G7" i="126"/>
  <c r="H7" i="126" s="1"/>
  <c r="D7" i="126"/>
  <c r="E7" i="126" s="1"/>
  <c r="G6" i="126"/>
  <c r="H6" i="126" s="1"/>
  <c r="D6" i="126"/>
  <c r="E6" i="126" s="1"/>
  <c r="G5" i="126"/>
  <c r="H5" i="126" s="1"/>
  <c r="D5" i="126"/>
  <c r="E5" i="126" s="1"/>
  <c r="F17" i="125"/>
  <c r="C17" i="125"/>
  <c r="B17" i="125"/>
  <c r="G16" i="125"/>
  <c r="H16" i="125" s="1"/>
  <c r="D16" i="125"/>
  <c r="E16" i="125" s="1"/>
  <c r="G15" i="125"/>
  <c r="H15" i="125" s="1"/>
  <c r="D15" i="125"/>
  <c r="G14" i="125"/>
  <c r="H14" i="125" s="1"/>
  <c r="D14" i="125"/>
  <c r="E14" i="125" s="1"/>
  <c r="G13" i="125"/>
  <c r="H13" i="125" s="1"/>
  <c r="D13" i="125"/>
  <c r="E13" i="125" s="1"/>
  <c r="G12" i="125"/>
  <c r="H12" i="125" s="1"/>
  <c r="D12" i="125"/>
  <c r="E12" i="125" s="1"/>
  <c r="G11" i="125"/>
  <c r="H11" i="125" s="1"/>
  <c r="D11" i="125"/>
  <c r="E11" i="125" s="1"/>
  <c r="G10" i="125"/>
  <c r="H10" i="125" s="1"/>
  <c r="D10" i="125"/>
  <c r="E10" i="125" s="1"/>
  <c r="G9" i="125"/>
  <c r="H9" i="125" s="1"/>
  <c r="D9" i="125"/>
  <c r="E9" i="125" s="1"/>
  <c r="H8" i="125"/>
  <c r="G8" i="125"/>
  <c r="D8" i="125"/>
  <c r="E8" i="125" s="1"/>
  <c r="G7" i="125"/>
  <c r="H7" i="125" s="1"/>
  <c r="D7" i="125"/>
  <c r="E7" i="125" s="1"/>
  <c r="H6" i="125"/>
  <c r="G6" i="125"/>
  <c r="D6" i="125"/>
  <c r="E6" i="125" s="1"/>
  <c r="G5" i="125"/>
  <c r="H5" i="125" s="1"/>
  <c r="D5" i="125"/>
  <c r="E5" i="125" s="1"/>
  <c r="F17" i="124"/>
  <c r="C17" i="124"/>
  <c r="B17" i="124"/>
  <c r="G16" i="124"/>
  <c r="H16" i="124" s="1"/>
  <c r="D16" i="124"/>
  <c r="E16" i="124" s="1"/>
  <c r="G15" i="124"/>
  <c r="H15" i="124" s="1"/>
  <c r="D15" i="124"/>
  <c r="G14" i="124"/>
  <c r="H14" i="124" s="1"/>
  <c r="D14" i="124"/>
  <c r="E14" i="124" s="1"/>
  <c r="G13" i="124"/>
  <c r="H13" i="124" s="1"/>
  <c r="D13" i="124"/>
  <c r="E13" i="124" s="1"/>
  <c r="G12" i="124"/>
  <c r="H12" i="124" s="1"/>
  <c r="D12" i="124"/>
  <c r="E12" i="124" s="1"/>
  <c r="G11" i="124"/>
  <c r="H11" i="124" s="1"/>
  <c r="D11" i="124"/>
  <c r="E11" i="124" s="1"/>
  <c r="H10" i="124"/>
  <c r="G10" i="124"/>
  <c r="D10" i="124"/>
  <c r="E10" i="124" s="1"/>
  <c r="G9" i="124"/>
  <c r="H9" i="124" s="1"/>
  <c r="D9" i="124"/>
  <c r="E9" i="124" s="1"/>
  <c r="H8" i="124"/>
  <c r="G8" i="124"/>
  <c r="D8" i="124"/>
  <c r="E8" i="124" s="1"/>
  <c r="G7" i="124"/>
  <c r="H7" i="124" s="1"/>
  <c r="D7" i="124"/>
  <c r="E7" i="124" s="1"/>
  <c r="H6" i="124"/>
  <c r="G6" i="124"/>
  <c r="D6" i="124"/>
  <c r="E6" i="124" s="1"/>
  <c r="G5" i="124"/>
  <c r="H5" i="124" s="1"/>
  <c r="D5" i="124"/>
  <c r="E5" i="124" s="1"/>
  <c r="F17" i="123"/>
  <c r="C17" i="123"/>
  <c r="B17" i="123"/>
  <c r="G16" i="123"/>
  <c r="H16" i="123" s="1"/>
  <c r="D16" i="123"/>
  <c r="E16" i="123" s="1"/>
  <c r="G15" i="123"/>
  <c r="H15" i="123" s="1"/>
  <c r="D15" i="123"/>
  <c r="G14" i="123"/>
  <c r="H14" i="123" s="1"/>
  <c r="D14" i="123"/>
  <c r="E14" i="123" s="1"/>
  <c r="G13" i="123"/>
  <c r="H13" i="123" s="1"/>
  <c r="D13" i="123"/>
  <c r="E13" i="123" s="1"/>
  <c r="G12" i="123"/>
  <c r="H12" i="123" s="1"/>
  <c r="D12" i="123"/>
  <c r="E12" i="123" s="1"/>
  <c r="G11" i="123"/>
  <c r="H11" i="123" s="1"/>
  <c r="D11" i="123"/>
  <c r="E11" i="123" s="1"/>
  <c r="G10" i="123"/>
  <c r="H10" i="123" s="1"/>
  <c r="D10" i="123"/>
  <c r="E10" i="123" s="1"/>
  <c r="H9" i="123"/>
  <c r="G9" i="123"/>
  <c r="D9" i="123"/>
  <c r="E9" i="123" s="1"/>
  <c r="H8" i="123"/>
  <c r="G8" i="123"/>
  <c r="D8" i="123"/>
  <c r="E8" i="123" s="1"/>
  <c r="H7" i="123"/>
  <c r="G7" i="123"/>
  <c r="D7" i="123"/>
  <c r="E7" i="123" s="1"/>
  <c r="H6" i="123"/>
  <c r="G6" i="123"/>
  <c r="D6" i="123"/>
  <c r="E6" i="123" s="1"/>
  <c r="G5" i="123"/>
  <c r="H5" i="123" s="1"/>
  <c r="D5" i="123"/>
  <c r="E5" i="123" s="1"/>
  <c r="D5" i="119"/>
  <c r="D6" i="119"/>
  <c r="D7" i="119"/>
  <c r="D8" i="119"/>
  <c r="D9" i="119"/>
  <c r="D10" i="119"/>
  <c r="D11" i="119"/>
  <c r="D12" i="119"/>
  <c r="B3" i="2" a="1"/>
  <c r="B3" i="2" s="1"/>
  <c r="A3" i="2" a="1"/>
  <c r="D14" i="119"/>
  <c r="D15" i="119"/>
  <c r="D16" i="119"/>
  <c r="A1" i="30" a="1"/>
  <c r="A1" i="30" s="1"/>
  <c r="A1" i="29" a="1"/>
  <c r="A1" i="29" s="1"/>
  <c r="A1" i="18" a="1"/>
  <c r="A1" i="18" s="1"/>
  <c r="F17" i="122"/>
  <c r="C17" i="122"/>
  <c r="B17" i="122"/>
  <c r="G16" i="122"/>
  <c r="H16" i="122" s="1"/>
  <c r="D16" i="122"/>
  <c r="E16" i="122" s="1"/>
  <c r="G15" i="122"/>
  <c r="H15" i="122" s="1"/>
  <c r="D15" i="122"/>
  <c r="E15" i="122" s="1"/>
  <c r="G14" i="122"/>
  <c r="H14" i="122" s="1"/>
  <c r="D14" i="122"/>
  <c r="E14" i="122" s="1"/>
  <c r="G13" i="122"/>
  <c r="H13" i="122" s="1"/>
  <c r="D13" i="122"/>
  <c r="E13" i="122" s="1"/>
  <c r="G12" i="122"/>
  <c r="H12" i="122" s="1"/>
  <c r="D12" i="122"/>
  <c r="E12" i="122" s="1"/>
  <c r="G11" i="122"/>
  <c r="H11" i="122" s="1"/>
  <c r="D11" i="122"/>
  <c r="E11" i="122" s="1"/>
  <c r="G10" i="122"/>
  <c r="H10" i="122" s="1"/>
  <c r="D10" i="122"/>
  <c r="E10" i="122" s="1"/>
  <c r="G9" i="122"/>
  <c r="H9" i="122" s="1"/>
  <c r="D9" i="122"/>
  <c r="E9" i="122" s="1"/>
  <c r="G8" i="122"/>
  <c r="H8" i="122" s="1"/>
  <c r="D8" i="122"/>
  <c r="E8" i="122" s="1"/>
  <c r="G7" i="122"/>
  <c r="H7" i="122" s="1"/>
  <c r="D7" i="122"/>
  <c r="E7" i="122" s="1"/>
  <c r="G6" i="122"/>
  <c r="H6" i="122" s="1"/>
  <c r="D6" i="122"/>
  <c r="E6" i="122" s="1"/>
  <c r="G5" i="122"/>
  <c r="H5" i="122" s="1"/>
  <c r="D5" i="122"/>
  <c r="E5" i="122" s="1"/>
  <c r="F17" i="121"/>
  <c r="C17" i="121"/>
  <c r="B17" i="121"/>
  <c r="G16" i="121"/>
  <c r="H16" i="121" s="1"/>
  <c r="D16" i="121"/>
  <c r="E16" i="121" s="1"/>
  <c r="G15" i="121"/>
  <c r="H15" i="121" s="1"/>
  <c r="D15" i="121"/>
  <c r="E15" i="121" s="1"/>
  <c r="G14" i="121"/>
  <c r="H14" i="121" s="1"/>
  <c r="D14" i="121"/>
  <c r="E14" i="121" s="1"/>
  <c r="G13" i="121"/>
  <c r="H13" i="121" s="1"/>
  <c r="D13" i="121"/>
  <c r="E13" i="121" s="1"/>
  <c r="G12" i="121"/>
  <c r="H12" i="121" s="1"/>
  <c r="D12" i="121"/>
  <c r="E12" i="121" s="1"/>
  <c r="G11" i="121"/>
  <c r="H11" i="121" s="1"/>
  <c r="D11" i="121"/>
  <c r="E11" i="121" s="1"/>
  <c r="G10" i="121"/>
  <c r="H10" i="121" s="1"/>
  <c r="D10" i="121"/>
  <c r="E10" i="121" s="1"/>
  <c r="G9" i="121"/>
  <c r="H9" i="121" s="1"/>
  <c r="D9" i="121"/>
  <c r="E9" i="121" s="1"/>
  <c r="G8" i="121"/>
  <c r="H8" i="121" s="1"/>
  <c r="D8" i="121"/>
  <c r="E8" i="121" s="1"/>
  <c r="G7" i="121"/>
  <c r="H7" i="121" s="1"/>
  <c r="D7" i="121"/>
  <c r="E7" i="121" s="1"/>
  <c r="G6" i="121"/>
  <c r="H6" i="121" s="1"/>
  <c r="D6" i="121"/>
  <c r="E6" i="121" s="1"/>
  <c r="G5" i="121"/>
  <c r="H5" i="121" s="1"/>
  <c r="D5" i="121"/>
  <c r="E5" i="121" s="1"/>
  <c r="F17" i="120"/>
  <c r="C17" i="120"/>
  <c r="B17" i="120"/>
  <c r="G16" i="120"/>
  <c r="H16" i="120" s="1"/>
  <c r="D16" i="120"/>
  <c r="E16" i="120" s="1"/>
  <c r="G15" i="120"/>
  <c r="H15" i="120" s="1"/>
  <c r="D15" i="120"/>
  <c r="E15" i="120" s="1"/>
  <c r="G14" i="120"/>
  <c r="H14" i="120" s="1"/>
  <c r="D14" i="120"/>
  <c r="E14" i="120" s="1"/>
  <c r="G13" i="120"/>
  <c r="H13" i="120" s="1"/>
  <c r="D13" i="120"/>
  <c r="E13" i="120" s="1"/>
  <c r="G12" i="120"/>
  <c r="H12" i="120" s="1"/>
  <c r="D12" i="120"/>
  <c r="E12" i="120" s="1"/>
  <c r="G11" i="120"/>
  <c r="H11" i="120" s="1"/>
  <c r="D11" i="120"/>
  <c r="E11" i="120" s="1"/>
  <c r="G10" i="120"/>
  <c r="H10" i="120" s="1"/>
  <c r="D10" i="120"/>
  <c r="E10" i="120" s="1"/>
  <c r="G9" i="120"/>
  <c r="H9" i="120" s="1"/>
  <c r="D9" i="120"/>
  <c r="E9" i="120" s="1"/>
  <c r="G8" i="120"/>
  <c r="H8" i="120" s="1"/>
  <c r="D8" i="120"/>
  <c r="E8" i="120" s="1"/>
  <c r="G7" i="120"/>
  <c r="H7" i="120" s="1"/>
  <c r="D7" i="120"/>
  <c r="E7" i="120" s="1"/>
  <c r="G6" i="120"/>
  <c r="H6" i="120" s="1"/>
  <c r="D6" i="120"/>
  <c r="E6" i="120" s="1"/>
  <c r="G5" i="120"/>
  <c r="H5" i="120" s="1"/>
  <c r="D5" i="120"/>
  <c r="E5" i="120" s="1"/>
  <c r="F17" i="119"/>
  <c r="C17" i="119"/>
  <c r="G13" i="119"/>
  <c r="H13" i="119" s="1"/>
  <c r="D13" i="119"/>
  <c r="G12" i="119"/>
  <c r="H12" i="119" s="1"/>
  <c r="G11" i="119"/>
  <c r="H11" i="119" s="1"/>
  <c r="G10" i="119"/>
  <c r="H10" i="119" s="1"/>
  <c r="G9" i="119"/>
  <c r="H9" i="119" s="1"/>
  <c r="G8" i="119"/>
  <c r="H8" i="119" s="1"/>
  <c r="G7" i="119"/>
  <c r="H7" i="119" s="1"/>
  <c r="G6" i="119"/>
  <c r="H6" i="119" s="1"/>
  <c r="E6" i="119"/>
  <c r="G5" i="119"/>
  <c r="H5" i="119" s="1"/>
  <c r="F17" i="118"/>
  <c r="C17" i="118"/>
  <c r="B17" i="118"/>
  <c r="G16" i="118"/>
  <c r="H16" i="118" s="1"/>
  <c r="D16" i="118"/>
  <c r="E16" i="118" s="1"/>
  <c r="G15" i="118"/>
  <c r="H15" i="118" s="1"/>
  <c r="D15" i="118"/>
  <c r="E15" i="118" s="1"/>
  <c r="G14" i="118"/>
  <c r="H14" i="118" s="1"/>
  <c r="D14" i="118"/>
  <c r="E14" i="118" s="1"/>
  <c r="G13" i="118"/>
  <c r="H13" i="118" s="1"/>
  <c r="D13" i="118"/>
  <c r="E13" i="118" s="1"/>
  <c r="G12" i="118"/>
  <c r="H12" i="118" s="1"/>
  <c r="D12" i="118"/>
  <c r="E12" i="118" s="1"/>
  <c r="G11" i="118"/>
  <c r="H11" i="118" s="1"/>
  <c r="D11" i="118"/>
  <c r="E11" i="118" s="1"/>
  <c r="G10" i="118"/>
  <c r="H10" i="118" s="1"/>
  <c r="D10" i="118"/>
  <c r="E10" i="118" s="1"/>
  <c r="G9" i="118"/>
  <c r="H9" i="118" s="1"/>
  <c r="D9" i="118"/>
  <c r="E9" i="118" s="1"/>
  <c r="G8" i="118"/>
  <c r="H8" i="118" s="1"/>
  <c r="D8" i="118"/>
  <c r="E8" i="118" s="1"/>
  <c r="G7" i="118"/>
  <c r="H7" i="118" s="1"/>
  <c r="D7" i="118"/>
  <c r="E7" i="118" s="1"/>
  <c r="G6" i="118"/>
  <c r="H6" i="118" s="1"/>
  <c r="D6" i="118"/>
  <c r="E6" i="118" s="1"/>
  <c r="G5" i="118"/>
  <c r="H5" i="118" s="1"/>
  <c r="D5" i="118"/>
  <c r="E5" i="118" s="1"/>
  <c r="F17" i="117"/>
  <c r="C17" i="117"/>
  <c r="B17" i="117"/>
  <c r="G16" i="117"/>
  <c r="H16" i="117" s="1"/>
  <c r="D16" i="117"/>
  <c r="E16" i="117" s="1"/>
  <c r="G15" i="117"/>
  <c r="H15" i="117" s="1"/>
  <c r="D15" i="117"/>
  <c r="E15" i="117" s="1"/>
  <c r="G14" i="117"/>
  <c r="H14" i="117" s="1"/>
  <c r="D14" i="117"/>
  <c r="E14" i="117" s="1"/>
  <c r="G13" i="117"/>
  <c r="H13" i="117" s="1"/>
  <c r="D13" i="117"/>
  <c r="E13" i="117" s="1"/>
  <c r="G12" i="117"/>
  <c r="H12" i="117" s="1"/>
  <c r="D12" i="117"/>
  <c r="E12" i="117" s="1"/>
  <c r="G11" i="117"/>
  <c r="H11" i="117" s="1"/>
  <c r="D11" i="117"/>
  <c r="E11" i="117" s="1"/>
  <c r="G10" i="117"/>
  <c r="H10" i="117" s="1"/>
  <c r="D10" i="117"/>
  <c r="E10" i="117" s="1"/>
  <c r="G9" i="117"/>
  <c r="H9" i="117" s="1"/>
  <c r="D9" i="117"/>
  <c r="E9" i="117" s="1"/>
  <c r="G8" i="117"/>
  <c r="H8" i="117" s="1"/>
  <c r="D8" i="117"/>
  <c r="E8" i="117" s="1"/>
  <c r="G7" i="117"/>
  <c r="H7" i="117" s="1"/>
  <c r="D7" i="117"/>
  <c r="E7" i="117" s="1"/>
  <c r="G6" i="117"/>
  <c r="H6" i="117" s="1"/>
  <c r="D6" i="117"/>
  <c r="E6" i="117" s="1"/>
  <c r="G5" i="117"/>
  <c r="H5" i="117" s="1"/>
  <c r="D5" i="117"/>
  <c r="E5" i="117" s="1"/>
  <c r="F17" i="116"/>
  <c r="C17" i="116"/>
  <c r="B17" i="116"/>
  <c r="G16" i="116"/>
  <c r="H16" i="116" s="1"/>
  <c r="D16" i="116"/>
  <c r="E16" i="116" s="1"/>
  <c r="G15" i="116"/>
  <c r="H15" i="116" s="1"/>
  <c r="D15" i="116"/>
  <c r="E15" i="116" s="1"/>
  <c r="G14" i="116"/>
  <c r="H14" i="116" s="1"/>
  <c r="D14" i="116"/>
  <c r="E14" i="116" s="1"/>
  <c r="G13" i="116"/>
  <c r="H13" i="116" s="1"/>
  <c r="D13" i="116"/>
  <c r="E13" i="116" s="1"/>
  <c r="G12" i="116"/>
  <c r="H12" i="116" s="1"/>
  <c r="D12" i="116"/>
  <c r="E12" i="116" s="1"/>
  <c r="G11" i="116"/>
  <c r="H11" i="116" s="1"/>
  <c r="D11" i="116"/>
  <c r="E11" i="116" s="1"/>
  <c r="G10" i="116"/>
  <c r="H10" i="116" s="1"/>
  <c r="D10" i="116"/>
  <c r="E10" i="116" s="1"/>
  <c r="G9" i="116"/>
  <c r="H9" i="116" s="1"/>
  <c r="D9" i="116"/>
  <c r="E9" i="116" s="1"/>
  <c r="G8" i="116"/>
  <c r="H8" i="116" s="1"/>
  <c r="D8" i="116"/>
  <c r="E8" i="116" s="1"/>
  <c r="G7" i="116"/>
  <c r="H7" i="116" s="1"/>
  <c r="D7" i="116"/>
  <c r="E7" i="116" s="1"/>
  <c r="G6" i="116"/>
  <c r="H6" i="116" s="1"/>
  <c r="D6" i="116"/>
  <c r="E6" i="116" s="1"/>
  <c r="G5" i="116"/>
  <c r="H5" i="116" s="1"/>
  <c r="D5" i="116"/>
  <c r="E5" i="116" s="1"/>
  <c r="F17" i="115"/>
  <c r="C17" i="115"/>
  <c r="B17" i="115"/>
  <c r="G16" i="115"/>
  <c r="H16" i="115" s="1"/>
  <c r="D16" i="115"/>
  <c r="E16" i="115" s="1"/>
  <c r="G15" i="115"/>
  <c r="H15" i="115" s="1"/>
  <c r="D15" i="115"/>
  <c r="E15" i="115" s="1"/>
  <c r="G14" i="115"/>
  <c r="H14" i="115" s="1"/>
  <c r="D14" i="115"/>
  <c r="E14" i="115" s="1"/>
  <c r="G13" i="115"/>
  <c r="H13" i="115" s="1"/>
  <c r="D13" i="115"/>
  <c r="E13" i="115" s="1"/>
  <c r="G12" i="115"/>
  <c r="H12" i="115" s="1"/>
  <c r="D12" i="115"/>
  <c r="E12" i="115" s="1"/>
  <c r="G11" i="115"/>
  <c r="H11" i="115" s="1"/>
  <c r="D11" i="115"/>
  <c r="E11" i="115" s="1"/>
  <c r="G10" i="115"/>
  <c r="H10" i="115" s="1"/>
  <c r="D10" i="115"/>
  <c r="E10" i="115" s="1"/>
  <c r="G9" i="115"/>
  <c r="H9" i="115" s="1"/>
  <c r="D9" i="115"/>
  <c r="E9" i="115" s="1"/>
  <c r="G8" i="115"/>
  <c r="H8" i="115" s="1"/>
  <c r="D8" i="115"/>
  <c r="E8" i="115" s="1"/>
  <c r="G7" i="115"/>
  <c r="H7" i="115" s="1"/>
  <c r="D7" i="115"/>
  <c r="E7" i="115" s="1"/>
  <c r="G6" i="115"/>
  <c r="H6" i="115" s="1"/>
  <c r="D6" i="115"/>
  <c r="E6" i="115" s="1"/>
  <c r="G5" i="115"/>
  <c r="H5" i="115" s="1"/>
  <c r="D5" i="115"/>
  <c r="E5" i="115" s="1"/>
  <c r="F17" i="114"/>
  <c r="C17" i="114"/>
  <c r="B17" i="114"/>
  <c r="G16" i="114"/>
  <c r="H16" i="114" s="1"/>
  <c r="D16" i="114"/>
  <c r="E16" i="114" s="1"/>
  <c r="G15" i="114"/>
  <c r="H15" i="114" s="1"/>
  <c r="D15" i="114"/>
  <c r="E15" i="114" s="1"/>
  <c r="G14" i="114"/>
  <c r="H14" i="114" s="1"/>
  <c r="D14" i="114"/>
  <c r="E14" i="114" s="1"/>
  <c r="G13" i="114"/>
  <c r="H13" i="114" s="1"/>
  <c r="D13" i="114"/>
  <c r="E13" i="114" s="1"/>
  <c r="G12" i="114"/>
  <c r="H12" i="114" s="1"/>
  <c r="D12" i="114"/>
  <c r="E12" i="114" s="1"/>
  <c r="G11" i="114"/>
  <c r="H11" i="114" s="1"/>
  <c r="D11" i="114"/>
  <c r="E11" i="114" s="1"/>
  <c r="G10" i="114"/>
  <c r="H10" i="114" s="1"/>
  <c r="D10" i="114"/>
  <c r="E10" i="114" s="1"/>
  <c r="G9" i="114"/>
  <c r="H9" i="114" s="1"/>
  <c r="D9" i="114"/>
  <c r="E9" i="114" s="1"/>
  <c r="G8" i="114"/>
  <c r="H8" i="114" s="1"/>
  <c r="D8" i="114"/>
  <c r="E8" i="114" s="1"/>
  <c r="G7" i="114"/>
  <c r="H7" i="114" s="1"/>
  <c r="D7" i="114"/>
  <c r="E7" i="114" s="1"/>
  <c r="G6" i="114"/>
  <c r="H6" i="114" s="1"/>
  <c r="D6" i="114"/>
  <c r="E6" i="114" s="1"/>
  <c r="G5" i="114"/>
  <c r="H5" i="114" s="1"/>
  <c r="D5" i="114"/>
  <c r="E5" i="114" s="1"/>
  <c r="F17" i="113"/>
  <c r="C17" i="113"/>
  <c r="B17" i="113"/>
  <c r="G16" i="113"/>
  <c r="H16" i="113" s="1"/>
  <c r="D16" i="113"/>
  <c r="E16" i="113" s="1"/>
  <c r="G15" i="113"/>
  <c r="H15" i="113" s="1"/>
  <c r="D15" i="113"/>
  <c r="E15" i="113" s="1"/>
  <c r="G14" i="113"/>
  <c r="H14" i="113" s="1"/>
  <c r="D14" i="113"/>
  <c r="E14" i="113" s="1"/>
  <c r="G13" i="113"/>
  <c r="H13" i="113" s="1"/>
  <c r="D13" i="113"/>
  <c r="E13" i="113" s="1"/>
  <c r="G12" i="113"/>
  <c r="H12" i="113" s="1"/>
  <c r="D12" i="113"/>
  <c r="E12" i="113" s="1"/>
  <c r="G11" i="113"/>
  <c r="H11" i="113" s="1"/>
  <c r="D11" i="113"/>
  <c r="E11" i="113" s="1"/>
  <c r="G10" i="113"/>
  <c r="H10" i="113" s="1"/>
  <c r="D10" i="113"/>
  <c r="E10" i="113" s="1"/>
  <c r="G9" i="113"/>
  <c r="H9" i="113" s="1"/>
  <c r="D9" i="113"/>
  <c r="E9" i="113" s="1"/>
  <c r="G8" i="113"/>
  <c r="H8" i="113" s="1"/>
  <c r="D8" i="113"/>
  <c r="E8" i="113" s="1"/>
  <c r="G7" i="113"/>
  <c r="H7" i="113" s="1"/>
  <c r="D7" i="113"/>
  <c r="E7" i="113" s="1"/>
  <c r="G6" i="113"/>
  <c r="H6" i="113" s="1"/>
  <c r="D6" i="113"/>
  <c r="E6" i="113" s="1"/>
  <c r="G5" i="113"/>
  <c r="H5" i="113" s="1"/>
  <c r="D5" i="113"/>
  <c r="E5" i="113" s="1"/>
  <c r="F17" i="112"/>
  <c r="C17" i="112"/>
  <c r="B17" i="112"/>
  <c r="H16" i="112"/>
  <c r="E16" i="112"/>
  <c r="G15" i="112"/>
  <c r="H15" i="112" s="1"/>
  <c r="D15" i="112"/>
  <c r="E15" i="112" s="1"/>
  <c r="G14" i="112"/>
  <c r="H14" i="112" s="1"/>
  <c r="D14" i="112"/>
  <c r="E14" i="112" s="1"/>
  <c r="G13" i="112"/>
  <c r="H13" i="112" s="1"/>
  <c r="D13" i="112"/>
  <c r="E13" i="112" s="1"/>
  <c r="G12" i="112"/>
  <c r="H12" i="112" s="1"/>
  <c r="D12" i="112"/>
  <c r="E12" i="112" s="1"/>
  <c r="G11" i="112"/>
  <c r="H11" i="112" s="1"/>
  <c r="D11" i="112"/>
  <c r="E11" i="112" s="1"/>
  <c r="G10" i="112"/>
  <c r="H10" i="112" s="1"/>
  <c r="D10" i="112"/>
  <c r="E10" i="112" s="1"/>
  <c r="G9" i="112"/>
  <c r="H9" i="112" s="1"/>
  <c r="D9" i="112"/>
  <c r="E9" i="112" s="1"/>
  <c r="G8" i="112"/>
  <c r="H8" i="112" s="1"/>
  <c r="D8" i="112"/>
  <c r="E8" i="112" s="1"/>
  <c r="G7" i="112"/>
  <c r="H7" i="112" s="1"/>
  <c r="D7" i="112"/>
  <c r="E7" i="112" s="1"/>
  <c r="G6" i="112"/>
  <c r="H6" i="112" s="1"/>
  <c r="D6" i="112"/>
  <c r="E6" i="112" s="1"/>
  <c r="G5" i="112"/>
  <c r="H5" i="112" s="1"/>
  <c r="D5" i="112"/>
  <c r="E5" i="112" s="1"/>
  <c r="D16" i="69"/>
  <c r="D15" i="69"/>
  <c r="E15" i="69" s="1"/>
  <c r="D14" i="69"/>
  <c r="E14" i="69" s="1"/>
  <c r="D13" i="69"/>
  <c r="E13" i="69" s="1"/>
  <c r="D12" i="69"/>
  <c r="E12" i="69" s="1"/>
  <c r="D11" i="69"/>
  <c r="E11" i="69" s="1"/>
  <c r="D10" i="69"/>
  <c r="E10" i="69" s="1"/>
  <c r="D9" i="69"/>
  <c r="E9" i="69" s="1"/>
  <c r="D8" i="69"/>
  <c r="E8" i="69" s="1"/>
  <c r="D7" i="69"/>
  <c r="E7" i="69" s="1"/>
  <c r="D6" i="69"/>
  <c r="E6" i="69" s="1"/>
  <c r="D5" i="69"/>
  <c r="E5" i="69" s="1"/>
  <c r="F17" i="111"/>
  <c r="C17" i="111"/>
  <c r="B17" i="111"/>
  <c r="G16" i="111"/>
  <c r="H16" i="111" s="1"/>
  <c r="D16" i="111"/>
  <c r="G15" i="111"/>
  <c r="H15" i="111" s="1"/>
  <c r="D15" i="111"/>
  <c r="G14" i="111"/>
  <c r="H14" i="111" s="1"/>
  <c r="D14" i="111"/>
  <c r="G13" i="111"/>
  <c r="H13" i="111" s="1"/>
  <c r="D13" i="111"/>
  <c r="G12" i="111"/>
  <c r="H12" i="111" s="1"/>
  <c r="D12" i="111"/>
  <c r="G11" i="111"/>
  <c r="H11" i="111" s="1"/>
  <c r="D11" i="111"/>
  <c r="G10" i="111"/>
  <c r="H10" i="111" s="1"/>
  <c r="D10" i="111"/>
  <c r="G9" i="111"/>
  <c r="H9" i="111" s="1"/>
  <c r="D9" i="111"/>
  <c r="G8" i="111"/>
  <c r="H8" i="111" s="1"/>
  <c r="D8" i="111"/>
  <c r="G7" i="111"/>
  <c r="H7" i="111" s="1"/>
  <c r="D7" i="111"/>
  <c r="G6" i="111"/>
  <c r="H6" i="111" s="1"/>
  <c r="D6" i="111"/>
  <c r="G5" i="111"/>
  <c r="H5" i="111" s="1"/>
  <c r="D5" i="111"/>
  <c r="F17" i="110"/>
  <c r="C17" i="110"/>
  <c r="B17" i="110"/>
  <c r="G16" i="110"/>
  <c r="H16" i="110" s="1"/>
  <c r="D16" i="110"/>
  <c r="E16" i="110" s="1"/>
  <c r="G15" i="110"/>
  <c r="H15" i="110" s="1"/>
  <c r="D15" i="110"/>
  <c r="E15" i="110" s="1"/>
  <c r="G14" i="110"/>
  <c r="H14" i="110" s="1"/>
  <c r="D14" i="110"/>
  <c r="E14" i="110" s="1"/>
  <c r="G13" i="110"/>
  <c r="H13" i="110" s="1"/>
  <c r="D13" i="110"/>
  <c r="E13" i="110" s="1"/>
  <c r="G12" i="110"/>
  <c r="H12" i="110" s="1"/>
  <c r="D12" i="110"/>
  <c r="E12" i="110" s="1"/>
  <c r="G11" i="110"/>
  <c r="H11" i="110" s="1"/>
  <c r="D11" i="110"/>
  <c r="E11" i="110" s="1"/>
  <c r="G10" i="110"/>
  <c r="H10" i="110" s="1"/>
  <c r="D10" i="110"/>
  <c r="E10" i="110" s="1"/>
  <c r="G9" i="110"/>
  <c r="H9" i="110" s="1"/>
  <c r="D9" i="110"/>
  <c r="E9" i="110" s="1"/>
  <c r="G8" i="110"/>
  <c r="H8" i="110" s="1"/>
  <c r="D8" i="110"/>
  <c r="E8" i="110" s="1"/>
  <c r="G7" i="110"/>
  <c r="H7" i="110" s="1"/>
  <c r="D7" i="110"/>
  <c r="E7" i="110" s="1"/>
  <c r="G6" i="110"/>
  <c r="H6" i="110" s="1"/>
  <c r="D6" i="110"/>
  <c r="E6" i="110" s="1"/>
  <c r="G5" i="110"/>
  <c r="H5" i="110" s="1"/>
  <c r="D5" i="110"/>
  <c r="E5" i="110" s="1"/>
  <c r="F17" i="109"/>
  <c r="C17" i="109"/>
  <c r="B17" i="109"/>
  <c r="G16" i="109"/>
  <c r="H16" i="109" s="1"/>
  <c r="D16" i="109"/>
  <c r="E16" i="109" s="1"/>
  <c r="G15" i="109"/>
  <c r="H15" i="109" s="1"/>
  <c r="D15" i="109"/>
  <c r="E15" i="109" s="1"/>
  <c r="G14" i="109"/>
  <c r="H14" i="109" s="1"/>
  <c r="D14" i="109"/>
  <c r="E14" i="109" s="1"/>
  <c r="G13" i="109"/>
  <c r="H13" i="109" s="1"/>
  <c r="D13" i="109"/>
  <c r="E13" i="109" s="1"/>
  <c r="G12" i="109"/>
  <c r="H12" i="109" s="1"/>
  <c r="D12" i="109"/>
  <c r="E12" i="109" s="1"/>
  <c r="G11" i="109"/>
  <c r="H11" i="109" s="1"/>
  <c r="D11" i="109"/>
  <c r="E11" i="109" s="1"/>
  <c r="G10" i="109"/>
  <c r="H10" i="109" s="1"/>
  <c r="D10" i="109"/>
  <c r="E10" i="109" s="1"/>
  <c r="G9" i="109"/>
  <c r="H9" i="109" s="1"/>
  <c r="D9" i="109"/>
  <c r="E9" i="109" s="1"/>
  <c r="G8" i="109"/>
  <c r="H8" i="109" s="1"/>
  <c r="D8" i="109"/>
  <c r="E8" i="109" s="1"/>
  <c r="G7" i="109"/>
  <c r="H7" i="109" s="1"/>
  <c r="D7" i="109"/>
  <c r="E7" i="109" s="1"/>
  <c r="G6" i="109"/>
  <c r="H6" i="109" s="1"/>
  <c r="D6" i="109"/>
  <c r="E6" i="109" s="1"/>
  <c r="G5" i="109"/>
  <c r="H5" i="109" s="1"/>
  <c r="D5" i="109"/>
  <c r="E5" i="109" s="1"/>
  <c r="F17" i="108"/>
  <c r="C17" i="108"/>
  <c r="B17" i="108"/>
  <c r="G16" i="108"/>
  <c r="H16" i="108" s="1"/>
  <c r="D16" i="108"/>
  <c r="E16" i="108" s="1"/>
  <c r="G15" i="108"/>
  <c r="H15" i="108" s="1"/>
  <c r="D15" i="108"/>
  <c r="E15" i="108" s="1"/>
  <c r="G14" i="108"/>
  <c r="H14" i="108" s="1"/>
  <c r="D14" i="108"/>
  <c r="E14" i="108" s="1"/>
  <c r="G13" i="108"/>
  <c r="H13" i="108" s="1"/>
  <c r="D13" i="108"/>
  <c r="E13" i="108" s="1"/>
  <c r="G12" i="108"/>
  <c r="H12" i="108" s="1"/>
  <c r="D12" i="108"/>
  <c r="E12" i="108" s="1"/>
  <c r="G11" i="108"/>
  <c r="H11" i="108" s="1"/>
  <c r="D11" i="108"/>
  <c r="E11" i="108" s="1"/>
  <c r="G10" i="108"/>
  <c r="H10" i="108" s="1"/>
  <c r="D10" i="108"/>
  <c r="E10" i="108" s="1"/>
  <c r="G9" i="108"/>
  <c r="H9" i="108" s="1"/>
  <c r="D9" i="108"/>
  <c r="E9" i="108" s="1"/>
  <c r="G8" i="108"/>
  <c r="H8" i="108" s="1"/>
  <c r="D8" i="108"/>
  <c r="E8" i="108" s="1"/>
  <c r="G7" i="108"/>
  <c r="H7" i="108" s="1"/>
  <c r="D7" i="108"/>
  <c r="E7" i="108" s="1"/>
  <c r="G6" i="108"/>
  <c r="H6" i="108" s="1"/>
  <c r="D6" i="108"/>
  <c r="E6" i="108" s="1"/>
  <c r="G5" i="108"/>
  <c r="H5" i="108" s="1"/>
  <c r="D5" i="108"/>
  <c r="E5" i="108" s="1"/>
  <c r="F17" i="107"/>
  <c r="C17" i="107"/>
  <c r="B17" i="107"/>
  <c r="G16" i="107"/>
  <c r="H16" i="107" s="1"/>
  <c r="D16" i="107"/>
  <c r="G15" i="107"/>
  <c r="H15" i="107" s="1"/>
  <c r="D15" i="107"/>
  <c r="E15" i="107" s="1"/>
  <c r="G14" i="107"/>
  <c r="H14" i="107" s="1"/>
  <c r="D14" i="107"/>
  <c r="E14" i="107" s="1"/>
  <c r="G13" i="107"/>
  <c r="H13" i="107" s="1"/>
  <c r="D13" i="107"/>
  <c r="E13" i="107" s="1"/>
  <c r="G12" i="107"/>
  <c r="H12" i="107" s="1"/>
  <c r="D12" i="107"/>
  <c r="E12" i="107" s="1"/>
  <c r="G11" i="107"/>
  <c r="H11" i="107" s="1"/>
  <c r="D11" i="107"/>
  <c r="E11" i="107" s="1"/>
  <c r="G10" i="107"/>
  <c r="H10" i="107" s="1"/>
  <c r="D10" i="107"/>
  <c r="E10" i="107" s="1"/>
  <c r="G9" i="107"/>
  <c r="H9" i="107" s="1"/>
  <c r="D9" i="107"/>
  <c r="E9" i="107" s="1"/>
  <c r="G8" i="107"/>
  <c r="H8" i="107" s="1"/>
  <c r="D8" i="107"/>
  <c r="E8" i="107" s="1"/>
  <c r="G7" i="107"/>
  <c r="H7" i="107" s="1"/>
  <c r="D7" i="107"/>
  <c r="E7" i="107" s="1"/>
  <c r="G6" i="107"/>
  <c r="H6" i="107" s="1"/>
  <c r="D6" i="107"/>
  <c r="E6" i="107" s="1"/>
  <c r="G5" i="107"/>
  <c r="H5" i="107" s="1"/>
  <c r="D5" i="107"/>
  <c r="F17" i="106"/>
  <c r="C17" i="106"/>
  <c r="B17" i="106"/>
  <c r="G16" i="106"/>
  <c r="H16" i="106" s="1"/>
  <c r="D16" i="106"/>
  <c r="G15" i="106"/>
  <c r="H15" i="106" s="1"/>
  <c r="D15" i="106"/>
  <c r="E15" i="106" s="1"/>
  <c r="G14" i="106"/>
  <c r="H14" i="106" s="1"/>
  <c r="D14" i="106"/>
  <c r="E14" i="106" s="1"/>
  <c r="G13" i="106"/>
  <c r="H13" i="106" s="1"/>
  <c r="D13" i="106"/>
  <c r="E13" i="106" s="1"/>
  <c r="G12" i="106"/>
  <c r="H12" i="106" s="1"/>
  <c r="D12" i="106"/>
  <c r="E12" i="106" s="1"/>
  <c r="G11" i="106"/>
  <c r="H11" i="106" s="1"/>
  <c r="D11" i="106"/>
  <c r="E11" i="106" s="1"/>
  <c r="G10" i="106"/>
  <c r="H10" i="106" s="1"/>
  <c r="D10" i="106"/>
  <c r="E10" i="106" s="1"/>
  <c r="G9" i="106"/>
  <c r="H9" i="106" s="1"/>
  <c r="D9" i="106"/>
  <c r="E9" i="106" s="1"/>
  <c r="G8" i="106"/>
  <c r="H8" i="106" s="1"/>
  <c r="D8" i="106"/>
  <c r="E8" i="106" s="1"/>
  <c r="G7" i="106"/>
  <c r="H7" i="106" s="1"/>
  <c r="D7" i="106"/>
  <c r="E7" i="106" s="1"/>
  <c r="G6" i="106"/>
  <c r="H6" i="106" s="1"/>
  <c r="D6" i="106"/>
  <c r="E6" i="106" s="1"/>
  <c r="G5" i="106"/>
  <c r="H5" i="106" s="1"/>
  <c r="D5" i="106"/>
  <c r="E5" i="106" s="1"/>
  <c r="F17" i="105"/>
  <c r="C17" i="105"/>
  <c r="B17" i="105"/>
  <c r="G16" i="105"/>
  <c r="H16" i="105" s="1"/>
  <c r="D16" i="105"/>
  <c r="E16" i="105" s="1"/>
  <c r="G15" i="105"/>
  <c r="H15" i="105" s="1"/>
  <c r="D15" i="105"/>
  <c r="E15" i="105" s="1"/>
  <c r="G14" i="105"/>
  <c r="H14" i="105" s="1"/>
  <c r="D14" i="105"/>
  <c r="E14" i="105" s="1"/>
  <c r="G13" i="105"/>
  <c r="H13" i="105" s="1"/>
  <c r="D13" i="105"/>
  <c r="E13" i="105" s="1"/>
  <c r="G12" i="105"/>
  <c r="H12" i="105" s="1"/>
  <c r="D12" i="105"/>
  <c r="E12" i="105" s="1"/>
  <c r="G11" i="105"/>
  <c r="H11" i="105" s="1"/>
  <c r="D11" i="105"/>
  <c r="E11" i="105" s="1"/>
  <c r="G10" i="105"/>
  <c r="H10" i="105" s="1"/>
  <c r="D10" i="105"/>
  <c r="E10" i="105" s="1"/>
  <c r="G9" i="105"/>
  <c r="H9" i="105" s="1"/>
  <c r="D9" i="105"/>
  <c r="E9" i="105" s="1"/>
  <c r="G8" i="105"/>
  <c r="H8" i="105" s="1"/>
  <c r="D8" i="105"/>
  <c r="E8" i="105" s="1"/>
  <c r="G7" i="105"/>
  <c r="H7" i="105" s="1"/>
  <c r="D7" i="105"/>
  <c r="E7" i="105" s="1"/>
  <c r="G6" i="105"/>
  <c r="H6" i="105" s="1"/>
  <c r="D6" i="105"/>
  <c r="E6" i="105" s="1"/>
  <c r="G5" i="105"/>
  <c r="H5" i="105" s="1"/>
  <c r="D5" i="105"/>
  <c r="F17" i="104"/>
  <c r="C17" i="104"/>
  <c r="G16" i="104"/>
  <c r="H16" i="104" s="1"/>
  <c r="D16" i="104"/>
  <c r="E16" i="104" s="1"/>
  <c r="G15" i="104"/>
  <c r="H15" i="104" s="1"/>
  <c r="D15" i="104"/>
  <c r="E15" i="104" s="1"/>
  <c r="G14" i="104"/>
  <c r="H14" i="104" s="1"/>
  <c r="D14" i="104"/>
  <c r="E14" i="104" s="1"/>
  <c r="G13" i="104"/>
  <c r="H13" i="104" s="1"/>
  <c r="D13" i="104"/>
  <c r="E13" i="104" s="1"/>
  <c r="G12" i="104"/>
  <c r="H12" i="104" s="1"/>
  <c r="D12" i="104"/>
  <c r="E12" i="104" s="1"/>
  <c r="G11" i="104"/>
  <c r="H11" i="104" s="1"/>
  <c r="D11" i="104"/>
  <c r="E11" i="104" s="1"/>
  <c r="G10" i="104"/>
  <c r="H10" i="104" s="1"/>
  <c r="D10" i="104"/>
  <c r="E10" i="104" s="1"/>
  <c r="G9" i="104"/>
  <c r="H9" i="104" s="1"/>
  <c r="D9" i="104"/>
  <c r="E9" i="104" s="1"/>
  <c r="G8" i="104"/>
  <c r="H8" i="104" s="1"/>
  <c r="D8" i="104"/>
  <c r="E8" i="104" s="1"/>
  <c r="G7" i="104"/>
  <c r="H7" i="104" s="1"/>
  <c r="D7" i="104"/>
  <c r="E7" i="104" s="1"/>
  <c r="G6" i="104"/>
  <c r="H6" i="104" s="1"/>
  <c r="D6" i="104"/>
  <c r="E6" i="104" s="1"/>
  <c r="G5" i="104"/>
  <c r="H5" i="104" s="1"/>
  <c r="D5" i="104"/>
  <c r="E5" i="104" s="1"/>
  <c r="F18" i="103"/>
  <c r="C18" i="103"/>
  <c r="G16" i="103"/>
  <c r="H16" i="103" s="1"/>
  <c r="D16" i="103"/>
  <c r="E16" i="103" s="1"/>
  <c r="G15" i="103"/>
  <c r="H15" i="103" s="1"/>
  <c r="D15" i="103"/>
  <c r="E15" i="103" s="1"/>
  <c r="G14" i="103"/>
  <c r="H14" i="103" s="1"/>
  <c r="D14" i="103"/>
  <c r="E14" i="103" s="1"/>
  <c r="G13" i="103"/>
  <c r="H13" i="103" s="1"/>
  <c r="D13" i="103"/>
  <c r="E13" i="103" s="1"/>
  <c r="G12" i="103"/>
  <c r="H12" i="103" s="1"/>
  <c r="D12" i="103"/>
  <c r="E12" i="103" s="1"/>
  <c r="G11" i="103"/>
  <c r="H11" i="103" s="1"/>
  <c r="D11" i="103"/>
  <c r="E11" i="103" s="1"/>
  <c r="G10" i="103"/>
  <c r="H10" i="103" s="1"/>
  <c r="D10" i="103"/>
  <c r="E10" i="103" s="1"/>
  <c r="G9" i="103"/>
  <c r="H9" i="103" s="1"/>
  <c r="D9" i="103"/>
  <c r="E9" i="103" s="1"/>
  <c r="G8" i="103"/>
  <c r="H8" i="103" s="1"/>
  <c r="D8" i="103"/>
  <c r="E8" i="103" s="1"/>
  <c r="G7" i="103"/>
  <c r="H7" i="103" s="1"/>
  <c r="D7" i="103"/>
  <c r="E7" i="103" s="1"/>
  <c r="G6" i="103"/>
  <c r="H6" i="103" s="1"/>
  <c r="D6" i="103"/>
  <c r="E6" i="103" s="1"/>
  <c r="G5" i="103"/>
  <c r="H5" i="103" s="1"/>
  <c r="D5" i="103"/>
  <c r="E5" i="103" s="1"/>
  <c r="F17" i="102"/>
  <c r="C17" i="102"/>
  <c r="B17" i="102"/>
  <c r="G16" i="102"/>
  <c r="H16" i="102" s="1"/>
  <c r="E16" i="102"/>
  <c r="G15" i="102"/>
  <c r="H15" i="102" s="1"/>
  <c r="E15" i="102"/>
  <c r="G14" i="102"/>
  <c r="H14" i="102" s="1"/>
  <c r="E14" i="102"/>
  <c r="G13" i="102"/>
  <c r="H13" i="102" s="1"/>
  <c r="E13" i="102"/>
  <c r="G12" i="102"/>
  <c r="H12" i="102" s="1"/>
  <c r="E12" i="102"/>
  <c r="G11" i="102"/>
  <c r="H11" i="102" s="1"/>
  <c r="E11" i="102"/>
  <c r="G10" i="102"/>
  <c r="H10" i="102" s="1"/>
  <c r="E10" i="102"/>
  <c r="G9" i="102"/>
  <c r="H9" i="102" s="1"/>
  <c r="D9" i="102"/>
  <c r="E9" i="102" s="1"/>
  <c r="G8" i="102"/>
  <c r="H8" i="102" s="1"/>
  <c r="D8" i="102"/>
  <c r="E8" i="102" s="1"/>
  <c r="G7" i="102"/>
  <c r="H7" i="102" s="1"/>
  <c r="D7" i="102"/>
  <c r="E7" i="102" s="1"/>
  <c r="G6" i="102"/>
  <c r="H6" i="102" s="1"/>
  <c r="D6" i="102"/>
  <c r="E6" i="102" s="1"/>
  <c r="G5" i="102"/>
  <c r="H5" i="102" s="1"/>
  <c r="D5" i="102"/>
  <c r="E5" i="102" s="1"/>
  <c r="F17" i="101"/>
  <c r="C17" i="101"/>
  <c r="B17" i="101"/>
  <c r="G16" i="101"/>
  <c r="H16" i="101" s="1"/>
  <c r="D16" i="101"/>
  <c r="E16" i="101" s="1"/>
  <c r="G15" i="101"/>
  <c r="H15" i="101" s="1"/>
  <c r="D15" i="101"/>
  <c r="E15" i="101" s="1"/>
  <c r="G14" i="101"/>
  <c r="H14" i="101" s="1"/>
  <c r="D14" i="101"/>
  <c r="E14" i="101" s="1"/>
  <c r="G13" i="101"/>
  <c r="H13" i="101" s="1"/>
  <c r="D13" i="101"/>
  <c r="E13" i="101" s="1"/>
  <c r="G12" i="101"/>
  <c r="H12" i="101" s="1"/>
  <c r="D12" i="101"/>
  <c r="E12" i="101" s="1"/>
  <c r="G11" i="101"/>
  <c r="H11" i="101" s="1"/>
  <c r="D11" i="101"/>
  <c r="E11" i="101" s="1"/>
  <c r="G10" i="101"/>
  <c r="H10" i="101" s="1"/>
  <c r="D10" i="101"/>
  <c r="E10" i="101" s="1"/>
  <c r="G9" i="101"/>
  <c r="H9" i="101" s="1"/>
  <c r="D9" i="101"/>
  <c r="E9" i="101" s="1"/>
  <c r="G8" i="101"/>
  <c r="H8" i="101" s="1"/>
  <c r="D8" i="101"/>
  <c r="E8" i="101" s="1"/>
  <c r="G7" i="101"/>
  <c r="H7" i="101" s="1"/>
  <c r="D7" i="101"/>
  <c r="E7" i="101" s="1"/>
  <c r="G6" i="101"/>
  <c r="H6" i="101" s="1"/>
  <c r="D6" i="101"/>
  <c r="E6" i="101" s="1"/>
  <c r="G5" i="101"/>
  <c r="H5" i="101" s="1"/>
  <c r="D5" i="101"/>
  <c r="E5" i="101" s="1"/>
  <c r="F17" i="100"/>
  <c r="C17" i="100"/>
  <c r="B17" i="100"/>
  <c r="G16" i="100"/>
  <c r="H16" i="100" s="1"/>
  <c r="D16" i="100"/>
  <c r="E16" i="100" s="1"/>
  <c r="G15" i="100"/>
  <c r="H15" i="100" s="1"/>
  <c r="D15" i="100"/>
  <c r="E15" i="100" s="1"/>
  <c r="G14" i="100"/>
  <c r="H14" i="100" s="1"/>
  <c r="D14" i="100"/>
  <c r="E14" i="100" s="1"/>
  <c r="G13" i="100"/>
  <c r="H13" i="100" s="1"/>
  <c r="D13" i="100"/>
  <c r="E13" i="100" s="1"/>
  <c r="G12" i="100"/>
  <c r="H12" i="100" s="1"/>
  <c r="D12" i="100"/>
  <c r="E12" i="100" s="1"/>
  <c r="G11" i="100"/>
  <c r="H11" i="100" s="1"/>
  <c r="D11" i="100"/>
  <c r="E11" i="100" s="1"/>
  <c r="G10" i="100"/>
  <c r="H10" i="100" s="1"/>
  <c r="D10" i="100"/>
  <c r="E10" i="100" s="1"/>
  <c r="G9" i="100"/>
  <c r="H9" i="100" s="1"/>
  <c r="D9" i="100"/>
  <c r="E9" i="100" s="1"/>
  <c r="G8" i="100"/>
  <c r="H8" i="100" s="1"/>
  <c r="D8" i="100"/>
  <c r="E8" i="100" s="1"/>
  <c r="G7" i="100"/>
  <c r="H7" i="100" s="1"/>
  <c r="D7" i="100"/>
  <c r="E7" i="100" s="1"/>
  <c r="G6" i="100"/>
  <c r="H6" i="100" s="1"/>
  <c r="D6" i="100"/>
  <c r="E6" i="100" s="1"/>
  <c r="G5" i="100"/>
  <c r="H5" i="100" s="1"/>
  <c r="D5" i="100"/>
  <c r="F17" i="99"/>
  <c r="C17" i="99"/>
  <c r="B17" i="99"/>
  <c r="G16" i="99"/>
  <c r="H16" i="99" s="1"/>
  <c r="D16" i="99"/>
  <c r="E16" i="99" s="1"/>
  <c r="G15" i="99"/>
  <c r="H15" i="99" s="1"/>
  <c r="D15" i="99"/>
  <c r="E15" i="99" s="1"/>
  <c r="G14" i="99"/>
  <c r="H14" i="99" s="1"/>
  <c r="D14" i="99"/>
  <c r="E14" i="99" s="1"/>
  <c r="G13" i="99"/>
  <c r="H13" i="99" s="1"/>
  <c r="D13" i="99"/>
  <c r="E13" i="99" s="1"/>
  <c r="G12" i="99"/>
  <c r="H12" i="99" s="1"/>
  <c r="D12" i="99"/>
  <c r="E12" i="99" s="1"/>
  <c r="G11" i="99"/>
  <c r="H11" i="99" s="1"/>
  <c r="D11" i="99"/>
  <c r="E11" i="99" s="1"/>
  <c r="G10" i="99"/>
  <c r="H10" i="99" s="1"/>
  <c r="D10" i="99"/>
  <c r="E10" i="99" s="1"/>
  <c r="G9" i="99"/>
  <c r="H9" i="99" s="1"/>
  <c r="D9" i="99"/>
  <c r="E9" i="99" s="1"/>
  <c r="G8" i="99"/>
  <c r="H8" i="99" s="1"/>
  <c r="D8" i="99"/>
  <c r="E8" i="99" s="1"/>
  <c r="G7" i="99"/>
  <c r="H7" i="99" s="1"/>
  <c r="D7" i="99"/>
  <c r="E7" i="99" s="1"/>
  <c r="G6" i="99"/>
  <c r="H6" i="99" s="1"/>
  <c r="D6" i="99"/>
  <c r="E6" i="99" s="1"/>
  <c r="G5" i="99"/>
  <c r="H5" i="99" s="1"/>
  <c r="D5" i="99"/>
  <c r="F17" i="98"/>
  <c r="C17" i="98"/>
  <c r="B17" i="98"/>
  <c r="G16" i="98"/>
  <c r="D16" i="98"/>
  <c r="E16" i="98" s="1"/>
  <c r="G15" i="98"/>
  <c r="H15" i="98" s="1"/>
  <c r="D15" i="98"/>
  <c r="E15" i="98" s="1"/>
  <c r="G14" i="98"/>
  <c r="H14" i="98" s="1"/>
  <c r="D14" i="98"/>
  <c r="E14" i="98" s="1"/>
  <c r="G13" i="98"/>
  <c r="H13" i="98" s="1"/>
  <c r="D13" i="98"/>
  <c r="E13" i="98" s="1"/>
  <c r="G12" i="98"/>
  <c r="H12" i="98" s="1"/>
  <c r="D12" i="98"/>
  <c r="E12" i="98" s="1"/>
  <c r="G11" i="98"/>
  <c r="H11" i="98" s="1"/>
  <c r="D11" i="98"/>
  <c r="E11" i="98" s="1"/>
  <c r="G10" i="98"/>
  <c r="H10" i="98" s="1"/>
  <c r="D10" i="98"/>
  <c r="E10" i="98" s="1"/>
  <c r="G9" i="98"/>
  <c r="H9" i="98" s="1"/>
  <c r="D9" i="98"/>
  <c r="E9" i="98" s="1"/>
  <c r="G8" i="98"/>
  <c r="H8" i="98" s="1"/>
  <c r="D8" i="98"/>
  <c r="E8" i="98" s="1"/>
  <c r="G7" i="98"/>
  <c r="H7" i="98" s="1"/>
  <c r="D7" i="98"/>
  <c r="E7" i="98" s="1"/>
  <c r="G6" i="98"/>
  <c r="H6" i="98" s="1"/>
  <c r="D6" i="98"/>
  <c r="E6" i="98" s="1"/>
  <c r="G5" i="98"/>
  <c r="H5" i="98" s="1"/>
  <c r="D5" i="98"/>
  <c r="E5" i="98" s="1"/>
  <c r="F17" i="97"/>
  <c r="C17" i="97"/>
  <c r="B17" i="97"/>
  <c r="G16" i="97"/>
  <c r="D16" i="97"/>
  <c r="E16" i="97" s="1"/>
  <c r="G15" i="97"/>
  <c r="H15" i="97" s="1"/>
  <c r="D15" i="97"/>
  <c r="E15" i="97" s="1"/>
  <c r="G14" i="97"/>
  <c r="H14" i="97" s="1"/>
  <c r="D14" i="97"/>
  <c r="E14" i="97" s="1"/>
  <c r="G13" i="97"/>
  <c r="H13" i="97" s="1"/>
  <c r="D13" i="97"/>
  <c r="E13" i="97" s="1"/>
  <c r="G12" i="97"/>
  <c r="H12" i="97" s="1"/>
  <c r="D12" i="97"/>
  <c r="E12" i="97" s="1"/>
  <c r="G11" i="97"/>
  <c r="H11" i="97" s="1"/>
  <c r="D11" i="97"/>
  <c r="E11" i="97" s="1"/>
  <c r="G10" i="97"/>
  <c r="H10" i="97" s="1"/>
  <c r="D10" i="97"/>
  <c r="E10" i="97" s="1"/>
  <c r="G9" i="97"/>
  <c r="H9" i="97" s="1"/>
  <c r="D9" i="97"/>
  <c r="E9" i="97" s="1"/>
  <c r="G8" i="97"/>
  <c r="H8" i="97" s="1"/>
  <c r="D8" i="97"/>
  <c r="E8" i="97" s="1"/>
  <c r="G7" i="97"/>
  <c r="H7" i="97" s="1"/>
  <c r="D7" i="97"/>
  <c r="E7" i="97" s="1"/>
  <c r="G6" i="97"/>
  <c r="H6" i="97" s="1"/>
  <c r="D6" i="97"/>
  <c r="E6" i="97" s="1"/>
  <c r="G5" i="97"/>
  <c r="H5" i="97" s="1"/>
  <c r="D5" i="97"/>
  <c r="E5" i="97" s="1"/>
  <c r="F17" i="96"/>
  <c r="C17" i="96"/>
  <c r="B17" i="96"/>
  <c r="G16" i="96"/>
  <c r="H16" i="96" s="1"/>
  <c r="D16" i="96"/>
  <c r="G15" i="96"/>
  <c r="H15" i="96" s="1"/>
  <c r="D15" i="96"/>
  <c r="E15" i="96" s="1"/>
  <c r="G14" i="96"/>
  <c r="H14" i="96" s="1"/>
  <c r="D14" i="96"/>
  <c r="E14" i="96" s="1"/>
  <c r="G13" i="96"/>
  <c r="H13" i="96" s="1"/>
  <c r="D13" i="96"/>
  <c r="E13" i="96" s="1"/>
  <c r="G12" i="96"/>
  <c r="H12" i="96" s="1"/>
  <c r="D12" i="96"/>
  <c r="E12" i="96" s="1"/>
  <c r="G11" i="96"/>
  <c r="H11" i="96" s="1"/>
  <c r="D11" i="96"/>
  <c r="E11" i="96" s="1"/>
  <c r="G10" i="96"/>
  <c r="H10" i="96" s="1"/>
  <c r="D10" i="96"/>
  <c r="E10" i="96" s="1"/>
  <c r="G9" i="96"/>
  <c r="H9" i="96" s="1"/>
  <c r="D9" i="96"/>
  <c r="E9" i="96" s="1"/>
  <c r="G8" i="96"/>
  <c r="H8" i="96" s="1"/>
  <c r="D8" i="96"/>
  <c r="E8" i="96" s="1"/>
  <c r="G7" i="96"/>
  <c r="H7" i="96" s="1"/>
  <c r="D7" i="96"/>
  <c r="E7" i="96" s="1"/>
  <c r="G6" i="96"/>
  <c r="H6" i="96" s="1"/>
  <c r="D6" i="96"/>
  <c r="E6" i="96" s="1"/>
  <c r="G5" i="96"/>
  <c r="H5" i="96" s="1"/>
  <c r="D5" i="96"/>
  <c r="E5" i="96" s="1"/>
  <c r="F17" i="95"/>
  <c r="C17" i="95"/>
  <c r="B17" i="95"/>
  <c r="G16" i="95"/>
  <c r="D16" i="95"/>
  <c r="E16" i="95" s="1"/>
  <c r="G15" i="95"/>
  <c r="H15" i="95" s="1"/>
  <c r="D15" i="95"/>
  <c r="E15" i="95" s="1"/>
  <c r="G14" i="95"/>
  <c r="H14" i="95" s="1"/>
  <c r="D14" i="95"/>
  <c r="E14" i="95" s="1"/>
  <c r="G13" i="95"/>
  <c r="H13" i="95" s="1"/>
  <c r="D13" i="95"/>
  <c r="E13" i="95" s="1"/>
  <c r="G12" i="95"/>
  <c r="H12" i="95" s="1"/>
  <c r="D12" i="95"/>
  <c r="E12" i="95" s="1"/>
  <c r="G11" i="95"/>
  <c r="H11" i="95" s="1"/>
  <c r="D11" i="95"/>
  <c r="E11" i="95" s="1"/>
  <c r="G10" i="95"/>
  <c r="H10" i="95" s="1"/>
  <c r="D10" i="95"/>
  <c r="E10" i="95" s="1"/>
  <c r="G9" i="95"/>
  <c r="H9" i="95" s="1"/>
  <c r="D9" i="95"/>
  <c r="E9" i="95" s="1"/>
  <c r="G8" i="95"/>
  <c r="H8" i="95" s="1"/>
  <c r="D8" i="95"/>
  <c r="E8" i="95" s="1"/>
  <c r="G7" i="95"/>
  <c r="H7" i="95" s="1"/>
  <c r="D7" i="95"/>
  <c r="E7" i="95" s="1"/>
  <c r="G6" i="95"/>
  <c r="H6" i="95" s="1"/>
  <c r="D6" i="95"/>
  <c r="E6" i="95" s="1"/>
  <c r="G5" i="95"/>
  <c r="H5" i="95" s="1"/>
  <c r="D5" i="95"/>
  <c r="E5" i="95" s="1"/>
  <c r="F17" i="94"/>
  <c r="C17" i="94"/>
  <c r="B17" i="94"/>
  <c r="G16" i="94"/>
  <c r="D16" i="94"/>
  <c r="E16" i="94" s="1"/>
  <c r="G15" i="94"/>
  <c r="H15" i="94" s="1"/>
  <c r="D15" i="94"/>
  <c r="E15" i="94" s="1"/>
  <c r="G14" i="94"/>
  <c r="H14" i="94" s="1"/>
  <c r="D14" i="94"/>
  <c r="E14" i="94" s="1"/>
  <c r="G13" i="94"/>
  <c r="H13" i="94" s="1"/>
  <c r="D13" i="94"/>
  <c r="E13" i="94" s="1"/>
  <c r="G12" i="94"/>
  <c r="H12" i="94" s="1"/>
  <c r="D12" i="94"/>
  <c r="E12" i="94" s="1"/>
  <c r="G11" i="94"/>
  <c r="H11" i="94" s="1"/>
  <c r="D11" i="94"/>
  <c r="E11" i="94" s="1"/>
  <c r="G10" i="94"/>
  <c r="H10" i="94" s="1"/>
  <c r="D10" i="94"/>
  <c r="E10" i="94" s="1"/>
  <c r="G9" i="94"/>
  <c r="H9" i="94" s="1"/>
  <c r="D9" i="94"/>
  <c r="E9" i="94" s="1"/>
  <c r="G8" i="94"/>
  <c r="H8" i="94" s="1"/>
  <c r="D8" i="94"/>
  <c r="E8" i="94" s="1"/>
  <c r="G7" i="94"/>
  <c r="H7" i="94" s="1"/>
  <c r="D7" i="94"/>
  <c r="E7" i="94" s="1"/>
  <c r="G6" i="94"/>
  <c r="H6" i="94" s="1"/>
  <c r="D6" i="94"/>
  <c r="E6" i="94" s="1"/>
  <c r="G5" i="94"/>
  <c r="H5" i="94" s="1"/>
  <c r="D5" i="94"/>
  <c r="E5" i="94" s="1"/>
  <c r="F17" i="93"/>
  <c r="C17" i="93"/>
  <c r="G16" i="93"/>
  <c r="D16" i="93"/>
  <c r="E16" i="93" s="1"/>
  <c r="G15" i="93"/>
  <c r="H15" i="93" s="1"/>
  <c r="D15" i="93"/>
  <c r="E15" i="93" s="1"/>
  <c r="G14" i="93"/>
  <c r="H14" i="93" s="1"/>
  <c r="D14" i="93"/>
  <c r="E14" i="93" s="1"/>
  <c r="G13" i="93"/>
  <c r="H13" i="93" s="1"/>
  <c r="D13" i="93"/>
  <c r="E13" i="93" s="1"/>
  <c r="G12" i="93"/>
  <c r="H12" i="93" s="1"/>
  <c r="D12" i="93"/>
  <c r="E12" i="93" s="1"/>
  <c r="G11" i="93"/>
  <c r="H11" i="93" s="1"/>
  <c r="D11" i="93"/>
  <c r="E11" i="93" s="1"/>
  <c r="G10" i="93"/>
  <c r="H10" i="93" s="1"/>
  <c r="D10" i="93"/>
  <c r="E10" i="93" s="1"/>
  <c r="G9" i="93"/>
  <c r="H9" i="93" s="1"/>
  <c r="D9" i="93"/>
  <c r="E9" i="93" s="1"/>
  <c r="G8" i="93"/>
  <c r="H8" i="93" s="1"/>
  <c r="D8" i="93"/>
  <c r="E8" i="93" s="1"/>
  <c r="G7" i="93"/>
  <c r="H7" i="93" s="1"/>
  <c r="D7" i="93"/>
  <c r="E7" i="93" s="1"/>
  <c r="G6" i="93"/>
  <c r="H6" i="93" s="1"/>
  <c r="D6" i="93"/>
  <c r="E6" i="93" s="1"/>
  <c r="G5" i="93"/>
  <c r="H5" i="93" s="1"/>
  <c r="D5" i="93"/>
  <c r="E5" i="93" s="1"/>
  <c r="F17" i="92"/>
  <c r="C17" i="92"/>
  <c r="B17" i="92"/>
  <c r="G16" i="92"/>
  <c r="H16" i="92" s="1"/>
  <c r="D16" i="92"/>
  <c r="G15" i="92"/>
  <c r="H15" i="92" s="1"/>
  <c r="D15" i="92"/>
  <c r="E15" i="92" s="1"/>
  <c r="G14" i="92"/>
  <c r="H14" i="92" s="1"/>
  <c r="D14" i="92"/>
  <c r="E14" i="92" s="1"/>
  <c r="G13" i="92"/>
  <c r="H13" i="92" s="1"/>
  <c r="D13" i="92"/>
  <c r="E13" i="92" s="1"/>
  <c r="G12" i="92"/>
  <c r="D12" i="92"/>
  <c r="E12" i="92" s="1"/>
  <c r="G11" i="92"/>
  <c r="H11" i="92" s="1"/>
  <c r="D11" i="92"/>
  <c r="E11" i="92" s="1"/>
  <c r="G10" i="92"/>
  <c r="H10" i="92" s="1"/>
  <c r="D10" i="92"/>
  <c r="E10" i="92" s="1"/>
  <c r="G9" i="92"/>
  <c r="H9" i="92" s="1"/>
  <c r="D9" i="92"/>
  <c r="E9" i="92" s="1"/>
  <c r="G8" i="92"/>
  <c r="H8" i="92" s="1"/>
  <c r="D8" i="92"/>
  <c r="E8" i="92" s="1"/>
  <c r="G7" i="92"/>
  <c r="H7" i="92" s="1"/>
  <c r="D7" i="92"/>
  <c r="E7" i="92" s="1"/>
  <c r="G6" i="92"/>
  <c r="H6" i="92" s="1"/>
  <c r="D6" i="92"/>
  <c r="E6" i="92" s="1"/>
  <c r="G5" i="92"/>
  <c r="H5" i="92" s="1"/>
  <c r="D5" i="92"/>
  <c r="E5" i="92" s="1"/>
  <c r="F17" i="91"/>
  <c r="C17" i="91"/>
  <c r="B17" i="91"/>
  <c r="G16" i="91"/>
  <c r="H16" i="91" s="1"/>
  <c r="D16" i="91"/>
  <c r="G15" i="91"/>
  <c r="H15" i="91" s="1"/>
  <c r="D15" i="91"/>
  <c r="E15" i="91" s="1"/>
  <c r="G14" i="91"/>
  <c r="H14" i="91" s="1"/>
  <c r="D14" i="91"/>
  <c r="E14" i="91" s="1"/>
  <c r="G13" i="91"/>
  <c r="H13" i="91" s="1"/>
  <c r="D13" i="91"/>
  <c r="E13" i="91" s="1"/>
  <c r="G12" i="91"/>
  <c r="H12" i="91" s="1"/>
  <c r="D12" i="91"/>
  <c r="E12" i="91" s="1"/>
  <c r="G11" i="91"/>
  <c r="H11" i="91" s="1"/>
  <c r="D11" i="91"/>
  <c r="E11" i="91" s="1"/>
  <c r="G10" i="91"/>
  <c r="H10" i="91" s="1"/>
  <c r="D10" i="91"/>
  <c r="E10" i="91" s="1"/>
  <c r="G9" i="91"/>
  <c r="H9" i="91" s="1"/>
  <c r="D9" i="91"/>
  <c r="E9" i="91" s="1"/>
  <c r="G8" i="91"/>
  <c r="H8" i="91" s="1"/>
  <c r="D8" i="91"/>
  <c r="E8" i="91" s="1"/>
  <c r="G7" i="91"/>
  <c r="H7" i="91" s="1"/>
  <c r="D7" i="91"/>
  <c r="E7" i="91" s="1"/>
  <c r="G6" i="91"/>
  <c r="H6" i="91" s="1"/>
  <c r="D6" i="91"/>
  <c r="E6" i="91" s="1"/>
  <c r="G5" i="91"/>
  <c r="H5" i="91" s="1"/>
  <c r="D5" i="91"/>
  <c r="E5" i="91" s="1"/>
  <c r="F17" i="90"/>
  <c r="C17" i="90"/>
  <c r="B17" i="90"/>
  <c r="G16" i="90"/>
  <c r="D16" i="90"/>
  <c r="G15" i="90"/>
  <c r="H15" i="90" s="1"/>
  <c r="D15" i="90"/>
  <c r="E15" i="90" s="1"/>
  <c r="G14" i="90"/>
  <c r="H14" i="90" s="1"/>
  <c r="D14" i="90"/>
  <c r="E14" i="90" s="1"/>
  <c r="G13" i="90"/>
  <c r="H13" i="90" s="1"/>
  <c r="D13" i="90"/>
  <c r="E13" i="90" s="1"/>
  <c r="G12" i="90"/>
  <c r="H12" i="90" s="1"/>
  <c r="D12" i="90"/>
  <c r="E12" i="90" s="1"/>
  <c r="G11" i="90"/>
  <c r="H11" i="90" s="1"/>
  <c r="D11" i="90"/>
  <c r="E11" i="90" s="1"/>
  <c r="G10" i="90"/>
  <c r="H10" i="90" s="1"/>
  <c r="D10" i="90"/>
  <c r="E10" i="90" s="1"/>
  <c r="G9" i="90"/>
  <c r="H9" i="90" s="1"/>
  <c r="D9" i="90"/>
  <c r="E9" i="90" s="1"/>
  <c r="G8" i="90"/>
  <c r="H8" i="90" s="1"/>
  <c r="D8" i="90"/>
  <c r="E8" i="90" s="1"/>
  <c r="G7" i="90"/>
  <c r="H7" i="90" s="1"/>
  <c r="D7" i="90"/>
  <c r="E7" i="90" s="1"/>
  <c r="G6" i="90"/>
  <c r="H6" i="90" s="1"/>
  <c r="D6" i="90"/>
  <c r="E6" i="90" s="1"/>
  <c r="G5" i="90"/>
  <c r="H5" i="90" s="1"/>
  <c r="D5" i="90"/>
  <c r="E5" i="90" s="1"/>
  <c r="F17" i="89"/>
  <c r="C17" i="89"/>
  <c r="B17" i="89"/>
  <c r="G16" i="89"/>
  <c r="H16" i="89" s="1"/>
  <c r="D16" i="89"/>
  <c r="G15" i="89"/>
  <c r="H15" i="89" s="1"/>
  <c r="D15" i="89"/>
  <c r="E15" i="89" s="1"/>
  <c r="G14" i="89"/>
  <c r="H14" i="89" s="1"/>
  <c r="D14" i="89"/>
  <c r="E14" i="89" s="1"/>
  <c r="G13" i="89"/>
  <c r="H13" i="89" s="1"/>
  <c r="D13" i="89"/>
  <c r="E13" i="89" s="1"/>
  <c r="G12" i="89"/>
  <c r="H12" i="89" s="1"/>
  <c r="D12" i="89"/>
  <c r="E12" i="89" s="1"/>
  <c r="G11" i="89"/>
  <c r="H11" i="89" s="1"/>
  <c r="D11" i="89"/>
  <c r="E11" i="89" s="1"/>
  <c r="G10" i="89"/>
  <c r="H10" i="89" s="1"/>
  <c r="D10" i="89"/>
  <c r="E10" i="89" s="1"/>
  <c r="G9" i="89"/>
  <c r="H9" i="89" s="1"/>
  <c r="D9" i="89"/>
  <c r="E9" i="89" s="1"/>
  <c r="G8" i="89"/>
  <c r="H8" i="89" s="1"/>
  <c r="D8" i="89"/>
  <c r="E8" i="89" s="1"/>
  <c r="G7" i="89"/>
  <c r="H7" i="89" s="1"/>
  <c r="D7" i="89"/>
  <c r="E7" i="89" s="1"/>
  <c r="G6" i="89"/>
  <c r="H6" i="89" s="1"/>
  <c r="D6" i="89"/>
  <c r="E6" i="89" s="1"/>
  <c r="G5" i="89"/>
  <c r="H5" i="89" s="1"/>
  <c r="D5" i="89"/>
  <c r="E5" i="89" s="1"/>
  <c r="F17" i="88"/>
  <c r="C17" i="88"/>
  <c r="G16" i="88"/>
  <c r="D16" i="88"/>
  <c r="E16" i="88" s="1"/>
  <c r="G15" i="88"/>
  <c r="H15" i="88" s="1"/>
  <c r="D15" i="88"/>
  <c r="E15" i="88" s="1"/>
  <c r="G14" i="88"/>
  <c r="H14" i="88" s="1"/>
  <c r="D14" i="88"/>
  <c r="E14" i="88" s="1"/>
  <c r="G13" i="88"/>
  <c r="H13" i="88" s="1"/>
  <c r="D13" i="88"/>
  <c r="E13" i="88" s="1"/>
  <c r="G12" i="88"/>
  <c r="H12" i="88" s="1"/>
  <c r="D12" i="88"/>
  <c r="E12" i="88" s="1"/>
  <c r="G11" i="88"/>
  <c r="H11" i="88" s="1"/>
  <c r="D11" i="88"/>
  <c r="E11" i="88" s="1"/>
  <c r="G10" i="88"/>
  <c r="H10" i="88" s="1"/>
  <c r="D10" i="88"/>
  <c r="E10" i="88" s="1"/>
  <c r="G9" i="88"/>
  <c r="H9" i="88" s="1"/>
  <c r="D9" i="88"/>
  <c r="E9" i="88" s="1"/>
  <c r="G8" i="88"/>
  <c r="H8" i="88" s="1"/>
  <c r="D8" i="88"/>
  <c r="E8" i="88" s="1"/>
  <c r="G7" i="88"/>
  <c r="H7" i="88" s="1"/>
  <c r="D7" i="88"/>
  <c r="E7" i="88" s="1"/>
  <c r="G6" i="88"/>
  <c r="H6" i="88" s="1"/>
  <c r="D6" i="88"/>
  <c r="E6" i="88" s="1"/>
  <c r="G5" i="88"/>
  <c r="H5" i="88" s="1"/>
  <c r="D5" i="88"/>
  <c r="E5" i="88" s="1"/>
  <c r="F17" i="87"/>
  <c r="C17" i="87"/>
  <c r="B17" i="87"/>
  <c r="G16" i="87"/>
  <c r="D16" i="87"/>
  <c r="E16" i="87" s="1"/>
  <c r="G15" i="87"/>
  <c r="H15" i="87" s="1"/>
  <c r="D15" i="87"/>
  <c r="E15" i="87" s="1"/>
  <c r="G14" i="87"/>
  <c r="H14" i="87" s="1"/>
  <c r="D14" i="87"/>
  <c r="E14" i="87" s="1"/>
  <c r="G13" i="87"/>
  <c r="H13" i="87" s="1"/>
  <c r="D13" i="87"/>
  <c r="E13" i="87" s="1"/>
  <c r="G12" i="87"/>
  <c r="H12" i="87" s="1"/>
  <c r="D12" i="87"/>
  <c r="E12" i="87" s="1"/>
  <c r="G11" i="87"/>
  <c r="H11" i="87" s="1"/>
  <c r="D11" i="87"/>
  <c r="E11" i="87" s="1"/>
  <c r="G10" i="87"/>
  <c r="H10" i="87" s="1"/>
  <c r="D10" i="87"/>
  <c r="E10" i="87" s="1"/>
  <c r="G9" i="87"/>
  <c r="H9" i="87" s="1"/>
  <c r="D9" i="87"/>
  <c r="E9" i="87" s="1"/>
  <c r="G8" i="87"/>
  <c r="H8" i="87" s="1"/>
  <c r="D8" i="87"/>
  <c r="E8" i="87" s="1"/>
  <c r="G7" i="87"/>
  <c r="H7" i="87" s="1"/>
  <c r="D7" i="87"/>
  <c r="E7" i="87" s="1"/>
  <c r="G6" i="87"/>
  <c r="H6" i="87" s="1"/>
  <c r="D6" i="87"/>
  <c r="E6" i="87" s="1"/>
  <c r="G5" i="87"/>
  <c r="H5" i="87" s="1"/>
  <c r="D5" i="87"/>
  <c r="E5" i="87" s="1"/>
  <c r="F17" i="86"/>
  <c r="C17" i="86"/>
  <c r="B17" i="86"/>
  <c r="G16" i="86"/>
  <c r="H16" i="86" s="1"/>
  <c r="D16" i="86"/>
  <c r="G15" i="86"/>
  <c r="H15" i="86" s="1"/>
  <c r="D15" i="86"/>
  <c r="E15" i="86" s="1"/>
  <c r="G14" i="86"/>
  <c r="H14" i="86" s="1"/>
  <c r="D14" i="86"/>
  <c r="E14" i="86" s="1"/>
  <c r="G13" i="86"/>
  <c r="H13" i="86" s="1"/>
  <c r="D13" i="86"/>
  <c r="E13" i="86" s="1"/>
  <c r="G12" i="86"/>
  <c r="H12" i="86" s="1"/>
  <c r="D12" i="86"/>
  <c r="E12" i="86" s="1"/>
  <c r="G11" i="86"/>
  <c r="H11" i="86" s="1"/>
  <c r="D11" i="86"/>
  <c r="E11" i="86" s="1"/>
  <c r="G10" i="86"/>
  <c r="H10" i="86" s="1"/>
  <c r="D10" i="86"/>
  <c r="E10" i="86" s="1"/>
  <c r="G9" i="86"/>
  <c r="H9" i="86" s="1"/>
  <c r="D9" i="86"/>
  <c r="E9" i="86" s="1"/>
  <c r="G8" i="86"/>
  <c r="H8" i="86" s="1"/>
  <c r="D8" i="86"/>
  <c r="E8" i="86" s="1"/>
  <c r="G7" i="86"/>
  <c r="H7" i="86" s="1"/>
  <c r="D7" i="86"/>
  <c r="E7" i="86" s="1"/>
  <c r="G6" i="86"/>
  <c r="H6" i="86" s="1"/>
  <c r="D6" i="86"/>
  <c r="E6" i="86" s="1"/>
  <c r="G5" i="86"/>
  <c r="H5" i="86" s="1"/>
  <c r="D5" i="86"/>
  <c r="E5" i="86" s="1"/>
  <c r="F17" i="85"/>
  <c r="C17" i="85"/>
  <c r="B17" i="85"/>
  <c r="G16" i="85"/>
  <c r="H16" i="85" s="1"/>
  <c r="D16" i="85"/>
  <c r="G15" i="85"/>
  <c r="H15" i="85" s="1"/>
  <c r="D15" i="85"/>
  <c r="E15" i="85" s="1"/>
  <c r="G14" i="85"/>
  <c r="H14" i="85" s="1"/>
  <c r="D14" i="85"/>
  <c r="E14" i="85" s="1"/>
  <c r="G13" i="85"/>
  <c r="H13" i="85" s="1"/>
  <c r="D13" i="85"/>
  <c r="E13" i="85" s="1"/>
  <c r="G12" i="85"/>
  <c r="H12" i="85" s="1"/>
  <c r="D12" i="85"/>
  <c r="E12" i="85" s="1"/>
  <c r="G11" i="85"/>
  <c r="H11" i="85" s="1"/>
  <c r="D11" i="85"/>
  <c r="E11" i="85" s="1"/>
  <c r="G10" i="85"/>
  <c r="H10" i="85" s="1"/>
  <c r="D10" i="85"/>
  <c r="E10" i="85" s="1"/>
  <c r="G9" i="85"/>
  <c r="H9" i="85" s="1"/>
  <c r="D9" i="85"/>
  <c r="E9" i="85" s="1"/>
  <c r="G8" i="85"/>
  <c r="H8" i="85" s="1"/>
  <c r="D8" i="85"/>
  <c r="E8" i="85" s="1"/>
  <c r="G7" i="85"/>
  <c r="H7" i="85" s="1"/>
  <c r="D7" i="85"/>
  <c r="E7" i="85" s="1"/>
  <c r="G6" i="85"/>
  <c r="H6" i="85" s="1"/>
  <c r="D6" i="85"/>
  <c r="E6" i="85" s="1"/>
  <c r="G5" i="85"/>
  <c r="H5" i="85" s="1"/>
  <c r="D5" i="85"/>
  <c r="F17" i="84"/>
  <c r="C17" i="84"/>
  <c r="B17" i="84"/>
  <c r="G16" i="84"/>
  <c r="D16" i="84"/>
  <c r="E16" i="84" s="1"/>
  <c r="G15" i="84"/>
  <c r="H15" i="84" s="1"/>
  <c r="D15" i="84"/>
  <c r="E15" i="84" s="1"/>
  <c r="G14" i="84"/>
  <c r="H14" i="84" s="1"/>
  <c r="D14" i="84"/>
  <c r="E14" i="84" s="1"/>
  <c r="G13" i="84"/>
  <c r="H13" i="84" s="1"/>
  <c r="D13" i="84"/>
  <c r="E13" i="84" s="1"/>
  <c r="G12" i="84"/>
  <c r="H12" i="84" s="1"/>
  <c r="D12" i="84"/>
  <c r="E12" i="84" s="1"/>
  <c r="G11" i="84"/>
  <c r="H11" i="84" s="1"/>
  <c r="D11" i="84"/>
  <c r="E11" i="84" s="1"/>
  <c r="G10" i="84"/>
  <c r="H10" i="84" s="1"/>
  <c r="D10" i="84"/>
  <c r="E10" i="84" s="1"/>
  <c r="G9" i="84"/>
  <c r="H9" i="84" s="1"/>
  <c r="D9" i="84"/>
  <c r="E9" i="84" s="1"/>
  <c r="G8" i="84"/>
  <c r="H8" i="84" s="1"/>
  <c r="D8" i="84"/>
  <c r="E8" i="84" s="1"/>
  <c r="G7" i="84"/>
  <c r="H7" i="84" s="1"/>
  <c r="D7" i="84"/>
  <c r="E7" i="84" s="1"/>
  <c r="G6" i="84"/>
  <c r="H6" i="84" s="1"/>
  <c r="D6" i="84"/>
  <c r="E6" i="84" s="1"/>
  <c r="G5" i="84"/>
  <c r="H5" i="84" s="1"/>
  <c r="D5" i="84"/>
  <c r="E5" i="84" s="1"/>
  <c r="F17" i="83"/>
  <c r="C17" i="83"/>
  <c r="B17" i="83"/>
  <c r="G16" i="83"/>
  <c r="D16" i="83"/>
  <c r="E16" i="83" s="1"/>
  <c r="G15" i="83"/>
  <c r="H15" i="83" s="1"/>
  <c r="D15" i="83"/>
  <c r="E15" i="83" s="1"/>
  <c r="G14" i="83"/>
  <c r="H14" i="83" s="1"/>
  <c r="D14" i="83"/>
  <c r="E14" i="83" s="1"/>
  <c r="G13" i="83"/>
  <c r="H13" i="83" s="1"/>
  <c r="D13" i="83"/>
  <c r="E13" i="83" s="1"/>
  <c r="G12" i="83"/>
  <c r="H12" i="83" s="1"/>
  <c r="D12" i="83"/>
  <c r="E12" i="83" s="1"/>
  <c r="G11" i="83"/>
  <c r="H11" i="83" s="1"/>
  <c r="D11" i="83"/>
  <c r="E11" i="83" s="1"/>
  <c r="G10" i="83"/>
  <c r="H10" i="83" s="1"/>
  <c r="D10" i="83"/>
  <c r="E10" i="83" s="1"/>
  <c r="G9" i="83"/>
  <c r="H9" i="83" s="1"/>
  <c r="D9" i="83"/>
  <c r="E9" i="83" s="1"/>
  <c r="G8" i="83"/>
  <c r="H8" i="83" s="1"/>
  <c r="D8" i="83"/>
  <c r="E8" i="83" s="1"/>
  <c r="G7" i="83"/>
  <c r="H7" i="83" s="1"/>
  <c r="D7" i="83"/>
  <c r="E7" i="83" s="1"/>
  <c r="G6" i="83"/>
  <c r="H6" i="83" s="1"/>
  <c r="D6" i="83"/>
  <c r="E6" i="83" s="1"/>
  <c r="G5" i="83"/>
  <c r="H5" i="83" s="1"/>
  <c r="D5" i="83"/>
  <c r="E5" i="83" s="1"/>
  <c r="C17" i="82"/>
  <c r="B17" i="82"/>
  <c r="G16" i="82"/>
  <c r="D16" i="82"/>
  <c r="E16" i="82" s="1"/>
  <c r="G15" i="82"/>
  <c r="H15" i="82" s="1"/>
  <c r="D15" i="82"/>
  <c r="E15" i="82" s="1"/>
  <c r="G14" i="82"/>
  <c r="H14" i="82" s="1"/>
  <c r="D14" i="82"/>
  <c r="E14" i="82" s="1"/>
  <c r="G13" i="82"/>
  <c r="H13" i="82" s="1"/>
  <c r="D13" i="82"/>
  <c r="E13" i="82" s="1"/>
  <c r="G12" i="82"/>
  <c r="H12" i="82" s="1"/>
  <c r="D12" i="82"/>
  <c r="E12" i="82" s="1"/>
  <c r="G11" i="82"/>
  <c r="H11" i="82" s="1"/>
  <c r="D11" i="82"/>
  <c r="E11" i="82" s="1"/>
  <c r="G10" i="82"/>
  <c r="H10" i="82" s="1"/>
  <c r="D10" i="82"/>
  <c r="E10" i="82" s="1"/>
  <c r="G9" i="82"/>
  <c r="H9" i="82" s="1"/>
  <c r="D9" i="82"/>
  <c r="E9" i="82" s="1"/>
  <c r="G8" i="82"/>
  <c r="H8" i="82" s="1"/>
  <c r="D8" i="82"/>
  <c r="E8" i="82" s="1"/>
  <c r="G7" i="82"/>
  <c r="H7" i="82" s="1"/>
  <c r="D7" i="82"/>
  <c r="E7" i="82" s="1"/>
  <c r="G6" i="82"/>
  <c r="H6" i="82" s="1"/>
  <c r="D6" i="82"/>
  <c r="E6" i="82" s="1"/>
  <c r="G5" i="82"/>
  <c r="H5" i="82" s="1"/>
  <c r="D5" i="82"/>
  <c r="E5" i="82" s="1"/>
  <c r="F17" i="81"/>
  <c r="C17" i="81"/>
  <c r="B17" i="81"/>
  <c r="G16" i="81"/>
  <c r="D16" i="81"/>
  <c r="E16" i="81" s="1"/>
  <c r="G15" i="81"/>
  <c r="H15" i="81" s="1"/>
  <c r="D15" i="81"/>
  <c r="E15" i="81" s="1"/>
  <c r="G14" i="81"/>
  <c r="H14" i="81" s="1"/>
  <c r="D14" i="81"/>
  <c r="E14" i="81" s="1"/>
  <c r="G13" i="81"/>
  <c r="H13" i="81" s="1"/>
  <c r="D13" i="81"/>
  <c r="E13" i="81" s="1"/>
  <c r="G12" i="81"/>
  <c r="H12" i="81" s="1"/>
  <c r="D12" i="81"/>
  <c r="E12" i="81" s="1"/>
  <c r="G11" i="81"/>
  <c r="H11" i="81" s="1"/>
  <c r="D11" i="81"/>
  <c r="E11" i="81" s="1"/>
  <c r="G10" i="81"/>
  <c r="H10" i="81" s="1"/>
  <c r="D10" i="81"/>
  <c r="E10" i="81" s="1"/>
  <c r="G9" i="81"/>
  <c r="H9" i="81" s="1"/>
  <c r="D9" i="81"/>
  <c r="E9" i="81" s="1"/>
  <c r="G8" i="81"/>
  <c r="H8" i="81" s="1"/>
  <c r="D8" i="81"/>
  <c r="E8" i="81" s="1"/>
  <c r="G7" i="81"/>
  <c r="H7" i="81" s="1"/>
  <c r="D7" i="81"/>
  <c r="E7" i="81" s="1"/>
  <c r="G6" i="81"/>
  <c r="H6" i="81" s="1"/>
  <c r="D6" i="81"/>
  <c r="E6" i="81" s="1"/>
  <c r="G5" i="81"/>
  <c r="H5" i="81" s="1"/>
  <c r="D5" i="81"/>
  <c r="E5" i="81" s="1"/>
  <c r="A1" i="34" a="1"/>
  <c r="A1" i="34" s="1"/>
  <c r="A1" i="1" a="1"/>
  <c r="A1" i="1" s="1"/>
  <c r="A1" i="2" a="1"/>
  <c r="A1" i="2" s="1"/>
  <c r="F17" i="80"/>
  <c r="C17" i="80"/>
  <c r="B17" i="80"/>
  <c r="G16" i="80"/>
  <c r="H16" i="80" s="1"/>
  <c r="D16" i="80"/>
  <c r="G15" i="80"/>
  <c r="H15" i="80" s="1"/>
  <c r="D15" i="80"/>
  <c r="E15" i="80" s="1"/>
  <c r="G14" i="80"/>
  <c r="H14" i="80" s="1"/>
  <c r="D14" i="80"/>
  <c r="E14" i="80" s="1"/>
  <c r="G13" i="80"/>
  <c r="H13" i="80" s="1"/>
  <c r="D13" i="80"/>
  <c r="E13" i="80" s="1"/>
  <c r="G12" i="80"/>
  <c r="H12" i="80" s="1"/>
  <c r="D12" i="80"/>
  <c r="E12" i="80" s="1"/>
  <c r="G11" i="80"/>
  <c r="H11" i="80" s="1"/>
  <c r="D11" i="80"/>
  <c r="E11" i="80" s="1"/>
  <c r="G10" i="80"/>
  <c r="H10" i="80" s="1"/>
  <c r="D10" i="80"/>
  <c r="E10" i="80" s="1"/>
  <c r="G9" i="80"/>
  <c r="H9" i="80" s="1"/>
  <c r="D9" i="80"/>
  <c r="E9" i="80" s="1"/>
  <c r="G8" i="80"/>
  <c r="H8" i="80" s="1"/>
  <c r="D8" i="80"/>
  <c r="E8" i="80" s="1"/>
  <c r="G7" i="80"/>
  <c r="H7" i="80" s="1"/>
  <c r="D7" i="80"/>
  <c r="E7" i="80" s="1"/>
  <c r="G6" i="80"/>
  <c r="H6" i="80" s="1"/>
  <c r="D6" i="80"/>
  <c r="E6" i="80" s="1"/>
  <c r="G5" i="80"/>
  <c r="H5" i="80" s="1"/>
  <c r="D5" i="80"/>
  <c r="E5" i="80" s="1"/>
  <c r="F17" i="79"/>
  <c r="C17" i="79"/>
  <c r="B17" i="79"/>
  <c r="G16" i="79"/>
  <c r="H16" i="79" s="1"/>
  <c r="D16" i="79"/>
  <c r="G15" i="79"/>
  <c r="H15" i="79" s="1"/>
  <c r="D15" i="79"/>
  <c r="E15" i="79" s="1"/>
  <c r="G14" i="79"/>
  <c r="H14" i="79" s="1"/>
  <c r="D14" i="79"/>
  <c r="E14" i="79" s="1"/>
  <c r="G13" i="79"/>
  <c r="H13" i="79" s="1"/>
  <c r="D13" i="79"/>
  <c r="E13" i="79" s="1"/>
  <c r="G12" i="79"/>
  <c r="H12" i="79" s="1"/>
  <c r="D12" i="79"/>
  <c r="E12" i="79" s="1"/>
  <c r="G11" i="79"/>
  <c r="H11" i="79" s="1"/>
  <c r="D11" i="79"/>
  <c r="E11" i="79" s="1"/>
  <c r="G10" i="79"/>
  <c r="H10" i="79" s="1"/>
  <c r="D10" i="79"/>
  <c r="E10" i="79" s="1"/>
  <c r="G9" i="79"/>
  <c r="H9" i="79" s="1"/>
  <c r="D9" i="79"/>
  <c r="E9" i="79" s="1"/>
  <c r="G8" i="79"/>
  <c r="H8" i="79" s="1"/>
  <c r="D8" i="79"/>
  <c r="E8" i="79" s="1"/>
  <c r="G7" i="79"/>
  <c r="H7" i="79" s="1"/>
  <c r="D7" i="79"/>
  <c r="E7" i="79" s="1"/>
  <c r="G6" i="79"/>
  <c r="H6" i="79" s="1"/>
  <c r="D6" i="79"/>
  <c r="E6" i="79" s="1"/>
  <c r="G5" i="79"/>
  <c r="H5" i="79" s="1"/>
  <c r="D5" i="79"/>
  <c r="E5" i="79" s="1"/>
  <c r="F17" i="78"/>
  <c r="C17" i="78"/>
  <c r="B17" i="78"/>
  <c r="G16" i="78"/>
  <c r="H16" i="78" s="1"/>
  <c r="D16" i="78"/>
  <c r="G15" i="78"/>
  <c r="H15" i="78" s="1"/>
  <c r="D15" i="78"/>
  <c r="E15" i="78" s="1"/>
  <c r="G14" i="78"/>
  <c r="H14" i="78" s="1"/>
  <c r="D14" i="78"/>
  <c r="E14" i="78" s="1"/>
  <c r="G13" i="78"/>
  <c r="H13" i="78" s="1"/>
  <c r="D13" i="78"/>
  <c r="E13" i="78" s="1"/>
  <c r="G12" i="78"/>
  <c r="H12" i="78" s="1"/>
  <c r="D12" i="78"/>
  <c r="E12" i="78" s="1"/>
  <c r="G11" i="78"/>
  <c r="H11" i="78" s="1"/>
  <c r="D11" i="78"/>
  <c r="E11" i="78" s="1"/>
  <c r="G10" i="78"/>
  <c r="H10" i="78" s="1"/>
  <c r="D10" i="78"/>
  <c r="E10" i="78" s="1"/>
  <c r="G9" i="78"/>
  <c r="H9" i="78" s="1"/>
  <c r="D9" i="78"/>
  <c r="E9" i="78" s="1"/>
  <c r="G8" i="78"/>
  <c r="H8" i="78" s="1"/>
  <c r="D8" i="78"/>
  <c r="E8" i="78" s="1"/>
  <c r="G7" i="78"/>
  <c r="H7" i="78" s="1"/>
  <c r="D7" i="78"/>
  <c r="E7" i="78" s="1"/>
  <c r="G6" i="78"/>
  <c r="H6" i="78" s="1"/>
  <c r="D6" i="78"/>
  <c r="E6" i="78" s="1"/>
  <c r="G5" i="78"/>
  <c r="H5" i="78" s="1"/>
  <c r="D5" i="78"/>
  <c r="E5" i="78" s="1"/>
  <c r="F17" i="77"/>
  <c r="C17" i="77"/>
  <c r="B17" i="77"/>
  <c r="G16" i="77"/>
  <c r="H16" i="77" s="1"/>
  <c r="D16" i="77"/>
  <c r="G15" i="77"/>
  <c r="H15" i="77" s="1"/>
  <c r="D15" i="77"/>
  <c r="E15" i="77" s="1"/>
  <c r="G14" i="77"/>
  <c r="H14" i="77" s="1"/>
  <c r="D14" i="77"/>
  <c r="E14" i="77" s="1"/>
  <c r="G13" i="77"/>
  <c r="H13" i="77" s="1"/>
  <c r="D13" i="77"/>
  <c r="E13" i="77" s="1"/>
  <c r="G12" i="77"/>
  <c r="H12" i="77" s="1"/>
  <c r="D12" i="77"/>
  <c r="E12" i="77" s="1"/>
  <c r="G11" i="77"/>
  <c r="H11" i="77" s="1"/>
  <c r="D11" i="77"/>
  <c r="E11" i="77" s="1"/>
  <c r="G10" i="77"/>
  <c r="H10" i="77" s="1"/>
  <c r="D10" i="77"/>
  <c r="E10" i="77" s="1"/>
  <c r="G9" i="77"/>
  <c r="H9" i="77" s="1"/>
  <c r="D9" i="77"/>
  <c r="E9" i="77" s="1"/>
  <c r="G8" i="77"/>
  <c r="H8" i="77" s="1"/>
  <c r="D8" i="77"/>
  <c r="E8" i="77" s="1"/>
  <c r="G7" i="77"/>
  <c r="H7" i="77" s="1"/>
  <c r="D7" i="77"/>
  <c r="E7" i="77" s="1"/>
  <c r="G6" i="77"/>
  <c r="H6" i="77" s="1"/>
  <c r="D6" i="77"/>
  <c r="E6" i="77" s="1"/>
  <c r="G5" i="77"/>
  <c r="H5" i="77" s="1"/>
  <c r="D5" i="77"/>
  <c r="E5" i="77" s="1"/>
  <c r="F17" i="76"/>
  <c r="C17" i="76"/>
  <c r="G16" i="76"/>
  <c r="D16" i="76"/>
  <c r="E16" i="76" s="1"/>
  <c r="G15" i="76"/>
  <c r="H15" i="76" s="1"/>
  <c r="D15" i="76"/>
  <c r="E15" i="76" s="1"/>
  <c r="G14" i="76"/>
  <c r="H14" i="76" s="1"/>
  <c r="D14" i="76"/>
  <c r="E14" i="76" s="1"/>
  <c r="G13" i="76"/>
  <c r="H13" i="76" s="1"/>
  <c r="D13" i="76"/>
  <c r="E13" i="76" s="1"/>
  <c r="G12" i="76"/>
  <c r="H12" i="76" s="1"/>
  <c r="D12" i="76"/>
  <c r="E12" i="76" s="1"/>
  <c r="G11" i="76"/>
  <c r="H11" i="76" s="1"/>
  <c r="D11" i="76"/>
  <c r="E11" i="76" s="1"/>
  <c r="G10" i="76"/>
  <c r="H10" i="76" s="1"/>
  <c r="D10" i="76"/>
  <c r="E10" i="76" s="1"/>
  <c r="G9" i="76"/>
  <c r="H9" i="76" s="1"/>
  <c r="D9" i="76"/>
  <c r="E9" i="76" s="1"/>
  <c r="G8" i="76"/>
  <c r="H8" i="76" s="1"/>
  <c r="D8" i="76"/>
  <c r="E8" i="76" s="1"/>
  <c r="G7" i="76"/>
  <c r="H7" i="76" s="1"/>
  <c r="D7" i="76"/>
  <c r="E7" i="76" s="1"/>
  <c r="G6" i="76"/>
  <c r="H6" i="76" s="1"/>
  <c r="D6" i="76"/>
  <c r="E6" i="76" s="1"/>
  <c r="G5" i="76"/>
  <c r="H5" i="76" s="1"/>
  <c r="D5" i="76"/>
  <c r="E5" i="76" s="1"/>
  <c r="F17" i="75"/>
  <c r="C17" i="75"/>
  <c r="B17" i="75"/>
  <c r="G16" i="75"/>
  <c r="D16" i="75"/>
  <c r="E16" i="75" s="1"/>
  <c r="G15" i="75"/>
  <c r="H15" i="75" s="1"/>
  <c r="D15" i="75"/>
  <c r="E15" i="75" s="1"/>
  <c r="G14" i="75"/>
  <c r="H14" i="75" s="1"/>
  <c r="D14" i="75"/>
  <c r="E14" i="75" s="1"/>
  <c r="G13" i="75"/>
  <c r="H13" i="75" s="1"/>
  <c r="D13" i="75"/>
  <c r="E13" i="75" s="1"/>
  <c r="G12" i="75"/>
  <c r="H12" i="75" s="1"/>
  <c r="D12" i="75"/>
  <c r="E12" i="75" s="1"/>
  <c r="G11" i="75"/>
  <c r="H11" i="75" s="1"/>
  <c r="D11" i="75"/>
  <c r="E11" i="75" s="1"/>
  <c r="G10" i="75"/>
  <c r="H10" i="75" s="1"/>
  <c r="D10" i="75"/>
  <c r="E10" i="75" s="1"/>
  <c r="G9" i="75"/>
  <c r="H9" i="75" s="1"/>
  <c r="D9" i="75"/>
  <c r="E9" i="75" s="1"/>
  <c r="G8" i="75"/>
  <c r="H8" i="75" s="1"/>
  <c r="D8" i="75"/>
  <c r="E8" i="75" s="1"/>
  <c r="G7" i="75"/>
  <c r="H7" i="75" s="1"/>
  <c r="D7" i="75"/>
  <c r="E7" i="75" s="1"/>
  <c r="G6" i="75"/>
  <c r="H6" i="75" s="1"/>
  <c r="D6" i="75"/>
  <c r="E6" i="75" s="1"/>
  <c r="G5" i="75"/>
  <c r="H5" i="75" s="1"/>
  <c r="D5" i="75"/>
  <c r="E5" i="75" s="1"/>
  <c r="F17" i="74"/>
  <c r="C17" i="74"/>
  <c r="B17" i="74"/>
  <c r="G16" i="74"/>
  <c r="D16" i="74"/>
  <c r="E16" i="74" s="1"/>
  <c r="G15" i="74"/>
  <c r="H15" i="74" s="1"/>
  <c r="D15" i="74"/>
  <c r="E15" i="74" s="1"/>
  <c r="G14" i="74"/>
  <c r="H14" i="74" s="1"/>
  <c r="D14" i="74"/>
  <c r="E14" i="74" s="1"/>
  <c r="G13" i="74"/>
  <c r="H13" i="74" s="1"/>
  <c r="D13" i="74"/>
  <c r="E13" i="74" s="1"/>
  <c r="G12" i="74"/>
  <c r="H12" i="74" s="1"/>
  <c r="D12" i="74"/>
  <c r="E12" i="74" s="1"/>
  <c r="G11" i="74"/>
  <c r="H11" i="74" s="1"/>
  <c r="D11" i="74"/>
  <c r="E11" i="74" s="1"/>
  <c r="G10" i="74"/>
  <c r="H10" i="74" s="1"/>
  <c r="D10" i="74"/>
  <c r="E10" i="74" s="1"/>
  <c r="G9" i="74"/>
  <c r="H9" i="74" s="1"/>
  <c r="D9" i="74"/>
  <c r="E9" i="74" s="1"/>
  <c r="G8" i="74"/>
  <c r="H8" i="74" s="1"/>
  <c r="D8" i="74"/>
  <c r="E8" i="74" s="1"/>
  <c r="G7" i="74"/>
  <c r="H7" i="74" s="1"/>
  <c r="D7" i="74"/>
  <c r="E7" i="74" s="1"/>
  <c r="G6" i="74"/>
  <c r="H6" i="74" s="1"/>
  <c r="D6" i="74"/>
  <c r="E6" i="74" s="1"/>
  <c r="G5" i="74"/>
  <c r="H5" i="74" s="1"/>
  <c r="D5" i="74"/>
  <c r="E5" i="74" s="1"/>
  <c r="F17" i="73"/>
  <c r="C17" i="73"/>
  <c r="B17" i="73"/>
  <c r="G16" i="73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G7" i="73"/>
  <c r="H7" i="73" s="1"/>
  <c r="D7" i="73"/>
  <c r="E7" i="73" s="1"/>
  <c r="G6" i="73"/>
  <c r="H6" i="73" s="1"/>
  <c r="D6" i="73"/>
  <c r="E6" i="73" s="1"/>
  <c r="G5" i="73"/>
  <c r="H5" i="73" s="1"/>
  <c r="D5" i="73"/>
  <c r="E5" i="73" s="1"/>
  <c r="F17" i="72"/>
  <c r="C17" i="72"/>
  <c r="B17" i="72"/>
  <c r="G16" i="72"/>
  <c r="H16" i="72" s="1"/>
  <c r="D16" i="72"/>
  <c r="G15" i="72"/>
  <c r="H15" i="72" s="1"/>
  <c r="D15" i="72"/>
  <c r="E15" i="72" s="1"/>
  <c r="G14" i="72"/>
  <c r="H14" i="72" s="1"/>
  <c r="D14" i="72"/>
  <c r="E14" i="72" s="1"/>
  <c r="G13" i="72"/>
  <c r="H13" i="72" s="1"/>
  <c r="D13" i="72"/>
  <c r="E13" i="72" s="1"/>
  <c r="G12" i="72"/>
  <c r="H12" i="72" s="1"/>
  <c r="D12" i="72"/>
  <c r="E12" i="72" s="1"/>
  <c r="G11" i="72"/>
  <c r="H11" i="72" s="1"/>
  <c r="D11" i="72"/>
  <c r="E11" i="72" s="1"/>
  <c r="G10" i="72"/>
  <c r="H10" i="72" s="1"/>
  <c r="D10" i="72"/>
  <c r="E10" i="72" s="1"/>
  <c r="G9" i="72"/>
  <c r="H9" i="72" s="1"/>
  <c r="D9" i="72"/>
  <c r="E9" i="72" s="1"/>
  <c r="G8" i="72"/>
  <c r="H8" i="72" s="1"/>
  <c r="D8" i="72"/>
  <c r="E8" i="72" s="1"/>
  <c r="G7" i="72"/>
  <c r="H7" i="72" s="1"/>
  <c r="D7" i="72"/>
  <c r="E7" i="72" s="1"/>
  <c r="G6" i="72"/>
  <c r="H6" i="72" s="1"/>
  <c r="D6" i="72"/>
  <c r="E6" i="72" s="1"/>
  <c r="G5" i="72"/>
  <c r="H5" i="72" s="1"/>
  <c r="D5" i="72"/>
  <c r="E5" i="72" s="1"/>
  <c r="F17" i="71"/>
  <c r="C17" i="71"/>
  <c r="B17" i="71"/>
  <c r="G16" i="71"/>
  <c r="D16" i="71"/>
  <c r="E16" i="71" s="1"/>
  <c r="G15" i="71"/>
  <c r="H15" i="71" s="1"/>
  <c r="D15" i="71"/>
  <c r="E15" i="71" s="1"/>
  <c r="G14" i="71"/>
  <c r="H14" i="71" s="1"/>
  <c r="D14" i="71"/>
  <c r="E14" i="71" s="1"/>
  <c r="G13" i="71"/>
  <c r="H13" i="71" s="1"/>
  <c r="D13" i="71"/>
  <c r="E13" i="71" s="1"/>
  <c r="G12" i="71"/>
  <c r="H12" i="71" s="1"/>
  <c r="D12" i="71"/>
  <c r="E12" i="71" s="1"/>
  <c r="G11" i="71"/>
  <c r="H11" i="71" s="1"/>
  <c r="D11" i="71"/>
  <c r="E11" i="71" s="1"/>
  <c r="G10" i="71"/>
  <c r="H10" i="71" s="1"/>
  <c r="D10" i="71"/>
  <c r="E10" i="71" s="1"/>
  <c r="G9" i="71"/>
  <c r="H9" i="71" s="1"/>
  <c r="D9" i="71"/>
  <c r="E9" i="71" s="1"/>
  <c r="G8" i="71"/>
  <c r="H8" i="71" s="1"/>
  <c r="D8" i="71"/>
  <c r="E8" i="71" s="1"/>
  <c r="G7" i="71"/>
  <c r="H7" i="71" s="1"/>
  <c r="D7" i="71"/>
  <c r="E7" i="71" s="1"/>
  <c r="G6" i="71"/>
  <c r="H6" i="71" s="1"/>
  <c r="D6" i="71"/>
  <c r="E6" i="71" s="1"/>
  <c r="G5" i="71"/>
  <c r="H5" i="71" s="1"/>
  <c r="D5" i="71"/>
  <c r="E5" i="71" s="1"/>
  <c r="F17" i="70"/>
  <c r="C17" i="70"/>
  <c r="B17" i="70"/>
  <c r="G16" i="70"/>
  <c r="H16" i="70" s="1"/>
  <c r="D16" i="70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E10" i="70" s="1"/>
  <c r="G9" i="70"/>
  <c r="H9" i="70" s="1"/>
  <c r="D9" i="70"/>
  <c r="E9" i="70" s="1"/>
  <c r="G8" i="70"/>
  <c r="H8" i="70" s="1"/>
  <c r="D8" i="70"/>
  <c r="E8" i="70" s="1"/>
  <c r="G7" i="70"/>
  <c r="H7" i="70" s="1"/>
  <c r="D7" i="70"/>
  <c r="E7" i="70" s="1"/>
  <c r="G6" i="70"/>
  <c r="H6" i="70" s="1"/>
  <c r="D6" i="70"/>
  <c r="E6" i="70" s="1"/>
  <c r="G5" i="70"/>
  <c r="H5" i="70" s="1"/>
  <c r="D5" i="70"/>
  <c r="E5" i="70" s="1"/>
  <c r="F17" i="69"/>
  <c r="C17" i="69"/>
  <c r="B17" i="69"/>
  <c r="G16" i="69"/>
  <c r="G15" i="69"/>
  <c r="G14" i="69"/>
  <c r="G13" i="69"/>
  <c r="G12" i="69"/>
  <c r="G11" i="69"/>
  <c r="G10" i="69"/>
  <c r="G9" i="69"/>
  <c r="G8" i="69"/>
  <c r="G7" i="69"/>
  <c r="G6" i="69"/>
  <c r="G5" i="69"/>
  <c r="F17" i="5"/>
  <c r="C17" i="5"/>
  <c r="B17" i="5"/>
  <c r="G16" i="5"/>
  <c r="H16" i="5" s="1"/>
  <c r="D16" i="5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G5" i="5"/>
  <c r="H5" i="5" s="1"/>
  <c r="D5" i="5"/>
  <c r="E5" i="5" s="1"/>
  <c r="C4" i="2" l="1" a="1"/>
  <c r="C4" i="2" s="1"/>
  <c r="C8" i="2" a="1"/>
  <c r="C8" i="2" s="1"/>
  <c r="C12" i="2" a="1"/>
  <c r="C12" i="2" s="1"/>
  <c r="C16" i="2" a="1"/>
  <c r="C20" i="2" a="1"/>
  <c r="C20" i="2" s="1"/>
  <c r="C24" i="2" a="1"/>
  <c r="C24" i="2" s="1"/>
  <c r="C28" i="2" a="1"/>
  <c r="C28" i="2" s="1"/>
  <c r="C32" i="2" a="1"/>
  <c r="C32" i="2" s="1"/>
  <c r="C36" i="2" a="1"/>
  <c r="C36" i="2" s="1"/>
  <c r="C40" i="2" a="1"/>
  <c r="C40" i="2" s="1"/>
  <c r="C44" i="2" a="1"/>
  <c r="C44" i="2" s="1"/>
  <c r="C48" i="2" a="1"/>
  <c r="C48" i="2" s="1"/>
  <c r="C52" i="2" a="1"/>
  <c r="C52" i="2" s="1"/>
  <c r="C56" i="2" a="1"/>
  <c r="C56" i="2" s="1"/>
  <c r="C60" i="2" a="1"/>
  <c r="C60" i="2" s="1"/>
  <c r="C64" i="2" a="1"/>
  <c r="C64" i="2" s="1"/>
  <c r="C68" i="2" a="1"/>
  <c r="C68" i="2" s="1"/>
  <c r="C72" i="2" a="1"/>
  <c r="C72" i="2" s="1"/>
  <c r="C76" i="2" a="1"/>
  <c r="C76" i="2" s="1"/>
  <c r="C80" i="2" a="1"/>
  <c r="C80" i="2" s="1"/>
  <c r="C84" i="2" a="1"/>
  <c r="C84" i="2" s="1"/>
  <c r="C88" i="2" a="1"/>
  <c r="C88" i="2" s="1"/>
  <c r="C92" i="2" a="1"/>
  <c r="C92" i="2" s="1"/>
  <c r="C96" i="2" a="1"/>
  <c r="C96" i="2" s="1"/>
  <c r="C100" i="2" a="1"/>
  <c r="C100" i="2" s="1"/>
  <c r="C104" i="2" a="1"/>
  <c r="C104" i="2" s="1"/>
  <c r="C108" i="2" a="1"/>
  <c r="C108" i="2" s="1"/>
  <c r="C112" i="2" a="1"/>
  <c r="C112" i="2" s="1"/>
  <c r="C116" i="2" a="1"/>
  <c r="C116" i="2" s="1"/>
  <c r="C120" i="2" a="1"/>
  <c r="C120" i="2" s="1"/>
  <c r="C124" i="2" a="1"/>
  <c r="C124" i="2" s="1"/>
  <c r="C128" i="2" a="1"/>
  <c r="C128" i="2" s="1"/>
  <c r="C132" i="2" a="1"/>
  <c r="C132" i="2" s="1"/>
  <c r="C136" i="2" a="1"/>
  <c r="C136" i="2" s="1"/>
  <c r="C5" i="2" a="1"/>
  <c r="C5" i="2" s="1"/>
  <c r="C9" i="2" a="1"/>
  <c r="C9" i="2" s="1"/>
  <c r="C13" i="2" a="1"/>
  <c r="C13" i="2" s="1"/>
  <c r="C17" i="2" a="1"/>
  <c r="C17" i="2" s="1"/>
  <c r="C21" i="2" a="1"/>
  <c r="C21" i="2" s="1"/>
  <c r="C25" i="2" a="1"/>
  <c r="C25" i="2" s="1"/>
  <c r="C29" i="2" a="1"/>
  <c r="C29" i="2" s="1"/>
  <c r="C33" i="2" a="1"/>
  <c r="C33" i="2" s="1"/>
  <c r="C37" i="2" a="1"/>
  <c r="C37" i="2" s="1"/>
  <c r="C41" i="2" a="1"/>
  <c r="C41" i="2" s="1"/>
  <c r="C45" i="2" a="1"/>
  <c r="C45" i="2" s="1"/>
  <c r="C49" i="2" a="1"/>
  <c r="C49" i="2" s="1"/>
  <c r="C53" i="2" a="1"/>
  <c r="C53" i="2" s="1"/>
  <c r="C57" i="2" a="1"/>
  <c r="C57" i="2" s="1"/>
  <c r="C61" i="2" a="1"/>
  <c r="C61" i="2" s="1"/>
  <c r="C65" i="2" a="1"/>
  <c r="C65" i="2" s="1"/>
  <c r="C69" i="2" a="1"/>
  <c r="C69" i="2" s="1"/>
  <c r="C73" i="2" a="1"/>
  <c r="C73" i="2" s="1"/>
  <c r="C77" i="2" a="1"/>
  <c r="C77" i="2" s="1"/>
  <c r="C81" i="2" a="1"/>
  <c r="C81" i="2" s="1"/>
  <c r="C85" i="2" a="1"/>
  <c r="C85" i="2" s="1"/>
  <c r="C89" i="2" a="1"/>
  <c r="C89" i="2" s="1"/>
  <c r="C93" i="2" a="1"/>
  <c r="C93" i="2" s="1"/>
  <c r="C97" i="2" a="1"/>
  <c r="C97" i="2" s="1"/>
  <c r="C101" i="2" a="1"/>
  <c r="C101" i="2" s="1"/>
  <c r="C105" i="2" a="1"/>
  <c r="C105" i="2" s="1"/>
  <c r="C109" i="2" a="1"/>
  <c r="C109" i="2" s="1"/>
  <c r="C113" i="2" a="1"/>
  <c r="C113" i="2" s="1"/>
  <c r="C117" i="2" a="1"/>
  <c r="C117" i="2" s="1"/>
  <c r="C121" i="2" a="1"/>
  <c r="C121" i="2" s="1"/>
  <c r="C125" i="2" a="1"/>
  <c r="C125" i="2" s="1"/>
  <c r="C129" i="2" a="1"/>
  <c r="C129" i="2" s="1"/>
  <c r="C133" i="2" a="1"/>
  <c r="C133" i="2" s="1"/>
  <c r="C6" i="2" a="1"/>
  <c r="C6" i="2" s="1"/>
  <c r="C10" i="2" a="1"/>
  <c r="C10" i="2" s="1"/>
  <c r="C14" i="2" a="1"/>
  <c r="C18" i="2" a="1"/>
  <c r="C18" i="2" s="1"/>
  <c r="C22" i="2" a="1"/>
  <c r="C22" i="2" s="1"/>
  <c r="C26" i="2" a="1"/>
  <c r="C26" i="2" s="1"/>
  <c r="C30" i="2" a="1"/>
  <c r="C30" i="2" s="1"/>
  <c r="C34" i="2" a="1"/>
  <c r="C34" i="2" s="1"/>
  <c r="C38" i="2" a="1"/>
  <c r="C38" i="2" s="1"/>
  <c r="C42" i="2" a="1"/>
  <c r="C42" i="2" s="1"/>
  <c r="C46" i="2" a="1"/>
  <c r="C46" i="2" s="1"/>
  <c r="C50" i="2" a="1"/>
  <c r="C50" i="2" s="1"/>
  <c r="C54" i="2" a="1"/>
  <c r="C54" i="2" s="1"/>
  <c r="C58" i="2" a="1"/>
  <c r="C58" i="2" s="1"/>
  <c r="C62" i="2" a="1"/>
  <c r="C62" i="2" s="1"/>
  <c r="C66" i="2" a="1"/>
  <c r="C66" i="2" s="1"/>
  <c r="C70" i="2" a="1"/>
  <c r="C70" i="2" s="1"/>
  <c r="C74" i="2" a="1"/>
  <c r="C74" i="2" s="1"/>
  <c r="C78" i="2" a="1"/>
  <c r="C78" i="2" s="1"/>
  <c r="C82" i="2" a="1"/>
  <c r="C82" i="2" s="1"/>
  <c r="C86" i="2" a="1"/>
  <c r="C86" i="2" s="1"/>
  <c r="C90" i="2" a="1"/>
  <c r="C90" i="2" s="1"/>
  <c r="C94" i="2" a="1"/>
  <c r="C94" i="2" s="1"/>
  <c r="C98" i="2" a="1"/>
  <c r="C98" i="2" s="1"/>
  <c r="C102" i="2" a="1"/>
  <c r="C102" i="2" s="1"/>
  <c r="C106" i="2" a="1"/>
  <c r="C106" i="2" s="1"/>
  <c r="C110" i="2" a="1"/>
  <c r="C110" i="2" s="1"/>
  <c r="C114" i="2" a="1"/>
  <c r="C114" i="2" s="1"/>
  <c r="C118" i="2" a="1"/>
  <c r="C118" i="2" s="1"/>
  <c r="C122" i="2" a="1"/>
  <c r="C122" i="2" s="1"/>
  <c r="C126" i="2" a="1"/>
  <c r="C126" i="2" s="1"/>
  <c r="C130" i="2" a="1"/>
  <c r="C130" i="2" s="1"/>
  <c r="C134" i="2" a="1"/>
  <c r="C134" i="2" s="1"/>
  <c r="C7" i="2" a="1"/>
  <c r="C7" i="2" s="1"/>
  <c r="C11" i="2" a="1"/>
  <c r="C11" i="2" s="1"/>
  <c r="C15" i="2" a="1"/>
  <c r="C19" i="2" a="1"/>
  <c r="C19" i="2" s="1"/>
  <c r="C23" i="2" a="1"/>
  <c r="C23" i="2" s="1"/>
  <c r="C27" i="2" a="1"/>
  <c r="C27" i="2" s="1"/>
  <c r="C31" i="2" a="1"/>
  <c r="C31" i="2" s="1"/>
  <c r="C35" i="2" a="1"/>
  <c r="C35" i="2" s="1"/>
  <c r="C39" i="2" a="1"/>
  <c r="C39" i="2" s="1"/>
  <c r="C43" i="2" a="1"/>
  <c r="C43" i="2" s="1"/>
  <c r="C47" i="2" a="1"/>
  <c r="C47" i="2" s="1"/>
  <c r="C51" i="2" a="1"/>
  <c r="C51" i="2" s="1"/>
  <c r="C55" i="2" a="1"/>
  <c r="C55" i="2" s="1"/>
  <c r="C59" i="2" a="1"/>
  <c r="C59" i="2" s="1"/>
  <c r="C63" i="2" a="1"/>
  <c r="C63" i="2" s="1"/>
  <c r="C67" i="2" a="1"/>
  <c r="C67" i="2" s="1"/>
  <c r="C71" i="2" a="1"/>
  <c r="C71" i="2" s="1"/>
  <c r="C75" i="2" a="1"/>
  <c r="C75" i="2" s="1"/>
  <c r="C79" i="2" a="1"/>
  <c r="C79" i="2" s="1"/>
  <c r="C83" i="2" a="1"/>
  <c r="C83" i="2" s="1"/>
  <c r="C87" i="2" a="1"/>
  <c r="C87" i="2" s="1"/>
  <c r="C91" i="2" a="1"/>
  <c r="C91" i="2" s="1"/>
  <c r="C95" i="2" a="1"/>
  <c r="C95" i="2" s="1"/>
  <c r="C99" i="2" a="1"/>
  <c r="C99" i="2" s="1"/>
  <c r="C103" i="2" a="1"/>
  <c r="C103" i="2" s="1"/>
  <c r="C107" i="2" a="1"/>
  <c r="C107" i="2" s="1"/>
  <c r="C111" i="2" a="1"/>
  <c r="C111" i="2" s="1"/>
  <c r="C115" i="2" a="1"/>
  <c r="C115" i="2" s="1"/>
  <c r="C119" i="2" a="1"/>
  <c r="C119" i="2" s="1"/>
  <c r="C123" i="2" a="1"/>
  <c r="C123" i="2" s="1"/>
  <c r="C127" i="2" a="1"/>
  <c r="C127" i="2" s="1"/>
  <c r="C131" i="2" a="1"/>
  <c r="C131" i="2" s="1"/>
  <c r="C135" i="2" a="1"/>
  <c r="C135" i="2" s="1"/>
  <c r="E15" i="145"/>
  <c r="C15" i="29"/>
  <c r="H15" i="29" s="1"/>
  <c r="I15" i="29" s="1"/>
  <c r="C16" i="18"/>
  <c r="E16" i="18" s="1"/>
  <c r="F16" i="18" s="1"/>
  <c r="C16" i="29"/>
  <c r="E16" i="29" s="1"/>
  <c r="F16" i="29" s="1"/>
  <c r="C14" i="29"/>
  <c r="H14" i="29" s="1"/>
  <c r="I14" i="29" s="1"/>
  <c r="C14" i="18"/>
  <c r="H14" i="18" s="1"/>
  <c r="I14" i="18" s="1"/>
  <c r="C15" i="18"/>
  <c r="H15" i="18" s="1"/>
  <c r="I15" i="18" s="1"/>
  <c r="D19" i="30"/>
  <c r="G19" i="30"/>
  <c r="D20" i="30"/>
  <c r="G20" i="30"/>
  <c r="D17" i="30"/>
  <c r="G17" i="30"/>
  <c r="D18" i="30"/>
  <c r="G18" i="30"/>
  <c r="G14" i="30"/>
  <c r="D14" i="30"/>
  <c r="G16" i="30"/>
  <c r="D16" i="30"/>
  <c r="G23" i="29"/>
  <c r="D23" i="29"/>
  <c r="G44" i="29"/>
  <c r="D44" i="29"/>
  <c r="G22" i="29"/>
  <c r="D22" i="29"/>
  <c r="D18" i="29"/>
  <c r="G18" i="29"/>
  <c r="D19" i="29"/>
  <c r="G19" i="29"/>
  <c r="D43" i="29"/>
  <c r="G43" i="29"/>
  <c r="D20" i="29"/>
  <c r="G20" i="29"/>
  <c r="D17" i="29"/>
  <c r="G17" i="29"/>
  <c r="D42" i="29"/>
  <c r="G42" i="29"/>
  <c r="D21" i="29"/>
  <c r="G21" i="29"/>
  <c r="D35" i="18"/>
  <c r="G35" i="18"/>
  <c r="G32" i="18"/>
  <c r="D32" i="18"/>
  <c r="G64" i="18"/>
  <c r="D64" i="18"/>
  <c r="D29" i="18"/>
  <c r="G29" i="18"/>
  <c r="D61" i="18"/>
  <c r="G61" i="18"/>
  <c r="G30" i="18"/>
  <c r="D30" i="18"/>
  <c r="G62" i="18"/>
  <c r="D62" i="18"/>
  <c r="D10" i="18"/>
  <c r="G10" i="18"/>
  <c r="D4" i="18"/>
  <c r="G4" i="18"/>
  <c r="G39" i="18"/>
  <c r="D39" i="18"/>
  <c r="D36" i="18"/>
  <c r="G36" i="18"/>
  <c r="D33" i="18"/>
  <c r="G33" i="18"/>
  <c r="D65" i="18"/>
  <c r="G65" i="18"/>
  <c r="D34" i="18"/>
  <c r="G34" i="18"/>
  <c r="D66" i="18"/>
  <c r="G66" i="18"/>
  <c r="G8" i="18"/>
  <c r="D8" i="18"/>
  <c r="D43" i="18"/>
  <c r="G43" i="18"/>
  <c r="D5" i="18"/>
  <c r="G5" i="18"/>
  <c r="G40" i="18"/>
  <c r="D40" i="18"/>
  <c r="D37" i="18"/>
  <c r="G37" i="18"/>
  <c r="G38" i="18"/>
  <c r="D38" i="18"/>
  <c r="D11" i="18"/>
  <c r="G11" i="18"/>
  <c r="D12" i="18"/>
  <c r="G12" i="18"/>
  <c r="G47" i="18"/>
  <c r="D47" i="18"/>
  <c r="D9" i="18"/>
  <c r="G9" i="18"/>
  <c r="D44" i="18"/>
  <c r="G44" i="18"/>
  <c r="G6" i="18"/>
  <c r="D6" i="18"/>
  <c r="D41" i="18"/>
  <c r="G41" i="18"/>
  <c r="G7" i="18"/>
  <c r="D7" i="18"/>
  <c r="D42" i="18"/>
  <c r="G42" i="18"/>
  <c r="D13" i="18"/>
  <c r="G13" i="18"/>
  <c r="G23" i="18"/>
  <c r="D23" i="18"/>
  <c r="G55" i="18"/>
  <c r="D55" i="18"/>
  <c r="D20" i="18"/>
  <c r="G20" i="18"/>
  <c r="D52" i="18"/>
  <c r="G52" i="18"/>
  <c r="D17" i="18"/>
  <c r="G17" i="18"/>
  <c r="D49" i="18"/>
  <c r="G49" i="18"/>
  <c r="D18" i="18"/>
  <c r="G18" i="18"/>
  <c r="D50" i="18"/>
  <c r="G50" i="18"/>
  <c r="D27" i="18"/>
  <c r="G27" i="18"/>
  <c r="D59" i="18"/>
  <c r="G59" i="18"/>
  <c r="G24" i="18"/>
  <c r="D24" i="18"/>
  <c r="G56" i="18"/>
  <c r="D56" i="18"/>
  <c r="D21" i="18"/>
  <c r="G21" i="18"/>
  <c r="D53" i="18"/>
  <c r="G53" i="18"/>
  <c r="G22" i="18"/>
  <c r="D22" i="18"/>
  <c r="G54" i="18"/>
  <c r="D54" i="18"/>
  <c r="D51" i="18"/>
  <c r="G51" i="18"/>
  <c r="G46" i="18"/>
  <c r="D46" i="18"/>
  <c r="G31" i="18"/>
  <c r="D31" i="18"/>
  <c r="G63" i="18"/>
  <c r="D63" i="18"/>
  <c r="D28" i="18"/>
  <c r="G28" i="18"/>
  <c r="D60" i="18"/>
  <c r="G60" i="18"/>
  <c r="D25" i="18"/>
  <c r="G25" i="18"/>
  <c r="D57" i="18"/>
  <c r="G57" i="18"/>
  <c r="D26" i="18"/>
  <c r="G26" i="18"/>
  <c r="D58" i="18"/>
  <c r="G58" i="18"/>
  <c r="D19" i="18"/>
  <c r="G19" i="18"/>
  <c r="G48" i="18"/>
  <c r="D48" i="18"/>
  <c r="D45" i="18"/>
  <c r="G45" i="18"/>
  <c r="D19" i="1"/>
  <c r="D19" i="34" s="1"/>
  <c r="G19" i="1"/>
  <c r="G19" i="34" s="1"/>
  <c r="D51" i="1"/>
  <c r="G51" i="1"/>
  <c r="G46" i="1"/>
  <c r="D46" i="1"/>
  <c r="G24" i="1"/>
  <c r="D24" i="1"/>
  <c r="G56" i="1"/>
  <c r="D56" i="1"/>
  <c r="D37" i="1"/>
  <c r="G37" i="1"/>
  <c r="G54" i="1"/>
  <c r="D54" i="1"/>
  <c r="G30" i="1"/>
  <c r="D30" i="1"/>
  <c r="D67" i="1"/>
  <c r="G67" i="1"/>
  <c r="G23" i="1"/>
  <c r="D23" i="1"/>
  <c r="G55" i="1"/>
  <c r="D55" i="1"/>
  <c r="D28" i="1"/>
  <c r="G28" i="1"/>
  <c r="D60" i="1"/>
  <c r="G60" i="1"/>
  <c r="D41" i="1"/>
  <c r="G41" i="1"/>
  <c r="D34" i="1"/>
  <c r="G34" i="1"/>
  <c r="D57" i="1"/>
  <c r="G57" i="1"/>
  <c r="D27" i="1"/>
  <c r="G27" i="1"/>
  <c r="D59" i="1"/>
  <c r="G59" i="1"/>
  <c r="G32" i="1"/>
  <c r="D32" i="1"/>
  <c r="D49" i="1"/>
  <c r="G49" i="1"/>
  <c r="G38" i="1"/>
  <c r="D38" i="1"/>
  <c r="D50" i="1"/>
  <c r="G50" i="1"/>
  <c r="G31" i="1"/>
  <c r="D31" i="1"/>
  <c r="G63" i="1"/>
  <c r="D63" i="1"/>
  <c r="D36" i="1"/>
  <c r="G36" i="1"/>
  <c r="D17" i="1"/>
  <c r="D17" i="34" s="1"/>
  <c r="G17" i="1"/>
  <c r="D53" i="1"/>
  <c r="G53" i="1"/>
  <c r="D42" i="1"/>
  <c r="G42" i="1"/>
  <c r="D35" i="1"/>
  <c r="G35" i="1"/>
  <c r="G39" i="1"/>
  <c r="D39" i="1"/>
  <c r="D44" i="1"/>
  <c r="G44" i="1"/>
  <c r="D69" i="1"/>
  <c r="G69" i="1"/>
  <c r="D58" i="1"/>
  <c r="G58" i="1"/>
  <c r="D25" i="1"/>
  <c r="G25" i="1"/>
  <c r="D61" i="1"/>
  <c r="G61" i="1"/>
  <c r="D18" i="1"/>
  <c r="D18" i="34" s="1"/>
  <c r="G18" i="1"/>
  <c r="G18" i="34" s="1"/>
  <c r="D66" i="1"/>
  <c r="G66" i="1"/>
  <c r="G40" i="1"/>
  <c r="D40" i="1"/>
  <c r="D21" i="1"/>
  <c r="G21" i="1"/>
  <c r="D43" i="1"/>
  <c r="G43" i="1"/>
  <c r="D13" i="1"/>
  <c r="G13" i="1"/>
  <c r="G48" i="1"/>
  <c r="D48" i="1"/>
  <c r="D29" i="1"/>
  <c r="G29" i="1"/>
  <c r="D65" i="1"/>
  <c r="G65" i="1"/>
  <c r="G22" i="1"/>
  <c r="D22" i="1"/>
  <c r="D12" i="1"/>
  <c r="G12" i="1"/>
  <c r="G47" i="1"/>
  <c r="D47" i="1"/>
  <c r="D68" i="1"/>
  <c r="G68" i="1"/>
  <c r="D20" i="1"/>
  <c r="D20" i="34" s="1"/>
  <c r="G20" i="1"/>
  <c r="G20" i="34" s="1"/>
  <c r="D52" i="1"/>
  <c r="G52" i="1"/>
  <c r="D33" i="1"/>
  <c r="G33" i="1"/>
  <c r="D26" i="1"/>
  <c r="G26" i="1"/>
  <c r="C28" i="1"/>
  <c r="C54" i="1"/>
  <c r="C58" i="1"/>
  <c r="C39" i="1"/>
  <c r="C24" i="1"/>
  <c r="C46" i="1"/>
  <c r="C37" i="1"/>
  <c r="C55" i="1"/>
  <c r="C17" i="1"/>
  <c r="C12" i="1"/>
  <c r="C43" i="18"/>
  <c r="C60" i="18"/>
  <c r="C26" i="18"/>
  <c r="C19" i="18"/>
  <c r="C14" i="30"/>
  <c r="C16" i="30"/>
  <c r="E5" i="153"/>
  <c r="E5" i="99"/>
  <c r="E5" i="100"/>
  <c r="E5" i="105"/>
  <c r="E5" i="107"/>
  <c r="E5" i="85"/>
  <c r="E5" i="186"/>
  <c r="G17" i="125"/>
  <c r="H17" i="125" s="1"/>
  <c r="E16" i="177"/>
  <c r="E16" i="176"/>
  <c r="E16" i="175"/>
  <c r="E16" i="174"/>
  <c r="E16" i="173"/>
  <c r="E16" i="156"/>
  <c r="E16" i="157"/>
  <c r="E16" i="158"/>
  <c r="E16" i="159"/>
  <c r="E15" i="164"/>
  <c r="E15" i="165"/>
  <c r="E15" i="166"/>
  <c r="E15" i="167"/>
  <c r="E16" i="167"/>
  <c r="E15" i="151"/>
  <c r="E15" i="155"/>
  <c r="E15" i="152"/>
  <c r="E15" i="153"/>
  <c r="E15" i="154"/>
  <c r="E15" i="125"/>
  <c r="E15" i="124"/>
  <c r="E15" i="123"/>
  <c r="E15" i="127"/>
  <c r="E16" i="106"/>
  <c r="E16" i="107"/>
  <c r="E16" i="90"/>
  <c r="E16" i="91"/>
  <c r="E16" i="92"/>
  <c r="E16" i="96"/>
  <c r="E16" i="85"/>
  <c r="E16" i="86"/>
  <c r="E16" i="89"/>
  <c r="E16" i="72"/>
  <c r="E16" i="80"/>
  <c r="E16" i="77"/>
  <c r="E16" i="78"/>
  <c r="E16" i="79"/>
  <c r="E16" i="69"/>
  <c r="E16" i="5"/>
  <c r="E16" i="148"/>
  <c r="E16" i="149"/>
  <c r="E16" i="144"/>
  <c r="E16" i="147"/>
  <c r="E16" i="145"/>
  <c r="E16" i="146"/>
  <c r="E16" i="130"/>
  <c r="E16" i="129"/>
  <c r="E16" i="142"/>
  <c r="E16" i="143"/>
  <c r="E16" i="141"/>
  <c r="E16" i="135"/>
  <c r="E16" i="137"/>
  <c r="E16" i="138"/>
  <c r="H16" i="76"/>
  <c r="H16" i="75"/>
  <c r="H16" i="74"/>
  <c r="H16" i="73"/>
  <c r="H16" i="71"/>
  <c r="E16" i="70"/>
  <c r="H16" i="88"/>
  <c r="H16" i="87"/>
  <c r="H16" i="84"/>
  <c r="H16" i="83"/>
  <c r="H16" i="82"/>
  <c r="H16" i="81"/>
  <c r="H16" i="126"/>
  <c r="H16" i="98"/>
  <c r="H16" i="97"/>
  <c r="H16" i="95"/>
  <c r="E16" i="186"/>
  <c r="E16" i="188"/>
  <c r="E16" i="189"/>
  <c r="E16" i="190"/>
  <c r="E16" i="193"/>
  <c r="E16" i="168"/>
  <c r="E16" i="128"/>
  <c r="E16" i="160"/>
  <c r="E16" i="162"/>
  <c r="E16" i="163"/>
  <c r="E16" i="164"/>
  <c r="E16" i="165"/>
  <c r="E16" i="166"/>
  <c r="H16" i="94"/>
  <c r="H16" i="93"/>
  <c r="H16" i="90"/>
  <c r="B17" i="150"/>
  <c r="G17" i="150" s="1"/>
  <c r="H17" i="150" s="1"/>
  <c r="G15" i="150"/>
  <c r="H15" i="150" s="1"/>
  <c r="D15" i="150"/>
  <c r="G17" i="123"/>
  <c r="H17" i="123" s="1"/>
  <c r="A3" i="33"/>
  <c r="A3" i="32"/>
  <c r="A3" i="31"/>
  <c r="A3" i="28"/>
  <c r="A3" i="27"/>
  <c r="A3" i="26"/>
  <c r="A3" i="19"/>
  <c r="A3" i="20"/>
  <c r="A3" i="21"/>
  <c r="A3" i="4"/>
  <c r="A3" i="3"/>
  <c r="G17" i="193"/>
  <c r="H17" i="193" s="1"/>
  <c r="D17" i="193"/>
  <c r="E17" i="193" s="1"/>
  <c r="G17" i="192"/>
  <c r="H17" i="192" s="1"/>
  <c r="D17" i="192"/>
  <c r="E17" i="192" s="1"/>
  <c r="G17" i="191"/>
  <c r="H17" i="191" s="1"/>
  <c r="D17" i="191"/>
  <c r="E17" i="191" s="1"/>
  <c r="G17" i="190"/>
  <c r="H17" i="190" s="1"/>
  <c r="D17" i="190"/>
  <c r="E17" i="190" s="1"/>
  <c r="G17" i="189"/>
  <c r="H17" i="189" s="1"/>
  <c r="D17" i="189"/>
  <c r="E17" i="189" s="1"/>
  <c r="G17" i="188"/>
  <c r="H17" i="188" s="1"/>
  <c r="D17" i="188"/>
  <c r="E17" i="188" s="1"/>
  <c r="G17" i="187"/>
  <c r="H17" i="187" s="1"/>
  <c r="D17" i="187"/>
  <c r="E17" i="187" s="1"/>
  <c r="G17" i="186"/>
  <c r="H17" i="186" s="1"/>
  <c r="D17" i="186"/>
  <c r="E17" i="186" s="1"/>
  <c r="G17" i="185"/>
  <c r="H17" i="185" s="1"/>
  <c r="D17" i="185"/>
  <c r="E17" i="185" s="1"/>
  <c r="G17" i="184"/>
  <c r="H17" i="184" s="1"/>
  <c r="D17" i="184"/>
  <c r="E17" i="184" s="1"/>
  <c r="G17" i="183"/>
  <c r="H17" i="183" s="1"/>
  <c r="D17" i="183"/>
  <c r="E17" i="183" s="1"/>
  <c r="G17" i="182"/>
  <c r="H17" i="182" s="1"/>
  <c r="D17" i="182"/>
  <c r="E17" i="182" s="1"/>
  <c r="G17" i="178"/>
  <c r="H17" i="178" s="1"/>
  <c r="D17" i="178"/>
  <c r="E17" i="178" s="1"/>
  <c r="G17" i="177"/>
  <c r="H17" i="177" s="1"/>
  <c r="D17" i="177"/>
  <c r="E17" i="177" s="1"/>
  <c r="G17" i="176"/>
  <c r="H17" i="176" s="1"/>
  <c r="D17" i="176"/>
  <c r="E17" i="176" s="1"/>
  <c r="G17" i="175"/>
  <c r="H17" i="175" s="1"/>
  <c r="D17" i="175"/>
  <c r="E17" i="175" s="1"/>
  <c r="G17" i="174"/>
  <c r="H17" i="174" s="1"/>
  <c r="D17" i="174"/>
  <c r="E17" i="174" s="1"/>
  <c r="G17" i="173"/>
  <c r="H17" i="173" s="1"/>
  <c r="D17" i="173"/>
  <c r="E17" i="173" s="1"/>
  <c r="G17" i="172"/>
  <c r="H17" i="172" s="1"/>
  <c r="D17" i="172"/>
  <c r="E17" i="172" s="1"/>
  <c r="G17" i="171"/>
  <c r="H17" i="171" s="1"/>
  <c r="D17" i="171"/>
  <c r="E17" i="171" s="1"/>
  <c r="G17" i="170"/>
  <c r="H17" i="170" s="1"/>
  <c r="D17" i="170"/>
  <c r="E17" i="170" s="1"/>
  <c r="G17" i="169"/>
  <c r="H17" i="169" s="1"/>
  <c r="D17" i="169"/>
  <c r="E17" i="169" s="1"/>
  <c r="G17" i="168"/>
  <c r="H17" i="168" s="1"/>
  <c r="D17" i="168"/>
  <c r="E17" i="168" s="1"/>
  <c r="G17" i="167"/>
  <c r="H17" i="167" s="1"/>
  <c r="D17" i="167"/>
  <c r="E17" i="167" s="1"/>
  <c r="G17" i="166"/>
  <c r="H17" i="166" s="1"/>
  <c r="D17" i="166"/>
  <c r="E17" i="166" s="1"/>
  <c r="G17" i="165"/>
  <c r="H17" i="165" s="1"/>
  <c r="D17" i="165"/>
  <c r="E17" i="165" s="1"/>
  <c r="G17" i="164"/>
  <c r="H17" i="164" s="1"/>
  <c r="D17" i="164"/>
  <c r="E17" i="164" s="1"/>
  <c r="G17" i="163"/>
  <c r="H17" i="163" s="1"/>
  <c r="D17" i="163"/>
  <c r="E17" i="163" s="1"/>
  <c r="G17" i="162"/>
  <c r="H17" i="162" s="1"/>
  <c r="D17" i="162"/>
  <c r="E17" i="162" s="1"/>
  <c r="G17" i="161"/>
  <c r="H17" i="161" s="1"/>
  <c r="D17" i="161"/>
  <c r="E17" i="161" s="1"/>
  <c r="G17" i="160"/>
  <c r="H17" i="160" s="1"/>
  <c r="D17" i="160"/>
  <c r="E17" i="160" s="1"/>
  <c r="G17" i="159"/>
  <c r="H17" i="159" s="1"/>
  <c r="D17" i="159"/>
  <c r="E17" i="159" s="1"/>
  <c r="G17" i="158"/>
  <c r="H17" i="158" s="1"/>
  <c r="D17" i="158"/>
  <c r="E17" i="158" s="1"/>
  <c r="G17" i="157"/>
  <c r="H17" i="157" s="1"/>
  <c r="D17" i="157"/>
  <c r="E17" i="157" s="1"/>
  <c r="G17" i="156"/>
  <c r="H17" i="156" s="1"/>
  <c r="D17" i="156"/>
  <c r="E17" i="156" s="1"/>
  <c r="G17" i="155"/>
  <c r="H17" i="155" s="1"/>
  <c r="D17" i="155"/>
  <c r="E17" i="155" s="1"/>
  <c r="G17" i="154"/>
  <c r="H17" i="154" s="1"/>
  <c r="D17" i="154"/>
  <c r="E17" i="154" s="1"/>
  <c r="G17" i="153"/>
  <c r="H17" i="153" s="1"/>
  <c r="D17" i="153"/>
  <c r="E17" i="153" s="1"/>
  <c r="G17" i="152"/>
  <c r="H17" i="152" s="1"/>
  <c r="D17" i="152"/>
  <c r="E17" i="152" s="1"/>
  <c r="G17" i="151"/>
  <c r="H17" i="151" s="1"/>
  <c r="D17" i="151"/>
  <c r="E17" i="151" s="1"/>
  <c r="D17" i="150"/>
  <c r="E17" i="150" s="1"/>
  <c r="G17" i="149"/>
  <c r="H17" i="149" s="1"/>
  <c r="D17" i="149"/>
  <c r="E17" i="149" s="1"/>
  <c r="G17" i="148"/>
  <c r="H17" i="148" s="1"/>
  <c r="D17" i="148"/>
  <c r="E17" i="148" s="1"/>
  <c r="G17" i="147"/>
  <c r="H17" i="147" s="1"/>
  <c r="D17" i="147"/>
  <c r="E17" i="147" s="1"/>
  <c r="G17" i="146"/>
  <c r="H17" i="146" s="1"/>
  <c r="D17" i="146"/>
  <c r="E17" i="146" s="1"/>
  <c r="G17" i="145"/>
  <c r="H17" i="145" s="1"/>
  <c r="D17" i="145"/>
  <c r="E17" i="145" s="1"/>
  <c r="G17" i="144"/>
  <c r="H17" i="144" s="1"/>
  <c r="D17" i="144"/>
  <c r="E17" i="144" s="1"/>
  <c r="G17" i="143"/>
  <c r="H17" i="143" s="1"/>
  <c r="D17" i="143"/>
  <c r="E17" i="143" s="1"/>
  <c r="G17" i="142"/>
  <c r="H17" i="142" s="1"/>
  <c r="D17" i="142"/>
  <c r="E17" i="142" s="1"/>
  <c r="G17" i="141"/>
  <c r="H17" i="141" s="1"/>
  <c r="D17" i="141"/>
  <c r="E17" i="141" s="1"/>
  <c r="G17" i="139"/>
  <c r="H17" i="139" s="1"/>
  <c r="D17" i="139"/>
  <c r="E17" i="139" s="1"/>
  <c r="G17" i="138"/>
  <c r="H17" i="138" s="1"/>
  <c r="D17" i="138"/>
  <c r="E17" i="138" s="1"/>
  <c r="G17" i="137"/>
  <c r="H17" i="137" s="1"/>
  <c r="D17" i="137"/>
  <c r="E17" i="137" s="1"/>
  <c r="G17" i="136"/>
  <c r="H17" i="136" s="1"/>
  <c r="D17" i="136"/>
  <c r="E17" i="136" s="1"/>
  <c r="G17" i="135"/>
  <c r="H17" i="135" s="1"/>
  <c r="D17" i="135"/>
  <c r="E17" i="135" s="1"/>
  <c r="G17" i="134"/>
  <c r="H17" i="134" s="1"/>
  <c r="D17" i="134"/>
  <c r="E17" i="134" s="1"/>
  <c r="G17" i="133"/>
  <c r="H17" i="133" s="1"/>
  <c r="D17" i="133"/>
  <c r="E17" i="133" s="1"/>
  <c r="G17" i="132"/>
  <c r="H17" i="132" s="1"/>
  <c r="D17" i="132"/>
  <c r="E17" i="132" s="1"/>
  <c r="G17" i="131"/>
  <c r="H17" i="131" s="1"/>
  <c r="D17" i="131"/>
  <c r="E17" i="131" s="1"/>
  <c r="G17" i="130"/>
  <c r="H17" i="130" s="1"/>
  <c r="D17" i="130"/>
  <c r="E17" i="130" s="1"/>
  <c r="G17" i="129"/>
  <c r="H17" i="129" s="1"/>
  <c r="D17" i="129"/>
  <c r="E17" i="129" s="1"/>
  <c r="A3" i="2"/>
  <c r="H12" i="92"/>
  <c r="G17" i="128"/>
  <c r="H17" i="128" s="1"/>
  <c r="D17" i="128"/>
  <c r="E17" i="128" s="1"/>
  <c r="G17" i="127"/>
  <c r="H17" i="127" s="1"/>
  <c r="D17" i="127"/>
  <c r="E17" i="127" s="1"/>
  <c r="G18" i="126"/>
  <c r="H18" i="126" s="1"/>
  <c r="D18" i="126"/>
  <c r="E18" i="126" s="1"/>
  <c r="G17" i="124"/>
  <c r="H17" i="124" s="1"/>
  <c r="D17" i="125"/>
  <c r="E17" i="125" s="1"/>
  <c r="D17" i="124"/>
  <c r="E17" i="124" s="1"/>
  <c r="D17" i="123"/>
  <c r="E17" i="123" s="1"/>
  <c r="G15" i="119"/>
  <c r="H15" i="119" s="1"/>
  <c r="B17" i="119"/>
  <c r="G17" i="119" s="1"/>
  <c r="H17" i="119" s="1"/>
  <c r="G16" i="119"/>
  <c r="H16" i="119" s="1"/>
  <c r="G14" i="119"/>
  <c r="H14" i="119" s="1"/>
  <c r="E8" i="119"/>
  <c r="E9" i="119"/>
  <c r="E10" i="119"/>
  <c r="E11" i="119"/>
  <c r="E12" i="119"/>
  <c r="E13" i="119"/>
  <c r="E14" i="119"/>
  <c r="E15" i="119"/>
  <c r="E16" i="119"/>
  <c r="E7" i="119"/>
  <c r="E5" i="119"/>
  <c r="G17" i="122"/>
  <c r="H17" i="122" s="1"/>
  <c r="D17" i="122"/>
  <c r="E17" i="122" s="1"/>
  <c r="G17" i="121"/>
  <c r="H17" i="121" s="1"/>
  <c r="D17" i="121"/>
  <c r="E17" i="121" s="1"/>
  <c r="G17" i="120"/>
  <c r="H17" i="120" s="1"/>
  <c r="D17" i="120"/>
  <c r="E17" i="120" s="1"/>
  <c r="G17" i="118"/>
  <c r="H17" i="118" s="1"/>
  <c r="D17" i="118"/>
  <c r="E17" i="118" s="1"/>
  <c r="G17" i="117"/>
  <c r="H17" i="117" s="1"/>
  <c r="D17" i="117"/>
  <c r="E17" i="117" s="1"/>
  <c r="G17" i="116"/>
  <c r="H17" i="116" s="1"/>
  <c r="D17" i="116"/>
  <c r="E17" i="116" s="1"/>
  <c r="G17" i="115"/>
  <c r="H17" i="115" s="1"/>
  <c r="D17" i="115"/>
  <c r="E17" i="115" s="1"/>
  <c r="G17" i="114"/>
  <c r="H17" i="114" s="1"/>
  <c r="D17" i="114"/>
  <c r="E17" i="114" s="1"/>
  <c r="G17" i="113"/>
  <c r="H17" i="113" s="1"/>
  <c r="D17" i="113"/>
  <c r="E17" i="113" s="1"/>
  <c r="G17" i="112"/>
  <c r="H17" i="112" s="1"/>
  <c r="D17" i="112"/>
  <c r="E17" i="112" s="1"/>
  <c r="E8" i="111"/>
  <c r="E9" i="111"/>
  <c r="E10" i="111"/>
  <c r="E11" i="111"/>
  <c r="E12" i="111"/>
  <c r="E13" i="111"/>
  <c r="E14" i="111"/>
  <c r="E15" i="111"/>
  <c r="E16" i="111"/>
  <c r="E7" i="111"/>
  <c r="E6" i="111"/>
  <c r="E5" i="111"/>
  <c r="H5" i="69"/>
  <c r="H6" i="69"/>
  <c r="H7" i="69"/>
  <c r="H8" i="69"/>
  <c r="H9" i="69"/>
  <c r="H10" i="69"/>
  <c r="H11" i="69"/>
  <c r="H12" i="69"/>
  <c r="H13" i="69"/>
  <c r="H14" i="69"/>
  <c r="H15" i="69"/>
  <c r="H16" i="69"/>
  <c r="E6" i="5"/>
  <c r="G17" i="111"/>
  <c r="H17" i="111" s="1"/>
  <c r="D17" i="111"/>
  <c r="E17" i="111" s="1"/>
  <c r="G17" i="110"/>
  <c r="H17" i="110" s="1"/>
  <c r="D17" i="110"/>
  <c r="E17" i="110" s="1"/>
  <c r="G17" i="109"/>
  <c r="H17" i="109" s="1"/>
  <c r="D17" i="109"/>
  <c r="E17" i="109" s="1"/>
  <c r="G17" i="108"/>
  <c r="H17" i="108" s="1"/>
  <c r="D17" i="108"/>
  <c r="E17" i="108" s="1"/>
  <c r="G17" i="107"/>
  <c r="H17" i="107" s="1"/>
  <c r="D17" i="107"/>
  <c r="E17" i="107" s="1"/>
  <c r="G17" i="106"/>
  <c r="H17" i="106" s="1"/>
  <c r="D17" i="106"/>
  <c r="E17" i="106" s="1"/>
  <c r="G17" i="105"/>
  <c r="H17" i="105" s="1"/>
  <c r="D17" i="105"/>
  <c r="E17" i="105" s="1"/>
  <c r="G17" i="104"/>
  <c r="H17" i="104" s="1"/>
  <c r="D17" i="104"/>
  <c r="E17" i="104" s="1"/>
  <c r="G18" i="103"/>
  <c r="H18" i="103" s="1"/>
  <c r="D18" i="103"/>
  <c r="E18" i="103" s="1"/>
  <c r="G17" i="102"/>
  <c r="H17" i="102" s="1"/>
  <c r="D17" i="102"/>
  <c r="E17" i="102" s="1"/>
  <c r="G17" i="101"/>
  <c r="H17" i="101" s="1"/>
  <c r="D17" i="101"/>
  <c r="E17" i="101" s="1"/>
  <c r="G17" i="100"/>
  <c r="H17" i="100" s="1"/>
  <c r="D17" i="100"/>
  <c r="E17" i="100" s="1"/>
  <c r="G17" i="99"/>
  <c r="H17" i="99" s="1"/>
  <c r="D17" i="99"/>
  <c r="E17" i="99" s="1"/>
  <c r="G17" i="98"/>
  <c r="H17" i="98" s="1"/>
  <c r="D17" i="98"/>
  <c r="E17" i="98" s="1"/>
  <c r="G17" i="97"/>
  <c r="H17" i="97" s="1"/>
  <c r="D17" i="97"/>
  <c r="E17" i="97" s="1"/>
  <c r="G17" i="96"/>
  <c r="H17" i="96" s="1"/>
  <c r="D17" i="96"/>
  <c r="E17" i="96" s="1"/>
  <c r="G17" i="95"/>
  <c r="H17" i="95" s="1"/>
  <c r="D17" i="95"/>
  <c r="E17" i="95" s="1"/>
  <c r="G17" i="94"/>
  <c r="H17" i="94" s="1"/>
  <c r="D17" i="94"/>
  <c r="E17" i="94" s="1"/>
  <c r="G17" i="93"/>
  <c r="H17" i="93" s="1"/>
  <c r="D17" i="93"/>
  <c r="E17" i="93" s="1"/>
  <c r="G17" i="92"/>
  <c r="H17" i="92" s="1"/>
  <c r="D17" i="92"/>
  <c r="E17" i="92" s="1"/>
  <c r="G17" i="91"/>
  <c r="H17" i="91" s="1"/>
  <c r="D17" i="91"/>
  <c r="E17" i="91" s="1"/>
  <c r="G17" i="90"/>
  <c r="H17" i="90" s="1"/>
  <c r="D17" i="90"/>
  <c r="E17" i="90" s="1"/>
  <c r="G17" i="89"/>
  <c r="H17" i="89" s="1"/>
  <c r="D17" i="89"/>
  <c r="E17" i="89" s="1"/>
  <c r="G17" i="88"/>
  <c r="H17" i="88" s="1"/>
  <c r="D17" i="88"/>
  <c r="E17" i="88" s="1"/>
  <c r="G17" i="87"/>
  <c r="H17" i="87" s="1"/>
  <c r="D17" i="87"/>
  <c r="E17" i="87" s="1"/>
  <c r="G17" i="86"/>
  <c r="H17" i="86" s="1"/>
  <c r="D17" i="86"/>
  <c r="E17" i="86" s="1"/>
  <c r="G17" i="85"/>
  <c r="H17" i="85" s="1"/>
  <c r="D17" i="85"/>
  <c r="E17" i="85" s="1"/>
  <c r="G17" i="84"/>
  <c r="H17" i="84" s="1"/>
  <c r="D17" i="84"/>
  <c r="E17" i="84" s="1"/>
  <c r="G17" i="83"/>
  <c r="H17" i="83" s="1"/>
  <c r="D17" i="83"/>
  <c r="E17" i="83" s="1"/>
  <c r="G17" i="82"/>
  <c r="H17" i="82" s="1"/>
  <c r="D17" i="82"/>
  <c r="E17" i="82" s="1"/>
  <c r="G17" i="81"/>
  <c r="H17" i="81" s="1"/>
  <c r="D17" i="81"/>
  <c r="E17" i="81" s="1"/>
  <c r="G17" i="80"/>
  <c r="H17" i="80" s="1"/>
  <c r="D17" i="80"/>
  <c r="E17" i="80" s="1"/>
  <c r="G17" i="79"/>
  <c r="H17" i="79" s="1"/>
  <c r="D17" i="79"/>
  <c r="E17" i="79" s="1"/>
  <c r="G17" i="78"/>
  <c r="H17" i="78" s="1"/>
  <c r="D17" i="78"/>
  <c r="E17" i="78" s="1"/>
  <c r="G17" i="77"/>
  <c r="H17" i="77" s="1"/>
  <c r="D17" i="77"/>
  <c r="E17" i="77" s="1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69"/>
  <c r="H17" i="69" s="1"/>
  <c r="D17" i="69"/>
  <c r="E17" i="69" s="1"/>
  <c r="G17" i="5"/>
  <c r="H17" i="5" s="1"/>
  <c r="D17" i="5"/>
  <c r="E17" i="5" s="1"/>
  <c r="C15" i="32" a="1"/>
  <c r="C15" i="33" a="1"/>
  <c r="C15" i="2" l="1"/>
  <c r="C15" i="1" s="1"/>
  <c r="G15" i="1"/>
  <c r="D15" i="1"/>
  <c r="C14" i="2"/>
  <c r="C14" i="1" s="1"/>
  <c r="D14" i="1"/>
  <c r="D14" i="34" s="1"/>
  <c r="G14" i="1"/>
  <c r="G14" i="34" s="1"/>
  <c r="C16" i="2"/>
  <c r="C16" i="1" s="1"/>
  <c r="D16" i="1"/>
  <c r="D16" i="34" s="1"/>
  <c r="G16" i="1"/>
  <c r="G16" i="34" s="1"/>
  <c r="H15" i="1"/>
  <c r="I15" i="1" s="1"/>
  <c r="E16" i="1"/>
  <c r="F16" i="1" s="1"/>
  <c r="C16" i="34"/>
  <c r="G17" i="34"/>
  <c r="H14" i="1"/>
  <c r="I14" i="1" s="1"/>
  <c r="C14" i="34"/>
  <c r="H16" i="1"/>
  <c r="I16" i="1" s="1"/>
  <c r="E15" i="29"/>
  <c r="F15" i="29" s="1"/>
  <c r="C15" i="33"/>
  <c r="C15" i="32"/>
  <c r="G15" i="30"/>
  <c r="G15" i="34" s="1"/>
  <c r="D15" i="30"/>
  <c r="D15" i="34" s="1"/>
  <c r="H16" i="18"/>
  <c r="I16" i="18" s="1"/>
  <c r="E14" i="29"/>
  <c r="F14" i="29" s="1"/>
  <c r="H16" i="29"/>
  <c r="I16" i="29" s="1"/>
  <c r="E14" i="1"/>
  <c r="F14" i="1" s="1"/>
  <c r="E14" i="18"/>
  <c r="F14" i="18" s="1"/>
  <c r="E15" i="1"/>
  <c r="F15" i="1" s="1"/>
  <c r="E15" i="18"/>
  <c r="F15" i="18" s="1"/>
  <c r="C21" i="18"/>
  <c r="E21" i="18" s="1"/>
  <c r="F21" i="18" s="1"/>
  <c r="C55" i="18"/>
  <c r="H55" i="18" s="1"/>
  <c r="I55" i="18" s="1"/>
  <c r="C61" i="18"/>
  <c r="E61" i="18" s="1"/>
  <c r="F61" i="18" s="1"/>
  <c r="C10" i="18"/>
  <c r="E10" i="18" s="1"/>
  <c r="F10" i="18" s="1"/>
  <c r="C42" i="29"/>
  <c r="E42" i="29" s="1"/>
  <c r="F42" i="29" s="1"/>
  <c r="C19" i="29"/>
  <c r="E19" i="29" s="1"/>
  <c r="F19" i="29" s="1"/>
  <c r="C52" i="18"/>
  <c r="E52" i="18" s="1"/>
  <c r="F52" i="18" s="1"/>
  <c r="C27" i="18"/>
  <c r="E27" i="18" s="1"/>
  <c r="F27" i="18" s="1"/>
  <c r="C23" i="29"/>
  <c r="E23" i="29" s="1"/>
  <c r="F23" i="29" s="1"/>
  <c r="C34" i="18"/>
  <c r="E34" i="18" s="1"/>
  <c r="F34" i="18" s="1"/>
  <c r="C25" i="1"/>
  <c r="C47" i="1"/>
  <c r="C69" i="1"/>
  <c r="C17" i="18"/>
  <c r="E17" i="18" s="1"/>
  <c r="F17" i="18" s="1"/>
  <c r="C43" i="29"/>
  <c r="E43" i="29" s="1"/>
  <c r="F43" i="29" s="1"/>
  <c r="C27" i="1"/>
  <c r="C59" i="1"/>
  <c r="C17" i="30"/>
  <c r="E17" i="30" s="1"/>
  <c r="F17" i="30" s="1"/>
  <c r="C54" i="18"/>
  <c r="E54" i="18" s="1"/>
  <c r="F54" i="18" s="1"/>
  <c r="C52" i="1"/>
  <c r="C20" i="29"/>
  <c r="E20" i="29" s="1"/>
  <c r="F20" i="29" s="1"/>
  <c r="C18" i="18"/>
  <c r="E18" i="18" s="1"/>
  <c r="F18" i="18" s="1"/>
  <c r="C41" i="1"/>
  <c r="G22" i="30"/>
  <c r="G22" i="34" s="1"/>
  <c r="D22" i="30"/>
  <c r="D22" i="34" s="1"/>
  <c r="D44" i="30"/>
  <c r="D44" i="34" s="1"/>
  <c r="G44" i="30"/>
  <c r="G44" i="34" s="1"/>
  <c r="D42" i="30"/>
  <c r="D42" i="34" s="1"/>
  <c r="G42" i="30"/>
  <c r="G42" i="34" s="1"/>
  <c r="D43" i="30"/>
  <c r="D43" i="34" s="1"/>
  <c r="G43" i="30"/>
  <c r="G43" i="34" s="1"/>
  <c r="D23" i="30"/>
  <c r="D23" i="34" s="1"/>
  <c r="G23" i="30"/>
  <c r="G23" i="34" s="1"/>
  <c r="D21" i="30"/>
  <c r="D21" i="34" s="1"/>
  <c r="G21" i="30"/>
  <c r="G21" i="34" s="1"/>
  <c r="C18" i="30"/>
  <c r="C48" i="18"/>
  <c r="H48" i="18" s="1"/>
  <c r="I48" i="18" s="1"/>
  <c r="C56" i="18"/>
  <c r="E56" i="18" s="1"/>
  <c r="F56" i="18" s="1"/>
  <c r="C41" i="18"/>
  <c r="H41" i="18" s="1"/>
  <c r="I41" i="18" s="1"/>
  <c r="C47" i="18"/>
  <c r="H47" i="18" s="1"/>
  <c r="I47" i="18" s="1"/>
  <c r="C5" i="18"/>
  <c r="E5" i="18" s="1"/>
  <c r="F5" i="18" s="1"/>
  <c r="C36" i="18"/>
  <c r="E36" i="18" s="1"/>
  <c r="F36" i="18" s="1"/>
  <c r="C18" i="29"/>
  <c r="E18" i="29" s="1"/>
  <c r="F18" i="29" s="1"/>
  <c r="C19" i="30"/>
  <c r="C22" i="29"/>
  <c r="E22" i="29" s="1"/>
  <c r="F22" i="29" s="1"/>
  <c r="C46" i="18"/>
  <c r="E46" i="18" s="1"/>
  <c r="F46" i="18" s="1"/>
  <c r="C37" i="18"/>
  <c r="E37" i="18" s="1"/>
  <c r="F37" i="18" s="1"/>
  <c r="C21" i="1"/>
  <c r="E14" i="30"/>
  <c r="F14" i="30" s="1"/>
  <c r="H14" i="30"/>
  <c r="I14" i="30" s="1"/>
  <c r="C8" i="18"/>
  <c r="H8" i="18" s="1"/>
  <c r="I8" i="18" s="1"/>
  <c r="C48" i="1"/>
  <c r="C44" i="29"/>
  <c r="H44" i="29" s="1"/>
  <c r="I44" i="29" s="1"/>
  <c r="C51" i="18"/>
  <c r="E51" i="18" s="1"/>
  <c r="F51" i="18" s="1"/>
  <c r="C49" i="18"/>
  <c r="H49" i="18" s="1"/>
  <c r="I49" i="18" s="1"/>
  <c r="C7" i="18"/>
  <c r="H7" i="18" s="1"/>
  <c r="I7" i="18" s="1"/>
  <c r="C9" i="18"/>
  <c r="H9" i="18" s="1"/>
  <c r="I9" i="18" s="1"/>
  <c r="C4" i="18"/>
  <c r="E4" i="18" s="1"/>
  <c r="F4" i="18" s="1"/>
  <c r="H16" i="30"/>
  <c r="I16" i="30" s="1"/>
  <c r="E16" i="30"/>
  <c r="F16" i="30" s="1"/>
  <c r="C28" i="18"/>
  <c r="E28" i="18" s="1"/>
  <c r="F28" i="18" s="1"/>
  <c r="C35" i="18"/>
  <c r="E35" i="18" s="1"/>
  <c r="F35" i="18" s="1"/>
  <c r="C20" i="30"/>
  <c r="C21" i="29"/>
  <c r="C42" i="18"/>
  <c r="E42" i="18" s="1"/>
  <c r="F42" i="18" s="1"/>
  <c r="C65" i="1"/>
  <c r="C29" i="1"/>
  <c r="C58" i="18"/>
  <c r="E58" i="18" s="1"/>
  <c r="F58" i="18" s="1"/>
  <c r="C23" i="18"/>
  <c r="H23" i="18" s="1"/>
  <c r="I23" i="18" s="1"/>
  <c r="C29" i="18"/>
  <c r="E29" i="18" s="1"/>
  <c r="F29" i="18" s="1"/>
  <c r="C57" i="1"/>
  <c r="C31" i="1"/>
  <c r="C38" i="1"/>
  <c r="C19" i="1"/>
  <c r="C17" i="29"/>
  <c r="C22" i="18"/>
  <c r="E22" i="18" s="1"/>
  <c r="F22" i="18" s="1"/>
  <c r="C50" i="18"/>
  <c r="H50" i="18" s="1"/>
  <c r="I50" i="18" s="1"/>
  <c r="C13" i="18"/>
  <c r="H13" i="18" s="1"/>
  <c r="I13" i="18" s="1"/>
  <c r="C12" i="18"/>
  <c r="H12" i="18" s="1"/>
  <c r="I12" i="18" s="1"/>
  <c r="C64" i="18"/>
  <c r="H64" i="18" s="1"/>
  <c r="I64" i="18" s="1"/>
  <c r="C25" i="18"/>
  <c r="H25" i="18" s="1"/>
  <c r="I25" i="18" s="1"/>
  <c r="C20" i="18"/>
  <c r="E20" i="18" s="1"/>
  <c r="F20" i="18" s="1"/>
  <c r="C45" i="18"/>
  <c r="C38" i="18"/>
  <c r="C40" i="18"/>
  <c r="C66" i="18"/>
  <c r="E26" i="18"/>
  <c r="F26" i="18" s="1"/>
  <c r="H26" i="18"/>
  <c r="I26" i="18" s="1"/>
  <c r="C57" i="18"/>
  <c r="C63" i="18"/>
  <c r="C24" i="18"/>
  <c r="C6" i="18"/>
  <c r="C62" i="18"/>
  <c r="C33" i="1"/>
  <c r="C50" i="1"/>
  <c r="C20" i="1"/>
  <c r="C36" i="1"/>
  <c r="E60" i="18"/>
  <c r="F60" i="18" s="1"/>
  <c r="H60" i="18"/>
  <c r="I60" i="18" s="1"/>
  <c r="E19" i="18"/>
  <c r="F19" i="18" s="1"/>
  <c r="H19" i="18"/>
  <c r="I19" i="18" s="1"/>
  <c r="C31" i="18"/>
  <c r="C11" i="18"/>
  <c r="C30" i="18"/>
  <c r="C32" i="18"/>
  <c r="E43" i="18"/>
  <c r="F43" i="18" s="1"/>
  <c r="H43" i="18"/>
  <c r="I43" i="18" s="1"/>
  <c r="C65" i="18"/>
  <c r="C53" i="18"/>
  <c r="C59" i="18"/>
  <c r="C44" i="18"/>
  <c r="C33" i="18"/>
  <c r="C39" i="18"/>
  <c r="C61" i="1"/>
  <c r="C42" i="1"/>
  <c r="C30" i="1"/>
  <c r="C60" i="1"/>
  <c r="C23" i="1"/>
  <c r="C26" i="1"/>
  <c r="C22" i="1"/>
  <c r="D45" i="1"/>
  <c r="G45" i="1"/>
  <c r="G62" i="1"/>
  <c r="D62" i="1"/>
  <c r="G64" i="1"/>
  <c r="D64" i="1"/>
  <c r="H39" i="1"/>
  <c r="I39" i="1" s="1"/>
  <c r="E39" i="1"/>
  <c r="F39" i="1" s="1"/>
  <c r="C68" i="1"/>
  <c r="C66" i="1"/>
  <c r="C44" i="1"/>
  <c r="H17" i="1"/>
  <c r="I17" i="1" s="1"/>
  <c r="E17" i="1"/>
  <c r="F17" i="1" s="1"/>
  <c r="C49" i="1"/>
  <c r="C56" i="1"/>
  <c r="E54" i="1"/>
  <c r="F54" i="1" s="1"/>
  <c r="H54" i="1"/>
  <c r="I54" i="1" s="1"/>
  <c r="C18" i="1"/>
  <c r="C18" i="34" s="1"/>
  <c r="C35" i="1"/>
  <c r="C63" i="1"/>
  <c r="H24" i="1"/>
  <c r="I24" i="1" s="1"/>
  <c r="E24" i="1"/>
  <c r="F24" i="1" s="1"/>
  <c r="E12" i="1"/>
  <c r="F12" i="1" s="1"/>
  <c r="H12" i="1"/>
  <c r="I12" i="1" s="1"/>
  <c r="C43" i="1"/>
  <c r="H55" i="1"/>
  <c r="I55" i="1" s="1"/>
  <c r="E55" i="1"/>
  <c r="F55" i="1" s="1"/>
  <c r="E37" i="1"/>
  <c r="F37" i="1" s="1"/>
  <c r="H37" i="1"/>
  <c r="I37" i="1" s="1"/>
  <c r="E58" i="1"/>
  <c r="F58" i="1" s="1"/>
  <c r="H58" i="1"/>
  <c r="I58" i="1" s="1"/>
  <c r="C32" i="1"/>
  <c r="C51" i="1"/>
  <c r="E46" i="1"/>
  <c r="F46" i="1" s="1"/>
  <c r="H46" i="1"/>
  <c r="I46" i="1" s="1"/>
  <c r="C13" i="1"/>
  <c r="C40" i="1"/>
  <c r="C53" i="1"/>
  <c r="C34" i="1"/>
  <c r="E28" i="1"/>
  <c r="F28" i="1" s="1"/>
  <c r="H28" i="1"/>
  <c r="I28" i="1" s="1"/>
  <c r="C67" i="1"/>
  <c r="C64" i="1"/>
  <c r="C62" i="1"/>
  <c r="C45" i="1"/>
  <c r="E15" i="150"/>
  <c r="C42" i="30"/>
  <c r="C23" i="30"/>
  <c r="C22" i="30"/>
  <c r="C21" i="30"/>
  <c r="C44" i="30"/>
  <c r="C43" i="30"/>
  <c r="D17" i="119"/>
  <c r="E17" i="119" s="1"/>
  <c r="C43" i="34" l="1"/>
  <c r="E43" i="34"/>
  <c r="F43" i="34" s="1"/>
  <c r="H43" i="34"/>
  <c r="I43" i="34" s="1"/>
  <c r="E36" i="1"/>
  <c r="F36" i="1" s="1"/>
  <c r="H38" i="1"/>
  <c r="I38" i="1" s="1"/>
  <c r="H59" i="1"/>
  <c r="I59" i="1" s="1"/>
  <c r="H16" i="34"/>
  <c r="I16" i="34" s="1"/>
  <c r="E16" i="34"/>
  <c r="F16" i="34" s="1"/>
  <c r="H61" i="1"/>
  <c r="I61" i="1" s="1"/>
  <c r="E19" i="1"/>
  <c r="F19" i="1" s="1"/>
  <c r="C19" i="34"/>
  <c r="E26" i="1"/>
  <c r="F26" i="1" s="1"/>
  <c r="E50" i="1"/>
  <c r="F50" i="1" s="1"/>
  <c r="H57" i="1"/>
  <c r="I57" i="1" s="1"/>
  <c r="H41" i="1"/>
  <c r="I41" i="1" s="1"/>
  <c r="C17" i="34"/>
  <c r="E22" i="1"/>
  <c r="F22" i="1" s="1"/>
  <c r="C22" i="34"/>
  <c r="H23" i="1"/>
  <c r="I23" i="1" s="1"/>
  <c r="C23" i="34"/>
  <c r="H33" i="1"/>
  <c r="I33" i="1" s="1"/>
  <c r="H65" i="1"/>
  <c r="I65" i="1" s="1"/>
  <c r="H31" i="1"/>
  <c r="I31" i="1" s="1"/>
  <c r="H21" i="1"/>
  <c r="I21" i="1" s="1"/>
  <c r="C21" i="34"/>
  <c r="E27" i="1"/>
  <c r="F27" i="1" s="1"/>
  <c r="H60" i="1"/>
  <c r="I60" i="1" s="1"/>
  <c r="E69" i="1"/>
  <c r="F69" i="1" s="1"/>
  <c r="H30" i="1"/>
  <c r="I30" i="1" s="1"/>
  <c r="H48" i="1"/>
  <c r="I48" i="1" s="1"/>
  <c r="E52" i="1"/>
  <c r="F52" i="1" s="1"/>
  <c r="E47" i="1"/>
  <c r="F47" i="1" s="1"/>
  <c r="E14" i="34"/>
  <c r="F14" i="34" s="1"/>
  <c r="H14" i="34"/>
  <c r="I14" i="34" s="1"/>
  <c r="E18" i="34"/>
  <c r="F18" i="34" s="1"/>
  <c r="H18" i="34"/>
  <c r="I18" i="34" s="1"/>
  <c r="E20" i="1"/>
  <c r="F20" i="1" s="1"/>
  <c r="C20" i="34"/>
  <c r="C44" i="34"/>
  <c r="E42" i="1"/>
  <c r="F42" i="1" s="1"/>
  <c r="C42" i="34"/>
  <c r="E29" i="1"/>
  <c r="F29" i="1" s="1"/>
  <c r="H25" i="1"/>
  <c r="I25" i="1" s="1"/>
  <c r="H69" i="1"/>
  <c r="I69" i="1" s="1"/>
  <c r="H42" i="29"/>
  <c r="I42" i="29" s="1"/>
  <c r="H47" i="1"/>
  <c r="I47" i="1" s="1"/>
  <c r="H34" i="18"/>
  <c r="I34" i="18" s="1"/>
  <c r="H21" i="18"/>
  <c r="I21" i="18" s="1"/>
  <c r="H23" i="29"/>
  <c r="I23" i="29" s="1"/>
  <c r="H58" i="18"/>
  <c r="I58" i="18" s="1"/>
  <c r="H61" i="18"/>
  <c r="I61" i="18" s="1"/>
  <c r="C15" i="30"/>
  <c r="C15" i="34" s="1"/>
  <c r="H50" i="1"/>
  <c r="I50" i="1" s="1"/>
  <c r="E61" i="1"/>
  <c r="F61" i="1" s="1"/>
  <c r="E21" i="1"/>
  <c r="F21" i="1" s="1"/>
  <c r="E8" i="18"/>
  <c r="F8" i="18" s="1"/>
  <c r="H29" i="1"/>
  <c r="I29" i="1" s="1"/>
  <c r="H18" i="29"/>
  <c r="I18" i="29" s="1"/>
  <c r="E59" i="1"/>
  <c r="F59" i="1" s="1"/>
  <c r="E23" i="18"/>
  <c r="F23" i="18" s="1"/>
  <c r="E60" i="1"/>
  <c r="F60" i="1" s="1"/>
  <c r="E55" i="18"/>
  <c r="F55" i="18" s="1"/>
  <c r="H10" i="18"/>
  <c r="I10" i="18" s="1"/>
  <c r="E57" i="1"/>
  <c r="F57" i="1" s="1"/>
  <c r="H42" i="1"/>
  <c r="I42" i="1" s="1"/>
  <c r="E25" i="1"/>
  <c r="F25" i="1" s="1"/>
  <c r="H17" i="30"/>
  <c r="I17" i="30" s="1"/>
  <c r="E12" i="18"/>
  <c r="F12" i="18" s="1"/>
  <c r="H20" i="29"/>
  <c r="I20" i="29" s="1"/>
  <c r="E13" i="18"/>
  <c r="F13" i="18" s="1"/>
  <c r="H52" i="18"/>
  <c r="I52" i="18" s="1"/>
  <c r="E38" i="1"/>
  <c r="F38" i="1" s="1"/>
  <c r="E50" i="18"/>
  <c r="F50" i="18" s="1"/>
  <c r="H17" i="18"/>
  <c r="I17" i="18" s="1"/>
  <c r="H37" i="18"/>
  <c r="I37" i="18" s="1"/>
  <c r="H19" i="29"/>
  <c r="I19" i="29" s="1"/>
  <c r="H18" i="18"/>
  <c r="I18" i="18" s="1"/>
  <c r="H27" i="18"/>
  <c r="I27" i="18" s="1"/>
  <c r="H4" i="18"/>
  <c r="I4" i="18" s="1"/>
  <c r="H27" i="1"/>
  <c r="I27" i="1" s="1"/>
  <c r="H36" i="18"/>
  <c r="I36" i="18" s="1"/>
  <c r="E25" i="18"/>
  <c r="F25" i="18" s="1"/>
  <c r="H5" i="18"/>
  <c r="I5" i="18" s="1"/>
  <c r="E41" i="1"/>
  <c r="F41" i="1" s="1"/>
  <c r="H42" i="18"/>
  <c r="I42" i="18" s="1"/>
  <c r="E44" i="29"/>
  <c r="F44" i="29" s="1"/>
  <c r="H43" i="29"/>
  <c r="I43" i="29" s="1"/>
  <c r="H20" i="18"/>
  <c r="I20" i="18" s="1"/>
  <c r="H22" i="18"/>
  <c r="I22" i="18" s="1"/>
  <c r="E9" i="18"/>
  <c r="F9" i="18" s="1"/>
  <c r="H46" i="18"/>
  <c r="I46" i="18" s="1"/>
  <c r="H51" i="18"/>
  <c r="I51" i="18" s="1"/>
  <c r="H52" i="1"/>
  <c r="I52" i="1" s="1"/>
  <c r="H56" i="18"/>
  <c r="I56" i="18" s="1"/>
  <c r="H54" i="18"/>
  <c r="I54" i="18" s="1"/>
  <c r="H22" i="1"/>
  <c r="I22" i="1" s="1"/>
  <c r="E48" i="1"/>
  <c r="F48" i="1" s="1"/>
  <c r="H36" i="1"/>
  <c r="I36" i="1" s="1"/>
  <c r="E31" i="1"/>
  <c r="F31" i="1" s="1"/>
  <c r="E48" i="18"/>
  <c r="F48" i="18" s="1"/>
  <c r="E64" i="18"/>
  <c r="F64" i="18" s="1"/>
  <c r="H20" i="1"/>
  <c r="I20" i="1" s="1"/>
  <c r="H29" i="18"/>
  <c r="I29" i="18" s="1"/>
  <c r="H22" i="29"/>
  <c r="I22" i="29" s="1"/>
  <c r="E43" i="30"/>
  <c r="F43" i="30" s="1"/>
  <c r="H43" i="30"/>
  <c r="I43" i="30" s="1"/>
  <c r="E42" i="30"/>
  <c r="F42" i="30" s="1"/>
  <c r="H42" i="30"/>
  <c r="I42" i="30" s="1"/>
  <c r="E44" i="30"/>
  <c r="F44" i="30" s="1"/>
  <c r="H44" i="30"/>
  <c r="I44" i="30" s="1"/>
  <c r="E21" i="30"/>
  <c r="F21" i="30" s="1"/>
  <c r="H21" i="30"/>
  <c r="I21" i="30" s="1"/>
  <c r="E22" i="30"/>
  <c r="F22" i="30" s="1"/>
  <c r="H22" i="30"/>
  <c r="I22" i="30" s="1"/>
  <c r="E30" i="1"/>
  <c r="F30" i="1" s="1"/>
  <c r="H28" i="18"/>
  <c r="I28" i="18" s="1"/>
  <c r="E47" i="18"/>
  <c r="F47" i="18" s="1"/>
  <c r="H35" i="18"/>
  <c r="I35" i="18" s="1"/>
  <c r="E7" i="18"/>
  <c r="F7" i="18" s="1"/>
  <c r="E19" i="30"/>
  <c r="F19" i="30" s="1"/>
  <c r="H19" i="30"/>
  <c r="I19" i="30" s="1"/>
  <c r="E18" i="30"/>
  <c r="F18" i="30" s="1"/>
  <c r="H18" i="30"/>
  <c r="I18" i="30" s="1"/>
  <c r="H23" i="30"/>
  <c r="I23" i="30" s="1"/>
  <c r="E23" i="30"/>
  <c r="F23" i="30" s="1"/>
  <c r="H19" i="1"/>
  <c r="I19" i="1" s="1"/>
  <c r="E49" i="18"/>
  <c r="F49" i="18" s="1"/>
  <c r="E41" i="18"/>
  <c r="F41" i="18" s="1"/>
  <c r="E20" i="30"/>
  <c r="F20" i="30" s="1"/>
  <c r="H20" i="30"/>
  <c r="I20" i="30" s="1"/>
  <c r="E23" i="1"/>
  <c r="F23" i="1" s="1"/>
  <c r="E65" i="1"/>
  <c r="F65" i="1" s="1"/>
  <c r="E33" i="1"/>
  <c r="F33" i="1" s="1"/>
  <c r="H17" i="29"/>
  <c r="I17" i="29" s="1"/>
  <c r="E17" i="29"/>
  <c r="F17" i="29" s="1"/>
  <c r="E21" i="29"/>
  <c r="F21" i="29" s="1"/>
  <c r="H21" i="29"/>
  <c r="I21" i="29" s="1"/>
  <c r="E62" i="18"/>
  <c r="F62" i="18" s="1"/>
  <c r="H62" i="18"/>
  <c r="I62" i="18" s="1"/>
  <c r="E30" i="18"/>
  <c r="F30" i="18" s="1"/>
  <c r="H30" i="18"/>
  <c r="I30" i="18" s="1"/>
  <c r="H24" i="18"/>
  <c r="I24" i="18" s="1"/>
  <c r="E24" i="18"/>
  <c r="F24" i="18" s="1"/>
  <c r="E38" i="18"/>
  <c r="F38" i="18" s="1"/>
  <c r="H38" i="18"/>
  <c r="I38" i="18" s="1"/>
  <c r="H65" i="18"/>
  <c r="I65" i="18" s="1"/>
  <c r="E65" i="18"/>
  <c r="F65" i="18" s="1"/>
  <c r="E44" i="18"/>
  <c r="F44" i="18" s="1"/>
  <c r="H44" i="18"/>
  <c r="I44" i="18" s="1"/>
  <c r="E6" i="18"/>
  <c r="F6" i="18" s="1"/>
  <c r="H6" i="18"/>
  <c r="I6" i="18" s="1"/>
  <c r="E45" i="18"/>
  <c r="F45" i="18" s="1"/>
  <c r="H45" i="18"/>
  <c r="I45" i="18" s="1"/>
  <c r="H63" i="18"/>
  <c r="I63" i="18" s="1"/>
  <c r="E63" i="18"/>
  <c r="F63" i="18" s="1"/>
  <c r="H33" i="18"/>
  <c r="I33" i="18" s="1"/>
  <c r="E33" i="18"/>
  <c r="F33" i="18" s="1"/>
  <c r="H57" i="18"/>
  <c r="I57" i="18" s="1"/>
  <c r="E57" i="18"/>
  <c r="F57" i="18" s="1"/>
  <c r="E11" i="18"/>
  <c r="F11" i="18" s="1"/>
  <c r="H11" i="18"/>
  <c r="I11" i="18" s="1"/>
  <c r="H39" i="18"/>
  <c r="I39" i="18" s="1"/>
  <c r="E39" i="18"/>
  <c r="F39" i="18" s="1"/>
  <c r="E59" i="18"/>
  <c r="F59" i="18" s="1"/>
  <c r="H59" i="18"/>
  <c r="I59" i="18" s="1"/>
  <c r="H31" i="18"/>
  <c r="I31" i="18" s="1"/>
  <c r="E31" i="18"/>
  <c r="F31" i="18" s="1"/>
  <c r="E66" i="18"/>
  <c r="F66" i="18" s="1"/>
  <c r="H66" i="18"/>
  <c r="I66" i="18" s="1"/>
  <c r="E53" i="18"/>
  <c r="F53" i="18" s="1"/>
  <c r="H53" i="18"/>
  <c r="I53" i="18" s="1"/>
  <c r="H32" i="18"/>
  <c r="I32" i="18" s="1"/>
  <c r="E32" i="18"/>
  <c r="F32" i="18" s="1"/>
  <c r="H40" i="18"/>
  <c r="I40" i="18" s="1"/>
  <c r="E40" i="18"/>
  <c r="F40" i="18" s="1"/>
  <c r="H26" i="1"/>
  <c r="I26" i="1" s="1"/>
  <c r="H32" i="1"/>
  <c r="I32" i="1" s="1"/>
  <c r="E32" i="1"/>
  <c r="F32" i="1" s="1"/>
  <c r="H56" i="1"/>
  <c r="I56" i="1" s="1"/>
  <c r="E56" i="1"/>
  <c r="F56" i="1" s="1"/>
  <c r="E18" i="1"/>
  <c r="F18" i="1" s="1"/>
  <c r="H18" i="1"/>
  <c r="I18" i="1" s="1"/>
  <c r="E44" i="1"/>
  <c r="F44" i="1" s="1"/>
  <c r="H44" i="1"/>
  <c r="I44" i="1" s="1"/>
  <c r="E43" i="1"/>
  <c r="F43" i="1" s="1"/>
  <c r="H43" i="1"/>
  <c r="I43" i="1" s="1"/>
  <c r="E66" i="1"/>
  <c r="F66" i="1" s="1"/>
  <c r="H66" i="1"/>
  <c r="I66" i="1" s="1"/>
  <c r="E67" i="1"/>
  <c r="F67" i="1" s="1"/>
  <c r="H67" i="1"/>
  <c r="I67" i="1" s="1"/>
  <c r="E45" i="1"/>
  <c r="F45" i="1" s="1"/>
  <c r="H45" i="1"/>
  <c r="I45" i="1" s="1"/>
  <c r="E62" i="1"/>
  <c r="F62" i="1" s="1"/>
  <c r="H62" i="1"/>
  <c r="I62" i="1" s="1"/>
  <c r="H64" i="1"/>
  <c r="I64" i="1" s="1"/>
  <c r="E64" i="1"/>
  <c r="F64" i="1" s="1"/>
  <c r="H40" i="1"/>
  <c r="I40" i="1" s="1"/>
  <c r="E40" i="1"/>
  <c r="F40" i="1" s="1"/>
  <c r="H63" i="1"/>
  <c r="I63" i="1" s="1"/>
  <c r="E63" i="1"/>
  <c r="F63" i="1" s="1"/>
  <c r="H49" i="1"/>
  <c r="I49" i="1" s="1"/>
  <c r="E49" i="1"/>
  <c r="F49" i="1" s="1"/>
  <c r="E68" i="1"/>
  <c r="F68" i="1" s="1"/>
  <c r="H68" i="1"/>
  <c r="I68" i="1" s="1"/>
  <c r="E34" i="1"/>
  <c r="F34" i="1" s="1"/>
  <c r="H34" i="1"/>
  <c r="I34" i="1" s="1"/>
  <c r="E13" i="1"/>
  <c r="F13" i="1" s="1"/>
  <c r="H13" i="1"/>
  <c r="I13" i="1" s="1"/>
  <c r="E53" i="1"/>
  <c r="F53" i="1" s="1"/>
  <c r="H53" i="1"/>
  <c r="I53" i="1" s="1"/>
  <c r="E51" i="1"/>
  <c r="F51" i="1" s="1"/>
  <c r="H51" i="1"/>
  <c r="I51" i="1" s="1"/>
  <c r="E35" i="1"/>
  <c r="F35" i="1" s="1"/>
  <c r="H35" i="1"/>
  <c r="I35" i="1" s="1"/>
  <c r="C3" i="31" a="1"/>
  <c r="C3" i="28" a="1"/>
  <c r="C3" i="27" a="1"/>
  <c r="C3" i="32" a="1"/>
  <c r="C3" i="33" a="1"/>
  <c r="C3" i="3" a="1"/>
  <c r="C4" i="31" a="1"/>
  <c r="C3" i="20" a="1"/>
  <c r="C3" i="26" a="1"/>
  <c r="C3" i="2" a="1"/>
  <c r="C3" i="21" a="1"/>
  <c r="C3" i="19" a="1"/>
  <c r="C3" i="4" a="1"/>
  <c r="D137" i="2" l="1"/>
  <c r="G137" i="2"/>
  <c r="E20" i="34"/>
  <c r="F20" i="34" s="1"/>
  <c r="H20" i="34"/>
  <c r="I20" i="34" s="1"/>
  <c r="H17" i="34"/>
  <c r="I17" i="34" s="1"/>
  <c r="E17" i="34"/>
  <c r="F17" i="34" s="1"/>
  <c r="E42" i="34"/>
  <c r="F42" i="34" s="1"/>
  <c r="H42" i="34"/>
  <c r="I42" i="34" s="1"/>
  <c r="E19" i="34"/>
  <c r="F19" i="34" s="1"/>
  <c r="H19" i="34"/>
  <c r="I19" i="34" s="1"/>
  <c r="H15" i="34"/>
  <c r="I15" i="34" s="1"/>
  <c r="E15" i="34"/>
  <c r="F15" i="34" s="1"/>
  <c r="E44" i="34"/>
  <c r="F44" i="34" s="1"/>
  <c r="H44" i="34"/>
  <c r="I44" i="34" s="1"/>
  <c r="E22" i="34"/>
  <c r="F22" i="34" s="1"/>
  <c r="H22" i="34"/>
  <c r="I22" i="34" s="1"/>
  <c r="H23" i="34"/>
  <c r="I23" i="34" s="1"/>
  <c r="E23" i="34"/>
  <c r="F23" i="34" s="1"/>
  <c r="E21" i="34"/>
  <c r="F21" i="34" s="1"/>
  <c r="H21" i="34"/>
  <c r="I21" i="34" s="1"/>
  <c r="H15" i="30"/>
  <c r="I15" i="30" s="1"/>
  <c r="E15" i="30"/>
  <c r="F15" i="30" s="1"/>
  <c r="D126" i="30"/>
  <c r="G126" i="30"/>
  <c r="D66" i="30"/>
  <c r="G66" i="30"/>
  <c r="G114" i="30"/>
  <c r="D114" i="30"/>
  <c r="G71" i="30"/>
  <c r="D71" i="30"/>
  <c r="G130" i="30"/>
  <c r="D130" i="30"/>
  <c r="D117" i="30"/>
  <c r="G117" i="30"/>
  <c r="G125" i="30"/>
  <c r="D125" i="30"/>
  <c r="D107" i="30"/>
  <c r="G107" i="30"/>
  <c r="D50" i="30"/>
  <c r="G50" i="30"/>
  <c r="D111" i="30"/>
  <c r="G111" i="30"/>
  <c r="G88" i="30"/>
  <c r="D88" i="30"/>
  <c r="D69" i="30"/>
  <c r="G69" i="30"/>
  <c r="D99" i="30"/>
  <c r="G99" i="30"/>
  <c r="G48" i="30"/>
  <c r="D48" i="30"/>
  <c r="D9" i="30"/>
  <c r="G9" i="30"/>
  <c r="D75" i="30"/>
  <c r="G75" i="30"/>
  <c r="D110" i="30"/>
  <c r="G110" i="30"/>
  <c r="G96" i="30"/>
  <c r="D96" i="30"/>
  <c r="D33" i="30"/>
  <c r="G33" i="30"/>
  <c r="D134" i="30"/>
  <c r="G134" i="30"/>
  <c r="G120" i="30"/>
  <c r="D120" i="30"/>
  <c r="G55" i="30"/>
  <c r="D55" i="30"/>
  <c r="G8" i="30"/>
  <c r="D8" i="30"/>
  <c r="D11" i="30"/>
  <c r="G11" i="30"/>
  <c r="D73" i="30"/>
  <c r="G73" i="30"/>
  <c r="G63" i="30"/>
  <c r="D63" i="30"/>
  <c r="G78" i="30"/>
  <c r="D78" i="30"/>
  <c r="G46" i="30"/>
  <c r="D46" i="30"/>
  <c r="D115" i="30"/>
  <c r="G115" i="30"/>
  <c r="D12" i="30"/>
  <c r="G12" i="30"/>
  <c r="D84" i="30"/>
  <c r="G84" i="30"/>
  <c r="G94" i="30"/>
  <c r="D94" i="30"/>
  <c r="D74" i="30"/>
  <c r="G74" i="30"/>
  <c r="G39" i="30"/>
  <c r="D39" i="30"/>
  <c r="D61" i="30"/>
  <c r="G61" i="30"/>
  <c r="D35" i="30"/>
  <c r="G35" i="30"/>
  <c r="G122" i="30"/>
  <c r="D122" i="30"/>
  <c r="D92" i="30"/>
  <c r="G92" i="30"/>
  <c r="D123" i="30"/>
  <c r="G123" i="30"/>
  <c r="D98" i="30"/>
  <c r="G98" i="30"/>
  <c r="D10" i="30"/>
  <c r="G10" i="30"/>
  <c r="G72" i="30"/>
  <c r="D72" i="30"/>
  <c r="G109" i="30"/>
  <c r="D109" i="30"/>
  <c r="D127" i="30"/>
  <c r="G127" i="30"/>
  <c r="D82" i="30"/>
  <c r="G82" i="30"/>
  <c r="G104" i="30"/>
  <c r="D104" i="30"/>
  <c r="G54" i="30"/>
  <c r="D54" i="30"/>
  <c r="D124" i="30"/>
  <c r="G124" i="30"/>
  <c r="G121" i="30"/>
  <c r="D121" i="30"/>
  <c r="G30" i="30"/>
  <c r="D30" i="30"/>
  <c r="D36" i="30"/>
  <c r="G36" i="30"/>
  <c r="D34" i="30"/>
  <c r="G34" i="30"/>
  <c r="D132" i="30"/>
  <c r="G132" i="30"/>
  <c r="D52" i="30"/>
  <c r="G52" i="30"/>
  <c r="D59" i="30"/>
  <c r="G59" i="30"/>
  <c r="G129" i="30"/>
  <c r="D129" i="30"/>
  <c r="G87" i="30"/>
  <c r="D87" i="30"/>
  <c r="D77" i="30"/>
  <c r="G77" i="30"/>
  <c r="D51" i="30"/>
  <c r="G51" i="30"/>
  <c r="D100" i="30"/>
  <c r="G100" i="30"/>
  <c r="D108" i="30"/>
  <c r="G108" i="30"/>
  <c r="D118" i="30"/>
  <c r="G118" i="30"/>
  <c r="G80" i="30"/>
  <c r="D80" i="30"/>
  <c r="D4" i="30"/>
  <c r="G4" i="30"/>
  <c r="G86" i="30"/>
  <c r="D86" i="30"/>
  <c r="G24" i="30"/>
  <c r="D24" i="30"/>
  <c r="G31" i="30"/>
  <c r="D31" i="30"/>
  <c r="D89" i="30"/>
  <c r="G89" i="30"/>
  <c r="D27" i="30"/>
  <c r="G27" i="30"/>
  <c r="D58" i="30"/>
  <c r="G58" i="30"/>
  <c r="G105" i="30"/>
  <c r="D105" i="30"/>
  <c r="D116" i="30"/>
  <c r="G116" i="30"/>
  <c r="D133" i="30"/>
  <c r="G133" i="30"/>
  <c r="D103" i="30"/>
  <c r="G103" i="30"/>
  <c r="D25" i="30"/>
  <c r="G25" i="30"/>
  <c r="D13" i="30"/>
  <c r="G13" i="30"/>
  <c r="G7" i="30"/>
  <c r="D7" i="30"/>
  <c r="D93" i="30"/>
  <c r="G93" i="30"/>
  <c r="G32" i="30"/>
  <c r="D32" i="30"/>
  <c r="D119" i="30"/>
  <c r="G119" i="30"/>
  <c r="D135" i="30"/>
  <c r="G135" i="30"/>
  <c r="D131" i="30"/>
  <c r="G131" i="30"/>
  <c r="D29" i="30"/>
  <c r="G29" i="30"/>
  <c r="D91" i="30"/>
  <c r="G91" i="30"/>
  <c r="G136" i="30"/>
  <c r="D136" i="30"/>
  <c r="G112" i="30"/>
  <c r="D112" i="30"/>
  <c r="D57" i="30"/>
  <c r="G57" i="30"/>
  <c r="G56" i="30"/>
  <c r="D56" i="30"/>
  <c r="D41" i="30"/>
  <c r="G41" i="30"/>
  <c r="D67" i="30"/>
  <c r="G67" i="30"/>
  <c r="D76" i="30"/>
  <c r="G76" i="30"/>
  <c r="G106" i="30"/>
  <c r="D106" i="30"/>
  <c r="G6" i="30"/>
  <c r="D6" i="30"/>
  <c r="D49" i="30"/>
  <c r="G49" i="30"/>
  <c r="D68" i="30"/>
  <c r="G68" i="30"/>
  <c r="D5" i="30"/>
  <c r="G5" i="30"/>
  <c r="G38" i="30"/>
  <c r="D38" i="30"/>
  <c r="D45" i="30"/>
  <c r="G45" i="30"/>
  <c r="G128" i="30"/>
  <c r="D128" i="30"/>
  <c r="G40" i="30"/>
  <c r="D40" i="30"/>
  <c r="D83" i="30"/>
  <c r="G83" i="30"/>
  <c r="D53" i="30"/>
  <c r="G53" i="30"/>
  <c r="D85" i="30"/>
  <c r="G85" i="30"/>
  <c r="D37" i="30"/>
  <c r="G37" i="30"/>
  <c r="D60" i="30"/>
  <c r="G60" i="30"/>
  <c r="D102" i="30"/>
  <c r="G102" i="30"/>
  <c r="D65" i="30"/>
  <c r="G65" i="30"/>
  <c r="G70" i="30"/>
  <c r="D70" i="30"/>
  <c r="G95" i="30"/>
  <c r="D95" i="30"/>
  <c r="G113" i="30"/>
  <c r="D113" i="30"/>
  <c r="G79" i="30"/>
  <c r="D79" i="30"/>
  <c r="D26" i="30"/>
  <c r="G26" i="30"/>
  <c r="D90" i="30"/>
  <c r="G90" i="30"/>
  <c r="G62" i="30"/>
  <c r="D62" i="30"/>
  <c r="D81" i="30"/>
  <c r="G81" i="30"/>
  <c r="G64" i="30"/>
  <c r="D64" i="30"/>
  <c r="D47" i="30"/>
  <c r="G47" i="30"/>
  <c r="D28" i="30"/>
  <c r="G28" i="30"/>
  <c r="G101" i="30"/>
  <c r="D101" i="30"/>
  <c r="D97" i="30"/>
  <c r="G97" i="30"/>
  <c r="D35" i="29"/>
  <c r="D35" i="34" s="1"/>
  <c r="G35" i="29"/>
  <c r="G35" i="34" s="1"/>
  <c r="D85" i="29"/>
  <c r="G85" i="29"/>
  <c r="G94" i="29"/>
  <c r="D94" i="29"/>
  <c r="D33" i="29"/>
  <c r="D33" i="34" s="1"/>
  <c r="G33" i="29"/>
  <c r="G33" i="34" s="1"/>
  <c r="G45" i="29"/>
  <c r="D45" i="29"/>
  <c r="D45" i="34" s="1"/>
  <c r="D73" i="29"/>
  <c r="G73" i="29"/>
  <c r="D103" i="29"/>
  <c r="G103" i="29"/>
  <c r="G64" i="29"/>
  <c r="G64" i="34" s="1"/>
  <c r="D64" i="29"/>
  <c r="D64" i="34" s="1"/>
  <c r="G62" i="29"/>
  <c r="G62" i="34" s="1"/>
  <c r="D62" i="29"/>
  <c r="G80" i="29"/>
  <c r="D80" i="29"/>
  <c r="D65" i="29"/>
  <c r="D65" i="34" s="1"/>
  <c r="G65" i="29"/>
  <c r="G65" i="34" s="1"/>
  <c r="D101" i="29"/>
  <c r="G101" i="29"/>
  <c r="G60" i="29"/>
  <c r="G60" i="34" s="1"/>
  <c r="D60" i="29"/>
  <c r="D60" i="34" s="1"/>
  <c r="G68" i="29"/>
  <c r="D68" i="29"/>
  <c r="G133" i="29"/>
  <c r="D133" i="29"/>
  <c r="G132" i="29"/>
  <c r="D132" i="29"/>
  <c r="G126" i="29"/>
  <c r="D126" i="29"/>
  <c r="D67" i="29"/>
  <c r="G67" i="29"/>
  <c r="G117" i="29"/>
  <c r="D117" i="29"/>
  <c r="D32" i="29"/>
  <c r="D32" i="34" s="1"/>
  <c r="G32" i="29"/>
  <c r="G32" i="34" s="1"/>
  <c r="D121" i="29"/>
  <c r="G121" i="29"/>
  <c r="D57" i="29"/>
  <c r="D57" i="34" s="1"/>
  <c r="G57" i="29"/>
  <c r="G57" i="34" s="1"/>
  <c r="D99" i="29"/>
  <c r="G99" i="29"/>
  <c r="G123" i="29"/>
  <c r="D123" i="29"/>
  <c r="D13" i="29"/>
  <c r="D13" i="34" s="1"/>
  <c r="G13" i="29"/>
  <c r="G13" i="34" s="1"/>
  <c r="D106" i="29"/>
  <c r="G106" i="29"/>
  <c r="D95" i="29"/>
  <c r="G95" i="29"/>
  <c r="D135" i="29"/>
  <c r="G135" i="29"/>
  <c r="G52" i="29"/>
  <c r="D52" i="29"/>
  <c r="D52" i="34" s="1"/>
  <c r="D27" i="29"/>
  <c r="D27" i="34" s="1"/>
  <c r="G27" i="29"/>
  <c r="G27" i="34" s="1"/>
  <c r="D74" i="29"/>
  <c r="G74" i="29"/>
  <c r="G8" i="29"/>
  <c r="D8" i="29"/>
  <c r="D46" i="29"/>
  <c r="D46" i="34" s="1"/>
  <c r="G46" i="29"/>
  <c r="G46" i="34" s="1"/>
  <c r="D97" i="29"/>
  <c r="G97" i="29"/>
  <c r="D127" i="29"/>
  <c r="G127" i="29"/>
  <c r="D128" i="29"/>
  <c r="G128" i="29"/>
  <c r="D136" i="29"/>
  <c r="G136" i="29"/>
  <c r="D7" i="29"/>
  <c r="G7" i="29"/>
  <c r="D50" i="29"/>
  <c r="D50" i="34" s="1"/>
  <c r="G50" i="29"/>
  <c r="G50" i="34" s="1"/>
  <c r="D81" i="29"/>
  <c r="G81" i="29"/>
  <c r="D12" i="29"/>
  <c r="D12" i="34" s="1"/>
  <c r="G12" i="29"/>
  <c r="D118" i="29"/>
  <c r="G118" i="29"/>
  <c r="D104" i="29"/>
  <c r="G104" i="29"/>
  <c r="D79" i="29"/>
  <c r="G79" i="29"/>
  <c r="D113" i="29"/>
  <c r="G113" i="29"/>
  <c r="D55" i="29"/>
  <c r="G55" i="29"/>
  <c r="G55" i="34" s="1"/>
  <c r="G38" i="29"/>
  <c r="G38" i="34" s="1"/>
  <c r="D38" i="29"/>
  <c r="D38" i="34" s="1"/>
  <c r="G70" i="29"/>
  <c r="D70" i="29"/>
  <c r="D36" i="29"/>
  <c r="D36" i="34" s="1"/>
  <c r="G36" i="29"/>
  <c r="G36" i="34" s="1"/>
  <c r="G86" i="29"/>
  <c r="D86" i="29"/>
  <c r="D11" i="29"/>
  <c r="G11" i="29"/>
  <c r="D83" i="29"/>
  <c r="G83" i="29"/>
  <c r="D93" i="29"/>
  <c r="G93" i="29"/>
  <c r="D25" i="29"/>
  <c r="D25" i="34" s="1"/>
  <c r="G25" i="29"/>
  <c r="G25" i="34" s="1"/>
  <c r="D37" i="29"/>
  <c r="D37" i="34" s="1"/>
  <c r="G37" i="29"/>
  <c r="G37" i="34" s="1"/>
  <c r="G72" i="29"/>
  <c r="D72" i="29"/>
  <c r="D71" i="29"/>
  <c r="G71" i="29"/>
  <c r="G54" i="29"/>
  <c r="G54" i="34" s="1"/>
  <c r="D54" i="29"/>
  <c r="D54" i="34" s="1"/>
  <c r="D112" i="29"/>
  <c r="G112" i="29"/>
  <c r="D77" i="29"/>
  <c r="G77" i="29"/>
  <c r="D114" i="29"/>
  <c r="G114" i="29"/>
  <c r="G115" i="29"/>
  <c r="D115" i="29"/>
  <c r="D87" i="29"/>
  <c r="G87" i="29"/>
  <c r="G76" i="29"/>
  <c r="D76" i="29"/>
  <c r="D51" i="29"/>
  <c r="D51" i="34" s="1"/>
  <c r="G51" i="29"/>
  <c r="G51" i="34" s="1"/>
  <c r="D69" i="29"/>
  <c r="G69" i="29"/>
  <c r="D130" i="29"/>
  <c r="G130" i="29"/>
  <c r="G30" i="29"/>
  <c r="G30" i="34" s="1"/>
  <c r="D30" i="29"/>
  <c r="D61" i="29"/>
  <c r="D61" i="34" s="1"/>
  <c r="G61" i="29"/>
  <c r="G61" i="34" s="1"/>
  <c r="D47" i="29"/>
  <c r="D47" i="34" s="1"/>
  <c r="G47" i="29"/>
  <c r="G47" i="34" s="1"/>
  <c r="D120" i="29"/>
  <c r="G120" i="29"/>
  <c r="G134" i="29"/>
  <c r="D134" i="29"/>
  <c r="D122" i="29"/>
  <c r="G122" i="29"/>
  <c r="D75" i="29"/>
  <c r="G75" i="29"/>
  <c r="D29" i="29"/>
  <c r="D29" i="34" s="1"/>
  <c r="G29" i="29"/>
  <c r="G29" i="34" s="1"/>
  <c r="D91" i="29"/>
  <c r="G91" i="29"/>
  <c r="G88" i="29"/>
  <c r="D88" i="29"/>
  <c r="D98" i="29"/>
  <c r="G98" i="29"/>
  <c r="D89" i="29"/>
  <c r="G89" i="29"/>
  <c r="G102" i="29"/>
  <c r="D102" i="29"/>
  <c r="G96" i="29"/>
  <c r="D96" i="29"/>
  <c r="D111" i="29"/>
  <c r="G111" i="29"/>
  <c r="G39" i="29"/>
  <c r="G39" i="34" s="1"/>
  <c r="D39" i="29"/>
  <c r="G41" i="29"/>
  <c r="G41" i="34" s="1"/>
  <c r="D41" i="29"/>
  <c r="D41" i="34" s="1"/>
  <c r="G48" i="29"/>
  <c r="G48" i="34" s="1"/>
  <c r="D48" i="29"/>
  <c r="G100" i="29"/>
  <c r="D100" i="29"/>
  <c r="D66" i="29"/>
  <c r="D66" i="34" s="1"/>
  <c r="G66" i="29"/>
  <c r="G84" i="29"/>
  <c r="D84" i="29"/>
  <c r="D119" i="29"/>
  <c r="G119" i="29"/>
  <c r="D34" i="29"/>
  <c r="D34" i="34" s="1"/>
  <c r="G34" i="29"/>
  <c r="G34" i="34" s="1"/>
  <c r="G116" i="29"/>
  <c r="D116" i="29"/>
  <c r="D31" i="29"/>
  <c r="D31" i="34" s="1"/>
  <c r="G31" i="29"/>
  <c r="G31" i="34" s="1"/>
  <c r="D131" i="29"/>
  <c r="G131" i="29"/>
  <c r="D28" i="29"/>
  <c r="D28" i="34" s="1"/>
  <c r="G28" i="29"/>
  <c r="G28" i="34" s="1"/>
  <c r="G92" i="29"/>
  <c r="D92" i="29"/>
  <c r="D26" i="29"/>
  <c r="D26" i="34" s="1"/>
  <c r="G26" i="29"/>
  <c r="G26" i="34" s="1"/>
  <c r="G107" i="29"/>
  <c r="D107" i="29"/>
  <c r="G108" i="29"/>
  <c r="D108" i="29"/>
  <c r="G124" i="29"/>
  <c r="D124" i="29"/>
  <c r="G5" i="29"/>
  <c r="D5" i="29"/>
  <c r="D90" i="29"/>
  <c r="G90" i="29"/>
  <c r="G78" i="29"/>
  <c r="D78" i="29"/>
  <c r="G40" i="29"/>
  <c r="G40" i="34" s="1"/>
  <c r="D40" i="29"/>
  <c r="D40" i="34" s="1"/>
  <c r="D58" i="29"/>
  <c r="D58" i="34" s="1"/>
  <c r="G58" i="29"/>
  <c r="G6" i="29"/>
  <c r="D6" i="29"/>
  <c r="D10" i="29"/>
  <c r="G10" i="29"/>
  <c r="D63" i="29"/>
  <c r="G63" i="29"/>
  <c r="G63" i="34" s="1"/>
  <c r="D49" i="29"/>
  <c r="D49" i="34" s="1"/>
  <c r="G49" i="29"/>
  <c r="D129" i="29"/>
  <c r="G129" i="29"/>
  <c r="D53" i="29"/>
  <c r="D53" i="34" s="1"/>
  <c r="G53" i="29"/>
  <c r="G53" i="34" s="1"/>
  <c r="D59" i="29"/>
  <c r="D59" i="34" s="1"/>
  <c r="G59" i="29"/>
  <c r="G59" i="34" s="1"/>
  <c r="D105" i="29"/>
  <c r="G105" i="29"/>
  <c r="D9" i="29"/>
  <c r="G9" i="29"/>
  <c r="G125" i="29"/>
  <c r="D125" i="29"/>
  <c r="D82" i="29"/>
  <c r="G82" i="29"/>
  <c r="D4" i="29"/>
  <c r="G4" i="29"/>
  <c r="G56" i="29"/>
  <c r="G56" i="34" s="1"/>
  <c r="D56" i="29"/>
  <c r="D56" i="34" s="1"/>
  <c r="G24" i="29"/>
  <c r="G24" i="34" s="1"/>
  <c r="D24" i="29"/>
  <c r="D24" i="34" s="1"/>
  <c r="G110" i="29"/>
  <c r="D110" i="29"/>
  <c r="G109" i="29"/>
  <c r="D109" i="29"/>
  <c r="G125" i="18"/>
  <c r="D125" i="18"/>
  <c r="D107" i="18"/>
  <c r="G107" i="18"/>
  <c r="D113" i="18"/>
  <c r="G113" i="18"/>
  <c r="D129" i="18"/>
  <c r="G129" i="18"/>
  <c r="D120" i="18"/>
  <c r="G120" i="18"/>
  <c r="D112" i="18"/>
  <c r="G112" i="18"/>
  <c r="D128" i="18"/>
  <c r="G128" i="18"/>
  <c r="G71" i="18"/>
  <c r="D71" i="18"/>
  <c r="G117" i="18"/>
  <c r="D117" i="18"/>
  <c r="D136" i="18"/>
  <c r="G136" i="18"/>
  <c r="G110" i="18"/>
  <c r="D110" i="18"/>
  <c r="G134" i="18"/>
  <c r="D134" i="18"/>
  <c r="D89" i="18"/>
  <c r="G89" i="18"/>
  <c r="D121" i="18"/>
  <c r="G121" i="18"/>
  <c r="D83" i="18"/>
  <c r="G83" i="18"/>
  <c r="D104" i="18"/>
  <c r="G104" i="18"/>
  <c r="G70" i="18"/>
  <c r="D70" i="18"/>
  <c r="D92" i="18"/>
  <c r="G92" i="18"/>
  <c r="D131" i="18"/>
  <c r="G131" i="18"/>
  <c r="D74" i="18"/>
  <c r="G74" i="18"/>
  <c r="D119" i="18"/>
  <c r="G119" i="18"/>
  <c r="G100" i="18"/>
  <c r="D100" i="18"/>
  <c r="D91" i="18"/>
  <c r="G91" i="18"/>
  <c r="D67" i="18"/>
  <c r="D67" i="34" s="1"/>
  <c r="G67" i="18"/>
  <c r="D130" i="18"/>
  <c r="G130" i="18"/>
  <c r="D76" i="18"/>
  <c r="G76" i="18"/>
  <c r="G126" i="18"/>
  <c r="D126" i="18"/>
  <c r="G118" i="18"/>
  <c r="D118" i="18"/>
  <c r="G72" i="18"/>
  <c r="D72" i="18"/>
  <c r="D75" i="18"/>
  <c r="G75" i="18"/>
  <c r="D123" i="18"/>
  <c r="G123" i="18"/>
  <c r="D73" i="18"/>
  <c r="G73" i="18"/>
  <c r="D93" i="18"/>
  <c r="G93" i="18"/>
  <c r="G108" i="18"/>
  <c r="D108" i="18"/>
  <c r="D82" i="18"/>
  <c r="G82" i="18"/>
  <c r="D105" i="18"/>
  <c r="G105" i="18"/>
  <c r="G109" i="18"/>
  <c r="D109" i="18"/>
  <c r="G133" i="18"/>
  <c r="D133" i="18"/>
  <c r="G88" i="18"/>
  <c r="D88" i="18"/>
  <c r="D69" i="18"/>
  <c r="D69" i="34" s="1"/>
  <c r="G69" i="18"/>
  <c r="G103" i="18"/>
  <c r="D103" i="18"/>
  <c r="D98" i="18"/>
  <c r="G98" i="18"/>
  <c r="G96" i="18"/>
  <c r="D96" i="18"/>
  <c r="G80" i="18"/>
  <c r="D80" i="18"/>
  <c r="G87" i="18"/>
  <c r="D87" i="18"/>
  <c r="G86" i="18"/>
  <c r="D86" i="18"/>
  <c r="G101" i="18"/>
  <c r="D101" i="18"/>
  <c r="G94" i="18"/>
  <c r="D94" i="18"/>
  <c r="D95" i="18"/>
  <c r="G95" i="18"/>
  <c r="D68" i="18"/>
  <c r="G68" i="18"/>
  <c r="G68" i="34" s="1"/>
  <c r="G116" i="18"/>
  <c r="D116" i="18"/>
  <c r="D81" i="18"/>
  <c r="G81" i="18"/>
  <c r="D106" i="18"/>
  <c r="G106" i="18"/>
  <c r="D122" i="18"/>
  <c r="G122" i="18"/>
  <c r="D84" i="18"/>
  <c r="G84" i="18"/>
  <c r="G78" i="18"/>
  <c r="D78" i="18"/>
  <c r="G124" i="18"/>
  <c r="D124" i="18"/>
  <c r="G79" i="18"/>
  <c r="D79" i="18"/>
  <c r="D97" i="18"/>
  <c r="G97" i="18"/>
  <c r="D127" i="18"/>
  <c r="G127" i="18"/>
  <c r="D85" i="18"/>
  <c r="G85" i="18"/>
  <c r="D135" i="18"/>
  <c r="G135" i="18"/>
  <c r="D115" i="18"/>
  <c r="G115" i="18"/>
  <c r="D90" i="18"/>
  <c r="G90" i="18"/>
  <c r="G102" i="18"/>
  <c r="D102" i="18"/>
  <c r="D114" i="18"/>
  <c r="G114" i="18"/>
  <c r="G111" i="18"/>
  <c r="D111" i="18"/>
  <c r="D77" i="18"/>
  <c r="G77" i="18"/>
  <c r="G132" i="18"/>
  <c r="D132" i="18"/>
  <c r="D99" i="18"/>
  <c r="G99" i="18"/>
  <c r="G112" i="1"/>
  <c r="D112" i="1"/>
  <c r="D123" i="1"/>
  <c r="D123" i="34" s="1"/>
  <c r="G123" i="1"/>
  <c r="G123" i="34" s="1"/>
  <c r="G113" i="1"/>
  <c r="G113" i="34" s="1"/>
  <c r="D113" i="1"/>
  <c r="G95" i="1"/>
  <c r="G95" i="34" s="1"/>
  <c r="D95" i="1"/>
  <c r="D95" i="34" s="1"/>
  <c r="D134" i="1"/>
  <c r="D134" i="34" s="1"/>
  <c r="G134" i="1"/>
  <c r="G134" i="34" s="1"/>
  <c r="D116" i="1"/>
  <c r="D116" i="34" s="1"/>
  <c r="G116" i="1"/>
  <c r="G116" i="34" s="1"/>
  <c r="D5" i="1"/>
  <c r="D5" i="34" s="1"/>
  <c r="G5" i="1"/>
  <c r="G5" i="34" s="1"/>
  <c r="D92" i="1"/>
  <c r="D92" i="34" s="1"/>
  <c r="G92" i="1"/>
  <c r="G92" i="34" s="1"/>
  <c r="G96" i="1"/>
  <c r="G96" i="34" s="1"/>
  <c r="D96" i="1"/>
  <c r="G80" i="1"/>
  <c r="G80" i="34" s="1"/>
  <c r="D80" i="1"/>
  <c r="G105" i="1"/>
  <c r="G105" i="34" s="1"/>
  <c r="D105" i="1"/>
  <c r="D105" i="34" s="1"/>
  <c r="G8" i="1"/>
  <c r="G8" i="34" s="1"/>
  <c r="D8" i="1"/>
  <c r="D8" i="34" s="1"/>
  <c r="D108" i="1"/>
  <c r="G108" i="1"/>
  <c r="G108" i="34" s="1"/>
  <c r="D82" i="1"/>
  <c r="D82" i="34" s="1"/>
  <c r="G82" i="1"/>
  <c r="G82" i="34" s="1"/>
  <c r="D101" i="1"/>
  <c r="D101" i="34" s="1"/>
  <c r="G101" i="1"/>
  <c r="G101" i="34" s="1"/>
  <c r="G133" i="1"/>
  <c r="G133" i="34" s="1"/>
  <c r="D133" i="1"/>
  <c r="D133" i="34" s="1"/>
  <c r="D74" i="1"/>
  <c r="D74" i="34" s="1"/>
  <c r="G74" i="1"/>
  <c r="G74" i="34" s="1"/>
  <c r="G106" i="1"/>
  <c r="D106" i="1"/>
  <c r="D106" i="34" s="1"/>
  <c r="D81" i="1"/>
  <c r="D81" i="34" s="1"/>
  <c r="G81" i="1"/>
  <c r="G81" i="34" s="1"/>
  <c r="G136" i="1"/>
  <c r="D136" i="1"/>
  <c r="D136" i="34" s="1"/>
  <c r="D118" i="1"/>
  <c r="D118" i="34" s="1"/>
  <c r="G118" i="1"/>
  <c r="G94" i="1"/>
  <c r="G94" i="34" s="1"/>
  <c r="D94" i="1"/>
  <c r="D94" i="34" s="1"/>
  <c r="G114" i="1"/>
  <c r="D114" i="1"/>
  <c r="D114" i="34" s="1"/>
  <c r="G71" i="1"/>
  <c r="G71" i="34" s="1"/>
  <c r="D71" i="1"/>
  <c r="D71" i="34" s="1"/>
  <c r="G97" i="1"/>
  <c r="D97" i="1"/>
  <c r="D97" i="34" s="1"/>
  <c r="D100" i="1"/>
  <c r="G100" i="1"/>
  <c r="G100" i="34" s="1"/>
  <c r="D76" i="1"/>
  <c r="D76" i="34" s="1"/>
  <c r="G76" i="1"/>
  <c r="D73" i="1"/>
  <c r="D73" i="34" s="1"/>
  <c r="G73" i="1"/>
  <c r="G73" i="34" s="1"/>
  <c r="G70" i="1"/>
  <c r="G70" i="34" s="1"/>
  <c r="D70" i="1"/>
  <c r="D70" i="34" s="1"/>
  <c r="G104" i="1"/>
  <c r="G104" i="34" s="1"/>
  <c r="D104" i="1"/>
  <c r="D132" i="1"/>
  <c r="D132" i="34" s="1"/>
  <c r="G132" i="1"/>
  <c r="G132" i="34" s="1"/>
  <c r="D102" i="1"/>
  <c r="D102" i="34" s="1"/>
  <c r="G102" i="1"/>
  <c r="G102" i="34" s="1"/>
  <c r="G88" i="1"/>
  <c r="G88" i="34" s="1"/>
  <c r="D88" i="1"/>
  <c r="D88" i="34" s="1"/>
  <c r="D10" i="1"/>
  <c r="D10" i="34" s="1"/>
  <c r="G10" i="1"/>
  <c r="D129" i="1"/>
  <c r="D129" i="34" s="1"/>
  <c r="G129" i="1"/>
  <c r="G129" i="34" s="1"/>
  <c r="G135" i="1"/>
  <c r="D135" i="1"/>
  <c r="D135" i="34" s="1"/>
  <c r="G7" i="1"/>
  <c r="D7" i="1"/>
  <c r="D7" i="34" s="1"/>
  <c r="G72" i="1"/>
  <c r="G72" i="34" s="1"/>
  <c r="D72" i="1"/>
  <c r="G130" i="1"/>
  <c r="G130" i="34" s="1"/>
  <c r="D130" i="1"/>
  <c r="D130" i="34" s="1"/>
  <c r="G6" i="1"/>
  <c r="G6" i="34" s="1"/>
  <c r="D6" i="1"/>
  <c r="D6" i="34" s="1"/>
  <c r="D124" i="1"/>
  <c r="D124" i="34" s="1"/>
  <c r="G124" i="1"/>
  <c r="G124" i="34" s="1"/>
  <c r="D115" i="1"/>
  <c r="G115" i="1"/>
  <c r="G115" i="34" s="1"/>
  <c r="G119" i="1"/>
  <c r="G119" i="34" s="1"/>
  <c r="D119" i="1"/>
  <c r="D119" i="34" s="1"/>
  <c r="G79" i="1"/>
  <c r="G79" i="34" s="1"/>
  <c r="D79" i="1"/>
  <c r="D79" i="34" s="1"/>
  <c r="D77" i="1"/>
  <c r="D77" i="34" s="1"/>
  <c r="G77" i="1"/>
  <c r="D127" i="1"/>
  <c r="D127" i="34" s="1"/>
  <c r="G127" i="1"/>
  <c r="G127" i="34" s="1"/>
  <c r="D110" i="1"/>
  <c r="D110" i="34" s="1"/>
  <c r="G110" i="1"/>
  <c r="G110" i="34" s="1"/>
  <c r="G87" i="1"/>
  <c r="G87" i="34" s="1"/>
  <c r="D87" i="1"/>
  <c r="D87" i="34" s="1"/>
  <c r="G111" i="1"/>
  <c r="D111" i="1"/>
  <c r="D111" i="34" s="1"/>
  <c r="G128" i="1"/>
  <c r="G128" i="34" s="1"/>
  <c r="D128" i="1"/>
  <c r="D128" i="34" s="1"/>
  <c r="G99" i="1"/>
  <c r="D99" i="1"/>
  <c r="D99" i="34" s="1"/>
  <c r="D75" i="1"/>
  <c r="D75" i="34" s="1"/>
  <c r="G75" i="1"/>
  <c r="G75" i="34" s="1"/>
  <c r="D84" i="1"/>
  <c r="D84" i="34" s="1"/>
  <c r="G84" i="1"/>
  <c r="G84" i="34" s="1"/>
  <c r="G121" i="1"/>
  <c r="D121" i="1"/>
  <c r="D121" i="34" s="1"/>
  <c r="G86" i="1"/>
  <c r="G86" i="34" s="1"/>
  <c r="D86" i="1"/>
  <c r="D83" i="1"/>
  <c r="D83" i="34" s="1"/>
  <c r="G83" i="1"/>
  <c r="G83" i="34" s="1"/>
  <c r="D78" i="1"/>
  <c r="G78" i="1"/>
  <c r="G78" i="34" s="1"/>
  <c r="G126" i="1"/>
  <c r="G126" i="34" s="1"/>
  <c r="D126" i="1"/>
  <c r="D126" i="34" s="1"/>
  <c r="D9" i="1"/>
  <c r="D9" i="34" s="1"/>
  <c r="G9" i="1"/>
  <c r="G9" i="34" s="1"/>
  <c r="G4" i="1"/>
  <c r="G4" i="34" s="1"/>
  <c r="D4" i="1"/>
  <c r="D4" i="34" s="1"/>
  <c r="D98" i="1"/>
  <c r="D98" i="34" s="1"/>
  <c r="G98" i="1"/>
  <c r="D131" i="1"/>
  <c r="D131" i="34" s="1"/>
  <c r="G131" i="1"/>
  <c r="D89" i="1"/>
  <c r="D89" i="34" s="1"/>
  <c r="G89" i="1"/>
  <c r="G89" i="34" s="1"/>
  <c r="D117" i="1"/>
  <c r="D117" i="34" s="1"/>
  <c r="G117" i="1"/>
  <c r="G117" i="34" s="1"/>
  <c r="D107" i="1"/>
  <c r="D107" i="34" s="1"/>
  <c r="G107" i="1"/>
  <c r="D85" i="1"/>
  <c r="D85" i="34" s="1"/>
  <c r="G85" i="1"/>
  <c r="D125" i="1"/>
  <c r="G125" i="1"/>
  <c r="G125" i="34" s="1"/>
  <c r="D103" i="1"/>
  <c r="D103" i="34" s="1"/>
  <c r="G103" i="1"/>
  <c r="G103" i="34" s="1"/>
  <c r="G120" i="1"/>
  <c r="G120" i="34" s="1"/>
  <c r="D120" i="1"/>
  <c r="D120" i="34" s="1"/>
  <c r="D91" i="1"/>
  <c r="D91" i="34" s="1"/>
  <c r="G91" i="1"/>
  <c r="G91" i="34" s="1"/>
  <c r="D109" i="1"/>
  <c r="D109" i="34" s="1"/>
  <c r="G109" i="1"/>
  <c r="G109" i="34" s="1"/>
  <c r="D93" i="1"/>
  <c r="D93" i="34" s="1"/>
  <c r="G93" i="1"/>
  <c r="G93" i="34" s="1"/>
  <c r="D11" i="1"/>
  <c r="D11" i="34" s="1"/>
  <c r="G11" i="1"/>
  <c r="G11" i="34" s="1"/>
  <c r="G122" i="1"/>
  <c r="D122" i="1"/>
  <c r="D122" i="34" s="1"/>
  <c r="D90" i="1"/>
  <c r="D90" i="34" s="1"/>
  <c r="G90" i="1"/>
  <c r="G90" i="34" s="1"/>
  <c r="C3" i="4"/>
  <c r="C137" i="4" s="1"/>
  <c r="D137" i="4"/>
  <c r="G137" i="4"/>
  <c r="C112" i="1"/>
  <c r="C123" i="1"/>
  <c r="C35" i="29"/>
  <c r="C33" i="29"/>
  <c r="C107" i="18"/>
  <c r="C45" i="29"/>
  <c r="C113" i="18"/>
  <c r="C113" i="1"/>
  <c r="C95" i="1"/>
  <c r="C112" i="18"/>
  <c r="C116" i="1"/>
  <c r="C5" i="1"/>
  <c r="C71" i="18"/>
  <c r="C92" i="1"/>
  <c r="C110" i="18"/>
  <c r="C96" i="1"/>
  <c r="C88" i="30"/>
  <c r="C80" i="1"/>
  <c r="C105" i="1"/>
  <c r="C89" i="18"/>
  <c r="D137" i="19"/>
  <c r="G137" i="19"/>
  <c r="C3" i="19"/>
  <c r="C137" i="19" s="1"/>
  <c r="C8" i="1"/>
  <c r="C108" i="1"/>
  <c r="C32" i="29"/>
  <c r="C48" i="30"/>
  <c r="C82" i="1"/>
  <c r="C101" i="1"/>
  <c r="C13" i="29"/>
  <c r="C83" i="18"/>
  <c r="C104" i="18"/>
  <c r="C70" i="18"/>
  <c r="C3" i="21"/>
  <c r="C137" i="21" s="1"/>
  <c r="D3" i="18"/>
  <c r="D137" i="18" s="1"/>
  <c r="G3" i="18"/>
  <c r="G137" i="18" s="1"/>
  <c r="G137" i="21"/>
  <c r="D137" i="21"/>
  <c r="C74" i="1"/>
  <c r="C106" i="1"/>
  <c r="C27" i="29"/>
  <c r="C81" i="1"/>
  <c r="C92" i="18"/>
  <c r="C3" i="2"/>
  <c r="C137" i="2" s="1"/>
  <c r="G3" i="1"/>
  <c r="G137" i="1" s="1"/>
  <c r="D3" i="1"/>
  <c r="D137" i="1" s="1"/>
  <c r="C8" i="29"/>
  <c r="C118" i="1"/>
  <c r="C46" i="30"/>
  <c r="C46" i="29"/>
  <c r="C46" i="34" s="1"/>
  <c r="C94" i="1"/>
  <c r="C84" i="30"/>
  <c r="C74" i="18"/>
  <c r="C114" i="1"/>
  <c r="C71" i="1"/>
  <c r="C97" i="1"/>
  <c r="C7" i="29"/>
  <c r="C100" i="1"/>
  <c r="C12" i="29"/>
  <c r="C3" i="26"/>
  <c r="D3" i="29"/>
  <c r="G3" i="29"/>
  <c r="G137" i="26"/>
  <c r="D137" i="26"/>
  <c r="C76" i="1"/>
  <c r="C100" i="18"/>
  <c r="C38" i="29"/>
  <c r="C73" i="1"/>
  <c r="C36" i="29"/>
  <c r="C91" i="18"/>
  <c r="C70" i="1"/>
  <c r="C124" i="18"/>
  <c r="C11" i="29"/>
  <c r="C82" i="30"/>
  <c r="C67" i="18"/>
  <c r="C25" i="29"/>
  <c r="C104" i="1"/>
  <c r="C76" i="18"/>
  <c r="G137" i="20"/>
  <c r="C3" i="20"/>
  <c r="C137" i="20" s="1"/>
  <c r="D137" i="20"/>
  <c r="C132" i="1"/>
  <c r="C102" i="1"/>
  <c r="C88" i="1"/>
  <c r="C10" i="1"/>
  <c r="C72" i="18"/>
  <c r="C75" i="18"/>
  <c r="C87" i="30"/>
  <c r="C30" i="29"/>
  <c r="C7" i="1"/>
  <c r="C72" i="1"/>
  <c r="C47" i="29"/>
  <c r="C73" i="18"/>
  <c r="C29" i="29"/>
  <c r="C93" i="18"/>
  <c r="C108" i="18"/>
  <c r="C6" i="1"/>
  <c r="C124" i="1"/>
  <c r="C82" i="18"/>
  <c r="C115" i="1"/>
  <c r="C4" i="31"/>
  <c r="C105" i="18"/>
  <c r="C86" i="30"/>
  <c r="C89" i="30"/>
  <c r="C109" i="18"/>
  <c r="C119" i="1"/>
  <c r="D137" i="3"/>
  <c r="G137" i="3"/>
  <c r="C3" i="3"/>
  <c r="C88" i="18"/>
  <c r="C3" i="33"/>
  <c r="G137" i="33"/>
  <c r="D137" i="33"/>
  <c r="C79" i="1"/>
  <c r="C77" i="1"/>
  <c r="C25" i="30"/>
  <c r="C127" i="1"/>
  <c r="G137" i="32"/>
  <c r="C3" i="32"/>
  <c r="D137" i="32"/>
  <c r="C34" i="29"/>
  <c r="C31" i="29"/>
  <c r="C28" i="29"/>
  <c r="C110" i="1"/>
  <c r="C69" i="18"/>
  <c r="C87" i="1"/>
  <c r="C103" i="18"/>
  <c r="C26" i="29"/>
  <c r="C111" i="1"/>
  <c r="C98" i="18"/>
  <c r="C128" i="1"/>
  <c r="C96" i="18"/>
  <c r="C99" i="1"/>
  <c r="C80" i="18"/>
  <c r="C5" i="29"/>
  <c r="C75" i="1"/>
  <c r="C87" i="18"/>
  <c r="C86" i="18"/>
  <c r="D137" i="27"/>
  <c r="G137" i="27"/>
  <c r="C3" i="27"/>
  <c r="C101" i="18"/>
  <c r="C94" i="18"/>
  <c r="C84" i="1"/>
  <c r="C121" i="1"/>
  <c r="C49" i="30"/>
  <c r="C86" i="1"/>
  <c r="C83" i="1"/>
  <c r="C95" i="18"/>
  <c r="C6" i="29"/>
  <c r="C68" i="18"/>
  <c r="C10" i="29"/>
  <c r="C78" i="1"/>
  <c r="C116" i="18"/>
  <c r="C126" i="1"/>
  <c r="C9" i="1"/>
  <c r="C81" i="18"/>
  <c r="C98" i="1"/>
  <c r="C106" i="18"/>
  <c r="C45" i="30"/>
  <c r="C89" i="1"/>
  <c r="C84" i="18"/>
  <c r="C117" i="1"/>
  <c r="C78" i="18"/>
  <c r="D137" i="28"/>
  <c r="G137" i="28"/>
  <c r="C3" i="28"/>
  <c r="C79" i="18"/>
  <c r="C97" i="18"/>
  <c r="C85" i="30"/>
  <c r="C85" i="18"/>
  <c r="C107" i="1"/>
  <c r="C85" i="1"/>
  <c r="C125" i="1"/>
  <c r="C103" i="1"/>
  <c r="C9" i="29"/>
  <c r="C120" i="1"/>
  <c r="C91" i="1"/>
  <c r="C109" i="1"/>
  <c r="C4" i="29"/>
  <c r="C90" i="18"/>
  <c r="C93" i="1"/>
  <c r="C11" i="1"/>
  <c r="C102" i="18"/>
  <c r="C122" i="1"/>
  <c r="C90" i="1"/>
  <c r="C26" i="30"/>
  <c r="C114" i="18"/>
  <c r="C111" i="18"/>
  <c r="C24" i="29"/>
  <c r="D137" i="31"/>
  <c r="C3" i="31"/>
  <c r="G3" i="30"/>
  <c r="D3" i="30"/>
  <c r="G137" i="31"/>
  <c r="C77" i="18"/>
  <c r="C99" i="18"/>
  <c r="C45" i="34" l="1"/>
  <c r="E45" i="34"/>
  <c r="F45" i="34" s="1"/>
  <c r="G135" i="34"/>
  <c r="G136" i="34"/>
  <c r="D68" i="34"/>
  <c r="D55" i="34"/>
  <c r="D86" i="34"/>
  <c r="G76" i="34"/>
  <c r="D113" i="34"/>
  <c r="D48" i="34"/>
  <c r="G12" i="34"/>
  <c r="D62" i="34"/>
  <c r="E46" i="34"/>
  <c r="F46" i="34" s="1"/>
  <c r="H46" i="34"/>
  <c r="I46" i="34" s="1"/>
  <c r="D125" i="34"/>
  <c r="G99" i="34"/>
  <c r="G114" i="34"/>
  <c r="G52" i="34"/>
  <c r="G45" i="34"/>
  <c r="H45" i="34" s="1"/>
  <c r="I45" i="34" s="1"/>
  <c r="G85" i="34"/>
  <c r="G131" i="34"/>
  <c r="D72" i="34"/>
  <c r="G10" i="34"/>
  <c r="D104" i="34"/>
  <c r="D80" i="34"/>
  <c r="G69" i="34"/>
  <c r="G67" i="34"/>
  <c r="G49" i="34"/>
  <c r="G58" i="34"/>
  <c r="D30" i="34"/>
  <c r="G122" i="34"/>
  <c r="G121" i="34"/>
  <c r="D115" i="34"/>
  <c r="D100" i="34"/>
  <c r="G106" i="34"/>
  <c r="C25" i="34"/>
  <c r="C26" i="34"/>
  <c r="G107" i="34"/>
  <c r="G98" i="34"/>
  <c r="G77" i="34"/>
  <c r="G118" i="34"/>
  <c r="D96" i="34"/>
  <c r="D112" i="34"/>
  <c r="G66" i="34"/>
  <c r="D39" i="34"/>
  <c r="D78" i="34"/>
  <c r="G111" i="34"/>
  <c r="G7" i="34"/>
  <c r="G97" i="34"/>
  <c r="D108" i="34"/>
  <c r="G112" i="34"/>
  <c r="D63" i="34"/>
  <c r="C80" i="30"/>
  <c r="H80" i="30" s="1"/>
  <c r="I80" i="30" s="1"/>
  <c r="C133" i="30"/>
  <c r="E133" i="30" s="1"/>
  <c r="F133" i="30" s="1"/>
  <c r="C53" i="30"/>
  <c r="H53" i="30" s="1"/>
  <c r="I53" i="30" s="1"/>
  <c r="C31" i="30"/>
  <c r="C31" i="34" s="1"/>
  <c r="C48" i="29"/>
  <c r="C48" i="34" s="1"/>
  <c r="C53" i="29"/>
  <c r="C12" i="30"/>
  <c r="E12" i="30" s="1"/>
  <c r="F12" i="30" s="1"/>
  <c r="C51" i="29"/>
  <c r="C111" i="30"/>
  <c r="E111" i="30" s="1"/>
  <c r="F111" i="30" s="1"/>
  <c r="C28" i="30"/>
  <c r="E28" i="30" s="1"/>
  <c r="F28" i="30" s="1"/>
  <c r="C125" i="29"/>
  <c r="H125" i="29" s="1"/>
  <c r="I125" i="29" s="1"/>
  <c r="C95" i="30"/>
  <c r="H95" i="30" s="1"/>
  <c r="I95" i="30" s="1"/>
  <c r="C40" i="30"/>
  <c r="H40" i="30" s="1"/>
  <c r="I40" i="30" s="1"/>
  <c r="C131" i="18"/>
  <c r="H131" i="18" s="1"/>
  <c r="I131" i="18" s="1"/>
  <c r="C9" i="30"/>
  <c r="E9" i="30" s="1"/>
  <c r="F9" i="30" s="1"/>
  <c r="C58" i="29"/>
  <c r="C131" i="30"/>
  <c r="H131" i="30" s="1"/>
  <c r="I131" i="30" s="1"/>
  <c r="C108" i="29"/>
  <c r="E108" i="29" s="1"/>
  <c r="F108" i="29" s="1"/>
  <c r="C79" i="30"/>
  <c r="H79" i="30" s="1"/>
  <c r="I79" i="30" s="1"/>
  <c r="C133" i="18"/>
  <c r="H133" i="18" s="1"/>
  <c r="I133" i="18" s="1"/>
  <c r="C128" i="30"/>
  <c r="E128" i="30" s="1"/>
  <c r="F128" i="30" s="1"/>
  <c r="C58" i="30"/>
  <c r="E58" i="30" s="1"/>
  <c r="F58" i="30" s="1"/>
  <c r="C116" i="30"/>
  <c r="E116" i="30" s="1"/>
  <c r="F116" i="30" s="1"/>
  <c r="C52" i="30"/>
  <c r="E52" i="30" s="1"/>
  <c r="F52" i="30" s="1"/>
  <c r="C113" i="29"/>
  <c r="E113" i="29" s="1"/>
  <c r="F113" i="29" s="1"/>
  <c r="C125" i="30"/>
  <c r="H125" i="30" s="1"/>
  <c r="I125" i="30" s="1"/>
  <c r="C90" i="29"/>
  <c r="C110" i="29"/>
  <c r="H110" i="29" s="1"/>
  <c r="I110" i="29" s="1"/>
  <c r="C113" i="30"/>
  <c r="E113" i="30" s="1"/>
  <c r="F113" i="30" s="1"/>
  <c r="C38" i="30"/>
  <c r="E38" i="30" s="1"/>
  <c r="F38" i="30" s="1"/>
  <c r="C111" i="29"/>
  <c r="E111" i="29" s="1"/>
  <c r="F111" i="29" s="1"/>
  <c r="C76" i="30"/>
  <c r="H76" i="30" s="1"/>
  <c r="I76" i="30" s="1"/>
  <c r="C76" i="29"/>
  <c r="C90" i="30"/>
  <c r="E90" i="30" s="1"/>
  <c r="F90" i="30" s="1"/>
  <c r="C97" i="30"/>
  <c r="H97" i="30" s="1"/>
  <c r="I97" i="30" s="1"/>
  <c r="C132" i="18"/>
  <c r="E132" i="18" s="1"/>
  <c r="F132" i="18" s="1"/>
  <c r="C81" i="30"/>
  <c r="H81" i="30" s="1"/>
  <c r="I81" i="30" s="1"/>
  <c r="C49" i="29"/>
  <c r="C49" i="34" s="1"/>
  <c r="C57" i="30"/>
  <c r="H57" i="30" s="1"/>
  <c r="I57" i="30" s="1"/>
  <c r="C73" i="29"/>
  <c r="H73" i="29" s="1"/>
  <c r="I73" i="29" s="1"/>
  <c r="C70" i="30"/>
  <c r="E70" i="30" s="1"/>
  <c r="F70" i="30" s="1"/>
  <c r="C135" i="18"/>
  <c r="H135" i="18" s="1"/>
  <c r="I135" i="18" s="1"/>
  <c r="C129" i="29"/>
  <c r="E129" i="29" s="1"/>
  <c r="F129" i="29" s="1"/>
  <c r="C63" i="30"/>
  <c r="H63" i="30" s="1"/>
  <c r="I63" i="30" s="1"/>
  <c r="C11" i="30"/>
  <c r="C11" i="34" s="1"/>
  <c r="C33" i="30"/>
  <c r="C33" i="34" s="1"/>
  <c r="C60" i="30"/>
  <c r="E60" i="30" s="1"/>
  <c r="F60" i="30" s="1"/>
  <c r="C37" i="30"/>
  <c r="H37" i="30" s="1"/>
  <c r="I37" i="30" s="1"/>
  <c r="C126" i="18"/>
  <c r="H126" i="18" s="1"/>
  <c r="I126" i="18" s="1"/>
  <c r="C92" i="30"/>
  <c r="E92" i="30" s="1"/>
  <c r="F92" i="30" s="1"/>
  <c r="C56" i="30"/>
  <c r="H56" i="30" s="1"/>
  <c r="I56" i="30" s="1"/>
  <c r="C29" i="30"/>
  <c r="E29" i="30" s="1"/>
  <c r="F29" i="30" s="1"/>
  <c r="C89" i="29"/>
  <c r="H89" i="29" s="1"/>
  <c r="I89" i="29" s="1"/>
  <c r="C88" i="29"/>
  <c r="C88" i="34" s="1"/>
  <c r="C118" i="30"/>
  <c r="H118" i="30" s="1"/>
  <c r="I118" i="30" s="1"/>
  <c r="C132" i="30"/>
  <c r="E132" i="30" s="1"/>
  <c r="F132" i="30" s="1"/>
  <c r="C50" i="30"/>
  <c r="H50" i="30" s="1"/>
  <c r="I50" i="30" s="1"/>
  <c r="C71" i="30"/>
  <c r="H71" i="30" s="1"/>
  <c r="I71" i="30" s="1"/>
  <c r="C115" i="18"/>
  <c r="C8" i="30"/>
  <c r="H8" i="30" s="1"/>
  <c r="I8" i="30" s="1"/>
  <c r="C83" i="30"/>
  <c r="H83" i="30" s="1"/>
  <c r="I83" i="30" s="1"/>
  <c r="C63" i="29"/>
  <c r="C136" i="30"/>
  <c r="E136" i="30" s="1"/>
  <c r="F136" i="30" s="1"/>
  <c r="C103" i="30"/>
  <c r="C51" i="30"/>
  <c r="E51" i="30" s="1"/>
  <c r="F51" i="30" s="1"/>
  <c r="C35" i="30"/>
  <c r="E35" i="30" s="1"/>
  <c r="F35" i="30" s="1"/>
  <c r="C39" i="30"/>
  <c r="H39" i="30" s="1"/>
  <c r="I39" i="30" s="1"/>
  <c r="C82" i="29"/>
  <c r="H82" i="29" s="1"/>
  <c r="I82" i="29" s="1"/>
  <c r="C135" i="30"/>
  <c r="H135" i="30" s="1"/>
  <c r="I135" i="30" s="1"/>
  <c r="C129" i="30"/>
  <c r="H129" i="30" s="1"/>
  <c r="I129" i="30" s="1"/>
  <c r="C104" i="30"/>
  <c r="E104" i="30" s="1"/>
  <c r="F104" i="30" s="1"/>
  <c r="C67" i="30"/>
  <c r="E82" i="30"/>
  <c r="F82" i="30" s="1"/>
  <c r="H82" i="30"/>
  <c r="I82" i="30" s="1"/>
  <c r="C101" i="30"/>
  <c r="C102" i="30"/>
  <c r="C122" i="18"/>
  <c r="E122" i="18" s="1"/>
  <c r="F122" i="18" s="1"/>
  <c r="E45" i="30"/>
  <c r="F45" i="30" s="1"/>
  <c r="H45" i="30"/>
  <c r="I45" i="30" s="1"/>
  <c r="H49" i="30"/>
  <c r="I49" i="30" s="1"/>
  <c r="E49" i="30"/>
  <c r="F49" i="30" s="1"/>
  <c r="C6" i="30"/>
  <c r="C6" i="34" s="1"/>
  <c r="C78" i="29"/>
  <c r="E78" i="29" s="1"/>
  <c r="F78" i="29" s="1"/>
  <c r="C13" i="30"/>
  <c r="C13" i="34" s="1"/>
  <c r="H89" i="30"/>
  <c r="I89" i="30" s="1"/>
  <c r="E89" i="30"/>
  <c r="F89" i="30" s="1"/>
  <c r="C34" i="30"/>
  <c r="C34" i="34" s="1"/>
  <c r="C124" i="30"/>
  <c r="C127" i="30"/>
  <c r="C98" i="30"/>
  <c r="C94" i="30"/>
  <c r="C78" i="30"/>
  <c r="C120" i="30"/>
  <c r="C69" i="30"/>
  <c r="C65" i="29"/>
  <c r="C64" i="29"/>
  <c r="C110" i="30"/>
  <c r="C47" i="30"/>
  <c r="C47" i="34" s="1"/>
  <c r="E85" i="30"/>
  <c r="F85" i="30" s="1"/>
  <c r="H85" i="30"/>
  <c r="I85" i="30" s="1"/>
  <c r="C41" i="30"/>
  <c r="C131" i="29"/>
  <c r="H131" i="29" s="1"/>
  <c r="I131" i="29" s="1"/>
  <c r="C7" i="30"/>
  <c r="C7" i="34" s="1"/>
  <c r="C105" i="30"/>
  <c r="C77" i="30"/>
  <c r="C121" i="30"/>
  <c r="C10" i="30"/>
  <c r="C10" i="34" s="1"/>
  <c r="C123" i="30"/>
  <c r="C55" i="29"/>
  <c r="C61" i="30"/>
  <c r="E84" i="30"/>
  <c r="F84" i="30" s="1"/>
  <c r="H84" i="30"/>
  <c r="I84" i="30" s="1"/>
  <c r="C73" i="30"/>
  <c r="C134" i="30"/>
  <c r="C96" i="30"/>
  <c r="H48" i="30"/>
  <c r="I48" i="30" s="1"/>
  <c r="E48" i="30"/>
  <c r="F48" i="30" s="1"/>
  <c r="C130" i="30"/>
  <c r="C115" i="30"/>
  <c r="G3" i="34"/>
  <c r="C65" i="30"/>
  <c r="C106" i="30"/>
  <c r="C119" i="30"/>
  <c r="C32" i="30"/>
  <c r="C32" i="34" s="1"/>
  <c r="C116" i="29"/>
  <c r="H116" i="29" s="1"/>
  <c r="I116" i="29" s="1"/>
  <c r="C24" i="30"/>
  <c r="C24" i="34" s="1"/>
  <c r="C4" i="30"/>
  <c r="H87" i="30"/>
  <c r="I87" i="30" s="1"/>
  <c r="E87" i="30"/>
  <c r="F87" i="30" s="1"/>
  <c r="C36" i="30"/>
  <c r="C36" i="34" s="1"/>
  <c r="C109" i="30"/>
  <c r="C70" i="29"/>
  <c r="C70" i="34" s="1"/>
  <c r="C127" i="29"/>
  <c r="E127" i="29" s="1"/>
  <c r="F127" i="29" s="1"/>
  <c r="C75" i="30"/>
  <c r="C117" i="30"/>
  <c r="C66" i="30"/>
  <c r="C126" i="30"/>
  <c r="E26" i="30"/>
  <c r="F26" i="30" s="1"/>
  <c r="H26" i="30"/>
  <c r="I26" i="30" s="1"/>
  <c r="C114" i="30"/>
  <c r="C62" i="30"/>
  <c r="C91" i="29"/>
  <c r="H91" i="29" s="1"/>
  <c r="I91" i="29" s="1"/>
  <c r="C134" i="29"/>
  <c r="H134" i="29" s="1"/>
  <c r="I134" i="29" s="1"/>
  <c r="C99" i="30"/>
  <c r="C105" i="29"/>
  <c r="H105" i="29" s="1"/>
  <c r="I105" i="29" s="1"/>
  <c r="C131" i="1"/>
  <c r="C68" i="30"/>
  <c r="C112" i="30"/>
  <c r="C93" i="30"/>
  <c r="H25" i="30"/>
  <c r="I25" i="30" s="1"/>
  <c r="E25" i="30"/>
  <c r="F25" i="30" s="1"/>
  <c r="C27" i="30"/>
  <c r="C27" i="34" s="1"/>
  <c r="C108" i="30"/>
  <c r="C118" i="18"/>
  <c r="H118" i="18" s="1"/>
  <c r="I118" i="18" s="1"/>
  <c r="C30" i="30"/>
  <c r="C30" i="34" s="1"/>
  <c r="C54" i="30"/>
  <c r="C86" i="29"/>
  <c r="H86" i="29" s="1"/>
  <c r="I86" i="29" s="1"/>
  <c r="C55" i="30"/>
  <c r="C5" i="30"/>
  <c r="C5" i="34" s="1"/>
  <c r="C91" i="30"/>
  <c r="H88" i="30"/>
  <c r="I88" i="30" s="1"/>
  <c r="E88" i="30"/>
  <c r="F88" i="30" s="1"/>
  <c r="C109" i="29"/>
  <c r="C64" i="30"/>
  <c r="C59" i="29"/>
  <c r="E53" i="30"/>
  <c r="F53" i="30" s="1"/>
  <c r="E86" i="30"/>
  <c r="F86" i="30" s="1"/>
  <c r="H86" i="30"/>
  <c r="I86" i="30" s="1"/>
  <c r="C100" i="30"/>
  <c r="C59" i="30"/>
  <c r="C72" i="30"/>
  <c r="C122" i="30"/>
  <c r="C74" i="30"/>
  <c r="E46" i="30"/>
  <c r="F46" i="30" s="1"/>
  <c r="H46" i="30"/>
  <c r="I46" i="30" s="1"/>
  <c r="C74" i="29"/>
  <c r="E74" i="29" s="1"/>
  <c r="F74" i="29" s="1"/>
  <c r="C107" i="30"/>
  <c r="C75" i="29"/>
  <c r="C75" i="34" s="1"/>
  <c r="C79" i="29"/>
  <c r="C79" i="34" s="1"/>
  <c r="C136" i="29"/>
  <c r="H31" i="29"/>
  <c r="I31" i="29" s="1"/>
  <c r="E31" i="29"/>
  <c r="F31" i="29" s="1"/>
  <c r="E34" i="29"/>
  <c r="F34" i="29" s="1"/>
  <c r="H34" i="29"/>
  <c r="I34" i="29" s="1"/>
  <c r="C135" i="1"/>
  <c r="C72" i="29"/>
  <c r="C72" i="34" s="1"/>
  <c r="C83" i="29"/>
  <c r="H8" i="29"/>
  <c r="I8" i="29" s="1"/>
  <c r="E8" i="29"/>
  <c r="F8" i="29" s="1"/>
  <c r="E27" i="29"/>
  <c r="F27" i="29" s="1"/>
  <c r="H27" i="29"/>
  <c r="I27" i="29" s="1"/>
  <c r="C57" i="29"/>
  <c r="C57" i="34" s="1"/>
  <c r="C117" i="29"/>
  <c r="C126" i="29"/>
  <c r="H9" i="29"/>
  <c r="I9" i="29" s="1"/>
  <c r="E9" i="29"/>
  <c r="F9" i="29" s="1"/>
  <c r="E5" i="29"/>
  <c r="F5" i="29" s="1"/>
  <c r="H5" i="29"/>
  <c r="I5" i="29" s="1"/>
  <c r="E26" i="29"/>
  <c r="F26" i="29" s="1"/>
  <c r="H26" i="29"/>
  <c r="I26" i="29" s="1"/>
  <c r="C84" i="29"/>
  <c r="C84" i="34" s="1"/>
  <c r="C130" i="29"/>
  <c r="C114" i="29"/>
  <c r="C114" i="34" s="1"/>
  <c r="C112" i="29"/>
  <c r="C112" i="34" s="1"/>
  <c r="E11" i="29"/>
  <c r="F11" i="29" s="1"/>
  <c r="H11" i="29"/>
  <c r="I11" i="29" s="1"/>
  <c r="E38" i="29"/>
  <c r="F38" i="29" s="1"/>
  <c r="H38" i="29"/>
  <c r="I38" i="29" s="1"/>
  <c r="C101" i="29"/>
  <c r="C101" i="34" s="1"/>
  <c r="H45" i="29"/>
  <c r="I45" i="29" s="1"/>
  <c r="E45" i="29"/>
  <c r="F45" i="29" s="1"/>
  <c r="C125" i="18"/>
  <c r="E125" i="18" s="1"/>
  <c r="F125" i="18" s="1"/>
  <c r="E4" i="29"/>
  <c r="F4" i="29" s="1"/>
  <c r="H4" i="29"/>
  <c r="I4" i="29" s="1"/>
  <c r="E6" i="29"/>
  <c r="F6" i="29" s="1"/>
  <c r="H6" i="29"/>
  <c r="I6" i="29" s="1"/>
  <c r="C100" i="29"/>
  <c r="C100" i="34" s="1"/>
  <c r="E29" i="29"/>
  <c r="F29" i="29" s="1"/>
  <c r="H29" i="29"/>
  <c r="I29" i="29" s="1"/>
  <c r="C122" i="29"/>
  <c r="C61" i="29"/>
  <c r="C61" i="34" s="1"/>
  <c r="C87" i="29"/>
  <c r="C87" i="34" s="1"/>
  <c r="C115" i="29"/>
  <c r="C93" i="29"/>
  <c r="C93" i="34" s="1"/>
  <c r="C118" i="29"/>
  <c r="C97" i="29"/>
  <c r="C97" i="34" s="1"/>
  <c r="C135" i="29"/>
  <c r="E13" i="29"/>
  <c r="F13" i="29" s="1"/>
  <c r="H13" i="29"/>
  <c r="I13" i="29" s="1"/>
  <c r="H24" i="29"/>
  <c r="I24" i="29" s="1"/>
  <c r="E24" i="29"/>
  <c r="F24" i="29" s="1"/>
  <c r="C107" i="29"/>
  <c r="C107" i="34" s="1"/>
  <c r="C102" i="29"/>
  <c r="C102" i="34" s="1"/>
  <c r="C98" i="29"/>
  <c r="C98" i="34" s="1"/>
  <c r="C69" i="29"/>
  <c r="C69" i="34" s="1"/>
  <c r="C37" i="29"/>
  <c r="C37" i="34" s="1"/>
  <c r="E36" i="29"/>
  <c r="F36" i="29" s="1"/>
  <c r="H36" i="29"/>
  <c r="I36" i="29" s="1"/>
  <c r="E12" i="29"/>
  <c r="F12" i="29" s="1"/>
  <c r="H12" i="29"/>
  <c r="I12" i="29" s="1"/>
  <c r="C50" i="29"/>
  <c r="C50" i="34" s="1"/>
  <c r="C128" i="29"/>
  <c r="E46" i="29"/>
  <c r="F46" i="29" s="1"/>
  <c r="H46" i="29"/>
  <c r="I46" i="29" s="1"/>
  <c r="C95" i="29"/>
  <c r="C95" i="34" s="1"/>
  <c r="C123" i="29"/>
  <c r="C68" i="29"/>
  <c r="C68" i="34" s="1"/>
  <c r="C80" i="29"/>
  <c r="C80" i="34" s="1"/>
  <c r="C62" i="29"/>
  <c r="H33" i="29"/>
  <c r="I33" i="29" s="1"/>
  <c r="E33" i="29"/>
  <c r="F33" i="29" s="1"/>
  <c r="C94" i="29"/>
  <c r="C94" i="34" s="1"/>
  <c r="C85" i="29"/>
  <c r="C85" i="34" s="1"/>
  <c r="E10" i="29"/>
  <c r="F10" i="29" s="1"/>
  <c r="H10" i="29"/>
  <c r="I10" i="29" s="1"/>
  <c r="C104" i="29"/>
  <c r="C104" i="34" s="1"/>
  <c r="H7" i="29"/>
  <c r="I7" i="29" s="1"/>
  <c r="E7" i="29"/>
  <c r="F7" i="29" s="1"/>
  <c r="C56" i="29"/>
  <c r="C56" i="34" s="1"/>
  <c r="C40" i="29"/>
  <c r="C119" i="29"/>
  <c r="C41" i="29"/>
  <c r="E30" i="29"/>
  <c r="F30" i="29" s="1"/>
  <c r="H30" i="29"/>
  <c r="I30" i="29" s="1"/>
  <c r="C77" i="29"/>
  <c r="C77" i="34" s="1"/>
  <c r="H25" i="29"/>
  <c r="I25" i="29" s="1"/>
  <c r="E25" i="29"/>
  <c r="F25" i="29" s="1"/>
  <c r="C106" i="29"/>
  <c r="C106" i="34" s="1"/>
  <c r="H32" i="29"/>
  <c r="I32" i="29" s="1"/>
  <c r="E32" i="29"/>
  <c r="F32" i="29" s="1"/>
  <c r="C132" i="29"/>
  <c r="C60" i="29"/>
  <c r="C60" i="34" s="1"/>
  <c r="C103" i="29"/>
  <c r="C103" i="34" s="1"/>
  <c r="E35" i="29"/>
  <c r="F35" i="29" s="1"/>
  <c r="H35" i="29"/>
  <c r="I35" i="29" s="1"/>
  <c r="C81" i="29"/>
  <c r="C124" i="29"/>
  <c r="C124" i="34" s="1"/>
  <c r="C92" i="29"/>
  <c r="C92" i="34" s="1"/>
  <c r="E28" i="29"/>
  <c r="F28" i="29" s="1"/>
  <c r="H28" i="29"/>
  <c r="I28" i="29" s="1"/>
  <c r="C66" i="29"/>
  <c r="C66" i="34" s="1"/>
  <c r="C39" i="29"/>
  <c r="C39" i="34" s="1"/>
  <c r="C96" i="29"/>
  <c r="C96" i="34" s="1"/>
  <c r="C120" i="29"/>
  <c r="H47" i="29"/>
  <c r="I47" i="29" s="1"/>
  <c r="E47" i="29"/>
  <c r="F47" i="29" s="1"/>
  <c r="C54" i="29"/>
  <c r="C54" i="34" s="1"/>
  <c r="C71" i="29"/>
  <c r="C71" i="34" s="1"/>
  <c r="C52" i="29"/>
  <c r="C52" i="34" s="1"/>
  <c r="C99" i="29"/>
  <c r="C99" i="34" s="1"/>
  <c r="C121" i="29"/>
  <c r="C67" i="29"/>
  <c r="C67" i="34" s="1"/>
  <c r="C133" i="29"/>
  <c r="E114" i="18"/>
  <c r="F114" i="18" s="1"/>
  <c r="H114" i="18"/>
  <c r="I114" i="18" s="1"/>
  <c r="H94" i="18"/>
  <c r="I94" i="18" s="1"/>
  <c r="E94" i="18"/>
  <c r="F94" i="18" s="1"/>
  <c r="E77" i="18"/>
  <c r="F77" i="18" s="1"/>
  <c r="H77" i="18"/>
  <c r="I77" i="18" s="1"/>
  <c r="E99" i="18"/>
  <c r="F99" i="18" s="1"/>
  <c r="H99" i="18"/>
  <c r="I99" i="18" s="1"/>
  <c r="E85" i="18"/>
  <c r="F85" i="18" s="1"/>
  <c r="H85" i="18"/>
  <c r="I85" i="18" s="1"/>
  <c r="E98" i="18"/>
  <c r="F98" i="18" s="1"/>
  <c r="H98" i="18"/>
  <c r="I98" i="18" s="1"/>
  <c r="H103" i="18"/>
  <c r="I103" i="18" s="1"/>
  <c r="E103" i="18"/>
  <c r="F103" i="18" s="1"/>
  <c r="E105" i="18"/>
  <c r="F105" i="18" s="1"/>
  <c r="H105" i="18"/>
  <c r="I105" i="18" s="1"/>
  <c r="H104" i="18"/>
  <c r="I104" i="18" s="1"/>
  <c r="E104" i="18"/>
  <c r="F104" i="18" s="1"/>
  <c r="H102" i="18"/>
  <c r="I102" i="18" s="1"/>
  <c r="E102" i="18"/>
  <c r="F102" i="18" s="1"/>
  <c r="C127" i="18"/>
  <c r="C127" i="34" s="1"/>
  <c r="E78" i="18"/>
  <c r="F78" i="18" s="1"/>
  <c r="H78" i="18"/>
  <c r="I78" i="18" s="1"/>
  <c r="H95" i="18"/>
  <c r="I95" i="18" s="1"/>
  <c r="E95" i="18"/>
  <c r="F95" i="18" s="1"/>
  <c r="E101" i="18"/>
  <c r="F101" i="18" s="1"/>
  <c r="H101" i="18"/>
  <c r="I101" i="18" s="1"/>
  <c r="H80" i="18"/>
  <c r="I80" i="18" s="1"/>
  <c r="E80" i="18"/>
  <c r="F80" i="18" s="1"/>
  <c r="H93" i="18"/>
  <c r="I93" i="18" s="1"/>
  <c r="E93" i="18"/>
  <c r="F93" i="18" s="1"/>
  <c r="E90" i="18"/>
  <c r="F90" i="18" s="1"/>
  <c r="H90" i="18"/>
  <c r="I90" i="18" s="1"/>
  <c r="H79" i="18"/>
  <c r="I79" i="18" s="1"/>
  <c r="E79" i="18"/>
  <c r="F79" i="18" s="1"/>
  <c r="E97" i="18"/>
  <c r="F97" i="18" s="1"/>
  <c r="H97" i="18"/>
  <c r="I97" i="18" s="1"/>
  <c r="E68" i="18"/>
  <c r="F68" i="18" s="1"/>
  <c r="H68" i="18"/>
  <c r="I68" i="18" s="1"/>
  <c r="C123" i="18"/>
  <c r="C123" i="34" s="1"/>
  <c r="C130" i="18"/>
  <c r="E70" i="18"/>
  <c r="F70" i="18" s="1"/>
  <c r="H70" i="18"/>
  <c r="I70" i="18" s="1"/>
  <c r="H111" i="18"/>
  <c r="I111" i="18" s="1"/>
  <c r="E111" i="18"/>
  <c r="F111" i="18" s="1"/>
  <c r="E124" i="18"/>
  <c r="F124" i="18" s="1"/>
  <c r="H124" i="18"/>
  <c r="I124" i="18" s="1"/>
  <c r="H81" i="18"/>
  <c r="I81" i="18" s="1"/>
  <c r="E81" i="18"/>
  <c r="F81" i="18" s="1"/>
  <c r="H87" i="18"/>
  <c r="I87" i="18" s="1"/>
  <c r="E87" i="18"/>
  <c r="F87" i="18" s="1"/>
  <c r="E96" i="18"/>
  <c r="F96" i="18" s="1"/>
  <c r="H96" i="18"/>
  <c r="I96" i="18" s="1"/>
  <c r="E69" i="18"/>
  <c r="F69" i="18" s="1"/>
  <c r="H69" i="18"/>
  <c r="I69" i="18" s="1"/>
  <c r="E82" i="18"/>
  <c r="F82" i="18" s="1"/>
  <c r="H82" i="18"/>
  <c r="I82" i="18" s="1"/>
  <c r="E108" i="18"/>
  <c r="F108" i="18" s="1"/>
  <c r="H108" i="18"/>
  <c r="I108" i="18" s="1"/>
  <c r="E67" i="18"/>
  <c r="F67" i="18" s="1"/>
  <c r="H67" i="18"/>
  <c r="I67" i="18" s="1"/>
  <c r="C136" i="1"/>
  <c r="E83" i="18"/>
  <c r="F83" i="18" s="1"/>
  <c r="H83" i="18"/>
  <c r="I83" i="18" s="1"/>
  <c r="C136" i="18"/>
  <c r="H71" i="18"/>
  <c r="I71" i="18" s="1"/>
  <c r="E71" i="18"/>
  <c r="F71" i="18" s="1"/>
  <c r="E107" i="18"/>
  <c r="F107" i="18" s="1"/>
  <c r="H107" i="18"/>
  <c r="I107" i="18" s="1"/>
  <c r="E116" i="18"/>
  <c r="F116" i="18" s="1"/>
  <c r="H116" i="18"/>
  <c r="I116" i="18" s="1"/>
  <c r="E75" i="18"/>
  <c r="F75" i="18" s="1"/>
  <c r="H75" i="18"/>
  <c r="I75" i="18" s="1"/>
  <c r="H89" i="18"/>
  <c r="I89" i="18" s="1"/>
  <c r="E89" i="18"/>
  <c r="F89" i="18" s="1"/>
  <c r="C121" i="18"/>
  <c r="C121" i="34" s="1"/>
  <c r="C134" i="18"/>
  <c r="E112" i="18"/>
  <c r="F112" i="18" s="1"/>
  <c r="H112" i="18"/>
  <c r="I112" i="18" s="1"/>
  <c r="E106" i="18"/>
  <c r="F106" i="18" s="1"/>
  <c r="H106" i="18"/>
  <c r="I106" i="18" s="1"/>
  <c r="E86" i="18"/>
  <c r="F86" i="18" s="1"/>
  <c r="H86" i="18"/>
  <c r="I86" i="18" s="1"/>
  <c r="H88" i="18"/>
  <c r="I88" i="18" s="1"/>
  <c r="E88" i="18"/>
  <c r="F88" i="18" s="1"/>
  <c r="H109" i="18"/>
  <c r="I109" i="18" s="1"/>
  <c r="E109" i="18"/>
  <c r="F109" i="18" s="1"/>
  <c r="H73" i="18"/>
  <c r="I73" i="18" s="1"/>
  <c r="E73" i="18"/>
  <c r="F73" i="18" s="1"/>
  <c r="H72" i="18"/>
  <c r="I72" i="18" s="1"/>
  <c r="E72" i="18"/>
  <c r="F72" i="18" s="1"/>
  <c r="E91" i="18"/>
  <c r="F91" i="18" s="1"/>
  <c r="H91" i="18"/>
  <c r="I91" i="18" s="1"/>
  <c r="E100" i="18"/>
  <c r="F100" i="18" s="1"/>
  <c r="H100" i="18"/>
  <c r="I100" i="18" s="1"/>
  <c r="C119" i="18"/>
  <c r="C119" i="34" s="1"/>
  <c r="E74" i="18"/>
  <c r="F74" i="18" s="1"/>
  <c r="H74" i="18"/>
  <c r="I74" i="18" s="1"/>
  <c r="C117" i="18"/>
  <c r="C117" i="34" s="1"/>
  <c r="C128" i="18"/>
  <c r="C128" i="34" s="1"/>
  <c r="C120" i="18"/>
  <c r="C120" i="34" s="1"/>
  <c r="E113" i="18"/>
  <c r="F113" i="18" s="1"/>
  <c r="H113" i="18"/>
  <c r="I113" i="18" s="1"/>
  <c r="E84" i="18"/>
  <c r="F84" i="18" s="1"/>
  <c r="H84" i="18"/>
  <c r="I84" i="18" s="1"/>
  <c r="E76" i="18"/>
  <c r="F76" i="18" s="1"/>
  <c r="H76" i="18"/>
  <c r="I76" i="18" s="1"/>
  <c r="E92" i="18"/>
  <c r="F92" i="18" s="1"/>
  <c r="H92" i="18"/>
  <c r="I92" i="18" s="1"/>
  <c r="H110" i="18"/>
  <c r="I110" i="18" s="1"/>
  <c r="E110" i="18"/>
  <c r="F110" i="18" s="1"/>
  <c r="C129" i="18"/>
  <c r="C4" i="1"/>
  <c r="D3" i="34"/>
  <c r="C3" i="18"/>
  <c r="E3" i="18" s="1"/>
  <c r="F3" i="18" s="1"/>
  <c r="E85" i="1"/>
  <c r="F85" i="1" s="1"/>
  <c r="H85" i="1"/>
  <c r="I85" i="1" s="1"/>
  <c r="E93" i="1"/>
  <c r="F93" i="1" s="1"/>
  <c r="H93" i="1"/>
  <c r="I93" i="1" s="1"/>
  <c r="E103" i="1"/>
  <c r="F103" i="1" s="1"/>
  <c r="H103" i="1"/>
  <c r="I103" i="1" s="1"/>
  <c r="E6" i="1"/>
  <c r="F6" i="1" s="1"/>
  <c r="H6" i="1"/>
  <c r="I6" i="1" s="1"/>
  <c r="H73" i="1"/>
  <c r="I73" i="1" s="1"/>
  <c r="E73" i="1"/>
  <c r="F73" i="1" s="1"/>
  <c r="E118" i="1"/>
  <c r="F118" i="1" s="1"/>
  <c r="H118" i="1"/>
  <c r="I118" i="1" s="1"/>
  <c r="H101" i="1"/>
  <c r="I101" i="1" s="1"/>
  <c r="E101" i="1"/>
  <c r="F101" i="1" s="1"/>
  <c r="H105" i="1"/>
  <c r="I105" i="1" s="1"/>
  <c r="E105" i="1"/>
  <c r="F105" i="1" s="1"/>
  <c r="E75" i="1"/>
  <c r="F75" i="1" s="1"/>
  <c r="H75" i="1"/>
  <c r="I75" i="1" s="1"/>
  <c r="H79" i="1"/>
  <c r="I79" i="1" s="1"/>
  <c r="E79" i="1"/>
  <c r="F79" i="1" s="1"/>
  <c r="E100" i="1"/>
  <c r="F100" i="1" s="1"/>
  <c r="H100" i="1"/>
  <c r="I100" i="1" s="1"/>
  <c r="E94" i="1"/>
  <c r="F94" i="1" s="1"/>
  <c r="H94" i="1"/>
  <c r="I94" i="1" s="1"/>
  <c r="E82" i="1"/>
  <c r="F82" i="1" s="1"/>
  <c r="H82" i="1"/>
  <c r="I82" i="1" s="1"/>
  <c r="H80" i="1"/>
  <c r="I80" i="1" s="1"/>
  <c r="E80" i="1"/>
  <c r="F80" i="1" s="1"/>
  <c r="E116" i="1"/>
  <c r="F116" i="1" s="1"/>
  <c r="H116" i="1"/>
  <c r="I116" i="1" s="1"/>
  <c r="E90" i="1"/>
  <c r="F90" i="1" s="1"/>
  <c r="H90" i="1"/>
  <c r="I90" i="1" s="1"/>
  <c r="E91" i="1"/>
  <c r="F91" i="1" s="1"/>
  <c r="H91" i="1"/>
  <c r="I91" i="1" s="1"/>
  <c r="E125" i="1"/>
  <c r="F125" i="1" s="1"/>
  <c r="H125" i="1"/>
  <c r="I125" i="1" s="1"/>
  <c r="H107" i="1"/>
  <c r="I107" i="1" s="1"/>
  <c r="E107" i="1"/>
  <c r="F107" i="1" s="1"/>
  <c r="E102" i="1"/>
  <c r="F102" i="1" s="1"/>
  <c r="H102" i="1"/>
  <c r="I102" i="1" s="1"/>
  <c r="E108" i="1"/>
  <c r="F108" i="1" s="1"/>
  <c r="H108" i="1"/>
  <c r="I108" i="1" s="1"/>
  <c r="H8" i="1"/>
  <c r="I8" i="1" s="1"/>
  <c r="E8" i="1"/>
  <c r="F8" i="1" s="1"/>
  <c r="E92" i="1"/>
  <c r="F92" i="1" s="1"/>
  <c r="H92" i="1"/>
  <c r="I92" i="1" s="1"/>
  <c r="H95" i="1"/>
  <c r="I95" i="1" s="1"/>
  <c r="E95" i="1"/>
  <c r="F95" i="1" s="1"/>
  <c r="E84" i="1"/>
  <c r="F84" i="1" s="1"/>
  <c r="H84" i="1"/>
  <c r="I84" i="1" s="1"/>
  <c r="H87" i="1"/>
  <c r="I87" i="1" s="1"/>
  <c r="E87" i="1"/>
  <c r="F87" i="1" s="1"/>
  <c r="E119" i="1"/>
  <c r="F119" i="1" s="1"/>
  <c r="H119" i="1"/>
  <c r="I119" i="1" s="1"/>
  <c r="H115" i="1"/>
  <c r="I115" i="1" s="1"/>
  <c r="E115" i="1"/>
  <c r="F115" i="1" s="1"/>
  <c r="H72" i="1"/>
  <c r="I72" i="1" s="1"/>
  <c r="E72" i="1"/>
  <c r="F72" i="1" s="1"/>
  <c r="E132" i="1"/>
  <c r="F132" i="1" s="1"/>
  <c r="H132" i="1"/>
  <c r="I132" i="1" s="1"/>
  <c r="H106" i="1"/>
  <c r="I106" i="1" s="1"/>
  <c r="E106" i="1"/>
  <c r="F106" i="1" s="1"/>
  <c r="H96" i="1"/>
  <c r="I96" i="1" s="1"/>
  <c r="E96" i="1"/>
  <c r="F96" i="1" s="1"/>
  <c r="C134" i="1"/>
  <c r="C134" i="34" s="1"/>
  <c r="H113" i="1"/>
  <c r="I113" i="1" s="1"/>
  <c r="E113" i="1"/>
  <c r="F113" i="1" s="1"/>
  <c r="E128" i="1"/>
  <c r="F128" i="1" s="1"/>
  <c r="H128" i="1"/>
  <c r="I128" i="1" s="1"/>
  <c r="H122" i="1"/>
  <c r="I122" i="1" s="1"/>
  <c r="E122" i="1"/>
  <c r="F122" i="1" s="1"/>
  <c r="E78" i="1"/>
  <c r="F78" i="1" s="1"/>
  <c r="H78" i="1"/>
  <c r="I78" i="1" s="1"/>
  <c r="H121" i="1"/>
  <c r="I121" i="1" s="1"/>
  <c r="E121" i="1"/>
  <c r="F121" i="1" s="1"/>
  <c r="E99" i="1"/>
  <c r="F99" i="1" s="1"/>
  <c r="H99" i="1"/>
  <c r="I99" i="1" s="1"/>
  <c r="E77" i="1"/>
  <c r="F77" i="1" s="1"/>
  <c r="H77" i="1"/>
  <c r="I77" i="1" s="1"/>
  <c r="E124" i="1"/>
  <c r="F124" i="1" s="1"/>
  <c r="H124" i="1"/>
  <c r="I124" i="1" s="1"/>
  <c r="E74" i="1"/>
  <c r="F74" i="1" s="1"/>
  <c r="H74" i="1"/>
  <c r="I74" i="1" s="1"/>
  <c r="E98" i="1"/>
  <c r="F98" i="1" s="1"/>
  <c r="H98" i="1"/>
  <c r="I98" i="1" s="1"/>
  <c r="H89" i="1"/>
  <c r="I89" i="1" s="1"/>
  <c r="E89" i="1"/>
  <c r="F89" i="1" s="1"/>
  <c r="E111" i="1"/>
  <c r="F111" i="1" s="1"/>
  <c r="H111" i="1"/>
  <c r="I111" i="1" s="1"/>
  <c r="E11" i="1"/>
  <c r="F11" i="1" s="1"/>
  <c r="H11" i="1"/>
  <c r="I11" i="1" s="1"/>
  <c r="E109" i="1"/>
  <c r="F109" i="1" s="1"/>
  <c r="H109" i="1"/>
  <c r="I109" i="1" s="1"/>
  <c r="E120" i="1"/>
  <c r="F120" i="1" s="1"/>
  <c r="H120" i="1"/>
  <c r="I120" i="1" s="1"/>
  <c r="E117" i="1"/>
  <c r="F117" i="1" s="1"/>
  <c r="H117" i="1"/>
  <c r="I117" i="1" s="1"/>
  <c r="H9" i="1"/>
  <c r="I9" i="1" s="1"/>
  <c r="E9" i="1"/>
  <c r="F9" i="1" s="1"/>
  <c r="E83" i="1"/>
  <c r="F83" i="1" s="1"/>
  <c r="H83" i="1"/>
  <c r="I83" i="1" s="1"/>
  <c r="C129" i="1"/>
  <c r="E10" i="1"/>
  <c r="F10" i="1" s="1"/>
  <c r="H10" i="1"/>
  <c r="I10" i="1" s="1"/>
  <c r="H104" i="1"/>
  <c r="I104" i="1" s="1"/>
  <c r="E104" i="1"/>
  <c r="F104" i="1" s="1"/>
  <c r="E70" i="1"/>
  <c r="F70" i="1" s="1"/>
  <c r="H70" i="1"/>
  <c r="I70" i="1" s="1"/>
  <c r="H97" i="1"/>
  <c r="I97" i="1" s="1"/>
  <c r="E97" i="1"/>
  <c r="F97" i="1" s="1"/>
  <c r="H81" i="1"/>
  <c r="I81" i="1" s="1"/>
  <c r="E81" i="1"/>
  <c r="F81" i="1" s="1"/>
  <c r="E5" i="1"/>
  <c r="F5" i="1" s="1"/>
  <c r="H5" i="1"/>
  <c r="I5" i="1" s="1"/>
  <c r="E126" i="1"/>
  <c r="F126" i="1" s="1"/>
  <c r="H126" i="1"/>
  <c r="I126" i="1" s="1"/>
  <c r="E127" i="1"/>
  <c r="F127" i="1" s="1"/>
  <c r="H127" i="1"/>
  <c r="I127" i="1" s="1"/>
  <c r="H7" i="1"/>
  <c r="I7" i="1" s="1"/>
  <c r="E7" i="1"/>
  <c r="F7" i="1" s="1"/>
  <c r="H88" i="1"/>
  <c r="I88" i="1" s="1"/>
  <c r="E88" i="1"/>
  <c r="F88" i="1" s="1"/>
  <c r="H71" i="1"/>
  <c r="I71" i="1" s="1"/>
  <c r="E71" i="1"/>
  <c r="F71" i="1" s="1"/>
  <c r="H114" i="1"/>
  <c r="I114" i="1" s="1"/>
  <c r="E114" i="1"/>
  <c r="F114" i="1" s="1"/>
  <c r="H123" i="1"/>
  <c r="I123" i="1" s="1"/>
  <c r="E123" i="1"/>
  <c r="F123" i="1" s="1"/>
  <c r="E86" i="1"/>
  <c r="F86" i="1" s="1"/>
  <c r="H86" i="1"/>
  <c r="I86" i="1" s="1"/>
  <c r="E110" i="1"/>
  <c r="F110" i="1" s="1"/>
  <c r="H110" i="1"/>
  <c r="I110" i="1" s="1"/>
  <c r="C130" i="1"/>
  <c r="C130" i="34" s="1"/>
  <c r="E76" i="1"/>
  <c r="F76" i="1" s="1"/>
  <c r="H76" i="1"/>
  <c r="I76" i="1" s="1"/>
  <c r="C133" i="1"/>
  <c r="H112" i="1"/>
  <c r="I112" i="1" s="1"/>
  <c r="E112" i="1"/>
  <c r="F112" i="1" s="1"/>
  <c r="C3" i="30"/>
  <c r="H3" i="30" s="1"/>
  <c r="I3" i="30" s="1"/>
  <c r="C137" i="32"/>
  <c r="E137" i="32" s="1"/>
  <c r="F137" i="32" s="1"/>
  <c r="C137" i="3"/>
  <c r="E137" i="3" s="1"/>
  <c r="F137" i="3" s="1"/>
  <c r="C137" i="33"/>
  <c r="H137" i="33" s="1"/>
  <c r="I137" i="33" s="1"/>
  <c r="D137" i="30"/>
  <c r="C3" i="1"/>
  <c r="C3" i="29"/>
  <c r="H3" i="29" s="1"/>
  <c r="I3" i="29" s="1"/>
  <c r="C137" i="26"/>
  <c r="E137" i="26" s="1"/>
  <c r="F137" i="26" s="1"/>
  <c r="C137" i="31"/>
  <c r="E137" i="31" s="1"/>
  <c r="F137" i="31" s="1"/>
  <c r="C137" i="28"/>
  <c r="E137" i="28" s="1"/>
  <c r="F137" i="28" s="1"/>
  <c r="D137" i="29"/>
  <c r="C137" i="27"/>
  <c r="H137" i="27" s="1"/>
  <c r="I137" i="27" s="1"/>
  <c r="G137" i="30"/>
  <c r="G137" i="29"/>
  <c r="H137" i="4"/>
  <c r="I137" i="4" s="1"/>
  <c r="E137" i="4"/>
  <c r="F137" i="4" s="1"/>
  <c r="H137" i="19"/>
  <c r="I137" i="19" s="1"/>
  <c r="E137" i="19"/>
  <c r="F137" i="19" s="1"/>
  <c r="E137" i="20"/>
  <c r="F137" i="20" s="1"/>
  <c r="H137" i="20"/>
  <c r="I137" i="20" s="1"/>
  <c r="E137" i="2"/>
  <c r="F137" i="2" s="1"/>
  <c r="H137" i="2"/>
  <c r="I137" i="2" s="1"/>
  <c r="H137" i="21"/>
  <c r="I137" i="21" s="1"/>
  <c r="E137" i="21"/>
  <c r="F137" i="21" s="1"/>
  <c r="H3" i="1" l="1"/>
  <c r="I3" i="1" s="1"/>
  <c r="C137" i="1"/>
  <c r="H109" i="29"/>
  <c r="I109" i="29" s="1"/>
  <c r="C109" i="34"/>
  <c r="H115" i="18"/>
  <c r="I115" i="18" s="1"/>
  <c r="C115" i="34"/>
  <c r="H76" i="29"/>
  <c r="I76" i="29" s="1"/>
  <c r="C76" i="34"/>
  <c r="C90" i="34"/>
  <c r="E75" i="34"/>
  <c r="F75" i="34" s="1"/>
  <c r="H75" i="34"/>
  <c r="I75" i="34" s="1"/>
  <c r="E67" i="34"/>
  <c r="F67" i="34" s="1"/>
  <c r="H67" i="34"/>
  <c r="I67" i="34" s="1"/>
  <c r="H106" i="34"/>
  <c r="I106" i="34" s="1"/>
  <c r="E106" i="34"/>
  <c r="F106" i="34" s="1"/>
  <c r="E94" i="34"/>
  <c r="F94" i="34" s="1"/>
  <c r="H94" i="34"/>
  <c r="I94" i="34" s="1"/>
  <c r="E112" i="34"/>
  <c r="F112" i="34" s="1"/>
  <c r="H112" i="34"/>
  <c r="I112" i="34" s="1"/>
  <c r="E70" i="34"/>
  <c r="F70" i="34" s="1"/>
  <c r="H70" i="34"/>
  <c r="I70" i="34" s="1"/>
  <c r="H32" i="34"/>
  <c r="I32" i="34" s="1"/>
  <c r="E32" i="34"/>
  <c r="F32" i="34" s="1"/>
  <c r="E13" i="34"/>
  <c r="F13" i="34" s="1"/>
  <c r="H13" i="34"/>
  <c r="I13" i="34" s="1"/>
  <c r="H31" i="34"/>
  <c r="I31" i="34" s="1"/>
  <c r="E31" i="34"/>
  <c r="F31" i="34" s="1"/>
  <c r="E127" i="34"/>
  <c r="F127" i="34" s="1"/>
  <c r="H127" i="34"/>
  <c r="I127" i="34" s="1"/>
  <c r="E96" i="34"/>
  <c r="F96" i="34" s="1"/>
  <c r="H96" i="34"/>
  <c r="I96" i="34" s="1"/>
  <c r="H79" i="34"/>
  <c r="I79" i="34" s="1"/>
  <c r="E79" i="34"/>
  <c r="F79" i="34" s="1"/>
  <c r="E30" i="34"/>
  <c r="F30" i="34" s="1"/>
  <c r="H30" i="34"/>
  <c r="I30" i="34" s="1"/>
  <c r="E10" i="34"/>
  <c r="F10" i="34" s="1"/>
  <c r="H10" i="34"/>
  <c r="I10" i="34" s="1"/>
  <c r="E90" i="34"/>
  <c r="F90" i="34" s="1"/>
  <c r="H90" i="34"/>
  <c r="I90" i="34" s="1"/>
  <c r="H97" i="34"/>
  <c r="I97" i="34" s="1"/>
  <c r="E97" i="34"/>
  <c r="F97" i="34" s="1"/>
  <c r="E128" i="34"/>
  <c r="F128" i="34" s="1"/>
  <c r="H128" i="34"/>
  <c r="I128" i="34" s="1"/>
  <c r="E121" i="34"/>
  <c r="F121" i="34" s="1"/>
  <c r="H121" i="34"/>
  <c r="I121" i="34" s="1"/>
  <c r="E103" i="34"/>
  <c r="F103" i="34" s="1"/>
  <c r="H103" i="34"/>
  <c r="I103" i="34" s="1"/>
  <c r="E77" i="34"/>
  <c r="F77" i="34" s="1"/>
  <c r="H77" i="34"/>
  <c r="I77" i="34" s="1"/>
  <c r="E102" i="34"/>
  <c r="F102" i="34" s="1"/>
  <c r="H102" i="34"/>
  <c r="I102" i="34" s="1"/>
  <c r="H100" i="34"/>
  <c r="I100" i="34" s="1"/>
  <c r="E100" i="34"/>
  <c r="F100" i="34" s="1"/>
  <c r="E101" i="34"/>
  <c r="F101" i="34" s="1"/>
  <c r="H101" i="34"/>
  <c r="I101" i="34" s="1"/>
  <c r="E84" i="34"/>
  <c r="F84" i="34" s="1"/>
  <c r="H84" i="34"/>
  <c r="I84" i="34" s="1"/>
  <c r="E99" i="34"/>
  <c r="F99" i="34" s="1"/>
  <c r="H99" i="34"/>
  <c r="I99" i="34" s="1"/>
  <c r="E98" i="34"/>
  <c r="F98" i="34" s="1"/>
  <c r="H98" i="34"/>
  <c r="I98" i="34" s="1"/>
  <c r="E104" i="34"/>
  <c r="F104" i="34" s="1"/>
  <c r="H104" i="34"/>
  <c r="I104" i="34" s="1"/>
  <c r="H80" i="34"/>
  <c r="I80" i="34" s="1"/>
  <c r="E80" i="34"/>
  <c r="F80" i="34" s="1"/>
  <c r="E93" i="34"/>
  <c r="F93" i="34" s="1"/>
  <c r="H93" i="34"/>
  <c r="I93" i="34" s="1"/>
  <c r="E27" i="34"/>
  <c r="F27" i="34" s="1"/>
  <c r="H27" i="34"/>
  <c r="I27" i="34" s="1"/>
  <c r="E120" i="34"/>
  <c r="F120" i="34" s="1"/>
  <c r="H120" i="34"/>
  <c r="I120" i="34" s="1"/>
  <c r="E6" i="34"/>
  <c r="F6" i="34" s="1"/>
  <c r="H6" i="34"/>
  <c r="I6" i="34" s="1"/>
  <c r="H117" i="34"/>
  <c r="I117" i="34" s="1"/>
  <c r="E117" i="34"/>
  <c r="F117" i="34" s="1"/>
  <c r="E5" i="34"/>
  <c r="F5" i="34" s="1"/>
  <c r="H5" i="34"/>
  <c r="I5" i="34" s="1"/>
  <c r="E34" i="34"/>
  <c r="F34" i="34" s="1"/>
  <c r="H34" i="34"/>
  <c r="I34" i="34" s="1"/>
  <c r="E36" i="34"/>
  <c r="F36" i="34" s="1"/>
  <c r="H36" i="34"/>
  <c r="I36" i="34" s="1"/>
  <c r="H71" i="34"/>
  <c r="I71" i="34" s="1"/>
  <c r="E71" i="34"/>
  <c r="F71" i="34" s="1"/>
  <c r="E92" i="34"/>
  <c r="F92" i="34" s="1"/>
  <c r="H92" i="34"/>
  <c r="I92" i="34" s="1"/>
  <c r="H87" i="34"/>
  <c r="I87" i="34" s="1"/>
  <c r="E87" i="34"/>
  <c r="F87" i="34" s="1"/>
  <c r="H24" i="34"/>
  <c r="I24" i="34" s="1"/>
  <c r="E24" i="34"/>
  <c r="F24" i="34" s="1"/>
  <c r="H88" i="34"/>
  <c r="I88" i="34" s="1"/>
  <c r="E88" i="34"/>
  <c r="F88" i="34" s="1"/>
  <c r="H33" i="34"/>
  <c r="I33" i="34" s="1"/>
  <c r="E33" i="34"/>
  <c r="F33" i="34" s="1"/>
  <c r="H47" i="34"/>
  <c r="I47" i="34" s="1"/>
  <c r="E47" i="34"/>
  <c r="F47" i="34" s="1"/>
  <c r="E119" i="34"/>
  <c r="F119" i="34" s="1"/>
  <c r="H119" i="34"/>
  <c r="I119" i="34" s="1"/>
  <c r="E123" i="34"/>
  <c r="F123" i="34" s="1"/>
  <c r="H123" i="34"/>
  <c r="I123" i="34" s="1"/>
  <c r="H124" i="34"/>
  <c r="I124" i="34" s="1"/>
  <c r="E124" i="34"/>
  <c r="F124" i="34" s="1"/>
  <c r="E85" i="34"/>
  <c r="F85" i="34" s="1"/>
  <c r="H85" i="34"/>
  <c r="I85" i="34" s="1"/>
  <c r="H95" i="34"/>
  <c r="I95" i="34" s="1"/>
  <c r="E95" i="34"/>
  <c r="F95" i="34" s="1"/>
  <c r="E11" i="34"/>
  <c r="F11" i="34" s="1"/>
  <c r="H11" i="34"/>
  <c r="I11" i="34" s="1"/>
  <c r="H115" i="34"/>
  <c r="I115" i="34" s="1"/>
  <c r="E115" i="34"/>
  <c r="F115" i="34" s="1"/>
  <c r="E54" i="34"/>
  <c r="F54" i="34" s="1"/>
  <c r="H54" i="34"/>
  <c r="I54" i="34" s="1"/>
  <c r="H65" i="29"/>
  <c r="I65" i="29" s="1"/>
  <c r="C65" i="34"/>
  <c r="C8" i="34"/>
  <c r="C9" i="34"/>
  <c r="C116" i="34"/>
  <c r="C78" i="34"/>
  <c r="E59" i="29"/>
  <c r="F59" i="29" s="1"/>
  <c r="C59" i="34"/>
  <c r="H55" i="29"/>
  <c r="I55" i="29" s="1"/>
  <c r="C55" i="34"/>
  <c r="C129" i="34"/>
  <c r="E4" i="1"/>
  <c r="F4" i="1" s="1"/>
  <c r="C4" i="34"/>
  <c r="C41" i="34"/>
  <c r="H63" i="29"/>
  <c r="I63" i="29" s="1"/>
  <c r="C63" i="34"/>
  <c r="H49" i="34"/>
  <c r="I49" i="34" s="1"/>
  <c r="E49" i="34"/>
  <c r="F49" i="34" s="1"/>
  <c r="H53" i="29"/>
  <c r="I53" i="29" s="1"/>
  <c r="C53" i="34"/>
  <c r="C74" i="34"/>
  <c r="C110" i="34"/>
  <c r="C105" i="34"/>
  <c r="C89" i="34"/>
  <c r="C132" i="34"/>
  <c r="C73" i="34"/>
  <c r="H130" i="34"/>
  <c r="I130" i="34" s="1"/>
  <c r="E130" i="34"/>
  <c r="F130" i="34" s="1"/>
  <c r="H114" i="34"/>
  <c r="I114" i="34" s="1"/>
  <c r="E114" i="34"/>
  <c r="F114" i="34" s="1"/>
  <c r="C81" i="34"/>
  <c r="E76" i="34"/>
  <c r="F76" i="34" s="1"/>
  <c r="H76" i="34"/>
  <c r="I76" i="34" s="1"/>
  <c r="H7" i="34"/>
  <c r="I7" i="34" s="1"/>
  <c r="E7" i="34"/>
  <c r="F7" i="34" s="1"/>
  <c r="H107" i="34"/>
  <c r="I107" i="34" s="1"/>
  <c r="E107" i="34"/>
  <c r="F107" i="34" s="1"/>
  <c r="C40" i="34"/>
  <c r="E37" i="34"/>
  <c r="F37" i="34" s="1"/>
  <c r="H37" i="34"/>
  <c r="I37" i="34" s="1"/>
  <c r="C29" i="34"/>
  <c r="C118" i="34"/>
  <c r="H48" i="34"/>
  <c r="I48" i="34" s="1"/>
  <c r="E48" i="34"/>
  <c r="F48" i="34" s="1"/>
  <c r="E69" i="34"/>
  <c r="F69" i="34" s="1"/>
  <c r="H69" i="34"/>
  <c r="I69" i="34" s="1"/>
  <c r="C83" i="34"/>
  <c r="E136" i="1"/>
  <c r="F136" i="1" s="1"/>
  <c r="C136" i="34"/>
  <c r="H56" i="34"/>
  <c r="I56" i="34" s="1"/>
  <c r="E56" i="34"/>
  <c r="F56" i="34" s="1"/>
  <c r="C28" i="34"/>
  <c r="E68" i="34"/>
  <c r="F68" i="34" s="1"/>
  <c r="H68" i="34"/>
  <c r="I68" i="34" s="1"/>
  <c r="H72" i="34"/>
  <c r="I72" i="34" s="1"/>
  <c r="E72" i="34"/>
  <c r="F72" i="34" s="1"/>
  <c r="H39" i="34"/>
  <c r="I39" i="34" s="1"/>
  <c r="E39" i="34"/>
  <c r="F39" i="34" s="1"/>
  <c r="H131" i="1"/>
  <c r="I131" i="1" s="1"/>
  <c r="C131" i="34"/>
  <c r="E26" i="34"/>
  <c r="F26" i="34" s="1"/>
  <c r="H26" i="34"/>
  <c r="I26" i="34" s="1"/>
  <c r="C125" i="34"/>
  <c r="C82" i="34"/>
  <c r="E61" i="34"/>
  <c r="F61" i="34" s="1"/>
  <c r="H61" i="34"/>
  <c r="I61" i="34" s="1"/>
  <c r="H109" i="34"/>
  <c r="I109" i="34" s="1"/>
  <c r="E109" i="34"/>
  <c r="F109" i="34" s="1"/>
  <c r="E52" i="34"/>
  <c r="F52" i="34" s="1"/>
  <c r="H52" i="34"/>
  <c r="I52" i="34" s="1"/>
  <c r="E66" i="34"/>
  <c r="F66" i="34" s="1"/>
  <c r="H66" i="34"/>
  <c r="I66" i="34" s="1"/>
  <c r="C62" i="34"/>
  <c r="E50" i="34"/>
  <c r="F50" i="34" s="1"/>
  <c r="H50" i="34"/>
  <c r="I50" i="34" s="1"/>
  <c r="E135" i="1"/>
  <c r="F135" i="1" s="1"/>
  <c r="C135" i="34"/>
  <c r="C113" i="34"/>
  <c r="C108" i="34"/>
  <c r="C122" i="34"/>
  <c r="C111" i="34"/>
  <c r="C12" i="34"/>
  <c r="C86" i="34"/>
  <c r="E134" i="34"/>
  <c r="F134" i="34" s="1"/>
  <c r="H134" i="34"/>
  <c r="I134" i="34" s="1"/>
  <c r="C133" i="34"/>
  <c r="E60" i="34"/>
  <c r="F60" i="34" s="1"/>
  <c r="H60" i="34"/>
  <c r="I60" i="34" s="1"/>
  <c r="H57" i="34"/>
  <c r="I57" i="34" s="1"/>
  <c r="E57" i="34"/>
  <c r="F57" i="34" s="1"/>
  <c r="E64" i="29"/>
  <c r="F64" i="29" s="1"/>
  <c r="C64" i="34"/>
  <c r="E58" i="29"/>
  <c r="F58" i="29" s="1"/>
  <c r="C58" i="34"/>
  <c r="E51" i="29"/>
  <c r="F51" i="29" s="1"/>
  <c r="C51" i="34"/>
  <c r="H25" i="34"/>
  <c r="I25" i="34" s="1"/>
  <c r="E25" i="34"/>
  <c r="F25" i="34" s="1"/>
  <c r="C35" i="34"/>
  <c r="C91" i="34"/>
  <c r="C38" i="34"/>
  <c r="C126" i="34"/>
  <c r="E131" i="18"/>
  <c r="F131" i="18" s="1"/>
  <c r="H9" i="30"/>
  <c r="I9" i="30" s="1"/>
  <c r="H125" i="18"/>
  <c r="I125" i="18" s="1"/>
  <c r="H48" i="29"/>
  <c r="I48" i="29" s="1"/>
  <c r="E40" i="30"/>
  <c r="F40" i="30" s="1"/>
  <c r="H51" i="29"/>
  <c r="I51" i="29" s="1"/>
  <c r="H58" i="29"/>
  <c r="I58" i="29" s="1"/>
  <c r="E48" i="29"/>
  <c r="F48" i="29" s="1"/>
  <c r="H11" i="30"/>
  <c r="I11" i="30" s="1"/>
  <c r="E50" i="30"/>
  <c r="F50" i="30" s="1"/>
  <c r="H132" i="18"/>
  <c r="I132" i="18" s="1"/>
  <c r="E80" i="30"/>
  <c r="F80" i="30" s="1"/>
  <c r="E110" i="29"/>
  <c r="F110" i="29" s="1"/>
  <c r="H128" i="30"/>
  <c r="I128" i="30" s="1"/>
  <c r="H111" i="30"/>
  <c r="I111" i="30" s="1"/>
  <c r="E131" i="1"/>
  <c r="F131" i="1" s="1"/>
  <c r="E65" i="29"/>
  <c r="F65" i="29" s="1"/>
  <c r="E131" i="29"/>
  <c r="F131" i="29" s="1"/>
  <c r="H133" i="30"/>
  <c r="I133" i="30" s="1"/>
  <c r="H28" i="30"/>
  <c r="I28" i="30" s="1"/>
  <c r="E71" i="30"/>
  <c r="F71" i="30" s="1"/>
  <c r="H64" i="29"/>
  <c r="I64" i="29" s="1"/>
  <c r="H92" i="30"/>
  <c r="I92" i="30" s="1"/>
  <c r="H111" i="29"/>
  <c r="I111" i="29" s="1"/>
  <c r="E91" i="29"/>
  <c r="F91" i="29" s="1"/>
  <c r="H51" i="30"/>
  <c r="I51" i="30" s="1"/>
  <c r="E33" i="30"/>
  <c r="F33" i="30" s="1"/>
  <c r="H52" i="30"/>
  <c r="I52" i="30" s="1"/>
  <c r="H33" i="30"/>
  <c r="I33" i="30" s="1"/>
  <c r="E57" i="30"/>
  <c r="F57" i="30" s="1"/>
  <c r="E95" i="30"/>
  <c r="F95" i="30" s="1"/>
  <c r="E126" i="18"/>
  <c r="F126" i="18" s="1"/>
  <c r="E11" i="30"/>
  <c r="F11" i="30" s="1"/>
  <c r="H103" i="30"/>
  <c r="I103" i="30" s="1"/>
  <c r="E103" i="30"/>
  <c r="F103" i="30" s="1"/>
  <c r="H38" i="30"/>
  <c r="I38" i="30" s="1"/>
  <c r="E31" i="30"/>
  <c r="F31" i="30" s="1"/>
  <c r="E49" i="29"/>
  <c r="F49" i="29" s="1"/>
  <c r="H31" i="30"/>
  <c r="I31" i="30" s="1"/>
  <c r="H49" i="29"/>
  <c r="I49" i="29" s="1"/>
  <c r="H116" i="30"/>
  <c r="I116" i="30" s="1"/>
  <c r="E109" i="29"/>
  <c r="F109" i="29" s="1"/>
  <c r="E76" i="30"/>
  <c r="F76" i="30" s="1"/>
  <c r="E56" i="30"/>
  <c r="F56" i="30" s="1"/>
  <c r="H113" i="29"/>
  <c r="I113" i="29" s="1"/>
  <c r="H35" i="30"/>
  <c r="I35" i="30" s="1"/>
  <c r="E73" i="29"/>
  <c r="F73" i="29" s="1"/>
  <c r="E125" i="30"/>
  <c r="F125" i="30" s="1"/>
  <c r="E53" i="29"/>
  <c r="F53" i="29" s="1"/>
  <c r="C137" i="18"/>
  <c r="H137" i="18" s="1"/>
  <c r="I137" i="18" s="1"/>
  <c r="E105" i="29"/>
  <c r="F105" i="29" s="1"/>
  <c r="H127" i="29"/>
  <c r="I127" i="29" s="1"/>
  <c r="E115" i="18"/>
  <c r="F115" i="18" s="1"/>
  <c r="H108" i="29"/>
  <c r="I108" i="29" s="1"/>
  <c r="E39" i="30"/>
  <c r="F39" i="30" s="1"/>
  <c r="E76" i="29"/>
  <c r="F76" i="29" s="1"/>
  <c r="H12" i="30"/>
  <c r="I12" i="30" s="1"/>
  <c r="H29" i="30"/>
  <c r="I29" i="30" s="1"/>
  <c r="E125" i="29"/>
  <c r="F125" i="29" s="1"/>
  <c r="E86" i="29"/>
  <c r="F86" i="29" s="1"/>
  <c r="H70" i="30"/>
  <c r="I70" i="30" s="1"/>
  <c r="E82" i="29"/>
  <c r="F82" i="29" s="1"/>
  <c r="E89" i="29"/>
  <c r="F89" i="29" s="1"/>
  <c r="E79" i="30"/>
  <c r="F79" i="30" s="1"/>
  <c r="H136" i="30"/>
  <c r="I136" i="30" s="1"/>
  <c r="H132" i="30"/>
  <c r="I132" i="30" s="1"/>
  <c r="H122" i="18"/>
  <c r="I122" i="18" s="1"/>
  <c r="E63" i="30"/>
  <c r="F63" i="30" s="1"/>
  <c r="E37" i="30"/>
  <c r="F37" i="30" s="1"/>
  <c r="E131" i="30"/>
  <c r="F131" i="30" s="1"/>
  <c r="E137" i="33"/>
  <c r="F137" i="33" s="1"/>
  <c r="E133" i="18"/>
  <c r="F133" i="18" s="1"/>
  <c r="H104" i="30"/>
  <c r="I104" i="30" s="1"/>
  <c r="E81" i="30"/>
  <c r="F81" i="30" s="1"/>
  <c r="E134" i="29"/>
  <c r="F134" i="29" s="1"/>
  <c r="H113" i="30"/>
  <c r="I113" i="30" s="1"/>
  <c r="E135" i="30"/>
  <c r="F135" i="30" s="1"/>
  <c r="H58" i="30"/>
  <c r="I58" i="30" s="1"/>
  <c r="H3" i="18"/>
  <c r="I3" i="18" s="1"/>
  <c r="H74" i="29"/>
  <c r="I74" i="29" s="1"/>
  <c r="H90" i="30"/>
  <c r="I90" i="30" s="1"/>
  <c r="H88" i="29"/>
  <c r="I88" i="29" s="1"/>
  <c r="H90" i="29"/>
  <c r="I90" i="29" s="1"/>
  <c r="H78" i="29"/>
  <c r="I78" i="29" s="1"/>
  <c r="E97" i="30"/>
  <c r="F97" i="30" s="1"/>
  <c r="H136" i="1"/>
  <c r="I136" i="1" s="1"/>
  <c r="E135" i="18"/>
  <c r="F135" i="18" s="1"/>
  <c r="E88" i="29"/>
  <c r="F88" i="29" s="1"/>
  <c r="E90" i="29"/>
  <c r="F90" i="29" s="1"/>
  <c r="E8" i="30"/>
  <c r="F8" i="30" s="1"/>
  <c r="E83" i="30"/>
  <c r="F83" i="30" s="1"/>
  <c r="E118" i="30"/>
  <c r="F118" i="30" s="1"/>
  <c r="E63" i="29"/>
  <c r="F63" i="29" s="1"/>
  <c r="E129" i="30"/>
  <c r="F129" i="30" s="1"/>
  <c r="H129" i="29"/>
  <c r="I129" i="29" s="1"/>
  <c r="H60" i="30"/>
  <c r="I60" i="30" s="1"/>
  <c r="H105" i="30"/>
  <c r="I105" i="30" s="1"/>
  <c r="E105" i="30"/>
  <c r="F105" i="30" s="1"/>
  <c r="H70" i="29"/>
  <c r="I70" i="29" s="1"/>
  <c r="E93" i="30"/>
  <c r="F93" i="30" s="1"/>
  <c r="H93" i="30"/>
  <c r="I93" i="30" s="1"/>
  <c r="E109" i="30"/>
  <c r="F109" i="30" s="1"/>
  <c r="H109" i="30"/>
  <c r="I109" i="30" s="1"/>
  <c r="E55" i="29"/>
  <c r="F55" i="29" s="1"/>
  <c r="E70" i="29"/>
  <c r="F70" i="29" s="1"/>
  <c r="E116" i="29"/>
  <c r="F116" i="29" s="1"/>
  <c r="E112" i="30"/>
  <c r="F112" i="30" s="1"/>
  <c r="H112" i="30"/>
  <c r="I112" i="30" s="1"/>
  <c r="E99" i="30"/>
  <c r="F99" i="30" s="1"/>
  <c r="H99" i="30"/>
  <c r="I99" i="30" s="1"/>
  <c r="E36" i="30"/>
  <c r="F36" i="30" s="1"/>
  <c r="H36" i="30"/>
  <c r="I36" i="30" s="1"/>
  <c r="H32" i="30"/>
  <c r="I32" i="30" s="1"/>
  <c r="E32" i="30"/>
  <c r="F32" i="30" s="1"/>
  <c r="H123" i="30"/>
  <c r="I123" i="30" s="1"/>
  <c r="E123" i="30"/>
  <c r="F123" i="30" s="1"/>
  <c r="E61" i="30"/>
  <c r="F61" i="30" s="1"/>
  <c r="H61" i="30"/>
  <c r="I61" i="30" s="1"/>
  <c r="H7" i="30"/>
  <c r="I7" i="30" s="1"/>
  <c r="E7" i="30"/>
  <c r="F7" i="30" s="1"/>
  <c r="H72" i="30"/>
  <c r="I72" i="30" s="1"/>
  <c r="E72" i="30"/>
  <c r="F72" i="30" s="1"/>
  <c r="E68" i="30"/>
  <c r="F68" i="30" s="1"/>
  <c r="H68" i="30"/>
  <c r="I68" i="30" s="1"/>
  <c r="H126" i="30"/>
  <c r="I126" i="30" s="1"/>
  <c r="E126" i="30"/>
  <c r="F126" i="30" s="1"/>
  <c r="E119" i="30"/>
  <c r="F119" i="30" s="1"/>
  <c r="H119" i="30"/>
  <c r="I119" i="30" s="1"/>
  <c r="H96" i="30"/>
  <c r="I96" i="30" s="1"/>
  <c r="E96" i="30"/>
  <c r="F96" i="30" s="1"/>
  <c r="E10" i="30"/>
  <c r="F10" i="30" s="1"/>
  <c r="H10" i="30"/>
  <c r="I10" i="30" s="1"/>
  <c r="E78" i="30"/>
  <c r="F78" i="30" s="1"/>
  <c r="H78" i="30"/>
  <c r="I78" i="30" s="1"/>
  <c r="E13" i="30"/>
  <c r="F13" i="30" s="1"/>
  <c r="H13" i="30"/>
  <c r="I13" i="30" s="1"/>
  <c r="H122" i="30"/>
  <c r="I122" i="30" s="1"/>
  <c r="E122" i="30"/>
  <c r="F122" i="30" s="1"/>
  <c r="H130" i="30"/>
  <c r="I130" i="30" s="1"/>
  <c r="E130" i="30"/>
  <c r="F130" i="30" s="1"/>
  <c r="E34" i="30"/>
  <c r="F34" i="30" s="1"/>
  <c r="H34" i="30"/>
  <c r="I34" i="30" s="1"/>
  <c r="E66" i="30"/>
  <c r="F66" i="30" s="1"/>
  <c r="H66" i="30"/>
  <c r="I66" i="30" s="1"/>
  <c r="E110" i="30"/>
  <c r="F110" i="30" s="1"/>
  <c r="H110" i="30"/>
  <c r="I110" i="30" s="1"/>
  <c r="H135" i="1"/>
  <c r="I135" i="1" s="1"/>
  <c r="E118" i="18"/>
  <c r="F118" i="18" s="1"/>
  <c r="E100" i="30"/>
  <c r="F100" i="30" s="1"/>
  <c r="H100" i="30"/>
  <c r="I100" i="30" s="1"/>
  <c r="H64" i="30"/>
  <c r="I64" i="30" s="1"/>
  <c r="E64" i="30"/>
  <c r="F64" i="30" s="1"/>
  <c r="E91" i="30"/>
  <c r="F91" i="30" s="1"/>
  <c r="H91" i="30"/>
  <c r="I91" i="30" s="1"/>
  <c r="E108" i="30"/>
  <c r="F108" i="30" s="1"/>
  <c r="H108" i="30"/>
  <c r="I108" i="30" s="1"/>
  <c r="E117" i="30"/>
  <c r="F117" i="30" s="1"/>
  <c r="H117" i="30"/>
  <c r="I117" i="30" s="1"/>
  <c r="H73" i="30"/>
  <c r="I73" i="30" s="1"/>
  <c r="E73" i="30"/>
  <c r="F73" i="30" s="1"/>
  <c r="E77" i="30"/>
  <c r="F77" i="30" s="1"/>
  <c r="H77" i="30"/>
  <c r="I77" i="30" s="1"/>
  <c r="H41" i="30"/>
  <c r="I41" i="30" s="1"/>
  <c r="E41" i="30"/>
  <c r="F41" i="30" s="1"/>
  <c r="E98" i="30"/>
  <c r="F98" i="30" s="1"/>
  <c r="H98" i="30"/>
  <c r="I98" i="30" s="1"/>
  <c r="E102" i="30"/>
  <c r="F102" i="30" s="1"/>
  <c r="H102" i="30"/>
  <c r="I102" i="30" s="1"/>
  <c r="E101" i="30"/>
  <c r="F101" i="30" s="1"/>
  <c r="H101" i="30"/>
  <c r="I101" i="30" s="1"/>
  <c r="E59" i="30"/>
  <c r="F59" i="30" s="1"/>
  <c r="H59" i="30"/>
  <c r="I59" i="30" s="1"/>
  <c r="H114" i="30"/>
  <c r="I114" i="30" s="1"/>
  <c r="E114" i="30"/>
  <c r="F114" i="30" s="1"/>
  <c r="E134" i="30"/>
  <c r="F134" i="30" s="1"/>
  <c r="H134" i="30"/>
  <c r="I134" i="30" s="1"/>
  <c r="H47" i="30"/>
  <c r="I47" i="30" s="1"/>
  <c r="E47" i="30"/>
  <c r="F47" i="30" s="1"/>
  <c r="E94" i="30"/>
  <c r="F94" i="30" s="1"/>
  <c r="H94" i="30"/>
  <c r="I94" i="30" s="1"/>
  <c r="H59" i="29"/>
  <c r="I59" i="29" s="1"/>
  <c r="E5" i="30"/>
  <c r="F5" i="30" s="1"/>
  <c r="H5" i="30"/>
  <c r="I5" i="30" s="1"/>
  <c r="E54" i="30"/>
  <c r="F54" i="30" s="1"/>
  <c r="H54" i="30"/>
  <c r="I54" i="30" s="1"/>
  <c r="E27" i="30"/>
  <c r="F27" i="30" s="1"/>
  <c r="H27" i="30"/>
  <c r="I27" i="30" s="1"/>
  <c r="E75" i="30"/>
  <c r="F75" i="30" s="1"/>
  <c r="H75" i="30"/>
  <c r="I75" i="30" s="1"/>
  <c r="E127" i="30"/>
  <c r="F127" i="30" s="1"/>
  <c r="H127" i="30"/>
  <c r="I127" i="30" s="1"/>
  <c r="H24" i="30"/>
  <c r="I24" i="30" s="1"/>
  <c r="E24" i="30"/>
  <c r="F24" i="30" s="1"/>
  <c r="E120" i="30"/>
  <c r="F120" i="30" s="1"/>
  <c r="H120" i="30"/>
  <c r="I120" i="30" s="1"/>
  <c r="H55" i="30"/>
  <c r="I55" i="30" s="1"/>
  <c r="E55" i="30"/>
  <c r="F55" i="30" s="1"/>
  <c r="H106" i="30"/>
  <c r="I106" i="30" s="1"/>
  <c r="E106" i="30"/>
  <c r="F106" i="30" s="1"/>
  <c r="E121" i="30"/>
  <c r="F121" i="30" s="1"/>
  <c r="H121" i="30"/>
  <c r="I121" i="30" s="1"/>
  <c r="H107" i="30"/>
  <c r="I107" i="30" s="1"/>
  <c r="E107" i="30"/>
  <c r="F107" i="30" s="1"/>
  <c r="E74" i="30"/>
  <c r="F74" i="30" s="1"/>
  <c r="H74" i="30"/>
  <c r="I74" i="30" s="1"/>
  <c r="E30" i="30"/>
  <c r="F30" i="30" s="1"/>
  <c r="H30" i="30"/>
  <c r="I30" i="30" s="1"/>
  <c r="E62" i="30"/>
  <c r="F62" i="30" s="1"/>
  <c r="H62" i="30"/>
  <c r="I62" i="30" s="1"/>
  <c r="E4" i="30"/>
  <c r="F4" i="30" s="1"/>
  <c r="H4" i="30"/>
  <c r="I4" i="30" s="1"/>
  <c r="H65" i="30"/>
  <c r="I65" i="30" s="1"/>
  <c r="E65" i="30"/>
  <c r="F65" i="30" s="1"/>
  <c r="H115" i="30"/>
  <c r="I115" i="30" s="1"/>
  <c r="E115" i="30"/>
  <c r="F115" i="30" s="1"/>
  <c r="E69" i="30"/>
  <c r="F69" i="30" s="1"/>
  <c r="H69" i="30"/>
  <c r="I69" i="30" s="1"/>
  <c r="E124" i="30"/>
  <c r="F124" i="30" s="1"/>
  <c r="H124" i="30"/>
  <c r="I124" i="30" s="1"/>
  <c r="E6" i="30"/>
  <c r="F6" i="30" s="1"/>
  <c r="H6" i="30"/>
  <c r="I6" i="30" s="1"/>
  <c r="E67" i="30"/>
  <c r="F67" i="30" s="1"/>
  <c r="H67" i="30"/>
  <c r="I67" i="30" s="1"/>
  <c r="E121" i="29"/>
  <c r="F121" i="29" s="1"/>
  <c r="H121" i="29"/>
  <c r="I121" i="29" s="1"/>
  <c r="E54" i="29"/>
  <c r="F54" i="29" s="1"/>
  <c r="H54" i="29"/>
  <c r="I54" i="29" s="1"/>
  <c r="E94" i="29"/>
  <c r="F94" i="29" s="1"/>
  <c r="H94" i="29"/>
  <c r="I94" i="29" s="1"/>
  <c r="E115" i="29"/>
  <c r="F115" i="29" s="1"/>
  <c r="H115" i="29"/>
  <c r="I115" i="29" s="1"/>
  <c r="E114" i="29"/>
  <c r="F114" i="29" s="1"/>
  <c r="H114" i="29"/>
  <c r="I114" i="29" s="1"/>
  <c r="E99" i="29"/>
  <c r="F99" i="29" s="1"/>
  <c r="H99" i="29"/>
  <c r="I99" i="29" s="1"/>
  <c r="E106" i="29"/>
  <c r="F106" i="29" s="1"/>
  <c r="H106" i="29"/>
  <c r="I106" i="29" s="1"/>
  <c r="E56" i="29"/>
  <c r="F56" i="29" s="1"/>
  <c r="H56" i="29"/>
  <c r="I56" i="29" s="1"/>
  <c r="E37" i="29"/>
  <c r="F37" i="29" s="1"/>
  <c r="H37" i="29"/>
  <c r="I37" i="29" s="1"/>
  <c r="H87" i="29"/>
  <c r="I87" i="29" s="1"/>
  <c r="E87" i="29"/>
  <c r="F87" i="29" s="1"/>
  <c r="E84" i="29"/>
  <c r="F84" i="29" s="1"/>
  <c r="H84" i="29"/>
  <c r="I84" i="29" s="1"/>
  <c r="E83" i="29"/>
  <c r="F83" i="29" s="1"/>
  <c r="H83" i="29"/>
  <c r="I83" i="29" s="1"/>
  <c r="E136" i="29"/>
  <c r="F136" i="29" s="1"/>
  <c r="H136" i="29"/>
  <c r="I136" i="29" s="1"/>
  <c r="E52" i="29"/>
  <c r="F52" i="29" s="1"/>
  <c r="H52" i="29"/>
  <c r="I52" i="29" s="1"/>
  <c r="E92" i="29"/>
  <c r="F92" i="29" s="1"/>
  <c r="H92" i="29"/>
  <c r="I92" i="29" s="1"/>
  <c r="H41" i="29"/>
  <c r="I41" i="29" s="1"/>
  <c r="E41" i="29"/>
  <c r="F41" i="29" s="1"/>
  <c r="E104" i="29"/>
  <c r="F104" i="29" s="1"/>
  <c r="H104" i="29"/>
  <c r="I104" i="29" s="1"/>
  <c r="E128" i="29"/>
  <c r="F128" i="29" s="1"/>
  <c r="H128" i="29"/>
  <c r="I128" i="29" s="1"/>
  <c r="H61" i="29"/>
  <c r="I61" i="29" s="1"/>
  <c r="E61" i="29"/>
  <c r="F61" i="29" s="1"/>
  <c r="H101" i="29"/>
  <c r="I101" i="29" s="1"/>
  <c r="E101" i="29"/>
  <c r="F101" i="29" s="1"/>
  <c r="H126" i="29"/>
  <c r="I126" i="29" s="1"/>
  <c r="E126" i="29"/>
  <c r="F126" i="29" s="1"/>
  <c r="E72" i="29"/>
  <c r="F72" i="29" s="1"/>
  <c r="H72" i="29"/>
  <c r="I72" i="29" s="1"/>
  <c r="H79" i="29"/>
  <c r="I79" i="29" s="1"/>
  <c r="E79" i="29"/>
  <c r="F79" i="29" s="1"/>
  <c r="E120" i="29"/>
  <c r="F120" i="29" s="1"/>
  <c r="H120" i="29"/>
  <c r="I120" i="29" s="1"/>
  <c r="H124" i="29"/>
  <c r="I124" i="29" s="1"/>
  <c r="E124" i="29"/>
  <c r="F124" i="29" s="1"/>
  <c r="H85" i="29"/>
  <c r="I85" i="29" s="1"/>
  <c r="E85" i="29"/>
  <c r="F85" i="29" s="1"/>
  <c r="E62" i="29"/>
  <c r="F62" i="29" s="1"/>
  <c r="H62" i="29"/>
  <c r="I62" i="29" s="1"/>
  <c r="E50" i="29"/>
  <c r="F50" i="29" s="1"/>
  <c r="H50" i="29"/>
  <c r="I50" i="29" s="1"/>
  <c r="H69" i="29"/>
  <c r="I69" i="29" s="1"/>
  <c r="E69" i="29"/>
  <c r="F69" i="29" s="1"/>
  <c r="E135" i="29"/>
  <c r="F135" i="29" s="1"/>
  <c r="H135" i="29"/>
  <c r="I135" i="29" s="1"/>
  <c r="E122" i="29"/>
  <c r="F122" i="29" s="1"/>
  <c r="H122" i="29"/>
  <c r="I122" i="29" s="1"/>
  <c r="E130" i="29"/>
  <c r="F130" i="29" s="1"/>
  <c r="H130" i="29"/>
  <c r="I130" i="29" s="1"/>
  <c r="H117" i="29"/>
  <c r="I117" i="29" s="1"/>
  <c r="E117" i="29"/>
  <c r="F117" i="29" s="1"/>
  <c r="E96" i="29"/>
  <c r="F96" i="29" s="1"/>
  <c r="H96" i="29"/>
  <c r="I96" i="29" s="1"/>
  <c r="E103" i="29"/>
  <c r="F103" i="29" s="1"/>
  <c r="H103" i="29"/>
  <c r="I103" i="29" s="1"/>
  <c r="H119" i="29"/>
  <c r="I119" i="29" s="1"/>
  <c r="E119" i="29"/>
  <c r="F119" i="29" s="1"/>
  <c r="E80" i="29"/>
  <c r="F80" i="29" s="1"/>
  <c r="H80" i="29"/>
  <c r="I80" i="29" s="1"/>
  <c r="E98" i="29"/>
  <c r="F98" i="29" s="1"/>
  <c r="H98" i="29"/>
  <c r="I98" i="29" s="1"/>
  <c r="H57" i="29"/>
  <c r="I57" i="29" s="1"/>
  <c r="E57" i="29"/>
  <c r="F57" i="29" s="1"/>
  <c r="H39" i="29"/>
  <c r="I39" i="29" s="1"/>
  <c r="E39" i="29"/>
  <c r="F39" i="29" s="1"/>
  <c r="E60" i="29"/>
  <c r="F60" i="29" s="1"/>
  <c r="H60" i="29"/>
  <c r="I60" i="29" s="1"/>
  <c r="H77" i="29"/>
  <c r="I77" i="29" s="1"/>
  <c r="E77" i="29"/>
  <c r="F77" i="29" s="1"/>
  <c r="H40" i="29"/>
  <c r="I40" i="29" s="1"/>
  <c r="E40" i="29"/>
  <c r="F40" i="29" s="1"/>
  <c r="E68" i="29"/>
  <c r="F68" i="29" s="1"/>
  <c r="H68" i="29"/>
  <c r="I68" i="29" s="1"/>
  <c r="H102" i="29"/>
  <c r="I102" i="29" s="1"/>
  <c r="E102" i="29"/>
  <c r="F102" i="29" s="1"/>
  <c r="H97" i="29"/>
  <c r="I97" i="29" s="1"/>
  <c r="E97" i="29"/>
  <c r="F97" i="29" s="1"/>
  <c r="E75" i="29"/>
  <c r="F75" i="29" s="1"/>
  <c r="H75" i="29"/>
  <c r="I75" i="29" s="1"/>
  <c r="H133" i="29"/>
  <c r="I133" i="29" s="1"/>
  <c r="E133" i="29"/>
  <c r="F133" i="29" s="1"/>
  <c r="H81" i="29"/>
  <c r="I81" i="29" s="1"/>
  <c r="E81" i="29"/>
  <c r="F81" i="29" s="1"/>
  <c r="H132" i="29"/>
  <c r="I132" i="29" s="1"/>
  <c r="E132" i="29"/>
  <c r="F132" i="29" s="1"/>
  <c r="E123" i="29"/>
  <c r="F123" i="29" s="1"/>
  <c r="H123" i="29"/>
  <c r="I123" i="29" s="1"/>
  <c r="E107" i="29"/>
  <c r="F107" i="29" s="1"/>
  <c r="H107" i="29"/>
  <c r="I107" i="29" s="1"/>
  <c r="H118" i="29"/>
  <c r="I118" i="29" s="1"/>
  <c r="E118" i="29"/>
  <c r="F118" i="29" s="1"/>
  <c r="E100" i="29"/>
  <c r="F100" i="29" s="1"/>
  <c r="H100" i="29"/>
  <c r="I100" i="29" s="1"/>
  <c r="E67" i="29"/>
  <c r="F67" i="29" s="1"/>
  <c r="H67" i="29"/>
  <c r="I67" i="29" s="1"/>
  <c r="H71" i="29"/>
  <c r="I71" i="29" s="1"/>
  <c r="E71" i="29"/>
  <c r="F71" i="29" s="1"/>
  <c r="E66" i="29"/>
  <c r="F66" i="29" s="1"/>
  <c r="H66" i="29"/>
  <c r="I66" i="29" s="1"/>
  <c r="H95" i="29"/>
  <c r="I95" i="29" s="1"/>
  <c r="E95" i="29"/>
  <c r="F95" i="29" s="1"/>
  <c r="H93" i="29"/>
  <c r="I93" i="29" s="1"/>
  <c r="E93" i="29"/>
  <c r="F93" i="29" s="1"/>
  <c r="E112" i="29"/>
  <c r="F112" i="29" s="1"/>
  <c r="H112" i="29"/>
  <c r="I112" i="29" s="1"/>
  <c r="H120" i="18"/>
  <c r="I120" i="18" s="1"/>
  <c r="E120" i="18"/>
  <c r="F120" i="18" s="1"/>
  <c r="H128" i="18"/>
  <c r="I128" i="18" s="1"/>
  <c r="E128" i="18"/>
  <c r="F128" i="18" s="1"/>
  <c r="H117" i="18"/>
  <c r="I117" i="18" s="1"/>
  <c r="E117" i="18"/>
  <c r="F117" i="18" s="1"/>
  <c r="H136" i="18"/>
  <c r="I136" i="18" s="1"/>
  <c r="E136" i="18"/>
  <c r="F136" i="18" s="1"/>
  <c r="E121" i="18"/>
  <c r="F121" i="18" s="1"/>
  <c r="H121" i="18"/>
  <c r="I121" i="18" s="1"/>
  <c r="E130" i="18"/>
  <c r="F130" i="18" s="1"/>
  <c r="H130" i="18"/>
  <c r="I130" i="18" s="1"/>
  <c r="E129" i="18"/>
  <c r="F129" i="18" s="1"/>
  <c r="H129" i="18"/>
  <c r="I129" i="18" s="1"/>
  <c r="H119" i="18"/>
  <c r="I119" i="18" s="1"/>
  <c r="E119" i="18"/>
  <c r="F119" i="18" s="1"/>
  <c r="E123" i="18"/>
  <c r="F123" i="18" s="1"/>
  <c r="H123" i="18"/>
  <c r="I123" i="18" s="1"/>
  <c r="H127" i="18"/>
  <c r="I127" i="18" s="1"/>
  <c r="E127" i="18"/>
  <c r="F127" i="18" s="1"/>
  <c r="H134" i="18"/>
  <c r="I134" i="18" s="1"/>
  <c r="E134" i="18"/>
  <c r="F134" i="18" s="1"/>
  <c r="H4" i="1"/>
  <c r="I4" i="1" s="1"/>
  <c r="H130" i="1"/>
  <c r="I130" i="1" s="1"/>
  <c r="E130" i="1"/>
  <c r="F130" i="1" s="1"/>
  <c r="E134" i="1"/>
  <c r="F134" i="1" s="1"/>
  <c r="H134" i="1"/>
  <c r="I134" i="1" s="1"/>
  <c r="E133" i="1"/>
  <c r="F133" i="1" s="1"/>
  <c r="H133" i="1"/>
  <c r="I133" i="1" s="1"/>
  <c r="H129" i="1"/>
  <c r="I129" i="1" s="1"/>
  <c r="E129" i="1"/>
  <c r="F129" i="1" s="1"/>
  <c r="H137" i="32"/>
  <c r="I137" i="32" s="1"/>
  <c r="C3" i="34"/>
  <c r="H3" i="34" s="1"/>
  <c r="I3" i="34" s="1"/>
  <c r="E3" i="30"/>
  <c r="F3" i="30" s="1"/>
  <c r="C137" i="30"/>
  <c r="E137" i="30" s="1"/>
  <c r="F137" i="30" s="1"/>
  <c r="H137" i="3"/>
  <c r="I137" i="3" s="1"/>
  <c r="E137" i="1"/>
  <c r="F137" i="1" s="1"/>
  <c r="E3" i="1"/>
  <c r="F3" i="1" s="1"/>
  <c r="G137" i="34"/>
  <c r="D137" i="34"/>
  <c r="E137" i="27"/>
  <c r="F137" i="27" s="1"/>
  <c r="H137" i="31"/>
  <c r="I137" i="31" s="1"/>
  <c r="H137" i="26"/>
  <c r="I137" i="26" s="1"/>
  <c r="C137" i="29"/>
  <c r="H137" i="29" s="1"/>
  <c r="I137" i="29" s="1"/>
  <c r="E3" i="29"/>
  <c r="F3" i="29" s="1"/>
  <c r="H137" i="28"/>
  <c r="I137" i="28" s="1"/>
  <c r="E12" i="34" l="1"/>
  <c r="F12" i="34" s="1"/>
  <c r="H12" i="34"/>
  <c r="I12" i="34" s="1"/>
  <c r="H118" i="34"/>
  <c r="I118" i="34" s="1"/>
  <c r="E118" i="34"/>
  <c r="F118" i="34" s="1"/>
  <c r="H73" i="34"/>
  <c r="I73" i="34" s="1"/>
  <c r="E73" i="34"/>
  <c r="F73" i="34" s="1"/>
  <c r="H55" i="34"/>
  <c r="I55" i="34" s="1"/>
  <c r="E55" i="34"/>
  <c r="F55" i="34" s="1"/>
  <c r="H65" i="34"/>
  <c r="I65" i="34" s="1"/>
  <c r="E65" i="34"/>
  <c r="F65" i="34" s="1"/>
  <c r="E111" i="34"/>
  <c r="F111" i="34" s="1"/>
  <c r="H111" i="34"/>
  <c r="I111" i="34" s="1"/>
  <c r="E62" i="34"/>
  <c r="F62" i="34" s="1"/>
  <c r="H62" i="34"/>
  <c r="I62" i="34" s="1"/>
  <c r="E136" i="34"/>
  <c r="F136" i="34" s="1"/>
  <c r="H136" i="34"/>
  <c r="I136" i="34" s="1"/>
  <c r="E29" i="34"/>
  <c r="F29" i="34" s="1"/>
  <c r="H29" i="34"/>
  <c r="I29" i="34" s="1"/>
  <c r="H132" i="34"/>
  <c r="I132" i="34" s="1"/>
  <c r="E132" i="34"/>
  <c r="F132" i="34" s="1"/>
  <c r="E51" i="34"/>
  <c r="F51" i="34" s="1"/>
  <c r="H51" i="34"/>
  <c r="I51" i="34" s="1"/>
  <c r="H122" i="34"/>
  <c r="I122" i="34" s="1"/>
  <c r="E122" i="34"/>
  <c r="F122" i="34" s="1"/>
  <c r="E82" i="34"/>
  <c r="F82" i="34" s="1"/>
  <c r="H82" i="34"/>
  <c r="I82" i="34" s="1"/>
  <c r="H89" i="34"/>
  <c r="I89" i="34" s="1"/>
  <c r="E89" i="34"/>
  <c r="F89" i="34" s="1"/>
  <c r="H63" i="34"/>
  <c r="I63" i="34" s="1"/>
  <c r="E63" i="34"/>
  <c r="F63" i="34" s="1"/>
  <c r="E59" i="34"/>
  <c r="F59" i="34" s="1"/>
  <c r="H59" i="34"/>
  <c r="I59" i="34" s="1"/>
  <c r="H108" i="34"/>
  <c r="I108" i="34" s="1"/>
  <c r="E108" i="34"/>
  <c r="F108" i="34" s="1"/>
  <c r="H125" i="34"/>
  <c r="I125" i="34" s="1"/>
  <c r="E125" i="34"/>
  <c r="F125" i="34" s="1"/>
  <c r="E83" i="34"/>
  <c r="F83" i="34" s="1"/>
  <c r="H83" i="34"/>
  <c r="I83" i="34" s="1"/>
  <c r="H81" i="34"/>
  <c r="I81" i="34" s="1"/>
  <c r="E81" i="34"/>
  <c r="F81" i="34" s="1"/>
  <c r="E105" i="34"/>
  <c r="F105" i="34" s="1"/>
  <c r="H105" i="34"/>
  <c r="I105" i="34" s="1"/>
  <c r="E126" i="34"/>
  <c r="F126" i="34" s="1"/>
  <c r="H126" i="34"/>
  <c r="I126" i="34" s="1"/>
  <c r="E58" i="34"/>
  <c r="F58" i="34" s="1"/>
  <c r="H58" i="34"/>
  <c r="I58" i="34" s="1"/>
  <c r="E133" i="34"/>
  <c r="F133" i="34" s="1"/>
  <c r="H133" i="34"/>
  <c r="I133" i="34" s="1"/>
  <c r="E113" i="34"/>
  <c r="F113" i="34" s="1"/>
  <c r="H113" i="34"/>
  <c r="I113" i="34" s="1"/>
  <c r="H40" i="34"/>
  <c r="I40" i="34" s="1"/>
  <c r="E40" i="34"/>
  <c r="F40" i="34" s="1"/>
  <c r="E110" i="34"/>
  <c r="F110" i="34" s="1"/>
  <c r="H110" i="34"/>
  <c r="I110" i="34" s="1"/>
  <c r="H41" i="34"/>
  <c r="I41" i="34" s="1"/>
  <c r="E41" i="34"/>
  <c r="F41" i="34" s="1"/>
  <c r="E78" i="34"/>
  <c r="F78" i="34" s="1"/>
  <c r="H78" i="34"/>
  <c r="I78" i="34" s="1"/>
  <c r="E38" i="34"/>
  <c r="F38" i="34" s="1"/>
  <c r="H38" i="34"/>
  <c r="I38" i="34" s="1"/>
  <c r="E135" i="34"/>
  <c r="F135" i="34" s="1"/>
  <c r="H135" i="34"/>
  <c r="I135" i="34" s="1"/>
  <c r="E74" i="34"/>
  <c r="F74" i="34" s="1"/>
  <c r="H74" i="34"/>
  <c r="I74" i="34" s="1"/>
  <c r="E4" i="34"/>
  <c r="F4" i="34" s="1"/>
  <c r="H4" i="34"/>
  <c r="I4" i="34" s="1"/>
  <c r="H116" i="34"/>
  <c r="I116" i="34" s="1"/>
  <c r="E116" i="34"/>
  <c r="F116" i="34" s="1"/>
  <c r="E91" i="34"/>
  <c r="F91" i="34" s="1"/>
  <c r="H91" i="34"/>
  <c r="I91" i="34" s="1"/>
  <c r="H64" i="34"/>
  <c r="I64" i="34" s="1"/>
  <c r="E64" i="34"/>
  <c r="F64" i="34" s="1"/>
  <c r="H131" i="34"/>
  <c r="I131" i="34" s="1"/>
  <c r="E131" i="34"/>
  <c r="F131" i="34" s="1"/>
  <c r="E28" i="34"/>
  <c r="F28" i="34" s="1"/>
  <c r="H28" i="34"/>
  <c r="I28" i="34" s="1"/>
  <c r="E53" i="34"/>
  <c r="F53" i="34" s="1"/>
  <c r="H53" i="34"/>
  <c r="I53" i="34" s="1"/>
  <c r="H9" i="34"/>
  <c r="I9" i="34" s="1"/>
  <c r="E9" i="34"/>
  <c r="F9" i="34" s="1"/>
  <c r="E35" i="34"/>
  <c r="F35" i="34" s="1"/>
  <c r="H35" i="34"/>
  <c r="I35" i="34" s="1"/>
  <c r="E86" i="34"/>
  <c r="F86" i="34" s="1"/>
  <c r="H86" i="34"/>
  <c r="I86" i="34" s="1"/>
  <c r="E129" i="34"/>
  <c r="F129" i="34" s="1"/>
  <c r="H129" i="34"/>
  <c r="I129" i="34" s="1"/>
  <c r="H8" i="34"/>
  <c r="I8" i="34" s="1"/>
  <c r="E8" i="34"/>
  <c r="F8" i="34" s="1"/>
  <c r="E137" i="18"/>
  <c r="F137" i="18" s="1"/>
  <c r="H137" i="1"/>
  <c r="I137" i="1" s="1"/>
  <c r="H137" i="30"/>
  <c r="I137" i="30" s="1"/>
  <c r="E3" i="34"/>
  <c r="F3" i="34" s="1"/>
  <c r="C137" i="34"/>
  <c r="E137" i="34" s="1"/>
  <c r="F137" i="34" s="1"/>
  <c r="E137" i="29"/>
  <c r="F137" i="29" s="1"/>
  <c r="H137" i="34" l="1"/>
  <c r="I137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<sst xmlns="http://schemas.openxmlformats.org/spreadsheetml/2006/main" count="5170" uniqueCount="387">
  <si>
    <t>Year to Date 2024 Actual v. Expected</t>
  </si>
  <si>
    <t xml:space="preserve"> Year to Date 2024 Forecasted</t>
  </si>
  <si>
    <t>Site</t>
  </si>
  <si>
    <t>Portfolio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</si>
  <si>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</si>
  <si>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</si>
  <si>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</si>
  <si>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</si>
  <si>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</si>
  <si>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</si>
  <si>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</si>
  <si>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</si>
  <si>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</si>
  <si>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>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</si>
  <si>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</si>
  <si>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</si>
  <si>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</si>
  <si>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</si>
  <si>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</si>
  <si>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</si>
  <si>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</si>
  <si>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</si>
  <si>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</si>
  <si>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</si>
  <si>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</si>
  <si>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</si>
  <si>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</si>
  <si>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</si>
  <si>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</si>
  <si>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</si>
  <si>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</si>
  <si>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</si>
  <si>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</si>
  <si>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</si>
  <si>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</si>
  <si>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</si>
  <si>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</si>
  <si>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</si>
  <si>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</si>
  <si>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</si>
  <si>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</si>
  <si>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</si>
  <si>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</si>
  <si>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</si>
  <si>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</si>
  <si>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</si>
  <si>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 xml:space="preserve"> </t>
  </si>
  <si>
    <t>Portfolio:</t>
  </si>
  <si>
    <t>Generate Capital</t>
  </si>
  <si>
    <t>Site DAS Name</t>
  </si>
  <si>
    <t>State</t>
  </si>
  <si>
    <t>Column1</t>
  </si>
  <si>
    <t>DAS</t>
  </si>
  <si>
    <t>ASU - Farmer</t>
  </si>
  <si>
    <t>Farmer</t>
  </si>
  <si>
    <t>AZ</t>
  </si>
  <si>
    <t>Blue Renewables</t>
  </si>
  <si>
    <t>PowerTrack</t>
  </si>
  <si>
    <t>ASU - Fulton</t>
  </si>
  <si>
    <t>Fulton</t>
  </si>
  <si>
    <t>JFK Elementary</t>
  </si>
  <si>
    <t>ASU - Noble</t>
  </si>
  <si>
    <t>Noble</t>
  </si>
  <si>
    <t>ASU - Parking #3</t>
  </si>
  <si>
    <t>Parking 3</t>
  </si>
  <si>
    <t>ASU - PE East</t>
  </si>
  <si>
    <t>PE East</t>
  </si>
  <si>
    <t>ASU - Schwada</t>
  </si>
  <si>
    <t>Schwada</t>
  </si>
  <si>
    <t>Starshine</t>
  </si>
  <si>
    <t>Yuma Airport</t>
  </si>
  <si>
    <t>CV Kinsman</t>
  </si>
  <si>
    <t>Kinsman</t>
  </si>
  <si>
    <t>OH</t>
  </si>
  <si>
    <t>CV Wooster</t>
  </si>
  <si>
    <t>Wooster</t>
  </si>
  <si>
    <t>GCC Globe Solar PV</t>
  </si>
  <si>
    <t>Globe Gila CC</t>
  </si>
  <si>
    <t>CC Gen Equity</t>
  </si>
  <si>
    <t>GCC Payson Solar PV</t>
  </si>
  <si>
    <t>Payson Gila CC</t>
  </si>
  <si>
    <t>Southwest College Naturopathic Medicine</t>
  </si>
  <si>
    <t>SCNM</t>
  </si>
  <si>
    <t>Sequoia Charter School</t>
  </si>
  <si>
    <t>RCAB - Pastoral Center</t>
  </si>
  <si>
    <t>RCAB</t>
  </si>
  <si>
    <t>MA</t>
  </si>
  <si>
    <t>GESF2</t>
  </si>
  <si>
    <t>Claremont Flock</t>
  </si>
  <si>
    <t>Spectro Coatings</t>
  </si>
  <si>
    <t>K026</t>
  </si>
  <si>
    <t>NY</t>
  </si>
  <si>
    <t>Hudson</t>
  </si>
  <si>
    <t>K041</t>
  </si>
  <si>
    <t>K043 Brooklyn</t>
  </si>
  <si>
    <t>K043</t>
  </si>
  <si>
    <t>K058</t>
  </si>
  <si>
    <t>K115</t>
  </si>
  <si>
    <t>K152</t>
  </si>
  <si>
    <t>K166</t>
  </si>
  <si>
    <t>K206</t>
  </si>
  <si>
    <t>K251</t>
  </si>
  <si>
    <t>K269</t>
  </si>
  <si>
    <t>K273</t>
  </si>
  <si>
    <t>K287</t>
  </si>
  <si>
    <t>K298</t>
  </si>
  <si>
    <t>K335</t>
  </si>
  <si>
    <t>K345</t>
  </si>
  <si>
    <t>K445</t>
  </si>
  <si>
    <t>K495</t>
  </si>
  <si>
    <t>M020</t>
  </si>
  <si>
    <t>M092</t>
  </si>
  <si>
    <t>M143</t>
  </si>
  <si>
    <t>M144</t>
  </si>
  <si>
    <t>M167</t>
  </si>
  <si>
    <t>M188</t>
  </si>
  <si>
    <t>Elmhurst Hospital</t>
  </si>
  <si>
    <t>EMHC</t>
  </si>
  <si>
    <t>Q008</t>
  </si>
  <si>
    <t>Q018</t>
  </si>
  <si>
    <t>Q021</t>
  </si>
  <si>
    <t>Q025</t>
  </si>
  <si>
    <t>Q074</t>
  </si>
  <si>
    <t>Q115</t>
  </si>
  <si>
    <t>Q139</t>
  </si>
  <si>
    <t>Q157</t>
  </si>
  <si>
    <t>Q192</t>
  </si>
  <si>
    <t>Q210</t>
  </si>
  <si>
    <t>Q229</t>
  </si>
  <si>
    <t>Q231</t>
  </si>
  <si>
    <t>Q405</t>
  </si>
  <si>
    <t>Q435</t>
  </si>
  <si>
    <t>Q485</t>
  </si>
  <si>
    <t>Q490</t>
  </si>
  <si>
    <t>Q620</t>
  </si>
  <si>
    <t>Queens Museum of Art</t>
  </si>
  <si>
    <t>QMOA</t>
  </si>
  <si>
    <t>X024</t>
  </si>
  <si>
    <t>X026</t>
  </si>
  <si>
    <t>X090</t>
  </si>
  <si>
    <t>X117</t>
  </si>
  <si>
    <t>X125</t>
  </si>
  <si>
    <t>X134</t>
  </si>
  <si>
    <t>X135</t>
  </si>
  <si>
    <t>X-139  JHS 222</t>
  </si>
  <si>
    <t>X139 JHS 222</t>
  </si>
  <si>
    <t>X140</t>
  </si>
  <si>
    <t>X166</t>
  </si>
  <si>
    <t>Murphy (WaveSun)</t>
  </si>
  <si>
    <t>Murphy</t>
  </si>
  <si>
    <t>MN</t>
  </si>
  <si>
    <t>MN Community Solar</t>
  </si>
  <si>
    <t>Terning (MontSun)</t>
  </si>
  <si>
    <t>Terning</t>
  </si>
  <si>
    <t>Boas Road 04</t>
  </si>
  <si>
    <t>AF</t>
  </si>
  <si>
    <t>NYCS I</t>
  </si>
  <si>
    <t>GPM</t>
  </si>
  <si>
    <t>Correct DAS site names to be put back in column A once Powertrack report fixed.  Case 446636.</t>
  </si>
  <si>
    <t>Kelly Bridge Farm</t>
  </si>
  <si>
    <t>FA</t>
  </si>
  <si>
    <t>Pool Brook Farm</t>
  </si>
  <si>
    <t>Pool Brook Road</t>
  </si>
  <si>
    <t>Sackett Lake Farm 1</t>
  </si>
  <si>
    <t>Sackett Lake</t>
  </si>
  <si>
    <t>Burritt Road</t>
  </si>
  <si>
    <t>NYCS II</t>
  </si>
  <si>
    <t>Villa Roma 1</t>
  </si>
  <si>
    <t>Villa Roma 2</t>
  </si>
  <si>
    <t>Washington 1</t>
  </si>
  <si>
    <t>Washington 3</t>
  </si>
  <si>
    <t>Washington 4</t>
  </si>
  <si>
    <t>Big Tree</t>
  </si>
  <si>
    <t>NYCS III</t>
  </si>
  <si>
    <t>Canoga</t>
  </si>
  <si>
    <t>County Route 84</t>
  </si>
  <si>
    <t>Donati</t>
  </si>
  <si>
    <t>Henrietta</t>
  </si>
  <si>
    <t>NY 70</t>
  </si>
  <si>
    <t>Reid (FFP)</t>
  </si>
  <si>
    <t>Reid</t>
  </si>
  <si>
    <t>Sangolqui</t>
  </si>
  <si>
    <t>State Highway 17B</t>
  </si>
  <si>
    <t>State Route 14A</t>
  </si>
  <si>
    <t>West Creek</t>
  </si>
  <si>
    <t>Wildflower</t>
  </si>
  <si>
    <t>Glen Mary 1</t>
  </si>
  <si>
    <t>A</t>
  </si>
  <si>
    <t>NYCS IV</t>
  </si>
  <si>
    <t>Glen Mary 2</t>
  </si>
  <si>
    <t>Telegraph 1</t>
  </si>
  <si>
    <t>Telegraph 2</t>
  </si>
  <si>
    <t>Cafferty Hill</t>
  </si>
  <si>
    <t>NYCS V</t>
  </si>
  <si>
    <t>Dunkleman</t>
  </si>
  <si>
    <t>Route 19 #1</t>
  </si>
  <si>
    <t>Route 19 1</t>
  </si>
  <si>
    <t>Route 19 #2</t>
  </si>
  <si>
    <t>Route 19 2</t>
  </si>
  <si>
    <t>Yellow Mills 1</t>
  </si>
  <si>
    <t>Yellow Mills 2</t>
  </si>
  <si>
    <t>Yellow Mills 3</t>
  </si>
  <si>
    <t>Catskill</t>
  </si>
  <si>
    <t>NYCS VI</t>
  </si>
  <si>
    <t>Eddy Ridge</t>
  </si>
  <si>
    <t>Ridgeway #1</t>
  </si>
  <si>
    <t>Rivard 1</t>
  </si>
  <si>
    <t>Rivard 2</t>
  </si>
  <si>
    <t>The Essex - DC</t>
  </si>
  <si>
    <t>Essex</t>
  </si>
  <si>
    <t>DC</t>
  </si>
  <si>
    <t>Opportunity</t>
  </si>
  <si>
    <t>Temple Sinai</t>
  </si>
  <si>
    <t>Weinberg Commons #1</t>
  </si>
  <si>
    <t>Weinberg 1</t>
  </si>
  <si>
    <t>Weinberg Commons #2</t>
  </si>
  <si>
    <t>Weinberg 2</t>
  </si>
  <si>
    <t>Weinberg Commons #3</t>
  </si>
  <si>
    <t>Weinberg 3</t>
  </si>
  <si>
    <t>UD-John M.Clayton Hall</t>
  </si>
  <si>
    <t>Clayton Hall</t>
  </si>
  <si>
    <t>DE</t>
  </si>
  <si>
    <t>UD-Field House</t>
  </si>
  <si>
    <t>Field House</t>
  </si>
  <si>
    <t>UD-461 Wyoming Road</t>
  </si>
  <si>
    <t>Wyoming Road</t>
  </si>
  <si>
    <t>94-246 Leoku St. – PV Bldg E, F, G</t>
  </si>
  <si>
    <t>Leoku</t>
  </si>
  <si>
    <t>HI</t>
  </si>
  <si>
    <t>94-099 Waipahu St – PV</t>
  </si>
  <si>
    <t>Waipahu</t>
  </si>
  <si>
    <t>TES Bird in Hand</t>
  </si>
  <si>
    <t>Bird in Hand</t>
  </si>
  <si>
    <t>MD</t>
  </si>
  <si>
    <t>TES Shortal Solar LLC</t>
  </si>
  <si>
    <t>Shortal</t>
  </si>
  <si>
    <t>Coca Cola Aguadilla</t>
  </si>
  <si>
    <t>Aguadilla</t>
  </si>
  <si>
    <t>PR</t>
  </si>
  <si>
    <t>Coca Cola Bayamon</t>
  </si>
  <si>
    <t>Bayamon</t>
  </si>
  <si>
    <t>St Francis School</t>
  </si>
  <si>
    <t>St Francis</t>
  </si>
  <si>
    <t>645 Summer Street - (Seaport Solar)</t>
  </si>
  <si>
    <t>Seaport</t>
  </si>
  <si>
    <t>Sunraise</t>
  </si>
  <si>
    <t>480 Sprague Street</t>
  </si>
  <si>
    <t>Sprague St</t>
  </si>
  <si>
    <t>647 Summer Street - (Summer Street Solar)</t>
  </si>
  <si>
    <t>Summer St</t>
  </si>
  <si>
    <t>Rochester Technical School (Wakefield Street)</t>
  </si>
  <si>
    <t>Brock St Vocational</t>
  </si>
  <si>
    <t>NH</t>
  </si>
  <si>
    <t>McLelland Elementary School (Brook Street)</t>
  </si>
  <si>
    <t>McClelland ES</t>
  </si>
  <si>
    <t>East Rochester School (Portland Street)</t>
  </si>
  <si>
    <t>Portland St</t>
  </si>
  <si>
    <t>Freshet Road - PHS</t>
  </si>
  <si>
    <t>Portsmouth HS</t>
  </si>
  <si>
    <t>Freshet Road - PWTP</t>
  </si>
  <si>
    <t>Portsmouth WTP</t>
  </si>
  <si>
    <t>Rochester Middle School (Brook Street)</t>
  </si>
  <si>
    <t>Rochester St</t>
  </si>
  <si>
    <t>Spaulding High School (Wakefield Street)</t>
  </si>
  <si>
    <t>Spaulding HS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</si>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</sst>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8"/>
      <name val="Arial"/>
    </font>
    <font>
      <sz val="11"/>
      <name val="Calibri"/>
      <family val="2"/>
      <scheme val="minor"/>
    </font>
    <font>
      <sz val="11"/>
      <color rgb="FF555555"/>
      <name val="Open Sans"/>
      <family val="2"/>
      <charset val="1"/>
    </font>
    <font>
      <sz val="11"/>
      <color theme="1"/>
      <name val="Calibri"/>
    </font>
    <font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11" applyNumberFormat="0" applyFont="0" applyAlignment="0" applyProtection="0"/>
  </cellStyleXfs>
  <cellXfs count="186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4" fillId="3" borderId="15" xfId="0" applyFont="1" applyFill="1" applyBorder="1" applyAlignment="1">
      <alignment horizontal="center" vertical="center" wrapText="1"/>
    </xf>
    <xf numFmtId="9" fontId="6" fillId="3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9" fontId="6" fillId="40" borderId="15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9" fillId="0" borderId="34" xfId="0" applyFont="1" applyBorder="1" applyAlignment="1">
      <alignment horizontal="left" vertical="center"/>
    </xf>
    <xf numFmtId="0" fontId="30" fillId="0" borderId="2" xfId="0" applyFont="1" applyBorder="1" applyAlignment="1">
      <alignment horizontal="center"/>
    </xf>
    <xf numFmtId="3" fontId="31" fillId="38" borderId="16" xfId="0" applyNumberFormat="1" applyFont="1" applyFill="1" applyBorder="1"/>
    <xf numFmtId="3" fontId="31" fillId="3" borderId="2" xfId="0" applyNumberFormat="1" applyFont="1" applyFill="1" applyBorder="1" applyAlignment="1">
      <alignment horizontal="right"/>
    </xf>
    <xf numFmtId="9" fontId="31" fillId="3" borderId="2" xfId="2" applyFont="1" applyFill="1" applyBorder="1" applyAlignment="1">
      <alignment horizontal="center"/>
    </xf>
    <xf numFmtId="3" fontId="31" fillId="39" borderId="16" xfId="0" applyNumberFormat="1" applyFont="1" applyFill="1" applyBorder="1"/>
    <xf numFmtId="3" fontId="31" fillId="4" borderId="2" xfId="1" applyNumberFormat="1" applyFont="1" applyFill="1" applyBorder="1"/>
    <xf numFmtId="9" fontId="31" fillId="4" borderId="2" xfId="2" applyFont="1" applyFill="1" applyBorder="1" applyAlignment="1">
      <alignment horizontal="center"/>
    </xf>
    <xf numFmtId="9" fontId="31" fillId="43" borderId="2" xfId="2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9" fontId="31" fillId="3" borderId="1" xfId="2" applyFont="1" applyFill="1" applyBorder="1" applyAlignment="1">
      <alignment horizontal="center"/>
    </xf>
    <xf numFmtId="3" fontId="31" fillId="4" borderId="13" xfId="1" applyNumberFormat="1" applyFont="1" applyFill="1" applyBorder="1"/>
    <xf numFmtId="3" fontId="31" fillId="4" borderId="2" xfId="1" applyNumberFormat="1" applyFont="1" applyFill="1" applyBorder="1" applyAlignment="1">
      <alignment vertical="center"/>
    </xf>
    <xf numFmtId="9" fontId="31" fillId="43" borderId="2" xfId="2" applyFont="1" applyFill="1" applyBorder="1" applyAlignment="1">
      <alignment horizontal="center" vertical="center"/>
    </xf>
    <xf numFmtId="9" fontId="31" fillId="43" borderId="2" xfId="2" applyFont="1" applyFill="1" applyBorder="1" applyAlignment="1">
      <alignment horizontal="left" vertical="top" wrapText="1"/>
    </xf>
    <xf numFmtId="9" fontId="31" fillId="43" borderId="2" xfId="2" applyFont="1" applyFill="1" applyBorder="1" applyAlignment="1">
      <alignment horizontal="left" vertical="top"/>
    </xf>
    <xf numFmtId="3" fontId="31" fillId="38" borderId="14" xfId="0" applyNumberFormat="1" applyFont="1" applyFill="1" applyBorder="1"/>
    <xf numFmtId="3" fontId="31" fillId="39" borderId="14" xfId="0" applyNumberFormat="1" applyFont="1" applyFill="1" applyBorder="1"/>
    <xf numFmtId="0" fontId="30" fillId="0" borderId="3" xfId="0" applyFont="1" applyBorder="1" applyAlignment="1">
      <alignment horizontal="center"/>
    </xf>
    <xf numFmtId="3" fontId="31" fillId="3" borderId="28" xfId="0" applyNumberFormat="1" applyFont="1" applyFill="1" applyBorder="1" applyAlignment="1">
      <alignment horizontal="right"/>
    </xf>
    <xf numFmtId="9" fontId="31" fillId="3" borderId="3" xfId="2" applyFont="1" applyFill="1" applyBorder="1" applyAlignment="1">
      <alignment horizontal="center"/>
    </xf>
    <xf numFmtId="3" fontId="31" fillId="4" borderId="38" xfId="1" applyNumberFormat="1" applyFont="1" applyFill="1" applyBorder="1"/>
    <xf numFmtId="3" fontId="31" fillId="4" borderId="28" xfId="1" applyNumberFormat="1" applyFont="1" applyFill="1" applyBorder="1"/>
    <xf numFmtId="9" fontId="31" fillId="4" borderId="28" xfId="2" applyFont="1" applyFill="1" applyBorder="1" applyAlignment="1">
      <alignment horizontal="center"/>
    </xf>
    <xf numFmtId="9" fontId="31" fillId="43" borderId="28" xfId="2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3" fontId="30" fillId="5" borderId="1" xfId="0" applyNumberFormat="1" applyFont="1" applyFill="1" applyBorder="1" applyAlignment="1">
      <alignment horizontal="center"/>
    </xf>
    <xf numFmtId="9" fontId="30" fillId="5" borderId="1" xfId="2" applyFont="1" applyFill="1" applyBorder="1" applyAlignment="1">
      <alignment horizontal="center"/>
    </xf>
    <xf numFmtId="9" fontId="30" fillId="5" borderId="1" xfId="0" applyNumberFormat="1" applyFont="1" applyFill="1" applyBorder="1" applyAlignment="1">
      <alignment horizontal="center"/>
    </xf>
    <xf numFmtId="0" fontId="30" fillId="0" borderId="0" xfId="0" applyFont="1"/>
    <xf numFmtId="0" fontId="32" fillId="3" borderId="17" xfId="0" applyFont="1" applyFill="1" applyBorder="1" applyAlignment="1">
      <alignment horizontal="left" vertical="center" wrapText="1"/>
    </xf>
    <xf numFmtId="9" fontId="32" fillId="3" borderId="35" xfId="2" applyFont="1" applyFill="1" applyBorder="1" applyAlignment="1">
      <alignment horizontal="left" vertical="center" wrapText="1"/>
    </xf>
    <xf numFmtId="0" fontId="32" fillId="4" borderId="17" xfId="0" applyFont="1" applyFill="1" applyBorder="1" applyAlignment="1">
      <alignment horizontal="left" vertical="center"/>
    </xf>
    <xf numFmtId="0" fontId="32" fillId="4" borderId="17" xfId="0" applyFont="1" applyFill="1" applyBorder="1" applyAlignment="1">
      <alignment horizontal="left" vertical="center" wrapText="1"/>
    </xf>
    <xf numFmtId="9" fontId="32" fillId="4" borderId="35" xfId="2" applyFont="1" applyFill="1" applyBorder="1" applyAlignment="1">
      <alignment horizontal="left" vertical="center"/>
    </xf>
    <xf numFmtId="9" fontId="32" fillId="43" borderId="36" xfId="2" applyFont="1" applyFill="1" applyBorder="1" applyAlignment="1">
      <alignment horizontal="center" vertical="center"/>
    </xf>
    <xf numFmtId="9" fontId="32" fillId="43" borderId="37" xfId="2" applyFont="1" applyFill="1" applyBorder="1" applyAlignment="1">
      <alignment horizontal="center" vertical="center"/>
    </xf>
    <xf numFmtId="0" fontId="30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36" fillId="45" borderId="2" xfId="0" applyFont="1" applyFill="1" applyBorder="1" applyAlignment="1">
      <alignment horizontal="center"/>
    </xf>
    <xf numFmtId="0" fontId="30" fillId="45" borderId="2" xfId="0" applyFont="1" applyFill="1" applyBorder="1" applyAlignment="1">
      <alignment horizontal="center"/>
    </xf>
    <xf numFmtId="0" fontId="34" fillId="2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9" fontId="6" fillId="3" borderId="14" xfId="2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center" vertical="center" wrapText="1"/>
    </xf>
    <xf numFmtId="9" fontId="6" fillId="40" borderId="14" xfId="2" applyFont="1" applyFill="1" applyBorder="1" applyAlignment="1">
      <alignment horizontal="center" vertical="center" wrapText="1"/>
    </xf>
    <xf numFmtId="0" fontId="0" fillId="0" borderId="40" xfId="0" applyBorder="1"/>
    <xf numFmtId="9" fontId="31" fillId="43" borderId="2" xfId="2" applyFont="1" applyFill="1" applyBorder="1" applyAlignment="1">
      <alignment horizontal="left"/>
    </xf>
    <xf numFmtId="9" fontId="31" fillId="43" borderId="2" xfId="2" applyFont="1" applyFill="1" applyBorder="1" applyAlignment="1">
      <alignment horizontal="left" wrapText="1"/>
    </xf>
    <xf numFmtId="9" fontId="31" fillId="43" borderId="2" xfId="2" applyFont="1" applyFill="1" applyBorder="1" applyAlignment="1">
      <alignment vertical="top" wrapText="1"/>
    </xf>
    <xf numFmtId="9" fontId="31" fillId="43" borderId="2" xfId="2" applyFont="1" applyFill="1" applyBorder="1" applyAlignment="1">
      <alignment vertical="top"/>
    </xf>
    <xf numFmtId="0" fontId="26" fillId="0" borderId="0" xfId="43" applyFont="1" applyAlignment="1">
      <alignment horizontal="left"/>
    </xf>
    <xf numFmtId="0" fontId="26" fillId="0" borderId="0" xfId="43" applyFont="1"/>
    <xf numFmtId="0" fontId="3" fillId="0" borderId="0" xfId="0" applyFont="1"/>
    <xf numFmtId="9" fontId="31" fillId="43" borderId="2" xfId="2" applyFont="1" applyFill="1" applyBorder="1" applyAlignment="1">
      <alignment horizontal="center" wrapText="1"/>
    </xf>
    <xf numFmtId="3" fontId="33" fillId="3" borderId="41" xfId="0" applyNumberFormat="1" applyFont="1" applyFill="1" applyBorder="1" applyAlignment="1">
      <alignment horizontal="right"/>
    </xf>
    <xf numFmtId="0" fontId="34" fillId="2" borderId="42" xfId="0" applyFont="1" applyFill="1" applyBorder="1" applyAlignment="1">
      <alignment horizontal="center" vertical="center" wrapText="1"/>
    </xf>
    <xf numFmtId="0" fontId="0" fillId="3" borderId="0" xfId="0" applyFill="1"/>
    <xf numFmtId="3" fontId="38" fillId="38" borderId="16" xfId="0" applyNumberFormat="1" applyFont="1" applyFill="1" applyBorder="1"/>
    <xf numFmtId="3" fontId="38" fillId="3" borderId="2" xfId="0" applyNumberFormat="1" applyFont="1" applyFill="1" applyBorder="1" applyAlignment="1">
      <alignment horizontal="right"/>
    </xf>
    <xf numFmtId="9" fontId="38" fillId="3" borderId="2" xfId="2" applyFont="1" applyFill="1" applyBorder="1" applyAlignment="1">
      <alignment horizontal="center"/>
    </xf>
    <xf numFmtId="3" fontId="38" fillId="39" borderId="16" xfId="0" applyNumberFormat="1" applyFont="1" applyFill="1" applyBorder="1"/>
    <xf numFmtId="3" fontId="38" fillId="4" borderId="2" xfId="1" applyNumberFormat="1" applyFont="1" applyFill="1" applyBorder="1"/>
    <xf numFmtId="9" fontId="38" fillId="4" borderId="2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center"/>
    </xf>
    <xf numFmtId="9" fontId="38" fillId="3" borderId="1" xfId="2" applyFont="1" applyFill="1" applyBorder="1" applyAlignment="1">
      <alignment horizontal="center"/>
    </xf>
    <xf numFmtId="3" fontId="38" fillId="4" borderId="13" xfId="1" applyNumberFormat="1" applyFont="1" applyFill="1" applyBorder="1"/>
    <xf numFmtId="3" fontId="38" fillId="4" borderId="2" xfId="1" applyNumberFormat="1" applyFont="1" applyFill="1" applyBorder="1" applyAlignment="1">
      <alignment vertical="center"/>
    </xf>
    <xf numFmtId="9" fontId="38" fillId="43" borderId="2" xfId="2" applyFont="1" applyFill="1" applyBorder="1" applyAlignment="1">
      <alignment horizontal="center" vertical="center"/>
    </xf>
    <xf numFmtId="9" fontId="38" fillId="43" borderId="2" xfId="2" applyFont="1" applyFill="1" applyBorder="1" applyAlignment="1">
      <alignment horizontal="left" vertical="top" wrapText="1"/>
    </xf>
    <xf numFmtId="3" fontId="38" fillId="38" borderId="14" xfId="0" applyNumberFormat="1" applyFont="1" applyFill="1" applyBorder="1"/>
    <xf numFmtId="3" fontId="38" fillId="39" borderId="14" xfId="0" applyNumberFormat="1" applyFont="1" applyFill="1" applyBorder="1"/>
    <xf numFmtId="3" fontId="38" fillId="3" borderId="28" xfId="0" applyNumberFormat="1" applyFont="1" applyFill="1" applyBorder="1" applyAlignment="1">
      <alignment horizontal="right"/>
    </xf>
    <xf numFmtId="9" fontId="38" fillId="3" borderId="3" xfId="2" applyFont="1" applyFill="1" applyBorder="1" applyAlignment="1">
      <alignment horizontal="center"/>
    </xf>
    <xf numFmtId="3" fontId="38" fillId="4" borderId="38" xfId="1" applyNumberFormat="1" applyFont="1" applyFill="1" applyBorder="1"/>
    <xf numFmtId="3" fontId="38" fillId="4" borderId="28" xfId="1" applyNumberFormat="1" applyFont="1" applyFill="1" applyBorder="1"/>
    <xf numFmtId="9" fontId="38" fillId="4" borderId="28" xfId="2" applyFont="1" applyFill="1" applyBorder="1" applyAlignment="1">
      <alignment horizontal="center"/>
    </xf>
    <xf numFmtId="9" fontId="38" fillId="43" borderId="28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left"/>
    </xf>
    <xf numFmtId="9" fontId="38" fillId="43" borderId="2" xfId="2" applyFont="1" applyFill="1" applyBorder="1" applyAlignment="1">
      <alignment vertical="top"/>
    </xf>
    <xf numFmtId="0" fontId="38" fillId="3" borderId="0" xfId="0" applyFont="1" applyFill="1"/>
    <xf numFmtId="0" fontId="38" fillId="0" borderId="0" xfId="0" applyFont="1"/>
    <xf numFmtId="9" fontId="31" fillId="43" borderId="28" xfId="2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3" fontId="29" fillId="39" borderId="43" xfId="0" applyNumberFormat="1" applyFont="1" applyFill="1" applyBorder="1"/>
    <xf numFmtId="0" fontId="29" fillId="46" borderId="43" xfId="0" applyFont="1" applyFill="1" applyBorder="1" applyAlignment="1">
      <alignment horizontal="left" vertical="top" wrapText="1"/>
    </xf>
    <xf numFmtId="0" fontId="29" fillId="46" borderId="43" xfId="0" applyFont="1" applyFill="1" applyBorder="1" applyAlignment="1">
      <alignment horizontal="left" vertical="top"/>
    </xf>
    <xf numFmtId="9" fontId="31" fillId="43" borderId="28" xfId="2" applyFont="1" applyFill="1" applyBorder="1" applyAlignment="1">
      <alignment horizontal="center" wrapText="1"/>
    </xf>
    <xf numFmtId="9" fontId="31" fillId="43" borderId="28" xfId="2" applyFont="1" applyFill="1" applyBorder="1" applyAlignment="1">
      <alignment vertical="top"/>
    </xf>
    <xf numFmtId="0" fontId="29" fillId="46" borderId="43" xfId="0" applyFont="1" applyFill="1" applyBorder="1" applyAlignment="1">
      <alignment vertical="top" wrapText="1"/>
    </xf>
    <xf numFmtId="0" fontId="29" fillId="46" borderId="43" xfId="0" applyFont="1" applyFill="1" applyBorder="1" applyAlignment="1">
      <alignment vertical="top"/>
    </xf>
    <xf numFmtId="3" fontId="29" fillId="38" borderId="43" xfId="0" applyNumberFormat="1" applyFont="1" applyFill="1" applyBorder="1" applyAlignment="1">
      <alignment horizontal="right"/>
    </xf>
    <xf numFmtId="0" fontId="0" fillId="0" borderId="0" xfId="0" applyAlignment="1">
      <alignment horizontal="left" vertical="top" wrapText="1"/>
    </xf>
    <xf numFmtId="9" fontId="31" fillId="43" borderId="28" xfId="2" applyFont="1" applyFill="1" applyBorder="1" applyAlignment="1">
      <alignment horizontal="left"/>
    </xf>
    <xf numFmtId="9" fontId="38" fillId="43" borderId="28" xfId="2" applyFont="1" applyFill="1" applyBorder="1" applyAlignment="1">
      <alignment horizontal="left"/>
    </xf>
    <xf numFmtId="9" fontId="38" fillId="43" borderId="28" xfId="2" applyFont="1" applyFill="1" applyBorder="1" applyAlignment="1">
      <alignment horizontal="left" vertical="top" wrapText="1"/>
    </xf>
    <xf numFmtId="9" fontId="31" fillId="43" borderId="28" xfId="2" applyFont="1" applyFill="1" applyBorder="1" applyAlignment="1">
      <alignment horizontal="left" vertical="top" wrapText="1"/>
    </xf>
    <xf numFmtId="9" fontId="38" fillId="43" borderId="28" xfId="2" applyFont="1" applyFill="1" applyBorder="1" applyAlignment="1">
      <alignment vertical="top" wrapText="1"/>
    </xf>
    <xf numFmtId="9" fontId="31" fillId="43" borderId="28" xfId="2" applyFont="1" applyFill="1" applyBorder="1" applyAlignment="1">
      <alignment horizontal="left" wrapText="1"/>
    </xf>
    <xf numFmtId="4" fontId="39" fillId="0" borderId="0" xfId="0" applyNumberFormat="1" applyFont="1"/>
    <xf numFmtId="3" fontId="0" fillId="5" borderId="1" xfId="0" applyNumberForma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3" fontId="41" fillId="3" borderId="2" xfId="0" applyNumberFormat="1" applyFont="1" applyFill="1" applyBorder="1" applyAlignment="1">
      <alignment horizontal="right"/>
    </xf>
    <xf numFmtId="9" fontId="41" fillId="3" borderId="1" xfId="2" applyFont="1" applyFill="1" applyBorder="1" applyAlignment="1">
      <alignment horizontal="center"/>
    </xf>
    <xf numFmtId="0" fontId="41" fillId="0" borderId="0" xfId="0" applyFont="1"/>
    <xf numFmtId="3" fontId="41" fillId="4" borderId="2" xfId="1" applyNumberFormat="1" applyFont="1" applyFill="1" applyBorder="1"/>
    <xf numFmtId="9" fontId="41" fillId="4" borderId="2" xfId="2" applyFont="1" applyFill="1" applyBorder="1" applyAlignment="1">
      <alignment horizontal="center"/>
    </xf>
    <xf numFmtId="9" fontId="41" fillId="43" borderId="2" xfId="2" applyFont="1" applyFill="1" applyBorder="1" applyAlignment="1">
      <alignment horizontal="center"/>
    </xf>
    <xf numFmtId="3" fontId="33" fillId="0" borderId="0" xfId="0" applyNumberFormat="1" applyFont="1" applyAlignment="1">
      <alignment horizontal="right"/>
    </xf>
    <xf numFmtId="9" fontId="33" fillId="0" borderId="0" xfId="2" applyFont="1" applyFill="1" applyBorder="1" applyAlignment="1">
      <alignment horizontal="center"/>
    </xf>
    <xf numFmtId="3" fontId="33" fillId="0" borderId="0" xfId="1" applyNumberFormat="1" applyFont="1" applyFill="1" applyBorder="1"/>
    <xf numFmtId="0" fontId="3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3" fontId="33" fillId="3" borderId="16" xfId="0" applyNumberFormat="1" applyFont="1" applyFill="1" applyBorder="1" applyAlignment="1">
      <alignment horizontal="right" vertical="center"/>
    </xf>
    <xf numFmtId="9" fontId="33" fillId="3" borderId="16" xfId="2" applyFont="1" applyFill="1" applyBorder="1" applyAlignment="1">
      <alignment horizontal="center" vertical="center"/>
    </xf>
    <xf numFmtId="3" fontId="33" fillId="4" borderId="16" xfId="1" applyNumberFormat="1" applyFont="1" applyFill="1" applyBorder="1" applyAlignment="1">
      <alignment vertical="center"/>
    </xf>
    <xf numFmtId="9" fontId="33" fillId="40" borderId="16" xfId="2" applyFont="1" applyFill="1" applyBorder="1" applyAlignment="1">
      <alignment horizontal="center" vertical="center"/>
    </xf>
    <xf numFmtId="0" fontId="36" fillId="45" borderId="2" xfId="0" applyFont="1" applyFill="1" applyBorder="1" applyAlignment="1">
      <alignment horizontal="center" vertical="center"/>
    </xf>
    <xf numFmtId="0" fontId="30" fillId="45" borderId="2" xfId="0" applyFon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center" vertical="center"/>
    </xf>
    <xf numFmtId="0" fontId="30" fillId="45" borderId="1" xfId="0" applyFont="1" applyFill="1" applyBorder="1" applyAlignment="1">
      <alignment horizontal="center" vertical="center"/>
    </xf>
    <xf numFmtId="9" fontId="31" fillId="43" borderId="2" xfId="2" applyFont="1" applyFill="1" applyBorder="1" applyAlignment="1"/>
    <xf numFmtId="9" fontId="38" fillId="43" borderId="2" xfId="2" applyFont="1" applyFill="1" applyBorder="1" applyAlignment="1">
      <alignment horizontal="left" vertical="top"/>
    </xf>
    <xf numFmtId="9" fontId="32" fillId="43" borderId="36" xfId="2" applyFont="1" applyFill="1" applyBorder="1" applyAlignment="1">
      <alignment horizontal="left" vertical="center"/>
    </xf>
    <xf numFmtId="9" fontId="32" fillId="43" borderId="37" xfId="2" applyFont="1" applyFill="1" applyBorder="1" applyAlignment="1">
      <alignment horizontal="left" vertical="center"/>
    </xf>
    <xf numFmtId="9" fontId="30" fillId="43" borderId="44" xfId="2" applyFont="1" applyFill="1" applyBorder="1" applyAlignment="1">
      <alignment horizontal="left" vertical="top"/>
    </xf>
    <xf numFmtId="9" fontId="1" fillId="43" borderId="44" xfId="2" applyFont="1" applyFill="1" applyBorder="1" applyAlignment="1">
      <alignment horizontal="left" vertical="top" wrapText="1"/>
    </xf>
    <xf numFmtId="0" fontId="38" fillId="3" borderId="1" xfId="0" applyFont="1" applyFill="1" applyBorder="1"/>
    <xf numFmtId="3" fontId="1" fillId="3" borderId="2" xfId="0" applyNumberFormat="1" applyFont="1" applyFill="1" applyBorder="1" applyAlignment="1">
      <alignment horizontal="right"/>
    </xf>
    <xf numFmtId="0" fontId="1" fillId="3" borderId="0" xfId="0" applyFont="1" applyFill="1"/>
    <xf numFmtId="0" fontId="8" fillId="44" borderId="23" xfId="0" applyFont="1" applyFill="1" applyBorder="1" applyAlignment="1">
      <alignment horizontal="center" vertical="center"/>
    </xf>
    <xf numFmtId="0" fontId="8" fillId="44" borderId="24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 vertical="center" wrapText="1"/>
    </xf>
    <xf numFmtId="0" fontId="27" fillId="42" borderId="0" xfId="0" applyFont="1" applyFill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28" fillId="41" borderId="0" xfId="0" applyFont="1" applyFill="1" applyAlignment="1">
      <alignment horizontal="center" wrapText="1"/>
    </xf>
    <xf numFmtId="0" fontId="27" fillId="42" borderId="0" xfId="0" applyFont="1" applyFill="1" applyAlignment="1">
      <alignment horizontal="center" wrapText="1"/>
    </xf>
    <xf numFmtId="0" fontId="8" fillId="5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left" vertical="top"/>
    </xf>
    <xf numFmtId="0" fontId="8" fillId="5" borderId="14" xfId="0" applyFont="1" applyFill="1" applyBorder="1" applyAlignment="1">
      <alignment horizontal="left" vertical="top"/>
    </xf>
    <xf numFmtId="0" fontId="8" fillId="5" borderId="39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/>
    </xf>
    <xf numFmtId="0" fontId="8" fillId="5" borderId="29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21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>
        <left/>
        <right/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ustomXml" Target="../customXml/item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customXml" Target="../customXml/item2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heetMetadata" Target="metadata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F136" totalsRowShown="0" tableBorderDxfId="2158">
  <autoFilter ref="A2:F136" xr:uid="{66A40F5E-D45A-46FE-9183-4A31296D93F1}"/>
  <sortState xmlns:xlrd2="http://schemas.microsoft.com/office/spreadsheetml/2017/richdata2" ref="A3:F136">
    <sortCondition ref="E3:E136"/>
    <sortCondition ref="C3:C136"/>
    <sortCondition ref="B3:B136"/>
  </sortState>
  <tableColumns count="6">
    <tableColumn id="3" xr3:uid="{BFC0214A-8820-4A19-81D0-852548EDA4BC}" name="Site DAS Name" dataDxfId="2157" dataCellStyle="Normal 2"/>
    <tableColumn id="1" xr3:uid="{2ECEDF7A-47C1-4159-BC3D-6E76D6492D27}" name="Site" dataDxfId="2156" dataCellStyle="Normal 2"/>
    <tableColumn id="2" xr3:uid="{2C9662E7-9933-4E8D-97A6-DB7E03BCDC09}" name="State" dataDxfId="2155" dataCellStyle="Normal 2"/>
    <tableColumn id="5" xr3:uid="{F1D3BF47-C530-4653-922C-CDF1211AB5F9}" name="Column1"/>
    <tableColumn id="4" xr3:uid="{E846C510-5E13-49AC-98FC-D0D41BCCB245}" name="Portfolio" dataDxfId="2154" dataCellStyle="Normal 2"/>
    <tableColumn id="6" xr3:uid="{BBE6242B-4491-4A04-8F57-2B3D27939FDF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2A6A5E4-55AE-4AAE-977D-74084FAFE2BA}" name="Data69" displayName="Data69" ref="A4:J16" totalsRowShown="0" headerRowDxfId="2151" dataDxfId="2150" headerRowBorderDxfId="2148" tableBorderDxfId="2149" dataCellStyle="Percent">
  <autoFilter ref="A4:J16" xr:uid="{59A959C2-52B2-422A-A87A-BC08BBF40681}"/>
  <tableColumns count="10">
    <tableColumn id="1" xr3:uid="{DA2FF414-381F-4755-8A36-4823F7BD1910}" name="Month" dataDxfId="2147"/>
    <tableColumn id="2" xr3:uid="{53F2F76F-D625-4DF5-9DB6-D47A594E1E57}" name="Actual" dataDxfId="2146">
      <calculatedColumnFormula>10 * ROW() - 40</calculatedColumnFormula>
    </tableColumn>
    <tableColumn id="3" xr3:uid="{E042AC98-4083-49C5-A6A2-D46EBB1AF58D}" name="Expected" dataDxfId="2145"/>
    <tableColumn id="4" xr3:uid="{CDF2800E-7B86-49A2-B1BE-49E74ABEB2D3}" name="Delta Expected" dataDxfId="2144">
      <calculatedColumnFormula>B5-C5</calculatedColumnFormula>
    </tableColumn>
    <tableColumn id="5" xr3:uid="{3F79FD03-8C1E-44D0-9848-D81D9062F046}" name="% Expected" dataDxfId="2143" dataCellStyle="Percent">
      <calculatedColumnFormula>IFERROR(D5/C5, 0)</calculatedColumnFormula>
    </tableColumn>
    <tableColumn id="6" xr3:uid="{8318C790-D1B1-42E3-BD4B-29A02B3CC6CA}" name="Forecasted" dataDxfId="2142"/>
    <tableColumn id="7" xr3:uid="{D16EE522-E5B0-4951-AFD9-E475DA1E75A8}" name="Delta Forecasted" dataDxfId="2141" dataCellStyle="Comma">
      <calculatedColumnFormula>B5-F5</calculatedColumnFormula>
    </tableColumn>
    <tableColumn id="8" xr3:uid="{029A2592-0A79-49D2-877C-683D9B84C710}" name="% Forecasted" dataDxfId="2140" dataCellStyle="Percent">
      <calculatedColumnFormula>IFERROR(G5/F5, 0)</calculatedColumnFormula>
    </tableColumn>
    <tableColumn id="9" xr3:uid="{ABD02C0B-0523-4DA8-BF97-F1562BA687E7}" name="Notes" dataDxfId="2139" dataCellStyle="Percent"/>
    <tableColumn id="10" xr3:uid="{57452241-3344-41E5-94DC-9443CA19709A}" name="Service Request" dataDxfId="2138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EB2B5B5-BE8C-40D5-A540-F831640F0D55}" name="Data697071" displayName="Data697071" ref="A4:J16" totalsRowShown="0" headerRowDxfId="2135" dataDxfId="2134" headerRowBorderDxfId="2132" tableBorderDxfId="2133" dataCellStyle="Percent">
  <autoFilter ref="A4:J16" xr:uid="{59A959C2-52B2-422A-A87A-BC08BBF40681}"/>
  <tableColumns count="10">
    <tableColumn id="1" xr3:uid="{368548C5-38BE-47C2-8383-5CB852ED6F5C}" name="Month" dataDxfId="2131"/>
    <tableColumn id="2" xr3:uid="{452D56F5-915F-4942-9CA9-B8985BCE7BD8}" name="Actual" dataDxfId="2130">
      <calculatedColumnFormula>10 * ROW() - 40</calculatedColumnFormula>
    </tableColumn>
    <tableColumn id="3" xr3:uid="{6214D8CE-785C-497F-BCCF-B6C92EAAA054}" name="Expected" dataDxfId="2129"/>
    <tableColumn id="4" xr3:uid="{D0A28A18-A4E5-4FED-909B-A719C933751F}" name="Delta Expected" dataDxfId="2128">
      <calculatedColumnFormula>B5-C5</calculatedColumnFormula>
    </tableColumn>
    <tableColumn id="5" xr3:uid="{0A841020-1C3E-44E3-B4AA-269664D65536}" name="% Expected" dataDxfId="2127" dataCellStyle="Percent">
      <calculatedColumnFormula>IFERROR(D5/C5, 0)</calculatedColumnFormula>
    </tableColumn>
    <tableColumn id="6" xr3:uid="{A380C0E3-67E2-4E46-8356-522337FD322B}" name="Forecasted" dataDxfId="2126"/>
    <tableColumn id="7" xr3:uid="{67E7D27A-B0BA-4BF6-8999-939B84D3DAEC}" name="Delta Forecasted" dataDxfId="2125" dataCellStyle="Comma">
      <calculatedColumnFormula>B5-F5</calculatedColumnFormula>
    </tableColumn>
    <tableColumn id="8" xr3:uid="{018358C3-8599-4130-B963-D19B706DF044}" name="% Forecasted" dataDxfId="2124" dataCellStyle="Percent">
      <calculatedColumnFormula>IFERROR(G5/F5, 0)</calculatedColumnFormula>
    </tableColumn>
    <tableColumn id="9" xr3:uid="{645BAFEA-71DB-47A8-A498-D92926D94477}" name="Notes" dataDxfId="2123" dataCellStyle="Percent"/>
    <tableColumn id="10" xr3:uid="{8600095A-B8D7-459F-A586-3E6AAA5CD867}" name="Service Request" dataDxfId="2122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DB6C5E5-700A-49F1-9109-69FF5003945A}" name="Data6970727374" displayName="Data6970727374" ref="A4:J16" totalsRowShown="0" headerRowDxfId="2119" dataDxfId="2118" headerRowBorderDxfId="2116" tableBorderDxfId="2117" dataCellStyle="Percent">
  <autoFilter ref="A4:J16" xr:uid="{59A959C2-52B2-422A-A87A-BC08BBF40681}"/>
  <tableColumns count="10">
    <tableColumn id="1" xr3:uid="{D1A0A16C-3C97-4362-9C4F-624DAE88440C}" name="Month" dataDxfId="2115"/>
    <tableColumn id="2" xr3:uid="{01E1F484-E797-4B6E-AE83-56A14BA7100E}" name="Actual" dataDxfId="2114">
      <calculatedColumnFormula>10 * ROW() - 40</calculatedColumnFormula>
    </tableColumn>
    <tableColumn id="3" xr3:uid="{B06C4915-C8D7-44A9-94FC-0295CBA6106D}" name="Expected" dataDxfId="2113"/>
    <tableColumn id="4" xr3:uid="{8787AFDC-0D73-4C5B-9743-4932431E6A9D}" name="Delta Expected" dataDxfId="2112">
      <calculatedColumnFormula>B5-C5</calculatedColumnFormula>
    </tableColumn>
    <tableColumn id="5" xr3:uid="{1744262A-06B3-4FF6-94DA-2EDF8FAF4762}" name="% Expected" dataDxfId="2111" dataCellStyle="Percent">
      <calculatedColumnFormula>IFERROR(D5/C5, 0)</calculatedColumnFormula>
    </tableColumn>
    <tableColumn id="6" xr3:uid="{6EC9ECDC-3A29-4527-A8F4-AB39C8D1F4BB}" name="Forecasted" dataDxfId="2110"/>
    <tableColumn id="7" xr3:uid="{285EFE51-5D4C-46B1-BE22-221CA57A8B22}" name="Delta Forecasted" dataDxfId="2109" dataCellStyle="Comma">
      <calculatedColumnFormula>B5-F5</calculatedColumnFormula>
    </tableColumn>
    <tableColumn id="8" xr3:uid="{C50E7FB8-6F1D-4AF9-8592-39F421D282DA}" name="% Forecasted" dataDxfId="2108" dataCellStyle="Percent">
      <calculatedColumnFormula>IFERROR(G5/F5, 0)</calculatedColumnFormula>
    </tableColumn>
    <tableColumn id="9" xr3:uid="{E3D5F164-1D56-4BE7-88AF-E05667B149AA}" name="Notes" dataDxfId="2107" dataCellStyle="Percent"/>
    <tableColumn id="10" xr3:uid="{87732DD6-06B2-4FC0-9B40-1F1DE06F40C1}" name="Service Request" dataDxfId="2106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81376DA-CC8D-4811-8DF4-265C99E7A087}" name="Data69707273" displayName="Data69707273" ref="A4:J16" totalsRowShown="0" headerRowDxfId="2103" dataDxfId="2102" headerRowBorderDxfId="2100" tableBorderDxfId="2101" dataCellStyle="Percent">
  <autoFilter ref="A4:J16" xr:uid="{59A959C2-52B2-422A-A87A-BC08BBF40681}"/>
  <tableColumns count="10">
    <tableColumn id="1" xr3:uid="{28F4C387-CD31-4590-AF65-E35DE8FB1602}" name="Month" dataDxfId="2099"/>
    <tableColumn id="2" xr3:uid="{9FC1FA68-0B22-490C-81E0-ABCCCD3953D1}" name="Actual" dataDxfId="2098">
      <calculatedColumnFormula>10 * ROW() - 40</calculatedColumnFormula>
    </tableColumn>
    <tableColumn id="3" xr3:uid="{54B4BA8C-74FD-40A9-80CC-E393CA21FDD8}" name="Expected" dataDxfId="2097"/>
    <tableColumn id="4" xr3:uid="{578C1580-81AF-4B01-9A08-83AC340D0752}" name="Delta Expected" dataDxfId="2096">
      <calculatedColumnFormula>B5-C5</calculatedColumnFormula>
    </tableColumn>
    <tableColumn id="5" xr3:uid="{D4627E77-A732-42D4-BC16-B55E7964365B}" name="% Expected" dataDxfId="2095" dataCellStyle="Percent">
      <calculatedColumnFormula>IFERROR(D5/C5, 0)</calculatedColumnFormula>
    </tableColumn>
    <tableColumn id="6" xr3:uid="{3968D3AE-D65F-48DF-856B-B6C84C2D2104}" name="Forecasted" dataDxfId="2094"/>
    <tableColumn id="7" xr3:uid="{145661BB-F205-4C33-98E1-CCA0F5B20CE5}" name="Delta Forecasted" dataDxfId="2093" dataCellStyle="Comma">
      <calculatedColumnFormula>B5-F5</calculatedColumnFormula>
    </tableColumn>
    <tableColumn id="8" xr3:uid="{48FC3E2D-72F8-4D1A-92BF-C4449A28C924}" name="% Forecasted" dataDxfId="2092" dataCellStyle="Percent">
      <calculatedColumnFormula>IFERROR(G5/F5, 0)</calculatedColumnFormula>
    </tableColumn>
    <tableColumn id="9" xr3:uid="{10A6AFDC-2CDE-4868-80EB-58E253A17D34}" name="Notes" dataDxfId="2091" dataCellStyle="Percent"/>
    <tableColumn id="10" xr3:uid="{11D02D23-E81B-4F75-8E09-7718C5148AB8}" name="Service Request" dataDxfId="2090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9566246-1DE0-47E7-ABAB-EF5BD5FAB85B}" name="Data697072" displayName="Data697072" ref="A4:J16" totalsRowShown="0" headerRowDxfId="2087" dataDxfId="2086" headerRowBorderDxfId="2084" tableBorderDxfId="2085" dataCellStyle="Percent">
  <autoFilter ref="A4:J16" xr:uid="{59A959C2-52B2-422A-A87A-BC08BBF40681}"/>
  <tableColumns count="10">
    <tableColumn id="1" xr3:uid="{23165759-3840-41A6-84F7-BFC52804FB37}" name="Month" dataDxfId="2083"/>
    <tableColumn id="2" xr3:uid="{3E1D1D11-A140-4C58-A353-4744F326E88A}" name="Actual" dataDxfId="2082">
      <calculatedColumnFormula>10 * ROW() - 40</calculatedColumnFormula>
    </tableColumn>
    <tableColumn id="3" xr3:uid="{A9B652F5-2B46-4F0B-AE96-E357D7150263}" name="Expected" dataDxfId="2081"/>
    <tableColumn id="4" xr3:uid="{E1836CB9-4DEA-495F-8CC7-E0AE8FBC2D6C}" name="Delta Expected" dataDxfId="2080">
      <calculatedColumnFormula>B5-C5</calculatedColumnFormula>
    </tableColumn>
    <tableColumn id="5" xr3:uid="{296863CB-52BA-4901-AB9B-E4A22D690266}" name="% Expected" dataDxfId="2079" dataCellStyle="Percent">
      <calculatedColumnFormula>IFERROR(D5/C5, 0)</calculatedColumnFormula>
    </tableColumn>
    <tableColumn id="6" xr3:uid="{09CA8AF1-8028-4F50-A2F2-8852BCB533DD}" name="Forecasted" dataDxfId="2078"/>
    <tableColumn id="7" xr3:uid="{43B0FA39-798B-4E42-9B25-8F865327B0C6}" name="Delta Forecasted" dataDxfId="2077" dataCellStyle="Comma">
      <calculatedColumnFormula>B5-F5</calculatedColumnFormula>
    </tableColumn>
    <tableColumn id="8" xr3:uid="{35F786F4-BBE8-4338-9D7A-C6CD8FB5410C}" name="% Forecasted" dataDxfId="2076" dataCellStyle="Percent">
      <calculatedColumnFormula>IFERROR(G5/F5, 0)</calculatedColumnFormula>
    </tableColumn>
    <tableColumn id="9" xr3:uid="{97F4F573-B404-4DB4-B5C7-196DB7FB0D51}" name="Notes" dataDxfId="2075" dataCellStyle="Percent"/>
    <tableColumn id="10" xr3:uid="{0A62C3DC-C558-4748-8B35-A123AC6EEB09}" name="Service Request" dataDxfId="2074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E3D051F-7A37-4050-AB50-1DF08305B1BD}" name="Data6970" displayName="Data6970" ref="A4:J16" totalsRowShown="0" headerRowDxfId="2071" dataDxfId="2070" headerRowBorderDxfId="2068" tableBorderDxfId="2069" dataCellStyle="Percent">
  <autoFilter ref="A4:J16" xr:uid="{59A959C2-52B2-422A-A87A-BC08BBF40681}"/>
  <tableColumns count="10">
    <tableColumn id="1" xr3:uid="{790CF9DF-8B3B-4275-A633-E020F966D1CA}" name="Month" dataDxfId="2067"/>
    <tableColumn id="2" xr3:uid="{F39A3BCA-BF8F-44AD-B1DE-826C482A6500}" name="Actual" dataDxfId="2066">
      <calculatedColumnFormula>10 * ROW() - 40</calculatedColumnFormula>
    </tableColumn>
    <tableColumn id="3" xr3:uid="{272D83C9-C790-47A5-A1B6-373F6F3EDF8C}" name="Expected" dataDxfId="2065"/>
    <tableColumn id="4" xr3:uid="{A5F039E8-4AB2-4976-8AC6-02375316518C}" name="Delta Expected" dataDxfId="2064">
      <calculatedColumnFormula>B5-C5</calculatedColumnFormula>
    </tableColumn>
    <tableColumn id="5" xr3:uid="{EEED01DD-E138-4E7E-87D3-9ECC19B1893C}" name="% Expected" dataDxfId="2063" dataCellStyle="Percent">
      <calculatedColumnFormula>IFERROR(D5/C5, 0)</calculatedColumnFormula>
    </tableColumn>
    <tableColumn id="6" xr3:uid="{DEE62F77-CC2A-45F7-A912-6A5BDE7A2301}" name="Forecasted" dataDxfId="2062"/>
    <tableColumn id="7" xr3:uid="{BAEC7C0E-232D-4BF4-9069-79DEE18E18DA}" name="Delta Forecasted" dataDxfId="2061" dataCellStyle="Comma">
      <calculatedColumnFormula>B5-F5</calculatedColumnFormula>
    </tableColumn>
    <tableColumn id="8" xr3:uid="{3C05A8C1-AC19-49BA-BBF0-C5F6DF99FF91}" name="% Forecasted" dataDxfId="2060" dataCellStyle="Percent">
      <calculatedColumnFormula>IFERROR(G5/F5, 0)</calculatedColumnFormula>
    </tableColumn>
    <tableColumn id="9" xr3:uid="{87FC3E5F-033F-44B3-90C4-254D2C03DC14}" name="Notes" dataDxfId="2059" dataCellStyle="Percent"/>
    <tableColumn id="10" xr3:uid="{510BF6FC-E910-4650-A0D5-5004046F36D8}" name="Service Request" dataDxfId="2058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7E478A5-0CC2-458F-ACB9-9EA9CD7A8809}" name="Data69707576" displayName="Data69707576" ref="A4:J16" totalsRowShown="0" headerRowDxfId="2055" dataDxfId="2054" headerRowBorderDxfId="2052" tableBorderDxfId="2053" dataCellStyle="Percent">
  <autoFilter ref="A4:J16" xr:uid="{59A959C2-52B2-422A-A87A-BC08BBF40681}"/>
  <tableColumns count="10">
    <tableColumn id="1" xr3:uid="{22A1DCF1-75CB-45A8-97BB-20548B4FF827}" name="Month" dataDxfId="2051"/>
    <tableColumn id="2" xr3:uid="{6B9ADD77-C8CE-4453-87A0-EC616285AC29}" name="Actual" dataDxfId="2050">
      <calculatedColumnFormula>10 * ROW() - 40</calculatedColumnFormula>
    </tableColumn>
    <tableColumn id="3" xr3:uid="{7CCA9FBB-9F49-4E52-85BD-84D2905430FC}" name="Expected" dataDxfId="2049"/>
    <tableColumn id="4" xr3:uid="{4F18DD5B-A4D8-4749-AEDE-5DCB3400A5F6}" name="Delta Expected" dataDxfId="2048">
      <calculatedColumnFormula>B5-C5</calculatedColumnFormula>
    </tableColumn>
    <tableColumn id="5" xr3:uid="{921AB879-EEF2-45D0-B8C0-ADD1EBFF3D29}" name="% Expected" dataDxfId="2047" dataCellStyle="Percent">
      <calculatedColumnFormula>IFERROR(D5/C5, 0)</calculatedColumnFormula>
    </tableColumn>
    <tableColumn id="6" xr3:uid="{F7497FA6-2AA6-49BE-8191-FB42404CE671}" name="Forecasted" dataDxfId="2046"/>
    <tableColumn id="7" xr3:uid="{25CB2496-6D81-4BF8-939B-F8B039799554}" name="Delta Forecasted" dataDxfId="2045" dataCellStyle="Comma">
      <calculatedColumnFormula>B5-F5</calculatedColumnFormula>
    </tableColumn>
    <tableColumn id="8" xr3:uid="{DCB593D5-8501-41F0-93CC-2B616C302AE8}" name="% Forecasted" dataDxfId="2044" dataCellStyle="Percent">
      <calculatedColumnFormula>IFERROR(G5/F5, 0)</calculatedColumnFormula>
    </tableColumn>
    <tableColumn id="9" xr3:uid="{9A2A8476-395F-494E-9F2D-EEF62857DB03}" name="Notes" dataDxfId="2043" dataCellStyle="Percent"/>
    <tableColumn id="10" xr3:uid="{D19786EB-378F-4F5E-9392-C2579B815E3E}" name="Service Request" dataDxfId="2042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24C1389-FEF7-4736-964B-3E7A8CF8287C}" name="Data6970757778" displayName="Data6970757778" ref="A4:J16" totalsRowShown="0" headerRowDxfId="2039" dataDxfId="2038" headerRowBorderDxfId="2036" tableBorderDxfId="2037" dataCellStyle="Percent">
  <autoFilter ref="A4:J16" xr:uid="{59A959C2-52B2-422A-A87A-BC08BBF40681}"/>
  <tableColumns count="10">
    <tableColumn id="1" xr3:uid="{D07CDAF7-E8E7-4591-AC20-1DD6DAF1BE74}" name="Month" dataDxfId="2035"/>
    <tableColumn id="2" xr3:uid="{A8EC19AD-F1F2-44C7-B630-F06B3E559ABD}" name="Actual" dataDxfId="2034">
      <calculatedColumnFormula>10 * ROW() - 40</calculatedColumnFormula>
    </tableColumn>
    <tableColumn id="3" xr3:uid="{94450BCF-DC59-4849-89D7-2C6C134EACC7}" name="Expected" dataDxfId="2033"/>
    <tableColumn id="4" xr3:uid="{40A7B831-0EE4-42D4-AA65-750A4267A538}" name="Delta Expected" dataDxfId="2032">
      <calculatedColumnFormula>B5-C5</calculatedColumnFormula>
    </tableColumn>
    <tableColumn id="5" xr3:uid="{39F94711-48FE-40DA-AFCA-BF322F1D2E43}" name="% Expected" dataDxfId="2031" dataCellStyle="Percent">
      <calculatedColumnFormula>IFERROR(D5/C5, 0)</calculatedColumnFormula>
    </tableColumn>
    <tableColumn id="6" xr3:uid="{AC0F421F-7961-423C-9BCF-1A98F87DFDDD}" name="Forecasted" dataDxfId="2030"/>
    <tableColumn id="7" xr3:uid="{EC665574-F695-4D74-A2FB-73CCE2818F05}" name="Delta Forecasted" dataDxfId="2029" dataCellStyle="Comma">
      <calculatedColumnFormula>B5-F5</calculatedColumnFormula>
    </tableColumn>
    <tableColumn id="8" xr3:uid="{CBF704C7-91DC-40B0-9CC9-0E730C9481D9}" name="% Forecasted" dataDxfId="2028" dataCellStyle="Percent">
      <calculatedColumnFormula>IFERROR(G5/F5, 0)</calculatedColumnFormula>
    </tableColumn>
    <tableColumn id="9" xr3:uid="{9EF83ACE-5EC9-491B-A0B7-D0467FDB72B5}" name="Notes" dataDxfId="2027" dataCellStyle="Percent"/>
    <tableColumn id="10" xr3:uid="{C2AF1DBC-F0A6-47D4-9046-83B4CE3AD9F2}" name="Service Request" dataDxfId="2026" dataCellStyle="Perc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22560E9-F738-4614-9B8A-9F30E4157110}" name="Data69707577" displayName="Data69707577" ref="A4:J16" totalsRowShown="0" headerRowDxfId="2023" dataDxfId="2022" headerRowBorderDxfId="2020" tableBorderDxfId="2021" dataCellStyle="Percent">
  <autoFilter ref="A4:J16" xr:uid="{59A959C2-52B2-422A-A87A-BC08BBF40681}"/>
  <tableColumns count="10">
    <tableColumn id="1" xr3:uid="{FB8BF75D-7D5A-41C6-8568-74A7342A1817}" name="Month" dataDxfId="2019"/>
    <tableColumn id="2" xr3:uid="{E91D6D95-2F66-46BC-9C45-B27D077A7259}" name="Actual" dataDxfId="2018">
      <calculatedColumnFormula>10 * ROW() - 40</calculatedColumnFormula>
    </tableColumn>
    <tableColumn id="3" xr3:uid="{0DC1E5C5-F416-4154-A31B-1DB091808E8A}" name="Expected" dataDxfId="2017"/>
    <tableColumn id="4" xr3:uid="{FAA765DD-728D-49F6-9F5E-EEF013D9DC78}" name="Delta Expected" dataDxfId="2016">
      <calculatedColumnFormula>B5-C5</calculatedColumnFormula>
    </tableColumn>
    <tableColumn id="5" xr3:uid="{459AEC61-303C-4C94-B4C0-8824C8342AEE}" name="% Expected" dataDxfId="2015" dataCellStyle="Percent">
      <calculatedColumnFormula>IFERROR(D5/C5, 0)</calculatedColumnFormula>
    </tableColumn>
    <tableColumn id="6" xr3:uid="{5A2983B4-6D54-428E-834B-4C0F3BF374AF}" name="Forecasted" dataDxfId="2014"/>
    <tableColumn id="7" xr3:uid="{39A23D75-6957-4691-A9A6-01A15F238A51}" name="Delta Forecasted" dataDxfId="2013" dataCellStyle="Comma">
      <calculatedColumnFormula>B5-F5</calculatedColumnFormula>
    </tableColumn>
    <tableColumn id="8" xr3:uid="{9AFC9654-A1FF-4E14-B393-CB62719C7DC2}" name="% Forecasted" dataDxfId="2012" dataCellStyle="Percent">
      <calculatedColumnFormula>IFERROR(G5/F5, 0)</calculatedColumnFormula>
    </tableColumn>
    <tableColumn id="9" xr3:uid="{97D68F7D-C617-468B-9D6A-6DA9F9118AEC}" name="Notes" dataDxfId="2011" dataCellStyle="Percent"/>
    <tableColumn id="10" xr3:uid="{E497CB07-7167-44C7-9FF6-3234F3F7EB85}" name="Service Request" dataDxfId="2010" dataCellStyle="Perc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BC4DA3BB-8E03-4480-AC75-C848BBE938CD}" name="Data181941334434564" displayName="Data181941334434564" ref="A4:J16" totalsRowShown="0" headerRowDxfId="2007" dataDxfId="2006" headerRowBorderDxfId="2004" tableBorderDxfId="2005" dataCellStyle="Percent">
  <autoFilter ref="A4:J16" xr:uid="{59A959C2-52B2-422A-A87A-BC08BBF40681}"/>
  <tableColumns count="10">
    <tableColumn id="1" xr3:uid="{B0AC4BB9-02B6-4888-A702-220A1B913D1E}" name="Month" dataDxfId="2003"/>
    <tableColumn id="2" xr3:uid="{83CA57AB-2166-40FE-BF9D-3CF40886D0D1}" name="Actual" dataDxfId="2002"/>
    <tableColumn id="3" xr3:uid="{4A6336EC-7969-4C80-AF5C-DE078470C0D9}" name="Expected" dataDxfId="2001"/>
    <tableColumn id="4" xr3:uid="{E91CBFD2-399B-407E-822F-4BAD3922010D}" name="Delta Expected" dataDxfId="2000">
      <calculatedColumnFormula>B5-C5</calculatedColumnFormula>
    </tableColumn>
    <tableColumn id="5" xr3:uid="{F3AF3E89-1FAC-4942-A74D-87951142A226}" name="% Expected" dataDxfId="1999" dataCellStyle="Percent">
      <calculatedColumnFormula>IFERROR(D5/C5, 0)</calculatedColumnFormula>
    </tableColumn>
    <tableColumn id="6" xr3:uid="{AB9E2B41-47EC-476E-A411-232026567C0C}" name="Forecasted" dataDxfId="1998"/>
    <tableColumn id="7" xr3:uid="{C3347BCB-7870-4F86-B404-DA15C0890DA7}" name="Delta Forecasted" dataDxfId="1997" dataCellStyle="Comma">
      <calculatedColumnFormula>B5-F5</calculatedColumnFormula>
    </tableColumn>
    <tableColumn id="8" xr3:uid="{935C8369-4AB6-404E-B5B7-5F79F9DA61E1}" name="% Forecasted" dataDxfId="1996" dataCellStyle="Percent">
      <calculatedColumnFormula>IFERROR(G5/F5, 0)</calculatedColumnFormula>
    </tableColumn>
    <tableColumn id="9" xr3:uid="{400B7D8B-C673-4DE5-996C-EF217885F05F}" name="Notes" dataDxfId="1995" dataCellStyle="Percent"/>
    <tableColumn id="10" xr3:uid="{FFC09366-B8E7-42F9-B6EC-42951898B840}" name="Service Request" dataDxfId="1994" dataCellStyle="Perc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3F8E38B-0311-4C64-932C-A2994B790947}" name="Data18194133443456465" displayName="Data18194133443456465" ref="A4:J16" totalsRowShown="0" headerRowDxfId="1991" dataDxfId="1990" headerRowBorderDxfId="1988" tableBorderDxfId="1989" dataCellStyle="Percent">
  <autoFilter ref="A4:J16" xr:uid="{59A959C2-52B2-422A-A87A-BC08BBF40681}"/>
  <tableColumns count="10">
    <tableColumn id="1" xr3:uid="{29F3223C-D290-4AFA-B374-7932714F16CE}" name="Month" dataDxfId="1987"/>
    <tableColumn id="2" xr3:uid="{13C9FE94-63F7-42A5-A5D0-EDD52843E463}" name="Actual" dataDxfId="1986"/>
    <tableColumn id="3" xr3:uid="{E82D5142-66B8-412E-8A0A-99B5898029A3}" name="Expected" dataDxfId="1985"/>
    <tableColumn id="4" xr3:uid="{AAC71628-BC16-4E0A-ACB8-2B3F3C528488}" name="Delta Expected" dataDxfId="1984">
      <calculatedColumnFormula>B5-C5</calculatedColumnFormula>
    </tableColumn>
    <tableColumn id="5" xr3:uid="{04C9E7DC-2D3E-4C0F-A37B-C692AB929AFD}" name="% Expected" dataDxfId="1983" dataCellStyle="Percent">
      <calculatedColumnFormula>IFERROR(D5/C5, 0)</calculatedColumnFormula>
    </tableColumn>
    <tableColumn id="6" xr3:uid="{C628C260-4FE4-4081-82C7-1738889E59FB}" name="Forecasted" dataDxfId="1982"/>
    <tableColumn id="7" xr3:uid="{75C45798-01B2-49CD-865F-089D5AC319A3}" name="Delta Forecasted" dataDxfId="1981" dataCellStyle="Comma">
      <calculatedColumnFormula>B5-F5</calculatedColumnFormula>
    </tableColumn>
    <tableColumn id="8" xr3:uid="{460BF7CF-0EEF-491A-AF1D-58AB3B668D5E}" name="% Forecasted" dataDxfId="1980" dataCellStyle="Percent">
      <calculatedColumnFormula>IFERROR(G5/F5, 0)</calculatedColumnFormula>
    </tableColumn>
    <tableColumn id="9" xr3:uid="{BA5CB813-D632-4507-881D-543F96420F4D}" name="Notes" dataDxfId="1979" dataCellStyle="Percent"/>
    <tableColumn id="10" xr3:uid="{F838F8CB-6C88-4056-BE8B-8373F25645DD}" name="Service Request" dataDxfId="1978" dataCellStyle="Perc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70B240D-093D-4D87-BC97-F475FF3AEB14}" name="Data18194133443456465798081" displayName="Data18194133443456465798081" ref="A4:J16" totalsRowShown="0" headerRowDxfId="1975" dataDxfId="1974" headerRowBorderDxfId="1972" tableBorderDxfId="1973" dataCellStyle="Percent">
  <autoFilter ref="A4:J16" xr:uid="{59A959C2-52B2-422A-A87A-BC08BBF40681}"/>
  <tableColumns count="10">
    <tableColumn id="1" xr3:uid="{5C01F174-3D3D-4807-AABC-FDDBED7F2B8B}" name="Month" dataDxfId="1971"/>
    <tableColumn id="2" xr3:uid="{3CEB064F-D5C2-4A0E-A128-226E88745BC5}" name="Actual" dataDxfId="1970"/>
    <tableColumn id="3" xr3:uid="{BFCFFC44-35B1-4AD8-AA43-A263E5DCC7E9}" name="Expected" dataDxfId="1969"/>
    <tableColumn id="4" xr3:uid="{B96D66CA-AF49-461E-8A8F-2843327B60F5}" name="Delta Expected" dataDxfId="1968">
      <calculatedColumnFormula>B5-C5</calculatedColumnFormula>
    </tableColumn>
    <tableColumn id="5" xr3:uid="{C45857E0-09E6-49AF-962D-7013A7CC157D}" name="% Expected" dataDxfId="1967" dataCellStyle="Percent">
      <calculatedColumnFormula>IFERROR(D5/C5, 0)</calculatedColumnFormula>
    </tableColumn>
    <tableColumn id="6" xr3:uid="{95EA2A33-FDB6-40C3-A66F-7E50B38E11AB}" name="Forecasted" dataDxfId="1966"/>
    <tableColumn id="7" xr3:uid="{D6CAC7C4-B344-4C5A-85BD-122C466B4B32}" name="Delta Forecasted" dataDxfId="1965" dataCellStyle="Comma">
      <calculatedColumnFormula>B5-F5</calculatedColumnFormula>
    </tableColumn>
    <tableColumn id="8" xr3:uid="{33F3596E-93C2-4699-862E-247AECE455F6}" name="% Forecasted" dataDxfId="1964" dataCellStyle="Percent">
      <calculatedColumnFormula>IFERROR(G5/F5, 0)</calculatedColumnFormula>
    </tableColumn>
    <tableColumn id="9" xr3:uid="{5547FB46-7EDB-46D4-ADD0-BA58DBCDF0AC}" name="Notes" dataDxfId="1963" dataCellStyle="Percent"/>
    <tableColumn id="10" xr3:uid="{4A492CCD-D11D-436D-B4AF-C04BF04958C3}" name="Service Request" dataDxfId="1962" dataCellStyle="Per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C0CF38F-ADC0-4238-B156-2CC2C80E1A8C}" name="Data181941334434564657980" displayName="Data181941334434564657980" ref="A4:J16" totalsRowShown="0" headerRowDxfId="1959" dataDxfId="1958" headerRowBorderDxfId="1956" tableBorderDxfId="1957" dataCellStyle="Percent">
  <autoFilter ref="A4:J16" xr:uid="{59A959C2-52B2-422A-A87A-BC08BBF40681}"/>
  <tableColumns count="10">
    <tableColumn id="1" xr3:uid="{05FFB45D-A7EA-41EF-984A-FD9FECABFA69}" name="Month" dataDxfId="1955"/>
    <tableColumn id="2" xr3:uid="{2F3DA4A8-1308-4366-9241-0CAE9778A934}" name="Actual" dataDxfId="1954"/>
    <tableColumn id="3" xr3:uid="{6445954F-C23D-491A-86D4-129348DC953D}" name="Expected" dataDxfId="1953"/>
    <tableColumn id="4" xr3:uid="{7745453B-9D0F-4327-B0B2-25369622F8E1}" name="Delta Expected" dataDxfId="1952">
      <calculatedColumnFormula>B5-C5</calculatedColumnFormula>
    </tableColumn>
    <tableColumn id="5" xr3:uid="{A77C4A6E-65BB-4032-B1B2-9A7401BEAC21}" name="% Expected" dataDxfId="1951" dataCellStyle="Percent">
      <calculatedColumnFormula>IFERROR(D5/C5, 0)</calculatedColumnFormula>
    </tableColumn>
    <tableColumn id="6" xr3:uid="{4F25300E-40E5-42A9-83FD-DF6D7F87F8AA}" name="Forecasted" dataDxfId="1950"/>
    <tableColumn id="7" xr3:uid="{4C398D34-621C-4F49-8155-B807B6D2719C}" name="Delta Forecasted" dataDxfId="1949" dataCellStyle="Comma">
      <calculatedColumnFormula>B5-F5</calculatedColumnFormula>
    </tableColumn>
    <tableColumn id="8" xr3:uid="{CE81DB1E-5548-4258-BEAE-21CBABE375CE}" name="% Forecasted" dataDxfId="1948" dataCellStyle="Percent">
      <calculatedColumnFormula>IFERROR(G5/F5, 0)</calculatedColumnFormula>
    </tableColumn>
    <tableColumn id="9" xr3:uid="{6BB7EB98-EC15-4FC6-984D-1EF83FDE6E2C}" name="Notes" dataDxfId="1947" dataCellStyle="Percent"/>
    <tableColumn id="10" xr3:uid="{D3D9CFBC-7FA5-46DA-B032-2E9EE73C43F9}" name="Service Request" dataDxfId="1946" dataCellStyle="Per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1A06D2A-37BF-4567-984A-054206021BE2}" name="Data181941334434564657982" displayName="Data181941334434564657982" ref="A4:J16" totalsRowShown="0" headerRowDxfId="1943" dataDxfId="1942" headerRowBorderDxfId="1940" tableBorderDxfId="1941" dataCellStyle="Percent">
  <autoFilter ref="A4:J16" xr:uid="{59A959C2-52B2-422A-A87A-BC08BBF40681}"/>
  <tableColumns count="10">
    <tableColumn id="1" xr3:uid="{ABA0C5FD-A342-42C5-8930-BD83C44D38BD}" name="Month" dataDxfId="1939"/>
    <tableColumn id="2" xr3:uid="{86F71ED5-3299-4443-B504-F2DBDC89FF07}" name="Actual" dataDxfId="1938"/>
    <tableColumn id="3" xr3:uid="{D58734AD-0664-4566-845B-398A4C87572F}" name="Expected" dataDxfId="1937"/>
    <tableColumn id="4" xr3:uid="{BE93BB4C-90EC-4356-8D12-CA1FA8DF5D28}" name="Delta Expected" dataDxfId="1936">
      <calculatedColumnFormula>B5-C5</calculatedColumnFormula>
    </tableColumn>
    <tableColumn id="5" xr3:uid="{F5AF6914-D8D5-4EB4-8B6D-F8A1E839F6CE}" name="% Expected" dataDxfId="1935" dataCellStyle="Percent">
      <calculatedColumnFormula>IFERROR(D5/C5, 0)</calculatedColumnFormula>
    </tableColumn>
    <tableColumn id="6" xr3:uid="{AE2F76F2-117C-4BA4-B519-46A22B88C359}" name="Forecasted" dataDxfId="1934"/>
    <tableColumn id="7" xr3:uid="{00B1F049-A769-4AF5-8BB0-21547B91E108}" name="Delta Forecasted" dataDxfId="1933" dataCellStyle="Comma">
      <calculatedColumnFormula>B5-F5</calculatedColumnFormula>
    </tableColumn>
    <tableColumn id="8" xr3:uid="{E7F3C53E-B326-44FE-A4E6-EF50B8D31908}" name="% Forecasted" dataDxfId="1932" dataCellStyle="Percent">
      <calculatedColumnFormula>IFERROR(G5/F5, 0)</calculatedColumnFormula>
    </tableColumn>
    <tableColumn id="9" xr3:uid="{989A12C7-8314-43BE-95F1-15EF7386AEA3}" name="Notes" dataDxfId="1931" dataCellStyle="Percent"/>
    <tableColumn id="10" xr3:uid="{AF827ADC-610A-4221-AADE-F9D8E21F3EBE}" name="Service Request" dataDxfId="1930" dataCellStyle="Perce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A6E6C6D9-4658-4351-AE5B-DECC31601062}" name="Data1819413344345646579" displayName="Data1819413344345646579" ref="A4:J16" totalsRowShown="0" headerRowDxfId="1927" dataDxfId="1926" headerRowBorderDxfId="1924" tableBorderDxfId="1925" dataCellStyle="Percent">
  <autoFilter ref="A4:J16" xr:uid="{59A959C2-52B2-422A-A87A-BC08BBF40681}"/>
  <tableColumns count="10">
    <tableColumn id="1" xr3:uid="{078E2661-9795-4808-A00F-76371D100365}" name="Month" dataDxfId="1923"/>
    <tableColumn id="2" xr3:uid="{0AE06B52-D4C1-4229-88BB-4F775BE202F8}" name="Actual" dataDxfId="1922"/>
    <tableColumn id="3" xr3:uid="{DE224987-44F6-4450-B837-4F9EEAA6FBF4}" name="Expected" dataDxfId="1921"/>
    <tableColumn id="4" xr3:uid="{17F81198-2A8A-419E-862A-FA64D85B5F51}" name="Delta Expected" dataDxfId="1920">
      <calculatedColumnFormula>B5-C5</calculatedColumnFormula>
    </tableColumn>
    <tableColumn id="5" xr3:uid="{B40080B9-496E-4851-8281-4E90B6B92D7D}" name="% Expected" dataDxfId="1919" dataCellStyle="Percent">
      <calculatedColumnFormula>IFERROR(D5/C5, 0)</calculatedColumnFormula>
    </tableColumn>
    <tableColumn id="6" xr3:uid="{AA70320C-077F-471D-BC15-655C51FAC1DB}" name="Forecasted" dataDxfId="1918"/>
    <tableColumn id="7" xr3:uid="{109F0D15-8415-4646-A7AB-B6D70D4A955F}" name="Delta Forecasted" dataDxfId="1917" dataCellStyle="Comma">
      <calculatedColumnFormula>B5-F5</calculatedColumnFormula>
    </tableColumn>
    <tableColumn id="8" xr3:uid="{39CF066C-E0B6-4FD7-AC6B-B454669FADA6}" name="% Forecasted" dataDxfId="1916" dataCellStyle="Percent">
      <calculatedColumnFormula>IFERROR(G5/F5, 0)</calculatedColumnFormula>
    </tableColumn>
    <tableColumn id="9" xr3:uid="{26183270-547D-4404-8D2C-2DE624D4A54E}" name="Notes" dataDxfId="1915" dataCellStyle="Percent"/>
    <tableColumn id="10" xr3:uid="{E455B601-E6AC-4B82-BD14-C80928FAC16D}" name="Service Request" dataDxfId="1914" dataCellStyle="Perc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C8539B7-5AD8-43CF-B834-A5EE76A461A9}" name="Data18194133443456465798384" displayName="Data18194133443456465798384" ref="A4:J16" totalsRowShown="0" headerRowDxfId="1911" dataDxfId="1910" headerRowBorderDxfId="1908" tableBorderDxfId="1909" dataCellStyle="Percent">
  <autoFilter ref="A4:J16" xr:uid="{59A959C2-52B2-422A-A87A-BC08BBF40681}"/>
  <tableColumns count="10">
    <tableColumn id="1" xr3:uid="{6826F518-9612-4D94-93A3-C10049445774}" name="Month" dataDxfId="1907"/>
    <tableColumn id="2" xr3:uid="{80216814-66FB-437E-AABC-D04449DA68FC}" name="Actual" dataDxfId="1906"/>
    <tableColumn id="3" xr3:uid="{DBBC433D-C405-4005-8EA7-6B47B009FEF9}" name="Expected" dataDxfId="1905"/>
    <tableColumn id="4" xr3:uid="{C1876B5B-D624-4B0A-92B6-D5EBC5DB44DF}" name="Delta Expected" dataDxfId="1904">
      <calculatedColumnFormula>B5-C5</calculatedColumnFormula>
    </tableColumn>
    <tableColumn id="5" xr3:uid="{B937669B-71CB-414D-81E3-DC86208478D8}" name="% Expected" dataDxfId="1903" dataCellStyle="Percent">
      <calculatedColumnFormula>IFERROR(D5/C5, 0)</calculatedColumnFormula>
    </tableColumn>
    <tableColumn id="6" xr3:uid="{82B37DAD-E3A3-4E6A-BF3B-EEBE526AC927}" name="Forecasted" dataDxfId="1902"/>
    <tableColumn id="7" xr3:uid="{FFC10833-F764-44DD-8678-F578BB6FAFBF}" name="Delta Forecasted" dataDxfId="1901" dataCellStyle="Comma">
      <calculatedColumnFormula>B5-F5</calculatedColumnFormula>
    </tableColumn>
    <tableColumn id="8" xr3:uid="{39B0A913-85BD-4510-A883-8DB8EF2E57F9}" name="% Forecasted" dataDxfId="1900" dataCellStyle="Percent">
      <calculatedColumnFormula>IFERROR(G5/F5, 0)</calculatedColumnFormula>
    </tableColumn>
    <tableColumn id="9" xr3:uid="{A353B133-A75A-48B3-811B-5E2ECC83E5CA}" name="Notes" dataDxfId="1899" dataCellStyle="Percent"/>
    <tableColumn id="10" xr3:uid="{F07232B1-DD5B-4C5D-B534-11C5EB85390C}" name="Service Request" dataDxfId="1898" dataCellStyle="Perce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10D72E10-72E7-4565-BC7A-6E24C9E984AF}" name="Data181941334434564657983" displayName="Data181941334434564657983" ref="A4:J16" totalsRowShown="0" headerRowDxfId="1895" dataDxfId="1894" headerRowBorderDxfId="1892" tableBorderDxfId="1893" dataCellStyle="Percent">
  <autoFilter ref="A4:J16" xr:uid="{59A959C2-52B2-422A-A87A-BC08BBF40681}"/>
  <tableColumns count="10">
    <tableColumn id="1" xr3:uid="{D6EA06D7-759C-47E4-85B2-E7C51F90AD00}" name="Month" dataDxfId="1891"/>
    <tableColumn id="2" xr3:uid="{430249AD-2CCD-4039-ACD9-D99811E87A84}" name="Actual" dataDxfId="1890"/>
    <tableColumn id="3" xr3:uid="{D916D8F0-66BA-417C-AF5A-8B479453C6B0}" name="Expected" dataDxfId="1889"/>
    <tableColumn id="4" xr3:uid="{ED379CA4-91A9-4317-8BE3-5968028186B7}" name="Delta Expected" dataDxfId="1888">
      <calculatedColumnFormula>B5-C5</calculatedColumnFormula>
    </tableColumn>
    <tableColumn id="5" xr3:uid="{E728A691-29E1-4531-849D-363DB471839D}" name="% Expected" dataDxfId="1887" dataCellStyle="Percent">
      <calculatedColumnFormula>IFERROR(D5/C5, 0)</calculatedColumnFormula>
    </tableColumn>
    <tableColumn id="6" xr3:uid="{352A7EB6-DC1E-4CD1-883D-8266D6B4FD79}" name="Forecasted" dataDxfId="1886"/>
    <tableColumn id="7" xr3:uid="{4C91AA12-E7A2-47AB-9F2F-CACAE3688F83}" name="Delta Forecasted" dataDxfId="1885" dataCellStyle="Comma">
      <calculatedColumnFormula>B5-F5</calculatedColumnFormula>
    </tableColumn>
    <tableColumn id="8" xr3:uid="{5F508955-9767-4F9D-8A70-A74DF1F1E77E}" name="% Forecasted" dataDxfId="1884" dataCellStyle="Percent">
      <calculatedColumnFormula>IFERROR(G5/F5, 0)</calculatedColumnFormula>
    </tableColumn>
    <tableColumn id="9" xr3:uid="{9882E24E-3659-472B-AF79-6F53198FD5FC}" name="Notes" dataDxfId="1883" dataCellStyle="Percent"/>
    <tableColumn id="10" xr3:uid="{92CA7527-042A-4914-85C5-E2006B2DA276}" name="Service Request" dataDxfId="1882" dataCellStyle="Perc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1879" dataDxfId="1878" headerRowBorderDxfId="1876" tableBorderDxfId="1877" dataCellStyle="Percent">
  <autoFilter ref="A4:J16" xr:uid="{59A959C2-52B2-422A-A87A-BC08BBF40681}"/>
  <tableColumns count="10">
    <tableColumn id="1" xr3:uid="{5546520C-DCC9-49E9-9FB3-CE316D4944DA}" name="Month" dataDxfId="1875"/>
    <tableColumn id="2" xr3:uid="{DDF452E8-4CE6-4DD7-83F1-6C18FAC64F53}" name="Actual" dataDxfId="1874">
      <calculatedColumnFormula>10 * ROW() - 40</calculatedColumnFormula>
    </tableColumn>
    <tableColumn id="3" xr3:uid="{854FA685-1E8D-434A-A191-70ED326137F6}" name="Expected" dataDxfId="1873"/>
    <tableColumn id="4" xr3:uid="{5C3F4DED-9A03-4256-AB35-C17DABA79D2D}" name="Delta Expected" dataDxfId="1872">
      <calculatedColumnFormula>B5-C5</calculatedColumnFormula>
    </tableColumn>
    <tableColumn id="5" xr3:uid="{41D24EBB-4EC4-4943-84C6-B4913606DB53}" name="% Expected" dataDxfId="1871" dataCellStyle="Percent">
      <calculatedColumnFormula>IFERROR(D5/C5, 0)</calculatedColumnFormula>
    </tableColumn>
    <tableColumn id="6" xr3:uid="{BD395EF8-0433-4B53-BE3C-227C7BC36415}" name="Forecasted" dataDxfId="1870"/>
    <tableColumn id="7" xr3:uid="{72B64D61-E6FB-4C48-8CEB-D343DF097E3E}" name="Delta Forecasted" dataDxfId="1869" dataCellStyle="Comma">
      <calculatedColumnFormula>B5-F5</calculatedColumnFormula>
    </tableColumn>
    <tableColumn id="8" xr3:uid="{27F4C8CA-7E0A-46AD-8278-F15F669646B7}" name="% Forecasted" dataDxfId="1868" dataCellStyle="Percent">
      <calculatedColumnFormula>IFERROR(G5/F5, 0)</calculatedColumnFormula>
    </tableColumn>
    <tableColumn id="9" xr3:uid="{623D8263-ADF2-4E83-A133-77A77ECF5573}" name="Notes" dataDxfId="1867" dataCellStyle="Percent"/>
    <tableColumn id="10" xr3:uid="{D21843AC-EB45-41B5-BBF8-600127984792}" name="Service Request" dataDxfId="1866" dataCellStyle="Perce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529A29AE-39CE-41F1-9D76-2EEBF77B5298}" name="Data18115" displayName="Data18115" ref="A4:J16" totalsRowShown="0" headerRowDxfId="1861" dataDxfId="1860" headerRowBorderDxfId="1858" tableBorderDxfId="1859" dataCellStyle="Percent">
  <autoFilter ref="A4:J16" xr:uid="{529A29AE-39CE-41F1-9D76-2EEBF77B5298}"/>
  <tableColumns count="10">
    <tableColumn id="1" xr3:uid="{57D890A7-C25D-4362-975F-C1AADA2FF276}" name="Month" dataDxfId="1857"/>
    <tableColumn id="2" xr3:uid="{41D3C183-C166-407B-BF55-2C5CD27F940F}" name="Actual" dataDxfId="1856">
      <calculatedColumnFormula>10 * ROW() - 40</calculatedColumnFormula>
    </tableColumn>
    <tableColumn id="3" xr3:uid="{B1B7B1D9-6459-4558-9EF1-57DC2E3577EC}" name="Expected" dataDxfId="1855"/>
    <tableColumn id="4" xr3:uid="{141E907A-DF52-4802-877D-BA70438A0F2D}" name="Delta Expected" dataDxfId="1854">
      <calculatedColumnFormula>B5-C5</calculatedColumnFormula>
    </tableColumn>
    <tableColumn id="5" xr3:uid="{33C65262-A79C-47D6-86FA-02613A046D41}" name="% Expected" dataDxfId="1853" dataCellStyle="Percent">
      <calculatedColumnFormula>IFERROR(D5/C5, 0)</calculatedColumnFormula>
    </tableColumn>
    <tableColumn id="6" xr3:uid="{C4951DA4-51EE-4B59-B4D8-36FD91159C7F}" name="Forecasted" dataDxfId="1852"/>
    <tableColumn id="7" xr3:uid="{F2CD80F2-1029-42BD-AF9D-3E88078506F9}" name="Delta Forecasted" dataDxfId="1851" dataCellStyle="Comma">
      <calculatedColumnFormula>B5-F5</calculatedColumnFormula>
    </tableColumn>
    <tableColumn id="8" xr3:uid="{F44F0E42-516E-4039-B648-B669823E3171}" name="% Forecasted" dataDxfId="1850" dataCellStyle="Percent">
      <calculatedColumnFormula>IFERROR(G5/F5, 0)</calculatedColumnFormula>
    </tableColumn>
    <tableColumn id="9" xr3:uid="{B4062551-A7B2-4713-9A47-C4B22BAC6AC3}" name="Notes" dataDxfId="1849" dataCellStyle="Percent"/>
    <tableColumn id="10" xr3:uid="{27D26CFD-BFBA-4D52-AE0F-B6BDD88938AF}" name="Service Request" dataDxfId="1848" dataCellStyle="Percen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1843" dataDxfId="1842" headerRowBorderDxfId="1840" tableBorderDxfId="1841" dataCellStyle="Percent">
  <autoFilter ref="A4:J16" xr:uid="{59A959C2-52B2-422A-A87A-BC08BBF40681}"/>
  <tableColumns count="10">
    <tableColumn id="1" xr3:uid="{300F2B93-3E43-4029-9602-E5303206602D}" name="Month" dataDxfId="1839"/>
    <tableColumn id="2" xr3:uid="{37FF0282-4483-4A16-B4CD-FA5C5D2AAB66}" name="Actual" dataDxfId="1838">
      <calculatedColumnFormula>10 * ROW() - 40</calculatedColumnFormula>
    </tableColumn>
    <tableColumn id="3" xr3:uid="{4B1572C6-48CA-4285-A895-59F55B5B6A3F}" name="Expected" dataDxfId="1837"/>
    <tableColumn id="4" xr3:uid="{05CC6563-3045-40DE-A32C-A03045F46221}" name="Delta Expected" dataDxfId="1836">
      <calculatedColumnFormula>B5-C5</calculatedColumnFormula>
    </tableColumn>
    <tableColumn id="5" xr3:uid="{0112F9D3-7673-407D-B2C0-617699B4EADA}" name="% Expected" dataDxfId="1835" dataCellStyle="Percent">
      <calculatedColumnFormula>IFERROR(D5/C5, 0)</calculatedColumnFormula>
    </tableColumn>
    <tableColumn id="6" xr3:uid="{66AF3356-8A8A-4469-9904-982EE44943E2}" name="Forecasted" dataDxfId="1834"/>
    <tableColumn id="7" xr3:uid="{C6527BC9-FA83-465E-9209-CCE13ABEDC9D}" name="Delta Forecasted" dataDxfId="1833" dataCellStyle="Comma">
      <calculatedColumnFormula>B5-F5</calculatedColumnFormula>
    </tableColumn>
    <tableColumn id="8" xr3:uid="{FA6C6671-F650-4018-910D-2FFB550B3762}" name="% Forecasted" dataDxfId="1832" dataCellStyle="Percent">
      <calculatedColumnFormula>IFERROR(G5/F5, 0)</calculatedColumnFormula>
    </tableColumn>
    <tableColumn id="9" xr3:uid="{2783C74E-2CBC-4809-B11D-46D4F8FBBA31}" name="Notes" dataDxfId="1831" dataCellStyle="Percent"/>
    <tableColumn id="10" xr3:uid="{0D13FC05-4475-4C0F-ACFE-D5CA9083D091}" name="Service Request" dataDxfId="1830" dataCellStyle="Perce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1827" dataDxfId="1826" headerRowBorderDxfId="1824" tableBorderDxfId="1825" dataCellStyle="Percent">
  <autoFilter ref="A4:J16" xr:uid="{59A959C2-52B2-422A-A87A-BC08BBF40681}"/>
  <tableColumns count="10">
    <tableColumn id="1" xr3:uid="{0C8C5D2C-22CD-4B1A-AA89-7DF9CC077053}" name="Month" dataDxfId="1823"/>
    <tableColumn id="2" xr3:uid="{1504A410-2AFF-45D8-B05D-3003630C6253}" name="Actual" dataDxfId="1822"/>
    <tableColumn id="3" xr3:uid="{E4620953-7DAB-4FED-A94B-5ED1A18BA51C}" name="Expected" dataDxfId="1821"/>
    <tableColumn id="4" xr3:uid="{0E2D487F-5D52-4EF3-93FA-9263831DB0A2}" name="Delta Expected" dataDxfId="1820">
      <calculatedColumnFormula>B5-C5</calculatedColumnFormula>
    </tableColumn>
    <tableColumn id="5" xr3:uid="{4E7B4ABC-A69B-400D-B5B2-832C6832F796}" name="% Expected" dataDxfId="1819" dataCellStyle="Percent">
      <calculatedColumnFormula>IFERROR(D5/C5, 0)</calculatedColumnFormula>
    </tableColumn>
    <tableColumn id="6" xr3:uid="{01863DDF-3CCB-4609-8F75-0B0C278BB83F}" name="Forecasted" dataDxfId="1818"/>
    <tableColumn id="7" xr3:uid="{8D07CC50-2E6D-421F-97CE-C028BAC10737}" name="Delta Forecasted" dataDxfId="1817" dataCellStyle="Comma">
      <calculatedColumnFormula>B5-F5</calculatedColumnFormula>
    </tableColumn>
    <tableColumn id="8" xr3:uid="{4AC223A0-5E24-439A-AE0C-C81A96EC683F}" name="% Forecasted" dataDxfId="1816" dataCellStyle="Percent">
      <calculatedColumnFormula>IFERROR(G5/F5, 0)</calculatedColumnFormula>
    </tableColumn>
    <tableColumn id="9" xr3:uid="{B21D21F1-1D16-4710-8885-CDF7B8E73B1F}" name="Notes" dataDxfId="1815" dataCellStyle="Percent"/>
    <tableColumn id="10" xr3:uid="{7153195E-F3DA-438B-8DCB-CED54F61277D}" name="Service Request" dataDxfId="1814" dataCellStyle="Percen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1811" dataDxfId="1810" headerRowBorderDxfId="1808" tableBorderDxfId="1809" dataCellStyle="Percent">
  <autoFilter ref="A4:J16" xr:uid="{59A959C2-52B2-422A-A87A-BC08BBF40681}"/>
  <tableColumns count="10">
    <tableColumn id="1" xr3:uid="{838083B7-0287-4C21-9A6F-17E6A9A57D22}" name="Month" dataDxfId="1807"/>
    <tableColumn id="2" xr3:uid="{247316F2-665B-4CB8-AE98-B160EDC17CD1}" name="Actual" dataDxfId="1806"/>
    <tableColumn id="3" xr3:uid="{28F7712E-DE86-4EF2-A5CF-1CC2167EC41E}" name="Expected" dataDxfId="1805"/>
    <tableColumn id="4" xr3:uid="{D3B59548-44B6-4CD4-9C83-00A146E8357F}" name="Delta Expected" dataDxfId="1804">
      <calculatedColumnFormula>B5-C5</calculatedColumnFormula>
    </tableColumn>
    <tableColumn id="5" xr3:uid="{0F77CB24-DF7E-44EB-8F7A-EF266ED592AE}" name="% Expected" dataDxfId="1803" dataCellStyle="Percent">
      <calculatedColumnFormula>IFERROR(D5/C5, 0)</calculatedColumnFormula>
    </tableColumn>
    <tableColumn id="6" xr3:uid="{8C639BB8-17D1-4724-86F9-E040B1E62A03}" name="Forecasted" dataDxfId="1802"/>
    <tableColumn id="7" xr3:uid="{44F5CABC-A9BD-4E7B-9A00-6B48C98165F9}" name="Delta Forecasted" dataDxfId="1801" dataCellStyle="Comma">
      <calculatedColumnFormula>B5-F5</calculatedColumnFormula>
    </tableColumn>
    <tableColumn id="8" xr3:uid="{2C2956C7-5C1E-43AF-BBA2-759C09FFD0D8}" name="% Forecasted" dataDxfId="1800" dataCellStyle="Percent">
      <calculatedColumnFormula>IFERROR(G5/F5, 0)</calculatedColumnFormula>
    </tableColumn>
    <tableColumn id="9" xr3:uid="{482A0B3D-F68B-4980-A8D8-A77870F1CACE}" name="Notes" dataDxfId="1799" dataCellStyle="Percent"/>
    <tableColumn id="10" xr3:uid="{8EDA506D-EE14-4152-8B4C-D3AEABA8ED99}" name="Service Request" dataDxfId="1798" dataCellStyle="Percen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1795" dataDxfId="1794" headerRowBorderDxfId="1792" tableBorderDxfId="1793" dataCellStyle="Percent">
  <autoFilter ref="A4:J16" xr:uid="{59A959C2-52B2-422A-A87A-BC08BBF40681}"/>
  <tableColumns count="10">
    <tableColumn id="1" xr3:uid="{118AA2FE-E7D2-4206-B16A-6CCC68775996}" name="Month" dataDxfId="1791"/>
    <tableColumn id="2" xr3:uid="{8A368234-EDD7-4E42-B9AD-515668818627}" name="Actual" dataDxfId="1790"/>
    <tableColumn id="3" xr3:uid="{73D95621-FBC9-4CA1-AC2E-D1C96DE36B70}" name="Expected" dataDxfId="1789"/>
    <tableColumn id="4" xr3:uid="{48DCF5B7-C57B-4CF9-A49C-382C49997254}" name="Delta Expected" dataDxfId="1788">
      <calculatedColumnFormula>B5-C5</calculatedColumnFormula>
    </tableColumn>
    <tableColumn id="5" xr3:uid="{5063409C-2F70-4B9F-84DC-2C5F3812BB27}" name="% Expected" dataDxfId="1787" dataCellStyle="Percent">
      <calculatedColumnFormula>IFERROR(D5/C5, 0)</calculatedColumnFormula>
    </tableColumn>
    <tableColumn id="6" xr3:uid="{81C000AC-8AC1-4109-A3D9-07363868E241}" name="Forecasted" dataDxfId="1786"/>
    <tableColumn id="7" xr3:uid="{FE7AC5F1-C3C2-4907-9BD3-BF7CE8EFF4D8}" name="Delta Forecasted" dataDxfId="1785" dataCellStyle="Comma">
      <calculatedColumnFormula>B5-F5</calculatedColumnFormula>
    </tableColumn>
    <tableColumn id="8" xr3:uid="{504FC4D5-CE5F-4A3D-8704-2F10443078A7}" name="% Forecasted" dataDxfId="1784" dataCellStyle="Percent">
      <calculatedColumnFormula>IFERROR(G5/F5, 0)</calculatedColumnFormula>
    </tableColumn>
    <tableColumn id="9" xr3:uid="{FBC18841-E5E5-4300-A44D-DAAA6A23EC2A}" name="Notes" dataDxfId="1783" dataCellStyle="Percent"/>
    <tableColumn id="10" xr3:uid="{9FDCDDFC-003E-4741-A2BA-7A020C5F93E1}" name="Service Request" dataDxfId="1782" dataCellStyle="Percen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9A3C44-577B-4C40-8F57-7207CDD719E6}" name="Data1819202122232425" displayName="Data1819202122232425" ref="A4:J16" totalsRowShown="0" headerRowDxfId="1779" dataDxfId="1778" headerRowBorderDxfId="1776" tableBorderDxfId="1777" dataCellStyle="Percent">
  <autoFilter ref="A4:J16" xr:uid="{59A959C2-52B2-422A-A87A-BC08BBF40681}"/>
  <tableColumns count="10">
    <tableColumn id="1" xr3:uid="{3A3EEF0D-D014-4E53-901F-CA7C928A30A1}" name="Month" dataDxfId="1775"/>
    <tableColumn id="2" xr3:uid="{ACE88E48-6015-4F1C-B2B4-901B0FB7A72E}" name="Actual" dataDxfId="1774"/>
    <tableColumn id="3" xr3:uid="{C450CF17-55EB-41DF-86BF-0F90B2B17116}" name="Expected" dataDxfId="1773"/>
    <tableColumn id="4" xr3:uid="{D328879F-AF67-4769-A8A0-1C5A45E099F0}" name="Delta Expected" dataDxfId="1772">
      <calculatedColumnFormula>B5-C5</calculatedColumnFormula>
    </tableColumn>
    <tableColumn id="5" xr3:uid="{5A328FC1-E240-4800-9AF2-110C4A4ECC65}" name="% Expected" dataDxfId="1771" dataCellStyle="Percent">
      <calculatedColumnFormula>IFERROR(D5/C5, 0)</calculatedColumnFormula>
    </tableColumn>
    <tableColumn id="6" xr3:uid="{7C79FD01-0775-4035-A0D4-C688561910F6}" name="Forecasted" dataDxfId="1770"/>
    <tableColumn id="7" xr3:uid="{9B11E4B3-2FEA-48ED-B46E-5AD64770E9EF}" name="Delta Forecasted" dataDxfId="1769" dataCellStyle="Comma">
      <calculatedColumnFormula>B5-F5</calculatedColumnFormula>
    </tableColumn>
    <tableColumn id="8" xr3:uid="{E2E6FD63-076A-4431-AAB9-BC1A2E2B8105}" name="% Forecasted" dataDxfId="1768" dataCellStyle="Percent">
      <calculatedColumnFormula>IFERROR(G5/F5, 0)</calculatedColumnFormula>
    </tableColumn>
    <tableColumn id="9" xr3:uid="{CCA03326-3B22-4649-B671-18B331CFCFC9}" name="Notes" dataDxfId="1767" dataCellStyle="Percent"/>
    <tableColumn id="10" xr3:uid="{6C921FF4-9FBC-47A9-B98A-CB58C94F10C5}" name="Service Request" dataDxfId="1766" dataCellStyle="Percen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F895CF09-41E9-48A0-98A0-1B54D0BFF58B}" name="Data18192021222324116" displayName="Data18192021222324116" ref="A4:J16" totalsRowShown="0" headerRowDxfId="1763" dataDxfId="1762" headerRowBorderDxfId="1760" tableBorderDxfId="1761" dataCellStyle="Percent">
  <autoFilter ref="A4:J16" xr:uid="{F895CF09-41E9-48A0-98A0-1B54D0BFF58B}"/>
  <tableColumns count="10">
    <tableColumn id="1" xr3:uid="{42583B89-0597-4346-A1F2-33B8AFDAE5DD}" name="Month" dataDxfId="1759"/>
    <tableColumn id="2" xr3:uid="{413E2408-8160-45EE-98DD-E4F0F8CB0E7A}" name="Actual" dataDxfId="1758"/>
    <tableColumn id="3" xr3:uid="{BBD0C8C5-DD81-4250-8FB7-E481DD2C5567}" name="Expected" dataDxfId="1757"/>
    <tableColumn id="4" xr3:uid="{D0139660-183B-4538-970F-454841068C03}" name="Delta Expected" dataDxfId="1756">
      <calculatedColumnFormula>B5-C5</calculatedColumnFormula>
    </tableColumn>
    <tableColumn id="5" xr3:uid="{726D88DC-C679-4830-99F3-96D50914D1B6}" name="% Expected" dataDxfId="1755" dataCellStyle="Percent">
      <calculatedColumnFormula>IFERROR(D5/C5, 0)</calculatedColumnFormula>
    </tableColumn>
    <tableColumn id="6" xr3:uid="{EA21B5E8-E449-416C-A5CD-FFB07B0A607B}" name="Forecasted" dataDxfId="1754"/>
    <tableColumn id="7" xr3:uid="{A075D4A7-FDF7-460F-A8A7-36297808A893}" name="Delta Forecasted" dataDxfId="1753" dataCellStyle="Comma">
      <calculatedColumnFormula>B5-F5</calculatedColumnFormula>
    </tableColumn>
    <tableColumn id="8" xr3:uid="{B40C567C-3844-4784-9D5E-944840D08C1C}" name="% Forecasted" dataDxfId="1752" dataCellStyle="Percent">
      <calculatedColumnFormula>IFERROR(G5/F5, 0)</calculatedColumnFormula>
    </tableColumn>
    <tableColumn id="9" xr3:uid="{1B819973-A383-4F73-AD8A-E044BB278F65}" name="Notes" dataDxfId="1751" dataCellStyle="Percent"/>
    <tableColumn id="10" xr3:uid="{26316A61-23F0-4829-ADC2-781175281655}" name="Service Request" dataDxfId="1750" dataCellStyle="Percen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40BF71-B37D-403C-8ED2-970FEFC4E1F8}" name="Data18192021222324" displayName="Data18192021222324" ref="A4:J16" totalsRowShown="0" headerRowDxfId="1747" dataDxfId="1746" headerRowBorderDxfId="1744" tableBorderDxfId="1745" dataCellStyle="Percent">
  <autoFilter ref="A4:J16" xr:uid="{59A959C2-52B2-422A-A87A-BC08BBF40681}"/>
  <tableColumns count="10">
    <tableColumn id="1" xr3:uid="{F9004329-C93B-4933-AB9F-534ED42FFD10}" name="Month" dataDxfId="1743"/>
    <tableColumn id="2" xr3:uid="{432C2987-91D2-4E70-8181-8CD8A6D67978}" name="Actual" dataDxfId="1742"/>
    <tableColumn id="3" xr3:uid="{BF6EC749-C28A-4B1B-9CA2-88C8EED0F545}" name="Expected" dataDxfId="1741"/>
    <tableColumn id="4" xr3:uid="{8666E9BF-D657-45F6-BA3D-1E281BF0D8A2}" name="Delta Expected" dataDxfId="1740">
      <calculatedColumnFormula>B5-C5</calculatedColumnFormula>
    </tableColumn>
    <tableColumn id="5" xr3:uid="{690EED91-B2CC-423E-A46D-0467A03087EB}" name="% Expected" dataDxfId="1739" dataCellStyle="Percent">
      <calculatedColumnFormula>IFERROR(D5/C5, 0)</calculatedColumnFormula>
    </tableColumn>
    <tableColumn id="6" xr3:uid="{985AE196-ED6A-49D0-9CF5-38363D80BF1C}" name="Forecasted" dataDxfId="1738"/>
    <tableColumn id="7" xr3:uid="{B3189039-676E-4B7F-B804-B61300C3AC2B}" name="Delta Forecasted" dataDxfId="1737" dataCellStyle="Comma">
      <calculatedColumnFormula>B5-F5</calculatedColumnFormula>
    </tableColumn>
    <tableColumn id="8" xr3:uid="{3C865CF1-C516-404B-BD49-7AF88A316696}" name="% Forecasted" dataDxfId="1736" dataCellStyle="Percent">
      <calculatedColumnFormula>IFERROR(G5/F5, 0)</calculatedColumnFormula>
    </tableColumn>
    <tableColumn id="9" xr3:uid="{A8E110DC-2AD0-4532-BAB3-F25A93C8FA14}" name="Notes" dataDxfId="1735" dataCellStyle="Percent"/>
    <tableColumn id="10" xr3:uid="{6B03DC8E-AFEA-4605-83B2-335A63A6E612}" name="Service Request" dataDxfId="1734" dataCellStyle="Percen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A82670-369B-4C3A-82B7-2FD5C4776195}" name="Data181920212223" displayName="Data181920212223" ref="A4:J16" totalsRowShown="0" headerRowDxfId="1731" dataDxfId="1730" headerRowBorderDxfId="1728" tableBorderDxfId="1729" dataCellStyle="Percent">
  <autoFilter ref="A4:J16" xr:uid="{59A959C2-52B2-422A-A87A-BC08BBF40681}"/>
  <tableColumns count="10">
    <tableColumn id="1" xr3:uid="{8D8CAC86-1F92-428A-978A-419573E60EDA}" name="Month" dataDxfId="1727"/>
    <tableColumn id="2" xr3:uid="{223FDFFC-2B96-4B49-A3DA-3CE9110E23BA}" name="Actual" dataDxfId="1726"/>
    <tableColumn id="3" xr3:uid="{697166FB-0846-4476-A3B9-F5E3CD1A5484}" name="Expected" dataDxfId="1725"/>
    <tableColumn id="4" xr3:uid="{19183987-F433-4DF0-B9DB-E51E150F6A35}" name="Delta Expected" dataDxfId="1724">
      <calculatedColumnFormula>B5-C5</calculatedColumnFormula>
    </tableColumn>
    <tableColumn id="5" xr3:uid="{E16DBE60-5B92-446F-8AB1-18813170F80A}" name="% Expected" dataDxfId="1723" dataCellStyle="Percent">
      <calculatedColumnFormula>IFERROR(D5/C5, 0)</calculatedColumnFormula>
    </tableColumn>
    <tableColumn id="6" xr3:uid="{9C65936D-3A2D-49C0-A20F-C0BCB81436F3}" name="Forecasted" dataDxfId="1722"/>
    <tableColumn id="7" xr3:uid="{CCF7E1D2-D7A4-481E-A184-00FF7C45982A}" name="Delta Forecasted" dataDxfId="1721" dataCellStyle="Comma">
      <calculatedColumnFormula>B5-F5</calculatedColumnFormula>
    </tableColumn>
    <tableColumn id="8" xr3:uid="{00CEF032-E306-4FD4-BF8E-2BA66ADCE3C9}" name="% Forecasted" dataDxfId="1720" dataCellStyle="Percent">
      <calculatedColumnFormula>IFERROR(G5/F5, 0)</calculatedColumnFormula>
    </tableColumn>
    <tableColumn id="9" xr3:uid="{317641D1-0E53-4EE1-8813-736213A5B2A2}" name="Notes" dataDxfId="1719" dataCellStyle="Percent"/>
    <tableColumn id="10" xr3:uid="{23757325-21CC-4B19-856B-0A394E6508D4}" name="Service Request" dataDxfId="1718" dataCellStyle="Percen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D6B4A-9416-4379-8BD6-AD0B1630A41D}" name="Data1819202122" displayName="Data1819202122" ref="A4:J16" totalsRowShown="0" headerRowDxfId="1715" dataDxfId="1714" headerRowBorderDxfId="1712" tableBorderDxfId="1713" dataCellStyle="Percent">
  <autoFilter ref="A4:J16" xr:uid="{59A959C2-52B2-422A-A87A-BC08BBF40681}"/>
  <tableColumns count="10">
    <tableColumn id="1" xr3:uid="{347C7D3C-FD82-46F9-BEBD-8735F2193CE9}" name="Month" dataDxfId="1711"/>
    <tableColumn id="2" xr3:uid="{199C91A5-15D1-40E0-8621-51A592031F8A}" name="Actual" dataDxfId="1710"/>
    <tableColumn id="3" xr3:uid="{7A6FD5D4-0F5A-4349-BB04-3685AC1C21F9}" name="Expected" dataDxfId="1709"/>
    <tableColumn id="4" xr3:uid="{37A4EBAC-FCA0-45AD-A30B-96A8319A8E0C}" name="Delta Expected" dataDxfId="1708">
      <calculatedColumnFormula>B5-C5</calculatedColumnFormula>
    </tableColumn>
    <tableColumn id="5" xr3:uid="{49F0FD00-E5C0-4904-AFDC-2209D8270C83}" name="% Expected" dataDxfId="1707" dataCellStyle="Percent">
      <calculatedColumnFormula>IFERROR(D5/C5, 0)</calculatedColumnFormula>
    </tableColumn>
    <tableColumn id="6" xr3:uid="{435BBA7F-11D8-4DB8-88B6-3C87B3349883}" name="Forecasted" dataDxfId="1706"/>
    <tableColumn id="7" xr3:uid="{57D2837A-D5C4-4D5B-A637-2DBB8F89E7B7}" name="Delta Forecasted" dataDxfId="1705" dataCellStyle="Comma">
      <calculatedColumnFormula>B5-F5</calculatedColumnFormula>
    </tableColumn>
    <tableColumn id="8" xr3:uid="{D5D39AF6-24F2-48A2-B19B-F5FADCA2161A}" name="% Forecasted" dataDxfId="1704" dataCellStyle="Percent">
      <calculatedColumnFormula>IFERROR(G5/F5, 0)</calculatedColumnFormula>
    </tableColumn>
    <tableColumn id="9" xr3:uid="{BDCD9932-214E-402F-BB90-9556552F7689}" name="Notes" dataDxfId="1703" dataCellStyle="Percent"/>
    <tableColumn id="10" xr3:uid="{6961543E-6754-46C0-ABF0-4377D20747FD}" name="Service Request" dataDxfId="1702" dataCellStyle="Percen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5F8F4CC-F9DF-4064-A109-D677019A6B4A}" name="Data1819202129" displayName="Data1819202129" ref="A4:J16" totalsRowShown="0" headerRowDxfId="1699" dataDxfId="1698" headerRowBorderDxfId="1696" tableBorderDxfId="1697" dataCellStyle="Percent">
  <autoFilter ref="A4:J16" xr:uid="{59A959C2-52B2-422A-A87A-BC08BBF40681}"/>
  <tableColumns count="10">
    <tableColumn id="1" xr3:uid="{5E6E1DF3-291C-4317-8B90-B38224AE85B4}" name="Month" dataDxfId="1695"/>
    <tableColumn id="2" xr3:uid="{FD726984-5758-4C54-9CD2-641DEE206A55}" name="Actual" dataDxfId="1694"/>
    <tableColumn id="3" xr3:uid="{0BF58DCD-6379-4A26-8254-BBFE2FFDB990}" name="Expected" dataDxfId="1693"/>
    <tableColumn id="4" xr3:uid="{E6BD6D5A-EA9D-401B-8AA1-9430D80C0943}" name="Delta Expected" dataDxfId="1692">
      <calculatedColumnFormula>B5-C5</calculatedColumnFormula>
    </tableColumn>
    <tableColumn id="5" xr3:uid="{CE84C08A-509D-448F-82D3-3F5FFB720A54}" name="% Expected" dataDxfId="1691" dataCellStyle="Percent">
      <calculatedColumnFormula>IFERROR(D5/C5, 0)</calculatedColumnFormula>
    </tableColumn>
    <tableColumn id="6" xr3:uid="{5551BF92-6B60-4C37-A1AF-34332FF7E18F}" name="Forecasted" dataDxfId="1690"/>
    <tableColumn id="7" xr3:uid="{090BB86A-DFAA-4458-8739-3FECCC845861}" name="Delta Forecasted" dataDxfId="1689" dataCellStyle="Comma">
      <calculatedColumnFormula>B5-F5</calculatedColumnFormula>
    </tableColumn>
    <tableColumn id="8" xr3:uid="{A0F704B9-D9BC-4C25-9B01-EEF4CDBB244D}" name="% Forecasted" dataDxfId="1688" dataCellStyle="Percent">
      <calculatedColumnFormula>IFERROR(G5/F5, 0)</calculatedColumnFormula>
    </tableColumn>
    <tableColumn id="9" xr3:uid="{013B8AF9-6C0E-4448-A9BE-F72AA4D66478}" name="Notes" dataDxfId="1687" dataCellStyle="Percent"/>
    <tableColumn id="10" xr3:uid="{AF00D379-93D4-49A0-AA91-86B8B0653CB5}" name="Service Request" dataDxfId="1686" dataCellStyle="Percen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B0B743-DC6E-44E5-8EAA-B173BB52D67E}" name="Data18192021" displayName="Data18192021" ref="A4:J16" totalsRowShown="0" headerRowDxfId="1683" dataDxfId="1682" headerRowBorderDxfId="1680" tableBorderDxfId="1681" dataCellStyle="Percent">
  <autoFilter ref="A4:J16" xr:uid="{59A959C2-52B2-422A-A87A-BC08BBF40681}"/>
  <tableColumns count="10">
    <tableColumn id="1" xr3:uid="{02CBB29B-8FA5-4F92-8AF1-3ACF6DE0405A}" name="Month" dataDxfId="1679"/>
    <tableColumn id="2" xr3:uid="{9F3DD7A4-1E93-48C9-865C-6884066E1FF6}" name="Actual" dataDxfId="1678"/>
    <tableColumn id="3" xr3:uid="{19F29B76-B230-4627-9560-E871FAA1F939}" name="Expected" dataDxfId="1677"/>
    <tableColumn id="4" xr3:uid="{816FC8AC-921F-4501-A77B-C19037E643D9}" name="Delta Expected" dataDxfId="1676">
      <calculatedColumnFormula>B5-C5</calculatedColumnFormula>
    </tableColumn>
    <tableColumn id="5" xr3:uid="{D36857E3-4341-4AFF-A150-8993BE8FDE37}" name="% Expected" dataDxfId="1675" dataCellStyle="Percent">
      <calculatedColumnFormula>IFERROR(D5/C5, 0)</calculatedColumnFormula>
    </tableColumn>
    <tableColumn id="6" xr3:uid="{AE4608B8-75F0-4E4F-91A6-C0556D119D4E}" name="Forecasted" dataDxfId="1674"/>
    <tableColumn id="7" xr3:uid="{333D3E1E-F642-46CC-9C6B-93D4AA6809B4}" name="Delta Forecasted" dataDxfId="1673" dataCellStyle="Comma">
      <calculatedColumnFormula>B5-F5</calculatedColumnFormula>
    </tableColumn>
    <tableColumn id="8" xr3:uid="{8761E2DE-58C9-41CE-A033-5FE829C1BA70}" name="% Forecasted" dataDxfId="1672" dataCellStyle="Percent">
      <calculatedColumnFormula>IFERROR(G5/F5, 0)</calculatedColumnFormula>
    </tableColumn>
    <tableColumn id="9" xr3:uid="{DA86E462-D5CA-47CC-BB6F-E306D0C644A1}" name="Notes" dataDxfId="1671" dataCellStyle="Percent"/>
    <tableColumn id="10" xr3:uid="{A116F92D-16FB-49E5-A53A-E4A92439DF62}" name="Service Request" dataDxfId="1670" dataCellStyle="Percen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CD59E-9089-431D-9329-7C988049D2AF}" name="Data181920" displayName="Data181920" ref="A4:J16" totalsRowShown="0" headerRowDxfId="1667" dataDxfId="1666" headerRowBorderDxfId="1664" tableBorderDxfId="1665" dataCellStyle="Percent">
  <autoFilter ref="A4:J16" xr:uid="{59A959C2-52B2-422A-A87A-BC08BBF40681}"/>
  <tableColumns count="10">
    <tableColumn id="1" xr3:uid="{D53E7D57-D771-4FAF-BC06-C05F5D88D9D4}" name="Month" dataDxfId="1663"/>
    <tableColumn id="2" xr3:uid="{5E323DE3-0FEC-4C47-AA50-FB5FE8C8C25A}" name="Actual" dataDxfId="1662"/>
    <tableColumn id="3" xr3:uid="{5B1E3641-7C82-4E82-974B-559132EE9A5F}" name="Expected" dataDxfId="1661"/>
    <tableColumn id="4" xr3:uid="{281D7FFF-2047-475F-9DC6-60F0A760A82D}" name="Delta Expected" dataDxfId="1660">
      <calculatedColumnFormula>B5-C5</calculatedColumnFormula>
    </tableColumn>
    <tableColumn id="5" xr3:uid="{0D02AC61-E298-4329-95FE-FB778AE1B7E4}" name="% Expected" dataDxfId="1659" dataCellStyle="Percent">
      <calculatedColumnFormula>IFERROR(D5/C5, 0)</calculatedColumnFormula>
    </tableColumn>
    <tableColumn id="6" xr3:uid="{D737330F-7883-4D93-A5BD-961AE8C37A29}" name="Forecasted" dataDxfId="1658"/>
    <tableColumn id="7" xr3:uid="{0D60582B-2476-4C79-8EA5-5AF64BA55860}" name="Delta Forecasted" dataDxfId="1657" dataCellStyle="Comma">
      <calculatedColumnFormula>B5-F5</calculatedColumnFormula>
    </tableColumn>
    <tableColumn id="8" xr3:uid="{905D0CB4-F479-4BE7-AB1C-C4EFE56D101C}" name="% Forecasted" dataDxfId="1656" dataCellStyle="Percent">
      <calculatedColumnFormula>IFERROR(G5/F5, 0)</calculatedColumnFormula>
    </tableColumn>
    <tableColumn id="9" xr3:uid="{93950D5B-A4A4-4E97-BCFD-C55D117C244E}" name="Notes" dataDxfId="1655" dataCellStyle="Percent"/>
    <tableColumn id="10" xr3:uid="{1722AA17-AA2C-45F0-AB0A-AA19B15E174C}" name="Service Request" dataDxfId="1654" dataCellStyle="Percent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E50F5B7E-9B2C-42DB-8820-C1F4E784F7C8}" name="Data18192075" displayName="Data18192075" ref="A4:J16" totalsRowShown="0" headerRowDxfId="1651" dataDxfId="1650" headerRowBorderDxfId="1648" tableBorderDxfId="1649" dataCellStyle="Percent">
  <autoFilter ref="A4:J16" xr:uid="{E50F5B7E-9B2C-42DB-8820-C1F4E784F7C8}"/>
  <tableColumns count="10">
    <tableColumn id="1" xr3:uid="{AA0365E8-8E0F-4E3A-87D1-0F13EB1498E3}" name="Month" dataDxfId="1647"/>
    <tableColumn id="2" xr3:uid="{C5AF4541-95AA-428F-99D4-C597462696B4}" name="Actual" dataDxfId="1646"/>
    <tableColumn id="3" xr3:uid="{5EE1892F-8FF1-4CEB-B2DA-00DAAFA6066C}" name="Expected" dataDxfId="1645"/>
    <tableColumn id="4" xr3:uid="{0A50C1CA-D931-419D-944A-B3A295AE43F9}" name="Delta Expected" dataDxfId="1644">
      <calculatedColumnFormula>B5-C5</calculatedColumnFormula>
    </tableColumn>
    <tableColumn id="5" xr3:uid="{00E4ABE9-C918-48F6-8F5B-B68EB336D478}" name="% Expected" dataDxfId="1643" dataCellStyle="Percent">
      <calculatedColumnFormula>IFERROR(D5/C5, 0)</calculatedColumnFormula>
    </tableColumn>
    <tableColumn id="6" xr3:uid="{E77FBBFF-C25A-43F5-861A-70AC7831687C}" name="Forecasted" dataDxfId="1642"/>
    <tableColumn id="7" xr3:uid="{5DB13655-AEB5-4FAF-A4E0-CA3D124E92AE}" name="Delta Forecasted" dataDxfId="1641" dataCellStyle="Comma">
      <calculatedColumnFormula>B5-F5</calculatedColumnFormula>
    </tableColumn>
    <tableColumn id="8" xr3:uid="{800236C0-C382-4BA6-9596-784BA3E0FDD7}" name="% Forecasted" dataDxfId="1640" dataCellStyle="Percent">
      <calculatedColumnFormula>IFERROR(G5/F5, 0)</calculatedColumnFormula>
    </tableColumn>
    <tableColumn id="9" xr3:uid="{37D8771F-2EA3-4EE1-973B-66473D8FFB4D}" name="Notes" dataDxfId="1639" dataCellStyle="Percent"/>
    <tableColumn id="10" xr3:uid="{F994DF34-E2D5-42B2-8A7C-C67761E5FE60}" name="Service Request" dataDxfId="1638" dataCellStyle="Percent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C2A4A0B-7422-47AE-ADC3-A029CFE75FA9}" name="Data18192075114" displayName="Data18192075114" ref="A4:J16" totalsRowShown="0" headerRowDxfId="1635" dataDxfId="1634" headerRowBorderDxfId="1632" tableBorderDxfId="1633" dataCellStyle="Percent">
  <autoFilter ref="A4:J16" xr:uid="{EC2A4A0B-7422-47AE-ADC3-A029CFE75FA9}"/>
  <tableColumns count="10">
    <tableColumn id="1" xr3:uid="{7D049D96-ACA9-4A30-BD5E-6559FFEC1C0B}" name="Month" dataDxfId="1631"/>
    <tableColumn id="2" xr3:uid="{DA371CE5-EB77-4BB3-920E-CB146C317CCA}" name="Actual" dataDxfId="1630"/>
    <tableColumn id="3" xr3:uid="{B1DF0561-5250-4500-9A19-A95403DC21C8}" name="Expected" dataDxfId="1629"/>
    <tableColumn id="4" xr3:uid="{C99341BA-33ED-49BE-BEF1-5C4FF8FBACEC}" name="Delta Expected" dataDxfId="1628">
      <calculatedColumnFormula>B5-C5</calculatedColumnFormula>
    </tableColumn>
    <tableColumn id="5" xr3:uid="{0BEDEAF0-840C-4866-B294-D87F156B5E53}" name="% Expected" dataDxfId="1627" dataCellStyle="Percent">
      <calculatedColumnFormula>IFERROR(D5/C5, 0)</calculatedColumnFormula>
    </tableColumn>
    <tableColumn id="6" xr3:uid="{3311E949-22EF-4F4C-80E9-910A0DCFC2BE}" name="Forecasted" dataDxfId="1626"/>
    <tableColumn id="7" xr3:uid="{83A3FD3F-DA59-48CC-BE80-895114B1F242}" name="Delta Forecasted" dataDxfId="1625" dataCellStyle="Comma">
      <calculatedColumnFormula>B5-F5</calculatedColumnFormula>
    </tableColumn>
    <tableColumn id="8" xr3:uid="{68C5AF24-865D-4CA0-82EA-FDBB3FD91A25}" name="% Forecasted" dataDxfId="1624" dataCellStyle="Percent">
      <calculatedColumnFormula>IFERROR(G5/F5, 0)</calculatedColumnFormula>
    </tableColumn>
    <tableColumn id="9" xr3:uid="{14DEDCA6-2B9A-459C-976E-EF8BD1B09519}" name="Notes" dataDxfId="1623" dataCellStyle="Percent"/>
    <tableColumn id="10" xr3:uid="{ECB82F97-DB92-45C8-B0C5-E4257DDA8720}" name="Service Request" dataDxfId="1622" dataCellStyle="Percent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27315E-3D45-4F14-8850-6D6F6067DADF}" name="Data1819" displayName="Data1819" ref="A4:J16" totalsRowShown="0" headerRowDxfId="1619" dataDxfId="1618" headerRowBorderDxfId="1616" tableBorderDxfId="1617" dataCellStyle="Percent">
  <autoFilter ref="A4:J16" xr:uid="{59A959C2-52B2-422A-A87A-BC08BBF40681}"/>
  <tableColumns count="10">
    <tableColumn id="1" xr3:uid="{77E6FAAF-0999-49E3-99CA-07D98C9A302A}" name="Month" dataDxfId="1615"/>
    <tableColumn id="2" xr3:uid="{59B2FACE-FD04-4B01-9769-1826A4BFD80D}" name="Actual" dataDxfId="1614"/>
    <tableColumn id="3" xr3:uid="{DD87B9A3-2D37-45A6-9CDD-6537DF23AD7E}" name="Expected" dataDxfId="1613"/>
    <tableColumn id="4" xr3:uid="{39BA3CEA-CBCA-4E6F-A0CA-4FA3B466A116}" name="Delta Expected" dataDxfId="1612">
      <calculatedColumnFormula>B5-C5</calculatedColumnFormula>
    </tableColumn>
    <tableColumn id="5" xr3:uid="{DB5ACD05-6D0B-47C1-9519-E2B6FF709AD5}" name="% Expected" dataDxfId="1611" dataCellStyle="Percent">
      <calculatedColumnFormula>IFERROR(D5/C5, 0)</calculatedColumnFormula>
    </tableColumn>
    <tableColumn id="6" xr3:uid="{B193E813-1C65-4930-8970-A32E7C27509E}" name="Forecasted" dataDxfId="1610"/>
    <tableColumn id="7" xr3:uid="{C6C06131-4F24-45CB-BB1F-B32FA41C796F}" name="Delta Forecasted" dataDxfId="1609" dataCellStyle="Comma">
      <calculatedColumnFormula>B5-F5</calculatedColumnFormula>
    </tableColumn>
    <tableColumn id="8" xr3:uid="{6E033078-CE54-4928-B0CD-8B04664AB929}" name="% Forecasted" dataDxfId="1608" dataCellStyle="Percent">
      <calculatedColumnFormula>IFERROR(G5/F5, 0)</calculatedColumnFormula>
    </tableColumn>
    <tableColumn id="9" xr3:uid="{0859B2AD-AA89-4C25-A003-2FC4E3A6AFF9}" name="Notes" dataDxfId="1607" dataCellStyle="Percent"/>
    <tableColumn id="10" xr3:uid="{F24B3FC5-F17E-42AE-B8E7-5C6B1CD32D85}" name="Service Request" dataDxfId="1606" dataCellStyle="Percent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220713-832D-4970-8F4E-10D7411BA1E9}" name="Data1819456789101112" displayName="Data1819456789101112" ref="A4:J16" totalsRowShown="0" headerRowDxfId="1603" dataDxfId="1602" headerRowBorderDxfId="1600" tableBorderDxfId="1601" dataCellStyle="Percent">
  <autoFilter ref="A4:J16" xr:uid="{59A959C2-52B2-422A-A87A-BC08BBF40681}"/>
  <tableColumns count="10">
    <tableColumn id="1" xr3:uid="{C8CAC952-D40E-4FB2-8176-BD9D1C35A4FB}" name="Month" dataDxfId="1599"/>
    <tableColumn id="2" xr3:uid="{CEE90124-4637-4B8C-AE6D-13FA5E32FCBE}" name="Actual" dataDxfId="1598"/>
    <tableColumn id="3" xr3:uid="{05445E39-3528-4FAB-998E-2607652D2790}" name="Expected" dataDxfId="1597"/>
    <tableColumn id="4" xr3:uid="{EFAF7B2B-B9C7-4197-8C62-D358FD77DC38}" name="Delta Expected" dataDxfId="1596">
      <calculatedColumnFormula>B5-C5</calculatedColumnFormula>
    </tableColumn>
    <tableColumn id="5" xr3:uid="{ED5C1322-8671-4C23-B3B7-2DC34575E7B0}" name="% Expected" dataDxfId="1595" dataCellStyle="Percent">
      <calculatedColumnFormula>IFERROR(D5/C5, 0)</calculatedColumnFormula>
    </tableColumn>
    <tableColumn id="6" xr3:uid="{83E3246F-553B-4946-93A6-BE9C15BE5F01}" name="Forecasted" dataDxfId="1594"/>
    <tableColumn id="7" xr3:uid="{251503DA-18B1-4FF9-A14E-42CBBCBE1E9B}" name="Delta Forecasted" dataDxfId="1593" dataCellStyle="Comma">
      <calculatedColumnFormula>B5-F5</calculatedColumnFormula>
    </tableColumn>
    <tableColumn id="8" xr3:uid="{F3DC6228-6105-4EA6-BF11-D565976ABC4B}" name="% Forecasted" dataDxfId="1592" dataCellStyle="Percent">
      <calculatedColumnFormula>IFERROR(G5/F5, 0)</calculatedColumnFormula>
    </tableColumn>
    <tableColumn id="9" xr3:uid="{9200005B-09D4-42CB-9F99-D2609D4B8CC2}" name="Notes" dataDxfId="1591" dataCellStyle="Percent"/>
    <tableColumn id="10" xr3:uid="{982A5F9F-9FD1-4372-A70F-71E59F0FA9A8}" name="Service Request" dataDxfId="1590" dataCellStyle="Percent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33B7E9-D0F0-48B7-8372-0C4CEEE5FE7D}" name="Data18194567891011" displayName="Data18194567891011" ref="A4:J16" totalsRowShown="0" headerRowDxfId="1587" dataDxfId="1586" headerRowBorderDxfId="1584" tableBorderDxfId="1585" dataCellStyle="Percent">
  <autoFilter ref="A4:J16" xr:uid="{59A959C2-52B2-422A-A87A-BC08BBF40681}"/>
  <tableColumns count="10">
    <tableColumn id="1" xr3:uid="{68A43BAE-777D-4C02-8B3E-4CF31DED4431}" name="Month" dataDxfId="1583"/>
    <tableColumn id="2" xr3:uid="{11083732-78ED-4148-A6E7-EA8CF5A9F2FD}" name="Actual" dataDxfId="1582"/>
    <tableColumn id="3" xr3:uid="{5AB3D498-A61F-4E49-8039-E4D971A1122E}" name="Expected" dataDxfId="1581"/>
    <tableColumn id="4" xr3:uid="{0EE3A260-1D36-4EE2-8A2F-4B7FBBD88EA8}" name="Delta Expected" dataDxfId="1580">
      <calculatedColumnFormula>B5-C5</calculatedColumnFormula>
    </tableColumn>
    <tableColumn id="5" xr3:uid="{DC311200-7250-4BEE-A512-547D65CB6610}" name="% Expected" dataDxfId="1579" dataCellStyle="Percent">
      <calculatedColumnFormula>IFERROR(D5/C5, 0)</calculatedColumnFormula>
    </tableColumn>
    <tableColumn id="6" xr3:uid="{97F0A462-08E7-441E-ADA5-E9BE2F042E3F}" name="Forecasted" dataDxfId="1578"/>
    <tableColumn id="7" xr3:uid="{FC080BA3-5F1E-40DF-995E-C80CD36D42AC}" name="Delta Forecasted" dataDxfId="1577" dataCellStyle="Comma">
      <calculatedColumnFormula>B5-F5</calculatedColumnFormula>
    </tableColumn>
    <tableColumn id="8" xr3:uid="{D3171982-57AE-4ED0-ABDA-2CF3A8CD65C0}" name="% Forecasted" dataDxfId="1576" dataCellStyle="Percent">
      <calculatedColumnFormula>IFERROR(G5/F5, 0)</calculatedColumnFormula>
    </tableColumn>
    <tableColumn id="9" xr3:uid="{7ACDCFB6-1AC4-44F5-96A8-9BB319BD8FD7}" name="Notes" dataDxfId="1575" dataCellStyle="Percent"/>
    <tableColumn id="10" xr3:uid="{6F2D9AB2-47CC-4826-A1CE-FCAC4C99234D}" name="Service Request" dataDxfId="1574" dataCellStyle="Percent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9F6B74-F195-4788-82D4-461C6413E976}" name="Data181945678910" displayName="Data181945678910" ref="A4:J16" totalsRowShown="0" headerRowDxfId="1571" dataDxfId="1570" headerRowBorderDxfId="1568" tableBorderDxfId="1569" dataCellStyle="Percent">
  <autoFilter ref="A4:J16" xr:uid="{59A959C2-52B2-422A-A87A-BC08BBF40681}"/>
  <tableColumns count="10">
    <tableColumn id="1" xr3:uid="{006207E3-A08E-4164-B5BD-779C8FB90B5F}" name="Month" dataDxfId="1567"/>
    <tableColumn id="2" xr3:uid="{A85F05BB-FF72-41A1-A60C-962C738C675F}" name="Actual" dataDxfId="1566"/>
    <tableColumn id="3" xr3:uid="{333E356A-A51A-4306-92FE-044F27A3C7AB}" name="Expected" dataDxfId="1565"/>
    <tableColumn id="4" xr3:uid="{F0557E21-F565-4411-BBBD-6B61D8C1BBE0}" name="Delta Expected" dataDxfId="1564">
      <calculatedColumnFormula>B5-C5</calculatedColumnFormula>
    </tableColumn>
    <tableColumn id="5" xr3:uid="{B994AB13-A2C5-4E4D-8099-2E21BD951058}" name="% Expected" dataDxfId="1563" dataCellStyle="Percent">
      <calculatedColumnFormula>IFERROR(D5/C5, 0)</calculatedColumnFormula>
    </tableColumn>
    <tableColumn id="6" xr3:uid="{1CF66E69-10A7-422D-9FD8-15D14BFCCEB5}" name="Forecasted" dataDxfId="1562"/>
    <tableColumn id="7" xr3:uid="{69FC694F-F633-4063-897C-029A3C93AEB0}" name="Delta Forecasted" dataDxfId="1561" dataCellStyle="Comma">
      <calculatedColumnFormula>B5-F5</calculatedColumnFormula>
    </tableColumn>
    <tableColumn id="8" xr3:uid="{567F3614-AACB-449A-9D2D-BCABC18A56E1}" name="% Forecasted" dataDxfId="1560" dataCellStyle="Percent">
      <calculatedColumnFormula>IFERROR(G5/F5, 0)</calculatedColumnFormula>
    </tableColumn>
    <tableColumn id="9" xr3:uid="{9FA18670-1DBD-4A31-AD9F-33E18420C08E}" name="Notes" dataDxfId="1559" dataCellStyle="Percent"/>
    <tableColumn id="10" xr3:uid="{64B5BA20-A863-4006-83BE-5202AB092372}" name="Service Request" dataDxfId="1558" dataCellStyle="Percent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10958F-E859-456E-89A8-DCFD53CFF30B}" name="Data1819456789" displayName="Data1819456789" ref="A4:J16" totalsRowShown="0" headerRowDxfId="1555" dataDxfId="1554" headerRowBorderDxfId="1552" tableBorderDxfId="1553" dataCellStyle="Percent">
  <autoFilter ref="A4:J16" xr:uid="{59A959C2-52B2-422A-A87A-BC08BBF40681}"/>
  <tableColumns count="10">
    <tableColumn id="1" xr3:uid="{2AD26EC5-7C9D-4C99-847B-CD6F424F571B}" name="Month" dataDxfId="1551"/>
    <tableColumn id="2" xr3:uid="{72120625-2218-48C6-A3A1-C5628006076D}" name="Actual" dataDxfId="1550"/>
    <tableColumn id="3" xr3:uid="{EDBD03FD-AE0D-47BA-B191-93F2412BD5F3}" name="Expected" dataDxfId="1549"/>
    <tableColumn id="4" xr3:uid="{1B1E7EF6-8F16-4892-A5FF-831FC45572D7}" name="Delta Expected" dataDxfId="1548">
      <calculatedColumnFormula>B5-C5</calculatedColumnFormula>
    </tableColumn>
    <tableColumn id="5" xr3:uid="{FC5E49EE-53F0-4155-8545-E9079FB59D79}" name="% Expected" dataDxfId="1547" dataCellStyle="Percent">
      <calculatedColumnFormula>IFERROR(D5/C5, 0)</calculatedColumnFormula>
    </tableColumn>
    <tableColumn id="6" xr3:uid="{4C25CDBD-700B-4DE5-A15B-E984348E7C8F}" name="Forecasted" dataDxfId="1546"/>
    <tableColumn id="7" xr3:uid="{37A39B88-1429-478A-8CB5-C9317B598F61}" name="Delta Forecasted" dataDxfId="1545" dataCellStyle="Comma">
      <calculatedColumnFormula>B5-F5</calculatedColumnFormula>
    </tableColumn>
    <tableColumn id="8" xr3:uid="{81325A49-0082-41A0-8E7E-E8C84D38567C}" name="% Forecasted" dataDxfId="1544" dataCellStyle="Percent">
      <calculatedColumnFormula>IFERROR(G5/F5, 0)</calculatedColumnFormula>
    </tableColumn>
    <tableColumn id="9" xr3:uid="{44694EFE-E379-452F-B0FC-F30AC92E54D7}" name="Notes" dataDxfId="1543" dataCellStyle="Percent"/>
    <tableColumn id="10" xr3:uid="{3C3C721C-F931-450C-A60F-01219013C524}" name="Service Request" dataDxfId="1542" dataCellStyle="Percent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F6209299-5601-4BED-8FA5-DCD67341151F}" name="Data181945678119" displayName="Data181945678119" ref="A4:J16" totalsRowShown="0" headerRowDxfId="1539" dataDxfId="1538" headerRowBorderDxfId="1536" tableBorderDxfId="1537" dataCellStyle="Percent">
  <autoFilter ref="A4:J16" xr:uid="{F6209299-5601-4BED-8FA5-DCD67341151F}"/>
  <tableColumns count="10">
    <tableColumn id="1" xr3:uid="{2A5F301D-BEB9-4579-989F-7DE354D96C18}" name="Month" dataDxfId="1535"/>
    <tableColumn id="2" xr3:uid="{9B4A5CCC-7CBB-41CF-A5BC-FE988E59037D}" name="Actual" dataDxfId="1534"/>
    <tableColumn id="3" xr3:uid="{AD9EB449-7B4D-4446-A493-FDE6A1F4A6B4}" name="Expected" dataDxfId="1533"/>
    <tableColumn id="4" xr3:uid="{5817E27C-BE64-4B3B-B14C-18D8AC297A55}" name="Delta Expected" dataDxfId="1532">
      <calculatedColumnFormula>B5-C5</calculatedColumnFormula>
    </tableColumn>
    <tableColumn id="5" xr3:uid="{072B3B59-5A4C-4E0D-AAF8-926B7C23698D}" name="% Expected" dataDxfId="1531" dataCellStyle="Percent">
      <calculatedColumnFormula>IFERROR(D5/C5, 0)</calculatedColumnFormula>
    </tableColumn>
    <tableColumn id="6" xr3:uid="{A7CC6011-9F28-4E2A-88D4-13F207A55DA5}" name="Forecasted" dataDxfId="1530"/>
    <tableColumn id="7" xr3:uid="{56A9597E-E175-42BC-B3FD-FAA9F8E1E124}" name="Delta Forecasted" dataDxfId="1529" dataCellStyle="Comma">
      <calculatedColumnFormula>B5-F5</calculatedColumnFormula>
    </tableColumn>
    <tableColumn id="8" xr3:uid="{A0117ADC-4106-4B30-834C-22BA90AFFA36}" name="% Forecasted" dataDxfId="1528" dataCellStyle="Percent">
      <calculatedColumnFormula>IFERROR(G5/F5, 0)</calculatedColumnFormula>
    </tableColumn>
    <tableColumn id="9" xr3:uid="{F27CF8F4-FBA7-4BD1-B610-AF385458D018}" name="Notes" dataDxfId="1527" dataCellStyle="Percent"/>
    <tableColumn id="10" xr3:uid="{78A9CF20-B80F-428E-9C2E-7789205837B1}" name="Service Request" dataDxfId="1526" dataCellStyle="Percent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598900-E276-45F4-BE39-BA53E697B402}" name="Data181945678" displayName="Data181945678" ref="A4:J16" totalsRowShown="0" headerRowDxfId="1523" dataDxfId="1522" headerRowBorderDxfId="1520" tableBorderDxfId="1521" dataCellStyle="Percent">
  <autoFilter ref="A4:J16" xr:uid="{59A959C2-52B2-422A-A87A-BC08BBF40681}"/>
  <tableColumns count="10">
    <tableColumn id="1" xr3:uid="{8C7315C7-6BBE-4C54-A67F-B1641446043E}" name="Month" dataDxfId="1519"/>
    <tableColumn id="2" xr3:uid="{60CD03E0-BC14-4F1B-A6C3-99F8A30C27E9}" name="Actual" dataDxfId="1518"/>
    <tableColumn id="3" xr3:uid="{6F3F394D-252A-40EF-ADCD-57B35FBB7A7F}" name="Expected" dataDxfId="1517"/>
    <tableColumn id="4" xr3:uid="{01815ACE-1F87-4FDA-B1C5-431DAE6A28B1}" name="Delta Expected" dataDxfId="1516">
      <calculatedColumnFormula>B5-C5</calculatedColumnFormula>
    </tableColumn>
    <tableColumn id="5" xr3:uid="{6E98BB76-A275-42C9-B65D-567C55076E54}" name="% Expected" dataDxfId="1515" dataCellStyle="Percent">
      <calculatedColumnFormula>IFERROR(D5/C5, 0)</calculatedColumnFormula>
    </tableColumn>
    <tableColumn id="6" xr3:uid="{A08FF9EC-C79E-4F0A-8108-660D29A15385}" name="Forecasted" dataDxfId="1514"/>
    <tableColumn id="7" xr3:uid="{93DFBBFD-EFC5-4921-BF50-371F15CCF6B6}" name="Delta Forecasted" dataDxfId="1513" dataCellStyle="Comma">
      <calculatedColumnFormula>B5-F5</calculatedColumnFormula>
    </tableColumn>
    <tableColumn id="8" xr3:uid="{FA7461B7-B2DB-4DEB-8A22-6068E74217C8}" name="% Forecasted" dataDxfId="1512" dataCellStyle="Percent">
      <calculatedColumnFormula>IFERROR(G5/F5, 0)</calculatedColumnFormula>
    </tableColumn>
    <tableColumn id="9" xr3:uid="{775F9453-2D2A-4822-BEFF-6F3AB6E3CAA9}" name="Notes" dataDxfId="1511" dataCellStyle="Percent"/>
    <tableColumn id="10" xr3:uid="{23EA7034-5BFD-4F27-B582-8326A5B8004F}" name="Service Request" dataDxfId="1510" dataCellStyle="Percent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B7D2A381-6D4F-43DB-A841-7F4E6D22047D}" name="Data18194567130" displayName="Data18194567130" ref="A4:J16" totalsRowShown="0" headerRowDxfId="1507" dataDxfId="1506" headerRowBorderDxfId="1504" tableBorderDxfId="1505" dataCellStyle="Percent">
  <autoFilter ref="A4:J16" xr:uid="{B7D2A381-6D4F-43DB-A841-7F4E6D22047D}"/>
  <tableColumns count="10">
    <tableColumn id="1" xr3:uid="{05AA76A1-243F-4DA6-907E-B0DFE4DFFEDE}" name="Month" dataDxfId="1503"/>
    <tableColumn id="2" xr3:uid="{228473C2-1780-405D-AC37-83303B61565A}" name="Actual" dataDxfId="1502"/>
    <tableColumn id="3" xr3:uid="{FB18FE13-BA54-42D7-A6C3-4578C5F75EA8}" name="Expected" dataDxfId="1501"/>
    <tableColumn id="4" xr3:uid="{9C9927C2-F935-4F7F-AE57-59A8F8E58B35}" name="Delta Expected" dataDxfId="1500">
      <calculatedColumnFormula>B5-C5</calculatedColumnFormula>
    </tableColumn>
    <tableColumn id="5" xr3:uid="{07A16435-8838-4C32-BFF1-86498182BD7D}" name="% Expected" dataDxfId="1499" dataCellStyle="Percent">
      <calculatedColumnFormula>IFERROR(D5/C5, 0)</calculatedColumnFormula>
    </tableColumn>
    <tableColumn id="6" xr3:uid="{79A903B2-2535-48D7-B87F-91D4FD718AFE}" name="Forecasted" dataDxfId="1498"/>
    <tableColumn id="7" xr3:uid="{A68CDD5F-E358-4962-A629-E1DA49DCC223}" name="Delta Forecasted" dataDxfId="1497" dataCellStyle="Comma">
      <calculatedColumnFormula>B5-F5</calculatedColumnFormula>
    </tableColumn>
    <tableColumn id="8" xr3:uid="{E42238F9-04C8-45A3-8E69-3EB5941EE03B}" name="% Forecasted" dataDxfId="1496" dataCellStyle="Percent">
      <calculatedColumnFormula>IFERROR(G5/F5, 0)</calculatedColumnFormula>
    </tableColumn>
    <tableColumn id="9" xr3:uid="{CC3F5874-97E2-4324-993F-BEB22B181AD6}" name="Notes" dataDxfId="1495" dataCellStyle="Percent"/>
    <tableColumn id="10" xr3:uid="{9BDFEFD1-5CC2-4BBD-B677-8A30AD05574B}" name="Service Request" dataDxfId="1494" dataCellStyle="Percen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954CAD-D7DF-42A3-9155-BFBE1D230F9E}" name="Data18194567" displayName="Data18194567" ref="A4:J16" totalsRowShown="0" headerRowDxfId="1491" dataDxfId="1490" headerRowBorderDxfId="1488" tableBorderDxfId="1489" dataCellStyle="Percent">
  <autoFilter ref="A4:J16" xr:uid="{59A959C2-52B2-422A-A87A-BC08BBF40681}"/>
  <tableColumns count="10">
    <tableColumn id="1" xr3:uid="{E671D907-2EB0-476B-9457-3B6A63A0FCB7}" name="Month" dataDxfId="1487"/>
    <tableColumn id="2" xr3:uid="{F8615815-6505-404A-8158-772209245390}" name="Actual" dataDxfId="1486"/>
    <tableColumn id="3" xr3:uid="{DFFC3142-4A02-444C-A145-ED372D357205}" name="Expected" dataDxfId="1485"/>
    <tableColumn id="4" xr3:uid="{D5864ECB-5660-484D-BA07-0C3F31E3D40D}" name="Delta Expected" dataDxfId="1484">
      <calculatedColumnFormula>B5-C5</calculatedColumnFormula>
    </tableColumn>
    <tableColumn id="5" xr3:uid="{B13556C4-468F-4F03-8CBD-A695AE59AA3F}" name="% Expected" dataDxfId="1483" dataCellStyle="Percent">
      <calculatedColumnFormula>IFERROR(D5/C5, 0)</calculatedColumnFormula>
    </tableColumn>
    <tableColumn id="6" xr3:uid="{E2C61DE5-C84B-4622-8385-CD1A99188CAE}" name="Forecasted" dataDxfId="1482"/>
    <tableColumn id="7" xr3:uid="{EE25EA2B-90A4-406D-89F7-69BDC888D481}" name="Delta Forecasted" dataDxfId="1481" dataCellStyle="Comma">
      <calculatedColumnFormula>B5-F5</calculatedColumnFormula>
    </tableColumn>
    <tableColumn id="8" xr3:uid="{1CED532E-D322-425A-9141-83DD96EDA128}" name="% Forecasted" dataDxfId="1480" dataCellStyle="Percent">
      <calculatedColumnFormula>IFERROR(G5/F5, 0)</calculatedColumnFormula>
    </tableColumn>
    <tableColumn id="9" xr3:uid="{9E1BC50C-82FB-4B34-ACDE-E7EFBE704B48}" name="Notes" dataDxfId="1479" dataCellStyle="Percent"/>
    <tableColumn id="10" xr3:uid="{20070783-4090-4061-9384-31599E81271A}" name="Service Request" dataDxfId="1478" dataCellStyle="Percen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B40569-203B-4C09-AA27-943671E3F71F}" name="Data1819456" displayName="Data1819456" ref="A4:J16" totalsRowShown="0" headerRowDxfId="1475" dataDxfId="1474" headerRowBorderDxfId="1472" tableBorderDxfId="1473" dataCellStyle="Percent">
  <autoFilter ref="A4:J16" xr:uid="{59A959C2-52B2-422A-A87A-BC08BBF40681}"/>
  <tableColumns count="10">
    <tableColumn id="1" xr3:uid="{77EFF239-5FCE-4FF2-894F-E1DD28AEA2DC}" name="Month" dataDxfId="1471"/>
    <tableColumn id="2" xr3:uid="{B081AA9F-7172-4A0F-8231-9539918A6A83}" name="Actual" dataDxfId="1470"/>
    <tableColumn id="3" xr3:uid="{A346742B-A721-4B0F-AB98-6C8E5D1AF5FB}" name="Expected" dataDxfId="1469"/>
    <tableColumn id="4" xr3:uid="{53212736-B3D6-4C81-9340-8F39E8560E3D}" name="Delta Expected" dataDxfId="1468">
      <calculatedColumnFormula>B5-C5</calculatedColumnFormula>
    </tableColumn>
    <tableColumn id="5" xr3:uid="{1F8D081C-4639-46A1-85C6-F4E0A2C0EF33}" name="% Expected" dataDxfId="1467" dataCellStyle="Percent">
      <calculatedColumnFormula>IFERROR(D5/C5, 0)</calculatedColumnFormula>
    </tableColumn>
    <tableColumn id="6" xr3:uid="{1EE3E7D9-BE6D-48ED-8597-8B8EB7D2E09C}" name="Forecasted" dataDxfId="1466"/>
    <tableColumn id="7" xr3:uid="{7F5C41DF-D45F-4679-8572-AA1BFC07EC6B}" name="Delta Forecasted" dataDxfId="1465" dataCellStyle="Comma">
      <calculatedColumnFormula>B5-F5</calculatedColumnFormula>
    </tableColumn>
    <tableColumn id="8" xr3:uid="{3EDD9DD9-71A8-4CB2-A1E0-4228434BF8F7}" name="% Forecasted" dataDxfId="1464" dataCellStyle="Percent">
      <calculatedColumnFormula>IFERROR(G5/F5, 0)</calculatedColumnFormula>
    </tableColumn>
    <tableColumn id="9" xr3:uid="{B159037D-D732-423D-8358-C1B2BC623637}" name="Notes" dataDxfId="1463" dataCellStyle="Percent"/>
    <tableColumn id="10" xr3:uid="{1D529A0D-19E6-4F98-B8CB-BF76F2627A1C}" name="Service Request" dataDxfId="1462" dataCellStyle="Percen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AAA82-13CB-4B91-8F0C-B9AFBB3A9B88}" name="Data181945" displayName="Data181945" ref="A4:J16" totalsRowShown="0" headerRowDxfId="1459" dataDxfId="1458" headerRowBorderDxfId="1456" tableBorderDxfId="1457" dataCellStyle="Percent">
  <autoFilter ref="A4:J16" xr:uid="{59A959C2-52B2-422A-A87A-BC08BBF40681}"/>
  <tableColumns count="10">
    <tableColumn id="1" xr3:uid="{96DD51B2-2B15-42C2-8AEF-968ED84294FD}" name="Month" dataDxfId="1455"/>
    <tableColumn id="2" xr3:uid="{A40855B7-D7E9-4002-B436-E268B6E4D519}" name="Actual" dataDxfId="1454"/>
    <tableColumn id="3" xr3:uid="{0B4DF6B4-4F32-404F-982B-9F07D9980FA2}" name="Expected" dataDxfId="1453"/>
    <tableColumn id="4" xr3:uid="{56BA6B15-B996-4459-96E0-6D03A53160D4}" name="Delta Expected" dataDxfId="1452">
      <calculatedColumnFormula>B5-C5</calculatedColumnFormula>
    </tableColumn>
    <tableColumn id="5" xr3:uid="{D1672263-C55B-4413-BBFD-8924BDC1F6A3}" name="% Expected" dataDxfId="1451" dataCellStyle="Percent">
      <calculatedColumnFormula>IFERROR(D5/C5, 0)</calculatedColumnFormula>
    </tableColumn>
    <tableColumn id="6" xr3:uid="{7B03E0DB-3DC3-4CBB-B58E-546B7A40859B}" name="Forecasted" dataDxfId="1450"/>
    <tableColumn id="7" xr3:uid="{401E7927-B3F2-4501-A0DF-A3B577CDD388}" name="Delta Forecasted" dataDxfId="1449" dataCellStyle="Comma">
      <calculatedColumnFormula>B5-F5</calculatedColumnFormula>
    </tableColumn>
    <tableColumn id="8" xr3:uid="{8DC21F97-D232-4B1C-B585-5545F13C9F11}" name="% Forecasted" dataDxfId="1448" dataCellStyle="Percent">
      <calculatedColumnFormula>IFERROR(G5/F5, 0)</calculatedColumnFormula>
    </tableColumn>
    <tableColumn id="9" xr3:uid="{A68AC3EC-E460-4C4D-8BF2-DB7F84E18426}" name="Notes" dataDxfId="1447" dataCellStyle="Percent"/>
    <tableColumn id="10" xr3:uid="{45D52D39-11DD-4D46-99B7-55DA5B9F96D6}" name="Service Request" dataDxfId="1446" dataCellStyle="Percent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1006B7-05D0-4348-AD32-0DF48AC23C48}" name="Data18194" displayName="Data18194" ref="A4:J16" totalsRowShown="0" headerRowDxfId="1443" dataDxfId="1442" headerRowBorderDxfId="1440" tableBorderDxfId="1441" dataCellStyle="Percent">
  <autoFilter ref="A4:J16" xr:uid="{59A959C2-52B2-422A-A87A-BC08BBF40681}"/>
  <tableColumns count="10">
    <tableColumn id="1" xr3:uid="{CFBCCD29-7FF0-482E-B848-F48E0B8AEB22}" name="Month" dataDxfId="1439"/>
    <tableColumn id="2" xr3:uid="{1777FF1D-939C-4743-B183-C5CDA45AD74E}" name="Actual" dataDxfId="1438"/>
    <tableColumn id="3" xr3:uid="{F2F051F3-36A7-4E26-96C4-C8E3118532E8}" name="Expected" dataDxfId="1437"/>
    <tableColumn id="4" xr3:uid="{AD859DF6-0182-4561-80B4-F4C9E65E080C}" name="Delta Expected" dataDxfId="1436">
      <calculatedColumnFormula>B5-C5</calculatedColumnFormula>
    </tableColumn>
    <tableColumn id="5" xr3:uid="{0D0DA2E9-CB8F-4ADD-A035-FAD86038D8DB}" name="% Expected" dataDxfId="1435" dataCellStyle="Percent">
      <calculatedColumnFormula>IFERROR(D5/C5, 0)</calculatedColumnFormula>
    </tableColumn>
    <tableColumn id="6" xr3:uid="{6C4C39C5-3E74-4479-A68A-EA6BC6A45E88}" name="Forecasted" dataDxfId="1434"/>
    <tableColumn id="7" xr3:uid="{5B0EF783-17E3-4745-8093-60F2C6641528}" name="Delta Forecasted" dataDxfId="1433" dataCellStyle="Comma">
      <calculatedColumnFormula>B5-F5</calculatedColumnFormula>
    </tableColumn>
    <tableColumn id="8" xr3:uid="{E7132C5B-8CFF-441F-88F4-A2BC2C29629F}" name="% Forecasted" dataDxfId="1432" dataCellStyle="Percent">
      <calculatedColumnFormula>IFERROR(G5/F5, 0)</calculatedColumnFormula>
    </tableColumn>
    <tableColumn id="9" xr3:uid="{3D1A99F9-AADE-434E-8CCC-12D0BBE75B51}" name="Notes" dataDxfId="1431" dataCellStyle="Percent"/>
    <tableColumn id="10" xr3:uid="{21200F7E-B9AD-4BA6-8308-AE933BA45E97}" name="Service Request" dataDxfId="1430" dataCellStyle="Percent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13A29D1-4459-4EB5-8A09-A3BF290AFBA2}" name="Data1819461" displayName="Data1819461" ref="A4:J17" totalsRowShown="0" headerRowDxfId="1427" dataDxfId="1426" headerRowBorderDxfId="1424" tableBorderDxfId="1425" dataCellStyle="Percent">
  <autoFilter ref="A4:J17" xr:uid="{913A29D1-4459-4EB5-8A09-A3BF290AFBA2}"/>
  <tableColumns count="10">
    <tableColumn id="1" xr3:uid="{57F5577E-C14A-4420-B974-53CE089C1C28}" name="Month" dataDxfId="1423"/>
    <tableColumn id="2" xr3:uid="{35ADEBD2-06B4-47C8-BB3D-EFF4E510EA2A}" name="Actual" dataDxfId="1422"/>
    <tableColumn id="3" xr3:uid="{589A1ED8-4CFE-49B3-814A-22EB29EFB013}" name="Expected" dataDxfId="1421"/>
    <tableColumn id="4" xr3:uid="{5F23EA88-4D84-4C70-A49C-FE65219A015A}" name="Delta Expected" dataDxfId="1420">
      <calculatedColumnFormula>B5-C5</calculatedColumnFormula>
    </tableColumn>
    <tableColumn id="5" xr3:uid="{3F59D8F5-AAE8-4A87-A56F-95BA6AA3A0B3}" name="% Expected" dataDxfId="1419" dataCellStyle="Percent">
      <calculatedColumnFormula>IFERROR(D5/C5, 0)</calculatedColumnFormula>
    </tableColumn>
    <tableColumn id="6" xr3:uid="{E8C3B993-0F23-4EBA-ACFD-9228B677CA87}" name="Forecasted" dataDxfId="1418"/>
    <tableColumn id="7" xr3:uid="{FB331643-67D4-4446-9EBE-E27E7468C793}" name="Delta Forecasted" dataDxfId="1417" dataCellStyle="Comma">
      <calculatedColumnFormula>B5-F5</calculatedColumnFormula>
    </tableColumn>
    <tableColumn id="8" xr3:uid="{11EA0BA1-DD9C-4D45-8CB3-65DAF1E9865E}" name="% Forecasted" dataDxfId="1416" dataCellStyle="Percent">
      <calculatedColumnFormula>IFERROR(G5/F5, 0)</calculatedColumnFormula>
    </tableColumn>
    <tableColumn id="9" xr3:uid="{0B0EB206-519E-452D-BA8C-34E9D6E5783C}" name="Notes" dataDxfId="1415" dataCellStyle="Percent"/>
    <tableColumn id="10" xr3:uid="{4A3DE2EE-FFFC-419B-9E9B-0A8768F3C59C}" name="Service Request" dataDxfId="1414" dataCellStyle="Percent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9B58450-8E20-43B4-BFB4-8D657A7116F5}" name="Data18194131415161730313233" displayName="Data18194131415161730313233" ref="A4:J16" totalsRowShown="0" headerRowDxfId="1411" dataDxfId="1410" headerRowBorderDxfId="1408" tableBorderDxfId="1409" dataCellStyle="Percent">
  <autoFilter ref="A4:J16" xr:uid="{59A959C2-52B2-422A-A87A-BC08BBF40681}"/>
  <tableColumns count="10">
    <tableColumn id="1" xr3:uid="{839EB0D4-3487-40C5-B389-E02EE5129AD5}" name="Month" dataDxfId="1407"/>
    <tableColumn id="2" xr3:uid="{F2EDCFE1-7D29-488E-9F04-10A8AD47DA1C}" name="Actual" dataDxfId="1406"/>
    <tableColumn id="3" xr3:uid="{38C58828-813D-4D33-A910-0E4FA08DACB7}" name="Expected" dataDxfId="1405"/>
    <tableColumn id="4" xr3:uid="{E8C0B1AE-23CE-4EB6-B20B-560D7EFA7274}" name="Delta Expected" dataDxfId="1404">
      <calculatedColumnFormula>B5-C5</calculatedColumnFormula>
    </tableColumn>
    <tableColumn id="5" xr3:uid="{5E12A9E8-3F91-4608-8D89-35999E84B866}" name="% Expected" dataDxfId="1403" dataCellStyle="Percent">
      <calculatedColumnFormula>IFERROR(D5/C5, 0)</calculatedColumnFormula>
    </tableColumn>
    <tableColumn id="6" xr3:uid="{655E831A-0F4F-470F-B834-92F5FD78F8E8}" name="Forecasted" dataDxfId="1402"/>
    <tableColumn id="7" xr3:uid="{30E5BDD5-0883-42CE-ABBF-3556DEEA26E5}" name="Delta Forecasted" dataDxfId="1401" dataCellStyle="Comma">
      <calculatedColumnFormula>B5-F5</calculatedColumnFormula>
    </tableColumn>
    <tableColumn id="8" xr3:uid="{DC3885DA-AEB5-4DA2-8DFF-2D9044E840A6}" name="% Forecasted" dataDxfId="1400" dataCellStyle="Percent">
      <calculatedColumnFormula>IFERROR(G5/F5, 0)</calculatedColumnFormula>
    </tableColumn>
    <tableColumn id="9" xr3:uid="{85F95459-4022-46EE-B8C8-0BDBD8AB45BD}" name="Notes" dataDxfId="1399" dataCellStyle="Percent"/>
    <tableColumn id="10" xr3:uid="{FA060F18-8F20-4FF3-85D3-8B1CF137EA52}" name="Service Request" dataDxfId="1398" dataCellStyle="Percent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0C60D7D-70B4-4D26-B834-45053C7407DB}" name="Data181941314151617303132" displayName="Data181941314151617303132" ref="A4:J16" totalsRowShown="0" headerRowDxfId="1395" dataDxfId="1394" headerRowBorderDxfId="1392" tableBorderDxfId="1393" dataCellStyle="Percent">
  <autoFilter ref="A4:J16" xr:uid="{59A959C2-52B2-422A-A87A-BC08BBF40681}"/>
  <tableColumns count="10">
    <tableColumn id="1" xr3:uid="{07D1DE73-A379-4CA0-B987-5E47C84D7965}" name="Month" dataDxfId="1391"/>
    <tableColumn id="2" xr3:uid="{1556277B-2C4A-4EAC-8E15-7307DA2BCCF4}" name="Actual" dataDxfId="1390"/>
    <tableColumn id="3" xr3:uid="{E5C2CF33-63A5-47E4-A13F-CEFC0DA4BA51}" name="Expected" dataDxfId="1389"/>
    <tableColumn id="4" xr3:uid="{4E2CE232-3BB9-4590-BC77-F6DB154EB8ED}" name="Delta Expected" dataDxfId="1388">
      <calculatedColumnFormula>B5-C5</calculatedColumnFormula>
    </tableColumn>
    <tableColumn id="5" xr3:uid="{6EA891C3-07B4-429D-AA6D-3A8FC9DEF3AA}" name="% Expected" dataDxfId="1387" dataCellStyle="Percent">
      <calculatedColumnFormula>IFERROR(D5/C5, 0)</calculatedColumnFormula>
    </tableColumn>
    <tableColumn id="6" xr3:uid="{1C6EBD42-3A8D-4099-8474-FD4AB541B017}" name="Forecasted" dataDxfId="1386"/>
    <tableColumn id="7" xr3:uid="{8D4C26D1-4231-4272-969D-A82318C73F4A}" name="Delta Forecasted" dataDxfId="1385" dataCellStyle="Comma">
      <calculatedColumnFormula>B5-F5</calculatedColumnFormula>
    </tableColumn>
    <tableColumn id="8" xr3:uid="{9D50E2FE-AE98-4EBA-8914-4D02E7AC691D}" name="% Forecasted" dataDxfId="1384" dataCellStyle="Percent">
      <calculatedColumnFormula>IFERROR(G5/F5, 0)</calculatedColumnFormula>
    </tableColumn>
    <tableColumn id="9" xr3:uid="{74497AFA-788B-4423-9D81-7FB3035E09DF}" name="Notes" dataDxfId="1383" dataCellStyle="Percent"/>
    <tableColumn id="10" xr3:uid="{B394CA6E-EF26-4623-8EAE-B2327A6CB03D}" name="Service Request" dataDxfId="1382" dataCellStyle="Percent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EF2F484-9B2A-41BB-822A-BD039B1EF7FA}" name="Data18194131415161730" displayName="Data18194131415161730" ref="A4:J16" totalsRowShown="0" headerRowDxfId="1379" dataDxfId="1378" headerRowBorderDxfId="1376" tableBorderDxfId="1377" dataCellStyle="Percent">
  <autoFilter ref="A4:J16" xr:uid="{59A959C2-52B2-422A-A87A-BC08BBF40681}"/>
  <tableColumns count="10">
    <tableColumn id="1" xr3:uid="{5F87B236-25DD-41FC-8499-105AF2447CF9}" name="Month" dataDxfId="1375"/>
    <tableColumn id="2" xr3:uid="{9FEBFA26-65BD-4356-A85C-28289B6F6977}" name="Actual" dataDxfId="1374"/>
    <tableColumn id="3" xr3:uid="{0A47619E-F253-4B13-B4ED-F82A0BA834E9}" name="Expected" dataDxfId="1373"/>
    <tableColumn id="4" xr3:uid="{5BE42B64-6F21-405F-ABD5-269A24AAA884}" name="Delta Expected" dataDxfId="1372">
      <calculatedColumnFormula>B5-C5</calculatedColumnFormula>
    </tableColumn>
    <tableColumn id="5" xr3:uid="{9E7F49DC-14E8-45D7-95BB-627CC5975908}" name="% Expected" dataDxfId="1371" dataCellStyle="Percent">
      <calculatedColumnFormula>IFERROR(D5/C5, 0)</calculatedColumnFormula>
    </tableColumn>
    <tableColumn id="6" xr3:uid="{2AEF9A91-4812-4C27-AF37-EBBA7DD3B4A3}" name="Forecasted" dataDxfId="1370"/>
    <tableColumn id="7" xr3:uid="{35408467-77B0-4196-B6AC-403B6CE46E6A}" name="Delta Forecasted" dataDxfId="1369" dataCellStyle="Comma">
      <calculatedColumnFormula>B5-F5</calculatedColumnFormula>
    </tableColumn>
    <tableColumn id="8" xr3:uid="{3303907B-7785-4DAB-8C66-5756DCA541D3}" name="% Forecasted" dataDxfId="1368" dataCellStyle="Percent">
      <calculatedColumnFormula>IFERROR(G5/F5, 0)</calculatedColumnFormula>
    </tableColumn>
    <tableColumn id="9" xr3:uid="{226C0668-DD0D-4A89-B097-0DC3B3CCA2C6}" name="Notes" dataDxfId="1367" dataCellStyle="Percent"/>
    <tableColumn id="10" xr3:uid="{8CA62AA5-A5F5-4E31-8041-B8E35A6D19A8}" name="Service Request" dataDxfId="1366" dataCellStyle="Percent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1D5E678-E725-407D-8066-AEC6539445F2}" name="Data1819413141516173031" displayName="Data1819413141516173031" ref="A4:J16" totalsRowShown="0" headerRowDxfId="1363" dataDxfId="1362" headerRowBorderDxfId="1360" tableBorderDxfId="1361" dataCellStyle="Percent">
  <autoFilter ref="A4:J16" xr:uid="{59A959C2-52B2-422A-A87A-BC08BBF40681}"/>
  <tableColumns count="10">
    <tableColumn id="1" xr3:uid="{6513C4FF-C08A-4234-9B01-1A3436722E6A}" name="Month" dataDxfId="1359"/>
    <tableColumn id="2" xr3:uid="{46911747-7416-4055-B152-CFBD3DE1A63C}" name="Actual" dataDxfId="1358"/>
    <tableColumn id="3" xr3:uid="{EC39EA76-BDF6-4E7A-98D6-9E3AA14B78C0}" name="Expected" dataDxfId="1357"/>
    <tableColumn id="4" xr3:uid="{9DE65F26-20FD-4398-931F-722FDECA51CD}" name="Delta Expected" dataDxfId="1356">
      <calculatedColumnFormula>B5-C5</calculatedColumnFormula>
    </tableColumn>
    <tableColumn id="5" xr3:uid="{331430CE-ED63-49B3-B1C0-9B13084E9549}" name="% Expected" dataDxfId="1355" dataCellStyle="Percent">
      <calculatedColumnFormula>IFERROR(D5/C5, 0)</calculatedColumnFormula>
    </tableColumn>
    <tableColumn id="6" xr3:uid="{550B50F9-BA46-4CA3-8638-0225B0A5E7B7}" name="Forecasted" dataDxfId="1354"/>
    <tableColumn id="7" xr3:uid="{D4B47B3E-9199-49EB-AFD6-98B257E160D6}" name="Delta Forecasted" dataDxfId="1353" dataCellStyle="Comma">
      <calculatedColumnFormula>B5-F5</calculatedColumnFormula>
    </tableColumn>
    <tableColumn id="8" xr3:uid="{56CFC2F4-A46B-48B8-8EFF-4AA222FEC42A}" name="% Forecasted" dataDxfId="1352" dataCellStyle="Percent">
      <calculatedColumnFormula>IFERROR(G5/F5, 0)</calculatedColumnFormula>
    </tableColumn>
    <tableColumn id="9" xr3:uid="{7435AD23-4E39-442F-A17E-18B4904E4357}" name="Notes" dataDxfId="1351" dataCellStyle="Percent"/>
    <tableColumn id="10" xr3:uid="{A1EA7538-FCCF-40D5-A89D-E423B77675EE}" name="Service Request" dataDxfId="1350" dataCellStyle="Percent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9C49F9A-C0F5-443B-BDFF-3A9A9C491402}" name="Data181941314151617" displayName="Data181941314151617" ref="A4:J16" totalsRowShown="0" headerRowDxfId="1347" dataDxfId="1346" headerRowBorderDxfId="1344" tableBorderDxfId="1345" dataCellStyle="Percent">
  <autoFilter ref="A4:J16" xr:uid="{59A959C2-52B2-422A-A87A-BC08BBF40681}"/>
  <tableColumns count="10">
    <tableColumn id="1" xr3:uid="{3D080ECF-E927-45CB-A250-0A666C54377F}" name="Month" dataDxfId="1343"/>
    <tableColumn id="2" xr3:uid="{E3483F30-41C4-457C-AB6D-C1AD6945D2B6}" name="Actual" dataDxfId="1342"/>
    <tableColumn id="3" xr3:uid="{E17E92DA-FEEA-4050-BDE3-27CEFB1F8518}" name="Expected" dataDxfId="1341"/>
    <tableColumn id="4" xr3:uid="{E1E95141-D7E3-4941-B32E-50785F4FC03A}" name="Delta Expected" dataDxfId="1340">
      <calculatedColumnFormula>B5-C5</calculatedColumnFormula>
    </tableColumn>
    <tableColumn id="5" xr3:uid="{2A3AF5E2-7DAF-4601-973C-74AFE78A0549}" name="% Expected" dataDxfId="1339" dataCellStyle="Percent">
      <calculatedColumnFormula>IFERROR(D5/C5, 0)</calculatedColumnFormula>
    </tableColumn>
    <tableColumn id="6" xr3:uid="{8FC00CAE-D1A9-442E-8038-92D3D343FC57}" name="Forecasted" dataDxfId="1338"/>
    <tableColumn id="7" xr3:uid="{595B8A76-E1C2-44D4-9FD4-4F394AC78855}" name="Delta Forecasted" dataDxfId="1337" dataCellStyle="Comma">
      <calculatedColumnFormula>B5-F5</calculatedColumnFormula>
    </tableColumn>
    <tableColumn id="8" xr3:uid="{BD9A23F5-C595-4324-8337-B6179BA6E44C}" name="% Forecasted" dataDxfId="1336" dataCellStyle="Percent">
      <calculatedColumnFormula>IFERROR(G5/F5, 0)</calculatedColumnFormula>
    </tableColumn>
    <tableColumn id="9" xr3:uid="{C32DFCF5-A17D-4337-8FFA-C3AB9060CCD7}" name="Notes" dataDxfId="1335" dataCellStyle="Percent"/>
    <tableColumn id="10" xr3:uid="{F236DF35-13A6-4E1E-8D0A-1BC52AF27312}" name="Service Request" dataDxfId="1334" dataCellStyle="Percent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F518CDA-1992-47E5-90DC-BF74A2D88F4C}" name="Data1819413141516" displayName="Data1819413141516" ref="A4:J16" totalsRowShown="0" headerRowDxfId="1331" dataDxfId="1330" headerRowBorderDxfId="1328" tableBorderDxfId="1329" dataCellStyle="Percent">
  <autoFilter ref="A4:J16" xr:uid="{59A959C2-52B2-422A-A87A-BC08BBF40681}"/>
  <tableColumns count="10">
    <tableColumn id="1" xr3:uid="{5B4F3E98-0955-436E-83A8-DB8680F280F7}" name="Month" dataDxfId="1327"/>
    <tableColumn id="2" xr3:uid="{CB7A7C41-F1D5-40D9-9109-3B445E7A2A3C}" name="Actual" dataDxfId="1326"/>
    <tableColumn id="3" xr3:uid="{6BC5A74B-7B9A-4465-BCEC-297740AC7497}" name="Expected" dataDxfId="1325"/>
    <tableColumn id="4" xr3:uid="{3D43E0B5-1C13-4FA7-BFA2-F11E9A10E7CB}" name="Delta Expected" dataDxfId="1324">
      <calculatedColumnFormula>B5-C5</calculatedColumnFormula>
    </tableColumn>
    <tableColumn id="5" xr3:uid="{EAAB89B6-2BCB-484C-B939-4C6A3CC74F14}" name="% Expected" dataDxfId="1323" dataCellStyle="Percent">
      <calculatedColumnFormula>IFERROR(D5/C5, 0)</calculatedColumnFormula>
    </tableColumn>
    <tableColumn id="6" xr3:uid="{3EC0760F-341C-4001-8858-33721E37D81B}" name="Forecasted" dataDxfId="1322"/>
    <tableColumn id="7" xr3:uid="{2B855579-2AF6-4EC2-943E-04D2542F2C75}" name="Delta Forecasted" dataDxfId="1321" dataCellStyle="Comma">
      <calculatedColumnFormula>B5-F5</calculatedColumnFormula>
    </tableColumn>
    <tableColumn id="8" xr3:uid="{C39320B6-65AD-4940-BCC6-5F825941ADA7}" name="% Forecasted" dataDxfId="1320" dataCellStyle="Percent">
      <calculatedColumnFormula>IFERROR(G5/F5, 0)</calculatedColumnFormula>
    </tableColumn>
    <tableColumn id="9" xr3:uid="{84FF24A4-AA70-4303-A995-51F4F3CE72CD}" name="Notes" dataDxfId="1319" dataCellStyle="Percent"/>
    <tableColumn id="10" xr3:uid="{B141CDAA-34EB-4B31-9DDD-D4D870D0A45C}" name="Service Request" dataDxfId="1318" dataCellStyle="Percent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95E6C37-F911-4C61-91C8-3E75830ABEA7}" name="Data18194131415" displayName="Data18194131415" ref="A4:J16" totalsRowShown="0" headerRowDxfId="1315" dataDxfId="1314" headerRowBorderDxfId="1312" tableBorderDxfId="1313" dataCellStyle="Percent">
  <autoFilter ref="A4:J16" xr:uid="{59A959C2-52B2-422A-A87A-BC08BBF40681}"/>
  <tableColumns count="10">
    <tableColumn id="1" xr3:uid="{29AFB094-5CF5-49BE-BCF4-8B17540309AF}" name="Month" dataDxfId="1311"/>
    <tableColumn id="2" xr3:uid="{892C8CF5-E2E5-4ED6-8E62-BB340AB1D453}" name="Actual" dataDxfId="1310"/>
    <tableColumn id="3" xr3:uid="{7D4F9D84-E050-4239-9E17-9C18BCD5260F}" name="Expected" dataDxfId="1309"/>
    <tableColumn id="4" xr3:uid="{3001ABC6-9C56-4D57-A94C-DE2152CBDF17}" name="Delta Expected" dataDxfId="1308">
      <calculatedColumnFormula>B5-C5</calculatedColumnFormula>
    </tableColumn>
    <tableColumn id="5" xr3:uid="{61D38EAF-9C92-48A2-8E7B-7BD62B55EDC1}" name="% Expected" dataDxfId="1307" dataCellStyle="Percent">
      <calculatedColumnFormula>IFERROR(D5/C5, 0)</calculatedColumnFormula>
    </tableColumn>
    <tableColumn id="6" xr3:uid="{E6A364B4-4020-4619-A6D4-9B93F3068D49}" name="Forecasted" dataDxfId="1306"/>
    <tableColumn id="7" xr3:uid="{0292F355-F48F-445A-B374-39CE0970BB21}" name="Delta Forecasted" dataDxfId="1305" dataCellStyle="Comma">
      <calculatedColumnFormula>B5-F5</calculatedColumnFormula>
    </tableColumn>
    <tableColumn id="8" xr3:uid="{3FA637F4-04D7-409E-B494-F6DBD1A718B6}" name="% Forecasted" dataDxfId="1304" dataCellStyle="Percent">
      <calculatedColumnFormula>IFERROR(G5/F5, 0)</calculatedColumnFormula>
    </tableColumn>
    <tableColumn id="9" xr3:uid="{613C578B-A023-4249-B926-793C2AA1B9F2}" name="Notes" dataDxfId="1303" dataCellStyle="Percent"/>
    <tableColumn id="10" xr3:uid="{D4E108B2-8B70-487E-A0E4-D60DA92D24A7}" name="Service Request" dataDxfId="1302" dataCellStyle="Percent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CC14F1-75BD-4951-97A1-A935F35C165E}" name="Data181941314" displayName="Data181941314" ref="A4:J16" totalsRowShown="0" headerRowDxfId="1299" dataDxfId="1298" headerRowBorderDxfId="1296" tableBorderDxfId="1297" dataCellStyle="Percent">
  <autoFilter ref="A4:J16" xr:uid="{59A959C2-52B2-422A-A87A-BC08BBF40681}"/>
  <tableColumns count="10">
    <tableColumn id="1" xr3:uid="{35458046-1E47-486A-8DEF-A0B2856BCA58}" name="Month" dataDxfId="1295"/>
    <tableColumn id="2" xr3:uid="{F03DF7F8-8C88-42EC-AF3A-B12738DAC9A0}" name="Actual" dataDxfId="1294"/>
    <tableColumn id="3" xr3:uid="{29BCD9EC-98AE-4C46-9A71-ACFD4A6CE598}" name="Expected" dataDxfId="1293"/>
    <tableColumn id="4" xr3:uid="{05112958-6AEF-4261-9718-7F1E69661B54}" name="Delta Expected" dataDxfId="1292">
      <calculatedColumnFormula>B5-C5</calculatedColumnFormula>
    </tableColumn>
    <tableColumn id="5" xr3:uid="{A6223F42-D161-46AE-A045-64A53E312492}" name="% Expected" dataDxfId="1291" dataCellStyle="Percent">
      <calculatedColumnFormula>IFERROR(D5/C5, 0)</calculatedColumnFormula>
    </tableColumn>
    <tableColumn id="6" xr3:uid="{0174C864-B677-4291-B6E6-92345F4F3DF5}" name="Forecasted" dataDxfId="1290"/>
    <tableColumn id="7" xr3:uid="{B20B0E58-F601-46D7-8744-306FE7BFC9F0}" name="Delta Forecasted" dataDxfId="1289" dataCellStyle="Comma">
      <calculatedColumnFormula>B5-F5</calculatedColumnFormula>
    </tableColumn>
    <tableColumn id="8" xr3:uid="{0902AAAB-F0D3-41CC-8384-6528CF4B5F21}" name="% Forecasted" dataDxfId="1288" dataCellStyle="Percent">
      <calculatedColumnFormula>IFERROR(G5/F5, 0)</calculatedColumnFormula>
    </tableColumn>
    <tableColumn id="9" xr3:uid="{9FA0D75B-8252-4378-8BAF-FADB479FB9AD}" name="Notes" dataDxfId="1287" dataCellStyle="Percent"/>
    <tableColumn id="10" xr3:uid="{A542EEE1-5066-46AA-876B-46199110858D}" name="Service Request" dataDxfId="1286" dataCellStyle="Percent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11AAF2-D211-40E9-BF75-B352CF34BDB5}" name="Data1819413" displayName="Data1819413" ref="A4:J16" totalsRowShown="0" headerRowDxfId="1283" dataDxfId="1282" headerRowBorderDxfId="1280" tableBorderDxfId="1281" dataCellStyle="Percent">
  <autoFilter ref="A4:J16" xr:uid="{59A959C2-52B2-422A-A87A-BC08BBF40681}"/>
  <tableColumns count="10">
    <tableColumn id="1" xr3:uid="{D20C4AEA-1C37-40CD-8513-905E68321D6C}" name="Month" dataDxfId="1279"/>
    <tableColumn id="2" xr3:uid="{9CEDAB70-0A32-4CED-8912-98E989302B44}" name="Actual" dataDxfId="1278"/>
    <tableColumn id="3" xr3:uid="{E7FBAD78-F88E-4C3B-830D-2ACE1854C22D}" name="Expected" dataDxfId="1277"/>
    <tableColumn id="4" xr3:uid="{82FF4168-AA29-4871-ACCF-3365952FC0BA}" name="Delta Expected" dataDxfId="1276">
      <calculatedColumnFormula>B5-C5</calculatedColumnFormula>
    </tableColumn>
    <tableColumn id="5" xr3:uid="{6D942D32-DFC5-4241-9923-76B9D1FE57BF}" name="% Expected" dataDxfId="1275" dataCellStyle="Percent">
      <calculatedColumnFormula>IFERROR(D5/C5, 0)</calculatedColumnFormula>
    </tableColumn>
    <tableColumn id="6" xr3:uid="{08E74C6E-799F-4688-BB4E-04EA6FED374A}" name="Forecasted" dataDxfId="1274"/>
    <tableColumn id="7" xr3:uid="{021D063C-C680-475C-AEFD-E9DDC16ABECD}" name="Delta Forecasted" dataDxfId="1273" dataCellStyle="Comma">
      <calculatedColumnFormula>B5-F5</calculatedColumnFormula>
    </tableColumn>
    <tableColumn id="8" xr3:uid="{83953123-D7DF-45E5-92F5-F705BFFC1BFC}" name="% Forecasted" dataDxfId="1272" dataCellStyle="Percent">
      <calculatedColumnFormula>IFERROR(G5/F5, 0)</calculatedColumnFormula>
    </tableColumn>
    <tableColumn id="9" xr3:uid="{98792B0F-3545-476F-9E66-77BEE49D83DD}" name="Notes" dataDxfId="1271" dataCellStyle="Percent"/>
    <tableColumn id="10" xr3:uid="{51126D26-56A7-4212-B027-2F2E5B6235D0}" name="Service Request" dataDxfId="1270" dataCellStyle="Percent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672FDDB-F9D8-47B6-83CC-4590AC0C5037}" name="Data1819413343536373839404142131" displayName="Data1819413343536373839404142131" ref="A4:J16" totalsRowShown="0" headerRowDxfId="1267" dataDxfId="1266" headerRowBorderDxfId="1264" tableBorderDxfId="1265" dataCellStyle="Percent">
  <autoFilter ref="A4:J16" xr:uid="{0672FDDB-F9D8-47B6-83CC-4590AC0C5037}"/>
  <tableColumns count="10">
    <tableColumn id="1" xr3:uid="{4B3DAF7C-B514-4212-81DB-76D4DA891EB3}" name="Month" dataDxfId="1263"/>
    <tableColumn id="2" xr3:uid="{5A90ABCC-8CC0-472E-A1A6-64C4F2A0BF41}" name="Actual" dataDxfId="1262"/>
    <tableColumn id="3" xr3:uid="{5CFA634A-3D17-43E9-91C7-11921C1C912E}" name="Expected" dataDxfId="1261"/>
    <tableColumn id="4" xr3:uid="{5358C9D9-6323-4668-B5DC-0C3525C9D0FE}" name="Delta Expected" dataDxfId="1260">
      <calculatedColumnFormula>B5-C5</calculatedColumnFormula>
    </tableColumn>
    <tableColumn id="5" xr3:uid="{01DDE2E4-2382-48A0-A14E-7D886D0338C7}" name="% Expected" dataDxfId="1259" dataCellStyle="Percent">
      <calculatedColumnFormula>IFERROR(D5/C5, 0)</calculatedColumnFormula>
    </tableColumn>
    <tableColumn id="6" xr3:uid="{24484147-559C-4B7A-9AB6-A74649D67B83}" name="Forecasted" dataDxfId="1258"/>
    <tableColumn id="7" xr3:uid="{5501C324-38DC-4B7A-A5BE-F3CD71DE9A17}" name="Delta Forecasted" dataDxfId="1257" dataCellStyle="Comma">
      <calculatedColumnFormula>B5-F5</calculatedColumnFormula>
    </tableColumn>
    <tableColumn id="8" xr3:uid="{98225766-A4B5-48D0-A338-59B2713BEC77}" name="% Forecasted" dataDxfId="1256" dataCellStyle="Percent">
      <calculatedColumnFormula>IFERROR(G5/F5, 0)</calculatedColumnFormula>
    </tableColumn>
    <tableColumn id="9" xr3:uid="{A453F4C3-72A1-4ADB-A87A-D36BEC041B98}" name="Notes" dataDxfId="1255" dataCellStyle="Percent"/>
    <tableColumn id="10" xr3:uid="{9882A381-A310-428D-B9F6-3FADECA00E12}" name="Service Request" dataDxfId="1254" dataCellStyle="Percent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A1065B8-3508-4E91-936E-3CA5995CBED9}" name="Data1819413343536373839404142" displayName="Data1819413343536373839404142" ref="A4:J16" totalsRowShown="0" headerRowDxfId="1251" dataDxfId="1250" headerRowBorderDxfId="1248" tableBorderDxfId="1249" dataCellStyle="Percent">
  <autoFilter ref="A4:J16" xr:uid="{59A959C2-52B2-422A-A87A-BC08BBF40681}"/>
  <tableColumns count="10">
    <tableColumn id="1" xr3:uid="{FB453F67-6F9B-4CB5-8200-15E1B6D065A3}" name="Month" dataDxfId="1247"/>
    <tableColumn id="2" xr3:uid="{D9BE5190-5C7D-43B0-BE7B-D2302DC2DA0B}" name="Actual" dataDxfId="1246"/>
    <tableColumn id="3" xr3:uid="{A011AB6E-3585-4251-A438-7A440B8C6371}" name="Expected" dataDxfId="1245"/>
    <tableColumn id="4" xr3:uid="{AA7547C6-CD1D-47E0-B48B-1FEAFDA3DDCC}" name="Delta Expected" dataDxfId="1244">
      <calculatedColumnFormula>B5-C5</calculatedColumnFormula>
    </tableColumn>
    <tableColumn id="5" xr3:uid="{67FD4346-E5B3-4F6E-B6CD-13FB0772034A}" name="% Expected" dataDxfId="1243" dataCellStyle="Percent">
      <calculatedColumnFormula>IFERROR(D5/C5, 0)</calculatedColumnFormula>
    </tableColumn>
    <tableColumn id="6" xr3:uid="{CD5B6ABE-32BE-44D6-9DC2-934DAA7221F1}" name="Forecasted" dataDxfId="1242"/>
    <tableColumn id="7" xr3:uid="{0DB77873-197B-4973-B031-20C3EB4A93CC}" name="Delta Forecasted" dataDxfId="1241" dataCellStyle="Comma">
      <calculatedColumnFormula>B5-F5</calculatedColumnFormula>
    </tableColumn>
    <tableColumn id="8" xr3:uid="{04E989B7-9D3A-4A3B-84F5-20B4352878F6}" name="% Forecasted" dataDxfId="1240" dataCellStyle="Percent">
      <calculatedColumnFormula>IFERROR(G5/F5, 0)</calculatedColumnFormula>
    </tableColumn>
    <tableColumn id="9" xr3:uid="{A2666073-2FC0-4A41-A799-AEB09F8394CA}" name="Notes" dataDxfId="1239" dataCellStyle="Percent"/>
    <tableColumn id="10" xr3:uid="{57446697-4BE2-4E95-BF30-2E5292FD2740}" name="Service Request" dataDxfId="1238" dataCellStyle="Percent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5FCFD50-6552-4276-9D9A-17AA1FD513CA}" name="Data18194133435363738394041" displayName="Data18194133435363738394041" ref="A4:J16" totalsRowShown="0" headerRowDxfId="1235" dataDxfId="1234" headerRowBorderDxfId="1232" tableBorderDxfId="1233" dataCellStyle="Percent">
  <autoFilter ref="A4:J16" xr:uid="{59A959C2-52B2-422A-A87A-BC08BBF40681}"/>
  <tableColumns count="10">
    <tableColumn id="1" xr3:uid="{018E8F44-A9AF-4891-A756-70F3713C91E8}" name="Month" dataDxfId="1231"/>
    <tableColumn id="2" xr3:uid="{E105D4BD-2127-4EC0-B8BB-C22D0ED3E410}" name="Actual" dataDxfId="1230"/>
    <tableColumn id="3" xr3:uid="{9F700B89-30EE-45F6-9CE6-8D5C9E6F9195}" name="Expected" dataDxfId="1229"/>
    <tableColumn id="4" xr3:uid="{50DDA39F-C8ED-42B9-865F-946887205D32}" name="Delta Expected" dataDxfId="1228">
      <calculatedColumnFormula>B5-C5</calculatedColumnFormula>
    </tableColumn>
    <tableColumn id="5" xr3:uid="{037D6A4B-BCF2-4B85-8EBB-F1A4E4BB85AC}" name="% Expected" dataDxfId="1227" dataCellStyle="Percent">
      <calculatedColumnFormula>IFERROR(D5/C5, 0)</calculatedColumnFormula>
    </tableColumn>
    <tableColumn id="6" xr3:uid="{DAF1489D-C183-4719-9392-49EC31EEF6D5}" name="Forecasted" dataDxfId="1226"/>
    <tableColumn id="7" xr3:uid="{37A3A7B8-9AD0-43D3-A6A9-C4ED066A8632}" name="Delta Forecasted" dataDxfId="1225" dataCellStyle="Comma">
      <calculatedColumnFormula>B5-F5</calculatedColumnFormula>
    </tableColumn>
    <tableColumn id="8" xr3:uid="{FA6A34CF-9418-4BB0-B6B5-0689257B3E02}" name="% Forecasted" dataDxfId="1224" dataCellStyle="Percent">
      <calculatedColumnFormula>IFERROR(G5/F5, 0)</calculatedColumnFormula>
    </tableColumn>
    <tableColumn id="9" xr3:uid="{A5F193E8-7F02-4600-9D78-2577BE3DDA2F}" name="Notes" dataDxfId="1223" dataCellStyle="Percent"/>
    <tableColumn id="10" xr3:uid="{59CB6CF5-C2F7-41C0-BE99-A6CFA61BFE8E}" name="Service Request" dataDxfId="1222" dataCellStyle="Percent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5325A7C-A728-46F4-AE07-00E3321ED103}" name="Data181941334353637383940" displayName="Data181941334353637383940" ref="A4:J16" totalsRowShown="0" headerRowDxfId="1219" dataDxfId="1218" headerRowBorderDxfId="1216" tableBorderDxfId="1217" dataCellStyle="Percent">
  <autoFilter ref="A4:J16" xr:uid="{59A959C2-52B2-422A-A87A-BC08BBF40681}"/>
  <tableColumns count="10">
    <tableColumn id="1" xr3:uid="{7D7050A4-D875-4A36-837A-6EDD9B4EAC07}" name="Month" dataDxfId="1215"/>
    <tableColumn id="2" xr3:uid="{427887B2-7D86-4C3A-B3B2-F404749B28FE}" name="Actual" dataDxfId="1214"/>
    <tableColumn id="3" xr3:uid="{5E670200-8835-42D0-A84B-F2E2C8038594}" name="Expected" dataDxfId="1213"/>
    <tableColumn id="4" xr3:uid="{486E7099-2D14-464C-B6A1-02A2F843D9A0}" name="Delta Expected" dataDxfId="1212">
      <calculatedColumnFormula>B5-C5</calculatedColumnFormula>
    </tableColumn>
    <tableColumn id="5" xr3:uid="{E7F4F91D-4B07-4A2E-B22A-E96A006920B1}" name="% Expected" dataDxfId="1211" dataCellStyle="Percent">
      <calculatedColumnFormula>IFERROR(D5/C5, 0)</calculatedColumnFormula>
    </tableColumn>
    <tableColumn id="6" xr3:uid="{BE1B7562-C92E-40D6-93EC-22636099FA24}" name="Forecasted" dataDxfId="1210"/>
    <tableColumn id="7" xr3:uid="{95DAF565-FEE1-4B5E-A20A-9628D82BD3F7}" name="Delta Forecasted" dataDxfId="1209" dataCellStyle="Comma">
      <calculatedColumnFormula>B5-F5</calculatedColumnFormula>
    </tableColumn>
    <tableColumn id="8" xr3:uid="{D00E32CD-1FB2-42E4-8937-E35F1536DE30}" name="% Forecasted" dataDxfId="1208" dataCellStyle="Percent">
      <calculatedColumnFormula>IFERROR(G5/F5, 0)</calculatedColumnFormula>
    </tableColumn>
    <tableColumn id="9" xr3:uid="{70F96AFE-B6A3-4AC6-AAC3-69D0155118D4}" name="Notes" dataDxfId="1207" dataCellStyle="Percent"/>
    <tableColumn id="10" xr3:uid="{3928A05C-AC12-4626-B691-9E59F445EC7B}" name="Service Request" dataDxfId="1206" dataCellStyle="Percent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9B26FD48-EF3B-43D4-9877-98C95EFB384B}" name="Data1819413343536373839132" displayName="Data1819413343536373839132" ref="A4:J16" totalsRowShown="0" headerRowDxfId="1203" dataDxfId="1202" headerRowBorderDxfId="1200" tableBorderDxfId="1201" dataCellStyle="Percent">
  <autoFilter ref="A4:J16" xr:uid="{9B26FD48-EF3B-43D4-9877-98C95EFB384B}"/>
  <tableColumns count="10">
    <tableColumn id="1" xr3:uid="{843A3803-E0D4-441E-91A9-D7C4BFBC0C19}" name="Month" dataDxfId="1199"/>
    <tableColumn id="2" xr3:uid="{257560C8-CBCD-4184-9EC1-EA51DE2C6787}" name="Actual" dataDxfId="1198"/>
    <tableColumn id="3" xr3:uid="{4E4BAF02-898B-49A5-BD21-A4185E8CFE61}" name="Expected" dataDxfId="1197"/>
    <tableColumn id="4" xr3:uid="{7019A5C8-6DD0-4A5E-9912-5129A11CF370}" name="Delta Expected" dataDxfId="1196">
      <calculatedColumnFormula>B5-C5</calculatedColumnFormula>
    </tableColumn>
    <tableColumn id="5" xr3:uid="{B5D86199-2193-4CCD-9027-720044810FF6}" name="% Expected" dataDxfId="1195" dataCellStyle="Percent">
      <calculatedColumnFormula>IFERROR(D5/C5, 0)</calculatedColumnFormula>
    </tableColumn>
    <tableColumn id="6" xr3:uid="{7F2F9612-769E-4CCE-853F-3AD99180F2E2}" name="Forecasted" dataDxfId="1194"/>
    <tableColumn id="7" xr3:uid="{E3111003-4C55-4639-8B28-251F9AD32AE5}" name="Delta Forecasted" dataDxfId="1193" dataCellStyle="Comma">
      <calculatedColumnFormula>B5-F5</calculatedColumnFormula>
    </tableColumn>
    <tableColumn id="8" xr3:uid="{9BB05C48-3BC6-4706-97CD-D3D93DD250C0}" name="% Forecasted" dataDxfId="1192" dataCellStyle="Percent">
      <calculatedColumnFormula>IFERROR(G5/F5, 0)</calculatedColumnFormula>
    </tableColumn>
    <tableColumn id="9" xr3:uid="{C8CA41D6-2650-4B3A-AE81-A410D8B6BC06}" name="Notes" dataDxfId="1191" dataCellStyle="Percent"/>
    <tableColumn id="10" xr3:uid="{FB595C2E-7A3B-4BCE-A496-E90E89309441}" name="Service Request" dataDxfId="1190" dataCellStyle="Percent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04EC847-65D7-4EA2-A529-3038D315B9F3}" name="Data1819413343536373839" displayName="Data1819413343536373839" ref="A4:J16" totalsRowShown="0" headerRowDxfId="1187" dataDxfId="1186" headerRowBorderDxfId="1184" tableBorderDxfId="1185" dataCellStyle="Percent">
  <autoFilter ref="A4:J16" xr:uid="{59A959C2-52B2-422A-A87A-BC08BBF40681}"/>
  <tableColumns count="10">
    <tableColumn id="1" xr3:uid="{88FC3138-9B13-4C6B-9D1D-69D1477C6623}" name="Month" dataDxfId="1183"/>
    <tableColumn id="2" xr3:uid="{8C5A32E9-5170-4E2E-B51B-151ED7383E2D}" name="Actual" dataDxfId="1182"/>
    <tableColumn id="3" xr3:uid="{C3C7919D-886E-49FF-8D1F-3966BBE0047F}" name="Expected" dataDxfId="1181"/>
    <tableColumn id="4" xr3:uid="{7A40DA9A-697E-44E5-9156-845BACA609DC}" name="Delta Expected" dataDxfId="1180">
      <calculatedColumnFormula>B5-C5</calculatedColumnFormula>
    </tableColumn>
    <tableColumn id="5" xr3:uid="{4664629C-DF4C-4AC4-827A-7CDCB572B4C2}" name="% Expected" dataDxfId="1179" dataCellStyle="Percent">
      <calculatedColumnFormula>IFERROR(D5/C5, 0)</calculatedColumnFormula>
    </tableColumn>
    <tableColumn id="6" xr3:uid="{B103A0B0-6A45-4DF7-9D74-73B9F7772B42}" name="Forecasted" dataDxfId="1178"/>
    <tableColumn id="7" xr3:uid="{78A0D489-D48C-4FEA-AC9A-EC7CE7DD00C9}" name="Delta Forecasted" dataDxfId="1177" dataCellStyle="Comma">
      <calculatedColumnFormula>B5-F5</calculatedColumnFormula>
    </tableColumn>
    <tableColumn id="8" xr3:uid="{73AE330C-489B-4E56-950B-851AF5D278C7}" name="% Forecasted" dataDxfId="1176" dataCellStyle="Percent">
      <calculatedColumnFormula>IFERROR(G5/F5, 0)</calculatedColumnFormula>
    </tableColumn>
    <tableColumn id="9" xr3:uid="{5E4B27FB-A467-430C-B30B-0D76E9B90533}" name="Notes" dataDxfId="1175" dataCellStyle="Percent"/>
    <tableColumn id="10" xr3:uid="{6913F686-B0E4-46AD-9EF6-9D5EC7E81A9F}" name="Service Request" dataDxfId="1174" dataCellStyle="Percent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B2C02E2-07AA-403B-80EC-DE126F8292C1}" name="Data18194133435363738" displayName="Data18194133435363738" ref="A4:J17" totalsRowShown="0" headerRowDxfId="1171" dataDxfId="1170" headerRowBorderDxfId="1168" tableBorderDxfId="1169" dataCellStyle="Percent">
  <autoFilter ref="A4:J17" xr:uid="{59A959C2-52B2-422A-A87A-BC08BBF40681}"/>
  <tableColumns count="10">
    <tableColumn id="1" xr3:uid="{26F24F8C-D0AD-4FA9-9F53-69338C4F6996}" name="Month" dataDxfId="1167"/>
    <tableColumn id="2" xr3:uid="{66DA18BC-CB15-4720-A133-A5D67125C91D}" name="Actual" dataDxfId="1166"/>
    <tableColumn id="3" xr3:uid="{4100F80E-6C0B-440D-A451-2303CA8FA30F}" name="Expected" dataDxfId="1165"/>
    <tableColumn id="4" xr3:uid="{D2ECE2E4-485B-4BA7-AFA1-B40B58790CC6}" name="Delta Expected" dataDxfId="1164">
      <calculatedColumnFormula>B5-C5</calculatedColumnFormula>
    </tableColumn>
    <tableColumn id="5" xr3:uid="{A45A25B3-F15C-425D-8B34-375B928FFD67}" name="% Expected" dataDxfId="1163" dataCellStyle="Percent">
      <calculatedColumnFormula>IFERROR(D5/C5, 0)</calculatedColumnFormula>
    </tableColumn>
    <tableColumn id="6" xr3:uid="{F5B48AD8-4937-4E07-B2D4-001BD39EB74C}" name="Forecasted" dataDxfId="1162"/>
    <tableColumn id="7" xr3:uid="{05D030BD-33C5-4513-901A-46CA92EE86A6}" name="Delta Forecasted" dataDxfId="1161" dataCellStyle="Comma">
      <calculatedColumnFormula>B5-F5</calculatedColumnFormula>
    </tableColumn>
    <tableColumn id="8" xr3:uid="{34E14FB5-2439-44A2-BDCC-ECF377F1D507}" name="% Forecasted" dataDxfId="1160" dataCellStyle="Percent">
      <calculatedColumnFormula>IFERROR(G5/F5, 0)</calculatedColumnFormula>
    </tableColumn>
    <tableColumn id="9" xr3:uid="{522C4AAD-63AD-4244-9F78-7A7B3278EC09}" name="Notes" dataDxfId="1159" dataCellStyle="Percent"/>
    <tableColumn id="10" xr3:uid="{769F9740-E387-4881-838B-F16B80EA3BEA}" name="Service Request" dataDxfId="1158" dataCellStyle="Percent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0245B93-32A6-4D3C-96AB-5E59C61D1C03}" name="Data181941334353637" displayName="Data181941334353637" ref="A4:J16" totalsRowShown="0" headerRowDxfId="1155" dataDxfId="1154" headerRowBorderDxfId="1152" tableBorderDxfId="1153" dataCellStyle="Percent">
  <autoFilter ref="A4:J16" xr:uid="{59A959C2-52B2-422A-A87A-BC08BBF40681}"/>
  <tableColumns count="10">
    <tableColumn id="1" xr3:uid="{91698C9E-DBD0-4CF1-B149-AA5C32F1885D}" name="Month" dataDxfId="1151"/>
    <tableColumn id="2" xr3:uid="{90B21775-090C-4792-8C2E-23C1A0283F27}" name="Actual" dataDxfId="1150"/>
    <tableColumn id="3" xr3:uid="{FA95BC98-29AC-4A56-89C6-B6FD9A09F2E9}" name="Expected" dataDxfId="1149"/>
    <tableColumn id="4" xr3:uid="{FBA5399B-8794-40E3-A91B-0065AE7C7866}" name="Delta Expected" dataDxfId="1148">
      <calculatedColumnFormula>B5-C5</calculatedColumnFormula>
    </tableColumn>
    <tableColumn id="5" xr3:uid="{E5C582E2-5860-4B1B-B1A3-DD4D0CEB219D}" name="% Expected" dataDxfId="1147" dataCellStyle="Percent">
      <calculatedColumnFormula>IFERROR(D5/C5, 0)</calculatedColumnFormula>
    </tableColumn>
    <tableColumn id="6" xr3:uid="{B65566C8-C387-4264-99BA-372103B56F30}" name="Forecasted" dataDxfId="1146"/>
    <tableColumn id="7" xr3:uid="{D5072DCF-DB72-4EA6-AB3D-10E8B8D83C89}" name="Delta Forecasted" dataDxfId="1145" dataCellStyle="Comma">
      <calculatedColumnFormula>B5-F5</calculatedColumnFormula>
    </tableColumn>
    <tableColumn id="8" xr3:uid="{19D7A4F1-2625-4448-BD9C-CEFFECD9CFD5}" name="% Forecasted" dataDxfId="1144" dataCellStyle="Percent">
      <calculatedColumnFormula>IFERROR(G5/F5, 0)</calculatedColumnFormula>
    </tableColumn>
    <tableColumn id="9" xr3:uid="{8F5A98D8-C998-4C48-9271-81581F824C57}" name="Notes" dataDxfId="1143" dataCellStyle="Percent"/>
    <tableColumn id="10" xr3:uid="{5B8A56AE-4E78-4367-A67D-43FC3B6310A0}" name="Service Request" dataDxfId="1142" dataCellStyle="Percent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7E4C6D5-F18E-45F8-A088-AFC256DD06A5}" name="Data1819413343536" displayName="Data1819413343536" ref="A4:J16" totalsRowShown="0" headerRowDxfId="1139" dataDxfId="1138" headerRowBorderDxfId="1136" tableBorderDxfId="1137" dataCellStyle="Percent">
  <autoFilter ref="A4:J16" xr:uid="{59A959C2-52B2-422A-A87A-BC08BBF40681}"/>
  <tableColumns count="10">
    <tableColumn id="1" xr3:uid="{D48E1891-9DDD-4700-AC81-86968D6C5C81}" name="Month" dataDxfId="1135"/>
    <tableColumn id="2" xr3:uid="{EE88AABF-2996-41B7-BDFE-BDCB6153A3C8}" name="Actual" dataDxfId="1134"/>
    <tableColumn id="3" xr3:uid="{2F84C2C0-79EA-4D87-BD6D-41C4615A9C71}" name="Expected" dataDxfId="1133"/>
    <tableColumn id="4" xr3:uid="{1523A365-FE0E-4DF7-B258-B49DEBE25164}" name="Delta Expected" dataDxfId="1132">
      <calculatedColumnFormula>B5-C5</calculatedColumnFormula>
    </tableColumn>
    <tableColumn id="5" xr3:uid="{62B0BF8D-62D5-44D6-8E96-5A2AEDFFC341}" name="% Expected" dataDxfId="1131" dataCellStyle="Percent">
      <calculatedColumnFormula>IFERROR(D5/C5, 0)</calculatedColumnFormula>
    </tableColumn>
    <tableColumn id="6" xr3:uid="{C5F7AD08-F3E1-4CA2-A122-A3D7B03FA1FB}" name="Forecasted" dataDxfId="1130"/>
    <tableColumn id="7" xr3:uid="{FB07F239-E4E9-4DB3-832B-F7A032F639DC}" name="Delta Forecasted" dataDxfId="1129" dataCellStyle="Comma">
      <calculatedColumnFormula>B5-F5</calculatedColumnFormula>
    </tableColumn>
    <tableColumn id="8" xr3:uid="{A20814B4-3674-42BF-AB9F-111201AAD4E2}" name="% Forecasted" dataDxfId="1128" dataCellStyle="Percent">
      <calculatedColumnFormula>IFERROR(G5/F5, 0)</calculatedColumnFormula>
    </tableColumn>
    <tableColumn id="9" xr3:uid="{3AE796B1-8ADC-43AF-A643-A0358574C69D}" name="Notes" dataDxfId="1127" dataCellStyle="Percent"/>
    <tableColumn id="10" xr3:uid="{3CE878B9-6788-41B2-9811-A7CF6B5016A3}" name="Service Request" dataDxfId="1126" dataCellStyle="Percent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0133830-C782-48F4-98D4-D0D084258350}" name="Data18194133435" displayName="Data18194133435" ref="A4:J16" totalsRowShown="0" headerRowDxfId="1123" dataDxfId="1122" headerRowBorderDxfId="1120" tableBorderDxfId="1121" dataCellStyle="Percent">
  <autoFilter ref="A4:J16" xr:uid="{59A959C2-52B2-422A-A87A-BC08BBF40681}"/>
  <tableColumns count="10">
    <tableColumn id="1" xr3:uid="{F13B84B4-A058-4E32-81E1-37D73BD69494}" name="Month" dataDxfId="1119"/>
    <tableColumn id="2" xr3:uid="{0B11344F-AC6E-4A97-A6E5-1F5D039BE06B}" name="Actual" dataDxfId="1118"/>
    <tableColumn id="3" xr3:uid="{8B8C256D-13D7-4065-9686-C308CD934668}" name="Expected" dataDxfId="1117"/>
    <tableColumn id="4" xr3:uid="{2ACC6143-80FF-48FE-878F-3C7F85D84F24}" name="Delta Expected" dataDxfId="1116">
      <calculatedColumnFormula>B5-C5</calculatedColumnFormula>
    </tableColumn>
    <tableColumn id="5" xr3:uid="{88C61188-6936-4442-8F68-52E9CF5E87EC}" name="% Expected" dataDxfId="1115" dataCellStyle="Percent">
      <calculatedColumnFormula>IFERROR(D5/C5, 0)</calculatedColumnFormula>
    </tableColumn>
    <tableColumn id="6" xr3:uid="{00875B35-3417-412B-8B50-3219E22C9F1B}" name="Forecasted" dataDxfId="1114"/>
    <tableColumn id="7" xr3:uid="{F4352913-FBC0-453D-8277-64D0B2574B9B}" name="Delta Forecasted" dataDxfId="1113" dataCellStyle="Comma">
      <calculatedColumnFormula>B5-F5</calculatedColumnFormula>
    </tableColumn>
    <tableColumn id="8" xr3:uid="{7C004124-6887-4314-A042-689B239E8FAC}" name="% Forecasted" dataDxfId="1112" dataCellStyle="Percent">
      <calculatedColumnFormula>IFERROR(G5/F5, 0)</calculatedColumnFormula>
    </tableColumn>
    <tableColumn id="9" xr3:uid="{68B299C7-8AA2-4702-969B-7551A056DBA2}" name="Notes" dataDxfId="1111" dataCellStyle="Percent"/>
    <tableColumn id="10" xr3:uid="{BA59D1D9-9F6B-4435-8262-5A1AEC9B49B8}" name="Service Request" dataDxfId="1110" dataCellStyle="Percent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496F617-BF9F-4CB3-AFFA-A12F884470C8}" name="Data181941334" displayName="Data181941334" ref="A4:J16" totalsRowShown="0" headerRowDxfId="1107" dataDxfId="1106" headerRowBorderDxfId="1104" tableBorderDxfId="1105" dataCellStyle="Percent">
  <autoFilter ref="A4:J16" xr:uid="{59A959C2-52B2-422A-A87A-BC08BBF40681}"/>
  <tableColumns count="10">
    <tableColumn id="1" xr3:uid="{C6119385-DDC6-4F77-A028-0EAD5BB33CE1}" name="Month" dataDxfId="1103"/>
    <tableColumn id="2" xr3:uid="{105BD4B3-1994-4973-834C-DF9C70215AB0}" name="Actual" dataDxfId="1102"/>
    <tableColumn id="3" xr3:uid="{D5F47A74-FA8E-4495-A529-ECB185F77AD4}" name="Expected" dataDxfId="1101"/>
    <tableColumn id="4" xr3:uid="{4F1D056E-F1CB-436E-B792-F711FE5FA780}" name="Delta Expected" dataDxfId="1100">
      <calculatedColumnFormula>B5-C5</calculatedColumnFormula>
    </tableColumn>
    <tableColumn id="5" xr3:uid="{201D3239-CFE5-4C5F-846F-742464EF40C3}" name="% Expected" dataDxfId="1099" dataCellStyle="Percent">
      <calculatedColumnFormula>IFERROR(D5/C5, 0)</calculatedColumnFormula>
    </tableColumn>
    <tableColumn id="6" xr3:uid="{E9C9DF99-2E56-42D0-A287-833C1C05EFDC}" name="Forecasted" dataDxfId="1098"/>
    <tableColumn id="7" xr3:uid="{A262C8FB-9979-4F1C-8005-CE96404633D7}" name="Delta Forecasted" dataDxfId="1097" dataCellStyle="Comma">
      <calculatedColumnFormula>B5-F5</calculatedColumnFormula>
    </tableColumn>
    <tableColumn id="8" xr3:uid="{C04427B5-ADD8-4B4A-B0BC-85E719B943D8}" name="% Forecasted" dataDxfId="1096" dataCellStyle="Percent">
      <calculatedColumnFormula>IFERROR(G5/F5, 0)</calculatedColumnFormula>
    </tableColumn>
    <tableColumn id="9" xr3:uid="{716CF69D-CE4C-42A5-A0BB-26F372F37FF4}" name="Notes" dataDxfId="1095" dataCellStyle="Percent"/>
    <tableColumn id="10" xr3:uid="{0C1BAEB1-18AF-47FA-AA2C-0EF399715506}" name="Service Request" dataDxfId="1094" dataCellStyle="Percent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CD1E213-1432-45F3-B9AD-B91A221C2EE2}" name="Data1819413344344" displayName="Data1819413344344" ref="A4:J16" totalsRowShown="0" headerRowDxfId="1091" dataDxfId="1090" headerRowBorderDxfId="1088" tableBorderDxfId="1089" dataCellStyle="Percent">
  <autoFilter ref="A4:J16" xr:uid="{59A959C2-52B2-422A-A87A-BC08BBF40681}"/>
  <tableColumns count="10">
    <tableColumn id="1" xr3:uid="{22DAFEAF-3BF7-4C6E-8DE6-1D07F1989D52}" name="Month" dataDxfId="1087"/>
    <tableColumn id="2" xr3:uid="{3D125A90-63DA-46BE-8E69-6F2F16969053}" name="Actual" dataDxfId="1086"/>
    <tableColumn id="3" xr3:uid="{AB431233-85FD-4275-B3E9-D5AB934FA253}" name="Expected" dataDxfId="1085"/>
    <tableColumn id="4" xr3:uid="{7B17FBC6-BB43-4666-B3E9-67C1EA5042CA}" name="Delta Expected" dataDxfId="1084">
      <calculatedColumnFormula>B5-C5</calculatedColumnFormula>
    </tableColumn>
    <tableColumn id="5" xr3:uid="{92FA6466-3B28-4D38-82A0-23BB26BD4DD1}" name="% Expected" dataDxfId="1083" dataCellStyle="Percent">
      <calculatedColumnFormula>IFERROR(D5/C5, 0)</calculatedColumnFormula>
    </tableColumn>
    <tableColumn id="6" xr3:uid="{4E16DFA0-E53A-428D-A32D-352949FFD14A}" name="Forecasted" dataDxfId="1082"/>
    <tableColumn id="7" xr3:uid="{78B45251-ECD4-427E-B909-3FD184C8CDBC}" name="Delta Forecasted" dataDxfId="1081" dataCellStyle="Comma">
      <calculatedColumnFormula>B5-F5</calculatedColumnFormula>
    </tableColumn>
    <tableColumn id="8" xr3:uid="{93481C70-020D-40AA-8A52-AE1423AE5948}" name="% Forecasted" dataDxfId="1080" dataCellStyle="Percent">
      <calculatedColumnFormula>IFERROR(G5/F5, 0)</calculatedColumnFormula>
    </tableColumn>
    <tableColumn id="9" xr3:uid="{7E68E0DE-1721-4067-9773-1BF277655DFC}" name="Notes" dataDxfId="1079" dataCellStyle="Percent"/>
    <tableColumn id="10" xr3:uid="{9A5C9FCE-CB2F-42F1-9137-0E66A17D5ABC}" name="Service Request" dataDxfId="1078" dataCellStyle="Percent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D1F73215-BB23-488C-9EF7-88D5D210CDD1}" name="Data18194133443133" displayName="Data18194133443133" ref="A4:J16" totalsRowShown="0" headerRowDxfId="1075" dataDxfId="1074" headerRowBorderDxfId="1072" tableBorderDxfId="1073" dataCellStyle="Percent">
  <autoFilter ref="A4:J16" xr:uid="{D1F73215-BB23-488C-9EF7-88D5D210CDD1}"/>
  <tableColumns count="10">
    <tableColumn id="1" xr3:uid="{E88C43DB-32B9-4F08-807C-5C3831D3E73A}" name="Month" dataDxfId="1071"/>
    <tableColumn id="2" xr3:uid="{53A70070-17DD-41EB-9A86-CF9E5AEC4962}" name="Actual" dataDxfId="1070"/>
    <tableColumn id="3" xr3:uid="{6998AE5C-F235-409B-B142-C75B91E2E187}" name="Expected" dataDxfId="1069"/>
    <tableColumn id="4" xr3:uid="{AB5033CC-CD96-4E1C-9455-AD48BB7A8816}" name="Delta Expected" dataDxfId="1068">
      <calculatedColumnFormula>B5-C5</calculatedColumnFormula>
    </tableColumn>
    <tableColumn id="5" xr3:uid="{C63300A4-36A0-4989-83F0-86EAF31BD3F5}" name="% Expected" dataDxfId="1067" dataCellStyle="Percent">
      <calculatedColumnFormula>IFERROR(D5/C5, 0)</calculatedColumnFormula>
    </tableColumn>
    <tableColumn id="6" xr3:uid="{1EF881B6-1108-4070-83B4-5B4D8A6B729D}" name="Forecasted" dataDxfId="1066"/>
    <tableColumn id="7" xr3:uid="{8E3CD928-1102-40C8-8DEC-962CB96F6A91}" name="Delta Forecasted" dataDxfId="1065" dataCellStyle="Comma">
      <calculatedColumnFormula>B5-F5</calculatedColumnFormula>
    </tableColumn>
    <tableColumn id="8" xr3:uid="{41FA2C7B-3A8D-46EA-8807-7BC71AB4501F}" name="% Forecasted" dataDxfId="1064" dataCellStyle="Percent">
      <calculatedColumnFormula>IFERROR(G5/F5, 0)</calculatedColumnFormula>
    </tableColumn>
    <tableColumn id="9" xr3:uid="{34281B2F-D15C-4A7E-AB20-3E590A1C5449}" name="Notes" dataDxfId="1063" dataCellStyle="Percent"/>
    <tableColumn id="10" xr3:uid="{077C961C-D36E-4B8B-865F-4D3C5811B0EC}" name="Service Request" dataDxfId="1062" dataCellStyle="Percent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543C861-BCA0-4FAE-BBD6-AB46E51AE81F}" name="Data18194133443" displayName="Data18194133443" ref="A4:J16" totalsRowShown="0" headerRowDxfId="1059" dataDxfId="1058" headerRowBorderDxfId="1056" tableBorderDxfId="1057" dataCellStyle="Percent">
  <autoFilter ref="A4:J16" xr:uid="{59A959C2-52B2-422A-A87A-BC08BBF40681}"/>
  <tableColumns count="10">
    <tableColumn id="1" xr3:uid="{0950FD61-F520-4483-99DA-3DBCE80C83D2}" name="Month" dataDxfId="1055"/>
    <tableColumn id="2" xr3:uid="{F1477CD5-7C8E-4334-A53F-787555573C5E}" name="Actual" dataDxfId="1054"/>
    <tableColumn id="3" xr3:uid="{4F023C3B-0F29-4D6C-B7CD-6A20E17F4A48}" name="Expected" dataDxfId="1053"/>
    <tableColumn id="4" xr3:uid="{F1F855D9-0C38-4C49-8E14-E6EBF393C58B}" name="Delta Expected" dataDxfId="1052">
      <calculatedColumnFormula>B5-C5</calculatedColumnFormula>
    </tableColumn>
    <tableColumn id="5" xr3:uid="{778C0334-4445-49A8-89B4-32DD57E595BC}" name="% Expected" dataDxfId="1051" dataCellStyle="Percent">
      <calculatedColumnFormula>IFERROR(D5/C5, 0)</calculatedColumnFormula>
    </tableColumn>
    <tableColumn id="6" xr3:uid="{0D099D96-F965-4872-BFDE-07E5FE7512F8}" name="Forecasted" dataDxfId="1050"/>
    <tableColumn id="7" xr3:uid="{42DF2691-FB66-469C-8AB0-9676E3EEBDC7}" name="Delta Forecasted" dataDxfId="1049" dataCellStyle="Comma">
      <calculatedColumnFormula>B5-F5</calculatedColumnFormula>
    </tableColumn>
    <tableColumn id="8" xr3:uid="{0C348B2A-3446-45C2-97AB-0226A67BA79B}" name="% Forecasted" dataDxfId="1048" dataCellStyle="Percent">
      <calculatedColumnFormula>IFERROR(G5/F5, 0)</calculatedColumnFormula>
    </tableColumn>
    <tableColumn id="9" xr3:uid="{62D65F3F-9BEC-46A2-8391-F969DB551336}" name="Notes" dataDxfId="1047" dataCellStyle="Percent"/>
    <tableColumn id="10" xr3:uid="{E6EEF02B-CA34-47D3-96C5-75CBEA4715DF}" name="Service Request" dataDxfId="1046" dataCellStyle="Percent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2139A73-FB8A-4425-B7D6-E98AA7168802}" name="Data181941334434546" displayName="Data181941334434546" ref="A4:J16" totalsRowShown="0" headerRowDxfId="1043" dataDxfId="1042" headerRowBorderDxfId="1040" tableBorderDxfId="1041" dataCellStyle="Percent">
  <autoFilter ref="A4:J16" xr:uid="{59A959C2-52B2-422A-A87A-BC08BBF40681}"/>
  <tableColumns count="10">
    <tableColumn id="1" xr3:uid="{BFD042BF-8AA4-47D7-A571-34C9073FF755}" name="Month" dataDxfId="1039"/>
    <tableColumn id="2" xr3:uid="{B997F2B9-9FA8-4B07-9068-EEB16D87E9B8}" name="Actual" dataDxfId="1038">
      <calculatedColumnFormula>ROW() - 4</calculatedColumnFormula>
    </tableColumn>
    <tableColumn id="3" xr3:uid="{A338B4D4-1471-4B7D-83E1-5A98BEA691B2}" name="Expected" dataDxfId="1037">
      <calculatedColumnFormula>ROW() - 4</calculatedColumnFormula>
    </tableColumn>
    <tableColumn id="4" xr3:uid="{5D48AFE6-DE8D-45A9-8852-2DFABF23A7A9}" name="Delta Expected" dataDxfId="1036">
      <calculatedColumnFormula>B5-C5</calculatedColumnFormula>
    </tableColumn>
    <tableColumn id="5" xr3:uid="{653C0545-7D87-448C-B0CF-AAC4C5303BDF}" name="% Expected" dataDxfId="1035" dataCellStyle="Percent">
      <calculatedColumnFormula>IFERROR(D5/C5, 0)</calculatedColumnFormula>
    </tableColumn>
    <tableColumn id="6" xr3:uid="{BD60A933-9135-4DA9-9813-2ECD032F321F}" name="Forecasted" dataDxfId="1034"/>
    <tableColumn id="7" xr3:uid="{F0750CE7-278D-4E22-B7BB-7FF91021616D}" name="Delta Forecasted" dataDxfId="1033" dataCellStyle="Comma">
      <calculatedColumnFormula>B5-F5</calculatedColumnFormula>
    </tableColumn>
    <tableColumn id="8" xr3:uid="{EC9D48EC-B2C1-452D-A6D5-2A92577F2C92}" name="% Forecasted" dataDxfId="1032" dataCellStyle="Percent">
      <calculatedColumnFormula>IFERROR(G5/F5, 0)</calculatedColumnFormula>
    </tableColumn>
    <tableColumn id="9" xr3:uid="{B4961DE2-BC5A-4BE3-882E-B9D7BFFEAF5A}" name="Notes" dataDxfId="1031" dataCellStyle="Percent"/>
    <tableColumn id="10" xr3:uid="{EF27C7A8-F5A8-4587-90C2-712604117292}" name="Service Request" dataDxfId="1030" dataCellStyle="Percent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8391184-F7E5-4FB0-AA31-DE631E900AA9}" name="Data1819413344345" displayName="Data1819413344345" ref="A4:J16" totalsRowShown="0" headerRowDxfId="1027" dataDxfId="1026" headerRowBorderDxfId="1024" tableBorderDxfId="1025" dataCellStyle="Percent">
  <autoFilter ref="A4:J16" xr:uid="{59A959C2-52B2-422A-A87A-BC08BBF40681}"/>
  <tableColumns count="10">
    <tableColumn id="1" xr3:uid="{2935A59A-2E12-4980-A7AF-BB9BF6C77388}" name="Month" dataDxfId="1023"/>
    <tableColumn id="2" xr3:uid="{F73D8924-0AAF-427D-9E6D-D88E39D3ADAF}" name="Actual" dataDxfId="1022"/>
    <tableColumn id="3" xr3:uid="{354FE605-CE6A-45F6-8EA1-C13B36D2CE59}" name="Expected" dataDxfId="1021"/>
    <tableColumn id="4" xr3:uid="{4EEDC3BC-6A3F-438D-BCDE-1A90C5B166A1}" name="Delta Expected" dataDxfId="1020">
      <calculatedColumnFormula>B5-C5</calculatedColumnFormula>
    </tableColumn>
    <tableColumn id="5" xr3:uid="{72D1C880-6078-4FDF-8964-04A4EF7B12BB}" name="% Expected" dataDxfId="1019" dataCellStyle="Percent">
      <calculatedColumnFormula>IFERROR(D5/C5, 0)</calculatedColumnFormula>
    </tableColumn>
    <tableColumn id="6" xr3:uid="{0602B0FF-7149-42E2-B113-81AC12F43FA4}" name="Forecasted" dataDxfId="1018"/>
    <tableColumn id="7" xr3:uid="{2C0D2FFE-4907-4D93-AA30-80DE7B090653}" name="Delta Forecasted" dataDxfId="1017" dataCellStyle="Comma">
      <calculatedColumnFormula>B5-F5</calculatedColumnFormula>
    </tableColumn>
    <tableColumn id="8" xr3:uid="{50E361CD-846F-46E1-8948-E29D6F07C078}" name="% Forecasted" dataDxfId="1016" dataCellStyle="Percent">
      <calculatedColumnFormula>IFERROR(G5/F5, 0)</calculatedColumnFormula>
    </tableColumn>
    <tableColumn id="9" xr3:uid="{B117D143-BF5F-4AFA-8776-CE8B246B5A23}" name="Notes" dataDxfId="1015" dataCellStyle="Percent"/>
    <tableColumn id="10" xr3:uid="{86C6E537-90BC-44C4-9BA0-A22E20943E18}" name="Service Request" dataDxfId="1014" dataCellStyle="Percent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493B259-4B08-4B88-B3D2-9DFB9AD49FBF}" name="Data18194133443454748495051525354585962" displayName="Data18194133443454748495051525354585962" ref="A4:J16" totalsRowShown="0" headerRowDxfId="1011" dataDxfId="1010" headerRowBorderDxfId="1008" tableBorderDxfId="1009" dataCellStyle="Percent">
  <autoFilter ref="A4:J16" xr:uid="{5493B259-4B08-4B88-B3D2-9DFB9AD49FBF}"/>
  <tableColumns count="10">
    <tableColumn id="1" xr3:uid="{5BDE70A3-5724-4636-9789-45B449EF1F44}" name="Month" dataDxfId="1007"/>
    <tableColumn id="2" xr3:uid="{3BE54B45-D2D2-48A1-A5AB-1D58A7DB585B}" name="Actual" dataDxfId="1006">
      <calculatedColumnFormula>ROW() - 4</calculatedColumnFormula>
    </tableColumn>
    <tableColumn id="3" xr3:uid="{CE629495-95E7-4C76-9BC0-E736CB8EC276}" name="Expected" dataDxfId="1005"/>
    <tableColumn id="4" xr3:uid="{50726A9C-EACF-4686-AD2A-C2AC4BAAC440}" name="Delta Expected" dataDxfId="1004">
      <calculatedColumnFormula>B5-C5</calculatedColumnFormula>
    </tableColumn>
    <tableColumn id="5" xr3:uid="{B60A1D20-DF88-4396-9AEE-9A948F996F4D}" name="% Expected" dataDxfId="1003" dataCellStyle="Percent">
      <calculatedColumnFormula>IFERROR(D5/C5, 0)</calculatedColumnFormula>
    </tableColumn>
    <tableColumn id="6" xr3:uid="{A4F2F329-AE3F-455B-ABB7-DA06384D692B}" name="Forecasted" dataDxfId="1002"/>
    <tableColumn id="7" xr3:uid="{257DC7CD-1E40-4FBD-B8CA-3D960BF35683}" name="Delta Forecasted" dataDxfId="1001" dataCellStyle="Comma">
      <calculatedColumnFormula>B5-F5</calculatedColumnFormula>
    </tableColumn>
    <tableColumn id="8" xr3:uid="{98A0C60A-F7EA-4301-9CAD-827D7A40AF9F}" name="% Forecasted" dataDxfId="1000" dataCellStyle="Percent">
      <calculatedColumnFormula>IFERROR(G5/F5, 0)</calculatedColumnFormula>
    </tableColumn>
    <tableColumn id="9" xr3:uid="{CA1C7A54-9F54-4143-BDC8-F5881DCDE638}" name="Notes" dataDxfId="999" dataCellStyle="Percent"/>
    <tableColumn id="10" xr3:uid="{A2F2DD37-D436-4AC5-9298-95DA1B174187}" name="Service Request" dataDxfId="998" dataCellStyle="Percent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166E988-3C2F-460A-A3A9-AFCA8A6882D6}" name="Data1819413344345474849505152535458" displayName="Data1819413344345474849505152535458" ref="A4:J16" totalsRowShown="0" headerRowDxfId="995" dataDxfId="994" headerRowBorderDxfId="992" tableBorderDxfId="993" dataCellStyle="Percent">
  <autoFilter ref="A4:J16" xr:uid="{59A959C2-52B2-422A-A87A-BC08BBF40681}"/>
  <tableColumns count="10">
    <tableColumn id="1" xr3:uid="{A2BD5D71-B6E2-44D5-8626-76E6542CCB34}" name="Month" dataDxfId="991"/>
    <tableColumn id="2" xr3:uid="{962E423D-A8E9-4F3A-9727-52E1451E9511}" name="Actual" dataDxfId="990">
      <calculatedColumnFormula>ROW() - 4</calculatedColumnFormula>
    </tableColumn>
    <tableColumn id="3" xr3:uid="{0D985DDD-3AE2-42C2-B32A-719209249E3D}" name="Expected" dataDxfId="989"/>
    <tableColumn id="4" xr3:uid="{A68606ED-5C41-46AD-AA56-46C2E9E22DA0}" name="Delta Expected" dataDxfId="988">
      <calculatedColumnFormula>B5-C5</calculatedColumnFormula>
    </tableColumn>
    <tableColumn id="5" xr3:uid="{ECB81E61-F485-4A12-BDB4-A206F49CFD42}" name="% Expected" dataDxfId="987" dataCellStyle="Percent">
      <calculatedColumnFormula>IFERROR(D5/C5, 0)</calculatedColumnFormula>
    </tableColumn>
    <tableColumn id="6" xr3:uid="{480D7E16-DB97-4FD1-AC45-B1063B8926E9}" name="Forecasted" dataDxfId="986"/>
    <tableColumn id="7" xr3:uid="{DFE88D06-94B5-45B7-AA11-38A160748971}" name="Delta Forecasted" dataDxfId="985" dataCellStyle="Comma">
      <calculatedColumnFormula>B5-F5</calculatedColumnFormula>
    </tableColumn>
    <tableColumn id="8" xr3:uid="{4F45741D-06D0-4FE8-BCF3-E2E296702C78}" name="% Forecasted" dataDxfId="984" dataCellStyle="Percent">
      <calculatedColumnFormula>IFERROR(G5/F5, 0)</calculatedColumnFormula>
    </tableColumn>
    <tableColumn id="9" xr3:uid="{3AF4C5B8-F4CC-4082-9D73-ABEBDFF7F041}" name="Notes" dataDxfId="983" dataCellStyle="Percent"/>
    <tableColumn id="10" xr3:uid="{A049D8B2-DEBE-41FE-9E90-0212913B0259}" name="Service Request" dataDxfId="982" dataCellStyle="Percent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4AA7CD0-9333-4BFC-A3AF-C198EBFCC527}" name="Data181941334434547484950515253545859" displayName="Data181941334434547484950515253545859" ref="A4:J16" totalsRowShown="0" headerRowDxfId="979" dataDxfId="978" headerRowBorderDxfId="976" tableBorderDxfId="977" dataCellStyle="Percent">
  <autoFilter ref="A4:J16" xr:uid="{59A959C2-52B2-422A-A87A-BC08BBF40681}"/>
  <tableColumns count="10">
    <tableColumn id="1" xr3:uid="{76BA9BB8-C197-431F-9241-CF8DC066B20C}" name="Month" dataDxfId="975"/>
    <tableColumn id="2" xr3:uid="{9219E048-48EC-4EBC-8458-1529E766DDF8}" name="Actual" dataDxfId="974">
      <calculatedColumnFormula>ROW() - 4</calculatedColumnFormula>
    </tableColumn>
    <tableColumn id="3" xr3:uid="{E342FE44-C96B-4CFB-B9D6-2A96A45B852D}" name="Expected" dataDxfId="973"/>
    <tableColumn id="4" xr3:uid="{0031C859-7285-48BF-8D7A-591836787249}" name="Delta Expected" dataDxfId="972">
      <calculatedColumnFormula>B5-C5</calculatedColumnFormula>
    </tableColumn>
    <tableColumn id="5" xr3:uid="{C735E632-2402-4524-B06D-D2144991DE13}" name="% Expected" dataDxfId="971" dataCellStyle="Percent">
      <calculatedColumnFormula>IFERROR(D5/C5, 0)</calculatedColumnFormula>
    </tableColumn>
    <tableColumn id="6" xr3:uid="{1D0C4EF0-A868-4047-A3BC-4468BA2EA48A}" name="Forecasted" dataDxfId="970"/>
    <tableColumn id="7" xr3:uid="{BE8ABA0E-6A25-4930-9C15-2B696514956B}" name="Delta Forecasted" dataDxfId="969" dataCellStyle="Comma">
      <calculatedColumnFormula>B5-F5</calculatedColumnFormula>
    </tableColumn>
    <tableColumn id="8" xr3:uid="{22AC0B31-DB54-42AA-8613-92D27A8303EE}" name="% Forecasted" dataDxfId="968" dataCellStyle="Percent">
      <calculatedColumnFormula>IFERROR(G5/F5, 0)</calculatedColumnFormula>
    </tableColumn>
    <tableColumn id="9" xr3:uid="{538BCF14-21D2-4CE7-9B3F-4CA05C1FF720}" name="Notes" dataDxfId="967" dataCellStyle="Percent"/>
    <tableColumn id="10" xr3:uid="{E5ECA4DB-A7EB-4CA9-A192-DB7433E4DD5C}" name="Service Request" dataDxfId="966" dataCellStyle="Percent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5ADDEB8-C7CE-47F1-A93A-1C0416347F40}" name="Data18194133443454748495051525354585960" displayName="Data18194133443454748495051525354585960" ref="A4:J16" totalsRowShown="0" headerRowDxfId="963" dataDxfId="962" headerRowBorderDxfId="960" tableBorderDxfId="961" dataCellStyle="Percent">
  <autoFilter ref="A4:J16" xr:uid="{59A959C2-52B2-422A-A87A-BC08BBF40681}"/>
  <tableColumns count="10">
    <tableColumn id="1" xr3:uid="{C7AF8187-6EA1-4CE6-AE2F-AC4460FD696B}" name="Month" dataDxfId="959"/>
    <tableColumn id="2" xr3:uid="{F763CB1E-FAD3-4C06-93CD-812EC52BCCF3}" name="Actual" dataDxfId="958">
      <calculatedColumnFormula>ROW() - 4</calculatedColumnFormula>
    </tableColumn>
    <tableColumn id="3" xr3:uid="{E2B12D12-8DC5-4AA5-B236-67F57F101675}" name="Expected" dataDxfId="957"/>
    <tableColumn id="4" xr3:uid="{6107892D-4CFF-4734-9754-5F31651E19AB}" name="Delta Expected" dataDxfId="956">
      <calculatedColumnFormula>B5-C5</calculatedColumnFormula>
    </tableColumn>
    <tableColumn id="5" xr3:uid="{249A7F9C-1089-41A4-91C8-9E279C4A06D3}" name="% Expected" dataDxfId="955" dataCellStyle="Percent">
      <calculatedColumnFormula>IFERROR(D5/C5, 0)</calculatedColumnFormula>
    </tableColumn>
    <tableColumn id="6" xr3:uid="{21E35CF0-77E9-4BD4-9B51-21319C4A88FF}" name="Forecasted" dataDxfId="954"/>
    <tableColumn id="7" xr3:uid="{A5E59D09-2D27-4A65-8AAF-170D626CB393}" name="Delta Forecasted" dataDxfId="953" dataCellStyle="Comma">
      <calculatedColumnFormula>B5-F5</calculatedColumnFormula>
    </tableColumn>
    <tableColumn id="8" xr3:uid="{35ECA91D-532F-4EB7-BCF3-07E8E23B0CAF}" name="% Forecasted" dataDxfId="952" dataCellStyle="Percent">
      <calculatedColumnFormula>IFERROR(G5/F5, 0)</calculatedColumnFormula>
    </tableColumn>
    <tableColumn id="9" xr3:uid="{19646623-3DBA-47D4-9615-41230F80840D}" name="Notes" dataDxfId="951" dataCellStyle="Percent"/>
    <tableColumn id="10" xr3:uid="{4E3B8913-C19F-46FC-AAD1-09471FB9F412}" name="Service Request" dataDxfId="950" dataCellStyle="Percent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8B44308A-CF5C-4587-9C17-10ED34A48A2A}" name="Data1819413344345474849505152535485" displayName="Data1819413344345474849505152535485" ref="A4:J16" totalsRowShown="0" headerRowDxfId="947" dataDxfId="946" headerRowBorderDxfId="944" tableBorderDxfId="945" dataCellStyle="Percent">
  <autoFilter ref="A4:J16" xr:uid="{59A959C2-52B2-422A-A87A-BC08BBF40681}"/>
  <tableColumns count="10">
    <tableColumn id="1" xr3:uid="{A599EF66-1942-48EE-8C4F-1F60C8440B67}" name="Month" dataDxfId="943"/>
    <tableColumn id="2" xr3:uid="{E60D78C4-02F6-4A25-A522-ED961508EEE9}" name="Actual" dataDxfId="942">
      <calculatedColumnFormula>ROW() - 4</calculatedColumnFormula>
    </tableColumn>
    <tableColumn id="3" xr3:uid="{9B799096-15C9-4AC4-820C-5751B3BD3AA1}" name="Expected" dataDxfId="941"/>
    <tableColumn id="4" xr3:uid="{19FB4A62-FBAB-4268-A84A-14CBC79A0D47}" name="Delta Expected" dataDxfId="940">
      <calculatedColumnFormula>B5-C5</calculatedColumnFormula>
    </tableColumn>
    <tableColumn id="5" xr3:uid="{9BC3FEC8-9C4B-462E-9E7A-B4835A9164AE}" name="% Expected" dataDxfId="939" dataCellStyle="Percent">
      <calculatedColumnFormula>IFERROR(D5/C5, 0)</calculatedColumnFormula>
    </tableColumn>
    <tableColumn id="6" xr3:uid="{D4A2F336-12CF-4A02-B0A8-06589A4B292D}" name="Forecasted" dataDxfId="938"/>
    <tableColumn id="7" xr3:uid="{73D1093E-C20A-4425-B275-B742105CEF6B}" name="Delta Forecasted" dataDxfId="937" dataCellStyle="Comma">
      <calculatedColumnFormula>B5-F5</calculatedColumnFormula>
    </tableColumn>
    <tableColumn id="8" xr3:uid="{AF69CFAE-B463-447B-8E75-810A19C4D828}" name="% Forecasted" dataDxfId="936" dataCellStyle="Percent">
      <calculatedColumnFormula>IFERROR(G5/F5, 0)</calculatedColumnFormula>
    </tableColumn>
    <tableColumn id="9" xr3:uid="{B56E1377-95F1-469A-9552-7F9F2D9FF32A}" name="Notes" dataDxfId="935" dataCellStyle="Percent"/>
    <tableColumn id="10" xr3:uid="{4DDECC1D-5352-4E14-9F57-54524E284C15}" name="Service Request" dataDxfId="934" dataCellStyle="Percent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95669844-3003-4A67-9E3A-BCBC53D692DC}" name="Data181941334434547484950515253548586878889" displayName="Data181941334434547484950515253548586878889" ref="A4:J16" totalsRowShown="0" headerRowDxfId="931" dataDxfId="930" headerRowBorderDxfId="928" tableBorderDxfId="929" dataCellStyle="Percent">
  <autoFilter ref="A4:J16" xr:uid="{59A959C2-52B2-422A-A87A-BC08BBF40681}"/>
  <tableColumns count="10">
    <tableColumn id="1" xr3:uid="{72EFA44C-BD2C-4EF4-AB28-54FD8B8FC9A1}" name="Month" dataDxfId="927"/>
    <tableColumn id="2" xr3:uid="{B411C7E7-5400-43E1-A9D1-AC079FE94D3A}" name="Actual" dataDxfId="926">
      <calculatedColumnFormula>ROW() - 4</calculatedColumnFormula>
    </tableColumn>
    <tableColumn id="3" xr3:uid="{F6EC95AD-9240-45BA-9A4A-5F2C6C0F03F0}" name="Expected" dataDxfId="925"/>
    <tableColumn id="4" xr3:uid="{050D7F96-6023-4B55-A7A5-795DEBEB7C62}" name="Delta Expected" dataDxfId="924">
      <calculatedColumnFormula>B5-C5</calculatedColumnFormula>
    </tableColumn>
    <tableColumn id="5" xr3:uid="{6F5FA4FB-AE0A-49BC-82A0-FF7E1FB369CB}" name="% Expected" dataDxfId="923" dataCellStyle="Percent">
      <calculatedColumnFormula>IFERROR(D5/C5, 0)</calculatedColumnFormula>
    </tableColumn>
    <tableColumn id="6" xr3:uid="{58E230AA-4E1C-430B-BA69-5D28280054E2}" name="Forecasted" dataDxfId="922"/>
    <tableColumn id="7" xr3:uid="{33CCF320-FD9E-4CBD-834C-0CE87BF07341}" name="Delta Forecasted" dataDxfId="921" dataCellStyle="Comma">
      <calculatedColumnFormula>B5-F5</calculatedColumnFormula>
    </tableColumn>
    <tableColumn id="8" xr3:uid="{8BBE91BF-0958-4F84-A45A-BF6F02230B4E}" name="% Forecasted" dataDxfId="920" dataCellStyle="Percent">
      <calculatedColumnFormula>IFERROR(G5/F5, 0)</calculatedColumnFormula>
    </tableColumn>
    <tableColumn id="9" xr3:uid="{69ABB560-2976-48AE-ADDD-A252AC96C72A}" name="Notes" dataDxfId="919" dataCellStyle="Percent"/>
    <tableColumn id="10" xr3:uid="{305ECB1C-5F6E-46A6-8B48-E585C281A593}" name="Service Request" dataDxfId="918" dataCellStyle="Percent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B6D5BB36-5CEE-49F1-8F07-3636C3C35183}" name="Data1819413344345474849505152535485868788" displayName="Data1819413344345474849505152535485868788" ref="A4:J16" totalsRowShown="0" headerRowDxfId="915" dataDxfId="914" headerRowBorderDxfId="912" tableBorderDxfId="913" dataCellStyle="Percent">
  <autoFilter ref="A4:J16" xr:uid="{59A959C2-52B2-422A-A87A-BC08BBF40681}"/>
  <tableColumns count="10">
    <tableColumn id="1" xr3:uid="{DB00FD33-F645-4E19-8354-063E283AE312}" name="Month" dataDxfId="911"/>
    <tableColumn id="2" xr3:uid="{7DB97361-DF42-4972-851A-A062A58440D4}" name="Actual" dataDxfId="910">
      <calculatedColumnFormula>ROW() - 4</calculatedColumnFormula>
    </tableColumn>
    <tableColumn id="3" xr3:uid="{18EA3563-3D7C-4439-B5E9-45D270184489}" name="Expected" dataDxfId="909"/>
    <tableColumn id="4" xr3:uid="{DF753D84-926F-4BF7-95ED-7669BA748D0B}" name="Delta Expected" dataDxfId="908">
      <calculatedColumnFormula>B5-C5</calculatedColumnFormula>
    </tableColumn>
    <tableColumn id="5" xr3:uid="{76371ADD-4A4E-4D0D-96C6-DF6050B64944}" name="% Expected" dataDxfId="907" dataCellStyle="Percent">
      <calculatedColumnFormula>IFERROR(D5/C5, 0)</calculatedColumnFormula>
    </tableColumn>
    <tableColumn id="6" xr3:uid="{F56BF2B4-671F-4457-AA23-3EED304A9A2C}" name="Forecasted" dataDxfId="906"/>
    <tableColumn id="7" xr3:uid="{9F2CB303-AED1-4815-B96E-A47D37BF47F6}" name="Delta Forecasted" dataDxfId="905" dataCellStyle="Comma">
      <calculatedColumnFormula>B5-F5</calculatedColumnFormula>
    </tableColumn>
    <tableColumn id="8" xr3:uid="{B04D6343-54D2-4BB8-A9BD-80110A6AAEF6}" name="% Forecasted" dataDxfId="904" dataCellStyle="Percent">
      <calculatedColumnFormula>IFERROR(G5/F5, 0)</calculatedColumnFormula>
    </tableColumn>
    <tableColumn id="9" xr3:uid="{5DCA21D6-7C49-4B12-9A4C-36FA00F3CA00}" name="Notes" dataDxfId="903" dataCellStyle="Percent"/>
    <tableColumn id="10" xr3:uid="{499838E9-C5DB-4666-B2A3-71BAFB0ABB97}" name="Service Request" dataDxfId="902" dataCellStyle="Percent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1DC448DC-6FF9-4D95-BADB-AF66F7D3B09E}" name="Data18194133443454748495051525354858687" displayName="Data18194133443454748495051525354858687" ref="A4:J16" totalsRowShown="0" headerRowDxfId="899" dataDxfId="898" headerRowBorderDxfId="896" tableBorderDxfId="897" dataCellStyle="Percent">
  <autoFilter ref="A4:J16" xr:uid="{59A959C2-52B2-422A-A87A-BC08BBF40681}"/>
  <tableColumns count="10">
    <tableColumn id="1" xr3:uid="{9DE21875-4D96-44A9-A84C-564CC020B465}" name="Month" dataDxfId="895"/>
    <tableColumn id="2" xr3:uid="{0B82D807-9EA9-447B-8643-CED5F52C8A74}" name="Actual" dataDxfId="894">
      <calculatedColumnFormula>ROW() - 4</calculatedColumnFormula>
    </tableColumn>
    <tableColumn id="3" xr3:uid="{A31B6D58-A939-4EFC-9897-E6733421C2F5}" name="Expected" dataDxfId="893"/>
    <tableColumn id="4" xr3:uid="{09B39758-95BB-403B-BFF7-C2D21CED6203}" name="Delta Expected" dataDxfId="892">
      <calculatedColumnFormula>B5-C5</calculatedColumnFormula>
    </tableColumn>
    <tableColumn id="5" xr3:uid="{F0E4F5DC-4BD4-45ED-AFB5-6F2ADC4A1FDE}" name="% Expected" dataDxfId="891" dataCellStyle="Percent">
      <calculatedColumnFormula>IFERROR(D5/C5, 0)</calculatedColumnFormula>
    </tableColumn>
    <tableColumn id="6" xr3:uid="{A60D043E-F0B5-414C-8599-7E4077F8959C}" name="Forecasted" dataDxfId="890"/>
    <tableColumn id="7" xr3:uid="{D7D06E4A-B879-4A5E-9FB1-7DB3C7BE0CE8}" name="Delta Forecasted" dataDxfId="889" dataCellStyle="Comma">
      <calculatedColumnFormula>B5-F5</calculatedColumnFormula>
    </tableColumn>
    <tableColumn id="8" xr3:uid="{84A1B7C8-D355-4F59-818E-2EF6DF281659}" name="% Forecasted" dataDxfId="888" dataCellStyle="Percent">
      <calculatedColumnFormula>IFERROR(G5/F5, 0)</calculatedColumnFormula>
    </tableColumn>
    <tableColumn id="9" xr3:uid="{84A74BB0-771C-4141-9D7B-8EC6ED75EAD3}" name="Notes" dataDxfId="887" dataCellStyle="Percent"/>
    <tableColumn id="10" xr3:uid="{6AFAE61C-B4D4-4485-900D-D4862C6B4D94}" name="Service Request" dataDxfId="886" dataCellStyle="Percent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EFE8089-B9A5-4EAB-A458-2DF47A418988}" name="Data18194133443454748495051525354858690" displayName="Data18194133443454748495051525354858690" ref="A4:J16" totalsRowShown="0" headerRowDxfId="883" dataDxfId="882" headerRowBorderDxfId="880" tableBorderDxfId="881" dataCellStyle="Percent">
  <autoFilter ref="A4:J16" xr:uid="{59A959C2-52B2-422A-A87A-BC08BBF40681}"/>
  <tableColumns count="10">
    <tableColumn id="1" xr3:uid="{AE9C21ED-FCD8-4842-89B6-F803BC876C7D}" name="Month" dataDxfId="879"/>
    <tableColumn id="2" xr3:uid="{1109ADB3-C8B9-42ED-B698-2E3B6A9B0BB8}" name="Actual" dataDxfId="878">
      <calculatedColumnFormula>ROW() - 4</calculatedColumnFormula>
    </tableColumn>
    <tableColumn id="3" xr3:uid="{E83FA2DD-9FBD-4447-89FB-701B38D825B0}" name="Expected" dataDxfId="877"/>
    <tableColumn id="4" xr3:uid="{AA4ADA7A-3752-4578-B50F-74F8C2AB0B2E}" name="Delta Expected" dataDxfId="876">
      <calculatedColumnFormula>B5-C5</calculatedColumnFormula>
    </tableColumn>
    <tableColumn id="5" xr3:uid="{73E21EC1-3109-4EE8-8262-7AC371A38CBC}" name="% Expected" dataDxfId="875" dataCellStyle="Percent">
      <calculatedColumnFormula>IFERROR(D5/C5, 0)</calculatedColumnFormula>
    </tableColumn>
    <tableColumn id="6" xr3:uid="{997A19B2-14B8-4A35-A770-DC3752397F5C}" name="Forecasted" dataDxfId="874"/>
    <tableColumn id="7" xr3:uid="{9B30ACC3-4E11-4649-A59E-BF9F0ED62E80}" name="Delta Forecasted" dataDxfId="873" dataCellStyle="Comma">
      <calculatedColumnFormula>B5-F5</calculatedColumnFormula>
    </tableColumn>
    <tableColumn id="8" xr3:uid="{9A396D1F-9924-42B9-B7EB-C2B1AD548BEC}" name="% Forecasted" dataDxfId="872" dataCellStyle="Percent">
      <calculatedColumnFormula>IFERROR(G5/F5, 0)</calculatedColumnFormula>
    </tableColumn>
    <tableColumn id="9" xr3:uid="{E7C12F0D-9318-4D1D-A43C-42143EA402B2}" name="Notes" dataDxfId="871" dataCellStyle="Percent"/>
    <tableColumn id="10" xr3:uid="{E036C059-FEEA-46F1-8C4D-CCD1DCE69786}" name="Service Request" dataDxfId="870" dataCellStyle="Percent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4A936B8-38DB-4904-988B-6CDACD8C4A6E}" name="Data181941334434547484950515253548586" displayName="Data181941334434547484950515253548586" ref="A4:J16" totalsRowShown="0" headerRowDxfId="867" dataDxfId="866" headerRowBorderDxfId="864" tableBorderDxfId="865" dataCellStyle="Percent">
  <autoFilter ref="A4:J16" xr:uid="{59A959C2-52B2-422A-A87A-BC08BBF40681}"/>
  <tableColumns count="10">
    <tableColumn id="1" xr3:uid="{ED72385F-B52C-417B-9462-999E647B10C1}" name="Month" dataDxfId="863"/>
    <tableColumn id="2" xr3:uid="{C927DBE7-3EC3-4E65-A8DE-7EE87898FFEB}" name="Actual" dataDxfId="862">
      <calculatedColumnFormula>ROW() - 4</calculatedColumnFormula>
    </tableColumn>
    <tableColumn id="3" xr3:uid="{47AE297F-E561-42D8-9812-BCE572B51A0D}" name="Expected" dataDxfId="861"/>
    <tableColumn id="4" xr3:uid="{06CC972D-2D05-4245-96F9-F6D9C2464B78}" name="Delta Expected" dataDxfId="860">
      <calculatedColumnFormula>B5-C5</calculatedColumnFormula>
    </tableColumn>
    <tableColumn id="5" xr3:uid="{5D6AACCD-BFA9-448B-842A-8505E743CECB}" name="% Expected" dataDxfId="859" dataCellStyle="Percent">
      <calculatedColumnFormula>IFERROR(D5/C5, 0)</calculatedColumnFormula>
    </tableColumn>
    <tableColumn id="6" xr3:uid="{464FF354-9784-4391-83C7-E6F8A06543D8}" name="Forecasted" dataDxfId="858"/>
    <tableColumn id="7" xr3:uid="{37EFAA69-4B96-4BAD-93E5-FD3FED5EF89D}" name="Delta Forecasted" dataDxfId="857" dataCellStyle="Comma">
      <calculatedColumnFormula>B5-F5</calculatedColumnFormula>
    </tableColumn>
    <tableColumn id="8" xr3:uid="{1BECDF87-10DF-46DA-A24A-A7F1FCE1B514}" name="% Forecasted" dataDxfId="856" dataCellStyle="Percent">
      <calculatedColumnFormula>IFERROR(G5/F5, 0)</calculatedColumnFormula>
    </tableColumn>
    <tableColumn id="9" xr3:uid="{3BB5C158-4A6A-4EC3-823A-8523BE38935F}" name="Notes" dataDxfId="855" dataCellStyle="Percent"/>
    <tableColumn id="10" xr3:uid="{869151C4-1C73-4972-9B6F-3E3BE28B9759}" name="Service Request" dataDxfId="854" dataCellStyle="Percent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74A8393-1214-40BC-BC73-E7227F473813}" name="Data181941334434547484950515253548586919293949596979899100101102" displayName="Data181941334434547484950515253548586919293949596979899100101102" ref="A4:J16" totalsRowShown="0" headerRowDxfId="851" dataDxfId="850" headerRowBorderDxfId="848" tableBorderDxfId="849" dataCellStyle="Percent">
  <autoFilter ref="A4:J16" xr:uid="{59A959C2-52B2-422A-A87A-BC08BBF40681}"/>
  <tableColumns count="10">
    <tableColumn id="1" xr3:uid="{9E195AE4-187D-44DE-8895-95AE0F7094DA}" name="Month" dataDxfId="847"/>
    <tableColumn id="2" xr3:uid="{EA73B486-B2DD-4773-B021-CF8ED320693D}" name="Actual" dataDxfId="846">
      <calculatedColumnFormula>ROW() - 4</calculatedColumnFormula>
    </tableColumn>
    <tableColumn id="3" xr3:uid="{C90718D2-F608-49F7-A420-5F864E591491}" name="Expected" dataDxfId="845"/>
    <tableColumn id="4" xr3:uid="{E186F74A-80B3-407E-8D78-086AE6DF57AD}" name="Delta Expected" dataDxfId="844">
      <calculatedColumnFormula>B5-C5</calculatedColumnFormula>
    </tableColumn>
    <tableColumn id="5" xr3:uid="{0EB9EF3F-CC1C-47C5-8C4F-1845EB5B8864}" name="% Expected" dataDxfId="843" dataCellStyle="Percent">
      <calculatedColumnFormula>IFERROR(D5/C5, 0)</calculatedColumnFormula>
    </tableColumn>
    <tableColumn id="6" xr3:uid="{06F2CB47-4E39-4EC7-895D-FF69F44979B0}" name="Forecasted" dataDxfId="842"/>
    <tableColumn id="7" xr3:uid="{05FDA3BD-E3FE-4D2A-87C8-1182A9430B0D}" name="Delta Forecasted" dataDxfId="841" dataCellStyle="Comma">
      <calculatedColumnFormula>B5-F5</calculatedColumnFormula>
    </tableColumn>
    <tableColumn id="8" xr3:uid="{479655E5-47BC-4C9E-93C6-F2B8E8ADD849}" name="% Forecasted" dataDxfId="840" dataCellStyle="Percent">
      <calculatedColumnFormula>IFERROR(G5/F5, 0)</calculatedColumnFormula>
    </tableColumn>
    <tableColumn id="9" xr3:uid="{4C516DEB-4A92-4F6D-9502-C2EDD7CFAF10}" name="Notes" dataDxfId="839" dataCellStyle="Percent"/>
    <tableColumn id="10" xr3:uid="{D9DB3EF6-12FD-4AAE-9CDD-CBDFD115E341}" name="Service Request" dataDxfId="838" dataCellStyle="Percent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D428D626-6DC9-4A5A-9F0C-850B35314B31}" name="Data181941334434547484950515253548586919293949596979899100101" displayName="Data181941334434547484950515253548586919293949596979899100101" ref="A4:J16" totalsRowShown="0" headerRowDxfId="835" dataDxfId="834" headerRowBorderDxfId="832" tableBorderDxfId="833" dataCellStyle="Percent">
  <autoFilter ref="A4:J16" xr:uid="{59A959C2-52B2-422A-A87A-BC08BBF40681}"/>
  <tableColumns count="10">
    <tableColumn id="1" xr3:uid="{2A5755FF-9567-4D1D-AC82-A98BE6B48631}" name="Month" dataDxfId="831"/>
    <tableColumn id="2" xr3:uid="{0052E753-6892-4006-B332-62305A0B5EF5}" name="Actual" dataDxfId="830">
      <calculatedColumnFormula>ROW() - 4</calculatedColumnFormula>
    </tableColumn>
    <tableColumn id="3" xr3:uid="{D3976BE5-36D9-419E-BC53-3A851F73E06D}" name="Expected" dataDxfId="829"/>
    <tableColumn id="4" xr3:uid="{7C9C8EBE-0F9A-4D59-8591-D8495B75A22F}" name="Delta Expected" dataDxfId="828">
      <calculatedColumnFormula>B5-C5</calculatedColumnFormula>
    </tableColumn>
    <tableColumn id="5" xr3:uid="{F61A720B-52CC-4AB3-844C-52B96E766CFB}" name="% Expected" dataDxfId="827" dataCellStyle="Percent">
      <calculatedColumnFormula>IFERROR(D5/C5, 0)</calculatedColumnFormula>
    </tableColumn>
    <tableColumn id="6" xr3:uid="{CA2B2D3E-BF82-4E20-A5D5-015CC1FFE565}" name="Forecasted" dataDxfId="826"/>
    <tableColumn id="7" xr3:uid="{FEFE9F7E-5869-4ECA-A101-7D550F5A1B63}" name="Delta Forecasted" dataDxfId="825" dataCellStyle="Comma">
      <calculatedColumnFormula>B5-F5</calculatedColumnFormula>
    </tableColumn>
    <tableColumn id="8" xr3:uid="{72CC5CB2-0259-4BD6-9135-C7B478624F60}" name="% Forecasted" dataDxfId="824" dataCellStyle="Percent">
      <calculatedColumnFormula>IFERROR(G5/F5, 0)</calculatedColumnFormula>
    </tableColumn>
    <tableColumn id="9" xr3:uid="{D38B5EA6-33C1-4151-81F9-E591C912376C}" name="Notes" dataDxfId="823" dataCellStyle="Percent"/>
    <tableColumn id="10" xr3:uid="{01B3C7F1-04AD-4A8E-B17E-4D3D966A9C1E}" name="Service Request" dataDxfId="822" dataCellStyle="Percent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797C5E2-8C3E-4124-8576-8343E01A9AF7}" name="Data181941334434547484950515253548586919293949596979899100" displayName="Data181941334434547484950515253548586919293949596979899100" ref="A4:J16" totalsRowShown="0" headerRowDxfId="819" dataDxfId="818" headerRowBorderDxfId="816" tableBorderDxfId="817" dataCellStyle="Percent">
  <autoFilter ref="A4:J16" xr:uid="{59A959C2-52B2-422A-A87A-BC08BBF40681}"/>
  <tableColumns count="10">
    <tableColumn id="1" xr3:uid="{D43EDE31-282D-47F0-8207-299A85CB0734}" name="Month" dataDxfId="815"/>
    <tableColumn id="2" xr3:uid="{A6D84CB7-3A17-47EB-A2F4-C889557DD57C}" name="Actual" dataDxfId="814">
      <calculatedColumnFormula>ROW() - 4</calculatedColumnFormula>
    </tableColumn>
    <tableColumn id="3" xr3:uid="{565E31EF-095E-42B4-88F9-E4B81E5A2F3A}" name="Expected" dataDxfId="813"/>
    <tableColumn id="4" xr3:uid="{626DD3AF-BE5A-4866-9D61-FD7E570CEE4B}" name="Delta Expected" dataDxfId="812">
      <calculatedColumnFormula>B5-C5</calculatedColumnFormula>
    </tableColumn>
    <tableColumn id="5" xr3:uid="{AB983F88-1474-46E5-910B-C531B5B9038F}" name="% Expected" dataDxfId="811" dataCellStyle="Percent">
      <calculatedColumnFormula>IFERROR(D5/C5, 0)</calculatedColumnFormula>
    </tableColumn>
    <tableColumn id="6" xr3:uid="{F24DB8E4-9C3F-44F2-80DF-F0955DB09EDB}" name="Forecasted" dataDxfId="810"/>
    <tableColumn id="7" xr3:uid="{3DCC989E-9D95-4D69-9355-308EFB388DC3}" name="Delta Forecasted" dataDxfId="809" dataCellStyle="Comma">
      <calculatedColumnFormula>B5-F5</calculatedColumnFormula>
    </tableColumn>
    <tableColumn id="8" xr3:uid="{7164AA8C-BA94-4A17-AE94-6A6B25471C5A}" name="% Forecasted" dataDxfId="808" dataCellStyle="Percent">
      <calculatedColumnFormula>IFERROR(G5/F5, 0)</calculatedColumnFormula>
    </tableColumn>
    <tableColumn id="9" xr3:uid="{E5497447-4641-4A10-A1B2-CFF87DD69061}" name="Notes" dataDxfId="807" dataCellStyle="Percent"/>
    <tableColumn id="10" xr3:uid="{1DBF5B92-8109-4770-85D8-5E6F61E119B4}" name="Service Request" dataDxfId="806" dataCellStyle="Percent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F22FEE5-2671-421A-85BF-B09869260D13}" name="Data181941334434547484950515253548586919293949596979899" displayName="Data181941334434547484950515253548586919293949596979899" ref="A4:J16" totalsRowShown="0" headerRowDxfId="803" dataDxfId="802" headerRowBorderDxfId="800" tableBorderDxfId="801" dataCellStyle="Percent">
  <autoFilter ref="A4:J16" xr:uid="{59A959C2-52B2-422A-A87A-BC08BBF40681}"/>
  <tableColumns count="10">
    <tableColumn id="1" xr3:uid="{610F4747-A51C-42C3-8892-087A803E74CD}" name="Month" dataDxfId="799"/>
    <tableColumn id="2" xr3:uid="{7895FAE6-FDFD-483E-B6C8-EA59BB0EEAA5}" name="Actual" dataDxfId="798">
      <calculatedColumnFormula>ROW() - 4</calculatedColumnFormula>
    </tableColumn>
    <tableColumn id="3" xr3:uid="{7B681C89-B66E-4589-A71E-D3CF6F59726F}" name="Expected" dataDxfId="797"/>
    <tableColumn id="4" xr3:uid="{59491863-918C-4456-9EB9-3B695B987B2F}" name="Delta Expected" dataDxfId="796">
      <calculatedColumnFormula>B5-C5</calculatedColumnFormula>
    </tableColumn>
    <tableColumn id="5" xr3:uid="{BE255B5C-7FB5-4F1A-B052-ADD154C7FCDC}" name="% Expected" dataDxfId="795" dataCellStyle="Percent">
      <calculatedColumnFormula>IFERROR(D5/C5, 0)</calculatedColumnFormula>
    </tableColumn>
    <tableColumn id="6" xr3:uid="{E3482FD9-E892-4244-8AA5-0F64409CF71F}" name="Forecasted" dataDxfId="794"/>
    <tableColumn id="7" xr3:uid="{B8780DF2-F5EC-4685-BE64-CDF96EBF5368}" name="Delta Forecasted" dataDxfId="793" dataCellStyle="Comma">
      <calculatedColumnFormula>B5-F5</calculatedColumnFormula>
    </tableColumn>
    <tableColumn id="8" xr3:uid="{323BC1A6-8CCF-4B0A-B05D-F0AD863F56C1}" name="% Forecasted" dataDxfId="792" dataCellStyle="Percent">
      <calculatedColumnFormula>IFERROR(G5/F5, 0)</calculatedColumnFormula>
    </tableColumn>
    <tableColumn id="9" xr3:uid="{15294C26-361A-4A74-BA75-0EADABCFECF0}" name="Notes" dataDxfId="791" dataCellStyle="Percent"/>
    <tableColumn id="10" xr3:uid="{CC86603C-0722-44A8-A005-FDB2ED50338C}" name="Service Request" dataDxfId="790" dataCellStyle="Percent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E747004-B0DB-4B37-BA0F-47D100B216A0}" name="Data1819413344345474849505152535485869192939495969798" displayName="Data1819413344345474849505152535485869192939495969798" ref="A4:J16" totalsRowShown="0" headerRowDxfId="785" dataDxfId="784" headerRowBorderDxfId="782" tableBorderDxfId="783" dataCellStyle="Percent">
  <autoFilter ref="A4:J16" xr:uid="{59A959C2-52B2-422A-A87A-BC08BBF40681}"/>
  <tableColumns count="10">
    <tableColumn id="1" xr3:uid="{B78BE753-8887-4ADA-84B4-C30545C71D99}" name="Month" dataDxfId="781"/>
    <tableColumn id="2" xr3:uid="{FF1EAB27-A298-4327-9EEF-659E9261708B}" name="Actual" dataDxfId="780">
      <calculatedColumnFormula>ROW() - 4</calculatedColumnFormula>
    </tableColumn>
    <tableColumn id="3" xr3:uid="{C90E451B-3DEF-4B5A-967F-B8BBB341F0D4}" name="Expected" dataDxfId="779"/>
    <tableColumn id="4" xr3:uid="{ABB45C32-CF67-49DE-A315-2647859B1061}" name="Delta Expected" dataDxfId="778">
      <calculatedColumnFormula>B5-C5</calculatedColumnFormula>
    </tableColumn>
    <tableColumn id="5" xr3:uid="{F4F2425F-6DC7-419C-94AF-2DB60C1FA95E}" name="% Expected" dataDxfId="777" dataCellStyle="Percent">
      <calculatedColumnFormula>IFERROR(D5/C5, 0)</calculatedColumnFormula>
    </tableColumn>
    <tableColumn id="6" xr3:uid="{7E6797D1-942B-4910-A119-EB2925B8FCA0}" name="Forecasted" dataDxfId="776"/>
    <tableColumn id="7" xr3:uid="{44791040-B7A1-4F5D-9C53-2BB1117664CD}" name="Delta Forecasted" dataDxfId="775" dataCellStyle="Comma">
      <calculatedColumnFormula>B5-F5</calculatedColumnFormula>
    </tableColumn>
    <tableColumn id="8" xr3:uid="{C05109B0-55FC-4B79-8415-5B1F552E164E}" name="% Forecasted" dataDxfId="774" dataCellStyle="Percent">
      <calculatedColumnFormula>IFERROR(G5/F5, 0)</calculatedColumnFormula>
    </tableColumn>
    <tableColumn id="9" xr3:uid="{4FBA54D5-EB5A-4460-A9AA-4C5D8D0B4F99}" name="Notes" dataDxfId="773" dataCellStyle="Percent"/>
    <tableColumn id="10" xr3:uid="{580D0230-7307-4209-99B1-8928B8BC8D53}" name="Service Request" dataDxfId="772" dataCellStyle="Percent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50E1A530-5BC9-4257-BF9B-4292567F2EFE}" name="Data18194133443454748495051525354858691929394959697" displayName="Data18194133443454748495051525354858691929394959697" ref="A4:J16" totalsRowShown="0" headerRowDxfId="769" dataDxfId="768" headerRowBorderDxfId="766" tableBorderDxfId="767" dataCellStyle="Percent">
  <autoFilter ref="A4:J16" xr:uid="{59A959C2-52B2-422A-A87A-BC08BBF40681}"/>
  <tableColumns count="10">
    <tableColumn id="1" xr3:uid="{15BE6827-29AF-4E78-90D0-3E7FAF51755F}" name="Month" dataDxfId="765"/>
    <tableColumn id="2" xr3:uid="{BCE79AB1-202A-4D54-9FC3-7932402E69AD}" name="Actual" dataDxfId="764">
      <calculatedColumnFormula>ROW() - 4</calculatedColumnFormula>
    </tableColumn>
    <tableColumn id="3" xr3:uid="{4708F960-E80A-49E5-AC75-A31EAD18C0C7}" name="Expected" dataDxfId="763"/>
    <tableColumn id="4" xr3:uid="{2006C4E0-263F-4EF9-B8F4-C6B1815C6CC8}" name="Delta Expected" dataDxfId="762">
      <calculatedColumnFormula>B5-C5</calculatedColumnFormula>
    </tableColumn>
    <tableColumn id="5" xr3:uid="{36F1AE1B-7168-4D0B-87DA-2AB48A15E426}" name="% Expected" dataDxfId="761" dataCellStyle="Percent">
      <calculatedColumnFormula>IFERROR(D5/C5, 0)</calculatedColumnFormula>
    </tableColumn>
    <tableColumn id="6" xr3:uid="{299FF154-350E-4975-AB8D-6ED06CEDE050}" name="Forecasted" dataDxfId="760"/>
    <tableColumn id="7" xr3:uid="{BB59FED1-BEE1-4053-9CAB-8088AB7C1D28}" name="Delta Forecasted" dataDxfId="759" dataCellStyle="Comma">
      <calculatedColumnFormula>B5-F5</calculatedColumnFormula>
    </tableColumn>
    <tableColumn id="8" xr3:uid="{9B31C480-0931-461A-8223-565321623275}" name="% Forecasted" dataDxfId="758" dataCellStyle="Percent">
      <calculatedColumnFormula>IFERROR(G5/F5, 0)</calculatedColumnFormula>
    </tableColumn>
    <tableColumn id="9" xr3:uid="{EF06971A-2CAE-4D8E-A265-8C9E154D684E}" name="Notes" dataDxfId="757" dataCellStyle="Percent"/>
    <tableColumn id="10" xr3:uid="{DE667D98-3CBB-447A-9DB7-A1745296FE6B}" name="Service Request" dataDxfId="756" dataCellStyle="Percent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F66515A-4129-4A84-AFD5-BC2C9D6285D0}" name="Data181941334434547484950515253548586919293949596" displayName="Data181941334434547484950515253548586919293949596" ref="A4:J16" totalsRowShown="0" headerRowDxfId="753" dataDxfId="752" headerRowBorderDxfId="750" tableBorderDxfId="751" dataCellStyle="Percent">
  <autoFilter ref="A4:J16" xr:uid="{59A959C2-52B2-422A-A87A-BC08BBF40681}"/>
  <tableColumns count="10">
    <tableColumn id="1" xr3:uid="{0190DAEF-4A2A-4526-A10E-AE4819DE425A}" name="Month" dataDxfId="749"/>
    <tableColumn id="2" xr3:uid="{67F8461D-1000-4BA6-8287-A33082D38623}" name="Actual" dataDxfId="748">
      <calculatedColumnFormula>ROW() - 4</calculatedColumnFormula>
    </tableColumn>
    <tableColumn id="3" xr3:uid="{5E93D77F-11B2-4514-B45B-232C882F9228}" name="Expected" dataDxfId="747"/>
    <tableColumn id="4" xr3:uid="{4AF01FD1-928C-4A65-A780-B3913FB3D861}" name="Delta Expected" dataDxfId="746">
      <calculatedColumnFormula>B5-C5</calculatedColumnFormula>
    </tableColumn>
    <tableColumn id="5" xr3:uid="{4B92CC0A-0EB8-405D-9188-C447710E0736}" name="% Expected" dataDxfId="745" dataCellStyle="Percent">
      <calculatedColumnFormula>IFERROR(D5/C5, 0)</calculatedColumnFormula>
    </tableColumn>
    <tableColumn id="6" xr3:uid="{250140A4-4642-41B9-8009-D076CF6CA4EF}" name="Forecasted" dataDxfId="744"/>
    <tableColumn id="7" xr3:uid="{C4CA5324-D0DB-494D-A401-892CEEDD20DA}" name="Delta Forecasted" dataDxfId="743" dataCellStyle="Comma">
      <calculatedColumnFormula>B5-F5</calculatedColumnFormula>
    </tableColumn>
    <tableColumn id="8" xr3:uid="{92201AE0-C4E8-4108-B7A7-147787F287BF}" name="% Forecasted" dataDxfId="742" dataCellStyle="Percent">
      <calculatedColumnFormula>IFERROR(G5/F5, 0)</calculatedColumnFormula>
    </tableColumn>
    <tableColumn id="9" xr3:uid="{1104562F-79C4-4131-A3DF-4C5869FD081D}" name="Notes" dataDxfId="741" dataCellStyle="Percent"/>
    <tableColumn id="10" xr3:uid="{973830F9-F9C5-413E-9C77-D3FC845D9208}" name="Service Request" dataDxfId="740" dataCellStyle="Percent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9906FA92-C973-4BF8-BCCA-9CBFF2AE0A01}" name="Data1819413344345474849505152535485869192939495" displayName="Data1819413344345474849505152535485869192939495" ref="A4:J16" totalsRowShown="0" headerRowDxfId="735" dataDxfId="734" headerRowBorderDxfId="732" tableBorderDxfId="733" dataCellStyle="Percent">
  <autoFilter ref="A4:J16" xr:uid="{59A959C2-52B2-422A-A87A-BC08BBF40681}"/>
  <tableColumns count="10">
    <tableColumn id="1" xr3:uid="{01CD6FDB-EF54-4453-A6B7-8DF579E35618}" name="Month" dataDxfId="731"/>
    <tableColumn id="2" xr3:uid="{C2C75E78-D3E3-4DCB-9A6E-5EE82E881717}" name="Actual" dataDxfId="730">
      <calculatedColumnFormula>ROW() - 4</calculatedColumnFormula>
    </tableColumn>
    <tableColumn id="3" xr3:uid="{CA845981-AE47-4ACD-BB07-38F3106CB254}" name="Expected" dataDxfId="729"/>
    <tableColumn id="4" xr3:uid="{52CFFCC9-425B-4D22-992B-BC3E13DB9AAE}" name="Delta Expected" dataDxfId="728">
      <calculatedColumnFormula>B5-C5</calculatedColumnFormula>
    </tableColumn>
    <tableColumn id="5" xr3:uid="{9749B153-7975-46B9-B1ED-F5E073A5D791}" name="% Expected" dataDxfId="727" dataCellStyle="Percent">
      <calculatedColumnFormula>IFERROR(D5/C5, 0)</calculatedColumnFormula>
    </tableColumn>
    <tableColumn id="6" xr3:uid="{28007BB9-84F1-42C3-9F51-AAB5DB5F9BA9}" name="Forecasted" dataDxfId="726"/>
    <tableColumn id="7" xr3:uid="{E5016BB4-6F6C-40C4-8208-E9423A68D43F}" name="Delta Forecasted" dataDxfId="725" dataCellStyle="Comma">
      <calculatedColumnFormula>B5-F5</calculatedColumnFormula>
    </tableColumn>
    <tableColumn id="8" xr3:uid="{85F0A4D5-CA82-4B0A-994A-FC2B4D16F9B7}" name="% Forecasted" dataDxfId="724" dataCellStyle="Percent">
      <calculatedColumnFormula>IFERROR(G5/F5, 0)</calculatedColumnFormula>
    </tableColumn>
    <tableColumn id="9" xr3:uid="{111E01E4-C2CF-4AB5-8E41-C92F83A800B4}" name="Notes" dataDxfId="723" dataCellStyle="Percent"/>
    <tableColumn id="10" xr3:uid="{E804A6D0-CD31-45D1-8B59-215C35D02A7C}" name="Service Request" dataDxfId="722" dataCellStyle="Percent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EA5D11F4-91E0-47B9-A9B3-6E095B71F5E5}" name="Data18194133443454748495051525354858691929394" displayName="Data18194133443454748495051525354858691929394" ref="A4:J16" totalsRowShown="0" headerRowDxfId="719" dataDxfId="718" headerRowBorderDxfId="716" tableBorderDxfId="717" dataCellStyle="Percent">
  <autoFilter ref="A4:J16" xr:uid="{59A959C2-52B2-422A-A87A-BC08BBF40681}"/>
  <tableColumns count="10">
    <tableColumn id="1" xr3:uid="{9DFF7733-4871-472C-83C1-3B90C0182C83}" name="Month" dataDxfId="715"/>
    <tableColumn id="2" xr3:uid="{BBBD193D-35F7-48D2-8966-50890C247F38}" name="Actual" dataDxfId="714">
      <calculatedColumnFormula>ROW() - 4</calculatedColumnFormula>
    </tableColumn>
    <tableColumn id="3" xr3:uid="{85CCB64C-016D-4405-8FDC-C8348FBE9DA8}" name="Expected" dataDxfId="713"/>
    <tableColumn id="4" xr3:uid="{B631B7AC-D1FE-4AD2-8492-AA55C6E6D567}" name="Delta Expected" dataDxfId="712">
      <calculatedColumnFormula>B5-C5</calculatedColumnFormula>
    </tableColumn>
    <tableColumn id="5" xr3:uid="{8F4B4F9E-76F4-4E23-B206-E085F3032BF9}" name="% Expected" dataDxfId="711" dataCellStyle="Percent">
      <calculatedColumnFormula>IFERROR(D5/C5, 0)</calculatedColumnFormula>
    </tableColumn>
    <tableColumn id="6" xr3:uid="{22E5F349-438D-4832-805A-781A82A8AC06}" name="Forecasted" dataDxfId="710"/>
    <tableColumn id="7" xr3:uid="{A08AB0C6-C532-4DA1-A46E-CBDECB9C2B99}" name="Delta Forecasted" dataDxfId="709" dataCellStyle="Comma">
      <calculatedColumnFormula>B5-F5</calculatedColumnFormula>
    </tableColumn>
    <tableColumn id="8" xr3:uid="{AFDAE69C-E360-4838-B7FA-9632240B5DCF}" name="% Forecasted" dataDxfId="708" dataCellStyle="Percent">
      <calculatedColumnFormula>IFERROR(G5/F5, 0)</calculatedColumnFormula>
    </tableColumn>
    <tableColumn id="9" xr3:uid="{BB5B226A-9209-4CB0-A13F-9F74DE9E3AEB}" name="Notes" dataDxfId="707" dataCellStyle="Percent"/>
    <tableColumn id="10" xr3:uid="{CC810D95-A58D-4163-AD7E-4186972A056E}" name="Service Request" dataDxfId="706" dataCellStyle="Percent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FF72AF99-5154-43F8-8DCB-0F01F70A4ADE}" name="Data181941334434547484950515253548586919293" displayName="Data181941334434547484950515253548586919293" ref="A4:J16" totalsRowShown="0" headerRowDxfId="703" dataDxfId="702" headerRowBorderDxfId="700" tableBorderDxfId="701" dataCellStyle="Percent">
  <autoFilter ref="A4:J16" xr:uid="{59A959C2-52B2-422A-A87A-BC08BBF40681}"/>
  <tableColumns count="10">
    <tableColumn id="1" xr3:uid="{BCE41173-056B-4DE6-87EF-4625B74C4CC2}" name="Month" dataDxfId="699"/>
    <tableColumn id="2" xr3:uid="{AFCE4BEB-5AB3-425F-8E53-538E61F555CB}" name="Actual" dataDxfId="698">
      <calculatedColumnFormula>ROW() - 4</calculatedColumnFormula>
    </tableColumn>
    <tableColumn id="3" xr3:uid="{708385D4-D756-4A9B-8C18-BFB2BC237299}" name="Expected" dataDxfId="697"/>
    <tableColumn id="4" xr3:uid="{6AABE31C-74CB-4924-B9C8-16CE486286C2}" name="Delta Expected" dataDxfId="696">
      <calculatedColumnFormula>B5-C5</calculatedColumnFormula>
    </tableColumn>
    <tableColumn id="5" xr3:uid="{65BD77FB-CDED-49D5-8F3D-72FBEB619D87}" name="% Expected" dataDxfId="695" dataCellStyle="Percent">
      <calculatedColumnFormula>IFERROR(D5/C5, 0)</calculatedColumnFormula>
    </tableColumn>
    <tableColumn id="6" xr3:uid="{14DC4459-8988-43B0-9F39-18D15B06C02F}" name="Forecasted" dataDxfId="694"/>
    <tableColumn id="7" xr3:uid="{6E964805-50C2-4C36-903E-C63D771802E5}" name="Delta Forecasted" dataDxfId="693" dataCellStyle="Comma">
      <calculatedColumnFormula>B5-F5</calculatedColumnFormula>
    </tableColumn>
    <tableColumn id="8" xr3:uid="{E74AC756-C0B5-4DA8-8250-39C3A05CEC7B}" name="% Forecasted" dataDxfId="692" dataCellStyle="Percent">
      <calculatedColumnFormula>IFERROR(G5/F5, 0)</calculatedColumnFormula>
    </tableColumn>
    <tableColumn id="9" xr3:uid="{AA5C7ED0-EABB-4160-B10B-61C37E0F075D}" name="Notes" dataDxfId="691" dataCellStyle="Percent"/>
    <tableColumn id="10" xr3:uid="{340E007A-069B-43CD-80C6-19CF751829FA}" name="Service Request" dataDxfId="690" dataCellStyle="Percent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72EEC4F-6B3F-4AC1-93F3-EF3A1D84D430}" name="Data1819413344345474849505152535485869192" displayName="Data1819413344345474849505152535485869192" ref="A4:J16" totalsRowShown="0" headerRowDxfId="687" dataDxfId="686" headerRowBorderDxfId="684" tableBorderDxfId="685" dataCellStyle="Percent">
  <autoFilter ref="A4:J16" xr:uid="{59A959C2-52B2-422A-A87A-BC08BBF40681}"/>
  <tableColumns count="10">
    <tableColumn id="1" xr3:uid="{96F24597-2140-4015-A259-345E5A176F04}" name="Month" dataDxfId="683"/>
    <tableColumn id="2" xr3:uid="{DC2D6BB0-8196-4B0F-A6A7-899A2E4E6CA4}" name="Actual" dataDxfId="682">
      <calculatedColumnFormula>ROW() - 4</calculatedColumnFormula>
    </tableColumn>
    <tableColumn id="3" xr3:uid="{6AC193C8-3CF9-448D-82C9-CA5B855A1DE2}" name="Expected" dataDxfId="681"/>
    <tableColumn id="4" xr3:uid="{8EC6EB91-FD5F-4127-9DE7-A6120CD59D7D}" name="Delta Expected" dataDxfId="680">
      <calculatedColumnFormula>B5-C5</calculatedColumnFormula>
    </tableColumn>
    <tableColumn id="5" xr3:uid="{AAB03F16-6F75-4CEE-83D0-E8AAA420E90E}" name="% Expected" dataDxfId="679" dataCellStyle="Percent">
      <calculatedColumnFormula>IFERROR(D5/C5, 0)</calculatedColumnFormula>
    </tableColumn>
    <tableColumn id="6" xr3:uid="{D6AC8B84-02F5-42B1-865C-8A529625701D}" name="Forecasted" dataDxfId="678"/>
    <tableColumn id="7" xr3:uid="{579DB589-A9F5-4C53-B3FF-CBBE26D94B51}" name="Delta Forecasted" dataDxfId="677" dataCellStyle="Comma">
      <calculatedColumnFormula>B5-F5</calculatedColumnFormula>
    </tableColumn>
    <tableColumn id="8" xr3:uid="{DD86E6D8-B771-48B5-9FFE-58DC8BF22640}" name="% Forecasted" dataDxfId="676" dataCellStyle="Percent">
      <calculatedColumnFormula>IFERROR(G5/F5, 0)</calculatedColumnFormula>
    </tableColumn>
    <tableColumn id="9" xr3:uid="{598241D1-256E-478C-8645-3470D56DC85A}" name="Notes" dataDxfId="675" dataCellStyle="Percent"/>
    <tableColumn id="10" xr3:uid="{407F16C4-177D-4F9A-A3EC-6A7B2EC58705}" name="Service Request" dataDxfId="674" dataCellStyle="Percent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58EB3424-D8F7-4452-A04D-16D9ED8F2F17}" name="Data18194133443454748495051525354858691" displayName="Data18194133443454748495051525354858691" ref="A4:J16" totalsRowShown="0" headerRowDxfId="671" dataDxfId="670" headerRowBorderDxfId="668" tableBorderDxfId="669" dataCellStyle="Percent">
  <autoFilter ref="A4:J16" xr:uid="{59A959C2-52B2-422A-A87A-BC08BBF40681}"/>
  <tableColumns count="10">
    <tableColumn id="1" xr3:uid="{942521E6-1642-4042-B58B-7CAA100A2084}" name="Month" dataDxfId="667"/>
    <tableColumn id="2" xr3:uid="{5588F548-FF33-4E9E-952A-173CB736A65D}" name="Actual" dataDxfId="666">
      <calculatedColumnFormula>ROW() - 4</calculatedColumnFormula>
    </tableColumn>
    <tableColumn id="3" xr3:uid="{F51F549A-5878-470F-ABF5-5772DB3EC04B}" name="Expected" dataDxfId="665"/>
    <tableColumn id="4" xr3:uid="{79E8DA97-17D6-4F40-84B2-E110D4062DC7}" name="Delta Expected" dataDxfId="664">
      <calculatedColumnFormula>B5-C5</calculatedColumnFormula>
    </tableColumn>
    <tableColumn id="5" xr3:uid="{AEBC1521-4DBA-41EC-95D9-FBCB669A65AB}" name="% Expected" dataDxfId="663" dataCellStyle="Percent">
      <calculatedColumnFormula>IFERROR(D5/C5, 0)</calculatedColumnFormula>
    </tableColumn>
    <tableColumn id="6" xr3:uid="{F9E33A55-E55E-453F-B360-81AA91D1633C}" name="Forecasted" dataDxfId="662"/>
    <tableColumn id="7" xr3:uid="{978AC229-29E3-40BB-9EF2-D7F899F87E72}" name="Delta Forecasted" dataDxfId="661" dataCellStyle="Comma">
      <calculatedColumnFormula>B5-F5</calculatedColumnFormula>
    </tableColumn>
    <tableColumn id="8" xr3:uid="{0D6039D0-1A92-459F-B635-01B2EC8B92CD}" name="% Forecasted" dataDxfId="660" dataCellStyle="Percent">
      <calculatedColumnFormula>IFERROR(G5/F5, 0)</calculatedColumnFormula>
    </tableColumn>
    <tableColumn id="9" xr3:uid="{8DBF8AF0-BD9F-4121-BA4A-A30C702EE1AC}" name="Notes" dataDxfId="659" dataCellStyle="Percent"/>
    <tableColumn id="10" xr3:uid="{CAD1F8DE-1CC4-4E1D-BCFE-83DDF4D3AA88}" name="Service Request" dataDxfId="658" dataCellStyle="Percent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CA32930-E511-40BE-8282-CE5B871BC00A}" name="Data18194133443454748495051525354" displayName="Data18194133443454748495051525354" ref="A4:J16" totalsRowShown="0" headerRowDxfId="655" dataDxfId="654" headerRowBorderDxfId="652" tableBorderDxfId="653" dataCellStyle="Percent">
  <autoFilter ref="A4:J16" xr:uid="{59A959C2-52B2-422A-A87A-BC08BBF40681}"/>
  <tableColumns count="10">
    <tableColumn id="1" xr3:uid="{D424A977-E588-4E81-929D-D8C0D02872ED}" name="Month" dataDxfId="651"/>
    <tableColumn id="2" xr3:uid="{27F11341-2B03-4A8A-8C05-346B22748A34}" name="Actual" dataDxfId="650">
      <calculatedColumnFormula>ROW() - 4</calculatedColumnFormula>
    </tableColumn>
    <tableColumn id="3" xr3:uid="{C0968783-BB70-4D49-9239-CA6289003814}" name="Expected" dataDxfId="649"/>
    <tableColumn id="4" xr3:uid="{243BA6A8-C557-446E-A4B1-3E5D10D35B28}" name="Delta Expected" dataDxfId="648">
      <calculatedColumnFormula>B5-C5</calculatedColumnFormula>
    </tableColumn>
    <tableColumn id="5" xr3:uid="{1BBEA39F-76B0-4A48-A1ED-0BC0FF4AA96B}" name="% Expected" dataDxfId="647" dataCellStyle="Percent">
      <calculatedColumnFormula>IFERROR(D5/C5, 0)</calculatedColumnFormula>
    </tableColumn>
    <tableColumn id="6" xr3:uid="{FC8349BE-3F44-4E9B-9AD1-5B9BFD6C90AF}" name="Forecasted" dataDxfId="646"/>
    <tableColumn id="7" xr3:uid="{848135C6-B302-4F60-B3DC-21F9DCA42732}" name="Delta Forecasted" dataDxfId="645" dataCellStyle="Comma">
      <calculatedColumnFormula>B5-F5</calculatedColumnFormula>
    </tableColumn>
    <tableColumn id="8" xr3:uid="{346AA1D5-28EB-494C-A63E-3823E968DFE3}" name="% Forecasted" dataDxfId="644" dataCellStyle="Percent">
      <calculatedColumnFormula>IFERROR(G5/F5, 0)</calculatedColumnFormula>
    </tableColumn>
    <tableColumn id="9" xr3:uid="{9AA59319-08B0-4B17-9D59-DD74BC2536D9}" name="Notes" dataDxfId="643" dataCellStyle="Percent"/>
    <tableColumn id="10" xr3:uid="{2F54811D-1352-4731-82EB-917B5BA22353}" name="Service Request" dataDxfId="642" dataCellStyle="Percent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6DBC828-209B-46B3-B6E4-95F22A3677D5}" name="Data181941334434547484950515253" displayName="Data181941334434547484950515253" ref="A4:J16" totalsRowShown="0" headerRowDxfId="639" dataDxfId="638" headerRowBorderDxfId="636" tableBorderDxfId="637" dataCellStyle="Percent">
  <autoFilter ref="A4:J16" xr:uid="{59A959C2-52B2-422A-A87A-BC08BBF40681}"/>
  <tableColumns count="10">
    <tableColumn id="1" xr3:uid="{8232A737-5472-4EF7-B470-4E5935E7F3B0}" name="Month" dataDxfId="635"/>
    <tableColumn id="2" xr3:uid="{016F3F17-006E-4936-B62E-DF6248883907}" name="Actual" dataDxfId="634"/>
    <tableColumn id="3" xr3:uid="{C7B44920-3FA6-4723-ABCE-E0AB9525DB0F}" name="Expected" dataDxfId="633"/>
    <tableColumn id="4" xr3:uid="{0845660D-4AAD-4910-8F6B-52C399807613}" name="Delta Expected" dataDxfId="632">
      <calculatedColumnFormula>B5-C5</calculatedColumnFormula>
    </tableColumn>
    <tableColumn id="5" xr3:uid="{BFB0F48D-25D5-407A-B4F9-C594FF6694A3}" name="% Expected" dataDxfId="631" dataCellStyle="Percent">
      <calculatedColumnFormula>IFERROR(D5/C5, 0)</calculatedColumnFormula>
    </tableColumn>
    <tableColumn id="6" xr3:uid="{F300580B-FA31-4AD3-ADBF-D7E8A5CA87A6}" name="Forecasted" dataDxfId="630"/>
    <tableColumn id="7" xr3:uid="{E72EFBD8-C7B0-4A03-8ACC-8EEA1477C485}" name="Delta Forecasted" dataDxfId="629" dataCellStyle="Comma">
      <calculatedColumnFormula>B5-F5</calculatedColumnFormula>
    </tableColumn>
    <tableColumn id="8" xr3:uid="{5A1789FD-3F20-42E0-971D-E4DBAAEF2FA6}" name="% Forecasted" dataDxfId="628" dataCellStyle="Percent">
      <calculatedColumnFormula>IFERROR(G5/F5, 0)</calculatedColumnFormula>
    </tableColumn>
    <tableColumn id="9" xr3:uid="{A49FED23-22D4-41E8-A93B-4D4755D6ADCD}" name="Notes" dataDxfId="627" dataCellStyle="Percent"/>
    <tableColumn id="10" xr3:uid="{60D4957F-4176-41AB-B28B-E22F77B7E432}" name="Service Request" dataDxfId="626" dataCellStyle="Percent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926B73D-CC40-4930-ADF3-075747DAB71B}" name="Data18194133443454748495051525354555657" displayName="Data18194133443454748495051525354555657" ref="A4:J16" totalsRowShown="0" headerRowDxfId="623" dataDxfId="622" headerRowBorderDxfId="620" tableBorderDxfId="621" dataCellStyle="Percent">
  <autoFilter ref="A4:J16" xr:uid="{59A959C2-52B2-422A-A87A-BC08BBF40681}"/>
  <tableColumns count="10">
    <tableColumn id="1" xr3:uid="{C7372E03-7063-48AF-9FED-E43954E1C360}" name="Month" dataDxfId="619"/>
    <tableColumn id="2" xr3:uid="{26C6BA9D-0E70-49D3-A10D-3D5C8CDB70AD}" name="Actual" dataDxfId="618"/>
    <tableColumn id="3" xr3:uid="{570D84D6-D6DD-45E8-9805-86433A510C97}" name="Expected" dataDxfId="617"/>
    <tableColumn id="4" xr3:uid="{8C3F779C-ABA3-4139-8364-A42DCB1180CE}" name="Delta Expected" dataDxfId="616">
      <calculatedColumnFormula>B5-C5</calculatedColumnFormula>
    </tableColumn>
    <tableColumn id="5" xr3:uid="{E1B54987-347D-425E-B377-AFEBF6A244CC}" name="% Expected" dataDxfId="615" dataCellStyle="Percent">
      <calculatedColumnFormula>IFERROR(D5/C5, 0)</calculatedColumnFormula>
    </tableColumn>
    <tableColumn id="6" xr3:uid="{5E684850-0F4D-4CF3-A0B3-1A0BF102E1A9}" name="Forecasted" dataDxfId="614"/>
    <tableColumn id="7" xr3:uid="{4BA7BA6F-6FB8-4C17-8120-F896CD59FEA2}" name="Delta Forecasted" dataDxfId="613" dataCellStyle="Comma">
      <calculatedColumnFormula>B5-F5</calculatedColumnFormula>
    </tableColumn>
    <tableColumn id="8" xr3:uid="{9B6BA1A5-ECA7-4AAC-9DCD-34CDFB751AAC}" name="% Forecasted" dataDxfId="612" dataCellStyle="Percent">
      <calculatedColumnFormula>IFERROR(G5/F5, 0)</calculatedColumnFormula>
    </tableColumn>
    <tableColumn id="9" xr3:uid="{009C999D-1BD6-404F-80F3-A71933DCBC3A}" name="Notes" dataDxfId="611" dataCellStyle="Percent"/>
    <tableColumn id="10" xr3:uid="{87A68AD6-0F04-4BF0-8649-4577A7AED530}" name="Service Request" dataDxfId="610" dataCellStyle="Percent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A0633ED-4832-440E-BE7D-A37D80F5714E}" name="Data181941334434547484950515253545556" displayName="Data181941334434547484950515253545556" ref="A4:J16" totalsRowShown="0" headerRowDxfId="607" dataDxfId="606" headerRowBorderDxfId="604" tableBorderDxfId="605" dataCellStyle="Percent">
  <autoFilter ref="A4:J16" xr:uid="{59A959C2-52B2-422A-A87A-BC08BBF40681}"/>
  <tableColumns count="10">
    <tableColumn id="1" xr3:uid="{81EF3853-6979-437B-ABE0-B82F9D7308D8}" name="Month" dataDxfId="603"/>
    <tableColumn id="2" xr3:uid="{96C97D0A-883D-42A6-904A-186B656BA0FA}" name="Actual" dataDxfId="602"/>
    <tableColumn id="3" xr3:uid="{B827190E-20CA-4436-8B7F-F350EDA89F1E}" name="Expected" dataDxfId="601"/>
    <tableColumn id="4" xr3:uid="{0ECF63F0-6793-4CAA-8A39-08C5DBF11241}" name="Delta Expected" dataDxfId="600">
      <calculatedColumnFormula>B5-C5</calculatedColumnFormula>
    </tableColumn>
    <tableColumn id="5" xr3:uid="{66BAEB84-24AA-4A8D-98AB-86619DCC4E50}" name="% Expected" dataDxfId="599" dataCellStyle="Percent">
      <calculatedColumnFormula>IFERROR(D5/C5, 0)</calculatedColumnFormula>
    </tableColumn>
    <tableColumn id="6" xr3:uid="{EFF18E82-55BB-4E8C-9472-A220FD4079BE}" name="Forecasted" dataDxfId="598"/>
    <tableColumn id="7" xr3:uid="{17002F01-22E4-4718-987A-DB8302DFEDC0}" name="Delta Forecasted" dataDxfId="597" dataCellStyle="Comma">
      <calculatedColumnFormula>B5-F5</calculatedColumnFormula>
    </tableColumn>
    <tableColumn id="8" xr3:uid="{46AE813B-3B97-4C4C-A00B-ADDD054F21AE}" name="% Forecasted" dataDxfId="596" dataCellStyle="Percent">
      <calculatedColumnFormula>IFERROR(G5/F5, 0)</calculatedColumnFormula>
    </tableColumn>
    <tableColumn id="9" xr3:uid="{FFA8A02E-4DF3-4A0B-84C5-F851CF4D0E06}" name="Notes" dataDxfId="595" dataCellStyle="Percent"/>
    <tableColumn id="10" xr3:uid="{C94B590C-771B-423C-B49B-9B584EF82E97}" name="Service Request" dataDxfId="594" dataCellStyle="Percent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4CDB79C-6947-48B4-ADBB-1E3E4CDEFE7E}" name="Data1819413344345474849505152" displayName="Data1819413344345474849505152" ref="A4:J16" totalsRowShown="0" headerRowDxfId="591" dataDxfId="590" headerRowBorderDxfId="588" tableBorderDxfId="589" dataCellStyle="Percent">
  <autoFilter ref="A4:J16" xr:uid="{59A959C2-52B2-422A-A87A-BC08BBF40681}"/>
  <tableColumns count="10">
    <tableColumn id="1" xr3:uid="{A10CEA7B-A1A5-4BB1-9F4C-C8B4B4DC6E31}" name="Month" dataDxfId="587"/>
    <tableColumn id="2" xr3:uid="{66F69555-AD0A-4490-8583-EB8A73BE0767}" name="Actual" dataDxfId="586"/>
    <tableColumn id="3" xr3:uid="{5C08E899-7F4A-4E6D-A3A8-C4C3D4697F91}" name="Expected" dataDxfId="585"/>
    <tableColumn id="4" xr3:uid="{16C8800C-675C-4012-93B7-308F992F94C7}" name="Delta Expected" dataDxfId="584">
      <calculatedColumnFormula>B5-C5</calculatedColumnFormula>
    </tableColumn>
    <tableColumn id="5" xr3:uid="{E04249AD-B40C-4A9F-B3A1-95BF8A3A6189}" name="% Expected" dataDxfId="583" dataCellStyle="Percent">
      <calculatedColumnFormula>IFERROR(D5/C5, 0)</calculatedColumnFormula>
    </tableColumn>
    <tableColumn id="6" xr3:uid="{86822D44-1FC7-4B22-8C0F-2AAFBDE8145D}" name="Forecasted" dataDxfId="582"/>
    <tableColumn id="7" xr3:uid="{E7296686-B096-4789-9775-15E420A848A3}" name="Delta Forecasted" dataDxfId="581" dataCellStyle="Comma">
      <calculatedColumnFormula>B5-F5</calculatedColumnFormula>
    </tableColumn>
    <tableColumn id="8" xr3:uid="{3766B75E-847F-4826-870A-2A22869CEE1A}" name="% Forecasted" dataDxfId="580" dataCellStyle="Percent">
      <calculatedColumnFormula>IFERROR(G5/F5, 0)</calculatedColumnFormula>
    </tableColumn>
    <tableColumn id="9" xr3:uid="{FF9EA91D-9682-401D-B673-40D4405210A9}" name="Notes" dataDxfId="579" dataCellStyle="Percent"/>
    <tableColumn id="10" xr3:uid="{B6637587-9C89-4E79-874B-B95E90B1C3C6}" name="Service Request" dataDxfId="578" dataCellStyle="Percent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EFE3D31-812D-4242-B016-2116D525273C}" name="Data1819413344345474849505152535455" displayName="Data1819413344345474849505152535455" ref="A4:J16" totalsRowShown="0" headerRowDxfId="575" dataDxfId="574" headerRowBorderDxfId="572" tableBorderDxfId="573" dataCellStyle="Percent">
  <autoFilter ref="A4:J16" xr:uid="{59A959C2-52B2-422A-A87A-BC08BBF40681}"/>
  <tableColumns count="10">
    <tableColumn id="1" xr3:uid="{47E694B2-CCCE-4388-974D-C33CDD8816C6}" name="Month" dataDxfId="571"/>
    <tableColumn id="2" xr3:uid="{0DD7F9A6-4300-4B41-BD42-CDE0AEE442F8}" name="Actual" dataDxfId="570"/>
    <tableColumn id="3" xr3:uid="{61640FDA-5FBC-4CF9-A1A8-F5A60CE5D304}" name="Expected" dataDxfId="569"/>
    <tableColumn id="4" xr3:uid="{FEA4E48D-FD3C-4CED-AA44-612BB3461FB6}" name="Delta Expected" dataDxfId="568">
      <calculatedColumnFormula>B5-C5</calculatedColumnFormula>
    </tableColumn>
    <tableColumn id="5" xr3:uid="{C11DD821-6074-4DF4-B0EE-D0C5287A3358}" name="% Expected" dataDxfId="567" dataCellStyle="Percent">
      <calculatedColumnFormula>IFERROR(D5/C5, 0)</calculatedColumnFormula>
    </tableColumn>
    <tableColumn id="6" xr3:uid="{148DEE66-DCEF-436D-9F99-D37353688DB3}" name="Forecasted" dataDxfId="566"/>
    <tableColumn id="7" xr3:uid="{F360DDF5-2071-4F5D-9551-4768BDB8549C}" name="Delta Forecasted" dataDxfId="565" dataCellStyle="Comma">
      <calculatedColumnFormula>B5-F5</calculatedColumnFormula>
    </tableColumn>
    <tableColumn id="8" xr3:uid="{918A5391-CB36-4569-990E-A081E55F10DB}" name="% Forecasted" dataDxfId="564" dataCellStyle="Percent">
      <calculatedColumnFormula>IFERROR(G5/F5, 0)</calculatedColumnFormula>
    </tableColumn>
    <tableColumn id="9" xr3:uid="{CC7860E2-13BD-4346-8387-FBA12625B872}" name="Notes" dataDxfId="563" dataCellStyle="Percent"/>
    <tableColumn id="10" xr3:uid="{F4304B18-8C6C-4245-A445-E2AE8E20C867}" name="Service Request" dataDxfId="562" dataCellStyle="Percent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BA9C86A-EF86-4792-A376-45EA39E17D93}" name="Data18194133443454748495051" displayName="Data18194133443454748495051" ref="A4:J16" totalsRowShown="0" headerRowDxfId="559" dataDxfId="558" headerRowBorderDxfId="556" tableBorderDxfId="557" dataCellStyle="Percent">
  <autoFilter ref="A4:J16" xr:uid="{59A959C2-52B2-422A-A87A-BC08BBF40681}"/>
  <tableColumns count="10">
    <tableColumn id="1" xr3:uid="{EC286DCF-CE9A-445C-BC08-C54AA4F150C8}" name="Month" dataDxfId="555"/>
    <tableColumn id="2" xr3:uid="{DC07A44F-E32C-4CF6-A4B2-4F85243E563B}" name="Actual" dataDxfId="554"/>
    <tableColumn id="3" xr3:uid="{65196429-A1C0-4534-9D82-EB04FA94439A}" name="Expected" dataDxfId="553"/>
    <tableColumn id="4" xr3:uid="{3462857F-4155-4447-9C78-B6E8D3DCCC0F}" name="Delta Expected" dataDxfId="552">
      <calculatedColumnFormula>B5-C5</calculatedColumnFormula>
    </tableColumn>
    <tableColumn id="5" xr3:uid="{2E2FB020-5579-4C37-8E43-4D77E0DE245B}" name="% Expected" dataDxfId="551" dataCellStyle="Percent">
      <calculatedColumnFormula>IFERROR(D5/C5, 0)</calculatedColumnFormula>
    </tableColumn>
    <tableColumn id="6" xr3:uid="{17F2FCAA-9D9F-4D93-9ED4-823F01730A7D}" name="Forecasted" dataDxfId="550"/>
    <tableColumn id="7" xr3:uid="{85C13A2F-2002-44CC-BFF2-E458DA988540}" name="Delta Forecasted" dataDxfId="549" dataCellStyle="Comma">
      <calculatedColumnFormula>B5-F5</calculatedColumnFormula>
    </tableColumn>
    <tableColumn id="8" xr3:uid="{FCF37526-CD6D-41AD-8936-D9A5D168EC12}" name="% Forecasted" dataDxfId="548" dataCellStyle="Percent">
      <calculatedColumnFormula>IFERROR(G5/F5, 0)</calculatedColumnFormula>
    </tableColumn>
    <tableColumn id="9" xr3:uid="{5356B055-0814-4737-8694-902BE4817512}" name="Notes" dataDxfId="547" dataCellStyle="Percent"/>
    <tableColumn id="10" xr3:uid="{7A87E102-32C1-40E1-8F4E-EAFD125DE602}" name="Service Request" dataDxfId="546" dataCellStyle="Percent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22FD050-D4E8-4904-8964-EB923952FC4D}" name="Data181941334434547484950" displayName="Data181941334434547484950" ref="A4:J16" totalsRowShown="0" headerRowDxfId="543" dataDxfId="542" headerRowBorderDxfId="540" tableBorderDxfId="541" dataCellStyle="Percent">
  <autoFilter ref="A4:J16" xr:uid="{59A959C2-52B2-422A-A87A-BC08BBF40681}"/>
  <tableColumns count="10">
    <tableColumn id="1" xr3:uid="{DF5200A1-02DB-45C6-9968-721A84C2C054}" name="Month" dataDxfId="539"/>
    <tableColumn id="2" xr3:uid="{E9FEC997-AA9D-408A-9634-D1C5F2BA6844}" name="Actual" dataDxfId="538"/>
    <tableColumn id="3" xr3:uid="{32894E38-02CB-4385-8B52-6633051AF79A}" name="Expected" dataDxfId="537"/>
    <tableColumn id="4" xr3:uid="{E26E9D64-AF3A-49F0-92C7-965961B0B811}" name="Delta Expected" dataDxfId="536">
      <calculatedColumnFormula>B5-C5</calculatedColumnFormula>
    </tableColumn>
    <tableColumn id="5" xr3:uid="{71383482-C3E1-4F9B-9D49-2FC2FFB65B28}" name="% Expected" dataDxfId="535" dataCellStyle="Percent">
      <calculatedColumnFormula>IFERROR(D5/C5, 0)</calculatedColumnFormula>
    </tableColumn>
    <tableColumn id="6" xr3:uid="{6DB00853-51CF-40CB-98A7-0EC2AB37F5D1}" name="Forecasted" dataDxfId="534"/>
    <tableColumn id="7" xr3:uid="{D16D439D-BBFF-4AAD-959C-6E8E543E963F}" name="Delta Forecasted" dataDxfId="533" dataCellStyle="Comma">
      <calculatedColumnFormula>B5-F5</calculatedColumnFormula>
    </tableColumn>
    <tableColumn id="8" xr3:uid="{FEF5D267-B4C1-4FF5-A1F4-A6DC2D52F014}" name="% Forecasted" dataDxfId="532" dataCellStyle="Percent">
      <calculatedColumnFormula>IFERROR(G5/F5, 0)</calculatedColumnFormula>
    </tableColumn>
    <tableColumn id="9" xr3:uid="{DF667F1B-B664-41DD-988E-306D9A2842AC}" name="Notes" dataDxfId="531" dataCellStyle="Percent"/>
    <tableColumn id="10" xr3:uid="{8725EB9B-F5AC-41F3-951B-B23FE0F1F477}" name="Service Request" dataDxfId="530" dataCellStyle="Percent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D8B3E12-F842-4E1D-A7D9-B6E52389989C}" name="Data1819413344345474849" displayName="Data1819413344345474849" ref="A4:J16" totalsRowShown="0" headerRowDxfId="527" dataDxfId="526" headerRowBorderDxfId="524" tableBorderDxfId="525" dataCellStyle="Percent">
  <autoFilter ref="A4:J16" xr:uid="{59A959C2-52B2-422A-A87A-BC08BBF40681}"/>
  <tableColumns count="10">
    <tableColumn id="1" xr3:uid="{5B9CF24D-552D-4879-94D1-F10CEB4B30EB}" name="Month" dataDxfId="523"/>
    <tableColumn id="2" xr3:uid="{C9B5E40D-954D-4D03-BFE9-73862F82B3B6}" name="Actual" dataDxfId="522"/>
    <tableColumn id="3" xr3:uid="{ABAD87E5-0B11-4C61-8B11-FC60F35C9BCD}" name="Expected" dataDxfId="521"/>
    <tableColumn id="4" xr3:uid="{0934A585-B3AB-4DEC-A1DE-5E73D8786DA4}" name="Delta Expected" dataDxfId="520">
      <calculatedColumnFormula>B5-C5</calculatedColumnFormula>
    </tableColumn>
    <tableColumn id="5" xr3:uid="{16EEB76C-C38E-458A-B21D-0CC16206BBB1}" name="% Expected" dataDxfId="519" dataCellStyle="Percent">
      <calculatedColumnFormula>IFERROR(D5/C5, 0)</calculatedColumnFormula>
    </tableColumn>
    <tableColumn id="6" xr3:uid="{286F09AC-4C74-45CC-8CE7-159974950AEC}" name="Forecasted" dataDxfId="518"/>
    <tableColumn id="7" xr3:uid="{8935DBB9-71C8-4630-9343-8F0D04C60552}" name="Delta Forecasted" dataDxfId="517" dataCellStyle="Comma">
      <calculatedColumnFormula>B5-F5</calculatedColumnFormula>
    </tableColumn>
    <tableColumn id="8" xr3:uid="{C9EBB8A1-D52A-4A4C-8353-6835C5989039}" name="% Forecasted" dataDxfId="516" dataCellStyle="Percent">
      <calculatedColumnFormula>IFERROR(G5/F5, 0)</calculatedColumnFormula>
    </tableColumn>
    <tableColumn id="9" xr3:uid="{9902CB9F-1849-4871-A3F3-2794D9F680CC}" name="Notes" dataDxfId="515" dataCellStyle="Percent"/>
    <tableColumn id="10" xr3:uid="{0B1E728B-2ECA-497C-BFEE-61EE66B77E09}" name="Service Request" dataDxfId="514" dataCellStyle="Percent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929EB0C-A366-45A2-99EA-DA7B17439CD9}" name="Data18194133443454748" displayName="Data18194133443454748" ref="A4:J16" totalsRowShown="0" headerRowDxfId="511" dataDxfId="510" headerRowBorderDxfId="508" tableBorderDxfId="509" dataCellStyle="Percent">
  <autoFilter ref="A4:J16" xr:uid="{59A959C2-52B2-422A-A87A-BC08BBF40681}"/>
  <tableColumns count="10">
    <tableColumn id="1" xr3:uid="{CA80A351-607E-4D94-8967-99D68AA5258F}" name="Month" dataDxfId="507"/>
    <tableColumn id="2" xr3:uid="{FB58F296-1E53-440E-9924-E59B7EC123CA}" name="Actual" dataDxfId="506"/>
    <tableColumn id="3" xr3:uid="{F7CE7F17-68CB-4B5F-8F91-DC5B03228070}" name="Expected" dataDxfId="505"/>
    <tableColumn id="4" xr3:uid="{FCBD6324-4376-4420-9D43-BCBA5FFC277A}" name="Delta Expected" dataDxfId="504">
      <calculatedColumnFormula>B5-C5</calculatedColumnFormula>
    </tableColumn>
    <tableColumn id="5" xr3:uid="{6529E589-469C-45F7-904D-3A545B8091EC}" name="% Expected" dataDxfId="503" dataCellStyle="Percent">
      <calculatedColumnFormula>IFERROR(D5/C5, 0)</calculatedColumnFormula>
    </tableColumn>
    <tableColumn id="6" xr3:uid="{2F977D06-E942-4369-8F5E-90B9740A5261}" name="Forecasted" dataDxfId="502"/>
    <tableColumn id="7" xr3:uid="{40A9EF00-B137-4E0F-ADEF-E937B0B77681}" name="Delta Forecasted" dataDxfId="501" dataCellStyle="Comma">
      <calculatedColumnFormula>B5-F5</calculatedColumnFormula>
    </tableColumn>
    <tableColumn id="8" xr3:uid="{ECBECFDB-DF01-4624-B2BF-035498733ADD}" name="% Forecasted" dataDxfId="500" dataCellStyle="Percent">
      <calculatedColumnFormula>IFERROR(G5/F5, 0)</calculatedColumnFormula>
    </tableColumn>
    <tableColumn id="9" xr3:uid="{1B5191CE-08B7-4E69-A9EB-34D3320C1AB7}" name="Notes" dataDxfId="499" dataCellStyle="Percent"/>
    <tableColumn id="10" xr3:uid="{19AD049E-995D-4F01-BF1B-263DD154D55B}" name="Service Request" dataDxfId="498" dataCellStyle="Percent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06DFC81-3734-49F5-B118-53486C91E159}" name="Data181941334434547" displayName="Data181941334434547" ref="A4:J16" totalsRowShown="0" headerRowDxfId="495" dataDxfId="494" headerRowBorderDxfId="492" tableBorderDxfId="493" dataCellStyle="Percent">
  <autoFilter ref="A4:J16" xr:uid="{59A959C2-52B2-422A-A87A-BC08BBF40681}"/>
  <tableColumns count="10">
    <tableColumn id="1" xr3:uid="{16190254-4A7B-46CF-97EE-D2A540B65C52}" name="Month" dataDxfId="491"/>
    <tableColumn id="2" xr3:uid="{ECEF0F06-037D-43EB-B7CA-4234B8A7830C}" name="Actual" dataDxfId="490"/>
    <tableColumn id="3" xr3:uid="{195A67C7-C45A-42A8-822C-C0FCAB7606C8}" name="Expected" dataDxfId="489"/>
    <tableColumn id="4" xr3:uid="{A48174A3-FC2A-4BED-80F0-7A325361E7F3}" name="Delta Expected" dataDxfId="488">
      <calculatedColumnFormula>B5-C5</calculatedColumnFormula>
    </tableColumn>
    <tableColumn id="5" xr3:uid="{4882665B-56E6-4C4A-A3E0-50710C13DF56}" name="% Expected" dataDxfId="487" dataCellStyle="Percent">
      <calculatedColumnFormula>IFERROR(D5/C5, 0)</calculatedColumnFormula>
    </tableColumn>
    <tableColumn id="6" xr3:uid="{F8A94686-DBD7-4B4D-8EF8-EBBAF0AD4EE9}" name="Forecasted" dataDxfId="486"/>
    <tableColumn id="7" xr3:uid="{35EDCCE9-590F-4F58-8EC4-A7714AB7494D}" name="Delta Forecasted" dataDxfId="485" dataCellStyle="Comma">
      <calculatedColumnFormula>B5-F5</calculatedColumnFormula>
    </tableColumn>
    <tableColumn id="8" xr3:uid="{B0209CDE-B403-4A5A-B3A0-DA58E1C0E23C}" name="% Forecasted" dataDxfId="484" dataCellStyle="Percent">
      <calculatedColumnFormula>IFERROR(G5/F5, 0)</calculatedColumnFormula>
    </tableColumn>
    <tableColumn id="9" xr3:uid="{FF11675A-4AD3-46C7-B56C-CF31B8FC7979}" name="Notes" dataDxfId="483" dataCellStyle="Percent"/>
    <tableColumn id="10" xr3:uid="{23626631-71A3-4B0E-9E79-E3F902EA2D7A}" name="Service Request" dataDxfId="482" dataCellStyle="Percent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E9C30AB-D773-4A91-87B6-073F39E59D96}" name="Data18194133443454763" displayName="Data18194133443454763" ref="A4:J16" totalsRowShown="0" headerRowDxfId="479" dataDxfId="478" headerRowBorderDxfId="476" tableBorderDxfId="477" dataCellStyle="Percent">
  <autoFilter ref="A4:J16" xr:uid="{59A959C2-52B2-422A-A87A-BC08BBF40681}"/>
  <tableColumns count="10">
    <tableColumn id="1" xr3:uid="{695E80B4-B1DD-4DF8-AD17-42C879D7A9ED}" name="Month" dataDxfId="475"/>
    <tableColumn id="2" xr3:uid="{A11956C7-6A07-4FF4-A5D7-70A6B0DF913A}" name="Actual" dataDxfId="474"/>
    <tableColumn id="3" xr3:uid="{2CACEDCB-15BF-4AEB-81FB-20362FE43388}" name="Expected" dataDxfId="473"/>
    <tableColumn id="4" xr3:uid="{0478DC53-0DE7-4130-8516-51D39CADA04A}" name="Delta Expected" dataDxfId="472">
      <calculatedColumnFormula>B5-C5</calculatedColumnFormula>
    </tableColumn>
    <tableColumn id="5" xr3:uid="{D66FA80C-FFE4-4D71-8F12-6F907D7D6832}" name="% Expected" dataDxfId="471" dataCellStyle="Percent">
      <calculatedColumnFormula>IFERROR(D5/C5, 0)</calculatedColumnFormula>
    </tableColumn>
    <tableColumn id="6" xr3:uid="{36625542-6B09-4FAF-A130-3D65C0AFBE91}" name="Forecasted" dataDxfId="470"/>
    <tableColumn id="7" xr3:uid="{A1309D2C-C459-4690-9402-7D6E2D2BC131}" name="Delta Forecasted" dataDxfId="469" dataCellStyle="Comma">
      <calculatedColumnFormula>B5-F5</calculatedColumnFormula>
    </tableColumn>
    <tableColumn id="8" xr3:uid="{793464C2-4DB0-4589-91F9-ADB7DDAE0F6E}" name="% Forecasted" dataDxfId="468" dataCellStyle="Percent">
      <calculatedColumnFormula>IFERROR(G5/F5, 0)</calculatedColumnFormula>
    </tableColumn>
    <tableColumn id="9" xr3:uid="{F5D6C39F-3235-4FA0-98B1-56C3AA818BE5}" name="Notes" dataDxfId="467" dataCellStyle="Percent"/>
    <tableColumn id="10" xr3:uid="{C42AFA96-F1B6-4472-A122-043CCD8E406E}" name="Service Request" dataDxfId="466" dataCellStyle="Percent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5C46F0E6-049D-47AE-8ADD-2933A10F2C53}" name="Data18194133443454763103" displayName="Data18194133443454763103" ref="A4:J16" totalsRowShown="0" headerRowDxfId="463" dataDxfId="462" headerRowBorderDxfId="460" tableBorderDxfId="461" dataCellStyle="Percent">
  <autoFilter ref="A4:J16" xr:uid="{59A959C2-52B2-422A-A87A-BC08BBF40681}"/>
  <tableColumns count="10">
    <tableColumn id="1" xr3:uid="{4E304723-A617-4056-9CF0-958CBEC11568}" name="Month" dataDxfId="459"/>
    <tableColumn id="2" xr3:uid="{0CE0FEEE-40A0-453E-A2C5-29F685D2749F}" name="Actual" dataDxfId="458"/>
    <tableColumn id="3" xr3:uid="{C089A64F-CE21-456C-88B5-D09A6B0D0612}" name="Expected" dataDxfId="457"/>
    <tableColumn id="4" xr3:uid="{9751E9F0-C095-47A9-8687-B6AAE3D4C3A5}" name="Delta Expected" dataDxfId="456">
      <calculatedColumnFormula>B5-C5</calculatedColumnFormula>
    </tableColumn>
    <tableColumn id="5" xr3:uid="{A9CDFA56-3B34-4752-8221-F9D624259B17}" name="% Expected" dataDxfId="455" dataCellStyle="Percent">
      <calculatedColumnFormula>IFERROR(D5/C5, 0)</calculatedColumnFormula>
    </tableColumn>
    <tableColumn id="6" xr3:uid="{4E2581D5-960B-438A-BA74-B46C7A60F77F}" name="Forecasted" dataDxfId="454"/>
    <tableColumn id="7" xr3:uid="{47350E79-312B-4BCE-86C0-08F15B94156E}" name="Delta Forecasted" dataDxfId="453" dataCellStyle="Comma">
      <calculatedColumnFormula>B5-F5</calculatedColumnFormula>
    </tableColumn>
    <tableColumn id="8" xr3:uid="{8935294D-9F0B-4F6D-AB3B-DC35FD2A2CC3}" name="% Forecasted" dataDxfId="452" dataCellStyle="Percent">
      <calculatedColumnFormula>IFERROR(G5/F5, 0)</calculatedColumnFormula>
    </tableColumn>
    <tableColumn id="9" xr3:uid="{9D0D24E5-B9B7-4E43-BB16-62A5940CE6B6}" name="Notes" dataDxfId="451" dataCellStyle="Percent"/>
    <tableColumn id="10" xr3:uid="{68D1FA90-D697-43B8-83E0-794D9BE217B5}" name="Service Request" dataDxfId="450" dataCellStyle="Percent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BA2DE52B-CB55-4B3A-832D-521E559B04FC}" name="Data18194133443454763103134" displayName="Data18194133443454763103134" ref="A4:J16" totalsRowShown="0" headerRowDxfId="447" dataDxfId="446" headerRowBorderDxfId="444" tableBorderDxfId="445" dataCellStyle="Percent">
  <autoFilter ref="A4:J16" xr:uid="{BA2DE52B-CB55-4B3A-832D-521E559B04FC}"/>
  <tableColumns count="10">
    <tableColumn id="1" xr3:uid="{F8635E3A-758D-47DD-8F50-E6935F895F3F}" name="Month" dataDxfId="443"/>
    <tableColumn id="2" xr3:uid="{7EF06B76-B5DB-45E0-8A9C-B2DAD3ABC540}" name="Actual" dataDxfId="442"/>
    <tableColumn id="3" xr3:uid="{37EC9832-CE64-4714-B927-63464E9908A2}" name="Expected" dataDxfId="441"/>
    <tableColumn id="4" xr3:uid="{0A528E43-B3DB-41BC-8586-4A1AFA7C36F1}" name="Delta Expected" dataDxfId="440">
      <calculatedColumnFormula>B5-C5</calculatedColumnFormula>
    </tableColumn>
    <tableColumn id="5" xr3:uid="{F96D77A1-385D-4D73-BAC7-54C12C6111FC}" name="% Expected" dataDxfId="439" dataCellStyle="Percent">
      <calculatedColumnFormula>IFERROR(D5/C5, 0)</calculatedColumnFormula>
    </tableColumn>
    <tableColumn id="6" xr3:uid="{F0F71E10-7664-453B-8F6A-7ED2484ED0D9}" name="Forecasted" dataDxfId="438"/>
    <tableColumn id="7" xr3:uid="{BBC8467A-68FA-4A91-A30F-751739648047}" name="Delta Forecasted" dataDxfId="437" dataCellStyle="Comma">
      <calculatedColumnFormula>B5-F5</calculatedColumnFormula>
    </tableColumn>
    <tableColumn id="8" xr3:uid="{35532B25-2680-4E89-8993-0CEDF9D16957}" name="% Forecasted" dataDxfId="436" dataCellStyle="Percent">
      <calculatedColumnFormula>IFERROR(G5/F5, 0)</calculatedColumnFormula>
    </tableColumn>
    <tableColumn id="9" xr3:uid="{42640C00-DB26-4E3C-A1D1-24C4C9DA5961}" name="Notes" dataDxfId="435" dataCellStyle="Percent"/>
    <tableColumn id="10" xr3:uid="{45E8A512-2ADD-4C62-90DE-09A474351D4E}" name="Service Request" dataDxfId="434" dataCellStyle="Percent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50D3AAAB-F253-4766-91EE-3157C53B768C}" name="Data18194133443454763103134135" displayName="Data18194133443454763103134135" ref="A4:J16" totalsRowShown="0" headerRowDxfId="431" dataDxfId="430" headerRowBorderDxfId="428" tableBorderDxfId="429" dataCellStyle="Percent">
  <autoFilter ref="A4:J16" xr:uid="{50D3AAAB-F253-4766-91EE-3157C53B768C}"/>
  <tableColumns count="10">
    <tableColumn id="1" xr3:uid="{ACF68EDA-B2D3-45F6-96FA-21F743C1FBE1}" name="Month" dataDxfId="427"/>
    <tableColumn id="2" xr3:uid="{6653D883-343C-4944-A061-0F0E7601DF0C}" name="Actual" dataDxfId="426"/>
    <tableColumn id="3" xr3:uid="{484194E1-0A16-4E91-A2EC-62E3C7C2294A}" name="Expected" dataDxfId="425"/>
    <tableColumn id="4" xr3:uid="{84A3ADD8-A4B5-43C2-88FC-10585AEB078D}" name="Delta Expected" dataDxfId="424">
      <calculatedColumnFormula>B5-C5</calculatedColumnFormula>
    </tableColumn>
    <tableColumn id="5" xr3:uid="{2A10699A-58A6-4AF4-82F6-C967304DEF99}" name="% Expected" dataDxfId="423" dataCellStyle="Percent">
      <calculatedColumnFormula>IFERROR(D5/C5, 0)</calculatedColumnFormula>
    </tableColumn>
    <tableColumn id="6" xr3:uid="{6282F686-2B44-4491-8639-9F22A179CBC9}" name="Forecasted" dataDxfId="422"/>
    <tableColumn id="7" xr3:uid="{42625989-736D-4B0A-B0E3-2A95019F616A}" name="Delta Forecasted" dataDxfId="421" dataCellStyle="Comma">
      <calculatedColumnFormula>B5-F5</calculatedColumnFormula>
    </tableColumn>
    <tableColumn id="8" xr3:uid="{FDE0699B-4239-4CBB-889E-76091A024820}" name="% Forecasted" dataDxfId="420" dataCellStyle="Percent">
      <calculatedColumnFormula>IFERROR(G5/F5, 0)</calculatedColumnFormula>
    </tableColumn>
    <tableColumn id="9" xr3:uid="{778DA50D-5955-47D7-9946-8AFBE0575541}" name="Notes" dataDxfId="419" dataCellStyle="Percent"/>
    <tableColumn id="10" xr3:uid="{86699E0A-D994-4044-BEB6-861C7483B192}" name="Service Request" dataDxfId="418" dataCellStyle="Percent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591EB2CE-1204-4018-8CD1-8E6BF98C511F}" name="Data18194133443454763103134136" displayName="Data18194133443454763103134136" ref="A4:J16" totalsRowShown="0" headerRowDxfId="415" dataDxfId="414" headerRowBorderDxfId="412" tableBorderDxfId="413" dataCellStyle="Percent">
  <autoFilter ref="A4:J16" xr:uid="{591EB2CE-1204-4018-8CD1-8E6BF98C511F}"/>
  <tableColumns count="10">
    <tableColumn id="1" xr3:uid="{A6743312-1DE6-446D-A23F-18AECD65275E}" name="Month" dataDxfId="411"/>
    <tableColumn id="2" xr3:uid="{3AA84287-CDA0-48CF-85A9-B3A0FCB49219}" name="Actual" dataDxfId="410"/>
    <tableColumn id="3" xr3:uid="{96FEE62A-208E-4AED-8412-637E78F42B06}" name="Expected" dataDxfId="409"/>
    <tableColumn id="4" xr3:uid="{2EE06270-5FCC-46C7-9953-64BA0EFF9387}" name="Delta Expected" dataDxfId="408">
      <calculatedColumnFormula>B5-C5</calculatedColumnFormula>
    </tableColumn>
    <tableColumn id="5" xr3:uid="{C22DF6DC-63E2-4841-83A7-3EDA7A343827}" name="% Expected" dataDxfId="407" dataCellStyle="Percent">
      <calculatedColumnFormula>IFERROR(D5/C5, 0)</calculatedColumnFormula>
    </tableColumn>
    <tableColumn id="6" xr3:uid="{94DD9E01-57DB-4345-A253-BBDA47BF5F32}" name="Forecasted" dataDxfId="406"/>
    <tableColumn id="7" xr3:uid="{5A95E1B3-00E3-4110-B8F0-28D2A0781F6A}" name="Delta Forecasted" dataDxfId="405" dataCellStyle="Comma">
      <calculatedColumnFormula>B5-F5</calculatedColumnFormula>
    </tableColumn>
    <tableColumn id="8" xr3:uid="{17243612-2D34-4DD3-9ED1-09533A6672C3}" name="% Forecasted" dataDxfId="404" dataCellStyle="Percent">
      <calculatedColumnFormula>IFERROR(G5/F5, 0)</calculatedColumnFormula>
    </tableColumn>
    <tableColumn id="9" xr3:uid="{91B7BC4C-4AC3-438D-AD87-C5C026EC64E9}" name="Notes" dataDxfId="403" dataCellStyle="Percent"/>
    <tableColumn id="10" xr3:uid="{F7327C6A-8645-468B-A117-77776DE8C7AB}" name="Service Request" dataDxfId="402" dataCellStyle="Percent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EA802E20-286B-4342-9E3A-AFD679B6E700}" name="Data18194133443454763103104114115116117" displayName="Data18194133443454763103104114115116117" ref="A4:J16" totalsRowShown="0" headerRowDxfId="399" dataDxfId="398" headerRowBorderDxfId="396" tableBorderDxfId="397" dataCellStyle="Percent">
  <autoFilter ref="A4:J16" xr:uid="{59A959C2-52B2-422A-A87A-BC08BBF40681}"/>
  <tableColumns count="10">
    <tableColumn id="1" xr3:uid="{DBE9E0D0-F21A-421F-880A-E7076D311646}" name="Month" dataDxfId="395"/>
    <tableColumn id="2" xr3:uid="{8ADCE8E4-57D7-462D-9A46-63A4E8B23923}" name="Actual" dataDxfId="394"/>
    <tableColumn id="3" xr3:uid="{3E1491CF-8770-41E9-A6E6-B680EEDE10C9}" name="Expected" dataDxfId="393"/>
    <tableColumn id="4" xr3:uid="{5A9224D6-41E5-4546-AF28-5122A74182D6}" name="Delta Expected" dataDxfId="392">
      <calculatedColumnFormula>B5-C5</calculatedColumnFormula>
    </tableColumn>
    <tableColumn id="5" xr3:uid="{8ED97686-BB27-48F7-AEF3-F87A9283D61B}" name="% Expected" dataDxfId="391" dataCellStyle="Percent">
      <calculatedColumnFormula>IFERROR(D5/C5, 0)</calculatedColumnFormula>
    </tableColumn>
    <tableColumn id="6" xr3:uid="{F122EA13-A655-4E8F-AA47-44DCB781B499}" name="Forecasted" dataDxfId="390"/>
    <tableColumn id="7" xr3:uid="{C7C16BA5-C83A-4A01-A81A-BA0B817230DA}" name="Delta Forecasted" dataDxfId="389" dataCellStyle="Comma">
      <calculatedColumnFormula>B5-F5</calculatedColumnFormula>
    </tableColumn>
    <tableColumn id="8" xr3:uid="{CFC7D298-CF73-468E-9032-464626387940}" name="% Forecasted" dataDxfId="388" dataCellStyle="Percent">
      <calculatedColumnFormula>IFERROR(G5/F5, 0)</calculatedColumnFormula>
    </tableColumn>
    <tableColumn id="9" xr3:uid="{968E2189-C59D-4520-8CD9-630DA3DBB561}" name="Notes" dataDxfId="387" dataCellStyle="Percent"/>
    <tableColumn id="10" xr3:uid="{C211D158-A4CC-4CC0-9421-5DBB39E1785F}" name="Service Request" dataDxfId="386" dataCellStyle="Percent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10957BA0-6E06-40A5-A160-22BF92F56FDC}" name="Data18194133443454763103104" displayName="Data18194133443454763103104" ref="A4:J16" totalsRowShown="0" headerRowDxfId="383" dataDxfId="382" headerRowBorderDxfId="380" tableBorderDxfId="381" dataCellStyle="Percent">
  <autoFilter ref="A4:J16" xr:uid="{59A959C2-52B2-422A-A87A-BC08BBF40681}"/>
  <tableColumns count="10">
    <tableColumn id="1" xr3:uid="{C696D26C-D01F-4D3E-A5BF-8DABAAFD73BB}" name="Month" dataDxfId="379"/>
    <tableColumn id="2" xr3:uid="{6EC1CFBC-B607-476E-B704-BF4ADC1F2542}" name="Actual" dataDxfId="378"/>
    <tableColumn id="3" xr3:uid="{5D33345B-2B2D-4098-8D64-17CF0CB7A028}" name="Expected" dataDxfId="377"/>
    <tableColumn id="4" xr3:uid="{6294B9ED-4D60-45CD-BC2B-95A8F057DE05}" name="Delta Expected" dataDxfId="376">
      <calculatedColumnFormula>B5-C5</calculatedColumnFormula>
    </tableColumn>
    <tableColumn id="5" xr3:uid="{3E8E5482-8E7F-49CB-8E01-A92D33400DA3}" name="% Expected" dataDxfId="375" dataCellStyle="Percent">
      <calculatedColumnFormula>IFERROR(D5/C5, 0)</calculatedColumnFormula>
    </tableColumn>
    <tableColumn id="6" xr3:uid="{ABE6C09E-B5AA-4F35-B90F-5A810687ECBC}" name="Forecasted" dataDxfId="374"/>
    <tableColumn id="7" xr3:uid="{F8EFF2E6-9F5B-4DAC-A435-51B9F9FAF50A}" name="Delta Forecasted" dataDxfId="373" dataCellStyle="Comma">
      <calculatedColumnFormula>B5-F5</calculatedColumnFormula>
    </tableColumn>
    <tableColumn id="8" xr3:uid="{E9615E27-C97A-41B1-947E-6D6ECAAE93D2}" name="% Forecasted" dataDxfId="372" dataCellStyle="Percent">
      <calculatedColumnFormula>IFERROR(G5/F5, 0)</calculatedColumnFormula>
    </tableColumn>
    <tableColumn id="9" xr3:uid="{8A55910A-ECF0-4EA2-87F9-BE21237307AC}" name="Notes" dataDxfId="371" dataCellStyle="Percent"/>
    <tableColumn id="10" xr3:uid="{8B4C96A0-0031-4D68-A6B6-F468D13DBF5C}" name="Service Request" dataDxfId="370" dataCellStyle="Percent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8C66B587-C585-4693-96C4-BC1F29F62CFE}" name="Data18194133443454763103104105" displayName="Data18194133443454763103104105" ref="A4:J16" totalsRowShown="0" headerRowDxfId="367" dataDxfId="366" headerRowBorderDxfId="364" tableBorderDxfId="365" dataCellStyle="Percent">
  <autoFilter ref="A4:J16" xr:uid="{59A959C2-52B2-422A-A87A-BC08BBF40681}"/>
  <tableColumns count="10">
    <tableColumn id="1" xr3:uid="{82E0ACD4-3536-49EE-A11E-48A93823602B}" name="Month" dataDxfId="363"/>
    <tableColumn id="2" xr3:uid="{BC5D22E4-A58F-4CE1-8935-8CC763065A2E}" name="Actual" dataDxfId="362"/>
    <tableColumn id="3" xr3:uid="{F00A7FA0-53CB-4BF0-9E77-20BB6509F519}" name="Expected" dataDxfId="361"/>
    <tableColumn id="4" xr3:uid="{F4EE815E-C950-446A-97C0-7E9E09F4B960}" name="Delta Expected" dataDxfId="360">
      <calculatedColumnFormula>B5-C5</calculatedColumnFormula>
    </tableColumn>
    <tableColumn id="5" xr3:uid="{E967401D-0EF6-4D51-A86E-8F99189EB1A0}" name="% Expected" dataDxfId="359" dataCellStyle="Percent">
      <calculatedColumnFormula>IFERROR(D5/C5, 0)</calculatedColumnFormula>
    </tableColumn>
    <tableColumn id="6" xr3:uid="{A546AE27-25C7-4B4E-8F52-9E52188B1847}" name="Forecasted" dataDxfId="358"/>
    <tableColumn id="7" xr3:uid="{037BA2F1-A82E-46CB-93B0-5E5AAC2B0780}" name="Delta Forecasted" dataDxfId="357" dataCellStyle="Comma">
      <calculatedColumnFormula>B5-F5</calculatedColumnFormula>
    </tableColumn>
    <tableColumn id="8" xr3:uid="{B9FC1C4B-2075-42F2-A120-D3F27A31662D}" name="% Forecasted" dataDxfId="356" dataCellStyle="Percent">
      <calculatedColumnFormula>IFERROR(G5/F5, 0)</calculatedColumnFormula>
    </tableColumn>
    <tableColumn id="9" xr3:uid="{707D18B3-2798-4D91-A8F5-2F534F120D5F}" name="Notes" dataDxfId="355" dataCellStyle="Percent"/>
    <tableColumn id="10" xr3:uid="{8F3E003F-8C38-4ABA-ACA0-1CA6A9D3D3FA}" name="Service Request" dataDxfId="354" dataCellStyle="Percent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5A41FA00-B8AC-40E4-86D2-3FDBDF59D545}" name="Data18194133443454763103104106" displayName="Data18194133443454763103104106" ref="A4:J16" totalsRowShown="0" headerRowDxfId="351" dataDxfId="350" headerRowBorderDxfId="348" tableBorderDxfId="349" dataCellStyle="Percent">
  <autoFilter ref="A4:J16" xr:uid="{59A959C2-52B2-422A-A87A-BC08BBF40681}"/>
  <tableColumns count="10">
    <tableColumn id="1" xr3:uid="{F028E712-88E3-4ED3-BB36-AEC4C0A8D1DD}" name="Month" dataDxfId="347"/>
    <tableColumn id="2" xr3:uid="{8C865F87-CBE2-43D9-ADD1-EA735203783E}" name="Actual" dataDxfId="346"/>
    <tableColumn id="3" xr3:uid="{11D8F33A-9A83-48AC-99AE-01FBDF446D75}" name="Expected" dataDxfId="345"/>
    <tableColumn id="4" xr3:uid="{1D3EEC54-61B5-4A07-BEF7-CBBD5051C8E2}" name="Delta Expected" dataDxfId="344">
      <calculatedColumnFormula>B5-C5</calculatedColumnFormula>
    </tableColumn>
    <tableColumn id="5" xr3:uid="{B4B0716E-3C82-48BF-AFA1-2983D773F35D}" name="% Expected" dataDxfId="343" dataCellStyle="Percent">
      <calculatedColumnFormula>IFERROR(D5/C5, 0)</calculatedColumnFormula>
    </tableColumn>
    <tableColumn id="6" xr3:uid="{3995AE79-D6A2-449D-8BCF-F4BCF9766578}" name="Forecasted" dataDxfId="342"/>
    <tableColumn id="7" xr3:uid="{5EB501E1-CF9D-4404-A098-790844A996CE}" name="Delta Forecasted" dataDxfId="341" dataCellStyle="Comma">
      <calculatedColumnFormula>B5-F5</calculatedColumnFormula>
    </tableColumn>
    <tableColumn id="8" xr3:uid="{82AC794A-63EE-4148-BD76-871253E7BF3A}" name="% Forecasted" dataDxfId="340" dataCellStyle="Percent">
      <calculatedColumnFormula>IFERROR(G5/F5, 0)</calculatedColumnFormula>
    </tableColumn>
    <tableColumn id="9" xr3:uid="{614BE029-DE2D-4F6D-8A76-356279D0EEB2}" name="Notes" dataDxfId="339" dataCellStyle="Percent"/>
    <tableColumn id="10" xr3:uid="{381672EB-58CE-46FD-BD97-6D4F051CF554}" name="Service Request" dataDxfId="338" dataCellStyle="Percent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119DFA90-4C2A-4BCC-91FD-36A1CDD25547}" name="Data18194133443454763103104107" displayName="Data18194133443454763103104107" ref="A4:J16" totalsRowShown="0" headerRowDxfId="335" dataDxfId="334" headerRowBorderDxfId="332" tableBorderDxfId="333" dataCellStyle="Percent">
  <autoFilter ref="A4:J16" xr:uid="{59A959C2-52B2-422A-A87A-BC08BBF40681}"/>
  <tableColumns count="10">
    <tableColumn id="1" xr3:uid="{AD5A67B0-1C57-459B-AD04-A19E0F7A2021}" name="Month" dataDxfId="331"/>
    <tableColumn id="2" xr3:uid="{F08AAB6E-9F72-465A-9777-4535A6260032}" name="Actual" dataDxfId="330"/>
    <tableColumn id="3" xr3:uid="{62A11D48-E66C-441E-8674-25E291A8035C}" name="Expected" dataDxfId="329"/>
    <tableColumn id="4" xr3:uid="{CD3CFC13-78CF-4C54-95A1-0557EE035075}" name="Delta Expected" dataDxfId="328">
      <calculatedColumnFormula>B5-C5</calculatedColumnFormula>
    </tableColumn>
    <tableColumn id="5" xr3:uid="{3313E9F4-4387-4335-AD78-D6947A500F0D}" name="% Expected" dataDxfId="327" dataCellStyle="Percent">
      <calculatedColumnFormula>IFERROR(D5/C5, 0)</calculatedColumnFormula>
    </tableColumn>
    <tableColumn id="6" xr3:uid="{62D993A4-F4BA-4649-AE92-9AFC8BC88FDB}" name="Forecasted" dataDxfId="326"/>
    <tableColumn id="7" xr3:uid="{391BFFBC-B9DF-4281-B35E-B64D71B82840}" name="Delta Forecasted" dataDxfId="325" dataCellStyle="Comma">
      <calculatedColumnFormula>B5-F5</calculatedColumnFormula>
    </tableColumn>
    <tableColumn id="8" xr3:uid="{018C5DEF-B96A-492E-9253-D2446401F37C}" name="% Forecasted" dataDxfId="324" dataCellStyle="Percent">
      <calculatedColumnFormula>IFERROR(G5/F5, 0)</calculatedColumnFormula>
    </tableColumn>
    <tableColumn id="9" xr3:uid="{6933F8CA-C467-4DA6-A0D3-8F0B0BAA39EF}" name="Notes" dataDxfId="323" dataCellStyle="Percent"/>
    <tableColumn id="10" xr3:uid="{2201817E-3C54-4603-9AEC-21C5CE0400A7}" name="Service Request" dataDxfId="322" dataCellStyle="Percent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54E77204-69DE-4B49-B388-56905F87F317}" name="Data18194133443454763103104108" displayName="Data18194133443454763103104108" ref="A4:J16" totalsRowShown="0" headerRowDxfId="317" dataDxfId="316" headerRowBorderDxfId="314" tableBorderDxfId="315" dataCellStyle="Percent">
  <autoFilter ref="A4:J16" xr:uid="{59A959C2-52B2-422A-A87A-BC08BBF40681}"/>
  <tableColumns count="10">
    <tableColumn id="1" xr3:uid="{1C7FCD7C-EFE0-47B5-8EFA-32AE389FD6CA}" name="Month" dataDxfId="313"/>
    <tableColumn id="2" xr3:uid="{C3113B46-E8F1-4859-AA22-463110CC2E48}" name="Actual" dataDxfId="312"/>
    <tableColumn id="3" xr3:uid="{FEAF78C7-31CD-4550-82F8-2F2B9979AE9E}" name="Expected" dataDxfId="311"/>
    <tableColumn id="4" xr3:uid="{783A8821-AD2F-4619-84B7-16683C68FD1E}" name="Delta Expected" dataDxfId="310">
      <calculatedColumnFormula>B5-C5</calculatedColumnFormula>
    </tableColumn>
    <tableColumn id="5" xr3:uid="{63AE5927-C0B8-48AC-953A-91A48F64DB19}" name="% Expected" dataDxfId="309" dataCellStyle="Percent">
      <calculatedColumnFormula>IFERROR(D5/C5, 0)</calculatedColumnFormula>
    </tableColumn>
    <tableColumn id="6" xr3:uid="{6D5CF36A-6A88-4B0D-9B3E-6CFB85D1E64E}" name="Forecasted" dataDxfId="308"/>
    <tableColumn id="7" xr3:uid="{718527CA-7C62-49FF-A437-A10746172A0D}" name="Delta Forecasted" dataDxfId="307" dataCellStyle="Comma">
      <calculatedColumnFormula>B5-F5</calculatedColumnFormula>
    </tableColumn>
    <tableColumn id="8" xr3:uid="{099B4F5E-3360-43F3-8156-818B1DCA62AB}" name="% Forecasted" dataDxfId="306" dataCellStyle="Percent">
      <calculatedColumnFormula>IFERROR(G5/F5, 0)</calculatedColumnFormula>
    </tableColumn>
    <tableColumn id="9" xr3:uid="{160B710B-8931-407E-89FE-D5E3B8C13047}" name="Notes" dataDxfId="305" dataCellStyle="Percent"/>
    <tableColumn id="10" xr3:uid="{93AA1A4D-7B98-40EC-B88F-9B7996492EDC}" name="Service Request" dataDxfId="304" dataCellStyle="Percent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7FE815C1-2F93-491D-8C7F-F21646B56D34}" name="Data18194133443454763103104109" displayName="Data18194133443454763103104109" ref="A4:J16" totalsRowShown="0" headerRowDxfId="301" dataDxfId="300" headerRowBorderDxfId="298" tableBorderDxfId="299" dataCellStyle="Percent">
  <autoFilter ref="A4:J16" xr:uid="{59A959C2-52B2-422A-A87A-BC08BBF40681}"/>
  <tableColumns count="10">
    <tableColumn id="1" xr3:uid="{43178F7D-9CF4-4C30-8786-B233FC555643}" name="Month" dataDxfId="297"/>
    <tableColumn id="2" xr3:uid="{EEFB3981-7AEF-475B-AFD7-A43ABC862B2F}" name="Actual" dataDxfId="296"/>
    <tableColumn id="3" xr3:uid="{AE1A18E2-3807-481F-9EAB-A85D82B38C7A}" name="Expected" dataDxfId="295"/>
    <tableColumn id="4" xr3:uid="{9AB2DFB6-D451-4A35-A0FA-24C014A2062B}" name="Delta Expected" dataDxfId="294">
      <calculatedColumnFormula>B5-C5</calculatedColumnFormula>
    </tableColumn>
    <tableColumn id="5" xr3:uid="{1AE09850-00E3-4EE7-9DEA-97DE627BCF99}" name="% Expected" dataDxfId="293" dataCellStyle="Percent">
      <calculatedColumnFormula>IFERROR(D5/C5, 0)</calculatedColumnFormula>
    </tableColumn>
    <tableColumn id="6" xr3:uid="{AC2083DC-DDE2-46FC-B56A-DB0B824CBCB1}" name="Forecasted" dataDxfId="292"/>
    <tableColumn id="7" xr3:uid="{F0B84B82-3D18-41F2-BF80-0E6481CE01F6}" name="Delta Forecasted" dataDxfId="291" dataCellStyle="Comma">
      <calculatedColumnFormula>B5-F5</calculatedColumnFormula>
    </tableColumn>
    <tableColumn id="8" xr3:uid="{8A98FF9C-7A56-4844-9760-0F5C4C5FE1BA}" name="% Forecasted" dataDxfId="290" dataCellStyle="Percent">
      <calculatedColumnFormula>IFERROR(G5/F5, 0)</calculatedColumnFormula>
    </tableColumn>
    <tableColumn id="9" xr3:uid="{A2115B71-71C1-441D-AA12-11110ACECA41}" name="Notes" dataDxfId="289" dataCellStyle="Percent"/>
    <tableColumn id="10" xr3:uid="{A6B5001A-C62A-46F2-9A47-C9EC1C28494B}" name="Service Request" dataDxfId="288" dataCellStyle="Percent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D511144-2C75-4750-BE7F-AF4C50DF4BE7}" name="Data18194133443454763103104110" displayName="Data18194133443454763103104110" ref="A4:J16" totalsRowShown="0" headerRowDxfId="285" dataDxfId="284" headerRowBorderDxfId="282" tableBorderDxfId="283" dataCellStyle="Percent">
  <autoFilter ref="A4:J16" xr:uid="{59A959C2-52B2-422A-A87A-BC08BBF40681}"/>
  <tableColumns count="10">
    <tableColumn id="1" xr3:uid="{9CABCF53-7B64-4B37-A1EF-DDE242D68559}" name="Month" dataDxfId="281"/>
    <tableColumn id="2" xr3:uid="{78778211-577C-42FE-85EE-5491A77310AC}" name="Actual" dataDxfId="280"/>
    <tableColumn id="3" xr3:uid="{CE1181B0-6BBC-417D-8891-B08295478443}" name="Expected" dataDxfId="279"/>
    <tableColumn id="4" xr3:uid="{D6917749-22FD-402F-9621-CC5456CFC1D1}" name="Delta Expected" dataDxfId="278">
      <calculatedColumnFormula>B5-C5</calculatedColumnFormula>
    </tableColumn>
    <tableColumn id="5" xr3:uid="{C17F7365-276A-429B-8FC8-5AFBB1793C72}" name="% Expected" dataDxfId="277" dataCellStyle="Percent">
      <calculatedColumnFormula>IFERROR(D5/C5, 0)</calculatedColumnFormula>
    </tableColumn>
    <tableColumn id="6" xr3:uid="{D09A8887-48C1-4638-A5CA-0CC56A68B0A2}" name="Forecasted" dataDxfId="276"/>
    <tableColumn id="7" xr3:uid="{43C12992-3371-4469-ACCB-4144FEEE4BD2}" name="Delta Forecasted" dataDxfId="275" dataCellStyle="Comma">
      <calculatedColumnFormula>B5-F5</calculatedColumnFormula>
    </tableColumn>
    <tableColumn id="8" xr3:uid="{3146DFAB-041E-47E5-8EAC-D5CF546315CE}" name="% Forecasted" dataDxfId="274" dataCellStyle="Percent">
      <calculatedColumnFormula>IFERROR(G5/F5, 0)</calculatedColumnFormula>
    </tableColumn>
    <tableColumn id="9" xr3:uid="{DA2B8970-33A6-42A5-97B4-6F04B448DDA9}" name="Notes" dataDxfId="273" dataCellStyle="Percent"/>
    <tableColumn id="10" xr3:uid="{860BAA62-D89E-48C3-84BE-54DE2E136EEA}" name="Service Request" dataDxfId="272" dataCellStyle="Percent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40B8FD79-B27C-405F-9B5B-C7FC9E0AA1A9}" name="Data18194133443454763103104111" displayName="Data18194133443454763103104111" ref="A4:J16" totalsRowShown="0" headerRowDxfId="269" dataDxfId="268" headerRowBorderDxfId="266" tableBorderDxfId="267" dataCellStyle="Percent">
  <autoFilter ref="A4:J16" xr:uid="{59A959C2-52B2-422A-A87A-BC08BBF40681}"/>
  <tableColumns count="10">
    <tableColumn id="1" xr3:uid="{7C093196-C09D-4E8C-8B3C-170D331DFF62}" name="Month" dataDxfId="265"/>
    <tableColumn id="2" xr3:uid="{5974AB70-D36F-4840-8380-F446C1C94D91}" name="Actual" dataDxfId="264"/>
    <tableColumn id="3" xr3:uid="{3D9BF2C9-8599-4F06-9A41-BE3685A23516}" name="Expected" dataDxfId="263"/>
    <tableColumn id="4" xr3:uid="{E667DFF6-D248-42EB-8C85-AD1BD9F9B952}" name="Delta Expected" dataDxfId="262">
      <calculatedColumnFormula>B5-C5</calculatedColumnFormula>
    </tableColumn>
    <tableColumn id="5" xr3:uid="{B544A956-5DE8-4CC6-A914-CBFCABA30D44}" name="% Expected" dataDxfId="261" dataCellStyle="Percent">
      <calculatedColumnFormula>IFERROR(D5/C5, 0)</calculatedColumnFormula>
    </tableColumn>
    <tableColumn id="6" xr3:uid="{A41FC359-DE54-4365-9924-6FA0EA98B46A}" name="Forecasted" dataDxfId="260"/>
    <tableColumn id="7" xr3:uid="{308A8296-4673-4850-85C7-C71EADA28655}" name="Delta Forecasted" dataDxfId="259" dataCellStyle="Comma">
      <calculatedColumnFormula>B5-F5</calculatedColumnFormula>
    </tableColumn>
    <tableColumn id="8" xr3:uid="{021D85D8-21EC-46C6-9600-78EFD994B727}" name="% Forecasted" dataDxfId="258" dataCellStyle="Percent">
      <calculatedColumnFormula>IFERROR(G5/F5, 0)</calculatedColumnFormula>
    </tableColumn>
    <tableColumn id="9" xr3:uid="{A08C4BAD-25A5-40F2-B57D-407A6A088736}" name="Notes" dataDxfId="257" dataCellStyle="Percent"/>
    <tableColumn id="10" xr3:uid="{1BFACE82-2C4B-4F5D-80C4-4EFEA633390E}" name="Service Request" dataDxfId="256" dataCellStyle="Percent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80AB3685-24EC-4948-886E-98A546857136}" name="Data18194133443454763103104112" displayName="Data18194133443454763103104112" ref="A4:J16" totalsRowShown="0" headerRowDxfId="253" dataDxfId="252" headerRowBorderDxfId="250" tableBorderDxfId="251" dataCellStyle="Percent">
  <autoFilter ref="A4:J16" xr:uid="{59A959C2-52B2-422A-A87A-BC08BBF40681}"/>
  <tableColumns count="10">
    <tableColumn id="1" xr3:uid="{58A95AAA-1DEB-42B9-B7BC-ED147281152C}" name="Month" dataDxfId="249"/>
    <tableColumn id="2" xr3:uid="{B6C7A345-AE6E-41C4-9CC4-F6A23EA39717}" name="Actual" dataDxfId="248"/>
    <tableColumn id="3" xr3:uid="{08622BAF-5B69-42F1-BD2B-A4D0BC3713E6}" name="Expected" dataDxfId="247"/>
    <tableColumn id="4" xr3:uid="{A1C69E77-5033-4325-89D3-E8D97573EAD7}" name="Delta Expected" dataDxfId="246">
      <calculatedColumnFormula>B5-C5</calculatedColumnFormula>
    </tableColumn>
    <tableColumn id="5" xr3:uid="{1E798306-7A35-457B-B352-6230004AA59C}" name="% Expected" dataDxfId="245" dataCellStyle="Percent">
      <calculatedColumnFormula>IFERROR(D5/C5, 0)</calculatedColumnFormula>
    </tableColumn>
    <tableColumn id="6" xr3:uid="{E6CAD940-FFD4-484B-B2D4-0D5784C1B5A5}" name="Forecasted" dataDxfId="244"/>
    <tableColumn id="7" xr3:uid="{B34E42DE-1F19-486F-BF4E-7FBC4FD1BD37}" name="Delta Forecasted" dataDxfId="243" dataCellStyle="Comma">
      <calculatedColumnFormula>B5-F5</calculatedColumnFormula>
    </tableColumn>
    <tableColumn id="8" xr3:uid="{E4E54F8F-0E60-4AC2-A5A3-C9A2A9499EFE}" name="% Forecasted" dataDxfId="242" dataCellStyle="Percent">
      <calculatedColumnFormula>IFERROR(G5/F5, 0)</calculatedColumnFormula>
    </tableColumn>
    <tableColumn id="9" xr3:uid="{F8C7F9CD-E3E3-499F-8243-DFC0B84965C8}" name="Notes" dataDxfId="241" dataCellStyle="Percent"/>
    <tableColumn id="10" xr3:uid="{F3D34DB6-37D9-450B-AE20-0E0287AC8983}" name="Service Request" dataDxfId="240" dataCellStyle="Percent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176CA0A6-EF5C-4E60-94EC-F022616FCEF2}" name="Data18194133443454763103104113" displayName="Data18194133443454763103104113" ref="A4:J16" totalsRowShown="0" headerRowDxfId="237" dataDxfId="236" headerRowBorderDxfId="234" tableBorderDxfId="235" dataCellStyle="Percent">
  <autoFilter ref="A4:J16" xr:uid="{59A959C2-52B2-422A-A87A-BC08BBF40681}"/>
  <tableColumns count="10">
    <tableColumn id="1" xr3:uid="{44C54FF2-901C-4FDB-8261-F9305793191A}" name="Month" dataDxfId="233"/>
    <tableColumn id="2" xr3:uid="{13FB0087-9E10-4C41-956D-DA9C7475D4C6}" name="Actual" dataDxfId="232"/>
    <tableColumn id="3" xr3:uid="{DD465DE1-E5FE-46EF-A6F3-2A2BC28C36DB}" name="Expected" dataDxfId="231"/>
    <tableColumn id="4" xr3:uid="{C4ADD4E7-0E01-4C57-B2A9-B601BE5CF7BA}" name="Delta Expected" dataDxfId="230">
      <calculatedColumnFormula>B5-C5</calculatedColumnFormula>
    </tableColumn>
    <tableColumn id="5" xr3:uid="{CECC75E6-6C1C-4A6F-AC5E-FAE536EC6409}" name="% Expected" dataDxfId="229" dataCellStyle="Percent">
      <calculatedColumnFormula>IFERROR(D5/C5, 0)</calculatedColumnFormula>
    </tableColumn>
    <tableColumn id="6" xr3:uid="{814FFDC6-7AE7-419C-9CDC-64DC8F124042}" name="Forecasted" dataDxfId="228"/>
    <tableColumn id="7" xr3:uid="{BCBC171A-AB28-4CD8-8F29-F47271E0E36E}" name="Delta Forecasted" dataDxfId="227" dataCellStyle="Comma">
      <calculatedColumnFormula>B5-F5</calculatedColumnFormula>
    </tableColumn>
    <tableColumn id="8" xr3:uid="{F64795EA-6D57-42A6-B89E-CA288AA17D17}" name="% Forecasted" dataDxfId="226" dataCellStyle="Percent">
      <calculatedColumnFormula>IFERROR(G5/F5, 0)</calculatedColumnFormula>
    </tableColumn>
    <tableColumn id="9" xr3:uid="{EF4B911F-7E2E-4571-8930-4D2AC9B0476D}" name="Notes" dataDxfId="225" dataCellStyle="Percent"/>
    <tableColumn id="10" xr3:uid="{3C8C9FCD-748E-4D05-8E4B-38E006F16FA6}" name="Service Request" dataDxfId="224" dataCellStyle="Percent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2D59DED1-4A48-4956-9AB1-C299A13D2C91}" name="Data18194133443454763103104114115116117118" displayName="Data18194133443454763103104114115116117118" ref="A4:J16" totalsRowShown="0" headerRowDxfId="221" dataDxfId="220" headerRowBorderDxfId="218" tableBorderDxfId="219" dataCellStyle="Percent">
  <autoFilter ref="A4:J16" xr:uid="{59A959C2-52B2-422A-A87A-BC08BBF40681}"/>
  <tableColumns count="10">
    <tableColumn id="1" xr3:uid="{33941221-B2F0-4963-8CF4-EAE91E478753}" name="Month" dataDxfId="217"/>
    <tableColumn id="2" xr3:uid="{44F268A5-3118-4631-92A5-2EC4E907233F}" name="Actual" dataDxfId="216"/>
    <tableColumn id="3" xr3:uid="{E41E09F3-D9E0-415D-A403-72D371C89B11}" name="Expected" dataDxfId="215"/>
    <tableColumn id="4" xr3:uid="{0A65B305-6847-4CB2-8351-AC536A27267B}" name="Delta Expected" dataDxfId="214">
      <calculatedColumnFormula>B5-C5</calculatedColumnFormula>
    </tableColumn>
    <tableColumn id="5" xr3:uid="{E00F159B-276E-445F-8219-C62C2ACB3F39}" name="% Expected" dataDxfId="213" dataCellStyle="Percent">
      <calculatedColumnFormula>IFERROR(D5/C5, 0)</calculatedColumnFormula>
    </tableColumn>
    <tableColumn id="6" xr3:uid="{8FD07729-2381-4FD1-859A-5EF7964A5CC0}" name="Forecasted" dataDxfId="212"/>
    <tableColumn id="7" xr3:uid="{BEB693DA-414A-4329-98BE-B19F15ACB034}" name="Delta Forecasted" dataDxfId="211" dataCellStyle="Comma">
      <calculatedColumnFormula>B5-F5</calculatedColumnFormula>
    </tableColumn>
    <tableColumn id="8" xr3:uid="{37A078FA-39E0-42DE-A06C-7CE25AAF6123}" name="% Forecasted" dataDxfId="210" dataCellStyle="Percent">
      <calculatedColumnFormula>IFERROR(G5/F5, 0)</calculatedColumnFormula>
    </tableColumn>
    <tableColumn id="9" xr3:uid="{3A59030C-138E-40EF-ACD0-66377BE45B29}" name="Notes" dataDxfId="209" dataCellStyle="Percent"/>
    <tableColumn id="10" xr3:uid="{5C1C5116-CA57-47FE-8438-198E56075A08}" name="Service Request" dataDxfId="208" dataCellStyle="Percent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825CCB0E-4B22-44AE-9D86-16F446B9C4F2}" name="Data1819413344345646566" displayName="Data1819413344345646566" ref="A4:J16" totalsRowShown="0" headerRowDxfId="205" dataDxfId="204" headerRowBorderDxfId="202" tableBorderDxfId="203" dataCellStyle="Percent">
  <autoFilter ref="A4:J16" xr:uid="{59A959C2-52B2-422A-A87A-BC08BBF40681}"/>
  <tableColumns count="10">
    <tableColumn id="1" xr3:uid="{A09D319C-D447-4BC6-929B-63C424CD30C6}" name="Month" dataDxfId="201"/>
    <tableColumn id="2" xr3:uid="{8CDC31C5-5ECA-43EE-AB71-C15280365C5E}" name="Actual" dataDxfId="200"/>
    <tableColumn id="3" xr3:uid="{3C932BD7-330E-4142-BD67-BBD5843E096F}" name="Expected" dataDxfId="199"/>
    <tableColumn id="4" xr3:uid="{A9503A25-AB34-451D-934D-0BFC920EDA0B}" name="Delta Expected" dataDxfId="198">
      <calculatedColumnFormula>B5-C5</calculatedColumnFormula>
    </tableColumn>
    <tableColumn id="5" xr3:uid="{3FC031CB-D0C9-4791-BAF9-C5BC83077E3F}" name="% Expected" dataDxfId="197" dataCellStyle="Percent">
      <calculatedColumnFormula>IFERROR(D5/C5, 0)</calculatedColumnFormula>
    </tableColumn>
    <tableColumn id="6" xr3:uid="{456B2024-6E2A-4C04-8CDD-3C0F4B9597DE}" name="Forecasted" dataDxfId="196"/>
    <tableColumn id="7" xr3:uid="{E1AB3721-1714-4A56-A8F6-BFDAD0FB3131}" name="Delta Forecasted" dataDxfId="195" dataCellStyle="Comma">
      <calculatedColumnFormula>B5-F5</calculatedColumnFormula>
    </tableColumn>
    <tableColumn id="8" xr3:uid="{D029B9E1-0A51-4692-B727-CF990FB40DFB}" name="% Forecasted" dataDxfId="194" dataCellStyle="Percent">
      <calculatedColumnFormula>IFERROR(G5/F5, 0)</calculatedColumnFormula>
    </tableColumn>
    <tableColumn id="9" xr3:uid="{9D695AC5-EDFD-449F-92A7-5692665F0BE8}" name="Notes" dataDxfId="193" dataCellStyle="Percent"/>
    <tableColumn id="10" xr3:uid="{17970D28-38A2-461B-8798-E570B0A8C17D}" name="Service Request" dataDxfId="192" dataCellStyle="Percent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93AA0FB4-B763-4F11-A53C-500DA395F233}" name="Data181941334434564656667" displayName="Data181941334434564656667" ref="A4:J16" totalsRowShown="0" headerRowDxfId="189" dataDxfId="188" headerRowBorderDxfId="186" tableBorderDxfId="187" dataCellStyle="Percent">
  <autoFilter ref="A4:J16" xr:uid="{59A959C2-52B2-422A-A87A-BC08BBF40681}"/>
  <tableColumns count="10">
    <tableColumn id="1" xr3:uid="{B3E347AA-D7B3-4BF6-8A7E-B28450F3CEE3}" name="Month" dataDxfId="185"/>
    <tableColumn id="2" xr3:uid="{56BA171C-BBFB-48F7-BEEA-335350B44395}" name="Actual" dataDxfId="184"/>
    <tableColumn id="3" xr3:uid="{71990295-C360-42E5-B5B3-8AA2062F6196}" name="Expected" dataDxfId="183"/>
    <tableColumn id="4" xr3:uid="{A807AA04-847E-4528-AC93-BE64A8A0FD13}" name="Delta Expected" dataDxfId="182">
      <calculatedColumnFormula>B5-C5</calculatedColumnFormula>
    </tableColumn>
    <tableColumn id="5" xr3:uid="{64B62740-34D4-4DFB-863A-1D82E3A2D34E}" name="% Expected" dataDxfId="181" dataCellStyle="Percent">
      <calculatedColumnFormula>IFERROR(D5/C5, 0)</calculatedColumnFormula>
    </tableColumn>
    <tableColumn id="6" xr3:uid="{71EA0932-08FF-44EA-8F77-AB457AE91DE2}" name="Forecasted" dataDxfId="180"/>
    <tableColumn id="7" xr3:uid="{FC9AB708-E681-4C59-B1AF-5AF51AFD9A4E}" name="Delta Forecasted" dataDxfId="179" dataCellStyle="Comma">
      <calculatedColumnFormula>B5-F5</calculatedColumnFormula>
    </tableColumn>
    <tableColumn id="8" xr3:uid="{EE4A7D20-A032-483C-B852-CF68EBD9A9ED}" name="% Forecasted" dataDxfId="178" dataCellStyle="Percent">
      <calculatedColumnFormula>IFERROR(G5/F5, 0)</calculatedColumnFormula>
    </tableColumn>
    <tableColumn id="9" xr3:uid="{73799F33-BCE8-43B6-AB34-0C98101C042C}" name="Notes" dataDxfId="177" dataCellStyle="Percent"/>
    <tableColumn id="10" xr3:uid="{F1ADE2F2-6092-44D3-A6A8-C97C5BE76AAB}" name="Service Request" dataDxfId="176" dataCellStyle="Percent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412CE127-C289-4D8B-8202-ADD92C9B53E4}" name="Data18194133443456465666768" displayName="Data18194133443456465666768" ref="A4:J16" totalsRowShown="0" headerRowDxfId="173" dataDxfId="172" headerRowBorderDxfId="170" tableBorderDxfId="171" dataCellStyle="Percent">
  <autoFilter ref="A4:J16" xr:uid="{59A959C2-52B2-422A-A87A-BC08BBF40681}"/>
  <tableColumns count="10">
    <tableColumn id="1" xr3:uid="{5C6EB389-ECC8-4A35-AE03-1D2835DC6F71}" name="Month" dataDxfId="169"/>
    <tableColumn id="2" xr3:uid="{1DAA2D15-338F-44F3-9B3A-CA5A2D18B232}" name="Actual" dataDxfId="168"/>
    <tableColumn id="3" xr3:uid="{D7753B95-7B26-4B93-A8AE-D70E2A7F9E2F}" name="Expected" dataDxfId="167"/>
    <tableColumn id="4" xr3:uid="{DF595E64-0082-4BB4-BB28-C39BD83153B9}" name="Delta Expected" dataDxfId="166">
      <calculatedColumnFormula>B5-C5</calculatedColumnFormula>
    </tableColumn>
    <tableColumn id="5" xr3:uid="{9F73E7A0-C9D2-43B1-812C-CDC5BD95A86E}" name="% Expected" dataDxfId="165" dataCellStyle="Percent">
      <calculatedColumnFormula>IFERROR(D5/C5, 0)</calculatedColumnFormula>
    </tableColumn>
    <tableColumn id="6" xr3:uid="{89D2DA3C-CA1D-4CA4-8DDC-EBD7F0F47C90}" name="Forecasted" dataDxfId="164"/>
    <tableColumn id="7" xr3:uid="{944FDD2F-9C0A-45B1-B639-6F3BEAF5F0C0}" name="Delta Forecasted" dataDxfId="163" dataCellStyle="Comma">
      <calculatedColumnFormula>B5-F5</calculatedColumnFormula>
    </tableColumn>
    <tableColumn id="8" xr3:uid="{9415C971-A99E-4D6A-AC88-530F5E927862}" name="% Forecasted" dataDxfId="162" dataCellStyle="Percent">
      <calculatedColumnFormula>IFERROR(G5/F5, 0)</calculatedColumnFormula>
    </tableColumn>
    <tableColumn id="9" xr3:uid="{EE8AA338-D419-4F74-B085-7DB0156B8184}" name="Notes" dataDxfId="161" dataCellStyle="Percent"/>
    <tableColumn id="10" xr3:uid="{2448A20C-35CF-4258-A702-2BBADC355D48}" name="Service Request" dataDxfId="160" dataCellStyle="Percent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3C5EFD3B-0955-41D1-8075-5CEC7E0D16C7}" name="Data18194133443456465666768120" displayName="Data18194133443456465666768120" ref="A4:J16" totalsRowShown="0" headerRowDxfId="157" dataDxfId="156" headerRowBorderDxfId="154" tableBorderDxfId="155" dataCellStyle="Percent">
  <autoFilter ref="A4:J16" xr:uid="{59A959C2-52B2-422A-A87A-BC08BBF40681}"/>
  <tableColumns count="10">
    <tableColumn id="1" xr3:uid="{BB42261C-5DF2-4722-AB4C-8C89C252A634}" name="Month" dataDxfId="153"/>
    <tableColumn id="2" xr3:uid="{18AFB806-B5F9-4BB5-844F-F4A5156B0B7B}" name="Actual" dataDxfId="152"/>
    <tableColumn id="3" xr3:uid="{D07A9028-5F62-45AA-BC6B-137813793F27}" name="Expected" dataDxfId="151"/>
    <tableColumn id="4" xr3:uid="{7F7FD04E-B0BC-477F-AD6F-3EB118964E97}" name="Delta Expected" dataDxfId="150">
      <calculatedColumnFormula>B5-C5</calculatedColumnFormula>
    </tableColumn>
    <tableColumn id="5" xr3:uid="{3CB9B954-A7B5-421A-BC44-4CFA2E8287C4}" name="% Expected" dataDxfId="149" dataCellStyle="Percent">
      <calculatedColumnFormula>IFERROR(D5/C5, 0)</calculatedColumnFormula>
    </tableColumn>
    <tableColumn id="6" xr3:uid="{BFD7B5BA-B6B7-407F-B00B-5D868A7F9AAC}" name="Forecasted" dataDxfId="148"/>
    <tableColumn id="7" xr3:uid="{6FF58203-52B4-4982-8F6E-E7CE1E1C7139}" name="Delta Forecasted" dataDxfId="147" dataCellStyle="Comma">
      <calculatedColumnFormula>B5-F5</calculatedColumnFormula>
    </tableColumn>
    <tableColumn id="8" xr3:uid="{EA505D94-8B91-445E-91B6-0DA5BEF379B9}" name="% Forecasted" dataDxfId="146" dataCellStyle="Percent">
      <calculatedColumnFormula>IFERROR(G5/F5, 0)</calculatedColumnFormula>
    </tableColumn>
    <tableColumn id="9" xr3:uid="{51E41F7C-947C-49E9-ABF3-B05FEA45ED13}" name="Notes" dataDxfId="145" dataCellStyle="Percent"/>
    <tableColumn id="10" xr3:uid="{9C857AD0-63E5-42FA-B9BE-5F91E74790A8}" name="Service Request" dataDxfId="144" dataCellStyle="Percent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84CCD5C8-36A0-4FF8-8775-23DF3A7EF7D0}" name="Data18194133443456465666768120121122123124125126127128129" displayName="Data18194133443456465666768120121122123124125126127128129" ref="A4:J16" totalsRowShown="0" headerRowDxfId="141" dataDxfId="140" headerRowBorderDxfId="138" tableBorderDxfId="139" dataCellStyle="Percent">
  <autoFilter ref="A4:J16" xr:uid="{59A959C2-52B2-422A-A87A-BC08BBF40681}"/>
  <tableColumns count="10">
    <tableColumn id="1" xr3:uid="{E59F792E-0B2A-420F-9EEF-DB914FE7C13E}" name="Month" dataDxfId="137"/>
    <tableColumn id="2" xr3:uid="{3CD5D0FF-1587-427A-9DC4-7E65D04B6BCB}" name="Actual" dataDxfId="136"/>
    <tableColumn id="3" xr3:uid="{E85AA20C-A237-459E-AD26-C47106890206}" name="Expected" dataDxfId="135"/>
    <tableColumn id="4" xr3:uid="{3CD3728A-18BD-4B3B-B9CF-FE49EB553C06}" name="Delta Expected" dataDxfId="134">
      <calculatedColumnFormula>B5-C5</calculatedColumnFormula>
    </tableColumn>
    <tableColumn id="5" xr3:uid="{4F043295-BA26-4BB9-8E79-73A29340022F}" name="% Expected" dataDxfId="133" dataCellStyle="Percent">
      <calculatedColumnFormula>IFERROR(D5/C5, 0)</calculatedColumnFormula>
    </tableColumn>
    <tableColumn id="6" xr3:uid="{D374F9FB-A7CE-49C0-9426-1D2392012547}" name="Forecasted" dataDxfId="132"/>
    <tableColumn id="7" xr3:uid="{05ADF5B1-C21C-4864-BE03-CACE61A88AEF}" name="Delta Forecasted" dataDxfId="131" dataCellStyle="Comma">
      <calculatedColumnFormula>B5-F5</calculatedColumnFormula>
    </tableColumn>
    <tableColumn id="8" xr3:uid="{0042B499-614C-44A9-81F1-B16AC0C81AB9}" name="% Forecasted" dataDxfId="130" dataCellStyle="Percent">
      <calculatedColumnFormula>IFERROR(G5/F5, 0)</calculatedColumnFormula>
    </tableColumn>
    <tableColumn id="9" xr3:uid="{0988857E-03C3-46D9-9121-AB153CD6E40C}" name="Notes" dataDxfId="129" dataCellStyle="Percent"/>
    <tableColumn id="10" xr3:uid="{9DAA39E8-2627-4397-B10F-6FCF2DB53D13}" name="Service Request" dataDxfId="128" dataCellStyle="Percent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8C777870-24AA-4DBA-B95A-201B6617C58A}" name="Data18194133443456465666768120121122123124125126127128" displayName="Data18194133443456465666768120121122123124125126127128" ref="A4:J16" totalsRowShown="0" headerRowDxfId="125" dataDxfId="124" headerRowBorderDxfId="122" tableBorderDxfId="123" dataCellStyle="Percent">
  <autoFilter ref="A4:J16" xr:uid="{59A959C2-52B2-422A-A87A-BC08BBF40681}"/>
  <tableColumns count="10">
    <tableColumn id="1" xr3:uid="{B257B7AD-0398-4CA1-8B56-DD8607AADDFB}" name="Month" dataDxfId="121"/>
    <tableColumn id="2" xr3:uid="{2025FA3D-1AC6-4280-A9D3-C0418CEEB9C3}" name="Actual" dataDxfId="120"/>
    <tableColumn id="3" xr3:uid="{2C649961-B12A-41D9-A944-E6B8614FA472}" name="Expected" dataDxfId="119"/>
    <tableColumn id="4" xr3:uid="{37F21BD0-88E0-4C71-9E4D-416A9AE83A2B}" name="Delta Expected" dataDxfId="118">
      <calculatedColumnFormula>B5-C5</calculatedColumnFormula>
    </tableColumn>
    <tableColumn id="5" xr3:uid="{835DD5A7-A943-465B-9D4B-8B200BF95279}" name="% Expected" dataDxfId="117" dataCellStyle="Percent">
      <calculatedColumnFormula>IFERROR(D5/C5, 0)</calculatedColumnFormula>
    </tableColumn>
    <tableColumn id="6" xr3:uid="{FEF3A9E0-3449-49EE-A06E-91B96687C126}" name="Forecasted" dataDxfId="116"/>
    <tableColumn id="7" xr3:uid="{B1DE4AC4-3523-4F43-B967-8484028A9CA3}" name="Delta Forecasted" dataDxfId="115" dataCellStyle="Comma">
      <calculatedColumnFormula>B5-F5</calculatedColumnFormula>
    </tableColumn>
    <tableColumn id="8" xr3:uid="{7C8B39FE-75C2-430A-8F64-55F5F171B4A6}" name="% Forecasted" dataDxfId="114" dataCellStyle="Percent">
      <calculatedColumnFormula>IFERROR(G5/F5, 0)</calculatedColumnFormula>
    </tableColumn>
    <tableColumn id="9" xr3:uid="{27FC3890-3C7B-40D8-8173-3ACDBAD360D6}" name="Notes" dataDxfId="113" dataCellStyle="Percent"/>
    <tableColumn id="10" xr3:uid="{3BC05B1B-B447-409D-9CF1-C84ABF55B0CC}" name="Service Request" dataDxfId="112" dataCellStyle="Percent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A34BBAE9-8A75-4893-9E1B-2EB7198900AF}" name="Data18194133443456465666768120121122123124125126127" displayName="Data18194133443456465666768120121122123124125126127" ref="A4:J16" totalsRowShown="0" headerRowDxfId="109" dataDxfId="108" headerRowBorderDxfId="106" tableBorderDxfId="107" dataCellStyle="Percent">
  <autoFilter ref="A4:J16" xr:uid="{59A959C2-52B2-422A-A87A-BC08BBF40681}"/>
  <tableColumns count="10">
    <tableColumn id="1" xr3:uid="{E9C052A0-293A-432D-BA8F-2B3AA64EA3C6}" name="Month" dataDxfId="105"/>
    <tableColumn id="2" xr3:uid="{534F57C9-958D-4EDD-AE00-4452CC2105AB}" name="Actual" dataDxfId="104"/>
    <tableColumn id="3" xr3:uid="{6181F043-3860-4F32-974C-475C4A5116D8}" name="Expected" dataDxfId="103"/>
    <tableColumn id="4" xr3:uid="{0E1E72DA-7AF6-4DB5-8341-61206FFA13D1}" name="Delta Expected" dataDxfId="102">
      <calculatedColumnFormula>B5-C5</calculatedColumnFormula>
    </tableColumn>
    <tableColumn id="5" xr3:uid="{3EA91EE0-DC7A-4239-B870-1353E5A4BDE3}" name="% Expected" dataDxfId="101" dataCellStyle="Percent">
      <calculatedColumnFormula>IFERROR(D5/C5, 0)</calculatedColumnFormula>
    </tableColumn>
    <tableColumn id="6" xr3:uid="{A7F35D18-D1FF-4D8F-89D4-4FCFF8EE7CF7}" name="Forecasted" dataDxfId="100"/>
    <tableColumn id="7" xr3:uid="{43C99ABF-6F6E-4B39-9A4D-EE76E9971ECE}" name="Delta Forecasted" dataDxfId="99" dataCellStyle="Comma">
      <calculatedColumnFormula>B5-F5</calculatedColumnFormula>
    </tableColumn>
    <tableColumn id="8" xr3:uid="{2672768B-B288-472F-9D39-3642C93872EF}" name="% Forecasted" dataDxfId="98" dataCellStyle="Percent">
      <calculatedColumnFormula>IFERROR(G5/F5, 0)</calculatedColumnFormula>
    </tableColumn>
    <tableColumn id="9" xr3:uid="{48814A8B-7E8E-4134-835D-892AF0DDE9B2}" name="Notes" dataDxfId="97" dataCellStyle="Percent"/>
    <tableColumn id="10" xr3:uid="{C9C8028B-A6FB-441E-93E0-1126E30DD1E9}" name="Service Request" dataDxfId="96" dataCellStyle="Percent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56E66A04-1FB8-4D7C-B5A6-17DFAABA5DF7}" name="Data18194133443456465666768120121122123124125126" displayName="Data18194133443456465666768120121122123124125126" ref="A4:J16" totalsRowShown="0" headerRowDxfId="93" dataDxfId="92" headerRowBorderDxfId="90" tableBorderDxfId="91" dataCellStyle="Percent">
  <autoFilter ref="A4:J16" xr:uid="{59A959C2-52B2-422A-A87A-BC08BBF40681}"/>
  <tableColumns count="10">
    <tableColumn id="1" xr3:uid="{BBEB77E4-7D2D-4FBD-B67F-F6D96EE0B44E}" name="Month" dataDxfId="89"/>
    <tableColumn id="2" xr3:uid="{157EB893-E09B-4940-BFB0-91F6FED8BCAD}" name="Actual" dataDxfId="88"/>
    <tableColumn id="3" xr3:uid="{0CF6DC95-812B-4A8D-A099-E5FD6EF107D5}" name="Expected" dataDxfId="87"/>
    <tableColumn id="4" xr3:uid="{80637802-2D82-4E59-A14D-9D725B9B06BE}" name="Delta Expected" dataDxfId="86">
      <calculatedColumnFormula>B5-C5</calculatedColumnFormula>
    </tableColumn>
    <tableColumn id="5" xr3:uid="{AEE4ECAE-7227-49F1-AF93-1145714808F3}" name="% Expected" dataDxfId="85" dataCellStyle="Percent">
      <calculatedColumnFormula>IFERROR(D5/C5, 0)</calculatedColumnFormula>
    </tableColumn>
    <tableColumn id="6" xr3:uid="{CCD6B102-6EFC-435D-AC5B-2C3AD2CE0E29}" name="Forecasted" dataDxfId="84"/>
    <tableColumn id="7" xr3:uid="{6BD2A9E6-8AF0-4317-A7E9-4595E558AC7C}" name="Delta Forecasted" dataDxfId="83" dataCellStyle="Comma">
      <calculatedColumnFormula>B5-F5</calculatedColumnFormula>
    </tableColumn>
    <tableColumn id="8" xr3:uid="{7F945EC5-6FE5-4C8C-BAEE-B5E821F6E574}" name="% Forecasted" dataDxfId="82" dataCellStyle="Percent">
      <calculatedColumnFormula>IFERROR(G5/F5, 0)</calculatedColumnFormula>
    </tableColumn>
    <tableColumn id="9" xr3:uid="{57E70D3A-5341-4682-B377-D3F31E5FD4E3}" name="Notes" dataDxfId="81" dataCellStyle="Percent"/>
    <tableColumn id="10" xr3:uid="{D7887FDF-7E47-47F1-B2BF-DBB9E3ABB891}" name="Service Request" dataDxfId="80" dataCellStyle="Percent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1029CFCB-F426-40D4-BDCC-9EAA39856F80}" name="Data18194133443456465666768120121122123124125" displayName="Data18194133443456465666768120121122123124125" ref="A4:J16" totalsRowShown="0" headerRowDxfId="77" dataDxfId="76" headerRowBorderDxfId="74" tableBorderDxfId="75" dataCellStyle="Percent">
  <autoFilter ref="A4:J16" xr:uid="{59A959C2-52B2-422A-A87A-BC08BBF40681}"/>
  <tableColumns count="10">
    <tableColumn id="1" xr3:uid="{7339540D-10EA-4156-9E88-AC488B19B54E}" name="Month" dataDxfId="73"/>
    <tableColumn id="2" xr3:uid="{A61008ED-32A5-462C-80D8-17E672AD528F}" name="Actual" dataDxfId="72"/>
    <tableColumn id="3" xr3:uid="{4E4B2E0D-2623-495D-9F6A-1E0A3B747AF3}" name="Expected" dataDxfId="71"/>
    <tableColumn id="4" xr3:uid="{1644FE77-D996-4996-8402-F039E0F30A53}" name="Delta Expected" dataDxfId="70">
      <calculatedColumnFormula>B5-C5</calculatedColumnFormula>
    </tableColumn>
    <tableColumn id="5" xr3:uid="{224D3609-7A44-4E35-A0E6-1AB665CCBFA1}" name="% Expected" dataDxfId="69" dataCellStyle="Percent">
      <calculatedColumnFormula>IFERROR(D5/C5, 0)</calculatedColumnFormula>
    </tableColumn>
    <tableColumn id="6" xr3:uid="{151199B2-2390-4F72-A9EA-C35B136682D0}" name="Forecasted" dataDxfId="68"/>
    <tableColumn id="7" xr3:uid="{F836385A-36A9-4D5E-8DB8-C61A40804B7D}" name="Delta Forecasted" dataDxfId="67" dataCellStyle="Comma">
      <calculatedColumnFormula>B5-F5</calculatedColumnFormula>
    </tableColumn>
    <tableColumn id="8" xr3:uid="{21CB448C-9A72-4B61-BC3F-9F14DE9B848B}" name="% Forecasted" dataDxfId="66" dataCellStyle="Percent">
      <calculatedColumnFormula>IFERROR(G5/F5, 0)</calculatedColumnFormula>
    </tableColumn>
    <tableColumn id="9" xr3:uid="{AB5766F0-34AA-44BA-94D0-A141CB53A8B9}" name="Notes" dataDxfId="65" dataCellStyle="Percent"/>
    <tableColumn id="10" xr3:uid="{371ADA2D-3CBF-4B6F-89ED-B726A8551BB4}" name="Service Request" dataDxfId="64" dataCellStyle="Percent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651A6059-C14F-4643-B0A3-FDBBF039D02E}" name="Data18194133443456465666768120121122123124" displayName="Data18194133443456465666768120121122123124" ref="A4:J16" totalsRowShown="0" headerRowDxfId="61" dataDxfId="60" headerRowBorderDxfId="58" tableBorderDxfId="59" dataCellStyle="Percent">
  <autoFilter ref="A4:J16" xr:uid="{59A959C2-52B2-422A-A87A-BC08BBF40681}"/>
  <tableColumns count="10">
    <tableColumn id="1" xr3:uid="{91B57CD3-D846-4FE9-8872-DDD3A5CAF750}" name="Month" dataDxfId="57"/>
    <tableColumn id="2" xr3:uid="{2D1C82AB-1228-4E6D-9A17-179F090D6F51}" name="Actual" dataDxfId="56"/>
    <tableColumn id="3" xr3:uid="{3B1BEE3D-840B-4C8B-8E77-77BCDA7DCB34}" name="Expected" dataDxfId="55"/>
    <tableColumn id="4" xr3:uid="{86B0DE03-6851-4CDA-902D-FCD4D922B362}" name="Delta Expected" dataDxfId="54">
      <calculatedColumnFormula>B5-C5</calculatedColumnFormula>
    </tableColumn>
    <tableColumn id="5" xr3:uid="{AEFCD05C-97DA-4967-AB7F-FF2328CFAE21}" name="% Expected" dataDxfId="53" dataCellStyle="Percent">
      <calculatedColumnFormula>IFERROR(D5/C5, 0)</calculatedColumnFormula>
    </tableColumn>
    <tableColumn id="6" xr3:uid="{3073C0FA-299E-4FE3-91BD-674BF90A6476}" name="Forecasted" dataDxfId="52"/>
    <tableColumn id="7" xr3:uid="{217EAAA4-4923-4FF5-ACB1-59698491EA99}" name="Delta Forecasted" dataDxfId="51" dataCellStyle="Comma">
      <calculatedColumnFormula>B5-F5</calculatedColumnFormula>
    </tableColumn>
    <tableColumn id="8" xr3:uid="{AA0DA37C-DCF8-4DCF-A25F-8A793575AF9B}" name="% Forecasted" dataDxfId="50" dataCellStyle="Percent">
      <calculatedColumnFormula>IFERROR(G5/F5, 0)</calculatedColumnFormula>
    </tableColumn>
    <tableColumn id="9" xr3:uid="{AA45E5FD-40BE-4876-A028-3D0AFFAFAB06}" name="Notes" dataDxfId="49" dataCellStyle="Percent"/>
    <tableColumn id="10" xr3:uid="{8F788717-38EC-458C-94D4-4E722578CAC4}" name="Service Request" dataDxfId="48" dataCellStyle="Percent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153ED4BA-6BC9-418C-B8A4-C38E07F1E555}" name="Data18194133443456465666768120121122123" displayName="Data18194133443456465666768120121122123" ref="A4:J16" totalsRowShown="0" headerRowDxfId="45" dataDxfId="44" headerRowBorderDxfId="42" tableBorderDxfId="43" dataCellStyle="Percent">
  <autoFilter ref="A4:J16" xr:uid="{59A959C2-52B2-422A-A87A-BC08BBF40681}"/>
  <tableColumns count="10">
    <tableColumn id="1" xr3:uid="{13CDDE55-306E-4519-B09B-B867A9344741}" name="Month" dataDxfId="41"/>
    <tableColumn id="2" xr3:uid="{11C93174-E43F-4B64-9D52-DA1C7C125B9D}" name="Actual" dataDxfId="40"/>
    <tableColumn id="3" xr3:uid="{D9061F24-9D71-4916-88FF-8AD212BA576E}" name="Expected" dataDxfId="39"/>
    <tableColumn id="4" xr3:uid="{DA396930-8856-4754-B7B0-543B81F6D2B2}" name="Delta Expected" dataDxfId="38">
      <calculatedColumnFormula>B5-C5</calculatedColumnFormula>
    </tableColumn>
    <tableColumn id="5" xr3:uid="{270F46F3-0301-4D5C-AFB2-C15762A7F044}" name="% Expected" dataDxfId="37" dataCellStyle="Percent">
      <calculatedColumnFormula>IFERROR(D5/C5, 0)</calculatedColumnFormula>
    </tableColumn>
    <tableColumn id="6" xr3:uid="{15C4AA34-AD8C-40F0-A7F6-1757C7B60A49}" name="Forecasted" dataDxfId="36"/>
    <tableColumn id="7" xr3:uid="{49A64215-D47F-492C-95D1-2E22869337C0}" name="Delta Forecasted" dataDxfId="35" dataCellStyle="Comma">
      <calculatedColumnFormula>B5-F5</calculatedColumnFormula>
    </tableColumn>
    <tableColumn id="8" xr3:uid="{50BA6F8D-69CB-4667-B411-D4003890291C}" name="% Forecasted" dataDxfId="34" dataCellStyle="Percent">
      <calculatedColumnFormula>IFERROR(G5/F5, 0)</calculatedColumnFormula>
    </tableColumn>
    <tableColumn id="9" xr3:uid="{4A7F3FA4-9950-49F7-A91D-B112FDEC8BA1}" name="Notes" dataDxfId="33" dataCellStyle="Percent"/>
    <tableColumn id="10" xr3:uid="{2685C932-EBA3-4933-B46F-CA76745197A6}" name="Service Request" dataDxfId="32" dataCellStyle="Percent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5508DD80-48D7-435B-8AEF-B32348002B8B}" name="Data18194133443456465666768120121122" displayName="Data18194133443456465666768120121122" ref="A4:J16" totalsRowShown="0" headerRowDxfId="29" dataDxfId="28" headerRowBorderDxfId="26" tableBorderDxfId="27" dataCellStyle="Percent">
  <autoFilter ref="A4:J16" xr:uid="{59A959C2-52B2-422A-A87A-BC08BBF40681}"/>
  <tableColumns count="10">
    <tableColumn id="1" xr3:uid="{091F0516-F6E7-49F7-8B3B-F9CC12735C39}" name="Month" dataDxfId="25"/>
    <tableColumn id="2" xr3:uid="{0C388F5E-FC55-44D8-90CA-801DCD4D9D4C}" name="Actual" dataDxfId="24"/>
    <tableColumn id="3" xr3:uid="{8643C9A0-65B8-4666-B10F-6BFCA924C190}" name="Expected" dataDxfId="23"/>
    <tableColumn id="4" xr3:uid="{F31D399E-9564-4401-9D9D-7D3973E1A7E2}" name="Delta Expected" dataDxfId="22">
      <calculatedColumnFormula>B5-C5</calculatedColumnFormula>
    </tableColumn>
    <tableColumn id="5" xr3:uid="{7E9E2D91-5B61-41F5-8A0A-9E44F2DE8219}" name="% Expected" dataDxfId="21" dataCellStyle="Percent">
      <calculatedColumnFormula>IFERROR(D5/C5, 0)</calculatedColumnFormula>
    </tableColumn>
    <tableColumn id="6" xr3:uid="{CCD10A8E-55F6-4F6F-9F56-CD5F32C3DA04}" name="Forecasted" dataDxfId="20"/>
    <tableColumn id="7" xr3:uid="{53BAF902-6112-4439-9E35-BE9DA9F724D1}" name="Delta Forecasted" dataDxfId="19" dataCellStyle="Comma">
      <calculatedColumnFormula>B5-F5</calculatedColumnFormula>
    </tableColumn>
    <tableColumn id="8" xr3:uid="{3A9C6601-AC66-427D-B2CD-B2D55D57DAEA}" name="% Forecasted" dataDxfId="18" dataCellStyle="Percent">
      <calculatedColumnFormula>IFERROR(G5/F5, 0)</calculatedColumnFormula>
    </tableColumn>
    <tableColumn id="9" xr3:uid="{870D4890-0712-4ADF-8A05-A4DE0089B140}" name="Notes" dataDxfId="17" dataCellStyle="Percent"/>
    <tableColumn id="10" xr3:uid="{7AB6C791-773E-47F7-8697-94340D1B6483}" name="Service Request" dataDxfId="16" dataCellStyle="Percent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28A77DA1-38F5-43AD-8FDE-F11F5D0C12C1}" name="Data18194133443456465666768120121" displayName="Data18194133443456465666768120121" ref="A4:J16" totalsRowShown="0" headerRowDxfId="13" dataDxfId="12" headerRowBorderDxfId="10" tableBorderDxfId="11" dataCellStyle="Percent">
  <autoFilter ref="A4:J16" xr:uid="{59A959C2-52B2-422A-A87A-BC08BBF40681}"/>
  <tableColumns count="10">
    <tableColumn id="1" xr3:uid="{4A9E9CAF-8954-4C86-8128-FFAF8A457BBA}" name="Month" dataDxfId="9"/>
    <tableColumn id="2" xr3:uid="{8FEA5368-31EC-49E9-952C-097CCD218982}" name="Actual" dataDxfId="8"/>
    <tableColumn id="3" xr3:uid="{04D329EE-9F6F-4D8B-A74A-4336AF47F7CA}" name="Expected" dataDxfId="7"/>
    <tableColumn id="4" xr3:uid="{3FDE4D91-3CFD-48CB-AA78-2AE7D4F72AE5}" name="Delta Expected" dataDxfId="6">
      <calculatedColumnFormula>B5-C5</calculatedColumnFormula>
    </tableColumn>
    <tableColumn id="5" xr3:uid="{C8E31781-5498-4581-864A-9F39ED9B9F30}" name="% Expected" dataDxfId="5" dataCellStyle="Percent">
      <calculatedColumnFormula>IFERROR(D5/C5, 0)</calculatedColumnFormula>
    </tableColumn>
    <tableColumn id="6" xr3:uid="{3C28BD53-C2BE-4830-AA97-0F2D30B0D070}" name="Forecasted" dataDxfId="4"/>
    <tableColumn id="7" xr3:uid="{687221A9-B325-401A-824A-73CB68A8BBDD}" name="Delta Forecasted" dataDxfId="3" dataCellStyle="Comma">
      <calculatedColumnFormula>B5-F5</calculatedColumnFormula>
    </tableColumn>
    <tableColumn id="8" xr3:uid="{F92B8FD9-5567-4971-8EE7-4BB467C41ADF}" name="% Forecasted" dataDxfId="2" dataCellStyle="Percent">
      <calculatedColumnFormula>IFERROR(G5/F5, 0)</calculatedColumnFormula>
    </tableColumn>
    <tableColumn id="9" xr3:uid="{15E6A860-B0AB-4D0E-99E0-9C38CB224A91}" name="Notes" dataDxfId="1" dataCellStyle="Percent"/>
    <tableColumn id="10" xr3:uid="{4BC68D88-93F1-41D5-B941-E0A5BF82406E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2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2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3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4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3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37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38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39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1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42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43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44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45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46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47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48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4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0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51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5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53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54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55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56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57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58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59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60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63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64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6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5.xml"/><Relationship Id="rId1" Type="http://schemas.openxmlformats.org/officeDocument/2006/relationships/printerSettings" Target="../printerSettings/printerSettings66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6.xml"/><Relationship Id="rId1" Type="http://schemas.openxmlformats.org/officeDocument/2006/relationships/printerSettings" Target="../printerSettings/printerSettings67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68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69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9.xml"/><Relationship Id="rId1" Type="http://schemas.openxmlformats.org/officeDocument/2006/relationships/printerSettings" Target="../printerSettings/printerSettings70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0.xml"/><Relationship Id="rId1" Type="http://schemas.openxmlformats.org/officeDocument/2006/relationships/printerSettings" Target="../printerSettings/printerSettings71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1.xml"/><Relationship Id="rId1" Type="http://schemas.openxmlformats.org/officeDocument/2006/relationships/printerSettings" Target="../printerSettings/printerSettings72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73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74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75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5.xml"/><Relationship Id="rId1" Type="http://schemas.openxmlformats.org/officeDocument/2006/relationships/printerSettings" Target="../printerSettings/printerSettings76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42"/>
  <sheetViews>
    <sheetView workbookViewId="0">
      <pane ySplit="2" topLeftCell="A98" activePane="bottomLeft" state="frozen"/>
      <selection pane="bottomLeft" activeCell="G137" sqref="G137"/>
    </sheetView>
  </sheetViews>
  <sheetFormatPr defaultRowHeight="12.75"/>
  <cols>
    <col min="1" max="1" width="35.85546875" bestFit="1" customWidth="1"/>
    <col min="2" max="2" width="35.8554687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5" t="str" cm="1">
        <f t="array" ref="A1">portfolio</f>
        <v>Generate Capital</v>
      </c>
      <c r="B1" s="166"/>
      <c r="C1" s="160" t="s">
        <v>0</v>
      </c>
      <c r="D1" s="161"/>
      <c r="E1" s="161"/>
      <c r="F1" s="162"/>
      <c r="G1" s="163" t="s">
        <v>1</v>
      </c>
      <c r="H1" s="163"/>
      <c r="I1" s="164"/>
    </row>
    <row r="2" spans="1:9" ht="14.25" customHeight="1">
      <c r="A2" s="58" t="s">
        <v>2</v>
      </c>
      <c r="B2" s="82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8" t="s">
        <v>7</v>
      </c>
    </row>
    <row r="3" spans="1:9" ht="15.75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81">
        <f ca="1">SUM('1st Qtr'!C3, '2nd Qtr'!C3, '3rd Qtr'!C3, '4th Qtr'!C3)</f>
        <v>9019.8055667054105</v>
      </c>
      <c r="D3" s="50">
        <f ca="1">SUM('1st Qtr'!D3, '2nd Qtr'!D3, '3rd Qtr'!D3, '4th Qtr'!D3)</f>
        <v>7182.884</v>
      </c>
      <c r="E3" s="50">
        <f ca="1">C3-D3</f>
        <v>1836.9215667054104</v>
      </c>
      <c r="F3" s="51">
        <f ca="1">IFERROR(E3/D3, 0)</f>
        <v>0.25573593652708443</v>
      </c>
      <c r="G3" s="52">
        <f ca="1">SUM('1st Qtr'!G3, '2nd Qtr'!G3, '3rd Qtr'!G3, '4th Qtr'!G3)</f>
        <v>9612.777</v>
      </c>
      <c r="H3" s="52">
        <f ca="1">C3-G3</f>
        <v>-592.97143329458959</v>
      </c>
      <c r="I3" s="53">
        <f ca="1">IFERROR(H3/G3, 0)</f>
        <v>-6.1685757746652144E-2</v>
      </c>
    </row>
    <row r="4" spans="1:9" ht="15.75">
      <c r="A4" s="59" t="str">
        <v>Fulton</v>
      </c>
      <c r="B4" s="21" t="str">
        <v>Blue Renewables</v>
      </c>
      <c r="C4" s="81">
        <f ca="1">SUM('1st Qtr'!C4, '2nd Qtr'!C4, '3rd Qtr'!C4, '4th Qtr'!C4)</f>
        <v>29434.75</v>
      </c>
      <c r="D4" s="50">
        <f ca="1">SUM('1st Qtr'!D4, '2nd Qtr'!D4, '3rd Qtr'!D4, '4th Qtr'!D4)</f>
        <v>28981.22</v>
      </c>
      <c r="E4" s="50">
        <f t="shared" ref="E4:E67" ca="1" si="0">C4-D4</f>
        <v>453.52999999999884</v>
      </c>
      <c r="F4" s="51">
        <f t="shared" ref="F4:F67" ca="1" si="1">IFERROR(E4/D4, 0)</f>
        <v>1.5649099658330425E-2</v>
      </c>
      <c r="G4" s="52">
        <f ca="1">SUM('1st Qtr'!G4, '2nd Qtr'!G4, '3rd Qtr'!G4, '4th Qtr'!G4)</f>
        <v>39673.79</v>
      </c>
      <c r="H4" s="52">
        <f t="shared" ref="H4:H67" ca="1" si="2">C4-G4</f>
        <v>-10239.040000000001</v>
      </c>
      <c r="I4" s="53">
        <f t="shared" ref="I4:I67" ca="1" si="3">IFERROR(H4/G4, 0)</f>
        <v>-0.25808071273251182</v>
      </c>
    </row>
    <row r="5" spans="1:9" ht="15.75">
      <c r="A5" s="63" t="str">
        <v>JFK Elementary</v>
      </c>
      <c r="B5" s="64" t="str">
        <v>Blue Renewables</v>
      </c>
      <c r="C5" s="81">
        <f ca="1">SUM('1st Qtr'!C5, '2nd Qtr'!C5, '3rd Qtr'!C5, '4th Qtr'!C5)</f>
        <v>15656.69</v>
      </c>
      <c r="D5" s="50">
        <f ca="1">SUM('1st Qtr'!D5, '2nd Qtr'!D5, '3rd Qtr'!D5, '4th Qtr'!D5)</f>
        <v>0</v>
      </c>
      <c r="E5" s="50">
        <f t="shared" ca="1" si="0"/>
        <v>15656.69</v>
      </c>
      <c r="F5" s="51">
        <f t="shared" ca="1" si="1"/>
        <v>0</v>
      </c>
      <c r="G5" s="52">
        <f ca="1">SUM('1st Qtr'!G5, '2nd Qtr'!G5, '3rd Qtr'!G5, '4th Qtr'!G5)</f>
        <v>1973</v>
      </c>
      <c r="H5" s="52">
        <f t="shared" ca="1" si="2"/>
        <v>13683.69</v>
      </c>
      <c r="I5" s="53">
        <f t="shared" ca="1" si="3"/>
        <v>6.9354738976178414</v>
      </c>
    </row>
    <row r="6" spans="1:9" ht="15.75">
      <c r="A6" s="59" t="str">
        <v>Noble</v>
      </c>
      <c r="B6" s="21" t="str">
        <v>Blue Renewables</v>
      </c>
      <c r="C6" s="81">
        <f ca="1">SUM('1st Qtr'!C6, '2nd Qtr'!C6, '3rd Qtr'!C6, '4th Qtr'!C6)</f>
        <v>8806.2478459322592</v>
      </c>
      <c r="D6" s="50">
        <f ca="1">SUM('1st Qtr'!D6, '2nd Qtr'!D6, '3rd Qtr'!D6, '4th Qtr'!D6)</f>
        <v>12098.42</v>
      </c>
      <c r="E6" s="50">
        <f t="shared" ca="1" si="0"/>
        <v>-3292.1721540677408</v>
      </c>
      <c r="F6" s="51">
        <f t="shared" ca="1" si="1"/>
        <v>-0.27211587579764474</v>
      </c>
      <c r="G6" s="52">
        <f ca="1">SUM('1st Qtr'!G6, '2nd Qtr'!G6, '3rd Qtr'!G6, '4th Qtr'!G6)</f>
        <v>11218.66</v>
      </c>
      <c r="H6" s="52">
        <f t="shared" ca="1" si="2"/>
        <v>-2412.4121540677406</v>
      </c>
      <c r="I6" s="53">
        <f t="shared" ca="1" si="3"/>
        <v>-0.21503567752902225</v>
      </c>
    </row>
    <row r="7" spans="1:9" ht="15.75">
      <c r="A7" s="63" t="str">
        <v>Parking 3</v>
      </c>
      <c r="B7" s="64" t="str">
        <v>Blue Renewables</v>
      </c>
      <c r="C7" s="81">
        <f ca="1">SUM('1st Qtr'!C7, '2nd Qtr'!C7, '3rd Qtr'!C7, '4th Qtr'!C7)</f>
        <v>16586.8</v>
      </c>
      <c r="D7" s="50">
        <f ca="1">SUM('1st Qtr'!D7, '2nd Qtr'!D7, '3rd Qtr'!D7, '4th Qtr'!D7)</f>
        <v>24366.89</v>
      </c>
      <c r="E7" s="50">
        <f t="shared" ca="1" si="0"/>
        <v>-7780.09</v>
      </c>
      <c r="F7" s="51">
        <f t="shared" ca="1" si="1"/>
        <v>-0.31928941280565554</v>
      </c>
      <c r="G7" s="52">
        <f ca="1">SUM('1st Qtr'!G7, '2nd Qtr'!G7, '3rd Qtr'!G7, '4th Qtr'!G7)</f>
        <v>24201.63</v>
      </c>
      <c r="H7" s="52">
        <f t="shared" ca="1" si="2"/>
        <v>-7614.8300000000017</v>
      </c>
      <c r="I7" s="53">
        <f t="shared" ca="1" si="3"/>
        <v>-0.31464120391890965</v>
      </c>
    </row>
    <row r="8" spans="1:9" ht="15.75">
      <c r="A8" s="59" t="str">
        <v>PE East</v>
      </c>
      <c r="B8" s="21" t="str">
        <v>Blue Renewables</v>
      </c>
      <c r="C8" s="81">
        <f ca="1">SUM('1st Qtr'!C8, '2nd Qtr'!C8, '3rd Qtr'!C8, '4th Qtr'!C8)</f>
        <v>20730.183365017401</v>
      </c>
      <c r="D8" s="50">
        <f ca="1">SUM('1st Qtr'!D8, '2nd Qtr'!D8, '3rd Qtr'!D8, '4th Qtr'!D8)</f>
        <v>16836.22</v>
      </c>
      <c r="E8" s="50">
        <f t="shared" ca="1" si="0"/>
        <v>3893.9633650174001</v>
      </c>
      <c r="F8" s="51">
        <f t="shared" ca="1" si="1"/>
        <v>0.23128489441319963</v>
      </c>
      <c r="G8" s="52">
        <f ca="1">SUM('1st Qtr'!G8, '2nd Qtr'!G8, '3rd Qtr'!G8, '4th Qtr'!G8)</f>
        <v>24326.73</v>
      </c>
      <c r="H8" s="52">
        <f t="shared" ca="1" si="2"/>
        <v>-3596.5466349825983</v>
      </c>
      <c r="I8" s="53">
        <f t="shared" ca="1" si="3"/>
        <v>-0.14784340661414824</v>
      </c>
    </row>
    <row r="9" spans="1:9" ht="15.75">
      <c r="A9" s="63" t="str">
        <v>Schwada</v>
      </c>
      <c r="B9" s="64" t="str">
        <v>Blue Renewables</v>
      </c>
      <c r="C9" s="81">
        <f ca="1">SUM('1st Qtr'!C9, '2nd Qtr'!C9, '3rd Qtr'!C9, '4th Qtr'!C9)</f>
        <v>8912.9887629654295</v>
      </c>
      <c r="D9" s="50">
        <f ca="1">SUM('1st Qtr'!D9, '2nd Qtr'!D9, '3rd Qtr'!D9, '4th Qtr'!D9)</f>
        <v>7118.6189999999997</v>
      </c>
      <c r="E9" s="50">
        <f t="shared" ca="1" si="0"/>
        <v>1794.3697629654298</v>
      </c>
      <c r="F9" s="51">
        <f t="shared" ca="1" si="1"/>
        <v>0.25206711624339356</v>
      </c>
      <c r="G9" s="52">
        <f ca="1">SUM('1st Qtr'!G9, '2nd Qtr'!G9, '3rd Qtr'!G9, '4th Qtr'!G9)</f>
        <v>10705</v>
      </c>
      <c r="H9" s="52">
        <f t="shared" ca="1" si="2"/>
        <v>-1792.0112370345705</v>
      </c>
      <c r="I9" s="53">
        <f t="shared" ca="1" si="3"/>
        <v>-0.16739946165666236</v>
      </c>
    </row>
    <row r="10" spans="1:9" ht="15.75">
      <c r="A10" s="59" t="str">
        <v>Starshine</v>
      </c>
      <c r="B10" s="21" t="str">
        <v>Blue Renewables</v>
      </c>
      <c r="C10" s="81">
        <f ca="1">SUM('1st Qtr'!C10, '2nd Qtr'!C10, '3rd Qtr'!C10, '4th Qtr'!C10)</f>
        <v>3747.203</v>
      </c>
      <c r="D10" s="50">
        <f ca="1">SUM('1st Qtr'!D10, '2nd Qtr'!D10, '3rd Qtr'!D10, '4th Qtr'!D10)</f>
        <v>0</v>
      </c>
      <c r="E10" s="50">
        <f t="shared" ca="1" si="0"/>
        <v>3747.203</v>
      </c>
      <c r="F10" s="51">
        <f t="shared" ca="1" si="1"/>
        <v>0</v>
      </c>
      <c r="G10" s="52">
        <f ca="1">SUM('1st Qtr'!G10, '2nd Qtr'!G10, '3rd Qtr'!G10, '4th Qtr'!G10)</f>
        <v>0</v>
      </c>
      <c r="H10" s="52">
        <f t="shared" ca="1" si="2"/>
        <v>3747.203</v>
      </c>
      <c r="I10" s="53">
        <f t="shared" ca="1" si="3"/>
        <v>0</v>
      </c>
    </row>
    <row r="11" spans="1:9" ht="15.75">
      <c r="A11" s="63" t="str">
        <v>Yuma Airport</v>
      </c>
      <c r="B11" s="64" t="str">
        <v>Blue Renewables</v>
      </c>
      <c r="C11" s="81">
        <f ca="1">SUM('1st Qtr'!C11, '2nd Qtr'!C11, '3rd Qtr'!C11, '4th Qtr'!C11)</f>
        <v>52995</v>
      </c>
      <c r="D11" s="50">
        <f ca="1">SUM('1st Qtr'!D11, '2nd Qtr'!D11, '3rd Qtr'!D11, '4th Qtr'!D11)</f>
        <v>74566.16</v>
      </c>
      <c r="E11" s="50">
        <f t="shared" ca="1" si="0"/>
        <v>-21571.160000000003</v>
      </c>
      <c r="F11" s="51">
        <f t="shared" ca="1" si="1"/>
        <v>-0.28928886776521684</v>
      </c>
      <c r="G11" s="52">
        <f ca="1">SUM('1st Qtr'!G11, '2nd Qtr'!G11, '3rd Qtr'!G11, '4th Qtr'!G11)</f>
        <v>67067</v>
      </c>
      <c r="H11" s="52">
        <f t="shared" ca="1" si="2"/>
        <v>-14072</v>
      </c>
      <c r="I11" s="53">
        <f t="shared" ca="1" si="3"/>
        <v>-0.20982003071555311</v>
      </c>
    </row>
    <row r="12" spans="1:9" ht="15.75">
      <c r="A12" s="59" t="str">
        <v>Kinsman</v>
      </c>
      <c r="B12" s="21" t="str">
        <v>Blue Renewables</v>
      </c>
      <c r="C12" s="81">
        <f ca="1">SUM('1st Qtr'!C12, '2nd Qtr'!C12, '3rd Qtr'!C12, '4th Qtr'!C12)</f>
        <v>20047.7890625</v>
      </c>
      <c r="D12" s="50">
        <f ca="1">SUM('1st Qtr'!D12, '2nd Qtr'!D12, '3rd Qtr'!D12, '4th Qtr'!D12)</f>
        <v>40688.25</v>
      </c>
      <c r="E12" s="50">
        <f t="shared" ca="1" si="0"/>
        <v>-20640.4609375</v>
      </c>
      <c r="F12" s="51">
        <f t="shared" ca="1" si="1"/>
        <v>-0.50728308387556609</v>
      </c>
      <c r="G12" s="52">
        <f ca="1">SUM('1st Qtr'!G12, '2nd Qtr'!G12, '3rd Qtr'!G12, '4th Qtr'!G12)</f>
        <v>55531</v>
      </c>
      <c r="H12" s="52">
        <f t="shared" ca="1" si="2"/>
        <v>-35483.2109375</v>
      </c>
      <c r="I12" s="53">
        <f t="shared" ca="1" si="3"/>
        <v>-0.63898022613495165</v>
      </c>
    </row>
    <row r="13" spans="1:9" ht="15.75">
      <c r="A13" s="63" t="str">
        <v>Wooster</v>
      </c>
      <c r="B13" s="64" t="str">
        <v>Blue Renewables</v>
      </c>
      <c r="C13" s="81">
        <f ca="1">SUM('1st Qtr'!C13, '2nd Qtr'!C13, '3rd Qtr'!C13, '4th Qtr'!C13)</f>
        <v>6323.25</v>
      </c>
      <c r="D13" s="50">
        <f ca="1">SUM('1st Qtr'!D13, '2nd Qtr'!D13, '3rd Qtr'!D13, '4th Qtr'!D13)</f>
        <v>0</v>
      </c>
      <c r="E13" s="50">
        <f t="shared" ca="1" si="0"/>
        <v>6323.25</v>
      </c>
      <c r="F13" s="51">
        <f t="shared" ca="1" si="1"/>
        <v>0</v>
      </c>
      <c r="G13" s="52">
        <f ca="1">SUM('1st Qtr'!G13, '2nd Qtr'!G13, '3rd Qtr'!G13, '4th Qtr'!G13)</f>
        <v>12400</v>
      </c>
      <c r="H13" s="52">
        <f t="shared" ca="1" si="2"/>
        <v>-6076.75</v>
      </c>
      <c r="I13" s="53">
        <f t="shared" ca="1" si="3"/>
        <v>-0.49006048387096773</v>
      </c>
    </row>
    <row r="14" spans="1:9" ht="15.75">
      <c r="A14" s="59" t="str">
        <v>Globe Gila CC</v>
      </c>
      <c r="B14" s="21" t="str">
        <v>CC Gen Equity</v>
      </c>
      <c r="C14" s="81">
        <f ca="1">SUM('1st Qtr'!C14, '2nd Qtr'!C14, '3rd Qtr'!C14, '4th Qtr'!C14)</f>
        <v>10382.7778156565</v>
      </c>
      <c r="D14" s="50">
        <f ca="1">SUM('1st Qtr'!D14, '2nd Qtr'!D14, '3rd Qtr'!D14, '4th Qtr'!D14)</f>
        <v>0</v>
      </c>
      <c r="E14" s="50">
        <f t="shared" ca="1" si="0"/>
        <v>10382.7778156565</v>
      </c>
      <c r="F14" s="51">
        <f t="shared" ca="1" si="1"/>
        <v>0</v>
      </c>
      <c r="G14" s="52">
        <f ca="1">SUM('1st Qtr'!G14, '2nd Qtr'!G14, '3rd Qtr'!G14, '4th Qtr'!G14)</f>
        <v>11007</v>
      </c>
      <c r="H14" s="52">
        <f t="shared" ca="1" si="2"/>
        <v>-624.22218434349998</v>
      </c>
      <c r="I14" s="53">
        <f t="shared" ca="1" si="3"/>
        <v>-5.6711382242527482E-2</v>
      </c>
    </row>
    <row r="15" spans="1:9" ht="15.75">
      <c r="A15" s="63" t="str">
        <v>Payson Gila CC</v>
      </c>
      <c r="B15" s="64" t="str">
        <v>CC Gen Equity</v>
      </c>
      <c r="C15" s="81">
        <f ca="1">SUM('1st Qtr'!C15, '2nd Qtr'!C15, '3rd Qtr'!C15, '4th Qtr'!C15)</f>
        <v>6804.58081607043</v>
      </c>
      <c r="D15" s="50">
        <f ca="1">SUM('1st Qtr'!D15, '2nd Qtr'!D15, '3rd Qtr'!D15, '4th Qtr'!D15)</f>
        <v>0</v>
      </c>
      <c r="E15" s="50">
        <f t="shared" ca="1" si="0"/>
        <v>6804.58081607043</v>
      </c>
      <c r="F15" s="51">
        <f t="shared" ca="1" si="1"/>
        <v>0</v>
      </c>
      <c r="G15" s="52">
        <f ca="1">SUM('1st Qtr'!G15, '2nd Qtr'!G15, '3rd Qtr'!G15, '4th Qtr'!G15)</f>
        <v>8517</v>
      </c>
      <c r="H15" s="52">
        <f t="shared" ca="1" si="2"/>
        <v>-1712.41918392957</v>
      </c>
      <c r="I15" s="53">
        <f t="shared" ca="1" si="3"/>
        <v>-0.20105896253722788</v>
      </c>
    </row>
    <row r="16" spans="1:9" ht="15.75">
      <c r="A16" s="59" t="str">
        <v>SCNM</v>
      </c>
      <c r="B16" s="21" t="str">
        <v>CC Gen Equity</v>
      </c>
      <c r="C16" s="81">
        <f ca="1">SUM('1st Qtr'!C16, '2nd Qtr'!C16, '3rd Qtr'!C16, '4th Qtr'!C16)</f>
        <v>51680.32</v>
      </c>
      <c r="D16" s="50">
        <f ca="1">SUM('1st Qtr'!D16, '2nd Qtr'!D16, '3rd Qtr'!D16, '4th Qtr'!D16)</f>
        <v>0</v>
      </c>
      <c r="E16" s="50">
        <f t="shared" ca="1" si="0"/>
        <v>51680.32</v>
      </c>
      <c r="F16" s="51">
        <f t="shared" ca="1" si="1"/>
        <v>0</v>
      </c>
      <c r="G16" s="52">
        <f ca="1">SUM('1st Qtr'!G16, '2nd Qtr'!G16, '3rd Qtr'!G16, '4th Qtr'!G16)</f>
        <v>28849</v>
      </c>
      <c r="H16" s="52">
        <f t="shared" ca="1" si="2"/>
        <v>22831.32</v>
      </c>
      <c r="I16" s="53">
        <f t="shared" ca="1" si="3"/>
        <v>0.79140767444278826</v>
      </c>
    </row>
    <row r="17" spans="1:9" ht="15.75">
      <c r="A17" s="63" t="str">
        <v>Sequoia Charter School</v>
      </c>
      <c r="B17" s="64" t="str">
        <v>CC Gen Equity</v>
      </c>
      <c r="C17" s="81">
        <f ca="1">SUM('1st Qtr'!C17, '2nd Qtr'!C17, '3rd Qtr'!C17, '4th Qtr'!C17)</f>
        <v>20768</v>
      </c>
      <c r="D17" s="50">
        <f ca="1">SUM('1st Qtr'!D17, '2nd Qtr'!D17, '3rd Qtr'!D17, '4th Qtr'!D17)</f>
        <v>0</v>
      </c>
      <c r="E17" s="50">
        <f t="shared" ca="1" si="0"/>
        <v>20768</v>
      </c>
      <c r="F17" s="51">
        <f t="shared" ca="1" si="1"/>
        <v>0</v>
      </c>
      <c r="G17" s="52">
        <f ca="1">SUM('1st Qtr'!G17, '2nd Qtr'!G17, '3rd Qtr'!G17, '4th Qtr'!G17)</f>
        <v>8180</v>
      </c>
      <c r="H17" s="52">
        <f t="shared" ca="1" si="2"/>
        <v>12588</v>
      </c>
      <c r="I17" s="53">
        <f t="shared" ca="1" si="3"/>
        <v>1.5388753056234719</v>
      </c>
    </row>
    <row r="18" spans="1:9" ht="15.75">
      <c r="A18" s="59" t="str">
        <v>RCAB</v>
      </c>
      <c r="B18" s="21" t="str">
        <v>GESF2</v>
      </c>
      <c r="C18" s="81">
        <f ca="1">SUM('1st Qtr'!C18, '2nd Qtr'!C18, '3rd Qtr'!C18, '4th Qtr'!C18)</f>
        <v>23135</v>
      </c>
      <c r="D18" s="50">
        <f ca="1">SUM('1st Qtr'!D18, '2nd Qtr'!D18, '3rd Qtr'!D18, '4th Qtr'!D18)</f>
        <v>43481.120000000003</v>
      </c>
      <c r="E18" s="50">
        <f t="shared" ca="1" si="0"/>
        <v>-20346.120000000003</v>
      </c>
      <c r="F18" s="51">
        <f t="shared" ca="1" si="1"/>
        <v>-0.4679299889239284</v>
      </c>
      <c r="G18" s="52">
        <f ca="1">SUM('1st Qtr'!G18, '2nd Qtr'!G18, '3rd Qtr'!G18, '4th Qtr'!G18)</f>
        <v>47410.87</v>
      </c>
      <c r="H18" s="52">
        <f t="shared" ca="1" si="2"/>
        <v>-24275.870000000003</v>
      </c>
      <c r="I18" s="53">
        <f t="shared" ca="1" si="3"/>
        <v>-0.51203173449464234</v>
      </c>
    </row>
    <row r="19" spans="1:9" ht="15.75">
      <c r="A19" s="63" t="str">
        <v>Spectro Coatings</v>
      </c>
      <c r="B19" s="64" t="str">
        <v>GESF2</v>
      </c>
      <c r="C19" s="81">
        <f ca="1">SUM('1st Qtr'!C19, '2nd Qtr'!C19, '3rd Qtr'!C19, '4th Qtr'!C19)</f>
        <v>5510.625</v>
      </c>
      <c r="D19" s="50">
        <f ca="1">SUM('1st Qtr'!D19, '2nd Qtr'!D19, '3rd Qtr'!D19, '4th Qtr'!D19)</f>
        <v>12146.73</v>
      </c>
      <c r="E19" s="50">
        <f t="shared" ca="1" si="0"/>
        <v>-6636.1049999999996</v>
      </c>
      <c r="F19" s="51">
        <f t="shared" ca="1" si="1"/>
        <v>-0.54632851804559746</v>
      </c>
      <c r="G19" s="52">
        <f ca="1">SUM('1st Qtr'!G19, '2nd Qtr'!G19, '3rd Qtr'!G19, '4th Qtr'!G19)</f>
        <v>11789.76</v>
      </c>
      <c r="H19" s="52">
        <f t="shared" ca="1" si="2"/>
        <v>-6279.1350000000002</v>
      </c>
      <c r="I19" s="53">
        <f t="shared" ca="1" si="3"/>
        <v>-0.53259226650924196</v>
      </c>
    </row>
    <row r="20" spans="1:9" ht="15.75">
      <c r="A20" s="59" t="str">
        <v>K026</v>
      </c>
      <c r="B20" s="21" t="str">
        <v>Hudson</v>
      </c>
      <c r="C20" s="81">
        <f ca="1">SUM('1st Qtr'!C20, '2nd Qtr'!C20, '3rd Qtr'!C20, '4th Qtr'!C20)</f>
        <v>7049.125</v>
      </c>
      <c r="D20" s="50">
        <f ca="1">SUM('1st Qtr'!D20, '2nd Qtr'!D20, '3rd Qtr'!D20, '4th Qtr'!D20)</f>
        <v>12398.04</v>
      </c>
      <c r="E20" s="50">
        <f t="shared" ca="1" si="0"/>
        <v>-5348.9150000000009</v>
      </c>
      <c r="F20" s="51">
        <f t="shared" ca="1" si="1"/>
        <v>-0.43143230704208091</v>
      </c>
      <c r="G20" s="52">
        <f ca="1">SUM('1st Qtr'!G20, '2nd Qtr'!G20, '3rd Qtr'!G20, '4th Qtr'!G20)</f>
        <v>18592.650000000001</v>
      </c>
      <c r="H20" s="52">
        <f t="shared" ca="1" si="2"/>
        <v>-11543.525000000001</v>
      </c>
      <c r="I20" s="53">
        <f t="shared" ca="1" si="3"/>
        <v>-0.62086496545678005</v>
      </c>
    </row>
    <row r="21" spans="1:9" ht="15.75">
      <c r="A21" s="63" t="str">
        <v>K041</v>
      </c>
      <c r="B21" s="64" t="str">
        <v>Hudson</v>
      </c>
      <c r="C21" s="81">
        <f ca="1">SUM('1st Qtr'!C21, '2nd Qtr'!C21, '3rd Qtr'!C21, '4th Qtr'!C21)</f>
        <v>2400.5965820312499</v>
      </c>
      <c r="D21" s="50">
        <f ca="1">SUM('1st Qtr'!D21, '2nd Qtr'!D21, '3rd Qtr'!D21, '4th Qtr'!D21)</f>
        <v>0</v>
      </c>
      <c r="E21" s="50">
        <f t="shared" ca="1" si="0"/>
        <v>2400.5965820312499</v>
      </c>
      <c r="F21" s="51">
        <f t="shared" ca="1" si="1"/>
        <v>0</v>
      </c>
      <c r="G21" s="52">
        <f ca="1">SUM('1st Qtr'!G21, '2nd Qtr'!G21, '3rd Qtr'!G21, '4th Qtr'!G21)</f>
        <v>0</v>
      </c>
      <c r="H21" s="52">
        <f t="shared" ca="1" si="2"/>
        <v>2400.5965820312499</v>
      </c>
      <c r="I21" s="53">
        <f t="shared" ca="1" si="3"/>
        <v>0</v>
      </c>
    </row>
    <row r="22" spans="1:9" ht="15.75">
      <c r="A22" s="59" t="str">
        <v>K043</v>
      </c>
      <c r="B22" s="21" t="str">
        <v>Hudson</v>
      </c>
      <c r="C22" s="81">
        <f ca="1">SUM('1st Qtr'!C22, '2nd Qtr'!C22, '3rd Qtr'!C22, '4th Qtr'!C22)</f>
        <v>7037.328125</v>
      </c>
      <c r="D22" s="50">
        <f ca="1">SUM('1st Qtr'!D22, '2nd Qtr'!D22, '3rd Qtr'!D22, '4th Qtr'!D22)</f>
        <v>10909.38</v>
      </c>
      <c r="E22" s="50">
        <f t="shared" ca="1" si="0"/>
        <v>-3872.0518749999992</v>
      </c>
      <c r="F22" s="51">
        <f t="shared" ca="1" si="1"/>
        <v>-0.35492868293156893</v>
      </c>
      <c r="G22" s="52">
        <f ca="1">SUM('1st Qtr'!G22, '2nd Qtr'!G22, '3rd Qtr'!G22, '4th Qtr'!G22)</f>
        <v>20258</v>
      </c>
      <c r="H22" s="52">
        <f t="shared" ca="1" si="2"/>
        <v>-13220.671875</v>
      </c>
      <c r="I22" s="53">
        <f t="shared" ca="1" si="3"/>
        <v>-0.65261486202981533</v>
      </c>
    </row>
    <row r="23" spans="1:9" ht="15.75">
      <c r="A23" s="63" t="str">
        <v>K058</v>
      </c>
      <c r="B23" s="64" t="str">
        <v>Hudson</v>
      </c>
      <c r="C23" s="81">
        <f ca="1">SUM('1st Qtr'!C23, '2nd Qtr'!C23, '3rd Qtr'!C23, '4th Qtr'!C23)</f>
        <v>5262.6875</v>
      </c>
      <c r="D23" s="50">
        <f ca="1">SUM('1st Qtr'!D23, '2nd Qtr'!D23, '3rd Qtr'!D23, '4th Qtr'!D23)</f>
        <v>8705.5619999999999</v>
      </c>
      <c r="E23" s="50">
        <f t="shared" ca="1" si="0"/>
        <v>-3442.8744999999999</v>
      </c>
      <c r="F23" s="51">
        <f t="shared" ca="1" si="1"/>
        <v>-0.39547986677942215</v>
      </c>
      <c r="G23" s="52">
        <f ca="1">SUM('1st Qtr'!G23, '2nd Qtr'!G23, '3rd Qtr'!G23, '4th Qtr'!G23)</f>
        <v>13134.4</v>
      </c>
      <c r="H23" s="52">
        <f t="shared" ca="1" si="2"/>
        <v>-7871.7124999999996</v>
      </c>
      <c r="I23" s="53">
        <f t="shared" ca="1" si="3"/>
        <v>-0.59932029632111095</v>
      </c>
    </row>
    <row r="24" spans="1:9" ht="15.75">
      <c r="A24" s="59" t="str">
        <v>K115</v>
      </c>
      <c r="B24" s="21" t="str">
        <v>Hudson</v>
      </c>
      <c r="C24" s="81">
        <f ca="1">SUM('1st Qtr'!C24, '2nd Qtr'!C24, '3rd Qtr'!C24, '4th Qtr'!C24)</f>
        <v>1496.6525963930401</v>
      </c>
      <c r="D24" s="50">
        <f ca="1">SUM('1st Qtr'!D24, '2nd Qtr'!D24, '3rd Qtr'!D24, '4th Qtr'!D24)</f>
        <v>5139.6459999999997</v>
      </c>
      <c r="E24" s="50">
        <f t="shared" ca="1" si="0"/>
        <v>-3642.9934036069599</v>
      </c>
      <c r="F24" s="51">
        <f t="shared" ca="1" si="1"/>
        <v>-0.70880239682012347</v>
      </c>
      <c r="G24" s="52">
        <f ca="1">SUM('1st Qtr'!G24, '2nd Qtr'!G24, '3rd Qtr'!G24, '4th Qtr'!G24)</f>
        <v>4549.33</v>
      </c>
      <c r="H24" s="52">
        <f t="shared" ca="1" si="2"/>
        <v>-3052.6774036069601</v>
      </c>
      <c r="I24" s="53">
        <f t="shared" ca="1" si="3"/>
        <v>-0.67101691976773725</v>
      </c>
    </row>
    <row r="25" spans="1:9" ht="15.75">
      <c r="A25" s="63" t="str">
        <v>K152</v>
      </c>
      <c r="B25" s="64" t="str">
        <v>Hudson</v>
      </c>
      <c r="C25" s="81">
        <f ca="1">SUM('1st Qtr'!C25, '2nd Qtr'!C25, '3rd Qtr'!C25, '4th Qtr'!C25)</f>
        <v>1927.1875</v>
      </c>
      <c r="D25" s="50">
        <f ca="1">SUM('1st Qtr'!D25, '2nd Qtr'!D25, '3rd Qtr'!D25, '4th Qtr'!D25)</f>
        <v>3008.1570000000002</v>
      </c>
      <c r="E25" s="50">
        <f t="shared" ca="1" si="0"/>
        <v>-1080.9695000000002</v>
      </c>
      <c r="F25" s="51">
        <f t="shared" ca="1" si="1"/>
        <v>-0.3593461046082369</v>
      </c>
      <c r="G25" s="52">
        <f ca="1">SUM('1st Qtr'!G25, '2nd Qtr'!G25, '3rd Qtr'!G25, '4th Qtr'!G25)</f>
        <v>798</v>
      </c>
      <c r="H25" s="52">
        <f t="shared" ca="1" si="2"/>
        <v>1129.1875</v>
      </c>
      <c r="I25" s="53">
        <f t="shared" ca="1" si="3"/>
        <v>1.4150219298245614</v>
      </c>
    </row>
    <row r="26" spans="1:9" ht="15.75">
      <c r="A26" s="59" t="str">
        <v>K166</v>
      </c>
      <c r="B26" s="21" t="str">
        <v>Hudson</v>
      </c>
      <c r="C26" s="81">
        <f ca="1">SUM('1st Qtr'!C26, '2nd Qtr'!C26, '3rd Qtr'!C26, '4th Qtr'!C26)</f>
        <v>7390.625</v>
      </c>
      <c r="D26" s="50">
        <f ca="1">SUM('1st Qtr'!D26, '2nd Qtr'!D26, '3rd Qtr'!D26, '4th Qtr'!D26)</f>
        <v>11891.79</v>
      </c>
      <c r="E26" s="50">
        <f t="shared" ca="1" si="0"/>
        <v>-4501.1650000000009</v>
      </c>
      <c r="F26" s="51">
        <f t="shared" ca="1" si="1"/>
        <v>-0.37851029996325203</v>
      </c>
      <c r="G26" s="52">
        <f ca="1">SUM('1st Qtr'!G26, '2nd Qtr'!G26, '3rd Qtr'!G26, '4th Qtr'!G26)</f>
        <v>18302.04</v>
      </c>
      <c r="H26" s="52">
        <f t="shared" ca="1" si="2"/>
        <v>-10911.415000000001</v>
      </c>
      <c r="I26" s="53">
        <f t="shared" ca="1" si="3"/>
        <v>-0.59618572574423401</v>
      </c>
    </row>
    <row r="27" spans="1:9" ht="15.75">
      <c r="A27" s="63" t="str">
        <v>K206</v>
      </c>
      <c r="B27" s="64" t="str">
        <v>Hudson</v>
      </c>
      <c r="C27" s="81">
        <f ca="1">SUM('1st Qtr'!C27, '2nd Qtr'!C27, '3rd Qtr'!C27, '4th Qtr'!C27)</f>
        <v>4600.7732192947096</v>
      </c>
      <c r="D27" s="50">
        <f ca="1">SUM('1st Qtr'!D27, '2nd Qtr'!D27, '3rd Qtr'!D27, '4th Qtr'!D27)</f>
        <v>0</v>
      </c>
      <c r="E27" s="50">
        <f t="shared" ca="1" si="0"/>
        <v>4600.7732192947096</v>
      </c>
      <c r="F27" s="51">
        <f t="shared" ca="1" si="1"/>
        <v>0</v>
      </c>
      <c r="G27" s="52">
        <f ca="1">SUM('1st Qtr'!G27, '2nd Qtr'!G27, '3rd Qtr'!G27, '4th Qtr'!G27)</f>
        <v>0</v>
      </c>
      <c r="H27" s="52">
        <f t="shared" ca="1" si="2"/>
        <v>4600.7732192947096</v>
      </c>
      <c r="I27" s="53">
        <f t="shared" ca="1" si="3"/>
        <v>0</v>
      </c>
    </row>
    <row r="28" spans="1:9" ht="15.75">
      <c r="A28" s="59" t="str">
        <v>K251</v>
      </c>
      <c r="B28" s="21" t="str">
        <v>Hudson</v>
      </c>
      <c r="C28" s="81">
        <f ca="1">SUM('1st Qtr'!C28, '2nd Qtr'!C28, '3rd Qtr'!C28, '4th Qtr'!C28)</f>
        <v>4966.375</v>
      </c>
      <c r="D28" s="50">
        <f ca="1">SUM('1st Qtr'!D28, '2nd Qtr'!D28, '3rd Qtr'!D28, '4th Qtr'!D28)</f>
        <v>7470.1769999999997</v>
      </c>
      <c r="E28" s="50">
        <f t="shared" ca="1" si="0"/>
        <v>-2503.8019999999997</v>
      </c>
      <c r="F28" s="51">
        <f t="shared" ca="1" si="1"/>
        <v>-0.33517304877782678</v>
      </c>
      <c r="G28" s="52">
        <f ca="1">SUM('1st Qtr'!G28, '2nd Qtr'!G28, '3rd Qtr'!G28, '4th Qtr'!G28)</f>
        <v>9815.6869999999999</v>
      </c>
      <c r="H28" s="52">
        <f t="shared" ca="1" si="2"/>
        <v>-4849.3119999999999</v>
      </c>
      <c r="I28" s="53">
        <f t="shared" ca="1" si="3"/>
        <v>-0.49403694310953478</v>
      </c>
    </row>
    <row r="29" spans="1:9" ht="15.75">
      <c r="A29" s="63" t="str">
        <v>K269</v>
      </c>
      <c r="B29" s="64" t="str">
        <v>Hudson</v>
      </c>
      <c r="C29" s="81">
        <f ca="1">SUM('1st Qtr'!C29, '2nd Qtr'!C29, '3rd Qtr'!C29, '4th Qtr'!C29)</f>
        <v>4328.3125</v>
      </c>
      <c r="D29" s="50">
        <f ca="1">SUM('1st Qtr'!D29, '2nd Qtr'!D29, '3rd Qtr'!D29, '4th Qtr'!D29)</f>
        <v>0</v>
      </c>
      <c r="E29" s="50">
        <f t="shared" ca="1" si="0"/>
        <v>4328.3125</v>
      </c>
      <c r="F29" s="51">
        <f t="shared" ca="1" si="1"/>
        <v>0</v>
      </c>
      <c r="G29" s="52">
        <f ca="1">SUM('1st Qtr'!G29, '2nd Qtr'!G29, '3rd Qtr'!G29, '4th Qtr'!G29)</f>
        <v>10978.73</v>
      </c>
      <c r="H29" s="52">
        <f t="shared" ca="1" si="2"/>
        <v>-6650.4174999999996</v>
      </c>
      <c r="I29" s="53">
        <f t="shared" ca="1" si="3"/>
        <v>-0.60575471844193274</v>
      </c>
    </row>
    <row r="30" spans="1:9" ht="15.75">
      <c r="A30" s="59" t="str">
        <v>K273</v>
      </c>
      <c r="B30" s="21" t="str">
        <v>Hudson</v>
      </c>
      <c r="C30" s="81">
        <f ca="1">SUM('1st Qtr'!C30, '2nd Qtr'!C30, '3rd Qtr'!C30, '4th Qtr'!C30)</f>
        <v>5062.03125</v>
      </c>
      <c r="D30" s="50">
        <f ca="1">SUM('1st Qtr'!D30, '2nd Qtr'!D30, '3rd Qtr'!D30, '4th Qtr'!D30)</f>
        <v>0</v>
      </c>
      <c r="E30" s="50">
        <f t="shared" ca="1" si="0"/>
        <v>5062.03125</v>
      </c>
      <c r="F30" s="51">
        <f t="shared" ca="1" si="1"/>
        <v>0</v>
      </c>
      <c r="G30" s="52">
        <f ca="1">SUM('1st Qtr'!G30, '2nd Qtr'!G30, '3rd Qtr'!G30, '4th Qtr'!G30)</f>
        <v>11224</v>
      </c>
      <c r="H30" s="52">
        <f t="shared" ca="1" si="2"/>
        <v>-6161.96875</v>
      </c>
      <c r="I30" s="53">
        <f t="shared" ca="1" si="3"/>
        <v>-0.54899935406272271</v>
      </c>
    </row>
    <row r="31" spans="1:9" ht="15.75">
      <c r="A31" s="63" t="str">
        <v>K287</v>
      </c>
      <c r="B31" s="64" t="str">
        <v>Hudson</v>
      </c>
      <c r="C31" s="81">
        <f ca="1">SUM('1st Qtr'!C31, '2nd Qtr'!C31, '3rd Qtr'!C31, '4th Qtr'!C31)</f>
        <v>3720.0499218750001</v>
      </c>
      <c r="D31" s="50">
        <f ca="1">SUM('1st Qtr'!D31, '2nd Qtr'!D31, '3rd Qtr'!D31, '4th Qtr'!D31)</f>
        <v>5487.5860000000002</v>
      </c>
      <c r="E31" s="50">
        <f t="shared" ca="1" si="0"/>
        <v>-1767.5360781250001</v>
      </c>
      <c r="F31" s="51">
        <f t="shared" ca="1" si="1"/>
        <v>-0.32209719868171544</v>
      </c>
      <c r="G31" s="52">
        <f ca="1">SUM('1st Qtr'!G31, '2nd Qtr'!G31, '3rd Qtr'!G31, '4th Qtr'!G31)</f>
        <v>0</v>
      </c>
      <c r="H31" s="52">
        <f t="shared" ca="1" si="2"/>
        <v>3720.0499218750001</v>
      </c>
      <c r="I31" s="53">
        <f t="shared" ca="1" si="3"/>
        <v>0</v>
      </c>
    </row>
    <row r="32" spans="1:9" ht="15.75">
      <c r="A32" s="59" t="str">
        <v>K298</v>
      </c>
      <c r="B32" s="21" t="str">
        <v>Hudson</v>
      </c>
      <c r="C32" s="81">
        <f ca="1">SUM('1st Qtr'!C32, '2nd Qtr'!C32, '3rd Qtr'!C32, '4th Qtr'!C32)</f>
        <v>3421.078125</v>
      </c>
      <c r="D32" s="50">
        <f ca="1">SUM('1st Qtr'!D32, '2nd Qtr'!D32, '3rd Qtr'!D32, '4th Qtr'!D32)</f>
        <v>7008.5879999999997</v>
      </c>
      <c r="E32" s="50">
        <f t="shared" ca="1" si="0"/>
        <v>-3587.5098749999997</v>
      </c>
      <c r="F32" s="51">
        <f t="shared" ca="1" si="1"/>
        <v>-0.51187341515865958</v>
      </c>
      <c r="G32" s="52">
        <f ca="1">SUM('1st Qtr'!G32, '2nd Qtr'!G32, '3rd Qtr'!G32, '4th Qtr'!G32)</f>
        <v>0</v>
      </c>
      <c r="H32" s="52">
        <f t="shared" ca="1" si="2"/>
        <v>3421.078125</v>
      </c>
      <c r="I32" s="53">
        <f t="shared" ca="1" si="3"/>
        <v>0</v>
      </c>
    </row>
    <row r="33" spans="1:9" ht="15.75">
      <c r="A33" s="63" t="str">
        <v>K335</v>
      </c>
      <c r="B33" s="64" t="str">
        <v>Hudson</v>
      </c>
      <c r="C33" s="81">
        <f ca="1">SUM('1st Qtr'!C33, '2nd Qtr'!C33, '3rd Qtr'!C33, '4th Qtr'!C33)</f>
        <v>4100.5625</v>
      </c>
      <c r="D33" s="50">
        <f ca="1">SUM('1st Qtr'!D33, '2nd Qtr'!D33, '3rd Qtr'!D33, '4th Qtr'!D33)</f>
        <v>7358.259</v>
      </c>
      <c r="E33" s="50">
        <f t="shared" ca="1" si="0"/>
        <v>-3257.6965</v>
      </c>
      <c r="F33" s="51">
        <f t="shared" ca="1" si="1"/>
        <v>-0.44272653354550306</v>
      </c>
      <c r="G33" s="52">
        <f ca="1">SUM('1st Qtr'!G33, '2nd Qtr'!G33, '3rd Qtr'!G33, '4th Qtr'!G33)</f>
        <v>11610</v>
      </c>
      <c r="H33" s="52">
        <f t="shared" ca="1" si="2"/>
        <v>-7509.4375</v>
      </c>
      <c r="I33" s="53">
        <f t="shared" ca="1" si="3"/>
        <v>-0.64680770887166239</v>
      </c>
    </row>
    <row r="34" spans="1:9" ht="15.75">
      <c r="A34" s="59" t="str">
        <v>K345</v>
      </c>
      <c r="B34" s="21" t="str">
        <v>Hudson</v>
      </c>
      <c r="C34" s="81">
        <f ca="1">SUM('1st Qtr'!C34, '2nd Qtr'!C34, '3rd Qtr'!C34, '4th Qtr'!C34)</f>
        <v>4561.296875</v>
      </c>
      <c r="D34" s="50">
        <f ca="1">SUM('1st Qtr'!D34, '2nd Qtr'!D34, '3rd Qtr'!D34, '4th Qtr'!D34)</f>
        <v>0</v>
      </c>
      <c r="E34" s="50">
        <f t="shared" ca="1" si="0"/>
        <v>4561.296875</v>
      </c>
      <c r="F34" s="51">
        <f t="shared" ca="1" si="1"/>
        <v>0</v>
      </c>
      <c r="G34" s="52">
        <f ca="1">SUM('1st Qtr'!G34, '2nd Qtr'!G34, '3rd Qtr'!G34, '4th Qtr'!G34)</f>
        <v>0</v>
      </c>
      <c r="H34" s="52">
        <f t="shared" ca="1" si="2"/>
        <v>4561.296875</v>
      </c>
      <c r="I34" s="53">
        <f t="shared" ca="1" si="3"/>
        <v>0</v>
      </c>
    </row>
    <row r="35" spans="1:9" ht="15.75">
      <c r="A35" s="63" t="str">
        <v>K445</v>
      </c>
      <c r="B35" s="64" t="str">
        <v>Hudson</v>
      </c>
      <c r="C35" s="81">
        <f ca="1">SUM('1st Qtr'!C35, '2nd Qtr'!C35, '3rd Qtr'!C35, '4th Qtr'!C35)</f>
        <v>4488.8050683593801</v>
      </c>
      <c r="D35" s="50">
        <f ca="1">SUM('1st Qtr'!D35, '2nd Qtr'!D35, '3rd Qtr'!D35, '4th Qtr'!D35)</f>
        <v>0</v>
      </c>
      <c r="E35" s="50">
        <f t="shared" ca="1" si="0"/>
        <v>4488.8050683593801</v>
      </c>
      <c r="F35" s="51">
        <f t="shared" ca="1" si="1"/>
        <v>0</v>
      </c>
      <c r="G35" s="52">
        <f ca="1">SUM('1st Qtr'!G35, '2nd Qtr'!G35, '3rd Qtr'!G35, '4th Qtr'!G35)</f>
        <v>0</v>
      </c>
      <c r="H35" s="52">
        <f t="shared" ca="1" si="2"/>
        <v>4488.8050683593801</v>
      </c>
      <c r="I35" s="53">
        <f t="shared" ca="1" si="3"/>
        <v>0</v>
      </c>
    </row>
    <row r="36" spans="1:9" ht="15.75">
      <c r="A36" s="59" t="str">
        <v>K495</v>
      </c>
      <c r="B36" s="21" t="str">
        <v>Hudson</v>
      </c>
      <c r="C36" s="81">
        <f ca="1">SUM('1st Qtr'!C36, '2nd Qtr'!C36, '3rd Qtr'!C36, '4th Qtr'!C36)</f>
        <v>20449.1875</v>
      </c>
      <c r="D36" s="50">
        <f ca="1">SUM('1st Qtr'!D36, '2nd Qtr'!D36, '3rd Qtr'!D36, '4th Qtr'!D36)</f>
        <v>0</v>
      </c>
      <c r="E36" s="50">
        <f t="shared" ca="1" si="0"/>
        <v>20449.1875</v>
      </c>
      <c r="F36" s="51">
        <f t="shared" ca="1" si="1"/>
        <v>0</v>
      </c>
      <c r="G36" s="52">
        <f ca="1">SUM('1st Qtr'!G36, '2nd Qtr'!G36, '3rd Qtr'!G36, '4th Qtr'!G36)</f>
        <v>0</v>
      </c>
      <c r="H36" s="52">
        <f t="shared" ca="1" si="2"/>
        <v>20449.1875</v>
      </c>
      <c r="I36" s="53">
        <f t="shared" ca="1" si="3"/>
        <v>0</v>
      </c>
    </row>
    <row r="37" spans="1:9" ht="15.75">
      <c r="A37" s="63" t="str">
        <v>M020</v>
      </c>
      <c r="B37" s="64" t="str">
        <v>Hudson</v>
      </c>
      <c r="C37" s="81">
        <f ca="1">SUM('1st Qtr'!C37, '2nd Qtr'!C37, '3rd Qtr'!C37, '4th Qtr'!C37)</f>
        <v>4382.65625</v>
      </c>
      <c r="D37" s="50">
        <f ca="1">SUM('1st Qtr'!D37, '2nd Qtr'!D37, '3rd Qtr'!D37, '4th Qtr'!D37)</f>
        <v>7052.3590000000004</v>
      </c>
      <c r="E37" s="50">
        <f t="shared" ca="1" si="0"/>
        <v>-2669.7027500000004</v>
      </c>
      <c r="F37" s="51">
        <f t="shared" ca="1" si="1"/>
        <v>-0.37855457301592277</v>
      </c>
      <c r="G37" s="52">
        <f ca="1">SUM('1st Qtr'!G37, '2nd Qtr'!G37, '3rd Qtr'!G37, '4th Qtr'!G37)</f>
        <v>0</v>
      </c>
      <c r="H37" s="52">
        <f t="shared" ca="1" si="2"/>
        <v>4382.65625</v>
      </c>
      <c r="I37" s="53">
        <f t="shared" ca="1" si="3"/>
        <v>0</v>
      </c>
    </row>
    <row r="38" spans="1:9" ht="15.75">
      <c r="A38" s="59" t="str">
        <v>M092</v>
      </c>
      <c r="B38" s="21" t="str">
        <v>Hudson</v>
      </c>
      <c r="C38" s="81">
        <f ca="1">SUM('1st Qtr'!C38, '2nd Qtr'!C38, '3rd Qtr'!C38, '4th Qtr'!C38)</f>
        <v>4470.75</v>
      </c>
      <c r="D38" s="50">
        <f ca="1">SUM('1st Qtr'!D38, '2nd Qtr'!D38, '3rd Qtr'!D38, '4th Qtr'!D38)</f>
        <v>7217.8190000000004</v>
      </c>
      <c r="E38" s="50">
        <f t="shared" ca="1" si="0"/>
        <v>-2747.0690000000004</v>
      </c>
      <c r="F38" s="51">
        <f t="shared" ca="1" si="1"/>
        <v>-0.38059544025695302</v>
      </c>
      <c r="G38" s="52">
        <f ca="1">SUM('1st Qtr'!G38, '2nd Qtr'!G38, '3rd Qtr'!G38, '4th Qtr'!G38)</f>
        <v>11299.41</v>
      </c>
      <c r="H38" s="52">
        <f t="shared" ca="1" si="2"/>
        <v>-6828.66</v>
      </c>
      <c r="I38" s="53">
        <f t="shared" ca="1" si="3"/>
        <v>-0.60433774860811318</v>
      </c>
    </row>
    <row r="39" spans="1:9" ht="15.75">
      <c r="A39" s="63" t="str">
        <v>M143</v>
      </c>
      <c r="B39" s="64" t="str">
        <v>Hudson</v>
      </c>
      <c r="C39" s="81">
        <f ca="1">SUM('1st Qtr'!C39, '2nd Qtr'!C39, '3rd Qtr'!C39, '4th Qtr'!C39)</f>
        <v>4964.5</v>
      </c>
      <c r="D39" s="50">
        <f ca="1">SUM('1st Qtr'!D39, '2nd Qtr'!D39, '3rd Qtr'!D39, '4th Qtr'!D39)</f>
        <v>7892.9740000000002</v>
      </c>
      <c r="E39" s="50">
        <f t="shared" ca="1" si="0"/>
        <v>-2928.4740000000002</v>
      </c>
      <c r="F39" s="51">
        <f t="shared" ca="1" si="1"/>
        <v>-0.37102288693716717</v>
      </c>
      <c r="G39" s="52">
        <f ca="1">SUM('1st Qtr'!G39, '2nd Qtr'!G39, '3rd Qtr'!G39, '4th Qtr'!G39)</f>
        <v>15533.26</v>
      </c>
      <c r="H39" s="52">
        <f t="shared" ca="1" si="2"/>
        <v>-10568.76</v>
      </c>
      <c r="I39" s="53">
        <f t="shared" ca="1" si="3"/>
        <v>-0.6803954868456461</v>
      </c>
    </row>
    <row r="40" spans="1:9" ht="15.75">
      <c r="A40" s="59" t="str">
        <v>M144</v>
      </c>
      <c r="B40" s="21" t="str">
        <v>Hudson</v>
      </c>
      <c r="C40" s="81">
        <f ca="1">SUM('1st Qtr'!C40, '2nd Qtr'!C40, '3rd Qtr'!C40, '4th Qtr'!C40)</f>
        <v>7482.359375</v>
      </c>
      <c r="D40" s="50">
        <f ca="1">SUM('1st Qtr'!D40, '2nd Qtr'!D40, '3rd Qtr'!D40, '4th Qtr'!D40)</f>
        <v>0</v>
      </c>
      <c r="E40" s="50">
        <f t="shared" ca="1" si="0"/>
        <v>7482.359375</v>
      </c>
      <c r="F40" s="51">
        <f t="shared" ca="1" si="1"/>
        <v>0</v>
      </c>
      <c r="G40" s="52">
        <f ca="1">SUM('1st Qtr'!G40, '2nd Qtr'!G40, '3rd Qtr'!G40, '4th Qtr'!G40)</f>
        <v>0</v>
      </c>
      <c r="H40" s="52">
        <f t="shared" ca="1" si="2"/>
        <v>7482.359375</v>
      </c>
      <c r="I40" s="53">
        <f t="shared" ca="1" si="3"/>
        <v>0</v>
      </c>
    </row>
    <row r="41" spans="1:9" ht="15.75">
      <c r="A41" s="63" t="str">
        <v>M167</v>
      </c>
      <c r="B41" s="64" t="str">
        <v>Hudson</v>
      </c>
      <c r="C41" s="81">
        <f ca="1">SUM('1st Qtr'!C41, '2nd Qtr'!C41, '3rd Qtr'!C41, '4th Qtr'!C41)</f>
        <v>4434</v>
      </c>
      <c r="D41" s="50">
        <f ca="1">SUM('1st Qtr'!D41, '2nd Qtr'!D41, '3rd Qtr'!D41, '4th Qtr'!D41)</f>
        <v>5657</v>
      </c>
      <c r="E41" s="50">
        <f t="shared" ca="1" si="0"/>
        <v>-1223</v>
      </c>
      <c r="F41" s="51">
        <f t="shared" ca="1" si="1"/>
        <v>-0.21619232808909317</v>
      </c>
      <c r="G41" s="52">
        <f ca="1">SUM('1st Qtr'!G41, '2nd Qtr'!G41, '3rd Qtr'!G41, '4th Qtr'!G41)</f>
        <v>10982</v>
      </c>
      <c r="H41" s="52">
        <f t="shared" ca="1" si="2"/>
        <v>-6548</v>
      </c>
      <c r="I41" s="53">
        <f t="shared" ca="1" si="3"/>
        <v>-0.59624840648333632</v>
      </c>
    </row>
    <row r="42" spans="1:9" ht="15.75">
      <c r="A42" s="59" t="str">
        <v>M188</v>
      </c>
      <c r="B42" s="21" t="str">
        <v>Hudson</v>
      </c>
      <c r="C42" s="81">
        <f ca="1">SUM('1st Qtr'!C42, '2nd Qtr'!C42, '3rd Qtr'!C42, '4th Qtr'!C42)</f>
        <v>3879.9296875</v>
      </c>
      <c r="D42" s="50">
        <f ca="1">SUM('1st Qtr'!D42, '2nd Qtr'!D42, '3rd Qtr'!D42, '4th Qtr'!D42)</f>
        <v>0</v>
      </c>
      <c r="E42" s="50">
        <f t="shared" ca="1" si="0"/>
        <v>3879.9296875</v>
      </c>
      <c r="F42" s="51">
        <f t="shared" ca="1" si="1"/>
        <v>0</v>
      </c>
      <c r="G42" s="52">
        <f ca="1">SUM('1st Qtr'!G42, '2nd Qtr'!G42, '3rd Qtr'!G42, '4th Qtr'!G42)</f>
        <v>0</v>
      </c>
      <c r="H42" s="52">
        <f t="shared" ca="1" si="2"/>
        <v>3879.9296875</v>
      </c>
      <c r="I42" s="53">
        <f t="shared" ca="1" si="3"/>
        <v>0</v>
      </c>
    </row>
    <row r="43" spans="1:9" ht="15.75">
      <c r="A43" s="63" t="str">
        <v>EMHC</v>
      </c>
      <c r="B43" s="64" t="str">
        <v>Hudson</v>
      </c>
      <c r="C43" s="81">
        <f ca="1">SUM('1st Qtr'!C43, '2nd Qtr'!C43, '3rd Qtr'!C43, '4th Qtr'!C43)</f>
        <v>911</v>
      </c>
      <c r="D43" s="50">
        <f ca="1">SUM('1st Qtr'!D43, '2nd Qtr'!D43, '3rd Qtr'!D43, '4th Qtr'!D43)</f>
        <v>0</v>
      </c>
      <c r="E43" s="50">
        <f t="shared" ca="1" si="0"/>
        <v>911</v>
      </c>
      <c r="F43" s="51">
        <f t="shared" ca="1" si="1"/>
        <v>0</v>
      </c>
      <c r="G43" s="52">
        <f ca="1">SUM('1st Qtr'!G43, '2nd Qtr'!G43, '3rd Qtr'!G43, '4th Qtr'!G43)</f>
        <v>0</v>
      </c>
      <c r="H43" s="52">
        <f t="shared" ca="1" si="2"/>
        <v>911</v>
      </c>
      <c r="I43" s="53">
        <f t="shared" ca="1" si="3"/>
        <v>0</v>
      </c>
    </row>
    <row r="44" spans="1:9" ht="15.75">
      <c r="A44" s="59" t="str">
        <v>Q008</v>
      </c>
      <c r="B44" s="21" t="str">
        <v>Hudson</v>
      </c>
      <c r="C44" s="81">
        <f ca="1">SUM('1st Qtr'!C44, '2nd Qtr'!C44, '3rd Qtr'!C44, '4th Qtr'!C44)</f>
        <v>6839.03125</v>
      </c>
      <c r="D44" s="50">
        <f ca="1">SUM('1st Qtr'!D44, '2nd Qtr'!D44, '3rd Qtr'!D44, '4th Qtr'!D44)</f>
        <v>9522.7690000000002</v>
      </c>
      <c r="E44" s="50">
        <f t="shared" ca="1" si="0"/>
        <v>-2683.7377500000002</v>
      </c>
      <c r="F44" s="51">
        <f t="shared" ca="1" si="1"/>
        <v>-0.281823254349654</v>
      </c>
      <c r="G44" s="52">
        <f ca="1">SUM('1st Qtr'!G44, '2nd Qtr'!G44, '3rd Qtr'!G44, '4th Qtr'!G44)</f>
        <v>15253</v>
      </c>
      <c r="H44" s="52">
        <f t="shared" ca="1" si="2"/>
        <v>-8413.96875</v>
      </c>
      <c r="I44" s="53">
        <f t="shared" ca="1" si="3"/>
        <v>-0.55162713892349047</v>
      </c>
    </row>
    <row r="45" spans="1:9" ht="15.75">
      <c r="A45" s="63" t="str">
        <v>Q018</v>
      </c>
      <c r="B45" s="64" t="str">
        <v>Hudson</v>
      </c>
      <c r="C45" s="81">
        <f ca="1">SUM('1st Qtr'!C45, '2nd Qtr'!C45, '3rd Qtr'!C45, '4th Qtr'!C45)</f>
        <v>4357.5</v>
      </c>
      <c r="D45" s="50">
        <f ca="1">SUM('1st Qtr'!D45, '2nd Qtr'!D45, '3rd Qtr'!D45, '4th Qtr'!D45)</f>
        <v>5639.9430000000002</v>
      </c>
      <c r="E45" s="50">
        <f t="shared" ca="1" si="0"/>
        <v>-1282.4430000000002</v>
      </c>
      <c r="F45" s="51">
        <f t="shared" ca="1" si="1"/>
        <v>-0.2273858086863644</v>
      </c>
      <c r="G45" s="52">
        <f ca="1">SUM('1st Qtr'!G45, '2nd Qtr'!G45, '3rd Qtr'!G45, '4th Qtr'!G45)</f>
        <v>9568.2369999999992</v>
      </c>
      <c r="H45" s="52">
        <f t="shared" ca="1" si="2"/>
        <v>-5210.7369999999992</v>
      </c>
      <c r="I45" s="53">
        <f t="shared" ca="1" si="3"/>
        <v>-0.54458694950804409</v>
      </c>
    </row>
    <row r="46" spans="1:9" ht="15.75">
      <c r="A46" s="59" t="str">
        <v>Q021</v>
      </c>
      <c r="B46" s="21" t="str">
        <v>Hudson</v>
      </c>
      <c r="C46" s="81">
        <f ca="1">SUM('1st Qtr'!C46, '2nd Qtr'!C46, '3rd Qtr'!C46, '4th Qtr'!C46)</f>
        <v>3435.6875</v>
      </c>
      <c r="D46" s="50">
        <f ca="1">SUM('1st Qtr'!D46, '2nd Qtr'!D46, '3rd Qtr'!D46, '4th Qtr'!D46)</f>
        <v>6008.808</v>
      </c>
      <c r="E46" s="50">
        <f t="shared" ca="1" si="0"/>
        <v>-2573.1205</v>
      </c>
      <c r="F46" s="51">
        <f t="shared" ca="1" si="1"/>
        <v>-0.42822478268568409</v>
      </c>
      <c r="G46" s="52">
        <f ca="1">SUM('1st Qtr'!G46, '2nd Qtr'!G46, '3rd Qtr'!G46, '4th Qtr'!G46)</f>
        <v>4290.74</v>
      </c>
      <c r="H46" s="52">
        <f t="shared" ca="1" si="2"/>
        <v>-855.05249999999978</v>
      </c>
      <c r="I46" s="53">
        <f t="shared" ca="1" si="3"/>
        <v>-0.19927856267217306</v>
      </c>
    </row>
    <row r="47" spans="1:9" ht="15.75">
      <c r="A47" s="63" t="str">
        <v>Q025</v>
      </c>
      <c r="B47" s="64" t="str">
        <v>Hudson</v>
      </c>
      <c r="C47" s="81">
        <f ca="1">SUM('1st Qtr'!C47, '2nd Qtr'!C47, '3rd Qtr'!C47, '4th Qtr'!C47)</f>
        <v>6042.5</v>
      </c>
      <c r="D47" s="50">
        <f ca="1">SUM('1st Qtr'!D47, '2nd Qtr'!D47, '3rd Qtr'!D47, '4th Qtr'!D47)</f>
        <v>9148.84</v>
      </c>
      <c r="E47" s="50">
        <f t="shared" ca="1" si="0"/>
        <v>-3106.34</v>
      </c>
      <c r="F47" s="51">
        <f t="shared" ca="1" si="1"/>
        <v>-0.33953375509900707</v>
      </c>
      <c r="G47" s="52">
        <f ca="1">SUM('1st Qtr'!G47, '2nd Qtr'!G47, '3rd Qtr'!G47, '4th Qtr'!G47)</f>
        <v>7767</v>
      </c>
      <c r="H47" s="52">
        <f t="shared" ca="1" si="2"/>
        <v>-1724.5</v>
      </c>
      <c r="I47" s="53">
        <f t="shared" ca="1" si="3"/>
        <v>-0.22202909746362817</v>
      </c>
    </row>
    <row r="48" spans="1:9" ht="15.75">
      <c r="A48" s="59" t="str">
        <v>Q074</v>
      </c>
      <c r="B48" s="21" t="str">
        <v>Hudson</v>
      </c>
      <c r="C48" s="81">
        <f ca="1">SUM('1st Qtr'!C48, '2nd Qtr'!C48, '3rd Qtr'!C48, '4th Qtr'!C48)</f>
        <v>3737.71875</v>
      </c>
      <c r="D48" s="50">
        <f ca="1">SUM('1st Qtr'!D48, '2nd Qtr'!D48, '3rd Qtr'!D48, '4th Qtr'!D48)</f>
        <v>5120.8</v>
      </c>
      <c r="E48" s="50">
        <f t="shared" ca="1" si="0"/>
        <v>-1383.0812500000002</v>
      </c>
      <c r="F48" s="51">
        <f t="shared" ca="1" si="1"/>
        <v>-0.27009085494453994</v>
      </c>
      <c r="G48" s="52">
        <f ca="1">SUM('1st Qtr'!G48, '2nd Qtr'!G48, '3rd Qtr'!G48, '4th Qtr'!G48)</f>
        <v>8043.3059999999996</v>
      </c>
      <c r="H48" s="52">
        <f t="shared" ca="1" si="2"/>
        <v>-4305.5872499999996</v>
      </c>
      <c r="I48" s="53">
        <f t="shared" ca="1" si="3"/>
        <v>-0.53530068979098888</v>
      </c>
    </row>
    <row r="49" spans="1:9" ht="15.75">
      <c r="A49" s="63" t="str">
        <v>Q115</v>
      </c>
      <c r="B49" s="64" t="str">
        <v>Hudson</v>
      </c>
      <c r="C49" s="81">
        <f ca="1">SUM('1st Qtr'!C49, '2nd Qtr'!C49, '3rd Qtr'!C49, '4th Qtr'!C49)</f>
        <v>4955.0625</v>
      </c>
      <c r="D49" s="50">
        <f ca="1">SUM('1st Qtr'!D49, '2nd Qtr'!D49, '3rd Qtr'!D49, '4th Qtr'!D49)</f>
        <v>8344.5239999999994</v>
      </c>
      <c r="E49" s="50">
        <f t="shared" ca="1" si="0"/>
        <v>-3389.4614999999994</v>
      </c>
      <c r="F49" s="51">
        <f t="shared" ca="1" si="1"/>
        <v>-0.40618991568602353</v>
      </c>
      <c r="G49" s="52">
        <f ca="1">SUM('1st Qtr'!G49, '2nd Qtr'!G49, '3rd Qtr'!G49, '4th Qtr'!G49)</f>
        <v>11121.22</v>
      </c>
      <c r="H49" s="52">
        <f t="shared" ca="1" si="2"/>
        <v>-6166.1574999999993</v>
      </c>
      <c r="I49" s="53">
        <f t="shared" ca="1" si="3"/>
        <v>-0.55444973662961439</v>
      </c>
    </row>
    <row r="50" spans="1:9" ht="15.75">
      <c r="A50" s="59" t="str">
        <v>Q139</v>
      </c>
      <c r="B50" s="21" t="str">
        <v>Hudson</v>
      </c>
      <c r="C50" s="81">
        <f ca="1">SUM('1st Qtr'!C50, '2nd Qtr'!C50, '3rd Qtr'!C50, '4th Qtr'!C50)</f>
        <v>2925.8125</v>
      </c>
      <c r="D50" s="50">
        <f ca="1">SUM('1st Qtr'!D50, '2nd Qtr'!D50, '3rd Qtr'!D50, '4th Qtr'!D50)</f>
        <v>4425.3320000000003</v>
      </c>
      <c r="E50" s="50">
        <f t="shared" ca="1" si="0"/>
        <v>-1499.5195000000003</v>
      </c>
      <c r="F50" s="51">
        <f t="shared" ca="1" si="1"/>
        <v>-0.33884904002682742</v>
      </c>
      <c r="G50" s="52">
        <f ca="1">SUM('1st Qtr'!G50, '2nd Qtr'!G50, '3rd Qtr'!G50, '4th Qtr'!G50)</f>
        <v>6324</v>
      </c>
      <c r="H50" s="52">
        <f t="shared" ca="1" si="2"/>
        <v>-3398.1875</v>
      </c>
      <c r="I50" s="53">
        <f t="shared" ca="1" si="3"/>
        <v>-0.53734780202403543</v>
      </c>
    </row>
    <row r="51" spans="1:9" ht="15.75">
      <c r="A51" s="63" t="str">
        <v>Q157</v>
      </c>
      <c r="B51" s="64" t="str">
        <v>Hudson</v>
      </c>
      <c r="C51" s="81">
        <f ca="1">SUM('1st Qtr'!C51, '2nd Qtr'!C51, '3rd Qtr'!C51, '4th Qtr'!C51)</f>
        <v>4902.4375</v>
      </c>
      <c r="D51" s="50">
        <f ca="1">SUM('1st Qtr'!D51, '2nd Qtr'!D51, '3rd Qtr'!D51, '4th Qtr'!D51)</f>
        <v>8720.9449999999997</v>
      </c>
      <c r="E51" s="50">
        <f t="shared" ca="1" si="0"/>
        <v>-3818.5074999999997</v>
      </c>
      <c r="F51" s="51">
        <f t="shared" ca="1" si="1"/>
        <v>-0.43785478523256366</v>
      </c>
      <c r="G51" s="52">
        <f ca="1">SUM('1st Qtr'!G51, '2nd Qtr'!G51, '3rd Qtr'!G51, '4th Qtr'!G51)</f>
        <v>11481.79</v>
      </c>
      <c r="H51" s="52">
        <f t="shared" ca="1" si="2"/>
        <v>-6579.3525000000009</v>
      </c>
      <c r="I51" s="53">
        <f t="shared" ca="1" si="3"/>
        <v>-0.57302498129647039</v>
      </c>
    </row>
    <row r="52" spans="1:9" ht="15.75">
      <c r="A52" s="59" t="str">
        <v>Q192</v>
      </c>
      <c r="B52" s="21" t="str">
        <v>Hudson</v>
      </c>
      <c r="C52" s="81">
        <f ca="1">SUM('1st Qtr'!C52, '2nd Qtr'!C52, '3rd Qtr'!C52, '4th Qtr'!C52)</f>
        <v>8347.5</v>
      </c>
      <c r="D52" s="50">
        <f ca="1">SUM('1st Qtr'!D52, '2nd Qtr'!D52, '3rd Qtr'!D52, '4th Qtr'!D52)</f>
        <v>13350</v>
      </c>
      <c r="E52" s="50">
        <f t="shared" ca="1" si="0"/>
        <v>-5002.5</v>
      </c>
      <c r="F52" s="51">
        <f t="shared" ca="1" si="1"/>
        <v>-0.37471910112359552</v>
      </c>
      <c r="G52" s="52">
        <f ca="1">SUM('1st Qtr'!G52, '2nd Qtr'!G52, '3rd Qtr'!G52, '4th Qtr'!G52)</f>
        <v>16384.009999999998</v>
      </c>
      <c r="H52" s="52">
        <f t="shared" ca="1" si="2"/>
        <v>-8036.5099999999984</v>
      </c>
      <c r="I52" s="53">
        <f t="shared" ca="1" si="3"/>
        <v>-0.49050934417154279</v>
      </c>
    </row>
    <row r="53" spans="1:9" ht="15.75">
      <c r="A53" s="63" t="str">
        <v>Q210</v>
      </c>
      <c r="B53" s="64" t="str">
        <v>Hudson</v>
      </c>
      <c r="C53" s="81">
        <f ca="1">SUM('1st Qtr'!C53, '2nd Qtr'!C53, '3rd Qtr'!C53, '4th Qtr'!C53)</f>
        <v>6315.875</v>
      </c>
      <c r="D53" s="50">
        <f ca="1">SUM('1st Qtr'!D53, '2nd Qtr'!D53, '3rd Qtr'!D53, '4th Qtr'!D53)</f>
        <v>9204.3379999999997</v>
      </c>
      <c r="E53" s="50">
        <f t="shared" ca="1" si="0"/>
        <v>-2888.4629999999997</v>
      </c>
      <c r="F53" s="51">
        <f t="shared" ca="1" si="1"/>
        <v>-0.31381539878261749</v>
      </c>
      <c r="G53" s="52">
        <f ca="1">SUM('1st Qtr'!G53, '2nd Qtr'!G53, '3rd Qtr'!G53, '4th Qtr'!G53)</f>
        <v>15624</v>
      </c>
      <c r="H53" s="52">
        <f t="shared" ca="1" si="2"/>
        <v>-9308.125</v>
      </c>
      <c r="I53" s="53">
        <f t="shared" ca="1" si="3"/>
        <v>-0.59575812852022525</v>
      </c>
    </row>
    <row r="54" spans="1:9" ht="15.75">
      <c r="A54" s="59" t="str">
        <v>Q229</v>
      </c>
      <c r="B54" s="21" t="str">
        <v>Hudson</v>
      </c>
      <c r="C54" s="81">
        <f ca="1">SUM('1st Qtr'!C54, '2nd Qtr'!C54, '3rd Qtr'!C54, '4th Qtr'!C54)</f>
        <v>2660.53125000006</v>
      </c>
      <c r="D54" s="50">
        <f ca="1">SUM('1st Qtr'!D54, '2nd Qtr'!D54, '3rd Qtr'!D54, '4th Qtr'!D54)</f>
        <v>3950.5940000000001</v>
      </c>
      <c r="E54" s="50">
        <f t="shared" ca="1" si="0"/>
        <v>-1290.06274999994</v>
      </c>
      <c r="F54" s="51">
        <f t="shared" ca="1" si="1"/>
        <v>-0.32654905819224656</v>
      </c>
      <c r="G54" s="52">
        <f ca="1">SUM('1st Qtr'!G54, '2nd Qtr'!G54, '3rd Qtr'!G54, '4th Qtr'!G54)</f>
        <v>7281.06</v>
      </c>
      <c r="H54" s="52">
        <f t="shared" ca="1" si="2"/>
        <v>-4620.5287499999404</v>
      </c>
      <c r="I54" s="53">
        <f t="shared" ca="1" si="3"/>
        <v>-0.63459561519887764</v>
      </c>
    </row>
    <row r="55" spans="1:9" ht="15.75">
      <c r="A55" s="63" t="str">
        <v>Q231</v>
      </c>
      <c r="B55" s="64" t="str">
        <v>Hudson</v>
      </c>
      <c r="C55" s="81">
        <f ca="1">SUM('1st Qtr'!C55, '2nd Qtr'!C55, '3rd Qtr'!C55, '4th Qtr'!C55)</f>
        <v>11460.875</v>
      </c>
      <c r="D55" s="50">
        <f ca="1">SUM('1st Qtr'!D55, '2nd Qtr'!D55, '3rd Qtr'!D55, '4th Qtr'!D55)</f>
        <v>21002.59</v>
      </c>
      <c r="E55" s="50">
        <f t="shared" ca="1" si="0"/>
        <v>-9541.7150000000001</v>
      </c>
      <c r="F55" s="51">
        <f t="shared" ca="1" si="1"/>
        <v>-0.4543113492193106</v>
      </c>
      <c r="G55" s="52">
        <f ca="1">SUM('1st Qtr'!G55, '2nd Qtr'!G55, '3rd Qtr'!G55, '4th Qtr'!G55)</f>
        <v>0</v>
      </c>
      <c r="H55" s="52">
        <f t="shared" ca="1" si="2"/>
        <v>11460.875</v>
      </c>
      <c r="I55" s="53">
        <f t="shared" ca="1" si="3"/>
        <v>0</v>
      </c>
    </row>
    <row r="56" spans="1:9" ht="15.75">
      <c r="A56" s="59" t="str">
        <v>Q405</v>
      </c>
      <c r="B56" s="21" t="str">
        <v>Hudson</v>
      </c>
      <c r="C56" s="81">
        <f ca="1">SUM('1st Qtr'!C56, '2nd Qtr'!C56, '3rd Qtr'!C56, '4th Qtr'!C56)</f>
        <v>12294.25</v>
      </c>
      <c r="D56" s="50">
        <f ca="1">SUM('1st Qtr'!D56, '2nd Qtr'!D56, '3rd Qtr'!D56, '4th Qtr'!D56)</f>
        <v>18722.73</v>
      </c>
      <c r="E56" s="50">
        <f t="shared" ca="1" si="0"/>
        <v>-6428.48</v>
      </c>
      <c r="F56" s="51">
        <f t="shared" ca="1" si="1"/>
        <v>-0.34335163728793822</v>
      </c>
      <c r="G56" s="52">
        <f ca="1">SUM('1st Qtr'!G56, '2nd Qtr'!G56, '3rd Qtr'!G56, '4th Qtr'!G56)</f>
        <v>20486.32</v>
      </c>
      <c r="H56" s="52">
        <f t="shared" ca="1" si="2"/>
        <v>-8192.07</v>
      </c>
      <c r="I56" s="53">
        <f t="shared" ca="1" si="3"/>
        <v>-0.39988001749460128</v>
      </c>
    </row>
    <row r="57" spans="1:9" ht="15.75">
      <c r="A57" s="63" t="str">
        <v>Q435</v>
      </c>
      <c r="B57" s="64" t="str">
        <v>Hudson</v>
      </c>
      <c r="C57" s="81">
        <f ca="1">SUM('1st Qtr'!C57, '2nd Qtr'!C57, '3rd Qtr'!C57, '4th Qtr'!C57)</f>
        <v>0</v>
      </c>
      <c r="D57" s="50">
        <f ca="1">SUM('1st Qtr'!D57, '2nd Qtr'!D57, '3rd Qtr'!D57, '4th Qtr'!D57)</f>
        <v>0</v>
      </c>
      <c r="E57" s="50">
        <f t="shared" ca="1" si="0"/>
        <v>0</v>
      </c>
      <c r="F57" s="51">
        <f t="shared" ca="1" si="1"/>
        <v>0</v>
      </c>
      <c r="G57" s="52">
        <f ca="1">SUM('1st Qtr'!G57, '2nd Qtr'!G57, '3rd Qtr'!G57, '4th Qtr'!G57)</f>
        <v>0</v>
      </c>
      <c r="H57" s="52">
        <f t="shared" ca="1" si="2"/>
        <v>0</v>
      </c>
      <c r="I57" s="53">
        <f t="shared" ca="1" si="3"/>
        <v>0</v>
      </c>
    </row>
    <row r="58" spans="1:9" ht="15.75">
      <c r="A58" s="59" t="str">
        <v>Q485</v>
      </c>
      <c r="B58" s="21" t="str">
        <v>Hudson</v>
      </c>
      <c r="C58" s="81">
        <f ca="1">SUM('1st Qtr'!C58, '2nd Qtr'!C58, '3rd Qtr'!C58, '4th Qtr'!C58)</f>
        <v>12481.4388279307</v>
      </c>
      <c r="D58" s="50">
        <f ca="1">SUM('1st Qtr'!D58, '2nd Qtr'!D58, '3rd Qtr'!D58, '4th Qtr'!D58)</f>
        <v>12754.8</v>
      </c>
      <c r="E58" s="50">
        <f t="shared" ca="1" si="0"/>
        <v>-273.36117206929885</v>
      </c>
      <c r="F58" s="51">
        <f t="shared" ca="1" si="1"/>
        <v>-2.1432023400547156E-2</v>
      </c>
      <c r="G58" s="52">
        <f ca="1">SUM('1st Qtr'!G58, '2nd Qtr'!G58, '3rd Qtr'!G58, '4th Qtr'!G58)</f>
        <v>27674.85</v>
      </c>
      <c r="H58" s="52">
        <f t="shared" ca="1" si="2"/>
        <v>-15193.411172069298</v>
      </c>
      <c r="I58" s="53">
        <f t="shared" ca="1" si="3"/>
        <v>-0.5489970558853724</v>
      </c>
    </row>
    <row r="59" spans="1:9" ht="15.75">
      <c r="A59" s="63" t="str">
        <v>Q490</v>
      </c>
      <c r="B59" s="64" t="str">
        <v>Hudson</v>
      </c>
      <c r="C59" s="81">
        <f ca="1">SUM('1st Qtr'!C59, '2nd Qtr'!C59, '3rd Qtr'!C59, '4th Qtr'!C59)</f>
        <v>10238.1439808419</v>
      </c>
      <c r="D59" s="50">
        <f ca="1">SUM('1st Qtr'!D59, '2nd Qtr'!D59, '3rd Qtr'!D59, '4th Qtr'!D59)</f>
        <v>0</v>
      </c>
      <c r="E59" s="50">
        <f t="shared" ca="1" si="0"/>
        <v>10238.1439808419</v>
      </c>
      <c r="F59" s="51">
        <f t="shared" ca="1" si="1"/>
        <v>0</v>
      </c>
      <c r="G59" s="52">
        <f ca="1">SUM('1st Qtr'!G59, '2nd Qtr'!G59, '3rd Qtr'!G59, '4th Qtr'!G59)</f>
        <v>21505.42</v>
      </c>
      <c r="H59" s="52">
        <f t="shared" ca="1" si="2"/>
        <v>-11267.276019158098</v>
      </c>
      <c r="I59" s="53">
        <f t="shared" ca="1" si="3"/>
        <v>-0.52392727131849082</v>
      </c>
    </row>
    <row r="60" spans="1:9" ht="15.75">
      <c r="A60" s="59" t="str">
        <v>Q620</v>
      </c>
      <c r="B60" s="21" t="str">
        <v>Hudson</v>
      </c>
      <c r="C60" s="81">
        <f ca="1">SUM('1st Qtr'!C60, '2nd Qtr'!C60, '3rd Qtr'!C60, '4th Qtr'!C60)</f>
        <v>15903</v>
      </c>
      <c r="D60" s="50">
        <f ca="1">SUM('1st Qtr'!D60, '2nd Qtr'!D60, '3rd Qtr'!D60, '4th Qtr'!D60)</f>
        <v>23742.06</v>
      </c>
      <c r="E60" s="50">
        <f t="shared" ca="1" si="0"/>
        <v>-7839.0600000000013</v>
      </c>
      <c r="F60" s="51">
        <f t="shared" ca="1" si="1"/>
        <v>-0.33017606728312543</v>
      </c>
      <c r="G60" s="52">
        <f ca="1">SUM('1st Qtr'!G60, '2nd Qtr'!G60, '3rd Qtr'!G60, '4th Qtr'!G60)</f>
        <v>34544.519999999997</v>
      </c>
      <c r="H60" s="52">
        <f t="shared" ca="1" si="2"/>
        <v>-18641.519999999997</v>
      </c>
      <c r="I60" s="53">
        <f t="shared" ca="1" si="3"/>
        <v>-0.53963754598413871</v>
      </c>
    </row>
    <row r="61" spans="1:9" ht="15.75">
      <c r="A61" s="63" t="str">
        <v>QMOA</v>
      </c>
      <c r="B61" s="64" t="str">
        <v>Hudson</v>
      </c>
      <c r="C61" s="81">
        <f ca="1">SUM('1st Qtr'!C61, '2nd Qtr'!C61, '3rd Qtr'!C61, '4th Qtr'!C61)</f>
        <v>1546.0999999999899</v>
      </c>
      <c r="D61" s="50">
        <f ca="1">SUM('1st Qtr'!D61, '2nd Qtr'!D61, '3rd Qtr'!D61, '4th Qtr'!D61)</f>
        <v>0</v>
      </c>
      <c r="E61" s="50">
        <f t="shared" ca="1" si="0"/>
        <v>1546.0999999999899</v>
      </c>
      <c r="F61" s="51">
        <f t="shared" ca="1" si="1"/>
        <v>0</v>
      </c>
      <c r="G61" s="52">
        <f ca="1">SUM('1st Qtr'!G61, '2nd Qtr'!G61, '3rd Qtr'!G61, '4th Qtr'!G61)</f>
        <v>2946.8270000000002</v>
      </c>
      <c r="H61" s="52">
        <f t="shared" ca="1" si="2"/>
        <v>-1400.7270000000103</v>
      </c>
      <c r="I61" s="53">
        <f t="shared" ca="1" si="3"/>
        <v>-0.47533397786840226</v>
      </c>
    </row>
    <row r="62" spans="1:9" ht="15.75">
      <c r="A62" s="59" t="str">
        <v>X024</v>
      </c>
      <c r="B62" s="21" t="str">
        <v>Hudson</v>
      </c>
      <c r="C62" s="81">
        <f ca="1">SUM('1st Qtr'!C62, '2nd Qtr'!C62, '3rd Qtr'!C62, '4th Qtr'!C62)</f>
        <v>5421</v>
      </c>
      <c r="D62" s="50">
        <f ca="1">SUM('1st Qtr'!D62, '2nd Qtr'!D62, '3rd Qtr'!D62, '4th Qtr'!D62)</f>
        <v>0</v>
      </c>
      <c r="E62" s="50">
        <f t="shared" ca="1" si="0"/>
        <v>5421</v>
      </c>
      <c r="F62" s="51">
        <f t="shared" ca="1" si="1"/>
        <v>0</v>
      </c>
      <c r="G62" s="52">
        <f ca="1">SUM('1st Qtr'!G62, '2nd Qtr'!G62, '3rd Qtr'!G62, '4th Qtr'!G62)</f>
        <v>0</v>
      </c>
      <c r="H62" s="52">
        <f t="shared" ca="1" si="2"/>
        <v>5421</v>
      </c>
      <c r="I62" s="53">
        <f t="shared" ca="1" si="3"/>
        <v>0</v>
      </c>
    </row>
    <row r="63" spans="1:9" ht="15.75">
      <c r="A63" s="63" t="str">
        <v>X026</v>
      </c>
      <c r="B63" s="64" t="str">
        <v>Hudson</v>
      </c>
      <c r="C63" s="81">
        <f ca="1">SUM('1st Qtr'!C63, '2nd Qtr'!C63, '3rd Qtr'!C63, '4th Qtr'!C63)</f>
        <v>4766.8999999999696</v>
      </c>
      <c r="D63" s="50">
        <f ca="1">SUM('1st Qtr'!D63, '2nd Qtr'!D63, '3rd Qtr'!D63, '4th Qtr'!D63)</f>
        <v>7713.94</v>
      </c>
      <c r="E63" s="50">
        <f t="shared" ca="1" si="0"/>
        <v>-2947.04000000003</v>
      </c>
      <c r="F63" s="51">
        <f t="shared" ca="1" si="1"/>
        <v>-0.38204082479252238</v>
      </c>
      <c r="G63" s="52">
        <f ca="1">SUM('1st Qtr'!G63, '2nd Qtr'!G63, '3rd Qtr'!G63, '4th Qtr'!G63)</f>
        <v>14664.49</v>
      </c>
      <c r="H63" s="52">
        <f t="shared" ca="1" si="2"/>
        <v>-9897.5900000000292</v>
      </c>
      <c r="I63" s="53">
        <f t="shared" ca="1" si="3"/>
        <v>-0.67493584843387189</v>
      </c>
    </row>
    <row r="64" spans="1:9" ht="15.75">
      <c r="A64" s="59" t="str">
        <v>X090</v>
      </c>
      <c r="B64" s="21" t="str">
        <v>Hudson</v>
      </c>
      <c r="C64" s="81">
        <f ca="1">SUM('1st Qtr'!C64, '2nd Qtr'!C64, '3rd Qtr'!C64, '4th Qtr'!C64)</f>
        <v>4671.94531250001</v>
      </c>
      <c r="D64" s="50">
        <f ca="1">SUM('1st Qtr'!D64, '2nd Qtr'!D64, '3rd Qtr'!D64, '4th Qtr'!D64)</f>
        <v>4641.6970000000001</v>
      </c>
      <c r="E64" s="50">
        <f t="shared" ca="1" si="0"/>
        <v>30.248312500009888</v>
      </c>
      <c r="F64" s="51">
        <f t="shared" ca="1" si="1"/>
        <v>6.5166495141776573E-3</v>
      </c>
      <c r="G64" s="52">
        <f ca="1">SUM('1st Qtr'!G64, '2nd Qtr'!G64, '3rd Qtr'!G64, '4th Qtr'!G64)</f>
        <v>9177</v>
      </c>
      <c r="H64" s="52">
        <f t="shared" ca="1" si="2"/>
        <v>-4505.05468749999</v>
      </c>
      <c r="I64" s="53">
        <f t="shared" ca="1" si="3"/>
        <v>-0.49090712514983004</v>
      </c>
    </row>
    <row r="65" spans="1:9" ht="15.75">
      <c r="A65" s="63" t="str">
        <v>X117</v>
      </c>
      <c r="B65" s="64" t="str">
        <v>Hudson</v>
      </c>
      <c r="C65" s="81">
        <f ca="1">SUM('1st Qtr'!C65, '2nd Qtr'!C65, '3rd Qtr'!C65, '4th Qtr'!C65)</f>
        <v>3429.2000000000098</v>
      </c>
      <c r="D65" s="50">
        <f ca="1">SUM('1st Qtr'!D65, '2nd Qtr'!D65, '3rd Qtr'!D65, '4th Qtr'!D65)</f>
        <v>6689.2290000000003</v>
      </c>
      <c r="E65" s="50">
        <f t="shared" ca="1" si="0"/>
        <v>-3260.0289999999904</v>
      </c>
      <c r="F65" s="51">
        <f t="shared" ca="1" si="1"/>
        <v>-0.48735497020657992</v>
      </c>
      <c r="G65" s="52">
        <f ca="1">SUM('1st Qtr'!G65, '2nd Qtr'!G65, '3rd Qtr'!G65, '4th Qtr'!G65)</f>
        <v>16899.22</v>
      </c>
      <c r="H65" s="52">
        <f t="shared" ca="1" si="2"/>
        <v>-13470.019999999991</v>
      </c>
      <c r="I65" s="53">
        <f t="shared" ca="1" si="3"/>
        <v>-0.79707939182991816</v>
      </c>
    </row>
    <row r="66" spans="1:9" ht="15.75">
      <c r="A66" s="59" t="str">
        <v>X125</v>
      </c>
      <c r="B66" s="21" t="str">
        <v>Hudson</v>
      </c>
      <c r="C66" s="81">
        <f ca="1">SUM('1st Qtr'!C66, '2nd Qtr'!C66, '3rd Qtr'!C66, '4th Qtr'!C66)</f>
        <v>7318.96875</v>
      </c>
      <c r="D66" s="50">
        <f ca="1">SUM('1st Qtr'!D66, '2nd Qtr'!D66, '3rd Qtr'!D66, '4th Qtr'!D66)</f>
        <v>11623.7</v>
      </c>
      <c r="E66" s="50">
        <f t="shared" ca="1" si="0"/>
        <v>-4304.7312500000007</v>
      </c>
      <c r="F66" s="51">
        <f t="shared" ca="1" si="1"/>
        <v>-0.37034087682923683</v>
      </c>
      <c r="G66" s="52">
        <f ca="1">SUM('1st Qtr'!G66, '2nd Qtr'!G66, '3rd Qtr'!G66, '4th Qtr'!G66)</f>
        <v>10537.29</v>
      </c>
      <c r="H66" s="52">
        <f t="shared" ca="1" si="2"/>
        <v>-3218.3212500000009</v>
      </c>
      <c r="I66" s="53">
        <f t="shared" ca="1" si="3"/>
        <v>-0.30542210093866645</v>
      </c>
    </row>
    <row r="67" spans="1:9" ht="15.75">
      <c r="A67" s="63" t="str">
        <v>X134</v>
      </c>
      <c r="B67" s="64" t="str">
        <v>Hudson</v>
      </c>
      <c r="C67" s="81">
        <f ca="1">SUM('1st Qtr'!C67, '2nd Qtr'!C67, '3rd Qtr'!C67, '4th Qtr'!C67)</f>
        <v>6696.25</v>
      </c>
      <c r="D67" s="50">
        <f ca="1">SUM('1st Qtr'!D67, '2nd Qtr'!D67, '3rd Qtr'!D67, '4th Qtr'!D67)</f>
        <v>0</v>
      </c>
      <c r="E67" s="50">
        <f t="shared" ca="1" si="0"/>
        <v>6696.25</v>
      </c>
      <c r="F67" s="51">
        <f t="shared" ca="1" si="1"/>
        <v>0</v>
      </c>
      <c r="G67" s="52">
        <f ca="1">SUM('1st Qtr'!G67, '2nd Qtr'!G67, '3rd Qtr'!G67, '4th Qtr'!G67)</f>
        <v>0</v>
      </c>
      <c r="H67" s="52">
        <f t="shared" ca="1" si="2"/>
        <v>6696.25</v>
      </c>
      <c r="I67" s="53">
        <f t="shared" ca="1" si="3"/>
        <v>0</v>
      </c>
    </row>
    <row r="68" spans="1:9" ht="15.75">
      <c r="A68" s="59" t="str">
        <v>X135</v>
      </c>
      <c r="B68" s="21" t="str">
        <v>Hudson</v>
      </c>
      <c r="C68" s="81">
        <f ca="1">SUM('1st Qtr'!C68, '2nd Qtr'!C68, '3rd Qtr'!C68, '4th Qtr'!C68)</f>
        <v>5327.84375</v>
      </c>
      <c r="D68" s="50">
        <f ca="1">SUM('1st Qtr'!D68, '2nd Qtr'!D68, '3rd Qtr'!D68, '4th Qtr'!D68)</f>
        <v>0</v>
      </c>
      <c r="E68" s="50">
        <f t="shared" ref="E68:E131" ca="1" si="4">C68-D68</f>
        <v>5327.84375</v>
      </c>
      <c r="F68" s="51">
        <f t="shared" ref="F68:F131" ca="1" si="5">IFERROR(E68/D68, 0)</f>
        <v>0</v>
      </c>
      <c r="G68" s="52">
        <f ca="1">SUM('1st Qtr'!G68, '2nd Qtr'!G68, '3rd Qtr'!G68, '4th Qtr'!G68)</f>
        <v>0</v>
      </c>
      <c r="H68" s="52">
        <f t="shared" ref="H68:H131" ca="1" si="6">C68-G68</f>
        <v>5327.84375</v>
      </c>
      <c r="I68" s="53">
        <f t="shared" ref="I68:I131" ca="1" si="7">IFERROR(H68/G68, 0)</f>
        <v>0</v>
      </c>
    </row>
    <row r="69" spans="1:9" ht="15.75">
      <c r="A69" s="63" t="str">
        <v>X139 JHS 222</v>
      </c>
      <c r="B69" s="64" t="str">
        <v>Hudson</v>
      </c>
      <c r="C69" s="81">
        <f ca="1">SUM('1st Qtr'!C69, '2nd Qtr'!C69, '3rd Qtr'!C69, '4th Qtr'!C69)</f>
        <v>8332.7036999624706</v>
      </c>
      <c r="D69" s="50">
        <f ca="1">SUM('1st Qtr'!D69, '2nd Qtr'!D69, '3rd Qtr'!D69, '4th Qtr'!D69)</f>
        <v>11815.57</v>
      </c>
      <c r="E69" s="50">
        <f t="shared" ca="1" si="4"/>
        <v>-3482.8663000375291</v>
      </c>
      <c r="F69" s="51">
        <f t="shared" ca="1" si="5"/>
        <v>-0.29476921553827107</v>
      </c>
      <c r="G69" s="52">
        <f ca="1">SUM('1st Qtr'!G69, '2nd Qtr'!G69, '3rd Qtr'!G69, '4th Qtr'!G69)</f>
        <v>22550</v>
      </c>
      <c r="H69" s="52">
        <f t="shared" ca="1" si="6"/>
        <v>-14217.296300037529</v>
      </c>
      <c r="I69" s="53">
        <f t="shared" ca="1" si="7"/>
        <v>-0.63047877162028954</v>
      </c>
    </row>
    <row r="70" spans="1:9" ht="15.75">
      <c r="A70" s="59" t="str">
        <v>X140</v>
      </c>
      <c r="B70" s="21" t="str">
        <v>Hudson</v>
      </c>
      <c r="C70" s="81">
        <f ca="1">SUM('1st Qtr'!C70, '2nd Qtr'!C70, '3rd Qtr'!C70, '4th Qtr'!C70)</f>
        <v>3985</v>
      </c>
      <c r="D70" s="50">
        <f ca="1">SUM('1st Qtr'!D70, '2nd Qtr'!D70, '3rd Qtr'!D70, '4th Qtr'!D70)</f>
        <v>5753</v>
      </c>
      <c r="E70" s="50">
        <f t="shared" ca="1" si="4"/>
        <v>-1768</v>
      </c>
      <c r="F70" s="51">
        <f t="shared" ca="1" si="5"/>
        <v>-0.3073179210846515</v>
      </c>
      <c r="G70" s="52">
        <f ca="1">SUM('1st Qtr'!G70, '2nd Qtr'!G70, '3rd Qtr'!G70, '4th Qtr'!G70)</f>
        <v>9034</v>
      </c>
      <c r="H70" s="52">
        <f t="shared" ca="1" si="6"/>
        <v>-5049</v>
      </c>
      <c r="I70" s="53">
        <f t="shared" ca="1" si="7"/>
        <v>-0.55888864290458273</v>
      </c>
    </row>
    <row r="71" spans="1:9" ht="15.75">
      <c r="A71" s="63" t="str">
        <v>X166</v>
      </c>
      <c r="B71" s="64" t="str">
        <v>Hudson</v>
      </c>
      <c r="C71" s="81">
        <f ca="1">SUM('1st Qtr'!C71, '2nd Qtr'!C71, '3rd Qtr'!C71, '4th Qtr'!C71)</f>
        <v>5046.3999999999696</v>
      </c>
      <c r="D71" s="50">
        <f ca="1">SUM('1st Qtr'!D71, '2nd Qtr'!D71, '3rd Qtr'!D71, '4th Qtr'!D71)</f>
        <v>7824.4260000000004</v>
      </c>
      <c r="E71" s="50">
        <f t="shared" ca="1" si="4"/>
        <v>-2778.0260000000308</v>
      </c>
      <c r="F71" s="51">
        <f t="shared" ca="1" si="5"/>
        <v>-0.35504534134517096</v>
      </c>
      <c r="G71" s="52">
        <f ca="1">SUM('1st Qtr'!G71, '2nd Qtr'!G71, '3rd Qtr'!G71, '4th Qtr'!G71)</f>
        <v>0</v>
      </c>
      <c r="H71" s="52">
        <f t="shared" ca="1" si="6"/>
        <v>5046.3999999999696</v>
      </c>
      <c r="I71" s="53">
        <f t="shared" ca="1" si="7"/>
        <v>0</v>
      </c>
    </row>
    <row r="72" spans="1:9" ht="15.75">
      <c r="A72" s="59" t="str">
        <v>Murphy</v>
      </c>
      <c r="B72" s="21" t="str">
        <v>MN Community Solar</v>
      </c>
      <c r="C72" s="81">
        <f ca="1">SUM('1st Qtr'!C72, '2nd Qtr'!C72, '3rd Qtr'!C72, '4th Qtr'!C72)</f>
        <v>286090</v>
      </c>
      <c r="D72" s="50">
        <f ca="1">SUM('1st Qtr'!D72, '2nd Qtr'!D72, '3rd Qtr'!D72, '4th Qtr'!D72)</f>
        <v>414785.1</v>
      </c>
      <c r="E72" s="50">
        <f t="shared" ca="1" si="4"/>
        <v>-128695.09999999998</v>
      </c>
      <c r="F72" s="51">
        <f t="shared" ca="1" si="5"/>
        <v>-0.31026934188330291</v>
      </c>
      <c r="G72" s="52">
        <f ca="1">SUM('1st Qtr'!G72, '2nd Qtr'!G72, '3rd Qtr'!G72, '4th Qtr'!G72)</f>
        <v>533246.5</v>
      </c>
      <c r="H72" s="52">
        <f t="shared" ca="1" si="6"/>
        <v>-247156.5</v>
      </c>
      <c r="I72" s="53">
        <f t="shared" ca="1" si="7"/>
        <v>-0.46349390010061015</v>
      </c>
    </row>
    <row r="73" spans="1:9" ht="15.75">
      <c r="A73" s="63" t="str">
        <v>Terning</v>
      </c>
      <c r="B73" s="64" t="str">
        <v>MN Community Solar</v>
      </c>
      <c r="C73" s="81">
        <f ca="1">SUM('1st Qtr'!C73, '2nd Qtr'!C73, '3rd Qtr'!C73, '4th Qtr'!C73)</f>
        <v>283485</v>
      </c>
      <c r="D73" s="50">
        <f ca="1">SUM('1st Qtr'!D73, '2nd Qtr'!D73, '3rd Qtr'!D73, '4th Qtr'!D73)</f>
        <v>410301.4</v>
      </c>
      <c r="E73" s="50">
        <f t="shared" ca="1" si="4"/>
        <v>-126816.40000000002</v>
      </c>
      <c r="F73" s="51">
        <f t="shared" ca="1" si="5"/>
        <v>-0.30908108039602111</v>
      </c>
      <c r="G73" s="52">
        <f ca="1">SUM('1st Qtr'!G73, '2nd Qtr'!G73, '3rd Qtr'!G73, '4th Qtr'!G73)</f>
        <v>483171.2</v>
      </c>
      <c r="H73" s="52">
        <f t="shared" ca="1" si="6"/>
        <v>-199686.2</v>
      </c>
      <c r="I73" s="53">
        <f t="shared" ca="1" si="7"/>
        <v>-0.41328249697001812</v>
      </c>
    </row>
    <row r="74" spans="1:9" ht="15.75">
      <c r="A74" s="59" t="str">
        <v>Boas Road 04</v>
      </c>
      <c r="B74" s="21" t="str">
        <v>NYCS I</v>
      </c>
      <c r="C74" s="81">
        <f ca="1">SUM('1st Qtr'!C74, '2nd Qtr'!C74, '3rd Qtr'!C74, '4th Qtr'!C74)</f>
        <v>33560</v>
      </c>
      <c r="D74" s="50">
        <f ca="1">SUM('1st Qtr'!D74, '2nd Qtr'!D74, '3rd Qtr'!D74, '4th Qtr'!D74)</f>
        <v>0</v>
      </c>
      <c r="E74" s="50">
        <f t="shared" ca="1" si="4"/>
        <v>33560</v>
      </c>
      <c r="F74" s="51">
        <f t="shared" ca="1" si="5"/>
        <v>0</v>
      </c>
      <c r="G74" s="52">
        <f ca="1">SUM('1st Qtr'!G74, '2nd Qtr'!G74, '3rd Qtr'!G74, '4th Qtr'!G74)</f>
        <v>220064.68</v>
      </c>
      <c r="H74" s="52">
        <f t="shared" ca="1" si="6"/>
        <v>-186504.68</v>
      </c>
      <c r="I74" s="53">
        <f t="shared" ca="1" si="7"/>
        <v>-0.84749938063663832</v>
      </c>
    </row>
    <row r="75" spans="1:9" ht="15.75">
      <c r="A75" s="63" t="str">
        <v>Kelly Bridge Farm</v>
      </c>
      <c r="B75" s="64" t="str">
        <v>NYCS I</v>
      </c>
      <c r="C75" s="81">
        <f ca="1">SUM('1st Qtr'!C75, '2nd Qtr'!C75, '3rd Qtr'!C75, '4th Qtr'!C75)</f>
        <v>39040</v>
      </c>
      <c r="D75" s="50">
        <f ca="1">SUM('1st Qtr'!D75, '2nd Qtr'!D75, '3rd Qtr'!D75, '4th Qtr'!D75)</f>
        <v>0</v>
      </c>
      <c r="E75" s="50">
        <f t="shared" ca="1" si="4"/>
        <v>39040</v>
      </c>
      <c r="F75" s="51">
        <f t="shared" ca="1" si="5"/>
        <v>0</v>
      </c>
      <c r="G75" s="52">
        <f ca="1">SUM('1st Qtr'!G75, '2nd Qtr'!G75, '3rd Qtr'!G75, '4th Qtr'!G75)</f>
        <v>209445.59</v>
      </c>
      <c r="H75" s="52">
        <f t="shared" ca="1" si="6"/>
        <v>-170405.59</v>
      </c>
      <c r="I75" s="53">
        <f t="shared" ca="1" si="7"/>
        <v>-0.81360314151279101</v>
      </c>
    </row>
    <row r="76" spans="1:9" ht="15.75">
      <c r="A76" s="59" t="str">
        <v>Pool Brook Road</v>
      </c>
      <c r="B76" s="21" t="str">
        <v>NYCS I</v>
      </c>
      <c r="C76" s="81">
        <f ca="1">SUM('1st Qtr'!C76, '2nd Qtr'!C76, '3rd Qtr'!C76, '4th Qtr'!C76)</f>
        <v>35247</v>
      </c>
      <c r="D76" s="50">
        <f ca="1">SUM('1st Qtr'!D76, '2nd Qtr'!D76, '3rd Qtr'!D76, '4th Qtr'!D76)</f>
        <v>0</v>
      </c>
      <c r="E76" s="50">
        <f t="shared" ca="1" si="4"/>
        <v>35247</v>
      </c>
      <c r="F76" s="51">
        <f t="shared" ca="1" si="5"/>
        <v>0</v>
      </c>
      <c r="G76" s="52">
        <f ca="1">SUM('1st Qtr'!G76, '2nd Qtr'!G76, '3rd Qtr'!G76, '4th Qtr'!G76)</f>
        <v>194874.12</v>
      </c>
      <c r="H76" s="52">
        <f t="shared" ca="1" si="6"/>
        <v>-159627.12</v>
      </c>
      <c r="I76" s="53">
        <f t="shared" ca="1" si="7"/>
        <v>-0.81912939491400905</v>
      </c>
    </row>
    <row r="77" spans="1:9" ht="15.75">
      <c r="A77" s="63" t="str">
        <v>Sackett Lake</v>
      </c>
      <c r="B77" s="64" t="str">
        <v>NYCS I</v>
      </c>
      <c r="C77" s="81">
        <f ca="1">SUM('1st Qtr'!C77, '2nd Qtr'!C77, '3rd Qtr'!C77, '4th Qtr'!C77)</f>
        <v>43312</v>
      </c>
      <c r="D77" s="50">
        <f ca="1">SUM('1st Qtr'!D77, '2nd Qtr'!D77, '3rd Qtr'!D77, '4th Qtr'!D77)</f>
        <v>0</v>
      </c>
      <c r="E77" s="50">
        <f t="shared" ca="1" si="4"/>
        <v>43312</v>
      </c>
      <c r="F77" s="51">
        <f t="shared" ca="1" si="5"/>
        <v>0</v>
      </c>
      <c r="G77" s="52">
        <f ca="1">SUM('1st Qtr'!G77, '2nd Qtr'!G77, '3rd Qtr'!G77, '4th Qtr'!G77)</f>
        <v>223309.11</v>
      </c>
      <c r="H77" s="52">
        <f t="shared" ca="1" si="6"/>
        <v>-179997.11</v>
      </c>
      <c r="I77" s="53">
        <f t="shared" ca="1" si="7"/>
        <v>-0.80604463472179888</v>
      </c>
    </row>
    <row r="78" spans="1:9" ht="12.75" customHeight="1">
      <c r="A78" s="59" t="str">
        <v>Burritt Road</v>
      </c>
      <c r="B78" s="21" t="str">
        <v>NYCS II</v>
      </c>
      <c r="C78" s="81">
        <f ca="1">SUM('1st Qtr'!C78, '2nd Qtr'!C78, '3rd Qtr'!C78, '4th Qtr'!C78)</f>
        <v>72810</v>
      </c>
      <c r="D78" s="50">
        <f ca="1">SUM('1st Qtr'!D78, '2nd Qtr'!D78, '3rd Qtr'!D78, '4th Qtr'!D78)</f>
        <v>97923.36</v>
      </c>
      <c r="E78" s="50">
        <f t="shared" ca="1" si="4"/>
        <v>-25113.360000000001</v>
      </c>
      <c r="F78" s="51">
        <f t="shared" ca="1" si="5"/>
        <v>-0.25645933717960656</v>
      </c>
      <c r="G78" s="52">
        <f ca="1">SUM('1st Qtr'!G78, '2nd Qtr'!G78, '3rd Qtr'!G78, '4th Qtr'!G78)</f>
        <v>111632.62</v>
      </c>
      <c r="H78" s="52">
        <f t="shared" ca="1" si="6"/>
        <v>-38822.619999999995</v>
      </c>
      <c r="I78" s="53">
        <f t="shared" ca="1" si="7"/>
        <v>-0.34777128763975973</v>
      </c>
    </row>
    <row r="79" spans="1:9" ht="15.75">
      <c r="A79" s="63" t="str">
        <v>Villa Roma 1</v>
      </c>
      <c r="B79" s="64" t="str">
        <v>NYCS II</v>
      </c>
      <c r="C79" s="81">
        <f ca="1">SUM('1st Qtr'!C79, '2nd Qtr'!C79, '3rd Qtr'!C79, '4th Qtr'!C79)</f>
        <v>8879</v>
      </c>
      <c r="D79" s="50">
        <f ca="1">SUM('1st Qtr'!D79, '2nd Qtr'!D79, '3rd Qtr'!D79, '4th Qtr'!D79)</f>
        <v>74159.11</v>
      </c>
      <c r="E79" s="50">
        <f t="shared" ca="1" si="4"/>
        <v>-65280.11</v>
      </c>
      <c r="F79" s="51">
        <f t="shared" ca="1" si="5"/>
        <v>-0.88027094715672827</v>
      </c>
      <c r="G79" s="52">
        <f ca="1">SUM('1st Qtr'!G79, '2nd Qtr'!G79, '3rd Qtr'!G79, '4th Qtr'!G79)</f>
        <v>118883.5</v>
      </c>
      <c r="H79" s="52">
        <f t="shared" ca="1" si="6"/>
        <v>-110004.5</v>
      </c>
      <c r="I79" s="53">
        <f t="shared" ca="1" si="7"/>
        <v>-0.92531343710439207</v>
      </c>
    </row>
    <row r="80" spans="1:9" ht="12.75" customHeight="1">
      <c r="A80" s="59" t="str">
        <v>Villa Roma 2</v>
      </c>
      <c r="B80" s="21" t="str">
        <v>NYCS II</v>
      </c>
      <c r="C80" s="81">
        <f ca="1">SUM('1st Qtr'!C80, '2nd Qtr'!C80, '3rd Qtr'!C80, '4th Qtr'!C80)</f>
        <v>67057</v>
      </c>
      <c r="D80" s="50">
        <f ca="1">SUM('1st Qtr'!D80, '2nd Qtr'!D80, '3rd Qtr'!D80, '4th Qtr'!D80)</f>
        <v>110773.82</v>
      </c>
      <c r="E80" s="50">
        <f t="shared" ca="1" si="4"/>
        <v>-43716.820000000007</v>
      </c>
      <c r="F80" s="51">
        <f t="shared" ca="1" si="5"/>
        <v>-0.39464938556781742</v>
      </c>
      <c r="G80" s="52">
        <f ca="1">SUM('1st Qtr'!G80, '2nd Qtr'!G80, '3rd Qtr'!G80, '4th Qtr'!G80)</f>
        <v>115878.35</v>
      </c>
      <c r="H80" s="52">
        <f t="shared" ca="1" si="6"/>
        <v>-48821.350000000006</v>
      </c>
      <c r="I80" s="53">
        <f t="shared" ca="1" si="7"/>
        <v>-0.42131554341255295</v>
      </c>
    </row>
    <row r="81" spans="1:9" ht="15.75">
      <c r="A81" s="63" t="str">
        <v>Washington 1</v>
      </c>
      <c r="B81" s="64" t="str">
        <v>NYCS II</v>
      </c>
      <c r="C81" s="81">
        <f ca="1">SUM('1st Qtr'!C81, '2nd Qtr'!C81, '3rd Qtr'!C81, '4th Qtr'!C81)</f>
        <v>55740</v>
      </c>
      <c r="D81" s="50">
        <f ca="1">SUM('1st Qtr'!D81, '2nd Qtr'!D81, '3rd Qtr'!D81, '4th Qtr'!D81)</f>
        <v>109395.46</v>
      </c>
      <c r="E81" s="50">
        <f t="shared" ca="1" si="4"/>
        <v>-53655.460000000006</v>
      </c>
      <c r="F81" s="51">
        <f t="shared" ca="1" si="5"/>
        <v>-0.49047245653521637</v>
      </c>
      <c r="G81" s="52">
        <f ca="1">SUM('1st Qtr'!G81, '2nd Qtr'!G81, '3rd Qtr'!G81, '4th Qtr'!G81)</f>
        <v>107420.17</v>
      </c>
      <c r="H81" s="52">
        <f t="shared" ca="1" si="6"/>
        <v>-51680.17</v>
      </c>
      <c r="I81" s="53">
        <f t="shared" ca="1" si="7"/>
        <v>-0.4811030367946727</v>
      </c>
    </row>
    <row r="82" spans="1:9" ht="15.75">
      <c r="A82" s="59" t="str">
        <v>Washington 3</v>
      </c>
      <c r="B82" s="21" t="str">
        <v>NYCS II</v>
      </c>
      <c r="C82" s="81">
        <f ca="1">SUM('1st Qtr'!C82, '2nd Qtr'!C82, '3rd Qtr'!C82, '4th Qtr'!C82)</f>
        <v>48791</v>
      </c>
      <c r="D82" s="50">
        <f ca="1">SUM('1st Qtr'!D82, '2nd Qtr'!D82, '3rd Qtr'!D82, '4th Qtr'!D82)</f>
        <v>117227.81</v>
      </c>
      <c r="E82" s="50">
        <f t="shared" ca="1" si="4"/>
        <v>-68436.81</v>
      </c>
      <c r="F82" s="51">
        <f t="shared" ca="1" si="5"/>
        <v>-0.58379329955920867</v>
      </c>
      <c r="G82" s="52">
        <f ca="1">SUM('1st Qtr'!G82, '2nd Qtr'!G82, '3rd Qtr'!G82, '4th Qtr'!G82)</f>
        <v>130931.08</v>
      </c>
      <c r="H82" s="52">
        <f t="shared" ca="1" si="6"/>
        <v>-82140.08</v>
      </c>
      <c r="I82" s="53">
        <f t="shared" ca="1" si="7"/>
        <v>-0.6273535664717651</v>
      </c>
    </row>
    <row r="83" spans="1:9" ht="15.75">
      <c r="A83" s="63" t="str">
        <v>Washington 4</v>
      </c>
      <c r="B83" s="64" t="str">
        <v>NYCS II</v>
      </c>
      <c r="C83" s="81">
        <f ca="1">SUM('1st Qtr'!C83, '2nd Qtr'!C83, '3rd Qtr'!C83, '4th Qtr'!C83)</f>
        <v>81604</v>
      </c>
      <c r="D83" s="50">
        <f ca="1">SUM('1st Qtr'!D83, '2nd Qtr'!D83, '3rd Qtr'!D83, '4th Qtr'!D83)</f>
        <v>0</v>
      </c>
      <c r="E83" s="50">
        <f t="shared" ca="1" si="4"/>
        <v>81604</v>
      </c>
      <c r="F83" s="51">
        <f t="shared" ca="1" si="5"/>
        <v>0</v>
      </c>
      <c r="G83" s="52">
        <f ca="1">SUM('1st Qtr'!G83, '2nd Qtr'!G83, '3rd Qtr'!G83, '4th Qtr'!G83)</f>
        <v>131400.47</v>
      </c>
      <c r="H83" s="52">
        <f t="shared" ca="1" si="6"/>
        <v>-49796.47</v>
      </c>
      <c r="I83" s="53">
        <f t="shared" ca="1" si="7"/>
        <v>-0.37896721373979864</v>
      </c>
    </row>
    <row r="84" spans="1:9" ht="15.75">
      <c r="A84" s="59" t="str">
        <v>Big Tree</v>
      </c>
      <c r="B84" s="21" t="str">
        <v>NYCS III</v>
      </c>
      <c r="C84" s="81">
        <f ca="1">SUM('1st Qtr'!C84, '2nd Qtr'!C84, '3rd Qtr'!C84, '4th Qtr'!C84)</f>
        <v>32655</v>
      </c>
      <c r="D84" s="50">
        <f ca="1">SUM('1st Qtr'!D84, '2nd Qtr'!D84, '3rd Qtr'!D84, '4th Qtr'!D84)</f>
        <v>0</v>
      </c>
      <c r="E84" s="50">
        <f t="shared" ca="1" si="4"/>
        <v>32655</v>
      </c>
      <c r="F84" s="51">
        <f t="shared" ca="1" si="5"/>
        <v>0</v>
      </c>
      <c r="G84" s="52">
        <f ca="1">SUM('1st Qtr'!G84, '2nd Qtr'!G84, '3rd Qtr'!G84, '4th Qtr'!G84)</f>
        <v>107924</v>
      </c>
      <c r="H84" s="52">
        <f t="shared" ca="1" si="6"/>
        <v>-75269</v>
      </c>
      <c r="I84" s="53">
        <f t="shared" ca="1" si="7"/>
        <v>-0.69742596642081467</v>
      </c>
    </row>
    <row r="85" spans="1:9" ht="15.75">
      <c r="A85" s="63" t="str">
        <v>Canoga</v>
      </c>
      <c r="B85" s="64" t="str">
        <v>NYCS III</v>
      </c>
      <c r="C85" s="81">
        <f ca="1">SUM('1st Qtr'!C85, '2nd Qtr'!C85, '3rd Qtr'!C85, '4th Qtr'!C85)</f>
        <v>219933</v>
      </c>
      <c r="D85" s="50">
        <f ca="1">SUM('1st Qtr'!D85, '2nd Qtr'!D85, '3rd Qtr'!D85, '4th Qtr'!D85)</f>
        <v>0</v>
      </c>
      <c r="E85" s="50">
        <f t="shared" ca="1" si="4"/>
        <v>219933</v>
      </c>
      <c r="F85" s="51">
        <f t="shared" ca="1" si="5"/>
        <v>0</v>
      </c>
      <c r="G85" s="52">
        <f ca="1">SUM('1st Qtr'!G85, '2nd Qtr'!G85, '3rd Qtr'!G85, '4th Qtr'!G85)</f>
        <v>305951</v>
      </c>
      <c r="H85" s="52">
        <f t="shared" ca="1" si="6"/>
        <v>-86018</v>
      </c>
      <c r="I85" s="53">
        <f t="shared" ca="1" si="7"/>
        <v>-0.2811495958503159</v>
      </c>
    </row>
    <row r="86" spans="1:9" ht="15.75">
      <c r="A86" s="59" t="str">
        <v>County Route 84</v>
      </c>
      <c r="B86" s="21" t="str">
        <v>NYCS III</v>
      </c>
      <c r="C86" s="81">
        <f ca="1">SUM('1st Qtr'!C86, '2nd Qtr'!C86, '3rd Qtr'!C86, '4th Qtr'!C86)</f>
        <v>240973</v>
      </c>
      <c r="D86" s="50">
        <f ca="1">SUM('1st Qtr'!D86, '2nd Qtr'!D86, '3rd Qtr'!D86, '4th Qtr'!D86)</f>
        <v>0</v>
      </c>
      <c r="E86" s="50">
        <f t="shared" ca="1" si="4"/>
        <v>240973</v>
      </c>
      <c r="F86" s="51">
        <f t="shared" ca="1" si="5"/>
        <v>0</v>
      </c>
      <c r="G86" s="52">
        <f ca="1">SUM('1st Qtr'!G86, '2nd Qtr'!G86, '3rd Qtr'!G86, '4th Qtr'!G86)</f>
        <v>377147</v>
      </c>
      <c r="H86" s="52">
        <f t="shared" ca="1" si="6"/>
        <v>-136174</v>
      </c>
      <c r="I86" s="53">
        <f t="shared" ca="1" si="7"/>
        <v>-0.36106345801504452</v>
      </c>
    </row>
    <row r="87" spans="1:9" ht="15.75">
      <c r="A87" s="63" t="str">
        <v>Donati</v>
      </c>
      <c r="B87" s="64" t="str">
        <v>NYCS III</v>
      </c>
      <c r="C87" s="81">
        <f ca="1">SUM('1st Qtr'!C87, '2nd Qtr'!C87, '3rd Qtr'!C87, '4th Qtr'!C87)</f>
        <v>82618</v>
      </c>
      <c r="D87" s="50">
        <f ca="1">SUM('1st Qtr'!D87, '2nd Qtr'!D87, '3rd Qtr'!D87, '4th Qtr'!D87)</f>
        <v>0</v>
      </c>
      <c r="E87" s="50">
        <f t="shared" ca="1" si="4"/>
        <v>82618</v>
      </c>
      <c r="F87" s="51">
        <f t="shared" ca="1" si="5"/>
        <v>0</v>
      </c>
      <c r="G87" s="52">
        <f ca="1">SUM('1st Qtr'!G87, '2nd Qtr'!G87, '3rd Qtr'!G87, '4th Qtr'!G87)</f>
        <v>120408</v>
      </c>
      <c r="H87" s="52">
        <f t="shared" ca="1" si="6"/>
        <v>-37790</v>
      </c>
      <c r="I87" s="53">
        <f t="shared" ca="1" si="7"/>
        <v>-0.31384957810112285</v>
      </c>
    </row>
    <row r="88" spans="1:9" ht="15.75">
      <c r="A88" s="59" t="str">
        <v>Henrietta</v>
      </c>
      <c r="B88" s="21" t="str">
        <v>NYCS III</v>
      </c>
      <c r="C88" s="81">
        <f ca="1">SUM('1st Qtr'!C88, '2nd Qtr'!C88, '3rd Qtr'!C88, '4th Qtr'!C88)</f>
        <v>149508</v>
      </c>
      <c r="D88" s="50">
        <f ca="1">SUM('1st Qtr'!D88, '2nd Qtr'!D88, '3rd Qtr'!D88, '4th Qtr'!D88)</f>
        <v>0</v>
      </c>
      <c r="E88" s="50">
        <f t="shared" ca="1" si="4"/>
        <v>149508</v>
      </c>
      <c r="F88" s="51">
        <f t="shared" ca="1" si="5"/>
        <v>0</v>
      </c>
      <c r="G88" s="52">
        <f ca="1">SUM('1st Qtr'!G88, '2nd Qtr'!G88, '3rd Qtr'!G88, '4th Qtr'!G88)</f>
        <v>231860</v>
      </c>
      <c r="H88" s="52">
        <f t="shared" ca="1" si="6"/>
        <v>-82352</v>
      </c>
      <c r="I88" s="53">
        <f t="shared" ca="1" si="7"/>
        <v>-0.35517984990942808</v>
      </c>
    </row>
    <row r="89" spans="1:9" ht="15.75">
      <c r="A89" s="63" t="str">
        <v>NY 70</v>
      </c>
      <c r="B89" s="64" t="str">
        <v>NYCS III</v>
      </c>
      <c r="C89" s="81">
        <f ca="1">SUM('1st Qtr'!C89, '2nd Qtr'!C89, '3rd Qtr'!C89, '4th Qtr'!C89)</f>
        <v>202299</v>
      </c>
      <c r="D89" s="50">
        <f ca="1">SUM('1st Qtr'!D89, '2nd Qtr'!D89, '3rd Qtr'!D89, '4th Qtr'!D89)</f>
        <v>0</v>
      </c>
      <c r="E89" s="50">
        <f t="shared" ca="1" si="4"/>
        <v>202299</v>
      </c>
      <c r="F89" s="51">
        <f t="shared" ca="1" si="5"/>
        <v>0</v>
      </c>
      <c r="G89" s="52">
        <f ca="1">SUM('1st Qtr'!G89, '2nd Qtr'!G89, '3rd Qtr'!G89, '4th Qtr'!G89)</f>
        <v>360230</v>
      </c>
      <c r="H89" s="52">
        <f t="shared" ca="1" si="6"/>
        <v>-157931</v>
      </c>
      <c r="I89" s="53">
        <f t="shared" ca="1" si="7"/>
        <v>-0.43841712239402603</v>
      </c>
    </row>
    <row r="90" spans="1:9" ht="15.75">
      <c r="A90" s="59" t="str">
        <v>Reid</v>
      </c>
      <c r="B90" s="21" t="str">
        <v>NYCS III</v>
      </c>
      <c r="C90" s="81">
        <f ca="1">SUM('1st Qtr'!C90, '2nd Qtr'!C90, '3rd Qtr'!C90, '4th Qtr'!C90)</f>
        <v>161556.07105237199</v>
      </c>
      <c r="D90" s="50">
        <f ca="1">SUM('1st Qtr'!D90, '2nd Qtr'!D90, '3rd Qtr'!D90, '4th Qtr'!D90)</f>
        <v>184058</v>
      </c>
      <c r="E90" s="50">
        <f t="shared" ca="1" si="4"/>
        <v>-22501.92894762801</v>
      </c>
      <c r="F90" s="51">
        <f t="shared" ca="1" si="5"/>
        <v>-0.12225455534466315</v>
      </c>
      <c r="G90" s="52">
        <f ca="1">SUM('1st Qtr'!G90, '2nd Qtr'!G90, '3rd Qtr'!G90, '4th Qtr'!G90)</f>
        <v>380016</v>
      </c>
      <c r="H90" s="52">
        <f t="shared" ca="1" si="6"/>
        <v>-218459.92894762801</v>
      </c>
      <c r="I90" s="53">
        <f t="shared" ca="1" si="7"/>
        <v>-0.57487034479502974</v>
      </c>
    </row>
    <row r="91" spans="1:9" ht="15.75">
      <c r="A91" s="63" t="str">
        <v>Sangolqui</v>
      </c>
      <c r="B91" s="64" t="str">
        <v>NYCS III</v>
      </c>
      <c r="C91" s="81">
        <f ca="1">SUM('1st Qtr'!C91, '2nd Qtr'!C91, '3rd Qtr'!C91, '4th Qtr'!C91)</f>
        <v>76404</v>
      </c>
      <c r="D91" s="50">
        <f ca="1">SUM('1st Qtr'!D91, '2nd Qtr'!D91, '3rd Qtr'!D91, '4th Qtr'!D91)</f>
        <v>0</v>
      </c>
      <c r="E91" s="50">
        <f t="shared" ca="1" si="4"/>
        <v>76404</v>
      </c>
      <c r="F91" s="51">
        <f t="shared" ca="1" si="5"/>
        <v>0</v>
      </c>
      <c r="G91" s="52">
        <f ca="1">SUM('1st Qtr'!G91, '2nd Qtr'!G91, '3rd Qtr'!G91, '4th Qtr'!G91)</f>
        <v>117423</v>
      </c>
      <c r="H91" s="52">
        <f t="shared" ca="1" si="6"/>
        <v>-41019</v>
      </c>
      <c r="I91" s="53">
        <f t="shared" ca="1" si="7"/>
        <v>-0.34932679287703433</v>
      </c>
    </row>
    <row r="92" spans="1:9" ht="15.75">
      <c r="A92" s="59" t="str">
        <v>State Highway 17B</v>
      </c>
      <c r="B92" s="21" t="str">
        <v>NYCS III</v>
      </c>
      <c r="C92" s="81">
        <f ca="1">SUM('1st Qtr'!C92, '2nd Qtr'!C92, '3rd Qtr'!C92, '4th Qtr'!C92)</f>
        <v>175181</v>
      </c>
      <c r="D92" s="50">
        <f ca="1">SUM('1st Qtr'!D92, '2nd Qtr'!D92, '3rd Qtr'!D92, '4th Qtr'!D92)</f>
        <v>0</v>
      </c>
      <c r="E92" s="50">
        <f t="shared" ca="1" si="4"/>
        <v>175181</v>
      </c>
      <c r="F92" s="51">
        <f t="shared" ca="1" si="5"/>
        <v>0</v>
      </c>
      <c r="G92" s="52">
        <f ca="1">SUM('1st Qtr'!G92, '2nd Qtr'!G92, '3rd Qtr'!G92, '4th Qtr'!G92)</f>
        <v>323774</v>
      </c>
      <c r="H92" s="52">
        <f t="shared" ca="1" si="6"/>
        <v>-148593</v>
      </c>
      <c r="I92" s="53">
        <f t="shared" ca="1" si="7"/>
        <v>-0.45894049553083321</v>
      </c>
    </row>
    <row r="93" spans="1:9" ht="15.75">
      <c r="A93" s="63" t="str">
        <v>State Route 14A</v>
      </c>
      <c r="B93" s="64" t="str">
        <v>NYCS III</v>
      </c>
      <c r="C93" s="81">
        <f ca="1">SUM('1st Qtr'!C93, '2nd Qtr'!C93, '3rd Qtr'!C93, '4th Qtr'!C93)</f>
        <v>251217</v>
      </c>
      <c r="D93" s="50">
        <f ca="1">SUM('1st Qtr'!D93, '2nd Qtr'!D93, '3rd Qtr'!D93, '4th Qtr'!D93)</f>
        <v>0</v>
      </c>
      <c r="E93" s="50">
        <f t="shared" ca="1" si="4"/>
        <v>251217</v>
      </c>
      <c r="F93" s="51">
        <f t="shared" ca="1" si="5"/>
        <v>0</v>
      </c>
      <c r="G93" s="52">
        <f ca="1">SUM('1st Qtr'!G93, '2nd Qtr'!G93, '3rd Qtr'!G93, '4th Qtr'!G93)</f>
        <v>347615</v>
      </c>
      <c r="H93" s="52">
        <f t="shared" ca="1" si="6"/>
        <v>-96398</v>
      </c>
      <c r="I93" s="53">
        <f t="shared" ca="1" si="7"/>
        <v>-0.27731254405017047</v>
      </c>
    </row>
    <row r="94" spans="1:9" ht="15.75">
      <c r="A94" s="59" t="str">
        <v>West Creek</v>
      </c>
      <c r="B94" s="21" t="str">
        <v>NYCS III</v>
      </c>
      <c r="C94" s="81">
        <f ca="1">SUM('1st Qtr'!C94, '2nd Qtr'!C94, '3rd Qtr'!C94, '4th Qtr'!C94)</f>
        <v>204956</v>
      </c>
      <c r="D94" s="50">
        <f ca="1">SUM('1st Qtr'!D94, '2nd Qtr'!D94, '3rd Qtr'!D94, '4th Qtr'!D94)</f>
        <v>0</v>
      </c>
      <c r="E94" s="50">
        <f t="shared" ca="1" si="4"/>
        <v>204956</v>
      </c>
      <c r="F94" s="51">
        <f t="shared" ca="1" si="5"/>
        <v>0</v>
      </c>
      <c r="G94" s="52">
        <f ca="1">SUM('1st Qtr'!G94, '2nd Qtr'!G94, '3rd Qtr'!G94, '4th Qtr'!G94)</f>
        <v>298444</v>
      </c>
      <c r="H94" s="52">
        <f t="shared" ca="1" si="6"/>
        <v>-93488</v>
      </c>
      <c r="I94" s="53">
        <f t="shared" ca="1" si="7"/>
        <v>-0.3132513972470547</v>
      </c>
    </row>
    <row r="95" spans="1:9" ht="15.75">
      <c r="A95" s="63" t="str">
        <v>Wildflower</v>
      </c>
      <c r="B95" s="64" t="str">
        <v>NYCS III</v>
      </c>
      <c r="C95" s="81">
        <f ca="1">SUM('1st Qtr'!C95, '2nd Qtr'!C95, '3rd Qtr'!C95, '4th Qtr'!C95)</f>
        <v>222902</v>
      </c>
      <c r="D95" s="50">
        <f ca="1">SUM('1st Qtr'!D95, '2nd Qtr'!D95, '3rd Qtr'!D95, '4th Qtr'!D95)</f>
        <v>0</v>
      </c>
      <c r="E95" s="50">
        <f t="shared" ca="1" si="4"/>
        <v>222902</v>
      </c>
      <c r="F95" s="51">
        <f t="shared" ca="1" si="5"/>
        <v>0</v>
      </c>
      <c r="G95" s="52">
        <f ca="1">SUM('1st Qtr'!G95, '2nd Qtr'!G95, '3rd Qtr'!G95, '4th Qtr'!G95)</f>
        <v>406945</v>
      </c>
      <c r="H95" s="52">
        <f t="shared" ca="1" si="6"/>
        <v>-184043</v>
      </c>
      <c r="I95" s="53">
        <f t="shared" ca="1" si="7"/>
        <v>-0.45225521876420649</v>
      </c>
    </row>
    <row r="96" spans="1:9" ht="15.75">
      <c r="A96" s="59" t="str">
        <v>Glen Mary 1</v>
      </c>
      <c r="B96" s="21" t="str">
        <v>NYCS IV</v>
      </c>
      <c r="C96" s="81">
        <f ca="1">SUM('1st Qtr'!C96, '2nd Qtr'!C96, '3rd Qtr'!C96, '4th Qtr'!C96)</f>
        <v>90965</v>
      </c>
      <c r="D96" s="50">
        <f ca="1">SUM('1st Qtr'!D96, '2nd Qtr'!D96, '3rd Qtr'!D96, '4th Qtr'!D96)</f>
        <v>0</v>
      </c>
      <c r="E96" s="50">
        <f t="shared" ca="1" si="4"/>
        <v>90965</v>
      </c>
      <c r="F96" s="51">
        <f t="shared" ca="1" si="5"/>
        <v>0</v>
      </c>
      <c r="G96" s="52">
        <f ca="1">SUM('1st Qtr'!G96, '2nd Qtr'!G96, '3rd Qtr'!G96, '4th Qtr'!G96)</f>
        <v>0</v>
      </c>
      <c r="H96" s="52">
        <f t="shared" ca="1" si="6"/>
        <v>90965</v>
      </c>
      <c r="I96" s="53">
        <f t="shared" ca="1" si="7"/>
        <v>0</v>
      </c>
    </row>
    <row r="97" spans="1:9" ht="15.75">
      <c r="A97" s="63" t="str">
        <v>Glen Mary 2</v>
      </c>
      <c r="B97" s="64" t="str">
        <v>NYCS IV</v>
      </c>
      <c r="C97" s="81">
        <f ca="1">SUM('1st Qtr'!C97, '2nd Qtr'!C97, '3rd Qtr'!C97, '4th Qtr'!C97)</f>
        <v>39864</v>
      </c>
      <c r="D97" s="50">
        <f ca="1">SUM('1st Qtr'!D97, '2nd Qtr'!D97, '3rd Qtr'!D97, '4th Qtr'!D97)</f>
        <v>0</v>
      </c>
      <c r="E97" s="50">
        <f t="shared" ca="1" si="4"/>
        <v>39864</v>
      </c>
      <c r="F97" s="51">
        <f t="shared" ca="1" si="5"/>
        <v>0</v>
      </c>
      <c r="G97" s="52">
        <f ca="1">SUM('1st Qtr'!G97, '2nd Qtr'!G97, '3rd Qtr'!G97, '4th Qtr'!G97)</f>
        <v>159217</v>
      </c>
      <c r="H97" s="52">
        <f t="shared" ca="1" si="6"/>
        <v>-119353</v>
      </c>
      <c r="I97" s="53">
        <f t="shared" ca="1" si="7"/>
        <v>-0.74962472600287655</v>
      </c>
    </row>
    <row r="98" spans="1:9" ht="15.75">
      <c r="A98" s="59" t="str">
        <v>Telegraph 1</v>
      </c>
      <c r="B98" s="21" t="str">
        <v>NYCS IV</v>
      </c>
      <c r="C98" s="81">
        <f ca="1">SUM('1st Qtr'!C98, '2nd Qtr'!C98, '3rd Qtr'!C98, '4th Qtr'!C98)</f>
        <v>54564</v>
      </c>
      <c r="D98" s="50">
        <f ca="1">SUM('1st Qtr'!D98, '2nd Qtr'!D98, '3rd Qtr'!D98, '4th Qtr'!D98)</f>
        <v>0</v>
      </c>
      <c r="E98" s="50">
        <f t="shared" ca="1" si="4"/>
        <v>54564</v>
      </c>
      <c r="F98" s="51">
        <f t="shared" ca="1" si="5"/>
        <v>0</v>
      </c>
      <c r="G98" s="52">
        <f ca="1">SUM('1st Qtr'!G98, '2nd Qtr'!G98, '3rd Qtr'!G98, '4th Qtr'!G98)</f>
        <v>264699</v>
      </c>
      <c r="H98" s="52">
        <f t="shared" ca="1" si="6"/>
        <v>-210135</v>
      </c>
      <c r="I98" s="53">
        <f t="shared" ca="1" si="7"/>
        <v>-0.79386397379665208</v>
      </c>
    </row>
    <row r="99" spans="1:9" ht="15.75">
      <c r="A99" s="63" t="str">
        <v>Telegraph 2</v>
      </c>
      <c r="B99" s="64" t="str">
        <v>NYCS IV</v>
      </c>
      <c r="C99" s="81">
        <f ca="1">SUM('1st Qtr'!C99, '2nd Qtr'!C99, '3rd Qtr'!C99, '4th Qtr'!C99)</f>
        <v>29393</v>
      </c>
      <c r="D99" s="50">
        <f ca="1">SUM('1st Qtr'!D99, '2nd Qtr'!D99, '3rd Qtr'!D99, '4th Qtr'!D99)</f>
        <v>0</v>
      </c>
      <c r="E99" s="50">
        <f t="shared" ca="1" si="4"/>
        <v>29393</v>
      </c>
      <c r="F99" s="51">
        <f t="shared" ca="1" si="5"/>
        <v>0</v>
      </c>
      <c r="G99" s="52">
        <f ca="1">SUM('1st Qtr'!G99, '2nd Qtr'!G99, '3rd Qtr'!G99, '4th Qtr'!G99)</f>
        <v>137325</v>
      </c>
      <c r="H99" s="52">
        <f t="shared" ca="1" si="6"/>
        <v>-107932</v>
      </c>
      <c r="I99" s="53">
        <f t="shared" ca="1" si="7"/>
        <v>-0.78596031312579651</v>
      </c>
    </row>
    <row r="100" spans="1:9" ht="15.75">
      <c r="A100" s="59" t="str">
        <v>Cafferty Hill</v>
      </c>
      <c r="B100" s="21" t="str">
        <v>NYCS V</v>
      </c>
      <c r="C100" s="81">
        <f ca="1">SUM('1st Qtr'!C100, '2nd Qtr'!C100, '3rd Qtr'!C100, '4th Qtr'!C100)</f>
        <v>100252</v>
      </c>
      <c r="D100" s="50">
        <f ca="1">SUM('1st Qtr'!D100, '2nd Qtr'!D100, '3rd Qtr'!D100, '4th Qtr'!D100)</f>
        <v>0</v>
      </c>
      <c r="E100" s="50">
        <f t="shared" ca="1" si="4"/>
        <v>100252</v>
      </c>
      <c r="F100" s="51">
        <f t="shared" ca="1" si="5"/>
        <v>0</v>
      </c>
      <c r="G100" s="52">
        <f ca="1">SUM('1st Qtr'!G100, '2nd Qtr'!G100, '3rd Qtr'!G100, '4th Qtr'!G100)</f>
        <v>312360</v>
      </c>
      <c r="H100" s="52">
        <f t="shared" ca="1" si="6"/>
        <v>-212108</v>
      </c>
      <c r="I100" s="53">
        <f t="shared" ca="1" si="7"/>
        <v>-0.67904981431681388</v>
      </c>
    </row>
    <row r="101" spans="1:9" ht="15.75">
      <c r="A101" s="63" t="str">
        <v>Dunkleman</v>
      </c>
      <c r="B101" s="64" t="str">
        <v>NYCS V</v>
      </c>
      <c r="C101" s="81">
        <f ca="1">SUM('1st Qtr'!C101, '2nd Qtr'!C101, '3rd Qtr'!C101, '4th Qtr'!C101)</f>
        <v>83950</v>
      </c>
      <c r="D101" s="50">
        <f ca="1">SUM('1st Qtr'!D101, '2nd Qtr'!D101, '3rd Qtr'!D101, '4th Qtr'!D101)</f>
        <v>0</v>
      </c>
      <c r="E101" s="50">
        <f t="shared" ca="1" si="4"/>
        <v>83950</v>
      </c>
      <c r="F101" s="51">
        <f t="shared" ca="1" si="5"/>
        <v>0</v>
      </c>
      <c r="G101" s="52">
        <f ca="1">SUM('1st Qtr'!G101, '2nd Qtr'!G101, '3rd Qtr'!G101, '4th Qtr'!G101)</f>
        <v>0</v>
      </c>
      <c r="H101" s="52">
        <f t="shared" ca="1" si="6"/>
        <v>83950</v>
      </c>
      <c r="I101" s="53">
        <f t="shared" ca="1" si="7"/>
        <v>0</v>
      </c>
    </row>
    <row r="102" spans="1:9" ht="15.75">
      <c r="A102" s="59" t="str">
        <v>Route 19 1</v>
      </c>
      <c r="B102" s="21" t="str">
        <v>NYCS V</v>
      </c>
      <c r="C102" s="81">
        <f ca="1">SUM('1st Qtr'!C102, '2nd Qtr'!C102, '3rd Qtr'!C102, '4th Qtr'!C102)</f>
        <v>29341</v>
      </c>
      <c r="D102" s="50">
        <f ca="1">SUM('1st Qtr'!D102, '2nd Qtr'!D102, '3rd Qtr'!D102, '4th Qtr'!D102)</f>
        <v>0</v>
      </c>
      <c r="E102" s="50">
        <f t="shared" ca="1" si="4"/>
        <v>29341</v>
      </c>
      <c r="F102" s="51">
        <f t="shared" ca="1" si="5"/>
        <v>0</v>
      </c>
      <c r="G102" s="52">
        <f ca="1">SUM('1st Qtr'!G102, '2nd Qtr'!G102, '3rd Qtr'!G102, '4th Qtr'!G102)</f>
        <v>133344</v>
      </c>
      <c r="H102" s="52">
        <f t="shared" ca="1" si="6"/>
        <v>-104003</v>
      </c>
      <c r="I102" s="53">
        <f t="shared" ca="1" si="7"/>
        <v>-0.77996010319174469</v>
      </c>
    </row>
    <row r="103" spans="1:9" ht="15.75">
      <c r="A103" s="63" t="str">
        <v>Route 19 2</v>
      </c>
      <c r="B103" s="64" t="str">
        <v>NYCS V</v>
      </c>
      <c r="C103" s="81">
        <f ca="1">SUM('1st Qtr'!C103, '2nd Qtr'!C103, '3rd Qtr'!C103, '4th Qtr'!C103)</f>
        <v>66472</v>
      </c>
      <c r="D103" s="50">
        <f ca="1">SUM('1st Qtr'!D103, '2nd Qtr'!D103, '3rd Qtr'!D103, '4th Qtr'!D103)</f>
        <v>0</v>
      </c>
      <c r="E103" s="50">
        <f t="shared" ca="1" si="4"/>
        <v>66472</v>
      </c>
      <c r="F103" s="51">
        <f t="shared" ca="1" si="5"/>
        <v>0</v>
      </c>
      <c r="G103" s="52">
        <f ca="1">SUM('1st Qtr'!G103, '2nd Qtr'!G103, '3rd Qtr'!G103, '4th Qtr'!G103)</f>
        <v>361225</v>
      </c>
      <c r="H103" s="52">
        <f t="shared" ca="1" si="6"/>
        <v>-294753</v>
      </c>
      <c r="I103" s="53">
        <f t="shared" ca="1" si="7"/>
        <v>-0.81598172883936604</v>
      </c>
    </row>
    <row r="104" spans="1:9" ht="15.75">
      <c r="A104" s="59" t="str">
        <v>Yellow Mills 1</v>
      </c>
      <c r="B104" s="21" t="str">
        <v>NYCS V</v>
      </c>
      <c r="C104" s="81">
        <f ca="1">SUM('1st Qtr'!C104, '2nd Qtr'!C104, '3rd Qtr'!C104, '4th Qtr'!C104)</f>
        <v>31915</v>
      </c>
      <c r="D104" s="50">
        <f ca="1">SUM('1st Qtr'!D104, '2nd Qtr'!D104, '3rd Qtr'!D104, '4th Qtr'!D104)</f>
        <v>0</v>
      </c>
      <c r="E104" s="50">
        <f t="shared" ca="1" si="4"/>
        <v>31915</v>
      </c>
      <c r="F104" s="51">
        <f t="shared" ca="1" si="5"/>
        <v>0</v>
      </c>
      <c r="G104" s="52">
        <f ca="1">SUM('1st Qtr'!G104, '2nd Qtr'!G104, '3rd Qtr'!G104, '4th Qtr'!G104)</f>
        <v>0</v>
      </c>
      <c r="H104" s="52">
        <f t="shared" ca="1" si="6"/>
        <v>31915</v>
      </c>
      <c r="I104" s="53">
        <f t="shared" ca="1" si="7"/>
        <v>0</v>
      </c>
    </row>
    <row r="105" spans="1:9" ht="15.75">
      <c r="A105" s="63" t="str">
        <v>Yellow Mills 2</v>
      </c>
      <c r="B105" s="64" t="str">
        <v>NYCS V</v>
      </c>
      <c r="C105" s="81">
        <f ca="1">SUM('1st Qtr'!C105, '2nd Qtr'!C105, '3rd Qtr'!C105, '4th Qtr'!C105)</f>
        <v>31675</v>
      </c>
      <c r="D105" s="50">
        <f ca="1">SUM('1st Qtr'!D105, '2nd Qtr'!D105, '3rd Qtr'!D105, '4th Qtr'!D105)</f>
        <v>0</v>
      </c>
      <c r="E105" s="50">
        <f t="shared" ca="1" si="4"/>
        <v>31675</v>
      </c>
      <c r="F105" s="51">
        <f t="shared" ca="1" si="5"/>
        <v>0</v>
      </c>
      <c r="G105" s="52">
        <f ca="1">SUM('1st Qtr'!G105, '2nd Qtr'!G105, '3rd Qtr'!G105, '4th Qtr'!G105)</f>
        <v>0</v>
      </c>
      <c r="H105" s="52">
        <f t="shared" ca="1" si="6"/>
        <v>31675</v>
      </c>
      <c r="I105" s="53">
        <f t="shared" ca="1" si="7"/>
        <v>0</v>
      </c>
    </row>
    <row r="106" spans="1:9" ht="15.75">
      <c r="A106" s="59" t="str">
        <v>Yellow Mills 3</v>
      </c>
      <c r="B106" s="21" t="str">
        <v>NYCS V</v>
      </c>
      <c r="C106" s="81">
        <f ca="1">SUM('1st Qtr'!C106, '2nd Qtr'!C106, '3rd Qtr'!C106, '4th Qtr'!C106)</f>
        <v>68145</v>
      </c>
      <c r="D106" s="50">
        <f ca="1">SUM('1st Qtr'!D106, '2nd Qtr'!D106, '3rd Qtr'!D106, '4th Qtr'!D106)</f>
        <v>0</v>
      </c>
      <c r="E106" s="50">
        <f t="shared" ca="1" si="4"/>
        <v>68145</v>
      </c>
      <c r="F106" s="51">
        <f t="shared" ca="1" si="5"/>
        <v>0</v>
      </c>
      <c r="G106" s="52">
        <f ca="1">SUM('1st Qtr'!G106, '2nd Qtr'!G106, '3rd Qtr'!G106, '4th Qtr'!G106)</f>
        <v>0</v>
      </c>
      <c r="H106" s="52">
        <f t="shared" ca="1" si="6"/>
        <v>68145</v>
      </c>
      <c r="I106" s="53">
        <f t="shared" ca="1" si="7"/>
        <v>0</v>
      </c>
    </row>
    <row r="107" spans="1:9" ht="15.75">
      <c r="A107" s="63" t="str">
        <v>Catskill</v>
      </c>
      <c r="B107" s="64" t="str">
        <v>NYCS VI</v>
      </c>
      <c r="C107" s="81">
        <f ca="1">SUM('1st Qtr'!C107, '2nd Qtr'!C107, '3rd Qtr'!C107, '4th Qtr'!C107)</f>
        <v>186426</v>
      </c>
      <c r="D107" s="50">
        <f ca="1">SUM('1st Qtr'!D107, '2nd Qtr'!D107, '3rd Qtr'!D107, '4th Qtr'!D107)</f>
        <v>0</v>
      </c>
      <c r="E107" s="50">
        <f t="shared" ca="1" si="4"/>
        <v>186426</v>
      </c>
      <c r="F107" s="51">
        <f t="shared" ca="1" si="5"/>
        <v>0</v>
      </c>
      <c r="G107" s="52">
        <f ca="1">SUM('1st Qtr'!G107, '2nd Qtr'!G107, '3rd Qtr'!G107, '4th Qtr'!G107)</f>
        <v>0</v>
      </c>
      <c r="H107" s="52">
        <f t="shared" ca="1" si="6"/>
        <v>186426</v>
      </c>
      <c r="I107" s="53">
        <f t="shared" ca="1" si="7"/>
        <v>0</v>
      </c>
    </row>
    <row r="108" spans="1:9" ht="15.75">
      <c r="A108" s="59" t="str">
        <v>Eddy Ridge</v>
      </c>
      <c r="B108" s="21" t="str">
        <v>NYCS VI</v>
      </c>
      <c r="C108" s="81">
        <f ca="1">SUM('1st Qtr'!C108, '2nd Qtr'!C108, '3rd Qtr'!C108, '4th Qtr'!C108)</f>
        <v>108825</v>
      </c>
      <c r="D108" s="50">
        <f ca="1">SUM('1st Qtr'!D108, '2nd Qtr'!D108, '3rd Qtr'!D108, '4th Qtr'!D108)</f>
        <v>0</v>
      </c>
      <c r="E108" s="50">
        <f t="shared" ca="1" si="4"/>
        <v>108825</v>
      </c>
      <c r="F108" s="51">
        <f t="shared" ca="1" si="5"/>
        <v>0</v>
      </c>
      <c r="G108" s="52">
        <f ca="1">SUM('1st Qtr'!G108, '2nd Qtr'!G108, '3rd Qtr'!G108, '4th Qtr'!G108)</f>
        <v>0</v>
      </c>
      <c r="H108" s="52">
        <f t="shared" ca="1" si="6"/>
        <v>108825</v>
      </c>
      <c r="I108" s="53">
        <f t="shared" ca="1" si="7"/>
        <v>0</v>
      </c>
    </row>
    <row r="109" spans="1:9" ht="15.75">
      <c r="A109" s="63" t="str">
        <v>Ridgeway #1</v>
      </c>
      <c r="B109" s="64" t="str">
        <v>NYCS VI</v>
      </c>
      <c r="C109" s="81">
        <f ca="1">SUM('1st Qtr'!C109, '2nd Qtr'!C109, '3rd Qtr'!C109, '4th Qtr'!C109)</f>
        <v>0</v>
      </c>
      <c r="D109" s="50">
        <f ca="1">SUM('1st Qtr'!D109, '2nd Qtr'!D109, '3rd Qtr'!D109, '4th Qtr'!D109)</f>
        <v>0</v>
      </c>
      <c r="E109" s="50">
        <f t="shared" ca="1" si="4"/>
        <v>0</v>
      </c>
      <c r="F109" s="51">
        <f t="shared" ca="1" si="5"/>
        <v>0</v>
      </c>
      <c r="G109" s="52">
        <f ca="1">SUM('1st Qtr'!G109, '2nd Qtr'!G109, '3rd Qtr'!G109, '4th Qtr'!G109)</f>
        <v>0</v>
      </c>
      <c r="H109" s="52">
        <f t="shared" ca="1" si="6"/>
        <v>0</v>
      </c>
      <c r="I109" s="53">
        <f t="shared" ca="1" si="7"/>
        <v>0</v>
      </c>
    </row>
    <row r="110" spans="1:9" ht="15.75">
      <c r="A110" s="59" t="str">
        <v>Rivard 1</v>
      </c>
      <c r="B110" s="21" t="str">
        <v>NYCS VI</v>
      </c>
      <c r="C110" s="81">
        <f ca="1">SUM('1st Qtr'!C110, '2nd Qtr'!C110, '3rd Qtr'!C110, '4th Qtr'!C110)</f>
        <v>148695.250778894</v>
      </c>
      <c r="D110" s="50">
        <f ca="1">SUM('1st Qtr'!D110, '2nd Qtr'!D110, '3rd Qtr'!D110, '4th Qtr'!D110)</f>
        <v>188962.4</v>
      </c>
      <c r="E110" s="50">
        <f t="shared" ca="1" si="4"/>
        <v>-40267.149221105996</v>
      </c>
      <c r="F110" s="51">
        <f t="shared" ca="1" si="5"/>
        <v>-0.21309609330272053</v>
      </c>
      <c r="G110" s="52">
        <f ca="1">SUM('1st Qtr'!G110, '2nd Qtr'!G110, '3rd Qtr'!G110, '4th Qtr'!G110)</f>
        <v>269901.7</v>
      </c>
      <c r="H110" s="52">
        <f t="shared" ca="1" si="6"/>
        <v>-121206.44922110601</v>
      </c>
      <c r="I110" s="53">
        <f t="shared" ca="1" si="7"/>
        <v>-0.44907627192087346</v>
      </c>
    </row>
    <row r="111" spans="1:9" ht="15.75">
      <c r="A111" s="63" t="str">
        <v>Rivard 2</v>
      </c>
      <c r="B111" s="64" t="str">
        <v>NYCS VI</v>
      </c>
      <c r="C111" s="81">
        <f ca="1">SUM('1st Qtr'!C111, '2nd Qtr'!C111, '3rd Qtr'!C111, '4th Qtr'!C111)</f>
        <v>28249.4825870647</v>
      </c>
      <c r="D111" s="50">
        <f ca="1">SUM('1st Qtr'!D111, '2nd Qtr'!D111, '3rd Qtr'!D111, '4th Qtr'!D111)</f>
        <v>48018.29</v>
      </c>
      <c r="E111" s="50">
        <f t="shared" ca="1" si="4"/>
        <v>-19768.807412935301</v>
      </c>
      <c r="F111" s="51">
        <f t="shared" ca="1" si="5"/>
        <v>-0.41169328214176931</v>
      </c>
      <c r="G111" s="52">
        <f ca="1">SUM('1st Qtr'!G111, '2nd Qtr'!G111, '3rd Qtr'!G111, '4th Qtr'!G111)</f>
        <v>258654.9</v>
      </c>
      <c r="H111" s="52">
        <f t="shared" ca="1" si="6"/>
        <v>-230405.41741293529</v>
      </c>
      <c r="I111" s="53">
        <f t="shared" ca="1" si="7"/>
        <v>-0.89078311453962522</v>
      </c>
    </row>
    <row r="112" spans="1:9" ht="15.75">
      <c r="A112" s="59" t="str">
        <v>Essex</v>
      </c>
      <c r="B112" s="21" t="str">
        <v>Opportunity</v>
      </c>
      <c r="C112" s="81">
        <f ca="1">SUM('1st Qtr'!C112, '2nd Qtr'!C112, '3rd Qtr'!C112, '4th Qtr'!C112)</f>
        <v>870</v>
      </c>
      <c r="D112" s="50">
        <f ca="1">SUM('1st Qtr'!D112, '2nd Qtr'!D112, '3rd Qtr'!D112, '4th Qtr'!D112)</f>
        <v>1507.5250000000001</v>
      </c>
      <c r="E112" s="50">
        <f t="shared" ca="1" si="4"/>
        <v>-637.52500000000009</v>
      </c>
      <c r="F112" s="51">
        <f t="shared" ca="1" si="5"/>
        <v>-0.42289514270078443</v>
      </c>
      <c r="G112" s="52">
        <f ca="1">SUM('1st Qtr'!G112, '2nd Qtr'!G112, '3rd Qtr'!G112, '4th Qtr'!G112)</f>
        <v>2164.9670000000001</v>
      </c>
      <c r="H112" s="52">
        <f t="shared" ca="1" si="6"/>
        <v>-1294.9670000000001</v>
      </c>
      <c r="I112" s="53">
        <f t="shared" ca="1" si="7"/>
        <v>-0.59814629968955646</v>
      </c>
    </row>
    <row r="113" spans="1:9" ht="15.75">
      <c r="A113" s="63" t="str">
        <v>Temple Sinai</v>
      </c>
      <c r="B113" s="64" t="str">
        <v>Opportunity</v>
      </c>
      <c r="C113" s="81">
        <f ca="1">SUM('1st Qtr'!C113, '2nd Qtr'!C113, '3rd Qtr'!C113, '4th Qtr'!C113)</f>
        <v>2505.62</v>
      </c>
      <c r="D113" s="50">
        <f ca="1">SUM('1st Qtr'!D113, '2nd Qtr'!D113, '3rd Qtr'!D113, '4th Qtr'!D113)</f>
        <v>4293.1019999999999</v>
      </c>
      <c r="E113" s="50">
        <f t="shared" ca="1" si="4"/>
        <v>-1787.482</v>
      </c>
      <c r="F113" s="51">
        <f t="shared" ca="1" si="5"/>
        <v>-0.41636140953557593</v>
      </c>
      <c r="G113" s="52">
        <f ca="1">SUM('1st Qtr'!G113, '2nd Qtr'!G113, '3rd Qtr'!G113, '4th Qtr'!G113)</f>
        <v>5237.6580000000004</v>
      </c>
      <c r="H113" s="52">
        <f t="shared" ca="1" si="6"/>
        <v>-2732.0380000000005</v>
      </c>
      <c r="I113" s="53">
        <f t="shared" ca="1" si="7"/>
        <v>-0.52161443148827213</v>
      </c>
    </row>
    <row r="114" spans="1:9" ht="15.75">
      <c r="A114" s="59" t="str">
        <v>Weinberg 1</v>
      </c>
      <c r="B114" s="21" t="str">
        <v>Opportunity</v>
      </c>
      <c r="C114" s="81">
        <f ca="1">SUM('1st Qtr'!C114, '2nd Qtr'!C114, '3rd Qtr'!C114, '4th Qtr'!C114)</f>
        <v>385</v>
      </c>
      <c r="D114" s="50">
        <f ca="1">SUM('1st Qtr'!D114, '2nd Qtr'!D114, '3rd Qtr'!D114, '4th Qtr'!D114)</f>
        <v>590.59410000000003</v>
      </c>
      <c r="E114" s="50">
        <f t="shared" ca="1" si="4"/>
        <v>-205.59410000000003</v>
      </c>
      <c r="F114" s="51">
        <f t="shared" ca="1" si="5"/>
        <v>-0.34811404313046812</v>
      </c>
      <c r="G114" s="52">
        <f ca="1">SUM('1st Qtr'!G114, '2nd Qtr'!G114, '3rd Qtr'!G114, '4th Qtr'!G114)</f>
        <v>808.99249999999995</v>
      </c>
      <c r="H114" s="52">
        <f t="shared" ca="1" si="6"/>
        <v>-423.99249999999995</v>
      </c>
      <c r="I114" s="53">
        <f t="shared" ca="1" si="7"/>
        <v>-0.52409941995753972</v>
      </c>
    </row>
    <row r="115" spans="1:9" ht="15.75">
      <c r="A115" s="63" t="str">
        <v>Weinberg 2</v>
      </c>
      <c r="B115" s="64" t="str">
        <v>Opportunity</v>
      </c>
      <c r="C115" s="81">
        <f ca="1">SUM('1st Qtr'!C115, '2nd Qtr'!C115, '3rd Qtr'!C115, '4th Qtr'!C115)</f>
        <v>398</v>
      </c>
      <c r="D115" s="50">
        <f ca="1">SUM('1st Qtr'!D115, '2nd Qtr'!D115, '3rd Qtr'!D115, '4th Qtr'!D115)</f>
        <v>563.71370000000002</v>
      </c>
      <c r="E115" s="50">
        <f t="shared" ca="1" si="4"/>
        <v>-165.71370000000002</v>
      </c>
      <c r="F115" s="51">
        <f t="shared" ca="1" si="5"/>
        <v>-0.2939678421865568</v>
      </c>
      <c r="G115" s="52">
        <f ca="1">SUM('1st Qtr'!G115, '2nd Qtr'!G115, '3rd Qtr'!G115, '4th Qtr'!G115)</f>
        <v>862.08870000000002</v>
      </c>
      <c r="H115" s="52">
        <f t="shared" ca="1" si="6"/>
        <v>-464.08870000000002</v>
      </c>
      <c r="I115" s="53">
        <f t="shared" ca="1" si="7"/>
        <v>-0.53833056853662509</v>
      </c>
    </row>
    <row r="116" spans="1:9" ht="15.75">
      <c r="A116" s="59" t="str">
        <v>Weinberg 3</v>
      </c>
      <c r="B116" s="21" t="str">
        <v>Opportunity</v>
      </c>
      <c r="C116" s="81">
        <f ca="1">SUM('1st Qtr'!C116, '2nd Qtr'!C116, '3rd Qtr'!C116, '4th Qtr'!C116)</f>
        <v>464</v>
      </c>
      <c r="D116" s="50">
        <f ca="1">SUM('1st Qtr'!D116, '2nd Qtr'!D116, '3rd Qtr'!D116, '4th Qtr'!D116)</f>
        <v>551.17399999999998</v>
      </c>
      <c r="E116" s="50">
        <f t="shared" ca="1" si="4"/>
        <v>-87.173999999999978</v>
      </c>
      <c r="F116" s="51">
        <f t="shared" ca="1" si="5"/>
        <v>-0.15816058086919918</v>
      </c>
      <c r="G116" s="52">
        <f ca="1">SUM('1st Qtr'!G116, '2nd Qtr'!G116, '3rd Qtr'!G116, '4th Qtr'!G116)</f>
        <v>893</v>
      </c>
      <c r="H116" s="52">
        <f t="shared" ca="1" si="6"/>
        <v>-429</v>
      </c>
      <c r="I116" s="53">
        <f t="shared" ca="1" si="7"/>
        <v>-0.48040313549832026</v>
      </c>
    </row>
    <row r="117" spans="1:9" ht="15.75">
      <c r="A117" s="63" t="str">
        <v>Clayton Hall</v>
      </c>
      <c r="B117" s="64" t="str">
        <v>Opportunity</v>
      </c>
      <c r="C117" s="81">
        <f ca="1">SUM('1st Qtr'!C117, '2nd Qtr'!C117, '3rd Qtr'!C117, '4th Qtr'!C117)</f>
        <v>3000</v>
      </c>
      <c r="D117" s="50">
        <f ca="1">SUM('1st Qtr'!D117, '2nd Qtr'!D117, '3rd Qtr'!D117, '4th Qtr'!D117)</f>
        <v>0</v>
      </c>
      <c r="E117" s="50">
        <f t="shared" ca="1" si="4"/>
        <v>3000</v>
      </c>
      <c r="F117" s="51">
        <f t="shared" ca="1" si="5"/>
        <v>0</v>
      </c>
      <c r="G117" s="52">
        <f ca="1">SUM('1st Qtr'!G117, '2nd Qtr'!G117, '3rd Qtr'!G117, '4th Qtr'!G117)</f>
        <v>2819</v>
      </c>
      <c r="H117" s="52">
        <f t="shared" ca="1" si="6"/>
        <v>181</v>
      </c>
      <c r="I117" s="53">
        <f t="shared" ca="1" si="7"/>
        <v>6.4207165661582119E-2</v>
      </c>
    </row>
    <row r="118" spans="1:9" ht="15.75">
      <c r="A118" s="59" t="str">
        <v>Field House</v>
      </c>
      <c r="B118" s="21" t="str">
        <v>Opportunity</v>
      </c>
      <c r="C118" s="81">
        <f ca="1">SUM('1st Qtr'!C118, '2nd Qtr'!C118, '3rd Qtr'!C118, '4th Qtr'!C118)</f>
        <v>17646</v>
      </c>
      <c r="D118" s="50">
        <f ca="1">SUM('1st Qtr'!D118, '2nd Qtr'!D118, '3rd Qtr'!D118, '4th Qtr'!D118)</f>
        <v>0</v>
      </c>
      <c r="E118" s="50">
        <f t="shared" ca="1" si="4"/>
        <v>17646</v>
      </c>
      <c r="F118" s="51">
        <f t="shared" ca="1" si="5"/>
        <v>0</v>
      </c>
      <c r="G118" s="52">
        <f ca="1">SUM('1st Qtr'!G118, '2nd Qtr'!G118, '3rd Qtr'!G118, '4th Qtr'!G118)</f>
        <v>28692</v>
      </c>
      <c r="H118" s="52">
        <f t="shared" ca="1" si="6"/>
        <v>-11046</v>
      </c>
      <c r="I118" s="53">
        <f t="shared" ca="1" si="7"/>
        <v>-0.3849853617733166</v>
      </c>
    </row>
    <row r="119" spans="1:9" ht="15.75">
      <c r="A119" s="63" t="str">
        <v>Wyoming Road</v>
      </c>
      <c r="B119" s="64" t="str">
        <v>Opportunity</v>
      </c>
      <c r="C119" s="81">
        <f ca="1">SUM('1st Qtr'!C119, '2nd Qtr'!C119, '3rd Qtr'!C119, '4th Qtr'!C119)</f>
        <v>7263</v>
      </c>
      <c r="D119" s="50">
        <f ca="1">SUM('1st Qtr'!D119, '2nd Qtr'!D119, '3rd Qtr'!D119, '4th Qtr'!D119)</f>
        <v>10662</v>
      </c>
      <c r="E119" s="50">
        <f t="shared" ca="1" si="4"/>
        <v>-3399</v>
      </c>
      <c r="F119" s="51">
        <f t="shared" ca="1" si="5"/>
        <v>-0.31879572312886889</v>
      </c>
      <c r="G119" s="52">
        <f ca="1">SUM('1st Qtr'!G119, '2nd Qtr'!G119, '3rd Qtr'!G119, '4th Qtr'!G119)</f>
        <v>16720</v>
      </c>
      <c r="H119" s="52">
        <f t="shared" ca="1" si="6"/>
        <v>-9457</v>
      </c>
      <c r="I119" s="53">
        <f t="shared" ca="1" si="7"/>
        <v>-0.56561004784688995</v>
      </c>
    </row>
    <row r="120" spans="1:9" ht="15.75">
      <c r="A120" s="59" t="str">
        <v>Leoku</v>
      </c>
      <c r="B120" s="21" t="str">
        <v>Opportunity</v>
      </c>
      <c r="C120" s="81">
        <f ca="1">SUM('1st Qtr'!C120, '2nd Qtr'!C120, '3rd Qtr'!C120, '4th Qtr'!C120)</f>
        <v>8344</v>
      </c>
      <c r="D120" s="50">
        <f ca="1">SUM('1st Qtr'!D120, '2nd Qtr'!D120, '3rd Qtr'!D120, '4th Qtr'!D120)</f>
        <v>7977.7489999999998</v>
      </c>
      <c r="E120" s="50">
        <f t="shared" ca="1" si="4"/>
        <v>366.2510000000002</v>
      </c>
      <c r="F120" s="51">
        <f t="shared" ca="1" si="5"/>
        <v>4.5909065326572726E-2</v>
      </c>
      <c r="G120" s="52">
        <f ca="1">SUM('1st Qtr'!G120, '2nd Qtr'!G120, '3rd Qtr'!G120, '4th Qtr'!G120)</f>
        <v>10288</v>
      </c>
      <c r="H120" s="52">
        <f t="shared" ca="1" si="6"/>
        <v>-1944</v>
      </c>
      <c r="I120" s="53">
        <f t="shared" ca="1" si="7"/>
        <v>-0.18895800933125972</v>
      </c>
    </row>
    <row r="121" spans="1:9" ht="15.75">
      <c r="A121" s="63" t="str">
        <v>Waipahu</v>
      </c>
      <c r="B121" s="64" t="str">
        <v>Opportunity</v>
      </c>
      <c r="C121" s="81">
        <f ca="1">SUM('1st Qtr'!C121, '2nd Qtr'!C121, '3rd Qtr'!C121, '4th Qtr'!C121)</f>
        <v>7031</v>
      </c>
      <c r="D121" s="50">
        <f ca="1">SUM('1st Qtr'!D121, '2nd Qtr'!D121, '3rd Qtr'!D121, '4th Qtr'!D121)</f>
        <v>7601.15</v>
      </c>
      <c r="E121" s="50">
        <f t="shared" ca="1" si="4"/>
        <v>-570.14999999999964</v>
      </c>
      <c r="F121" s="51">
        <f t="shared" ca="1" si="5"/>
        <v>-7.5008386888825995E-2</v>
      </c>
      <c r="G121" s="52">
        <f ca="1">SUM('1st Qtr'!G121, '2nd Qtr'!G121, '3rd Qtr'!G121, '4th Qtr'!G121)</f>
        <v>10288</v>
      </c>
      <c r="H121" s="52">
        <f t="shared" ca="1" si="6"/>
        <v>-3257</v>
      </c>
      <c r="I121" s="53">
        <f t="shared" ca="1" si="7"/>
        <v>-0.31658242612752724</v>
      </c>
    </row>
    <row r="122" spans="1:9" ht="15.75">
      <c r="A122" s="59" t="str">
        <v>Bird in Hand</v>
      </c>
      <c r="B122" s="21" t="str">
        <v>Opportunity</v>
      </c>
      <c r="C122" s="81">
        <f ca="1">SUM('1st Qtr'!C122, '2nd Qtr'!C122, '3rd Qtr'!C122, '4th Qtr'!C122)</f>
        <v>82202</v>
      </c>
      <c r="D122" s="50">
        <f ca="1">SUM('1st Qtr'!D122, '2nd Qtr'!D122, '3rd Qtr'!D122, '4th Qtr'!D122)</f>
        <v>92318.48</v>
      </c>
      <c r="E122" s="50">
        <f t="shared" ca="1" si="4"/>
        <v>-10116.479999999996</v>
      </c>
      <c r="F122" s="51">
        <f t="shared" ca="1" si="5"/>
        <v>-0.10958239347094965</v>
      </c>
      <c r="G122" s="52">
        <f ca="1">SUM('1st Qtr'!G122, '2nd Qtr'!G122, '3rd Qtr'!G122, '4th Qtr'!G122)</f>
        <v>127325.2</v>
      </c>
      <c r="H122" s="52">
        <f t="shared" ca="1" si="6"/>
        <v>-45123.199999999997</v>
      </c>
      <c r="I122" s="53">
        <f t="shared" ca="1" si="7"/>
        <v>-0.35439331726948003</v>
      </c>
    </row>
    <row r="123" spans="1:9" ht="15.75">
      <c r="A123" s="63" t="str">
        <v>Shortal</v>
      </c>
      <c r="B123" s="64" t="str">
        <v>Opportunity</v>
      </c>
      <c r="C123" s="81">
        <f ca="1">SUM('1st Qtr'!C123, '2nd Qtr'!C123, '3rd Qtr'!C123, '4th Qtr'!C123)</f>
        <v>86841</v>
      </c>
      <c r="D123" s="50">
        <f ca="1">SUM('1st Qtr'!D123, '2nd Qtr'!D123, '3rd Qtr'!D123, '4th Qtr'!D123)</f>
        <v>66423.12</v>
      </c>
      <c r="E123" s="50">
        <f t="shared" ca="1" si="4"/>
        <v>20417.880000000005</v>
      </c>
      <c r="F123" s="51">
        <f t="shared" ca="1" si="5"/>
        <v>0.30739116139079292</v>
      </c>
      <c r="G123" s="52">
        <f ca="1">SUM('1st Qtr'!G123, '2nd Qtr'!G123, '3rd Qtr'!G123, '4th Qtr'!G123)</f>
        <v>6278.299</v>
      </c>
      <c r="H123" s="52">
        <f t="shared" ca="1" si="6"/>
        <v>80562.701000000001</v>
      </c>
      <c r="I123" s="53">
        <f t="shared" ca="1" si="7"/>
        <v>12.831931228506321</v>
      </c>
    </row>
    <row r="124" spans="1:9" ht="15.75">
      <c r="A124" s="59" t="str">
        <v>Aguadilla</v>
      </c>
      <c r="B124" s="21" t="str">
        <v>Opportunity</v>
      </c>
      <c r="C124" s="81">
        <f ca="1">SUM('1st Qtr'!C124, '2nd Qtr'!C124, '3rd Qtr'!C124, '4th Qtr'!C124)</f>
        <v>17577</v>
      </c>
      <c r="D124" s="50">
        <f ca="1">SUM('1st Qtr'!D124, '2nd Qtr'!D124, '3rd Qtr'!D124, '4th Qtr'!D124)</f>
        <v>15476.68</v>
      </c>
      <c r="E124" s="50">
        <f t="shared" ca="1" si="4"/>
        <v>2100.3199999999997</v>
      </c>
      <c r="F124" s="51">
        <f t="shared" ca="1" si="5"/>
        <v>0.13570869204506392</v>
      </c>
      <c r="G124" s="52">
        <f ca="1">SUM('1st Qtr'!G124, '2nd Qtr'!G124, '3rd Qtr'!G124, '4th Qtr'!G124)</f>
        <v>18224</v>
      </c>
      <c r="H124" s="52">
        <f t="shared" ca="1" si="6"/>
        <v>-647</v>
      </c>
      <c r="I124" s="53">
        <f t="shared" ca="1" si="7"/>
        <v>-3.5502633889376647E-2</v>
      </c>
    </row>
    <row r="125" spans="1:9" ht="15.75">
      <c r="A125" s="63" t="str">
        <v>Bayamon</v>
      </c>
      <c r="B125" s="64" t="str">
        <v>Opportunity</v>
      </c>
      <c r="C125" s="81">
        <f ca="1">SUM('1st Qtr'!C125, '2nd Qtr'!C125, '3rd Qtr'!C125, '4th Qtr'!C125)</f>
        <v>52498</v>
      </c>
      <c r="D125" s="50">
        <f ca="1">SUM('1st Qtr'!D125, '2nd Qtr'!D125, '3rd Qtr'!D125, '4th Qtr'!D125)</f>
        <v>58863.74</v>
      </c>
      <c r="E125" s="50">
        <f t="shared" ca="1" si="4"/>
        <v>-6365.739999999998</v>
      </c>
      <c r="F125" s="51">
        <f t="shared" ca="1" si="5"/>
        <v>-0.10814365516020556</v>
      </c>
      <c r="G125" s="52">
        <f ca="1">SUM('1st Qtr'!G125, '2nd Qtr'!G125, '3rd Qtr'!G125, '4th Qtr'!G125)</f>
        <v>0</v>
      </c>
      <c r="H125" s="52">
        <f t="shared" ca="1" si="6"/>
        <v>52498</v>
      </c>
      <c r="I125" s="53">
        <f t="shared" ca="1" si="7"/>
        <v>0</v>
      </c>
    </row>
    <row r="126" spans="1:9" ht="15.75">
      <c r="A126" s="59" t="str">
        <v>St Francis</v>
      </c>
      <c r="B126" s="21" t="str">
        <v>Opportunity</v>
      </c>
      <c r="C126" s="81">
        <f ca="1">SUM('1st Qtr'!C126, '2nd Qtr'!C126, '3rd Qtr'!C126, '4th Qtr'!C126)</f>
        <v>13494</v>
      </c>
      <c r="D126" s="50">
        <f ca="1">SUM('1st Qtr'!D126, '2nd Qtr'!D126, '3rd Qtr'!D126, '4th Qtr'!D126)</f>
        <v>34760.43</v>
      </c>
      <c r="E126" s="50">
        <f t="shared" ca="1" si="4"/>
        <v>-21266.43</v>
      </c>
      <c r="F126" s="51">
        <f t="shared" ca="1" si="5"/>
        <v>-0.61179996910279877</v>
      </c>
      <c r="G126" s="52">
        <f ca="1">SUM('1st Qtr'!G126, '2nd Qtr'!G126, '3rd Qtr'!G126, '4th Qtr'!G126)</f>
        <v>23239</v>
      </c>
      <c r="H126" s="52">
        <f t="shared" ca="1" si="6"/>
        <v>-9745</v>
      </c>
      <c r="I126" s="53">
        <f t="shared" ca="1" si="7"/>
        <v>-0.41933818150522828</v>
      </c>
    </row>
    <row r="127" spans="1:9" ht="15.75">
      <c r="A127" s="63" t="str">
        <v>Seaport</v>
      </c>
      <c r="B127" s="64" t="str">
        <v>Sunraise</v>
      </c>
      <c r="C127" s="81">
        <f ca="1">SUM('1st Qtr'!C127, '2nd Qtr'!C127, '3rd Qtr'!C127, '4th Qtr'!C127)</f>
        <v>15979.5</v>
      </c>
      <c r="D127" s="50">
        <f ca="1">SUM('1st Qtr'!D127, '2nd Qtr'!D127, '3rd Qtr'!D127, '4th Qtr'!D127)</f>
        <v>16624.46</v>
      </c>
      <c r="E127" s="50">
        <f t="shared" ca="1" si="4"/>
        <v>-644.95999999999913</v>
      </c>
      <c r="F127" s="51">
        <f t="shared" ca="1" si="5"/>
        <v>-3.8795846601934691E-2</v>
      </c>
      <c r="G127" s="52">
        <f ca="1">SUM('1st Qtr'!G127, '2nd Qtr'!G127, '3rd Qtr'!G127, '4th Qtr'!G127)</f>
        <v>23841.21</v>
      </c>
      <c r="H127" s="52">
        <f t="shared" ca="1" si="6"/>
        <v>-7861.7099999999991</v>
      </c>
      <c r="I127" s="53">
        <f t="shared" ca="1" si="7"/>
        <v>-0.32975297814162952</v>
      </c>
    </row>
    <row r="128" spans="1:9" ht="15.75">
      <c r="A128" s="59" t="str">
        <v>Sprague St</v>
      </c>
      <c r="B128" s="21" t="str">
        <v>Sunraise</v>
      </c>
      <c r="C128" s="81">
        <f ca="1">SUM('1st Qtr'!C128, '2nd Qtr'!C128, '3rd Qtr'!C128, '4th Qtr'!C128)</f>
        <v>32699.5</v>
      </c>
      <c r="D128" s="50">
        <f ca="1">SUM('1st Qtr'!D128, '2nd Qtr'!D128, '3rd Qtr'!D128, '4th Qtr'!D128)</f>
        <v>50419.89</v>
      </c>
      <c r="E128" s="50">
        <f t="shared" ca="1" si="4"/>
        <v>-17720.39</v>
      </c>
      <c r="F128" s="51">
        <f t="shared" ca="1" si="5"/>
        <v>-0.35145633994838149</v>
      </c>
      <c r="G128" s="52">
        <f ca="1">SUM('1st Qtr'!G128, '2nd Qtr'!G128, '3rd Qtr'!G128, '4th Qtr'!G128)</f>
        <v>52949.27</v>
      </c>
      <c r="H128" s="52">
        <f t="shared" ca="1" si="6"/>
        <v>-20249.769999999997</v>
      </c>
      <c r="I128" s="53">
        <f t="shared" ca="1" si="7"/>
        <v>-0.38243718940789928</v>
      </c>
    </row>
    <row r="129" spans="1:9" ht="15.75">
      <c r="A129" s="63" t="str">
        <v>Summer St</v>
      </c>
      <c r="B129" s="64" t="str">
        <v>Sunraise</v>
      </c>
      <c r="C129" s="81">
        <f ca="1">SUM('1st Qtr'!C129, '2nd Qtr'!C129, '3rd Qtr'!C129, '4th Qtr'!C129)</f>
        <v>74644</v>
      </c>
      <c r="D129" s="50">
        <f ca="1">SUM('1st Qtr'!D129, '2nd Qtr'!D129, '3rd Qtr'!D129, '4th Qtr'!D129)</f>
        <v>104933.8</v>
      </c>
      <c r="E129" s="50">
        <f t="shared" ca="1" si="4"/>
        <v>-30289.800000000003</v>
      </c>
      <c r="F129" s="51">
        <f t="shared" ca="1" si="5"/>
        <v>-0.28865627662392862</v>
      </c>
      <c r="G129" s="52">
        <f ca="1">SUM('1st Qtr'!G129, '2nd Qtr'!G129, '3rd Qtr'!G129, '4th Qtr'!G129)</f>
        <v>132017.60000000001</v>
      </c>
      <c r="H129" s="52">
        <f t="shared" ca="1" si="6"/>
        <v>-57373.600000000006</v>
      </c>
      <c r="I129" s="53">
        <f t="shared" ca="1" si="7"/>
        <v>-0.43459053944322579</v>
      </c>
    </row>
    <row r="130" spans="1:9" ht="15.75">
      <c r="A130" s="59" t="str">
        <v>Brock St Vocational</v>
      </c>
      <c r="B130" s="21" t="str">
        <v>Sunraise</v>
      </c>
      <c r="C130" s="81">
        <f ca="1">SUM('1st Qtr'!C130, '2nd Qtr'!C130, '3rd Qtr'!C130, '4th Qtr'!C130)</f>
        <v>1820.4686795321199</v>
      </c>
      <c r="D130" s="50">
        <f ca="1">SUM('1st Qtr'!D130, '2nd Qtr'!D130, '3rd Qtr'!D130, '4th Qtr'!D130)</f>
        <v>4815.5290000000005</v>
      </c>
      <c r="E130" s="50">
        <f t="shared" ca="1" si="4"/>
        <v>-2995.0603204678805</v>
      </c>
      <c r="F130" s="51">
        <f t="shared" ca="1" si="5"/>
        <v>-0.62195873401818991</v>
      </c>
      <c r="G130" s="52">
        <f ca="1">SUM('1st Qtr'!G130, '2nd Qtr'!G130, '3rd Qtr'!G130, '4th Qtr'!G130)</f>
        <v>4801.3860000000004</v>
      </c>
      <c r="H130" s="52">
        <f t="shared" ca="1" si="6"/>
        <v>-2980.9173204678805</v>
      </c>
      <c r="I130" s="53">
        <f t="shared" ca="1" si="7"/>
        <v>-0.62084517272051865</v>
      </c>
    </row>
    <row r="131" spans="1:9" ht="15.75">
      <c r="A131" s="63" t="str">
        <v>McClelland ES</v>
      </c>
      <c r="B131" s="64" t="str">
        <v>Sunraise</v>
      </c>
      <c r="C131" s="81">
        <f ca="1">SUM('1st Qtr'!C131, '2nd Qtr'!C131, '3rd Qtr'!C131, '4th Qtr'!C131)</f>
        <v>1822.9083103328601</v>
      </c>
      <c r="D131" s="50">
        <f ca="1">SUM('1st Qtr'!D131, '2nd Qtr'!D131, '3rd Qtr'!D131, '4th Qtr'!D131)</f>
        <v>5664.0169999999998</v>
      </c>
      <c r="E131" s="50">
        <f t="shared" ca="1" si="4"/>
        <v>-3841.1086896671395</v>
      </c>
      <c r="F131" s="51">
        <f t="shared" ca="1" si="5"/>
        <v>-0.67815980948982668</v>
      </c>
      <c r="G131" s="52">
        <f ca="1">SUM('1st Qtr'!G131, '2nd Qtr'!G131, '3rd Qtr'!G131, '4th Qtr'!G131)</f>
        <v>3544.0749999999998</v>
      </c>
      <c r="H131" s="52">
        <f t="shared" ca="1" si="6"/>
        <v>-1721.1666896671397</v>
      </c>
      <c r="I131" s="53">
        <f t="shared" ca="1" si="7"/>
        <v>-0.48564623764089071</v>
      </c>
    </row>
    <row r="132" spans="1:9" ht="15.75">
      <c r="A132" s="59" t="str">
        <v>Portland St</v>
      </c>
      <c r="B132" s="21" t="str">
        <v>Sunraise</v>
      </c>
      <c r="C132" s="81">
        <f ca="1">SUM('1st Qtr'!C132, '2nd Qtr'!C132, '3rd Qtr'!C132, '4th Qtr'!C132)</f>
        <v>1250</v>
      </c>
      <c r="D132" s="50">
        <f ca="1">SUM('1st Qtr'!D132, '2nd Qtr'!D132, '3rd Qtr'!D132, '4th Qtr'!D132)</f>
        <v>2762</v>
      </c>
      <c r="E132" s="50">
        <f t="shared" ref="E132:E136" ca="1" si="8">C132-D132</f>
        <v>-1512</v>
      </c>
      <c r="F132" s="51">
        <f t="shared" ref="F132:F136" ca="1" si="9">IFERROR(E132/D132, 0)</f>
        <v>-0.54742939898624188</v>
      </c>
      <c r="G132" s="52">
        <f ca="1">SUM('1st Qtr'!G132, '2nd Qtr'!G132, '3rd Qtr'!G132, '4th Qtr'!G132)</f>
        <v>4395</v>
      </c>
      <c r="H132" s="52">
        <f t="shared" ref="H132:H136" ca="1" si="10">C132-G132</f>
        <v>-3145</v>
      </c>
      <c r="I132" s="53">
        <f t="shared" ref="I132:I136" ca="1" si="11">IFERROR(H132/G132, 0)</f>
        <v>-0.71558589306029574</v>
      </c>
    </row>
    <row r="133" spans="1:9" ht="15.75">
      <c r="A133" s="63" t="str">
        <v>Portsmouth HS</v>
      </c>
      <c r="B133" s="64" t="str">
        <v>Sunraise</v>
      </c>
      <c r="C133" s="81">
        <f ca="1">SUM('1st Qtr'!C133, '2nd Qtr'!C133, '3rd Qtr'!C133, '4th Qtr'!C133)</f>
        <v>6169.25</v>
      </c>
      <c r="D133" s="50">
        <f ca="1">SUM('1st Qtr'!D133, '2nd Qtr'!D133, '3rd Qtr'!D133, '4th Qtr'!D133)</f>
        <v>11780.96</v>
      </c>
      <c r="E133" s="50">
        <f t="shared" ca="1" si="8"/>
        <v>-5611.7099999999991</v>
      </c>
      <c r="F133" s="51">
        <f t="shared" ca="1" si="9"/>
        <v>-0.47633724246580922</v>
      </c>
      <c r="G133" s="52">
        <f ca="1">SUM('1st Qtr'!G133, '2nd Qtr'!G133, '3rd Qtr'!G133, '4th Qtr'!G133)</f>
        <v>7989.4369999999999</v>
      </c>
      <c r="H133" s="52">
        <f t="shared" ca="1" si="10"/>
        <v>-1820.1869999999999</v>
      </c>
      <c r="I133" s="53">
        <f t="shared" ca="1" si="11"/>
        <v>-0.2278241883627094</v>
      </c>
    </row>
    <row r="134" spans="1:9" ht="15.75">
      <c r="A134" s="59" t="str">
        <v>Portsmouth WTP</v>
      </c>
      <c r="B134" s="21" t="str">
        <v>Sunraise</v>
      </c>
      <c r="C134" s="81">
        <f ca="1">SUM('1st Qtr'!C134, '2nd Qtr'!C134, '3rd Qtr'!C134, '4th Qtr'!C134)</f>
        <v>7384.75</v>
      </c>
      <c r="D134" s="50">
        <f ca="1">SUM('1st Qtr'!D134, '2nd Qtr'!D134, '3rd Qtr'!D134, '4th Qtr'!D134)</f>
        <v>15101.21</v>
      </c>
      <c r="E134" s="50">
        <f t="shared" ca="1" si="8"/>
        <v>-7716.4599999999991</v>
      </c>
      <c r="F134" s="51">
        <f t="shared" ca="1" si="9"/>
        <v>-0.51098289474816916</v>
      </c>
      <c r="G134" s="52">
        <f ca="1">SUM('1st Qtr'!G134, '2nd Qtr'!G134, '3rd Qtr'!G134, '4th Qtr'!G134)</f>
        <v>14831.87</v>
      </c>
      <c r="H134" s="52">
        <f t="shared" ca="1" si="10"/>
        <v>-7447.1200000000008</v>
      </c>
      <c r="I134" s="53">
        <f t="shared" ca="1" si="11"/>
        <v>-0.50210256697233735</v>
      </c>
    </row>
    <row r="135" spans="1:9" ht="15.75">
      <c r="A135" s="63" t="str">
        <v>Rochester St</v>
      </c>
      <c r="B135" s="64" t="str">
        <v>Sunraise</v>
      </c>
      <c r="C135" s="81">
        <f ca="1">SUM('1st Qtr'!C135, '2nd Qtr'!C135, '3rd Qtr'!C135, '4th Qtr'!C135)</f>
        <v>5444.625</v>
      </c>
      <c r="D135" s="50">
        <f ca="1">SUM('1st Qtr'!D135, '2nd Qtr'!D135, '3rd Qtr'!D135, '4th Qtr'!D135)</f>
        <v>16420.68</v>
      </c>
      <c r="E135" s="50">
        <f t="shared" ca="1" si="8"/>
        <v>-10976.055</v>
      </c>
      <c r="F135" s="51">
        <f t="shared" ca="1" si="9"/>
        <v>-0.66842877396063993</v>
      </c>
      <c r="G135" s="52">
        <f ca="1">SUM('1st Qtr'!G135, '2nd Qtr'!G135, '3rd Qtr'!G135, '4th Qtr'!G135)</f>
        <v>11432.38</v>
      </c>
      <c r="H135" s="52">
        <f t="shared" ca="1" si="10"/>
        <v>-5987.7549999999992</v>
      </c>
      <c r="I135" s="53">
        <f t="shared" ca="1" si="11"/>
        <v>-0.52375402147234429</v>
      </c>
    </row>
    <row r="136" spans="1:9" ht="15.75">
      <c r="A136" s="59" t="str">
        <v>Spaulding HS</v>
      </c>
      <c r="B136" s="21" t="str">
        <v>Sunraise</v>
      </c>
      <c r="C136" s="81">
        <f ca="1">SUM('1st Qtr'!C136, '2nd Qtr'!C136, '3rd Qtr'!C136, '4th Qtr'!C136)</f>
        <v>2486.1234915329801</v>
      </c>
      <c r="D136" s="50">
        <f ca="1">SUM('1st Qtr'!D136, '2nd Qtr'!D136, '3rd Qtr'!D136, '4th Qtr'!D136)</f>
        <v>6531.7079999999996</v>
      </c>
      <c r="E136" s="50">
        <f t="shared" ca="1" si="8"/>
        <v>-4045.5845084670195</v>
      </c>
      <c r="F136" s="51">
        <f t="shared" ca="1" si="9"/>
        <v>-0.61937620427413775</v>
      </c>
      <c r="G136" s="52">
        <f ca="1">SUM('1st Qtr'!G136, '2nd Qtr'!G136, '3rd Qtr'!G136, '4th Qtr'!G136)</f>
        <v>5447.299</v>
      </c>
      <c r="H136" s="52">
        <f t="shared" ca="1" si="10"/>
        <v>-2961.1755084670199</v>
      </c>
      <c r="I136" s="53">
        <f t="shared" ca="1" si="11"/>
        <v>-0.54360436400994694</v>
      </c>
    </row>
    <row r="137" spans="1:9" ht="29.25" customHeight="1">
      <c r="A137" s="156" t="s">
        <v>9</v>
      </c>
      <c r="B137" s="157"/>
      <c r="C137" s="61">
        <f ca="1">SUM(C3:C136)</f>
        <v>5231538.1062812647</v>
      </c>
      <c r="D137" s="61">
        <f ca="1">SUM(D3:D136)</f>
        <v>2882632.9468000005</v>
      </c>
      <c r="E137" s="61">
        <f ca="1">C137-D137</f>
        <v>2348905.1594812642</v>
      </c>
      <c r="F137" s="54">
        <f ca="1">IFERROR(E137/D137, 0)</f>
        <v>0.814847121652715</v>
      </c>
      <c r="G137" s="61">
        <f ca="1">SUM(G3:G136)</f>
        <v>9202509.7462000009</v>
      </c>
      <c r="H137" s="62">
        <f ca="1">C137-G137</f>
        <v>-3970971.6399187362</v>
      </c>
      <c r="I137" s="55">
        <f ca="1">IFERROR(H137/G137, 0)</f>
        <v>-0.43150963698337536</v>
      </c>
    </row>
    <row r="139" spans="1:9">
      <c r="A139" s="158" t="s">
        <v>10</v>
      </c>
      <c r="B139" s="158"/>
    </row>
    <row r="140" spans="1:9">
      <c r="A140" s="158"/>
      <c r="B140" s="158"/>
    </row>
    <row r="141" spans="1:9">
      <c r="A141" s="159" t="s">
        <v>11</v>
      </c>
      <c r="B141" s="159"/>
    </row>
    <row r="142" spans="1:9">
      <c r="A142" s="159"/>
      <c r="B142" s="159"/>
    </row>
  </sheetData>
  <autoFilter ref="A2:I2" xr:uid="{D5C25034-9971-4A61-864F-C938F31EB1B8}"/>
  <mergeCells count="6">
    <mergeCell ref="A137:B137"/>
    <mergeCell ref="A139:B140"/>
    <mergeCell ref="A141:B142"/>
    <mergeCell ref="C1:F1"/>
    <mergeCell ref="G1:I1"/>
    <mergeCell ref="A1:B1"/>
  </mergeCells>
  <conditionalFormatting sqref="F3:F137 I3:I137">
    <cfRule type="cellIs" dxfId="2196" priority="1" operator="lessThanOrEqual">
      <formula>-0.1</formula>
    </cfRule>
    <cfRule type="cellIs" dxfId="219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42"/>
  <sheetViews>
    <sheetView workbookViewId="0">
      <pane ySplit="2" topLeftCell="A3" activePane="bottomLeft" state="frozen"/>
      <selection pane="bottomLeft" activeCell="F145" sqref="F145"/>
      <selection activeCell="L18" sqref="L18"/>
    </sheetView>
  </sheetViews>
  <sheetFormatPr defaultRowHeight="12.75"/>
  <cols>
    <col min="1" max="1" width="35.85546875" bestFit="1" customWidth="1"/>
    <col min="2" max="2" width="35.8554687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5" t="str" cm="1">
        <f t="array" ref="A1">portfolio</f>
        <v>Generate Capital</v>
      </c>
      <c r="B1" s="166"/>
      <c r="C1" s="160" t="s">
        <v>12</v>
      </c>
      <c r="D1" s="161"/>
      <c r="E1" s="161"/>
      <c r="F1" s="162"/>
      <c r="G1" s="163" t="s">
        <v>13</v>
      </c>
      <c r="H1" s="163"/>
      <c r="I1" s="164"/>
    </row>
    <row r="2" spans="1:9" ht="14.25" customHeight="1">
      <c r="A2" s="82" t="s">
        <v>2</v>
      </c>
      <c r="B2" s="82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8" t="s">
        <v>7</v>
      </c>
    </row>
    <row r="3" spans="1:9" ht="15.75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81">
        <f ca="1">SUM(Jan!C3, Feb!C3, Mar!C3)</f>
        <v>9019.8055667054105</v>
      </c>
      <c r="D3" s="50">
        <f ca="1">SUM(Jan!D3, Feb!D3, Mar!D3)</f>
        <v>7182.884</v>
      </c>
      <c r="E3" s="50">
        <f t="shared" ref="E3" ca="1" si="0">C3-D3</f>
        <v>1836.9215667054104</v>
      </c>
      <c r="F3" s="51">
        <f ca="1">IFERROR(E3/D3, 0)</f>
        <v>0.25573593652708443</v>
      </c>
      <c r="G3" s="52">
        <f ca="1">SUM(Jan!G3, Feb!G3, Mar!G3)</f>
        <v>9612.777</v>
      </c>
      <c r="H3" s="52">
        <f ca="1">C3-G3</f>
        <v>-592.97143329458959</v>
      </c>
      <c r="I3" s="53">
        <f ca="1">IFERROR(H3/G3, 0)</f>
        <v>-6.1685757746652144E-2</v>
      </c>
    </row>
    <row r="4" spans="1:9" ht="15.75">
      <c r="A4" s="59" t="str">
        <v>Fulton</v>
      </c>
      <c r="B4" s="21" t="str">
        <v>Blue Renewables</v>
      </c>
      <c r="C4" s="81">
        <f ca="1">SUM(Jan!C4, Feb!C4, Mar!C4)</f>
        <v>29434.75</v>
      </c>
      <c r="D4" s="50">
        <f ca="1">SUM(Jan!D4, Feb!D4, Mar!D4)</f>
        <v>28981.22</v>
      </c>
      <c r="E4" s="50">
        <f t="shared" ref="E4:E67" ca="1" si="1">C4-D4</f>
        <v>453.52999999999884</v>
      </c>
      <c r="F4" s="51">
        <f t="shared" ref="F4:F67" ca="1" si="2">IFERROR(E4/D4, 0)</f>
        <v>1.5649099658330425E-2</v>
      </c>
      <c r="G4" s="52">
        <f ca="1">SUM(Jan!G4, Feb!G4, Mar!G4)</f>
        <v>39673.79</v>
      </c>
      <c r="H4" s="52">
        <f t="shared" ref="H4:H67" ca="1" si="3">C4-G4</f>
        <v>-10239.040000000001</v>
      </c>
      <c r="I4" s="53">
        <f t="shared" ref="I4:I67" ca="1" si="4">IFERROR(H4/G4, 0)</f>
        <v>-0.25808071273251182</v>
      </c>
    </row>
    <row r="5" spans="1:9" ht="15.75">
      <c r="A5" s="63" t="str">
        <v>JFK Elementary</v>
      </c>
      <c r="B5" s="64" t="str">
        <v>Blue Renewables</v>
      </c>
      <c r="C5" s="81">
        <f ca="1">SUM(Jan!C5, Feb!C5, Mar!C5)</f>
        <v>15656.69</v>
      </c>
      <c r="D5" s="50">
        <f ca="1">SUM(Jan!D5, Feb!D5, Mar!D5)</f>
        <v>0</v>
      </c>
      <c r="E5" s="50">
        <f t="shared" ca="1" si="1"/>
        <v>15656.69</v>
      </c>
      <c r="F5" s="51">
        <f t="shared" ca="1" si="2"/>
        <v>0</v>
      </c>
      <c r="G5" s="52">
        <f ca="1">SUM(Jan!G5, Feb!G5, Mar!G5)</f>
        <v>1973</v>
      </c>
      <c r="H5" s="52">
        <f t="shared" ca="1" si="3"/>
        <v>13683.69</v>
      </c>
      <c r="I5" s="53">
        <f t="shared" ca="1" si="4"/>
        <v>6.9354738976178414</v>
      </c>
    </row>
    <row r="6" spans="1:9" ht="15.75">
      <c r="A6" s="59" t="str">
        <v>Noble</v>
      </c>
      <c r="B6" s="21" t="str">
        <v>Blue Renewables</v>
      </c>
      <c r="C6" s="81">
        <f ca="1">SUM(Jan!C6, Feb!C6, Mar!C6)</f>
        <v>8806.2478459322592</v>
      </c>
      <c r="D6" s="50">
        <f ca="1">SUM(Jan!D6, Feb!D6, Mar!D6)</f>
        <v>12098.42</v>
      </c>
      <c r="E6" s="50">
        <f t="shared" ca="1" si="1"/>
        <v>-3292.1721540677408</v>
      </c>
      <c r="F6" s="51">
        <f t="shared" ca="1" si="2"/>
        <v>-0.27211587579764474</v>
      </c>
      <c r="G6" s="52">
        <f ca="1">SUM(Jan!G6, Feb!G6, Mar!G6)</f>
        <v>11218.66</v>
      </c>
      <c r="H6" s="52">
        <f t="shared" ca="1" si="3"/>
        <v>-2412.4121540677406</v>
      </c>
      <c r="I6" s="53">
        <f t="shared" ca="1" si="4"/>
        <v>-0.21503567752902225</v>
      </c>
    </row>
    <row r="7" spans="1:9" ht="15.75">
      <c r="A7" s="63" t="str">
        <v>Parking 3</v>
      </c>
      <c r="B7" s="64" t="str">
        <v>Blue Renewables</v>
      </c>
      <c r="C7" s="81">
        <f ca="1">SUM(Jan!C7, Feb!C7, Mar!C7)</f>
        <v>16586.8</v>
      </c>
      <c r="D7" s="50">
        <f ca="1">SUM(Jan!D7, Feb!D7, Mar!D7)</f>
        <v>24366.89</v>
      </c>
      <c r="E7" s="50">
        <f t="shared" ca="1" si="1"/>
        <v>-7780.09</v>
      </c>
      <c r="F7" s="51">
        <f t="shared" ca="1" si="2"/>
        <v>-0.31928941280565554</v>
      </c>
      <c r="G7" s="52">
        <f ca="1">SUM(Jan!G7, Feb!G7, Mar!G7)</f>
        <v>24201.63</v>
      </c>
      <c r="H7" s="52">
        <f t="shared" ca="1" si="3"/>
        <v>-7614.8300000000017</v>
      </c>
      <c r="I7" s="53">
        <f t="shared" ca="1" si="4"/>
        <v>-0.31464120391890965</v>
      </c>
    </row>
    <row r="8" spans="1:9" ht="15.75">
      <c r="A8" s="59" t="str">
        <v>PE East</v>
      </c>
      <c r="B8" s="21" t="str">
        <v>Blue Renewables</v>
      </c>
      <c r="C8" s="81">
        <f ca="1">SUM(Jan!C8, Feb!C8, Mar!C8)</f>
        <v>20730.183365017401</v>
      </c>
      <c r="D8" s="50">
        <f ca="1">SUM(Jan!D8, Feb!D8, Mar!D8)</f>
        <v>16836.22</v>
      </c>
      <c r="E8" s="50">
        <f t="shared" ca="1" si="1"/>
        <v>3893.9633650174001</v>
      </c>
      <c r="F8" s="51">
        <f t="shared" ca="1" si="2"/>
        <v>0.23128489441319963</v>
      </c>
      <c r="G8" s="52">
        <f ca="1">SUM(Jan!G8, Feb!G8, Mar!G8)</f>
        <v>24326.73</v>
      </c>
      <c r="H8" s="52">
        <f t="shared" ca="1" si="3"/>
        <v>-3596.5466349825983</v>
      </c>
      <c r="I8" s="53">
        <f t="shared" ca="1" si="4"/>
        <v>-0.14784340661414824</v>
      </c>
    </row>
    <row r="9" spans="1:9" ht="15.75">
      <c r="A9" s="63" t="str">
        <v>Schwada</v>
      </c>
      <c r="B9" s="64" t="str">
        <v>Blue Renewables</v>
      </c>
      <c r="C9" s="81">
        <f ca="1">SUM(Jan!C9, Feb!C9, Mar!C9)</f>
        <v>8912.9887629654295</v>
      </c>
      <c r="D9" s="50">
        <f ca="1">SUM(Jan!D9, Feb!D9, Mar!D9)</f>
        <v>7118.6189999999997</v>
      </c>
      <c r="E9" s="50">
        <f t="shared" ca="1" si="1"/>
        <v>1794.3697629654298</v>
      </c>
      <c r="F9" s="51">
        <f t="shared" ca="1" si="2"/>
        <v>0.25206711624339356</v>
      </c>
      <c r="G9" s="52">
        <f ca="1">SUM(Jan!G9, Feb!G9, Mar!G9)</f>
        <v>10705</v>
      </c>
      <c r="H9" s="52">
        <f t="shared" ca="1" si="3"/>
        <v>-1792.0112370345705</v>
      </c>
      <c r="I9" s="53">
        <f t="shared" ca="1" si="4"/>
        <v>-0.16739946165666236</v>
      </c>
    </row>
    <row r="10" spans="1:9" ht="15.75">
      <c r="A10" s="59" t="str">
        <v>Starshine</v>
      </c>
      <c r="B10" s="21" t="str">
        <v>Blue Renewables</v>
      </c>
      <c r="C10" s="81">
        <f ca="1">SUM(Jan!C10, Feb!C10, Mar!C10)</f>
        <v>3747.203</v>
      </c>
      <c r="D10" s="50">
        <f ca="1">SUM(Jan!D10, Feb!D10, Mar!D10)</f>
        <v>0</v>
      </c>
      <c r="E10" s="50">
        <f t="shared" ca="1" si="1"/>
        <v>3747.203</v>
      </c>
      <c r="F10" s="51">
        <f t="shared" ca="1" si="2"/>
        <v>0</v>
      </c>
      <c r="G10" s="52">
        <f ca="1">SUM(Jan!G10, Feb!G10, Mar!G10)</f>
        <v>0</v>
      </c>
      <c r="H10" s="52">
        <f t="shared" ca="1" si="3"/>
        <v>3747.203</v>
      </c>
      <c r="I10" s="53">
        <f t="shared" ca="1" si="4"/>
        <v>0</v>
      </c>
    </row>
    <row r="11" spans="1:9" ht="12.75" customHeight="1">
      <c r="A11" s="63" t="str">
        <v>Yuma Airport</v>
      </c>
      <c r="B11" s="64" t="str">
        <v>Blue Renewables</v>
      </c>
      <c r="C11" s="81">
        <f ca="1">SUM(Jan!C11, Feb!C11, Mar!C11)</f>
        <v>52995</v>
      </c>
      <c r="D11" s="50">
        <f ca="1">SUM(Jan!D11, Feb!D11, Mar!D11)</f>
        <v>74566.16</v>
      </c>
      <c r="E11" s="50">
        <f t="shared" ca="1" si="1"/>
        <v>-21571.160000000003</v>
      </c>
      <c r="F11" s="51">
        <f t="shared" ca="1" si="2"/>
        <v>-0.28928886776521684</v>
      </c>
      <c r="G11" s="52">
        <f ca="1">SUM(Jan!G11, Feb!G11, Mar!G11)</f>
        <v>67067</v>
      </c>
      <c r="H11" s="52">
        <f t="shared" ca="1" si="3"/>
        <v>-14072</v>
      </c>
      <c r="I11" s="53">
        <f t="shared" ca="1" si="4"/>
        <v>-0.20982003071555311</v>
      </c>
    </row>
    <row r="12" spans="1:9" ht="15.75">
      <c r="A12" s="59" t="str">
        <v>Kinsman</v>
      </c>
      <c r="B12" s="21" t="str">
        <v>Blue Renewables</v>
      </c>
      <c r="C12" s="81">
        <f ca="1">SUM(Jan!C12, Feb!C12, Mar!C12)</f>
        <v>20047.7890625</v>
      </c>
      <c r="D12" s="50">
        <f ca="1">SUM(Jan!D12, Feb!D12, Mar!D12)</f>
        <v>40688.25</v>
      </c>
      <c r="E12" s="50">
        <f t="shared" ca="1" si="1"/>
        <v>-20640.4609375</v>
      </c>
      <c r="F12" s="51">
        <f t="shared" ca="1" si="2"/>
        <v>-0.50728308387556609</v>
      </c>
      <c r="G12" s="52">
        <f ca="1">SUM(Jan!G12, Feb!G12, Mar!G12)</f>
        <v>55531</v>
      </c>
      <c r="H12" s="52">
        <f t="shared" ca="1" si="3"/>
        <v>-35483.2109375</v>
      </c>
      <c r="I12" s="53">
        <f t="shared" ca="1" si="4"/>
        <v>-0.63898022613495165</v>
      </c>
    </row>
    <row r="13" spans="1:9" ht="15.75">
      <c r="A13" s="63" t="str">
        <v>Wooster</v>
      </c>
      <c r="B13" s="64" t="str">
        <v>Blue Renewables</v>
      </c>
      <c r="C13" s="81">
        <f ca="1">SUM(Jan!C13, Feb!C13, Mar!C13)</f>
        <v>6323.25</v>
      </c>
      <c r="D13" s="50">
        <f ca="1">SUM(Jan!D13, Feb!D13, Mar!D13)</f>
        <v>0</v>
      </c>
      <c r="E13" s="50">
        <f t="shared" ca="1" si="1"/>
        <v>6323.25</v>
      </c>
      <c r="F13" s="51">
        <f t="shared" ca="1" si="2"/>
        <v>0</v>
      </c>
      <c r="G13" s="52">
        <f ca="1">SUM(Jan!G13, Feb!G13, Mar!G13)</f>
        <v>12400</v>
      </c>
      <c r="H13" s="52">
        <f t="shared" ca="1" si="3"/>
        <v>-6076.75</v>
      </c>
      <c r="I13" s="53">
        <f t="shared" ca="1" si="4"/>
        <v>-0.49006048387096773</v>
      </c>
    </row>
    <row r="14" spans="1:9" ht="15.75">
      <c r="A14" s="59" t="str">
        <v>Globe Gila CC</v>
      </c>
      <c r="B14" s="21" t="str">
        <v>CC Gen Equity</v>
      </c>
      <c r="C14" s="81">
        <f ca="1">SUM(Jan!C14, Feb!C14, Mar!C14)</f>
        <v>10382.7778156565</v>
      </c>
      <c r="D14" s="50">
        <f ca="1">SUM(Jan!D14, Feb!D14, Mar!D14)</f>
        <v>0</v>
      </c>
      <c r="E14" s="50">
        <f t="shared" ca="1" si="1"/>
        <v>10382.7778156565</v>
      </c>
      <c r="F14" s="51">
        <f t="shared" ca="1" si="2"/>
        <v>0</v>
      </c>
      <c r="G14" s="52">
        <f ca="1">SUM(Jan!G14, Feb!G14, Mar!G14)</f>
        <v>11007</v>
      </c>
      <c r="H14" s="52">
        <f t="shared" ca="1" si="3"/>
        <v>-624.22218434349998</v>
      </c>
      <c r="I14" s="53">
        <f t="shared" ca="1" si="4"/>
        <v>-5.6711382242527482E-2</v>
      </c>
    </row>
    <row r="15" spans="1:9" ht="15.75">
      <c r="A15" s="63" t="str">
        <v>Payson Gila CC</v>
      </c>
      <c r="B15" s="64" t="str">
        <v>CC Gen Equity</v>
      </c>
      <c r="C15" s="81">
        <f ca="1">SUM(Jan!C15, Feb!C15, Mar!C15)</f>
        <v>6804.58081607043</v>
      </c>
      <c r="D15" s="50">
        <f ca="1">SUM(Jan!D15, Feb!D15, Mar!D15)</f>
        <v>0</v>
      </c>
      <c r="E15" s="50">
        <f t="shared" ca="1" si="1"/>
        <v>6804.58081607043</v>
      </c>
      <c r="F15" s="51">
        <f t="shared" ca="1" si="2"/>
        <v>0</v>
      </c>
      <c r="G15" s="52">
        <f ca="1">SUM(Jan!G15, Feb!G15, Mar!G15)</f>
        <v>8517</v>
      </c>
      <c r="H15" s="52">
        <f t="shared" ca="1" si="3"/>
        <v>-1712.41918392957</v>
      </c>
      <c r="I15" s="53">
        <f t="shared" ca="1" si="4"/>
        <v>-0.20105896253722788</v>
      </c>
    </row>
    <row r="16" spans="1:9" ht="15.75">
      <c r="A16" s="59" t="str">
        <v>SCNM</v>
      </c>
      <c r="B16" s="21" t="str">
        <v>CC Gen Equity</v>
      </c>
      <c r="C16" s="81">
        <f ca="1">SUM(Jan!C16, Feb!C16, Mar!C16)</f>
        <v>51680.32</v>
      </c>
      <c r="D16" s="50">
        <f ca="1">SUM(Jan!D16, Feb!D16, Mar!D16)</f>
        <v>0</v>
      </c>
      <c r="E16" s="50">
        <f t="shared" ca="1" si="1"/>
        <v>51680.32</v>
      </c>
      <c r="F16" s="51">
        <f t="shared" ca="1" si="2"/>
        <v>0</v>
      </c>
      <c r="G16" s="52">
        <f ca="1">SUM(Jan!G16, Feb!G16, Mar!G16)</f>
        <v>28849</v>
      </c>
      <c r="H16" s="52">
        <f t="shared" ca="1" si="3"/>
        <v>22831.32</v>
      </c>
      <c r="I16" s="53">
        <f t="shared" ca="1" si="4"/>
        <v>0.79140767444278826</v>
      </c>
    </row>
    <row r="17" spans="1:9" ht="15.75">
      <c r="A17" s="63" t="str">
        <v>Sequoia Charter School</v>
      </c>
      <c r="B17" s="64" t="str">
        <v>CC Gen Equity</v>
      </c>
      <c r="C17" s="81">
        <f ca="1">SUM(Jan!C17, Feb!C17, Mar!C17)</f>
        <v>20768</v>
      </c>
      <c r="D17" s="50">
        <f ca="1">SUM(Jan!D17, Feb!D17, Mar!D17)</f>
        <v>0</v>
      </c>
      <c r="E17" s="50">
        <f t="shared" ca="1" si="1"/>
        <v>20768</v>
      </c>
      <c r="F17" s="51">
        <f t="shared" ca="1" si="2"/>
        <v>0</v>
      </c>
      <c r="G17" s="52">
        <f ca="1">SUM(Jan!G17, Feb!G17, Mar!G17)</f>
        <v>8180</v>
      </c>
      <c r="H17" s="52">
        <f t="shared" ca="1" si="3"/>
        <v>12588</v>
      </c>
      <c r="I17" s="53">
        <f t="shared" ca="1" si="4"/>
        <v>1.5388753056234719</v>
      </c>
    </row>
    <row r="18" spans="1:9" ht="15.75">
      <c r="A18" s="59" t="str">
        <v>RCAB</v>
      </c>
      <c r="B18" s="21" t="str">
        <v>GESF2</v>
      </c>
      <c r="C18" s="81">
        <f ca="1">SUM(Jan!C18, Feb!C18, Mar!C18)</f>
        <v>23135</v>
      </c>
      <c r="D18" s="50">
        <f ca="1">SUM(Jan!D18, Feb!D18, Mar!D18)</f>
        <v>43481.120000000003</v>
      </c>
      <c r="E18" s="50">
        <f t="shared" ca="1" si="1"/>
        <v>-20346.120000000003</v>
      </c>
      <c r="F18" s="51">
        <f t="shared" ca="1" si="2"/>
        <v>-0.4679299889239284</v>
      </c>
      <c r="G18" s="52">
        <f ca="1">SUM(Jan!G18, Feb!G18, Mar!G18)</f>
        <v>47410.87</v>
      </c>
      <c r="H18" s="52">
        <f t="shared" ca="1" si="3"/>
        <v>-24275.870000000003</v>
      </c>
      <c r="I18" s="53">
        <f t="shared" ca="1" si="4"/>
        <v>-0.51203173449464234</v>
      </c>
    </row>
    <row r="19" spans="1:9" ht="15.75">
      <c r="A19" s="63" t="str">
        <v>Spectro Coatings</v>
      </c>
      <c r="B19" s="64" t="str">
        <v>GESF2</v>
      </c>
      <c r="C19" s="81">
        <f ca="1">SUM(Jan!C19, Feb!C19, Mar!C19)</f>
        <v>5510.625</v>
      </c>
      <c r="D19" s="50">
        <f ca="1">SUM(Jan!D19, Feb!D19, Mar!D19)</f>
        <v>12146.73</v>
      </c>
      <c r="E19" s="50">
        <f t="shared" ca="1" si="1"/>
        <v>-6636.1049999999996</v>
      </c>
      <c r="F19" s="51">
        <f t="shared" ca="1" si="2"/>
        <v>-0.54632851804559746</v>
      </c>
      <c r="G19" s="52">
        <f ca="1">SUM(Jan!G19, Feb!G19, Mar!G19)</f>
        <v>11789.76</v>
      </c>
      <c r="H19" s="52">
        <f t="shared" ca="1" si="3"/>
        <v>-6279.1350000000002</v>
      </c>
      <c r="I19" s="53">
        <f t="shared" ca="1" si="4"/>
        <v>-0.53259226650924196</v>
      </c>
    </row>
    <row r="20" spans="1:9" ht="15.75">
      <c r="A20" s="59" t="str">
        <v>K026</v>
      </c>
      <c r="B20" s="21" t="str">
        <v>Hudson</v>
      </c>
      <c r="C20" s="81">
        <f ca="1">SUM(Jan!C20, Feb!C20, Mar!C20)</f>
        <v>7049.125</v>
      </c>
      <c r="D20" s="50">
        <f ca="1">SUM(Jan!D20, Feb!D20, Mar!D20)</f>
        <v>12398.04</v>
      </c>
      <c r="E20" s="50">
        <f t="shared" ca="1" si="1"/>
        <v>-5348.9150000000009</v>
      </c>
      <c r="F20" s="51">
        <f t="shared" ca="1" si="2"/>
        <v>-0.43143230704208091</v>
      </c>
      <c r="G20" s="52">
        <f ca="1">SUM(Jan!G20, Feb!G20, Mar!G20)</f>
        <v>18592.650000000001</v>
      </c>
      <c r="H20" s="52">
        <f t="shared" ca="1" si="3"/>
        <v>-11543.525000000001</v>
      </c>
      <c r="I20" s="53">
        <f t="shared" ca="1" si="4"/>
        <v>-0.62086496545678005</v>
      </c>
    </row>
    <row r="21" spans="1:9" ht="15.75">
      <c r="A21" s="63" t="str">
        <v>K041</v>
      </c>
      <c r="B21" s="64" t="str">
        <v>Hudson</v>
      </c>
      <c r="C21" s="81">
        <f ca="1">SUM(Jan!C21, Feb!C21, Mar!C21)</f>
        <v>2400.5965820312499</v>
      </c>
      <c r="D21" s="50">
        <f ca="1">SUM(Jan!D21, Feb!D21, Mar!D21)</f>
        <v>0</v>
      </c>
      <c r="E21" s="50">
        <f t="shared" ca="1" si="1"/>
        <v>2400.5965820312499</v>
      </c>
      <c r="F21" s="51">
        <f t="shared" ca="1" si="2"/>
        <v>0</v>
      </c>
      <c r="G21" s="52">
        <f ca="1">SUM(Jan!G21, Feb!G21, Mar!G21)</f>
        <v>0</v>
      </c>
      <c r="H21" s="52">
        <f t="shared" ca="1" si="3"/>
        <v>2400.5965820312499</v>
      </c>
      <c r="I21" s="53">
        <f t="shared" ca="1" si="4"/>
        <v>0</v>
      </c>
    </row>
    <row r="22" spans="1:9" ht="15.75">
      <c r="A22" s="59" t="str">
        <v>K043</v>
      </c>
      <c r="B22" s="21" t="str">
        <v>Hudson</v>
      </c>
      <c r="C22" s="81">
        <f ca="1">SUM(Jan!C22, Feb!C22, Mar!C22)</f>
        <v>7037.328125</v>
      </c>
      <c r="D22" s="50">
        <f ca="1">SUM(Jan!D22, Feb!D22, Mar!D22)</f>
        <v>10909.38</v>
      </c>
      <c r="E22" s="50">
        <f t="shared" ca="1" si="1"/>
        <v>-3872.0518749999992</v>
      </c>
      <c r="F22" s="51">
        <f t="shared" ca="1" si="2"/>
        <v>-0.35492868293156893</v>
      </c>
      <c r="G22" s="52">
        <f ca="1">SUM(Jan!G22, Feb!G22, Mar!G22)</f>
        <v>20258</v>
      </c>
      <c r="H22" s="52">
        <f t="shared" ca="1" si="3"/>
        <v>-13220.671875</v>
      </c>
      <c r="I22" s="53">
        <f t="shared" ca="1" si="4"/>
        <v>-0.65261486202981533</v>
      </c>
    </row>
    <row r="23" spans="1:9" ht="15.75">
      <c r="A23" s="63" t="str">
        <v>K058</v>
      </c>
      <c r="B23" s="64" t="str">
        <v>Hudson</v>
      </c>
      <c r="C23" s="81">
        <f ca="1">SUM(Jan!C23, Feb!C23, Mar!C23)</f>
        <v>5262.6875</v>
      </c>
      <c r="D23" s="50">
        <f ca="1">SUM(Jan!D23, Feb!D23, Mar!D23)</f>
        <v>8705.5619999999999</v>
      </c>
      <c r="E23" s="50">
        <f t="shared" ca="1" si="1"/>
        <v>-3442.8744999999999</v>
      </c>
      <c r="F23" s="51">
        <f t="shared" ca="1" si="2"/>
        <v>-0.39547986677942215</v>
      </c>
      <c r="G23" s="52">
        <f ca="1">SUM(Jan!G23, Feb!G23, Mar!G23)</f>
        <v>13134.4</v>
      </c>
      <c r="H23" s="52">
        <f t="shared" ca="1" si="3"/>
        <v>-7871.7124999999996</v>
      </c>
      <c r="I23" s="53">
        <f t="shared" ca="1" si="4"/>
        <v>-0.59932029632111095</v>
      </c>
    </row>
    <row r="24" spans="1:9" ht="15.75">
      <c r="A24" s="59" t="str">
        <v>K115</v>
      </c>
      <c r="B24" s="21" t="str">
        <v>Hudson</v>
      </c>
      <c r="C24" s="81">
        <f ca="1">SUM(Jan!C24, Feb!C24, Mar!C24)</f>
        <v>1496.6525963930401</v>
      </c>
      <c r="D24" s="50">
        <f ca="1">SUM(Jan!D24, Feb!D24, Mar!D24)</f>
        <v>5139.6459999999997</v>
      </c>
      <c r="E24" s="50">
        <f t="shared" ca="1" si="1"/>
        <v>-3642.9934036069599</v>
      </c>
      <c r="F24" s="51">
        <f t="shared" ca="1" si="2"/>
        <v>-0.70880239682012347</v>
      </c>
      <c r="G24" s="52">
        <f ca="1">SUM(Jan!G24, Feb!G24, Mar!G24)</f>
        <v>4549.33</v>
      </c>
      <c r="H24" s="52">
        <f t="shared" ca="1" si="3"/>
        <v>-3052.6774036069601</v>
      </c>
      <c r="I24" s="53">
        <f t="shared" ca="1" si="4"/>
        <v>-0.67101691976773725</v>
      </c>
    </row>
    <row r="25" spans="1:9" ht="15.75">
      <c r="A25" s="63" t="str">
        <v>K152</v>
      </c>
      <c r="B25" s="64" t="str">
        <v>Hudson</v>
      </c>
      <c r="C25" s="81">
        <f ca="1">SUM(Jan!C25, Feb!C25, Mar!C25)</f>
        <v>1927.1875</v>
      </c>
      <c r="D25" s="50">
        <f ca="1">SUM(Jan!D25, Feb!D25, Mar!D25)</f>
        <v>3008.1570000000002</v>
      </c>
      <c r="E25" s="50">
        <f t="shared" ca="1" si="1"/>
        <v>-1080.9695000000002</v>
      </c>
      <c r="F25" s="51">
        <f t="shared" ca="1" si="2"/>
        <v>-0.3593461046082369</v>
      </c>
      <c r="G25" s="52">
        <f ca="1">SUM(Jan!G25, Feb!G25, Mar!G25)</f>
        <v>798</v>
      </c>
      <c r="H25" s="52">
        <f t="shared" ca="1" si="3"/>
        <v>1129.1875</v>
      </c>
      <c r="I25" s="53">
        <f t="shared" ca="1" si="4"/>
        <v>1.4150219298245614</v>
      </c>
    </row>
    <row r="26" spans="1:9" ht="15.75">
      <c r="A26" s="59" t="str">
        <v>K166</v>
      </c>
      <c r="B26" s="21" t="str">
        <v>Hudson</v>
      </c>
      <c r="C26" s="81">
        <f ca="1">SUM(Jan!C26, Feb!C26, Mar!C26)</f>
        <v>7390.625</v>
      </c>
      <c r="D26" s="50">
        <f ca="1">SUM(Jan!D26, Feb!D26, Mar!D26)</f>
        <v>11891.79</v>
      </c>
      <c r="E26" s="50">
        <f t="shared" ca="1" si="1"/>
        <v>-4501.1650000000009</v>
      </c>
      <c r="F26" s="51">
        <f t="shared" ca="1" si="2"/>
        <v>-0.37851029996325203</v>
      </c>
      <c r="G26" s="52">
        <f ca="1">SUM(Jan!G26, Feb!G26, Mar!G26)</f>
        <v>18302.04</v>
      </c>
      <c r="H26" s="52">
        <f t="shared" ca="1" si="3"/>
        <v>-10911.415000000001</v>
      </c>
      <c r="I26" s="53">
        <f t="shared" ca="1" si="4"/>
        <v>-0.59618572574423401</v>
      </c>
    </row>
    <row r="27" spans="1:9" ht="15.75">
      <c r="A27" s="63" t="str">
        <v>K206</v>
      </c>
      <c r="B27" s="64" t="str">
        <v>Hudson</v>
      </c>
      <c r="C27" s="81">
        <f ca="1">SUM(Jan!C27, Feb!C27, Mar!C27)</f>
        <v>4600.7732192947096</v>
      </c>
      <c r="D27" s="50">
        <f ca="1">SUM(Jan!D27, Feb!D27, Mar!D27)</f>
        <v>0</v>
      </c>
      <c r="E27" s="50">
        <f t="shared" ca="1" si="1"/>
        <v>4600.7732192947096</v>
      </c>
      <c r="F27" s="51">
        <f t="shared" ca="1" si="2"/>
        <v>0</v>
      </c>
      <c r="G27" s="52">
        <f ca="1">SUM(Jan!G27, Feb!G27, Mar!G27)</f>
        <v>0</v>
      </c>
      <c r="H27" s="52">
        <f t="shared" ca="1" si="3"/>
        <v>4600.7732192947096</v>
      </c>
      <c r="I27" s="53">
        <f t="shared" ca="1" si="4"/>
        <v>0</v>
      </c>
    </row>
    <row r="28" spans="1:9" ht="15.75">
      <c r="A28" s="59" t="str">
        <v>K251</v>
      </c>
      <c r="B28" s="21" t="str">
        <v>Hudson</v>
      </c>
      <c r="C28" s="81">
        <f ca="1">SUM(Jan!C28, Feb!C28, Mar!C28)</f>
        <v>4966.375</v>
      </c>
      <c r="D28" s="50">
        <f ca="1">SUM(Jan!D28, Feb!D28, Mar!D28)</f>
        <v>7470.1769999999997</v>
      </c>
      <c r="E28" s="50">
        <f t="shared" ca="1" si="1"/>
        <v>-2503.8019999999997</v>
      </c>
      <c r="F28" s="51">
        <f t="shared" ca="1" si="2"/>
        <v>-0.33517304877782678</v>
      </c>
      <c r="G28" s="52">
        <f ca="1">SUM(Jan!G28, Feb!G28, Mar!G28)</f>
        <v>9815.6869999999999</v>
      </c>
      <c r="H28" s="52">
        <f t="shared" ca="1" si="3"/>
        <v>-4849.3119999999999</v>
      </c>
      <c r="I28" s="53">
        <f t="shared" ca="1" si="4"/>
        <v>-0.49403694310953478</v>
      </c>
    </row>
    <row r="29" spans="1:9" ht="15.75">
      <c r="A29" s="63" t="str">
        <v>K269</v>
      </c>
      <c r="B29" s="64" t="str">
        <v>Hudson</v>
      </c>
      <c r="C29" s="81">
        <f ca="1">SUM(Jan!C29, Feb!C29, Mar!C29)</f>
        <v>4328.3125</v>
      </c>
      <c r="D29" s="50">
        <f ca="1">SUM(Jan!D29, Feb!D29, Mar!D29)</f>
        <v>0</v>
      </c>
      <c r="E29" s="50">
        <f t="shared" ca="1" si="1"/>
        <v>4328.3125</v>
      </c>
      <c r="F29" s="51">
        <f t="shared" ca="1" si="2"/>
        <v>0</v>
      </c>
      <c r="G29" s="52">
        <f ca="1">SUM(Jan!G29, Feb!G29, Mar!G29)</f>
        <v>10978.73</v>
      </c>
      <c r="H29" s="52">
        <f t="shared" ca="1" si="3"/>
        <v>-6650.4174999999996</v>
      </c>
      <c r="I29" s="53">
        <f t="shared" ca="1" si="4"/>
        <v>-0.60575471844193274</v>
      </c>
    </row>
    <row r="30" spans="1:9" ht="15.75">
      <c r="A30" s="59" t="str">
        <v>K273</v>
      </c>
      <c r="B30" s="21" t="str">
        <v>Hudson</v>
      </c>
      <c r="C30" s="81">
        <f ca="1">SUM(Jan!C30, Feb!C30, Mar!C30)</f>
        <v>5062.03125</v>
      </c>
      <c r="D30" s="50">
        <f ca="1">SUM(Jan!D30, Feb!D30, Mar!D30)</f>
        <v>0</v>
      </c>
      <c r="E30" s="50">
        <f t="shared" ca="1" si="1"/>
        <v>5062.03125</v>
      </c>
      <c r="F30" s="51">
        <f t="shared" ca="1" si="2"/>
        <v>0</v>
      </c>
      <c r="G30" s="52">
        <f ca="1">SUM(Jan!G30, Feb!G30, Mar!G30)</f>
        <v>11224</v>
      </c>
      <c r="H30" s="52">
        <f t="shared" ca="1" si="3"/>
        <v>-6161.96875</v>
      </c>
      <c r="I30" s="53">
        <f t="shared" ca="1" si="4"/>
        <v>-0.54899935406272271</v>
      </c>
    </row>
    <row r="31" spans="1:9" ht="15.75">
      <c r="A31" s="63" t="str">
        <v>K287</v>
      </c>
      <c r="B31" s="64" t="str">
        <v>Hudson</v>
      </c>
      <c r="C31" s="81">
        <f ca="1">SUM(Jan!C31, Feb!C31, Mar!C31)</f>
        <v>3720.0499218750001</v>
      </c>
      <c r="D31" s="50">
        <f ca="1">SUM(Jan!D31, Feb!D31, Mar!D31)</f>
        <v>5487.5860000000002</v>
      </c>
      <c r="E31" s="50">
        <f t="shared" ca="1" si="1"/>
        <v>-1767.5360781250001</v>
      </c>
      <c r="F31" s="51">
        <f t="shared" ca="1" si="2"/>
        <v>-0.32209719868171544</v>
      </c>
      <c r="G31" s="52">
        <f ca="1">SUM(Jan!G31, Feb!G31, Mar!G31)</f>
        <v>0</v>
      </c>
      <c r="H31" s="52">
        <f t="shared" ca="1" si="3"/>
        <v>3720.0499218750001</v>
      </c>
      <c r="I31" s="53">
        <f t="shared" ca="1" si="4"/>
        <v>0</v>
      </c>
    </row>
    <row r="32" spans="1:9" ht="15.75">
      <c r="A32" s="59" t="str">
        <v>K298</v>
      </c>
      <c r="B32" s="21" t="str">
        <v>Hudson</v>
      </c>
      <c r="C32" s="81">
        <f ca="1">SUM(Jan!C32, Feb!C32, Mar!C32)</f>
        <v>3421.078125</v>
      </c>
      <c r="D32" s="50">
        <f ca="1">SUM(Jan!D32, Feb!D32, Mar!D32)</f>
        <v>7008.5879999999997</v>
      </c>
      <c r="E32" s="50">
        <f t="shared" ca="1" si="1"/>
        <v>-3587.5098749999997</v>
      </c>
      <c r="F32" s="51">
        <f t="shared" ca="1" si="2"/>
        <v>-0.51187341515865958</v>
      </c>
      <c r="G32" s="52">
        <f ca="1">SUM(Jan!G32, Feb!G32, Mar!G32)</f>
        <v>0</v>
      </c>
      <c r="H32" s="52">
        <f t="shared" ca="1" si="3"/>
        <v>3421.078125</v>
      </c>
      <c r="I32" s="53">
        <f t="shared" ca="1" si="4"/>
        <v>0</v>
      </c>
    </row>
    <row r="33" spans="1:9" ht="15.75">
      <c r="A33" s="63" t="str">
        <v>K335</v>
      </c>
      <c r="B33" s="64" t="str">
        <v>Hudson</v>
      </c>
      <c r="C33" s="81">
        <f ca="1">SUM(Jan!C33, Feb!C33, Mar!C33)</f>
        <v>4100.5625</v>
      </c>
      <c r="D33" s="50">
        <f ca="1">SUM(Jan!D33, Feb!D33, Mar!D33)</f>
        <v>7358.259</v>
      </c>
      <c r="E33" s="50">
        <f t="shared" ca="1" si="1"/>
        <v>-3257.6965</v>
      </c>
      <c r="F33" s="51">
        <f t="shared" ca="1" si="2"/>
        <v>-0.44272653354550306</v>
      </c>
      <c r="G33" s="52">
        <f ca="1">SUM(Jan!G33, Feb!G33, Mar!G33)</f>
        <v>11610</v>
      </c>
      <c r="H33" s="52">
        <f t="shared" ca="1" si="3"/>
        <v>-7509.4375</v>
      </c>
      <c r="I33" s="53">
        <f t="shared" ca="1" si="4"/>
        <v>-0.64680770887166239</v>
      </c>
    </row>
    <row r="34" spans="1:9" ht="15.75">
      <c r="A34" s="59" t="str">
        <v>K345</v>
      </c>
      <c r="B34" s="21" t="str">
        <v>Hudson</v>
      </c>
      <c r="C34" s="81">
        <f ca="1">SUM(Jan!C34, Feb!C34, Mar!C34)</f>
        <v>4561.296875</v>
      </c>
      <c r="D34" s="50">
        <f ca="1">SUM(Jan!D34, Feb!D34, Mar!D34)</f>
        <v>0</v>
      </c>
      <c r="E34" s="50">
        <f t="shared" ca="1" si="1"/>
        <v>4561.296875</v>
      </c>
      <c r="F34" s="51">
        <f t="shared" ca="1" si="2"/>
        <v>0</v>
      </c>
      <c r="G34" s="52">
        <f ca="1">SUM(Jan!G34, Feb!G34, Mar!G34)</f>
        <v>0</v>
      </c>
      <c r="H34" s="52">
        <f t="shared" ca="1" si="3"/>
        <v>4561.296875</v>
      </c>
      <c r="I34" s="53">
        <f t="shared" ca="1" si="4"/>
        <v>0</v>
      </c>
    </row>
    <row r="35" spans="1:9" ht="15.75">
      <c r="A35" s="63" t="str">
        <v>K445</v>
      </c>
      <c r="B35" s="64" t="str">
        <v>Hudson</v>
      </c>
      <c r="C35" s="81">
        <f ca="1">SUM(Jan!C35, Feb!C35, Mar!C35)</f>
        <v>4488.8050683593801</v>
      </c>
      <c r="D35" s="50">
        <f ca="1">SUM(Jan!D35, Feb!D35, Mar!D35)</f>
        <v>0</v>
      </c>
      <c r="E35" s="50">
        <f t="shared" ca="1" si="1"/>
        <v>4488.8050683593801</v>
      </c>
      <c r="F35" s="51">
        <f t="shared" ca="1" si="2"/>
        <v>0</v>
      </c>
      <c r="G35" s="52">
        <f ca="1">SUM(Jan!G35, Feb!G35, Mar!G35)</f>
        <v>0</v>
      </c>
      <c r="H35" s="52">
        <f t="shared" ca="1" si="3"/>
        <v>4488.8050683593801</v>
      </c>
      <c r="I35" s="53">
        <f t="shared" ca="1" si="4"/>
        <v>0</v>
      </c>
    </row>
    <row r="36" spans="1:9" ht="15.75">
      <c r="A36" s="59" t="str">
        <v>K495</v>
      </c>
      <c r="B36" s="21" t="str">
        <v>Hudson</v>
      </c>
      <c r="C36" s="81">
        <f ca="1">SUM(Jan!C36, Feb!C36, Mar!C36)</f>
        <v>20449.1875</v>
      </c>
      <c r="D36" s="50">
        <f ca="1">SUM(Jan!D36, Feb!D36, Mar!D36)</f>
        <v>0</v>
      </c>
      <c r="E36" s="50">
        <f t="shared" ca="1" si="1"/>
        <v>20449.1875</v>
      </c>
      <c r="F36" s="51">
        <f t="shared" ca="1" si="2"/>
        <v>0</v>
      </c>
      <c r="G36" s="52">
        <f ca="1">SUM(Jan!G36, Feb!G36, Mar!G36)</f>
        <v>0</v>
      </c>
      <c r="H36" s="52">
        <f t="shared" ca="1" si="3"/>
        <v>20449.1875</v>
      </c>
      <c r="I36" s="53">
        <f t="shared" ca="1" si="4"/>
        <v>0</v>
      </c>
    </row>
    <row r="37" spans="1:9" ht="15.75">
      <c r="A37" s="63" t="str">
        <v>M020</v>
      </c>
      <c r="B37" s="64" t="str">
        <v>Hudson</v>
      </c>
      <c r="C37" s="81">
        <f ca="1">SUM(Jan!C37, Feb!C37, Mar!C37)</f>
        <v>4382.65625</v>
      </c>
      <c r="D37" s="50">
        <f ca="1">SUM(Jan!D37, Feb!D37, Mar!D37)</f>
        <v>7052.3590000000004</v>
      </c>
      <c r="E37" s="50">
        <f t="shared" ca="1" si="1"/>
        <v>-2669.7027500000004</v>
      </c>
      <c r="F37" s="51">
        <f t="shared" ca="1" si="2"/>
        <v>-0.37855457301592277</v>
      </c>
      <c r="G37" s="52">
        <f ca="1">SUM(Jan!G37, Feb!G37, Mar!G37)</f>
        <v>0</v>
      </c>
      <c r="H37" s="52">
        <f t="shared" ca="1" si="3"/>
        <v>4382.65625</v>
      </c>
      <c r="I37" s="53">
        <f t="shared" ca="1" si="4"/>
        <v>0</v>
      </c>
    </row>
    <row r="38" spans="1:9" ht="15.75">
      <c r="A38" s="59" t="str">
        <v>M092</v>
      </c>
      <c r="B38" s="21" t="str">
        <v>Hudson</v>
      </c>
      <c r="C38" s="81">
        <f ca="1">SUM(Jan!C38, Feb!C38, Mar!C38)</f>
        <v>4470.75</v>
      </c>
      <c r="D38" s="50">
        <f ca="1">SUM(Jan!D38, Feb!D38, Mar!D38)</f>
        <v>7217.8190000000004</v>
      </c>
      <c r="E38" s="50">
        <f t="shared" ca="1" si="1"/>
        <v>-2747.0690000000004</v>
      </c>
      <c r="F38" s="51">
        <f t="shared" ca="1" si="2"/>
        <v>-0.38059544025695302</v>
      </c>
      <c r="G38" s="52">
        <f ca="1">SUM(Jan!G38, Feb!G38, Mar!G38)</f>
        <v>11299.41</v>
      </c>
      <c r="H38" s="52">
        <f t="shared" ca="1" si="3"/>
        <v>-6828.66</v>
      </c>
      <c r="I38" s="53">
        <f t="shared" ca="1" si="4"/>
        <v>-0.60433774860811318</v>
      </c>
    </row>
    <row r="39" spans="1:9" ht="15.75">
      <c r="A39" s="63" t="str">
        <v>M143</v>
      </c>
      <c r="B39" s="64" t="str">
        <v>Hudson</v>
      </c>
      <c r="C39" s="81">
        <f ca="1">SUM(Jan!C39, Feb!C39, Mar!C39)</f>
        <v>4964.5</v>
      </c>
      <c r="D39" s="50">
        <f ca="1">SUM(Jan!D39, Feb!D39, Mar!D39)</f>
        <v>7892.9740000000002</v>
      </c>
      <c r="E39" s="50">
        <f t="shared" ca="1" si="1"/>
        <v>-2928.4740000000002</v>
      </c>
      <c r="F39" s="51">
        <f t="shared" ca="1" si="2"/>
        <v>-0.37102288693716717</v>
      </c>
      <c r="G39" s="52">
        <f ca="1">SUM(Jan!G39, Feb!G39, Mar!G39)</f>
        <v>15533.26</v>
      </c>
      <c r="H39" s="52">
        <f t="shared" ca="1" si="3"/>
        <v>-10568.76</v>
      </c>
      <c r="I39" s="53">
        <f t="shared" ca="1" si="4"/>
        <v>-0.6803954868456461</v>
      </c>
    </row>
    <row r="40" spans="1:9" ht="15.75">
      <c r="A40" s="59" t="str">
        <v>M144</v>
      </c>
      <c r="B40" s="21" t="str">
        <v>Hudson</v>
      </c>
      <c r="C40" s="81">
        <f ca="1">SUM(Jan!C40, Feb!C40, Mar!C40)</f>
        <v>7482.359375</v>
      </c>
      <c r="D40" s="50">
        <f ca="1">SUM(Jan!D40, Feb!D40, Mar!D40)</f>
        <v>0</v>
      </c>
      <c r="E40" s="50">
        <f t="shared" ca="1" si="1"/>
        <v>7482.359375</v>
      </c>
      <c r="F40" s="51">
        <f t="shared" ca="1" si="2"/>
        <v>0</v>
      </c>
      <c r="G40" s="52">
        <f ca="1">SUM(Jan!G40, Feb!G40, Mar!G40)</f>
        <v>0</v>
      </c>
      <c r="H40" s="52">
        <f t="shared" ca="1" si="3"/>
        <v>7482.359375</v>
      </c>
      <c r="I40" s="53">
        <f t="shared" ca="1" si="4"/>
        <v>0</v>
      </c>
    </row>
    <row r="41" spans="1:9" ht="15.75">
      <c r="A41" s="63" t="str">
        <v>M167</v>
      </c>
      <c r="B41" s="64" t="str">
        <v>Hudson</v>
      </c>
      <c r="C41" s="81">
        <f ca="1">SUM(Jan!C41, Feb!C41, Mar!C41)</f>
        <v>4434</v>
      </c>
      <c r="D41" s="50">
        <f ca="1">SUM(Jan!D41, Feb!D41, Mar!D41)</f>
        <v>5657</v>
      </c>
      <c r="E41" s="50">
        <f t="shared" ca="1" si="1"/>
        <v>-1223</v>
      </c>
      <c r="F41" s="51">
        <f t="shared" ca="1" si="2"/>
        <v>-0.21619232808909317</v>
      </c>
      <c r="G41" s="52">
        <f ca="1">SUM(Jan!G41, Feb!G41, Mar!G41)</f>
        <v>10982</v>
      </c>
      <c r="H41" s="52">
        <f t="shared" ca="1" si="3"/>
        <v>-6548</v>
      </c>
      <c r="I41" s="53">
        <f t="shared" ca="1" si="4"/>
        <v>-0.59624840648333632</v>
      </c>
    </row>
    <row r="42" spans="1:9" ht="15.75">
      <c r="A42" s="59" t="str">
        <v>M188</v>
      </c>
      <c r="B42" s="21" t="str">
        <v>Hudson</v>
      </c>
      <c r="C42" s="81">
        <f ca="1">SUM(Jan!C42, Feb!C42, Mar!C42)</f>
        <v>3879.9296875</v>
      </c>
      <c r="D42" s="50">
        <f ca="1">SUM(Jan!D42, Feb!D42, Mar!D42)</f>
        <v>0</v>
      </c>
      <c r="E42" s="50">
        <f t="shared" ca="1" si="1"/>
        <v>3879.9296875</v>
      </c>
      <c r="F42" s="51">
        <f t="shared" ca="1" si="2"/>
        <v>0</v>
      </c>
      <c r="G42" s="52">
        <f ca="1">SUM(Jan!G42, Feb!G42, Mar!G42)</f>
        <v>0</v>
      </c>
      <c r="H42" s="52">
        <f t="shared" ca="1" si="3"/>
        <v>3879.9296875</v>
      </c>
      <c r="I42" s="53">
        <f t="shared" ca="1" si="4"/>
        <v>0</v>
      </c>
    </row>
    <row r="43" spans="1:9" ht="15.75">
      <c r="A43" s="63" t="str">
        <v>EMHC</v>
      </c>
      <c r="B43" s="64" t="str">
        <v>Hudson</v>
      </c>
      <c r="C43" s="81">
        <f ca="1">SUM(Jan!C43, Feb!C43, Mar!C43)</f>
        <v>911</v>
      </c>
      <c r="D43" s="50">
        <f ca="1">SUM(Jan!D43, Feb!D43, Mar!D43)</f>
        <v>0</v>
      </c>
      <c r="E43" s="50">
        <f t="shared" ca="1" si="1"/>
        <v>911</v>
      </c>
      <c r="F43" s="51">
        <f t="shared" ca="1" si="2"/>
        <v>0</v>
      </c>
      <c r="G43" s="52">
        <f ca="1">SUM(Jan!G43, Feb!G43, Mar!G43)</f>
        <v>0</v>
      </c>
      <c r="H43" s="52">
        <f t="shared" ca="1" si="3"/>
        <v>911</v>
      </c>
      <c r="I43" s="53">
        <f t="shared" ca="1" si="4"/>
        <v>0</v>
      </c>
    </row>
    <row r="44" spans="1:9" ht="15.75">
      <c r="A44" s="59" t="str">
        <v>Q008</v>
      </c>
      <c r="B44" s="21" t="str">
        <v>Hudson</v>
      </c>
      <c r="C44" s="81">
        <f ca="1">SUM(Jan!C44, Feb!C44, Mar!C44)</f>
        <v>6839.03125</v>
      </c>
      <c r="D44" s="50">
        <f ca="1">SUM(Jan!D44, Feb!D44, Mar!D44)</f>
        <v>9522.7690000000002</v>
      </c>
      <c r="E44" s="50">
        <f t="shared" ca="1" si="1"/>
        <v>-2683.7377500000002</v>
      </c>
      <c r="F44" s="51">
        <f t="shared" ca="1" si="2"/>
        <v>-0.281823254349654</v>
      </c>
      <c r="G44" s="52">
        <f ca="1">SUM(Jan!G44, Feb!G44, Mar!G44)</f>
        <v>15253</v>
      </c>
      <c r="H44" s="52">
        <f t="shared" ca="1" si="3"/>
        <v>-8413.96875</v>
      </c>
      <c r="I44" s="53">
        <f t="shared" ca="1" si="4"/>
        <v>-0.55162713892349047</v>
      </c>
    </row>
    <row r="45" spans="1:9" ht="15.75">
      <c r="A45" s="63" t="str">
        <v>Q018</v>
      </c>
      <c r="B45" s="64" t="str">
        <v>Hudson</v>
      </c>
      <c r="C45" s="81">
        <f ca="1">SUM(Jan!C45, Feb!C45, Mar!C45)</f>
        <v>4357.5</v>
      </c>
      <c r="D45" s="50">
        <f ca="1">SUM(Jan!D45, Feb!D45, Mar!D45)</f>
        <v>5639.9430000000002</v>
      </c>
      <c r="E45" s="50">
        <f t="shared" ca="1" si="1"/>
        <v>-1282.4430000000002</v>
      </c>
      <c r="F45" s="51">
        <f t="shared" ca="1" si="2"/>
        <v>-0.2273858086863644</v>
      </c>
      <c r="G45" s="52">
        <f ca="1">SUM(Jan!G45, Feb!G45, Mar!G45)</f>
        <v>9568.2369999999992</v>
      </c>
      <c r="H45" s="52">
        <f t="shared" ca="1" si="3"/>
        <v>-5210.7369999999992</v>
      </c>
      <c r="I45" s="53">
        <f t="shared" ca="1" si="4"/>
        <v>-0.54458694950804409</v>
      </c>
    </row>
    <row r="46" spans="1:9" ht="15.75">
      <c r="A46" s="59" t="str">
        <v>Q021</v>
      </c>
      <c r="B46" s="21" t="str">
        <v>Hudson</v>
      </c>
      <c r="C46" s="81">
        <f ca="1">SUM(Jan!C46, Feb!C46, Mar!C46)</f>
        <v>3435.6875</v>
      </c>
      <c r="D46" s="50">
        <f ca="1">SUM(Jan!D46, Feb!D46, Mar!D46)</f>
        <v>6008.808</v>
      </c>
      <c r="E46" s="50">
        <f t="shared" ca="1" si="1"/>
        <v>-2573.1205</v>
      </c>
      <c r="F46" s="51">
        <f t="shared" ca="1" si="2"/>
        <v>-0.42822478268568409</v>
      </c>
      <c r="G46" s="52">
        <f ca="1">SUM(Jan!G46, Feb!G46, Mar!G46)</f>
        <v>4290.74</v>
      </c>
      <c r="H46" s="52">
        <f t="shared" ca="1" si="3"/>
        <v>-855.05249999999978</v>
      </c>
      <c r="I46" s="53">
        <f t="shared" ca="1" si="4"/>
        <v>-0.19927856267217306</v>
      </c>
    </row>
    <row r="47" spans="1:9" ht="15.75">
      <c r="A47" s="63" t="str">
        <v>Q025</v>
      </c>
      <c r="B47" s="64" t="str">
        <v>Hudson</v>
      </c>
      <c r="C47" s="81">
        <f ca="1">SUM(Jan!C47, Feb!C47, Mar!C47)</f>
        <v>6042.5</v>
      </c>
      <c r="D47" s="50">
        <f ca="1">SUM(Jan!D47, Feb!D47, Mar!D47)</f>
        <v>9148.84</v>
      </c>
      <c r="E47" s="50">
        <f t="shared" ca="1" si="1"/>
        <v>-3106.34</v>
      </c>
      <c r="F47" s="51">
        <f t="shared" ca="1" si="2"/>
        <v>-0.33953375509900707</v>
      </c>
      <c r="G47" s="52">
        <f ca="1">SUM(Jan!G47, Feb!G47, Mar!G47)</f>
        <v>7767</v>
      </c>
      <c r="H47" s="52">
        <f t="shared" ca="1" si="3"/>
        <v>-1724.5</v>
      </c>
      <c r="I47" s="53">
        <f t="shared" ca="1" si="4"/>
        <v>-0.22202909746362817</v>
      </c>
    </row>
    <row r="48" spans="1:9" ht="15.75">
      <c r="A48" s="59" t="str">
        <v>Q074</v>
      </c>
      <c r="B48" s="21" t="str">
        <v>Hudson</v>
      </c>
      <c r="C48" s="81">
        <f ca="1">SUM(Jan!C48, Feb!C48, Mar!C48)</f>
        <v>3737.71875</v>
      </c>
      <c r="D48" s="50">
        <f ca="1">SUM(Jan!D48, Feb!D48, Mar!D48)</f>
        <v>5120.8</v>
      </c>
      <c r="E48" s="50">
        <f t="shared" ca="1" si="1"/>
        <v>-1383.0812500000002</v>
      </c>
      <c r="F48" s="51">
        <f t="shared" ca="1" si="2"/>
        <v>-0.27009085494453994</v>
      </c>
      <c r="G48" s="52">
        <f ca="1">SUM(Jan!G48, Feb!G48, Mar!G48)</f>
        <v>8043.3059999999996</v>
      </c>
      <c r="H48" s="52">
        <f t="shared" ca="1" si="3"/>
        <v>-4305.5872499999996</v>
      </c>
      <c r="I48" s="53">
        <f t="shared" ca="1" si="4"/>
        <v>-0.53530068979098888</v>
      </c>
    </row>
    <row r="49" spans="1:9" ht="15.75">
      <c r="A49" s="63" t="str">
        <v>Q115</v>
      </c>
      <c r="B49" s="64" t="str">
        <v>Hudson</v>
      </c>
      <c r="C49" s="81">
        <f ca="1">SUM(Jan!C49, Feb!C49, Mar!C49)</f>
        <v>4955.0625</v>
      </c>
      <c r="D49" s="50">
        <f ca="1">SUM(Jan!D49, Feb!D49, Mar!D49)</f>
        <v>8344.5239999999994</v>
      </c>
      <c r="E49" s="50">
        <f t="shared" ca="1" si="1"/>
        <v>-3389.4614999999994</v>
      </c>
      <c r="F49" s="51">
        <f t="shared" ca="1" si="2"/>
        <v>-0.40618991568602353</v>
      </c>
      <c r="G49" s="52">
        <f ca="1">SUM(Jan!G49, Feb!G49, Mar!G49)</f>
        <v>11121.22</v>
      </c>
      <c r="H49" s="52">
        <f t="shared" ca="1" si="3"/>
        <v>-6166.1574999999993</v>
      </c>
      <c r="I49" s="53">
        <f t="shared" ca="1" si="4"/>
        <v>-0.55444973662961439</v>
      </c>
    </row>
    <row r="50" spans="1:9" ht="15.75">
      <c r="A50" s="59" t="str">
        <v>Q139</v>
      </c>
      <c r="B50" s="21" t="str">
        <v>Hudson</v>
      </c>
      <c r="C50" s="81">
        <f ca="1">SUM(Jan!C50, Feb!C50, Mar!C50)</f>
        <v>2925.8125</v>
      </c>
      <c r="D50" s="50">
        <f ca="1">SUM(Jan!D50, Feb!D50, Mar!D50)</f>
        <v>4425.3320000000003</v>
      </c>
      <c r="E50" s="50">
        <f t="shared" ca="1" si="1"/>
        <v>-1499.5195000000003</v>
      </c>
      <c r="F50" s="51">
        <f t="shared" ca="1" si="2"/>
        <v>-0.33884904002682742</v>
      </c>
      <c r="G50" s="52">
        <f ca="1">SUM(Jan!G50, Feb!G50, Mar!G50)</f>
        <v>6324</v>
      </c>
      <c r="H50" s="52">
        <f t="shared" ca="1" si="3"/>
        <v>-3398.1875</v>
      </c>
      <c r="I50" s="53">
        <f t="shared" ca="1" si="4"/>
        <v>-0.53734780202403543</v>
      </c>
    </row>
    <row r="51" spans="1:9" ht="15.75">
      <c r="A51" s="63" t="str">
        <v>Q157</v>
      </c>
      <c r="B51" s="64" t="str">
        <v>Hudson</v>
      </c>
      <c r="C51" s="81">
        <f ca="1">SUM(Jan!C51, Feb!C51, Mar!C51)</f>
        <v>4902.4375</v>
      </c>
      <c r="D51" s="50">
        <f ca="1">SUM(Jan!D51, Feb!D51, Mar!D51)</f>
        <v>8720.9449999999997</v>
      </c>
      <c r="E51" s="50">
        <f t="shared" ca="1" si="1"/>
        <v>-3818.5074999999997</v>
      </c>
      <c r="F51" s="51">
        <f t="shared" ca="1" si="2"/>
        <v>-0.43785478523256366</v>
      </c>
      <c r="G51" s="52">
        <f ca="1">SUM(Jan!G51, Feb!G51, Mar!G51)</f>
        <v>11481.79</v>
      </c>
      <c r="H51" s="52">
        <f t="shared" ca="1" si="3"/>
        <v>-6579.3525000000009</v>
      </c>
      <c r="I51" s="53">
        <f t="shared" ca="1" si="4"/>
        <v>-0.57302498129647039</v>
      </c>
    </row>
    <row r="52" spans="1:9" ht="15.75">
      <c r="A52" s="59" t="str">
        <v>Q192</v>
      </c>
      <c r="B52" s="21" t="str">
        <v>Hudson</v>
      </c>
      <c r="C52" s="81">
        <f ca="1">SUM(Jan!C52, Feb!C52, Mar!C52)</f>
        <v>8347.5</v>
      </c>
      <c r="D52" s="50">
        <f ca="1">SUM(Jan!D52, Feb!D52, Mar!D52)</f>
        <v>13350</v>
      </c>
      <c r="E52" s="50">
        <f t="shared" ca="1" si="1"/>
        <v>-5002.5</v>
      </c>
      <c r="F52" s="51">
        <f t="shared" ca="1" si="2"/>
        <v>-0.37471910112359552</v>
      </c>
      <c r="G52" s="52">
        <f ca="1">SUM(Jan!G52, Feb!G52, Mar!G52)</f>
        <v>16384.009999999998</v>
      </c>
      <c r="H52" s="52">
        <f t="shared" ca="1" si="3"/>
        <v>-8036.5099999999984</v>
      </c>
      <c r="I52" s="53">
        <f t="shared" ca="1" si="4"/>
        <v>-0.49050934417154279</v>
      </c>
    </row>
    <row r="53" spans="1:9" ht="15.75">
      <c r="A53" s="63" t="str">
        <v>Q210</v>
      </c>
      <c r="B53" s="64" t="str">
        <v>Hudson</v>
      </c>
      <c r="C53" s="81">
        <f ca="1">SUM(Jan!C53, Feb!C53, Mar!C53)</f>
        <v>6315.875</v>
      </c>
      <c r="D53" s="50">
        <f ca="1">SUM(Jan!D53, Feb!D53, Mar!D53)</f>
        <v>9204.3379999999997</v>
      </c>
      <c r="E53" s="50">
        <f t="shared" ca="1" si="1"/>
        <v>-2888.4629999999997</v>
      </c>
      <c r="F53" s="51">
        <f t="shared" ca="1" si="2"/>
        <v>-0.31381539878261749</v>
      </c>
      <c r="G53" s="52">
        <f ca="1">SUM(Jan!G53, Feb!G53, Mar!G53)</f>
        <v>15624</v>
      </c>
      <c r="H53" s="52">
        <f t="shared" ca="1" si="3"/>
        <v>-9308.125</v>
      </c>
      <c r="I53" s="53">
        <f t="shared" ca="1" si="4"/>
        <v>-0.59575812852022525</v>
      </c>
    </row>
    <row r="54" spans="1:9" ht="15.75">
      <c r="A54" s="59" t="str">
        <v>Q229</v>
      </c>
      <c r="B54" s="21" t="str">
        <v>Hudson</v>
      </c>
      <c r="C54" s="81">
        <f ca="1">SUM(Jan!C54, Feb!C54, Mar!C54)</f>
        <v>2660.53125000006</v>
      </c>
      <c r="D54" s="50">
        <f ca="1">SUM(Jan!D54, Feb!D54, Mar!D54)</f>
        <v>3950.5940000000001</v>
      </c>
      <c r="E54" s="50">
        <f t="shared" ca="1" si="1"/>
        <v>-1290.06274999994</v>
      </c>
      <c r="F54" s="51">
        <f t="shared" ca="1" si="2"/>
        <v>-0.32654905819224656</v>
      </c>
      <c r="G54" s="52">
        <f ca="1">SUM(Jan!G54, Feb!G54, Mar!G54)</f>
        <v>7281.06</v>
      </c>
      <c r="H54" s="52">
        <f t="shared" ca="1" si="3"/>
        <v>-4620.5287499999404</v>
      </c>
      <c r="I54" s="53">
        <f t="shared" ca="1" si="4"/>
        <v>-0.63459561519887764</v>
      </c>
    </row>
    <row r="55" spans="1:9" ht="15.75">
      <c r="A55" s="63" t="str">
        <v>Q231</v>
      </c>
      <c r="B55" s="64" t="str">
        <v>Hudson</v>
      </c>
      <c r="C55" s="81">
        <f ca="1">SUM(Jan!C55, Feb!C55, Mar!C55)</f>
        <v>11460.875</v>
      </c>
      <c r="D55" s="50">
        <f ca="1">SUM(Jan!D55, Feb!D55, Mar!D55)</f>
        <v>21002.59</v>
      </c>
      <c r="E55" s="50">
        <f t="shared" ca="1" si="1"/>
        <v>-9541.7150000000001</v>
      </c>
      <c r="F55" s="51">
        <f t="shared" ca="1" si="2"/>
        <v>-0.4543113492193106</v>
      </c>
      <c r="G55" s="52">
        <f ca="1">SUM(Jan!G55, Feb!G55, Mar!G55)</f>
        <v>0</v>
      </c>
      <c r="H55" s="52">
        <f t="shared" ca="1" si="3"/>
        <v>11460.875</v>
      </c>
      <c r="I55" s="53">
        <f t="shared" ca="1" si="4"/>
        <v>0</v>
      </c>
    </row>
    <row r="56" spans="1:9" ht="15.75">
      <c r="A56" s="59" t="str">
        <v>Q405</v>
      </c>
      <c r="B56" s="21" t="str">
        <v>Hudson</v>
      </c>
      <c r="C56" s="81">
        <f ca="1">SUM(Jan!C56, Feb!C56, Mar!C56)</f>
        <v>12294.25</v>
      </c>
      <c r="D56" s="50">
        <f ca="1">SUM(Jan!D56, Feb!D56, Mar!D56)</f>
        <v>18722.73</v>
      </c>
      <c r="E56" s="50">
        <f t="shared" ca="1" si="1"/>
        <v>-6428.48</v>
      </c>
      <c r="F56" s="51">
        <f t="shared" ca="1" si="2"/>
        <v>-0.34335163728793822</v>
      </c>
      <c r="G56" s="52">
        <f ca="1">SUM(Jan!G56, Feb!G56, Mar!G56)</f>
        <v>20486.32</v>
      </c>
      <c r="H56" s="52">
        <f t="shared" ca="1" si="3"/>
        <v>-8192.07</v>
      </c>
      <c r="I56" s="53">
        <f t="shared" ca="1" si="4"/>
        <v>-0.39988001749460128</v>
      </c>
    </row>
    <row r="57" spans="1:9" ht="15.75">
      <c r="A57" s="63" t="str">
        <v>Q435</v>
      </c>
      <c r="B57" s="64" t="str">
        <v>Hudson</v>
      </c>
      <c r="C57" s="81">
        <f ca="1">SUM(Jan!C57, Feb!C57, Mar!C57)</f>
        <v>0</v>
      </c>
      <c r="D57" s="50">
        <f ca="1">SUM(Jan!D57, Feb!D57, Mar!D57)</f>
        <v>0</v>
      </c>
      <c r="E57" s="50">
        <f t="shared" ca="1" si="1"/>
        <v>0</v>
      </c>
      <c r="F57" s="51">
        <f t="shared" ca="1" si="2"/>
        <v>0</v>
      </c>
      <c r="G57" s="52">
        <f ca="1">SUM(Jan!G57, Feb!G57, Mar!G57)</f>
        <v>0</v>
      </c>
      <c r="H57" s="52">
        <f t="shared" ca="1" si="3"/>
        <v>0</v>
      </c>
      <c r="I57" s="53">
        <f t="shared" ca="1" si="4"/>
        <v>0</v>
      </c>
    </row>
    <row r="58" spans="1:9" ht="15.75">
      <c r="A58" s="59" t="str">
        <v>Q485</v>
      </c>
      <c r="B58" s="21" t="str">
        <v>Hudson</v>
      </c>
      <c r="C58" s="81">
        <f ca="1">SUM(Jan!C58, Feb!C58, Mar!C58)</f>
        <v>12481.4388279307</v>
      </c>
      <c r="D58" s="50">
        <f ca="1">SUM(Jan!D58, Feb!D58, Mar!D58)</f>
        <v>12754.8</v>
      </c>
      <c r="E58" s="50">
        <f t="shared" ca="1" si="1"/>
        <v>-273.36117206929885</v>
      </c>
      <c r="F58" s="51">
        <f t="shared" ca="1" si="2"/>
        <v>-2.1432023400547156E-2</v>
      </c>
      <c r="G58" s="52">
        <f ca="1">SUM(Jan!G58, Feb!G58, Mar!G58)</f>
        <v>27674.85</v>
      </c>
      <c r="H58" s="52">
        <f t="shared" ca="1" si="3"/>
        <v>-15193.411172069298</v>
      </c>
      <c r="I58" s="53">
        <f t="shared" ca="1" si="4"/>
        <v>-0.5489970558853724</v>
      </c>
    </row>
    <row r="59" spans="1:9" ht="15.75">
      <c r="A59" s="63" t="str">
        <v>Q490</v>
      </c>
      <c r="B59" s="64" t="str">
        <v>Hudson</v>
      </c>
      <c r="C59" s="81">
        <f ca="1">SUM(Jan!C59, Feb!C59, Mar!C59)</f>
        <v>10238.1439808419</v>
      </c>
      <c r="D59" s="50">
        <f ca="1">SUM(Jan!D59, Feb!D59, Mar!D59)</f>
        <v>0</v>
      </c>
      <c r="E59" s="50">
        <f t="shared" ca="1" si="1"/>
        <v>10238.1439808419</v>
      </c>
      <c r="F59" s="51">
        <f t="shared" ca="1" si="2"/>
        <v>0</v>
      </c>
      <c r="G59" s="52">
        <f ca="1">SUM(Jan!G59, Feb!G59, Mar!G59)</f>
        <v>21505.42</v>
      </c>
      <c r="H59" s="52">
        <f t="shared" ca="1" si="3"/>
        <v>-11267.276019158098</v>
      </c>
      <c r="I59" s="53">
        <f t="shared" ca="1" si="4"/>
        <v>-0.52392727131849082</v>
      </c>
    </row>
    <row r="60" spans="1:9" ht="15.75">
      <c r="A60" s="59" t="str">
        <v>Q620</v>
      </c>
      <c r="B60" s="21" t="str">
        <v>Hudson</v>
      </c>
      <c r="C60" s="81">
        <f ca="1">SUM(Jan!C60, Feb!C60, Mar!C60)</f>
        <v>15903</v>
      </c>
      <c r="D60" s="50">
        <f ca="1">SUM(Jan!D60, Feb!D60, Mar!D60)</f>
        <v>23742.06</v>
      </c>
      <c r="E60" s="50">
        <f t="shared" ca="1" si="1"/>
        <v>-7839.0600000000013</v>
      </c>
      <c r="F60" s="51">
        <f t="shared" ca="1" si="2"/>
        <v>-0.33017606728312543</v>
      </c>
      <c r="G60" s="52">
        <f ca="1">SUM(Jan!G60, Feb!G60, Mar!G60)</f>
        <v>34544.519999999997</v>
      </c>
      <c r="H60" s="52">
        <f t="shared" ca="1" si="3"/>
        <v>-18641.519999999997</v>
      </c>
      <c r="I60" s="53">
        <f t="shared" ca="1" si="4"/>
        <v>-0.53963754598413871</v>
      </c>
    </row>
    <row r="61" spans="1:9" ht="15.75">
      <c r="A61" s="63" t="str">
        <v>QMOA</v>
      </c>
      <c r="B61" s="64" t="str">
        <v>Hudson</v>
      </c>
      <c r="C61" s="81">
        <f ca="1">SUM(Jan!C61, Feb!C61, Mar!C61)</f>
        <v>1546.0999999999899</v>
      </c>
      <c r="D61" s="50">
        <f ca="1">SUM(Jan!D61, Feb!D61, Mar!D61)</f>
        <v>0</v>
      </c>
      <c r="E61" s="50">
        <f t="shared" ca="1" si="1"/>
        <v>1546.0999999999899</v>
      </c>
      <c r="F61" s="51">
        <f t="shared" ca="1" si="2"/>
        <v>0</v>
      </c>
      <c r="G61" s="52">
        <f ca="1">SUM(Jan!G61, Feb!G61, Mar!G61)</f>
        <v>2946.8270000000002</v>
      </c>
      <c r="H61" s="52">
        <f t="shared" ca="1" si="3"/>
        <v>-1400.7270000000103</v>
      </c>
      <c r="I61" s="53">
        <f t="shared" ca="1" si="4"/>
        <v>-0.47533397786840226</v>
      </c>
    </row>
    <row r="62" spans="1:9" ht="15.75">
      <c r="A62" s="59" t="str">
        <v>X024</v>
      </c>
      <c r="B62" s="21" t="str">
        <v>Hudson</v>
      </c>
      <c r="C62" s="81">
        <f ca="1">SUM(Jan!C62, Feb!C62, Mar!C62)</f>
        <v>5421</v>
      </c>
      <c r="D62" s="50">
        <f ca="1">SUM(Jan!D62, Feb!D62, Mar!D62)</f>
        <v>0</v>
      </c>
      <c r="E62" s="50">
        <f t="shared" ca="1" si="1"/>
        <v>5421</v>
      </c>
      <c r="F62" s="51">
        <f t="shared" ca="1" si="2"/>
        <v>0</v>
      </c>
      <c r="G62" s="52">
        <f ca="1">SUM(Jan!G62, Feb!G62, Mar!G62)</f>
        <v>0</v>
      </c>
      <c r="H62" s="52">
        <f t="shared" ca="1" si="3"/>
        <v>5421</v>
      </c>
      <c r="I62" s="53">
        <f t="shared" ca="1" si="4"/>
        <v>0</v>
      </c>
    </row>
    <row r="63" spans="1:9" ht="15.75">
      <c r="A63" s="63" t="str">
        <v>X026</v>
      </c>
      <c r="B63" s="64" t="str">
        <v>Hudson</v>
      </c>
      <c r="C63" s="81">
        <f ca="1">SUM(Jan!C63, Feb!C63, Mar!C63)</f>
        <v>4766.8999999999696</v>
      </c>
      <c r="D63" s="50">
        <f ca="1">SUM(Jan!D63, Feb!D63, Mar!D63)</f>
        <v>7713.94</v>
      </c>
      <c r="E63" s="50">
        <f t="shared" ca="1" si="1"/>
        <v>-2947.04000000003</v>
      </c>
      <c r="F63" s="51">
        <f t="shared" ca="1" si="2"/>
        <v>-0.38204082479252238</v>
      </c>
      <c r="G63" s="52">
        <f ca="1">SUM(Jan!G63, Feb!G63, Mar!G63)</f>
        <v>14664.49</v>
      </c>
      <c r="H63" s="52">
        <f t="shared" ca="1" si="3"/>
        <v>-9897.5900000000292</v>
      </c>
      <c r="I63" s="53">
        <f t="shared" ca="1" si="4"/>
        <v>-0.67493584843387189</v>
      </c>
    </row>
    <row r="64" spans="1:9" ht="15.75">
      <c r="A64" s="59" t="str">
        <v>X090</v>
      </c>
      <c r="B64" s="21" t="str">
        <v>Hudson</v>
      </c>
      <c r="C64" s="81">
        <f ca="1">SUM(Jan!C64, Feb!C64, Mar!C64)</f>
        <v>4671.94531250001</v>
      </c>
      <c r="D64" s="50">
        <f ca="1">SUM(Jan!D64, Feb!D64, Mar!D64)</f>
        <v>4641.6970000000001</v>
      </c>
      <c r="E64" s="50">
        <f t="shared" ca="1" si="1"/>
        <v>30.248312500009888</v>
      </c>
      <c r="F64" s="51">
        <f t="shared" ca="1" si="2"/>
        <v>6.5166495141776573E-3</v>
      </c>
      <c r="G64" s="52">
        <f ca="1">SUM(Jan!G64, Feb!G64, Mar!G64)</f>
        <v>9177</v>
      </c>
      <c r="H64" s="52">
        <f t="shared" ca="1" si="3"/>
        <v>-4505.05468749999</v>
      </c>
      <c r="I64" s="53">
        <f t="shared" ca="1" si="4"/>
        <v>-0.49090712514983004</v>
      </c>
    </row>
    <row r="65" spans="1:9" ht="15.75">
      <c r="A65" s="63" t="str">
        <v>X117</v>
      </c>
      <c r="B65" s="64" t="str">
        <v>Hudson</v>
      </c>
      <c r="C65" s="81">
        <f ca="1">SUM(Jan!C65, Feb!C65, Mar!C65)</f>
        <v>3429.2000000000098</v>
      </c>
      <c r="D65" s="50">
        <f ca="1">SUM(Jan!D65, Feb!D65, Mar!D65)</f>
        <v>6689.2290000000003</v>
      </c>
      <c r="E65" s="50">
        <f t="shared" ca="1" si="1"/>
        <v>-3260.0289999999904</v>
      </c>
      <c r="F65" s="51">
        <f t="shared" ca="1" si="2"/>
        <v>-0.48735497020657992</v>
      </c>
      <c r="G65" s="52">
        <f ca="1">SUM(Jan!G65, Feb!G65, Mar!G65)</f>
        <v>16899.22</v>
      </c>
      <c r="H65" s="52">
        <f t="shared" ca="1" si="3"/>
        <v>-13470.019999999991</v>
      </c>
      <c r="I65" s="53">
        <f t="shared" ca="1" si="4"/>
        <v>-0.79707939182991816</v>
      </c>
    </row>
    <row r="66" spans="1:9" ht="15.75">
      <c r="A66" s="59" t="str">
        <v>X125</v>
      </c>
      <c r="B66" s="21" t="str">
        <v>Hudson</v>
      </c>
      <c r="C66" s="81">
        <f ca="1">SUM(Jan!C66, Feb!C66, Mar!C66)</f>
        <v>7318.96875</v>
      </c>
      <c r="D66" s="50">
        <f ca="1">SUM(Jan!D66, Feb!D66, Mar!D66)</f>
        <v>11623.7</v>
      </c>
      <c r="E66" s="50">
        <f t="shared" ca="1" si="1"/>
        <v>-4304.7312500000007</v>
      </c>
      <c r="F66" s="51">
        <f t="shared" ca="1" si="2"/>
        <v>-0.37034087682923683</v>
      </c>
      <c r="G66" s="52">
        <f ca="1">SUM(Jan!G66, Feb!G66, Mar!G66)</f>
        <v>10537.29</v>
      </c>
      <c r="H66" s="52">
        <f t="shared" ca="1" si="3"/>
        <v>-3218.3212500000009</v>
      </c>
      <c r="I66" s="53">
        <f t="shared" ca="1" si="4"/>
        <v>-0.30542210093866645</v>
      </c>
    </row>
    <row r="67" spans="1:9" ht="15.75">
      <c r="A67" s="63" t="str">
        <v>X134</v>
      </c>
      <c r="B67" s="64" t="str">
        <v>Hudson</v>
      </c>
      <c r="C67" s="81">
        <f ca="1">SUM(Jan!C67, Feb!C67, Mar!C67)</f>
        <v>6696.25</v>
      </c>
      <c r="D67" s="50">
        <f ca="1">SUM(Jan!D67, Feb!D67, Mar!D67)</f>
        <v>0</v>
      </c>
      <c r="E67" s="50">
        <f t="shared" ca="1" si="1"/>
        <v>6696.25</v>
      </c>
      <c r="F67" s="51">
        <f t="shared" ca="1" si="2"/>
        <v>0</v>
      </c>
      <c r="G67" s="52">
        <f ca="1">SUM(Jan!G67, Feb!G67, Mar!G67)</f>
        <v>0</v>
      </c>
      <c r="H67" s="52">
        <f t="shared" ca="1" si="3"/>
        <v>6696.25</v>
      </c>
      <c r="I67" s="53">
        <f t="shared" ca="1" si="4"/>
        <v>0</v>
      </c>
    </row>
    <row r="68" spans="1:9" ht="15.75">
      <c r="A68" s="59" t="str">
        <v>X135</v>
      </c>
      <c r="B68" s="21" t="str">
        <v>Hudson</v>
      </c>
      <c r="C68" s="81">
        <f ca="1">SUM(Jan!C68, Feb!C68, Mar!C68)</f>
        <v>5327.84375</v>
      </c>
      <c r="D68" s="50">
        <f ca="1">SUM(Jan!D68, Feb!D68, Mar!D68)</f>
        <v>0</v>
      </c>
      <c r="E68" s="50">
        <f t="shared" ref="E68:E131" ca="1" si="5">C68-D68</f>
        <v>5327.84375</v>
      </c>
      <c r="F68" s="51">
        <f t="shared" ref="F68:F131" ca="1" si="6">IFERROR(E68/D68, 0)</f>
        <v>0</v>
      </c>
      <c r="G68" s="52">
        <f ca="1">SUM(Jan!G68, Feb!G68, Mar!G68)</f>
        <v>0</v>
      </c>
      <c r="H68" s="52">
        <f t="shared" ref="H68:H131" ca="1" si="7">C68-G68</f>
        <v>5327.84375</v>
      </c>
      <c r="I68" s="53">
        <f t="shared" ref="I68:I131" ca="1" si="8">IFERROR(H68/G68, 0)</f>
        <v>0</v>
      </c>
    </row>
    <row r="69" spans="1:9" ht="15.75">
      <c r="A69" s="63" t="str">
        <v>X139 JHS 222</v>
      </c>
      <c r="B69" s="64" t="str">
        <v>Hudson</v>
      </c>
      <c r="C69" s="81">
        <f ca="1">SUM(Jan!C69, Feb!C69, Mar!C69)</f>
        <v>8332.7036999624706</v>
      </c>
      <c r="D69" s="50">
        <f ca="1">SUM(Jan!D69, Feb!D69, Mar!D69)</f>
        <v>11815.57</v>
      </c>
      <c r="E69" s="50">
        <f t="shared" ca="1" si="5"/>
        <v>-3482.8663000375291</v>
      </c>
      <c r="F69" s="51">
        <f t="shared" ca="1" si="6"/>
        <v>-0.29476921553827107</v>
      </c>
      <c r="G69" s="52">
        <f ca="1">SUM(Jan!G69, Feb!G69, Mar!G69)</f>
        <v>22550</v>
      </c>
      <c r="H69" s="52">
        <f t="shared" ca="1" si="7"/>
        <v>-14217.296300037529</v>
      </c>
      <c r="I69" s="53">
        <f t="shared" ca="1" si="8"/>
        <v>-0.63047877162028954</v>
      </c>
    </row>
    <row r="70" spans="1:9" ht="15.75">
      <c r="A70" s="59" t="str">
        <v>X140</v>
      </c>
      <c r="B70" s="21" t="str">
        <v>Hudson</v>
      </c>
      <c r="C70" s="81">
        <f ca="1">SUM(Jan!C70, Feb!C70, Mar!C70)</f>
        <v>3985</v>
      </c>
      <c r="D70" s="50">
        <f ca="1">SUM(Jan!D70, Feb!D70, Mar!D70)</f>
        <v>5753</v>
      </c>
      <c r="E70" s="50">
        <f t="shared" ca="1" si="5"/>
        <v>-1768</v>
      </c>
      <c r="F70" s="51">
        <f t="shared" ca="1" si="6"/>
        <v>-0.3073179210846515</v>
      </c>
      <c r="G70" s="52">
        <f ca="1">SUM(Jan!G70, Feb!G70, Mar!G70)</f>
        <v>9034</v>
      </c>
      <c r="H70" s="52">
        <f t="shared" ca="1" si="7"/>
        <v>-5049</v>
      </c>
      <c r="I70" s="53">
        <f t="shared" ca="1" si="8"/>
        <v>-0.55888864290458273</v>
      </c>
    </row>
    <row r="71" spans="1:9" ht="15.75">
      <c r="A71" s="63" t="str">
        <v>X166</v>
      </c>
      <c r="B71" s="64" t="str">
        <v>Hudson</v>
      </c>
      <c r="C71" s="81">
        <f ca="1">SUM(Jan!C71, Feb!C71, Mar!C71)</f>
        <v>5046.3999999999696</v>
      </c>
      <c r="D71" s="50">
        <f ca="1">SUM(Jan!D71, Feb!D71, Mar!D71)</f>
        <v>7824.4260000000004</v>
      </c>
      <c r="E71" s="50">
        <f t="shared" ca="1" si="5"/>
        <v>-2778.0260000000308</v>
      </c>
      <c r="F71" s="51">
        <f t="shared" ca="1" si="6"/>
        <v>-0.35504534134517096</v>
      </c>
      <c r="G71" s="52">
        <f ca="1">SUM(Jan!G71, Feb!G71, Mar!G71)</f>
        <v>0</v>
      </c>
      <c r="H71" s="52">
        <f t="shared" ca="1" si="7"/>
        <v>5046.3999999999696</v>
      </c>
      <c r="I71" s="53">
        <f t="shared" ca="1" si="8"/>
        <v>0</v>
      </c>
    </row>
    <row r="72" spans="1:9" ht="15.75">
      <c r="A72" s="59" t="str">
        <v>Murphy</v>
      </c>
      <c r="B72" s="21" t="str">
        <v>MN Community Solar</v>
      </c>
      <c r="C72" s="81">
        <f ca="1">SUM(Jan!C72, Feb!C72, Mar!C72)</f>
        <v>286090</v>
      </c>
      <c r="D72" s="50">
        <f ca="1">SUM(Jan!D72, Feb!D72, Mar!D72)</f>
        <v>414785.1</v>
      </c>
      <c r="E72" s="50">
        <f t="shared" ca="1" si="5"/>
        <v>-128695.09999999998</v>
      </c>
      <c r="F72" s="51">
        <f t="shared" ca="1" si="6"/>
        <v>-0.31026934188330291</v>
      </c>
      <c r="G72" s="52">
        <f ca="1">SUM(Jan!G72, Feb!G72, Mar!G72)</f>
        <v>533246.5</v>
      </c>
      <c r="H72" s="52">
        <f t="shared" ca="1" si="7"/>
        <v>-247156.5</v>
      </c>
      <c r="I72" s="53">
        <f t="shared" ca="1" si="8"/>
        <v>-0.46349390010061015</v>
      </c>
    </row>
    <row r="73" spans="1:9" ht="15.75">
      <c r="A73" s="63" t="str">
        <v>Terning</v>
      </c>
      <c r="B73" s="64" t="str">
        <v>MN Community Solar</v>
      </c>
      <c r="C73" s="81">
        <f ca="1">SUM(Jan!C73, Feb!C73, Mar!C73)</f>
        <v>283485</v>
      </c>
      <c r="D73" s="50">
        <f ca="1">SUM(Jan!D73, Feb!D73, Mar!D73)</f>
        <v>410301.4</v>
      </c>
      <c r="E73" s="50">
        <f t="shared" ca="1" si="5"/>
        <v>-126816.40000000002</v>
      </c>
      <c r="F73" s="51">
        <f t="shared" ca="1" si="6"/>
        <v>-0.30908108039602111</v>
      </c>
      <c r="G73" s="52">
        <f ca="1">SUM(Jan!G73, Feb!G73, Mar!G73)</f>
        <v>483171.2</v>
      </c>
      <c r="H73" s="52">
        <f t="shared" ca="1" si="7"/>
        <v>-199686.2</v>
      </c>
      <c r="I73" s="53">
        <f t="shared" ca="1" si="8"/>
        <v>-0.41328249697001812</v>
      </c>
    </row>
    <row r="74" spans="1:9" ht="15.75">
      <c r="A74" s="59" t="str">
        <v>Boas Road 04</v>
      </c>
      <c r="B74" s="21" t="str">
        <v>NYCS I</v>
      </c>
      <c r="C74" s="81">
        <f ca="1">SUM(Jan!C74, Feb!C74, Mar!C74)</f>
        <v>33560</v>
      </c>
      <c r="D74" s="50">
        <f ca="1">SUM(Jan!D74, Feb!D74, Mar!D74)</f>
        <v>0</v>
      </c>
      <c r="E74" s="50">
        <f t="shared" ca="1" si="5"/>
        <v>33560</v>
      </c>
      <c r="F74" s="51">
        <f t="shared" ca="1" si="6"/>
        <v>0</v>
      </c>
      <c r="G74" s="52">
        <f ca="1">SUM(Jan!G74, Feb!G74, Mar!G74)</f>
        <v>220064.68</v>
      </c>
      <c r="H74" s="52">
        <f t="shared" ca="1" si="7"/>
        <v>-186504.68</v>
      </c>
      <c r="I74" s="53">
        <f t="shared" ca="1" si="8"/>
        <v>-0.84749938063663832</v>
      </c>
    </row>
    <row r="75" spans="1:9" ht="15.75">
      <c r="A75" s="63" t="str">
        <v>Kelly Bridge Farm</v>
      </c>
      <c r="B75" s="64" t="str">
        <v>NYCS I</v>
      </c>
      <c r="C75" s="81">
        <f ca="1">SUM(Jan!C75, Feb!C75, Mar!C75)</f>
        <v>39040</v>
      </c>
      <c r="D75" s="50">
        <f ca="1">SUM(Jan!D75, Feb!D75, Mar!D75)</f>
        <v>0</v>
      </c>
      <c r="E75" s="50">
        <f t="shared" ca="1" si="5"/>
        <v>39040</v>
      </c>
      <c r="F75" s="51">
        <f t="shared" ca="1" si="6"/>
        <v>0</v>
      </c>
      <c r="G75" s="52">
        <f ca="1">SUM(Jan!G75, Feb!G75, Mar!G75)</f>
        <v>209445.59</v>
      </c>
      <c r="H75" s="52">
        <f t="shared" ca="1" si="7"/>
        <v>-170405.59</v>
      </c>
      <c r="I75" s="53">
        <f t="shared" ca="1" si="8"/>
        <v>-0.81360314151279101</v>
      </c>
    </row>
    <row r="76" spans="1:9" ht="15.75">
      <c r="A76" s="59" t="str">
        <v>Pool Brook Road</v>
      </c>
      <c r="B76" s="21" t="str">
        <v>NYCS I</v>
      </c>
      <c r="C76" s="81">
        <f ca="1">SUM(Jan!C76, Feb!C76, Mar!C76)</f>
        <v>35247</v>
      </c>
      <c r="D76" s="50">
        <f ca="1">SUM(Jan!D76, Feb!D76, Mar!D76)</f>
        <v>0</v>
      </c>
      <c r="E76" s="50">
        <f t="shared" ca="1" si="5"/>
        <v>35247</v>
      </c>
      <c r="F76" s="51">
        <f t="shared" ca="1" si="6"/>
        <v>0</v>
      </c>
      <c r="G76" s="52">
        <f ca="1">SUM(Jan!G76, Feb!G76, Mar!G76)</f>
        <v>194874.12</v>
      </c>
      <c r="H76" s="52">
        <f t="shared" ca="1" si="7"/>
        <v>-159627.12</v>
      </c>
      <c r="I76" s="53">
        <f t="shared" ca="1" si="8"/>
        <v>-0.81912939491400905</v>
      </c>
    </row>
    <row r="77" spans="1:9" ht="15.75">
      <c r="A77" s="63" t="str">
        <v>Sackett Lake</v>
      </c>
      <c r="B77" s="64" t="str">
        <v>NYCS I</v>
      </c>
      <c r="C77" s="81">
        <f ca="1">SUM(Jan!C77, Feb!C77, Mar!C77)</f>
        <v>43312</v>
      </c>
      <c r="D77" s="50">
        <f ca="1">SUM(Jan!D77, Feb!D77, Mar!D77)</f>
        <v>0</v>
      </c>
      <c r="E77" s="50">
        <f t="shared" ca="1" si="5"/>
        <v>43312</v>
      </c>
      <c r="F77" s="51">
        <f t="shared" ca="1" si="6"/>
        <v>0</v>
      </c>
      <c r="G77" s="52">
        <f ca="1">SUM(Jan!G77, Feb!G77, Mar!G77)</f>
        <v>223309.11</v>
      </c>
      <c r="H77" s="52">
        <f t="shared" ca="1" si="7"/>
        <v>-179997.11</v>
      </c>
      <c r="I77" s="53">
        <f t="shared" ca="1" si="8"/>
        <v>-0.80604463472179888</v>
      </c>
    </row>
    <row r="78" spans="1:9" ht="15.75">
      <c r="A78" s="59" t="str">
        <v>Burritt Road</v>
      </c>
      <c r="B78" s="21" t="str">
        <v>NYCS II</v>
      </c>
      <c r="C78" s="81">
        <f ca="1">SUM(Jan!C78, Feb!C78, Mar!C78)</f>
        <v>72810</v>
      </c>
      <c r="D78" s="50">
        <f ca="1">SUM(Jan!D78, Feb!D78, Mar!D78)</f>
        <v>97923.36</v>
      </c>
      <c r="E78" s="50">
        <f t="shared" ca="1" si="5"/>
        <v>-25113.360000000001</v>
      </c>
      <c r="F78" s="51">
        <f t="shared" ca="1" si="6"/>
        <v>-0.25645933717960656</v>
      </c>
      <c r="G78" s="52">
        <f ca="1">SUM(Jan!G78, Feb!G78, Mar!G78)</f>
        <v>111632.62</v>
      </c>
      <c r="H78" s="52">
        <f t="shared" ca="1" si="7"/>
        <v>-38822.619999999995</v>
      </c>
      <c r="I78" s="53">
        <f t="shared" ca="1" si="8"/>
        <v>-0.34777128763975973</v>
      </c>
    </row>
    <row r="79" spans="1:9" ht="15.75">
      <c r="A79" s="63" t="str">
        <v>Villa Roma 1</v>
      </c>
      <c r="B79" s="64" t="str">
        <v>NYCS II</v>
      </c>
      <c r="C79" s="81">
        <f ca="1">SUM(Jan!C79, Feb!C79, Mar!C79)</f>
        <v>8879</v>
      </c>
      <c r="D79" s="50">
        <f ca="1">SUM(Jan!D79, Feb!D79, Mar!D79)</f>
        <v>74159.11</v>
      </c>
      <c r="E79" s="50">
        <f t="shared" ca="1" si="5"/>
        <v>-65280.11</v>
      </c>
      <c r="F79" s="51">
        <f t="shared" ca="1" si="6"/>
        <v>-0.88027094715672827</v>
      </c>
      <c r="G79" s="52">
        <f ca="1">SUM(Jan!G79, Feb!G79, Mar!G79)</f>
        <v>118883.5</v>
      </c>
      <c r="H79" s="52">
        <f t="shared" ca="1" si="7"/>
        <v>-110004.5</v>
      </c>
      <c r="I79" s="53">
        <f t="shared" ca="1" si="8"/>
        <v>-0.92531343710439207</v>
      </c>
    </row>
    <row r="80" spans="1:9" ht="15.75">
      <c r="A80" s="59" t="str">
        <v>Villa Roma 2</v>
      </c>
      <c r="B80" s="21" t="str">
        <v>NYCS II</v>
      </c>
      <c r="C80" s="81">
        <f ca="1">SUM(Jan!C80, Feb!C80, Mar!C80)</f>
        <v>67057</v>
      </c>
      <c r="D80" s="50">
        <f ca="1">SUM(Jan!D80, Feb!D80, Mar!D80)</f>
        <v>110773.82</v>
      </c>
      <c r="E80" s="50">
        <f t="shared" ca="1" si="5"/>
        <v>-43716.820000000007</v>
      </c>
      <c r="F80" s="51">
        <f t="shared" ca="1" si="6"/>
        <v>-0.39464938556781742</v>
      </c>
      <c r="G80" s="52">
        <f ca="1">SUM(Jan!G80, Feb!G80, Mar!G80)</f>
        <v>115878.35</v>
      </c>
      <c r="H80" s="52">
        <f t="shared" ca="1" si="7"/>
        <v>-48821.350000000006</v>
      </c>
      <c r="I80" s="53">
        <f t="shared" ca="1" si="8"/>
        <v>-0.42131554341255295</v>
      </c>
    </row>
    <row r="81" spans="1:9" ht="15.75">
      <c r="A81" s="63" t="str">
        <v>Washington 1</v>
      </c>
      <c r="B81" s="64" t="str">
        <v>NYCS II</v>
      </c>
      <c r="C81" s="81">
        <f ca="1">SUM(Jan!C81, Feb!C81, Mar!C81)</f>
        <v>55740</v>
      </c>
      <c r="D81" s="50">
        <f ca="1">SUM(Jan!D81, Feb!D81, Mar!D81)</f>
        <v>109395.46</v>
      </c>
      <c r="E81" s="50">
        <f t="shared" ca="1" si="5"/>
        <v>-53655.460000000006</v>
      </c>
      <c r="F81" s="51">
        <f t="shared" ca="1" si="6"/>
        <v>-0.49047245653521637</v>
      </c>
      <c r="G81" s="52">
        <f ca="1">SUM(Jan!G81, Feb!G81, Mar!G81)</f>
        <v>107420.17</v>
      </c>
      <c r="H81" s="52">
        <f t="shared" ca="1" si="7"/>
        <v>-51680.17</v>
      </c>
      <c r="I81" s="53">
        <f t="shared" ca="1" si="8"/>
        <v>-0.4811030367946727</v>
      </c>
    </row>
    <row r="82" spans="1:9" ht="15.75">
      <c r="A82" s="59" t="str">
        <v>Washington 3</v>
      </c>
      <c r="B82" s="21" t="str">
        <v>NYCS II</v>
      </c>
      <c r="C82" s="81">
        <f ca="1">SUM(Jan!C82, Feb!C82, Mar!C82)</f>
        <v>48791</v>
      </c>
      <c r="D82" s="50">
        <f ca="1">SUM(Jan!D82, Feb!D82, Mar!D82)</f>
        <v>117227.81</v>
      </c>
      <c r="E82" s="50">
        <f t="shared" ca="1" si="5"/>
        <v>-68436.81</v>
      </c>
      <c r="F82" s="51">
        <f t="shared" ca="1" si="6"/>
        <v>-0.58379329955920867</v>
      </c>
      <c r="G82" s="52">
        <f ca="1">SUM(Jan!G82, Feb!G82, Mar!G82)</f>
        <v>130931.08</v>
      </c>
      <c r="H82" s="52">
        <f t="shared" ca="1" si="7"/>
        <v>-82140.08</v>
      </c>
      <c r="I82" s="53">
        <f t="shared" ca="1" si="8"/>
        <v>-0.6273535664717651</v>
      </c>
    </row>
    <row r="83" spans="1:9" ht="15.75">
      <c r="A83" s="63" t="str">
        <v>Washington 4</v>
      </c>
      <c r="B83" s="64" t="str">
        <v>NYCS II</v>
      </c>
      <c r="C83" s="81">
        <f ca="1">SUM(Jan!C83, Feb!C83, Mar!C83)</f>
        <v>81604</v>
      </c>
      <c r="D83" s="50">
        <f ca="1">SUM(Jan!D83, Feb!D83, Mar!D83)</f>
        <v>0</v>
      </c>
      <c r="E83" s="50">
        <f t="shared" ca="1" si="5"/>
        <v>81604</v>
      </c>
      <c r="F83" s="51">
        <f t="shared" ca="1" si="6"/>
        <v>0</v>
      </c>
      <c r="G83" s="52">
        <f ca="1">SUM(Jan!G83, Feb!G83, Mar!G83)</f>
        <v>131400.47</v>
      </c>
      <c r="H83" s="52">
        <f t="shared" ca="1" si="7"/>
        <v>-49796.47</v>
      </c>
      <c r="I83" s="53">
        <f t="shared" ca="1" si="8"/>
        <v>-0.37896721373979864</v>
      </c>
    </row>
    <row r="84" spans="1:9" ht="15.75">
      <c r="A84" s="59" t="str">
        <v>Big Tree</v>
      </c>
      <c r="B84" s="21" t="str">
        <v>NYCS III</v>
      </c>
      <c r="C84" s="81">
        <f ca="1">SUM(Jan!C84, Feb!C84, Mar!C84)</f>
        <v>32655</v>
      </c>
      <c r="D84" s="50">
        <f ca="1">SUM(Jan!D84, Feb!D84, Mar!D84)</f>
        <v>0</v>
      </c>
      <c r="E84" s="50">
        <f t="shared" ca="1" si="5"/>
        <v>32655</v>
      </c>
      <c r="F84" s="51">
        <f t="shared" ca="1" si="6"/>
        <v>0</v>
      </c>
      <c r="G84" s="52">
        <f ca="1">SUM(Jan!G84, Feb!G84, Mar!G84)</f>
        <v>107924</v>
      </c>
      <c r="H84" s="52">
        <f t="shared" ca="1" si="7"/>
        <v>-75269</v>
      </c>
      <c r="I84" s="53">
        <f t="shared" ca="1" si="8"/>
        <v>-0.69742596642081467</v>
      </c>
    </row>
    <row r="85" spans="1:9" ht="15.75">
      <c r="A85" s="63" t="str">
        <v>Canoga</v>
      </c>
      <c r="B85" s="64" t="str">
        <v>NYCS III</v>
      </c>
      <c r="C85" s="81">
        <f ca="1">SUM(Jan!C85, Feb!C85, Mar!C85)</f>
        <v>219933</v>
      </c>
      <c r="D85" s="50">
        <f ca="1">SUM(Jan!D85, Feb!D85, Mar!D85)</f>
        <v>0</v>
      </c>
      <c r="E85" s="50">
        <f t="shared" ca="1" si="5"/>
        <v>219933</v>
      </c>
      <c r="F85" s="51">
        <f t="shared" ca="1" si="6"/>
        <v>0</v>
      </c>
      <c r="G85" s="52">
        <f ca="1">SUM(Jan!G85, Feb!G85, Mar!G85)</f>
        <v>305951</v>
      </c>
      <c r="H85" s="52">
        <f t="shared" ca="1" si="7"/>
        <v>-86018</v>
      </c>
      <c r="I85" s="53">
        <f t="shared" ca="1" si="8"/>
        <v>-0.2811495958503159</v>
      </c>
    </row>
    <row r="86" spans="1:9" ht="15.75">
      <c r="A86" s="59" t="str">
        <v>County Route 84</v>
      </c>
      <c r="B86" s="21" t="str">
        <v>NYCS III</v>
      </c>
      <c r="C86" s="81">
        <f ca="1">SUM(Jan!C86, Feb!C86, Mar!C86)</f>
        <v>240973</v>
      </c>
      <c r="D86" s="50">
        <f ca="1">SUM(Jan!D86, Feb!D86, Mar!D86)</f>
        <v>0</v>
      </c>
      <c r="E86" s="50">
        <f t="shared" ca="1" si="5"/>
        <v>240973</v>
      </c>
      <c r="F86" s="51">
        <f t="shared" ca="1" si="6"/>
        <v>0</v>
      </c>
      <c r="G86" s="52">
        <f ca="1">SUM(Jan!G86, Feb!G86, Mar!G86)</f>
        <v>377147</v>
      </c>
      <c r="H86" s="52">
        <f t="shared" ca="1" si="7"/>
        <v>-136174</v>
      </c>
      <c r="I86" s="53">
        <f t="shared" ca="1" si="8"/>
        <v>-0.36106345801504452</v>
      </c>
    </row>
    <row r="87" spans="1:9" ht="15.75">
      <c r="A87" s="63" t="str">
        <v>Donati</v>
      </c>
      <c r="B87" s="64" t="str">
        <v>NYCS III</v>
      </c>
      <c r="C87" s="81">
        <f ca="1">SUM(Jan!C87, Feb!C87, Mar!C87)</f>
        <v>82618</v>
      </c>
      <c r="D87" s="50">
        <f ca="1">SUM(Jan!D87, Feb!D87, Mar!D87)</f>
        <v>0</v>
      </c>
      <c r="E87" s="50">
        <f t="shared" ca="1" si="5"/>
        <v>82618</v>
      </c>
      <c r="F87" s="51">
        <f t="shared" ca="1" si="6"/>
        <v>0</v>
      </c>
      <c r="G87" s="52">
        <f ca="1">SUM(Jan!G87, Feb!G87, Mar!G87)</f>
        <v>120408</v>
      </c>
      <c r="H87" s="52">
        <f t="shared" ca="1" si="7"/>
        <v>-37790</v>
      </c>
      <c r="I87" s="53">
        <f t="shared" ca="1" si="8"/>
        <v>-0.31384957810112285</v>
      </c>
    </row>
    <row r="88" spans="1:9" ht="15.75">
      <c r="A88" s="59" t="str">
        <v>Henrietta</v>
      </c>
      <c r="B88" s="21" t="str">
        <v>NYCS III</v>
      </c>
      <c r="C88" s="81">
        <f ca="1">SUM(Jan!C88, Feb!C88, Mar!C88)</f>
        <v>149508</v>
      </c>
      <c r="D88" s="50">
        <f ca="1">SUM(Jan!D88, Feb!D88, Mar!D88)</f>
        <v>0</v>
      </c>
      <c r="E88" s="50">
        <f t="shared" ca="1" si="5"/>
        <v>149508</v>
      </c>
      <c r="F88" s="51">
        <f t="shared" ca="1" si="6"/>
        <v>0</v>
      </c>
      <c r="G88" s="52">
        <f ca="1">SUM(Jan!G88, Feb!G88, Mar!G88)</f>
        <v>231860</v>
      </c>
      <c r="H88" s="52">
        <f t="shared" ca="1" si="7"/>
        <v>-82352</v>
      </c>
      <c r="I88" s="53">
        <f t="shared" ca="1" si="8"/>
        <v>-0.35517984990942808</v>
      </c>
    </row>
    <row r="89" spans="1:9" ht="15.75">
      <c r="A89" s="63" t="str">
        <v>NY 70</v>
      </c>
      <c r="B89" s="64" t="str">
        <v>NYCS III</v>
      </c>
      <c r="C89" s="81">
        <f ca="1">SUM(Jan!C89, Feb!C89, Mar!C89)</f>
        <v>202299</v>
      </c>
      <c r="D89" s="50">
        <f ca="1">SUM(Jan!D89, Feb!D89, Mar!D89)</f>
        <v>0</v>
      </c>
      <c r="E89" s="50">
        <f t="shared" ca="1" si="5"/>
        <v>202299</v>
      </c>
      <c r="F89" s="51">
        <f t="shared" ca="1" si="6"/>
        <v>0</v>
      </c>
      <c r="G89" s="52">
        <f ca="1">SUM(Jan!G89, Feb!G89, Mar!G89)</f>
        <v>360230</v>
      </c>
      <c r="H89" s="52">
        <f t="shared" ca="1" si="7"/>
        <v>-157931</v>
      </c>
      <c r="I89" s="53">
        <f t="shared" ca="1" si="8"/>
        <v>-0.43841712239402603</v>
      </c>
    </row>
    <row r="90" spans="1:9" ht="15.75">
      <c r="A90" s="59" t="str">
        <v>Reid</v>
      </c>
      <c r="B90" s="21" t="str">
        <v>NYCS III</v>
      </c>
      <c r="C90" s="81">
        <f ca="1">SUM(Jan!C90, Feb!C90, Mar!C90)</f>
        <v>161556.07105237199</v>
      </c>
      <c r="D90" s="50">
        <f ca="1">SUM(Jan!D90, Feb!D90, Mar!D90)</f>
        <v>184058</v>
      </c>
      <c r="E90" s="50">
        <f t="shared" ca="1" si="5"/>
        <v>-22501.92894762801</v>
      </c>
      <c r="F90" s="51">
        <f t="shared" ca="1" si="6"/>
        <v>-0.12225455534466315</v>
      </c>
      <c r="G90" s="52">
        <f ca="1">SUM(Jan!G90, Feb!G90, Mar!G90)</f>
        <v>380016</v>
      </c>
      <c r="H90" s="52">
        <f t="shared" ca="1" si="7"/>
        <v>-218459.92894762801</v>
      </c>
      <c r="I90" s="53">
        <f t="shared" ca="1" si="8"/>
        <v>-0.57487034479502974</v>
      </c>
    </row>
    <row r="91" spans="1:9" ht="15.75">
      <c r="A91" s="63" t="str">
        <v>Sangolqui</v>
      </c>
      <c r="B91" s="64" t="str">
        <v>NYCS III</v>
      </c>
      <c r="C91" s="81">
        <f ca="1">SUM(Jan!C91, Feb!C91, Mar!C91)</f>
        <v>76404</v>
      </c>
      <c r="D91" s="50">
        <f ca="1">SUM(Jan!D91, Feb!D91, Mar!D91)</f>
        <v>0</v>
      </c>
      <c r="E91" s="50">
        <f t="shared" ca="1" si="5"/>
        <v>76404</v>
      </c>
      <c r="F91" s="51">
        <f t="shared" ca="1" si="6"/>
        <v>0</v>
      </c>
      <c r="G91" s="52">
        <f ca="1">SUM(Jan!G91, Feb!G91, Mar!G91)</f>
        <v>117423</v>
      </c>
      <c r="H91" s="52">
        <f t="shared" ca="1" si="7"/>
        <v>-41019</v>
      </c>
      <c r="I91" s="53">
        <f t="shared" ca="1" si="8"/>
        <v>-0.34932679287703433</v>
      </c>
    </row>
    <row r="92" spans="1:9" ht="15.75">
      <c r="A92" s="59" t="str">
        <v>State Highway 17B</v>
      </c>
      <c r="B92" s="21" t="str">
        <v>NYCS III</v>
      </c>
      <c r="C92" s="81">
        <f ca="1">SUM(Jan!C92, Feb!C92, Mar!C92)</f>
        <v>175181</v>
      </c>
      <c r="D92" s="50">
        <f ca="1">SUM(Jan!D92, Feb!D92, Mar!D92)</f>
        <v>0</v>
      </c>
      <c r="E92" s="50">
        <f t="shared" ca="1" si="5"/>
        <v>175181</v>
      </c>
      <c r="F92" s="51">
        <f t="shared" ca="1" si="6"/>
        <v>0</v>
      </c>
      <c r="G92" s="52">
        <f ca="1">SUM(Jan!G92, Feb!G92, Mar!G92)</f>
        <v>323774</v>
      </c>
      <c r="H92" s="52">
        <f t="shared" ca="1" si="7"/>
        <v>-148593</v>
      </c>
      <c r="I92" s="53">
        <f t="shared" ca="1" si="8"/>
        <v>-0.45894049553083321</v>
      </c>
    </row>
    <row r="93" spans="1:9" ht="15.75">
      <c r="A93" s="63" t="str">
        <v>State Route 14A</v>
      </c>
      <c r="B93" s="64" t="str">
        <v>NYCS III</v>
      </c>
      <c r="C93" s="81">
        <f ca="1">SUM(Jan!C93, Feb!C93, Mar!C93)</f>
        <v>251217</v>
      </c>
      <c r="D93" s="50">
        <f ca="1">SUM(Jan!D93, Feb!D93, Mar!D93)</f>
        <v>0</v>
      </c>
      <c r="E93" s="50">
        <f t="shared" ca="1" si="5"/>
        <v>251217</v>
      </c>
      <c r="F93" s="51">
        <f t="shared" ca="1" si="6"/>
        <v>0</v>
      </c>
      <c r="G93" s="52">
        <f ca="1">SUM(Jan!G93, Feb!G93, Mar!G93)</f>
        <v>347615</v>
      </c>
      <c r="H93" s="52">
        <f t="shared" ca="1" si="7"/>
        <v>-96398</v>
      </c>
      <c r="I93" s="53">
        <f t="shared" ca="1" si="8"/>
        <v>-0.27731254405017047</v>
      </c>
    </row>
    <row r="94" spans="1:9" ht="15.75">
      <c r="A94" s="59" t="str">
        <v>West Creek</v>
      </c>
      <c r="B94" s="21" t="str">
        <v>NYCS III</v>
      </c>
      <c r="C94" s="81">
        <f ca="1">SUM(Jan!C94, Feb!C94, Mar!C94)</f>
        <v>204956</v>
      </c>
      <c r="D94" s="50">
        <f ca="1">SUM(Jan!D94, Feb!D94, Mar!D94)</f>
        <v>0</v>
      </c>
      <c r="E94" s="50">
        <f t="shared" ca="1" si="5"/>
        <v>204956</v>
      </c>
      <c r="F94" s="51">
        <f t="shared" ca="1" si="6"/>
        <v>0</v>
      </c>
      <c r="G94" s="52">
        <f ca="1">SUM(Jan!G94, Feb!G94, Mar!G94)</f>
        <v>298444</v>
      </c>
      <c r="H94" s="52">
        <f t="shared" ca="1" si="7"/>
        <v>-93488</v>
      </c>
      <c r="I94" s="53">
        <f t="shared" ca="1" si="8"/>
        <v>-0.3132513972470547</v>
      </c>
    </row>
    <row r="95" spans="1:9" ht="15.75">
      <c r="A95" s="63" t="str">
        <v>Wildflower</v>
      </c>
      <c r="B95" s="64" t="str">
        <v>NYCS III</v>
      </c>
      <c r="C95" s="81">
        <f ca="1">SUM(Jan!C95, Feb!C95, Mar!C95)</f>
        <v>222902</v>
      </c>
      <c r="D95" s="50">
        <f ca="1">SUM(Jan!D95, Feb!D95, Mar!D95)</f>
        <v>0</v>
      </c>
      <c r="E95" s="50">
        <f t="shared" ca="1" si="5"/>
        <v>222902</v>
      </c>
      <c r="F95" s="51">
        <f t="shared" ca="1" si="6"/>
        <v>0</v>
      </c>
      <c r="G95" s="52">
        <f ca="1">SUM(Jan!G95, Feb!G95, Mar!G95)</f>
        <v>406945</v>
      </c>
      <c r="H95" s="52">
        <f t="shared" ca="1" si="7"/>
        <v>-184043</v>
      </c>
      <c r="I95" s="53">
        <f t="shared" ca="1" si="8"/>
        <v>-0.45225521876420649</v>
      </c>
    </row>
    <row r="96" spans="1:9" ht="15.75">
      <c r="A96" s="59" t="str">
        <v>Glen Mary 1</v>
      </c>
      <c r="B96" s="21" t="str">
        <v>NYCS IV</v>
      </c>
      <c r="C96" s="81">
        <f ca="1">SUM(Jan!C96, Feb!C96, Mar!C96)</f>
        <v>90965</v>
      </c>
      <c r="D96" s="50">
        <f ca="1">SUM(Jan!D96, Feb!D96, Mar!D96)</f>
        <v>0</v>
      </c>
      <c r="E96" s="50">
        <f t="shared" ca="1" si="5"/>
        <v>90965</v>
      </c>
      <c r="F96" s="51">
        <f t="shared" ca="1" si="6"/>
        <v>0</v>
      </c>
      <c r="G96" s="52">
        <f ca="1">SUM(Jan!G96, Feb!G96, Mar!G96)</f>
        <v>0</v>
      </c>
      <c r="H96" s="52">
        <f t="shared" ca="1" si="7"/>
        <v>90965</v>
      </c>
      <c r="I96" s="53">
        <f t="shared" ca="1" si="8"/>
        <v>0</v>
      </c>
    </row>
    <row r="97" spans="1:9" ht="15.75">
      <c r="A97" s="63" t="str">
        <v>Glen Mary 2</v>
      </c>
      <c r="B97" s="64" t="str">
        <v>NYCS IV</v>
      </c>
      <c r="C97" s="81">
        <f ca="1">SUM(Jan!C97, Feb!C97, Mar!C97)</f>
        <v>39864</v>
      </c>
      <c r="D97" s="50">
        <f ca="1">SUM(Jan!D97, Feb!D97, Mar!D97)</f>
        <v>0</v>
      </c>
      <c r="E97" s="50">
        <f t="shared" ca="1" si="5"/>
        <v>39864</v>
      </c>
      <c r="F97" s="51">
        <f t="shared" ca="1" si="6"/>
        <v>0</v>
      </c>
      <c r="G97" s="52">
        <f ca="1">SUM(Jan!G97, Feb!G97, Mar!G97)</f>
        <v>159217</v>
      </c>
      <c r="H97" s="52">
        <f t="shared" ca="1" si="7"/>
        <v>-119353</v>
      </c>
      <c r="I97" s="53">
        <f t="shared" ca="1" si="8"/>
        <v>-0.74962472600287655</v>
      </c>
    </row>
    <row r="98" spans="1:9" ht="15.75">
      <c r="A98" s="59" t="str">
        <v>Telegraph 1</v>
      </c>
      <c r="B98" s="21" t="str">
        <v>NYCS IV</v>
      </c>
      <c r="C98" s="81">
        <f ca="1">SUM(Jan!C98, Feb!C98, Mar!C98)</f>
        <v>54564</v>
      </c>
      <c r="D98" s="50">
        <f ca="1">SUM(Jan!D98, Feb!D98, Mar!D98)</f>
        <v>0</v>
      </c>
      <c r="E98" s="50">
        <f t="shared" ca="1" si="5"/>
        <v>54564</v>
      </c>
      <c r="F98" s="51">
        <f t="shared" ca="1" si="6"/>
        <v>0</v>
      </c>
      <c r="G98" s="52">
        <f ca="1">SUM(Jan!G98, Feb!G98, Mar!G98)</f>
        <v>264699</v>
      </c>
      <c r="H98" s="52">
        <f t="shared" ca="1" si="7"/>
        <v>-210135</v>
      </c>
      <c r="I98" s="53">
        <f t="shared" ca="1" si="8"/>
        <v>-0.79386397379665208</v>
      </c>
    </row>
    <row r="99" spans="1:9" ht="15.75">
      <c r="A99" s="63" t="str">
        <v>Telegraph 2</v>
      </c>
      <c r="B99" s="64" t="str">
        <v>NYCS IV</v>
      </c>
      <c r="C99" s="81">
        <f ca="1">SUM(Jan!C99, Feb!C99, Mar!C99)</f>
        <v>29393</v>
      </c>
      <c r="D99" s="50">
        <f ca="1">SUM(Jan!D99, Feb!D99, Mar!D99)</f>
        <v>0</v>
      </c>
      <c r="E99" s="50">
        <f t="shared" ca="1" si="5"/>
        <v>29393</v>
      </c>
      <c r="F99" s="51">
        <f t="shared" ca="1" si="6"/>
        <v>0</v>
      </c>
      <c r="G99" s="52">
        <f ca="1">SUM(Jan!G99, Feb!G99, Mar!G99)</f>
        <v>137325</v>
      </c>
      <c r="H99" s="52">
        <f t="shared" ca="1" si="7"/>
        <v>-107932</v>
      </c>
      <c r="I99" s="53">
        <f t="shared" ca="1" si="8"/>
        <v>-0.78596031312579651</v>
      </c>
    </row>
    <row r="100" spans="1:9" ht="15.75">
      <c r="A100" s="59" t="str">
        <v>Cafferty Hill</v>
      </c>
      <c r="B100" s="21" t="str">
        <v>NYCS V</v>
      </c>
      <c r="C100" s="81">
        <f ca="1">SUM(Jan!C100, Feb!C100, Mar!C100)</f>
        <v>100252</v>
      </c>
      <c r="D100" s="50">
        <f ca="1">SUM(Jan!D100, Feb!D100, Mar!D100)</f>
        <v>0</v>
      </c>
      <c r="E100" s="50">
        <f t="shared" ca="1" si="5"/>
        <v>100252</v>
      </c>
      <c r="F100" s="51">
        <f t="shared" ca="1" si="6"/>
        <v>0</v>
      </c>
      <c r="G100" s="52">
        <f ca="1">SUM(Jan!G100, Feb!G100, Mar!G100)</f>
        <v>312360</v>
      </c>
      <c r="H100" s="52">
        <f t="shared" ca="1" si="7"/>
        <v>-212108</v>
      </c>
      <c r="I100" s="53">
        <f t="shared" ca="1" si="8"/>
        <v>-0.67904981431681388</v>
      </c>
    </row>
    <row r="101" spans="1:9" ht="15.75">
      <c r="A101" s="63" t="str">
        <v>Dunkleman</v>
      </c>
      <c r="B101" s="64" t="str">
        <v>NYCS V</v>
      </c>
      <c r="C101" s="81">
        <f ca="1">SUM(Jan!C101, Feb!C101, Mar!C101)</f>
        <v>83950</v>
      </c>
      <c r="D101" s="50">
        <f ca="1">SUM(Jan!D101, Feb!D101, Mar!D101)</f>
        <v>0</v>
      </c>
      <c r="E101" s="50">
        <f t="shared" ca="1" si="5"/>
        <v>83950</v>
      </c>
      <c r="F101" s="51">
        <f t="shared" ca="1" si="6"/>
        <v>0</v>
      </c>
      <c r="G101" s="52">
        <f ca="1">SUM(Jan!G101, Feb!G101, Mar!G101)</f>
        <v>0</v>
      </c>
      <c r="H101" s="52">
        <f t="shared" ca="1" si="7"/>
        <v>83950</v>
      </c>
      <c r="I101" s="53">
        <f t="shared" ca="1" si="8"/>
        <v>0</v>
      </c>
    </row>
    <row r="102" spans="1:9" ht="15.75">
      <c r="A102" s="59" t="str">
        <v>Route 19 1</v>
      </c>
      <c r="B102" s="21" t="str">
        <v>NYCS V</v>
      </c>
      <c r="C102" s="81">
        <f ca="1">SUM(Jan!C102, Feb!C102, Mar!C102)</f>
        <v>29341</v>
      </c>
      <c r="D102" s="50">
        <f ca="1">SUM(Jan!D102, Feb!D102, Mar!D102)</f>
        <v>0</v>
      </c>
      <c r="E102" s="50">
        <f t="shared" ca="1" si="5"/>
        <v>29341</v>
      </c>
      <c r="F102" s="51">
        <f t="shared" ca="1" si="6"/>
        <v>0</v>
      </c>
      <c r="G102" s="52">
        <f ca="1">SUM(Jan!G102, Feb!G102, Mar!G102)</f>
        <v>133344</v>
      </c>
      <c r="H102" s="52">
        <f t="shared" ca="1" si="7"/>
        <v>-104003</v>
      </c>
      <c r="I102" s="53">
        <f t="shared" ca="1" si="8"/>
        <v>-0.77996010319174469</v>
      </c>
    </row>
    <row r="103" spans="1:9" ht="15.75">
      <c r="A103" s="63" t="str">
        <v>Route 19 2</v>
      </c>
      <c r="B103" s="64" t="str">
        <v>NYCS V</v>
      </c>
      <c r="C103" s="81">
        <f ca="1">SUM(Jan!C103, Feb!C103, Mar!C103)</f>
        <v>66472</v>
      </c>
      <c r="D103" s="50">
        <f ca="1">SUM(Jan!D103, Feb!D103, Mar!D103)</f>
        <v>0</v>
      </c>
      <c r="E103" s="50">
        <f t="shared" ca="1" si="5"/>
        <v>66472</v>
      </c>
      <c r="F103" s="51">
        <f t="shared" ca="1" si="6"/>
        <v>0</v>
      </c>
      <c r="G103" s="52">
        <f ca="1">SUM(Jan!G103, Feb!G103, Mar!G103)</f>
        <v>361225</v>
      </c>
      <c r="H103" s="52">
        <f t="shared" ca="1" si="7"/>
        <v>-294753</v>
      </c>
      <c r="I103" s="53">
        <f t="shared" ca="1" si="8"/>
        <v>-0.81598172883936604</v>
      </c>
    </row>
    <row r="104" spans="1:9" ht="15.75">
      <c r="A104" s="59" t="str">
        <v>Yellow Mills 1</v>
      </c>
      <c r="B104" s="21" t="str">
        <v>NYCS V</v>
      </c>
      <c r="C104" s="81">
        <f ca="1">SUM(Jan!C104, Feb!C104, Mar!C104)</f>
        <v>31915</v>
      </c>
      <c r="D104" s="50">
        <f ca="1">SUM(Jan!D104, Feb!D104, Mar!D104)</f>
        <v>0</v>
      </c>
      <c r="E104" s="50">
        <f t="shared" ca="1" si="5"/>
        <v>31915</v>
      </c>
      <c r="F104" s="51">
        <f t="shared" ca="1" si="6"/>
        <v>0</v>
      </c>
      <c r="G104" s="52">
        <f ca="1">SUM(Jan!G104, Feb!G104, Mar!G104)</f>
        <v>0</v>
      </c>
      <c r="H104" s="52">
        <f t="shared" ca="1" si="7"/>
        <v>31915</v>
      </c>
      <c r="I104" s="53">
        <f t="shared" ca="1" si="8"/>
        <v>0</v>
      </c>
    </row>
    <row r="105" spans="1:9" ht="15.75">
      <c r="A105" s="63" t="str">
        <v>Yellow Mills 2</v>
      </c>
      <c r="B105" s="64" t="str">
        <v>NYCS V</v>
      </c>
      <c r="C105" s="81">
        <f ca="1">SUM(Jan!C105, Feb!C105, Mar!C105)</f>
        <v>31675</v>
      </c>
      <c r="D105" s="50">
        <f ca="1">SUM(Jan!D105, Feb!D105, Mar!D105)</f>
        <v>0</v>
      </c>
      <c r="E105" s="50">
        <f t="shared" ca="1" si="5"/>
        <v>31675</v>
      </c>
      <c r="F105" s="51">
        <f t="shared" ca="1" si="6"/>
        <v>0</v>
      </c>
      <c r="G105" s="52">
        <f ca="1">SUM(Jan!G105, Feb!G105, Mar!G105)</f>
        <v>0</v>
      </c>
      <c r="H105" s="52">
        <f t="shared" ca="1" si="7"/>
        <v>31675</v>
      </c>
      <c r="I105" s="53">
        <f t="shared" ca="1" si="8"/>
        <v>0</v>
      </c>
    </row>
    <row r="106" spans="1:9" ht="15.75">
      <c r="A106" s="59" t="str">
        <v>Yellow Mills 3</v>
      </c>
      <c r="B106" s="21" t="str">
        <v>NYCS V</v>
      </c>
      <c r="C106" s="81">
        <f ca="1">SUM(Jan!C106, Feb!C106, Mar!C106)</f>
        <v>68145</v>
      </c>
      <c r="D106" s="50">
        <f ca="1">SUM(Jan!D106, Feb!D106, Mar!D106)</f>
        <v>0</v>
      </c>
      <c r="E106" s="50">
        <f t="shared" ca="1" si="5"/>
        <v>68145</v>
      </c>
      <c r="F106" s="51">
        <f t="shared" ca="1" si="6"/>
        <v>0</v>
      </c>
      <c r="G106" s="52">
        <f ca="1">SUM(Jan!G106, Feb!G106, Mar!G106)</f>
        <v>0</v>
      </c>
      <c r="H106" s="52">
        <f t="shared" ca="1" si="7"/>
        <v>68145</v>
      </c>
      <c r="I106" s="53">
        <f t="shared" ca="1" si="8"/>
        <v>0</v>
      </c>
    </row>
    <row r="107" spans="1:9" ht="15.75">
      <c r="A107" s="63" t="str">
        <v>Catskill</v>
      </c>
      <c r="B107" s="64" t="str">
        <v>NYCS VI</v>
      </c>
      <c r="C107" s="81">
        <f ca="1">SUM(Jan!C107, Feb!C107, Mar!C107)</f>
        <v>186426</v>
      </c>
      <c r="D107" s="50">
        <f ca="1">SUM(Jan!D107, Feb!D107, Mar!D107)</f>
        <v>0</v>
      </c>
      <c r="E107" s="50">
        <f t="shared" ca="1" si="5"/>
        <v>186426</v>
      </c>
      <c r="F107" s="51">
        <f t="shared" ca="1" si="6"/>
        <v>0</v>
      </c>
      <c r="G107" s="52">
        <f ca="1">SUM(Jan!G107, Feb!G107, Mar!G107)</f>
        <v>0</v>
      </c>
      <c r="H107" s="52">
        <f t="shared" ca="1" si="7"/>
        <v>186426</v>
      </c>
      <c r="I107" s="53">
        <f t="shared" ca="1" si="8"/>
        <v>0</v>
      </c>
    </row>
    <row r="108" spans="1:9" ht="15.75">
      <c r="A108" s="59" t="str">
        <v>Eddy Ridge</v>
      </c>
      <c r="B108" s="21" t="str">
        <v>NYCS VI</v>
      </c>
      <c r="C108" s="81">
        <f ca="1">SUM(Jan!C108, Feb!C108, Mar!C108)</f>
        <v>108825</v>
      </c>
      <c r="D108" s="50">
        <f ca="1">SUM(Jan!D108, Feb!D108, Mar!D108)</f>
        <v>0</v>
      </c>
      <c r="E108" s="50">
        <f t="shared" ca="1" si="5"/>
        <v>108825</v>
      </c>
      <c r="F108" s="51">
        <f t="shared" ca="1" si="6"/>
        <v>0</v>
      </c>
      <c r="G108" s="52">
        <f ca="1">SUM(Jan!G108, Feb!G108, Mar!G108)</f>
        <v>0</v>
      </c>
      <c r="H108" s="52">
        <f t="shared" ca="1" si="7"/>
        <v>108825</v>
      </c>
      <c r="I108" s="53">
        <f t="shared" ca="1" si="8"/>
        <v>0</v>
      </c>
    </row>
    <row r="109" spans="1:9" ht="15.75">
      <c r="A109" s="63" t="str">
        <v>Ridgeway #1</v>
      </c>
      <c r="B109" s="64" t="str">
        <v>NYCS VI</v>
      </c>
      <c r="C109" s="81">
        <f ca="1">SUM(Jan!C109, Feb!C109, Mar!C109)</f>
        <v>0</v>
      </c>
      <c r="D109" s="50">
        <f ca="1">SUM(Jan!D109, Feb!D109, Mar!D109)</f>
        <v>0</v>
      </c>
      <c r="E109" s="50">
        <f t="shared" ca="1" si="5"/>
        <v>0</v>
      </c>
      <c r="F109" s="51">
        <f t="shared" ca="1" si="6"/>
        <v>0</v>
      </c>
      <c r="G109" s="52">
        <f ca="1">SUM(Jan!G109, Feb!G109, Mar!G109)</f>
        <v>0</v>
      </c>
      <c r="H109" s="52">
        <f t="shared" ca="1" si="7"/>
        <v>0</v>
      </c>
      <c r="I109" s="53">
        <f t="shared" ca="1" si="8"/>
        <v>0</v>
      </c>
    </row>
    <row r="110" spans="1:9" ht="15.75">
      <c r="A110" s="59" t="str">
        <v>Rivard 1</v>
      </c>
      <c r="B110" s="21" t="str">
        <v>NYCS VI</v>
      </c>
      <c r="C110" s="81">
        <f ca="1">SUM(Jan!C110, Feb!C110, Mar!C110)</f>
        <v>148695.250778894</v>
      </c>
      <c r="D110" s="50">
        <f ca="1">SUM(Jan!D110, Feb!D110, Mar!D110)</f>
        <v>188962.4</v>
      </c>
      <c r="E110" s="50">
        <f t="shared" ca="1" si="5"/>
        <v>-40267.149221105996</v>
      </c>
      <c r="F110" s="51">
        <f t="shared" ca="1" si="6"/>
        <v>-0.21309609330272053</v>
      </c>
      <c r="G110" s="52">
        <f ca="1">SUM(Jan!G110, Feb!G110, Mar!G110)</f>
        <v>269901.7</v>
      </c>
      <c r="H110" s="52">
        <f t="shared" ca="1" si="7"/>
        <v>-121206.44922110601</v>
      </c>
      <c r="I110" s="53">
        <f t="shared" ca="1" si="8"/>
        <v>-0.44907627192087346</v>
      </c>
    </row>
    <row r="111" spans="1:9" ht="15.75">
      <c r="A111" s="63" t="str">
        <v>Rivard 2</v>
      </c>
      <c r="B111" s="64" t="str">
        <v>NYCS VI</v>
      </c>
      <c r="C111" s="81">
        <f ca="1">SUM(Jan!C111, Feb!C111, Mar!C111)</f>
        <v>28249.4825870647</v>
      </c>
      <c r="D111" s="50">
        <f ca="1">SUM(Jan!D111, Feb!D111, Mar!D111)</f>
        <v>48018.29</v>
      </c>
      <c r="E111" s="50">
        <f t="shared" ca="1" si="5"/>
        <v>-19768.807412935301</v>
      </c>
      <c r="F111" s="51">
        <f t="shared" ca="1" si="6"/>
        <v>-0.41169328214176931</v>
      </c>
      <c r="G111" s="52">
        <f ca="1">SUM(Jan!G111, Feb!G111, Mar!G111)</f>
        <v>258654.9</v>
      </c>
      <c r="H111" s="52">
        <f t="shared" ca="1" si="7"/>
        <v>-230405.41741293529</v>
      </c>
      <c r="I111" s="53">
        <f t="shared" ca="1" si="8"/>
        <v>-0.89078311453962522</v>
      </c>
    </row>
    <row r="112" spans="1:9" ht="15.75">
      <c r="A112" s="59" t="str">
        <v>Essex</v>
      </c>
      <c r="B112" s="21" t="str">
        <v>Opportunity</v>
      </c>
      <c r="C112" s="81">
        <f ca="1">SUM(Jan!C112, Feb!C112, Mar!C112)</f>
        <v>870</v>
      </c>
      <c r="D112" s="50">
        <f ca="1">SUM(Jan!D112, Feb!D112, Mar!D112)</f>
        <v>1507.5250000000001</v>
      </c>
      <c r="E112" s="50">
        <f t="shared" ca="1" si="5"/>
        <v>-637.52500000000009</v>
      </c>
      <c r="F112" s="51">
        <f t="shared" ca="1" si="6"/>
        <v>-0.42289514270078443</v>
      </c>
      <c r="G112" s="52">
        <f ca="1">SUM(Jan!G112, Feb!G112, Mar!G112)</f>
        <v>2164.9670000000001</v>
      </c>
      <c r="H112" s="52">
        <f t="shared" ca="1" si="7"/>
        <v>-1294.9670000000001</v>
      </c>
      <c r="I112" s="53">
        <f t="shared" ca="1" si="8"/>
        <v>-0.59814629968955646</v>
      </c>
    </row>
    <row r="113" spans="1:9" ht="15.75">
      <c r="A113" s="63" t="str">
        <v>Temple Sinai</v>
      </c>
      <c r="B113" s="64" t="str">
        <v>Opportunity</v>
      </c>
      <c r="C113" s="81">
        <f ca="1">SUM(Jan!C113, Feb!C113, Mar!C113)</f>
        <v>2505.62</v>
      </c>
      <c r="D113" s="50">
        <f ca="1">SUM(Jan!D113, Feb!D113, Mar!D113)</f>
        <v>4293.1019999999999</v>
      </c>
      <c r="E113" s="50">
        <f t="shared" ca="1" si="5"/>
        <v>-1787.482</v>
      </c>
      <c r="F113" s="51">
        <f t="shared" ca="1" si="6"/>
        <v>-0.41636140953557593</v>
      </c>
      <c r="G113" s="52">
        <f ca="1">SUM(Jan!G113, Feb!G113, Mar!G113)</f>
        <v>5237.6580000000004</v>
      </c>
      <c r="H113" s="52">
        <f t="shared" ca="1" si="7"/>
        <v>-2732.0380000000005</v>
      </c>
      <c r="I113" s="53">
        <f t="shared" ca="1" si="8"/>
        <v>-0.52161443148827213</v>
      </c>
    </row>
    <row r="114" spans="1:9" ht="15.75">
      <c r="A114" s="59" t="str">
        <v>Weinberg 1</v>
      </c>
      <c r="B114" s="21" t="str">
        <v>Opportunity</v>
      </c>
      <c r="C114" s="81">
        <f ca="1">SUM(Jan!C114, Feb!C114, Mar!C114)</f>
        <v>385</v>
      </c>
      <c r="D114" s="50">
        <f ca="1">SUM(Jan!D114, Feb!D114, Mar!D114)</f>
        <v>590.59410000000003</v>
      </c>
      <c r="E114" s="50">
        <f t="shared" ca="1" si="5"/>
        <v>-205.59410000000003</v>
      </c>
      <c r="F114" s="51">
        <f t="shared" ca="1" si="6"/>
        <v>-0.34811404313046812</v>
      </c>
      <c r="G114" s="52">
        <f ca="1">SUM(Jan!G114, Feb!G114, Mar!G114)</f>
        <v>808.99249999999995</v>
      </c>
      <c r="H114" s="52">
        <f t="shared" ca="1" si="7"/>
        <v>-423.99249999999995</v>
      </c>
      <c r="I114" s="53">
        <f t="shared" ca="1" si="8"/>
        <v>-0.52409941995753972</v>
      </c>
    </row>
    <row r="115" spans="1:9" ht="15.75">
      <c r="A115" s="63" t="str">
        <v>Weinberg 2</v>
      </c>
      <c r="B115" s="64" t="str">
        <v>Opportunity</v>
      </c>
      <c r="C115" s="81">
        <f ca="1">SUM(Jan!C115, Feb!C115, Mar!C115)</f>
        <v>398</v>
      </c>
      <c r="D115" s="50">
        <f ca="1">SUM(Jan!D115, Feb!D115, Mar!D115)</f>
        <v>563.71370000000002</v>
      </c>
      <c r="E115" s="50">
        <f t="shared" ca="1" si="5"/>
        <v>-165.71370000000002</v>
      </c>
      <c r="F115" s="51">
        <f t="shared" ca="1" si="6"/>
        <v>-0.2939678421865568</v>
      </c>
      <c r="G115" s="52">
        <f ca="1">SUM(Jan!G115, Feb!G115, Mar!G115)</f>
        <v>862.08870000000002</v>
      </c>
      <c r="H115" s="52">
        <f t="shared" ca="1" si="7"/>
        <v>-464.08870000000002</v>
      </c>
      <c r="I115" s="53">
        <f t="shared" ca="1" si="8"/>
        <v>-0.53833056853662509</v>
      </c>
    </row>
    <row r="116" spans="1:9" ht="15.75">
      <c r="A116" s="59" t="str">
        <v>Weinberg 3</v>
      </c>
      <c r="B116" s="21" t="str">
        <v>Opportunity</v>
      </c>
      <c r="C116" s="81">
        <f ca="1">SUM(Jan!C116, Feb!C116, Mar!C116)</f>
        <v>464</v>
      </c>
      <c r="D116" s="50">
        <f ca="1">SUM(Jan!D116, Feb!D116, Mar!D116)</f>
        <v>551.17399999999998</v>
      </c>
      <c r="E116" s="50">
        <f t="shared" ca="1" si="5"/>
        <v>-87.173999999999978</v>
      </c>
      <c r="F116" s="51">
        <f t="shared" ca="1" si="6"/>
        <v>-0.15816058086919918</v>
      </c>
      <c r="G116" s="52">
        <f ca="1">SUM(Jan!G116, Feb!G116, Mar!G116)</f>
        <v>893</v>
      </c>
      <c r="H116" s="52">
        <f t="shared" ca="1" si="7"/>
        <v>-429</v>
      </c>
      <c r="I116" s="53">
        <f t="shared" ca="1" si="8"/>
        <v>-0.48040313549832026</v>
      </c>
    </row>
    <row r="117" spans="1:9" ht="15.75">
      <c r="A117" s="63" t="str">
        <v>Clayton Hall</v>
      </c>
      <c r="B117" s="64" t="str">
        <v>Opportunity</v>
      </c>
      <c r="C117" s="81">
        <f ca="1">SUM(Jan!C117, Feb!C117, Mar!C117)</f>
        <v>3000</v>
      </c>
      <c r="D117" s="50">
        <f ca="1">SUM(Jan!D117, Feb!D117, Mar!D117)</f>
        <v>0</v>
      </c>
      <c r="E117" s="50">
        <f t="shared" ca="1" si="5"/>
        <v>3000</v>
      </c>
      <c r="F117" s="51">
        <f t="shared" ca="1" si="6"/>
        <v>0</v>
      </c>
      <c r="G117" s="52">
        <f ca="1">SUM(Jan!G117, Feb!G117, Mar!G117)</f>
        <v>2819</v>
      </c>
      <c r="H117" s="52">
        <f t="shared" ca="1" si="7"/>
        <v>181</v>
      </c>
      <c r="I117" s="53">
        <f t="shared" ca="1" si="8"/>
        <v>6.4207165661582119E-2</v>
      </c>
    </row>
    <row r="118" spans="1:9" ht="15.75">
      <c r="A118" s="59" t="str">
        <v>Field House</v>
      </c>
      <c r="B118" s="21" t="str">
        <v>Opportunity</v>
      </c>
      <c r="C118" s="81">
        <f ca="1">SUM(Jan!C118, Feb!C118, Mar!C118)</f>
        <v>17646</v>
      </c>
      <c r="D118" s="50">
        <f ca="1">SUM(Jan!D118, Feb!D118, Mar!D118)</f>
        <v>0</v>
      </c>
      <c r="E118" s="50">
        <f t="shared" ca="1" si="5"/>
        <v>17646</v>
      </c>
      <c r="F118" s="51">
        <f t="shared" ca="1" si="6"/>
        <v>0</v>
      </c>
      <c r="G118" s="52">
        <f ca="1">SUM(Jan!G118, Feb!G118, Mar!G118)</f>
        <v>28692</v>
      </c>
      <c r="H118" s="52">
        <f t="shared" ca="1" si="7"/>
        <v>-11046</v>
      </c>
      <c r="I118" s="53">
        <f t="shared" ca="1" si="8"/>
        <v>-0.3849853617733166</v>
      </c>
    </row>
    <row r="119" spans="1:9" ht="15.75">
      <c r="A119" s="63" t="str">
        <v>Wyoming Road</v>
      </c>
      <c r="B119" s="64" t="str">
        <v>Opportunity</v>
      </c>
      <c r="C119" s="81">
        <f ca="1">SUM(Jan!C119, Feb!C119, Mar!C119)</f>
        <v>7263</v>
      </c>
      <c r="D119" s="50">
        <f ca="1">SUM(Jan!D119, Feb!D119, Mar!D119)</f>
        <v>10662</v>
      </c>
      <c r="E119" s="50">
        <f t="shared" ca="1" si="5"/>
        <v>-3399</v>
      </c>
      <c r="F119" s="51">
        <f t="shared" ca="1" si="6"/>
        <v>-0.31879572312886889</v>
      </c>
      <c r="G119" s="52">
        <f ca="1">SUM(Jan!G119, Feb!G119, Mar!G119)</f>
        <v>16720</v>
      </c>
      <c r="H119" s="52">
        <f t="shared" ca="1" si="7"/>
        <v>-9457</v>
      </c>
      <c r="I119" s="53">
        <f t="shared" ca="1" si="8"/>
        <v>-0.56561004784688995</v>
      </c>
    </row>
    <row r="120" spans="1:9" ht="15.75">
      <c r="A120" s="59" t="str">
        <v>Leoku</v>
      </c>
      <c r="B120" s="21" t="str">
        <v>Opportunity</v>
      </c>
      <c r="C120" s="81">
        <f ca="1">SUM(Jan!C120, Feb!C120, Mar!C120)</f>
        <v>8344</v>
      </c>
      <c r="D120" s="50">
        <f ca="1">SUM(Jan!D120, Feb!D120, Mar!D120)</f>
        <v>7977.7489999999998</v>
      </c>
      <c r="E120" s="50">
        <f t="shared" ca="1" si="5"/>
        <v>366.2510000000002</v>
      </c>
      <c r="F120" s="51">
        <f t="shared" ca="1" si="6"/>
        <v>4.5909065326572726E-2</v>
      </c>
      <c r="G120" s="52">
        <f ca="1">SUM(Jan!G120, Feb!G120, Mar!G120)</f>
        <v>10288</v>
      </c>
      <c r="H120" s="52">
        <f t="shared" ca="1" si="7"/>
        <v>-1944</v>
      </c>
      <c r="I120" s="53">
        <f t="shared" ca="1" si="8"/>
        <v>-0.18895800933125972</v>
      </c>
    </row>
    <row r="121" spans="1:9" ht="15.75">
      <c r="A121" s="63" t="str">
        <v>Waipahu</v>
      </c>
      <c r="B121" s="64" t="str">
        <v>Opportunity</v>
      </c>
      <c r="C121" s="81">
        <f ca="1">SUM(Jan!C121, Feb!C121, Mar!C121)</f>
        <v>7031</v>
      </c>
      <c r="D121" s="50">
        <f ca="1">SUM(Jan!D121, Feb!D121, Mar!D121)</f>
        <v>7601.15</v>
      </c>
      <c r="E121" s="50">
        <f t="shared" ca="1" si="5"/>
        <v>-570.14999999999964</v>
      </c>
      <c r="F121" s="51">
        <f t="shared" ca="1" si="6"/>
        <v>-7.5008386888825995E-2</v>
      </c>
      <c r="G121" s="52">
        <f ca="1">SUM(Jan!G121, Feb!G121, Mar!G121)</f>
        <v>10288</v>
      </c>
      <c r="H121" s="52">
        <f t="shared" ca="1" si="7"/>
        <v>-3257</v>
      </c>
      <c r="I121" s="53">
        <f t="shared" ca="1" si="8"/>
        <v>-0.31658242612752724</v>
      </c>
    </row>
    <row r="122" spans="1:9" ht="15.75">
      <c r="A122" s="59" t="str">
        <v>Bird in Hand</v>
      </c>
      <c r="B122" s="21" t="str">
        <v>Opportunity</v>
      </c>
      <c r="C122" s="81">
        <f ca="1">SUM(Jan!C122, Feb!C122, Mar!C122)</f>
        <v>82202</v>
      </c>
      <c r="D122" s="50">
        <f ca="1">SUM(Jan!D122, Feb!D122, Mar!D122)</f>
        <v>92318.48</v>
      </c>
      <c r="E122" s="50">
        <f t="shared" ca="1" si="5"/>
        <v>-10116.479999999996</v>
      </c>
      <c r="F122" s="51">
        <f t="shared" ca="1" si="6"/>
        <v>-0.10958239347094965</v>
      </c>
      <c r="G122" s="52">
        <f ca="1">SUM(Jan!G122, Feb!G122, Mar!G122)</f>
        <v>127325.2</v>
      </c>
      <c r="H122" s="52">
        <f t="shared" ca="1" si="7"/>
        <v>-45123.199999999997</v>
      </c>
      <c r="I122" s="53">
        <f t="shared" ca="1" si="8"/>
        <v>-0.35439331726948003</v>
      </c>
    </row>
    <row r="123" spans="1:9" ht="15.75">
      <c r="A123" s="63" t="str">
        <v>Shortal</v>
      </c>
      <c r="B123" s="64" t="str">
        <v>Opportunity</v>
      </c>
      <c r="C123" s="81">
        <f ca="1">SUM(Jan!C123, Feb!C123, Mar!C123)</f>
        <v>86841</v>
      </c>
      <c r="D123" s="50">
        <f ca="1">SUM(Jan!D123, Feb!D123, Mar!D123)</f>
        <v>66423.12</v>
      </c>
      <c r="E123" s="50">
        <f t="shared" ca="1" si="5"/>
        <v>20417.880000000005</v>
      </c>
      <c r="F123" s="51">
        <f t="shared" ca="1" si="6"/>
        <v>0.30739116139079292</v>
      </c>
      <c r="G123" s="52">
        <f ca="1">SUM(Jan!G123, Feb!G123, Mar!G123)</f>
        <v>6278.299</v>
      </c>
      <c r="H123" s="52">
        <f t="shared" ca="1" si="7"/>
        <v>80562.701000000001</v>
      </c>
      <c r="I123" s="53">
        <f t="shared" ca="1" si="8"/>
        <v>12.831931228506321</v>
      </c>
    </row>
    <row r="124" spans="1:9" ht="15.75">
      <c r="A124" s="59" t="str">
        <v>Aguadilla</v>
      </c>
      <c r="B124" s="21" t="str">
        <v>Opportunity</v>
      </c>
      <c r="C124" s="81">
        <f ca="1">SUM(Jan!C124, Feb!C124, Mar!C124)</f>
        <v>17577</v>
      </c>
      <c r="D124" s="50">
        <f ca="1">SUM(Jan!D124, Feb!D124, Mar!D124)</f>
        <v>15476.68</v>
      </c>
      <c r="E124" s="50">
        <f t="shared" ca="1" si="5"/>
        <v>2100.3199999999997</v>
      </c>
      <c r="F124" s="51">
        <f t="shared" ca="1" si="6"/>
        <v>0.13570869204506392</v>
      </c>
      <c r="G124" s="52">
        <f ca="1">SUM(Jan!G124, Feb!G124, Mar!G124)</f>
        <v>18224</v>
      </c>
      <c r="H124" s="52">
        <f t="shared" ca="1" si="7"/>
        <v>-647</v>
      </c>
      <c r="I124" s="53">
        <f t="shared" ca="1" si="8"/>
        <v>-3.5502633889376647E-2</v>
      </c>
    </row>
    <row r="125" spans="1:9" ht="15.75">
      <c r="A125" s="63" t="str">
        <v>Bayamon</v>
      </c>
      <c r="B125" s="64" t="str">
        <v>Opportunity</v>
      </c>
      <c r="C125" s="81">
        <f ca="1">SUM(Jan!C125, Feb!C125, Mar!C125)</f>
        <v>52498</v>
      </c>
      <c r="D125" s="50">
        <f ca="1">SUM(Jan!D125, Feb!D125, Mar!D125)</f>
        <v>58863.74</v>
      </c>
      <c r="E125" s="50">
        <f t="shared" ca="1" si="5"/>
        <v>-6365.739999999998</v>
      </c>
      <c r="F125" s="51">
        <f t="shared" ca="1" si="6"/>
        <v>-0.10814365516020556</v>
      </c>
      <c r="G125" s="52">
        <f ca="1">SUM(Jan!G125, Feb!G125, Mar!G125)</f>
        <v>0</v>
      </c>
      <c r="H125" s="52">
        <f t="shared" ca="1" si="7"/>
        <v>52498</v>
      </c>
      <c r="I125" s="53">
        <f t="shared" ca="1" si="8"/>
        <v>0</v>
      </c>
    </row>
    <row r="126" spans="1:9" ht="15.75">
      <c r="A126" s="59" t="str">
        <v>St Francis</v>
      </c>
      <c r="B126" s="21" t="str">
        <v>Opportunity</v>
      </c>
      <c r="C126" s="81">
        <f ca="1">SUM(Jan!C126, Feb!C126, Mar!C126)</f>
        <v>13494</v>
      </c>
      <c r="D126" s="50">
        <f ca="1">SUM(Jan!D126, Feb!D126, Mar!D126)</f>
        <v>34760.43</v>
      </c>
      <c r="E126" s="50">
        <f t="shared" ca="1" si="5"/>
        <v>-21266.43</v>
      </c>
      <c r="F126" s="51">
        <f t="shared" ca="1" si="6"/>
        <v>-0.61179996910279877</v>
      </c>
      <c r="G126" s="52">
        <f ca="1">SUM(Jan!G126, Feb!G126, Mar!G126)</f>
        <v>23239</v>
      </c>
      <c r="H126" s="52">
        <f t="shared" ca="1" si="7"/>
        <v>-9745</v>
      </c>
      <c r="I126" s="53">
        <f t="shared" ca="1" si="8"/>
        <v>-0.41933818150522828</v>
      </c>
    </row>
    <row r="127" spans="1:9" ht="15.75">
      <c r="A127" s="63" t="str">
        <v>Seaport</v>
      </c>
      <c r="B127" s="64" t="str">
        <v>Sunraise</v>
      </c>
      <c r="C127" s="81">
        <f ca="1">SUM(Jan!C127, Feb!C127, Mar!C127)</f>
        <v>15979.5</v>
      </c>
      <c r="D127" s="50">
        <f ca="1">SUM(Jan!D127, Feb!D127, Mar!D127)</f>
        <v>16624.46</v>
      </c>
      <c r="E127" s="50">
        <f t="shared" ca="1" si="5"/>
        <v>-644.95999999999913</v>
      </c>
      <c r="F127" s="51">
        <f t="shared" ca="1" si="6"/>
        <v>-3.8795846601934691E-2</v>
      </c>
      <c r="G127" s="52">
        <f ca="1">SUM(Jan!G127, Feb!G127, Mar!G127)</f>
        <v>23841.21</v>
      </c>
      <c r="H127" s="52">
        <f t="shared" ca="1" si="7"/>
        <v>-7861.7099999999991</v>
      </c>
      <c r="I127" s="53">
        <f t="shared" ca="1" si="8"/>
        <v>-0.32975297814162952</v>
      </c>
    </row>
    <row r="128" spans="1:9" ht="15.75">
      <c r="A128" s="59" t="str">
        <v>Sprague St</v>
      </c>
      <c r="B128" s="21" t="str">
        <v>Sunraise</v>
      </c>
      <c r="C128" s="81">
        <f ca="1">SUM(Jan!C128, Feb!C128, Mar!C128)</f>
        <v>32699.5</v>
      </c>
      <c r="D128" s="50">
        <f ca="1">SUM(Jan!D128, Feb!D128, Mar!D128)</f>
        <v>50419.89</v>
      </c>
      <c r="E128" s="50">
        <f t="shared" ca="1" si="5"/>
        <v>-17720.39</v>
      </c>
      <c r="F128" s="51">
        <f t="shared" ca="1" si="6"/>
        <v>-0.35145633994838149</v>
      </c>
      <c r="G128" s="52">
        <f ca="1">SUM(Jan!G128, Feb!G128, Mar!G128)</f>
        <v>52949.27</v>
      </c>
      <c r="H128" s="52">
        <f t="shared" ca="1" si="7"/>
        <v>-20249.769999999997</v>
      </c>
      <c r="I128" s="53">
        <f t="shared" ca="1" si="8"/>
        <v>-0.38243718940789928</v>
      </c>
    </row>
    <row r="129" spans="1:9" ht="15.75">
      <c r="A129" s="63" t="str">
        <v>Summer St</v>
      </c>
      <c r="B129" s="64" t="str">
        <v>Sunraise</v>
      </c>
      <c r="C129" s="81">
        <f ca="1">SUM(Jan!C129, Feb!C129, Mar!C129)</f>
        <v>74644</v>
      </c>
      <c r="D129" s="50">
        <f ca="1">SUM(Jan!D129, Feb!D129, Mar!D129)</f>
        <v>104933.8</v>
      </c>
      <c r="E129" s="50">
        <f t="shared" ca="1" si="5"/>
        <v>-30289.800000000003</v>
      </c>
      <c r="F129" s="51">
        <f t="shared" ca="1" si="6"/>
        <v>-0.28865627662392862</v>
      </c>
      <c r="G129" s="52">
        <f ca="1">SUM(Jan!G129, Feb!G129, Mar!G129)</f>
        <v>132017.60000000001</v>
      </c>
      <c r="H129" s="52">
        <f t="shared" ca="1" si="7"/>
        <v>-57373.600000000006</v>
      </c>
      <c r="I129" s="53">
        <f t="shared" ca="1" si="8"/>
        <v>-0.43459053944322579</v>
      </c>
    </row>
    <row r="130" spans="1:9" ht="15.75">
      <c r="A130" s="59" t="str">
        <v>Brock St Vocational</v>
      </c>
      <c r="B130" s="21" t="str">
        <v>Sunraise</v>
      </c>
      <c r="C130" s="81">
        <f ca="1">SUM(Jan!C130, Feb!C130, Mar!C130)</f>
        <v>1820.4686795321199</v>
      </c>
      <c r="D130" s="50">
        <f ca="1">SUM(Jan!D130, Feb!D130, Mar!D130)</f>
        <v>4815.5290000000005</v>
      </c>
      <c r="E130" s="50">
        <f t="shared" ca="1" si="5"/>
        <v>-2995.0603204678805</v>
      </c>
      <c r="F130" s="51">
        <f t="shared" ca="1" si="6"/>
        <v>-0.62195873401818991</v>
      </c>
      <c r="G130" s="52">
        <f ca="1">SUM(Jan!G130, Feb!G130, Mar!G130)</f>
        <v>4801.3860000000004</v>
      </c>
      <c r="H130" s="52">
        <f t="shared" ca="1" si="7"/>
        <v>-2980.9173204678805</v>
      </c>
      <c r="I130" s="53">
        <f t="shared" ca="1" si="8"/>
        <v>-0.62084517272051865</v>
      </c>
    </row>
    <row r="131" spans="1:9" ht="15.75">
      <c r="A131" s="63" t="str">
        <v>McClelland ES</v>
      </c>
      <c r="B131" s="64" t="str">
        <v>Sunraise</v>
      </c>
      <c r="C131" s="81">
        <f ca="1">SUM(Jan!C131, Feb!C131, Mar!C131)</f>
        <v>1822.9083103328601</v>
      </c>
      <c r="D131" s="50">
        <f ca="1">SUM(Jan!D131, Feb!D131, Mar!D131)</f>
        <v>5664.0169999999998</v>
      </c>
      <c r="E131" s="50">
        <f t="shared" ca="1" si="5"/>
        <v>-3841.1086896671395</v>
      </c>
      <c r="F131" s="51">
        <f t="shared" ca="1" si="6"/>
        <v>-0.67815980948982668</v>
      </c>
      <c r="G131" s="52">
        <f ca="1">SUM(Jan!G131, Feb!G131, Mar!G131)</f>
        <v>3544.0749999999998</v>
      </c>
      <c r="H131" s="52">
        <f t="shared" ca="1" si="7"/>
        <v>-1721.1666896671397</v>
      </c>
      <c r="I131" s="53">
        <f t="shared" ca="1" si="8"/>
        <v>-0.48564623764089071</v>
      </c>
    </row>
    <row r="132" spans="1:9" ht="15.75">
      <c r="A132" s="59" t="str">
        <v>Portland St</v>
      </c>
      <c r="B132" s="21" t="str">
        <v>Sunraise</v>
      </c>
      <c r="C132" s="81">
        <f ca="1">SUM(Jan!C132, Feb!C132, Mar!C132)</f>
        <v>1250</v>
      </c>
      <c r="D132" s="50">
        <f ca="1">SUM(Jan!D132, Feb!D132, Mar!D132)</f>
        <v>2762</v>
      </c>
      <c r="E132" s="50">
        <f t="shared" ref="E132:E136" ca="1" si="9">C132-D132</f>
        <v>-1512</v>
      </c>
      <c r="F132" s="51">
        <f t="shared" ref="F132:F136" ca="1" si="10">IFERROR(E132/D132, 0)</f>
        <v>-0.54742939898624188</v>
      </c>
      <c r="G132" s="52">
        <f ca="1">SUM(Jan!G132, Feb!G132, Mar!G132)</f>
        <v>4395</v>
      </c>
      <c r="H132" s="52">
        <f t="shared" ref="H132:H136" ca="1" si="11">C132-G132</f>
        <v>-3145</v>
      </c>
      <c r="I132" s="53">
        <f t="shared" ref="I132:I136" ca="1" si="12">IFERROR(H132/G132, 0)</f>
        <v>-0.71558589306029574</v>
      </c>
    </row>
    <row r="133" spans="1:9" ht="15.75">
      <c r="A133" s="63" t="str">
        <v>Portsmouth HS</v>
      </c>
      <c r="B133" s="64" t="str">
        <v>Sunraise</v>
      </c>
      <c r="C133" s="81">
        <f ca="1">SUM(Jan!C133, Feb!C133, Mar!C133)</f>
        <v>6169.25</v>
      </c>
      <c r="D133" s="50">
        <f ca="1">SUM(Jan!D133, Feb!D133, Mar!D133)</f>
        <v>11780.96</v>
      </c>
      <c r="E133" s="50">
        <f t="shared" ca="1" si="9"/>
        <v>-5611.7099999999991</v>
      </c>
      <c r="F133" s="51">
        <f t="shared" ca="1" si="10"/>
        <v>-0.47633724246580922</v>
      </c>
      <c r="G133" s="52">
        <f ca="1">SUM(Jan!G133, Feb!G133, Mar!G133)</f>
        <v>7989.4369999999999</v>
      </c>
      <c r="H133" s="52">
        <f t="shared" ca="1" si="11"/>
        <v>-1820.1869999999999</v>
      </c>
      <c r="I133" s="53">
        <f t="shared" ca="1" si="12"/>
        <v>-0.2278241883627094</v>
      </c>
    </row>
    <row r="134" spans="1:9" ht="15.75">
      <c r="A134" s="59" t="str">
        <v>Portsmouth WTP</v>
      </c>
      <c r="B134" s="21" t="str">
        <v>Sunraise</v>
      </c>
      <c r="C134" s="81">
        <f ca="1">SUM(Jan!C134, Feb!C134, Mar!C134)</f>
        <v>7384.75</v>
      </c>
      <c r="D134" s="50">
        <f ca="1">SUM(Jan!D134, Feb!D134, Mar!D134)</f>
        <v>15101.21</v>
      </c>
      <c r="E134" s="50">
        <f t="shared" ca="1" si="9"/>
        <v>-7716.4599999999991</v>
      </c>
      <c r="F134" s="51">
        <f t="shared" ca="1" si="10"/>
        <v>-0.51098289474816916</v>
      </c>
      <c r="G134" s="52">
        <f ca="1">SUM(Jan!G134, Feb!G134, Mar!G134)</f>
        <v>14831.87</v>
      </c>
      <c r="H134" s="52">
        <f t="shared" ca="1" si="11"/>
        <v>-7447.1200000000008</v>
      </c>
      <c r="I134" s="53">
        <f t="shared" ca="1" si="12"/>
        <v>-0.50210256697233735</v>
      </c>
    </row>
    <row r="135" spans="1:9" ht="15.75">
      <c r="A135" s="63" t="str">
        <v>Rochester St</v>
      </c>
      <c r="B135" s="64" t="str">
        <v>Sunraise</v>
      </c>
      <c r="C135" s="81">
        <f ca="1">SUM(Jan!C135, Feb!C135, Mar!C135)</f>
        <v>5444.625</v>
      </c>
      <c r="D135" s="50">
        <f ca="1">SUM(Jan!D135, Feb!D135, Mar!D135)</f>
        <v>16420.68</v>
      </c>
      <c r="E135" s="50">
        <f t="shared" ca="1" si="9"/>
        <v>-10976.055</v>
      </c>
      <c r="F135" s="51">
        <f t="shared" ca="1" si="10"/>
        <v>-0.66842877396063993</v>
      </c>
      <c r="G135" s="52">
        <f ca="1">SUM(Jan!G135, Feb!G135, Mar!G135)</f>
        <v>11432.38</v>
      </c>
      <c r="H135" s="52">
        <f t="shared" ca="1" si="11"/>
        <v>-5987.7549999999992</v>
      </c>
      <c r="I135" s="53">
        <f t="shared" ca="1" si="12"/>
        <v>-0.52375402147234429</v>
      </c>
    </row>
    <row r="136" spans="1:9" ht="15.75">
      <c r="A136" s="59" t="str">
        <v>Spaulding HS</v>
      </c>
      <c r="B136" s="21" t="str">
        <v>Sunraise</v>
      </c>
      <c r="C136" s="81">
        <f ca="1">SUM(Jan!C136, Feb!C136, Mar!C136)</f>
        <v>2486.1234915329801</v>
      </c>
      <c r="D136" s="50">
        <f ca="1">SUM(Jan!D136, Feb!D136, Mar!D136)</f>
        <v>6531.7079999999996</v>
      </c>
      <c r="E136" s="50">
        <f t="shared" ca="1" si="9"/>
        <v>-4045.5845084670195</v>
      </c>
      <c r="F136" s="51">
        <f t="shared" ca="1" si="10"/>
        <v>-0.61937620427413775</v>
      </c>
      <c r="G136" s="52">
        <f ca="1">SUM(Jan!G136, Feb!G136, Mar!G136)</f>
        <v>5447.299</v>
      </c>
      <c r="H136" s="52">
        <f t="shared" ca="1" si="11"/>
        <v>-2961.1755084670199</v>
      </c>
      <c r="I136" s="53">
        <f t="shared" ca="1" si="12"/>
        <v>-0.54360436400994694</v>
      </c>
    </row>
    <row r="137" spans="1:9" ht="27.75" customHeight="1">
      <c r="A137" s="156" t="s">
        <v>9</v>
      </c>
      <c r="B137" s="157"/>
      <c r="C137" s="61">
        <f ca="1">SUM(C3:C136)</f>
        <v>5231538.1062812647</v>
      </c>
      <c r="D137" s="61">
        <f ca="1">SUM(D3:D136)</f>
        <v>2882632.9468000005</v>
      </c>
      <c r="E137" s="61">
        <f ca="1">C137-D137</f>
        <v>2348905.1594812642</v>
      </c>
      <c r="F137" s="54">
        <f ca="1">IFERROR(E137/D137, 0)</f>
        <v>0.814847121652715</v>
      </c>
      <c r="G137" s="61">
        <f ca="1">SUM(G3:G136)</f>
        <v>9202509.7462000009</v>
      </c>
      <c r="H137" s="62">
        <f ca="1">C137-G137</f>
        <v>-3970971.6399187362</v>
      </c>
      <c r="I137" s="55">
        <f ca="1">IFERROR(H137/C137, 0)</f>
        <v>-0.75904477024662687</v>
      </c>
    </row>
    <row r="139" spans="1:9" ht="12.75" customHeight="1">
      <c r="A139" s="158" t="s">
        <v>10</v>
      </c>
      <c r="B139" s="158"/>
    </row>
    <row r="140" spans="1:9">
      <c r="A140" s="158"/>
      <c r="B140" s="158"/>
    </row>
    <row r="141" spans="1:9" ht="12.75" customHeight="1">
      <c r="A141" s="159" t="s">
        <v>11</v>
      </c>
      <c r="B141" s="159"/>
    </row>
    <row r="142" spans="1:9">
      <c r="A142" s="159"/>
      <c r="B142" s="159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A141:B142"/>
    <mergeCell ref="C1:F1"/>
    <mergeCell ref="G1:I1"/>
    <mergeCell ref="A1:B1"/>
    <mergeCell ref="A137:B137"/>
    <mergeCell ref="A139:B140"/>
  </mergeCells>
  <conditionalFormatting sqref="F3:F137 I3:I137">
    <cfRule type="cellIs" dxfId="2194" priority="1" operator="lessThanOrEqual">
      <formula>-0.1</formula>
    </cfRule>
    <cfRule type="cellIs" dxfId="2193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42"/>
  <sheetViews>
    <sheetView workbookViewId="0">
      <pane ySplit="2" topLeftCell="A108" activePane="bottomLeft" state="frozen"/>
      <selection pane="bottomLeft" activeCell="A5" sqref="A5"/>
      <selection activeCell="L18" sqref="L18"/>
    </sheetView>
  </sheetViews>
  <sheetFormatPr defaultRowHeight="12.75"/>
  <cols>
    <col min="1" max="1" width="35.85546875" bestFit="1" customWidth="1"/>
    <col min="2" max="2" width="35.8554687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5" t="str" cm="1">
        <f t="array" ref="A1">portfolio</f>
        <v>Generate Capital</v>
      </c>
      <c r="B1" s="166"/>
      <c r="C1" s="160" t="s">
        <v>14</v>
      </c>
      <c r="D1" s="161"/>
      <c r="E1" s="161"/>
      <c r="F1" s="162"/>
      <c r="G1" s="163" t="s">
        <v>15</v>
      </c>
      <c r="H1" s="163"/>
      <c r="I1" s="164"/>
    </row>
    <row r="2" spans="1:9" ht="13.9">
      <c r="A2" s="82" t="s">
        <v>2</v>
      </c>
      <c r="B2" s="82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8" t="s">
        <v>7</v>
      </c>
    </row>
    <row r="3" spans="1:9" ht="15.75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81">
        <f ca="1">SUM(Apr!C3, May!C3, Jun!C3)</f>
        <v>0</v>
      </c>
      <c r="D3" s="50">
        <f ca="1">SUM(Apr!D3, May!D3, Jun!D3)</f>
        <v>0</v>
      </c>
      <c r="E3" s="50">
        <f t="shared" ref="E3" ca="1" si="0">C3-D3</f>
        <v>0</v>
      </c>
      <c r="F3" s="51">
        <f ca="1">IFERROR(E3/D3, 0)</f>
        <v>0</v>
      </c>
      <c r="G3" s="52">
        <f ca="1">SUM(Apr!G3, May!G3, Jun!G3)</f>
        <v>0</v>
      </c>
      <c r="H3" s="52">
        <f ca="1">C3-G3</f>
        <v>0</v>
      </c>
      <c r="I3" s="53">
        <f ca="1">IFERROR(H3/G3, 0)</f>
        <v>0</v>
      </c>
    </row>
    <row r="4" spans="1:9" ht="15.75">
      <c r="A4" s="59" t="str">
        <v>Fulton</v>
      </c>
      <c r="B4" s="21" t="str">
        <v>Blue Renewables</v>
      </c>
      <c r="C4" s="81">
        <f ca="1">SUM(Apr!C4, May!C4, Jun!C4)</f>
        <v>0</v>
      </c>
      <c r="D4" s="50">
        <f ca="1">SUM(Apr!D4, May!D4, Jun!D4)</f>
        <v>0</v>
      </c>
      <c r="E4" s="50">
        <f t="shared" ref="E4:E67" ca="1" si="1">C4-D4</f>
        <v>0</v>
      </c>
      <c r="F4" s="51">
        <f t="shared" ref="F4:F67" ca="1" si="2">IFERROR(E4/D4, 0)</f>
        <v>0</v>
      </c>
      <c r="G4" s="52">
        <f ca="1">SUM(Apr!G4, May!G4, Jun!G4)</f>
        <v>0</v>
      </c>
      <c r="H4" s="52">
        <f t="shared" ref="H4:H67" ca="1" si="3">C4-G4</f>
        <v>0</v>
      </c>
      <c r="I4" s="53">
        <f t="shared" ref="I4:I67" ca="1" si="4">IFERROR(H4/G4, 0)</f>
        <v>0</v>
      </c>
    </row>
    <row r="5" spans="1:9" ht="15.75">
      <c r="A5" s="63" t="str">
        <v>JFK Elementary</v>
      </c>
      <c r="B5" s="64" t="str">
        <v>Blue Renewables</v>
      </c>
      <c r="C5" s="81">
        <f ca="1">SUM(Apr!C5, May!C5, Jun!C5)</f>
        <v>0</v>
      </c>
      <c r="D5" s="50">
        <f ca="1">SUM(Apr!D5, May!D5, Jun!D5)</f>
        <v>0</v>
      </c>
      <c r="E5" s="50">
        <f t="shared" ca="1" si="1"/>
        <v>0</v>
      </c>
      <c r="F5" s="51">
        <f t="shared" ca="1" si="2"/>
        <v>0</v>
      </c>
      <c r="G5" s="52">
        <f ca="1">SUM(Apr!G5, May!G5, Jun!G5)</f>
        <v>0</v>
      </c>
      <c r="H5" s="52">
        <f t="shared" ca="1" si="3"/>
        <v>0</v>
      </c>
      <c r="I5" s="53">
        <f t="shared" ca="1" si="4"/>
        <v>0</v>
      </c>
    </row>
    <row r="6" spans="1:9" ht="15.75">
      <c r="A6" s="59" t="str">
        <v>Noble</v>
      </c>
      <c r="B6" s="21" t="str">
        <v>Blue Renewables</v>
      </c>
      <c r="C6" s="81">
        <f ca="1">SUM(Apr!C6, May!C6, Jun!C6)</f>
        <v>0</v>
      </c>
      <c r="D6" s="50">
        <f ca="1">SUM(Apr!D6, May!D6, Jun!D6)</f>
        <v>0</v>
      </c>
      <c r="E6" s="50">
        <f t="shared" ca="1" si="1"/>
        <v>0</v>
      </c>
      <c r="F6" s="51">
        <f t="shared" ca="1" si="2"/>
        <v>0</v>
      </c>
      <c r="G6" s="52">
        <f ca="1">SUM(Apr!G6, May!G6, Jun!G6)</f>
        <v>0</v>
      </c>
      <c r="H6" s="52">
        <f t="shared" ca="1" si="3"/>
        <v>0</v>
      </c>
      <c r="I6" s="53">
        <f t="shared" ca="1" si="4"/>
        <v>0</v>
      </c>
    </row>
    <row r="7" spans="1:9" ht="15.75">
      <c r="A7" s="63" t="str">
        <v>Parking 3</v>
      </c>
      <c r="B7" s="64" t="str">
        <v>Blue Renewables</v>
      </c>
      <c r="C7" s="81">
        <f ca="1">SUM(Apr!C7, May!C7, Jun!C7)</f>
        <v>0</v>
      </c>
      <c r="D7" s="50">
        <f ca="1">SUM(Apr!D7, May!D7, Jun!D7)</f>
        <v>0</v>
      </c>
      <c r="E7" s="50">
        <f t="shared" ca="1" si="1"/>
        <v>0</v>
      </c>
      <c r="F7" s="51">
        <f t="shared" ca="1" si="2"/>
        <v>0</v>
      </c>
      <c r="G7" s="52">
        <f ca="1">SUM(Apr!G7, May!G7, Jun!G7)</f>
        <v>0</v>
      </c>
      <c r="H7" s="52">
        <f t="shared" ca="1" si="3"/>
        <v>0</v>
      </c>
      <c r="I7" s="53">
        <f t="shared" ca="1" si="4"/>
        <v>0</v>
      </c>
    </row>
    <row r="8" spans="1:9" ht="16.149999999999999" customHeight="1">
      <c r="A8" s="59" t="str">
        <v>PE East</v>
      </c>
      <c r="B8" s="21" t="str">
        <v>Blue Renewables</v>
      </c>
      <c r="C8" s="81">
        <f ca="1">SUM(Apr!C8, May!C8, Jun!C8)</f>
        <v>0</v>
      </c>
      <c r="D8" s="50">
        <f ca="1">SUM(Apr!D8, May!D8, Jun!D8)</f>
        <v>0</v>
      </c>
      <c r="E8" s="50">
        <f t="shared" ca="1" si="1"/>
        <v>0</v>
      </c>
      <c r="F8" s="51">
        <f t="shared" ca="1" si="2"/>
        <v>0</v>
      </c>
      <c r="G8" s="52">
        <f ca="1">SUM(Apr!G8, May!G8, Jun!G8)</f>
        <v>0</v>
      </c>
      <c r="H8" s="52">
        <f t="shared" ca="1" si="3"/>
        <v>0</v>
      </c>
      <c r="I8" s="53">
        <f t="shared" ca="1" si="4"/>
        <v>0</v>
      </c>
    </row>
    <row r="9" spans="1:9" ht="15.75">
      <c r="A9" s="63" t="str">
        <v>Schwada</v>
      </c>
      <c r="B9" s="64" t="str">
        <v>Blue Renewables</v>
      </c>
      <c r="C9" s="81">
        <f ca="1">SUM(Apr!C9, May!C9, Jun!C9)</f>
        <v>0</v>
      </c>
      <c r="D9" s="50">
        <f ca="1">SUM(Apr!D9, May!D9, Jun!D9)</f>
        <v>0</v>
      </c>
      <c r="E9" s="50">
        <f t="shared" ca="1" si="1"/>
        <v>0</v>
      </c>
      <c r="F9" s="51">
        <f t="shared" ca="1" si="2"/>
        <v>0</v>
      </c>
      <c r="G9" s="52">
        <f ca="1">SUM(Apr!G9, May!G9, Jun!G9)</f>
        <v>0</v>
      </c>
      <c r="H9" s="52">
        <f t="shared" ca="1" si="3"/>
        <v>0</v>
      </c>
      <c r="I9" s="53">
        <f t="shared" ca="1" si="4"/>
        <v>0</v>
      </c>
    </row>
    <row r="10" spans="1:9" ht="15.75">
      <c r="A10" s="59" t="str">
        <v>Starshine</v>
      </c>
      <c r="B10" s="21" t="str">
        <v>Blue Renewables</v>
      </c>
      <c r="C10" s="81">
        <f ca="1">SUM(Apr!C10, May!C10, Jun!C10)</f>
        <v>0</v>
      </c>
      <c r="D10" s="50">
        <f ca="1">SUM(Apr!D10, May!D10, Jun!D10)</f>
        <v>0</v>
      </c>
      <c r="E10" s="50">
        <f t="shared" ca="1" si="1"/>
        <v>0</v>
      </c>
      <c r="F10" s="51">
        <f t="shared" ca="1" si="2"/>
        <v>0</v>
      </c>
      <c r="G10" s="52">
        <f ca="1">SUM(Apr!G10, May!G10, Jun!G10)</f>
        <v>0</v>
      </c>
      <c r="H10" s="52">
        <f t="shared" ca="1" si="3"/>
        <v>0</v>
      </c>
      <c r="I10" s="53">
        <f t="shared" ca="1" si="4"/>
        <v>0</v>
      </c>
    </row>
    <row r="11" spans="1:9" ht="15.75">
      <c r="A11" s="63" t="str">
        <v>Yuma Airport</v>
      </c>
      <c r="B11" s="64" t="str">
        <v>Blue Renewables</v>
      </c>
      <c r="C11" s="81">
        <f ca="1">SUM(Apr!C11, May!C11, Jun!C11)</f>
        <v>0</v>
      </c>
      <c r="D11" s="50">
        <f ca="1">SUM(Apr!D11, May!D11, Jun!D11)</f>
        <v>0</v>
      </c>
      <c r="E11" s="50">
        <f t="shared" ca="1" si="1"/>
        <v>0</v>
      </c>
      <c r="F11" s="51">
        <f t="shared" ca="1" si="2"/>
        <v>0</v>
      </c>
      <c r="G11" s="52">
        <f ca="1">SUM(Apr!G11, May!G11, Jun!G11)</f>
        <v>0</v>
      </c>
      <c r="H11" s="52">
        <f t="shared" ca="1" si="3"/>
        <v>0</v>
      </c>
      <c r="I11" s="53">
        <f t="shared" ca="1" si="4"/>
        <v>0</v>
      </c>
    </row>
    <row r="12" spans="1:9" ht="15.75">
      <c r="A12" s="59" t="str">
        <v>Kinsman</v>
      </c>
      <c r="B12" s="21" t="str">
        <v>Blue Renewables</v>
      </c>
      <c r="C12" s="81">
        <f ca="1">SUM(Apr!C12, May!C12, Jun!C12)</f>
        <v>0</v>
      </c>
      <c r="D12" s="50">
        <f ca="1">SUM(Apr!D12, May!D12, Jun!D12)</f>
        <v>0</v>
      </c>
      <c r="E12" s="50">
        <f t="shared" ca="1" si="1"/>
        <v>0</v>
      </c>
      <c r="F12" s="51">
        <f t="shared" ca="1" si="2"/>
        <v>0</v>
      </c>
      <c r="G12" s="52">
        <f ca="1">SUM(Apr!G12, May!G12, Jun!G12)</f>
        <v>0</v>
      </c>
      <c r="H12" s="52">
        <f t="shared" ca="1" si="3"/>
        <v>0</v>
      </c>
      <c r="I12" s="53">
        <f t="shared" ca="1" si="4"/>
        <v>0</v>
      </c>
    </row>
    <row r="13" spans="1:9" ht="12.75" customHeight="1">
      <c r="A13" s="63" t="str">
        <v>Wooster</v>
      </c>
      <c r="B13" s="64" t="str">
        <v>Blue Renewables</v>
      </c>
      <c r="C13" s="81">
        <f ca="1">SUM(Apr!C13, May!C13, Jun!C13)</f>
        <v>0</v>
      </c>
      <c r="D13" s="50">
        <f ca="1">SUM(Apr!D13, May!D13, Jun!D13)</f>
        <v>0</v>
      </c>
      <c r="E13" s="50">
        <f t="shared" ca="1" si="1"/>
        <v>0</v>
      </c>
      <c r="F13" s="51">
        <f t="shared" ca="1" si="2"/>
        <v>0</v>
      </c>
      <c r="G13" s="52">
        <f ca="1">SUM(Apr!G13, May!G13, Jun!G13)</f>
        <v>0</v>
      </c>
      <c r="H13" s="52">
        <f t="shared" ca="1" si="3"/>
        <v>0</v>
      </c>
      <c r="I13" s="53">
        <f t="shared" ca="1" si="4"/>
        <v>0</v>
      </c>
    </row>
    <row r="14" spans="1:9" ht="12.75" customHeight="1">
      <c r="A14" s="59" t="str">
        <v>Globe Gila CC</v>
      </c>
      <c r="B14" s="21" t="str">
        <v>CC Gen Equity</v>
      </c>
      <c r="C14" s="81">
        <f ca="1">SUM(Apr!C14, May!C14, Jun!C14)</f>
        <v>0</v>
      </c>
      <c r="D14" s="50">
        <f ca="1">SUM(Apr!D14, May!D14, Jun!D14)</f>
        <v>0</v>
      </c>
      <c r="E14" s="50">
        <f t="shared" ca="1" si="1"/>
        <v>0</v>
      </c>
      <c r="F14" s="51">
        <f t="shared" ca="1" si="2"/>
        <v>0</v>
      </c>
      <c r="G14" s="52">
        <f ca="1">SUM(Apr!G14, May!G14, Jun!G14)</f>
        <v>0</v>
      </c>
      <c r="H14" s="52">
        <f t="shared" ca="1" si="3"/>
        <v>0</v>
      </c>
      <c r="I14" s="53">
        <f t="shared" ca="1" si="4"/>
        <v>0</v>
      </c>
    </row>
    <row r="15" spans="1:9" ht="12.75" customHeight="1">
      <c r="A15" s="63" t="str">
        <v>Payson Gila CC</v>
      </c>
      <c r="B15" s="64" t="str">
        <v>CC Gen Equity</v>
      </c>
      <c r="C15" s="81">
        <f ca="1">SUM(Apr!C15, May!C15, Jun!C15)</f>
        <v>0</v>
      </c>
      <c r="D15" s="50">
        <f ca="1">SUM(Apr!D15, May!D15, Jun!D15)</f>
        <v>0</v>
      </c>
      <c r="E15" s="50">
        <f t="shared" ca="1" si="1"/>
        <v>0</v>
      </c>
      <c r="F15" s="51">
        <f t="shared" ca="1" si="2"/>
        <v>0</v>
      </c>
      <c r="G15" s="52">
        <f ca="1">SUM(Apr!G15, May!G15, Jun!G15)</f>
        <v>0</v>
      </c>
      <c r="H15" s="52">
        <f t="shared" ca="1" si="3"/>
        <v>0</v>
      </c>
      <c r="I15" s="53">
        <f t="shared" ca="1" si="4"/>
        <v>0</v>
      </c>
    </row>
    <row r="16" spans="1:9" ht="12.75" customHeight="1">
      <c r="A16" s="59" t="str">
        <v>SCNM</v>
      </c>
      <c r="B16" s="21" t="str">
        <v>CC Gen Equity</v>
      </c>
      <c r="C16" s="81">
        <f ca="1">SUM(Apr!C16, May!C16, Jun!C16)</f>
        <v>0</v>
      </c>
      <c r="D16" s="50">
        <f ca="1">SUM(Apr!D16, May!D16, Jun!D16)</f>
        <v>0</v>
      </c>
      <c r="E16" s="50">
        <f t="shared" ca="1" si="1"/>
        <v>0</v>
      </c>
      <c r="F16" s="51">
        <f t="shared" ca="1" si="2"/>
        <v>0</v>
      </c>
      <c r="G16" s="52">
        <f ca="1">SUM(Apr!G16, May!G16, Jun!G16)</f>
        <v>0</v>
      </c>
      <c r="H16" s="52">
        <f t="shared" ca="1" si="3"/>
        <v>0</v>
      </c>
      <c r="I16" s="53">
        <f t="shared" ca="1" si="4"/>
        <v>0</v>
      </c>
    </row>
    <row r="17" spans="1:9" ht="15.75">
      <c r="A17" s="63" t="str">
        <v>Sequoia Charter School</v>
      </c>
      <c r="B17" s="64" t="str">
        <v>CC Gen Equity</v>
      </c>
      <c r="C17" s="81">
        <f ca="1">SUM(Apr!C17, May!C17, Jun!C17)</f>
        <v>0</v>
      </c>
      <c r="D17" s="50">
        <f ca="1">SUM(Apr!D17, May!D17, Jun!D17)</f>
        <v>0</v>
      </c>
      <c r="E17" s="50">
        <f t="shared" ca="1" si="1"/>
        <v>0</v>
      </c>
      <c r="F17" s="51">
        <f t="shared" ca="1" si="2"/>
        <v>0</v>
      </c>
      <c r="G17" s="52">
        <f ca="1">SUM(Apr!G17, May!G17, Jun!G17)</f>
        <v>0</v>
      </c>
      <c r="H17" s="52">
        <f t="shared" ca="1" si="3"/>
        <v>0</v>
      </c>
      <c r="I17" s="53">
        <f t="shared" ca="1" si="4"/>
        <v>0</v>
      </c>
    </row>
    <row r="18" spans="1:9" ht="15.75">
      <c r="A18" s="59" t="str">
        <v>RCAB</v>
      </c>
      <c r="B18" s="21" t="str">
        <v>GESF2</v>
      </c>
      <c r="C18" s="81">
        <f ca="1">SUM(Apr!C18, May!C18, Jun!C18)</f>
        <v>0</v>
      </c>
      <c r="D18" s="50">
        <f ca="1">SUM(Apr!D18, May!D18, Jun!D18)</f>
        <v>0</v>
      </c>
      <c r="E18" s="50">
        <f t="shared" ca="1" si="1"/>
        <v>0</v>
      </c>
      <c r="F18" s="51">
        <f t="shared" ca="1" si="2"/>
        <v>0</v>
      </c>
      <c r="G18" s="52">
        <f ca="1">SUM(Apr!G18, May!G18, Jun!G18)</f>
        <v>0</v>
      </c>
      <c r="H18" s="52">
        <f t="shared" ca="1" si="3"/>
        <v>0</v>
      </c>
      <c r="I18" s="53">
        <f t="shared" ca="1" si="4"/>
        <v>0</v>
      </c>
    </row>
    <row r="19" spans="1:9" ht="15.75">
      <c r="A19" s="63" t="str">
        <v>Spectro Coatings</v>
      </c>
      <c r="B19" s="64" t="str">
        <v>GESF2</v>
      </c>
      <c r="C19" s="81">
        <f ca="1">SUM(Apr!C19, May!C19, Jun!C19)</f>
        <v>0</v>
      </c>
      <c r="D19" s="50">
        <f ca="1">SUM(Apr!D19, May!D19, Jun!D19)</f>
        <v>0</v>
      </c>
      <c r="E19" s="50">
        <f t="shared" ca="1" si="1"/>
        <v>0</v>
      </c>
      <c r="F19" s="51">
        <f t="shared" ca="1" si="2"/>
        <v>0</v>
      </c>
      <c r="G19" s="52">
        <f ca="1">SUM(Apr!G19, May!G19, Jun!G19)</f>
        <v>0</v>
      </c>
      <c r="H19" s="52">
        <f t="shared" ca="1" si="3"/>
        <v>0</v>
      </c>
      <c r="I19" s="53">
        <f t="shared" ca="1" si="4"/>
        <v>0</v>
      </c>
    </row>
    <row r="20" spans="1:9" ht="15.75">
      <c r="A20" s="59" t="str">
        <v>K026</v>
      </c>
      <c r="B20" s="21" t="str">
        <v>Hudson</v>
      </c>
      <c r="C20" s="81">
        <f ca="1">SUM(Apr!C20, May!C20, Jun!C20)</f>
        <v>0</v>
      </c>
      <c r="D20" s="50">
        <f ca="1">SUM(Apr!D20, May!D20, Jun!D20)</f>
        <v>0</v>
      </c>
      <c r="E20" s="50">
        <f t="shared" ca="1" si="1"/>
        <v>0</v>
      </c>
      <c r="F20" s="51">
        <f t="shared" ca="1" si="2"/>
        <v>0</v>
      </c>
      <c r="G20" s="52">
        <f ca="1">SUM(Apr!G20, May!G20, Jun!G20)</f>
        <v>0</v>
      </c>
      <c r="H20" s="52">
        <f t="shared" ca="1" si="3"/>
        <v>0</v>
      </c>
      <c r="I20" s="53">
        <f t="shared" ca="1" si="4"/>
        <v>0</v>
      </c>
    </row>
    <row r="21" spans="1:9" ht="15.75">
      <c r="A21" s="63" t="str">
        <v>K041</v>
      </c>
      <c r="B21" s="64" t="str">
        <v>Hudson</v>
      </c>
      <c r="C21" s="81">
        <f ca="1">SUM(Apr!C21, May!C21, Jun!C21)</f>
        <v>0</v>
      </c>
      <c r="D21" s="50">
        <f ca="1">SUM(Apr!D21, May!D21, Jun!D21)</f>
        <v>0</v>
      </c>
      <c r="E21" s="50">
        <f t="shared" ca="1" si="1"/>
        <v>0</v>
      </c>
      <c r="F21" s="51">
        <f t="shared" ca="1" si="2"/>
        <v>0</v>
      </c>
      <c r="G21" s="52">
        <f ca="1">SUM(Apr!G21, May!G21, Jun!G21)</f>
        <v>0</v>
      </c>
      <c r="H21" s="52">
        <f t="shared" ca="1" si="3"/>
        <v>0</v>
      </c>
      <c r="I21" s="53">
        <f t="shared" ca="1" si="4"/>
        <v>0</v>
      </c>
    </row>
    <row r="22" spans="1:9" ht="15.75">
      <c r="A22" s="59" t="str">
        <v>K043</v>
      </c>
      <c r="B22" s="21" t="str">
        <v>Hudson</v>
      </c>
      <c r="C22" s="81">
        <f ca="1">SUM(Apr!C22, May!C22, Jun!C22)</f>
        <v>0</v>
      </c>
      <c r="D22" s="50">
        <f ca="1">SUM(Apr!D22, May!D22, Jun!D22)</f>
        <v>0</v>
      </c>
      <c r="E22" s="50">
        <f t="shared" ca="1" si="1"/>
        <v>0</v>
      </c>
      <c r="F22" s="51">
        <f t="shared" ca="1" si="2"/>
        <v>0</v>
      </c>
      <c r="G22" s="52">
        <f ca="1">SUM(Apr!G22, May!G22, Jun!G22)</f>
        <v>0</v>
      </c>
      <c r="H22" s="52">
        <f t="shared" ca="1" si="3"/>
        <v>0</v>
      </c>
      <c r="I22" s="53">
        <f t="shared" ca="1" si="4"/>
        <v>0</v>
      </c>
    </row>
    <row r="23" spans="1:9" ht="15.75">
      <c r="A23" s="63" t="str">
        <v>K058</v>
      </c>
      <c r="B23" s="64" t="str">
        <v>Hudson</v>
      </c>
      <c r="C23" s="81">
        <f ca="1">SUM(Apr!C23, May!C23, Jun!C23)</f>
        <v>0</v>
      </c>
      <c r="D23" s="50">
        <f ca="1">SUM(Apr!D23, May!D23, Jun!D23)</f>
        <v>0</v>
      </c>
      <c r="E23" s="50">
        <f t="shared" ca="1" si="1"/>
        <v>0</v>
      </c>
      <c r="F23" s="51">
        <f t="shared" ca="1" si="2"/>
        <v>0</v>
      </c>
      <c r="G23" s="52">
        <f ca="1">SUM(Apr!G23, May!G23, Jun!G23)</f>
        <v>0</v>
      </c>
      <c r="H23" s="52">
        <f t="shared" ca="1" si="3"/>
        <v>0</v>
      </c>
      <c r="I23" s="53">
        <f t="shared" ca="1" si="4"/>
        <v>0</v>
      </c>
    </row>
    <row r="24" spans="1:9" ht="15.75">
      <c r="A24" s="59" t="str">
        <v>K115</v>
      </c>
      <c r="B24" s="21" t="str">
        <v>Hudson</v>
      </c>
      <c r="C24" s="81">
        <f ca="1">SUM(Apr!C24, May!C24, Jun!C24)</f>
        <v>0</v>
      </c>
      <c r="D24" s="50">
        <f ca="1">SUM(Apr!D24, May!D24, Jun!D24)</f>
        <v>0</v>
      </c>
      <c r="E24" s="50">
        <f t="shared" ca="1" si="1"/>
        <v>0</v>
      </c>
      <c r="F24" s="51">
        <f t="shared" ca="1" si="2"/>
        <v>0</v>
      </c>
      <c r="G24" s="52">
        <f ca="1">SUM(Apr!G24, May!G24, Jun!G24)</f>
        <v>0</v>
      </c>
      <c r="H24" s="52">
        <f t="shared" ca="1" si="3"/>
        <v>0</v>
      </c>
      <c r="I24" s="53">
        <f t="shared" ca="1" si="4"/>
        <v>0</v>
      </c>
    </row>
    <row r="25" spans="1:9" ht="15.75">
      <c r="A25" s="63" t="str">
        <v>K152</v>
      </c>
      <c r="B25" s="64" t="str">
        <v>Hudson</v>
      </c>
      <c r="C25" s="81">
        <f ca="1">SUM(Apr!C25, May!C25, Jun!C25)</f>
        <v>0</v>
      </c>
      <c r="D25" s="50">
        <f ca="1">SUM(Apr!D25, May!D25, Jun!D25)</f>
        <v>0</v>
      </c>
      <c r="E25" s="50">
        <f t="shared" ca="1" si="1"/>
        <v>0</v>
      </c>
      <c r="F25" s="51">
        <f t="shared" ca="1" si="2"/>
        <v>0</v>
      </c>
      <c r="G25" s="52">
        <f ca="1">SUM(Apr!G25, May!G25, Jun!G25)</f>
        <v>0</v>
      </c>
      <c r="H25" s="52">
        <f t="shared" ca="1" si="3"/>
        <v>0</v>
      </c>
      <c r="I25" s="53">
        <f t="shared" ca="1" si="4"/>
        <v>0</v>
      </c>
    </row>
    <row r="26" spans="1:9" ht="15.75">
      <c r="A26" s="59" t="str">
        <v>K166</v>
      </c>
      <c r="B26" s="21" t="str">
        <v>Hudson</v>
      </c>
      <c r="C26" s="81">
        <f ca="1">SUM(Apr!C26, May!C26, Jun!C26)</f>
        <v>0</v>
      </c>
      <c r="D26" s="50">
        <f ca="1">SUM(Apr!D26, May!D26, Jun!D26)</f>
        <v>0</v>
      </c>
      <c r="E26" s="50">
        <f t="shared" ca="1" si="1"/>
        <v>0</v>
      </c>
      <c r="F26" s="51">
        <f t="shared" ca="1" si="2"/>
        <v>0</v>
      </c>
      <c r="G26" s="52">
        <f ca="1">SUM(Apr!G26, May!G26, Jun!G26)</f>
        <v>0</v>
      </c>
      <c r="H26" s="52">
        <f t="shared" ca="1" si="3"/>
        <v>0</v>
      </c>
      <c r="I26" s="53">
        <f t="shared" ca="1" si="4"/>
        <v>0</v>
      </c>
    </row>
    <row r="27" spans="1:9" ht="15.75">
      <c r="A27" s="63" t="str">
        <v>K206</v>
      </c>
      <c r="B27" s="64" t="str">
        <v>Hudson</v>
      </c>
      <c r="C27" s="81">
        <f ca="1">SUM(Apr!C27, May!C27, Jun!C27)</f>
        <v>0</v>
      </c>
      <c r="D27" s="50">
        <f ca="1">SUM(Apr!D27, May!D27, Jun!D27)</f>
        <v>0</v>
      </c>
      <c r="E27" s="50">
        <f t="shared" ca="1" si="1"/>
        <v>0</v>
      </c>
      <c r="F27" s="51">
        <f t="shared" ca="1" si="2"/>
        <v>0</v>
      </c>
      <c r="G27" s="52">
        <f ca="1">SUM(Apr!G27, May!G27, Jun!G27)</f>
        <v>0</v>
      </c>
      <c r="H27" s="52">
        <f t="shared" ca="1" si="3"/>
        <v>0</v>
      </c>
      <c r="I27" s="53">
        <f t="shared" ca="1" si="4"/>
        <v>0</v>
      </c>
    </row>
    <row r="28" spans="1:9" ht="15.75">
      <c r="A28" s="59" t="str">
        <v>K251</v>
      </c>
      <c r="B28" s="21" t="str">
        <v>Hudson</v>
      </c>
      <c r="C28" s="81">
        <f ca="1">SUM(Apr!C28, May!C28, Jun!C28)</f>
        <v>0</v>
      </c>
      <c r="D28" s="50">
        <f ca="1">SUM(Apr!D28, May!D28, Jun!D28)</f>
        <v>0</v>
      </c>
      <c r="E28" s="50">
        <f t="shared" ca="1" si="1"/>
        <v>0</v>
      </c>
      <c r="F28" s="51">
        <f t="shared" ca="1" si="2"/>
        <v>0</v>
      </c>
      <c r="G28" s="52">
        <f ca="1">SUM(Apr!G28, May!G28, Jun!G28)</f>
        <v>0</v>
      </c>
      <c r="H28" s="52">
        <f t="shared" ca="1" si="3"/>
        <v>0</v>
      </c>
      <c r="I28" s="53">
        <f t="shared" ca="1" si="4"/>
        <v>0</v>
      </c>
    </row>
    <row r="29" spans="1:9" ht="15.75">
      <c r="A29" s="63" t="str">
        <v>K269</v>
      </c>
      <c r="B29" s="64" t="str">
        <v>Hudson</v>
      </c>
      <c r="C29" s="81">
        <f ca="1">SUM(Apr!C29, May!C29, Jun!C29)</f>
        <v>0</v>
      </c>
      <c r="D29" s="50">
        <f ca="1">SUM(Apr!D29, May!D29, Jun!D29)</f>
        <v>0</v>
      </c>
      <c r="E29" s="50">
        <f t="shared" ca="1" si="1"/>
        <v>0</v>
      </c>
      <c r="F29" s="51">
        <f t="shared" ca="1" si="2"/>
        <v>0</v>
      </c>
      <c r="G29" s="52">
        <f ca="1">SUM(Apr!G29, May!G29, Jun!G29)</f>
        <v>0</v>
      </c>
      <c r="H29" s="52">
        <f t="shared" ca="1" si="3"/>
        <v>0</v>
      </c>
      <c r="I29" s="53">
        <f t="shared" ca="1" si="4"/>
        <v>0</v>
      </c>
    </row>
    <row r="30" spans="1:9" ht="15.75">
      <c r="A30" s="59" t="str">
        <v>K273</v>
      </c>
      <c r="B30" s="21" t="str">
        <v>Hudson</v>
      </c>
      <c r="C30" s="81">
        <f ca="1">SUM(Apr!C30, May!C30, Jun!C30)</f>
        <v>0</v>
      </c>
      <c r="D30" s="50">
        <f ca="1">SUM(Apr!D30, May!D30, Jun!D30)</f>
        <v>0</v>
      </c>
      <c r="E30" s="50">
        <f t="shared" ca="1" si="1"/>
        <v>0</v>
      </c>
      <c r="F30" s="51">
        <f t="shared" ca="1" si="2"/>
        <v>0</v>
      </c>
      <c r="G30" s="52">
        <f ca="1">SUM(Apr!G30, May!G30, Jun!G30)</f>
        <v>0</v>
      </c>
      <c r="H30" s="52">
        <f t="shared" ca="1" si="3"/>
        <v>0</v>
      </c>
      <c r="I30" s="53">
        <f t="shared" ca="1" si="4"/>
        <v>0</v>
      </c>
    </row>
    <row r="31" spans="1:9" ht="15.75">
      <c r="A31" s="63" t="str">
        <v>K287</v>
      </c>
      <c r="B31" s="64" t="str">
        <v>Hudson</v>
      </c>
      <c r="C31" s="81">
        <f ca="1">SUM(Apr!C31, May!C31, Jun!C31)</f>
        <v>0</v>
      </c>
      <c r="D31" s="50">
        <f ca="1">SUM(Apr!D31, May!D31, Jun!D31)</f>
        <v>0</v>
      </c>
      <c r="E31" s="50">
        <f t="shared" ca="1" si="1"/>
        <v>0</v>
      </c>
      <c r="F31" s="51">
        <f t="shared" ca="1" si="2"/>
        <v>0</v>
      </c>
      <c r="G31" s="52">
        <f ca="1">SUM(Apr!G31, May!G31, Jun!G31)</f>
        <v>0</v>
      </c>
      <c r="H31" s="52">
        <f t="shared" ca="1" si="3"/>
        <v>0</v>
      </c>
      <c r="I31" s="53">
        <f t="shared" ca="1" si="4"/>
        <v>0</v>
      </c>
    </row>
    <row r="32" spans="1:9" ht="15.75">
      <c r="A32" s="59" t="str">
        <v>K298</v>
      </c>
      <c r="B32" s="21" t="str">
        <v>Hudson</v>
      </c>
      <c r="C32" s="81">
        <f ca="1">SUM(Apr!C32, May!C32, Jun!C32)</f>
        <v>0</v>
      </c>
      <c r="D32" s="50">
        <f ca="1">SUM(Apr!D32, May!D32, Jun!D32)</f>
        <v>0</v>
      </c>
      <c r="E32" s="50">
        <f t="shared" ca="1" si="1"/>
        <v>0</v>
      </c>
      <c r="F32" s="51">
        <f t="shared" ca="1" si="2"/>
        <v>0</v>
      </c>
      <c r="G32" s="52">
        <f ca="1">SUM(Apr!G32, May!G32, Jun!G32)</f>
        <v>0</v>
      </c>
      <c r="H32" s="52">
        <f t="shared" ca="1" si="3"/>
        <v>0</v>
      </c>
      <c r="I32" s="53">
        <f t="shared" ca="1" si="4"/>
        <v>0</v>
      </c>
    </row>
    <row r="33" spans="1:9" ht="15.75">
      <c r="A33" s="63" t="str">
        <v>K335</v>
      </c>
      <c r="B33" s="64" t="str">
        <v>Hudson</v>
      </c>
      <c r="C33" s="81">
        <f ca="1">SUM(Apr!C33, May!C33, Jun!C33)</f>
        <v>0</v>
      </c>
      <c r="D33" s="50">
        <f ca="1">SUM(Apr!D33, May!D33, Jun!D33)</f>
        <v>0</v>
      </c>
      <c r="E33" s="50">
        <f t="shared" ca="1" si="1"/>
        <v>0</v>
      </c>
      <c r="F33" s="51">
        <f t="shared" ca="1" si="2"/>
        <v>0</v>
      </c>
      <c r="G33" s="52">
        <f ca="1">SUM(Apr!G33, May!G33, Jun!G33)</f>
        <v>0</v>
      </c>
      <c r="H33" s="52">
        <f t="shared" ca="1" si="3"/>
        <v>0</v>
      </c>
      <c r="I33" s="53">
        <f t="shared" ca="1" si="4"/>
        <v>0</v>
      </c>
    </row>
    <row r="34" spans="1:9" ht="15.75">
      <c r="A34" s="59" t="str">
        <v>K345</v>
      </c>
      <c r="B34" s="21" t="str">
        <v>Hudson</v>
      </c>
      <c r="C34" s="81">
        <f ca="1">SUM(Apr!C34, May!C34, Jun!C34)</f>
        <v>0</v>
      </c>
      <c r="D34" s="50">
        <f ca="1">SUM(Apr!D34, May!D34, Jun!D34)</f>
        <v>0</v>
      </c>
      <c r="E34" s="50">
        <f t="shared" ca="1" si="1"/>
        <v>0</v>
      </c>
      <c r="F34" s="51">
        <f t="shared" ca="1" si="2"/>
        <v>0</v>
      </c>
      <c r="G34" s="52">
        <f ca="1">SUM(Apr!G34, May!G34, Jun!G34)</f>
        <v>0</v>
      </c>
      <c r="H34" s="52">
        <f t="shared" ca="1" si="3"/>
        <v>0</v>
      </c>
      <c r="I34" s="53">
        <f t="shared" ca="1" si="4"/>
        <v>0</v>
      </c>
    </row>
    <row r="35" spans="1:9" ht="15.75">
      <c r="A35" s="63" t="str">
        <v>K445</v>
      </c>
      <c r="B35" s="64" t="str">
        <v>Hudson</v>
      </c>
      <c r="C35" s="81">
        <f ca="1">SUM(Apr!C35, May!C35, Jun!C35)</f>
        <v>0</v>
      </c>
      <c r="D35" s="50">
        <f ca="1">SUM(Apr!D35, May!D35, Jun!D35)</f>
        <v>0</v>
      </c>
      <c r="E35" s="50">
        <f t="shared" ca="1" si="1"/>
        <v>0</v>
      </c>
      <c r="F35" s="51">
        <f t="shared" ca="1" si="2"/>
        <v>0</v>
      </c>
      <c r="G35" s="52">
        <f ca="1">SUM(Apr!G35, May!G35, Jun!G35)</f>
        <v>0</v>
      </c>
      <c r="H35" s="52">
        <f t="shared" ca="1" si="3"/>
        <v>0</v>
      </c>
      <c r="I35" s="53">
        <f t="shared" ca="1" si="4"/>
        <v>0</v>
      </c>
    </row>
    <row r="36" spans="1:9" ht="15.75">
      <c r="A36" s="59" t="str">
        <v>K495</v>
      </c>
      <c r="B36" s="21" t="str">
        <v>Hudson</v>
      </c>
      <c r="C36" s="81">
        <f ca="1">SUM(Apr!C36, May!C36, Jun!C36)</f>
        <v>0</v>
      </c>
      <c r="D36" s="50">
        <f ca="1">SUM(Apr!D36, May!D36, Jun!D36)</f>
        <v>0</v>
      </c>
      <c r="E36" s="50">
        <f t="shared" ca="1" si="1"/>
        <v>0</v>
      </c>
      <c r="F36" s="51">
        <f t="shared" ca="1" si="2"/>
        <v>0</v>
      </c>
      <c r="G36" s="52">
        <f ca="1">SUM(Apr!G36, May!G36, Jun!G36)</f>
        <v>0</v>
      </c>
      <c r="H36" s="52">
        <f t="shared" ca="1" si="3"/>
        <v>0</v>
      </c>
      <c r="I36" s="53">
        <f t="shared" ca="1" si="4"/>
        <v>0</v>
      </c>
    </row>
    <row r="37" spans="1:9" ht="15.75">
      <c r="A37" s="63" t="str">
        <v>M020</v>
      </c>
      <c r="B37" s="64" t="str">
        <v>Hudson</v>
      </c>
      <c r="C37" s="81">
        <f ca="1">SUM(Apr!C37, May!C37, Jun!C37)</f>
        <v>0</v>
      </c>
      <c r="D37" s="50">
        <f ca="1">SUM(Apr!D37, May!D37, Jun!D37)</f>
        <v>0</v>
      </c>
      <c r="E37" s="50">
        <f t="shared" ca="1" si="1"/>
        <v>0</v>
      </c>
      <c r="F37" s="51">
        <f t="shared" ca="1" si="2"/>
        <v>0</v>
      </c>
      <c r="G37" s="52">
        <f ca="1">SUM(Apr!G37, May!G37, Jun!G37)</f>
        <v>0</v>
      </c>
      <c r="H37" s="52">
        <f t="shared" ca="1" si="3"/>
        <v>0</v>
      </c>
      <c r="I37" s="53">
        <f t="shared" ca="1" si="4"/>
        <v>0</v>
      </c>
    </row>
    <row r="38" spans="1:9" ht="15.75">
      <c r="A38" s="59" t="str">
        <v>M092</v>
      </c>
      <c r="B38" s="21" t="str">
        <v>Hudson</v>
      </c>
      <c r="C38" s="81">
        <f ca="1">SUM(Apr!C38, May!C38, Jun!C38)</f>
        <v>0</v>
      </c>
      <c r="D38" s="50">
        <f ca="1">SUM(Apr!D38, May!D38, Jun!D38)</f>
        <v>0</v>
      </c>
      <c r="E38" s="50">
        <f t="shared" ca="1" si="1"/>
        <v>0</v>
      </c>
      <c r="F38" s="51">
        <f t="shared" ca="1" si="2"/>
        <v>0</v>
      </c>
      <c r="G38" s="52">
        <f ca="1">SUM(Apr!G38, May!G38, Jun!G38)</f>
        <v>0</v>
      </c>
      <c r="H38" s="52">
        <f t="shared" ca="1" si="3"/>
        <v>0</v>
      </c>
      <c r="I38" s="53">
        <f t="shared" ca="1" si="4"/>
        <v>0</v>
      </c>
    </row>
    <row r="39" spans="1:9" ht="15.75">
      <c r="A39" s="63" t="str">
        <v>M143</v>
      </c>
      <c r="B39" s="64" t="str">
        <v>Hudson</v>
      </c>
      <c r="C39" s="81">
        <f ca="1">SUM(Apr!C39, May!C39, Jun!C39)</f>
        <v>0</v>
      </c>
      <c r="D39" s="50">
        <f ca="1">SUM(Apr!D39, May!D39, Jun!D39)</f>
        <v>0</v>
      </c>
      <c r="E39" s="50">
        <f t="shared" ca="1" si="1"/>
        <v>0</v>
      </c>
      <c r="F39" s="51">
        <f t="shared" ca="1" si="2"/>
        <v>0</v>
      </c>
      <c r="G39" s="52">
        <f ca="1">SUM(Apr!G39, May!G39, Jun!G39)</f>
        <v>0</v>
      </c>
      <c r="H39" s="52">
        <f t="shared" ca="1" si="3"/>
        <v>0</v>
      </c>
      <c r="I39" s="53">
        <f t="shared" ca="1" si="4"/>
        <v>0</v>
      </c>
    </row>
    <row r="40" spans="1:9" ht="15.75">
      <c r="A40" s="59" t="str">
        <v>M144</v>
      </c>
      <c r="B40" s="21" t="str">
        <v>Hudson</v>
      </c>
      <c r="C40" s="81">
        <f ca="1">SUM(Apr!C40, May!C40, Jun!C40)</f>
        <v>0</v>
      </c>
      <c r="D40" s="50">
        <f ca="1">SUM(Apr!D40, May!D40, Jun!D40)</f>
        <v>0</v>
      </c>
      <c r="E40" s="50">
        <f t="shared" ca="1" si="1"/>
        <v>0</v>
      </c>
      <c r="F40" s="51">
        <f t="shared" ca="1" si="2"/>
        <v>0</v>
      </c>
      <c r="G40" s="52">
        <f ca="1">SUM(Apr!G40, May!G40, Jun!G40)</f>
        <v>0</v>
      </c>
      <c r="H40" s="52">
        <f t="shared" ca="1" si="3"/>
        <v>0</v>
      </c>
      <c r="I40" s="53">
        <f t="shared" ca="1" si="4"/>
        <v>0</v>
      </c>
    </row>
    <row r="41" spans="1:9" ht="15.75">
      <c r="A41" s="63" t="str">
        <v>M167</v>
      </c>
      <c r="B41" s="64" t="str">
        <v>Hudson</v>
      </c>
      <c r="C41" s="81">
        <f ca="1">SUM(Apr!C41, May!C41, Jun!C41)</f>
        <v>0</v>
      </c>
      <c r="D41" s="50">
        <f ca="1">SUM(Apr!D41, May!D41, Jun!D41)</f>
        <v>0</v>
      </c>
      <c r="E41" s="50">
        <f t="shared" ca="1" si="1"/>
        <v>0</v>
      </c>
      <c r="F41" s="51">
        <f t="shared" ca="1" si="2"/>
        <v>0</v>
      </c>
      <c r="G41" s="52">
        <f ca="1">SUM(Apr!G41, May!G41, Jun!G41)</f>
        <v>0</v>
      </c>
      <c r="H41" s="52">
        <f t="shared" ca="1" si="3"/>
        <v>0</v>
      </c>
      <c r="I41" s="53">
        <f t="shared" ca="1" si="4"/>
        <v>0</v>
      </c>
    </row>
    <row r="42" spans="1:9" ht="15.75">
      <c r="A42" s="59" t="str">
        <v>M188</v>
      </c>
      <c r="B42" s="21" t="str">
        <v>Hudson</v>
      </c>
      <c r="C42" s="81">
        <f ca="1">SUM(Apr!C42, May!C42, Jun!C42)</f>
        <v>0</v>
      </c>
      <c r="D42" s="50">
        <f ca="1">SUM(Apr!D42, May!D42, Jun!D42)</f>
        <v>0</v>
      </c>
      <c r="E42" s="50">
        <f t="shared" ca="1" si="1"/>
        <v>0</v>
      </c>
      <c r="F42" s="51">
        <f t="shared" ca="1" si="2"/>
        <v>0</v>
      </c>
      <c r="G42" s="52">
        <f ca="1">SUM(Apr!G42, May!G42, Jun!G42)</f>
        <v>0</v>
      </c>
      <c r="H42" s="52">
        <f t="shared" ca="1" si="3"/>
        <v>0</v>
      </c>
      <c r="I42" s="53">
        <f t="shared" ca="1" si="4"/>
        <v>0</v>
      </c>
    </row>
    <row r="43" spans="1:9" ht="15.75">
      <c r="A43" s="63" t="str">
        <v>EMHC</v>
      </c>
      <c r="B43" s="64" t="str">
        <v>Hudson</v>
      </c>
      <c r="C43" s="81">
        <f ca="1">SUM(Apr!C43, May!C43, Jun!C43)</f>
        <v>0</v>
      </c>
      <c r="D43" s="50">
        <f ca="1">SUM(Apr!D43, May!D43, Jun!D43)</f>
        <v>0</v>
      </c>
      <c r="E43" s="50">
        <f t="shared" ca="1" si="1"/>
        <v>0</v>
      </c>
      <c r="F43" s="51">
        <f t="shared" ca="1" si="2"/>
        <v>0</v>
      </c>
      <c r="G43" s="52">
        <f ca="1">SUM(Apr!G43, May!G43, Jun!G43)</f>
        <v>0</v>
      </c>
      <c r="H43" s="52">
        <f t="shared" ca="1" si="3"/>
        <v>0</v>
      </c>
      <c r="I43" s="53">
        <f t="shared" ca="1" si="4"/>
        <v>0</v>
      </c>
    </row>
    <row r="44" spans="1:9" ht="15.75">
      <c r="A44" s="59" t="str">
        <v>Q008</v>
      </c>
      <c r="B44" s="21" t="str">
        <v>Hudson</v>
      </c>
      <c r="C44" s="81">
        <f ca="1">SUM(Apr!C44, May!C44, Jun!C44)</f>
        <v>0</v>
      </c>
      <c r="D44" s="50">
        <f ca="1">SUM(Apr!D44, May!D44, Jun!D44)</f>
        <v>0</v>
      </c>
      <c r="E44" s="50">
        <f t="shared" ca="1" si="1"/>
        <v>0</v>
      </c>
      <c r="F44" s="51">
        <f t="shared" ca="1" si="2"/>
        <v>0</v>
      </c>
      <c r="G44" s="52">
        <f ca="1">SUM(Apr!G44, May!G44, Jun!G44)</f>
        <v>0</v>
      </c>
      <c r="H44" s="52">
        <f t="shared" ca="1" si="3"/>
        <v>0</v>
      </c>
      <c r="I44" s="53">
        <f t="shared" ca="1" si="4"/>
        <v>0</v>
      </c>
    </row>
    <row r="45" spans="1:9" ht="15.75">
      <c r="A45" s="63" t="str">
        <v>Q018</v>
      </c>
      <c r="B45" s="64" t="str">
        <v>Hudson</v>
      </c>
      <c r="C45" s="81">
        <f ca="1">SUM(Apr!C45, May!C45, Jun!C45)</f>
        <v>0</v>
      </c>
      <c r="D45" s="50">
        <f ca="1">SUM(Apr!D45, May!D45, Jun!D45)</f>
        <v>0</v>
      </c>
      <c r="E45" s="50">
        <f t="shared" ca="1" si="1"/>
        <v>0</v>
      </c>
      <c r="F45" s="51">
        <f t="shared" ca="1" si="2"/>
        <v>0</v>
      </c>
      <c r="G45" s="52">
        <f ca="1">SUM(Apr!G45, May!G45, Jun!G45)</f>
        <v>0</v>
      </c>
      <c r="H45" s="52">
        <f t="shared" ca="1" si="3"/>
        <v>0</v>
      </c>
      <c r="I45" s="53">
        <f t="shared" ca="1" si="4"/>
        <v>0</v>
      </c>
    </row>
    <row r="46" spans="1:9" ht="15.75">
      <c r="A46" s="59" t="str">
        <v>Q021</v>
      </c>
      <c r="B46" s="21" t="str">
        <v>Hudson</v>
      </c>
      <c r="C46" s="81">
        <f ca="1">SUM(Apr!C46, May!C46, Jun!C46)</f>
        <v>0</v>
      </c>
      <c r="D46" s="50">
        <f ca="1">SUM(Apr!D46, May!D46, Jun!D46)</f>
        <v>0</v>
      </c>
      <c r="E46" s="50">
        <f t="shared" ca="1" si="1"/>
        <v>0</v>
      </c>
      <c r="F46" s="51">
        <f t="shared" ca="1" si="2"/>
        <v>0</v>
      </c>
      <c r="G46" s="52">
        <f ca="1">SUM(Apr!G46, May!G46, Jun!G46)</f>
        <v>0</v>
      </c>
      <c r="H46" s="52">
        <f t="shared" ca="1" si="3"/>
        <v>0</v>
      </c>
      <c r="I46" s="53">
        <f t="shared" ca="1" si="4"/>
        <v>0</v>
      </c>
    </row>
    <row r="47" spans="1:9" ht="15.75">
      <c r="A47" s="63" t="str">
        <v>Q025</v>
      </c>
      <c r="B47" s="64" t="str">
        <v>Hudson</v>
      </c>
      <c r="C47" s="81">
        <f ca="1">SUM(Apr!C47, May!C47, Jun!C47)</f>
        <v>0</v>
      </c>
      <c r="D47" s="50">
        <f ca="1">SUM(Apr!D47, May!D47, Jun!D47)</f>
        <v>0</v>
      </c>
      <c r="E47" s="50">
        <f t="shared" ca="1" si="1"/>
        <v>0</v>
      </c>
      <c r="F47" s="51">
        <f t="shared" ca="1" si="2"/>
        <v>0</v>
      </c>
      <c r="G47" s="52">
        <f ca="1">SUM(Apr!G47, May!G47, Jun!G47)</f>
        <v>0</v>
      </c>
      <c r="H47" s="52">
        <f t="shared" ca="1" si="3"/>
        <v>0</v>
      </c>
      <c r="I47" s="53">
        <f t="shared" ca="1" si="4"/>
        <v>0</v>
      </c>
    </row>
    <row r="48" spans="1:9" ht="15.75">
      <c r="A48" s="59" t="str">
        <v>Q074</v>
      </c>
      <c r="B48" s="21" t="str">
        <v>Hudson</v>
      </c>
      <c r="C48" s="81">
        <f ca="1">SUM(Apr!C48, May!C48, Jun!C48)</f>
        <v>0</v>
      </c>
      <c r="D48" s="50">
        <f ca="1">SUM(Apr!D48, May!D48, Jun!D48)</f>
        <v>0</v>
      </c>
      <c r="E48" s="50">
        <f t="shared" ca="1" si="1"/>
        <v>0</v>
      </c>
      <c r="F48" s="51">
        <f t="shared" ca="1" si="2"/>
        <v>0</v>
      </c>
      <c r="G48" s="52">
        <f ca="1">SUM(Apr!G48, May!G48, Jun!G48)</f>
        <v>0</v>
      </c>
      <c r="H48" s="52">
        <f t="shared" ca="1" si="3"/>
        <v>0</v>
      </c>
      <c r="I48" s="53">
        <f t="shared" ca="1" si="4"/>
        <v>0</v>
      </c>
    </row>
    <row r="49" spans="1:9" ht="15.75">
      <c r="A49" s="63" t="str">
        <v>Q115</v>
      </c>
      <c r="B49" s="64" t="str">
        <v>Hudson</v>
      </c>
      <c r="C49" s="81">
        <f ca="1">SUM(Apr!C49, May!C49, Jun!C49)</f>
        <v>0</v>
      </c>
      <c r="D49" s="50">
        <f ca="1">SUM(Apr!D49, May!D49, Jun!D49)</f>
        <v>0</v>
      </c>
      <c r="E49" s="50">
        <f t="shared" ca="1" si="1"/>
        <v>0</v>
      </c>
      <c r="F49" s="51">
        <f t="shared" ca="1" si="2"/>
        <v>0</v>
      </c>
      <c r="G49" s="52">
        <f ca="1">SUM(Apr!G49, May!G49, Jun!G49)</f>
        <v>0</v>
      </c>
      <c r="H49" s="52">
        <f t="shared" ca="1" si="3"/>
        <v>0</v>
      </c>
      <c r="I49" s="53">
        <f t="shared" ca="1" si="4"/>
        <v>0</v>
      </c>
    </row>
    <row r="50" spans="1:9" ht="15.75">
      <c r="A50" s="59" t="str">
        <v>Q139</v>
      </c>
      <c r="B50" s="21" t="str">
        <v>Hudson</v>
      </c>
      <c r="C50" s="81">
        <f ca="1">SUM(Apr!C50, May!C50, Jun!C50)</f>
        <v>0</v>
      </c>
      <c r="D50" s="50">
        <f ca="1">SUM(Apr!D50, May!D50, Jun!D50)</f>
        <v>0</v>
      </c>
      <c r="E50" s="50">
        <f t="shared" ca="1" si="1"/>
        <v>0</v>
      </c>
      <c r="F50" s="51">
        <f t="shared" ca="1" si="2"/>
        <v>0</v>
      </c>
      <c r="G50" s="52">
        <f ca="1">SUM(Apr!G50, May!G50, Jun!G50)</f>
        <v>0</v>
      </c>
      <c r="H50" s="52">
        <f t="shared" ca="1" si="3"/>
        <v>0</v>
      </c>
      <c r="I50" s="53">
        <f t="shared" ca="1" si="4"/>
        <v>0</v>
      </c>
    </row>
    <row r="51" spans="1:9" ht="15.75">
      <c r="A51" s="63" t="str">
        <v>Q157</v>
      </c>
      <c r="B51" s="64" t="str">
        <v>Hudson</v>
      </c>
      <c r="C51" s="81">
        <f ca="1">SUM(Apr!C51, May!C51, Jun!C51)</f>
        <v>0</v>
      </c>
      <c r="D51" s="50">
        <f ca="1">SUM(Apr!D51, May!D51, Jun!D51)</f>
        <v>0</v>
      </c>
      <c r="E51" s="50">
        <f t="shared" ca="1" si="1"/>
        <v>0</v>
      </c>
      <c r="F51" s="51">
        <f t="shared" ca="1" si="2"/>
        <v>0</v>
      </c>
      <c r="G51" s="52">
        <f ca="1">SUM(Apr!G51, May!G51, Jun!G51)</f>
        <v>0</v>
      </c>
      <c r="H51" s="52">
        <f t="shared" ca="1" si="3"/>
        <v>0</v>
      </c>
      <c r="I51" s="53">
        <f t="shared" ca="1" si="4"/>
        <v>0</v>
      </c>
    </row>
    <row r="52" spans="1:9" ht="15.75">
      <c r="A52" s="59" t="str">
        <v>Q192</v>
      </c>
      <c r="B52" s="21" t="str">
        <v>Hudson</v>
      </c>
      <c r="C52" s="81">
        <f ca="1">SUM(Apr!C52, May!C52, Jun!C52)</f>
        <v>0</v>
      </c>
      <c r="D52" s="50">
        <f ca="1">SUM(Apr!D52, May!D52, Jun!D52)</f>
        <v>0</v>
      </c>
      <c r="E52" s="50">
        <f t="shared" ca="1" si="1"/>
        <v>0</v>
      </c>
      <c r="F52" s="51">
        <f t="shared" ca="1" si="2"/>
        <v>0</v>
      </c>
      <c r="G52" s="52">
        <f ca="1">SUM(Apr!G52, May!G52, Jun!G52)</f>
        <v>0</v>
      </c>
      <c r="H52" s="52">
        <f t="shared" ca="1" si="3"/>
        <v>0</v>
      </c>
      <c r="I52" s="53">
        <f t="shared" ca="1" si="4"/>
        <v>0</v>
      </c>
    </row>
    <row r="53" spans="1:9" ht="15.75">
      <c r="A53" s="63" t="str">
        <v>Q210</v>
      </c>
      <c r="B53" s="64" t="str">
        <v>Hudson</v>
      </c>
      <c r="C53" s="81">
        <f ca="1">SUM(Apr!C53, May!C53, Jun!C53)</f>
        <v>0</v>
      </c>
      <c r="D53" s="50">
        <f ca="1">SUM(Apr!D53, May!D53, Jun!D53)</f>
        <v>0</v>
      </c>
      <c r="E53" s="50">
        <f t="shared" ca="1" si="1"/>
        <v>0</v>
      </c>
      <c r="F53" s="51">
        <f t="shared" ca="1" si="2"/>
        <v>0</v>
      </c>
      <c r="G53" s="52">
        <f ca="1">SUM(Apr!G53, May!G53, Jun!G53)</f>
        <v>0</v>
      </c>
      <c r="H53" s="52">
        <f t="shared" ca="1" si="3"/>
        <v>0</v>
      </c>
      <c r="I53" s="53">
        <f t="shared" ca="1" si="4"/>
        <v>0</v>
      </c>
    </row>
    <row r="54" spans="1:9" ht="15.75">
      <c r="A54" s="59" t="str">
        <v>Q229</v>
      </c>
      <c r="B54" s="21" t="str">
        <v>Hudson</v>
      </c>
      <c r="C54" s="81">
        <f ca="1">SUM(Apr!C54, May!C54, Jun!C54)</f>
        <v>0</v>
      </c>
      <c r="D54" s="50">
        <f ca="1">SUM(Apr!D54, May!D54, Jun!D54)</f>
        <v>0</v>
      </c>
      <c r="E54" s="50">
        <f t="shared" ca="1" si="1"/>
        <v>0</v>
      </c>
      <c r="F54" s="51">
        <f t="shared" ca="1" si="2"/>
        <v>0</v>
      </c>
      <c r="G54" s="52">
        <f ca="1">SUM(Apr!G54, May!G54, Jun!G54)</f>
        <v>0</v>
      </c>
      <c r="H54" s="52">
        <f t="shared" ca="1" si="3"/>
        <v>0</v>
      </c>
      <c r="I54" s="53">
        <f t="shared" ca="1" si="4"/>
        <v>0</v>
      </c>
    </row>
    <row r="55" spans="1:9" ht="15.75">
      <c r="A55" s="63" t="str">
        <v>Q231</v>
      </c>
      <c r="B55" s="64" t="str">
        <v>Hudson</v>
      </c>
      <c r="C55" s="81">
        <f ca="1">SUM(Apr!C55, May!C55, Jun!C55)</f>
        <v>0</v>
      </c>
      <c r="D55" s="50">
        <f ca="1">SUM(Apr!D55, May!D55, Jun!D55)</f>
        <v>0</v>
      </c>
      <c r="E55" s="50">
        <f t="shared" ca="1" si="1"/>
        <v>0</v>
      </c>
      <c r="F55" s="51">
        <f t="shared" ca="1" si="2"/>
        <v>0</v>
      </c>
      <c r="G55" s="52">
        <f ca="1">SUM(Apr!G55, May!G55, Jun!G55)</f>
        <v>0</v>
      </c>
      <c r="H55" s="52">
        <f t="shared" ca="1" si="3"/>
        <v>0</v>
      </c>
      <c r="I55" s="53">
        <f t="shared" ca="1" si="4"/>
        <v>0</v>
      </c>
    </row>
    <row r="56" spans="1:9" ht="15.75">
      <c r="A56" s="59" t="str">
        <v>Q405</v>
      </c>
      <c r="B56" s="21" t="str">
        <v>Hudson</v>
      </c>
      <c r="C56" s="81">
        <f ca="1">SUM(Apr!C56, May!C56, Jun!C56)</f>
        <v>0</v>
      </c>
      <c r="D56" s="50">
        <f ca="1">SUM(Apr!D56, May!D56, Jun!D56)</f>
        <v>0</v>
      </c>
      <c r="E56" s="50">
        <f t="shared" ca="1" si="1"/>
        <v>0</v>
      </c>
      <c r="F56" s="51">
        <f t="shared" ca="1" si="2"/>
        <v>0</v>
      </c>
      <c r="G56" s="52">
        <f ca="1">SUM(Apr!G56, May!G56, Jun!G56)</f>
        <v>0</v>
      </c>
      <c r="H56" s="52">
        <f t="shared" ca="1" si="3"/>
        <v>0</v>
      </c>
      <c r="I56" s="53">
        <f t="shared" ca="1" si="4"/>
        <v>0</v>
      </c>
    </row>
    <row r="57" spans="1:9" ht="15.75">
      <c r="A57" s="63" t="str">
        <v>Q435</v>
      </c>
      <c r="B57" s="64" t="str">
        <v>Hudson</v>
      </c>
      <c r="C57" s="81">
        <f ca="1">SUM(Apr!C57, May!C57, Jun!C57)</f>
        <v>0</v>
      </c>
      <c r="D57" s="50">
        <f ca="1">SUM(Apr!D57, May!D57, Jun!D57)</f>
        <v>0</v>
      </c>
      <c r="E57" s="50">
        <f t="shared" ca="1" si="1"/>
        <v>0</v>
      </c>
      <c r="F57" s="51">
        <f t="shared" ca="1" si="2"/>
        <v>0</v>
      </c>
      <c r="G57" s="52">
        <f ca="1">SUM(Apr!G57, May!G57, Jun!G57)</f>
        <v>0</v>
      </c>
      <c r="H57" s="52">
        <f t="shared" ca="1" si="3"/>
        <v>0</v>
      </c>
      <c r="I57" s="53">
        <f t="shared" ca="1" si="4"/>
        <v>0</v>
      </c>
    </row>
    <row r="58" spans="1:9" ht="15.75">
      <c r="A58" s="59" t="str">
        <v>Q485</v>
      </c>
      <c r="B58" s="21" t="str">
        <v>Hudson</v>
      </c>
      <c r="C58" s="81">
        <f ca="1">SUM(Apr!C58, May!C58, Jun!C58)</f>
        <v>0</v>
      </c>
      <c r="D58" s="50">
        <f ca="1">SUM(Apr!D58, May!D58, Jun!D58)</f>
        <v>0</v>
      </c>
      <c r="E58" s="50">
        <f t="shared" ca="1" si="1"/>
        <v>0</v>
      </c>
      <c r="F58" s="51">
        <f t="shared" ca="1" si="2"/>
        <v>0</v>
      </c>
      <c r="G58" s="52">
        <f ca="1">SUM(Apr!G58, May!G58, Jun!G58)</f>
        <v>0</v>
      </c>
      <c r="H58" s="52">
        <f t="shared" ca="1" si="3"/>
        <v>0</v>
      </c>
      <c r="I58" s="53">
        <f t="shared" ca="1" si="4"/>
        <v>0</v>
      </c>
    </row>
    <row r="59" spans="1:9" ht="15.75">
      <c r="A59" s="63" t="str">
        <v>Q490</v>
      </c>
      <c r="B59" s="64" t="str">
        <v>Hudson</v>
      </c>
      <c r="C59" s="81">
        <f ca="1">SUM(Apr!C59, May!C59, Jun!C59)</f>
        <v>0</v>
      </c>
      <c r="D59" s="50">
        <f ca="1">SUM(Apr!D59, May!D59, Jun!D59)</f>
        <v>0</v>
      </c>
      <c r="E59" s="50">
        <f t="shared" ca="1" si="1"/>
        <v>0</v>
      </c>
      <c r="F59" s="51">
        <f t="shared" ca="1" si="2"/>
        <v>0</v>
      </c>
      <c r="G59" s="52">
        <f ca="1">SUM(Apr!G59, May!G59, Jun!G59)</f>
        <v>0</v>
      </c>
      <c r="H59" s="52">
        <f t="shared" ca="1" si="3"/>
        <v>0</v>
      </c>
      <c r="I59" s="53">
        <f t="shared" ca="1" si="4"/>
        <v>0</v>
      </c>
    </row>
    <row r="60" spans="1:9" ht="15.75">
      <c r="A60" s="59" t="str">
        <v>Q620</v>
      </c>
      <c r="B60" s="21" t="str">
        <v>Hudson</v>
      </c>
      <c r="C60" s="81">
        <f ca="1">SUM(Apr!C60, May!C60, Jun!C60)</f>
        <v>0</v>
      </c>
      <c r="D60" s="50">
        <f ca="1">SUM(Apr!D60, May!D60, Jun!D60)</f>
        <v>0</v>
      </c>
      <c r="E60" s="50">
        <f t="shared" ca="1" si="1"/>
        <v>0</v>
      </c>
      <c r="F60" s="51">
        <f t="shared" ca="1" si="2"/>
        <v>0</v>
      </c>
      <c r="G60" s="52">
        <f ca="1">SUM(Apr!G60, May!G60, Jun!G60)</f>
        <v>0</v>
      </c>
      <c r="H60" s="52">
        <f t="shared" ca="1" si="3"/>
        <v>0</v>
      </c>
      <c r="I60" s="53">
        <f t="shared" ca="1" si="4"/>
        <v>0</v>
      </c>
    </row>
    <row r="61" spans="1:9" ht="15.75">
      <c r="A61" s="63" t="str">
        <v>QMOA</v>
      </c>
      <c r="B61" s="64" t="str">
        <v>Hudson</v>
      </c>
      <c r="C61" s="81">
        <f ca="1">SUM(Apr!C61, May!C61, Jun!C61)</f>
        <v>0</v>
      </c>
      <c r="D61" s="50">
        <f ca="1">SUM(Apr!D61, May!D61, Jun!D61)</f>
        <v>0</v>
      </c>
      <c r="E61" s="50">
        <f t="shared" ca="1" si="1"/>
        <v>0</v>
      </c>
      <c r="F61" s="51">
        <f t="shared" ca="1" si="2"/>
        <v>0</v>
      </c>
      <c r="G61" s="52">
        <f ca="1">SUM(Apr!G61, May!G61, Jun!G61)</f>
        <v>0</v>
      </c>
      <c r="H61" s="52">
        <f t="shared" ca="1" si="3"/>
        <v>0</v>
      </c>
      <c r="I61" s="53">
        <f t="shared" ca="1" si="4"/>
        <v>0</v>
      </c>
    </row>
    <row r="62" spans="1:9" ht="15.75">
      <c r="A62" s="59" t="str">
        <v>X024</v>
      </c>
      <c r="B62" s="21" t="str">
        <v>Hudson</v>
      </c>
      <c r="C62" s="81">
        <f ca="1">SUM(Apr!C62, May!C62, Jun!C62)</f>
        <v>0</v>
      </c>
      <c r="D62" s="50">
        <f ca="1">SUM(Apr!D62, May!D62, Jun!D62)</f>
        <v>0</v>
      </c>
      <c r="E62" s="50">
        <f t="shared" ca="1" si="1"/>
        <v>0</v>
      </c>
      <c r="F62" s="51">
        <f t="shared" ca="1" si="2"/>
        <v>0</v>
      </c>
      <c r="G62" s="52">
        <f ca="1">SUM(Apr!G62, May!G62, Jun!G62)</f>
        <v>0</v>
      </c>
      <c r="H62" s="52">
        <f t="shared" ca="1" si="3"/>
        <v>0</v>
      </c>
      <c r="I62" s="53">
        <f t="shared" ca="1" si="4"/>
        <v>0</v>
      </c>
    </row>
    <row r="63" spans="1:9" ht="15.75">
      <c r="A63" s="63" t="str">
        <v>X026</v>
      </c>
      <c r="B63" s="64" t="str">
        <v>Hudson</v>
      </c>
      <c r="C63" s="81">
        <f ca="1">SUM(Apr!C63, May!C63, Jun!C63)</f>
        <v>0</v>
      </c>
      <c r="D63" s="50">
        <f ca="1">SUM(Apr!D63, May!D63, Jun!D63)</f>
        <v>0</v>
      </c>
      <c r="E63" s="50">
        <f t="shared" ca="1" si="1"/>
        <v>0</v>
      </c>
      <c r="F63" s="51">
        <f t="shared" ca="1" si="2"/>
        <v>0</v>
      </c>
      <c r="G63" s="52">
        <f ca="1">SUM(Apr!G63, May!G63, Jun!G63)</f>
        <v>0</v>
      </c>
      <c r="H63" s="52">
        <f t="shared" ca="1" si="3"/>
        <v>0</v>
      </c>
      <c r="I63" s="53">
        <f t="shared" ca="1" si="4"/>
        <v>0</v>
      </c>
    </row>
    <row r="64" spans="1:9" ht="15.75">
      <c r="A64" s="59" t="str">
        <v>X090</v>
      </c>
      <c r="B64" s="21" t="str">
        <v>Hudson</v>
      </c>
      <c r="C64" s="81">
        <f ca="1">SUM(Apr!C64, May!C64, Jun!C64)</f>
        <v>0</v>
      </c>
      <c r="D64" s="50">
        <f ca="1">SUM(Apr!D64, May!D64, Jun!D64)</f>
        <v>0</v>
      </c>
      <c r="E64" s="50">
        <f t="shared" ca="1" si="1"/>
        <v>0</v>
      </c>
      <c r="F64" s="51">
        <f t="shared" ca="1" si="2"/>
        <v>0</v>
      </c>
      <c r="G64" s="52">
        <f ca="1">SUM(Apr!G64, May!G64, Jun!G64)</f>
        <v>0</v>
      </c>
      <c r="H64" s="52">
        <f t="shared" ca="1" si="3"/>
        <v>0</v>
      </c>
      <c r="I64" s="53">
        <f t="shared" ca="1" si="4"/>
        <v>0</v>
      </c>
    </row>
    <row r="65" spans="1:9" ht="15.75">
      <c r="A65" s="63" t="str">
        <v>X117</v>
      </c>
      <c r="B65" s="64" t="str">
        <v>Hudson</v>
      </c>
      <c r="C65" s="81">
        <f ca="1">SUM(Apr!C65, May!C65, Jun!C65)</f>
        <v>0</v>
      </c>
      <c r="D65" s="50">
        <f ca="1">SUM(Apr!D65, May!D65, Jun!D65)</f>
        <v>0</v>
      </c>
      <c r="E65" s="50">
        <f t="shared" ca="1" si="1"/>
        <v>0</v>
      </c>
      <c r="F65" s="51">
        <f t="shared" ca="1" si="2"/>
        <v>0</v>
      </c>
      <c r="G65" s="52">
        <f ca="1">SUM(Apr!G65, May!G65, Jun!G65)</f>
        <v>0</v>
      </c>
      <c r="H65" s="52">
        <f t="shared" ca="1" si="3"/>
        <v>0</v>
      </c>
      <c r="I65" s="53">
        <f t="shared" ca="1" si="4"/>
        <v>0</v>
      </c>
    </row>
    <row r="66" spans="1:9" ht="15.75">
      <c r="A66" s="59" t="str">
        <v>X125</v>
      </c>
      <c r="B66" s="21" t="str">
        <v>Hudson</v>
      </c>
      <c r="C66" s="81">
        <f ca="1">SUM(Apr!C66, May!C66, Jun!C66)</f>
        <v>0</v>
      </c>
      <c r="D66" s="50">
        <f ca="1">SUM(Apr!D66, May!D66, Jun!D66)</f>
        <v>0</v>
      </c>
      <c r="E66" s="50">
        <f t="shared" ca="1" si="1"/>
        <v>0</v>
      </c>
      <c r="F66" s="51">
        <f t="shared" ca="1" si="2"/>
        <v>0</v>
      </c>
      <c r="G66" s="52">
        <f ca="1">SUM(Apr!G66, May!G66, Jun!G66)</f>
        <v>0</v>
      </c>
      <c r="H66" s="52">
        <f t="shared" ca="1" si="3"/>
        <v>0</v>
      </c>
      <c r="I66" s="53">
        <f t="shared" ca="1" si="4"/>
        <v>0</v>
      </c>
    </row>
    <row r="67" spans="1:9" ht="15.75">
      <c r="A67" s="63" t="str">
        <v>X134</v>
      </c>
      <c r="B67" s="64" t="str">
        <v>Hudson</v>
      </c>
      <c r="C67" s="81">
        <f ca="1">SUM(Apr!C67, May!C67, Jun!C67)</f>
        <v>0</v>
      </c>
      <c r="D67" s="50">
        <f ca="1">SUM(Apr!D67, May!D67, Jun!D67)</f>
        <v>0</v>
      </c>
      <c r="E67" s="50">
        <f t="shared" ca="1" si="1"/>
        <v>0</v>
      </c>
      <c r="F67" s="51">
        <f t="shared" ca="1" si="2"/>
        <v>0</v>
      </c>
      <c r="G67" s="52">
        <f ca="1">SUM(Apr!G67, May!G67, Jun!G67)</f>
        <v>0</v>
      </c>
      <c r="H67" s="52">
        <f t="shared" ca="1" si="3"/>
        <v>0</v>
      </c>
      <c r="I67" s="53">
        <f t="shared" ca="1" si="4"/>
        <v>0</v>
      </c>
    </row>
    <row r="68" spans="1:9" ht="15.75">
      <c r="A68" s="59" t="str">
        <v>X135</v>
      </c>
      <c r="B68" s="21" t="str">
        <v>Hudson</v>
      </c>
      <c r="C68" s="81">
        <f ca="1">SUM(Apr!C68, May!C68, Jun!C68)</f>
        <v>0</v>
      </c>
      <c r="D68" s="50">
        <f ca="1">SUM(Apr!D68, May!D68, Jun!D68)</f>
        <v>0</v>
      </c>
      <c r="E68" s="50">
        <f t="shared" ref="E68:E131" ca="1" si="5">C68-D68</f>
        <v>0</v>
      </c>
      <c r="F68" s="51">
        <f t="shared" ref="F68:F131" ca="1" si="6">IFERROR(E68/D68, 0)</f>
        <v>0</v>
      </c>
      <c r="G68" s="52">
        <f ca="1">SUM(Apr!G68, May!G68, Jun!G68)</f>
        <v>0</v>
      </c>
      <c r="H68" s="52">
        <f t="shared" ref="H68:H131" ca="1" si="7">C68-G68</f>
        <v>0</v>
      </c>
      <c r="I68" s="53">
        <f t="shared" ref="I68:I131" ca="1" si="8">IFERROR(H68/G68, 0)</f>
        <v>0</v>
      </c>
    </row>
    <row r="69" spans="1:9" ht="15.75">
      <c r="A69" s="63" t="str">
        <v>X139 JHS 222</v>
      </c>
      <c r="B69" s="64" t="str">
        <v>Hudson</v>
      </c>
      <c r="C69" s="81">
        <f ca="1">SUM(Apr!C69, May!C69, Jun!C69)</f>
        <v>0</v>
      </c>
      <c r="D69" s="50">
        <f ca="1">SUM(Apr!D69, May!D69, Jun!D69)</f>
        <v>0</v>
      </c>
      <c r="E69" s="50">
        <f t="shared" ca="1" si="5"/>
        <v>0</v>
      </c>
      <c r="F69" s="51">
        <f t="shared" ca="1" si="6"/>
        <v>0</v>
      </c>
      <c r="G69" s="52">
        <f ca="1">SUM(Apr!G69, May!G69, Jun!G69)</f>
        <v>0</v>
      </c>
      <c r="H69" s="52">
        <f t="shared" ca="1" si="7"/>
        <v>0</v>
      </c>
      <c r="I69" s="53">
        <f t="shared" ca="1" si="8"/>
        <v>0</v>
      </c>
    </row>
    <row r="70" spans="1:9" ht="15.75">
      <c r="A70" s="59" t="str">
        <v>X140</v>
      </c>
      <c r="B70" s="21" t="str">
        <v>Hudson</v>
      </c>
      <c r="C70" s="81">
        <f ca="1">SUM(Apr!C70, May!C70, Jun!C70)</f>
        <v>0</v>
      </c>
      <c r="D70" s="50">
        <f ca="1">SUM(Apr!D70, May!D70, Jun!D70)</f>
        <v>0</v>
      </c>
      <c r="E70" s="50">
        <f t="shared" ca="1" si="5"/>
        <v>0</v>
      </c>
      <c r="F70" s="51">
        <f t="shared" ca="1" si="6"/>
        <v>0</v>
      </c>
      <c r="G70" s="52">
        <f ca="1">SUM(Apr!G70, May!G70, Jun!G70)</f>
        <v>0</v>
      </c>
      <c r="H70" s="52">
        <f t="shared" ca="1" si="7"/>
        <v>0</v>
      </c>
      <c r="I70" s="53">
        <f t="shared" ca="1" si="8"/>
        <v>0</v>
      </c>
    </row>
    <row r="71" spans="1:9" ht="15.75">
      <c r="A71" s="63" t="str">
        <v>X166</v>
      </c>
      <c r="B71" s="64" t="str">
        <v>Hudson</v>
      </c>
      <c r="C71" s="81">
        <f ca="1">SUM(Apr!C71, May!C71, Jun!C71)</f>
        <v>0</v>
      </c>
      <c r="D71" s="50">
        <f ca="1">SUM(Apr!D71, May!D71, Jun!D71)</f>
        <v>0</v>
      </c>
      <c r="E71" s="50">
        <f t="shared" ca="1" si="5"/>
        <v>0</v>
      </c>
      <c r="F71" s="51">
        <f t="shared" ca="1" si="6"/>
        <v>0</v>
      </c>
      <c r="G71" s="52">
        <f ca="1">SUM(Apr!G71, May!G71, Jun!G71)</f>
        <v>0</v>
      </c>
      <c r="H71" s="52">
        <f t="shared" ca="1" si="7"/>
        <v>0</v>
      </c>
      <c r="I71" s="53">
        <f t="shared" ca="1" si="8"/>
        <v>0</v>
      </c>
    </row>
    <row r="72" spans="1:9" ht="15.75">
      <c r="A72" s="59" t="str">
        <v>Murphy</v>
      </c>
      <c r="B72" s="21" t="str">
        <v>MN Community Solar</v>
      </c>
      <c r="C72" s="81">
        <f ca="1">SUM(Apr!C72, May!C72, Jun!C72)</f>
        <v>0</v>
      </c>
      <c r="D72" s="50">
        <f ca="1">SUM(Apr!D72, May!D72, Jun!D72)</f>
        <v>0</v>
      </c>
      <c r="E72" s="50">
        <f t="shared" ca="1" si="5"/>
        <v>0</v>
      </c>
      <c r="F72" s="51">
        <f t="shared" ca="1" si="6"/>
        <v>0</v>
      </c>
      <c r="G72" s="52">
        <f ca="1">SUM(Apr!G72, May!G72, Jun!G72)</f>
        <v>0</v>
      </c>
      <c r="H72" s="52">
        <f t="shared" ca="1" si="7"/>
        <v>0</v>
      </c>
      <c r="I72" s="53">
        <f t="shared" ca="1" si="8"/>
        <v>0</v>
      </c>
    </row>
    <row r="73" spans="1:9" ht="15.75">
      <c r="A73" s="63" t="str">
        <v>Terning</v>
      </c>
      <c r="B73" s="64" t="str">
        <v>MN Community Solar</v>
      </c>
      <c r="C73" s="81">
        <f ca="1">SUM(Apr!C73, May!C73, Jun!C73)</f>
        <v>0</v>
      </c>
      <c r="D73" s="50">
        <f ca="1">SUM(Apr!D73, May!D73, Jun!D73)</f>
        <v>0</v>
      </c>
      <c r="E73" s="50">
        <f t="shared" ca="1" si="5"/>
        <v>0</v>
      </c>
      <c r="F73" s="51">
        <f t="shared" ca="1" si="6"/>
        <v>0</v>
      </c>
      <c r="G73" s="52">
        <f ca="1">SUM(Apr!G73, May!G73, Jun!G73)</f>
        <v>0</v>
      </c>
      <c r="H73" s="52">
        <f t="shared" ca="1" si="7"/>
        <v>0</v>
      </c>
      <c r="I73" s="53">
        <f t="shared" ca="1" si="8"/>
        <v>0</v>
      </c>
    </row>
    <row r="74" spans="1:9" ht="15.75">
      <c r="A74" s="59" t="str">
        <v>Boas Road 04</v>
      </c>
      <c r="B74" s="21" t="str">
        <v>NYCS I</v>
      </c>
      <c r="C74" s="81">
        <f ca="1">SUM(Apr!C74, May!C74, Jun!C74)</f>
        <v>0</v>
      </c>
      <c r="D74" s="50">
        <f ca="1">SUM(Apr!D74, May!D74, Jun!D74)</f>
        <v>0</v>
      </c>
      <c r="E74" s="50">
        <f t="shared" ca="1" si="5"/>
        <v>0</v>
      </c>
      <c r="F74" s="51">
        <f t="shared" ca="1" si="6"/>
        <v>0</v>
      </c>
      <c r="G74" s="52">
        <f ca="1">SUM(Apr!G74, May!G74, Jun!G74)</f>
        <v>0</v>
      </c>
      <c r="H74" s="52">
        <f t="shared" ca="1" si="7"/>
        <v>0</v>
      </c>
      <c r="I74" s="53">
        <f t="shared" ca="1" si="8"/>
        <v>0</v>
      </c>
    </row>
    <row r="75" spans="1:9" ht="15.75">
      <c r="A75" s="63" t="str">
        <v>Kelly Bridge Farm</v>
      </c>
      <c r="B75" s="64" t="str">
        <v>NYCS I</v>
      </c>
      <c r="C75" s="81">
        <f ca="1">SUM(Apr!C75, May!C75, Jun!C75)</f>
        <v>0</v>
      </c>
      <c r="D75" s="50">
        <f ca="1">SUM(Apr!D75, May!D75, Jun!D75)</f>
        <v>0</v>
      </c>
      <c r="E75" s="50">
        <f t="shared" ca="1" si="5"/>
        <v>0</v>
      </c>
      <c r="F75" s="51">
        <f t="shared" ca="1" si="6"/>
        <v>0</v>
      </c>
      <c r="G75" s="52">
        <f ca="1">SUM(Apr!G75, May!G75, Jun!G75)</f>
        <v>0</v>
      </c>
      <c r="H75" s="52">
        <f t="shared" ca="1" si="7"/>
        <v>0</v>
      </c>
      <c r="I75" s="53">
        <f t="shared" ca="1" si="8"/>
        <v>0</v>
      </c>
    </row>
    <row r="76" spans="1:9" ht="15.75">
      <c r="A76" s="59" t="str">
        <v>Pool Brook Road</v>
      </c>
      <c r="B76" s="21" t="str">
        <v>NYCS I</v>
      </c>
      <c r="C76" s="81">
        <f ca="1">SUM(Apr!C76, May!C76, Jun!C76)</f>
        <v>0</v>
      </c>
      <c r="D76" s="50">
        <f ca="1">SUM(Apr!D76, May!D76, Jun!D76)</f>
        <v>0</v>
      </c>
      <c r="E76" s="50">
        <f t="shared" ca="1" si="5"/>
        <v>0</v>
      </c>
      <c r="F76" s="51">
        <f t="shared" ca="1" si="6"/>
        <v>0</v>
      </c>
      <c r="G76" s="52">
        <f ca="1">SUM(Apr!G76, May!G76, Jun!G76)</f>
        <v>0</v>
      </c>
      <c r="H76" s="52">
        <f t="shared" ca="1" si="7"/>
        <v>0</v>
      </c>
      <c r="I76" s="53">
        <f t="shared" ca="1" si="8"/>
        <v>0</v>
      </c>
    </row>
    <row r="77" spans="1:9" ht="15.75">
      <c r="A77" s="63" t="str">
        <v>Sackett Lake</v>
      </c>
      <c r="B77" s="64" t="str">
        <v>NYCS I</v>
      </c>
      <c r="C77" s="81">
        <f ca="1">SUM(Apr!C77, May!C77, Jun!C77)</f>
        <v>0</v>
      </c>
      <c r="D77" s="50">
        <f ca="1">SUM(Apr!D77, May!D77, Jun!D77)</f>
        <v>0</v>
      </c>
      <c r="E77" s="50">
        <f t="shared" ca="1" si="5"/>
        <v>0</v>
      </c>
      <c r="F77" s="51">
        <f t="shared" ca="1" si="6"/>
        <v>0</v>
      </c>
      <c r="G77" s="52">
        <f ca="1">SUM(Apr!G77, May!G77, Jun!G77)</f>
        <v>0</v>
      </c>
      <c r="H77" s="52">
        <f t="shared" ca="1" si="7"/>
        <v>0</v>
      </c>
      <c r="I77" s="53">
        <f t="shared" ca="1" si="8"/>
        <v>0</v>
      </c>
    </row>
    <row r="78" spans="1:9" ht="15.75">
      <c r="A78" s="59" t="str">
        <v>Burritt Road</v>
      </c>
      <c r="B78" s="21" t="str">
        <v>NYCS II</v>
      </c>
      <c r="C78" s="81">
        <f ca="1">SUM(Apr!C78, May!C78, Jun!C78)</f>
        <v>0</v>
      </c>
      <c r="D78" s="50">
        <f ca="1">SUM(Apr!D78, May!D78, Jun!D78)</f>
        <v>0</v>
      </c>
      <c r="E78" s="50">
        <f t="shared" ca="1" si="5"/>
        <v>0</v>
      </c>
      <c r="F78" s="51">
        <f t="shared" ca="1" si="6"/>
        <v>0</v>
      </c>
      <c r="G78" s="52">
        <f ca="1">SUM(Apr!G78, May!G78, Jun!G78)</f>
        <v>0</v>
      </c>
      <c r="H78" s="52">
        <f t="shared" ca="1" si="7"/>
        <v>0</v>
      </c>
      <c r="I78" s="53">
        <f t="shared" ca="1" si="8"/>
        <v>0</v>
      </c>
    </row>
    <row r="79" spans="1:9" ht="12.75" customHeight="1">
      <c r="A79" s="63" t="str">
        <v>Villa Roma 1</v>
      </c>
      <c r="B79" s="64" t="str">
        <v>NYCS II</v>
      </c>
      <c r="C79" s="81">
        <f ca="1">SUM(Apr!C79, May!C79, Jun!C79)</f>
        <v>0</v>
      </c>
      <c r="D79" s="50">
        <f ca="1">SUM(Apr!D79, May!D79, Jun!D79)</f>
        <v>0</v>
      </c>
      <c r="E79" s="50">
        <f t="shared" ca="1" si="5"/>
        <v>0</v>
      </c>
      <c r="F79" s="51">
        <f t="shared" ca="1" si="6"/>
        <v>0</v>
      </c>
      <c r="G79" s="52">
        <f ca="1">SUM(Apr!G79, May!G79, Jun!G79)</f>
        <v>0</v>
      </c>
      <c r="H79" s="52">
        <f t="shared" ca="1" si="7"/>
        <v>0</v>
      </c>
      <c r="I79" s="53">
        <f t="shared" ca="1" si="8"/>
        <v>0</v>
      </c>
    </row>
    <row r="80" spans="1:9" ht="15.75">
      <c r="A80" s="59" t="str">
        <v>Villa Roma 2</v>
      </c>
      <c r="B80" s="21" t="str">
        <v>NYCS II</v>
      </c>
      <c r="C80" s="81">
        <f ca="1">SUM(Apr!C80, May!C80, Jun!C80)</f>
        <v>0</v>
      </c>
      <c r="D80" s="50">
        <f ca="1">SUM(Apr!D80, May!D80, Jun!D80)</f>
        <v>0</v>
      </c>
      <c r="E80" s="50">
        <f t="shared" ca="1" si="5"/>
        <v>0</v>
      </c>
      <c r="F80" s="51">
        <f t="shared" ca="1" si="6"/>
        <v>0</v>
      </c>
      <c r="G80" s="52">
        <f ca="1">SUM(Apr!G80, May!G80, Jun!G80)</f>
        <v>0</v>
      </c>
      <c r="H80" s="52">
        <f t="shared" ca="1" si="7"/>
        <v>0</v>
      </c>
      <c r="I80" s="53">
        <f t="shared" ca="1" si="8"/>
        <v>0</v>
      </c>
    </row>
    <row r="81" spans="1:9" ht="12.75" customHeight="1">
      <c r="A81" s="63" t="str">
        <v>Washington 1</v>
      </c>
      <c r="B81" s="64" t="str">
        <v>NYCS II</v>
      </c>
      <c r="C81" s="81">
        <f ca="1">SUM(Apr!C81, May!C81, Jun!C81)</f>
        <v>0</v>
      </c>
      <c r="D81" s="50">
        <f ca="1">SUM(Apr!D81, May!D81, Jun!D81)</f>
        <v>0</v>
      </c>
      <c r="E81" s="50">
        <f t="shared" ca="1" si="5"/>
        <v>0</v>
      </c>
      <c r="F81" s="51">
        <f t="shared" ca="1" si="6"/>
        <v>0</v>
      </c>
      <c r="G81" s="52">
        <f ca="1">SUM(Apr!G81, May!G81, Jun!G81)</f>
        <v>0</v>
      </c>
      <c r="H81" s="52">
        <f t="shared" ca="1" si="7"/>
        <v>0</v>
      </c>
      <c r="I81" s="53">
        <f t="shared" ca="1" si="8"/>
        <v>0</v>
      </c>
    </row>
    <row r="82" spans="1:9" ht="15.75">
      <c r="A82" s="59" t="str">
        <v>Washington 3</v>
      </c>
      <c r="B82" s="21" t="str">
        <v>NYCS II</v>
      </c>
      <c r="C82" s="81">
        <f ca="1">SUM(Apr!C82, May!C82, Jun!C82)</f>
        <v>0</v>
      </c>
      <c r="D82" s="50">
        <f ca="1">SUM(Apr!D82, May!D82, Jun!D82)</f>
        <v>0</v>
      </c>
      <c r="E82" s="50">
        <f t="shared" ca="1" si="5"/>
        <v>0</v>
      </c>
      <c r="F82" s="51">
        <f t="shared" ca="1" si="6"/>
        <v>0</v>
      </c>
      <c r="G82" s="52">
        <f ca="1">SUM(Apr!G82, May!G82, Jun!G82)</f>
        <v>0</v>
      </c>
      <c r="H82" s="52">
        <f t="shared" ca="1" si="7"/>
        <v>0</v>
      </c>
      <c r="I82" s="53">
        <f t="shared" ca="1" si="8"/>
        <v>0</v>
      </c>
    </row>
    <row r="83" spans="1:9" ht="15.75">
      <c r="A83" s="63" t="str">
        <v>Washington 4</v>
      </c>
      <c r="B83" s="64" t="str">
        <v>NYCS II</v>
      </c>
      <c r="C83" s="81">
        <f ca="1">SUM(Apr!C83, May!C83, Jun!C83)</f>
        <v>0</v>
      </c>
      <c r="D83" s="50">
        <f ca="1">SUM(Apr!D83, May!D83, Jun!D83)</f>
        <v>0</v>
      </c>
      <c r="E83" s="50">
        <f t="shared" ca="1" si="5"/>
        <v>0</v>
      </c>
      <c r="F83" s="51">
        <f t="shared" ca="1" si="6"/>
        <v>0</v>
      </c>
      <c r="G83" s="52">
        <f ca="1">SUM(Apr!G83, May!G83, Jun!G83)</f>
        <v>0</v>
      </c>
      <c r="H83" s="52">
        <f t="shared" ca="1" si="7"/>
        <v>0</v>
      </c>
      <c r="I83" s="53">
        <f t="shared" ca="1" si="8"/>
        <v>0</v>
      </c>
    </row>
    <row r="84" spans="1:9" ht="15.75">
      <c r="A84" s="59" t="str">
        <v>Big Tree</v>
      </c>
      <c r="B84" s="21" t="str">
        <v>NYCS III</v>
      </c>
      <c r="C84" s="81">
        <f ca="1">SUM(Apr!C84, May!C84, Jun!C84)</f>
        <v>0</v>
      </c>
      <c r="D84" s="50">
        <f ca="1">SUM(Apr!D84, May!D84, Jun!D84)</f>
        <v>0</v>
      </c>
      <c r="E84" s="50">
        <f t="shared" ca="1" si="5"/>
        <v>0</v>
      </c>
      <c r="F84" s="51">
        <f t="shared" ca="1" si="6"/>
        <v>0</v>
      </c>
      <c r="G84" s="52">
        <f ca="1">SUM(Apr!G84, May!G84, Jun!G84)</f>
        <v>0</v>
      </c>
      <c r="H84" s="52">
        <f t="shared" ca="1" si="7"/>
        <v>0</v>
      </c>
      <c r="I84" s="53">
        <f t="shared" ca="1" si="8"/>
        <v>0</v>
      </c>
    </row>
    <row r="85" spans="1:9" ht="15.75">
      <c r="A85" s="63" t="str">
        <v>Canoga</v>
      </c>
      <c r="B85" s="64" t="str">
        <v>NYCS III</v>
      </c>
      <c r="C85" s="81">
        <f ca="1">SUM(Apr!C85, May!C85, Jun!C85)</f>
        <v>0</v>
      </c>
      <c r="D85" s="50">
        <f ca="1">SUM(Apr!D85, May!D85, Jun!D85)</f>
        <v>0</v>
      </c>
      <c r="E85" s="50">
        <f t="shared" ca="1" si="5"/>
        <v>0</v>
      </c>
      <c r="F85" s="51">
        <f t="shared" ca="1" si="6"/>
        <v>0</v>
      </c>
      <c r="G85" s="52">
        <f ca="1">SUM(Apr!G85, May!G85, Jun!G85)</f>
        <v>0</v>
      </c>
      <c r="H85" s="52">
        <f t="shared" ca="1" si="7"/>
        <v>0</v>
      </c>
      <c r="I85" s="53">
        <f t="shared" ca="1" si="8"/>
        <v>0</v>
      </c>
    </row>
    <row r="86" spans="1:9" ht="15.75">
      <c r="A86" s="59" t="str">
        <v>County Route 84</v>
      </c>
      <c r="B86" s="21" t="str">
        <v>NYCS III</v>
      </c>
      <c r="C86" s="81">
        <f ca="1">SUM(Apr!C86, May!C86, Jun!C86)</f>
        <v>0</v>
      </c>
      <c r="D86" s="50">
        <f ca="1">SUM(Apr!D86, May!D86, Jun!D86)</f>
        <v>0</v>
      </c>
      <c r="E86" s="50">
        <f t="shared" ca="1" si="5"/>
        <v>0</v>
      </c>
      <c r="F86" s="51">
        <f t="shared" ca="1" si="6"/>
        <v>0</v>
      </c>
      <c r="G86" s="52">
        <f ca="1">SUM(Apr!G86, May!G86, Jun!G86)</f>
        <v>0</v>
      </c>
      <c r="H86" s="52">
        <f t="shared" ca="1" si="7"/>
        <v>0</v>
      </c>
      <c r="I86" s="53">
        <f t="shared" ca="1" si="8"/>
        <v>0</v>
      </c>
    </row>
    <row r="87" spans="1:9" ht="15.75">
      <c r="A87" s="63" t="str">
        <v>Donati</v>
      </c>
      <c r="B87" s="64" t="str">
        <v>NYCS III</v>
      </c>
      <c r="C87" s="81">
        <f ca="1">SUM(Apr!C87, May!C87, Jun!C87)</f>
        <v>0</v>
      </c>
      <c r="D87" s="50">
        <f ca="1">SUM(Apr!D87, May!D87, Jun!D87)</f>
        <v>0</v>
      </c>
      <c r="E87" s="50">
        <f t="shared" ca="1" si="5"/>
        <v>0</v>
      </c>
      <c r="F87" s="51">
        <f t="shared" ca="1" si="6"/>
        <v>0</v>
      </c>
      <c r="G87" s="52">
        <f ca="1">SUM(Apr!G87, May!G87, Jun!G87)</f>
        <v>0</v>
      </c>
      <c r="H87" s="52">
        <f t="shared" ca="1" si="7"/>
        <v>0</v>
      </c>
      <c r="I87" s="53">
        <f t="shared" ca="1" si="8"/>
        <v>0</v>
      </c>
    </row>
    <row r="88" spans="1:9" ht="15.75">
      <c r="A88" s="59" t="str">
        <v>Henrietta</v>
      </c>
      <c r="B88" s="21" t="str">
        <v>NYCS III</v>
      </c>
      <c r="C88" s="81">
        <f ca="1">SUM(Apr!C88, May!C88, Jun!C88)</f>
        <v>0</v>
      </c>
      <c r="D88" s="50">
        <f ca="1">SUM(Apr!D88, May!D88, Jun!D88)</f>
        <v>0</v>
      </c>
      <c r="E88" s="50">
        <f t="shared" ca="1" si="5"/>
        <v>0</v>
      </c>
      <c r="F88" s="51">
        <f t="shared" ca="1" si="6"/>
        <v>0</v>
      </c>
      <c r="G88" s="52">
        <f ca="1">SUM(Apr!G88, May!G88, Jun!G88)</f>
        <v>0</v>
      </c>
      <c r="H88" s="52">
        <f t="shared" ca="1" si="7"/>
        <v>0</v>
      </c>
      <c r="I88" s="53">
        <f t="shared" ca="1" si="8"/>
        <v>0</v>
      </c>
    </row>
    <row r="89" spans="1:9" ht="15.75">
      <c r="A89" s="63" t="str">
        <v>NY 70</v>
      </c>
      <c r="B89" s="64" t="str">
        <v>NYCS III</v>
      </c>
      <c r="C89" s="81">
        <f ca="1">SUM(Apr!C89, May!C89, Jun!C89)</f>
        <v>0</v>
      </c>
      <c r="D89" s="50">
        <f ca="1">SUM(Apr!D89, May!D89, Jun!D89)</f>
        <v>0</v>
      </c>
      <c r="E89" s="50">
        <f t="shared" ca="1" si="5"/>
        <v>0</v>
      </c>
      <c r="F89" s="51">
        <f t="shared" ca="1" si="6"/>
        <v>0</v>
      </c>
      <c r="G89" s="52">
        <f ca="1">SUM(Apr!G89, May!G89, Jun!G89)</f>
        <v>0</v>
      </c>
      <c r="H89" s="52">
        <f t="shared" ca="1" si="7"/>
        <v>0</v>
      </c>
      <c r="I89" s="53">
        <f t="shared" ca="1" si="8"/>
        <v>0</v>
      </c>
    </row>
    <row r="90" spans="1:9" ht="15.75">
      <c r="A90" s="59" t="str">
        <v>Reid</v>
      </c>
      <c r="B90" s="21" t="str">
        <v>NYCS III</v>
      </c>
      <c r="C90" s="81">
        <f ca="1">SUM(Apr!C90, May!C90, Jun!C90)</f>
        <v>0</v>
      </c>
      <c r="D90" s="50">
        <f ca="1">SUM(Apr!D90, May!D90, Jun!D90)</f>
        <v>0</v>
      </c>
      <c r="E90" s="50">
        <f t="shared" ca="1" si="5"/>
        <v>0</v>
      </c>
      <c r="F90" s="51">
        <f t="shared" ca="1" si="6"/>
        <v>0</v>
      </c>
      <c r="G90" s="52">
        <f ca="1">SUM(Apr!G90, May!G90, Jun!G90)</f>
        <v>0</v>
      </c>
      <c r="H90" s="52">
        <f t="shared" ca="1" si="7"/>
        <v>0</v>
      </c>
      <c r="I90" s="53">
        <f t="shared" ca="1" si="8"/>
        <v>0</v>
      </c>
    </row>
    <row r="91" spans="1:9" ht="15.75">
      <c r="A91" s="63" t="str">
        <v>Sangolqui</v>
      </c>
      <c r="B91" s="64" t="str">
        <v>NYCS III</v>
      </c>
      <c r="C91" s="81">
        <f ca="1">SUM(Apr!C91, May!C91, Jun!C91)</f>
        <v>0</v>
      </c>
      <c r="D91" s="50">
        <f ca="1">SUM(Apr!D91, May!D91, Jun!D91)</f>
        <v>0</v>
      </c>
      <c r="E91" s="50">
        <f t="shared" ca="1" si="5"/>
        <v>0</v>
      </c>
      <c r="F91" s="51">
        <f t="shared" ca="1" si="6"/>
        <v>0</v>
      </c>
      <c r="G91" s="52">
        <f ca="1">SUM(Apr!G91, May!G91, Jun!G91)</f>
        <v>0</v>
      </c>
      <c r="H91" s="52">
        <f t="shared" ca="1" si="7"/>
        <v>0</v>
      </c>
      <c r="I91" s="53">
        <f t="shared" ca="1" si="8"/>
        <v>0</v>
      </c>
    </row>
    <row r="92" spans="1:9" ht="15.75">
      <c r="A92" s="59" t="str">
        <v>State Highway 17B</v>
      </c>
      <c r="B92" s="21" t="str">
        <v>NYCS III</v>
      </c>
      <c r="C92" s="81">
        <f ca="1">SUM(Apr!C92, May!C92, Jun!C92)</f>
        <v>0</v>
      </c>
      <c r="D92" s="50">
        <f ca="1">SUM(Apr!D92, May!D92, Jun!D92)</f>
        <v>0</v>
      </c>
      <c r="E92" s="50">
        <f t="shared" ca="1" si="5"/>
        <v>0</v>
      </c>
      <c r="F92" s="51">
        <f t="shared" ca="1" si="6"/>
        <v>0</v>
      </c>
      <c r="G92" s="52">
        <f ca="1">SUM(Apr!G92, May!G92, Jun!G92)</f>
        <v>0</v>
      </c>
      <c r="H92" s="52">
        <f t="shared" ca="1" si="7"/>
        <v>0</v>
      </c>
      <c r="I92" s="53">
        <f t="shared" ca="1" si="8"/>
        <v>0</v>
      </c>
    </row>
    <row r="93" spans="1:9" ht="15.75">
      <c r="A93" s="63" t="str">
        <v>State Route 14A</v>
      </c>
      <c r="B93" s="64" t="str">
        <v>NYCS III</v>
      </c>
      <c r="C93" s="81">
        <f ca="1">SUM(Apr!C93, May!C93, Jun!C93)</f>
        <v>0</v>
      </c>
      <c r="D93" s="50">
        <f ca="1">SUM(Apr!D93, May!D93, Jun!D93)</f>
        <v>0</v>
      </c>
      <c r="E93" s="50">
        <f t="shared" ca="1" si="5"/>
        <v>0</v>
      </c>
      <c r="F93" s="51">
        <f t="shared" ca="1" si="6"/>
        <v>0</v>
      </c>
      <c r="G93" s="52">
        <f ca="1">SUM(Apr!G93, May!G93, Jun!G93)</f>
        <v>0</v>
      </c>
      <c r="H93" s="52">
        <f t="shared" ca="1" si="7"/>
        <v>0</v>
      </c>
      <c r="I93" s="53">
        <f t="shared" ca="1" si="8"/>
        <v>0</v>
      </c>
    </row>
    <row r="94" spans="1:9" ht="15.75">
      <c r="A94" s="59" t="str">
        <v>West Creek</v>
      </c>
      <c r="B94" s="21" t="str">
        <v>NYCS III</v>
      </c>
      <c r="C94" s="81">
        <f ca="1">SUM(Apr!C94, May!C94, Jun!C94)</f>
        <v>0</v>
      </c>
      <c r="D94" s="50">
        <f ca="1">SUM(Apr!D94, May!D94, Jun!D94)</f>
        <v>0</v>
      </c>
      <c r="E94" s="50">
        <f t="shared" ca="1" si="5"/>
        <v>0</v>
      </c>
      <c r="F94" s="51">
        <f t="shared" ca="1" si="6"/>
        <v>0</v>
      </c>
      <c r="G94" s="52">
        <f ca="1">SUM(Apr!G94, May!G94, Jun!G94)</f>
        <v>0</v>
      </c>
      <c r="H94" s="52">
        <f t="shared" ca="1" si="7"/>
        <v>0</v>
      </c>
      <c r="I94" s="53">
        <f t="shared" ca="1" si="8"/>
        <v>0</v>
      </c>
    </row>
    <row r="95" spans="1:9" ht="15.75">
      <c r="A95" s="63" t="str">
        <v>Wildflower</v>
      </c>
      <c r="B95" s="64" t="str">
        <v>NYCS III</v>
      </c>
      <c r="C95" s="81">
        <f ca="1">SUM(Apr!C95, May!C95, Jun!C95)</f>
        <v>0</v>
      </c>
      <c r="D95" s="50">
        <f ca="1">SUM(Apr!D95, May!D95, Jun!D95)</f>
        <v>0</v>
      </c>
      <c r="E95" s="50">
        <f t="shared" ca="1" si="5"/>
        <v>0</v>
      </c>
      <c r="F95" s="51">
        <f t="shared" ca="1" si="6"/>
        <v>0</v>
      </c>
      <c r="G95" s="52">
        <f ca="1">SUM(Apr!G95, May!G95, Jun!G95)</f>
        <v>0</v>
      </c>
      <c r="H95" s="52">
        <f t="shared" ca="1" si="7"/>
        <v>0</v>
      </c>
      <c r="I95" s="53">
        <f t="shared" ca="1" si="8"/>
        <v>0</v>
      </c>
    </row>
    <row r="96" spans="1:9" ht="15.75">
      <c r="A96" s="59" t="str">
        <v>Glen Mary 1</v>
      </c>
      <c r="B96" s="21" t="str">
        <v>NYCS IV</v>
      </c>
      <c r="C96" s="81">
        <f ca="1">SUM(Apr!C96, May!C96, Jun!C96)</f>
        <v>0</v>
      </c>
      <c r="D96" s="50">
        <f ca="1">SUM(Apr!D96, May!D96, Jun!D96)</f>
        <v>0</v>
      </c>
      <c r="E96" s="50">
        <f t="shared" ca="1" si="5"/>
        <v>0</v>
      </c>
      <c r="F96" s="51">
        <f t="shared" ca="1" si="6"/>
        <v>0</v>
      </c>
      <c r="G96" s="52">
        <f ca="1">SUM(Apr!G96, May!G96, Jun!G96)</f>
        <v>0</v>
      </c>
      <c r="H96" s="52">
        <f t="shared" ca="1" si="7"/>
        <v>0</v>
      </c>
      <c r="I96" s="53">
        <f t="shared" ca="1" si="8"/>
        <v>0</v>
      </c>
    </row>
    <row r="97" spans="1:9" ht="15.75">
      <c r="A97" s="63" t="str">
        <v>Glen Mary 2</v>
      </c>
      <c r="B97" s="64" t="str">
        <v>NYCS IV</v>
      </c>
      <c r="C97" s="81">
        <f ca="1">SUM(Apr!C97, May!C97, Jun!C97)</f>
        <v>0</v>
      </c>
      <c r="D97" s="50">
        <f ca="1">SUM(Apr!D97, May!D97, Jun!D97)</f>
        <v>0</v>
      </c>
      <c r="E97" s="50">
        <f t="shared" ca="1" si="5"/>
        <v>0</v>
      </c>
      <c r="F97" s="51">
        <f t="shared" ca="1" si="6"/>
        <v>0</v>
      </c>
      <c r="G97" s="52">
        <f ca="1">SUM(Apr!G97, May!G97, Jun!G97)</f>
        <v>0</v>
      </c>
      <c r="H97" s="52">
        <f t="shared" ca="1" si="7"/>
        <v>0</v>
      </c>
      <c r="I97" s="53">
        <f t="shared" ca="1" si="8"/>
        <v>0</v>
      </c>
    </row>
    <row r="98" spans="1:9" ht="15.75">
      <c r="A98" s="59" t="str">
        <v>Telegraph 1</v>
      </c>
      <c r="B98" s="21" t="str">
        <v>NYCS IV</v>
      </c>
      <c r="C98" s="81">
        <f ca="1">SUM(Apr!C98, May!C98, Jun!C98)</f>
        <v>0</v>
      </c>
      <c r="D98" s="50">
        <f ca="1">SUM(Apr!D98, May!D98, Jun!D98)</f>
        <v>0</v>
      </c>
      <c r="E98" s="50">
        <f t="shared" ca="1" si="5"/>
        <v>0</v>
      </c>
      <c r="F98" s="51">
        <f t="shared" ca="1" si="6"/>
        <v>0</v>
      </c>
      <c r="G98" s="52">
        <f ca="1">SUM(Apr!G98, May!G98, Jun!G98)</f>
        <v>0</v>
      </c>
      <c r="H98" s="52">
        <f t="shared" ca="1" si="7"/>
        <v>0</v>
      </c>
      <c r="I98" s="53">
        <f t="shared" ca="1" si="8"/>
        <v>0</v>
      </c>
    </row>
    <row r="99" spans="1:9" ht="15.75">
      <c r="A99" s="63" t="str">
        <v>Telegraph 2</v>
      </c>
      <c r="B99" s="64" t="str">
        <v>NYCS IV</v>
      </c>
      <c r="C99" s="81">
        <f ca="1">SUM(Apr!C99, May!C99, Jun!C99)</f>
        <v>0</v>
      </c>
      <c r="D99" s="50">
        <f ca="1">SUM(Apr!D99, May!D99, Jun!D99)</f>
        <v>0</v>
      </c>
      <c r="E99" s="50">
        <f t="shared" ca="1" si="5"/>
        <v>0</v>
      </c>
      <c r="F99" s="51">
        <f t="shared" ca="1" si="6"/>
        <v>0</v>
      </c>
      <c r="G99" s="52">
        <f ca="1">SUM(Apr!G99, May!G99, Jun!G99)</f>
        <v>0</v>
      </c>
      <c r="H99" s="52">
        <f t="shared" ca="1" si="7"/>
        <v>0</v>
      </c>
      <c r="I99" s="53">
        <f t="shared" ca="1" si="8"/>
        <v>0</v>
      </c>
    </row>
    <row r="100" spans="1:9" ht="15.75">
      <c r="A100" s="59" t="str">
        <v>Cafferty Hill</v>
      </c>
      <c r="B100" s="21" t="str">
        <v>NYCS V</v>
      </c>
      <c r="C100" s="81">
        <f ca="1">SUM(Apr!C100, May!C100, Jun!C100)</f>
        <v>0</v>
      </c>
      <c r="D100" s="50">
        <f ca="1">SUM(Apr!D100, May!D100, Jun!D100)</f>
        <v>0</v>
      </c>
      <c r="E100" s="50">
        <f t="shared" ca="1" si="5"/>
        <v>0</v>
      </c>
      <c r="F100" s="51">
        <f t="shared" ca="1" si="6"/>
        <v>0</v>
      </c>
      <c r="G100" s="52">
        <f ca="1">SUM(Apr!G100, May!G100, Jun!G100)</f>
        <v>0</v>
      </c>
      <c r="H100" s="52">
        <f t="shared" ca="1" si="7"/>
        <v>0</v>
      </c>
      <c r="I100" s="53">
        <f t="shared" ca="1" si="8"/>
        <v>0</v>
      </c>
    </row>
    <row r="101" spans="1:9" ht="15.75">
      <c r="A101" s="63" t="str">
        <v>Dunkleman</v>
      </c>
      <c r="B101" s="64" t="str">
        <v>NYCS V</v>
      </c>
      <c r="C101" s="81">
        <f ca="1">SUM(Apr!C101, May!C101, Jun!C101)</f>
        <v>0</v>
      </c>
      <c r="D101" s="50">
        <f ca="1">SUM(Apr!D101, May!D101, Jun!D101)</f>
        <v>0</v>
      </c>
      <c r="E101" s="50">
        <f t="shared" ca="1" si="5"/>
        <v>0</v>
      </c>
      <c r="F101" s="51">
        <f t="shared" ca="1" si="6"/>
        <v>0</v>
      </c>
      <c r="G101" s="52">
        <f ca="1">SUM(Apr!G101, May!G101, Jun!G101)</f>
        <v>0</v>
      </c>
      <c r="H101" s="52">
        <f t="shared" ca="1" si="7"/>
        <v>0</v>
      </c>
      <c r="I101" s="53">
        <f t="shared" ca="1" si="8"/>
        <v>0</v>
      </c>
    </row>
    <row r="102" spans="1:9" ht="15.75">
      <c r="A102" s="59" t="str">
        <v>Route 19 1</v>
      </c>
      <c r="B102" s="21" t="str">
        <v>NYCS V</v>
      </c>
      <c r="C102" s="81">
        <f ca="1">SUM(Apr!C102, May!C102, Jun!C102)</f>
        <v>0</v>
      </c>
      <c r="D102" s="50">
        <f ca="1">SUM(Apr!D102, May!D102, Jun!D102)</f>
        <v>0</v>
      </c>
      <c r="E102" s="50">
        <f t="shared" ca="1" si="5"/>
        <v>0</v>
      </c>
      <c r="F102" s="51">
        <f t="shared" ca="1" si="6"/>
        <v>0</v>
      </c>
      <c r="G102" s="52">
        <f ca="1">SUM(Apr!G102, May!G102, Jun!G102)</f>
        <v>0</v>
      </c>
      <c r="H102" s="52">
        <f t="shared" ca="1" si="7"/>
        <v>0</v>
      </c>
      <c r="I102" s="53">
        <f t="shared" ca="1" si="8"/>
        <v>0</v>
      </c>
    </row>
    <row r="103" spans="1:9" ht="15.75">
      <c r="A103" s="63" t="str">
        <v>Route 19 2</v>
      </c>
      <c r="B103" s="64" t="str">
        <v>NYCS V</v>
      </c>
      <c r="C103" s="81">
        <f ca="1">SUM(Apr!C103, May!C103, Jun!C103)</f>
        <v>0</v>
      </c>
      <c r="D103" s="50">
        <f ca="1">SUM(Apr!D103, May!D103, Jun!D103)</f>
        <v>0</v>
      </c>
      <c r="E103" s="50">
        <f t="shared" ca="1" si="5"/>
        <v>0</v>
      </c>
      <c r="F103" s="51">
        <f t="shared" ca="1" si="6"/>
        <v>0</v>
      </c>
      <c r="G103" s="52">
        <f ca="1">SUM(Apr!G103, May!G103, Jun!G103)</f>
        <v>0</v>
      </c>
      <c r="H103" s="52">
        <f t="shared" ca="1" si="7"/>
        <v>0</v>
      </c>
      <c r="I103" s="53">
        <f t="shared" ca="1" si="8"/>
        <v>0</v>
      </c>
    </row>
    <row r="104" spans="1:9" ht="15.75">
      <c r="A104" s="59" t="str">
        <v>Yellow Mills 1</v>
      </c>
      <c r="B104" s="21" t="str">
        <v>NYCS V</v>
      </c>
      <c r="C104" s="81">
        <f ca="1">SUM(Apr!C104, May!C104, Jun!C104)</f>
        <v>0</v>
      </c>
      <c r="D104" s="50">
        <f ca="1">SUM(Apr!D104, May!D104, Jun!D104)</f>
        <v>0</v>
      </c>
      <c r="E104" s="50">
        <f t="shared" ca="1" si="5"/>
        <v>0</v>
      </c>
      <c r="F104" s="51">
        <f t="shared" ca="1" si="6"/>
        <v>0</v>
      </c>
      <c r="G104" s="52">
        <f ca="1">SUM(Apr!G104, May!G104, Jun!G104)</f>
        <v>0</v>
      </c>
      <c r="H104" s="52">
        <f t="shared" ca="1" si="7"/>
        <v>0</v>
      </c>
      <c r="I104" s="53">
        <f t="shared" ca="1" si="8"/>
        <v>0</v>
      </c>
    </row>
    <row r="105" spans="1:9" ht="15.75">
      <c r="A105" s="63" t="str">
        <v>Yellow Mills 2</v>
      </c>
      <c r="B105" s="64" t="str">
        <v>NYCS V</v>
      </c>
      <c r="C105" s="81">
        <f ca="1">SUM(Apr!C105, May!C105, Jun!C105)</f>
        <v>0</v>
      </c>
      <c r="D105" s="50">
        <f ca="1">SUM(Apr!D105, May!D105, Jun!D105)</f>
        <v>0</v>
      </c>
      <c r="E105" s="50">
        <f t="shared" ca="1" si="5"/>
        <v>0</v>
      </c>
      <c r="F105" s="51">
        <f t="shared" ca="1" si="6"/>
        <v>0</v>
      </c>
      <c r="G105" s="52">
        <f ca="1">SUM(Apr!G105, May!G105, Jun!G105)</f>
        <v>0</v>
      </c>
      <c r="H105" s="52">
        <f t="shared" ca="1" si="7"/>
        <v>0</v>
      </c>
      <c r="I105" s="53">
        <f t="shared" ca="1" si="8"/>
        <v>0</v>
      </c>
    </row>
    <row r="106" spans="1:9" ht="15.75">
      <c r="A106" s="59" t="str">
        <v>Yellow Mills 3</v>
      </c>
      <c r="B106" s="21" t="str">
        <v>NYCS V</v>
      </c>
      <c r="C106" s="81">
        <f ca="1">SUM(Apr!C106, May!C106, Jun!C106)</f>
        <v>0</v>
      </c>
      <c r="D106" s="50">
        <f ca="1">SUM(Apr!D106, May!D106, Jun!D106)</f>
        <v>0</v>
      </c>
      <c r="E106" s="50">
        <f t="shared" ca="1" si="5"/>
        <v>0</v>
      </c>
      <c r="F106" s="51">
        <f t="shared" ca="1" si="6"/>
        <v>0</v>
      </c>
      <c r="G106" s="52">
        <f ca="1">SUM(Apr!G106, May!G106, Jun!G106)</f>
        <v>0</v>
      </c>
      <c r="H106" s="52">
        <f t="shared" ca="1" si="7"/>
        <v>0</v>
      </c>
      <c r="I106" s="53">
        <f t="shared" ca="1" si="8"/>
        <v>0</v>
      </c>
    </row>
    <row r="107" spans="1:9" ht="15.75">
      <c r="A107" s="63" t="str">
        <v>Catskill</v>
      </c>
      <c r="B107" s="64" t="str">
        <v>NYCS VI</v>
      </c>
      <c r="C107" s="81">
        <f ca="1">SUM(Apr!C107, May!C107, Jun!C107)</f>
        <v>0</v>
      </c>
      <c r="D107" s="50">
        <f ca="1">SUM(Apr!D107, May!D107, Jun!D107)</f>
        <v>0</v>
      </c>
      <c r="E107" s="50">
        <f t="shared" ca="1" si="5"/>
        <v>0</v>
      </c>
      <c r="F107" s="51">
        <f t="shared" ca="1" si="6"/>
        <v>0</v>
      </c>
      <c r="G107" s="52">
        <f ca="1">SUM(Apr!G107, May!G107, Jun!G107)</f>
        <v>0</v>
      </c>
      <c r="H107" s="52">
        <f t="shared" ca="1" si="7"/>
        <v>0</v>
      </c>
      <c r="I107" s="53">
        <f t="shared" ca="1" si="8"/>
        <v>0</v>
      </c>
    </row>
    <row r="108" spans="1:9" ht="15.75">
      <c r="A108" s="59" t="str">
        <v>Eddy Ridge</v>
      </c>
      <c r="B108" s="21" t="str">
        <v>NYCS VI</v>
      </c>
      <c r="C108" s="81">
        <f ca="1">SUM(Apr!C108, May!C108, Jun!C108)</f>
        <v>0</v>
      </c>
      <c r="D108" s="50">
        <f ca="1">SUM(Apr!D108, May!D108, Jun!D108)</f>
        <v>0</v>
      </c>
      <c r="E108" s="50">
        <f t="shared" ca="1" si="5"/>
        <v>0</v>
      </c>
      <c r="F108" s="51">
        <f t="shared" ca="1" si="6"/>
        <v>0</v>
      </c>
      <c r="G108" s="52">
        <f ca="1">SUM(Apr!G108, May!G108, Jun!G108)</f>
        <v>0</v>
      </c>
      <c r="H108" s="52">
        <f t="shared" ca="1" si="7"/>
        <v>0</v>
      </c>
      <c r="I108" s="53">
        <f t="shared" ca="1" si="8"/>
        <v>0</v>
      </c>
    </row>
    <row r="109" spans="1:9" ht="15.75">
      <c r="A109" s="63" t="str">
        <v>Ridgeway #1</v>
      </c>
      <c r="B109" s="64" t="str">
        <v>NYCS VI</v>
      </c>
      <c r="C109" s="81">
        <f ca="1">SUM(Apr!C109, May!C109, Jun!C109)</f>
        <v>0</v>
      </c>
      <c r="D109" s="50">
        <f ca="1">SUM(Apr!D109, May!D109, Jun!D109)</f>
        <v>0</v>
      </c>
      <c r="E109" s="50">
        <f t="shared" ca="1" si="5"/>
        <v>0</v>
      </c>
      <c r="F109" s="51">
        <f t="shared" ca="1" si="6"/>
        <v>0</v>
      </c>
      <c r="G109" s="52">
        <f ca="1">SUM(Apr!G109, May!G109, Jun!G109)</f>
        <v>0</v>
      </c>
      <c r="H109" s="52">
        <f t="shared" ca="1" si="7"/>
        <v>0</v>
      </c>
      <c r="I109" s="53">
        <f t="shared" ca="1" si="8"/>
        <v>0</v>
      </c>
    </row>
    <row r="110" spans="1:9" ht="15.75">
      <c r="A110" s="59" t="str">
        <v>Rivard 1</v>
      </c>
      <c r="B110" s="21" t="str">
        <v>NYCS VI</v>
      </c>
      <c r="C110" s="81">
        <f ca="1">SUM(Apr!C110, May!C110, Jun!C110)</f>
        <v>0</v>
      </c>
      <c r="D110" s="50">
        <f ca="1">SUM(Apr!D110, May!D110, Jun!D110)</f>
        <v>0</v>
      </c>
      <c r="E110" s="50">
        <f t="shared" ca="1" si="5"/>
        <v>0</v>
      </c>
      <c r="F110" s="51">
        <f t="shared" ca="1" si="6"/>
        <v>0</v>
      </c>
      <c r="G110" s="52">
        <f ca="1">SUM(Apr!G110, May!G110, Jun!G110)</f>
        <v>0</v>
      </c>
      <c r="H110" s="52">
        <f t="shared" ca="1" si="7"/>
        <v>0</v>
      </c>
      <c r="I110" s="53">
        <f t="shared" ca="1" si="8"/>
        <v>0</v>
      </c>
    </row>
    <row r="111" spans="1:9" ht="15.75">
      <c r="A111" s="63" t="str">
        <v>Rivard 2</v>
      </c>
      <c r="B111" s="64" t="str">
        <v>NYCS VI</v>
      </c>
      <c r="C111" s="81">
        <f ca="1">SUM(Apr!C111, May!C111, Jun!C111)</f>
        <v>0</v>
      </c>
      <c r="D111" s="50">
        <f ca="1">SUM(Apr!D111, May!D111, Jun!D111)</f>
        <v>0</v>
      </c>
      <c r="E111" s="50">
        <f t="shared" ca="1" si="5"/>
        <v>0</v>
      </c>
      <c r="F111" s="51">
        <f t="shared" ca="1" si="6"/>
        <v>0</v>
      </c>
      <c r="G111" s="52">
        <f ca="1">SUM(Apr!G111, May!G111, Jun!G111)</f>
        <v>0</v>
      </c>
      <c r="H111" s="52">
        <f t="shared" ca="1" si="7"/>
        <v>0</v>
      </c>
      <c r="I111" s="53">
        <f t="shared" ca="1" si="8"/>
        <v>0</v>
      </c>
    </row>
    <row r="112" spans="1:9" ht="15.75">
      <c r="A112" s="59" t="str">
        <v>Essex</v>
      </c>
      <c r="B112" s="21" t="str">
        <v>Opportunity</v>
      </c>
      <c r="C112" s="81">
        <f ca="1">SUM(Apr!C112, May!C112, Jun!C112)</f>
        <v>0</v>
      </c>
      <c r="D112" s="50">
        <f ca="1">SUM(Apr!D112, May!D112, Jun!D112)</f>
        <v>0</v>
      </c>
      <c r="E112" s="50">
        <f t="shared" ca="1" si="5"/>
        <v>0</v>
      </c>
      <c r="F112" s="51">
        <f t="shared" ca="1" si="6"/>
        <v>0</v>
      </c>
      <c r="G112" s="52">
        <f ca="1">SUM(Apr!G112, May!G112, Jun!G112)</f>
        <v>0</v>
      </c>
      <c r="H112" s="52">
        <f t="shared" ca="1" si="7"/>
        <v>0</v>
      </c>
      <c r="I112" s="53">
        <f t="shared" ca="1" si="8"/>
        <v>0</v>
      </c>
    </row>
    <row r="113" spans="1:9" ht="15.75">
      <c r="A113" s="63" t="str">
        <v>Temple Sinai</v>
      </c>
      <c r="B113" s="64" t="str">
        <v>Opportunity</v>
      </c>
      <c r="C113" s="81">
        <f ca="1">SUM(Apr!C113, May!C113, Jun!C113)</f>
        <v>0</v>
      </c>
      <c r="D113" s="50">
        <f ca="1">SUM(Apr!D113, May!D113, Jun!D113)</f>
        <v>0</v>
      </c>
      <c r="E113" s="50">
        <f t="shared" ca="1" si="5"/>
        <v>0</v>
      </c>
      <c r="F113" s="51">
        <f t="shared" ca="1" si="6"/>
        <v>0</v>
      </c>
      <c r="G113" s="52">
        <f ca="1">SUM(Apr!G113, May!G113, Jun!G113)</f>
        <v>0</v>
      </c>
      <c r="H113" s="52">
        <f t="shared" ca="1" si="7"/>
        <v>0</v>
      </c>
      <c r="I113" s="53">
        <f t="shared" ca="1" si="8"/>
        <v>0</v>
      </c>
    </row>
    <row r="114" spans="1:9" ht="15.75">
      <c r="A114" s="59" t="str">
        <v>Weinberg 1</v>
      </c>
      <c r="B114" s="21" t="str">
        <v>Opportunity</v>
      </c>
      <c r="C114" s="81">
        <f ca="1">SUM(Apr!C114, May!C114, Jun!C114)</f>
        <v>0</v>
      </c>
      <c r="D114" s="50">
        <f ca="1">SUM(Apr!D114, May!D114, Jun!D114)</f>
        <v>0</v>
      </c>
      <c r="E114" s="50">
        <f t="shared" ca="1" si="5"/>
        <v>0</v>
      </c>
      <c r="F114" s="51">
        <f t="shared" ca="1" si="6"/>
        <v>0</v>
      </c>
      <c r="G114" s="52">
        <f ca="1">SUM(Apr!G114, May!G114, Jun!G114)</f>
        <v>0</v>
      </c>
      <c r="H114" s="52">
        <f t="shared" ca="1" si="7"/>
        <v>0</v>
      </c>
      <c r="I114" s="53">
        <f t="shared" ca="1" si="8"/>
        <v>0</v>
      </c>
    </row>
    <row r="115" spans="1:9" ht="15.75">
      <c r="A115" s="63" t="str">
        <v>Weinberg 2</v>
      </c>
      <c r="B115" s="64" t="str">
        <v>Opportunity</v>
      </c>
      <c r="C115" s="81">
        <f ca="1">SUM(Apr!C115, May!C115, Jun!C115)</f>
        <v>0</v>
      </c>
      <c r="D115" s="50">
        <f ca="1">SUM(Apr!D115, May!D115, Jun!D115)</f>
        <v>0</v>
      </c>
      <c r="E115" s="50">
        <f t="shared" ca="1" si="5"/>
        <v>0</v>
      </c>
      <c r="F115" s="51">
        <f t="shared" ca="1" si="6"/>
        <v>0</v>
      </c>
      <c r="G115" s="52">
        <f ca="1">SUM(Apr!G115, May!G115, Jun!G115)</f>
        <v>0</v>
      </c>
      <c r="H115" s="52">
        <f t="shared" ca="1" si="7"/>
        <v>0</v>
      </c>
      <c r="I115" s="53">
        <f t="shared" ca="1" si="8"/>
        <v>0</v>
      </c>
    </row>
    <row r="116" spans="1:9" ht="15.75">
      <c r="A116" s="59" t="str">
        <v>Weinberg 3</v>
      </c>
      <c r="B116" s="21" t="str">
        <v>Opportunity</v>
      </c>
      <c r="C116" s="81">
        <f ca="1">SUM(Apr!C116, May!C116, Jun!C116)</f>
        <v>0</v>
      </c>
      <c r="D116" s="50">
        <f ca="1">SUM(Apr!D116, May!D116, Jun!D116)</f>
        <v>0</v>
      </c>
      <c r="E116" s="50">
        <f t="shared" ca="1" si="5"/>
        <v>0</v>
      </c>
      <c r="F116" s="51">
        <f t="shared" ca="1" si="6"/>
        <v>0</v>
      </c>
      <c r="G116" s="52">
        <f ca="1">SUM(Apr!G116, May!G116, Jun!G116)</f>
        <v>0</v>
      </c>
      <c r="H116" s="52">
        <f t="shared" ca="1" si="7"/>
        <v>0</v>
      </c>
      <c r="I116" s="53">
        <f t="shared" ca="1" si="8"/>
        <v>0</v>
      </c>
    </row>
    <row r="117" spans="1:9" ht="15.75">
      <c r="A117" s="63" t="str">
        <v>Clayton Hall</v>
      </c>
      <c r="B117" s="64" t="str">
        <v>Opportunity</v>
      </c>
      <c r="C117" s="81">
        <f ca="1">SUM(Apr!C117, May!C117, Jun!C117)</f>
        <v>0</v>
      </c>
      <c r="D117" s="50">
        <f ca="1">SUM(Apr!D117, May!D117, Jun!D117)</f>
        <v>0</v>
      </c>
      <c r="E117" s="50">
        <f t="shared" ca="1" si="5"/>
        <v>0</v>
      </c>
      <c r="F117" s="51">
        <f t="shared" ca="1" si="6"/>
        <v>0</v>
      </c>
      <c r="G117" s="52">
        <f ca="1">SUM(Apr!G117, May!G117, Jun!G117)</f>
        <v>0</v>
      </c>
      <c r="H117" s="52">
        <f t="shared" ca="1" si="7"/>
        <v>0</v>
      </c>
      <c r="I117" s="53">
        <f t="shared" ca="1" si="8"/>
        <v>0</v>
      </c>
    </row>
    <row r="118" spans="1:9" ht="15.75">
      <c r="A118" s="59" t="str">
        <v>Field House</v>
      </c>
      <c r="B118" s="21" t="str">
        <v>Opportunity</v>
      </c>
      <c r="C118" s="81">
        <f ca="1">SUM(Apr!C118, May!C118, Jun!C118)</f>
        <v>0</v>
      </c>
      <c r="D118" s="50">
        <f ca="1">SUM(Apr!D118, May!D118, Jun!D118)</f>
        <v>0</v>
      </c>
      <c r="E118" s="50">
        <f t="shared" ca="1" si="5"/>
        <v>0</v>
      </c>
      <c r="F118" s="51">
        <f t="shared" ca="1" si="6"/>
        <v>0</v>
      </c>
      <c r="G118" s="52">
        <f ca="1">SUM(Apr!G118, May!G118, Jun!G118)</f>
        <v>0</v>
      </c>
      <c r="H118" s="52">
        <f t="shared" ca="1" si="7"/>
        <v>0</v>
      </c>
      <c r="I118" s="53">
        <f t="shared" ca="1" si="8"/>
        <v>0</v>
      </c>
    </row>
    <row r="119" spans="1:9" ht="15.75">
      <c r="A119" s="63" t="str">
        <v>Wyoming Road</v>
      </c>
      <c r="B119" s="64" t="str">
        <v>Opportunity</v>
      </c>
      <c r="C119" s="81">
        <f ca="1">SUM(Apr!C119, May!C119, Jun!C119)</f>
        <v>0</v>
      </c>
      <c r="D119" s="50">
        <f ca="1">SUM(Apr!D119, May!D119, Jun!D119)</f>
        <v>0</v>
      </c>
      <c r="E119" s="50">
        <f t="shared" ca="1" si="5"/>
        <v>0</v>
      </c>
      <c r="F119" s="51">
        <f t="shared" ca="1" si="6"/>
        <v>0</v>
      </c>
      <c r="G119" s="52">
        <f ca="1">SUM(Apr!G119, May!G119, Jun!G119)</f>
        <v>0</v>
      </c>
      <c r="H119" s="52">
        <f t="shared" ca="1" si="7"/>
        <v>0</v>
      </c>
      <c r="I119" s="53">
        <f t="shared" ca="1" si="8"/>
        <v>0</v>
      </c>
    </row>
    <row r="120" spans="1:9" ht="15.75">
      <c r="A120" s="59" t="str">
        <v>Leoku</v>
      </c>
      <c r="B120" s="21" t="str">
        <v>Opportunity</v>
      </c>
      <c r="C120" s="81">
        <f ca="1">SUM(Apr!C120, May!C120, Jun!C120)</f>
        <v>0</v>
      </c>
      <c r="D120" s="50">
        <f ca="1">SUM(Apr!D120, May!D120, Jun!D120)</f>
        <v>0</v>
      </c>
      <c r="E120" s="50">
        <f t="shared" ca="1" si="5"/>
        <v>0</v>
      </c>
      <c r="F120" s="51">
        <f t="shared" ca="1" si="6"/>
        <v>0</v>
      </c>
      <c r="G120" s="52">
        <f ca="1">SUM(Apr!G120, May!G120, Jun!G120)</f>
        <v>0</v>
      </c>
      <c r="H120" s="52">
        <f t="shared" ca="1" si="7"/>
        <v>0</v>
      </c>
      <c r="I120" s="53">
        <f t="shared" ca="1" si="8"/>
        <v>0</v>
      </c>
    </row>
    <row r="121" spans="1:9" ht="15.75">
      <c r="A121" s="63" t="str">
        <v>Waipahu</v>
      </c>
      <c r="B121" s="64" t="str">
        <v>Opportunity</v>
      </c>
      <c r="C121" s="81">
        <f ca="1">SUM(Apr!C121, May!C121, Jun!C121)</f>
        <v>0</v>
      </c>
      <c r="D121" s="50">
        <f ca="1">SUM(Apr!D121, May!D121, Jun!D121)</f>
        <v>0</v>
      </c>
      <c r="E121" s="50">
        <f t="shared" ca="1" si="5"/>
        <v>0</v>
      </c>
      <c r="F121" s="51">
        <f t="shared" ca="1" si="6"/>
        <v>0</v>
      </c>
      <c r="G121" s="52">
        <f ca="1">SUM(Apr!G121, May!G121, Jun!G121)</f>
        <v>0</v>
      </c>
      <c r="H121" s="52">
        <f t="shared" ca="1" si="7"/>
        <v>0</v>
      </c>
      <c r="I121" s="53">
        <f t="shared" ca="1" si="8"/>
        <v>0</v>
      </c>
    </row>
    <row r="122" spans="1:9" ht="15.75">
      <c r="A122" s="59" t="str">
        <v>Bird in Hand</v>
      </c>
      <c r="B122" s="21" t="str">
        <v>Opportunity</v>
      </c>
      <c r="C122" s="81">
        <f ca="1">SUM(Apr!C122, May!C122, Jun!C122)</f>
        <v>0</v>
      </c>
      <c r="D122" s="50">
        <f ca="1">SUM(Apr!D122, May!D122, Jun!D122)</f>
        <v>0</v>
      </c>
      <c r="E122" s="50">
        <f t="shared" ca="1" si="5"/>
        <v>0</v>
      </c>
      <c r="F122" s="51">
        <f t="shared" ca="1" si="6"/>
        <v>0</v>
      </c>
      <c r="G122" s="52">
        <f ca="1">SUM(Apr!G122, May!G122, Jun!G122)</f>
        <v>0</v>
      </c>
      <c r="H122" s="52">
        <f t="shared" ca="1" si="7"/>
        <v>0</v>
      </c>
      <c r="I122" s="53">
        <f t="shared" ca="1" si="8"/>
        <v>0</v>
      </c>
    </row>
    <row r="123" spans="1:9" ht="15.75">
      <c r="A123" s="63" t="str">
        <v>Shortal</v>
      </c>
      <c r="B123" s="64" t="str">
        <v>Opportunity</v>
      </c>
      <c r="C123" s="81">
        <f ca="1">SUM(Apr!C123, May!C123, Jun!C123)</f>
        <v>0</v>
      </c>
      <c r="D123" s="50">
        <f ca="1">SUM(Apr!D123, May!D123, Jun!D123)</f>
        <v>0</v>
      </c>
      <c r="E123" s="50">
        <f t="shared" ca="1" si="5"/>
        <v>0</v>
      </c>
      <c r="F123" s="51">
        <f t="shared" ca="1" si="6"/>
        <v>0</v>
      </c>
      <c r="G123" s="52">
        <f ca="1">SUM(Apr!G123, May!G123, Jun!G123)</f>
        <v>0</v>
      </c>
      <c r="H123" s="52">
        <f t="shared" ca="1" si="7"/>
        <v>0</v>
      </c>
      <c r="I123" s="53">
        <f t="shared" ca="1" si="8"/>
        <v>0</v>
      </c>
    </row>
    <row r="124" spans="1:9" ht="15.75">
      <c r="A124" s="59" t="str">
        <v>Aguadilla</v>
      </c>
      <c r="B124" s="21" t="str">
        <v>Opportunity</v>
      </c>
      <c r="C124" s="81">
        <f ca="1">SUM(Apr!C124, May!C124, Jun!C124)</f>
        <v>0</v>
      </c>
      <c r="D124" s="50">
        <f ca="1">SUM(Apr!D124, May!D124, Jun!D124)</f>
        <v>0</v>
      </c>
      <c r="E124" s="50">
        <f t="shared" ca="1" si="5"/>
        <v>0</v>
      </c>
      <c r="F124" s="51">
        <f t="shared" ca="1" si="6"/>
        <v>0</v>
      </c>
      <c r="G124" s="52">
        <f ca="1">SUM(Apr!G124, May!G124, Jun!G124)</f>
        <v>0</v>
      </c>
      <c r="H124" s="52">
        <f t="shared" ca="1" si="7"/>
        <v>0</v>
      </c>
      <c r="I124" s="53">
        <f t="shared" ca="1" si="8"/>
        <v>0</v>
      </c>
    </row>
    <row r="125" spans="1:9" ht="15.75">
      <c r="A125" s="63" t="str">
        <v>Bayamon</v>
      </c>
      <c r="B125" s="64" t="str">
        <v>Opportunity</v>
      </c>
      <c r="C125" s="81">
        <f ca="1">SUM(Apr!C125, May!C125, Jun!C125)</f>
        <v>0</v>
      </c>
      <c r="D125" s="50">
        <f ca="1">SUM(Apr!D125, May!D125, Jun!D125)</f>
        <v>0</v>
      </c>
      <c r="E125" s="50">
        <f t="shared" ca="1" si="5"/>
        <v>0</v>
      </c>
      <c r="F125" s="51">
        <f t="shared" ca="1" si="6"/>
        <v>0</v>
      </c>
      <c r="G125" s="52">
        <f ca="1">SUM(Apr!G125, May!G125, Jun!G125)</f>
        <v>0</v>
      </c>
      <c r="H125" s="52">
        <f t="shared" ca="1" si="7"/>
        <v>0</v>
      </c>
      <c r="I125" s="53">
        <f t="shared" ca="1" si="8"/>
        <v>0</v>
      </c>
    </row>
    <row r="126" spans="1:9" ht="15.75">
      <c r="A126" s="59" t="str">
        <v>St Francis</v>
      </c>
      <c r="B126" s="21" t="str">
        <v>Opportunity</v>
      </c>
      <c r="C126" s="81">
        <f ca="1">SUM(Apr!C126, May!C126, Jun!C126)</f>
        <v>0</v>
      </c>
      <c r="D126" s="50">
        <f ca="1">SUM(Apr!D126, May!D126, Jun!D126)</f>
        <v>0</v>
      </c>
      <c r="E126" s="50">
        <f t="shared" ca="1" si="5"/>
        <v>0</v>
      </c>
      <c r="F126" s="51">
        <f t="shared" ca="1" si="6"/>
        <v>0</v>
      </c>
      <c r="G126" s="52">
        <f ca="1">SUM(Apr!G126, May!G126, Jun!G126)</f>
        <v>0</v>
      </c>
      <c r="H126" s="52">
        <f t="shared" ca="1" si="7"/>
        <v>0</v>
      </c>
      <c r="I126" s="53">
        <f t="shared" ca="1" si="8"/>
        <v>0</v>
      </c>
    </row>
    <row r="127" spans="1:9" ht="15.75">
      <c r="A127" s="63" t="str">
        <v>Seaport</v>
      </c>
      <c r="B127" s="64" t="str">
        <v>Sunraise</v>
      </c>
      <c r="C127" s="81">
        <f ca="1">SUM(Apr!C127, May!C127, Jun!C127)</f>
        <v>0</v>
      </c>
      <c r="D127" s="50">
        <f ca="1">SUM(Apr!D127, May!D127, Jun!D127)</f>
        <v>0</v>
      </c>
      <c r="E127" s="50">
        <f t="shared" ca="1" si="5"/>
        <v>0</v>
      </c>
      <c r="F127" s="51">
        <f t="shared" ca="1" si="6"/>
        <v>0</v>
      </c>
      <c r="G127" s="52">
        <f ca="1">SUM(Apr!G127, May!G127, Jun!G127)</f>
        <v>0</v>
      </c>
      <c r="H127" s="52">
        <f t="shared" ca="1" si="7"/>
        <v>0</v>
      </c>
      <c r="I127" s="53">
        <f t="shared" ca="1" si="8"/>
        <v>0</v>
      </c>
    </row>
    <row r="128" spans="1:9" ht="15.75">
      <c r="A128" s="59" t="str">
        <v>Sprague St</v>
      </c>
      <c r="B128" s="21" t="str">
        <v>Sunraise</v>
      </c>
      <c r="C128" s="81">
        <f ca="1">SUM(Apr!C128, May!C128, Jun!C128)</f>
        <v>0</v>
      </c>
      <c r="D128" s="50">
        <f ca="1">SUM(Apr!D128, May!D128, Jun!D128)</f>
        <v>0</v>
      </c>
      <c r="E128" s="50">
        <f t="shared" ca="1" si="5"/>
        <v>0</v>
      </c>
      <c r="F128" s="51">
        <f t="shared" ca="1" si="6"/>
        <v>0</v>
      </c>
      <c r="G128" s="52">
        <f ca="1">SUM(Apr!G128, May!G128, Jun!G128)</f>
        <v>0</v>
      </c>
      <c r="H128" s="52">
        <f t="shared" ca="1" si="7"/>
        <v>0</v>
      </c>
      <c r="I128" s="53">
        <f t="shared" ca="1" si="8"/>
        <v>0</v>
      </c>
    </row>
    <row r="129" spans="1:9" ht="15.75">
      <c r="A129" s="63" t="str">
        <v>Summer St</v>
      </c>
      <c r="B129" s="64" t="str">
        <v>Sunraise</v>
      </c>
      <c r="C129" s="81">
        <f ca="1">SUM(Apr!C129, May!C129, Jun!C129)</f>
        <v>0</v>
      </c>
      <c r="D129" s="50">
        <f ca="1">SUM(Apr!D129, May!D129, Jun!D129)</f>
        <v>0</v>
      </c>
      <c r="E129" s="50">
        <f t="shared" ca="1" si="5"/>
        <v>0</v>
      </c>
      <c r="F129" s="51">
        <f t="shared" ca="1" si="6"/>
        <v>0</v>
      </c>
      <c r="G129" s="52">
        <f ca="1">SUM(Apr!G129, May!G129, Jun!G129)</f>
        <v>0</v>
      </c>
      <c r="H129" s="52">
        <f t="shared" ca="1" si="7"/>
        <v>0</v>
      </c>
      <c r="I129" s="53">
        <f t="shared" ca="1" si="8"/>
        <v>0</v>
      </c>
    </row>
    <row r="130" spans="1:9" ht="15.75">
      <c r="A130" s="59" t="str">
        <v>Brock St Vocational</v>
      </c>
      <c r="B130" s="21" t="str">
        <v>Sunraise</v>
      </c>
      <c r="C130" s="81">
        <f ca="1">SUM(Apr!C130, May!C130, Jun!C130)</f>
        <v>0</v>
      </c>
      <c r="D130" s="50">
        <f ca="1">SUM(Apr!D130, May!D130, Jun!D130)</f>
        <v>0</v>
      </c>
      <c r="E130" s="50">
        <f t="shared" ca="1" si="5"/>
        <v>0</v>
      </c>
      <c r="F130" s="51">
        <f t="shared" ca="1" si="6"/>
        <v>0</v>
      </c>
      <c r="G130" s="52">
        <f ca="1">SUM(Apr!G130, May!G130, Jun!G130)</f>
        <v>0</v>
      </c>
      <c r="H130" s="52">
        <f t="shared" ca="1" si="7"/>
        <v>0</v>
      </c>
      <c r="I130" s="53">
        <f t="shared" ca="1" si="8"/>
        <v>0</v>
      </c>
    </row>
    <row r="131" spans="1:9" ht="15.75">
      <c r="A131" s="63" t="str">
        <v>McClelland ES</v>
      </c>
      <c r="B131" s="64" t="str">
        <v>Sunraise</v>
      </c>
      <c r="C131" s="81">
        <f ca="1">SUM(Apr!C131, May!C131, Jun!C131)</f>
        <v>0</v>
      </c>
      <c r="D131" s="50">
        <f ca="1">SUM(Apr!D131, May!D131, Jun!D131)</f>
        <v>0</v>
      </c>
      <c r="E131" s="50">
        <f t="shared" ca="1" si="5"/>
        <v>0</v>
      </c>
      <c r="F131" s="51">
        <f t="shared" ca="1" si="6"/>
        <v>0</v>
      </c>
      <c r="G131" s="52">
        <f ca="1">SUM(Apr!G131, May!G131, Jun!G131)</f>
        <v>0</v>
      </c>
      <c r="H131" s="52">
        <f t="shared" ca="1" si="7"/>
        <v>0</v>
      </c>
      <c r="I131" s="53">
        <f t="shared" ca="1" si="8"/>
        <v>0</v>
      </c>
    </row>
    <row r="132" spans="1:9" ht="15.75">
      <c r="A132" s="59" t="str">
        <v>Portland St</v>
      </c>
      <c r="B132" s="21" t="str">
        <v>Sunraise</v>
      </c>
      <c r="C132" s="81">
        <f ca="1">SUM(Apr!C132, May!C132, Jun!C132)</f>
        <v>0</v>
      </c>
      <c r="D132" s="50">
        <f ca="1">SUM(Apr!D132, May!D132, Jun!D132)</f>
        <v>0</v>
      </c>
      <c r="E132" s="50">
        <f t="shared" ref="E132:E136" ca="1" si="9">C132-D132</f>
        <v>0</v>
      </c>
      <c r="F132" s="51">
        <f t="shared" ref="F132:F136" ca="1" si="10">IFERROR(E132/D132, 0)</f>
        <v>0</v>
      </c>
      <c r="G132" s="52">
        <f ca="1">SUM(Apr!G132, May!G132, Jun!G132)</f>
        <v>0</v>
      </c>
      <c r="H132" s="52">
        <f t="shared" ref="H132:H136" ca="1" si="11">C132-G132</f>
        <v>0</v>
      </c>
      <c r="I132" s="53">
        <f t="shared" ref="I132:I136" ca="1" si="12">IFERROR(H132/G132, 0)</f>
        <v>0</v>
      </c>
    </row>
    <row r="133" spans="1:9" ht="15.75">
      <c r="A133" s="63" t="str">
        <v>Portsmouth HS</v>
      </c>
      <c r="B133" s="64" t="str">
        <v>Sunraise</v>
      </c>
      <c r="C133" s="81">
        <f ca="1">SUM(Apr!C133, May!C133, Jun!C133)</f>
        <v>0</v>
      </c>
      <c r="D133" s="50">
        <f ca="1">SUM(Apr!D133, May!D133, Jun!D133)</f>
        <v>0</v>
      </c>
      <c r="E133" s="50">
        <f t="shared" ca="1" si="9"/>
        <v>0</v>
      </c>
      <c r="F133" s="51">
        <f t="shared" ca="1" si="10"/>
        <v>0</v>
      </c>
      <c r="G133" s="52">
        <f ca="1">SUM(Apr!G133, May!G133, Jun!G133)</f>
        <v>0</v>
      </c>
      <c r="H133" s="52">
        <f t="shared" ca="1" si="11"/>
        <v>0</v>
      </c>
      <c r="I133" s="53">
        <f t="shared" ca="1" si="12"/>
        <v>0</v>
      </c>
    </row>
    <row r="134" spans="1:9" ht="15.75">
      <c r="A134" s="59" t="str">
        <v>Portsmouth WTP</v>
      </c>
      <c r="B134" s="21" t="str">
        <v>Sunraise</v>
      </c>
      <c r="C134" s="81">
        <f ca="1">SUM(Apr!C134, May!C134, Jun!C134)</f>
        <v>0</v>
      </c>
      <c r="D134" s="50">
        <f ca="1">SUM(Apr!D134, May!D134, Jun!D134)</f>
        <v>0</v>
      </c>
      <c r="E134" s="50">
        <f t="shared" ca="1" si="9"/>
        <v>0</v>
      </c>
      <c r="F134" s="51">
        <f t="shared" ca="1" si="10"/>
        <v>0</v>
      </c>
      <c r="G134" s="52">
        <f ca="1">SUM(Apr!G134, May!G134, Jun!G134)</f>
        <v>0</v>
      </c>
      <c r="H134" s="52">
        <f t="shared" ca="1" si="11"/>
        <v>0</v>
      </c>
      <c r="I134" s="53">
        <f t="shared" ca="1" si="12"/>
        <v>0</v>
      </c>
    </row>
    <row r="135" spans="1:9" ht="15.75">
      <c r="A135" s="63" t="str">
        <v>Rochester St</v>
      </c>
      <c r="B135" s="64" t="str">
        <v>Sunraise</v>
      </c>
      <c r="C135" s="81">
        <f ca="1">SUM(Apr!C135, May!C135, Jun!C135)</f>
        <v>0</v>
      </c>
      <c r="D135" s="50">
        <f ca="1">SUM(Apr!D135, May!D135, Jun!D135)</f>
        <v>0</v>
      </c>
      <c r="E135" s="50">
        <f t="shared" ca="1" si="9"/>
        <v>0</v>
      </c>
      <c r="F135" s="51">
        <f t="shared" ca="1" si="10"/>
        <v>0</v>
      </c>
      <c r="G135" s="52">
        <f ca="1">SUM(Apr!G135, May!G135, Jun!G135)</f>
        <v>0</v>
      </c>
      <c r="H135" s="52">
        <f t="shared" ca="1" si="11"/>
        <v>0</v>
      </c>
      <c r="I135" s="53">
        <f t="shared" ca="1" si="12"/>
        <v>0</v>
      </c>
    </row>
    <row r="136" spans="1:9" ht="15.75">
      <c r="A136" s="59" t="str">
        <v>Spaulding HS</v>
      </c>
      <c r="B136" s="21" t="str">
        <v>Sunraise</v>
      </c>
      <c r="C136" s="81">
        <f ca="1">SUM(Apr!C136, May!C136, Jun!C136)</f>
        <v>0</v>
      </c>
      <c r="D136" s="50">
        <f ca="1">SUM(Apr!D136, May!D136, Jun!D136)</f>
        <v>0</v>
      </c>
      <c r="E136" s="50">
        <f t="shared" ca="1" si="9"/>
        <v>0</v>
      </c>
      <c r="F136" s="51">
        <f t="shared" ca="1" si="10"/>
        <v>0</v>
      </c>
      <c r="G136" s="52">
        <f ca="1">SUM(Apr!G136, May!G136, Jun!G136)</f>
        <v>0</v>
      </c>
      <c r="H136" s="52">
        <f t="shared" ca="1" si="11"/>
        <v>0</v>
      </c>
      <c r="I136" s="53">
        <f t="shared" ca="1" si="12"/>
        <v>0</v>
      </c>
    </row>
    <row r="137" spans="1:9" ht="15">
      <c r="A137" s="156" t="s">
        <v>9</v>
      </c>
      <c r="B137" s="157"/>
      <c r="C137" s="61">
        <f ca="1">SUM(C3:C8)</f>
        <v>0</v>
      </c>
      <c r="D137" s="61">
        <f ca="1">SUM(D3:D8)</f>
        <v>0</v>
      </c>
      <c r="E137" s="61">
        <f ca="1">C137-D137</f>
        <v>0</v>
      </c>
      <c r="F137" s="54">
        <f ca="1">IFERROR(E137/D137, 0)</f>
        <v>0</v>
      </c>
      <c r="G137" s="61">
        <f ca="1">SUM(G3:G8)</f>
        <v>0</v>
      </c>
      <c r="H137" s="62">
        <f ca="1">C137-G137</f>
        <v>0</v>
      </c>
      <c r="I137" s="55">
        <f ca="1">IFERROR(H137/C137, 0)</f>
        <v>0</v>
      </c>
    </row>
    <row r="139" spans="1:9">
      <c r="A139" s="158" t="s">
        <v>10</v>
      </c>
      <c r="B139" s="158"/>
    </row>
    <row r="140" spans="1:9">
      <c r="A140" s="158"/>
      <c r="B140" s="158"/>
    </row>
    <row r="141" spans="1:9">
      <c r="A141" s="159" t="s">
        <v>11</v>
      </c>
      <c r="B141" s="159"/>
    </row>
    <row r="142" spans="1:9">
      <c r="A142" s="159"/>
      <c r="B142" s="159"/>
    </row>
  </sheetData>
  <autoFilter ref="A2:I2" xr:uid="{38E74E64-E3A4-43F8-9B1A-78F26543F23E}"/>
  <sortState xmlns:xlrd2="http://schemas.microsoft.com/office/spreadsheetml/2017/richdata2" ref="A3:K4">
    <sortCondition ref="A3:A4"/>
  </sortState>
  <mergeCells count="6">
    <mergeCell ref="G1:I1"/>
    <mergeCell ref="A137:B137"/>
    <mergeCell ref="A139:B140"/>
    <mergeCell ref="A141:B142"/>
    <mergeCell ref="A1:B1"/>
    <mergeCell ref="C1:F1"/>
  </mergeCells>
  <conditionalFormatting sqref="F3:F137 I3:I137">
    <cfRule type="cellIs" dxfId="2192" priority="3" operator="lessThanOrEqual">
      <formula>-0.1</formula>
    </cfRule>
    <cfRule type="cellIs" dxfId="2191" priority="4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42"/>
  <sheetViews>
    <sheetView workbookViewId="0">
      <pane ySplit="2" topLeftCell="A5" activePane="bottomLeft" state="frozen"/>
      <selection pane="bottomLeft" activeCell="A5" sqref="A5"/>
      <selection activeCell="L18" sqref="L18"/>
    </sheetView>
  </sheetViews>
  <sheetFormatPr defaultRowHeight="12.75"/>
  <cols>
    <col min="1" max="1" width="35.85546875" bestFit="1" customWidth="1"/>
    <col min="2" max="2" width="35.8554687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5" t="str" cm="1">
        <f t="array" ref="A1">portfolio</f>
        <v>Generate Capital</v>
      </c>
      <c r="B1" s="166"/>
      <c r="C1" s="160" t="s">
        <v>16</v>
      </c>
      <c r="D1" s="161"/>
      <c r="E1" s="161"/>
      <c r="F1" s="162"/>
      <c r="G1" s="163" t="s">
        <v>17</v>
      </c>
      <c r="H1" s="163"/>
      <c r="I1" s="164"/>
    </row>
    <row r="2" spans="1:9" ht="14.25" customHeight="1">
      <c r="A2" s="82" t="s">
        <v>2</v>
      </c>
      <c r="B2" s="82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8" t="s">
        <v>7</v>
      </c>
    </row>
    <row r="3" spans="1:9" ht="15.75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81">
        <f ca="1">SUM(Jul!C3, Aug!C3, Sep!C3)</f>
        <v>0</v>
      </c>
      <c r="D3" s="50">
        <f ca="1">SUM(Jul!D3, Aug!D3, Sep!D3)</f>
        <v>0</v>
      </c>
      <c r="E3" s="50">
        <f t="shared" ref="E3:E75" ca="1" si="0">C3-D3</f>
        <v>0</v>
      </c>
      <c r="F3" s="51">
        <f ca="1">IFERROR(E3/D3, 0)</f>
        <v>0</v>
      </c>
      <c r="G3" s="52">
        <f ca="1">SUM(Jul!G3, Aug!G3, Sep!G3)</f>
        <v>0</v>
      </c>
      <c r="H3" s="52">
        <f ca="1">C3-G3</f>
        <v>0</v>
      </c>
      <c r="I3" s="53">
        <f ca="1">IFERROR(H3/G3, 0)</f>
        <v>0</v>
      </c>
    </row>
    <row r="4" spans="1:9" ht="15.75">
      <c r="A4" s="59" t="str">
        <v>Fulton</v>
      </c>
      <c r="B4" s="21" t="str">
        <v>Blue Renewables</v>
      </c>
      <c r="C4" s="81">
        <f ca="1">SUM(Jul!C4, Aug!C4, Sep!C4)</f>
        <v>0</v>
      </c>
      <c r="D4" s="50">
        <f ca="1">SUM(Jul!D4, Aug!D4, Sep!D4)</f>
        <v>0</v>
      </c>
      <c r="E4" s="50">
        <f t="shared" ref="E4:E67" ca="1" si="1">C4-D4</f>
        <v>0</v>
      </c>
      <c r="F4" s="51">
        <f t="shared" ref="F4:F67" ca="1" si="2">IFERROR(E4/D4, 0)</f>
        <v>0</v>
      </c>
      <c r="G4" s="52">
        <f ca="1">SUM(Jul!G4, Aug!G4, Sep!G4)</f>
        <v>0</v>
      </c>
      <c r="H4" s="52">
        <f t="shared" ref="H4:H67" ca="1" si="3">C4-G4</f>
        <v>0</v>
      </c>
      <c r="I4" s="53">
        <f t="shared" ref="I4:I67" ca="1" si="4">IFERROR(H4/G4, 0)</f>
        <v>0</v>
      </c>
    </row>
    <row r="5" spans="1:9" ht="15.75">
      <c r="A5" s="63" t="str">
        <v>JFK Elementary</v>
      </c>
      <c r="B5" s="64" t="str">
        <v>Blue Renewables</v>
      </c>
      <c r="C5" s="81">
        <f ca="1">SUM(Jul!C5, Aug!C5, Sep!C5)</f>
        <v>0</v>
      </c>
      <c r="D5" s="50">
        <f ca="1">SUM(Jul!D5, Aug!D5, Sep!D5)</f>
        <v>0</v>
      </c>
      <c r="E5" s="50">
        <f t="shared" ca="1" si="1"/>
        <v>0</v>
      </c>
      <c r="F5" s="51">
        <f t="shared" ca="1" si="2"/>
        <v>0</v>
      </c>
      <c r="G5" s="52">
        <f ca="1">SUM(Jul!G5, Aug!G5, Sep!G5)</f>
        <v>0</v>
      </c>
      <c r="H5" s="52">
        <f t="shared" ca="1" si="3"/>
        <v>0</v>
      </c>
      <c r="I5" s="53">
        <f t="shared" ca="1" si="4"/>
        <v>0</v>
      </c>
    </row>
    <row r="6" spans="1:9" ht="15.75">
      <c r="A6" s="59" t="str">
        <v>Noble</v>
      </c>
      <c r="B6" s="21" t="str">
        <v>Blue Renewables</v>
      </c>
      <c r="C6" s="81">
        <f ca="1">SUM(Jul!C6, Aug!C6, Sep!C6)</f>
        <v>0</v>
      </c>
      <c r="D6" s="50">
        <f ca="1">SUM(Jul!D6, Aug!D6, Sep!D6)</f>
        <v>0</v>
      </c>
      <c r="E6" s="50">
        <f t="shared" ca="1" si="1"/>
        <v>0</v>
      </c>
      <c r="F6" s="51">
        <f t="shared" ca="1" si="2"/>
        <v>0</v>
      </c>
      <c r="G6" s="52">
        <f ca="1">SUM(Jul!G6, Aug!G6, Sep!G6)</f>
        <v>0</v>
      </c>
      <c r="H6" s="52">
        <f t="shared" ca="1" si="3"/>
        <v>0</v>
      </c>
      <c r="I6" s="53">
        <f t="shared" ca="1" si="4"/>
        <v>0</v>
      </c>
    </row>
    <row r="7" spans="1:9" ht="15.75">
      <c r="A7" s="63" t="str">
        <v>Parking 3</v>
      </c>
      <c r="B7" s="64" t="str">
        <v>Blue Renewables</v>
      </c>
      <c r="C7" s="81">
        <f ca="1">SUM(Jul!C7, Aug!C7, Sep!C7)</f>
        <v>0</v>
      </c>
      <c r="D7" s="50">
        <f ca="1">SUM(Jul!D7, Aug!D7, Sep!D7)</f>
        <v>0</v>
      </c>
      <c r="E7" s="50">
        <f t="shared" ca="1" si="1"/>
        <v>0</v>
      </c>
      <c r="F7" s="51">
        <f t="shared" ca="1" si="2"/>
        <v>0</v>
      </c>
      <c r="G7" s="52">
        <f ca="1">SUM(Jul!G7, Aug!G7, Sep!G7)</f>
        <v>0</v>
      </c>
      <c r="H7" s="52">
        <f t="shared" ca="1" si="3"/>
        <v>0</v>
      </c>
      <c r="I7" s="53">
        <f t="shared" ca="1" si="4"/>
        <v>0</v>
      </c>
    </row>
    <row r="8" spans="1:9" ht="15.75">
      <c r="A8" s="59" t="str">
        <v>PE East</v>
      </c>
      <c r="B8" s="21" t="str">
        <v>Blue Renewables</v>
      </c>
      <c r="C8" s="81">
        <f ca="1">SUM(Jul!C8, Aug!C8, Sep!C8)</f>
        <v>0</v>
      </c>
      <c r="D8" s="50">
        <f ca="1">SUM(Jul!D8, Aug!D8, Sep!D8)</f>
        <v>0</v>
      </c>
      <c r="E8" s="50">
        <f t="shared" ca="1" si="1"/>
        <v>0</v>
      </c>
      <c r="F8" s="51">
        <f t="shared" ca="1" si="2"/>
        <v>0</v>
      </c>
      <c r="G8" s="52">
        <f ca="1">SUM(Jul!G8, Aug!G8, Sep!G8)</f>
        <v>0</v>
      </c>
      <c r="H8" s="52">
        <f t="shared" ca="1" si="3"/>
        <v>0</v>
      </c>
      <c r="I8" s="53">
        <f t="shared" ca="1" si="4"/>
        <v>0</v>
      </c>
    </row>
    <row r="9" spans="1:9" ht="15.75">
      <c r="A9" s="63" t="str">
        <v>Schwada</v>
      </c>
      <c r="B9" s="64" t="str">
        <v>Blue Renewables</v>
      </c>
      <c r="C9" s="81">
        <f ca="1">SUM(Jul!C9, Aug!C9, Sep!C9)</f>
        <v>0</v>
      </c>
      <c r="D9" s="50">
        <f ca="1">SUM(Jul!D9, Aug!D9, Sep!D9)</f>
        <v>0</v>
      </c>
      <c r="E9" s="50">
        <f t="shared" ca="1" si="1"/>
        <v>0</v>
      </c>
      <c r="F9" s="51">
        <f t="shared" ca="1" si="2"/>
        <v>0</v>
      </c>
      <c r="G9" s="52">
        <f ca="1">SUM(Jul!G9, Aug!G9, Sep!G9)</f>
        <v>0</v>
      </c>
      <c r="H9" s="52">
        <f t="shared" ca="1" si="3"/>
        <v>0</v>
      </c>
      <c r="I9" s="53">
        <f t="shared" ca="1" si="4"/>
        <v>0</v>
      </c>
    </row>
    <row r="10" spans="1:9" ht="15.75">
      <c r="A10" s="59" t="str">
        <v>Starshine</v>
      </c>
      <c r="B10" s="21" t="str">
        <v>Blue Renewables</v>
      </c>
      <c r="C10" s="81">
        <f ca="1">SUM(Jul!C10, Aug!C10, Sep!C10)</f>
        <v>0</v>
      </c>
      <c r="D10" s="50">
        <f ca="1">SUM(Jul!D10, Aug!D10, Sep!D10)</f>
        <v>0</v>
      </c>
      <c r="E10" s="50">
        <f t="shared" ca="1" si="1"/>
        <v>0</v>
      </c>
      <c r="F10" s="51">
        <f t="shared" ca="1" si="2"/>
        <v>0</v>
      </c>
      <c r="G10" s="52">
        <f ca="1">SUM(Jul!G10, Aug!G10, Sep!G10)</f>
        <v>0</v>
      </c>
      <c r="H10" s="52">
        <f t="shared" ca="1" si="3"/>
        <v>0</v>
      </c>
      <c r="I10" s="53">
        <f t="shared" ca="1" si="4"/>
        <v>0</v>
      </c>
    </row>
    <row r="11" spans="1:9" ht="15.75">
      <c r="A11" s="63" t="str">
        <v>Yuma Airport</v>
      </c>
      <c r="B11" s="64" t="str">
        <v>Blue Renewables</v>
      </c>
      <c r="C11" s="81">
        <f ca="1">SUM(Jul!C11, Aug!C11, Sep!C11)</f>
        <v>0</v>
      </c>
      <c r="D11" s="50">
        <f ca="1">SUM(Jul!D11, Aug!D11, Sep!D11)</f>
        <v>0</v>
      </c>
      <c r="E11" s="50">
        <f t="shared" ca="1" si="1"/>
        <v>0</v>
      </c>
      <c r="F11" s="51">
        <f t="shared" ca="1" si="2"/>
        <v>0</v>
      </c>
      <c r="G11" s="52">
        <f ca="1">SUM(Jul!G11, Aug!G11, Sep!G11)</f>
        <v>0</v>
      </c>
      <c r="H11" s="52">
        <f t="shared" ca="1" si="3"/>
        <v>0</v>
      </c>
      <c r="I11" s="53">
        <f t="shared" ca="1" si="4"/>
        <v>0</v>
      </c>
    </row>
    <row r="12" spans="1:9" ht="12.75" customHeight="1">
      <c r="A12" s="59" t="str">
        <v>Kinsman</v>
      </c>
      <c r="B12" s="21" t="str">
        <v>Blue Renewables</v>
      </c>
      <c r="C12" s="81">
        <f ca="1">SUM(Jul!C12, Aug!C12, Sep!C12)</f>
        <v>0</v>
      </c>
      <c r="D12" s="50">
        <f ca="1">SUM(Jul!D12, Aug!D12, Sep!D12)</f>
        <v>0</v>
      </c>
      <c r="E12" s="50">
        <f t="shared" ca="1" si="1"/>
        <v>0</v>
      </c>
      <c r="F12" s="51">
        <f t="shared" ca="1" si="2"/>
        <v>0</v>
      </c>
      <c r="G12" s="52">
        <f ca="1">SUM(Jul!G12, Aug!G12, Sep!G12)</f>
        <v>0</v>
      </c>
      <c r="H12" s="52">
        <f t="shared" ca="1" si="3"/>
        <v>0</v>
      </c>
      <c r="I12" s="53">
        <f t="shared" ca="1" si="4"/>
        <v>0</v>
      </c>
    </row>
    <row r="13" spans="1:9" ht="15.75">
      <c r="A13" s="63" t="str">
        <v>Wooster</v>
      </c>
      <c r="B13" s="64" t="str">
        <v>Blue Renewables</v>
      </c>
      <c r="C13" s="81">
        <f ca="1">SUM(Jul!C13, Aug!C13, Sep!C13)</f>
        <v>0</v>
      </c>
      <c r="D13" s="50">
        <f ca="1">SUM(Jul!D13, Aug!D13, Sep!D13)</f>
        <v>0</v>
      </c>
      <c r="E13" s="50">
        <f t="shared" ca="1" si="1"/>
        <v>0</v>
      </c>
      <c r="F13" s="51">
        <f t="shared" ca="1" si="2"/>
        <v>0</v>
      </c>
      <c r="G13" s="52">
        <f ca="1">SUM(Jul!G13, Aug!G13, Sep!G13)</f>
        <v>0</v>
      </c>
      <c r="H13" s="52">
        <f t="shared" ca="1" si="3"/>
        <v>0</v>
      </c>
      <c r="I13" s="53">
        <f t="shared" ca="1" si="4"/>
        <v>0</v>
      </c>
    </row>
    <row r="14" spans="1:9" ht="15.75">
      <c r="A14" s="59" t="str">
        <v>Globe Gila CC</v>
      </c>
      <c r="B14" s="21" t="str">
        <v>CC Gen Equity</v>
      </c>
      <c r="C14" s="81">
        <f ca="1">SUM(Jul!C14, Aug!C14, Sep!C14)</f>
        <v>0</v>
      </c>
      <c r="D14" s="50">
        <f ca="1">SUM(Jul!D14, Aug!D14, Sep!D14)</f>
        <v>0</v>
      </c>
      <c r="E14" s="50">
        <f t="shared" ca="1" si="1"/>
        <v>0</v>
      </c>
      <c r="F14" s="51">
        <f t="shared" ca="1" si="2"/>
        <v>0</v>
      </c>
      <c r="G14" s="52">
        <f ca="1">SUM(Jul!G14, Aug!G14, Sep!G14)</f>
        <v>0</v>
      </c>
      <c r="H14" s="52">
        <f t="shared" ca="1" si="3"/>
        <v>0</v>
      </c>
      <c r="I14" s="53">
        <f t="shared" ca="1" si="4"/>
        <v>0</v>
      </c>
    </row>
    <row r="15" spans="1:9" ht="15.75">
      <c r="A15" s="63" t="str">
        <v>Payson Gila CC</v>
      </c>
      <c r="B15" s="64" t="str">
        <v>CC Gen Equity</v>
      </c>
      <c r="C15" s="81">
        <f ca="1">SUM(Jul!C15, Aug!C15, Sep!C15)</f>
        <v>0</v>
      </c>
      <c r="D15" s="50">
        <f ca="1">SUM(Jul!D15, Aug!D15, Sep!D15)</f>
        <v>0</v>
      </c>
      <c r="E15" s="50">
        <f t="shared" ca="1" si="1"/>
        <v>0</v>
      </c>
      <c r="F15" s="51">
        <f t="shared" ca="1" si="2"/>
        <v>0</v>
      </c>
      <c r="G15" s="52">
        <f ca="1">SUM(Jul!G15, Aug!G15, Sep!G15)</f>
        <v>0</v>
      </c>
      <c r="H15" s="52">
        <f t="shared" ca="1" si="3"/>
        <v>0</v>
      </c>
      <c r="I15" s="53">
        <f t="shared" ca="1" si="4"/>
        <v>0</v>
      </c>
    </row>
    <row r="16" spans="1:9" ht="15.75">
      <c r="A16" s="59" t="str">
        <v>SCNM</v>
      </c>
      <c r="B16" s="21" t="str">
        <v>CC Gen Equity</v>
      </c>
      <c r="C16" s="81">
        <f ca="1">SUM(Jul!C16, Aug!C16, Sep!C16)</f>
        <v>0</v>
      </c>
      <c r="D16" s="50">
        <f ca="1">SUM(Jul!D16, Aug!D16, Sep!D16)</f>
        <v>0</v>
      </c>
      <c r="E16" s="50">
        <f t="shared" ca="1" si="1"/>
        <v>0</v>
      </c>
      <c r="F16" s="51">
        <f t="shared" ca="1" si="2"/>
        <v>0</v>
      </c>
      <c r="G16" s="52">
        <f ca="1">SUM(Jul!G16, Aug!G16, Sep!G16)</f>
        <v>0</v>
      </c>
      <c r="H16" s="52">
        <f t="shared" ca="1" si="3"/>
        <v>0</v>
      </c>
      <c r="I16" s="53">
        <f t="shared" ca="1" si="4"/>
        <v>0</v>
      </c>
    </row>
    <row r="17" spans="1:9" ht="15.75">
      <c r="A17" s="63" t="str">
        <v>Sequoia Charter School</v>
      </c>
      <c r="B17" s="64" t="str">
        <v>CC Gen Equity</v>
      </c>
      <c r="C17" s="81">
        <f ca="1">SUM(Jul!C17, Aug!C17, Sep!C17)</f>
        <v>0</v>
      </c>
      <c r="D17" s="50">
        <f ca="1">SUM(Jul!D17, Aug!D17, Sep!D17)</f>
        <v>0</v>
      </c>
      <c r="E17" s="50">
        <f t="shared" ca="1" si="1"/>
        <v>0</v>
      </c>
      <c r="F17" s="51">
        <f t="shared" ca="1" si="2"/>
        <v>0</v>
      </c>
      <c r="G17" s="52">
        <f ca="1">SUM(Jul!G17, Aug!G17, Sep!G17)</f>
        <v>0</v>
      </c>
      <c r="H17" s="52">
        <f t="shared" ca="1" si="3"/>
        <v>0</v>
      </c>
      <c r="I17" s="53">
        <f t="shared" ca="1" si="4"/>
        <v>0</v>
      </c>
    </row>
    <row r="18" spans="1:9" ht="15.75">
      <c r="A18" s="59" t="str">
        <v>RCAB</v>
      </c>
      <c r="B18" s="21" t="str">
        <v>GESF2</v>
      </c>
      <c r="C18" s="81">
        <f ca="1">SUM(Jul!C18, Aug!C18, Sep!C18)</f>
        <v>0</v>
      </c>
      <c r="D18" s="50">
        <f ca="1">SUM(Jul!D18, Aug!D18, Sep!D18)</f>
        <v>0</v>
      </c>
      <c r="E18" s="50">
        <f t="shared" ca="1" si="1"/>
        <v>0</v>
      </c>
      <c r="F18" s="51">
        <f t="shared" ca="1" si="2"/>
        <v>0</v>
      </c>
      <c r="G18" s="52">
        <f ca="1">SUM(Jul!G18, Aug!G18, Sep!G18)</f>
        <v>0</v>
      </c>
      <c r="H18" s="52">
        <f t="shared" ca="1" si="3"/>
        <v>0</v>
      </c>
      <c r="I18" s="53">
        <f t="shared" ca="1" si="4"/>
        <v>0</v>
      </c>
    </row>
    <row r="19" spans="1:9" ht="15.75">
      <c r="A19" s="63" t="str">
        <v>Spectro Coatings</v>
      </c>
      <c r="B19" s="64" t="str">
        <v>GESF2</v>
      </c>
      <c r="C19" s="81">
        <f ca="1">SUM(Jul!C19, Aug!C19, Sep!C19)</f>
        <v>0</v>
      </c>
      <c r="D19" s="50">
        <f ca="1">SUM(Jul!D19, Aug!D19, Sep!D19)</f>
        <v>0</v>
      </c>
      <c r="E19" s="50">
        <f t="shared" ca="1" si="1"/>
        <v>0</v>
      </c>
      <c r="F19" s="51">
        <f t="shared" ca="1" si="2"/>
        <v>0</v>
      </c>
      <c r="G19" s="52">
        <f ca="1">SUM(Jul!G19, Aug!G19, Sep!G19)</f>
        <v>0</v>
      </c>
      <c r="H19" s="52">
        <f t="shared" ca="1" si="3"/>
        <v>0</v>
      </c>
      <c r="I19" s="53">
        <f t="shared" ca="1" si="4"/>
        <v>0</v>
      </c>
    </row>
    <row r="20" spans="1:9" ht="15.75">
      <c r="A20" s="59" t="str">
        <v>K026</v>
      </c>
      <c r="B20" s="21" t="str">
        <v>Hudson</v>
      </c>
      <c r="C20" s="81">
        <f ca="1">SUM(Jul!C20, Aug!C20, Sep!C20)</f>
        <v>0</v>
      </c>
      <c r="D20" s="50">
        <f ca="1">SUM(Jul!D20, Aug!D20, Sep!D20)</f>
        <v>0</v>
      </c>
      <c r="E20" s="50">
        <f t="shared" ca="1" si="1"/>
        <v>0</v>
      </c>
      <c r="F20" s="51">
        <f t="shared" ca="1" si="2"/>
        <v>0</v>
      </c>
      <c r="G20" s="52">
        <f ca="1">SUM(Jul!G20, Aug!G20, Sep!G20)</f>
        <v>0</v>
      </c>
      <c r="H20" s="52">
        <f t="shared" ca="1" si="3"/>
        <v>0</v>
      </c>
      <c r="I20" s="53">
        <f t="shared" ca="1" si="4"/>
        <v>0</v>
      </c>
    </row>
    <row r="21" spans="1:9" ht="15.75">
      <c r="A21" s="63" t="str">
        <v>K041</v>
      </c>
      <c r="B21" s="64" t="str">
        <v>Hudson</v>
      </c>
      <c r="C21" s="81">
        <f ca="1">SUM(Jul!C21, Aug!C21, Sep!C21)</f>
        <v>0</v>
      </c>
      <c r="D21" s="50">
        <f ca="1">SUM(Jul!D21, Aug!D21, Sep!D21)</f>
        <v>0</v>
      </c>
      <c r="E21" s="50">
        <f t="shared" ca="1" si="1"/>
        <v>0</v>
      </c>
      <c r="F21" s="51">
        <f t="shared" ca="1" si="2"/>
        <v>0</v>
      </c>
      <c r="G21" s="52">
        <f ca="1">SUM(Jul!G21, Aug!G21, Sep!G21)</f>
        <v>0</v>
      </c>
      <c r="H21" s="52">
        <f t="shared" ca="1" si="3"/>
        <v>0</v>
      </c>
      <c r="I21" s="53">
        <f t="shared" ca="1" si="4"/>
        <v>0</v>
      </c>
    </row>
    <row r="22" spans="1:9" ht="15.75">
      <c r="A22" s="59" t="str">
        <v>K043</v>
      </c>
      <c r="B22" s="21" t="str">
        <v>Hudson</v>
      </c>
      <c r="C22" s="81">
        <f ca="1">SUM(Jul!C22, Aug!C22, Sep!C22)</f>
        <v>0</v>
      </c>
      <c r="D22" s="50">
        <f ca="1">SUM(Jul!D22, Aug!D22, Sep!D22)</f>
        <v>0</v>
      </c>
      <c r="E22" s="50">
        <f t="shared" ca="1" si="1"/>
        <v>0</v>
      </c>
      <c r="F22" s="51">
        <f t="shared" ca="1" si="2"/>
        <v>0</v>
      </c>
      <c r="G22" s="52">
        <f ca="1">SUM(Jul!G22, Aug!G22, Sep!G22)</f>
        <v>0</v>
      </c>
      <c r="H22" s="52">
        <f t="shared" ca="1" si="3"/>
        <v>0</v>
      </c>
      <c r="I22" s="53">
        <f t="shared" ca="1" si="4"/>
        <v>0</v>
      </c>
    </row>
    <row r="23" spans="1:9" ht="15.75">
      <c r="A23" s="63" t="str">
        <v>K058</v>
      </c>
      <c r="B23" s="64" t="str">
        <v>Hudson</v>
      </c>
      <c r="C23" s="81">
        <f ca="1">SUM(Jul!C23, Aug!C23, Sep!C23)</f>
        <v>0</v>
      </c>
      <c r="D23" s="50">
        <f ca="1">SUM(Jul!D23, Aug!D23, Sep!D23)</f>
        <v>0</v>
      </c>
      <c r="E23" s="50">
        <f t="shared" ca="1" si="1"/>
        <v>0</v>
      </c>
      <c r="F23" s="51">
        <f t="shared" ca="1" si="2"/>
        <v>0</v>
      </c>
      <c r="G23" s="52">
        <f ca="1">SUM(Jul!G23, Aug!G23, Sep!G23)</f>
        <v>0</v>
      </c>
      <c r="H23" s="52">
        <f t="shared" ca="1" si="3"/>
        <v>0</v>
      </c>
      <c r="I23" s="53">
        <f t="shared" ca="1" si="4"/>
        <v>0</v>
      </c>
    </row>
    <row r="24" spans="1:9" ht="15.75">
      <c r="A24" s="59" t="str">
        <v>K115</v>
      </c>
      <c r="B24" s="21" t="str">
        <v>Hudson</v>
      </c>
      <c r="C24" s="81">
        <f ca="1">SUM(Jul!C24, Aug!C24, Sep!C24)</f>
        <v>0</v>
      </c>
      <c r="D24" s="50">
        <f ca="1">SUM(Jul!D24, Aug!D24, Sep!D24)</f>
        <v>0</v>
      </c>
      <c r="E24" s="50">
        <f t="shared" ca="1" si="1"/>
        <v>0</v>
      </c>
      <c r="F24" s="51">
        <f t="shared" ca="1" si="2"/>
        <v>0</v>
      </c>
      <c r="G24" s="52">
        <f ca="1">SUM(Jul!G24, Aug!G24, Sep!G24)</f>
        <v>0</v>
      </c>
      <c r="H24" s="52">
        <f t="shared" ca="1" si="3"/>
        <v>0</v>
      </c>
      <c r="I24" s="53">
        <f t="shared" ca="1" si="4"/>
        <v>0</v>
      </c>
    </row>
    <row r="25" spans="1:9" ht="15.75">
      <c r="A25" s="63" t="str">
        <v>K152</v>
      </c>
      <c r="B25" s="64" t="str">
        <v>Hudson</v>
      </c>
      <c r="C25" s="81">
        <f ca="1">SUM(Jul!C25, Aug!C25, Sep!C25)</f>
        <v>0</v>
      </c>
      <c r="D25" s="50">
        <f ca="1">SUM(Jul!D25, Aug!D25, Sep!D25)</f>
        <v>0</v>
      </c>
      <c r="E25" s="50">
        <f t="shared" ca="1" si="1"/>
        <v>0</v>
      </c>
      <c r="F25" s="51">
        <f t="shared" ca="1" si="2"/>
        <v>0</v>
      </c>
      <c r="G25" s="52">
        <f ca="1">SUM(Jul!G25, Aug!G25, Sep!G25)</f>
        <v>0</v>
      </c>
      <c r="H25" s="52">
        <f t="shared" ca="1" si="3"/>
        <v>0</v>
      </c>
      <c r="I25" s="53">
        <f t="shared" ca="1" si="4"/>
        <v>0</v>
      </c>
    </row>
    <row r="26" spans="1:9" ht="15.75">
      <c r="A26" s="59" t="str">
        <v>K166</v>
      </c>
      <c r="B26" s="21" t="str">
        <v>Hudson</v>
      </c>
      <c r="C26" s="81">
        <f ca="1">SUM(Jul!C26, Aug!C26, Sep!C26)</f>
        <v>0</v>
      </c>
      <c r="D26" s="50">
        <f ca="1">SUM(Jul!D26, Aug!D26, Sep!D26)</f>
        <v>0</v>
      </c>
      <c r="E26" s="50">
        <f t="shared" ca="1" si="1"/>
        <v>0</v>
      </c>
      <c r="F26" s="51">
        <f t="shared" ca="1" si="2"/>
        <v>0</v>
      </c>
      <c r="G26" s="52">
        <f ca="1">SUM(Jul!G26, Aug!G26, Sep!G26)</f>
        <v>0</v>
      </c>
      <c r="H26" s="52">
        <f t="shared" ca="1" si="3"/>
        <v>0</v>
      </c>
      <c r="I26" s="53">
        <f t="shared" ca="1" si="4"/>
        <v>0</v>
      </c>
    </row>
    <row r="27" spans="1:9" ht="15.75">
      <c r="A27" s="63" t="str">
        <v>K206</v>
      </c>
      <c r="B27" s="64" t="str">
        <v>Hudson</v>
      </c>
      <c r="C27" s="81">
        <f ca="1">SUM(Jul!C27, Aug!C27, Sep!C27)</f>
        <v>0</v>
      </c>
      <c r="D27" s="50">
        <f ca="1">SUM(Jul!D27, Aug!D27, Sep!D27)</f>
        <v>0</v>
      </c>
      <c r="E27" s="50">
        <f t="shared" ca="1" si="1"/>
        <v>0</v>
      </c>
      <c r="F27" s="51">
        <f t="shared" ca="1" si="2"/>
        <v>0</v>
      </c>
      <c r="G27" s="52">
        <f ca="1">SUM(Jul!G27, Aug!G27, Sep!G27)</f>
        <v>0</v>
      </c>
      <c r="H27" s="52">
        <f t="shared" ca="1" si="3"/>
        <v>0</v>
      </c>
      <c r="I27" s="53">
        <f t="shared" ca="1" si="4"/>
        <v>0</v>
      </c>
    </row>
    <row r="28" spans="1:9" ht="15.75">
      <c r="A28" s="59" t="str">
        <v>K251</v>
      </c>
      <c r="B28" s="21" t="str">
        <v>Hudson</v>
      </c>
      <c r="C28" s="81">
        <f ca="1">SUM(Jul!C28, Aug!C28, Sep!C28)</f>
        <v>0</v>
      </c>
      <c r="D28" s="50">
        <f ca="1">SUM(Jul!D28, Aug!D28, Sep!D28)</f>
        <v>0</v>
      </c>
      <c r="E28" s="50">
        <f t="shared" ca="1" si="1"/>
        <v>0</v>
      </c>
      <c r="F28" s="51">
        <f t="shared" ca="1" si="2"/>
        <v>0</v>
      </c>
      <c r="G28" s="52">
        <f ca="1">SUM(Jul!G28, Aug!G28, Sep!G28)</f>
        <v>0</v>
      </c>
      <c r="H28" s="52">
        <f t="shared" ca="1" si="3"/>
        <v>0</v>
      </c>
      <c r="I28" s="53">
        <f t="shared" ca="1" si="4"/>
        <v>0</v>
      </c>
    </row>
    <row r="29" spans="1:9" ht="15.75">
      <c r="A29" s="63" t="str">
        <v>K269</v>
      </c>
      <c r="B29" s="64" t="str">
        <v>Hudson</v>
      </c>
      <c r="C29" s="81">
        <f ca="1">SUM(Jul!C29, Aug!C29, Sep!C29)</f>
        <v>0</v>
      </c>
      <c r="D29" s="50">
        <f ca="1">SUM(Jul!D29, Aug!D29, Sep!D29)</f>
        <v>0</v>
      </c>
      <c r="E29" s="50">
        <f t="shared" ca="1" si="1"/>
        <v>0</v>
      </c>
      <c r="F29" s="51">
        <f t="shared" ca="1" si="2"/>
        <v>0</v>
      </c>
      <c r="G29" s="52">
        <f ca="1">SUM(Jul!G29, Aug!G29, Sep!G29)</f>
        <v>0</v>
      </c>
      <c r="H29" s="52">
        <f t="shared" ca="1" si="3"/>
        <v>0</v>
      </c>
      <c r="I29" s="53">
        <f t="shared" ca="1" si="4"/>
        <v>0</v>
      </c>
    </row>
    <row r="30" spans="1:9" ht="15.75">
      <c r="A30" s="59" t="str">
        <v>K273</v>
      </c>
      <c r="B30" s="21" t="str">
        <v>Hudson</v>
      </c>
      <c r="C30" s="81">
        <f ca="1">SUM(Jul!C30, Aug!C30, Sep!C30)</f>
        <v>0</v>
      </c>
      <c r="D30" s="50">
        <f ca="1">SUM(Jul!D30, Aug!D30, Sep!D30)</f>
        <v>0</v>
      </c>
      <c r="E30" s="50">
        <f t="shared" ca="1" si="1"/>
        <v>0</v>
      </c>
      <c r="F30" s="51">
        <f t="shared" ca="1" si="2"/>
        <v>0</v>
      </c>
      <c r="G30" s="52">
        <f ca="1">SUM(Jul!G30, Aug!G30, Sep!G30)</f>
        <v>0</v>
      </c>
      <c r="H30" s="52">
        <f t="shared" ca="1" si="3"/>
        <v>0</v>
      </c>
      <c r="I30" s="53">
        <f t="shared" ca="1" si="4"/>
        <v>0</v>
      </c>
    </row>
    <row r="31" spans="1:9" ht="15.75">
      <c r="A31" s="63" t="str">
        <v>K287</v>
      </c>
      <c r="B31" s="64" t="str">
        <v>Hudson</v>
      </c>
      <c r="C31" s="81">
        <f ca="1">SUM(Jul!C31, Aug!C31, Sep!C31)</f>
        <v>0</v>
      </c>
      <c r="D31" s="50">
        <f ca="1">SUM(Jul!D31, Aug!D31, Sep!D31)</f>
        <v>0</v>
      </c>
      <c r="E31" s="50">
        <f t="shared" ca="1" si="1"/>
        <v>0</v>
      </c>
      <c r="F31" s="51">
        <f t="shared" ca="1" si="2"/>
        <v>0</v>
      </c>
      <c r="G31" s="52">
        <f ca="1">SUM(Jul!G31, Aug!G31, Sep!G31)</f>
        <v>0</v>
      </c>
      <c r="H31" s="52">
        <f t="shared" ca="1" si="3"/>
        <v>0</v>
      </c>
      <c r="I31" s="53">
        <f t="shared" ca="1" si="4"/>
        <v>0</v>
      </c>
    </row>
    <row r="32" spans="1:9" ht="15.75">
      <c r="A32" s="59" t="str">
        <v>K298</v>
      </c>
      <c r="B32" s="21" t="str">
        <v>Hudson</v>
      </c>
      <c r="C32" s="81">
        <f ca="1">SUM(Jul!C32, Aug!C32, Sep!C32)</f>
        <v>0</v>
      </c>
      <c r="D32" s="50">
        <f ca="1">SUM(Jul!D32, Aug!D32, Sep!D32)</f>
        <v>0</v>
      </c>
      <c r="E32" s="50">
        <f t="shared" ca="1" si="1"/>
        <v>0</v>
      </c>
      <c r="F32" s="51">
        <f t="shared" ca="1" si="2"/>
        <v>0</v>
      </c>
      <c r="G32" s="52">
        <f ca="1">SUM(Jul!G32, Aug!G32, Sep!G32)</f>
        <v>0</v>
      </c>
      <c r="H32" s="52">
        <f t="shared" ca="1" si="3"/>
        <v>0</v>
      </c>
      <c r="I32" s="53">
        <f t="shared" ca="1" si="4"/>
        <v>0</v>
      </c>
    </row>
    <row r="33" spans="1:9" ht="15.75">
      <c r="A33" s="63" t="str">
        <v>K335</v>
      </c>
      <c r="B33" s="64" t="str">
        <v>Hudson</v>
      </c>
      <c r="C33" s="81">
        <f ca="1">SUM(Jul!C33, Aug!C33, Sep!C33)</f>
        <v>0</v>
      </c>
      <c r="D33" s="50">
        <f ca="1">SUM(Jul!D33, Aug!D33, Sep!D33)</f>
        <v>0</v>
      </c>
      <c r="E33" s="50">
        <f t="shared" ca="1" si="1"/>
        <v>0</v>
      </c>
      <c r="F33" s="51">
        <f t="shared" ca="1" si="2"/>
        <v>0</v>
      </c>
      <c r="G33" s="52">
        <f ca="1">SUM(Jul!G33, Aug!G33, Sep!G33)</f>
        <v>0</v>
      </c>
      <c r="H33" s="52">
        <f t="shared" ca="1" si="3"/>
        <v>0</v>
      </c>
      <c r="I33" s="53">
        <f t="shared" ca="1" si="4"/>
        <v>0</v>
      </c>
    </row>
    <row r="34" spans="1:9" ht="15.75">
      <c r="A34" s="59" t="str">
        <v>K345</v>
      </c>
      <c r="B34" s="21" t="str">
        <v>Hudson</v>
      </c>
      <c r="C34" s="81">
        <f ca="1">SUM(Jul!C34, Aug!C34, Sep!C34)</f>
        <v>0</v>
      </c>
      <c r="D34" s="50">
        <f ca="1">SUM(Jul!D34, Aug!D34, Sep!D34)</f>
        <v>0</v>
      </c>
      <c r="E34" s="50">
        <f t="shared" ca="1" si="1"/>
        <v>0</v>
      </c>
      <c r="F34" s="51">
        <f t="shared" ca="1" si="2"/>
        <v>0</v>
      </c>
      <c r="G34" s="52">
        <f ca="1">SUM(Jul!G34, Aug!G34, Sep!G34)</f>
        <v>0</v>
      </c>
      <c r="H34" s="52">
        <f t="shared" ca="1" si="3"/>
        <v>0</v>
      </c>
      <c r="I34" s="53">
        <f t="shared" ca="1" si="4"/>
        <v>0</v>
      </c>
    </row>
    <row r="35" spans="1:9" ht="15.75">
      <c r="A35" s="63" t="str">
        <v>K445</v>
      </c>
      <c r="B35" s="64" t="str">
        <v>Hudson</v>
      </c>
      <c r="C35" s="81">
        <f ca="1">SUM(Jul!C35, Aug!C35, Sep!C35)</f>
        <v>0</v>
      </c>
      <c r="D35" s="50">
        <f ca="1">SUM(Jul!D35, Aug!D35, Sep!D35)</f>
        <v>0</v>
      </c>
      <c r="E35" s="50">
        <f t="shared" ca="1" si="1"/>
        <v>0</v>
      </c>
      <c r="F35" s="51">
        <f t="shared" ca="1" si="2"/>
        <v>0</v>
      </c>
      <c r="G35" s="52">
        <f ca="1">SUM(Jul!G35, Aug!G35, Sep!G35)</f>
        <v>0</v>
      </c>
      <c r="H35" s="52">
        <f t="shared" ca="1" si="3"/>
        <v>0</v>
      </c>
      <c r="I35" s="53">
        <f t="shared" ca="1" si="4"/>
        <v>0</v>
      </c>
    </row>
    <row r="36" spans="1:9" ht="15.75">
      <c r="A36" s="59" t="str">
        <v>K495</v>
      </c>
      <c r="B36" s="21" t="str">
        <v>Hudson</v>
      </c>
      <c r="C36" s="81">
        <f ca="1">SUM(Jul!C36, Aug!C36, Sep!C36)</f>
        <v>0</v>
      </c>
      <c r="D36" s="50">
        <f ca="1">SUM(Jul!D36, Aug!D36, Sep!D36)</f>
        <v>0</v>
      </c>
      <c r="E36" s="50">
        <f t="shared" ca="1" si="1"/>
        <v>0</v>
      </c>
      <c r="F36" s="51">
        <f t="shared" ca="1" si="2"/>
        <v>0</v>
      </c>
      <c r="G36" s="52">
        <f ca="1">SUM(Jul!G36, Aug!G36, Sep!G36)</f>
        <v>0</v>
      </c>
      <c r="H36" s="52">
        <f t="shared" ca="1" si="3"/>
        <v>0</v>
      </c>
      <c r="I36" s="53">
        <f t="shared" ca="1" si="4"/>
        <v>0</v>
      </c>
    </row>
    <row r="37" spans="1:9" ht="15.75">
      <c r="A37" s="63" t="str">
        <v>M020</v>
      </c>
      <c r="B37" s="64" t="str">
        <v>Hudson</v>
      </c>
      <c r="C37" s="81">
        <f ca="1">SUM(Jul!C37, Aug!C37, Sep!C37)</f>
        <v>0</v>
      </c>
      <c r="D37" s="50">
        <f ca="1">SUM(Jul!D37, Aug!D37, Sep!D37)</f>
        <v>0</v>
      </c>
      <c r="E37" s="50">
        <f t="shared" ca="1" si="1"/>
        <v>0</v>
      </c>
      <c r="F37" s="51">
        <f t="shared" ca="1" si="2"/>
        <v>0</v>
      </c>
      <c r="G37" s="52">
        <f ca="1">SUM(Jul!G37, Aug!G37, Sep!G37)</f>
        <v>0</v>
      </c>
      <c r="H37" s="52">
        <f t="shared" ca="1" si="3"/>
        <v>0</v>
      </c>
      <c r="I37" s="53">
        <f t="shared" ca="1" si="4"/>
        <v>0</v>
      </c>
    </row>
    <row r="38" spans="1:9" ht="15.75">
      <c r="A38" s="59" t="str">
        <v>M092</v>
      </c>
      <c r="B38" s="21" t="str">
        <v>Hudson</v>
      </c>
      <c r="C38" s="81">
        <f ca="1">SUM(Jul!C38, Aug!C38, Sep!C38)</f>
        <v>0</v>
      </c>
      <c r="D38" s="50">
        <f ca="1">SUM(Jul!D38, Aug!D38, Sep!D38)</f>
        <v>0</v>
      </c>
      <c r="E38" s="50">
        <f t="shared" ca="1" si="1"/>
        <v>0</v>
      </c>
      <c r="F38" s="51">
        <f t="shared" ca="1" si="2"/>
        <v>0</v>
      </c>
      <c r="G38" s="52">
        <f ca="1">SUM(Jul!G38, Aug!G38, Sep!G38)</f>
        <v>0</v>
      </c>
      <c r="H38" s="52">
        <f t="shared" ca="1" si="3"/>
        <v>0</v>
      </c>
      <c r="I38" s="53">
        <f t="shared" ca="1" si="4"/>
        <v>0</v>
      </c>
    </row>
    <row r="39" spans="1:9" ht="15.75">
      <c r="A39" s="63" t="str">
        <v>M143</v>
      </c>
      <c r="B39" s="64" t="str">
        <v>Hudson</v>
      </c>
      <c r="C39" s="81">
        <f ca="1">SUM(Jul!C39, Aug!C39, Sep!C39)</f>
        <v>0</v>
      </c>
      <c r="D39" s="50">
        <f ca="1">SUM(Jul!D39, Aug!D39, Sep!D39)</f>
        <v>0</v>
      </c>
      <c r="E39" s="50">
        <f t="shared" ca="1" si="1"/>
        <v>0</v>
      </c>
      <c r="F39" s="51">
        <f t="shared" ca="1" si="2"/>
        <v>0</v>
      </c>
      <c r="G39" s="52">
        <f ca="1">SUM(Jul!G39, Aug!G39, Sep!G39)</f>
        <v>0</v>
      </c>
      <c r="H39" s="52">
        <f t="shared" ca="1" si="3"/>
        <v>0</v>
      </c>
      <c r="I39" s="53">
        <f t="shared" ca="1" si="4"/>
        <v>0</v>
      </c>
    </row>
    <row r="40" spans="1:9" ht="15.75">
      <c r="A40" s="59" t="str">
        <v>M144</v>
      </c>
      <c r="B40" s="21" t="str">
        <v>Hudson</v>
      </c>
      <c r="C40" s="81">
        <f ca="1">SUM(Jul!C40, Aug!C40, Sep!C40)</f>
        <v>0</v>
      </c>
      <c r="D40" s="50">
        <f ca="1">SUM(Jul!D40, Aug!D40, Sep!D40)</f>
        <v>0</v>
      </c>
      <c r="E40" s="50">
        <f t="shared" ca="1" si="1"/>
        <v>0</v>
      </c>
      <c r="F40" s="51">
        <f t="shared" ca="1" si="2"/>
        <v>0</v>
      </c>
      <c r="G40" s="52">
        <f ca="1">SUM(Jul!G40, Aug!G40, Sep!G40)</f>
        <v>0</v>
      </c>
      <c r="H40" s="52">
        <f t="shared" ca="1" si="3"/>
        <v>0</v>
      </c>
      <c r="I40" s="53">
        <f t="shared" ca="1" si="4"/>
        <v>0</v>
      </c>
    </row>
    <row r="41" spans="1:9" ht="15.75">
      <c r="A41" s="63" t="str">
        <v>M167</v>
      </c>
      <c r="B41" s="64" t="str">
        <v>Hudson</v>
      </c>
      <c r="C41" s="81">
        <f ca="1">SUM(Jul!C41, Aug!C41, Sep!C41)</f>
        <v>0</v>
      </c>
      <c r="D41" s="50">
        <f ca="1">SUM(Jul!D41, Aug!D41, Sep!D41)</f>
        <v>0</v>
      </c>
      <c r="E41" s="50">
        <f t="shared" ca="1" si="1"/>
        <v>0</v>
      </c>
      <c r="F41" s="51">
        <f t="shared" ca="1" si="2"/>
        <v>0</v>
      </c>
      <c r="G41" s="52">
        <f ca="1">SUM(Jul!G41, Aug!G41, Sep!G41)</f>
        <v>0</v>
      </c>
      <c r="H41" s="52">
        <f t="shared" ca="1" si="3"/>
        <v>0</v>
      </c>
      <c r="I41" s="53">
        <f t="shared" ca="1" si="4"/>
        <v>0</v>
      </c>
    </row>
    <row r="42" spans="1:9" ht="15.75">
      <c r="A42" s="59" t="str">
        <v>M188</v>
      </c>
      <c r="B42" s="21" t="str">
        <v>Hudson</v>
      </c>
      <c r="C42" s="81">
        <f ca="1">SUM(Jul!C42, Aug!C42, Sep!C42)</f>
        <v>0</v>
      </c>
      <c r="D42" s="50">
        <f ca="1">SUM(Jul!D42, Aug!D42, Sep!D42)</f>
        <v>0</v>
      </c>
      <c r="E42" s="50">
        <f t="shared" ca="1" si="1"/>
        <v>0</v>
      </c>
      <c r="F42" s="51">
        <f t="shared" ca="1" si="2"/>
        <v>0</v>
      </c>
      <c r="G42" s="52">
        <f ca="1">SUM(Jul!G42, Aug!G42, Sep!G42)</f>
        <v>0</v>
      </c>
      <c r="H42" s="52">
        <f t="shared" ca="1" si="3"/>
        <v>0</v>
      </c>
      <c r="I42" s="53">
        <f t="shared" ca="1" si="4"/>
        <v>0</v>
      </c>
    </row>
    <row r="43" spans="1:9" ht="15.75">
      <c r="A43" s="63" t="str">
        <v>EMHC</v>
      </c>
      <c r="B43" s="64" t="str">
        <v>Hudson</v>
      </c>
      <c r="C43" s="81">
        <f ca="1">SUM(Jul!C43, Aug!C43, Sep!C43)</f>
        <v>0</v>
      </c>
      <c r="D43" s="50">
        <f ca="1">SUM(Jul!D43, Aug!D43, Sep!D43)</f>
        <v>0</v>
      </c>
      <c r="E43" s="50">
        <f t="shared" ca="1" si="1"/>
        <v>0</v>
      </c>
      <c r="F43" s="51">
        <f t="shared" ca="1" si="2"/>
        <v>0</v>
      </c>
      <c r="G43" s="52">
        <f ca="1">SUM(Jul!G43, Aug!G43, Sep!G43)</f>
        <v>0</v>
      </c>
      <c r="H43" s="52">
        <f t="shared" ca="1" si="3"/>
        <v>0</v>
      </c>
      <c r="I43" s="53">
        <f t="shared" ca="1" si="4"/>
        <v>0</v>
      </c>
    </row>
    <row r="44" spans="1:9" ht="15.75">
      <c r="A44" s="59" t="str">
        <v>Q008</v>
      </c>
      <c r="B44" s="21" t="str">
        <v>Hudson</v>
      </c>
      <c r="C44" s="81">
        <f ca="1">SUM(Jul!C44, Aug!C44, Sep!C44)</f>
        <v>0</v>
      </c>
      <c r="D44" s="50">
        <f ca="1">SUM(Jul!D44, Aug!D44, Sep!D44)</f>
        <v>0</v>
      </c>
      <c r="E44" s="50">
        <f t="shared" ca="1" si="1"/>
        <v>0</v>
      </c>
      <c r="F44" s="51">
        <f t="shared" ca="1" si="2"/>
        <v>0</v>
      </c>
      <c r="G44" s="52">
        <f ca="1">SUM(Jul!G44, Aug!G44, Sep!G44)</f>
        <v>0</v>
      </c>
      <c r="H44" s="52">
        <f t="shared" ca="1" si="3"/>
        <v>0</v>
      </c>
      <c r="I44" s="53">
        <f t="shared" ca="1" si="4"/>
        <v>0</v>
      </c>
    </row>
    <row r="45" spans="1:9" ht="15.75">
      <c r="A45" s="63" t="str">
        <v>Q018</v>
      </c>
      <c r="B45" s="64" t="str">
        <v>Hudson</v>
      </c>
      <c r="C45" s="81">
        <f ca="1">SUM(Jul!C45, Aug!C45, Sep!C45)</f>
        <v>0</v>
      </c>
      <c r="D45" s="50">
        <f ca="1">SUM(Jul!D45, Aug!D45, Sep!D45)</f>
        <v>0</v>
      </c>
      <c r="E45" s="50">
        <f t="shared" ca="1" si="1"/>
        <v>0</v>
      </c>
      <c r="F45" s="51">
        <f t="shared" ca="1" si="2"/>
        <v>0</v>
      </c>
      <c r="G45" s="52">
        <f ca="1">SUM(Jul!G45, Aug!G45, Sep!G45)</f>
        <v>0</v>
      </c>
      <c r="H45" s="52">
        <f t="shared" ca="1" si="3"/>
        <v>0</v>
      </c>
      <c r="I45" s="53">
        <f t="shared" ca="1" si="4"/>
        <v>0</v>
      </c>
    </row>
    <row r="46" spans="1:9" ht="15.75">
      <c r="A46" s="59" t="str">
        <v>Q021</v>
      </c>
      <c r="B46" s="21" t="str">
        <v>Hudson</v>
      </c>
      <c r="C46" s="81">
        <f ca="1">SUM(Jul!C46, Aug!C46, Sep!C46)</f>
        <v>0</v>
      </c>
      <c r="D46" s="50">
        <f ca="1">SUM(Jul!D46, Aug!D46, Sep!D46)</f>
        <v>0</v>
      </c>
      <c r="E46" s="50">
        <f t="shared" ca="1" si="1"/>
        <v>0</v>
      </c>
      <c r="F46" s="51">
        <f t="shared" ca="1" si="2"/>
        <v>0</v>
      </c>
      <c r="G46" s="52">
        <f ca="1">SUM(Jul!G46, Aug!G46, Sep!G46)</f>
        <v>0</v>
      </c>
      <c r="H46" s="52">
        <f t="shared" ca="1" si="3"/>
        <v>0</v>
      </c>
      <c r="I46" s="53">
        <f t="shared" ca="1" si="4"/>
        <v>0</v>
      </c>
    </row>
    <row r="47" spans="1:9" ht="15.75">
      <c r="A47" s="63" t="str">
        <v>Q025</v>
      </c>
      <c r="B47" s="64" t="str">
        <v>Hudson</v>
      </c>
      <c r="C47" s="81">
        <f ca="1">SUM(Jul!C47, Aug!C47, Sep!C47)</f>
        <v>0</v>
      </c>
      <c r="D47" s="50">
        <f ca="1">SUM(Jul!D47, Aug!D47, Sep!D47)</f>
        <v>0</v>
      </c>
      <c r="E47" s="50">
        <f t="shared" ca="1" si="1"/>
        <v>0</v>
      </c>
      <c r="F47" s="51">
        <f t="shared" ca="1" si="2"/>
        <v>0</v>
      </c>
      <c r="G47" s="52">
        <f ca="1">SUM(Jul!G47, Aug!G47, Sep!G47)</f>
        <v>0</v>
      </c>
      <c r="H47" s="52">
        <f t="shared" ca="1" si="3"/>
        <v>0</v>
      </c>
      <c r="I47" s="53">
        <f t="shared" ca="1" si="4"/>
        <v>0</v>
      </c>
    </row>
    <row r="48" spans="1:9" ht="15.75">
      <c r="A48" s="59" t="str">
        <v>Q074</v>
      </c>
      <c r="B48" s="21" t="str">
        <v>Hudson</v>
      </c>
      <c r="C48" s="81">
        <f ca="1">SUM(Jul!C48, Aug!C48, Sep!C48)</f>
        <v>0</v>
      </c>
      <c r="D48" s="50">
        <f ca="1">SUM(Jul!D48, Aug!D48, Sep!D48)</f>
        <v>0</v>
      </c>
      <c r="E48" s="50">
        <f t="shared" ca="1" si="1"/>
        <v>0</v>
      </c>
      <c r="F48" s="51">
        <f t="shared" ca="1" si="2"/>
        <v>0</v>
      </c>
      <c r="G48" s="52">
        <f ca="1">SUM(Jul!G48, Aug!G48, Sep!G48)</f>
        <v>0</v>
      </c>
      <c r="H48" s="52">
        <f t="shared" ca="1" si="3"/>
        <v>0</v>
      </c>
      <c r="I48" s="53">
        <f t="shared" ca="1" si="4"/>
        <v>0</v>
      </c>
    </row>
    <row r="49" spans="1:9" ht="15.75">
      <c r="A49" s="63" t="str">
        <v>Q115</v>
      </c>
      <c r="B49" s="64" t="str">
        <v>Hudson</v>
      </c>
      <c r="C49" s="81">
        <f ca="1">SUM(Jul!C49, Aug!C49, Sep!C49)</f>
        <v>0</v>
      </c>
      <c r="D49" s="50">
        <f ca="1">SUM(Jul!D49, Aug!D49, Sep!D49)</f>
        <v>0</v>
      </c>
      <c r="E49" s="50">
        <f t="shared" ca="1" si="1"/>
        <v>0</v>
      </c>
      <c r="F49" s="51">
        <f t="shared" ca="1" si="2"/>
        <v>0</v>
      </c>
      <c r="G49" s="52">
        <f ca="1">SUM(Jul!G49, Aug!G49, Sep!G49)</f>
        <v>0</v>
      </c>
      <c r="H49" s="52">
        <f t="shared" ca="1" si="3"/>
        <v>0</v>
      </c>
      <c r="I49" s="53">
        <f t="shared" ca="1" si="4"/>
        <v>0</v>
      </c>
    </row>
    <row r="50" spans="1:9" ht="15.75">
      <c r="A50" s="59" t="str">
        <v>Q139</v>
      </c>
      <c r="B50" s="21" t="str">
        <v>Hudson</v>
      </c>
      <c r="C50" s="81">
        <f ca="1">SUM(Jul!C50, Aug!C50, Sep!C50)</f>
        <v>0</v>
      </c>
      <c r="D50" s="50">
        <f ca="1">SUM(Jul!D50, Aug!D50, Sep!D50)</f>
        <v>0</v>
      </c>
      <c r="E50" s="50">
        <f t="shared" ca="1" si="1"/>
        <v>0</v>
      </c>
      <c r="F50" s="51">
        <f t="shared" ca="1" si="2"/>
        <v>0</v>
      </c>
      <c r="G50" s="52">
        <f ca="1">SUM(Jul!G50, Aug!G50, Sep!G50)</f>
        <v>0</v>
      </c>
      <c r="H50" s="52">
        <f t="shared" ca="1" si="3"/>
        <v>0</v>
      </c>
      <c r="I50" s="53">
        <f t="shared" ca="1" si="4"/>
        <v>0</v>
      </c>
    </row>
    <row r="51" spans="1:9" ht="15.75">
      <c r="A51" s="63" t="str">
        <v>Q157</v>
      </c>
      <c r="B51" s="64" t="str">
        <v>Hudson</v>
      </c>
      <c r="C51" s="81">
        <f ca="1">SUM(Jul!C51, Aug!C51, Sep!C51)</f>
        <v>0</v>
      </c>
      <c r="D51" s="50">
        <f ca="1">SUM(Jul!D51, Aug!D51, Sep!D51)</f>
        <v>0</v>
      </c>
      <c r="E51" s="50">
        <f t="shared" ca="1" si="1"/>
        <v>0</v>
      </c>
      <c r="F51" s="51">
        <f t="shared" ca="1" si="2"/>
        <v>0</v>
      </c>
      <c r="G51" s="52">
        <f ca="1">SUM(Jul!G51, Aug!G51, Sep!G51)</f>
        <v>0</v>
      </c>
      <c r="H51" s="52">
        <f t="shared" ca="1" si="3"/>
        <v>0</v>
      </c>
      <c r="I51" s="53">
        <f t="shared" ca="1" si="4"/>
        <v>0</v>
      </c>
    </row>
    <row r="52" spans="1:9" ht="15.75">
      <c r="A52" s="59" t="str">
        <v>Q192</v>
      </c>
      <c r="B52" s="21" t="str">
        <v>Hudson</v>
      </c>
      <c r="C52" s="81">
        <f ca="1">SUM(Jul!C52, Aug!C52, Sep!C52)</f>
        <v>0</v>
      </c>
      <c r="D52" s="50">
        <f ca="1">SUM(Jul!D52, Aug!D52, Sep!D52)</f>
        <v>0</v>
      </c>
      <c r="E52" s="50">
        <f t="shared" ca="1" si="1"/>
        <v>0</v>
      </c>
      <c r="F52" s="51">
        <f t="shared" ca="1" si="2"/>
        <v>0</v>
      </c>
      <c r="G52" s="52">
        <f ca="1">SUM(Jul!G52, Aug!G52, Sep!G52)</f>
        <v>0</v>
      </c>
      <c r="H52" s="52">
        <f t="shared" ca="1" si="3"/>
        <v>0</v>
      </c>
      <c r="I52" s="53">
        <f t="shared" ca="1" si="4"/>
        <v>0</v>
      </c>
    </row>
    <row r="53" spans="1:9" ht="15.75">
      <c r="A53" s="63" t="str">
        <v>Q210</v>
      </c>
      <c r="B53" s="64" t="str">
        <v>Hudson</v>
      </c>
      <c r="C53" s="81">
        <f ca="1">SUM(Jul!C53, Aug!C53, Sep!C53)</f>
        <v>0</v>
      </c>
      <c r="D53" s="50">
        <f ca="1">SUM(Jul!D53, Aug!D53, Sep!D53)</f>
        <v>0</v>
      </c>
      <c r="E53" s="50">
        <f t="shared" ca="1" si="1"/>
        <v>0</v>
      </c>
      <c r="F53" s="51">
        <f t="shared" ca="1" si="2"/>
        <v>0</v>
      </c>
      <c r="G53" s="52">
        <f ca="1">SUM(Jul!G53, Aug!G53, Sep!G53)</f>
        <v>0</v>
      </c>
      <c r="H53" s="52">
        <f t="shared" ca="1" si="3"/>
        <v>0</v>
      </c>
      <c r="I53" s="53">
        <f t="shared" ca="1" si="4"/>
        <v>0</v>
      </c>
    </row>
    <row r="54" spans="1:9" ht="15.75">
      <c r="A54" s="59" t="str">
        <v>Q229</v>
      </c>
      <c r="B54" s="21" t="str">
        <v>Hudson</v>
      </c>
      <c r="C54" s="81">
        <f ca="1">SUM(Jul!C54, Aug!C54, Sep!C54)</f>
        <v>0</v>
      </c>
      <c r="D54" s="50">
        <f ca="1">SUM(Jul!D54, Aug!D54, Sep!D54)</f>
        <v>0</v>
      </c>
      <c r="E54" s="50">
        <f t="shared" ca="1" si="1"/>
        <v>0</v>
      </c>
      <c r="F54" s="51">
        <f t="shared" ca="1" si="2"/>
        <v>0</v>
      </c>
      <c r="G54" s="52">
        <f ca="1">SUM(Jul!G54, Aug!G54, Sep!G54)</f>
        <v>0</v>
      </c>
      <c r="H54" s="52">
        <f t="shared" ca="1" si="3"/>
        <v>0</v>
      </c>
      <c r="I54" s="53">
        <f t="shared" ca="1" si="4"/>
        <v>0</v>
      </c>
    </row>
    <row r="55" spans="1:9" ht="15.75">
      <c r="A55" s="63" t="str">
        <v>Q231</v>
      </c>
      <c r="B55" s="64" t="str">
        <v>Hudson</v>
      </c>
      <c r="C55" s="81">
        <f ca="1">SUM(Jul!C55, Aug!C55, Sep!C55)</f>
        <v>0</v>
      </c>
      <c r="D55" s="50">
        <f ca="1">SUM(Jul!D55, Aug!D55, Sep!D55)</f>
        <v>0</v>
      </c>
      <c r="E55" s="50">
        <f t="shared" ca="1" si="1"/>
        <v>0</v>
      </c>
      <c r="F55" s="51">
        <f t="shared" ca="1" si="2"/>
        <v>0</v>
      </c>
      <c r="G55" s="52">
        <f ca="1">SUM(Jul!G55, Aug!G55, Sep!G55)</f>
        <v>0</v>
      </c>
      <c r="H55" s="52">
        <f t="shared" ca="1" si="3"/>
        <v>0</v>
      </c>
      <c r="I55" s="53">
        <f t="shared" ca="1" si="4"/>
        <v>0</v>
      </c>
    </row>
    <row r="56" spans="1:9" ht="15.75">
      <c r="A56" s="59" t="str">
        <v>Q405</v>
      </c>
      <c r="B56" s="21" t="str">
        <v>Hudson</v>
      </c>
      <c r="C56" s="81">
        <f ca="1">SUM(Jul!C56, Aug!C56, Sep!C56)</f>
        <v>0</v>
      </c>
      <c r="D56" s="50">
        <f ca="1">SUM(Jul!D56, Aug!D56, Sep!D56)</f>
        <v>0</v>
      </c>
      <c r="E56" s="50">
        <f t="shared" ca="1" si="1"/>
        <v>0</v>
      </c>
      <c r="F56" s="51">
        <f t="shared" ca="1" si="2"/>
        <v>0</v>
      </c>
      <c r="G56" s="52">
        <f ca="1">SUM(Jul!G56, Aug!G56, Sep!G56)</f>
        <v>0</v>
      </c>
      <c r="H56" s="52">
        <f t="shared" ca="1" si="3"/>
        <v>0</v>
      </c>
      <c r="I56" s="53">
        <f t="shared" ca="1" si="4"/>
        <v>0</v>
      </c>
    </row>
    <row r="57" spans="1:9" ht="15.75">
      <c r="A57" s="63" t="str">
        <v>Q435</v>
      </c>
      <c r="B57" s="64" t="str">
        <v>Hudson</v>
      </c>
      <c r="C57" s="81">
        <f ca="1">SUM(Jul!C57, Aug!C57, Sep!C57)</f>
        <v>0</v>
      </c>
      <c r="D57" s="50">
        <f ca="1">SUM(Jul!D57, Aug!D57, Sep!D57)</f>
        <v>0</v>
      </c>
      <c r="E57" s="50">
        <f t="shared" ca="1" si="1"/>
        <v>0</v>
      </c>
      <c r="F57" s="51">
        <f t="shared" ca="1" si="2"/>
        <v>0</v>
      </c>
      <c r="G57" s="52">
        <f ca="1">SUM(Jul!G57, Aug!G57, Sep!G57)</f>
        <v>0</v>
      </c>
      <c r="H57" s="52">
        <f t="shared" ca="1" si="3"/>
        <v>0</v>
      </c>
      <c r="I57" s="53">
        <f t="shared" ca="1" si="4"/>
        <v>0</v>
      </c>
    </row>
    <row r="58" spans="1:9" ht="15.75">
      <c r="A58" s="59" t="str">
        <v>Q485</v>
      </c>
      <c r="B58" s="21" t="str">
        <v>Hudson</v>
      </c>
      <c r="C58" s="81">
        <f ca="1">SUM(Jul!C58, Aug!C58, Sep!C58)</f>
        <v>0</v>
      </c>
      <c r="D58" s="50">
        <f ca="1">SUM(Jul!D58, Aug!D58, Sep!D58)</f>
        <v>0</v>
      </c>
      <c r="E58" s="50">
        <f t="shared" ca="1" si="1"/>
        <v>0</v>
      </c>
      <c r="F58" s="51">
        <f t="shared" ca="1" si="2"/>
        <v>0</v>
      </c>
      <c r="G58" s="52">
        <f ca="1">SUM(Jul!G58, Aug!G58, Sep!G58)</f>
        <v>0</v>
      </c>
      <c r="H58" s="52">
        <f t="shared" ca="1" si="3"/>
        <v>0</v>
      </c>
      <c r="I58" s="53">
        <f t="shared" ca="1" si="4"/>
        <v>0</v>
      </c>
    </row>
    <row r="59" spans="1:9" ht="15.75">
      <c r="A59" s="63" t="str">
        <v>Q490</v>
      </c>
      <c r="B59" s="64" t="str">
        <v>Hudson</v>
      </c>
      <c r="C59" s="81">
        <f ca="1">SUM(Jul!C59, Aug!C59, Sep!C59)</f>
        <v>0</v>
      </c>
      <c r="D59" s="50">
        <f ca="1">SUM(Jul!D59, Aug!D59, Sep!D59)</f>
        <v>0</v>
      </c>
      <c r="E59" s="50">
        <f t="shared" ca="1" si="1"/>
        <v>0</v>
      </c>
      <c r="F59" s="51">
        <f t="shared" ca="1" si="2"/>
        <v>0</v>
      </c>
      <c r="G59" s="52">
        <f ca="1">SUM(Jul!G59, Aug!G59, Sep!G59)</f>
        <v>0</v>
      </c>
      <c r="H59" s="52">
        <f t="shared" ca="1" si="3"/>
        <v>0</v>
      </c>
      <c r="I59" s="53">
        <f t="shared" ca="1" si="4"/>
        <v>0</v>
      </c>
    </row>
    <row r="60" spans="1:9" ht="15.75">
      <c r="A60" s="59" t="str">
        <v>Q620</v>
      </c>
      <c r="B60" s="21" t="str">
        <v>Hudson</v>
      </c>
      <c r="C60" s="81">
        <f ca="1">SUM(Jul!C60, Aug!C60, Sep!C60)</f>
        <v>0</v>
      </c>
      <c r="D60" s="50">
        <f ca="1">SUM(Jul!D60, Aug!D60, Sep!D60)</f>
        <v>0</v>
      </c>
      <c r="E60" s="50">
        <f t="shared" ca="1" si="1"/>
        <v>0</v>
      </c>
      <c r="F60" s="51">
        <f t="shared" ca="1" si="2"/>
        <v>0</v>
      </c>
      <c r="G60" s="52">
        <f ca="1">SUM(Jul!G60, Aug!G60, Sep!G60)</f>
        <v>0</v>
      </c>
      <c r="H60" s="52">
        <f t="shared" ca="1" si="3"/>
        <v>0</v>
      </c>
      <c r="I60" s="53">
        <f t="shared" ca="1" si="4"/>
        <v>0</v>
      </c>
    </row>
    <row r="61" spans="1:9" ht="15.75">
      <c r="A61" s="63" t="str">
        <v>QMOA</v>
      </c>
      <c r="B61" s="64" t="str">
        <v>Hudson</v>
      </c>
      <c r="C61" s="81">
        <f ca="1">SUM(Jul!C61, Aug!C61, Sep!C61)</f>
        <v>0</v>
      </c>
      <c r="D61" s="50">
        <f ca="1">SUM(Jul!D61, Aug!D61, Sep!D61)</f>
        <v>0</v>
      </c>
      <c r="E61" s="50">
        <f t="shared" ca="1" si="1"/>
        <v>0</v>
      </c>
      <c r="F61" s="51">
        <f t="shared" ca="1" si="2"/>
        <v>0</v>
      </c>
      <c r="G61" s="52">
        <f ca="1">SUM(Jul!G61, Aug!G61, Sep!G61)</f>
        <v>0</v>
      </c>
      <c r="H61" s="52">
        <f t="shared" ca="1" si="3"/>
        <v>0</v>
      </c>
      <c r="I61" s="53">
        <f t="shared" ca="1" si="4"/>
        <v>0</v>
      </c>
    </row>
    <row r="62" spans="1:9" ht="15.75">
      <c r="A62" s="59" t="str">
        <v>X024</v>
      </c>
      <c r="B62" s="21" t="str">
        <v>Hudson</v>
      </c>
      <c r="C62" s="81">
        <f ca="1">SUM(Jul!C62, Aug!C62, Sep!C62)</f>
        <v>0</v>
      </c>
      <c r="D62" s="50">
        <f ca="1">SUM(Jul!D62, Aug!D62, Sep!D62)</f>
        <v>0</v>
      </c>
      <c r="E62" s="50">
        <f t="shared" ca="1" si="1"/>
        <v>0</v>
      </c>
      <c r="F62" s="51">
        <f t="shared" ca="1" si="2"/>
        <v>0</v>
      </c>
      <c r="G62" s="52">
        <f ca="1">SUM(Jul!G62, Aug!G62, Sep!G62)</f>
        <v>0</v>
      </c>
      <c r="H62" s="52">
        <f t="shared" ca="1" si="3"/>
        <v>0</v>
      </c>
      <c r="I62" s="53">
        <f t="shared" ca="1" si="4"/>
        <v>0</v>
      </c>
    </row>
    <row r="63" spans="1:9" ht="15.75">
      <c r="A63" s="63" t="str">
        <v>X026</v>
      </c>
      <c r="B63" s="64" t="str">
        <v>Hudson</v>
      </c>
      <c r="C63" s="81">
        <f ca="1">SUM(Jul!C63, Aug!C63, Sep!C63)</f>
        <v>0</v>
      </c>
      <c r="D63" s="50">
        <f ca="1">SUM(Jul!D63, Aug!D63, Sep!D63)</f>
        <v>0</v>
      </c>
      <c r="E63" s="50">
        <f t="shared" ca="1" si="1"/>
        <v>0</v>
      </c>
      <c r="F63" s="51">
        <f t="shared" ca="1" si="2"/>
        <v>0</v>
      </c>
      <c r="G63" s="52">
        <f ca="1">SUM(Jul!G63, Aug!G63, Sep!G63)</f>
        <v>0</v>
      </c>
      <c r="H63" s="52">
        <f t="shared" ca="1" si="3"/>
        <v>0</v>
      </c>
      <c r="I63" s="53">
        <f t="shared" ca="1" si="4"/>
        <v>0</v>
      </c>
    </row>
    <row r="64" spans="1:9" ht="15.75">
      <c r="A64" s="59" t="str">
        <v>X090</v>
      </c>
      <c r="B64" s="21" t="str">
        <v>Hudson</v>
      </c>
      <c r="C64" s="81">
        <f ca="1">SUM(Jul!C64, Aug!C64, Sep!C64)</f>
        <v>0</v>
      </c>
      <c r="D64" s="50">
        <f ca="1">SUM(Jul!D64, Aug!D64, Sep!D64)</f>
        <v>0</v>
      </c>
      <c r="E64" s="50">
        <f t="shared" ca="1" si="1"/>
        <v>0</v>
      </c>
      <c r="F64" s="51">
        <f t="shared" ca="1" si="2"/>
        <v>0</v>
      </c>
      <c r="G64" s="52">
        <f ca="1">SUM(Jul!G64, Aug!G64, Sep!G64)</f>
        <v>0</v>
      </c>
      <c r="H64" s="52">
        <f t="shared" ca="1" si="3"/>
        <v>0</v>
      </c>
      <c r="I64" s="53">
        <f t="shared" ca="1" si="4"/>
        <v>0</v>
      </c>
    </row>
    <row r="65" spans="1:9" ht="15.75">
      <c r="A65" s="63" t="str">
        <v>X117</v>
      </c>
      <c r="B65" s="64" t="str">
        <v>Hudson</v>
      </c>
      <c r="C65" s="81">
        <f ca="1">SUM(Jul!C65, Aug!C65, Sep!C65)</f>
        <v>0</v>
      </c>
      <c r="D65" s="50">
        <f ca="1">SUM(Jul!D65, Aug!D65, Sep!D65)</f>
        <v>0</v>
      </c>
      <c r="E65" s="50">
        <f t="shared" ca="1" si="1"/>
        <v>0</v>
      </c>
      <c r="F65" s="51">
        <f t="shared" ca="1" si="2"/>
        <v>0</v>
      </c>
      <c r="G65" s="52">
        <f ca="1">SUM(Jul!G65, Aug!G65, Sep!G65)</f>
        <v>0</v>
      </c>
      <c r="H65" s="52">
        <f t="shared" ca="1" si="3"/>
        <v>0</v>
      </c>
      <c r="I65" s="53">
        <f t="shared" ca="1" si="4"/>
        <v>0</v>
      </c>
    </row>
    <row r="66" spans="1:9" ht="15.75">
      <c r="A66" s="59" t="str">
        <v>X125</v>
      </c>
      <c r="B66" s="21" t="str">
        <v>Hudson</v>
      </c>
      <c r="C66" s="81">
        <f ca="1">SUM(Jul!C66, Aug!C66, Sep!C66)</f>
        <v>0</v>
      </c>
      <c r="D66" s="50">
        <f ca="1">SUM(Jul!D66, Aug!D66, Sep!D66)</f>
        <v>0</v>
      </c>
      <c r="E66" s="50">
        <f t="shared" ca="1" si="1"/>
        <v>0</v>
      </c>
      <c r="F66" s="51">
        <f t="shared" ca="1" si="2"/>
        <v>0</v>
      </c>
      <c r="G66" s="52">
        <f ca="1">SUM(Jul!G66, Aug!G66, Sep!G66)</f>
        <v>0</v>
      </c>
      <c r="H66" s="52">
        <f t="shared" ca="1" si="3"/>
        <v>0</v>
      </c>
      <c r="I66" s="53">
        <f t="shared" ca="1" si="4"/>
        <v>0</v>
      </c>
    </row>
    <row r="67" spans="1:9" ht="15.75">
      <c r="A67" s="63" t="str">
        <v>X134</v>
      </c>
      <c r="B67" s="64" t="str">
        <v>Hudson</v>
      </c>
      <c r="C67" s="81">
        <f ca="1">SUM(Jul!C67, Aug!C67, Sep!C67)</f>
        <v>0</v>
      </c>
      <c r="D67" s="50">
        <f ca="1">SUM(Jul!D67, Aug!D67, Sep!D67)</f>
        <v>0</v>
      </c>
      <c r="E67" s="50">
        <f t="shared" ca="1" si="1"/>
        <v>0</v>
      </c>
      <c r="F67" s="51">
        <f t="shared" ca="1" si="2"/>
        <v>0</v>
      </c>
      <c r="G67" s="52">
        <f ca="1">SUM(Jul!G67, Aug!G67, Sep!G67)</f>
        <v>0</v>
      </c>
      <c r="H67" s="52">
        <f t="shared" ca="1" si="3"/>
        <v>0</v>
      </c>
      <c r="I67" s="53">
        <f t="shared" ca="1" si="4"/>
        <v>0</v>
      </c>
    </row>
    <row r="68" spans="1:9" ht="15.75">
      <c r="A68" s="59" t="str">
        <v>X135</v>
      </c>
      <c r="B68" s="21" t="str">
        <v>Hudson</v>
      </c>
      <c r="C68" s="81">
        <f ca="1">SUM(Jul!C68, Aug!C68, Sep!C68)</f>
        <v>0</v>
      </c>
      <c r="D68" s="50">
        <f ca="1">SUM(Jul!D68, Aug!D68, Sep!D68)</f>
        <v>0</v>
      </c>
      <c r="E68" s="50">
        <f t="shared" ref="E68:E131" ca="1" si="5">C68-D68</f>
        <v>0</v>
      </c>
      <c r="F68" s="51">
        <f t="shared" ref="F68:F131" ca="1" si="6">IFERROR(E68/D68, 0)</f>
        <v>0</v>
      </c>
      <c r="G68" s="52">
        <f ca="1">SUM(Jul!G68, Aug!G68, Sep!G68)</f>
        <v>0</v>
      </c>
      <c r="H68" s="52">
        <f t="shared" ref="H68:H131" ca="1" si="7">C68-G68</f>
        <v>0</v>
      </c>
      <c r="I68" s="53">
        <f t="shared" ref="I68:I131" ca="1" si="8">IFERROR(H68/G68, 0)</f>
        <v>0</v>
      </c>
    </row>
    <row r="69" spans="1:9" ht="15.75">
      <c r="A69" s="63" t="str">
        <v>X139 JHS 222</v>
      </c>
      <c r="B69" s="64" t="str">
        <v>Hudson</v>
      </c>
      <c r="C69" s="81">
        <f ca="1">SUM(Jul!C69, Aug!C69, Sep!C69)</f>
        <v>0</v>
      </c>
      <c r="D69" s="50">
        <f ca="1">SUM(Jul!D69, Aug!D69, Sep!D69)</f>
        <v>0</v>
      </c>
      <c r="E69" s="50">
        <f t="shared" ca="1" si="5"/>
        <v>0</v>
      </c>
      <c r="F69" s="51">
        <f t="shared" ca="1" si="6"/>
        <v>0</v>
      </c>
      <c r="G69" s="52">
        <f ca="1">SUM(Jul!G69, Aug!G69, Sep!G69)</f>
        <v>0</v>
      </c>
      <c r="H69" s="52">
        <f t="shared" ca="1" si="7"/>
        <v>0</v>
      </c>
      <c r="I69" s="53">
        <f t="shared" ca="1" si="8"/>
        <v>0</v>
      </c>
    </row>
    <row r="70" spans="1:9" ht="15.75">
      <c r="A70" s="59" t="str">
        <v>X140</v>
      </c>
      <c r="B70" s="21" t="str">
        <v>Hudson</v>
      </c>
      <c r="C70" s="81">
        <f ca="1">SUM(Jul!C70, Aug!C70, Sep!C70)</f>
        <v>0</v>
      </c>
      <c r="D70" s="50">
        <f ca="1">SUM(Jul!D70, Aug!D70, Sep!D70)</f>
        <v>0</v>
      </c>
      <c r="E70" s="50">
        <f t="shared" ca="1" si="5"/>
        <v>0</v>
      </c>
      <c r="F70" s="51">
        <f t="shared" ca="1" si="6"/>
        <v>0</v>
      </c>
      <c r="G70" s="52">
        <f ca="1">SUM(Jul!G70, Aug!G70, Sep!G70)</f>
        <v>0</v>
      </c>
      <c r="H70" s="52">
        <f t="shared" ca="1" si="7"/>
        <v>0</v>
      </c>
      <c r="I70" s="53">
        <f t="shared" ca="1" si="8"/>
        <v>0</v>
      </c>
    </row>
    <row r="71" spans="1:9" ht="15.75">
      <c r="A71" s="63" t="str">
        <v>X166</v>
      </c>
      <c r="B71" s="64" t="str">
        <v>Hudson</v>
      </c>
      <c r="C71" s="81">
        <f ca="1">SUM(Jul!C71, Aug!C71, Sep!C71)</f>
        <v>0</v>
      </c>
      <c r="D71" s="50">
        <f ca="1">SUM(Jul!D71, Aug!D71, Sep!D71)</f>
        <v>0</v>
      </c>
      <c r="E71" s="50">
        <f t="shared" ca="1" si="5"/>
        <v>0</v>
      </c>
      <c r="F71" s="51">
        <f t="shared" ca="1" si="6"/>
        <v>0</v>
      </c>
      <c r="G71" s="52">
        <f ca="1">SUM(Jul!G71, Aug!G71, Sep!G71)</f>
        <v>0</v>
      </c>
      <c r="H71" s="52">
        <f t="shared" ca="1" si="7"/>
        <v>0</v>
      </c>
      <c r="I71" s="53">
        <f t="shared" ca="1" si="8"/>
        <v>0</v>
      </c>
    </row>
    <row r="72" spans="1:9" ht="15.75">
      <c r="A72" s="59" t="str">
        <v>Murphy</v>
      </c>
      <c r="B72" s="21" t="str">
        <v>MN Community Solar</v>
      </c>
      <c r="C72" s="81">
        <f ca="1">SUM(Jul!C72, Aug!C72, Sep!C72)</f>
        <v>0</v>
      </c>
      <c r="D72" s="50">
        <f ca="1">SUM(Jul!D72, Aug!D72, Sep!D72)</f>
        <v>0</v>
      </c>
      <c r="E72" s="50">
        <f t="shared" ca="1" si="5"/>
        <v>0</v>
      </c>
      <c r="F72" s="51">
        <f t="shared" ca="1" si="6"/>
        <v>0</v>
      </c>
      <c r="G72" s="52">
        <f ca="1">SUM(Jul!G72, Aug!G72, Sep!G72)</f>
        <v>0</v>
      </c>
      <c r="H72" s="52">
        <f t="shared" ca="1" si="7"/>
        <v>0</v>
      </c>
      <c r="I72" s="53">
        <f t="shared" ca="1" si="8"/>
        <v>0</v>
      </c>
    </row>
    <row r="73" spans="1:9" ht="15.75">
      <c r="A73" s="63" t="str">
        <v>Terning</v>
      </c>
      <c r="B73" s="64" t="str">
        <v>MN Community Solar</v>
      </c>
      <c r="C73" s="81">
        <f ca="1">SUM(Jul!C73, Aug!C73, Sep!C73)</f>
        <v>0</v>
      </c>
      <c r="D73" s="50">
        <f ca="1">SUM(Jul!D73, Aug!D73, Sep!D73)</f>
        <v>0</v>
      </c>
      <c r="E73" s="50">
        <f t="shared" ca="1" si="5"/>
        <v>0</v>
      </c>
      <c r="F73" s="51">
        <f t="shared" ca="1" si="6"/>
        <v>0</v>
      </c>
      <c r="G73" s="52">
        <f ca="1">SUM(Jul!G73, Aug!G73, Sep!G73)</f>
        <v>0</v>
      </c>
      <c r="H73" s="52">
        <f t="shared" ca="1" si="7"/>
        <v>0</v>
      </c>
      <c r="I73" s="53">
        <f t="shared" ca="1" si="8"/>
        <v>0</v>
      </c>
    </row>
    <row r="74" spans="1:9" ht="15.75">
      <c r="A74" s="59" t="str">
        <v>Boas Road 04</v>
      </c>
      <c r="B74" s="21" t="str">
        <v>NYCS I</v>
      </c>
      <c r="C74" s="81">
        <f ca="1">SUM(Jul!C74, Aug!C74, Sep!C74)</f>
        <v>0</v>
      </c>
      <c r="D74" s="50">
        <f ca="1">SUM(Jul!D74, Aug!D74, Sep!D74)</f>
        <v>0</v>
      </c>
      <c r="E74" s="50">
        <f t="shared" ca="1" si="5"/>
        <v>0</v>
      </c>
      <c r="F74" s="51">
        <f t="shared" ca="1" si="6"/>
        <v>0</v>
      </c>
      <c r="G74" s="52">
        <f ca="1">SUM(Jul!G74, Aug!G74, Sep!G74)</f>
        <v>0</v>
      </c>
      <c r="H74" s="52">
        <f t="shared" ca="1" si="7"/>
        <v>0</v>
      </c>
      <c r="I74" s="53">
        <f t="shared" ca="1" si="8"/>
        <v>0</v>
      </c>
    </row>
    <row r="75" spans="1:9" ht="15.75">
      <c r="A75" s="63" t="str">
        <v>Kelly Bridge Farm</v>
      </c>
      <c r="B75" s="64" t="str">
        <v>NYCS I</v>
      </c>
      <c r="C75" s="81">
        <f ca="1">SUM(Jul!C75, Aug!C75, Sep!C75)</f>
        <v>0</v>
      </c>
      <c r="D75" s="50">
        <f ca="1">SUM(Jul!D75, Aug!D75, Sep!D75)</f>
        <v>0</v>
      </c>
      <c r="E75" s="50">
        <f t="shared" ca="1" si="5"/>
        <v>0</v>
      </c>
      <c r="F75" s="51">
        <f t="shared" ca="1" si="6"/>
        <v>0</v>
      </c>
      <c r="G75" s="52">
        <f ca="1">SUM(Jul!G75, Aug!G75, Sep!G75)</f>
        <v>0</v>
      </c>
      <c r="H75" s="52">
        <f t="shared" ca="1" si="7"/>
        <v>0</v>
      </c>
      <c r="I75" s="53">
        <f t="shared" ca="1" si="8"/>
        <v>0</v>
      </c>
    </row>
    <row r="76" spans="1:9" ht="15.75">
      <c r="A76" s="59" t="str">
        <v>Pool Brook Road</v>
      </c>
      <c r="B76" s="21" t="str">
        <v>NYCS I</v>
      </c>
      <c r="C76" s="81">
        <f ca="1">SUM(Jul!C76, Aug!C76, Sep!C76)</f>
        <v>0</v>
      </c>
      <c r="D76" s="50">
        <f ca="1">SUM(Jul!D76, Aug!D76, Sep!D76)</f>
        <v>0</v>
      </c>
      <c r="E76" s="50">
        <f t="shared" ca="1" si="5"/>
        <v>0</v>
      </c>
      <c r="F76" s="51">
        <f t="shared" ca="1" si="6"/>
        <v>0</v>
      </c>
      <c r="G76" s="52">
        <f ca="1">SUM(Jul!G76, Aug!G76, Sep!G76)</f>
        <v>0</v>
      </c>
      <c r="H76" s="52">
        <f t="shared" ca="1" si="7"/>
        <v>0</v>
      </c>
      <c r="I76" s="53">
        <f t="shared" ca="1" si="8"/>
        <v>0</v>
      </c>
    </row>
    <row r="77" spans="1:9" ht="15.75">
      <c r="A77" s="63" t="str">
        <v>Sackett Lake</v>
      </c>
      <c r="B77" s="64" t="str">
        <v>NYCS I</v>
      </c>
      <c r="C77" s="81">
        <f ca="1">SUM(Jul!C77, Aug!C77, Sep!C77)</f>
        <v>0</v>
      </c>
      <c r="D77" s="50">
        <f ca="1">SUM(Jul!D77, Aug!D77, Sep!D77)</f>
        <v>0</v>
      </c>
      <c r="E77" s="50">
        <f t="shared" ca="1" si="5"/>
        <v>0</v>
      </c>
      <c r="F77" s="51">
        <f t="shared" ca="1" si="6"/>
        <v>0</v>
      </c>
      <c r="G77" s="52">
        <f ca="1">SUM(Jul!G77, Aug!G77, Sep!G77)</f>
        <v>0</v>
      </c>
      <c r="H77" s="52">
        <f t="shared" ca="1" si="7"/>
        <v>0</v>
      </c>
      <c r="I77" s="53">
        <f t="shared" ca="1" si="8"/>
        <v>0</v>
      </c>
    </row>
    <row r="78" spans="1:9" ht="12.75" customHeight="1">
      <c r="A78" s="59" t="str">
        <v>Burritt Road</v>
      </c>
      <c r="B78" s="21" t="str">
        <v>NYCS II</v>
      </c>
      <c r="C78" s="81">
        <f ca="1">SUM(Jul!C78, Aug!C78, Sep!C78)</f>
        <v>0</v>
      </c>
      <c r="D78" s="50">
        <f ca="1">SUM(Jul!D78, Aug!D78, Sep!D78)</f>
        <v>0</v>
      </c>
      <c r="E78" s="50">
        <f t="shared" ca="1" si="5"/>
        <v>0</v>
      </c>
      <c r="F78" s="51">
        <f t="shared" ca="1" si="6"/>
        <v>0</v>
      </c>
      <c r="G78" s="52">
        <f ca="1">SUM(Jul!G78, Aug!G78, Sep!G78)</f>
        <v>0</v>
      </c>
      <c r="H78" s="52">
        <f t="shared" ca="1" si="7"/>
        <v>0</v>
      </c>
      <c r="I78" s="53">
        <f t="shared" ca="1" si="8"/>
        <v>0</v>
      </c>
    </row>
    <row r="79" spans="1:9" ht="15.75">
      <c r="A79" s="63" t="str">
        <v>Villa Roma 1</v>
      </c>
      <c r="B79" s="64" t="str">
        <v>NYCS II</v>
      </c>
      <c r="C79" s="81">
        <f ca="1">SUM(Jul!C79, Aug!C79, Sep!C79)</f>
        <v>0</v>
      </c>
      <c r="D79" s="50">
        <f ca="1">SUM(Jul!D79, Aug!D79, Sep!D79)</f>
        <v>0</v>
      </c>
      <c r="E79" s="50">
        <f t="shared" ca="1" si="5"/>
        <v>0</v>
      </c>
      <c r="F79" s="51">
        <f t="shared" ca="1" si="6"/>
        <v>0</v>
      </c>
      <c r="G79" s="52">
        <f ca="1">SUM(Jul!G79, Aug!G79, Sep!G79)</f>
        <v>0</v>
      </c>
      <c r="H79" s="52">
        <f t="shared" ca="1" si="7"/>
        <v>0</v>
      </c>
      <c r="I79" s="53">
        <f t="shared" ca="1" si="8"/>
        <v>0</v>
      </c>
    </row>
    <row r="80" spans="1:9" ht="12.75" customHeight="1">
      <c r="A80" s="59" t="str">
        <v>Villa Roma 2</v>
      </c>
      <c r="B80" s="21" t="str">
        <v>NYCS II</v>
      </c>
      <c r="C80" s="81">
        <f ca="1">SUM(Jul!C80, Aug!C80, Sep!C80)</f>
        <v>0</v>
      </c>
      <c r="D80" s="50">
        <f ca="1">SUM(Jul!D80, Aug!D80, Sep!D80)</f>
        <v>0</v>
      </c>
      <c r="E80" s="50">
        <f t="shared" ca="1" si="5"/>
        <v>0</v>
      </c>
      <c r="F80" s="51">
        <f t="shared" ca="1" si="6"/>
        <v>0</v>
      </c>
      <c r="G80" s="52">
        <f ca="1">SUM(Jul!G80, Aug!G80, Sep!G80)</f>
        <v>0</v>
      </c>
      <c r="H80" s="52">
        <f t="shared" ca="1" si="7"/>
        <v>0</v>
      </c>
      <c r="I80" s="53">
        <f t="shared" ca="1" si="8"/>
        <v>0</v>
      </c>
    </row>
    <row r="81" spans="1:9" ht="15.75">
      <c r="A81" s="63" t="str">
        <v>Washington 1</v>
      </c>
      <c r="B81" s="64" t="str">
        <v>NYCS II</v>
      </c>
      <c r="C81" s="81">
        <f ca="1">SUM(Jul!C81, Aug!C81, Sep!C81)</f>
        <v>0</v>
      </c>
      <c r="D81" s="50">
        <f ca="1">SUM(Jul!D81, Aug!D81, Sep!D81)</f>
        <v>0</v>
      </c>
      <c r="E81" s="50">
        <f t="shared" ca="1" si="5"/>
        <v>0</v>
      </c>
      <c r="F81" s="51">
        <f t="shared" ca="1" si="6"/>
        <v>0</v>
      </c>
      <c r="G81" s="52">
        <f ca="1">SUM(Jul!G81, Aug!G81, Sep!G81)</f>
        <v>0</v>
      </c>
      <c r="H81" s="52">
        <f t="shared" ca="1" si="7"/>
        <v>0</v>
      </c>
      <c r="I81" s="53">
        <f t="shared" ca="1" si="8"/>
        <v>0</v>
      </c>
    </row>
    <row r="82" spans="1:9" ht="15.75">
      <c r="A82" s="59" t="str">
        <v>Washington 3</v>
      </c>
      <c r="B82" s="21" t="str">
        <v>NYCS II</v>
      </c>
      <c r="C82" s="81">
        <f ca="1">SUM(Jul!C82, Aug!C82, Sep!C82)</f>
        <v>0</v>
      </c>
      <c r="D82" s="50">
        <f ca="1">SUM(Jul!D82, Aug!D82, Sep!D82)</f>
        <v>0</v>
      </c>
      <c r="E82" s="50">
        <f t="shared" ca="1" si="5"/>
        <v>0</v>
      </c>
      <c r="F82" s="51">
        <f t="shared" ca="1" si="6"/>
        <v>0</v>
      </c>
      <c r="G82" s="52">
        <f ca="1">SUM(Jul!G82, Aug!G82, Sep!G82)</f>
        <v>0</v>
      </c>
      <c r="H82" s="52">
        <f t="shared" ca="1" si="7"/>
        <v>0</v>
      </c>
      <c r="I82" s="53">
        <f t="shared" ca="1" si="8"/>
        <v>0</v>
      </c>
    </row>
    <row r="83" spans="1:9" ht="15.75">
      <c r="A83" s="63" t="str">
        <v>Washington 4</v>
      </c>
      <c r="B83" s="64" t="str">
        <v>NYCS II</v>
      </c>
      <c r="C83" s="81">
        <f ca="1">SUM(Jul!C83, Aug!C83, Sep!C83)</f>
        <v>0</v>
      </c>
      <c r="D83" s="50">
        <f ca="1">SUM(Jul!D83, Aug!D83, Sep!D83)</f>
        <v>0</v>
      </c>
      <c r="E83" s="50">
        <f t="shared" ca="1" si="5"/>
        <v>0</v>
      </c>
      <c r="F83" s="51">
        <f t="shared" ca="1" si="6"/>
        <v>0</v>
      </c>
      <c r="G83" s="52">
        <f ca="1">SUM(Jul!G83, Aug!G83, Sep!G83)</f>
        <v>0</v>
      </c>
      <c r="H83" s="52">
        <f t="shared" ca="1" si="7"/>
        <v>0</v>
      </c>
      <c r="I83" s="53">
        <f t="shared" ca="1" si="8"/>
        <v>0</v>
      </c>
    </row>
    <row r="84" spans="1:9" ht="15.75">
      <c r="A84" s="59" t="str">
        <v>Big Tree</v>
      </c>
      <c r="B84" s="21" t="str">
        <v>NYCS III</v>
      </c>
      <c r="C84" s="81">
        <f ca="1">SUM(Jul!C84, Aug!C84, Sep!C84)</f>
        <v>0</v>
      </c>
      <c r="D84" s="50">
        <f ca="1">SUM(Jul!D84, Aug!D84, Sep!D84)</f>
        <v>0</v>
      </c>
      <c r="E84" s="50">
        <f t="shared" ca="1" si="5"/>
        <v>0</v>
      </c>
      <c r="F84" s="51">
        <f t="shared" ca="1" si="6"/>
        <v>0</v>
      </c>
      <c r="G84" s="52">
        <f ca="1">SUM(Jul!G84, Aug!G84, Sep!G84)</f>
        <v>0</v>
      </c>
      <c r="H84" s="52">
        <f t="shared" ca="1" si="7"/>
        <v>0</v>
      </c>
      <c r="I84" s="53">
        <f t="shared" ca="1" si="8"/>
        <v>0</v>
      </c>
    </row>
    <row r="85" spans="1:9" ht="15.75">
      <c r="A85" s="63" t="str">
        <v>Canoga</v>
      </c>
      <c r="B85" s="64" t="str">
        <v>NYCS III</v>
      </c>
      <c r="C85" s="81">
        <f ca="1">SUM(Jul!C85, Aug!C85, Sep!C85)</f>
        <v>0</v>
      </c>
      <c r="D85" s="50">
        <f ca="1">SUM(Jul!D85, Aug!D85, Sep!D85)</f>
        <v>0</v>
      </c>
      <c r="E85" s="50">
        <f t="shared" ca="1" si="5"/>
        <v>0</v>
      </c>
      <c r="F85" s="51">
        <f t="shared" ca="1" si="6"/>
        <v>0</v>
      </c>
      <c r="G85" s="52">
        <f ca="1">SUM(Jul!G85, Aug!G85, Sep!G85)</f>
        <v>0</v>
      </c>
      <c r="H85" s="52">
        <f t="shared" ca="1" si="7"/>
        <v>0</v>
      </c>
      <c r="I85" s="53">
        <f t="shared" ca="1" si="8"/>
        <v>0</v>
      </c>
    </row>
    <row r="86" spans="1:9" ht="15.75">
      <c r="A86" s="59" t="str">
        <v>County Route 84</v>
      </c>
      <c r="B86" s="21" t="str">
        <v>NYCS III</v>
      </c>
      <c r="C86" s="81">
        <f ca="1">SUM(Jul!C86, Aug!C86, Sep!C86)</f>
        <v>0</v>
      </c>
      <c r="D86" s="50">
        <f ca="1">SUM(Jul!D86, Aug!D86, Sep!D86)</f>
        <v>0</v>
      </c>
      <c r="E86" s="50">
        <f t="shared" ca="1" si="5"/>
        <v>0</v>
      </c>
      <c r="F86" s="51">
        <f t="shared" ca="1" si="6"/>
        <v>0</v>
      </c>
      <c r="G86" s="52">
        <f ca="1">SUM(Jul!G86, Aug!G86, Sep!G86)</f>
        <v>0</v>
      </c>
      <c r="H86" s="52">
        <f t="shared" ca="1" si="7"/>
        <v>0</v>
      </c>
      <c r="I86" s="53">
        <f t="shared" ca="1" si="8"/>
        <v>0</v>
      </c>
    </row>
    <row r="87" spans="1:9" ht="15.75">
      <c r="A87" s="63" t="str">
        <v>Donati</v>
      </c>
      <c r="B87" s="64" t="str">
        <v>NYCS III</v>
      </c>
      <c r="C87" s="81">
        <f ca="1">SUM(Jul!C87, Aug!C87, Sep!C87)</f>
        <v>0</v>
      </c>
      <c r="D87" s="50">
        <f ca="1">SUM(Jul!D87, Aug!D87, Sep!D87)</f>
        <v>0</v>
      </c>
      <c r="E87" s="50">
        <f t="shared" ca="1" si="5"/>
        <v>0</v>
      </c>
      <c r="F87" s="51">
        <f t="shared" ca="1" si="6"/>
        <v>0</v>
      </c>
      <c r="G87" s="52">
        <f ca="1">SUM(Jul!G87, Aug!G87, Sep!G87)</f>
        <v>0</v>
      </c>
      <c r="H87" s="52">
        <f t="shared" ca="1" si="7"/>
        <v>0</v>
      </c>
      <c r="I87" s="53">
        <f t="shared" ca="1" si="8"/>
        <v>0</v>
      </c>
    </row>
    <row r="88" spans="1:9" ht="15.75">
      <c r="A88" s="59" t="str">
        <v>Henrietta</v>
      </c>
      <c r="B88" s="21" t="str">
        <v>NYCS III</v>
      </c>
      <c r="C88" s="81">
        <f ca="1">SUM(Jul!C88, Aug!C88, Sep!C88)</f>
        <v>0</v>
      </c>
      <c r="D88" s="50">
        <f ca="1">SUM(Jul!D88, Aug!D88, Sep!D88)</f>
        <v>0</v>
      </c>
      <c r="E88" s="50">
        <f t="shared" ca="1" si="5"/>
        <v>0</v>
      </c>
      <c r="F88" s="51">
        <f t="shared" ca="1" si="6"/>
        <v>0</v>
      </c>
      <c r="G88" s="52">
        <f ca="1">SUM(Jul!G88, Aug!G88, Sep!G88)</f>
        <v>0</v>
      </c>
      <c r="H88" s="52">
        <f t="shared" ca="1" si="7"/>
        <v>0</v>
      </c>
      <c r="I88" s="53">
        <f t="shared" ca="1" si="8"/>
        <v>0</v>
      </c>
    </row>
    <row r="89" spans="1:9" ht="15.75">
      <c r="A89" s="63" t="str">
        <v>NY 70</v>
      </c>
      <c r="B89" s="64" t="str">
        <v>NYCS III</v>
      </c>
      <c r="C89" s="81">
        <f ca="1">SUM(Jul!C89, Aug!C89, Sep!C89)</f>
        <v>0</v>
      </c>
      <c r="D89" s="50">
        <f ca="1">SUM(Jul!D89, Aug!D89, Sep!D89)</f>
        <v>0</v>
      </c>
      <c r="E89" s="50">
        <f t="shared" ca="1" si="5"/>
        <v>0</v>
      </c>
      <c r="F89" s="51">
        <f t="shared" ca="1" si="6"/>
        <v>0</v>
      </c>
      <c r="G89" s="52">
        <f ca="1">SUM(Jul!G89, Aug!G89, Sep!G89)</f>
        <v>0</v>
      </c>
      <c r="H89" s="52">
        <f t="shared" ca="1" si="7"/>
        <v>0</v>
      </c>
      <c r="I89" s="53">
        <f t="shared" ca="1" si="8"/>
        <v>0</v>
      </c>
    </row>
    <row r="90" spans="1:9" ht="15.75">
      <c r="A90" s="59" t="str">
        <v>Reid</v>
      </c>
      <c r="B90" s="21" t="str">
        <v>NYCS III</v>
      </c>
      <c r="C90" s="81">
        <f ca="1">SUM(Jul!C90, Aug!C90, Sep!C90)</f>
        <v>0</v>
      </c>
      <c r="D90" s="50">
        <f ca="1">SUM(Jul!D90, Aug!D90, Sep!D90)</f>
        <v>0</v>
      </c>
      <c r="E90" s="50">
        <f t="shared" ca="1" si="5"/>
        <v>0</v>
      </c>
      <c r="F90" s="51">
        <f t="shared" ca="1" si="6"/>
        <v>0</v>
      </c>
      <c r="G90" s="52">
        <f ca="1">SUM(Jul!G90, Aug!G90, Sep!G90)</f>
        <v>0</v>
      </c>
      <c r="H90" s="52">
        <f t="shared" ca="1" si="7"/>
        <v>0</v>
      </c>
      <c r="I90" s="53">
        <f t="shared" ca="1" si="8"/>
        <v>0</v>
      </c>
    </row>
    <row r="91" spans="1:9" ht="15.75">
      <c r="A91" s="63" t="str">
        <v>Sangolqui</v>
      </c>
      <c r="B91" s="64" t="str">
        <v>NYCS III</v>
      </c>
      <c r="C91" s="81">
        <f ca="1">SUM(Jul!C91, Aug!C91, Sep!C91)</f>
        <v>0</v>
      </c>
      <c r="D91" s="50">
        <f ca="1">SUM(Jul!D91, Aug!D91, Sep!D91)</f>
        <v>0</v>
      </c>
      <c r="E91" s="50">
        <f t="shared" ca="1" si="5"/>
        <v>0</v>
      </c>
      <c r="F91" s="51">
        <f t="shared" ca="1" si="6"/>
        <v>0</v>
      </c>
      <c r="G91" s="52">
        <f ca="1">SUM(Jul!G91, Aug!G91, Sep!G91)</f>
        <v>0</v>
      </c>
      <c r="H91" s="52">
        <f t="shared" ca="1" si="7"/>
        <v>0</v>
      </c>
      <c r="I91" s="53">
        <f t="shared" ca="1" si="8"/>
        <v>0</v>
      </c>
    </row>
    <row r="92" spans="1:9" ht="15.75">
      <c r="A92" s="59" t="str">
        <v>State Highway 17B</v>
      </c>
      <c r="B92" s="21" t="str">
        <v>NYCS III</v>
      </c>
      <c r="C92" s="81">
        <f ca="1">SUM(Jul!C92, Aug!C92, Sep!C92)</f>
        <v>0</v>
      </c>
      <c r="D92" s="50">
        <f ca="1">SUM(Jul!D92, Aug!D92, Sep!D92)</f>
        <v>0</v>
      </c>
      <c r="E92" s="50">
        <f t="shared" ca="1" si="5"/>
        <v>0</v>
      </c>
      <c r="F92" s="51">
        <f t="shared" ca="1" si="6"/>
        <v>0</v>
      </c>
      <c r="G92" s="52">
        <f ca="1">SUM(Jul!G92, Aug!G92, Sep!G92)</f>
        <v>0</v>
      </c>
      <c r="H92" s="52">
        <f t="shared" ca="1" si="7"/>
        <v>0</v>
      </c>
      <c r="I92" s="53">
        <f t="shared" ca="1" si="8"/>
        <v>0</v>
      </c>
    </row>
    <row r="93" spans="1:9" ht="15.75">
      <c r="A93" s="63" t="str">
        <v>State Route 14A</v>
      </c>
      <c r="B93" s="64" t="str">
        <v>NYCS III</v>
      </c>
      <c r="C93" s="81">
        <f ca="1">SUM(Jul!C93, Aug!C93, Sep!C93)</f>
        <v>0</v>
      </c>
      <c r="D93" s="50">
        <f ca="1">SUM(Jul!D93, Aug!D93, Sep!D93)</f>
        <v>0</v>
      </c>
      <c r="E93" s="50">
        <f t="shared" ca="1" si="5"/>
        <v>0</v>
      </c>
      <c r="F93" s="51">
        <f t="shared" ca="1" si="6"/>
        <v>0</v>
      </c>
      <c r="G93" s="52">
        <f ca="1">SUM(Jul!G93, Aug!G93, Sep!G93)</f>
        <v>0</v>
      </c>
      <c r="H93" s="52">
        <f t="shared" ca="1" si="7"/>
        <v>0</v>
      </c>
      <c r="I93" s="53">
        <f t="shared" ca="1" si="8"/>
        <v>0</v>
      </c>
    </row>
    <row r="94" spans="1:9" ht="15.75">
      <c r="A94" s="59" t="str">
        <v>West Creek</v>
      </c>
      <c r="B94" s="21" t="str">
        <v>NYCS III</v>
      </c>
      <c r="C94" s="81">
        <f ca="1">SUM(Jul!C94, Aug!C94, Sep!C94)</f>
        <v>0</v>
      </c>
      <c r="D94" s="50">
        <f ca="1">SUM(Jul!D94, Aug!D94, Sep!D94)</f>
        <v>0</v>
      </c>
      <c r="E94" s="50">
        <f t="shared" ca="1" si="5"/>
        <v>0</v>
      </c>
      <c r="F94" s="51">
        <f t="shared" ca="1" si="6"/>
        <v>0</v>
      </c>
      <c r="G94" s="52">
        <f ca="1">SUM(Jul!G94, Aug!G94, Sep!G94)</f>
        <v>0</v>
      </c>
      <c r="H94" s="52">
        <f t="shared" ca="1" si="7"/>
        <v>0</v>
      </c>
      <c r="I94" s="53">
        <f t="shared" ca="1" si="8"/>
        <v>0</v>
      </c>
    </row>
    <row r="95" spans="1:9" ht="15.75">
      <c r="A95" s="63" t="str">
        <v>Wildflower</v>
      </c>
      <c r="B95" s="64" t="str">
        <v>NYCS III</v>
      </c>
      <c r="C95" s="81">
        <f ca="1">SUM(Jul!C95, Aug!C95, Sep!C95)</f>
        <v>0</v>
      </c>
      <c r="D95" s="50">
        <f ca="1">SUM(Jul!D95, Aug!D95, Sep!D95)</f>
        <v>0</v>
      </c>
      <c r="E95" s="50">
        <f t="shared" ca="1" si="5"/>
        <v>0</v>
      </c>
      <c r="F95" s="51">
        <f t="shared" ca="1" si="6"/>
        <v>0</v>
      </c>
      <c r="G95" s="52">
        <f ca="1">SUM(Jul!G95, Aug!G95, Sep!G95)</f>
        <v>0</v>
      </c>
      <c r="H95" s="52">
        <f t="shared" ca="1" si="7"/>
        <v>0</v>
      </c>
      <c r="I95" s="53">
        <f t="shared" ca="1" si="8"/>
        <v>0</v>
      </c>
    </row>
    <row r="96" spans="1:9" ht="15.75">
      <c r="A96" s="59" t="str">
        <v>Glen Mary 1</v>
      </c>
      <c r="B96" s="21" t="str">
        <v>NYCS IV</v>
      </c>
      <c r="C96" s="81">
        <f ca="1">SUM(Jul!C96, Aug!C96, Sep!C96)</f>
        <v>0</v>
      </c>
      <c r="D96" s="50">
        <f ca="1">SUM(Jul!D96, Aug!D96, Sep!D96)</f>
        <v>0</v>
      </c>
      <c r="E96" s="50">
        <f t="shared" ca="1" si="5"/>
        <v>0</v>
      </c>
      <c r="F96" s="51">
        <f t="shared" ca="1" si="6"/>
        <v>0</v>
      </c>
      <c r="G96" s="52">
        <f ca="1">SUM(Jul!G96, Aug!G96, Sep!G96)</f>
        <v>0</v>
      </c>
      <c r="H96" s="52">
        <f t="shared" ca="1" si="7"/>
        <v>0</v>
      </c>
      <c r="I96" s="53">
        <f t="shared" ca="1" si="8"/>
        <v>0</v>
      </c>
    </row>
    <row r="97" spans="1:9" ht="15.75">
      <c r="A97" s="63" t="str">
        <v>Glen Mary 2</v>
      </c>
      <c r="B97" s="64" t="str">
        <v>NYCS IV</v>
      </c>
      <c r="C97" s="81">
        <f ca="1">SUM(Jul!C97, Aug!C97, Sep!C97)</f>
        <v>0</v>
      </c>
      <c r="D97" s="50">
        <f ca="1">SUM(Jul!D97, Aug!D97, Sep!D97)</f>
        <v>0</v>
      </c>
      <c r="E97" s="50">
        <f t="shared" ca="1" si="5"/>
        <v>0</v>
      </c>
      <c r="F97" s="51">
        <f t="shared" ca="1" si="6"/>
        <v>0</v>
      </c>
      <c r="G97" s="52">
        <f ca="1">SUM(Jul!G97, Aug!G97, Sep!G97)</f>
        <v>0</v>
      </c>
      <c r="H97" s="52">
        <f t="shared" ca="1" si="7"/>
        <v>0</v>
      </c>
      <c r="I97" s="53">
        <f t="shared" ca="1" si="8"/>
        <v>0</v>
      </c>
    </row>
    <row r="98" spans="1:9" ht="15.75">
      <c r="A98" s="59" t="str">
        <v>Telegraph 1</v>
      </c>
      <c r="B98" s="21" t="str">
        <v>NYCS IV</v>
      </c>
      <c r="C98" s="81">
        <f ca="1">SUM(Jul!C98, Aug!C98, Sep!C98)</f>
        <v>0</v>
      </c>
      <c r="D98" s="50">
        <f ca="1">SUM(Jul!D98, Aug!D98, Sep!D98)</f>
        <v>0</v>
      </c>
      <c r="E98" s="50">
        <f t="shared" ca="1" si="5"/>
        <v>0</v>
      </c>
      <c r="F98" s="51">
        <f t="shared" ca="1" si="6"/>
        <v>0</v>
      </c>
      <c r="G98" s="52">
        <f ca="1">SUM(Jul!G98, Aug!G98, Sep!G98)</f>
        <v>0</v>
      </c>
      <c r="H98" s="52">
        <f t="shared" ca="1" si="7"/>
        <v>0</v>
      </c>
      <c r="I98" s="53">
        <f t="shared" ca="1" si="8"/>
        <v>0</v>
      </c>
    </row>
    <row r="99" spans="1:9" ht="15.75">
      <c r="A99" s="63" t="str">
        <v>Telegraph 2</v>
      </c>
      <c r="B99" s="64" t="str">
        <v>NYCS IV</v>
      </c>
      <c r="C99" s="81">
        <f ca="1">SUM(Jul!C99, Aug!C99, Sep!C99)</f>
        <v>0</v>
      </c>
      <c r="D99" s="50">
        <f ca="1">SUM(Jul!D99, Aug!D99, Sep!D99)</f>
        <v>0</v>
      </c>
      <c r="E99" s="50">
        <f t="shared" ca="1" si="5"/>
        <v>0</v>
      </c>
      <c r="F99" s="51">
        <f t="shared" ca="1" si="6"/>
        <v>0</v>
      </c>
      <c r="G99" s="52">
        <f ca="1">SUM(Jul!G99, Aug!G99, Sep!G99)</f>
        <v>0</v>
      </c>
      <c r="H99" s="52">
        <f t="shared" ca="1" si="7"/>
        <v>0</v>
      </c>
      <c r="I99" s="53">
        <f t="shared" ca="1" si="8"/>
        <v>0</v>
      </c>
    </row>
    <row r="100" spans="1:9" ht="15.75">
      <c r="A100" s="59" t="str">
        <v>Cafferty Hill</v>
      </c>
      <c r="B100" s="21" t="str">
        <v>NYCS V</v>
      </c>
      <c r="C100" s="81">
        <f ca="1">SUM(Jul!C100, Aug!C100, Sep!C100)</f>
        <v>0</v>
      </c>
      <c r="D100" s="50">
        <f ca="1">SUM(Jul!D100, Aug!D100, Sep!D100)</f>
        <v>0</v>
      </c>
      <c r="E100" s="50">
        <f t="shared" ca="1" si="5"/>
        <v>0</v>
      </c>
      <c r="F100" s="51">
        <f t="shared" ca="1" si="6"/>
        <v>0</v>
      </c>
      <c r="G100" s="52">
        <f ca="1">SUM(Jul!G100, Aug!G100, Sep!G100)</f>
        <v>0</v>
      </c>
      <c r="H100" s="52">
        <f t="shared" ca="1" si="7"/>
        <v>0</v>
      </c>
      <c r="I100" s="53">
        <f t="shared" ca="1" si="8"/>
        <v>0</v>
      </c>
    </row>
    <row r="101" spans="1:9" ht="15.75">
      <c r="A101" s="63" t="str">
        <v>Dunkleman</v>
      </c>
      <c r="B101" s="64" t="str">
        <v>NYCS V</v>
      </c>
      <c r="C101" s="81">
        <f ca="1">SUM(Jul!C101, Aug!C101, Sep!C101)</f>
        <v>0</v>
      </c>
      <c r="D101" s="50">
        <f ca="1">SUM(Jul!D101, Aug!D101, Sep!D101)</f>
        <v>0</v>
      </c>
      <c r="E101" s="50">
        <f t="shared" ca="1" si="5"/>
        <v>0</v>
      </c>
      <c r="F101" s="51">
        <f t="shared" ca="1" si="6"/>
        <v>0</v>
      </c>
      <c r="G101" s="52">
        <f ca="1">SUM(Jul!G101, Aug!G101, Sep!G101)</f>
        <v>0</v>
      </c>
      <c r="H101" s="52">
        <f t="shared" ca="1" si="7"/>
        <v>0</v>
      </c>
      <c r="I101" s="53">
        <f t="shared" ca="1" si="8"/>
        <v>0</v>
      </c>
    </row>
    <row r="102" spans="1:9" ht="15.75">
      <c r="A102" s="59" t="str">
        <v>Route 19 1</v>
      </c>
      <c r="B102" s="21" t="str">
        <v>NYCS V</v>
      </c>
      <c r="C102" s="81">
        <f ca="1">SUM(Jul!C102, Aug!C102, Sep!C102)</f>
        <v>0</v>
      </c>
      <c r="D102" s="50">
        <f ca="1">SUM(Jul!D102, Aug!D102, Sep!D102)</f>
        <v>0</v>
      </c>
      <c r="E102" s="50">
        <f t="shared" ca="1" si="5"/>
        <v>0</v>
      </c>
      <c r="F102" s="51">
        <f t="shared" ca="1" si="6"/>
        <v>0</v>
      </c>
      <c r="G102" s="52">
        <f ca="1">SUM(Jul!G102, Aug!G102, Sep!G102)</f>
        <v>0</v>
      </c>
      <c r="H102" s="52">
        <f t="shared" ca="1" si="7"/>
        <v>0</v>
      </c>
      <c r="I102" s="53">
        <f t="shared" ca="1" si="8"/>
        <v>0</v>
      </c>
    </row>
    <row r="103" spans="1:9" ht="15.75">
      <c r="A103" s="63" t="str">
        <v>Route 19 2</v>
      </c>
      <c r="B103" s="64" t="str">
        <v>NYCS V</v>
      </c>
      <c r="C103" s="81">
        <f ca="1">SUM(Jul!C103, Aug!C103, Sep!C103)</f>
        <v>0</v>
      </c>
      <c r="D103" s="50">
        <f ca="1">SUM(Jul!D103, Aug!D103, Sep!D103)</f>
        <v>0</v>
      </c>
      <c r="E103" s="50">
        <f t="shared" ca="1" si="5"/>
        <v>0</v>
      </c>
      <c r="F103" s="51">
        <f t="shared" ca="1" si="6"/>
        <v>0</v>
      </c>
      <c r="G103" s="52">
        <f ca="1">SUM(Jul!G103, Aug!G103, Sep!G103)</f>
        <v>0</v>
      </c>
      <c r="H103" s="52">
        <f t="shared" ca="1" si="7"/>
        <v>0</v>
      </c>
      <c r="I103" s="53">
        <f t="shared" ca="1" si="8"/>
        <v>0</v>
      </c>
    </row>
    <row r="104" spans="1:9" ht="15.75">
      <c r="A104" s="59" t="str">
        <v>Yellow Mills 1</v>
      </c>
      <c r="B104" s="21" t="str">
        <v>NYCS V</v>
      </c>
      <c r="C104" s="81">
        <f ca="1">SUM(Jul!C104, Aug!C104, Sep!C104)</f>
        <v>0</v>
      </c>
      <c r="D104" s="50">
        <f ca="1">SUM(Jul!D104, Aug!D104, Sep!D104)</f>
        <v>0</v>
      </c>
      <c r="E104" s="50">
        <f t="shared" ca="1" si="5"/>
        <v>0</v>
      </c>
      <c r="F104" s="51">
        <f t="shared" ca="1" si="6"/>
        <v>0</v>
      </c>
      <c r="G104" s="52">
        <f ca="1">SUM(Jul!G104, Aug!G104, Sep!G104)</f>
        <v>0</v>
      </c>
      <c r="H104" s="52">
        <f t="shared" ca="1" si="7"/>
        <v>0</v>
      </c>
      <c r="I104" s="53">
        <f t="shared" ca="1" si="8"/>
        <v>0</v>
      </c>
    </row>
    <row r="105" spans="1:9" ht="15.75">
      <c r="A105" s="63" t="str">
        <v>Yellow Mills 2</v>
      </c>
      <c r="B105" s="64" t="str">
        <v>NYCS V</v>
      </c>
      <c r="C105" s="81">
        <f ca="1">SUM(Jul!C105, Aug!C105, Sep!C105)</f>
        <v>0</v>
      </c>
      <c r="D105" s="50">
        <f ca="1">SUM(Jul!D105, Aug!D105, Sep!D105)</f>
        <v>0</v>
      </c>
      <c r="E105" s="50">
        <f t="shared" ca="1" si="5"/>
        <v>0</v>
      </c>
      <c r="F105" s="51">
        <f t="shared" ca="1" si="6"/>
        <v>0</v>
      </c>
      <c r="G105" s="52">
        <f ca="1">SUM(Jul!G105, Aug!G105, Sep!G105)</f>
        <v>0</v>
      </c>
      <c r="H105" s="52">
        <f t="shared" ca="1" si="7"/>
        <v>0</v>
      </c>
      <c r="I105" s="53">
        <f t="shared" ca="1" si="8"/>
        <v>0</v>
      </c>
    </row>
    <row r="106" spans="1:9" ht="15.75">
      <c r="A106" s="59" t="str">
        <v>Yellow Mills 3</v>
      </c>
      <c r="B106" s="21" t="str">
        <v>NYCS V</v>
      </c>
      <c r="C106" s="81">
        <f ca="1">SUM(Jul!C106, Aug!C106, Sep!C106)</f>
        <v>0</v>
      </c>
      <c r="D106" s="50">
        <f ca="1">SUM(Jul!D106, Aug!D106, Sep!D106)</f>
        <v>0</v>
      </c>
      <c r="E106" s="50">
        <f t="shared" ca="1" si="5"/>
        <v>0</v>
      </c>
      <c r="F106" s="51">
        <f t="shared" ca="1" si="6"/>
        <v>0</v>
      </c>
      <c r="G106" s="52">
        <f ca="1">SUM(Jul!G106, Aug!G106, Sep!G106)</f>
        <v>0</v>
      </c>
      <c r="H106" s="52">
        <f t="shared" ca="1" si="7"/>
        <v>0</v>
      </c>
      <c r="I106" s="53">
        <f t="shared" ca="1" si="8"/>
        <v>0</v>
      </c>
    </row>
    <row r="107" spans="1:9" ht="15.75">
      <c r="A107" s="63" t="str">
        <v>Catskill</v>
      </c>
      <c r="B107" s="64" t="str">
        <v>NYCS VI</v>
      </c>
      <c r="C107" s="81">
        <f ca="1">SUM(Jul!C107, Aug!C107, Sep!C107)</f>
        <v>0</v>
      </c>
      <c r="D107" s="50">
        <f ca="1">SUM(Jul!D107, Aug!D107, Sep!D107)</f>
        <v>0</v>
      </c>
      <c r="E107" s="50">
        <f t="shared" ca="1" si="5"/>
        <v>0</v>
      </c>
      <c r="F107" s="51">
        <f t="shared" ca="1" si="6"/>
        <v>0</v>
      </c>
      <c r="G107" s="52">
        <f ca="1">SUM(Jul!G107, Aug!G107, Sep!G107)</f>
        <v>0</v>
      </c>
      <c r="H107" s="52">
        <f t="shared" ca="1" si="7"/>
        <v>0</v>
      </c>
      <c r="I107" s="53">
        <f t="shared" ca="1" si="8"/>
        <v>0</v>
      </c>
    </row>
    <row r="108" spans="1:9" ht="15.75">
      <c r="A108" s="59" t="str">
        <v>Eddy Ridge</v>
      </c>
      <c r="B108" s="21" t="str">
        <v>NYCS VI</v>
      </c>
      <c r="C108" s="81">
        <f ca="1">SUM(Jul!C108, Aug!C108, Sep!C108)</f>
        <v>0</v>
      </c>
      <c r="D108" s="50">
        <f ca="1">SUM(Jul!D108, Aug!D108, Sep!D108)</f>
        <v>0</v>
      </c>
      <c r="E108" s="50">
        <f t="shared" ca="1" si="5"/>
        <v>0</v>
      </c>
      <c r="F108" s="51">
        <f t="shared" ca="1" si="6"/>
        <v>0</v>
      </c>
      <c r="G108" s="52">
        <f ca="1">SUM(Jul!G108, Aug!G108, Sep!G108)</f>
        <v>0</v>
      </c>
      <c r="H108" s="52">
        <f t="shared" ca="1" si="7"/>
        <v>0</v>
      </c>
      <c r="I108" s="53">
        <f t="shared" ca="1" si="8"/>
        <v>0</v>
      </c>
    </row>
    <row r="109" spans="1:9" ht="15.75">
      <c r="A109" s="63" t="str">
        <v>Ridgeway #1</v>
      </c>
      <c r="B109" s="64" t="str">
        <v>NYCS VI</v>
      </c>
      <c r="C109" s="81">
        <f ca="1">SUM(Jul!C109, Aug!C109, Sep!C109)</f>
        <v>0</v>
      </c>
      <c r="D109" s="50">
        <f ca="1">SUM(Jul!D109, Aug!D109, Sep!D109)</f>
        <v>0</v>
      </c>
      <c r="E109" s="50">
        <f t="shared" ca="1" si="5"/>
        <v>0</v>
      </c>
      <c r="F109" s="51">
        <f t="shared" ca="1" si="6"/>
        <v>0</v>
      </c>
      <c r="G109" s="52">
        <f ca="1">SUM(Jul!G109, Aug!G109, Sep!G109)</f>
        <v>0</v>
      </c>
      <c r="H109" s="52">
        <f t="shared" ca="1" si="7"/>
        <v>0</v>
      </c>
      <c r="I109" s="53">
        <f t="shared" ca="1" si="8"/>
        <v>0</v>
      </c>
    </row>
    <row r="110" spans="1:9" ht="15.75">
      <c r="A110" s="59" t="str">
        <v>Rivard 1</v>
      </c>
      <c r="B110" s="21" t="str">
        <v>NYCS VI</v>
      </c>
      <c r="C110" s="81">
        <f ca="1">SUM(Jul!C110, Aug!C110, Sep!C110)</f>
        <v>0</v>
      </c>
      <c r="D110" s="50">
        <f ca="1">SUM(Jul!D110, Aug!D110, Sep!D110)</f>
        <v>0</v>
      </c>
      <c r="E110" s="50">
        <f t="shared" ca="1" si="5"/>
        <v>0</v>
      </c>
      <c r="F110" s="51">
        <f t="shared" ca="1" si="6"/>
        <v>0</v>
      </c>
      <c r="G110" s="52">
        <f ca="1">SUM(Jul!G110, Aug!G110, Sep!G110)</f>
        <v>0</v>
      </c>
      <c r="H110" s="52">
        <f t="shared" ca="1" si="7"/>
        <v>0</v>
      </c>
      <c r="I110" s="53">
        <f t="shared" ca="1" si="8"/>
        <v>0</v>
      </c>
    </row>
    <row r="111" spans="1:9" ht="15.75">
      <c r="A111" s="63" t="str">
        <v>Rivard 2</v>
      </c>
      <c r="B111" s="64" t="str">
        <v>NYCS VI</v>
      </c>
      <c r="C111" s="81">
        <f ca="1">SUM(Jul!C111, Aug!C111, Sep!C111)</f>
        <v>0</v>
      </c>
      <c r="D111" s="50">
        <f ca="1">SUM(Jul!D111, Aug!D111, Sep!D111)</f>
        <v>0</v>
      </c>
      <c r="E111" s="50">
        <f t="shared" ca="1" si="5"/>
        <v>0</v>
      </c>
      <c r="F111" s="51">
        <f t="shared" ca="1" si="6"/>
        <v>0</v>
      </c>
      <c r="G111" s="52">
        <f ca="1">SUM(Jul!G111, Aug!G111, Sep!G111)</f>
        <v>0</v>
      </c>
      <c r="H111" s="52">
        <f t="shared" ca="1" si="7"/>
        <v>0</v>
      </c>
      <c r="I111" s="53">
        <f t="shared" ca="1" si="8"/>
        <v>0</v>
      </c>
    </row>
    <row r="112" spans="1:9" ht="15.75">
      <c r="A112" s="59" t="str">
        <v>Essex</v>
      </c>
      <c r="B112" s="21" t="str">
        <v>Opportunity</v>
      </c>
      <c r="C112" s="81">
        <f ca="1">SUM(Jul!C112, Aug!C112, Sep!C112)</f>
        <v>0</v>
      </c>
      <c r="D112" s="50">
        <f ca="1">SUM(Jul!D112, Aug!D112, Sep!D112)</f>
        <v>0</v>
      </c>
      <c r="E112" s="50">
        <f t="shared" ca="1" si="5"/>
        <v>0</v>
      </c>
      <c r="F112" s="51">
        <f t="shared" ca="1" si="6"/>
        <v>0</v>
      </c>
      <c r="G112" s="52">
        <f ca="1">SUM(Jul!G112, Aug!G112, Sep!G112)</f>
        <v>0</v>
      </c>
      <c r="H112" s="52">
        <f t="shared" ca="1" si="7"/>
        <v>0</v>
      </c>
      <c r="I112" s="53">
        <f t="shared" ca="1" si="8"/>
        <v>0</v>
      </c>
    </row>
    <row r="113" spans="1:9" ht="15.75">
      <c r="A113" s="63" t="str">
        <v>Temple Sinai</v>
      </c>
      <c r="B113" s="64" t="str">
        <v>Opportunity</v>
      </c>
      <c r="C113" s="81">
        <f ca="1">SUM(Jul!C113, Aug!C113, Sep!C113)</f>
        <v>0</v>
      </c>
      <c r="D113" s="50">
        <f ca="1">SUM(Jul!D113, Aug!D113, Sep!D113)</f>
        <v>0</v>
      </c>
      <c r="E113" s="50">
        <f t="shared" ca="1" si="5"/>
        <v>0</v>
      </c>
      <c r="F113" s="51">
        <f t="shared" ca="1" si="6"/>
        <v>0</v>
      </c>
      <c r="G113" s="52">
        <f ca="1">SUM(Jul!G113, Aug!G113, Sep!G113)</f>
        <v>0</v>
      </c>
      <c r="H113" s="52">
        <f t="shared" ca="1" si="7"/>
        <v>0</v>
      </c>
      <c r="I113" s="53">
        <f t="shared" ca="1" si="8"/>
        <v>0</v>
      </c>
    </row>
    <row r="114" spans="1:9" ht="15.75">
      <c r="A114" s="59" t="str">
        <v>Weinberg 1</v>
      </c>
      <c r="B114" s="21" t="str">
        <v>Opportunity</v>
      </c>
      <c r="C114" s="81">
        <f ca="1">SUM(Jul!C114, Aug!C114, Sep!C114)</f>
        <v>0</v>
      </c>
      <c r="D114" s="50">
        <f ca="1">SUM(Jul!D114, Aug!D114, Sep!D114)</f>
        <v>0</v>
      </c>
      <c r="E114" s="50">
        <f t="shared" ca="1" si="5"/>
        <v>0</v>
      </c>
      <c r="F114" s="51">
        <f t="shared" ca="1" si="6"/>
        <v>0</v>
      </c>
      <c r="G114" s="52">
        <f ca="1">SUM(Jul!G114, Aug!G114, Sep!G114)</f>
        <v>0</v>
      </c>
      <c r="H114" s="52">
        <f t="shared" ca="1" si="7"/>
        <v>0</v>
      </c>
      <c r="I114" s="53">
        <f t="shared" ca="1" si="8"/>
        <v>0</v>
      </c>
    </row>
    <row r="115" spans="1:9" ht="15.75">
      <c r="A115" s="63" t="str">
        <v>Weinberg 2</v>
      </c>
      <c r="B115" s="64" t="str">
        <v>Opportunity</v>
      </c>
      <c r="C115" s="81">
        <f ca="1">SUM(Jul!C115, Aug!C115, Sep!C115)</f>
        <v>0</v>
      </c>
      <c r="D115" s="50">
        <f ca="1">SUM(Jul!D115, Aug!D115, Sep!D115)</f>
        <v>0</v>
      </c>
      <c r="E115" s="50">
        <f t="shared" ca="1" si="5"/>
        <v>0</v>
      </c>
      <c r="F115" s="51">
        <f t="shared" ca="1" si="6"/>
        <v>0</v>
      </c>
      <c r="G115" s="52">
        <f ca="1">SUM(Jul!G115, Aug!G115, Sep!G115)</f>
        <v>0</v>
      </c>
      <c r="H115" s="52">
        <f t="shared" ca="1" si="7"/>
        <v>0</v>
      </c>
      <c r="I115" s="53">
        <f t="shared" ca="1" si="8"/>
        <v>0</v>
      </c>
    </row>
    <row r="116" spans="1:9" ht="15.75">
      <c r="A116" s="59" t="str">
        <v>Weinberg 3</v>
      </c>
      <c r="B116" s="21" t="str">
        <v>Opportunity</v>
      </c>
      <c r="C116" s="81">
        <f ca="1">SUM(Jul!C116, Aug!C116, Sep!C116)</f>
        <v>0</v>
      </c>
      <c r="D116" s="50">
        <f ca="1">SUM(Jul!D116, Aug!D116, Sep!D116)</f>
        <v>0</v>
      </c>
      <c r="E116" s="50">
        <f t="shared" ca="1" si="5"/>
        <v>0</v>
      </c>
      <c r="F116" s="51">
        <f t="shared" ca="1" si="6"/>
        <v>0</v>
      </c>
      <c r="G116" s="52">
        <f ca="1">SUM(Jul!G116, Aug!G116, Sep!G116)</f>
        <v>0</v>
      </c>
      <c r="H116" s="52">
        <f t="shared" ca="1" si="7"/>
        <v>0</v>
      </c>
      <c r="I116" s="53">
        <f t="shared" ca="1" si="8"/>
        <v>0</v>
      </c>
    </row>
    <row r="117" spans="1:9" ht="15.75">
      <c r="A117" s="63" t="str">
        <v>Clayton Hall</v>
      </c>
      <c r="B117" s="64" t="str">
        <v>Opportunity</v>
      </c>
      <c r="C117" s="81">
        <f ca="1">SUM(Jul!C117, Aug!C117, Sep!C117)</f>
        <v>0</v>
      </c>
      <c r="D117" s="50">
        <f ca="1">SUM(Jul!D117, Aug!D117, Sep!D117)</f>
        <v>0</v>
      </c>
      <c r="E117" s="50">
        <f t="shared" ca="1" si="5"/>
        <v>0</v>
      </c>
      <c r="F117" s="51">
        <f t="shared" ca="1" si="6"/>
        <v>0</v>
      </c>
      <c r="G117" s="52">
        <f ca="1">SUM(Jul!G117, Aug!G117, Sep!G117)</f>
        <v>0</v>
      </c>
      <c r="H117" s="52">
        <f t="shared" ca="1" si="7"/>
        <v>0</v>
      </c>
      <c r="I117" s="53">
        <f t="shared" ca="1" si="8"/>
        <v>0</v>
      </c>
    </row>
    <row r="118" spans="1:9" ht="15.75">
      <c r="A118" s="59" t="str">
        <v>Field House</v>
      </c>
      <c r="B118" s="21" t="str">
        <v>Opportunity</v>
      </c>
      <c r="C118" s="81">
        <f ca="1">SUM(Jul!C118, Aug!C118, Sep!C118)</f>
        <v>0</v>
      </c>
      <c r="D118" s="50">
        <f ca="1">SUM(Jul!D118, Aug!D118, Sep!D118)</f>
        <v>0</v>
      </c>
      <c r="E118" s="50">
        <f t="shared" ca="1" si="5"/>
        <v>0</v>
      </c>
      <c r="F118" s="51">
        <f t="shared" ca="1" si="6"/>
        <v>0</v>
      </c>
      <c r="G118" s="52">
        <f ca="1">SUM(Jul!G118, Aug!G118, Sep!G118)</f>
        <v>0</v>
      </c>
      <c r="H118" s="52">
        <f t="shared" ca="1" si="7"/>
        <v>0</v>
      </c>
      <c r="I118" s="53">
        <f t="shared" ca="1" si="8"/>
        <v>0</v>
      </c>
    </row>
    <row r="119" spans="1:9" ht="15.75">
      <c r="A119" s="63" t="str">
        <v>Wyoming Road</v>
      </c>
      <c r="B119" s="64" t="str">
        <v>Opportunity</v>
      </c>
      <c r="C119" s="81">
        <f ca="1">SUM(Jul!C119, Aug!C119, Sep!C119)</f>
        <v>0</v>
      </c>
      <c r="D119" s="50">
        <f ca="1">SUM(Jul!D119, Aug!D119, Sep!D119)</f>
        <v>0</v>
      </c>
      <c r="E119" s="50">
        <f t="shared" ca="1" si="5"/>
        <v>0</v>
      </c>
      <c r="F119" s="51">
        <f t="shared" ca="1" si="6"/>
        <v>0</v>
      </c>
      <c r="G119" s="52">
        <f ca="1">SUM(Jul!G119, Aug!G119, Sep!G119)</f>
        <v>0</v>
      </c>
      <c r="H119" s="52">
        <f t="shared" ca="1" si="7"/>
        <v>0</v>
      </c>
      <c r="I119" s="53">
        <f t="shared" ca="1" si="8"/>
        <v>0</v>
      </c>
    </row>
    <row r="120" spans="1:9" ht="15.75">
      <c r="A120" s="59" t="str">
        <v>Leoku</v>
      </c>
      <c r="B120" s="21" t="str">
        <v>Opportunity</v>
      </c>
      <c r="C120" s="81">
        <f ca="1">SUM(Jul!C120, Aug!C120, Sep!C120)</f>
        <v>0</v>
      </c>
      <c r="D120" s="50">
        <f ca="1">SUM(Jul!D120, Aug!D120, Sep!D120)</f>
        <v>0</v>
      </c>
      <c r="E120" s="50">
        <f t="shared" ca="1" si="5"/>
        <v>0</v>
      </c>
      <c r="F120" s="51">
        <f t="shared" ca="1" si="6"/>
        <v>0</v>
      </c>
      <c r="G120" s="52">
        <f ca="1">SUM(Jul!G120, Aug!G120, Sep!G120)</f>
        <v>0</v>
      </c>
      <c r="H120" s="52">
        <f t="shared" ca="1" si="7"/>
        <v>0</v>
      </c>
      <c r="I120" s="53">
        <f t="shared" ca="1" si="8"/>
        <v>0</v>
      </c>
    </row>
    <row r="121" spans="1:9" ht="15.75">
      <c r="A121" s="63" t="str">
        <v>Waipahu</v>
      </c>
      <c r="B121" s="64" t="str">
        <v>Opportunity</v>
      </c>
      <c r="C121" s="81">
        <f ca="1">SUM(Jul!C121, Aug!C121, Sep!C121)</f>
        <v>0</v>
      </c>
      <c r="D121" s="50">
        <f ca="1">SUM(Jul!D121, Aug!D121, Sep!D121)</f>
        <v>0</v>
      </c>
      <c r="E121" s="50">
        <f t="shared" ca="1" si="5"/>
        <v>0</v>
      </c>
      <c r="F121" s="51">
        <f t="shared" ca="1" si="6"/>
        <v>0</v>
      </c>
      <c r="G121" s="52">
        <f ca="1">SUM(Jul!G121, Aug!G121, Sep!G121)</f>
        <v>0</v>
      </c>
      <c r="H121" s="52">
        <f t="shared" ca="1" si="7"/>
        <v>0</v>
      </c>
      <c r="I121" s="53">
        <f t="shared" ca="1" si="8"/>
        <v>0</v>
      </c>
    </row>
    <row r="122" spans="1:9" ht="15.75">
      <c r="A122" s="59" t="str">
        <v>Bird in Hand</v>
      </c>
      <c r="B122" s="21" t="str">
        <v>Opportunity</v>
      </c>
      <c r="C122" s="81">
        <f ca="1">SUM(Jul!C122, Aug!C122, Sep!C122)</f>
        <v>0</v>
      </c>
      <c r="D122" s="50">
        <f ca="1">SUM(Jul!D122, Aug!D122, Sep!D122)</f>
        <v>0</v>
      </c>
      <c r="E122" s="50">
        <f t="shared" ca="1" si="5"/>
        <v>0</v>
      </c>
      <c r="F122" s="51">
        <f t="shared" ca="1" si="6"/>
        <v>0</v>
      </c>
      <c r="G122" s="52">
        <f ca="1">SUM(Jul!G122, Aug!G122, Sep!G122)</f>
        <v>0</v>
      </c>
      <c r="H122" s="52">
        <f t="shared" ca="1" si="7"/>
        <v>0</v>
      </c>
      <c r="I122" s="53">
        <f t="shared" ca="1" si="8"/>
        <v>0</v>
      </c>
    </row>
    <row r="123" spans="1:9" ht="15.75">
      <c r="A123" s="63" t="str">
        <v>Shortal</v>
      </c>
      <c r="B123" s="64" t="str">
        <v>Opportunity</v>
      </c>
      <c r="C123" s="81">
        <f ca="1">SUM(Jul!C123, Aug!C123, Sep!C123)</f>
        <v>0</v>
      </c>
      <c r="D123" s="50">
        <f ca="1">SUM(Jul!D123, Aug!D123, Sep!D123)</f>
        <v>0</v>
      </c>
      <c r="E123" s="50">
        <f t="shared" ca="1" si="5"/>
        <v>0</v>
      </c>
      <c r="F123" s="51">
        <f t="shared" ca="1" si="6"/>
        <v>0</v>
      </c>
      <c r="G123" s="52">
        <f ca="1">SUM(Jul!G123, Aug!G123, Sep!G123)</f>
        <v>0</v>
      </c>
      <c r="H123" s="52">
        <f t="shared" ca="1" si="7"/>
        <v>0</v>
      </c>
      <c r="I123" s="53">
        <f t="shared" ca="1" si="8"/>
        <v>0</v>
      </c>
    </row>
    <row r="124" spans="1:9" ht="15.75">
      <c r="A124" s="59" t="str">
        <v>Aguadilla</v>
      </c>
      <c r="B124" s="21" t="str">
        <v>Opportunity</v>
      </c>
      <c r="C124" s="81">
        <f ca="1">SUM(Jul!C124, Aug!C124, Sep!C124)</f>
        <v>0</v>
      </c>
      <c r="D124" s="50">
        <f ca="1">SUM(Jul!D124, Aug!D124, Sep!D124)</f>
        <v>0</v>
      </c>
      <c r="E124" s="50">
        <f t="shared" ca="1" si="5"/>
        <v>0</v>
      </c>
      <c r="F124" s="51">
        <f t="shared" ca="1" si="6"/>
        <v>0</v>
      </c>
      <c r="G124" s="52">
        <f ca="1">SUM(Jul!G124, Aug!G124, Sep!G124)</f>
        <v>0</v>
      </c>
      <c r="H124" s="52">
        <f t="shared" ca="1" si="7"/>
        <v>0</v>
      </c>
      <c r="I124" s="53">
        <f t="shared" ca="1" si="8"/>
        <v>0</v>
      </c>
    </row>
    <row r="125" spans="1:9" ht="15.75">
      <c r="A125" s="63" t="str">
        <v>Bayamon</v>
      </c>
      <c r="B125" s="64" t="str">
        <v>Opportunity</v>
      </c>
      <c r="C125" s="81">
        <f ca="1">SUM(Jul!C125, Aug!C125, Sep!C125)</f>
        <v>0</v>
      </c>
      <c r="D125" s="50">
        <f ca="1">SUM(Jul!D125, Aug!D125, Sep!D125)</f>
        <v>0</v>
      </c>
      <c r="E125" s="50">
        <f t="shared" ca="1" si="5"/>
        <v>0</v>
      </c>
      <c r="F125" s="51">
        <f t="shared" ca="1" si="6"/>
        <v>0</v>
      </c>
      <c r="G125" s="52">
        <f ca="1">SUM(Jul!G125, Aug!G125, Sep!G125)</f>
        <v>0</v>
      </c>
      <c r="H125" s="52">
        <f t="shared" ca="1" si="7"/>
        <v>0</v>
      </c>
      <c r="I125" s="53">
        <f t="shared" ca="1" si="8"/>
        <v>0</v>
      </c>
    </row>
    <row r="126" spans="1:9" ht="15.75">
      <c r="A126" s="59" t="str">
        <v>St Francis</v>
      </c>
      <c r="B126" s="21" t="str">
        <v>Opportunity</v>
      </c>
      <c r="C126" s="81">
        <f ca="1">SUM(Jul!C126, Aug!C126, Sep!C126)</f>
        <v>0</v>
      </c>
      <c r="D126" s="50">
        <f ca="1">SUM(Jul!D126, Aug!D126, Sep!D126)</f>
        <v>0</v>
      </c>
      <c r="E126" s="50">
        <f t="shared" ca="1" si="5"/>
        <v>0</v>
      </c>
      <c r="F126" s="51">
        <f t="shared" ca="1" si="6"/>
        <v>0</v>
      </c>
      <c r="G126" s="52">
        <f ca="1">SUM(Jul!G126, Aug!G126, Sep!G126)</f>
        <v>0</v>
      </c>
      <c r="H126" s="52">
        <f t="shared" ca="1" si="7"/>
        <v>0</v>
      </c>
      <c r="I126" s="53">
        <f t="shared" ca="1" si="8"/>
        <v>0</v>
      </c>
    </row>
    <row r="127" spans="1:9" ht="15.75">
      <c r="A127" s="63" t="str">
        <v>Seaport</v>
      </c>
      <c r="B127" s="64" t="str">
        <v>Sunraise</v>
      </c>
      <c r="C127" s="81">
        <f ca="1">SUM(Jul!C127, Aug!C127, Sep!C127)</f>
        <v>0</v>
      </c>
      <c r="D127" s="50">
        <f ca="1">SUM(Jul!D127, Aug!D127, Sep!D127)</f>
        <v>0</v>
      </c>
      <c r="E127" s="50">
        <f t="shared" ca="1" si="5"/>
        <v>0</v>
      </c>
      <c r="F127" s="51">
        <f t="shared" ca="1" si="6"/>
        <v>0</v>
      </c>
      <c r="G127" s="52">
        <f ca="1">SUM(Jul!G127, Aug!G127, Sep!G127)</f>
        <v>0</v>
      </c>
      <c r="H127" s="52">
        <f t="shared" ca="1" si="7"/>
        <v>0</v>
      </c>
      <c r="I127" s="53">
        <f t="shared" ca="1" si="8"/>
        <v>0</v>
      </c>
    </row>
    <row r="128" spans="1:9" ht="15.75">
      <c r="A128" s="59" t="str">
        <v>Sprague St</v>
      </c>
      <c r="B128" s="21" t="str">
        <v>Sunraise</v>
      </c>
      <c r="C128" s="81">
        <f ca="1">SUM(Jul!C128, Aug!C128, Sep!C128)</f>
        <v>0</v>
      </c>
      <c r="D128" s="50">
        <f ca="1">SUM(Jul!D128, Aug!D128, Sep!D128)</f>
        <v>0</v>
      </c>
      <c r="E128" s="50">
        <f t="shared" ca="1" si="5"/>
        <v>0</v>
      </c>
      <c r="F128" s="51">
        <f t="shared" ca="1" si="6"/>
        <v>0</v>
      </c>
      <c r="G128" s="52">
        <f ca="1">SUM(Jul!G128, Aug!G128, Sep!G128)</f>
        <v>0</v>
      </c>
      <c r="H128" s="52">
        <f t="shared" ca="1" si="7"/>
        <v>0</v>
      </c>
      <c r="I128" s="53">
        <f t="shared" ca="1" si="8"/>
        <v>0</v>
      </c>
    </row>
    <row r="129" spans="1:9" ht="15.75">
      <c r="A129" s="63" t="str">
        <v>Summer St</v>
      </c>
      <c r="B129" s="64" t="str">
        <v>Sunraise</v>
      </c>
      <c r="C129" s="81">
        <f ca="1">SUM(Jul!C129, Aug!C129, Sep!C129)</f>
        <v>0</v>
      </c>
      <c r="D129" s="50">
        <f ca="1">SUM(Jul!D129, Aug!D129, Sep!D129)</f>
        <v>0</v>
      </c>
      <c r="E129" s="50">
        <f t="shared" ca="1" si="5"/>
        <v>0</v>
      </c>
      <c r="F129" s="51">
        <f t="shared" ca="1" si="6"/>
        <v>0</v>
      </c>
      <c r="G129" s="52">
        <f ca="1">SUM(Jul!G129, Aug!G129, Sep!G129)</f>
        <v>0</v>
      </c>
      <c r="H129" s="52">
        <f t="shared" ca="1" si="7"/>
        <v>0</v>
      </c>
      <c r="I129" s="53">
        <f t="shared" ca="1" si="8"/>
        <v>0</v>
      </c>
    </row>
    <row r="130" spans="1:9" ht="15.75">
      <c r="A130" s="59" t="str">
        <v>Brock St Vocational</v>
      </c>
      <c r="B130" s="21" t="str">
        <v>Sunraise</v>
      </c>
      <c r="C130" s="81">
        <f ca="1">SUM(Jul!C130, Aug!C130, Sep!C130)</f>
        <v>0</v>
      </c>
      <c r="D130" s="50">
        <f ca="1">SUM(Jul!D130, Aug!D130, Sep!D130)</f>
        <v>0</v>
      </c>
      <c r="E130" s="50">
        <f t="shared" ca="1" si="5"/>
        <v>0</v>
      </c>
      <c r="F130" s="51">
        <f t="shared" ca="1" si="6"/>
        <v>0</v>
      </c>
      <c r="G130" s="52">
        <f ca="1">SUM(Jul!G130, Aug!G130, Sep!G130)</f>
        <v>0</v>
      </c>
      <c r="H130" s="52">
        <f t="shared" ca="1" si="7"/>
        <v>0</v>
      </c>
      <c r="I130" s="53">
        <f t="shared" ca="1" si="8"/>
        <v>0</v>
      </c>
    </row>
    <row r="131" spans="1:9" ht="15.75">
      <c r="A131" s="63" t="str">
        <v>McClelland ES</v>
      </c>
      <c r="B131" s="64" t="str">
        <v>Sunraise</v>
      </c>
      <c r="C131" s="81">
        <f ca="1">SUM(Jul!C131, Aug!C131, Sep!C131)</f>
        <v>0</v>
      </c>
      <c r="D131" s="50">
        <f ca="1">SUM(Jul!D131, Aug!D131, Sep!D131)</f>
        <v>0</v>
      </c>
      <c r="E131" s="50">
        <f t="shared" ca="1" si="5"/>
        <v>0</v>
      </c>
      <c r="F131" s="51">
        <f t="shared" ca="1" si="6"/>
        <v>0</v>
      </c>
      <c r="G131" s="52">
        <f ca="1">SUM(Jul!G131, Aug!G131, Sep!G131)</f>
        <v>0</v>
      </c>
      <c r="H131" s="52">
        <f t="shared" ca="1" si="7"/>
        <v>0</v>
      </c>
      <c r="I131" s="53">
        <f t="shared" ca="1" si="8"/>
        <v>0</v>
      </c>
    </row>
    <row r="132" spans="1:9" ht="15.75">
      <c r="A132" s="59" t="str">
        <v>Portland St</v>
      </c>
      <c r="B132" s="21" t="str">
        <v>Sunraise</v>
      </c>
      <c r="C132" s="81">
        <f ca="1">SUM(Jul!C132, Aug!C132, Sep!C132)</f>
        <v>0</v>
      </c>
      <c r="D132" s="50">
        <f ca="1">SUM(Jul!D132, Aug!D132, Sep!D132)</f>
        <v>0</v>
      </c>
      <c r="E132" s="50">
        <f t="shared" ref="E132:E136" ca="1" si="9">C132-D132</f>
        <v>0</v>
      </c>
      <c r="F132" s="51">
        <f t="shared" ref="F132:F136" ca="1" si="10">IFERROR(E132/D132, 0)</f>
        <v>0</v>
      </c>
      <c r="G132" s="52">
        <f ca="1">SUM(Jul!G132, Aug!G132, Sep!G132)</f>
        <v>0</v>
      </c>
      <c r="H132" s="52">
        <f t="shared" ref="H132:H136" ca="1" si="11">C132-G132</f>
        <v>0</v>
      </c>
      <c r="I132" s="53">
        <f t="shared" ref="I132:I136" ca="1" si="12">IFERROR(H132/G132, 0)</f>
        <v>0</v>
      </c>
    </row>
    <row r="133" spans="1:9" ht="15.75">
      <c r="A133" s="63" t="str">
        <v>Portsmouth HS</v>
      </c>
      <c r="B133" s="64" t="str">
        <v>Sunraise</v>
      </c>
      <c r="C133" s="81">
        <f ca="1">SUM(Jul!C133, Aug!C133, Sep!C133)</f>
        <v>0</v>
      </c>
      <c r="D133" s="50">
        <f ca="1">SUM(Jul!D133, Aug!D133, Sep!D133)</f>
        <v>0</v>
      </c>
      <c r="E133" s="50">
        <f t="shared" ca="1" si="9"/>
        <v>0</v>
      </c>
      <c r="F133" s="51">
        <f t="shared" ca="1" si="10"/>
        <v>0</v>
      </c>
      <c r="G133" s="52">
        <f ca="1">SUM(Jul!G133, Aug!G133, Sep!G133)</f>
        <v>0</v>
      </c>
      <c r="H133" s="52">
        <f t="shared" ca="1" si="11"/>
        <v>0</v>
      </c>
      <c r="I133" s="53">
        <f t="shared" ca="1" si="12"/>
        <v>0</v>
      </c>
    </row>
    <row r="134" spans="1:9" ht="15.75">
      <c r="A134" s="59" t="str">
        <v>Portsmouth WTP</v>
      </c>
      <c r="B134" s="21" t="str">
        <v>Sunraise</v>
      </c>
      <c r="C134" s="81">
        <f ca="1">SUM(Jul!C134, Aug!C134, Sep!C134)</f>
        <v>0</v>
      </c>
      <c r="D134" s="50">
        <f ca="1">SUM(Jul!D134, Aug!D134, Sep!D134)</f>
        <v>0</v>
      </c>
      <c r="E134" s="50">
        <f t="shared" ca="1" si="9"/>
        <v>0</v>
      </c>
      <c r="F134" s="51">
        <f t="shared" ca="1" si="10"/>
        <v>0</v>
      </c>
      <c r="G134" s="52">
        <f ca="1">SUM(Jul!G134, Aug!G134, Sep!G134)</f>
        <v>0</v>
      </c>
      <c r="H134" s="52">
        <f t="shared" ca="1" si="11"/>
        <v>0</v>
      </c>
      <c r="I134" s="53">
        <f t="shared" ca="1" si="12"/>
        <v>0</v>
      </c>
    </row>
    <row r="135" spans="1:9" ht="15.75">
      <c r="A135" s="63" t="str">
        <v>Rochester St</v>
      </c>
      <c r="B135" s="64" t="str">
        <v>Sunraise</v>
      </c>
      <c r="C135" s="81">
        <f ca="1">SUM(Jul!C135, Aug!C135, Sep!C135)</f>
        <v>0</v>
      </c>
      <c r="D135" s="50">
        <f ca="1">SUM(Jul!D135, Aug!D135, Sep!D135)</f>
        <v>0</v>
      </c>
      <c r="E135" s="50">
        <f t="shared" ca="1" si="9"/>
        <v>0</v>
      </c>
      <c r="F135" s="51">
        <f t="shared" ca="1" si="10"/>
        <v>0</v>
      </c>
      <c r="G135" s="52">
        <f ca="1">SUM(Jul!G135, Aug!G135, Sep!G135)</f>
        <v>0</v>
      </c>
      <c r="H135" s="52">
        <f t="shared" ca="1" si="11"/>
        <v>0</v>
      </c>
      <c r="I135" s="53">
        <f t="shared" ca="1" si="12"/>
        <v>0</v>
      </c>
    </row>
    <row r="136" spans="1:9" ht="15.75">
      <c r="A136" s="59" t="str">
        <v>Spaulding HS</v>
      </c>
      <c r="B136" s="21" t="str">
        <v>Sunraise</v>
      </c>
      <c r="C136" s="81">
        <f ca="1">SUM(Jul!C136, Aug!C136, Sep!C136)</f>
        <v>0</v>
      </c>
      <c r="D136" s="50">
        <f ca="1">SUM(Jul!D136, Aug!D136, Sep!D136)</f>
        <v>0</v>
      </c>
      <c r="E136" s="50">
        <f t="shared" ca="1" si="9"/>
        <v>0</v>
      </c>
      <c r="F136" s="51">
        <f t="shared" ca="1" si="10"/>
        <v>0</v>
      </c>
      <c r="G136" s="52">
        <f ca="1">SUM(Jul!G136, Aug!G136, Sep!G136)</f>
        <v>0</v>
      </c>
      <c r="H136" s="52">
        <f t="shared" ca="1" si="11"/>
        <v>0</v>
      </c>
      <c r="I136" s="53">
        <f t="shared" ca="1" si="12"/>
        <v>0</v>
      </c>
    </row>
    <row r="137" spans="1:9" ht="15">
      <c r="A137" s="156" t="s">
        <v>9</v>
      </c>
      <c r="B137" s="157"/>
      <c r="C137" s="61">
        <f ca="1">SUM(C3:C8)</f>
        <v>0</v>
      </c>
      <c r="D137" s="61">
        <f ca="1">SUM(D3:D8)</f>
        <v>0</v>
      </c>
      <c r="E137" s="61">
        <f ca="1">C137-D137</f>
        <v>0</v>
      </c>
      <c r="F137" s="54">
        <f ca="1">IFERROR(E137/D137, 0)</f>
        <v>0</v>
      </c>
      <c r="G137" s="61">
        <f ca="1">SUM(G3:G8)</f>
        <v>0</v>
      </c>
      <c r="H137" s="62">
        <f ca="1">C137-G137</f>
        <v>0</v>
      </c>
      <c r="I137" s="55">
        <f ca="1">IFERROR(H137/C137, 0)</f>
        <v>0</v>
      </c>
    </row>
    <row r="139" spans="1:9">
      <c r="A139" s="158" t="s">
        <v>10</v>
      </c>
      <c r="B139" s="158"/>
    </row>
    <row r="140" spans="1:9">
      <c r="A140" s="158"/>
      <c r="B140" s="158"/>
    </row>
    <row r="141" spans="1:9">
      <c r="A141" s="159" t="s">
        <v>11</v>
      </c>
      <c r="B141" s="159"/>
    </row>
    <row r="142" spans="1:9">
      <c r="A142" s="159"/>
      <c r="B142" s="159"/>
    </row>
  </sheetData>
  <autoFilter ref="A2:I2" xr:uid="{CACFAF7D-C0A7-49C0-9FFC-8D8BC8F00BC8}"/>
  <mergeCells count="6">
    <mergeCell ref="A137:B137"/>
    <mergeCell ref="A139:B140"/>
    <mergeCell ref="A141:B142"/>
    <mergeCell ref="C1:F1"/>
    <mergeCell ref="G1:I1"/>
    <mergeCell ref="A1:B1"/>
  </mergeCells>
  <conditionalFormatting sqref="F3:F137">
    <cfRule type="cellIs" dxfId="2190" priority="3" operator="lessThanOrEqual">
      <formula>-0.1</formula>
    </cfRule>
    <cfRule type="cellIs" dxfId="2189" priority="4" operator="greaterThanOrEqual">
      <formula>0.1</formula>
    </cfRule>
  </conditionalFormatting>
  <conditionalFormatting sqref="I3:I137">
    <cfRule type="cellIs" dxfId="2188" priority="1" operator="lessThanOrEqual">
      <formula>-0.1</formula>
    </cfRule>
    <cfRule type="cellIs" dxfId="218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42"/>
  <sheetViews>
    <sheetView workbookViewId="0">
      <pane ySplit="2" topLeftCell="A5" activePane="bottomLeft" state="frozen"/>
      <selection pane="bottomLeft" activeCell="A5" sqref="A5"/>
      <selection activeCell="L18" sqref="L18"/>
    </sheetView>
  </sheetViews>
  <sheetFormatPr defaultRowHeight="12.75"/>
  <cols>
    <col min="1" max="1" width="35.85546875" bestFit="1" customWidth="1"/>
    <col min="2" max="2" width="35.8554687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65" t="str" cm="1">
        <f t="array" ref="A1">portfolio</f>
        <v>Generate Capital</v>
      </c>
      <c r="B1" s="166"/>
      <c r="C1" s="160" t="s">
        <v>18</v>
      </c>
      <c r="D1" s="161"/>
      <c r="E1" s="161"/>
      <c r="F1" s="162"/>
      <c r="G1" s="163" t="s">
        <v>19</v>
      </c>
      <c r="H1" s="163"/>
      <c r="I1" s="164"/>
    </row>
    <row r="2" spans="1:9" ht="14.25" customHeight="1">
      <c r="A2" s="82" t="s">
        <v>2</v>
      </c>
      <c r="B2" s="82" t="s">
        <v>3</v>
      </c>
      <c r="C2" s="5" t="s">
        <v>4</v>
      </c>
      <c r="D2" s="56" t="s">
        <v>5</v>
      </c>
      <c r="E2" s="5" t="s">
        <v>6</v>
      </c>
      <c r="F2" s="6" t="s">
        <v>7</v>
      </c>
      <c r="G2" s="57" t="s">
        <v>8</v>
      </c>
      <c r="H2" s="7" t="s">
        <v>6</v>
      </c>
      <c r="I2" s="8" t="s">
        <v>7</v>
      </c>
    </row>
    <row r="3" spans="1:9" ht="15.75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81">
        <f ca="1">SUM(Oct!C3, Nov!C3, Dec!C3)</f>
        <v>0</v>
      </c>
      <c r="D3" s="50">
        <f ca="1">SUM(Oct!D3, Nov!D3, Dec!D3)</f>
        <v>0</v>
      </c>
      <c r="E3" s="50">
        <f t="shared" ref="E3:E75" ca="1" si="0">C3-D3</f>
        <v>0</v>
      </c>
      <c r="F3" s="51">
        <f ca="1">IFERROR(E3/D3, 0)</f>
        <v>0</v>
      </c>
      <c r="G3" s="52">
        <f ca="1">SUM(Oct!G3, Nov!G3, Dec!G3)</f>
        <v>0</v>
      </c>
      <c r="H3" s="52">
        <f ca="1">C3-G3</f>
        <v>0</v>
      </c>
      <c r="I3" s="53">
        <f ca="1">IFERROR(H3/G3, 0)</f>
        <v>0</v>
      </c>
    </row>
    <row r="4" spans="1:9" ht="15.75">
      <c r="A4" s="59" t="str">
        <v>Fulton</v>
      </c>
      <c r="B4" s="21" t="str">
        <v>Blue Renewables</v>
      </c>
      <c r="C4" s="81">
        <f ca="1">SUM(Oct!C4, Nov!C4, Dec!C4)</f>
        <v>0</v>
      </c>
      <c r="D4" s="50">
        <f ca="1">SUM(Oct!D4, Nov!D4, Dec!D4)</f>
        <v>0</v>
      </c>
      <c r="E4" s="50">
        <f t="shared" ref="E4:E67" ca="1" si="1">C4-D4</f>
        <v>0</v>
      </c>
      <c r="F4" s="51">
        <f t="shared" ref="F4:F67" ca="1" si="2">IFERROR(E4/D4, 0)</f>
        <v>0</v>
      </c>
      <c r="G4" s="52">
        <f ca="1">SUM(Oct!G4, Nov!G4, Dec!G4)</f>
        <v>0</v>
      </c>
      <c r="H4" s="52">
        <f t="shared" ref="H4:H67" ca="1" si="3">C4-G4</f>
        <v>0</v>
      </c>
      <c r="I4" s="53">
        <f t="shared" ref="I4:I67" ca="1" si="4">IFERROR(H4/G4, 0)</f>
        <v>0</v>
      </c>
    </row>
    <row r="5" spans="1:9" ht="15.75">
      <c r="A5" s="63" t="str">
        <v>JFK Elementary</v>
      </c>
      <c r="B5" s="64" t="str">
        <v>Blue Renewables</v>
      </c>
      <c r="C5" s="81">
        <f ca="1">SUM(Oct!C5, Nov!C5, Dec!C5)</f>
        <v>0</v>
      </c>
      <c r="D5" s="50">
        <f ca="1">SUM(Oct!D5, Nov!D5, Dec!D5)</f>
        <v>0</v>
      </c>
      <c r="E5" s="50">
        <f t="shared" ca="1" si="1"/>
        <v>0</v>
      </c>
      <c r="F5" s="51">
        <f t="shared" ca="1" si="2"/>
        <v>0</v>
      </c>
      <c r="G5" s="52">
        <f ca="1">SUM(Oct!G5, Nov!G5, Dec!G5)</f>
        <v>0</v>
      </c>
      <c r="H5" s="52">
        <f t="shared" ca="1" si="3"/>
        <v>0</v>
      </c>
      <c r="I5" s="53">
        <f t="shared" ca="1" si="4"/>
        <v>0</v>
      </c>
    </row>
    <row r="6" spans="1:9" ht="15.75">
      <c r="A6" s="59" t="str">
        <v>Noble</v>
      </c>
      <c r="B6" s="21" t="str">
        <v>Blue Renewables</v>
      </c>
      <c r="C6" s="81">
        <f ca="1">SUM(Oct!C6, Nov!C6, Dec!C6)</f>
        <v>0</v>
      </c>
      <c r="D6" s="50">
        <f ca="1">SUM(Oct!D6, Nov!D6, Dec!D6)</f>
        <v>0</v>
      </c>
      <c r="E6" s="50">
        <f t="shared" ca="1" si="1"/>
        <v>0</v>
      </c>
      <c r="F6" s="51">
        <f t="shared" ca="1" si="2"/>
        <v>0</v>
      </c>
      <c r="G6" s="52">
        <f ca="1">SUM(Oct!G6, Nov!G6, Dec!G6)</f>
        <v>0</v>
      </c>
      <c r="H6" s="52">
        <f t="shared" ca="1" si="3"/>
        <v>0</v>
      </c>
      <c r="I6" s="53">
        <f t="shared" ca="1" si="4"/>
        <v>0</v>
      </c>
    </row>
    <row r="7" spans="1:9" ht="15.75">
      <c r="A7" s="63" t="str">
        <v>Parking 3</v>
      </c>
      <c r="B7" s="64" t="str">
        <v>Blue Renewables</v>
      </c>
      <c r="C7" s="81">
        <f ca="1">SUM(Oct!C7, Nov!C7, Dec!C7)</f>
        <v>0</v>
      </c>
      <c r="D7" s="50">
        <f ca="1">SUM(Oct!D7, Nov!D7, Dec!D7)</f>
        <v>0</v>
      </c>
      <c r="E7" s="50">
        <f t="shared" ca="1" si="1"/>
        <v>0</v>
      </c>
      <c r="F7" s="51">
        <f t="shared" ca="1" si="2"/>
        <v>0</v>
      </c>
      <c r="G7" s="52">
        <f ca="1">SUM(Oct!G7, Nov!G7, Dec!G7)</f>
        <v>0</v>
      </c>
      <c r="H7" s="52">
        <f t="shared" ca="1" si="3"/>
        <v>0</v>
      </c>
      <c r="I7" s="53">
        <f t="shared" ca="1" si="4"/>
        <v>0</v>
      </c>
    </row>
    <row r="8" spans="1:9" ht="15.75">
      <c r="A8" s="59" t="str">
        <v>PE East</v>
      </c>
      <c r="B8" s="21" t="str">
        <v>Blue Renewables</v>
      </c>
      <c r="C8" s="81">
        <f ca="1">SUM(Oct!C8, Nov!C8, Dec!C8)</f>
        <v>0</v>
      </c>
      <c r="D8" s="50">
        <f ca="1">SUM(Oct!D8, Nov!D8, Dec!D8)</f>
        <v>0</v>
      </c>
      <c r="E8" s="50">
        <f t="shared" ca="1" si="1"/>
        <v>0</v>
      </c>
      <c r="F8" s="51">
        <f t="shared" ca="1" si="2"/>
        <v>0</v>
      </c>
      <c r="G8" s="52">
        <f ca="1">SUM(Oct!G8, Nov!G8, Dec!G8)</f>
        <v>0</v>
      </c>
      <c r="H8" s="52">
        <f t="shared" ca="1" si="3"/>
        <v>0</v>
      </c>
      <c r="I8" s="53">
        <f t="shared" ca="1" si="4"/>
        <v>0</v>
      </c>
    </row>
    <row r="9" spans="1:9" ht="15.75">
      <c r="A9" s="63" t="str">
        <v>Schwada</v>
      </c>
      <c r="B9" s="64" t="str">
        <v>Blue Renewables</v>
      </c>
      <c r="C9" s="81">
        <f ca="1">SUM(Oct!C9, Nov!C9, Dec!C9)</f>
        <v>0</v>
      </c>
      <c r="D9" s="50">
        <f ca="1">SUM(Oct!D9, Nov!D9, Dec!D9)</f>
        <v>0</v>
      </c>
      <c r="E9" s="50">
        <f t="shared" ca="1" si="1"/>
        <v>0</v>
      </c>
      <c r="F9" s="51">
        <f t="shared" ca="1" si="2"/>
        <v>0</v>
      </c>
      <c r="G9" s="52">
        <f ca="1">SUM(Oct!G9, Nov!G9, Dec!G9)</f>
        <v>0</v>
      </c>
      <c r="H9" s="52">
        <f t="shared" ca="1" si="3"/>
        <v>0</v>
      </c>
      <c r="I9" s="53">
        <f t="shared" ca="1" si="4"/>
        <v>0</v>
      </c>
    </row>
    <row r="10" spans="1:9" ht="12.75" customHeight="1">
      <c r="A10" s="59" t="str">
        <v>Starshine</v>
      </c>
      <c r="B10" s="21" t="str">
        <v>Blue Renewables</v>
      </c>
      <c r="C10" s="81">
        <f ca="1">SUM(Oct!C10, Nov!C10, Dec!C10)</f>
        <v>0</v>
      </c>
      <c r="D10" s="50">
        <f ca="1">SUM(Oct!D10, Nov!D10, Dec!D10)</f>
        <v>0</v>
      </c>
      <c r="E10" s="50">
        <f t="shared" ca="1" si="1"/>
        <v>0</v>
      </c>
      <c r="F10" s="51">
        <f t="shared" ca="1" si="2"/>
        <v>0</v>
      </c>
      <c r="G10" s="52">
        <f ca="1">SUM(Oct!G10, Nov!G10, Dec!G10)</f>
        <v>0</v>
      </c>
      <c r="H10" s="52">
        <f t="shared" ca="1" si="3"/>
        <v>0</v>
      </c>
      <c r="I10" s="53">
        <f t="shared" ca="1" si="4"/>
        <v>0</v>
      </c>
    </row>
    <row r="11" spans="1:9" ht="15.75">
      <c r="A11" s="63" t="str">
        <v>Yuma Airport</v>
      </c>
      <c r="B11" s="64" t="str">
        <v>Blue Renewables</v>
      </c>
      <c r="C11" s="81">
        <f ca="1">SUM(Oct!C11, Nov!C11, Dec!C11)</f>
        <v>0</v>
      </c>
      <c r="D11" s="50">
        <f ca="1">SUM(Oct!D11, Nov!D11, Dec!D11)</f>
        <v>0</v>
      </c>
      <c r="E11" s="50">
        <f t="shared" ca="1" si="1"/>
        <v>0</v>
      </c>
      <c r="F11" s="51">
        <f t="shared" ca="1" si="2"/>
        <v>0</v>
      </c>
      <c r="G11" s="52">
        <f ca="1">SUM(Oct!G11, Nov!G11, Dec!G11)</f>
        <v>0</v>
      </c>
      <c r="H11" s="52">
        <f t="shared" ca="1" si="3"/>
        <v>0</v>
      </c>
      <c r="I11" s="53">
        <f t="shared" ca="1" si="4"/>
        <v>0</v>
      </c>
    </row>
    <row r="12" spans="1:9" ht="12.75" customHeight="1">
      <c r="A12" s="59" t="str">
        <v>Kinsman</v>
      </c>
      <c r="B12" s="21" t="str">
        <v>Blue Renewables</v>
      </c>
      <c r="C12" s="81">
        <f ca="1">SUM(Oct!C12, Nov!C12, Dec!C12)</f>
        <v>0</v>
      </c>
      <c r="D12" s="50">
        <f ca="1">SUM(Oct!D12, Nov!D12, Dec!D12)</f>
        <v>0</v>
      </c>
      <c r="E12" s="50">
        <f t="shared" ca="1" si="1"/>
        <v>0</v>
      </c>
      <c r="F12" s="51">
        <f t="shared" ca="1" si="2"/>
        <v>0</v>
      </c>
      <c r="G12" s="52">
        <f ca="1">SUM(Oct!G12, Nov!G12, Dec!G12)</f>
        <v>0</v>
      </c>
      <c r="H12" s="52">
        <f t="shared" ca="1" si="3"/>
        <v>0</v>
      </c>
      <c r="I12" s="53">
        <f t="shared" ca="1" si="4"/>
        <v>0</v>
      </c>
    </row>
    <row r="13" spans="1:9" ht="15.75">
      <c r="A13" s="63" t="str">
        <v>Wooster</v>
      </c>
      <c r="B13" s="64" t="str">
        <v>Blue Renewables</v>
      </c>
      <c r="C13" s="81">
        <f ca="1">SUM(Oct!C13, Nov!C13, Dec!C13)</f>
        <v>0</v>
      </c>
      <c r="D13" s="50">
        <f ca="1">SUM(Oct!D13, Nov!D13, Dec!D13)</f>
        <v>0</v>
      </c>
      <c r="E13" s="50">
        <f t="shared" ca="1" si="1"/>
        <v>0</v>
      </c>
      <c r="F13" s="51">
        <f t="shared" ca="1" si="2"/>
        <v>0</v>
      </c>
      <c r="G13" s="52">
        <f ca="1">SUM(Oct!G13, Nov!G13, Dec!G13)</f>
        <v>0</v>
      </c>
      <c r="H13" s="52">
        <f t="shared" ca="1" si="3"/>
        <v>0</v>
      </c>
      <c r="I13" s="53">
        <f t="shared" ca="1" si="4"/>
        <v>0</v>
      </c>
    </row>
    <row r="14" spans="1:9" ht="15.75">
      <c r="A14" s="59" t="str">
        <v>Globe Gila CC</v>
      </c>
      <c r="B14" s="21" t="str">
        <v>CC Gen Equity</v>
      </c>
      <c r="C14" s="81">
        <f ca="1">SUM(Oct!C14, Nov!C14, Dec!C14)</f>
        <v>0</v>
      </c>
      <c r="D14" s="50">
        <f ca="1">SUM(Oct!D14, Nov!D14, Dec!D14)</f>
        <v>0</v>
      </c>
      <c r="E14" s="50">
        <f t="shared" ca="1" si="1"/>
        <v>0</v>
      </c>
      <c r="F14" s="51">
        <f t="shared" ca="1" si="2"/>
        <v>0</v>
      </c>
      <c r="G14" s="52">
        <f ca="1">SUM(Oct!G14, Nov!G14, Dec!G14)</f>
        <v>0</v>
      </c>
      <c r="H14" s="52">
        <f t="shared" ca="1" si="3"/>
        <v>0</v>
      </c>
      <c r="I14" s="53">
        <f t="shared" ca="1" si="4"/>
        <v>0</v>
      </c>
    </row>
    <row r="15" spans="1:9" ht="15.75">
      <c r="A15" s="63" t="str">
        <v>Payson Gila CC</v>
      </c>
      <c r="B15" s="64" t="str">
        <v>CC Gen Equity</v>
      </c>
      <c r="C15" s="81">
        <f ca="1">SUM(Oct!C15, Nov!C15, Dec!C15)</f>
        <v>0</v>
      </c>
      <c r="D15" s="50">
        <f ca="1">SUM(Oct!D15, Nov!D15, Dec!D15)</f>
        <v>0</v>
      </c>
      <c r="E15" s="50">
        <f t="shared" ca="1" si="1"/>
        <v>0</v>
      </c>
      <c r="F15" s="51">
        <f t="shared" ca="1" si="2"/>
        <v>0</v>
      </c>
      <c r="G15" s="52">
        <f ca="1">SUM(Oct!G15, Nov!G15, Dec!G15)</f>
        <v>0</v>
      </c>
      <c r="H15" s="52">
        <f t="shared" ca="1" si="3"/>
        <v>0</v>
      </c>
      <c r="I15" s="53">
        <f t="shared" ca="1" si="4"/>
        <v>0</v>
      </c>
    </row>
    <row r="16" spans="1:9" ht="15.75">
      <c r="A16" s="59" t="str">
        <v>SCNM</v>
      </c>
      <c r="B16" s="21" t="str">
        <v>CC Gen Equity</v>
      </c>
      <c r="C16" s="81">
        <f ca="1">SUM(Oct!C16, Nov!C16, Dec!C16)</f>
        <v>0</v>
      </c>
      <c r="D16" s="50">
        <f ca="1">SUM(Oct!D16, Nov!D16, Dec!D16)</f>
        <v>0</v>
      </c>
      <c r="E16" s="50">
        <f t="shared" ca="1" si="1"/>
        <v>0</v>
      </c>
      <c r="F16" s="51">
        <f t="shared" ca="1" si="2"/>
        <v>0</v>
      </c>
      <c r="G16" s="52">
        <f ca="1">SUM(Oct!G16, Nov!G16, Dec!G16)</f>
        <v>0</v>
      </c>
      <c r="H16" s="52">
        <f t="shared" ca="1" si="3"/>
        <v>0</v>
      </c>
      <c r="I16" s="53">
        <f t="shared" ca="1" si="4"/>
        <v>0</v>
      </c>
    </row>
    <row r="17" spans="1:9" ht="15.75">
      <c r="A17" s="63" t="str">
        <v>Sequoia Charter School</v>
      </c>
      <c r="B17" s="64" t="str">
        <v>CC Gen Equity</v>
      </c>
      <c r="C17" s="81">
        <f ca="1">SUM(Oct!C17, Nov!C17, Dec!C17)</f>
        <v>0</v>
      </c>
      <c r="D17" s="50">
        <f ca="1">SUM(Oct!D17, Nov!D17, Dec!D17)</f>
        <v>0</v>
      </c>
      <c r="E17" s="50">
        <f t="shared" ca="1" si="1"/>
        <v>0</v>
      </c>
      <c r="F17" s="51">
        <f t="shared" ca="1" si="2"/>
        <v>0</v>
      </c>
      <c r="G17" s="52">
        <f ca="1">SUM(Oct!G17, Nov!G17, Dec!G17)</f>
        <v>0</v>
      </c>
      <c r="H17" s="52">
        <f t="shared" ca="1" si="3"/>
        <v>0</v>
      </c>
      <c r="I17" s="53">
        <f t="shared" ca="1" si="4"/>
        <v>0</v>
      </c>
    </row>
    <row r="18" spans="1:9" ht="15.75">
      <c r="A18" s="59" t="str">
        <v>RCAB</v>
      </c>
      <c r="B18" s="21" t="str">
        <v>GESF2</v>
      </c>
      <c r="C18" s="81">
        <f ca="1">SUM(Oct!C18, Nov!C18, Dec!C18)</f>
        <v>0</v>
      </c>
      <c r="D18" s="50">
        <f ca="1">SUM(Oct!D18, Nov!D18, Dec!D18)</f>
        <v>0</v>
      </c>
      <c r="E18" s="50">
        <f t="shared" ca="1" si="1"/>
        <v>0</v>
      </c>
      <c r="F18" s="51">
        <f t="shared" ca="1" si="2"/>
        <v>0</v>
      </c>
      <c r="G18" s="52">
        <f ca="1">SUM(Oct!G18, Nov!G18, Dec!G18)</f>
        <v>0</v>
      </c>
      <c r="H18" s="52">
        <f t="shared" ca="1" si="3"/>
        <v>0</v>
      </c>
      <c r="I18" s="53">
        <f t="shared" ca="1" si="4"/>
        <v>0</v>
      </c>
    </row>
    <row r="19" spans="1:9" ht="15.75">
      <c r="A19" s="63" t="str">
        <v>Spectro Coatings</v>
      </c>
      <c r="B19" s="64" t="str">
        <v>GESF2</v>
      </c>
      <c r="C19" s="81">
        <f ca="1">SUM(Oct!C19, Nov!C19, Dec!C19)</f>
        <v>0</v>
      </c>
      <c r="D19" s="50">
        <f ca="1">SUM(Oct!D19, Nov!D19, Dec!D19)</f>
        <v>0</v>
      </c>
      <c r="E19" s="50">
        <f t="shared" ca="1" si="1"/>
        <v>0</v>
      </c>
      <c r="F19" s="51">
        <f t="shared" ca="1" si="2"/>
        <v>0</v>
      </c>
      <c r="G19" s="52">
        <f ca="1">SUM(Oct!G19, Nov!G19, Dec!G19)</f>
        <v>0</v>
      </c>
      <c r="H19" s="52">
        <f t="shared" ca="1" si="3"/>
        <v>0</v>
      </c>
      <c r="I19" s="53">
        <f t="shared" ca="1" si="4"/>
        <v>0</v>
      </c>
    </row>
    <row r="20" spans="1:9" ht="15.75">
      <c r="A20" s="59" t="str">
        <v>K026</v>
      </c>
      <c r="B20" s="21" t="str">
        <v>Hudson</v>
      </c>
      <c r="C20" s="81">
        <f ca="1">SUM(Oct!C20, Nov!C20, Dec!C20)</f>
        <v>0</v>
      </c>
      <c r="D20" s="50">
        <f ca="1">SUM(Oct!D20, Nov!D20, Dec!D20)</f>
        <v>0</v>
      </c>
      <c r="E20" s="50">
        <f t="shared" ca="1" si="1"/>
        <v>0</v>
      </c>
      <c r="F20" s="51">
        <f t="shared" ca="1" si="2"/>
        <v>0</v>
      </c>
      <c r="G20" s="52">
        <f ca="1">SUM(Oct!G20, Nov!G20, Dec!G20)</f>
        <v>0</v>
      </c>
      <c r="H20" s="52">
        <f t="shared" ca="1" si="3"/>
        <v>0</v>
      </c>
      <c r="I20" s="53">
        <f t="shared" ca="1" si="4"/>
        <v>0</v>
      </c>
    </row>
    <row r="21" spans="1:9" ht="15.75">
      <c r="A21" s="63" t="str">
        <v>K041</v>
      </c>
      <c r="B21" s="64" t="str">
        <v>Hudson</v>
      </c>
      <c r="C21" s="81">
        <f ca="1">SUM(Oct!C21, Nov!C21, Dec!C21)</f>
        <v>0</v>
      </c>
      <c r="D21" s="50">
        <f ca="1">SUM(Oct!D21, Nov!D21, Dec!D21)</f>
        <v>0</v>
      </c>
      <c r="E21" s="50">
        <f t="shared" ca="1" si="1"/>
        <v>0</v>
      </c>
      <c r="F21" s="51">
        <f t="shared" ca="1" si="2"/>
        <v>0</v>
      </c>
      <c r="G21" s="52">
        <f ca="1">SUM(Oct!G21, Nov!G21, Dec!G21)</f>
        <v>0</v>
      </c>
      <c r="H21" s="52">
        <f t="shared" ca="1" si="3"/>
        <v>0</v>
      </c>
      <c r="I21" s="53">
        <f t="shared" ca="1" si="4"/>
        <v>0</v>
      </c>
    </row>
    <row r="22" spans="1:9" ht="15.75">
      <c r="A22" s="59" t="str">
        <v>K043</v>
      </c>
      <c r="B22" s="21" t="str">
        <v>Hudson</v>
      </c>
      <c r="C22" s="81">
        <f ca="1">SUM(Oct!C22, Nov!C22, Dec!C22)</f>
        <v>0</v>
      </c>
      <c r="D22" s="50">
        <f ca="1">SUM(Oct!D22, Nov!D22, Dec!D22)</f>
        <v>0</v>
      </c>
      <c r="E22" s="50">
        <f t="shared" ca="1" si="1"/>
        <v>0</v>
      </c>
      <c r="F22" s="51">
        <f t="shared" ca="1" si="2"/>
        <v>0</v>
      </c>
      <c r="G22" s="52">
        <f ca="1">SUM(Oct!G22, Nov!G22, Dec!G22)</f>
        <v>0</v>
      </c>
      <c r="H22" s="52">
        <f t="shared" ca="1" si="3"/>
        <v>0</v>
      </c>
      <c r="I22" s="53">
        <f t="shared" ca="1" si="4"/>
        <v>0</v>
      </c>
    </row>
    <row r="23" spans="1:9" ht="15.75">
      <c r="A23" s="63" t="str">
        <v>K058</v>
      </c>
      <c r="B23" s="64" t="str">
        <v>Hudson</v>
      </c>
      <c r="C23" s="81">
        <f ca="1">SUM(Oct!C23, Nov!C23, Dec!C23)</f>
        <v>0</v>
      </c>
      <c r="D23" s="50">
        <f ca="1">SUM(Oct!D23, Nov!D23, Dec!D23)</f>
        <v>0</v>
      </c>
      <c r="E23" s="50">
        <f t="shared" ca="1" si="1"/>
        <v>0</v>
      </c>
      <c r="F23" s="51">
        <f t="shared" ca="1" si="2"/>
        <v>0</v>
      </c>
      <c r="G23" s="52">
        <f ca="1">SUM(Oct!G23, Nov!G23, Dec!G23)</f>
        <v>0</v>
      </c>
      <c r="H23" s="52">
        <f t="shared" ca="1" si="3"/>
        <v>0</v>
      </c>
      <c r="I23" s="53">
        <f t="shared" ca="1" si="4"/>
        <v>0</v>
      </c>
    </row>
    <row r="24" spans="1:9" ht="15.75">
      <c r="A24" s="59" t="str">
        <v>K115</v>
      </c>
      <c r="B24" s="21" t="str">
        <v>Hudson</v>
      </c>
      <c r="C24" s="81">
        <f ca="1">SUM(Oct!C24, Nov!C24, Dec!C24)</f>
        <v>0</v>
      </c>
      <c r="D24" s="50">
        <f ca="1">SUM(Oct!D24, Nov!D24, Dec!D24)</f>
        <v>0</v>
      </c>
      <c r="E24" s="50">
        <f t="shared" ca="1" si="1"/>
        <v>0</v>
      </c>
      <c r="F24" s="51">
        <f t="shared" ca="1" si="2"/>
        <v>0</v>
      </c>
      <c r="G24" s="52">
        <f ca="1">SUM(Oct!G24, Nov!G24, Dec!G24)</f>
        <v>0</v>
      </c>
      <c r="H24" s="52">
        <f t="shared" ca="1" si="3"/>
        <v>0</v>
      </c>
      <c r="I24" s="53">
        <f t="shared" ca="1" si="4"/>
        <v>0</v>
      </c>
    </row>
    <row r="25" spans="1:9" ht="15.75">
      <c r="A25" s="63" t="str">
        <v>K152</v>
      </c>
      <c r="B25" s="64" t="str">
        <v>Hudson</v>
      </c>
      <c r="C25" s="81">
        <f ca="1">SUM(Oct!C25, Nov!C25, Dec!C25)</f>
        <v>0</v>
      </c>
      <c r="D25" s="50">
        <f ca="1">SUM(Oct!D25, Nov!D25, Dec!D25)</f>
        <v>0</v>
      </c>
      <c r="E25" s="50">
        <f t="shared" ca="1" si="1"/>
        <v>0</v>
      </c>
      <c r="F25" s="51">
        <f t="shared" ca="1" si="2"/>
        <v>0</v>
      </c>
      <c r="G25" s="52">
        <f ca="1">SUM(Oct!G25, Nov!G25, Dec!G25)</f>
        <v>0</v>
      </c>
      <c r="H25" s="52">
        <f t="shared" ca="1" si="3"/>
        <v>0</v>
      </c>
      <c r="I25" s="53">
        <f t="shared" ca="1" si="4"/>
        <v>0</v>
      </c>
    </row>
    <row r="26" spans="1:9" ht="15.75">
      <c r="A26" s="59" t="str">
        <v>K166</v>
      </c>
      <c r="B26" s="21" t="str">
        <v>Hudson</v>
      </c>
      <c r="C26" s="81">
        <f ca="1">SUM(Oct!C26, Nov!C26, Dec!C26)</f>
        <v>0</v>
      </c>
      <c r="D26" s="50">
        <f ca="1">SUM(Oct!D26, Nov!D26, Dec!D26)</f>
        <v>0</v>
      </c>
      <c r="E26" s="50">
        <f t="shared" ca="1" si="1"/>
        <v>0</v>
      </c>
      <c r="F26" s="51">
        <f t="shared" ca="1" si="2"/>
        <v>0</v>
      </c>
      <c r="G26" s="52">
        <f ca="1">SUM(Oct!G26, Nov!G26, Dec!G26)</f>
        <v>0</v>
      </c>
      <c r="H26" s="52">
        <f t="shared" ca="1" si="3"/>
        <v>0</v>
      </c>
      <c r="I26" s="53">
        <f t="shared" ca="1" si="4"/>
        <v>0</v>
      </c>
    </row>
    <row r="27" spans="1:9" ht="15.75">
      <c r="A27" s="63" t="str">
        <v>K206</v>
      </c>
      <c r="B27" s="64" t="str">
        <v>Hudson</v>
      </c>
      <c r="C27" s="81">
        <f ca="1">SUM(Oct!C27, Nov!C27, Dec!C27)</f>
        <v>0</v>
      </c>
      <c r="D27" s="50">
        <f ca="1">SUM(Oct!D27, Nov!D27, Dec!D27)</f>
        <v>0</v>
      </c>
      <c r="E27" s="50">
        <f t="shared" ca="1" si="1"/>
        <v>0</v>
      </c>
      <c r="F27" s="51">
        <f t="shared" ca="1" si="2"/>
        <v>0</v>
      </c>
      <c r="G27" s="52">
        <f ca="1">SUM(Oct!G27, Nov!G27, Dec!G27)</f>
        <v>0</v>
      </c>
      <c r="H27" s="52">
        <f t="shared" ca="1" si="3"/>
        <v>0</v>
      </c>
      <c r="I27" s="53">
        <f t="shared" ca="1" si="4"/>
        <v>0</v>
      </c>
    </row>
    <row r="28" spans="1:9" ht="15.75">
      <c r="A28" s="59" t="str">
        <v>K251</v>
      </c>
      <c r="B28" s="21" t="str">
        <v>Hudson</v>
      </c>
      <c r="C28" s="81">
        <f ca="1">SUM(Oct!C28, Nov!C28, Dec!C28)</f>
        <v>0</v>
      </c>
      <c r="D28" s="50">
        <f ca="1">SUM(Oct!D28, Nov!D28, Dec!D28)</f>
        <v>0</v>
      </c>
      <c r="E28" s="50">
        <f t="shared" ca="1" si="1"/>
        <v>0</v>
      </c>
      <c r="F28" s="51">
        <f t="shared" ca="1" si="2"/>
        <v>0</v>
      </c>
      <c r="G28" s="52">
        <f ca="1">SUM(Oct!G28, Nov!G28, Dec!G28)</f>
        <v>0</v>
      </c>
      <c r="H28" s="52">
        <f t="shared" ca="1" si="3"/>
        <v>0</v>
      </c>
      <c r="I28" s="53">
        <f t="shared" ca="1" si="4"/>
        <v>0</v>
      </c>
    </row>
    <row r="29" spans="1:9" ht="15.75">
      <c r="A29" s="63" t="str">
        <v>K269</v>
      </c>
      <c r="B29" s="64" t="str">
        <v>Hudson</v>
      </c>
      <c r="C29" s="81">
        <f ca="1">SUM(Oct!C29, Nov!C29, Dec!C29)</f>
        <v>0</v>
      </c>
      <c r="D29" s="50">
        <f ca="1">SUM(Oct!D29, Nov!D29, Dec!D29)</f>
        <v>0</v>
      </c>
      <c r="E29" s="50">
        <f t="shared" ca="1" si="1"/>
        <v>0</v>
      </c>
      <c r="F29" s="51">
        <f t="shared" ca="1" si="2"/>
        <v>0</v>
      </c>
      <c r="G29" s="52">
        <f ca="1">SUM(Oct!G29, Nov!G29, Dec!G29)</f>
        <v>0</v>
      </c>
      <c r="H29" s="52">
        <f t="shared" ca="1" si="3"/>
        <v>0</v>
      </c>
      <c r="I29" s="53">
        <f t="shared" ca="1" si="4"/>
        <v>0</v>
      </c>
    </row>
    <row r="30" spans="1:9" ht="15.75">
      <c r="A30" s="59" t="str">
        <v>K273</v>
      </c>
      <c r="B30" s="21" t="str">
        <v>Hudson</v>
      </c>
      <c r="C30" s="81">
        <f ca="1">SUM(Oct!C30, Nov!C30, Dec!C30)</f>
        <v>0</v>
      </c>
      <c r="D30" s="50">
        <f ca="1">SUM(Oct!D30, Nov!D30, Dec!D30)</f>
        <v>0</v>
      </c>
      <c r="E30" s="50">
        <f t="shared" ca="1" si="1"/>
        <v>0</v>
      </c>
      <c r="F30" s="51">
        <f t="shared" ca="1" si="2"/>
        <v>0</v>
      </c>
      <c r="G30" s="52">
        <f ca="1">SUM(Oct!G30, Nov!G30, Dec!G30)</f>
        <v>0</v>
      </c>
      <c r="H30" s="52">
        <f t="shared" ca="1" si="3"/>
        <v>0</v>
      </c>
      <c r="I30" s="53">
        <f t="shared" ca="1" si="4"/>
        <v>0</v>
      </c>
    </row>
    <row r="31" spans="1:9" ht="15.75">
      <c r="A31" s="63" t="str">
        <v>K287</v>
      </c>
      <c r="B31" s="64" t="str">
        <v>Hudson</v>
      </c>
      <c r="C31" s="81">
        <f ca="1">SUM(Oct!C31, Nov!C31, Dec!C31)</f>
        <v>0</v>
      </c>
      <c r="D31" s="50">
        <f ca="1">SUM(Oct!D31, Nov!D31, Dec!D31)</f>
        <v>0</v>
      </c>
      <c r="E31" s="50">
        <f t="shared" ca="1" si="1"/>
        <v>0</v>
      </c>
      <c r="F31" s="51">
        <f t="shared" ca="1" si="2"/>
        <v>0</v>
      </c>
      <c r="G31" s="52">
        <f ca="1">SUM(Oct!G31, Nov!G31, Dec!G31)</f>
        <v>0</v>
      </c>
      <c r="H31" s="52">
        <f t="shared" ca="1" si="3"/>
        <v>0</v>
      </c>
      <c r="I31" s="53">
        <f t="shared" ca="1" si="4"/>
        <v>0</v>
      </c>
    </row>
    <row r="32" spans="1:9" ht="15.75">
      <c r="A32" s="59" t="str">
        <v>K298</v>
      </c>
      <c r="B32" s="21" t="str">
        <v>Hudson</v>
      </c>
      <c r="C32" s="81">
        <f ca="1">SUM(Oct!C32, Nov!C32, Dec!C32)</f>
        <v>0</v>
      </c>
      <c r="D32" s="50">
        <f ca="1">SUM(Oct!D32, Nov!D32, Dec!D32)</f>
        <v>0</v>
      </c>
      <c r="E32" s="50">
        <f t="shared" ca="1" si="1"/>
        <v>0</v>
      </c>
      <c r="F32" s="51">
        <f t="shared" ca="1" si="2"/>
        <v>0</v>
      </c>
      <c r="G32" s="52">
        <f ca="1">SUM(Oct!G32, Nov!G32, Dec!G32)</f>
        <v>0</v>
      </c>
      <c r="H32" s="52">
        <f t="shared" ca="1" si="3"/>
        <v>0</v>
      </c>
      <c r="I32" s="53">
        <f t="shared" ca="1" si="4"/>
        <v>0</v>
      </c>
    </row>
    <row r="33" spans="1:9" ht="15.75">
      <c r="A33" s="63" t="str">
        <v>K335</v>
      </c>
      <c r="B33" s="64" t="str">
        <v>Hudson</v>
      </c>
      <c r="C33" s="81">
        <f ca="1">SUM(Oct!C33, Nov!C33, Dec!C33)</f>
        <v>0</v>
      </c>
      <c r="D33" s="50">
        <f ca="1">SUM(Oct!D33, Nov!D33, Dec!D33)</f>
        <v>0</v>
      </c>
      <c r="E33" s="50">
        <f t="shared" ca="1" si="1"/>
        <v>0</v>
      </c>
      <c r="F33" s="51">
        <f t="shared" ca="1" si="2"/>
        <v>0</v>
      </c>
      <c r="G33" s="52">
        <f ca="1">SUM(Oct!G33, Nov!G33, Dec!G33)</f>
        <v>0</v>
      </c>
      <c r="H33" s="52">
        <f t="shared" ca="1" si="3"/>
        <v>0</v>
      </c>
      <c r="I33" s="53">
        <f t="shared" ca="1" si="4"/>
        <v>0</v>
      </c>
    </row>
    <row r="34" spans="1:9" ht="15.75">
      <c r="A34" s="59" t="str">
        <v>K345</v>
      </c>
      <c r="B34" s="21" t="str">
        <v>Hudson</v>
      </c>
      <c r="C34" s="81">
        <f ca="1">SUM(Oct!C34, Nov!C34, Dec!C34)</f>
        <v>0</v>
      </c>
      <c r="D34" s="50">
        <f ca="1">SUM(Oct!D34, Nov!D34, Dec!D34)</f>
        <v>0</v>
      </c>
      <c r="E34" s="50">
        <f t="shared" ca="1" si="1"/>
        <v>0</v>
      </c>
      <c r="F34" s="51">
        <f t="shared" ca="1" si="2"/>
        <v>0</v>
      </c>
      <c r="G34" s="52">
        <f ca="1">SUM(Oct!G34, Nov!G34, Dec!G34)</f>
        <v>0</v>
      </c>
      <c r="H34" s="52">
        <f t="shared" ca="1" si="3"/>
        <v>0</v>
      </c>
      <c r="I34" s="53">
        <f t="shared" ca="1" si="4"/>
        <v>0</v>
      </c>
    </row>
    <row r="35" spans="1:9" ht="15.75">
      <c r="A35" s="63" t="str">
        <v>K445</v>
      </c>
      <c r="B35" s="64" t="str">
        <v>Hudson</v>
      </c>
      <c r="C35" s="81">
        <f ca="1">SUM(Oct!C35, Nov!C35, Dec!C35)</f>
        <v>0</v>
      </c>
      <c r="D35" s="50">
        <f ca="1">SUM(Oct!D35, Nov!D35, Dec!D35)</f>
        <v>0</v>
      </c>
      <c r="E35" s="50">
        <f t="shared" ca="1" si="1"/>
        <v>0</v>
      </c>
      <c r="F35" s="51">
        <f t="shared" ca="1" si="2"/>
        <v>0</v>
      </c>
      <c r="G35" s="52">
        <f ca="1">SUM(Oct!G35, Nov!G35, Dec!G35)</f>
        <v>0</v>
      </c>
      <c r="H35" s="52">
        <f t="shared" ca="1" si="3"/>
        <v>0</v>
      </c>
      <c r="I35" s="53">
        <f t="shared" ca="1" si="4"/>
        <v>0</v>
      </c>
    </row>
    <row r="36" spans="1:9" ht="15.75">
      <c r="A36" s="59" t="str">
        <v>K495</v>
      </c>
      <c r="B36" s="21" t="str">
        <v>Hudson</v>
      </c>
      <c r="C36" s="81">
        <f ca="1">SUM(Oct!C36, Nov!C36, Dec!C36)</f>
        <v>0</v>
      </c>
      <c r="D36" s="50">
        <f ca="1">SUM(Oct!D36, Nov!D36, Dec!D36)</f>
        <v>0</v>
      </c>
      <c r="E36" s="50">
        <f t="shared" ca="1" si="1"/>
        <v>0</v>
      </c>
      <c r="F36" s="51">
        <f t="shared" ca="1" si="2"/>
        <v>0</v>
      </c>
      <c r="G36" s="52">
        <f ca="1">SUM(Oct!G36, Nov!G36, Dec!G36)</f>
        <v>0</v>
      </c>
      <c r="H36" s="52">
        <f t="shared" ca="1" si="3"/>
        <v>0</v>
      </c>
      <c r="I36" s="53">
        <f t="shared" ca="1" si="4"/>
        <v>0</v>
      </c>
    </row>
    <row r="37" spans="1:9" ht="15.75">
      <c r="A37" s="63" t="str">
        <v>M020</v>
      </c>
      <c r="B37" s="64" t="str">
        <v>Hudson</v>
      </c>
      <c r="C37" s="81">
        <f ca="1">SUM(Oct!C37, Nov!C37, Dec!C37)</f>
        <v>0</v>
      </c>
      <c r="D37" s="50">
        <f ca="1">SUM(Oct!D37, Nov!D37, Dec!D37)</f>
        <v>0</v>
      </c>
      <c r="E37" s="50">
        <f t="shared" ca="1" si="1"/>
        <v>0</v>
      </c>
      <c r="F37" s="51">
        <f t="shared" ca="1" si="2"/>
        <v>0</v>
      </c>
      <c r="G37" s="52">
        <f ca="1">SUM(Oct!G37, Nov!G37, Dec!G37)</f>
        <v>0</v>
      </c>
      <c r="H37" s="52">
        <f t="shared" ca="1" si="3"/>
        <v>0</v>
      </c>
      <c r="I37" s="53">
        <f t="shared" ca="1" si="4"/>
        <v>0</v>
      </c>
    </row>
    <row r="38" spans="1:9" ht="15.75">
      <c r="A38" s="59" t="str">
        <v>M092</v>
      </c>
      <c r="B38" s="21" t="str">
        <v>Hudson</v>
      </c>
      <c r="C38" s="81">
        <f ca="1">SUM(Oct!C38, Nov!C38, Dec!C38)</f>
        <v>0</v>
      </c>
      <c r="D38" s="50">
        <f ca="1">SUM(Oct!D38, Nov!D38, Dec!D38)</f>
        <v>0</v>
      </c>
      <c r="E38" s="50">
        <f t="shared" ca="1" si="1"/>
        <v>0</v>
      </c>
      <c r="F38" s="51">
        <f t="shared" ca="1" si="2"/>
        <v>0</v>
      </c>
      <c r="G38" s="52">
        <f ca="1">SUM(Oct!G38, Nov!G38, Dec!G38)</f>
        <v>0</v>
      </c>
      <c r="H38" s="52">
        <f t="shared" ca="1" si="3"/>
        <v>0</v>
      </c>
      <c r="I38" s="53">
        <f t="shared" ca="1" si="4"/>
        <v>0</v>
      </c>
    </row>
    <row r="39" spans="1:9" ht="15.75">
      <c r="A39" s="63" t="str">
        <v>M143</v>
      </c>
      <c r="B39" s="64" t="str">
        <v>Hudson</v>
      </c>
      <c r="C39" s="81">
        <f ca="1">SUM(Oct!C39, Nov!C39, Dec!C39)</f>
        <v>0</v>
      </c>
      <c r="D39" s="50">
        <f ca="1">SUM(Oct!D39, Nov!D39, Dec!D39)</f>
        <v>0</v>
      </c>
      <c r="E39" s="50">
        <f t="shared" ca="1" si="1"/>
        <v>0</v>
      </c>
      <c r="F39" s="51">
        <f t="shared" ca="1" si="2"/>
        <v>0</v>
      </c>
      <c r="G39" s="52">
        <f ca="1">SUM(Oct!G39, Nov!G39, Dec!G39)</f>
        <v>0</v>
      </c>
      <c r="H39" s="52">
        <f t="shared" ca="1" si="3"/>
        <v>0</v>
      </c>
      <c r="I39" s="53">
        <f t="shared" ca="1" si="4"/>
        <v>0</v>
      </c>
    </row>
    <row r="40" spans="1:9" ht="15.75">
      <c r="A40" s="59" t="str">
        <v>M144</v>
      </c>
      <c r="B40" s="21" t="str">
        <v>Hudson</v>
      </c>
      <c r="C40" s="81">
        <f ca="1">SUM(Oct!C40, Nov!C40, Dec!C40)</f>
        <v>0</v>
      </c>
      <c r="D40" s="50">
        <f ca="1">SUM(Oct!D40, Nov!D40, Dec!D40)</f>
        <v>0</v>
      </c>
      <c r="E40" s="50">
        <f t="shared" ca="1" si="1"/>
        <v>0</v>
      </c>
      <c r="F40" s="51">
        <f t="shared" ca="1" si="2"/>
        <v>0</v>
      </c>
      <c r="G40" s="52">
        <f ca="1">SUM(Oct!G40, Nov!G40, Dec!G40)</f>
        <v>0</v>
      </c>
      <c r="H40" s="52">
        <f t="shared" ca="1" si="3"/>
        <v>0</v>
      </c>
      <c r="I40" s="53">
        <f t="shared" ca="1" si="4"/>
        <v>0</v>
      </c>
    </row>
    <row r="41" spans="1:9" ht="15.75">
      <c r="A41" s="63" t="str">
        <v>M167</v>
      </c>
      <c r="B41" s="64" t="str">
        <v>Hudson</v>
      </c>
      <c r="C41" s="81">
        <f ca="1">SUM(Oct!C41, Nov!C41, Dec!C41)</f>
        <v>0</v>
      </c>
      <c r="D41" s="50">
        <f ca="1">SUM(Oct!D41, Nov!D41, Dec!D41)</f>
        <v>0</v>
      </c>
      <c r="E41" s="50">
        <f t="shared" ca="1" si="1"/>
        <v>0</v>
      </c>
      <c r="F41" s="51">
        <f t="shared" ca="1" si="2"/>
        <v>0</v>
      </c>
      <c r="G41" s="52">
        <f ca="1">SUM(Oct!G41, Nov!G41, Dec!G41)</f>
        <v>0</v>
      </c>
      <c r="H41" s="52">
        <f t="shared" ca="1" si="3"/>
        <v>0</v>
      </c>
      <c r="I41" s="53">
        <f t="shared" ca="1" si="4"/>
        <v>0</v>
      </c>
    </row>
    <row r="42" spans="1:9" ht="15.75">
      <c r="A42" s="59" t="str">
        <v>M188</v>
      </c>
      <c r="B42" s="21" t="str">
        <v>Hudson</v>
      </c>
      <c r="C42" s="81">
        <f ca="1">SUM(Oct!C42, Nov!C42, Dec!C42)</f>
        <v>0</v>
      </c>
      <c r="D42" s="50">
        <f ca="1">SUM(Oct!D42, Nov!D42, Dec!D42)</f>
        <v>0</v>
      </c>
      <c r="E42" s="50">
        <f t="shared" ca="1" si="1"/>
        <v>0</v>
      </c>
      <c r="F42" s="51">
        <f t="shared" ca="1" si="2"/>
        <v>0</v>
      </c>
      <c r="G42" s="52">
        <f ca="1">SUM(Oct!G42, Nov!G42, Dec!G42)</f>
        <v>0</v>
      </c>
      <c r="H42" s="52">
        <f t="shared" ca="1" si="3"/>
        <v>0</v>
      </c>
      <c r="I42" s="53">
        <f t="shared" ca="1" si="4"/>
        <v>0</v>
      </c>
    </row>
    <row r="43" spans="1:9" ht="15.75">
      <c r="A43" s="63" t="str">
        <v>EMHC</v>
      </c>
      <c r="B43" s="64" t="str">
        <v>Hudson</v>
      </c>
      <c r="C43" s="81">
        <f ca="1">SUM(Oct!C43, Nov!C43, Dec!C43)</f>
        <v>0</v>
      </c>
      <c r="D43" s="50">
        <f ca="1">SUM(Oct!D43, Nov!D43, Dec!D43)</f>
        <v>0</v>
      </c>
      <c r="E43" s="50">
        <f t="shared" ca="1" si="1"/>
        <v>0</v>
      </c>
      <c r="F43" s="51">
        <f t="shared" ca="1" si="2"/>
        <v>0</v>
      </c>
      <c r="G43" s="52">
        <f ca="1">SUM(Oct!G43, Nov!G43, Dec!G43)</f>
        <v>0</v>
      </c>
      <c r="H43" s="52">
        <f t="shared" ca="1" si="3"/>
        <v>0</v>
      </c>
      <c r="I43" s="53">
        <f t="shared" ca="1" si="4"/>
        <v>0</v>
      </c>
    </row>
    <row r="44" spans="1:9" ht="15.75">
      <c r="A44" s="59" t="str">
        <v>Q008</v>
      </c>
      <c r="B44" s="21" t="str">
        <v>Hudson</v>
      </c>
      <c r="C44" s="81">
        <f ca="1">SUM(Oct!C44, Nov!C44, Dec!C44)</f>
        <v>0</v>
      </c>
      <c r="D44" s="50">
        <f ca="1">SUM(Oct!D44, Nov!D44, Dec!D44)</f>
        <v>0</v>
      </c>
      <c r="E44" s="50">
        <f t="shared" ca="1" si="1"/>
        <v>0</v>
      </c>
      <c r="F44" s="51">
        <f t="shared" ca="1" si="2"/>
        <v>0</v>
      </c>
      <c r="G44" s="52">
        <f ca="1">SUM(Oct!G44, Nov!G44, Dec!G44)</f>
        <v>0</v>
      </c>
      <c r="H44" s="52">
        <f t="shared" ca="1" si="3"/>
        <v>0</v>
      </c>
      <c r="I44" s="53">
        <f t="shared" ca="1" si="4"/>
        <v>0</v>
      </c>
    </row>
    <row r="45" spans="1:9" ht="15.75">
      <c r="A45" s="63" t="str">
        <v>Q018</v>
      </c>
      <c r="B45" s="64" t="str">
        <v>Hudson</v>
      </c>
      <c r="C45" s="81">
        <f ca="1">SUM(Oct!C45, Nov!C45, Dec!C45)</f>
        <v>0</v>
      </c>
      <c r="D45" s="50">
        <f ca="1">SUM(Oct!D45, Nov!D45, Dec!D45)</f>
        <v>0</v>
      </c>
      <c r="E45" s="50">
        <f t="shared" ca="1" si="1"/>
        <v>0</v>
      </c>
      <c r="F45" s="51">
        <f t="shared" ca="1" si="2"/>
        <v>0</v>
      </c>
      <c r="G45" s="52">
        <f ca="1">SUM(Oct!G45, Nov!G45, Dec!G45)</f>
        <v>0</v>
      </c>
      <c r="H45" s="52">
        <f t="shared" ca="1" si="3"/>
        <v>0</v>
      </c>
      <c r="I45" s="53">
        <f t="shared" ca="1" si="4"/>
        <v>0</v>
      </c>
    </row>
    <row r="46" spans="1:9" ht="15.75">
      <c r="A46" s="59" t="str">
        <v>Q021</v>
      </c>
      <c r="B46" s="21" t="str">
        <v>Hudson</v>
      </c>
      <c r="C46" s="81">
        <f ca="1">SUM(Oct!C46, Nov!C46, Dec!C46)</f>
        <v>0</v>
      </c>
      <c r="D46" s="50">
        <f ca="1">SUM(Oct!D46, Nov!D46, Dec!D46)</f>
        <v>0</v>
      </c>
      <c r="E46" s="50">
        <f t="shared" ca="1" si="1"/>
        <v>0</v>
      </c>
      <c r="F46" s="51">
        <f t="shared" ca="1" si="2"/>
        <v>0</v>
      </c>
      <c r="G46" s="52">
        <f ca="1">SUM(Oct!G46, Nov!G46, Dec!G46)</f>
        <v>0</v>
      </c>
      <c r="H46" s="52">
        <f t="shared" ca="1" si="3"/>
        <v>0</v>
      </c>
      <c r="I46" s="53">
        <f t="shared" ca="1" si="4"/>
        <v>0</v>
      </c>
    </row>
    <row r="47" spans="1:9" ht="15.75">
      <c r="A47" s="63" t="str">
        <v>Q025</v>
      </c>
      <c r="B47" s="64" t="str">
        <v>Hudson</v>
      </c>
      <c r="C47" s="81">
        <f ca="1">SUM(Oct!C47, Nov!C47, Dec!C47)</f>
        <v>0</v>
      </c>
      <c r="D47" s="50">
        <f ca="1">SUM(Oct!D47, Nov!D47, Dec!D47)</f>
        <v>0</v>
      </c>
      <c r="E47" s="50">
        <f t="shared" ca="1" si="1"/>
        <v>0</v>
      </c>
      <c r="F47" s="51">
        <f t="shared" ca="1" si="2"/>
        <v>0</v>
      </c>
      <c r="G47" s="52">
        <f ca="1">SUM(Oct!G47, Nov!G47, Dec!G47)</f>
        <v>0</v>
      </c>
      <c r="H47" s="52">
        <f t="shared" ca="1" si="3"/>
        <v>0</v>
      </c>
      <c r="I47" s="53">
        <f t="shared" ca="1" si="4"/>
        <v>0</v>
      </c>
    </row>
    <row r="48" spans="1:9" ht="15.75">
      <c r="A48" s="59" t="str">
        <v>Q074</v>
      </c>
      <c r="B48" s="21" t="str">
        <v>Hudson</v>
      </c>
      <c r="C48" s="81">
        <f ca="1">SUM(Oct!C48, Nov!C48, Dec!C48)</f>
        <v>0</v>
      </c>
      <c r="D48" s="50">
        <f ca="1">SUM(Oct!D48, Nov!D48, Dec!D48)</f>
        <v>0</v>
      </c>
      <c r="E48" s="50">
        <f t="shared" ca="1" si="1"/>
        <v>0</v>
      </c>
      <c r="F48" s="51">
        <f t="shared" ca="1" si="2"/>
        <v>0</v>
      </c>
      <c r="G48" s="52">
        <f ca="1">SUM(Oct!G48, Nov!G48, Dec!G48)</f>
        <v>0</v>
      </c>
      <c r="H48" s="52">
        <f t="shared" ca="1" si="3"/>
        <v>0</v>
      </c>
      <c r="I48" s="53">
        <f t="shared" ca="1" si="4"/>
        <v>0</v>
      </c>
    </row>
    <row r="49" spans="1:9" ht="15.75">
      <c r="A49" s="63" t="str">
        <v>Q115</v>
      </c>
      <c r="B49" s="64" t="str">
        <v>Hudson</v>
      </c>
      <c r="C49" s="81">
        <f ca="1">SUM(Oct!C49, Nov!C49, Dec!C49)</f>
        <v>0</v>
      </c>
      <c r="D49" s="50">
        <f ca="1">SUM(Oct!D49, Nov!D49, Dec!D49)</f>
        <v>0</v>
      </c>
      <c r="E49" s="50">
        <f t="shared" ca="1" si="1"/>
        <v>0</v>
      </c>
      <c r="F49" s="51">
        <f t="shared" ca="1" si="2"/>
        <v>0</v>
      </c>
      <c r="G49" s="52">
        <f ca="1">SUM(Oct!G49, Nov!G49, Dec!G49)</f>
        <v>0</v>
      </c>
      <c r="H49" s="52">
        <f t="shared" ca="1" si="3"/>
        <v>0</v>
      </c>
      <c r="I49" s="53">
        <f t="shared" ca="1" si="4"/>
        <v>0</v>
      </c>
    </row>
    <row r="50" spans="1:9" ht="15.75">
      <c r="A50" s="59" t="str">
        <v>Q139</v>
      </c>
      <c r="B50" s="21" t="str">
        <v>Hudson</v>
      </c>
      <c r="C50" s="81">
        <f ca="1">SUM(Oct!C50, Nov!C50, Dec!C50)</f>
        <v>0</v>
      </c>
      <c r="D50" s="50">
        <f ca="1">SUM(Oct!D50, Nov!D50, Dec!D50)</f>
        <v>0</v>
      </c>
      <c r="E50" s="50">
        <f t="shared" ca="1" si="1"/>
        <v>0</v>
      </c>
      <c r="F50" s="51">
        <f t="shared" ca="1" si="2"/>
        <v>0</v>
      </c>
      <c r="G50" s="52">
        <f ca="1">SUM(Oct!G50, Nov!G50, Dec!G50)</f>
        <v>0</v>
      </c>
      <c r="H50" s="52">
        <f t="shared" ca="1" si="3"/>
        <v>0</v>
      </c>
      <c r="I50" s="53">
        <f t="shared" ca="1" si="4"/>
        <v>0</v>
      </c>
    </row>
    <row r="51" spans="1:9" ht="15.75">
      <c r="A51" s="63" t="str">
        <v>Q157</v>
      </c>
      <c r="B51" s="64" t="str">
        <v>Hudson</v>
      </c>
      <c r="C51" s="81">
        <f ca="1">SUM(Oct!C51, Nov!C51, Dec!C51)</f>
        <v>0</v>
      </c>
      <c r="D51" s="50">
        <f ca="1">SUM(Oct!D51, Nov!D51, Dec!D51)</f>
        <v>0</v>
      </c>
      <c r="E51" s="50">
        <f t="shared" ca="1" si="1"/>
        <v>0</v>
      </c>
      <c r="F51" s="51">
        <f t="shared" ca="1" si="2"/>
        <v>0</v>
      </c>
      <c r="G51" s="52">
        <f ca="1">SUM(Oct!G51, Nov!G51, Dec!G51)</f>
        <v>0</v>
      </c>
      <c r="H51" s="52">
        <f t="shared" ca="1" si="3"/>
        <v>0</v>
      </c>
      <c r="I51" s="53">
        <f t="shared" ca="1" si="4"/>
        <v>0</v>
      </c>
    </row>
    <row r="52" spans="1:9" ht="15.75">
      <c r="A52" s="59" t="str">
        <v>Q192</v>
      </c>
      <c r="B52" s="21" t="str">
        <v>Hudson</v>
      </c>
      <c r="C52" s="81">
        <f ca="1">SUM(Oct!C52, Nov!C52, Dec!C52)</f>
        <v>0</v>
      </c>
      <c r="D52" s="50">
        <f ca="1">SUM(Oct!D52, Nov!D52, Dec!D52)</f>
        <v>0</v>
      </c>
      <c r="E52" s="50">
        <f t="shared" ca="1" si="1"/>
        <v>0</v>
      </c>
      <c r="F52" s="51">
        <f t="shared" ca="1" si="2"/>
        <v>0</v>
      </c>
      <c r="G52" s="52">
        <f ca="1">SUM(Oct!G52, Nov!G52, Dec!G52)</f>
        <v>0</v>
      </c>
      <c r="H52" s="52">
        <f t="shared" ca="1" si="3"/>
        <v>0</v>
      </c>
      <c r="I52" s="53">
        <f t="shared" ca="1" si="4"/>
        <v>0</v>
      </c>
    </row>
    <row r="53" spans="1:9" ht="15.75">
      <c r="A53" s="63" t="str">
        <v>Q210</v>
      </c>
      <c r="B53" s="64" t="str">
        <v>Hudson</v>
      </c>
      <c r="C53" s="81">
        <f ca="1">SUM(Oct!C53, Nov!C53, Dec!C53)</f>
        <v>0</v>
      </c>
      <c r="D53" s="50">
        <f ca="1">SUM(Oct!D53, Nov!D53, Dec!D53)</f>
        <v>0</v>
      </c>
      <c r="E53" s="50">
        <f t="shared" ca="1" si="1"/>
        <v>0</v>
      </c>
      <c r="F53" s="51">
        <f t="shared" ca="1" si="2"/>
        <v>0</v>
      </c>
      <c r="G53" s="52">
        <f ca="1">SUM(Oct!G53, Nov!G53, Dec!G53)</f>
        <v>0</v>
      </c>
      <c r="H53" s="52">
        <f t="shared" ca="1" si="3"/>
        <v>0</v>
      </c>
      <c r="I53" s="53">
        <f t="shared" ca="1" si="4"/>
        <v>0</v>
      </c>
    </row>
    <row r="54" spans="1:9" ht="15.75">
      <c r="A54" s="59" t="str">
        <v>Q229</v>
      </c>
      <c r="B54" s="21" t="str">
        <v>Hudson</v>
      </c>
      <c r="C54" s="81">
        <f ca="1">SUM(Oct!C54, Nov!C54, Dec!C54)</f>
        <v>0</v>
      </c>
      <c r="D54" s="50">
        <f ca="1">SUM(Oct!D54, Nov!D54, Dec!D54)</f>
        <v>0</v>
      </c>
      <c r="E54" s="50">
        <f t="shared" ca="1" si="1"/>
        <v>0</v>
      </c>
      <c r="F54" s="51">
        <f t="shared" ca="1" si="2"/>
        <v>0</v>
      </c>
      <c r="G54" s="52">
        <f ca="1">SUM(Oct!G54, Nov!G54, Dec!G54)</f>
        <v>0</v>
      </c>
      <c r="H54" s="52">
        <f t="shared" ca="1" si="3"/>
        <v>0</v>
      </c>
      <c r="I54" s="53">
        <f t="shared" ca="1" si="4"/>
        <v>0</v>
      </c>
    </row>
    <row r="55" spans="1:9" ht="15.75">
      <c r="A55" s="63" t="str">
        <v>Q231</v>
      </c>
      <c r="B55" s="64" t="str">
        <v>Hudson</v>
      </c>
      <c r="C55" s="81">
        <f ca="1">SUM(Oct!C55, Nov!C55, Dec!C55)</f>
        <v>0</v>
      </c>
      <c r="D55" s="50">
        <f ca="1">SUM(Oct!D55, Nov!D55, Dec!D55)</f>
        <v>0</v>
      </c>
      <c r="E55" s="50">
        <f t="shared" ca="1" si="1"/>
        <v>0</v>
      </c>
      <c r="F55" s="51">
        <f t="shared" ca="1" si="2"/>
        <v>0</v>
      </c>
      <c r="G55" s="52">
        <f ca="1">SUM(Oct!G55, Nov!G55, Dec!G55)</f>
        <v>0</v>
      </c>
      <c r="H55" s="52">
        <f t="shared" ca="1" si="3"/>
        <v>0</v>
      </c>
      <c r="I55" s="53">
        <f t="shared" ca="1" si="4"/>
        <v>0</v>
      </c>
    </row>
    <row r="56" spans="1:9" ht="15.75">
      <c r="A56" s="59" t="str">
        <v>Q405</v>
      </c>
      <c r="B56" s="21" t="str">
        <v>Hudson</v>
      </c>
      <c r="C56" s="81">
        <f ca="1">SUM(Oct!C56, Nov!C56, Dec!C56)</f>
        <v>0</v>
      </c>
      <c r="D56" s="50">
        <f ca="1">SUM(Oct!D56, Nov!D56, Dec!D56)</f>
        <v>0</v>
      </c>
      <c r="E56" s="50">
        <f t="shared" ca="1" si="1"/>
        <v>0</v>
      </c>
      <c r="F56" s="51">
        <f t="shared" ca="1" si="2"/>
        <v>0</v>
      </c>
      <c r="G56" s="52">
        <f ca="1">SUM(Oct!G56, Nov!G56, Dec!G56)</f>
        <v>0</v>
      </c>
      <c r="H56" s="52">
        <f t="shared" ca="1" si="3"/>
        <v>0</v>
      </c>
      <c r="I56" s="53">
        <f t="shared" ca="1" si="4"/>
        <v>0</v>
      </c>
    </row>
    <row r="57" spans="1:9" ht="15.75">
      <c r="A57" s="63" t="str">
        <v>Q435</v>
      </c>
      <c r="B57" s="64" t="str">
        <v>Hudson</v>
      </c>
      <c r="C57" s="81">
        <f ca="1">SUM(Oct!C57, Nov!C57, Dec!C57)</f>
        <v>0</v>
      </c>
      <c r="D57" s="50">
        <f ca="1">SUM(Oct!D57, Nov!D57, Dec!D57)</f>
        <v>0</v>
      </c>
      <c r="E57" s="50">
        <f t="shared" ca="1" si="1"/>
        <v>0</v>
      </c>
      <c r="F57" s="51">
        <f t="shared" ca="1" si="2"/>
        <v>0</v>
      </c>
      <c r="G57" s="52">
        <f ca="1">SUM(Oct!G57, Nov!G57, Dec!G57)</f>
        <v>0</v>
      </c>
      <c r="H57" s="52">
        <f t="shared" ca="1" si="3"/>
        <v>0</v>
      </c>
      <c r="I57" s="53">
        <f t="shared" ca="1" si="4"/>
        <v>0</v>
      </c>
    </row>
    <row r="58" spans="1:9" ht="15.75">
      <c r="A58" s="59" t="str">
        <v>Q485</v>
      </c>
      <c r="B58" s="21" t="str">
        <v>Hudson</v>
      </c>
      <c r="C58" s="81">
        <f ca="1">SUM(Oct!C58, Nov!C58, Dec!C58)</f>
        <v>0</v>
      </c>
      <c r="D58" s="50">
        <f ca="1">SUM(Oct!D58, Nov!D58, Dec!D58)</f>
        <v>0</v>
      </c>
      <c r="E58" s="50">
        <f t="shared" ca="1" si="1"/>
        <v>0</v>
      </c>
      <c r="F58" s="51">
        <f t="shared" ca="1" si="2"/>
        <v>0</v>
      </c>
      <c r="G58" s="52">
        <f ca="1">SUM(Oct!G58, Nov!G58, Dec!G58)</f>
        <v>0</v>
      </c>
      <c r="H58" s="52">
        <f t="shared" ca="1" si="3"/>
        <v>0</v>
      </c>
      <c r="I58" s="53">
        <f t="shared" ca="1" si="4"/>
        <v>0</v>
      </c>
    </row>
    <row r="59" spans="1:9" ht="15.75">
      <c r="A59" s="63" t="str">
        <v>Q490</v>
      </c>
      <c r="B59" s="64" t="str">
        <v>Hudson</v>
      </c>
      <c r="C59" s="81">
        <f ca="1">SUM(Oct!C59, Nov!C59, Dec!C59)</f>
        <v>0</v>
      </c>
      <c r="D59" s="50">
        <f ca="1">SUM(Oct!D59, Nov!D59, Dec!D59)</f>
        <v>0</v>
      </c>
      <c r="E59" s="50">
        <f t="shared" ca="1" si="1"/>
        <v>0</v>
      </c>
      <c r="F59" s="51">
        <f t="shared" ca="1" si="2"/>
        <v>0</v>
      </c>
      <c r="G59" s="52">
        <f ca="1">SUM(Oct!G59, Nov!G59, Dec!G59)</f>
        <v>0</v>
      </c>
      <c r="H59" s="52">
        <f t="shared" ca="1" si="3"/>
        <v>0</v>
      </c>
      <c r="I59" s="53">
        <f t="shared" ca="1" si="4"/>
        <v>0</v>
      </c>
    </row>
    <row r="60" spans="1:9" ht="15.75">
      <c r="A60" s="59" t="str">
        <v>Q620</v>
      </c>
      <c r="B60" s="21" t="str">
        <v>Hudson</v>
      </c>
      <c r="C60" s="81">
        <f ca="1">SUM(Oct!C60, Nov!C60, Dec!C60)</f>
        <v>0</v>
      </c>
      <c r="D60" s="50">
        <f ca="1">SUM(Oct!D60, Nov!D60, Dec!D60)</f>
        <v>0</v>
      </c>
      <c r="E60" s="50">
        <f t="shared" ca="1" si="1"/>
        <v>0</v>
      </c>
      <c r="F60" s="51">
        <f t="shared" ca="1" si="2"/>
        <v>0</v>
      </c>
      <c r="G60" s="52">
        <f ca="1">SUM(Oct!G60, Nov!G60, Dec!G60)</f>
        <v>0</v>
      </c>
      <c r="H60" s="52">
        <f t="shared" ca="1" si="3"/>
        <v>0</v>
      </c>
      <c r="I60" s="53">
        <f t="shared" ca="1" si="4"/>
        <v>0</v>
      </c>
    </row>
    <row r="61" spans="1:9" ht="15.75">
      <c r="A61" s="63" t="str">
        <v>QMOA</v>
      </c>
      <c r="B61" s="64" t="str">
        <v>Hudson</v>
      </c>
      <c r="C61" s="81">
        <f ca="1">SUM(Oct!C61, Nov!C61, Dec!C61)</f>
        <v>0</v>
      </c>
      <c r="D61" s="50">
        <f ca="1">SUM(Oct!D61, Nov!D61, Dec!D61)</f>
        <v>0</v>
      </c>
      <c r="E61" s="50">
        <f t="shared" ca="1" si="1"/>
        <v>0</v>
      </c>
      <c r="F61" s="51">
        <f t="shared" ca="1" si="2"/>
        <v>0</v>
      </c>
      <c r="G61" s="52">
        <f ca="1">SUM(Oct!G61, Nov!G61, Dec!G61)</f>
        <v>0</v>
      </c>
      <c r="H61" s="52">
        <f t="shared" ca="1" si="3"/>
        <v>0</v>
      </c>
      <c r="I61" s="53">
        <f t="shared" ca="1" si="4"/>
        <v>0</v>
      </c>
    </row>
    <row r="62" spans="1:9" ht="15.75">
      <c r="A62" s="59" t="str">
        <v>X024</v>
      </c>
      <c r="B62" s="21" t="str">
        <v>Hudson</v>
      </c>
      <c r="C62" s="81">
        <f ca="1">SUM(Oct!C62, Nov!C62, Dec!C62)</f>
        <v>0</v>
      </c>
      <c r="D62" s="50">
        <f ca="1">SUM(Oct!D62, Nov!D62, Dec!D62)</f>
        <v>0</v>
      </c>
      <c r="E62" s="50">
        <f t="shared" ca="1" si="1"/>
        <v>0</v>
      </c>
      <c r="F62" s="51">
        <f t="shared" ca="1" si="2"/>
        <v>0</v>
      </c>
      <c r="G62" s="52">
        <f ca="1">SUM(Oct!G62, Nov!G62, Dec!G62)</f>
        <v>0</v>
      </c>
      <c r="H62" s="52">
        <f t="shared" ca="1" si="3"/>
        <v>0</v>
      </c>
      <c r="I62" s="53">
        <f t="shared" ca="1" si="4"/>
        <v>0</v>
      </c>
    </row>
    <row r="63" spans="1:9" ht="15.75">
      <c r="A63" s="63" t="str">
        <v>X026</v>
      </c>
      <c r="B63" s="64" t="str">
        <v>Hudson</v>
      </c>
      <c r="C63" s="81">
        <f ca="1">SUM(Oct!C63, Nov!C63, Dec!C63)</f>
        <v>0</v>
      </c>
      <c r="D63" s="50">
        <f ca="1">SUM(Oct!D63, Nov!D63, Dec!D63)</f>
        <v>0</v>
      </c>
      <c r="E63" s="50">
        <f t="shared" ca="1" si="1"/>
        <v>0</v>
      </c>
      <c r="F63" s="51">
        <f t="shared" ca="1" si="2"/>
        <v>0</v>
      </c>
      <c r="G63" s="52">
        <f ca="1">SUM(Oct!G63, Nov!G63, Dec!G63)</f>
        <v>0</v>
      </c>
      <c r="H63" s="52">
        <f t="shared" ca="1" si="3"/>
        <v>0</v>
      </c>
      <c r="I63" s="53">
        <f t="shared" ca="1" si="4"/>
        <v>0</v>
      </c>
    </row>
    <row r="64" spans="1:9" ht="15.75">
      <c r="A64" s="59" t="str">
        <v>X090</v>
      </c>
      <c r="B64" s="21" t="str">
        <v>Hudson</v>
      </c>
      <c r="C64" s="81">
        <f ca="1">SUM(Oct!C64, Nov!C64, Dec!C64)</f>
        <v>0</v>
      </c>
      <c r="D64" s="50">
        <f ca="1">SUM(Oct!D64, Nov!D64, Dec!D64)</f>
        <v>0</v>
      </c>
      <c r="E64" s="50">
        <f t="shared" ca="1" si="1"/>
        <v>0</v>
      </c>
      <c r="F64" s="51">
        <f t="shared" ca="1" si="2"/>
        <v>0</v>
      </c>
      <c r="G64" s="52">
        <f ca="1">SUM(Oct!G64, Nov!G64, Dec!G64)</f>
        <v>0</v>
      </c>
      <c r="H64" s="52">
        <f t="shared" ca="1" si="3"/>
        <v>0</v>
      </c>
      <c r="I64" s="53">
        <f t="shared" ca="1" si="4"/>
        <v>0</v>
      </c>
    </row>
    <row r="65" spans="1:9" ht="15.75">
      <c r="A65" s="63" t="str">
        <v>X117</v>
      </c>
      <c r="B65" s="64" t="str">
        <v>Hudson</v>
      </c>
      <c r="C65" s="81">
        <f ca="1">SUM(Oct!C65, Nov!C65, Dec!C65)</f>
        <v>0</v>
      </c>
      <c r="D65" s="50">
        <f ca="1">SUM(Oct!D65, Nov!D65, Dec!D65)</f>
        <v>0</v>
      </c>
      <c r="E65" s="50">
        <f t="shared" ca="1" si="1"/>
        <v>0</v>
      </c>
      <c r="F65" s="51">
        <f t="shared" ca="1" si="2"/>
        <v>0</v>
      </c>
      <c r="G65" s="52">
        <f ca="1">SUM(Oct!G65, Nov!G65, Dec!G65)</f>
        <v>0</v>
      </c>
      <c r="H65" s="52">
        <f t="shared" ca="1" si="3"/>
        <v>0</v>
      </c>
      <c r="I65" s="53">
        <f t="shared" ca="1" si="4"/>
        <v>0</v>
      </c>
    </row>
    <row r="66" spans="1:9" ht="15.75">
      <c r="A66" s="59" t="str">
        <v>X125</v>
      </c>
      <c r="B66" s="21" t="str">
        <v>Hudson</v>
      </c>
      <c r="C66" s="81">
        <f ca="1">SUM(Oct!C66, Nov!C66, Dec!C66)</f>
        <v>0</v>
      </c>
      <c r="D66" s="50">
        <f ca="1">SUM(Oct!D66, Nov!D66, Dec!D66)</f>
        <v>0</v>
      </c>
      <c r="E66" s="50">
        <f t="shared" ca="1" si="1"/>
        <v>0</v>
      </c>
      <c r="F66" s="51">
        <f t="shared" ca="1" si="2"/>
        <v>0</v>
      </c>
      <c r="G66" s="52">
        <f ca="1">SUM(Oct!G66, Nov!G66, Dec!G66)</f>
        <v>0</v>
      </c>
      <c r="H66" s="52">
        <f t="shared" ca="1" si="3"/>
        <v>0</v>
      </c>
      <c r="I66" s="53">
        <f t="shared" ca="1" si="4"/>
        <v>0</v>
      </c>
    </row>
    <row r="67" spans="1:9" ht="15.75">
      <c r="A67" s="63" t="str">
        <v>X134</v>
      </c>
      <c r="B67" s="64" t="str">
        <v>Hudson</v>
      </c>
      <c r="C67" s="81">
        <f ca="1">SUM(Oct!C67, Nov!C67, Dec!C67)</f>
        <v>0</v>
      </c>
      <c r="D67" s="50">
        <f ca="1">SUM(Oct!D67, Nov!D67, Dec!D67)</f>
        <v>0</v>
      </c>
      <c r="E67" s="50">
        <f t="shared" ca="1" si="1"/>
        <v>0</v>
      </c>
      <c r="F67" s="51">
        <f t="shared" ca="1" si="2"/>
        <v>0</v>
      </c>
      <c r="G67" s="52">
        <f ca="1">SUM(Oct!G67, Nov!G67, Dec!G67)</f>
        <v>0</v>
      </c>
      <c r="H67" s="52">
        <f t="shared" ca="1" si="3"/>
        <v>0</v>
      </c>
      <c r="I67" s="53">
        <f t="shared" ca="1" si="4"/>
        <v>0</v>
      </c>
    </row>
    <row r="68" spans="1:9" ht="15.75">
      <c r="A68" s="59" t="str">
        <v>X135</v>
      </c>
      <c r="B68" s="21" t="str">
        <v>Hudson</v>
      </c>
      <c r="C68" s="81">
        <f ca="1">SUM(Oct!C68, Nov!C68, Dec!C68)</f>
        <v>0</v>
      </c>
      <c r="D68" s="50">
        <f ca="1">SUM(Oct!D68, Nov!D68, Dec!D68)</f>
        <v>0</v>
      </c>
      <c r="E68" s="50">
        <f t="shared" ref="E68:E131" ca="1" si="5">C68-D68</f>
        <v>0</v>
      </c>
      <c r="F68" s="51">
        <f t="shared" ref="F68:F131" ca="1" si="6">IFERROR(E68/D68, 0)</f>
        <v>0</v>
      </c>
      <c r="G68" s="52">
        <f ca="1">SUM(Oct!G68, Nov!G68, Dec!G68)</f>
        <v>0</v>
      </c>
      <c r="H68" s="52">
        <f t="shared" ref="H68:H131" ca="1" si="7">C68-G68</f>
        <v>0</v>
      </c>
      <c r="I68" s="53">
        <f t="shared" ref="I68:I131" ca="1" si="8">IFERROR(H68/G68, 0)</f>
        <v>0</v>
      </c>
    </row>
    <row r="69" spans="1:9" ht="15.75">
      <c r="A69" s="63" t="str">
        <v>X139 JHS 222</v>
      </c>
      <c r="B69" s="64" t="str">
        <v>Hudson</v>
      </c>
      <c r="C69" s="81">
        <f ca="1">SUM(Oct!C69, Nov!C69, Dec!C69)</f>
        <v>0</v>
      </c>
      <c r="D69" s="50">
        <f ca="1">SUM(Oct!D69, Nov!D69, Dec!D69)</f>
        <v>0</v>
      </c>
      <c r="E69" s="50">
        <f t="shared" ca="1" si="5"/>
        <v>0</v>
      </c>
      <c r="F69" s="51">
        <f t="shared" ca="1" si="6"/>
        <v>0</v>
      </c>
      <c r="G69" s="52">
        <f ca="1">SUM(Oct!G69, Nov!G69, Dec!G69)</f>
        <v>0</v>
      </c>
      <c r="H69" s="52">
        <f t="shared" ca="1" si="7"/>
        <v>0</v>
      </c>
      <c r="I69" s="53">
        <f t="shared" ca="1" si="8"/>
        <v>0</v>
      </c>
    </row>
    <row r="70" spans="1:9" ht="15.75">
      <c r="A70" s="59" t="str">
        <v>X140</v>
      </c>
      <c r="B70" s="21" t="str">
        <v>Hudson</v>
      </c>
      <c r="C70" s="81">
        <f ca="1">SUM(Oct!C70, Nov!C70, Dec!C70)</f>
        <v>0</v>
      </c>
      <c r="D70" s="50">
        <f ca="1">SUM(Oct!D70, Nov!D70, Dec!D70)</f>
        <v>0</v>
      </c>
      <c r="E70" s="50">
        <f t="shared" ca="1" si="5"/>
        <v>0</v>
      </c>
      <c r="F70" s="51">
        <f t="shared" ca="1" si="6"/>
        <v>0</v>
      </c>
      <c r="G70" s="52">
        <f ca="1">SUM(Oct!G70, Nov!G70, Dec!G70)</f>
        <v>0</v>
      </c>
      <c r="H70" s="52">
        <f t="shared" ca="1" si="7"/>
        <v>0</v>
      </c>
      <c r="I70" s="53">
        <f t="shared" ca="1" si="8"/>
        <v>0</v>
      </c>
    </row>
    <row r="71" spans="1:9" ht="15.75">
      <c r="A71" s="63" t="str">
        <v>X166</v>
      </c>
      <c r="B71" s="64" t="str">
        <v>Hudson</v>
      </c>
      <c r="C71" s="81">
        <f ca="1">SUM(Oct!C71, Nov!C71, Dec!C71)</f>
        <v>0</v>
      </c>
      <c r="D71" s="50">
        <f ca="1">SUM(Oct!D71, Nov!D71, Dec!D71)</f>
        <v>0</v>
      </c>
      <c r="E71" s="50">
        <f t="shared" ca="1" si="5"/>
        <v>0</v>
      </c>
      <c r="F71" s="51">
        <f t="shared" ca="1" si="6"/>
        <v>0</v>
      </c>
      <c r="G71" s="52">
        <f ca="1">SUM(Oct!G71, Nov!G71, Dec!G71)</f>
        <v>0</v>
      </c>
      <c r="H71" s="52">
        <f t="shared" ca="1" si="7"/>
        <v>0</v>
      </c>
      <c r="I71" s="53">
        <f t="shared" ca="1" si="8"/>
        <v>0</v>
      </c>
    </row>
    <row r="72" spans="1:9" ht="15.75">
      <c r="A72" s="59" t="str">
        <v>Murphy</v>
      </c>
      <c r="B72" s="21" t="str">
        <v>MN Community Solar</v>
      </c>
      <c r="C72" s="81">
        <f ca="1">SUM(Oct!C72, Nov!C72, Dec!C72)</f>
        <v>0</v>
      </c>
      <c r="D72" s="50">
        <f ca="1">SUM(Oct!D72, Nov!D72, Dec!D72)</f>
        <v>0</v>
      </c>
      <c r="E72" s="50">
        <f t="shared" ca="1" si="5"/>
        <v>0</v>
      </c>
      <c r="F72" s="51">
        <f t="shared" ca="1" si="6"/>
        <v>0</v>
      </c>
      <c r="G72" s="52">
        <f ca="1">SUM(Oct!G72, Nov!G72, Dec!G72)</f>
        <v>0</v>
      </c>
      <c r="H72" s="52">
        <f t="shared" ca="1" si="7"/>
        <v>0</v>
      </c>
      <c r="I72" s="53">
        <f t="shared" ca="1" si="8"/>
        <v>0</v>
      </c>
    </row>
    <row r="73" spans="1:9" ht="15.75">
      <c r="A73" s="63" t="str">
        <v>Terning</v>
      </c>
      <c r="B73" s="64" t="str">
        <v>MN Community Solar</v>
      </c>
      <c r="C73" s="81">
        <f ca="1">SUM(Oct!C73, Nov!C73, Dec!C73)</f>
        <v>0</v>
      </c>
      <c r="D73" s="50">
        <f ca="1">SUM(Oct!D73, Nov!D73, Dec!D73)</f>
        <v>0</v>
      </c>
      <c r="E73" s="50">
        <f t="shared" ca="1" si="5"/>
        <v>0</v>
      </c>
      <c r="F73" s="51">
        <f t="shared" ca="1" si="6"/>
        <v>0</v>
      </c>
      <c r="G73" s="52">
        <f ca="1">SUM(Oct!G73, Nov!G73, Dec!G73)</f>
        <v>0</v>
      </c>
      <c r="H73" s="52">
        <f t="shared" ca="1" si="7"/>
        <v>0</v>
      </c>
      <c r="I73" s="53">
        <f t="shared" ca="1" si="8"/>
        <v>0</v>
      </c>
    </row>
    <row r="74" spans="1:9" ht="15.75">
      <c r="A74" s="59" t="str">
        <v>Boas Road 04</v>
      </c>
      <c r="B74" s="21" t="str">
        <v>NYCS I</v>
      </c>
      <c r="C74" s="81">
        <f ca="1">SUM(Oct!C74, Nov!C74, Dec!C74)</f>
        <v>0</v>
      </c>
      <c r="D74" s="50">
        <f ca="1">SUM(Oct!D74, Nov!D74, Dec!D74)</f>
        <v>0</v>
      </c>
      <c r="E74" s="50">
        <f t="shared" ca="1" si="5"/>
        <v>0</v>
      </c>
      <c r="F74" s="51">
        <f t="shared" ca="1" si="6"/>
        <v>0</v>
      </c>
      <c r="G74" s="52">
        <f ca="1">SUM(Oct!G74, Nov!G74, Dec!G74)</f>
        <v>0</v>
      </c>
      <c r="H74" s="52">
        <f t="shared" ca="1" si="7"/>
        <v>0</v>
      </c>
      <c r="I74" s="53">
        <f t="shared" ca="1" si="8"/>
        <v>0</v>
      </c>
    </row>
    <row r="75" spans="1:9" ht="15.75">
      <c r="A75" s="63" t="str">
        <v>Kelly Bridge Farm</v>
      </c>
      <c r="B75" s="64" t="str">
        <v>NYCS I</v>
      </c>
      <c r="C75" s="81">
        <f ca="1">SUM(Oct!C75, Nov!C75, Dec!C75)</f>
        <v>0</v>
      </c>
      <c r="D75" s="50">
        <f ca="1">SUM(Oct!D75, Nov!D75, Dec!D75)</f>
        <v>0</v>
      </c>
      <c r="E75" s="50">
        <f t="shared" ca="1" si="5"/>
        <v>0</v>
      </c>
      <c r="F75" s="51">
        <f t="shared" ca="1" si="6"/>
        <v>0</v>
      </c>
      <c r="G75" s="52">
        <f ca="1">SUM(Oct!G75, Nov!G75, Dec!G75)</f>
        <v>0</v>
      </c>
      <c r="H75" s="52">
        <f t="shared" ca="1" si="7"/>
        <v>0</v>
      </c>
      <c r="I75" s="53">
        <f t="shared" ca="1" si="8"/>
        <v>0</v>
      </c>
    </row>
    <row r="76" spans="1:9" ht="15.75">
      <c r="A76" s="59" t="str">
        <v>Pool Brook Road</v>
      </c>
      <c r="B76" s="21" t="str">
        <v>NYCS I</v>
      </c>
      <c r="C76" s="81">
        <f ca="1">SUM(Oct!C76, Nov!C76, Dec!C76)</f>
        <v>0</v>
      </c>
      <c r="D76" s="50">
        <f ca="1">SUM(Oct!D76, Nov!D76, Dec!D76)</f>
        <v>0</v>
      </c>
      <c r="E76" s="50">
        <f t="shared" ca="1" si="5"/>
        <v>0</v>
      </c>
      <c r="F76" s="51">
        <f t="shared" ca="1" si="6"/>
        <v>0</v>
      </c>
      <c r="G76" s="52">
        <f ca="1">SUM(Oct!G76, Nov!G76, Dec!G76)</f>
        <v>0</v>
      </c>
      <c r="H76" s="52">
        <f t="shared" ca="1" si="7"/>
        <v>0</v>
      </c>
      <c r="I76" s="53">
        <f t="shared" ca="1" si="8"/>
        <v>0</v>
      </c>
    </row>
    <row r="77" spans="1:9" ht="15.75">
      <c r="A77" s="63" t="str">
        <v>Sackett Lake</v>
      </c>
      <c r="B77" s="64" t="str">
        <v>NYCS I</v>
      </c>
      <c r="C77" s="81">
        <f ca="1">SUM(Oct!C77, Nov!C77, Dec!C77)</f>
        <v>0</v>
      </c>
      <c r="D77" s="50">
        <f ca="1">SUM(Oct!D77, Nov!D77, Dec!D77)</f>
        <v>0</v>
      </c>
      <c r="E77" s="50">
        <f t="shared" ca="1" si="5"/>
        <v>0</v>
      </c>
      <c r="F77" s="51">
        <f t="shared" ca="1" si="6"/>
        <v>0</v>
      </c>
      <c r="G77" s="52">
        <f ca="1">SUM(Oct!G77, Nov!G77, Dec!G77)</f>
        <v>0</v>
      </c>
      <c r="H77" s="52">
        <f t="shared" ca="1" si="7"/>
        <v>0</v>
      </c>
      <c r="I77" s="53">
        <f t="shared" ca="1" si="8"/>
        <v>0</v>
      </c>
    </row>
    <row r="78" spans="1:9" ht="12.75" customHeight="1">
      <c r="A78" s="59" t="str">
        <v>Burritt Road</v>
      </c>
      <c r="B78" s="21" t="str">
        <v>NYCS II</v>
      </c>
      <c r="C78" s="81">
        <f ca="1">SUM(Oct!C78, Nov!C78, Dec!C78)</f>
        <v>0</v>
      </c>
      <c r="D78" s="50">
        <f ca="1">SUM(Oct!D78, Nov!D78, Dec!D78)</f>
        <v>0</v>
      </c>
      <c r="E78" s="50">
        <f t="shared" ca="1" si="5"/>
        <v>0</v>
      </c>
      <c r="F78" s="51">
        <f t="shared" ca="1" si="6"/>
        <v>0</v>
      </c>
      <c r="G78" s="52">
        <f ca="1">SUM(Oct!G78, Nov!G78, Dec!G78)</f>
        <v>0</v>
      </c>
      <c r="H78" s="52">
        <f t="shared" ca="1" si="7"/>
        <v>0</v>
      </c>
      <c r="I78" s="53">
        <f t="shared" ca="1" si="8"/>
        <v>0</v>
      </c>
    </row>
    <row r="79" spans="1:9" ht="15.75">
      <c r="A79" s="63" t="str">
        <v>Villa Roma 1</v>
      </c>
      <c r="B79" s="64" t="str">
        <v>NYCS II</v>
      </c>
      <c r="C79" s="81">
        <f ca="1">SUM(Oct!C79, Nov!C79, Dec!C79)</f>
        <v>0</v>
      </c>
      <c r="D79" s="50">
        <f ca="1">SUM(Oct!D79, Nov!D79, Dec!D79)</f>
        <v>0</v>
      </c>
      <c r="E79" s="50">
        <f t="shared" ca="1" si="5"/>
        <v>0</v>
      </c>
      <c r="F79" s="51">
        <f t="shared" ca="1" si="6"/>
        <v>0</v>
      </c>
      <c r="G79" s="52">
        <f ca="1">SUM(Oct!G79, Nov!G79, Dec!G79)</f>
        <v>0</v>
      </c>
      <c r="H79" s="52">
        <f t="shared" ca="1" si="7"/>
        <v>0</v>
      </c>
      <c r="I79" s="53">
        <f t="shared" ca="1" si="8"/>
        <v>0</v>
      </c>
    </row>
    <row r="80" spans="1:9" ht="12.75" customHeight="1">
      <c r="A80" s="59" t="str">
        <v>Villa Roma 2</v>
      </c>
      <c r="B80" s="21" t="str">
        <v>NYCS II</v>
      </c>
      <c r="C80" s="81">
        <f ca="1">SUM(Oct!C80, Nov!C80, Dec!C80)</f>
        <v>0</v>
      </c>
      <c r="D80" s="50">
        <f ca="1">SUM(Oct!D80, Nov!D80, Dec!D80)</f>
        <v>0</v>
      </c>
      <c r="E80" s="50">
        <f t="shared" ca="1" si="5"/>
        <v>0</v>
      </c>
      <c r="F80" s="51">
        <f t="shared" ca="1" si="6"/>
        <v>0</v>
      </c>
      <c r="G80" s="52">
        <f ca="1">SUM(Oct!G80, Nov!G80, Dec!G80)</f>
        <v>0</v>
      </c>
      <c r="H80" s="52">
        <f t="shared" ca="1" si="7"/>
        <v>0</v>
      </c>
      <c r="I80" s="53">
        <f t="shared" ca="1" si="8"/>
        <v>0</v>
      </c>
    </row>
    <row r="81" spans="1:9" ht="15.75">
      <c r="A81" s="63" t="str">
        <v>Washington 1</v>
      </c>
      <c r="B81" s="64" t="str">
        <v>NYCS II</v>
      </c>
      <c r="C81" s="81">
        <f ca="1">SUM(Oct!C81, Nov!C81, Dec!C81)</f>
        <v>0</v>
      </c>
      <c r="D81" s="50">
        <f ca="1">SUM(Oct!D81, Nov!D81, Dec!D81)</f>
        <v>0</v>
      </c>
      <c r="E81" s="50">
        <f t="shared" ca="1" si="5"/>
        <v>0</v>
      </c>
      <c r="F81" s="51">
        <f t="shared" ca="1" si="6"/>
        <v>0</v>
      </c>
      <c r="G81" s="52">
        <f ca="1">SUM(Oct!G81, Nov!G81, Dec!G81)</f>
        <v>0</v>
      </c>
      <c r="H81" s="52">
        <f t="shared" ca="1" si="7"/>
        <v>0</v>
      </c>
      <c r="I81" s="53">
        <f t="shared" ca="1" si="8"/>
        <v>0</v>
      </c>
    </row>
    <row r="82" spans="1:9" ht="15.75">
      <c r="A82" s="59" t="str">
        <v>Washington 3</v>
      </c>
      <c r="B82" s="21" t="str">
        <v>NYCS II</v>
      </c>
      <c r="C82" s="81">
        <f ca="1">SUM(Oct!C82, Nov!C82, Dec!C82)</f>
        <v>0</v>
      </c>
      <c r="D82" s="50">
        <f ca="1">SUM(Oct!D82, Nov!D82, Dec!D82)</f>
        <v>0</v>
      </c>
      <c r="E82" s="50">
        <f t="shared" ca="1" si="5"/>
        <v>0</v>
      </c>
      <c r="F82" s="51">
        <f t="shared" ca="1" si="6"/>
        <v>0</v>
      </c>
      <c r="G82" s="52">
        <f ca="1">SUM(Oct!G82, Nov!G82, Dec!G82)</f>
        <v>0</v>
      </c>
      <c r="H82" s="52">
        <f t="shared" ca="1" si="7"/>
        <v>0</v>
      </c>
      <c r="I82" s="53">
        <f t="shared" ca="1" si="8"/>
        <v>0</v>
      </c>
    </row>
    <row r="83" spans="1:9" ht="15.75">
      <c r="A83" s="63" t="str">
        <v>Washington 4</v>
      </c>
      <c r="B83" s="64" t="str">
        <v>NYCS II</v>
      </c>
      <c r="C83" s="81">
        <f ca="1">SUM(Oct!C83, Nov!C83, Dec!C83)</f>
        <v>0</v>
      </c>
      <c r="D83" s="50">
        <f ca="1">SUM(Oct!D83, Nov!D83, Dec!D83)</f>
        <v>0</v>
      </c>
      <c r="E83" s="50">
        <f t="shared" ca="1" si="5"/>
        <v>0</v>
      </c>
      <c r="F83" s="51">
        <f t="shared" ca="1" si="6"/>
        <v>0</v>
      </c>
      <c r="G83" s="52">
        <f ca="1">SUM(Oct!G83, Nov!G83, Dec!G83)</f>
        <v>0</v>
      </c>
      <c r="H83" s="52">
        <f t="shared" ca="1" si="7"/>
        <v>0</v>
      </c>
      <c r="I83" s="53">
        <f t="shared" ca="1" si="8"/>
        <v>0</v>
      </c>
    </row>
    <row r="84" spans="1:9" ht="15.75">
      <c r="A84" s="59" t="str">
        <v>Big Tree</v>
      </c>
      <c r="B84" s="21" t="str">
        <v>NYCS III</v>
      </c>
      <c r="C84" s="81">
        <f ca="1">SUM(Oct!C84, Nov!C84, Dec!C84)</f>
        <v>0</v>
      </c>
      <c r="D84" s="50">
        <f ca="1">SUM(Oct!D84, Nov!D84, Dec!D84)</f>
        <v>0</v>
      </c>
      <c r="E84" s="50">
        <f t="shared" ca="1" si="5"/>
        <v>0</v>
      </c>
      <c r="F84" s="51">
        <f t="shared" ca="1" si="6"/>
        <v>0</v>
      </c>
      <c r="G84" s="52">
        <f ca="1">SUM(Oct!G84, Nov!G84, Dec!G84)</f>
        <v>0</v>
      </c>
      <c r="H84" s="52">
        <f t="shared" ca="1" si="7"/>
        <v>0</v>
      </c>
      <c r="I84" s="53">
        <f t="shared" ca="1" si="8"/>
        <v>0</v>
      </c>
    </row>
    <row r="85" spans="1:9" ht="15.75">
      <c r="A85" s="63" t="str">
        <v>Canoga</v>
      </c>
      <c r="B85" s="64" t="str">
        <v>NYCS III</v>
      </c>
      <c r="C85" s="81">
        <f ca="1">SUM(Oct!C85, Nov!C85, Dec!C85)</f>
        <v>0</v>
      </c>
      <c r="D85" s="50">
        <f ca="1">SUM(Oct!D85, Nov!D85, Dec!D85)</f>
        <v>0</v>
      </c>
      <c r="E85" s="50">
        <f t="shared" ca="1" si="5"/>
        <v>0</v>
      </c>
      <c r="F85" s="51">
        <f t="shared" ca="1" si="6"/>
        <v>0</v>
      </c>
      <c r="G85" s="52">
        <f ca="1">SUM(Oct!G85, Nov!G85, Dec!G85)</f>
        <v>0</v>
      </c>
      <c r="H85" s="52">
        <f t="shared" ca="1" si="7"/>
        <v>0</v>
      </c>
      <c r="I85" s="53">
        <f t="shared" ca="1" si="8"/>
        <v>0</v>
      </c>
    </row>
    <row r="86" spans="1:9" ht="15.75">
      <c r="A86" s="59" t="str">
        <v>County Route 84</v>
      </c>
      <c r="B86" s="21" t="str">
        <v>NYCS III</v>
      </c>
      <c r="C86" s="81">
        <f ca="1">SUM(Oct!C86, Nov!C86, Dec!C86)</f>
        <v>0</v>
      </c>
      <c r="D86" s="50">
        <f ca="1">SUM(Oct!D86, Nov!D86, Dec!D86)</f>
        <v>0</v>
      </c>
      <c r="E86" s="50">
        <f t="shared" ca="1" si="5"/>
        <v>0</v>
      </c>
      <c r="F86" s="51">
        <f t="shared" ca="1" si="6"/>
        <v>0</v>
      </c>
      <c r="G86" s="52">
        <f ca="1">SUM(Oct!G86, Nov!G86, Dec!G86)</f>
        <v>0</v>
      </c>
      <c r="H86" s="52">
        <f t="shared" ca="1" si="7"/>
        <v>0</v>
      </c>
      <c r="I86" s="53">
        <f t="shared" ca="1" si="8"/>
        <v>0</v>
      </c>
    </row>
    <row r="87" spans="1:9" ht="15.75">
      <c r="A87" s="63" t="str">
        <v>Donati</v>
      </c>
      <c r="B87" s="64" t="str">
        <v>NYCS III</v>
      </c>
      <c r="C87" s="81">
        <f ca="1">SUM(Oct!C87, Nov!C87, Dec!C87)</f>
        <v>0</v>
      </c>
      <c r="D87" s="50">
        <f ca="1">SUM(Oct!D87, Nov!D87, Dec!D87)</f>
        <v>0</v>
      </c>
      <c r="E87" s="50">
        <f t="shared" ca="1" si="5"/>
        <v>0</v>
      </c>
      <c r="F87" s="51">
        <f t="shared" ca="1" si="6"/>
        <v>0</v>
      </c>
      <c r="G87" s="52">
        <f ca="1">SUM(Oct!G87, Nov!G87, Dec!G87)</f>
        <v>0</v>
      </c>
      <c r="H87" s="52">
        <f t="shared" ca="1" si="7"/>
        <v>0</v>
      </c>
      <c r="I87" s="53">
        <f t="shared" ca="1" si="8"/>
        <v>0</v>
      </c>
    </row>
    <row r="88" spans="1:9" ht="15.75">
      <c r="A88" s="59" t="str">
        <v>Henrietta</v>
      </c>
      <c r="B88" s="21" t="str">
        <v>NYCS III</v>
      </c>
      <c r="C88" s="81">
        <f ca="1">SUM(Oct!C88, Nov!C88, Dec!C88)</f>
        <v>0</v>
      </c>
      <c r="D88" s="50">
        <f ca="1">SUM(Oct!D88, Nov!D88, Dec!D88)</f>
        <v>0</v>
      </c>
      <c r="E88" s="50">
        <f t="shared" ca="1" si="5"/>
        <v>0</v>
      </c>
      <c r="F88" s="51">
        <f t="shared" ca="1" si="6"/>
        <v>0</v>
      </c>
      <c r="G88" s="52">
        <f ca="1">SUM(Oct!G88, Nov!G88, Dec!G88)</f>
        <v>0</v>
      </c>
      <c r="H88" s="52">
        <f t="shared" ca="1" si="7"/>
        <v>0</v>
      </c>
      <c r="I88" s="53">
        <f t="shared" ca="1" si="8"/>
        <v>0</v>
      </c>
    </row>
    <row r="89" spans="1:9" ht="15.75">
      <c r="A89" s="63" t="str">
        <v>NY 70</v>
      </c>
      <c r="B89" s="64" t="str">
        <v>NYCS III</v>
      </c>
      <c r="C89" s="81">
        <f ca="1">SUM(Oct!C89, Nov!C89, Dec!C89)</f>
        <v>0</v>
      </c>
      <c r="D89" s="50">
        <f ca="1">SUM(Oct!D89, Nov!D89, Dec!D89)</f>
        <v>0</v>
      </c>
      <c r="E89" s="50">
        <f t="shared" ca="1" si="5"/>
        <v>0</v>
      </c>
      <c r="F89" s="51">
        <f t="shared" ca="1" si="6"/>
        <v>0</v>
      </c>
      <c r="G89" s="52">
        <f ca="1">SUM(Oct!G89, Nov!G89, Dec!G89)</f>
        <v>0</v>
      </c>
      <c r="H89" s="52">
        <f t="shared" ca="1" si="7"/>
        <v>0</v>
      </c>
      <c r="I89" s="53">
        <f t="shared" ca="1" si="8"/>
        <v>0</v>
      </c>
    </row>
    <row r="90" spans="1:9" ht="15.75">
      <c r="A90" s="59" t="str">
        <v>Reid</v>
      </c>
      <c r="B90" s="21" t="str">
        <v>NYCS III</v>
      </c>
      <c r="C90" s="81">
        <f ca="1">SUM(Oct!C90, Nov!C90, Dec!C90)</f>
        <v>0</v>
      </c>
      <c r="D90" s="50">
        <f ca="1">SUM(Oct!D90, Nov!D90, Dec!D90)</f>
        <v>0</v>
      </c>
      <c r="E90" s="50">
        <f t="shared" ca="1" si="5"/>
        <v>0</v>
      </c>
      <c r="F90" s="51">
        <f t="shared" ca="1" si="6"/>
        <v>0</v>
      </c>
      <c r="G90" s="52">
        <f ca="1">SUM(Oct!G90, Nov!G90, Dec!G90)</f>
        <v>0</v>
      </c>
      <c r="H90" s="52">
        <f t="shared" ca="1" si="7"/>
        <v>0</v>
      </c>
      <c r="I90" s="53">
        <f t="shared" ca="1" si="8"/>
        <v>0</v>
      </c>
    </row>
    <row r="91" spans="1:9" ht="15.75">
      <c r="A91" s="63" t="str">
        <v>Sangolqui</v>
      </c>
      <c r="B91" s="64" t="str">
        <v>NYCS III</v>
      </c>
      <c r="C91" s="81">
        <f ca="1">SUM(Oct!C91, Nov!C91, Dec!C91)</f>
        <v>0</v>
      </c>
      <c r="D91" s="50">
        <f ca="1">SUM(Oct!D91, Nov!D91, Dec!D91)</f>
        <v>0</v>
      </c>
      <c r="E91" s="50">
        <f t="shared" ca="1" si="5"/>
        <v>0</v>
      </c>
      <c r="F91" s="51">
        <f t="shared" ca="1" si="6"/>
        <v>0</v>
      </c>
      <c r="G91" s="52">
        <f ca="1">SUM(Oct!G91, Nov!G91, Dec!G91)</f>
        <v>0</v>
      </c>
      <c r="H91" s="52">
        <f t="shared" ca="1" si="7"/>
        <v>0</v>
      </c>
      <c r="I91" s="53">
        <f t="shared" ca="1" si="8"/>
        <v>0</v>
      </c>
    </row>
    <row r="92" spans="1:9" ht="15.75">
      <c r="A92" s="59" t="str">
        <v>State Highway 17B</v>
      </c>
      <c r="B92" s="21" t="str">
        <v>NYCS III</v>
      </c>
      <c r="C92" s="81">
        <f ca="1">SUM(Oct!C92, Nov!C92, Dec!C92)</f>
        <v>0</v>
      </c>
      <c r="D92" s="50">
        <f ca="1">SUM(Oct!D92, Nov!D92, Dec!D92)</f>
        <v>0</v>
      </c>
      <c r="E92" s="50">
        <f t="shared" ca="1" si="5"/>
        <v>0</v>
      </c>
      <c r="F92" s="51">
        <f t="shared" ca="1" si="6"/>
        <v>0</v>
      </c>
      <c r="G92" s="52">
        <f ca="1">SUM(Oct!G92, Nov!G92, Dec!G92)</f>
        <v>0</v>
      </c>
      <c r="H92" s="52">
        <f t="shared" ca="1" si="7"/>
        <v>0</v>
      </c>
      <c r="I92" s="53">
        <f t="shared" ca="1" si="8"/>
        <v>0</v>
      </c>
    </row>
    <row r="93" spans="1:9" ht="15.75">
      <c r="A93" s="63" t="str">
        <v>State Route 14A</v>
      </c>
      <c r="B93" s="64" t="str">
        <v>NYCS III</v>
      </c>
      <c r="C93" s="81">
        <f ca="1">SUM(Oct!C93, Nov!C93, Dec!C93)</f>
        <v>0</v>
      </c>
      <c r="D93" s="50">
        <f ca="1">SUM(Oct!D93, Nov!D93, Dec!D93)</f>
        <v>0</v>
      </c>
      <c r="E93" s="50">
        <f t="shared" ca="1" si="5"/>
        <v>0</v>
      </c>
      <c r="F93" s="51">
        <f t="shared" ca="1" si="6"/>
        <v>0</v>
      </c>
      <c r="G93" s="52">
        <f ca="1">SUM(Oct!G93, Nov!G93, Dec!G93)</f>
        <v>0</v>
      </c>
      <c r="H93" s="52">
        <f t="shared" ca="1" si="7"/>
        <v>0</v>
      </c>
      <c r="I93" s="53">
        <f t="shared" ca="1" si="8"/>
        <v>0</v>
      </c>
    </row>
    <row r="94" spans="1:9" ht="15.75">
      <c r="A94" s="59" t="str">
        <v>West Creek</v>
      </c>
      <c r="B94" s="21" t="str">
        <v>NYCS III</v>
      </c>
      <c r="C94" s="81">
        <f ca="1">SUM(Oct!C94, Nov!C94, Dec!C94)</f>
        <v>0</v>
      </c>
      <c r="D94" s="50">
        <f ca="1">SUM(Oct!D94, Nov!D94, Dec!D94)</f>
        <v>0</v>
      </c>
      <c r="E94" s="50">
        <f t="shared" ca="1" si="5"/>
        <v>0</v>
      </c>
      <c r="F94" s="51">
        <f t="shared" ca="1" si="6"/>
        <v>0</v>
      </c>
      <c r="G94" s="52">
        <f ca="1">SUM(Oct!G94, Nov!G94, Dec!G94)</f>
        <v>0</v>
      </c>
      <c r="H94" s="52">
        <f t="shared" ca="1" si="7"/>
        <v>0</v>
      </c>
      <c r="I94" s="53">
        <f t="shared" ca="1" si="8"/>
        <v>0</v>
      </c>
    </row>
    <row r="95" spans="1:9" ht="15.75">
      <c r="A95" s="63" t="str">
        <v>Wildflower</v>
      </c>
      <c r="B95" s="64" t="str">
        <v>NYCS III</v>
      </c>
      <c r="C95" s="81">
        <f ca="1">SUM(Oct!C95, Nov!C95, Dec!C95)</f>
        <v>0</v>
      </c>
      <c r="D95" s="50">
        <f ca="1">SUM(Oct!D95, Nov!D95, Dec!D95)</f>
        <v>0</v>
      </c>
      <c r="E95" s="50">
        <f t="shared" ca="1" si="5"/>
        <v>0</v>
      </c>
      <c r="F95" s="51">
        <f t="shared" ca="1" si="6"/>
        <v>0</v>
      </c>
      <c r="G95" s="52">
        <f ca="1">SUM(Oct!G95, Nov!G95, Dec!G95)</f>
        <v>0</v>
      </c>
      <c r="H95" s="52">
        <f t="shared" ca="1" si="7"/>
        <v>0</v>
      </c>
      <c r="I95" s="53">
        <f t="shared" ca="1" si="8"/>
        <v>0</v>
      </c>
    </row>
    <row r="96" spans="1:9" ht="15.75">
      <c r="A96" s="59" t="str">
        <v>Glen Mary 1</v>
      </c>
      <c r="B96" s="21" t="str">
        <v>NYCS IV</v>
      </c>
      <c r="C96" s="81">
        <f ca="1">SUM(Oct!C96, Nov!C96, Dec!C96)</f>
        <v>0</v>
      </c>
      <c r="D96" s="50">
        <f ca="1">SUM(Oct!D96, Nov!D96, Dec!D96)</f>
        <v>0</v>
      </c>
      <c r="E96" s="50">
        <f t="shared" ca="1" si="5"/>
        <v>0</v>
      </c>
      <c r="F96" s="51">
        <f t="shared" ca="1" si="6"/>
        <v>0</v>
      </c>
      <c r="G96" s="52">
        <f ca="1">SUM(Oct!G96, Nov!G96, Dec!G96)</f>
        <v>0</v>
      </c>
      <c r="H96" s="52">
        <f t="shared" ca="1" si="7"/>
        <v>0</v>
      </c>
      <c r="I96" s="53">
        <f t="shared" ca="1" si="8"/>
        <v>0</v>
      </c>
    </row>
    <row r="97" spans="1:9" ht="15.75">
      <c r="A97" s="63" t="str">
        <v>Glen Mary 2</v>
      </c>
      <c r="B97" s="64" t="str">
        <v>NYCS IV</v>
      </c>
      <c r="C97" s="81">
        <f ca="1">SUM(Oct!C97, Nov!C97, Dec!C97)</f>
        <v>0</v>
      </c>
      <c r="D97" s="50">
        <f ca="1">SUM(Oct!D97, Nov!D97, Dec!D97)</f>
        <v>0</v>
      </c>
      <c r="E97" s="50">
        <f t="shared" ca="1" si="5"/>
        <v>0</v>
      </c>
      <c r="F97" s="51">
        <f t="shared" ca="1" si="6"/>
        <v>0</v>
      </c>
      <c r="G97" s="52">
        <f ca="1">SUM(Oct!G97, Nov!G97, Dec!G97)</f>
        <v>0</v>
      </c>
      <c r="H97" s="52">
        <f t="shared" ca="1" si="7"/>
        <v>0</v>
      </c>
      <c r="I97" s="53">
        <f t="shared" ca="1" si="8"/>
        <v>0</v>
      </c>
    </row>
    <row r="98" spans="1:9" ht="15.75">
      <c r="A98" s="59" t="str">
        <v>Telegraph 1</v>
      </c>
      <c r="B98" s="21" t="str">
        <v>NYCS IV</v>
      </c>
      <c r="C98" s="81">
        <f ca="1">SUM(Oct!C98, Nov!C98, Dec!C98)</f>
        <v>0</v>
      </c>
      <c r="D98" s="50">
        <f ca="1">SUM(Oct!D98, Nov!D98, Dec!D98)</f>
        <v>0</v>
      </c>
      <c r="E98" s="50">
        <f t="shared" ca="1" si="5"/>
        <v>0</v>
      </c>
      <c r="F98" s="51">
        <f t="shared" ca="1" si="6"/>
        <v>0</v>
      </c>
      <c r="G98" s="52">
        <f ca="1">SUM(Oct!G98, Nov!G98, Dec!G98)</f>
        <v>0</v>
      </c>
      <c r="H98" s="52">
        <f t="shared" ca="1" si="7"/>
        <v>0</v>
      </c>
      <c r="I98" s="53">
        <f t="shared" ca="1" si="8"/>
        <v>0</v>
      </c>
    </row>
    <row r="99" spans="1:9" ht="15.75">
      <c r="A99" s="63" t="str">
        <v>Telegraph 2</v>
      </c>
      <c r="B99" s="64" t="str">
        <v>NYCS IV</v>
      </c>
      <c r="C99" s="81">
        <f ca="1">SUM(Oct!C99, Nov!C99, Dec!C99)</f>
        <v>0</v>
      </c>
      <c r="D99" s="50">
        <f ca="1">SUM(Oct!D99, Nov!D99, Dec!D99)</f>
        <v>0</v>
      </c>
      <c r="E99" s="50">
        <f t="shared" ca="1" si="5"/>
        <v>0</v>
      </c>
      <c r="F99" s="51">
        <f t="shared" ca="1" si="6"/>
        <v>0</v>
      </c>
      <c r="G99" s="52">
        <f ca="1">SUM(Oct!G99, Nov!G99, Dec!G99)</f>
        <v>0</v>
      </c>
      <c r="H99" s="52">
        <f t="shared" ca="1" si="7"/>
        <v>0</v>
      </c>
      <c r="I99" s="53">
        <f t="shared" ca="1" si="8"/>
        <v>0</v>
      </c>
    </row>
    <row r="100" spans="1:9" ht="15.75">
      <c r="A100" s="59" t="str">
        <v>Cafferty Hill</v>
      </c>
      <c r="B100" s="21" t="str">
        <v>NYCS V</v>
      </c>
      <c r="C100" s="81">
        <f ca="1">SUM(Oct!C100, Nov!C100, Dec!C100)</f>
        <v>0</v>
      </c>
      <c r="D100" s="50">
        <f ca="1">SUM(Oct!D100, Nov!D100, Dec!D100)</f>
        <v>0</v>
      </c>
      <c r="E100" s="50">
        <f t="shared" ca="1" si="5"/>
        <v>0</v>
      </c>
      <c r="F100" s="51">
        <f t="shared" ca="1" si="6"/>
        <v>0</v>
      </c>
      <c r="G100" s="52">
        <f ca="1">SUM(Oct!G100, Nov!G100, Dec!G100)</f>
        <v>0</v>
      </c>
      <c r="H100" s="52">
        <f t="shared" ca="1" si="7"/>
        <v>0</v>
      </c>
      <c r="I100" s="53">
        <f t="shared" ca="1" si="8"/>
        <v>0</v>
      </c>
    </row>
    <row r="101" spans="1:9" ht="15.75">
      <c r="A101" s="63" t="str">
        <v>Dunkleman</v>
      </c>
      <c r="B101" s="64" t="str">
        <v>NYCS V</v>
      </c>
      <c r="C101" s="81">
        <f ca="1">SUM(Oct!C101, Nov!C101, Dec!C101)</f>
        <v>0</v>
      </c>
      <c r="D101" s="50">
        <f ca="1">SUM(Oct!D101, Nov!D101, Dec!D101)</f>
        <v>0</v>
      </c>
      <c r="E101" s="50">
        <f t="shared" ca="1" si="5"/>
        <v>0</v>
      </c>
      <c r="F101" s="51">
        <f t="shared" ca="1" si="6"/>
        <v>0</v>
      </c>
      <c r="G101" s="52">
        <f ca="1">SUM(Oct!G101, Nov!G101, Dec!G101)</f>
        <v>0</v>
      </c>
      <c r="H101" s="52">
        <f t="shared" ca="1" si="7"/>
        <v>0</v>
      </c>
      <c r="I101" s="53">
        <f t="shared" ca="1" si="8"/>
        <v>0</v>
      </c>
    </row>
    <row r="102" spans="1:9" ht="15.75">
      <c r="A102" s="59" t="str">
        <v>Route 19 1</v>
      </c>
      <c r="B102" s="21" t="str">
        <v>NYCS V</v>
      </c>
      <c r="C102" s="81">
        <f ca="1">SUM(Oct!C102, Nov!C102, Dec!C102)</f>
        <v>0</v>
      </c>
      <c r="D102" s="50">
        <f ca="1">SUM(Oct!D102, Nov!D102, Dec!D102)</f>
        <v>0</v>
      </c>
      <c r="E102" s="50">
        <f t="shared" ca="1" si="5"/>
        <v>0</v>
      </c>
      <c r="F102" s="51">
        <f t="shared" ca="1" si="6"/>
        <v>0</v>
      </c>
      <c r="G102" s="52">
        <f ca="1">SUM(Oct!G102, Nov!G102, Dec!G102)</f>
        <v>0</v>
      </c>
      <c r="H102" s="52">
        <f t="shared" ca="1" si="7"/>
        <v>0</v>
      </c>
      <c r="I102" s="53">
        <f t="shared" ca="1" si="8"/>
        <v>0</v>
      </c>
    </row>
    <row r="103" spans="1:9" ht="15.75">
      <c r="A103" s="63" t="str">
        <v>Route 19 2</v>
      </c>
      <c r="B103" s="64" t="str">
        <v>NYCS V</v>
      </c>
      <c r="C103" s="81">
        <f ca="1">SUM(Oct!C103, Nov!C103, Dec!C103)</f>
        <v>0</v>
      </c>
      <c r="D103" s="50">
        <f ca="1">SUM(Oct!D103, Nov!D103, Dec!D103)</f>
        <v>0</v>
      </c>
      <c r="E103" s="50">
        <f t="shared" ca="1" si="5"/>
        <v>0</v>
      </c>
      <c r="F103" s="51">
        <f t="shared" ca="1" si="6"/>
        <v>0</v>
      </c>
      <c r="G103" s="52">
        <f ca="1">SUM(Oct!G103, Nov!G103, Dec!G103)</f>
        <v>0</v>
      </c>
      <c r="H103" s="52">
        <f t="shared" ca="1" si="7"/>
        <v>0</v>
      </c>
      <c r="I103" s="53">
        <f t="shared" ca="1" si="8"/>
        <v>0</v>
      </c>
    </row>
    <row r="104" spans="1:9" ht="15.75">
      <c r="A104" s="59" t="str">
        <v>Yellow Mills 1</v>
      </c>
      <c r="B104" s="21" t="str">
        <v>NYCS V</v>
      </c>
      <c r="C104" s="81">
        <f ca="1">SUM(Oct!C104, Nov!C104, Dec!C104)</f>
        <v>0</v>
      </c>
      <c r="D104" s="50">
        <f ca="1">SUM(Oct!D104, Nov!D104, Dec!D104)</f>
        <v>0</v>
      </c>
      <c r="E104" s="50">
        <f t="shared" ca="1" si="5"/>
        <v>0</v>
      </c>
      <c r="F104" s="51">
        <f t="shared" ca="1" si="6"/>
        <v>0</v>
      </c>
      <c r="G104" s="52">
        <f ca="1">SUM(Oct!G104, Nov!G104, Dec!G104)</f>
        <v>0</v>
      </c>
      <c r="H104" s="52">
        <f t="shared" ca="1" si="7"/>
        <v>0</v>
      </c>
      <c r="I104" s="53">
        <f t="shared" ca="1" si="8"/>
        <v>0</v>
      </c>
    </row>
    <row r="105" spans="1:9" ht="15.75">
      <c r="A105" s="63" t="str">
        <v>Yellow Mills 2</v>
      </c>
      <c r="B105" s="64" t="str">
        <v>NYCS V</v>
      </c>
      <c r="C105" s="81">
        <f ca="1">SUM(Oct!C105, Nov!C105, Dec!C105)</f>
        <v>0</v>
      </c>
      <c r="D105" s="50">
        <f ca="1">SUM(Oct!D105, Nov!D105, Dec!D105)</f>
        <v>0</v>
      </c>
      <c r="E105" s="50">
        <f t="shared" ca="1" si="5"/>
        <v>0</v>
      </c>
      <c r="F105" s="51">
        <f t="shared" ca="1" si="6"/>
        <v>0</v>
      </c>
      <c r="G105" s="52">
        <f ca="1">SUM(Oct!G105, Nov!G105, Dec!G105)</f>
        <v>0</v>
      </c>
      <c r="H105" s="52">
        <f t="shared" ca="1" si="7"/>
        <v>0</v>
      </c>
      <c r="I105" s="53">
        <f t="shared" ca="1" si="8"/>
        <v>0</v>
      </c>
    </row>
    <row r="106" spans="1:9" ht="15.75">
      <c r="A106" s="59" t="str">
        <v>Yellow Mills 3</v>
      </c>
      <c r="B106" s="21" t="str">
        <v>NYCS V</v>
      </c>
      <c r="C106" s="81">
        <f ca="1">SUM(Oct!C106, Nov!C106, Dec!C106)</f>
        <v>0</v>
      </c>
      <c r="D106" s="50">
        <f ca="1">SUM(Oct!D106, Nov!D106, Dec!D106)</f>
        <v>0</v>
      </c>
      <c r="E106" s="50">
        <f t="shared" ca="1" si="5"/>
        <v>0</v>
      </c>
      <c r="F106" s="51">
        <f t="shared" ca="1" si="6"/>
        <v>0</v>
      </c>
      <c r="G106" s="52">
        <f ca="1">SUM(Oct!G106, Nov!G106, Dec!G106)</f>
        <v>0</v>
      </c>
      <c r="H106" s="52">
        <f t="shared" ca="1" si="7"/>
        <v>0</v>
      </c>
      <c r="I106" s="53">
        <f t="shared" ca="1" si="8"/>
        <v>0</v>
      </c>
    </row>
    <row r="107" spans="1:9" ht="15.75">
      <c r="A107" s="63" t="str">
        <v>Catskill</v>
      </c>
      <c r="B107" s="64" t="str">
        <v>NYCS VI</v>
      </c>
      <c r="C107" s="81">
        <f ca="1">SUM(Oct!C107, Nov!C107, Dec!C107)</f>
        <v>0</v>
      </c>
      <c r="D107" s="50">
        <f ca="1">SUM(Oct!D107, Nov!D107, Dec!D107)</f>
        <v>0</v>
      </c>
      <c r="E107" s="50">
        <f t="shared" ca="1" si="5"/>
        <v>0</v>
      </c>
      <c r="F107" s="51">
        <f t="shared" ca="1" si="6"/>
        <v>0</v>
      </c>
      <c r="G107" s="52">
        <f ca="1">SUM(Oct!G107, Nov!G107, Dec!G107)</f>
        <v>0</v>
      </c>
      <c r="H107" s="52">
        <f t="shared" ca="1" si="7"/>
        <v>0</v>
      </c>
      <c r="I107" s="53">
        <f t="shared" ca="1" si="8"/>
        <v>0</v>
      </c>
    </row>
    <row r="108" spans="1:9" ht="15.75">
      <c r="A108" s="59" t="str">
        <v>Eddy Ridge</v>
      </c>
      <c r="B108" s="21" t="str">
        <v>NYCS VI</v>
      </c>
      <c r="C108" s="81">
        <f ca="1">SUM(Oct!C108, Nov!C108, Dec!C108)</f>
        <v>0</v>
      </c>
      <c r="D108" s="50">
        <f ca="1">SUM(Oct!D108, Nov!D108, Dec!D108)</f>
        <v>0</v>
      </c>
      <c r="E108" s="50">
        <f t="shared" ca="1" si="5"/>
        <v>0</v>
      </c>
      <c r="F108" s="51">
        <f t="shared" ca="1" si="6"/>
        <v>0</v>
      </c>
      <c r="G108" s="52">
        <f ca="1">SUM(Oct!G108, Nov!G108, Dec!G108)</f>
        <v>0</v>
      </c>
      <c r="H108" s="52">
        <f t="shared" ca="1" si="7"/>
        <v>0</v>
      </c>
      <c r="I108" s="53">
        <f t="shared" ca="1" si="8"/>
        <v>0</v>
      </c>
    </row>
    <row r="109" spans="1:9" ht="15.75">
      <c r="A109" s="63" t="str">
        <v>Ridgeway #1</v>
      </c>
      <c r="B109" s="64" t="str">
        <v>NYCS VI</v>
      </c>
      <c r="C109" s="81">
        <f ca="1">SUM(Oct!C109, Nov!C109, Dec!C109)</f>
        <v>0</v>
      </c>
      <c r="D109" s="50">
        <f ca="1">SUM(Oct!D109, Nov!D109, Dec!D109)</f>
        <v>0</v>
      </c>
      <c r="E109" s="50">
        <f t="shared" ca="1" si="5"/>
        <v>0</v>
      </c>
      <c r="F109" s="51">
        <f t="shared" ca="1" si="6"/>
        <v>0</v>
      </c>
      <c r="G109" s="52">
        <f ca="1">SUM(Oct!G109, Nov!G109, Dec!G109)</f>
        <v>0</v>
      </c>
      <c r="H109" s="52">
        <f t="shared" ca="1" si="7"/>
        <v>0</v>
      </c>
      <c r="I109" s="53">
        <f t="shared" ca="1" si="8"/>
        <v>0</v>
      </c>
    </row>
    <row r="110" spans="1:9" ht="15.75">
      <c r="A110" s="59" t="str">
        <v>Rivard 1</v>
      </c>
      <c r="B110" s="21" t="str">
        <v>NYCS VI</v>
      </c>
      <c r="C110" s="81">
        <f ca="1">SUM(Oct!C110, Nov!C110, Dec!C110)</f>
        <v>0</v>
      </c>
      <c r="D110" s="50">
        <f ca="1">SUM(Oct!D110, Nov!D110, Dec!D110)</f>
        <v>0</v>
      </c>
      <c r="E110" s="50">
        <f t="shared" ca="1" si="5"/>
        <v>0</v>
      </c>
      <c r="F110" s="51">
        <f t="shared" ca="1" si="6"/>
        <v>0</v>
      </c>
      <c r="G110" s="52">
        <f ca="1">SUM(Oct!G110, Nov!G110, Dec!G110)</f>
        <v>0</v>
      </c>
      <c r="H110" s="52">
        <f t="shared" ca="1" si="7"/>
        <v>0</v>
      </c>
      <c r="I110" s="53">
        <f t="shared" ca="1" si="8"/>
        <v>0</v>
      </c>
    </row>
    <row r="111" spans="1:9" ht="15.75">
      <c r="A111" s="63" t="str">
        <v>Rivard 2</v>
      </c>
      <c r="B111" s="64" t="str">
        <v>NYCS VI</v>
      </c>
      <c r="C111" s="81">
        <f ca="1">SUM(Oct!C111, Nov!C111, Dec!C111)</f>
        <v>0</v>
      </c>
      <c r="D111" s="50">
        <f ca="1">SUM(Oct!D111, Nov!D111, Dec!D111)</f>
        <v>0</v>
      </c>
      <c r="E111" s="50">
        <f t="shared" ca="1" si="5"/>
        <v>0</v>
      </c>
      <c r="F111" s="51">
        <f t="shared" ca="1" si="6"/>
        <v>0</v>
      </c>
      <c r="G111" s="52">
        <f ca="1">SUM(Oct!G111, Nov!G111, Dec!G111)</f>
        <v>0</v>
      </c>
      <c r="H111" s="52">
        <f t="shared" ca="1" si="7"/>
        <v>0</v>
      </c>
      <c r="I111" s="53">
        <f t="shared" ca="1" si="8"/>
        <v>0</v>
      </c>
    </row>
    <row r="112" spans="1:9" ht="15.75">
      <c r="A112" s="59" t="str">
        <v>Essex</v>
      </c>
      <c r="B112" s="21" t="str">
        <v>Opportunity</v>
      </c>
      <c r="C112" s="81">
        <f ca="1">SUM(Oct!C112, Nov!C112, Dec!C112)</f>
        <v>0</v>
      </c>
      <c r="D112" s="50">
        <f ca="1">SUM(Oct!D112, Nov!D112, Dec!D112)</f>
        <v>0</v>
      </c>
      <c r="E112" s="50">
        <f t="shared" ca="1" si="5"/>
        <v>0</v>
      </c>
      <c r="F112" s="51">
        <f t="shared" ca="1" si="6"/>
        <v>0</v>
      </c>
      <c r="G112" s="52">
        <f ca="1">SUM(Oct!G112, Nov!G112, Dec!G112)</f>
        <v>0</v>
      </c>
      <c r="H112" s="52">
        <f t="shared" ca="1" si="7"/>
        <v>0</v>
      </c>
      <c r="I112" s="53">
        <f t="shared" ca="1" si="8"/>
        <v>0</v>
      </c>
    </row>
    <row r="113" spans="1:9" ht="15.75">
      <c r="A113" s="63" t="str">
        <v>Temple Sinai</v>
      </c>
      <c r="B113" s="64" t="str">
        <v>Opportunity</v>
      </c>
      <c r="C113" s="81">
        <f ca="1">SUM(Oct!C113, Nov!C113, Dec!C113)</f>
        <v>0</v>
      </c>
      <c r="D113" s="50">
        <f ca="1">SUM(Oct!D113, Nov!D113, Dec!D113)</f>
        <v>0</v>
      </c>
      <c r="E113" s="50">
        <f t="shared" ca="1" si="5"/>
        <v>0</v>
      </c>
      <c r="F113" s="51">
        <f t="shared" ca="1" si="6"/>
        <v>0</v>
      </c>
      <c r="G113" s="52">
        <f ca="1">SUM(Oct!G113, Nov!G113, Dec!G113)</f>
        <v>0</v>
      </c>
      <c r="H113" s="52">
        <f t="shared" ca="1" si="7"/>
        <v>0</v>
      </c>
      <c r="I113" s="53">
        <f t="shared" ca="1" si="8"/>
        <v>0</v>
      </c>
    </row>
    <row r="114" spans="1:9" ht="15.75">
      <c r="A114" s="59" t="str">
        <v>Weinberg 1</v>
      </c>
      <c r="B114" s="21" t="str">
        <v>Opportunity</v>
      </c>
      <c r="C114" s="81">
        <f ca="1">SUM(Oct!C114, Nov!C114, Dec!C114)</f>
        <v>0</v>
      </c>
      <c r="D114" s="50">
        <f ca="1">SUM(Oct!D114, Nov!D114, Dec!D114)</f>
        <v>0</v>
      </c>
      <c r="E114" s="50">
        <f t="shared" ca="1" si="5"/>
        <v>0</v>
      </c>
      <c r="F114" s="51">
        <f t="shared" ca="1" si="6"/>
        <v>0</v>
      </c>
      <c r="G114" s="52">
        <f ca="1">SUM(Oct!G114, Nov!G114, Dec!G114)</f>
        <v>0</v>
      </c>
      <c r="H114" s="52">
        <f t="shared" ca="1" si="7"/>
        <v>0</v>
      </c>
      <c r="I114" s="53">
        <f t="shared" ca="1" si="8"/>
        <v>0</v>
      </c>
    </row>
    <row r="115" spans="1:9" ht="15.75">
      <c r="A115" s="63" t="str">
        <v>Weinberg 2</v>
      </c>
      <c r="B115" s="64" t="str">
        <v>Opportunity</v>
      </c>
      <c r="C115" s="81">
        <f ca="1">SUM(Oct!C115, Nov!C115, Dec!C115)</f>
        <v>0</v>
      </c>
      <c r="D115" s="50">
        <f ca="1">SUM(Oct!D115, Nov!D115, Dec!D115)</f>
        <v>0</v>
      </c>
      <c r="E115" s="50">
        <f t="shared" ca="1" si="5"/>
        <v>0</v>
      </c>
      <c r="F115" s="51">
        <f t="shared" ca="1" si="6"/>
        <v>0</v>
      </c>
      <c r="G115" s="52">
        <f ca="1">SUM(Oct!G115, Nov!G115, Dec!G115)</f>
        <v>0</v>
      </c>
      <c r="H115" s="52">
        <f t="shared" ca="1" si="7"/>
        <v>0</v>
      </c>
      <c r="I115" s="53">
        <f t="shared" ca="1" si="8"/>
        <v>0</v>
      </c>
    </row>
    <row r="116" spans="1:9" ht="15.75">
      <c r="A116" s="59" t="str">
        <v>Weinberg 3</v>
      </c>
      <c r="B116" s="21" t="str">
        <v>Opportunity</v>
      </c>
      <c r="C116" s="81">
        <f ca="1">SUM(Oct!C116, Nov!C116, Dec!C116)</f>
        <v>0</v>
      </c>
      <c r="D116" s="50">
        <f ca="1">SUM(Oct!D116, Nov!D116, Dec!D116)</f>
        <v>0</v>
      </c>
      <c r="E116" s="50">
        <f t="shared" ca="1" si="5"/>
        <v>0</v>
      </c>
      <c r="F116" s="51">
        <f t="shared" ca="1" si="6"/>
        <v>0</v>
      </c>
      <c r="G116" s="52">
        <f ca="1">SUM(Oct!G116, Nov!G116, Dec!G116)</f>
        <v>0</v>
      </c>
      <c r="H116" s="52">
        <f t="shared" ca="1" si="7"/>
        <v>0</v>
      </c>
      <c r="I116" s="53">
        <f t="shared" ca="1" si="8"/>
        <v>0</v>
      </c>
    </row>
    <row r="117" spans="1:9" ht="15.75">
      <c r="A117" s="63" t="str">
        <v>Clayton Hall</v>
      </c>
      <c r="B117" s="64" t="str">
        <v>Opportunity</v>
      </c>
      <c r="C117" s="81">
        <f ca="1">SUM(Oct!C117, Nov!C117, Dec!C117)</f>
        <v>0</v>
      </c>
      <c r="D117" s="50">
        <f ca="1">SUM(Oct!D117, Nov!D117, Dec!D117)</f>
        <v>0</v>
      </c>
      <c r="E117" s="50">
        <f t="shared" ca="1" si="5"/>
        <v>0</v>
      </c>
      <c r="F117" s="51">
        <f t="shared" ca="1" si="6"/>
        <v>0</v>
      </c>
      <c r="G117" s="52">
        <f ca="1">SUM(Oct!G117, Nov!G117, Dec!G117)</f>
        <v>0</v>
      </c>
      <c r="H117" s="52">
        <f t="shared" ca="1" si="7"/>
        <v>0</v>
      </c>
      <c r="I117" s="53">
        <f t="shared" ca="1" si="8"/>
        <v>0</v>
      </c>
    </row>
    <row r="118" spans="1:9" ht="15.75">
      <c r="A118" s="59" t="str">
        <v>Field House</v>
      </c>
      <c r="B118" s="21" t="str">
        <v>Opportunity</v>
      </c>
      <c r="C118" s="81">
        <f ca="1">SUM(Oct!C118, Nov!C118, Dec!C118)</f>
        <v>0</v>
      </c>
      <c r="D118" s="50">
        <f ca="1">SUM(Oct!D118, Nov!D118, Dec!D118)</f>
        <v>0</v>
      </c>
      <c r="E118" s="50">
        <f t="shared" ca="1" si="5"/>
        <v>0</v>
      </c>
      <c r="F118" s="51">
        <f t="shared" ca="1" si="6"/>
        <v>0</v>
      </c>
      <c r="G118" s="52">
        <f ca="1">SUM(Oct!G118, Nov!G118, Dec!G118)</f>
        <v>0</v>
      </c>
      <c r="H118" s="52">
        <f t="shared" ca="1" si="7"/>
        <v>0</v>
      </c>
      <c r="I118" s="53">
        <f t="shared" ca="1" si="8"/>
        <v>0</v>
      </c>
    </row>
    <row r="119" spans="1:9" ht="15.75">
      <c r="A119" s="63" t="str">
        <v>Wyoming Road</v>
      </c>
      <c r="B119" s="64" t="str">
        <v>Opportunity</v>
      </c>
      <c r="C119" s="81">
        <f ca="1">SUM(Oct!C119, Nov!C119, Dec!C119)</f>
        <v>0</v>
      </c>
      <c r="D119" s="50">
        <f ca="1">SUM(Oct!D119, Nov!D119, Dec!D119)</f>
        <v>0</v>
      </c>
      <c r="E119" s="50">
        <f t="shared" ca="1" si="5"/>
        <v>0</v>
      </c>
      <c r="F119" s="51">
        <f t="shared" ca="1" si="6"/>
        <v>0</v>
      </c>
      <c r="G119" s="52">
        <f ca="1">SUM(Oct!G119, Nov!G119, Dec!G119)</f>
        <v>0</v>
      </c>
      <c r="H119" s="52">
        <f t="shared" ca="1" si="7"/>
        <v>0</v>
      </c>
      <c r="I119" s="53">
        <f t="shared" ca="1" si="8"/>
        <v>0</v>
      </c>
    </row>
    <row r="120" spans="1:9" ht="15.75">
      <c r="A120" s="59" t="str">
        <v>Leoku</v>
      </c>
      <c r="B120" s="21" t="str">
        <v>Opportunity</v>
      </c>
      <c r="C120" s="81">
        <f ca="1">SUM(Oct!C120, Nov!C120, Dec!C120)</f>
        <v>0</v>
      </c>
      <c r="D120" s="50">
        <f ca="1">SUM(Oct!D120, Nov!D120, Dec!D120)</f>
        <v>0</v>
      </c>
      <c r="E120" s="50">
        <f t="shared" ca="1" si="5"/>
        <v>0</v>
      </c>
      <c r="F120" s="51">
        <f t="shared" ca="1" si="6"/>
        <v>0</v>
      </c>
      <c r="G120" s="52">
        <f ca="1">SUM(Oct!G120, Nov!G120, Dec!G120)</f>
        <v>0</v>
      </c>
      <c r="H120" s="52">
        <f t="shared" ca="1" si="7"/>
        <v>0</v>
      </c>
      <c r="I120" s="53">
        <f t="shared" ca="1" si="8"/>
        <v>0</v>
      </c>
    </row>
    <row r="121" spans="1:9" ht="15.75">
      <c r="A121" s="63" t="str">
        <v>Waipahu</v>
      </c>
      <c r="B121" s="64" t="str">
        <v>Opportunity</v>
      </c>
      <c r="C121" s="81">
        <f ca="1">SUM(Oct!C121, Nov!C121, Dec!C121)</f>
        <v>0</v>
      </c>
      <c r="D121" s="50">
        <f ca="1">SUM(Oct!D121, Nov!D121, Dec!D121)</f>
        <v>0</v>
      </c>
      <c r="E121" s="50">
        <f t="shared" ca="1" si="5"/>
        <v>0</v>
      </c>
      <c r="F121" s="51">
        <f t="shared" ca="1" si="6"/>
        <v>0</v>
      </c>
      <c r="G121" s="52">
        <f ca="1">SUM(Oct!G121, Nov!G121, Dec!G121)</f>
        <v>0</v>
      </c>
      <c r="H121" s="52">
        <f t="shared" ca="1" si="7"/>
        <v>0</v>
      </c>
      <c r="I121" s="53">
        <f t="shared" ca="1" si="8"/>
        <v>0</v>
      </c>
    </row>
    <row r="122" spans="1:9" ht="15.75">
      <c r="A122" s="59" t="str">
        <v>Bird in Hand</v>
      </c>
      <c r="B122" s="21" t="str">
        <v>Opportunity</v>
      </c>
      <c r="C122" s="81">
        <f ca="1">SUM(Oct!C122, Nov!C122, Dec!C122)</f>
        <v>0</v>
      </c>
      <c r="D122" s="50">
        <f ca="1">SUM(Oct!D122, Nov!D122, Dec!D122)</f>
        <v>0</v>
      </c>
      <c r="E122" s="50">
        <f t="shared" ca="1" si="5"/>
        <v>0</v>
      </c>
      <c r="F122" s="51">
        <f t="shared" ca="1" si="6"/>
        <v>0</v>
      </c>
      <c r="G122" s="52">
        <f ca="1">SUM(Oct!G122, Nov!G122, Dec!G122)</f>
        <v>0</v>
      </c>
      <c r="H122" s="52">
        <f t="shared" ca="1" si="7"/>
        <v>0</v>
      </c>
      <c r="I122" s="53">
        <f t="shared" ca="1" si="8"/>
        <v>0</v>
      </c>
    </row>
    <row r="123" spans="1:9" ht="15.75">
      <c r="A123" s="63" t="str">
        <v>Shortal</v>
      </c>
      <c r="B123" s="64" t="str">
        <v>Opportunity</v>
      </c>
      <c r="C123" s="81">
        <f ca="1">SUM(Oct!C123, Nov!C123, Dec!C123)</f>
        <v>0</v>
      </c>
      <c r="D123" s="50">
        <f ca="1">SUM(Oct!D123, Nov!D123, Dec!D123)</f>
        <v>0</v>
      </c>
      <c r="E123" s="50">
        <f t="shared" ca="1" si="5"/>
        <v>0</v>
      </c>
      <c r="F123" s="51">
        <f t="shared" ca="1" si="6"/>
        <v>0</v>
      </c>
      <c r="G123" s="52">
        <f ca="1">SUM(Oct!G123, Nov!G123, Dec!G123)</f>
        <v>0</v>
      </c>
      <c r="H123" s="52">
        <f t="shared" ca="1" si="7"/>
        <v>0</v>
      </c>
      <c r="I123" s="53">
        <f t="shared" ca="1" si="8"/>
        <v>0</v>
      </c>
    </row>
    <row r="124" spans="1:9" ht="15.75">
      <c r="A124" s="59" t="str">
        <v>Aguadilla</v>
      </c>
      <c r="B124" s="21" t="str">
        <v>Opportunity</v>
      </c>
      <c r="C124" s="81">
        <f ca="1">SUM(Oct!C124, Nov!C124, Dec!C124)</f>
        <v>0</v>
      </c>
      <c r="D124" s="50">
        <f ca="1">SUM(Oct!D124, Nov!D124, Dec!D124)</f>
        <v>0</v>
      </c>
      <c r="E124" s="50">
        <f t="shared" ca="1" si="5"/>
        <v>0</v>
      </c>
      <c r="F124" s="51">
        <f t="shared" ca="1" si="6"/>
        <v>0</v>
      </c>
      <c r="G124" s="52">
        <f ca="1">SUM(Oct!G124, Nov!G124, Dec!G124)</f>
        <v>0</v>
      </c>
      <c r="H124" s="52">
        <f t="shared" ca="1" si="7"/>
        <v>0</v>
      </c>
      <c r="I124" s="53">
        <f t="shared" ca="1" si="8"/>
        <v>0</v>
      </c>
    </row>
    <row r="125" spans="1:9" ht="15.75">
      <c r="A125" s="63" t="str">
        <v>Bayamon</v>
      </c>
      <c r="B125" s="64" t="str">
        <v>Opportunity</v>
      </c>
      <c r="C125" s="81">
        <f ca="1">SUM(Oct!C125, Nov!C125, Dec!C125)</f>
        <v>0</v>
      </c>
      <c r="D125" s="50">
        <f ca="1">SUM(Oct!D125, Nov!D125, Dec!D125)</f>
        <v>0</v>
      </c>
      <c r="E125" s="50">
        <f t="shared" ca="1" si="5"/>
        <v>0</v>
      </c>
      <c r="F125" s="51">
        <f t="shared" ca="1" si="6"/>
        <v>0</v>
      </c>
      <c r="G125" s="52">
        <f ca="1">SUM(Oct!G125, Nov!G125, Dec!G125)</f>
        <v>0</v>
      </c>
      <c r="H125" s="52">
        <f t="shared" ca="1" si="7"/>
        <v>0</v>
      </c>
      <c r="I125" s="53">
        <f t="shared" ca="1" si="8"/>
        <v>0</v>
      </c>
    </row>
    <row r="126" spans="1:9" ht="15.75">
      <c r="A126" s="59" t="str">
        <v>St Francis</v>
      </c>
      <c r="B126" s="21" t="str">
        <v>Opportunity</v>
      </c>
      <c r="C126" s="81">
        <f ca="1">SUM(Oct!C126, Nov!C126, Dec!C126)</f>
        <v>0</v>
      </c>
      <c r="D126" s="50">
        <f ca="1">SUM(Oct!D126, Nov!D126, Dec!D126)</f>
        <v>0</v>
      </c>
      <c r="E126" s="50">
        <f t="shared" ca="1" si="5"/>
        <v>0</v>
      </c>
      <c r="F126" s="51">
        <f t="shared" ca="1" si="6"/>
        <v>0</v>
      </c>
      <c r="G126" s="52">
        <f ca="1">SUM(Oct!G126, Nov!G126, Dec!G126)</f>
        <v>0</v>
      </c>
      <c r="H126" s="52">
        <f t="shared" ca="1" si="7"/>
        <v>0</v>
      </c>
      <c r="I126" s="53">
        <f t="shared" ca="1" si="8"/>
        <v>0</v>
      </c>
    </row>
    <row r="127" spans="1:9" ht="15.75">
      <c r="A127" s="63" t="str">
        <v>Seaport</v>
      </c>
      <c r="B127" s="64" t="str">
        <v>Sunraise</v>
      </c>
      <c r="C127" s="81">
        <f ca="1">SUM(Oct!C127, Nov!C127, Dec!C127)</f>
        <v>0</v>
      </c>
      <c r="D127" s="50">
        <f ca="1">SUM(Oct!D127, Nov!D127, Dec!D127)</f>
        <v>0</v>
      </c>
      <c r="E127" s="50">
        <f t="shared" ca="1" si="5"/>
        <v>0</v>
      </c>
      <c r="F127" s="51">
        <f t="shared" ca="1" si="6"/>
        <v>0</v>
      </c>
      <c r="G127" s="52">
        <f ca="1">SUM(Oct!G127, Nov!G127, Dec!G127)</f>
        <v>0</v>
      </c>
      <c r="H127" s="52">
        <f t="shared" ca="1" si="7"/>
        <v>0</v>
      </c>
      <c r="I127" s="53">
        <f t="shared" ca="1" si="8"/>
        <v>0</v>
      </c>
    </row>
    <row r="128" spans="1:9" ht="15.75">
      <c r="A128" s="59" t="str">
        <v>Sprague St</v>
      </c>
      <c r="B128" s="21" t="str">
        <v>Sunraise</v>
      </c>
      <c r="C128" s="81">
        <f ca="1">SUM(Oct!C128, Nov!C128, Dec!C128)</f>
        <v>0</v>
      </c>
      <c r="D128" s="50">
        <f ca="1">SUM(Oct!D128, Nov!D128, Dec!D128)</f>
        <v>0</v>
      </c>
      <c r="E128" s="50">
        <f t="shared" ca="1" si="5"/>
        <v>0</v>
      </c>
      <c r="F128" s="51">
        <f t="shared" ca="1" si="6"/>
        <v>0</v>
      </c>
      <c r="G128" s="52">
        <f ca="1">SUM(Oct!G128, Nov!G128, Dec!G128)</f>
        <v>0</v>
      </c>
      <c r="H128" s="52">
        <f t="shared" ca="1" si="7"/>
        <v>0</v>
      </c>
      <c r="I128" s="53">
        <f t="shared" ca="1" si="8"/>
        <v>0</v>
      </c>
    </row>
    <row r="129" spans="1:9" ht="15.75">
      <c r="A129" s="63" t="str">
        <v>Summer St</v>
      </c>
      <c r="B129" s="64" t="str">
        <v>Sunraise</v>
      </c>
      <c r="C129" s="81">
        <f ca="1">SUM(Oct!C129, Nov!C129, Dec!C129)</f>
        <v>0</v>
      </c>
      <c r="D129" s="50">
        <f ca="1">SUM(Oct!D129, Nov!D129, Dec!D129)</f>
        <v>0</v>
      </c>
      <c r="E129" s="50">
        <f t="shared" ca="1" si="5"/>
        <v>0</v>
      </c>
      <c r="F129" s="51">
        <f t="shared" ca="1" si="6"/>
        <v>0</v>
      </c>
      <c r="G129" s="52">
        <f ca="1">SUM(Oct!G129, Nov!G129, Dec!G129)</f>
        <v>0</v>
      </c>
      <c r="H129" s="52">
        <f t="shared" ca="1" si="7"/>
        <v>0</v>
      </c>
      <c r="I129" s="53">
        <f t="shared" ca="1" si="8"/>
        <v>0</v>
      </c>
    </row>
    <row r="130" spans="1:9" ht="15.75">
      <c r="A130" s="59" t="str">
        <v>Brock St Vocational</v>
      </c>
      <c r="B130" s="21" t="str">
        <v>Sunraise</v>
      </c>
      <c r="C130" s="81">
        <f ca="1">SUM(Oct!C130, Nov!C130, Dec!C130)</f>
        <v>0</v>
      </c>
      <c r="D130" s="50">
        <f ca="1">SUM(Oct!D130, Nov!D130, Dec!D130)</f>
        <v>0</v>
      </c>
      <c r="E130" s="50">
        <f t="shared" ca="1" si="5"/>
        <v>0</v>
      </c>
      <c r="F130" s="51">
        <f t="shared" ca="1" si="6"/>
        <v>0</v>
      </c>
      <c r="G130" s="52">
        <f ca="1">SUM(Oct!G130, Nov!G130, Dec!G130)</f>
        <v>0</v>
      </c>
      <c r="H130" s="52">
        <f t="shared" ca="1" si="7"/>
        <v>0</v>
      </c>
      <c r="I130" s="53">
        <f t="shared" ca="1" si="8"/>
        <v>0</v>
      </c>
    </row>
    <row r="131" spans="1:9" ht="15.75">
      <c r="A131" s="63" t="str">
        <v>McClelland ES</v>
      </c>
      <c r="B131" s="64" t="str">
        <v>Sunraise</v>
      </c>
      <c r="C131" s="81">
        <f ca="1">SUM(Oct!C131, Nov!C131, Dec!C131)</f>
        <v>0</v>
      </c>
      <c r="D131" s="50">
        <f ca="1">SUM(Oct!D131, Nov!D131, Dec!D131)</f>
        <v>0</v>
      </c>
      <c r="E131" s="50">
        <f t="shared" ca="1" si="5"/>
        <v>0</v>
      </c>
      <c r="F131" s="51">
        <f t="shared" ca="1" si="6"/>
        <v>0</v>
      </c>
      <c r="G131" s="52">
        <f ca="1">SUM(Oct!G131, Nov!G131, Dec!G131)</f>
        <v>0</v>
      </c>
      <c r="H131" s="52">
        <f t="shared" ca="1" si="7"/>
        <v>0</v>
      </c>
      <c r="I131" s="53">
        <f t="shared" ca="1" si="8"/>
        <v>0</v>
      </c>
    </row>
    <row r="132" spans="1:9" ht="15.75">
      <c r="A132" s="59" t="str">
        <v>Portland St</v>
      </c>
      <c r="B132" s="21" t="str">
        <v>Sunraise</v>
      </c>
      <c r="C132" s="81">
        <f ca="1">SUM(Oct!C132, Nov!C132, Dec!C132)</f>
        <v>0</v>
      </c>
      <c r="D132" s="50">
        <f ca="1">SUM(Oct!D132, Nov!D132, Dec!D132)</f>
        <v>0</v>
      </c>
      <c r="E132" s="50">
        <f t="shared" ref="E132:E136" ca="1" si="9">C132-D132</f>
        <v>0</v>
      </c>
      <c r="F132" s="51">
        <f t="shared" ref="F132:F136" ca="1" si="10">IFERROR(E132/D132, 0)</f>
        <v>0</v>
      </c>
      <c r="G132" s="52">
        <f ca="1">SUM(Oct!G132, Nov!G132, Dec!G132)</f>
        <v>0</v>
      </c>
      <c r="H132" s="52">
        <f t="shared" ref="H132:H136" ca="1" si="11">C132-G132</f>
        <v>0</v>
      </c>
      <c r="I132" s="53">
        <f t="shared" ref="I132:I136" ca="1" si="12">IFERROR(H132/G132, 0)</f>
        <v>0</v>
      </c>
    </row>
    <row r="133" spans="1:9" ht="15.75">
      <c r="A133" s="63" t="str">
        <v>Portsmouth HS</v>
      </c>
      <c r="B133" s="64" t="str">
        <v>Sunraise</v>
      </c>
      <c r="C133" s="81">
        <f ca="1">SUM(Oct!C133, Nov!C133, Dec!C133)</f>
        <v>0</v>
      </c>
      <c r="D133" s="50">
        <f ca="1">SUM(Oct!D133, Nov!D133, Dec!D133)</f>
        <v>0</v>
      </c>
      <c r="E133" s="50">
        <f t="shared" ca="1" si="9"/>
        <v>0</v>
      </c>
      <c r="F133" s="51">
        <f t="shared" ca="1" si="10"/>
        <v>0</v>
      </c>
      <c r="G133" s="52">
        <f ca="1">SUM(Oct!G133, Nov!G133, Dec!G133)</f>
        <v>0</v>
      </c>
      <c r="H133" s="52">
        <f t="shared" ca="1" si="11"/>
        <v>0</v>
      </c>
      <c r="I133" s="53">
        <f t="shared" ca="1" si="12"/>
        <v>0</v>
      </c>
    </row>
    <row r="134" spans="1:9" ht="15.75">
      <c r="A134" s="59" t="str">
        <v>Portsmouth WTP</v>
      </c>
      <c r="B134" s="21" t="str">
        <v>Sunraise</v>
      </c>
      <c r="C134" s="81">
        <f ca="1">SUM(Oct!C134, Nov!C134, Dec!C134)</f>
        <v>0</v>
      </c>
      <c r="D134" s="50">
        <f ca="1">SUM(Oct!D134, Nov!D134, Dec!D134)</f>
        <v>0</v>
      </c>
      <c r="E134" s="50">
        <f t="shared" ca="1" si="9"/>
        <v>0</v>
      </c>
      <c r="F134" s="51">
        <f t="shared" ca="1" si="10"/>
        <v>0</v>
      </c>
      <c r="G134" s="52">
        <f ca="1">SUM(Oct!G134, Nov!G134, Dec!G134)</f>
        <v>0</v>
      </c>
      <c r="H134" s="52">
        <f t="shared" ca="1" si="11"/>
        <v>0</v>
      </c>
      <c r="I134" s="53">
        <f t="shared" ca="1" si="12"/>
        <v>0</v>
      </c>
    </row>
    <row r="135" spans="1:9" ht="15.75">
      <c r="A135" s="63" t="str">
        <v>Rochester St</v>
      </c>
      <c r="B135" s="64" t="str">
        <v>Sunraise</v>
      </c>
      <c r="C135" s="81">
        <f ca="1">SUM(Oct!C135, Nov!C135, Dec!C135)</f>
        <v>0</v>
      </c>
      <c r="D135" s="50">
        <f ca="1">SUM(Oct!D135, Nov!D135, Dec!D135)</f>
        <v>0</v>
      </c>
      <c r="E135" s="50">
        <f t="shared" ca="1" si="9"/>
        <v>0</v>
      </c>
      <c r="F135" s="51">
        <f t="shared" ca="1" si="10"/>
        <v>0</v>
      </c>
      <c r="G135" s="52">
        <f ca="1">SUM(Oct!G135, Nov!G135, Dec!G135)</f>
        <v>0</v>
      </c>
      <c r="H135" s="52">
        <f t="shared" ca="1" si="11"/>
        <v>0</v>
      </c>
      <c r="I135" s="53">
        <f t="shared" ca="1" si="12"/>
        <v>0</v>
      </c>
    </row>
    <row r="136" spans="1:9" ht="15.75">
      <c r="A136" s="59" t="str">
        <v>Spaulding HS</v>
      </c>
      <c r="B136" s="21" t="str">
        <v>Sunraise</v>
      </c>
      <c r="C136" s="81">
        <f ca="1">SUM(Oct!C136, Nov!C136, Dec!C136)</f>
        <v>0</v>
      </c>
      <c r="D136" s="50">
        <f ca="1">SUM(Oct!D136, Nov!D136, Dec!D136)</f>
        <v>0</v>
      </c>
      <c r="E136" s="50">
        <f t="shared" ca="1" si="9"/>
        <v>0</v>
      </c>
      <c r="F136" s="51">
        <f t="shared" ca="1" si="10"/>
        <v>0</v>
      </c>
      <c r="G136" s="52">
        <f ca="1">SUM(Oct!G136, Nov!G136, Dec!G136)</f>
        <v>0</v>
      </c>
      <c r="H136" s="52">
        <f t="shared" ca="1" si="11"/>
        <v>0</v>
      </c>
      <c r="I136" s="53">
        <f t="shared" ca="1" si="12"/>
        <v>0</v>
      </c>
    </row>
    <row r="137" spans="1:9" ht="15">
      <c r="A137" s="156" t="s">
        <v>9</v>
      </c>
      <c r="B137" s="157"/>
      <c r="C137" s="61">
        <f ca="1">SUM(C3:C8)</f>
        <v>0</v>
      </c>
      <c r="D137" s="61">
        <f ca="1">SUM(D3:D8)</f>
        <v>0</v>
      </c>
      <c r="E137" s="61">
        <f ca="1">C137-D137</f>
        <v>0</v>
      </c>
      <c r="F137" s="54">
        <f ca="1">IFERROR(E137/D137, 0)</f>
        <v>0</v>
      </c>
      <c r="G137" s="61">
        <f ca="1">SUM(G3:G8)</f>
        <v>0</v>
      </c>
      <c r="H137" s="62">
        <f ca="1">C137-G137</f>
        <v>0</v>
      </c>
      <c r="I137" s="55">
        <f ca="1">IFERROR(H137/C137, 0)</f>
        <v>0</v>
      </c>
    </row>
    <row r="139" spans="1:9">
      <c r="A139" s="158" t="s">
        <v>10</v>
      </c>
      <c r="B139" s="158"/>
    </row>
    <row r="140" spans="1:9">
      <c r="A140" s="158"/>
      <c r="B140" s="158"/>
    </row>
    <row r="141" spans="1:9">
      <c r="A141" s="159" t="s">
        <v>11</v>
      </c>
      <c r="B141" s="159"/>
    </row>
    <row r="142" spans="1:9">
      <c r="A142" s="159"/>
      <c r="B142" s="159"/>
    </row>
  </sheetData>
  <autoFilter ref="A2:I2" xr:uid="{CE62352A-0CAA-4862-87B6-A6A1C7531211}"/>
  <mergeCells count="6">
    <mergeCell ref="A137:B137"/>
    <mergeCell ref="A139:B140"/>
    <mergeCell ref="A141:B142"/>
    <mergeCell ref="C1:F1"/>
    <mergeCell ref="G1:I1"/>
    <mergeCell ref="A1:B1"/>
  </mergeCells>
  <conditionalFormatting sqref="F3:F137">
    <cfRule type="cellIs" dxfId="2186" priority="3" operator="lessThanOrEqual">
      <formula>-0.1</formula>
    </cfRule>
    <cfRule type="cellIs" dxfId="2185" priority="4" operator="greaterThanOrEqual">
      <formula>0.1</formula>
    </cfRule>
  </conditionalFormatting>
  <conditionalFormatting sqref="I3:I137">
    <cfRule type="cellIs" dxfId="2184" priority="1" operator="lessThanOrEqual">
      <formula>-0.1</formula>
    </cfRule>
    <cfRule type="cellIs" dxfId="2183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42"/>
  <sheetViews>
    <sheetView tabSelected="1" workbookViewId="0">
      <pane ySplit="2" topLeftCell="A77" activePane="bottomLeft" state="frozen"/>
      <selection pane="bottomLeft" activeCell="A84" sqref="A84:XFD84"/>
      <selection activeCell="L18" sqref="L18"/>
    </sheetView>
  </sheetViews>
  <sheetFormatPr defaultRowHeight="12.75"/>
  <cols>
    <col min="1" max="1" width="21.140625" bestFit="1" customWidth="1"/>
    <col min="2" max="2" width="18.5703125" bestFit="1" customWidth="1"/>
    <col min="3" max="3" width="9.7109375" bestFit="1" customWidth="1"/>
    <col min="4" max="4" width="9.85546875" bestFit="1" customWidth="1"/>
    <col min="5" max="5" width="10.7109375" bestFit="1" customWidth="1"/>
    <col min="6" max="6" width="6.5703125" style="1" bestFit="1" customWidth="1"/>
    <col min="7" max="7" width="11.42578125" bestFit="1" customWidth="1"/>
    <col min="8" max="8" width="10.7109375" bestFit="1" customWidth="1"/>
    <col min="9" max="9" width="6.85546875" style="1" bestFit="1" customWidth="1"/>
    <col min="10" max="10" width="104.7109375" customWidth="1"/>
    <col min="11" max="11" width="12" bestFit="1" customWidth="1"/>
  </cols>
  <sheetData>
    <row r="1" spans="1:11" ht="15.75">
      <c r="A1" s="172" t="str" cm="1">
        <f t="array" ref="A1">portfolio</f>
        <v>Generate Capital</v>
      </c>
      <c r="B1" s="172"/>
      <c r="C1" s="170" t="s">
        <v>20</v>
      </c>
      <c r="D1" s="170"/>
      <c r="E1" s="170"/>
      <c r="F1" s="170"/>
      <c r="G1" s="171" t="s">
        <v>21</v>
      </c>
      <c r="H1" s="171"/>
      <c r="I1" s="171"/>
      <c r="J1" s="173" t="s">
        <v>22</v>
      </c>
      <c r="K1" s="169" t="s">
        <v>23</v>
      </c>
    </row>
    <row r="2" spans="1:11" ht="14.25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>
      <c r="A3" s="143" t="str" cm="1">
        <f t="array" ref="A3:A136">Sites[Site]</f>
        <v>Farmer</v>
      </c>
      <c r="B3" s="144" t="str" cm="1">
        <f t="array" ref="B3:B136">Sites[Portfolio]</f>
        <v>Blue Renewables</v>
      </c>
      <c r="C3" s="139" cm="1">
        <f t="array" aca="1" ref="C3:K3" ca="1">IF(INDIRECT("'" &amp; $A3 &amp; "'!B5:J5")="", "", INDIRECT("'" &amp; $A3 &amp; "'!B5:J5"))</f>
        <v>9019.8055667054105</v>
      </c>
      <c r="D3" s="139">
        <f ca="1"/>
        <v>7182.884</v>
      </c>
      <c r="E3" s="139">
        <f ca="1"/>
        <v>1836.9215667054104</v>
      </c>
      <c r="F3" s="140">
        <f ca="1"/>
        <v>0.25573593652708443</v>
      </c>
      <c r="G3" s="141">
        <f ca="1"/>
        <v>9612.777</v>
      </c>
      <c r="H3" s="141">
        <f ca="1"/>
        <v>-592.97143329458959</v>
      </c>
      <c r="I3" s="142">
        <f ca="1"/>
        <v>-6.1685757746652144E-2</v>
      </c>
      <c r="J3" s="26" t="str">
        <f ca="1"/>
        <v/>
      </c>
      <c r="K3" s="26" t="str">
        <f ca="1"/>
        <v/>
      </c>
    </row>
    <row r="4" spans="1:11" ht="15.75">
      <c r="A4" s="137" t="str">
        <v>Fulton</v>
      </c>
      <c r="B4" s="138" t="str">
        <v>Blue Renewables</v>
      </c>
      <c r="C4" s="139" cm="1">
        <f t="array" aca="1" ref="C4:K4" ca="1">IF(INDIRECT("'" &amp; $A4 &amp; "'!B5:J5")="", "", INDIRECT("'" &amp; $A4 &amp; "'!B5:J5"))</f>
        <v>29434.75</v>
      </c>
      <c r="D4" s="139">
        <f ca="1"/>
        <v>28981.22</v>
      </c>
      <c r="E4" s="139">
        <f ca="1"/>
        <v>453.52999999999884</v>
      </c>
      <c r="F4" s="140">
        <f ca="1"/>
        <v>1.5649099658330425E-2</v>
      </c>
      <c r="G4" s="141">
        <f ca="1"/>
        <v>39673.79</v>
      </c>
      <c r="H4" s="141">
        <f ca="1"/>
        <v>-10239.040000000001</v>
      </c>
      <c r="I4" s="142">
        <f ca="1"/>
        <v>-0.25808071273251182</v>
      </c>
      <c r="J4" s="26" t="str">
        <f ca="1"/>
        <v/>
      </c>
      <c r="K4" s="26" t="str">
        <f ca="1"/>
        <v/>
      </c>
    </row>
    <row r="5" spans="1:11" ht="15.75">
      <c r="A5" s="143" t="str">
        <v>JFK Elementary</v>
      </c>
      <c r="B5" s="144" t="str">
        <v>Blue Renewables</v>
      </c>
      <c r="C5" s="139" cm="1">
        <f t="array" aca="1" ref="C5:K5" ca="1">IF(INDIRECT("'" &amp; $A5 &amp; "'!B5:J5")="", "", INDIRECT("'" &amp; $A5 &amp; "'!B5:J5"))</f>
        <v>15656.69</v>
      </c>
      <c r="D5" s="139">
        <f ca="1"/>
        <v>0</v>
      </c>
      <c r="E5" s="139">
        <f ca="1"/>
        <v>15656.69</v>
      </c>
      <c r="F5" s="140">
        <f ca="1"/>
        <v>0</v>
      </c>
      <c r="G5" s="141">
        <f ca="1"/>
        <v>1973</v>
      </c>
      <c r="H5" s="141">
        <f ca="1"/>
        <v>13683.69</v>
      </c>
      <c r="I5" s="142">
        <f ca="1"/>
        <v>6.9354738976178414</v>
      </c>
      <c r="J5" s="26" t="str">
        <f ca="1"/>
        <v/>
      </c>
      <c r="K5" s="26" t="str">
        <f ca="1"/>
        <v/>
      </c>
    </row>
    <row r="6" spans="1:11" ht="15.75">
      <c r="A6" s="137" t="str">
        <v>Noble</v>
      </c>
      <c r="B6" s="138" t="str">
        <v>Blue Renewables</v>
      </c>
      <c r="C6" s="139" cm="1">
        <f t="array" aca="1" ref="C6:K6" ca="1">IF(INDIRECT("'" &amp; $A6 &amp; "'!B5:J5")="", "", INDIRECT("'" &amp; $A6 &amp; "'!B5:J5"))</f>
        <v>8806.2478459322592</v>
      </c>
      <c r="D6" s="139">
        <f ca="1"/>
        <v>12098.42</v>
      </c>
      <c r="E6" s="139">
        <f ca="1"/>
        <v>-3292.1721540677408</v>
      </c>
      <c r="F6" s="140">
        <f ca="1"/>
        <v>-0.27211587579764474</v>
      </c>
      <c r="G6" s="141">
        <f ca="1"/>
        <v>11218.66</v>
      </c>
      <c r="H6" s="141">
        <f ca="1"/>
        <v>-2412.4121540677406</v>
      </c>
      <c r="I6" s="142">
        <f ca="1"/>
        <v>-0.21503567752902225</v>
      </c>
      <c r="J6" s="26" t="str">
        <f ca="1"/>
        <v/>
      </c>
      <c r="K6" s="26" t="str">
        <f ca="1"/>
        <v/>
      </c>
    </row>
    <row r="7" spans="1:11" ht="30.75">
      <c r="A7" s="143" t="str">
        <v>Parking 3</v>
      </c>
      <c r="B7" s="144" t="str">
        <v>Blue Renewables</v>
      </c>
      <c r="C7" s="139" cm="1">
        <f t="array" aca="1" ref="C7:K7" ca="1">IF(INDIRECT("'" &amp; $A7 &amp; "'!B5:J5")="", "", INDIRECT("'" &amp; $A7 &amp; "'!B5:J5"))</f>
        <v>16586.8</v>
      </c>
      <c r="D7" s="139">
        <f ca="1"/>
        <v>24366.89</v>
      </c>
      <c r="E7" s="139">
        <f ca="1"/>
        <v>-7780.09</v>
      </c>
      <c r="F7" s="140">
        <f ca="1"/>
        <v>-0.31928941280565554</v>
      </c>
      <c r="G7" s="141">
        <f ca="1"/>
        <v>24201.63</v>
      </c>
      <c r="H7" s="141">
        <f ca="1"/>
        <v>-7614.8300000000017</v>
      </c>
      <c r="I7" s="142">
        <f ca="1"/>
        <v>-0.31464120391890965</v>
      </c>
      <c r="J7" s="26" t="str">
        <f ca="1"/>
        <v>1.Inverter 1.1 is offline from 01/05 and back online on 01/17 at 10:45AM
2. Inverter 1.1 is offline from 07:00AM on 01/20 and back online at 11:00 on 01/22</v>
      </c>
      <c r="K7" s="26" t="str">
        <f ca="1"/>
        <v>1.SR079991
2.SR080358</v>
      </c>
    </row>
    <row r="8" spans="1:11" ht="15.75">
      <c r="A8" s="137" t="str">
        <v>PE East</v>
      </c>
      <c r="B8" s="138" t="str">
        <v>Blue Renewables</v>
      </c>
      <c r="C8" s="139" cm="1">
        <f t="array" aca="1" ref="C8:K8" ca="1">IF(INDIRECT("'" &amp; $A8 &amp; "'!B5:J5")="", "", INDIRECT("'" &amp; $A8 &amp; "'!B5:J5"))</f>
        <v>20730.183365017401</v>
      </c>
      <c r="D8" s="139">
        <f ca="1"/>
        <v>16836.22</v>
      </c>
      <c r="E8" s="139">
        <f ca="1"/>
        <v>3893.9633650174001</v>
      </c>
      <c r="F8" s="140">
        <f ca="1"/>
        <v>0.23128489441319963</v>
      </c>
      <c r="G8" s="141">
        <f ca="1"/>
        <v>24326.73</v>
      </c>
      <c r="H8" s="141">
        <f ca="1"/>
        <v>-3596.5466349825983</v>
      </c>
      <c r="I8" s="142">
        <f ca="1"/>
        <v>-0.14784340661414824</v>
      </c>
      <c r="J8" s="26" t="str">
        <f ca="1"/>
        <v/>
      </c>
      <c r="K8" s="26" t="str">
        <f ca="1"/>
        <v/>
      </c>
    </row>
    <row r="9" spans="1:11" ht="15.75">
      <c r="A9" s="143" t="str">
        <v>Schwada</v>
      </c>
      <c r="B9" s="144" t="str">
        <v>Blue Renewables</v>
      </c>
      <c r="C9" s="139" cm="1">
        <f t="array" aca="1" ref="C9:K9" ca="1">IF(INDIRECT("'" &amp; $A9 &amp; "'!B5:J5")="", "", INDIRECT("'" &amp; $A9 &amp; "'!B5:J5"))</f>
        <v>8912.9887629654295</v>
      </c>
      <c r="D9" s="139">
        <f ca="1"/>
        <v>7118.6189999999997</v>
      </c>
      <c r="E9" s="139">
        <f ca="1"/>
        <v>1794.3697629654298</v>
      </c>
      <c r="F9" s="140">
        <f ca="1"/>
        <v>0.25206711624339356</v>
      </c>
      <c r="G9" s="141">
        <f ca="1"/>
        <v>10705</v>
      </c>
      <c r="H9" s="141">
        <f ca="1"/>
        <v>-1792.0112370345705</v>
      </c>
      <c r="I9" s="142">
        <f ca="1"/>
        <v>-0.16739946165666236</v>
      </c>
      <c r="J9" s="26" t="str">
        <f ca="1"/>
        <v/>
      </c>
      <c r="K9" s="26" t="str">
        <f ca="1"/>
        <v/>
      </c>
    </row>
    <row r="10" spans="1:11" ht="15.75">
      <c r="A10" s="137" t="str">
        <v>Starshine</v>
      </c>
      <c r="B10" s="138" t="str">
        <v>Blue Renewables</v>
      </c>
      <c r="C10" s="139" cm="1">
        <f t="array" aca="1" ref="C10:K10" ca="1">IF(INDIRECT("'" &amp; $A10 &amp; "'!B5:J5")="", "", INDIRECT("'" &amp; $A10 &amp; "'!B5:J5"))</f>
        <v>3747.203</v>
      </c>
      <c r="D10" s="139">
        <f ca="1"/>
        <v>0</v>
      </c>
      <c r="E10" s="139">
        <f ca="1"/>
        <v>3747.203</v>
      </c>
      <c r="F10" s="140">
        <f ca="1"/>
        <v>0</v>
      </c>
      <c r="G10" s="141">
        <f ca="1"/>
        <v>0</v>
      </c>
      <c r="H10" s="141">
        <f ca="1"/>
        <v>3747.203</v>
      </c>
      <c r="I10" s="142">
        <f ca="1"/>
        <v>0</v>
      </c>
      <c r="J10" s="26" t="str">
        <f ca="1"/>
        <v>1.Site did not started on 01/25 and started late on 01/27.</v>
      </c>
      <c r="K10" s="26" t="str">
        <f ca="1"/>
        <v xml:space="preserve">1.SR080480	</v>
      </c>
    </row>
    <row r="11" spans="1:11" ht="15.75">
      <c r="A11" s="143" t="str">
        <v>Yuma Airport</v>
      </c>
      <c r="B11" s="144" t="str">
        <v>Blue Renewables</v>
      </c>
      <c r="C11" s="139" cm="1">
        <f t="array" aca="1" ref="C11:K11" ca="1">IF(INDIRECT("'" &amp; $A11 &amp; "'!B5:J5")="", "", INDIRECT("'" &amp; $A11 &amp; "'!B5:J5"))</f>
        <v>52995</v>
      </c>
      <c r="D11" s="139">
        <f ca="1"/>
        <v>74566.16</v>
      </c>
      <c r="E11" s="139">
        <f ca="1"/>
        <v>-21571.160000000003</v>
      </c>
      <c r="F11" s="140">
        <f ca="1"/>
        <v>-0.28928886776521684</v>
      </c>
      <c r="G11" s="141">
        <f ca="1"/>
        <v>67067</v>
      </c>
      <c r="H11" s="141">
        <f ca="1"/>
        <v>-14072</v>
      </c>
      <c r="I11" s="142">
        <f ca="1"/>
        <v>-0.20982003071555311</v>
      </c>
      <c r="J11" s="26" t="str">
        <f ca="1"/>
        <v/>
      </c>
      <c r="K11" s="26" t="str">
        <f ca="1"/>
        <v/>
      </c>
    </row>
    <row r="12" spans="1:11" ht="15.75">
      <c r="A12" s="137" t="str">
        <v>Kinsman</v>
      </c>
      <c r="B12" s="138" t="str">
        <v>Blue Renewables</v>
      </c>
      <c r="C12" s="139" cm="1">
        <f t="array" aca="1" ref="C12:K12" ca="1">IF(INDIRECT("'" &amp; $A12 &amp; "'!B5:J5")="", "", INDIRECT("'" &amp; $A12 &amp; "'!B5:J5"))</f>
        <v>20047.7890625</v>
      </c>
      <c r="D12" s="139">
        <f ca="1"/>
        <v>40688.25</v>
      </c>
      <c r="E12" s="139">
        <f ca="1"/>
        <v>-20640.4609375</v>
      </c>
      <c r="F12" s="140">
        <f ca="1"/>
        <v>-0.50728308387556609</v>
      </c>
      <c r="G12" s="141">
        <f ca="1"/>
        <v>55531</v>
      </c>
      <c r="H12" s="141">
        <f ca="1"/>
        <v>-35483.2109375</v>
      </c>
      <c r="I12" s="142">
        <f ca="1"/>
        <v>-0.63898022613495165</v>
      </c>
      <c r="J12" s="26" t="str">
        <f ca="1"/>
        <v>1. Inveter B did not started for production 1/15 and 1/24.</v>
      </c>
      <c r="K12" s="26" t="str">
        <f ca="1"/>
        <v>1. SR080237</v>
      </c>
    </row>
    <row r="13" spans="1:11" ht="15.75">
      <c r="A13" s="143" t="str">
        <v>Wooster</v>
      </c>
      <c r="B13" s="144" t="str">
        <v>Blue Renewables</v>
      </c>
      <c r="C13" s="139" cm="1">
        <f t="array" aca="1" ref="C13:K13" ca="1">IF(INDIRECT("'" &amp; $A13 &amp; "'!B5:J5")="", "", INDIRECT("'" &amp; $A13 &amp; "'!B5:J5"))</f>
        <v>6323.25</v>
      </c>
      <c r="D13" s="139">
        <f ca="1"/>
        <v>0</v>
      </c>
      <c r="E13" s="139">
        <f ca="1"/>
        <v>6323.25</v>
      </c>
      <c r="F13" s="140">
        <f ca="1"/>
        <v>0</v>
      </c>
      <c r="G13" s="141">
        <f ca="1"/>
        <v>12400</v>
      </c>
      <c r="H13" s="141">
        <f ca="1"/>
        <v>-6076.75</v>
      </c>
      <c r="I13" s="142">
        <f ca="1"/>
        <v>-0.49006048387096773</v>
      </c>
      <c r="J13" s="26" t="str">
        <f ca="1"/>
        <v/>
      </c>
      <c r="K13" s="26" t="str">
        <f ca="1"/>
        <v xml:space="preserve"> </v>
      </c>
    </row>
    <row r="14" spans="1:11" ht="15.75">
      <c r="A14" s="137" t="str">
        <v>Globe Gila CC</v>
      </c>
      <c r="B14" s="138" t="str">
        <v>CC Gen Equity</v>
      </c>
      <c r="C14" s="139" cm="1">
        <f t="array" aca="1" ref="C14:K14" ca="1">IF(INDIRECT("'" &amp; $A14 &amp; "'!B5:J5")="", "", INDIRECT("'" &amp; $A14 &amp; "'!B5:J5"))</f>
        <v>10382.7778156565</v>
      </c>
      <c r="D14" s="139">
        <f ca="1"/>
        <v>0</v>
      </c>
      <c r="E14" s="139">
        <f ca="1"/>
        <v>10382.7778156565</v>
      </c>
      <c r="F14" s="140">
        <f ca="1"/>
        <v>0</v>
      </c>
      <c r="G14" s="141">
        <f ca="1"/>
        <v>11007</v>
      </c>
      <c r="H14" s="141">
        <f ca="1"/>
        <v>-624.22218434349998</v>
      </c>
      <c r="I14" s="142">
        <f ca="1"/>
        <v>-5.6711382242527482E-2</v>
      </c>
      <c r="J14" s="26" t="str">
        <f ca="1"/>
        <v/>
      </c>
      <c r="K14" s="26" t="str">
        <f ca="1"/>
        <v xml:space="preserve"> </v>
      </c>
    </row>
    <row r="15" spans="1:11" ht="15.75">
      <c r="A15" s="143" t="str">
        <v>Payson Gila CC</v>
      </c>
      <c r="B15" s="144" t="str">
        <v>CC Gen Equity</v>
      </c>
      <c r="C15" s="139" cm="1">
        <f t="array" aca="1" ref="C15:K15" ca="1">IF(INDIRECT("'" &amp; $A15 &amp; "'!B5:J5")="", "", INDIRECT("'" &amp; $A15 &amp; "'!B5:J5"))</f>
        <v>6804.58081607043</v>
      </c>
      <c r="D15" s="139">
        <f ca="1"/>
        <v>0</v>
      </c>
      <c r="E15" s="139">
        <f ca="1"/>
        <v>6804.58081607043</v>
      </c>
      <c r="F15" s="140">
        <f ca="1"/>
        <v>0</v>
      </c>
      <c r="G15" s="141">
        <f ca="1"/>
        <v>8517</v>
      </c>
      <c r="H15" s="141">
        <f ca="1"/>
        <v>-1712.41918392957</v>
      </c>
      <c r="I15" s="142">
        <f ca="1"/>
        <v>-0.20105896253722788</v>
      </c>
      <c r="J15" s="26" t="str">
        <f ca="1"/>
        <v/>
      </c>
      <c r="K15" s="26" t="str">
        <f ca="1"/>
        <v xml:space="preserve"> </v>
      </c>
    </row>
    <row r="16" spans="1:11" ht="15.75">
      <c r="A16" s="137" t="str">
        <v>SCNM</v>
      </c>
      <c r="B16" s="138" t="str">
        <v>CC Gen Equity</v>
      </c>
      <c r="C16" s="139" cm="1">
        <f t="array" aca="1" ref="C16:K16" ca="1">IF(INDIRECT("'" &amp; $A16 &amp; "'!B5:J5")="", "", INDIRECT("'" &amp; $A16 &amp; "'!B5:J5"))</f>
        <v>51680.32</v>
      </c>
      <c r="D16" s="139">
        <f ca="1"/>
        <v>0</v>
      </c>
      <c r="E16" s="139">
        <f ca="1"/>
        <v>51680.32</v>
      </c>
      <c r="F16" s="140">
        <f ca="1"/>
        <v>0</v>
      </c>
      <c r="G16" s="141">
        <f ca="1"/>
        <v>28849</v>
      </c>
      <c r="H16" s="141">
        <f ca="1"/>
        <v>22831.32</v>
      </c>
      <c r="I16" s="142">
        <f ca="1"/>
        <v>0.79140767444278826</v>
      </c>
      <c r="J16" s="26" t="str">
        <f ca="1"/>
        <v/>
      </c>
      <c r="K16" s="26" t="str">
        <f ca="1"/>
        <v xml:space="preserve"> </v>
      </c>
    </row>
    <row r="17" spans="1:11" ht="15.75">
      <c r="A17" s="143" t="str">
        <v>Sequoia Charter School</v>
      </c>
      <c r="B17" s="144" t="str">
        <v>CC Gen Equity</v>
      </c>
      <c r="C17" s="139" cm="1">
        <f t="array" aca="1" ref="C17:K17" ca="1">IF(INDIRECT("'" &amp; $A17 &amp; "'!B5:J5")="", "", INDIRECT("'" &amp; $A17 &amp; "'!B5:J5"))</f>
        <v>20768</v>
      </c>
      <c r="D17" s="139">
        <f ca="1"/>
        <v>0</v>
      </c>
      <c r="E17" s="139">
        <f ca="1"/>
        <v>20768</v>
      </c>
      <c r="F17" s="140">
        <f ca="1"/>
        <v>0</v>
      </c>
      <c r="G17" s="141">
        <f ca="1"/>
        <v>8180</v>
      </c>
      <c r="H17" s="141">
        <f ca="1"/>
        <v>12588</v>
      </c>
      <c r="I17" s="142">
        <f ca="1"/>
        <v>1.5388753056234719</v>
      </c>
      <c r="J17" s="26" t="str">
        <f ca="1"/>
        <v/>
      </c>
      <c r="K17" s="26" t="str">
        <f ca="1"/>
        <v xml:space="preserve"> </v>
      </c>
    </row>
    <row r="18" spans="1:11" ht="15.75">
      <c r="A18" s="137" t="str">
        <v>RCAB</v>
      </c>
      <c r="B18" s="138" t="str">
        <v>GESF2</v>
      </c>
      <c r="C18" s="139" cm="1">
        <f t="array" aca="1" ref="C18:K18" ca="1">IF(INDIRECT("'" &amp; $A18 &amp; "'!B5:J5")="", "", INDIRECT("'" &amp; $A18 &amp; "'!B5:J5"))</f>
        <v>23135</v>
      </c>
      <c r="D18" s="139">
        <f ca="1"/>
        <v>43481.120000000003</v>
      </c>
      <c r="E18" s="139">
        <f ca="1"/>
        <v>-20346.120000000003</v>
      </c>
      <c r="F18" s="140">
        <f ca="1"/>
        <v>-0.4679299889239284</v>
      </c>
      <c r="G18" s="141">
        <f ca="1"/>
        <v>47410.87</v>
      </c>
      <c r="H18" s="141">
        <f ca="1"/>
        <v>-24275.870000000003</v>
      </c>
      <c r="I18" s="142">
        <f ca="1"/>
        <v>-0.51203173449464234</v>
      </c>
      <c r="J18" s="26" t="str">
        <f ca="1"/>
        <v/>
      </c>
      <c r="K18" s="26" t="str">
        <f ca="1"/>
        <v xml:space="preserve"> </v>
      </c>
    </row>
    <row r="19" spans="1:11" ht="15.75">
      <c r="A19" s="143" t="str">
        <v>Spectro Coatings</v>
      </c>
      <c r="B19" s="144" t="str">
        <v>GESF2</v>
      </c>
      <c r="C19" s="139" cm="1">
        <f t="array" aca="1" ref="C19:K19" ca="1">IF(INDIRECT("'" &amp; $A19 &amp; "'!B5:J5")="", "", INDIRECT("'" &amp; $A19 &amp; "'!B5:J5"))</f>
        <v>5510.625</v>
      </c>
      <c r="D19" s="139">
        <f ca="1"/>
        <v>12146.73</v>
      </c>
      <c r="E19" s="139">
        <f ca="1"/>
        <v>-6636.1049999999996</v>
      </c>
      <c r="F19" s="140">
        <f ca="1"/>
        <v>-0.54632851804559746</v>
      </c>
      <c r="G19" s="141">
        <f ca="1"/>
        <v>11789.76</v>
      </c>
      <c r="H19" s="141">
        <f ca="1"/>
        <v>-6279.1350000000002</v>
      </c>
      <c r="I19" s="142">
        <f ca="1"/>
        <v>-0.53259226650924196</v>
      </c>
      <c r="J19" s="26" t="str">
        <f ca="1"/>
        <v>1. Site was offline on 1/22 at 15:30 and back online on 1/23 11:45.</v>
      </c>
      <c r="K19" s="26" t="str">
        <f ca="1"/>
        <v>1. SR080401</v>
      </c>
    </row>
    <row r="20" spans="1:11" ht="15.75">
      <c r="A20" s="137" t="str">
        <v>K026</v>
      </c>
      <c r="B20" s="138" t="str">
        <v>Hudson</v>
      </c>
      <c r="C20" s="139" cm="1">
        <f t="array" aca="1" ref="C20:K20" ca="1">IF(INDIRECT("'" &amp; $A20 &amp; "'!B5:J5")="", "", INDIRECT("'" &amp; $A20 &amp; "'!B5:J5"))</f>
        <v>7049.125</v>
      </c>
      <c r="D20" s="139">
        <f ca="1"/>
        <v>12398.04</v>
      </c>
      <c r="E20" s="139">
        <f ca="1"/>
        <v>-5348.9150000000009</v>
      </c>
      <c r="F20" s="140">
        <f ca="1"/>
        <v>-0.43143230704208091</v>
      </c>
      <c r="G20" s="141">
        <f ca="1"/>
        <v>18592.650000000001</v>
      </c>
      <c r="H20" s="141">
        <f ca="1"/>
        <v>-11543.525000000001</v>
      </c>
      <c r="I20" s="142">
        <f ca="1"/>
        <v>-0.62086496545678005</v>
      </c>
      <c r="J20" s="26" t="str">
        <f ca="1"/>
        <v/>
      </c>
      <c r="K20" s="26" t="str">
        <f ca="1"/>
        <v/>
      </c>
    </row>
    <row r="21" spans="1:11" ht="15.75">
      <c r="A21" s="143" t="str">
        <v>K041</v>
      </c>
      <c r="B21" s="144" t="str">
        <v>Hudson</v>
      </c>
      <c r="C21" s="139" cm="1">
        <f t="array" aca="1" ref="C21:K21" ca="1">IF(INDIRECT("'" &amp; $A21 &amp; "'!B5:J5")="", "", INDIRECT("'" &amp; $A21 &amp; "'!B5:J5"))</f>
        <v>2400.5965820312499</v>
      </c>
      <c r="D21" s="139">
        <f ca="1"/>
        <v>0</v>
      </c>
      <c r="E21" s="139">
        <f ca="1"/>
        <v>2400.5965820312499</v>
      </c>
      <c r="F21" s="140">
        <f ca="1"/>
        <v>0</v>
      </c>
      <c r="G21" s="141">
        <f ca="1"/>
        <v>0</v>
      </c>
      <c r="H21" s="141">
        <f ca="1"/>
        <v>2400.5965820312499</v>
      </c>
      <c r="I21" s="142">
        <f ca="1"/>
        <v>0</v>
      </c>
      <c r="J21" s="26" t="str">
        <f ca="1"/>
        <v>1. Site started production from 1/18</v>
      </c>
      <c r="K21" s="26" t="str">
        <f ca="1"/>
        <v>1. SR079892</v>
      </c>
    </row>
    <row r="22" spans="1:11" ht="15.75">
      <c r="A22" s="137" t="str">
        <v>K043</v>
      </c>
      <c r="B22" s="138" t="str">
        <v>Hudson</v>
      </c>
      <c r="C22" s="139" cm="1">
        <f t="array" aca="1" ref="C22:K22" ca="1">IF(INDIRECT("'" &amp; $A22 &amp; "'!B5:J5")="", "", INDIRECT("'" &amp; $A22 &amp; "'!B5:J5"))</f>
        <v>7037.328125</v>
      </c>
      <c r="D22" s="139">
        <f ca="1"/>
        <v>10909.38</v>
      </c>
      <c r="E22" s="139">
        <f ca="1"/>
        <v>-3872.0518749999992</v>
      </c>
      <c r="F22" s="140">
        <f ca="1"/>
        <v>-0.35492868293156893</v>
      </c>
      <c r="G22" s="141">
        <f ca="1"/>
        <v>20258</v>
      </c>
      <c r="H22" s="141">
        <f ca="1"/>
        <v>-13220.671875</v>
      </c>
      <c r="I22" s="142">
        <f ca="1"/>
        <v>-0.65261486202981533</v>
      </c>
      <c r="J22" s="26" t="str">
        <f ca="1"/>
        <v/>
      </c>
      <c r="K22" s="26" t="str">
        <f ca="1"/>
        <v xml:space="preserve"> </v>
      </c>
    </row>
    <row r="23" spans="1:11" ht="15.75">
      <c r="A23" s="143" t="str">
        <v>K058</v>
      </c>
      <c r="B23" s="144" t="str">
        <v>Hudson</v>
      </c>
      <c r="C23" s="139" cm="1">
        <f t="array" aca="1" ref="C23:K23" ca="1">IF(INDIRECT("'" &amp; $A23 &amp; "'!B5:J5")="", "", INDIRECT("'" &amp; $A23 &amp; "'!B5:J5"))</f>
        <v>5262.6875</v>
      </c>
      <c r="D23" s="139">
        <f ca="1"/>
        <v>8705.5619999999999</v>
      </c>
      <c r="E23" s="139">
        <f ca="1"/>
        <v>-3442.8744999999999</v>
      </c>
      <c r="F23" s="140">
        <f ca="1"/>
        <v>-0.39547986677942215</v>
      </c>
      <c r="G23" s="141">
        <f ca="1"/>
        <v>13134.4</v>
      </c>
      <c r="H23" s="141">
        <f ca="1"/>
        <v>-7871.7124999999996</v>
      </c>
      <c r="I23" s="142">
        <f ca="1"/>
        <v>-0.59932029632111095</v>
      </c>
      <c r="J23" s="26" t="str">
        <f ca="1"/>
        <v/>
      </c>
      <c r="K23" s="26" t="str">
        <f ca="1"/>
        <v xml:space="preserve"> </v>
      </c>
    </row>
    <row r="24" spans="1:11" ht="15.75">
      <c r="A24" s="137" t="str">
        <v>K115</v>
      </c>
      <c r="B24" s="138" t="str">
        <v>Hudson</v>
      </c>
      <c r="C24" s="139" cm="1">
        <f t="array" aca="1" ref="C24:K24" ca="1">IF(INDIRECT("'" &amp; $A24 &amp; "'!B5:J5")="", "", INDIRECT("'" &amp; $A24 &amp; "'!B5:J5"))</f>
        <v>1496.6525963930401</v>
      </c>
      <c r="D24" s="139">
        <f ca="1"/>
        <v>5139.6459999999997</v>
      </c>
      <c r="E24" s="139">
        <f ca="1"/>
        <v>-3642.9934036069599</v>
      </c>
      <c r="F24" s="140">
        <f ca="1"/>
        <v>-0.70880239682012347</v>
      </c>
      <c r="G24" s="141">
        <f ca="1"/>
        <v>4549.33</v>
      </c>
      <c r="H24" s="141">
        <f ca="1"/>
        <v>-3052.6774036069601</v>
      </c>
      <c r="I24" s="142">
        <f ca="1"/>
        <v>-0.67101691976773725</v>
      </c>
      <c r="J24" s="26" t="str">
        <f ca="1"/>
        <v>1. Ongoing construction to the array on the roof. 70 percent of the array is offline for construction</v>
      </c>
      <c r="K24" s="26" t="str">
        <f ca="1"/>
        <v>1. SR077214</v>
      </c>
    </row>
    <row r="25" spans="1:11" ht="15.75">
      <c r="A25" s="143" t="str">
        <v>K152</v>
      </c>
      <c r="B25" s="144" t="str">
        <v>Hudson</v>
      </c>
      <c r="C25" s="139" cm="1">
        <f t="array" aca="1" ref="C25:K25" ca="1">IF(INDIRECT("'" &amp; $A25 &amp; "'!B5:J5")="", "", INDIRECT("'" &amp; $A25 &amp; "'!B5:J5"))</f>
        <v>1927.1875</v>
      </c>
      <c r="D25" s="139">
        <f ca="1"/>
        <v>3008.1570000000002</v>
      </c>
      <c r="E25" s="139">
        <f ca="1"/>
        <v>-1080.9695000000002</v>
      </c>
      <c r="F25" s="140">
        <f ca="1"/>
        <v>-0.3593461046082369</v>
      </c>
      <c r="G25" s="141">
        <f ca="1"/>
        <v>798</v>
      </c>
      <c r="H25" s="141">
        <f ca="1"/>
        <v>1129.1875</v>
      </c>
      <c r="I25" s="142">
        <f ca="1"/>
        <v>1.4150219298245614</v>
      </c>
      <c r="J25" s="26" t="str">
        <f ca="1"/>
        <v/>
      </c>
      <c r="K25" s="26" t="str">
        <f ca="1"/>
        <v xml:space="preserve"> </v>
      </c>
    </row>
    <row r="26" spans="1:11" ht="15.75">
      <c r="A26" s="137" t="str">
        <v>K166</v>
      </c>
      <c r="B26" s="138" t="str">
        <v>Hudson</v>
      </c>
      <c r="C26" s="139" cm="1">
        <f t="array" aca="1" ref="C26:K26" ca="1">IF(INDIRECT("'" &amp; $A26 &amp; "'!B5:J5")="", "", INDIRECT("'" &amp; $A26 &amp; "'!B5:J5"))</f>
        <v>7390.625</v>
      </c>
      <c r="D26" s="139">
        <f ca="1"/>
        <v>11891.79</v>
      </c>
      <c r="E26" s="139">
        <f ca="1"/>
        <v>-4501.1650000000009</v>
      </c>
      <c r="F26" s="140">
        <f ca="1"/>
        <v>-0.37851029996325203</v>
      </c>
      <c r="G26" s="141">
        <f ca="1"/>
        <v>18302.04</v>
      </c>
      <c r="H26" s="141">
        <f ca="1"/>
        <v>-10911.415000000001</v>
      </c>
      <c r="I26" s="142">
        <f ca="1"/>
        <v>-0.59618572574423401</v>
      </c>
      <c r="J26" s="26" t="str">
        <f ca="1"/>
        <v/>
      </c>
      <c r="K26" s="26" t="str">
        <f ca="1"/>
        <v xml:space="preserve"> </v>
      </c>
    </row>
    <row r="27" spans="1:11" ht="15.75">
      <c r="A27" s="143" t="str">
        <v>K206</v>
      </c>
      <c r="B27" s="144" t="str">
        <v>Hudson</v>
      </c>
      <c r="C27" s="139" cm="1">
        <f t="array" aca="1" ref="C27:K27" ca="1">IF(INDIRECT("'" &amp; $A27 &amp; "'!B5:J5")="", "", INDIRECT("'" &amp; $A27 &amp; "'!B5:J5"))</f>
        <v>4600.7732192947096</v>
      </c>
      <c r="D27" s="139">
        <f ca="1"/>
        <v>0</v>
      </c>
      <c r="E27" s="139">
        <f ca="1"/>
        <v>4600.7732192947096</v>
      </c>
      <c r="F27" s="140">
        <f ca="1"/>
        <v>0</v>
      </c>
      <c r="G27" s="141">
        <f ca="1"/>
        <v>0</v>
      </c>
      <c r="H27" s="141">
        <f ca="1"/>
        <v>4600.7732192947096</v>
      </c>
      <c r="I27" s="142">
        <f ca="1"/>
        <v>0</v>
      </c>
      <c r="J27" s="26" t="str">
        <f ca="1"/>
        <v/>
      </c>
      <c r="K27" s="26" t="str">
        <f ca="1"/>
        <v xml:space="preserve"> </v>
      </c>
    </row>
    <row r="28" spans="1:11" ht="15.75">
      <c r="A28" s="137" t="str">
        <v>K251</v>
      </c>
      <c r="B28" s="138" t="str">
        <v>Hudson</v>
      </c>
      <c r="C28" s="139" cm="1">
        <f t="array" aca="1" ref="C28:K28" ca="1">IF(INDIRECT("'" &amp; $A28 &amp; "'!B5:J5")="", "", INDIRECT("'" &amp; $A28 &amp; "'!B5:J5"))</f>
        <v>4966.375</v>
      </c>
      <c r="D28" s="139">
        <f ca="1"/>
        <v>7470.1769999999997</v>
      </c>
      <c r="E28" s="139">
        <f ca="1"/>
        <v>-2503.8019999999997</v>
      </c>
      <c r="F28" s="140">
        <f ca="1"/>
        <v>-0.33517304877782678</v>
      </c>
      <c r="G28" s="141">
        <f ca="1"/>
        <v>9815.6869999999999</v>
      </c>
      <c r="H28" s="141">
        <f ca="1"/>
        <v>-4849.3119999999999</v>
      </c>
      <c r="I28" s="142">
        <f ca="1"/>
        <v>-0.49403694310953478</v>
      </c>
      <c r="J28" s="26" t="str">
        <f ca="1"/>
        <v/>
      </c>
      <c r="K28" s="26" t="str">
        <f ca="1"/>
        <v xml:space="preserve"> </v>
      </c>
    </row>
    <row r="29" spans="1:11" ht="15.75">
      <c r="A29" s="143" t="str">
        <v>K269</v>
      </c>
      <c r="B29" s="144" t="str">
        <v>Hudson</v>
      </c>
      <c r="C29" s="139" cm="1">
        <f t="array" aca="1" ref="C29:K29" ca="1">IF(INDIRECT("'" &amp; $A29 &amp; "'!B5:J5")="", "", INDIRECT("'" &amp; $A29 &amp; "'!B5:J5"))</f>
        <v>4328.3125</v>
      </c>
      <c r="D29" s="139">
        <f ca="1"/>
        <v>0</v>
      </c>
      <c r="E29" s="139">
        <f ca="1"/>
        <v>4328.3125</v>
      </c>
      <c r="F29" s="140">
        <f ca="1"/>
        <v>0</v>
      </c>
      <c r="G29" s="141">
        <f ca="1"/>
        <v>10978.73</v>
      </c>
      <c r="H29" s="141">
        <f ca="1"/>
        <v>-6650.4174999999996</v>
      </c>
      <c r="I29" s="142">
        <f ca="1"/>
        <v>-0.60575471844193274</v>
      </c>
      <c r="J29" s="26" t="str">
        <f ca="1"/>
        <v/>
      </c>
      <c r="K29" s="26" t="str">
        <f ca="1"/>
        <v xml:space="preserve"> </v>
      </c>
    </row>
    <row r="30" spans="1:11" ht="15.75">
      <c r="A30" s="137" t="str">
        <v>K273</v>
      </c>
      <c r="B30" s="138" t="str">
        <v>Hudson</v>
      </c>
      <c r="C30" s="139" cm="1">
        <f t="array" aca="1" ref="C30:K30" ca="1">IF(INDIRECT("'" &amp; $A30 &amp; "'!B5:J5")="", "", INDIRECT("'" &amp; $A30 &amp; "'!B5:J5"))</f>
        <v>5062.03125</v>
      </c>
      <c r="D30" s="139">
        <f ca="1"/>
        <v>0</v>
      </c>
      <c r="E30" s="139">
        <f ca="1"/>
        <v>5062.03125</v>
      </c>
      <c r="F30" s="140">
        <f ca="1"/>
        <v>0</v>
      </c>
      <c r="G30" s="141">
        <f ca="1"/>
        <v>11224</v>
      </c>
      <c r="H30" s="141">
        <f ca="1"/>
        <v>-6161.96875</v>
      </c>
      <c r="I30" s="142">
        <f ca="1"/>
        <v>-0.54899935406272271</v>
      </c>
      <c r="J30" s="26" t="str">
        <f ca="1"/>
        <v/>
      </c>
      <c r="K30" s="26" t="str">
        <f ca="1"/>
        <v xml:space="preserve"> </v>
      </c>
    </row>
    <row r="31" spans="1:11" ht="15.75">
      <c r="A31" s="143" t="str">
        <v>K287</v>
      </c>
      <c r="B31" s="144" t="str">
        <v>Hudson</v>
      </c>
      <c r="C31" s="139" cm="1">
        <f t="array" aca="1" ref="C31:K31" ca="1">IF(INDIRECT("'" &amp; $A31 &amp; "'!B5:J5")="", "", INDIRECT("'" &amp; $A31 &amp; "'!B5:J5"))</f>
        <v>3720.0499218750001</v>
      </c>
      <c r="D31" s="139">
        <f ca="1"/>
        <v>5487.5860000000002</v>
      </c>
      <c r="E31" s="139">
        <f ca="1"/>
        <v>-1767.5360781250001</v>
      </c>
      <c r="F31" s="140">
        <f ca="1"/>
        <v>-0.32209719868171544</v>
      </c>
      <c r="G31" s="141">
        <f ca="1"/>
        <v>0</v>
      </c>
      <c r="H31" s="141">
        <f ca="1"/>
        <v>3720.0499218750001</v>
      </c>
      <c r="I31" s="142">
        <f ca="1"/>
        <v>0</v>
      </c>
      <c r="J31" s="26" t="str">
        <f ca="1"/>
        <v/>
      </c>
      <c r="K31" s="26" t="str">
        <f ca="1"/>
        <v xml:space="preserve"> </v>
      </c>
    </row>
    <row r="32" spans="1:11" ht="15.75">
      <c r="A32" s="137" t="str">
        <v>K298</v>
      </c>
      <c r="B32" s="138" t="str">
        <v>Hudson</v>
      </c>
      <c r="C32" s="139" cm="1">
        <f t="array" aca="1" ref="C32:K32" ca="1">IF(INDIRECT("'" &amp; $A32 &amp; "'!B5:J5")="", "", INDIRECT("'" &amp; $A32 &amp; "'!B5:J5"))</f>
        <v>3421.078125</v>
      </c>
      <c r="D32" s="139">
        <f ca="1"/>
        <v>7008.5879999999997</v>
      </c>
      <c r="E32" s="139">
        <f ca="1"/>
        <v>-3587.5098749999997</v>
      </c>
      <c r="F32" s="140">
        <f ca="1"/>
        <v>-0.51187341515865958</v>
      </c>
      <c r="G32" s="141">
        <f ca="1"/>
        <v>0</v>
      </c>
      <c r="H32" s="141">
        <f ca="1"/>
        <v>3421.078125</v>
      </c>
      <c r="I32" s="142">
        <f ca="1"/>
        <v>0</v>
      </c>
      <c r="J32" s="26" t="str">
        <f ca="1"/>
        <v>1. Inverter 1 primary unit offline on 01/19/2024 &amp; back online 01/25/2024 at 10:00.</v>
      </c>
      <c r="K32" s="26" t="str">
        <f ca="1"/>
        <v>1. SR080472</v>
      </c>
    </row>
    <row r="33" spans="1:11" ht="15.75">
      <c r="A33" s="143" t="str">
        <v>K335</v>
      </c>
      <c r="B33" s="144" t="str">
        <v>Hudson</v>
      </c>
      <c r="C33" s="139" cm="1">
        <f t="array" aca="1" ref="C33:K33" ca="1">IF(INDIRECT("'" &amp; $A33 &amp; "'!B5:J5")="", "", INDIRECT("'" &amp; $A33 &amp; "'!B5:J5"))</f>
        <v>4100.5625</v>
      </c>
      <c r="D33" s="139">
        <f ca="1"/>
        <v>7358.259</v>
      </c>
      <c r="E33" s="139">
        <f ca="1"/>
        <v>-3257.6965</v>
      </c>
      <c r="F33" s="140">
        <f ca="1"/>
        <v>-0.44272653354550306</v>
      </c>
      <c r="G33" s="141">
        <f ca="1"/>
        <v>11610</v>
      </c>
      <c r="H33" s="141">
        <f ca="1"/>
        <v>-7509.4375</v>
      </c>
      <c r="I33" s="142">
        <f ca="1"/>
        <v>-0.64680770887166239</v>
      </c>
      <c r="J33" s="26" t="str">
        <f ca="1"/>
        <v/>
      </c>
      <c r="K33" s="26" t="str">
        <f ca="1"/>
        <v xml:space="preserve"> </v>
      </c>
    </row>
    <row r="34" spans="1:11" ht="30.75">
      <c r="A34" s="137" t="str">
        <v>K345</v>
      </c>
      <c r="B34" s="138" t="str">
        <v>Hudson</v>
      </c>
      <c r="C34" s="139" cm="1">
        <f t="array" aca="1" ref="C34:K34" ca="1">IF(INDIRECT("'" &amp; $A34 &amp; "'!B5:J5")="", "", INDIRECT("'" &amp; $A34 &amp; "'!B5:J5"))</f>
        <v>4561.296875</v>
      </c>
      <c r="D34" s="139">
        <f ca="1"/>
        <v>0</v>
      </c>
      <c r="E34" s="139">
        <f ca="1"/>
        <v>4561.296875</v>
      </c>
      <c r="F34" s="140">
        <f ca="1"/>
        <v>0</v>
      </c>
      <c r="G34" s="141">
        <f ca="1"/>
        <v>0</v>
      </c>
      <c r="H34" s="141">
        <f ca="1"/>
        <v>4561.296875</v>
      </c>
      <c r="I34" s="142">
        <f ca="1"/>
        <v>0</v>
      </c>
      <c r="J34" s="26" t="str">
        <f ca="1"/>
        <v>1. Site tripped offline on 01/11 at 8:15 and back online at 11:15,  but inverter 2 again tripped offline
2. Inverter 2 tripped offline on 01/11 at 11:45 and back online on 01/12</v>
      </c>
      <c r="K34" s="26" t="str">
        <f ca="1"/>
        <v>1. SR080156
2. SR080165</v>
      </c>
    </row>
    <row r="35" spans="1:11" ht="15.75">
      <c r="A35" s="143" t="str">
        <v>K445</v>
      </c>
      <c r="B35" s="144" t="str">
        <v>Hudson</v>
      </c>
      <c r="C35" s="139" cm="1">
        <f t="array" aca="1" ref="C35:K35" ca="1">IF(INDIRECT("'" &amp; $A35 &amp; "'!B5:J5")="", "", INDIRECT("'" &amp; $A35 &amp; "'!B5:J5"))</f>
        <v>4488.8050683593801</v>
      </c>
      <c r="D35" s="139">
        <f ca="1"/>
        <v>0</v>
      </c>
      <c r="E35" s="139">
        <f ca="1"/>
        <v>4488.8050683593801</v>
      </c>
      <c r="F35" s="140">
        <f ca="1"/>
        <v>0</v>
      </c>
      <c r="G35" s="141">
        <f ca="1"/>
        <v>0</v>
      </c>
      <c r="H35" s="141">
        <f ca="1"/>
        <v>4488.8050683593801</v>
      </c>
      <c r="I35" s="142">
        <f ca="1"/>
        <v>0</v>
      </c>
      <c r="J35" s="26" t="str">
        <f ca="1"/>
        <v/>
      </c>
      <c r="K35" s="26" t="str">
        <f ca="1"/>
        <v xml:space="preserve"> </v>
      </c>
    </row>
    <row r="36" spans="1:11" ht="30.75">
      <c r="A36" s="137" t="str">
        <v>K495</v>
      </c>
      <c r="B36" s="138" t="str">
        <v>Hudson</v>
      </c>
      <c r="C36" s="139" cm="1">
        <f t="array" aca="1" ref="C36:K36" ca="1">IF(INDIRECT("'" &amp; $A36 &amp; "'!B5:J5")="", "", INDIRECT("'" &amp; $A36 &amp; "'!B5:J5"))</f>
        <v>20449.1875</v>
      </c>
      <c r="D36" s="139">
        <f ca="1"/>
        <v>0</v>
      </c>
      <c r="E36" s="139">
        <f ca="1"/>
        <v>20449.1875</v>
      </c>
      <c r="F36" s="140">
        <f ca="1"/>
        <v>0</v>
      </c>
      <c r="G36" s="141">
        <f ca="1"/>
        <v>0</v>
      </c>
      <c r="H36" s="141">
        <f ca="1"/>
        <v>20449.1875</v>
      </c>
      <c r="I36" s="142">
        <f ca="1"/>
        <v>0</v>
      </c>
      <c r="J36" s="26" t="str">
        <f ca="1"/>
        <v>1. Inverter 4 tripped offline at 10:50 at 01/17 &amp; back online on 01/20/2024. 
2. Inverter 8 left unit offline on 01/07/2024 &amp; back online at 01/08/2024 and also left unit offline from 01/16 to 01/22</v>
      </c>
      <c r="K36" s="26" t="str">
        <f ca="1"/>
        <v>1.SR080297
2.SR080299</v>
      </c>
    </row>
    <row r="37" spans="1:11" ht="15.75">
      <c r="A37" s="143" t="str">
        <v>M020</v>
      </c>
      <c r="B37" s="144" t="str">
        <v>Hudson</v>
      </c>
      <c r="C37" s="139" cm="1">
        <f t="array" aca="1" ref="C37:K37" ca="1">IF(INDIRECT("'" &amp; $A37 &amp; "'!B5:J5")="", "", INDIRECT("'" &amp; $A37 &amp; "'!B5:J5"))</f>
        <v>4382.65625</v>
      </c>
      <c r="D37" s="139">
        <f ca="1"/>
        <v>7052.3590000000004</v>
      </c>
      <c r="E37" s="139">
        <f ca="1"/>
        <v>-2669.7027500000004</v>
      </c>
      <c r="F37" s="140">
        <f ca="1"/>
        <v>-0.37855457301592277</v>
      </c>
      <c r="G37" s="141">
        <f ca="1"/>
        <v>0</v>
      </c>
      <c r="H37" s="141">
        <f ca="1"/>
        <v>4382.65625</v>
      </c>
      <c r="I37" s="142">
        <f ca="1"/>
        <v>0</v>
      </c>
      <c r="J37" s="26" t="str">
        <f ca="1"/>
        <v/>
      </c>
      <c r="K37" s="26" t="str">
        <f ca="1"/>
        <v xml:space="preserve"> </v>
      </c>
    </row>
    <row r="38" spans="1:11" ht="15.75">
      <c r="A38" s="137" t="str">
        <v>M092</v>
      </c>
      <c r="B38" s="138" t="str">
        <v>Hudson</v>
      </c>
      <c r="C38" s="139" cm="1">
        <f t="array" aca="1" ref="C38:K38" ca="1">IF(INDIRECT("'" &amp; $A38 &amp; "'!B5:J5")="", "", INDIRECT("'" &amp; $A38 &amp; "'!B5:J5"))</f>
        <v>4470.75</v>
      </c>
      <c r="D38" s="139">
        <f ca="1"/>
        <v>7217.8190000000004</v>
      </c>
      <c r="E38" s="139">
        <f ca="1"/>
        <v>-2747.0690000000004</v>
      </c>
      <c r="F38" s="140">
        <f ca="1"/>
        <v>-0.38059544025695302</v>
      </c>
      <c r="G38" s="141">
        <f ca="1"/>
        <v>11299.41</v>
      </c>
      <c r="H38" s="141">
        <f ca="1"/>
        <v>-6828.66</v>
      </c>
      <c r="I38" s="142">
        <f ca="1"/>
        <v>-0.60433774860811318</v>
      </c>
      <c r="J38" s="26" t="str">
        <f ca="1"/>
        <v/>
      </c>
      <c r="K38" s="26" t="str">
        <f ca="1"/>
        <v xml:space="preserve"> </v>
      </c>
    </row>
    <row r="39" spans="1:11" ht="15.75">
      <c r="A39" s="143" t="str">
        <v>M143</v>
      </c>
      <c r="B39" s="144" t="str">
        <v>Hudson</v>
      </c>
      <c r="C39" s="139" cm="1">
        <f t="array" aca="1" ref="C39:K39" ca="1">IF(INDIRECT("'" &amp; $A39 &amp; "'!B5:J5")="", "", INDIRECT("'" &amp; $A39 &amp; "'!B5:J5"))</f>
        <v>4964.5</v>
      </c>
      <c r="D39" s="139">
        <f ca="1"/>
        <v>7892.9740000000002</v>
      </c>
      <c r="E39" s="139">
        <f ca="1"/>
        <v>-2928.4740000000002</v>
      </c>
      <c r="F39" s="140">
        <f ca="1"/>
        <v>-0.37102288693716717</v>
      </c>
      <c r="G39" s="141">
        <f ca="1"/>
        <v>15533.26</v>
      </c>
      <c r="H39" s="141">
        <f ca="1"/>
        <v>-10568.76</v>
      </c>
      <c r="I39" s="142">
        <f ca="1"/>
        <v>-0.6803954868456461</v>
      </c>
      <c r="J39" s="26" t="str">
        <f ca="1"/>
        <v/>
      </c>
      <c r="K39" s="26" t="str">
        <f ca="1"/>
        <v xml:space="preserve"> </v>
      </c>
    </row>
    <row r="40" spans="1:11" ht="15.75">
      <c r="A40" s="137" t="str">
        <v>M144</v>
      </c>
      <c r="B40" s="138" t="str">
        <v>Hudson</v>
      </c>
      <c r="C40" s="139" cm="1">
        <f t="array" aca="1" ref="C40:K40" ca="1">IF(INDIRECT("'" &amp; $A40 &amp; "'!B5:J5")="", "", INDIRECT("'" &amp; $A40 &amp; "'!B5:J5"))</f>
        <v>7482.359375</v>
      </c>
      <c r="D40" s="139">
        <f ca="1"/>
        <v>0</v>
      </c>
      <c r="E40" s="139">
        <f ca="1"/>
        <v>7482.359375</v>
      </c>
      <c r="F40" s="140">
        <f ca="1"/>
        <v>0</v>
      </c>
      <c r="G40" s="141">
        <f ca="1"/>
        <v>0</v>
      </c>
      <c r="H40" s="141">
        <f ca="1"/>
        <v>7482.359375</v>
      </c>
      <c r="I40" s="142">
        <f ca="1"/>
        <v>0</v>
      </c>
      <c r="J40" s="26" t="str">
        <f ca="1"/>
        <v/>
      </c>
      <c r="K40" s="26" t="str">
        <f ca="1"/>
        <v xml:space="preserve"> </v>
      </c>
    </row>
    <row r="41" spans="1:11" ht="15.75">
      <c r="A41" s="143" t="str">
        <v>M167</v>
      </c>
      <c r="B41" s="144" t="str">
        <v>Hudson</v>
      </c>
      <c r="C41" s="139" cm="1">
        <f t="array" aca="1" ref="C41:K41" ca="1">IF(INDIRECT("'" &amp; $A41 &amp; "'!B5:J5")="", "", INDIRECT("'" &amp; $A41 &amp; "'!B5:J5"))</f>
        <v>4434</v>
      </c>
      <c r="D41" s="139">
        <f ca="1"/>
        <v>5657</v>
      </c>
      <c r="E41" s="139">
        <f ca="1"/>
        <v>-1223</v>
      </c>
      <c r="F41" s="140">
        <f ca="1"/>
        <v>-0.21619232808909317</v>
      </c>
      <c r="G41" s="141">
        <f ca="1"/>
        <v>10982</v>
      </c>
      <c r="H41" s="141">
        <f ca="1"/>
        <v>-6548</v>
      </c>
      <c r="I41" s="142">
        <f ca="1"/>
        <v>-0.59624840648333632</v>
      </c>
      <c r="J41" s="26" t="str">
        <f ca="1"/>
        <v/>
      </c>
      <c r="K41" s="26" t="str">
        <f ca="1"/>
        <v xml:space="preserve"> </v>
      </c>
    </row>
    <row r="42" spans="1:11" ht="15.75">
      <c r="A42" s="137" t="str">
        <v>M188</v>
      </c>
      <c r="B42" s="138" t="str">
        <v>Hudson</v>
      </c>
      <c r="C42" s="139" cm="1">
        <f t="array" aca="1" ref="C42:K42" ca="1">IF(INDIRECT("'" &amp; $A42 &amp; "'!B5:J5")="", "", INDIRECT("'" &amp; $A42 &amp; "'!B5:J5"))</f>
        <v>3879.9296875</v>
      </c>
      <c r="D42" s="139">
        <f ca="1"/>
        <v>0</v>
      </c>
      <c r="E42" s="139">
        <f ca="1"/>
        <v>3879.9296875</v>
      </c>
      <c r="F42" s="140">
        <f ca="1"/>
        <v>0</v>
      </c>
      <c r="G42" s="141">
        <f ca="1"/>
        <v>0</v>
      </c>
      <c r="H42" s="141">
        <f ca="1"/>
        <v>3879.9296875</v>
      </c>
      <c r="I42" s="142">
        <f ca="1"/>
        <v>0</v>
      </c>
      <c r="J42" s="26" t="str">
        <f ca="1"/>
        <v/>
      </c>
      <c r="K42" s="26" t="str">
        <f ca="1"/>
        <v xml:space="preserve"> </v>
      </c>
    </row>
    <row r="43" spans="1:11" ht="15.75">
      <c r="A43" s="143" t="str">
        <v>EMHC</v>
      </c>
      <c r="B43" s="144" t="str">
        <v>Hudson</v>
      </c>
      <c r="C43" s="139" cm="1">
        <f t="array" aca="1" ref="C43:K43" ca="1">IF(INDIRECT("'" &amp; $A43 &amp; "'!B5:J5")="", "", INDIRECT("'" &amp; $A43 &amp; "'!B5:J5"))</f>
        <v>911</v>
      </c>
      <c r="D43" s="139">
        <f ca="1"/>
        <v>0</v>
      </c>
      <c r="E43" s="139">
        <f ca="1"/>
        <v>911</v>
      </c>
      <c r="F43" s="140">
        <f ca="1"/>
        <v>0</v>
      </c>
      <c r="G43" s="141">
        <f ca="1"/>
        <v>0</v>
      </c>
      <c r="H43" s="141">
        <f ca="1"/>
        <v>911</v>
      </c>
      <c r="I43" s="142">
        <f ca="1"/>
        <v>0</v>
      </c>
      <c r="J43" s="26" t="str">
        <f ca="1"/>
        <v/>
      </c>
      <c r="K43" s="26" t="str">
        <f ca="1"/>
        <v xml:space="preserve"> </v>
      </c>
    </row>
    <row r="44" spans="1:11" ht="15.75">
      <c r="A44" s="137" t="str">
        <v>Q008</v>
      </c>
      <c r="B44" s="138" t="str">
        <v>Hudson</v>
      </c>
      <c r="C44" s="139" cm="1">
        <f t="array" aca="1" ref="C44:K44" ca="1">IF(INDIRECT("'" &amp; $A44 &amp; "'!B5:J5")="", "", INDIRECT("'" &amp; $A44 &amp; "'!B5:J5"))</f>
        <v>6839.03125</v>
      </c>
      <c r="D44" s="139">
        <f ca="1"/>
        <v>9522.7690000000002</v>
      </c>
      <c r="E44" s="139">
        <f ca="1"/>
        <v>-2683.7377500000002</v>
      </c>
      <c r="F44" s="140">
        <f ca="1"/>
        <v>-0.281823254349654</v>
      </c>
      <c r="G44" s="141">
        <f ca="1"/>
        <v>15253</v>
      </c>
      <c r="H44" s="141">
        <f ca="1"/>
        <v>-8413.96875</v>
      </c>
      <c r="I44" s="142">
        <f ca="1"/>
        <v>-0.55162713892349047</v>
      </c>
      <c r="J44" s="26" t="str">
        <f ca="1"/>
        <v/>
      </c>
      <c r="K44" s="26" t="str">
        <f ca="1"/>
        <v xml:space="preserve"> </v>
      </c>
    </row>
    <row r="45" spans="1:11" ht="15.75">
      <c r="A45" s="143" t="str">
        <v>Q018</v>
      </c>
      <c r="B45" s="144" t="str">
        <v>Hudson</v>
      </c>
      <c r="C45" s="139" cm="1">
        <f t="array" aca="1" ref="C45:K45" ca="1">IF(INDIRECT("'" &amp; $A45 &amp; "'!B5:J5")="", "", INDIRECT("'" &amp; $A45 &amp; "'!B5:J5"))</f>
        <v>4357.5</v>
      </c>
      <c r="D45" s="139">
        <f ca="1"/>
        <v>5639.9430000000002</v>
      </c>
      <c r="E45" s="139">
        <f ca="1"/>
        <v>-1282.4430000000002</v>
      </c>
      <c r="F45" s="140">
        <f ca="1"/>
        <v>-0.2273858086863644</v>
      </c>
      <c r="G45" s="141">
        <f ca="1"/>
        <v>9568.2369999999992</v>
      </c>
      <c r="H45" s="141">
        <f ca="1"/>
        <v>-5210.7369999999992</v>
      </c>
      <c r="I45" s="142">
        <f ca="1"/>
        <v>-0.54458694950804409</v>
      </c>
      <c r="J45" s="26" t="str">
        <f ca="1"/>
        <v/>
      </c>
      <c r="K45" s="26" t="str">
        <f ca="1"/>
        <v xml:space="preserve"> </v>
      </c>
    </row>
    <row r="46" spans="1:11" ht="15.75">
      <c r="A46" s="137" t="str">
        <v>Q021</v>
      </c>
      <c r="B46" s="138" t="str">
        <v>Hudson</v>
      </c>
      <c r="C46" s="139" cm="1">
        <f t="array" aca="1" ref="C46:K46" ca="1">IF(INDIRECT("'" &amp; $A46 &amp; "'!B5:J5")="", "", INDIRECT("'" &amp; $A46 &amp; "'!B5:J5"))</f>
        <v>3435.6875</v>
      </c>
      <c r="D46" s="139">
        <f ca="1"/>
        <v>6008.808</v>
      </c>
      <c r="E46" s="139">
        <f ca="1"/>
        <v>-2573.1205</v>
      </c>
      <c r="F46" s="140">
        <f ca="1"/>
        <v>-0.42822478268568409</v>
      </c>
      <c r="G46" s="141">
        <f ca="1"/>
        <v>4290.74</v>
      </c>
      <c r="H46" s="141">
        <f ca="1"/>
        <v>-855.05249999999978</v>
      </c>
      <c r="I46" s="142">
        <f ca="1"/>
        <v>-0.19927856267217306</v>
      </c>
      <c r="J46" s="26" t="str">
        <f ca="1"/>
        <v/>
      </c>
      <c r="K46" s="26" t="str">
        <f ca="1"/>
        <v xml:space="preserve"> </v>
      </c>
    </row>
    <row r="47" spans="1:11" ht="15.75">
      <c r="A47" s="143" t="str">
        <v>Q025</v>
      </c>
      <c r="B47" s="144" t="str">
        <v>Hudson</v>
      </c>
      <c r="C47" s="139" cm="1">
        <f t="array" aca="1" ref="C47:K47" ca="1">IF(INDIRECT("'" &amp; $A47 &amp; "'!B5:J5")="", "", INDIRECT("'" &amp; $A47 &amp; "'!B5:J5"))</f>
        <v>6042.5</v>
      </c>
      <c r="D47" s="139">
        <f ca="1"/>
        <v>9148.84</v>
      </c>
      <c r="E47" s="139">
        <f ca="1"/>
        <v>-3106.34</v>
      </c>
      <c r="F47" s="140">
        <f ca="1"/>
        <v>-0.33953375509900707</v>
      </c>
      <c r="G47" s="141">
        <f ca="1"/>
        <v>7767</v>
      </c>
      <c r="H47" s="141">
        <f ca="1"/>
        <v>-1724.5</v>
      </c>
      <c r="I47" s="142">
        <f ca="1"/>
        <v>-0.22202909746362817</v>
      </c>
      <c r="J47" s="26" t="str">
        <f ca="1"/>
        <v/>
      </c>
      <c r="K47" s="26" t="str">
        <f ca="1"/>
        <v xml:space="preserve"> </v>
      </c>
    </row>
    <row r="48" spans="1:11" ht="15.75">
      <c r="A48" s="137" t="str">
        <v>Q074</v>
      </c>
      <c r="B48" s="138" t="str">
        <v>Hudson</v>
      </c>
      <c r="C48" s="139" cm="1">
        <f t="array" aca="1" ref="C48:K48" ca="1">IF(INDIRECT("'" &amp; $A48 &amp; "'!B5:J5")="", "", INDIRECT("'" &amp; $A48 &amp; "'!B5:J5"))</f>
        <v>3737.71875</v>
      </c>
      <c r="D48" s="139">
        <f ca="1"/>
        <v>5120.8</v>
      </c>
      <c r="E48" s="139">
        <f ca="1"/>
        <v>-1383.0812500000002</v>
      </c>
      <c r="F48" s="140">
        <f ca="1"/>
        <v>-0.27009085494453994</v>
      </c>
      <c r="G48" s="141">
        <f ca="1"/>
        <v>8043.3059999999996</v>
      </c>
      <c r="H48" s="141">
        <f ca="1"/>
        <v>-4305.5872499999996</v>
      </c>
      <c r="I48" s="142">
        <f ca="1"/>
        <v>-0.53530068979098888</v>
      </c>
      <c r="J48" s="26" t="str">
        <f ca="1"/>
        <v/>
      </c>
      <c r="K48" s="26" t="str">
        <f ca="1"/>
        <v xml:space="preserve"> </v>
      </c>
    </row>
    <row r="49" spans="1:11" ht="15.75">
      <c r="A49" s="143" t="str">
        <v>Q115</v>
      </c>
      <c r="B49" s="144" t="str">
        <v>Hudson</v>
      </c>
      <c r="C49" s="139" cm="1">
        <f t="array" aca="1" ref="C49:K49" ca="1">IF(INDIRECT("'" &amp; $A49 &amp; "'!B5:J5")="", "", INDIRECT("'" &amp; $A49 &amp; "'!B5:J5"))</f>
        <v>4955.0625</v>
      </c>
      <c r="D49" s="139">
        <f ca="1"/>
        <v>8344.5239999999994</v>
      </c>
      <c r="E49" s="139">
        <f ca="1"/>
        <v>-3389.4614999999994</v>
      </c>
      <c r="F49" s="140">
        <f ca="1"/>
        <v>-0.40618991568602353</v>
      </c>
      <c r="G49" s="141">
        <f ca="1"/>
        <v>11121.22</v>
      </c>
      <c r="H49" s="141">
        <f ca="1"/>
        <v>-6166.1574999999993</v>
      </c>
      <c r="I49" s="142">
        <f ca="1"/>
        <v>-0.55444973662961439</v>
      </c>
      <c r="J49" s="26" t="str">
        <f ca="1"/>
        <v/>
      </c>
      <c r="K49" s="26" t="str">
        <f ca="1"/>
        <v xml:space="preserve"> </v>
      </c>
    </row>
    <row r="50" spans="1:11" ht="15.75">
      <c r="A50" s="137" t="str">
        <v>Q139</v>
      </c>
      <c r="B50" s="138" t="str">
        <v>Hudson</v>
      </c>
      <c r="C50" s="139" cm="1">
        <f t="array" aca="1" ref="C50:K50" ca="1">IF(INDIRECT("'" &amp; $A50 &amp; "'!B5:J5")="", "", INDIRECT("'" &amp; $A50 &amp; "'!B5:J5"))</f>
        <v>2925.8125</v>
      </c>
      <c r="D50" s="139">
        <f ca="1"/>
        <v>4425.3320000000003</v>
      </c>
      <c r="E50" s="139">
        <f ca="1"/>
        <v>-1499.5195000000003</v>
      </c>
      <c r="F50" s="140">
        <f ca="1"/>
        <v>-0.33884904002682742</v>
      </c>
      <c r="G50" s="141">
        <f ca="1"/>
        <v>6324</v>
      </c>
      <c r="H50" s="141">
        <f ca="1"/>
        <v>-3398.1875</v>
      </c>
      <c r="I50" s="142">
        <f ca="1"/>
        <v>-0.53734780202403543</v>
      </c>
      <c r="J50" s="26" t="str">
        <f ca="1"/>
        <v/>
      </c>
      <c r="K50" s="26" t="str">
        <f ca="1"/>
        <v xml:space="preserve"> </v>
      </c>
    </row>
    <row r="51" spans="1:11" ht="15.75">
      <c r="A51" s="143" t="str">
        <v>Q157</v>
      </c>
      <c r="B51" s="144" t="str">
        <v>Hudson</v>
      </c>
      <c r="C51" s="139" cm="1">
        <f t="array" aca="1" ref="C51:K51" ca="1">IF(INDIRECT("'" &amp; $A51 &amp; "'!B5:J5")="", "", INDIRECT("'" &amp; $A51 &amp; "'!B5:J5"))</f>
        <v>4902.4375</v>
      </c>
      <c r="D51" s="139">
        <f ca="1"/>
        <v>8720.9449999999997</v>
      </c>
      <c r="E51" s="139">
        <f ca="1"/>
        <v>-3818.5074999999997</v>
      </c>
      <c r="F51" s="140">
        <f ca="1"/>
        <v>-0.43785478523256366</v>
      </c>
      <c r="G51" s="141">
        <f ca="1"/>
        <v>11481.79</v>
      </c>
      <c r="H51" s="141">
        <f ca="1"/>
        <v>-6579.3525000000009</v>
      </c>
      <c r="I51" s="142">
        <f ca="1"/>
        <v>-0.57302498129647039</v>
      </c>
      <c r="J51" s="26" t="str">
        <f ca="1"/>
        <v/>
      </c>
      <c r="K51" s="26" t="str">
        <f ca="1"/>
        <v xml:space="preserve"> </v>
      </c>
    </row>
    <row r="52" spans="1:11" ht="30.75">
      <c r="A52" s="137" t="str">
        <v>Q192</v>
      </c>
      <c r="B52" s="138" t="str">
        <v>Hudson</v>
      </c>
      <c r="C52" s="139" cm="1">
        <f t="array" aca="1" ref="C52:K52" ca="1">IF(INDIRECT("'" &amp; $A52 &amp; "'!B5:J5")="", "", INDIRECT("'" &amp; $A52 &amp; "'!B5:J5"))</f>
        <v>8347.5</v>
      </c>
      <c r="D52" s="139">
        <f ca="1"/>
        <v>13350</v>
      </c>
      <c r="E52" s="139">
        <f ca="1"/>
        <v>-5002.5</v>
      </c>
      <c r="F52" s="140">
        <f ca="1"/>
        <v>-0.37471910112359552</v>
      </c>
      <c r="G52" s="141">
        <f ca="1"/>
        <v>16384.009999999998</v>
      </c>
      <c r="H52" s="141">
        <f ca="1"/>
        <v>-8036.5099999999984</v>
      </c>
      <c r="I52" s="142">
        <f ca="1"/>
        <v>-0.49050934417154279</v>
      </c>
      <c r="J52" s="26" t="str">
        <f ca="1"/>
        <v xml:space="preserve">1. Inverter 3 primary unit is offline on 12/11/2024 &amp; back online on 01/02/2024. </v>
      </c>
      <c r="K52" s="26" t="str">
        <f ca="1"/>
        <v xml:space="preserve"> 1. SR079120</v>
      </c>
    </row>
    <row r="53" spans="1:11" ht="15.75">
      <c r="A53" s="143" t="str">
        <v>Q210</v>
      </c>
      <c r="B53" s="144" t="str">
        <v>Hudson</v>
      </c>
      <c r="C53" s="139" cm="1">
        <f t="array" aca="1" ref="C53:K53" ca="1">IF(INDIRECT("'" &amp; $A53 &amp; "'!B5:J5")="", "", INDIRECT("'" &amp; $A53 &amp; "'!B5:J5"))</f>
        <v>6315.875</v>
      </c>
      <c r="D53" s="139">
        <f ca="1"/>
        <v>9204.3379999999997</v>
      </c>
      <c r="E53" s="139">
        <f ca="1"/>
        <v>-2888.4629999999997</v>
      </c>
      <c r="F53" s="140">
        <f ca="1"/>
        <v>-0.31381539878261749</v>
      </c>
      <c r="G53" s="141">
        <f ca="1"/>
        <v>15624</v>
      </c>
      <c r="H53" s="141">
        <f ca="1"/>
        <v>-9308.125</v>
      </c>
      <c r="I53" s="142">
        <f ca="1"/>
        <v>-0.59575812852022525</v>
      </c>
      <c r="J53" s="26" t="str">
        <f ca="1"/>
        <v xml:space="preserve">1. Inverter 3 left unit tripped offline on 01/10/2024.  </v>
      </c>
      <c r="K53" s="26" t="str">
        <f ca="1"/>
        <v>1.SR080789</v>
      </c>
    </row>
    <row r="54" spans="1:11" ht="15.75">
      <c r="A54" s="137" t="str">
        <v>Q229</v>
      </c>
      <c r="B54" s="138" t="str">
        <v>Hudson</v>
      </c>
      <c r="C54" s="139" cm="1">
        <f t="array" aca="1" ref="C54:K54" ca="1">IF(INDIRECT("'" &amp; $A54 &amp; "'!B5:J5")="", "", INDIRECT("'" &amp; $A54 &amp; "'!B5:J5"))</f>
        <v>2660.53125000006</v>
      </c>
      <c r="D54" s="139">
        <f ca="1"/>
        <v>3950.5940000000001</v>
      </c>
      <c r="E54" s="139">
        <f ca="1"/>
        <v>-1290.06274999994</v>
      </c>
      <c r="F54" s="140">
        <f ca="1"/>
        <v>-0.32654905819224656</v>
      </c>
      <c r="G54" s="141">
        <f ca="1"/>
        <v>7281.06</v>
      </c>
      <c r="H54" s="141">
        <f ca="1"/>
        <v>-4620.5287499999404</v>
      </c>
      <c r="I54" s="142">
        <f ca="1"/>
        <v>-0.63459561519887764</v>
      </c>
      <c r="J54" s="26" t="str">
        <f ca="1"/>
        <v/>
      </c>
      <c r="K54" s="26" t="str">
        <f ca="1"/>
        <v xml:space="preserve"> </v>
      </c>
    </row>
    <row r="55" spans="1:11" ht="15.75">
      <c r="A55" s="143" t="str">
        <v>Q231</v>
      </c>
      <c r="B55" s="144" t="str">
        <v>Hudson</v>
      </c>
      <c r="C55" s="139" cm="1">
        <f t="array" aca="1" ref="C55:K55" ca="1">IF(INDIRECT("'" &amp; $A55 &amp; "'!B5:J5")="", "", INDIRECT("'" &amp; $A55 &amp; "'!B5:J5"))</f>
        <v>11460.875</v>
      </c>
      <c r="D55" s="139">
        <f ca="1"/>
        <v>21002.59</v>
      </c>
      <c r="E55" s="139">
        <f ca="1"/>
        <v>-9541.7150000000001</v>
      </c>
      <c r="F55" s="140">
        <f ca="1"/>
        <v>-0.4543113492193106</v>
      </c>
      <c r="G55" s="141">
        <f ca="1"/>
        <v>0</v>
      </c>
      <c r="H55" s="141">
        <f ca="1"/>
        <v>11460.875</v>
      </c>
      <c r="I55" s="142">
        <f ca="1"/>
        <v>0</v>
      </c>
      <c r="J55" s="26" t="str">
        <f ca="1"/>
        <v/>
      </c>
      <c r="K55" s="26" t="str">
        <f ca="1"/>
        <v/>
      </c>
    </row>
    <row r="56" spans="1:11" ht="15.75">
      <c r="A56" s="137" t="str">
        <v>Q405</v>
      </c>
      <c r="B56" s="138" t="str">
        <v>Hudson</v>
      </c>
      <c r="C56" s="139" cm="1">
        <f t="array" aca="1" ref="C56:K56" ca="1">IF(INDIRECT("'" &amp; $A56 &amp; "'!B5:J5")="", "", INDIRECT("'" &amp; $A56 &amp; "'!B5:J5"))</f>
        <v>12294.25</v>
      </c>
      <c r="D56" s="139">
        <f ca="1"/>
        <v>18722.73</v>
      </c>
      <c r="E56" s="139">
        <f ca="1"/>
        <v>-6428.48</v>
      </c>
      <c r="F56" s="140">
        <f ca="1"/>
        <v>-0.34335163728793822</v>
      </c>
      <c r="G56" s="141">
        <f ca="1"/>
        <v>20486.32</v>
      </c>
      <c r="H56" s="141">
        <f ca="1"/>
        <v>-8192.07</v>
      </c>
      <c r="I56" s="142">
        <f ca="1"/>
        <v>-0.39988001749460128</v>
      </c>
      <c r="J56" s="26" t="str">
        <f ca="1"/>
        <v xml:space="preserve">1. Inverters 3 &amp; 4 are offline on 01/24/2024 &amp; back online on 01/29/2024. </v>
      </c>
      <c r="K56" s="26" t="str">
        <f ca="1"/>
        <v>1.SR080430</v>
      </c>
    </row>
    <row r="57" spans="1:11" ht="15.75">
      <c r="A57" s="143" t="str">
        <v>Q435</v>
      </c>
      <c r="B57" s="144" t="str">
        <v>Hudson</v>
      </c>
      <c r="C57" s="139" cm="1">
        <f t="array" aca="1" ref="C57:K57" ca="1">IF(INDIRECT("'" &amp; $A57 &amp; "'!B5:J5")="", "", INDIRECT("'" &amp; $A57 &amp; "'!B5:J5"))</f>
        <v>0</v>
      </c>
      <c r="D57" s="139">
        <f ca="1"/>
        <v>0</v>
      </c>
      <c r="E57" s="139">
        <f ca="1"/>
        <v>0</v>
      </c>
      <c r="F57" s="140">
        <f ca="1"/>
        <v>0</v>
      </c>
      <c r="G57" s="141">
        <f ca="1"/>
        <v>0</v>
      </c>
      <c r="H57" s="141">
        <f ca="1"/>
        <v>0</v>
      </c>
      <c r="I57" s="142">
        <f ca="1"/>
        <v>0</v>
      </c>
      <c r="J57" s="26" t="str">
        <f ca="1"/>
        <v>1. Site is offline due to transformer issue</v>
      </c>
      <c r="K57" s="26" t="str">
        <f ca="1"/>
        <v>1. SR077239</v>
      </c>
    </row>
    <row r="58" spans="1:11" ht="45.75">
      <c r="A58" s="137" t="str">
        <v>Q485</v>
      </c>
      <c r="B58" s="138" t="str">
        <v>Hudson</v>
      </c>
      <c r="C58" s="139" cm="1">
        <f t="array" aca="1" ref="C58:K58" ca="1">IF(INDIRECT("'" &amp; $A58 &amp; "'!B5:J5")="", "", INDIRECT("'" &amp; $A58 &amp; "'!B5:J5"))</f>
        <v>12481.4388279307</v>
      </c>
      <c r="D58" s="139">
        <f ca="1"/>
        <v>12754.8</v>
      </c>
      <c r="E58" s="139">
        <f ca="1"/>
        <v>-273.36117206929885</v>
      </c>
      <c r="F58" s="140">
        <f ca="1"/>
        <v>-2.1432023400547156E-2</v>
      </c>
      <c r="G58" s="141">
        <f ca="1"/>
        <v>27674.85</v>
      </c>
      <c r="H58" s="141">
        <f ca="1"/>
        <v>-15193.411172069298</v>
      </c>
      <c r="I58" s="142">
        <f ca="1"/>
        <v>-0.5489970558853724</v>
      </c>
      <c r="J58" s="26" t="str">
        <f ca="1"/>
        <v>1. Inverter 3 right unit offline from 01/25 to 01/31.
2. Inverter 1 left unit offline from 01/25 to 01/31.</v>
      </c>
      <c r="K58" s="26" t="str">
        <f ca="1"/>
        <v>1. SR080476.
2. SR080477</v>
      </c>
    </row>
    <row r="59" spans="1:11" ht="15.75">
      <c r="A59" s="143" t="str">
        <v>Q490</v>
      </c>
      <c r="B59" s="144" t="str">
        <v>Hudson</v>
      </c>
      <c r="C59" s="139" cm="1">
        <f t="array" aca="1" ref="C59:K59" ca="1">IF(INDIRECT("'" &amp; $A59 &amp; "'!B5:J5")="", "", INDIRECT("'" &amp; $A59 &amp; "'!B5:J5"))</f>
        <v>10238.1439808419</v>
      </c>
      <c r="D59" s="139">
        <f ca="1"/>
        <v>0</v>
      </c>
      <c r="E59" s="139">
        <f ca="1"/>
        <v>10238.1439808419</v>
      </c>
      <c r="F59" s="140">
        <f ca="1"/>
        <v>0</v>
      </c>
      <c r="G59" s="141">
        <f ca="1"/>
        <v>21505.42</v>
      </c>
      <c r="H59" s="141">
        <f ca="1"/>
        <v>-11267.276019158098</v>
      </c>
      <c r="I59" s="142">
        <f ca="1"/>
        <v>-0.52392727131849082</v>
      </c>
      <c r="J59" s="26" t="str">
        <f ca="1"/>
        <v xml:space="preserve">1.Inverter 10 is offline on 01/23/2024 &amp; back onlline on 01/24/2024 at 10:00. </v>
      </c>
      <c r="K59" s="26" t="str">
        <f ca="1"/>
        <v>1.SR080431</v>
      </c>
    </row>
    <row r="60" spans="1:11" ht="15.75">
      <c r="A60" s="137" t="str">
        <v>Q620</v>
      </c>
      <c r="B60" s="138" t="str">
        <v>Hudson</v>
      </c>
      <c r="C60" s="139" cm="1">
        <f t="array" aca="1" ref="C60:K60" ca="1">IF(INDIRECT("'" &amp; $A60 &amp; "'!B5:J5")="", "", INDIRECT("'" &amp; $A60 &amp; "'!B5:J5"))</f>
        <v>15903</v>
      </c>
      <c r="D60" s="139">
        <f ca="1"/>
        <v>23742.06</v>
      </c>
      <c r="E60" s="139">
        <f ca="1"/>
        <v>-7839.0600000000013</v>
      </c>
      <c r="F60" s="140">
        <f ca="1"/>
        <v>-0.33017606728312543</v>
      </c>
      <c r="G60" s="141">
        <f ca="1"/>
        <v>34544.519999999997</v>
      </c>
      <c r="H60" s="141">
        <f ca="1"/>
        <v>-18641.519999999997</v>
      </c>
      <c r="I60" s="142">
        <f ca="1"/>
        <v>-0.53963754598413871</v>
      </c>
      <c r="J60" s="26" t="str">
        <f ca="1"/>
        <v/>
      </c>
      <c r="K60" s="26" t="str">
        <f ca="1"/>
        <v xml:space="preserve"> </v>
      </c>
    </row>
    <row r="61" spans="1:11" ht="15.75">
      <c r="A61" s="143" t="str">
        <v>QMOA</v>
      </c>
      <c r="B61" s="144" t="str">
        <v>Hudson</v>
      </c>
      <c r="C61" s="139" cm="1">
        <f t="array" aca="1" ref="C61:K61" ca="1">IF(INDIRECT("'" &amp; $A61 &amp; "'!B5:J5")="", "", INDIRECT("'" &amp; $A61 &amp; "'!B5:J5"))</f>
        <v>1546.0999999999899</v>
      </c>
      <c r="D61" s="139">
        <f ca="1"/>
        <v>0</v>
      </c>
      <c r="E61" s="139">
        <f ca="1"/>
        <v>1546.0999999999899</v>
      </c>
      <c r="F61" s="140">
        <f ca="1"/>
        <v>0</v>
      </c>
      <c r="G61" s="141">
        <f ca="1"/>
        <v>2946.8270000000002</v>
      </c>
      <c r="H61" s="141">
        <f ca="1"/>
        <v>-1400.7270000000103</v>
      </c>
      <c r="I61" s="142">
        <f ca="1"/>
        <v>-0.47533397786840226</v>
      </c>
      <c r="J61" s="26" t="str">
        <f ca="1"/>
        <v/>
      </c>
      <c r="K61" s="26" t="str">
        <f ca="1"/>
        <v xml:space="preserve"> </v>
      </c>
    </row>
    <row r="62" spans="1:11" ht="15.75">
      <c r="A62" s="137" t="str">
        <v>X024</v>
      </c>
      <c r="B62" s="138" t="str">
        <v>Hudson</v>
      </c>
      <c r="C62" s="139" cm="1">
        <f t="array" aca="1" ref="C62:K62" ca="1">IF(INDIRECT("'" &amp; $A62 &amp; "'!B5:J5")="", "", INDIRECT("'" &amp; $A62 &amp; "'!B5:J5"))</f>
        <v>5421</v>
      </c>
      <c r="D62" s="139">
        <f ca="1"/>
        <v>0</v>
      </c>
      <c r="E62" s="139">
        <f ca="1"/>
        <v>5421</v>
      </c>
      <c r="F62" s="140">
        <f ca="1"/>
        <v>0</v>
      </c>
      <c r="G62" s="141">
        <f ca="1"/>
        <v>0</v>
      </c>
      <c r="H62" s="141">
        <f ca="1"/>
        <v>5421</v>
      </c>
      <c r="I62" s="142">
        <f ca="1"/>
        <v>0</v>
      </c>
      <c r="J62" s="26" t="str">
        <f ca="1"/>
        <v/>
      </c>
      <c r="K62" s="26" t="str">
        <f ca="1"/>
        <v xml:space="preserve"> </v>
      </c>
    </row>
    <row r="63" spans="1:11" ht="15.75">
      <c r="A63" s="143" t="str">
        <v>X026</v>
      </c>
      <c r="B63" s="144" t="str">
        <v>Hudson</v>
      </c>
      <c r="C63" s="139" cm="1">
        <f t="array" aca="1" ref="C63:K63" ca="1">IF(INDIRECT("'" &amp; $A63 &amp; "'!B5:J5")="", "", INDIRECT("'" &amp; $A63 &amp; "'!B5:J5"))</f>
        <v>4766.8999999999696</v>
      </c>
      <c r="D63" s="139">
        <f ca="1"/>
        <v>7713.94</v>
      </c>
      <c r="E63" s="139">
        <f ca="1"/>
        <v>-2947.04000000003</v>
      </c>
      <c r="F63" s="140">
        <f ca="1"/>
        <v>-0.38204082479252238</v>
      </c>
      <c r="G63" s="141">
        <f ca="1"/>
        <v>14664.49</v>
      </c>
      <c r="H63" s="141">
        <f ca="1"/>
        <v>-9897.5900000000292</v>
      </c>
      <c r="I63" s="142">
        <f ca="1"/>
        <v>-0.67493584843387189</v>
      </c>
      <c r="J63" s="26" t="str">
        <f ca="1"/>
        <v/>
      </c>
      <c r="K63" s="26" t="str">
        <f ca="1"/>
        <v xml:space="preserve"> </v>
      </c>
    </row>
    <row r="64" spans="1:11" ht="15.75">
      <c r="A64" s="137" t="str">
        <v>X090</v>
      </c>
      <c r="B64" s="138" t="str">
        <v>Hudson</v>
      </c>
      <c r="C64" s="139" cm="1">
        <f t="array" aca="1" ref="C64:K64" ca="1">IF(INDIRECT("'" &amp; $A64 &amp; "'!B5:J5")="", "", INDIRECT("'" &amp; $A64 &amp; "'!B5:J5"))</f>
        <v>4671.94531250001</v>
      </c>
      <c r="D64" s="139">
        <f ca="1"/>
        <v>4641.6970000000001</v>
      </c>
      <c r="E64" s="139">
        <f ca="1"/>
        <v>30.248312500009888</v>
      </c>
      <c r="F64" s="140">
        <f ca="1"/>
        <v>6.5166495141776573E-3</v>
      </c>
      <c r="G64" s="141">
        <f ca="1"/>
        <v>9177</v>
      </c>
      <c r="H64" s="141">
        <f ca="1"/>
        <v>-4505.05468749999</v>
      </c>
      <c r="I64" s="142">
        <f ca="1"/>
        <v>-0.49090712514983004</v>
      </c>
      <c r="J64" s="26" t="str">
        <f ca="1"/>
        <v/>
      </c>
      <c r="K64" s="26" t="str">
        <f ca="1"/>
        <v xml:space="preserve"> </v>
      </c>
    </row>
    <row r="65" spans="1:11" ht="15.75">
      <c r="A65" s="143" t="str">
        <v>X117</v>
      </c>
      <c r="B65" s="144" t="str">
        <v>Hudson</v>
      </c>
      <c r="C65" s="139" cm="1">
        <f t="array" aca="1" ref="C65:K65" ca="1">IF(INDIRECT("'" &amp; $A65 &amp; "'!B5:J5")="", "", INDIRECT("'" &amp; $A65 &amp; "'!B5:J5"))</f>
        <v>3429.2000000000098</v>
      </c>
      <c r="D65" s="139">
        <f ca="1"/>
        <v>6689.2290000000003</v>
      </c>
      <c r="E65" s="139">
        <f ca="1"/>
        <v>-3260.0289999999904</v>
      </c>
      <c r="F65" s="140">
        <f ca="1"/>
        <v>-0.48735497020657992</v>
      </c>
      <c r="G65" s="141">
        <f ca="1"/>
        <v>16899.22</v>
      </c>
      <c r="H65" s="141">
        <f ca="1"/>
        <v>-13470.019999999991</v>
      </c>
      <c r="I65" s="142">
        <f ca="1"/>
        <v>-0.79707939182991816</v>
      </c>
      <c r="J65" s="26" t="str">
        <f ca="1"/>
        <v/>
      </c>
      <c r="K65" s="26" t="str">
        <f ca="1"/>
        <v xml:space="preserve"> </v>
      </c>
    </row>
    <row r="66" spans="1:11" ht="15.75">
      <c r="A66" s="137" t="str">
        <v>X125</v>
      </c>
      <c r="B66" s="138" t="str">
        <v>Hudson</v>
      </c>
      <c r="C66" s="139" cm="1">
        <f t="array" aca="1" ref="C66:K66" ca="1">IF(INDIRECT("'" &amp; $A66 &amp; "'!B5:J5")="", "", INDIRECT("'" &amp; $A66 &amp; "'!B5:J5"))</f>
        <v>7318.96875</v>
      </c>
      <c r="D66" s="139">
        <f ca="1"/>
        <v>11623.7</v>
      </c>
      <c r="E66" s="139">
        <f ca="1"/>
        <v>-4304.7312500000007</v>
      </c>
      <c r="F66" s="140">
        <f ca="1"/>
        <v>-0.37034087682923683</v>
      </c>
      <c r="G66" s="141">
        <f ca="1"/>
        <v>10537.29</v>
      </c>
      <c r="H66" s="141">
        <f ca="1"/>
        <v>-3218.3212500000009</v>
      </c>
      <c r="I66" s="142">
        <f ca="1"/>
        <v>-0.30542210093866645</v>
      </c>
      <c r="J66" s="26" t="str">
        <f ca="1"/>
        <v/>
      </c>
      <c r="K66" s="26" t="str">
        <f ca="1"/>
        <v xml:space="preserve"> </v>
      </c>
    </row>
    <row r="67" spans="1:11" ht="15.75">
      <c r="A67" s="143" t="str">
        <v>X134</v>
      </c>
      <c r="B67" s="144" t="str">
        <v>Hudson</v>
      </c>
      <c r="C67" s="139" cm="1">
        <f t="array" aca="1" ref="C67:K67" ca="1">IF(INDIRECT("'" &amp; $A67 &amp; "'!B5:J5")="", "", INDIRECT("'" &amp; $A67 &amp; "'!B5:J5"))</f>
        <v>6696.25</v>
      </c>
      <c r="D67" s="139">
        <f ca="1"/>
        <v>0</v>
      </c>
      <c r="E67" s="139">
        <f ca="1"/>
        <v>6696.25</v>
      </c>
      <c r="F67" s="140">
        <f ca="1"/>
        <v>0</v>
      </c>
      <c r="G67" s="141">
        <f ca="1"/>
        <v>0</v>
      </c>
      <c r="H67" s="141">
        <f ca="1"/>
        <v>6696.25</v>
      </c>
      <c r="I67" s="142">
        <f ca="1"/>
        <v>0</v>
      </c>
      <c r="J67" s="26" t="str">
        <f ca="1"/>
        <v/>
      </c>
      <c r="K67" s="26" t="str">
        <f ca="1"/>
        <v xml:space="preserve"> </v>
      </c>
    </row>
    <row r="68" spans="1:11" ht="15.75">
      <c r="A68" s="137" t="str">
        <v>X135</v>
      </c>
      <c r="B68" s="138" t="str">
        <v>Hudson</v>
      </c>
      <c r="C68" s="139" cm="1">
        <f t="array" aca="1" ref="C68:K68" ca="1">IF(INDIRECT("'" &amp; $A68 &amp; "'!B5:J5")="", "", INDIRECT("'" &amp; $A68 &amp; "'!B5:J5"))</f>
        <v>5327.84375</v>
      </c>
      <c r="D68" s="139">
        <f ca="1"/>
        <v>0</v>
      </c>
      <c r="E68" s="139">
        <f ca="1"/>
        <v>5327.84375</v>
      </c>
      <c r="F68" s="140">
        <f ca="1"/>
        <v>0</v>
      </c>
      <c r="G68" s="141">
        <f ca="1"/>
        <v>0</v>
      </c>
      <c r="H68" s="141">
        <f ca="1"/>
        <v>5327.84375</v>
      </c>
      <c r="I68" s="142">
        <f ca="1"/>
        <v>0</v>
      </c>
      <c r="J68" s="26" t="str">
        <f ca="1"/>
        <v/>
      </c>
      <c r="K68" s="26" t="str">
        <f ca="1"/>
        <v xml:space="preserve"> </v>
      </c>
    </row>
    <row r="69" spans="1:11" ht="15.75">
      <c r="A69" s="143" t="str">
        <v>X139 JHS 222</v>
      </c>
      <c r="B69" s="144" t="str">
        <v>Hudson</v>
      </c>
      <c r="C69" s="139" cm="1">
        <f t="array" aca="1" ref="C69:K69" ca="1">IF(INDIRECT("'" &amp; $A69 &amp; "'!B5:J5")="", "", INDIRECT("'" &amp; $A69 &amp; "'!B5:J5"))</f>
        <v>8332.7036999624706</v>
      </c>
      <c r="D69" s="139">
        <f ca="1"/>
        <v>11815.57</v>
      </c>
      <c r="E69" s="139">
        <f ca="1"/>
        <v>-3482.8663000375291</v>
      </c>
      <c r="F69" s="140">
        <f ca="1"/>
        <v>-0.29476921553827107</v>
      </c>
      <c r="G69" s="141">
        <f ca="1"/>
        <v>22550</v>
      </c>
      <c r="H69" s="141">
        <f ca="1"/>
        <v>-14217.296300037529</v>
      </c>
      <c r="I69" s="142">
        <f ca="1"/>
        <v>-0.63047877162028954</v>
      </c>
      <c r="J69" s="26" t="str">
        <f ca="1"/>
        <v/>
      </c>
      <c r="K69" s="26" t="str">
        <f ca="1"/>
        <v xml:space="preserve"> </v>
      </c>
    </row>
    <row r="70" spans="1:11" ht="15.75">
      <c r="A70" s="137" t="str">
        <v>X140</v>
      </c>
      <c r="B70" s="138" t="str">
        <v>Hudson</v>
      </c>
      <c r="C70" s="139" cm="1">
        <f t="array" aca="1" ref="C70:K70" ca="1">IF(INDIRECT("'" &amp; $A70 &amp; "'!B5:J5")="", "", INDIRECT("'" &amp; $A70 &amp; "'!B5:J5"))</f>
        <v>3985</v>
      </c>
      <c r="D70" s="139">
        <f ca="1"/>
        <v>5753</v>
      </c>
      <c r="E70" s="139">
        <f ca="1"/>
        <v>-1768</v>
      </c>
      <c r="F70" s="140">
        <f ca="1"/>
        <v>-0.3073179210846515</v>
      </c>
      <c r="G70" s="141">
        <f ca="1"/>
        <v>9034</v>
      </c>
      <c r="H70" s="141">
        <f ca="1"/>
        <v>-5049</v>
      </c>
      <c r="I70" s="142">
        <f ca="1"/>
        <v>-0.55888864290458273</v>
      </c>
      <c r="J70" s="26" t="str">
        <f ca="1"/>
        <v/>
      </c>
      <c r="K70" s="26" t="str">
        <f ca="1"/>
        <v xml:space="preserve"> </v>
      </c>
    </row>
    <row r="71" spans="1:11" ht="15.75">
      <c r="A71" s="143" t="str">
        <v>X166</v>
      </c>
      <c r="B71" s="144" t="str">
        <v>Hudson</v>
      </c>
      <c r="C71" s="139" cm="1">
        <f t="array" aca="1" ref="C71:K71" ca="1">IF(INDIRECT("'" &amp; $A71 &amp; "'!B5:J5")="", "", INDIRECT("'" &amp; $A71 &amp; "'!B5:J5"))</f>
        <v>5046.3999999999696</v>
      </c>
      <c r="D71" s="139">
        <f ca="1"/>
        <v>7824.4260000000004</v>
      </c>
      <c r="E71" s="139">
        <f ca="1"/>
        <v>-2778.0260000000308</v>
      </c>
      <c r="F71" s="140">
        <f ca="1"/>
        <v>-0.35504534134517096</v>
      </c>
      <c r="G71" s="141">
        <f ca="1"/>
        <v>0</v>
      </c>
      <c r="H71" s="141">
        <f ca="1"/>
        <v>5046.3999999999696</v>
      </c>
      <c r="I71" s="142">
        <f ca="1"/>
        <v>0</v>
      </c>
      <c r="J71" s="26" t="str">
        <f ca="1"/>
        <v/>
      </c>
      <c r="K71" s="26" t="str">
        <f ca="1"/>
        <v xml:space="preserve"> </v>
      </c>
    </row>
    <row r="72" spans="1:11" ht="45.75">
      <c r="A72" s="137" t="str">
        <v>Murphy</v>
      </c>
      <c r="B72" s="138" t="str">
        <v>MN Community Solar</v>
      </c>
      <c r="C72" s="139" cm="1">
        <f t="array" aca="1" ref="C72:K72" ca="1">IF(INDIRECT("'" &amp; $A72 &amp; "'!B5:J5")="", "", INDIRECT("'" &amp; $A72 &amp; "'!B5:J5"))</f>
        <v>286090</v>
      </c>
      <c r="D72" s="139">
        <f ca="1"/>
        <v>414785.1</v>
      </c>
      <c r="E72" s="139">
        <f ca="1"/>
        <v>-128695.09999999998</v>
      </c>
      <c r="F72" s="140">
        <f ca="1"/>
        <v>-0.31026934188330291</v>
      </c>
      <c r="G72" s="141">
        <f ca="1"/>
        <v>533246.5</v>
      </c>
      <c r="H72" s="141">
        <f ca="1"/>
        <v>-247156.5</v>
      </c>
      <c r="I72" s="142">
        <f ca="1"/>
        <v>-0.46349390010061015</v>
      </c>
      <c r="J72" s="26" t="str">
        <f ca="1"/>
        <v>1.Inverter 3 was offline on 01/04 and back online on 01/05
2. Inverter 3 was offline on 01/09 and back online on 01/11.
3. Inverter 3 is offline on 01/14 and started on 01/15 at 10:30</v>
      </c>
      <c r="K72" s="26" t="str">
        <f ca="1"/>
        <v>1.SR079935
2.SR080108
3.SR080204</v>
      </c>
    </row>
    <row r="73" spans="1:11" ht="15.75">
      <c r="A73" s="143" t="str">
        <v>Terning</v>
      </c>
      <c r="B73" s="144" t="str">
        <v>MN Community Solar</v>
      </c>
      <c r="C73" s="139" cm="1">
        <f t="array" aca="1" ref="C73:K73" ca="1">IF(INDIRECT("'" &amp; $A73 &amp; "'!B5:J5")="", "", INDIRECT("'" &amp; $A73 &amp; "'!B5:J5"))</f>
        <v>283485</v>
      </c>
      <c r="D73" s="139">
        <f ca="1"/>
        <v>410301.4</v>
      </c>
      <c r="E73" s="139">
        <f ca="1"/>
        <v>-126816.40000000002</v>
      </c>
      <c r="F73" s="140">
        <f ca="1"/>
        <v>-0.30908108039602111</v>
      </c>
      <c r="G73" s="141">
        <f ca="1"/>
        <v>483171.2</v>
      </c>
      <c r="H73" s="141">
        <f ca="1"/>
        <v>-199686.2</v>
      </c>
      <c r="I73" s="142">
        <f ca="1"/>
        <v>-0.41328249697001812</v>
      </c>
      <c r="J73" s="26" t="str">
        <f ca="1"/>
        <v/>
      </c>
      <c r="K73" s="26" t="str">
        <f ca="1"/>
        <v xml:space="preserve"> </v>
      </c>
    </row>
    <row r="74" spans="1:11" ht="15.75">
      <c r="A74" s="137" t="str">
        <v>Boas Road 04</v>
      </c>
      <c r="B74" s="138" t="str">
        <v>NYCS I</v>
      </c>
      <c r="C74" s="139" cm="1">
        <f t="array" aca="1" ref="C74:K74" ca="1">IF(INDIRECT("'" &amp; $A74 &amp; "'!B5:J5")="", "", INDIRECT("'" &amp; $A74 &amp; "'!B5:J5"))</f>
        <v>33560</v>
      </c>
      <c r="D74" s="139">
        <f ca="1"/>
        <v>0</v>
      </c>
      <c r="E74" s="139">
        <f ca="1"/>
        <v>33560</v>
      </c>
      <c r="F74" s="140">
        <f ca="1"/>
        <v>0</v>
      </c>
      <c r="G74" s="141">
        <f ca="1"/>
        <v>220064.68</v>
      </c>
      <c r="H74" s="141">
        <f ca="1"/>
        <v>-186504.68</v>
      </c>
      <c r="I74" s="142">
        <f ca="1"/>
        <v>-0.84749938063663832</v>
      </c>
      <c r="J74" s="26" t="str">
        <f ca="1"/>
        <v/>
      </c>
      <c r="K74" s="26" t="str">
        <f ca="1"/>
        <v xml:space="preserve"> </v>
      </c>
    </row>
    <row r="75" spans="1:11" ht="30.75">
      <c r="A75" s="143" t="str">
        <v>Kelly Bridge Farm</v>
      </c>
      <c r="B75" s="144" t="str">
        <v>NYCS I</v>
      </c>
      <c r="C75" s="139" cm="1">
        <f t="array" aca="1" ref="C75:K75" ca="1">IF(INDIRECT("'" &amp; $A75 &amp; "'!B5:J5")="", "", INDIRECT("'" &amp; $A75 &amp; "'!B5:J5"))</f>
        <v>39040</v>
      </c>
      <c r="D75" s="139">
        <f ca="1"/>
        <v>0</v>
      </c>
      <c r="E75" s="139">
        <f ca="1"/>
        <v>39040</v>
      </c>
      <c r="F75" s="140">
        <f ca="1"/>
        <v>0</v>
      </c>
      <c r="G75" s="141">
        <f ca="1"/>
        <v>209445.59</v>
      </c>
      <c r="H75" s="141">
        <f ca="1"/>
        <v>-170405.59</v>
      </c>
      <c r="I75" s="142">
        <f ca="1"/>
        <v>-0.81360314151279101</v>
      </c>
      <c r="J75" s="26" t="str">
        <f ca="1"/>
        <v>1.Site is offline from 2:20pm and back online at 4:00pm on 01/14
2.Inverter 15 tripped offline on 01/15 at 13:15 and back online 01/17</v>
      </c>
      <c r="K75" s="26" t="str">
        <f ca="1"/>
        <v>1. SR080213
2. SR080245</v>
      </c>
    </row>
    <row r="76" spans="1:11" ht="15.75">
      <c r="A76" s="137" t="str">
        <v>Pool Brook Road</v>
      </c>
      <c r="B76" s="138" t="str">
        <v>NYCS I</v>
      </c>
      <c r="C76" s="139" cm="1">
        <f t="array" aca="1" ref="C76:K76" ca="1">IF(INDIRECT("'" &amp; $A76 &amp; "'!B5:J5")="", "", INDIRECT("'" &amp; $A76 &amp; "'!B5:J5"))</f>
        <v>35247</v>
      </c>
      <c r="D76" s="139">
        <f ca="1"/>
        <v>0</v>
      </c>
      <c r="E76" s="139">
        <f ca="1"/>
        <v>35247</v>
      </c>
      <c r="F76" s="140">
        <f ca="1"/>
        <v>0</v>
      </c>
      <c r="G76" s="141">
        <f ca="1"/>
        <v>194874.12</v>
      </c>
      <c r="H76" s="141">
        <f ca="1"/>
        <v>-159627.12</v>
      </c>
      <c r="I76" s="142">
        <f ca="1"/>
        <v>-0.81912939491400905</v>
      </c>
      <c r="J76" s="26" t="str">
        <f ca="1"/>
        <v/>
      </c>
      <c r="K76" s="26" t="str">
        <f ca="1"/>
        <v xml:space="preserve"> </v>
      </c>
    </row>
    <row r="77" spans="1:11" ht="30.75">
      <c r="A77" s="143" t="str">
        <v>Sackett Lake</v>
      </c>
      <c r="B77" s="144" t="str">
        <v>NYCS I</v>
      </c>
      <c r="C77" s="139" cm="1">
        <f t="array" aca="1" ref="C77:K77" ca="1">IF(INDIRECT("'" &amp; $A77 &amp; "'!B5:J5")="", "", INDIRECT("'" &amp; $A77 &amp; "'!B5:J5"))</f>
        <v>43312</v>
      </c>
      <c r="D77" s="139">
        <f ca="1"/>
        <v>0</v>
      </c>
      <c r="E77" s="139">
        <f ca="1"/>
        <v>43312</v>
      </c>
      <c r="F77" s="140">
        <f ca="1"/>
        <v>0</v>
      </c>
      <c r="G77" s="141">
        <f ca="1"/>
        <v>223309.11</v>
      </c>
      <c r="H77" s="141">
        <f ca="1"/>
        <v>-179997.11</v>
      </c>
      <c r="I77" s="142">
        <f ca="1"/>
        <v>-0.80604463472179888</v>
      </c>
      <c r="J77" s="26" t="str">
        <f ca="1"/>
        <v>1. Inverter 1 is offline on 01/18  at 9:45 AM and had multiple tripping on 01/19
2. inverter 1 is tripped offline on 01/30 and back online from afternoon.</v>
      </c>
      <c r="K77" s="26" t="str">
        <f ca="1"/>
        <v>1. SR080313
2. SR080606</v>
      </c>
    </row>
    <row r="78" spans="1:11" ht="15.75">
      <c r="A78" s="137" t="str">
        <v>Burritt Road</v>
      </c>
      <c r="B78" s="138" t="str">
        <v>NYCS II</v>
      </c>
      <c r="C78" s="139" cm="1">
        <f t="array" aca="1" ref="C78:K78" ca="1">IF(INDIRECT("'" &amp; $A78 &amp; "'!B5:J5")="", "", INDIRECT("'" &amp; $A78 &amp; "'!B5:J5"))</f>
        <v>72810</v>
      </c>
      <c r="D78" s="139">
        <f ca="1"/>
        <v>97923.36</v>
      </c>
      <c r="E78" s="139">
        <f ca="1"/>
        <v>-25113.360000000001</v>
      </c>
      <c r="F78" s="140">
        <f ca="1"/>
        <v>-0.25645933717960656</v>
      </c>
      <c r="G78" s="141">
        <f ca="1"/>
        <v>111632.62</v>
      </c>
      <c r="H78" s="141">
        <f ca="1"/>
        <v>-38822.619999999995</v>
      </c>
      <c r="I78" s="142">
        <f ca="1"/>
        <v>-0.34777128763975973</v>
      </c>
      <c r="J78" s="26" t="str">
        <f ca="1"/>
        <v/>
      </c>
      <c r="K78" s="26" t="str">
        <f ca="1"/>
        <v xml:space="preserve"> </v>
      </c>
    </row>
    <row r="79" spans="1:11" ht="15.75">
      <c r="A79" s="143" t="str">
        <v>Villa Roma 1</v>
      </c>
      <c r="B79" s="144" t="str">
        <v>NYCS II</v>
      </c>
      <c r="C79" s="139" cm="1">
        <f t="array" aca="1" ref="C79:K79" ca="1">IF(INDIRECT("'" &amp; $A79 &amp; "'!B5:J5")="", "", INDIRECT("'" &amp; $A79 &amp; "'!B5:J5"))</f>
        <v>8879</v>
      </c>
      <c r="D79" s="139">
        <f ca="1"/>
        <v>74159.11</v>
      </c>
      <c r="E79" s="139">
        <f ca="1"/>
        <v>-65280.11</v>
      </c>
      <c r="F79" s="140">
        <f ca="1"/>
        <v>-0.88027094715672827</v>
      </c>
      <c r="G79" s="141">
        <f ca="1"/>
        <v>118883.5</v>
      </c>
      <c r="H79" s="141">
        <f ca="1"/>
        <v>-110004.5</v>
      </c>
      <c r="I79" s="142">
        <f ca="1"/>
        <v>-0.92531343710439207</v>
      </c>
      <c r="J79" s="26" t="str">
        <f ca="1"/>
        <v>1. Site was de-energized for meter work on 01/03 at 09:50 till 12:15 and again on 01/23 at 10:15 to 12:45.</v>
      </c>
      <c r="K79" s="26" t="str">
        <f ca="1"/>
        <v>1. SR079733</v>
      </c>
    </row>
    <row r="80" spans="1:11" ht="30.75">
      <c r="A80" s="137" t="str">
        <v>Villa Roma 2</v>
      </c>
      <c r="B80" s="138" t="str">
        <v>NYCS II</v>
      </c>
      <c r="C80" s="139" cm="1">
        <f t="array" aca="1" ref="C80:K80" ca="1">IF(INDIRECT("'" &amp; $A80 &amp; "'!B5:J5")="", "", INDIRECT("'" &amp; $A80 &amp; "'!B5:J5"))</f>
        <v>67057</v>
      </c>
      <c r="D80" s="139">
        <f ca="1"/>
        <v>110773.82</v>
      </c>
      <c r="E80" s="139">
        <f ca="1"/>
        <v>-43716.820000000007</v>
      </c>
      <c r="F80" s="140">
        <f ca="1"/>
        <v>-0.39464938556781742</v>
      </c>
      <c r="G80" s="141">
        <f ca="1"/>
        <v>115878.35</v>
      </c>
      <c r="H80" s="141">
        <f ca="1"/>
        <v>-48821.350000000006</v>
      </c>
      <c r="I80" s="142">
        <f ca="1"/>
        <v>-0.42131554341255295</v>
      </c>
      <c r="J80" s="26" t="str">
        <f ca="1"/>
        <v>1. Meter removed for repair work, here the presented energy was inverter cummulative energy.
2. Inverter 1 tripped offline on 01/19 and self resolved next day</v>
      </c>
      <c r="K80" s="26" t="str">
        <f ca="1"/>
        <v xml:space="preserve"> 1.SR079721
2. SR080323</v>
      </c>
    </row>
    <row r="81" spans="1:11" ht="15.75">
      <c r="A81" s="143" t="str">
        <v>Washington 1</v>
      </c>
      <c r="B81" s="144" t="str">
        <v>NYCS II</v>
      </c>
      <c r="C81" s="139" cm="1">
        <f t="array" aca="1" ref="C81:K81" ca="1">IF(INDIRECT("'" &amp; $A81 &amp; "'!B5:J5")="", "", INDIRECT("'" &amp; $A81 &amp; "'!B5:J5"))</f>
        <v>55740</v>
      </c>
      <c r="D81" s="139">
        <f ca="1"/>
        <v>109395.46</v>
      </c>
      <c r="E81" s="139">
        <f ca="1"/>
        <v>-53655.460000000006</v>
      </c>
      <c r="F81" s="140">
        <f ca="1"/>
        <v>-0.49047245653521637</v>
      </c>
      <c r="G81" s="141">
        <f ca="1"/>
        <v>107420.17</v>
      </c>
      <c r="H81" s="141">
        <f ca="1"/>
        <v>-51680.17</v>
      </c>
      <c r="I81" s="142">
        <f ca="1"/>
        <v>-0.4811030367946727</v>
      </c>
      <c r="J81" s="26" t="str">
        <f ca="1"/>
        <v>1. Inverter 2 is offline from 12/28/2023 to 01/09 till 10:20 AM.</v>
      </c>
      <c r="K81" s="26" t="str">
        <f ca="1"/>
        <v xml:space="preserve"> 1.SR079785</v>
      </c>
    </row>
    <row r="82" spans="1:11" ht="60.75">
      <c r="A82" s="137" t="str">
        <v>Washington 3</v>
      </c>
      <c r="B82" s="138" t="str">
        <v>NYCS II</v>
      </c>
      <c r="C82" s="139" cm="1">
        <f t="array" aca="1" ref="C82:K82" ca="1">IF(INDIRECT("'" &amp; $A82 &amp; "'!B5:J5")="", "", INDIRECT("'" &amp; $A82 &amp; "'!B5:J5"))</f>
        <v>48791</v>
      </c>
      <c r="D82" s="139">
        <f ca="1"/>
        <v>117227.81</v>
      </c>
      <c r="E82" s="139">
        <f ca="1"/>
        <v>-68436.81</v>
      </c>
      <c r="F82" s="140">
        <f ca="1"/>
        <v>-0.58379329955920867</v>
      </c>
      <c r="G82" s="141">
        <f ca="1"/>
        <v>130931.08</v>
      </c>
      <c r="H82" s="141">
        <f ca="1"/>
        <v>-82140.08</v>
      </c>
      <c r="I82" s="142">
        <f ca="1"/>
        <v>-0.6273535664717651</v>
      </c>
      <c r="J82" s="26" t="str">
        <f ca="1"/>
        <v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v>
      </c>
      <c r="K82" s="26" t="str">
        <f ca="1"/>
        <v>1.SR079852
2.SR080228
3.SR080288
4.SR080372</v>
      </c>
    </row>
    <row r="83" spans="1:11" ht="15.75">
      <c r="A83" s="143" t="str">
        <v>Washington 4</v>
      </c>
      <c r="B83" s="144" t="str">
        <v>NYCS II</v>
      </c>
      <c r="C83" s="139" cm="1">
        <f t="array" aca="1" ref="C83:K83" ca="1">IF(INDIRECT("'" &amp; $A83 &amp; "'!B5:J5")="", "", INDIRECT("'" &amp; $A83 &amp; "'!B5:J5"))</f>
        <v>81604</v>
      </c>
      <c r="D83" s="139">
        <f ca="1"/>
        <v>0</v>
      </c>
      <c r="E83" s="139">
        <f ca="1"/>
        <v>81604</v>
      </c>
      <c r="F83" s="140">
        <f ca="1"/>
        <v>0</v>
      </c>
      <c r="G83" s="141">
        <f ca="1"/>
        <v>131400.47</v>
      </c>
      <c r="H83" s="141">
        <f ca="1"/>
        <v>-49796.47</v>
      </c>
      <c r="I83" s="142">
        <f ca="1"/>
        <v>-0.37896721373979864</v>
      </c>
      <c r="J83" s="26" t="str">
        <f ca="1"/>
        <v>1.Inverter 2 tripped offline at 12:10 on 01/22 and back online 01/23</v>
      </c>
      <c r="K83" s="26" t="str">
        <f ca="1"/>
        <v xml:space="preserve"> 1.SR080393</v>
      </c>
    </row>
    <row r="84" spans="1:11" ht="15.75">
      <c r="A84" s="137" t="str">
        <v>Big Tree</v>
      </c>
      <c r="B84" s="138" t="str">
        <v>NYCS III</v>
      </c>
      <c r="C84" s="139" cm="1">
        <f t="array" aca="1" ref="C84:K84" ca="1">IF(INDIRECT("'" &amp; $A84 &amp; "'!B5:J5")="", "", INDIRECT("'" &amp; $A84 &amp; "'!B5:J5"))</f>
        <v>32655</v>
      </c>
      <c r="D84" s="139">
        <f ca="1"/>
        <v>0</v>
      </c>
      <c r="E84" s="139">
        <f ca="1"/>
        <v>32655</v>
      </c>
      <c r="F84" s="140">
        <f ca="1"/>
        <v>0</v>
      </c>
      <c r="G84" s="141">
        <f ca="1"/>
        <v>107924</v>
      </c>
      <c r="H84" s="141">
        <f ca="1"/>
        <v>-75269</v>
      </c>
      <c r="I84" s="142">
        <f ca="1"/>
        <v>-0.69742596642081467</v>
      </c>
      <c r="J84" s="26" t="str">
        <f ca="1"/>
        <v/>
      </c>
      <c r="K84" s="26" t="str">
        <f ca="1"/>
        <v xml:space="preserve"> </v>
      </c>
    </row>
    <row r="85" spans="1:11" ht="45.75">
      <c r="A85" s="143" t="str">
        <v>Canoga</v>
      </c>
      <c r="B85" s="144" t="str">
        <v>NYCS III</v>
      </c>
      <c r="C85" s="139" cm="1">
        <f t="array" aca="1" ref="C85:K85" ca="1">IF(INDIRECT("'" &amp; $A85 &amp; "'!B5:J5")="", "", INDIRECT("'" &amp; $A85 &amp; "'!B5:J5"))</f>
        <v>219933</v>
      </c>
      <c r="D85" s="139">
        <f ca="1"/>
        <v>0</v>
      </c>
      <c r="E85" s="139">
        <f ca="1"/>
        <v>219933</v>
      </c>
      <c r="F85" s="140">
        <f ca="1"/>
        <v>0</v>
      </c>
      <c r="G85" s="141">
        <f ca="1"/>
        <v>305951</v>
      </c>
      <c r="H85" s="141">
        <f ca="1"/>
        <v>-86018</v>
      </c>
      <c r="I85" s="142">
        <f ca="1"/>
        <v>-0.2811495958503159</v>
      </c>
      <c r="J85" s="26" t="str">
        <f ca="1"/>
        <v>1. Inverter 3 is tripped offline at 13:30 and 15:10 on 01/17
2.Inverter 4 has tripped offline at 14:00 to 15:40 on 01/18
3.Inverter 3 tripped offline at 13:15 on 01/21 and back online the next day.</v>
      </c>
      <c r="K85" s="26" t="str">
        <f ca="1"/>
        <v>1.SR080300
2.SR080324
3.SR080374</v>
      </c>
    </row>
    <row r="86" spans="1:11" ht="76.5">
      <c r="A86" s="137" t="str">
        <v>County Route 84</v>
      </c>
      <c r="B86" s="138" t="str">
        <v>NYCS III</v>
      </c>
      <c r="C86" s="139" cm="1">
        <f t="array" aca="1" ref="C86:K86" ca="1">IF(INDIRECT("'" &amp; $A86 &amp; "'!B5:J5")="", "", INDIRECT("'" &amp; $A86 &amp; "'!B5:J5"))</f>
        <v>240973</v>
      </c>
      <c r="D86" s="139">
        <f ca="1"/>
        <v>0</v>
      </c>
      <c r="E86" s="139">
        <f ca="1"/>
        <v>240973</v>
      </c>
      <c r="F86" s="140">
        <f ca="1"/>
        <v>0</v>
      </c>
      <c r="G86" s="141">
        <f ca="1"/>
        <v>377147</v>
      </c>
      <c r="H86" s="141">
        <f ca="1"/>
        <v>-136174</v>
      </c>
      <c r="I86" s="142">
        <f ca="1"/>
        <v>-0.36106345801504452</v>
      </c>
      <c r="J86" s="26" t="str">
        <f ca="1"/>
        <v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v>
      </c>
      <c r="K86" s="26" t="str">
        <f ca="1"/>
        <v>1.SR080192
2.SR080319
3.SR080447</v>
      </c>
    </row>
    <row r="87" spans="1:11" ht="30.75">
      <c r="A87" s="143" t="str">
        <v>Donati</v>
      </c>
      <c r="B87" s="144" t="str">
        <v>NYCS III</v>
      </c>
      <c r="C87" s="139" cm="1">
        <f t="array" aca="1" ref="C87:K87" ca="1">IF(INDIRECT("'" &amp; $A87 &amp; "'!B5:J5")="", "", INDIRECT("'" &amp; $A87 &amp; "'!B5:J5"))</f>
        <v>82618</v>
      </c>
      <c r="D87" s="139">
        <f ca="1"/>
        <v>0</v>
      </c>
      <c r="E87" s="139">
        <f ca="1"/>
        <v>82618</v>
      </c>
      <c r="F87" s="140">
        <f ca="1"/>
        <v>0</v>
      </c>
      <c r="G87" s="141">
        <f ca="1"/>
        <v>120408</v>
      </c>
      <c r="H87" s="141">
        <f ca="1"/>
        <v>-37790</v>
      </c>
      <c r="I87" s="142">
        <f ca="1"/>
        <v>-0.31384957810112285</v>
      </c>
      <c r="J87" s="26" t="str">
        <f ca="1"/>
        <v>1.Site tripped offline at 8:35am and back online at 16:55 on 01/17.</v>
      </c>
      <c r="K87" s="26" t="str">
        <f ca="1"/>
        <v xml:space="preserve"> 1. SR080280	</v>
      </c>
    </row>
    <row r="88" spans="1:11" ht="15.75">
      <c r="A88" s="137" t="str">
        <v>Henrietta</v>
      </c>
      <c r="B88" s="138" t="str">
        <v>NYCS III</v>
      </c>
      <c r="C88" s="139" cm="1">
        <f t="array" aca="1" ref="C88:K88" ca="1">IF(INDIRECT("'" &amp; $A88 &amp; "'!B5:J5")="", "", INDIRECT("'" &amp; $A88 &amp; "'!B5:J5"))</f>
        <v>149508</v>
      </c>
      <c r="D88" s="139">
        <f ca="1"/>
        <v>0</v>
      </c>
      <c r="E88" s="139">
        <f ca="1"/>
        <v>149508</v>
      </c>
      <c r="F88" s="140">
        <f ca="1"/>
        <v>0</v>
      </c>
      <c r="G88" s="141">
        <f ca="1"/>
        <v>231860</v>
      </c>
      <c r="H88" s="141">
        <f ca="1"/>
        <v>-82352</v>
      </c>
      <c r="I88" s="142">
        <f ca="1"/>
        <v>-0.35517984990942808</v>
      </c>
      <c r="J88" s="26" t="str">
        <f ca="1"/>
        <v>1.Inverter 4 started late production on 01/01 at 14:05.</v>
      </c>
      <c r="K88" s="26" t="str">
        <f ca="1"/>
        <v xml:space="preserve"> 1.SR079788</v>
      </c>
    </row>
    <row r="89" spans="1:11" ht="30.75">
      <c r="A89" s="143" t="str">
        <v>NY 70</v>
      </c>
      <c r="B89" s="144" t="str">
        <v>NYCS III</v>
      </c>
      <c r="C89" s="139" cm="1">
        <f t="array" aca="1" ref="C89:K89" ca="1">IF(INDIRECT("'" &amp; $A89 &amp; "'!B5:J5")="", "", INDIRECT("'" &amp; $A89 &amp; "'!B5:J5"))</f>
        <v>202299</v>
      </c>
      <c r="D89" s="139">
        <f ca="1"/>
        <v>0</v>
      </c>
      <c r="E89" s="139">
        <f ca="1"/>
        <v>202299</v>
      </c>
      <c r="F89" s="140">
        <f ca="1"/>
        <v>0</v>
      </c>
      <c r="G89" s="141">
        <f ca="1"/>
        <v>360230</v>
      </c>
      <c r="H89" s="141">
        <f ca="1"/>
        <v>-157931</v>
      </c>
      <c r="I89" s="142">
        <f ca="1"/>
        <v>-0.43841712239402603</v>
      </c>
      <c r="J89" s="26" t="str">
        <f ca="1"/>
        <v>1. Site tripped offline on 01/03/2024 at 7:35 &amp; back online on 01/04/2024 at 16:25. 
2. Site tripped offline at 01/09/2024 at 18:20 &amp; back online on 01/10/2024 at 23:40.</v>
      </c>
      <c r="K89" s="26" t="str">
        <f ca="1"/>
        <v>1. SR079887
2. SR080113</v>
      </c>
    </row>
    <row r="90" spans="1:11" ht="15.75">
      <c r="A90" s="137" t="str">
        <v>Reid</v>
      </c>
      <c r="B90" s="138" t="str">
        <v>NYCS III</v>
      </c>
      <c r="C90" s="139" cm="1">
        <f t="array" aca="1" ref="C90:K90" ca="1">IF(INDIRECT("'" &amp; $A90 &amp; "'!B5:J5")="", "", INDIRECT("'" &amp; $A90 &amp; "'!B5:J5"))</f>
        <v>161556.07105237199</v>
      </c>
      <c r="D90" s="139">
        <f ca="1"/>
        <v>184058</v>
      </c>
      <c r="E90" s="139">
        <f ca="1"/>
        <v>-22501.92894762801</v>
      </c>
      <c r="F90" s="140">
        <f ca="1"/>
        <v>-0.12225455534466315</v>
      </c>
      <c r="G90" s="141">
        <f ca="1"/>
        <v>380016</v>
      </c>
      <c r="H90" s="141">
        <f ca="1"/>
        <v>-218459.92894762801</v>
      </c>
      <c r="I90" s="142">
        <f ca="1"/>
        <v>-0.57487034479502974</v>
      </c>
      <c r="J90" s="26" t="str">
        <f ca="1"/>
        <v/>
      </c>
      <c r="K90" s="26" t="str">
        <f ca="1"/>
        <v xml:space="preserve"> </v>
      </c>
    </row>
    <row r="91" spans="1:11" ht="15.75">
      <c r="A91" s="143" t="str">
        <v>Sangolqui</v>
      </c>
      <c r="B91" s="144" t="str">
        <v>NYCS III</v>
      </c>
      <c r="C91" s="139" cm="1">
        <f t="array" aca="1" ref="C91:K91" ca="1">IF(INDIRECT("'" &amp; $A91 &amp; "'!B5:J5")="", "", INDIRECT("'" &amp; $A91 &amp; "'!B5:J5"))</f>
        <v>76404</v>
      </c>
      <c r="D91" s="139">
        <f ca="1"/>
        <v>0</v>
      </c>
      <c r="E91" s="139">
        <f ca="1"/>
        <v>76404</v>
      </c>
      <c r="F91" s="140">
        <f ca="1"/>
        <v>0</v>
      </c>
      <c r="G91" s="141">
        <f ca="1"/>
        <v>117423</v>
      </c>
      <c r="H91" s="141">
        <f ca="1"/>
        <v>-41019</v>
      </c>
      <c r="I91" s="142">
        <f ca="1"/>
        <v>-0.34932679287703433</v>
      </c>
      <c r="J91" s="26" t="str">
        <f ca="1"/>
        <v xml:space="preserve">1. Site tripped at 08:35 am on 01/17/2024 &amp; back online 01/18/2024 at 8:00. </v>
      </c>
      <c r="K91" s="26" t="str">
        <f ca="1"/>
        <v>1. SR080284</v>
      </c>
    </row>
    <row r="92" spans="1:11" ht="30.75">
      <c r="A92" s="137" t="str">
        <v>State Highway 17B</v>
      </c>
      <c r="B92" s="138" t="str">
        <v>NYCS III</v>
      </c>
      <c r="C92" s="139" cm="1">
        <f t="array" aca="1" ref="C92:K92" ca="1">IF(INDIRECT("'" &amp; $A92 &amp; "'!B5:J5")="", "", INDIRECT("'" &amp; $A92 &amp; "'!B5:J5"))</f>
        <v>175181</v>
      </c>
      <c r="D92" s="139">
        <f ca="1"/>
        <v>0</v>
      </c>
      <c r="E92" s="139">
        <f ca="1"/>
        <v>175181</v>
      </c>
      <c r="F92" s="140">
        <f ca="1"/>
        <v>0</v>
      </c>
      <c r="G92" s="141">
        <f ca="1"/>
        <v>323774</v>
      </c>
      <c r="H92" s="141">
        <f ca="1"/>
        <v>-148593</v>
      </c>
      <c r="I92" s="142">
        <f ca="1"/>
        <v>-0.45894049553083321</v>
      </c>
      <c r="J92" s="26" t="str">
        <f ca="1"/>
        <v xml:space="preserve">1. Site tripped offline on 01/13 at 11:00 &amp; back online at 14:20. 
2. Inverter 2 tripped offine on 01/14/2023 at 11:50 &amp; back online at 02/04/2024. </v>
      </c>
      <c r="K92" s="26" t="str">
        <f ca="1"/>
        <v>1. SR080181
2. SR080203</v>
      </c>
    </row>
    <row r="93" spans="1:11" ht="15.75">
      <c r="A93" s="143" t="str">
        <v>State Route 14A</v>
      </c>
      <c r="B93" s="144" t="str">
        <v>NYCS III</v>
      </c>
      <c r="C93" s="139" cm="1">
        <f t="array" aca="1" ref="C93:K93" ca="1">IF(INDIRECT("'" &amp; $A93 &amp; "'!B5:J5")="", "", INDIRECT("'" &amp; $A93 &amp; "'!B5:J5"))</f>
        <v>251217</v>
      </c>
      <c r="D93" s="139">
        <f ca="1"/>
        <v>0</v>
      </c>
      <c r="E93" s="139">
        <f ca="1"/>
        <v>251217</v>
      </c>
      <c r="F93" s="140">
        <f ca="1"/>
        <v>0</v>
      </c>
      <c r="G93" s="141">
        <f ca="1"/>
        <v>347615</v>
      </c>
      <c r="H93" s="141">
        <f ca="1"/>
        <v>-96398</v>
      </c>
      <c r="I93" s="142">
        <f ca="1"/>
        <v>-0.27731254405017047</v>
      </c>
      <c r="J93" s="26" t="str">
        <f ca="1"/>
        <v>1. Site tripped offline on 01/9 at 20:50 and back onlineon 01/10 10:25</v>
      </c>
      <c r="K93" s="26" t="str">
        <f ca="1"/>
        <v xml:space="preserve">1. SR080114 </v>
      </c>
    </row>
    <row r="94" spans="1:11" ht="15.75">
      <c r="A94" s="137" t="str">
        <v>West Creek</v>
      </c>
      <c r="B94" s="138" t="str">
        <v>NYCS III</v>
      </c>
      <c r="C94" s="139" cm="1">
        <f t="array" aca="1" ref="C94:K94" ca="1">IF(INDIRECT("'" &amp; $A94 &amp; "'!B5:J5")="", "", INDIRECT("'" &amp; $A94 &amp; "'!B5:J5"))</f>
        <v>204956</v>
      </c>
      <c r="D94" s="139">
        <f ca="1"/>
        <v>0</v>
      </c>
      <c r="E94" s="139">
        <f ca="1"/>
        <v>204956</v>
      </c>
      <c r="F94" s="140">
        <f ca="1"/>
        <v>0</v>
      </c>
      <c r="G94" s="141">
        <f ca="1"/>
        <v>298444</v>
      </c>
      <c r="H94" s="141">
        <f ca="1"/>
        <v>-93488</v>
      </c>
      <c r="I94" s="142">
        <f ca="1"/>
        <v>-0.3132513972470547</v>
      </c>
      <c r="J94" s="26" t="str">
        <f ca="1"/>
        <v>1. Site tripped offline on 01/20/2024 &amp; back online at 01/23/2024 at 12:40</v>
      </c>
      <c r="K94" s="26" t="str">
        <f ca="1"/>
        <v>1. SR080356</v>
      </c>
    </row>
    <row r="95" spans="1:11" ht="45.75">
      <c r="A95" s="143" t="str">
        <v>Wildflower</v>
      </c>
      <c r="B95" s="144" t="str">
        <v>NYCS III</v>
      </c>
      <c r="C95" s="139" cm="1">
        <f t="array" aca="1" ref="C95:K95" ca="1">IF(INDIRECT("'" &amp; $A95 &amp; "'!B5:J5")="", "", INDIRECT("'" &amp; $A95 &amp; "'!B5:J5"))</f>
        <v>222902</v>
      </c>
      <c r="D95" s="139">
        <f ca="1"/>
        <v>0</v>
      </c>
      <c r="E95" s="139">
        <f ca="1"/>
        <v>222902</v>
      </c>
      <c r="F95" s="140">
        <f ca="1"/>
        <v>0</v>
      </c>
      <c r="G95" s="141">
        <f ca="1"/>
        <v>406945</v>
      </c>
      <c r="H95" s="141">
        <f ca="1"/>
        <v>-184043</v>
      </c>
      <c r="I95" s="142">
        <f ca="1"/>
        <v>-0.45225521876420649</v>
      </c>
      <c r="J95" s="26" t="str">
        <f ca="1"/>
        <v xml:space="preserve">1. Inverter 3 tripped offline on 01/09/2023 at 11:00 &amp; back online at 01/11/2024 at 11:00  &amp; again offline on 01/12/2023 &amp; back online 13:00. 
</v>
      </c>
      <c r="K95" s="26" t="str">
        <f ca="1"/>
        <v xml:space="preserve">1. SR080091. </v>
      </c>
    </row>
    <row r="96" spans="1:11" ht="15.75">
      <c r="A96" s="137" t="str">
        <v>Glen Mary 1</v>
      </c>
      <c r="B96" s="138" t="str">
        <v>NYCS IV</v>
      </c>
      <c r="C96" s="139" cm="1">
        <f t="array" aca="1" ref="C96:K96" ca="1">IF(INDIRECT("'" &amp; $A96 &amp; "'!B5:J5")="", "", INDIRECT("'" &amp; $A96 &amp; "'!B5:J5"))</f>
        <v>90965</v>
      </c>
      <c r="D96" s="139">
        <f ca="1"/>
        <v>0</v>
      </c>
      <c r="E96" s="139">
        <f ca="1"/>
        <v>90965</v>
      </c>
      <c r="F96" s="140">
        <f ca="1"/>
        <v>0</v>
      </c>
      <c r="G96" s="141">
        <f ca="1"/>
        <v>0</v>
      </c>
      <c r="H96" s="141">
        <f ca="1"/>
        <v>90965</v>
      </c>
      <c r="I96" s="142">
        <f ca="1"/>
        <v>0</v>
      </c>
      <c r="J96" s="26" t="str">
        <f ca="1"/>
        <v/>
      </c>
      <c r="K96" s="26" t="str">
        <f ca="1"/>
        <v xml:space="preserve"> </v>
      </c>
    </row>
    <row r="97" spans="1:11" ht="15.75">
      <c r="A97" s="143" t="str">
        <v>Glen Mary 2</v>
      </c>
      <c r="B97" s="144" t="str">
        <v>NYCS IV</v>
      </c>
      <c r="C97" s="139" cm="1">
        <f t="array" aca="1" ref="C97:K97" ca="1">IF(INDIRECT("'" &amp; $A97 &amp; "'!B5:J5")="", "", INDIRECT("'" &amp; $A97 &amp; "'!B5:J5"))</f>
        <v>39864</v>
      </c>
      <c r="D97" s="139">
        <f ca="1"/>
        <v>0</v>
      </c>
      <c r="E97" s="139">
        <f ca="1"/>
        <v>39864</v>
      </c>
      <c r="F97" s="140">
        <f ca="1"/>
        <v>0</v>
      </c>
      <c r="G97" s="141">
        <f ca="1"/>
        <v>159217</v>
      </c>
      <c r="H97" s="141">
        <f ca="1"/>
        <v>-119353</v>
      </c>
      <c r="I97" s="142">
        <f ca="1"/>
        <v>-0.74962472600287655</v>
      </c>
      <c r="J97" s="26" t="str">
        <f ca="1"/>
        <v/>
      </c>
      <c r="K97" s="26" t="str">
        <f ca="1"/>
        <v xml:space="preserve"> </v>
      </c>
    </row>
    <row r="98" spans="1:11" ht="30.75">
      <c r="A98" s="137" t="str">
        <v>Telegraph 1</v>
      </c>
      <c r="B98" s="138" t="str">
        <v>NYCS IV</v>
      </c>
      <c r="C98" s="139" cm="1">
        <f t="array" aca="1" ref="C98:K98" ca="1">IF(INDIRECT("'" &amp; $A98 &amp; "'!B5:J5")="", "", INDIRECT("'" &amp; $A98 &amp; "'!B5:J5"))</f>
        <v>54564</v>
      </c>
      <c r="D98" s="139">
        <f ca="1"/>
        <v>0</v>
      </c>
      <c r="E98" s="139">
        <f ca="1"/>
        <v>54564</v>
      </c>
      <c r="F98" s="140">
        <f ca="1"/>
        <v>0</v>
      </c>
      <c r="G98" s="141">
        <f ca="1"/>
        <v>264699</v>
      </c>
      <c r="H98" s="141">
        <f ca="1"/>
        <v>-210135</v>
      </c>
      <c r="I98" s="142">
        <f ca="1"/>
        <v>-0.79386397379665208</v>
      </c>
      <c r="J98" s="26" t="str">
        <f ca="1"/>
        <v>1. Site tripped offline on 01/04/2023 at 14:45 &amp; back online at EOD
2. Site tripped offline on 01/03 and back online at 10:40 AM</v>
      </c>
      <c r="K98" s="26" t="str">
        <f ca="1"/>
        <v>1.SR079959
2. SR079882</v>
      </c>
    </row>
    <row r="99" spans="1:11" ht="30.75">
      <c r="A99" s="143" t="str">
        <v>Telegraph 2</v>
      </c>
      <c r="B99" s="144" t="str">
        <v>NYCS IV</v>
      </c>
      <c r="C99" s="139" cm="1">
        <f t="array" aca="1" ref="C99:K99" ca="1">IF(INDIRECT("'" &amp; $A99 &amp; "'!B5:J5")="", "", INDIRECT("'" &amp; $A99 &amp; "'!B5:J5"))</f>
        <v>29393</v>
      </c>
      <c r="D99" s="139">
        <f ca="1"/>
        <v>0</v>
      </c>
      <c r="E99" s="139">
        <f ca="1"/>
        <v>29393</v>
      </c>
      <c r="F99" s="140">
        <f ca="1"/>
        <v>0</v>
      </c>
      <c r="G99" s="141">
        <f ca="1"/>
        <v>137325</v>
      </c>
      <c r="H99" s="141">
        <f ca="1"/>
        <v>-107932</v>
      </c>
      <c r="I99" s="142">
        <f ca="1"/>
        <v>-0.78596031312579651</v>
      </c>
      <c r="J99" s="26" t="str">
        <f ca="1"/>
        <v>1. Site tripped offline on 01/04/2023 at 14:45 &amp; back online at EOD
2. Site tripped offline on 01/03 and back online at 10:40 AM</v>
      </c>
      <c r="K99" s="26" t="str">
        <f ca="1"/>
        <v>1. SR079960
2. SR079883</v>
      </c>
    </row>
    <row r="100" spans="1:11" ht="15.75">
      <c r="A100" s="137" t="str">
        <v>Cafferty Hill</v>
      </c>
      <c r="B100" s="138" t="str">
        <v>NYCS V</v>
      </c>
      <c r="C100" s="139" cm="1">
        <f t="array" aca="1" ref="C100:K100" ca="1">IF(INDIRECT("'" &amp; $A100 &amp; "'!B5:J5")="", "", INDIRECT("'" &amp; $A100 &amp; "'!B5:J5"))</f>
        <v>100252</v>
      </c>
      <c r="D100" s="139">
        <f ca="1"/>
        <v>0</v>
      </c>
      <c r="E100" s="139">
        <f ca="1"/>
        <v>100252</v>
      </c>
      <c r="F100" s="140">
        <f ca="1"/>
        <v>0</v>
      </c>
      <c r="G100" s="141">
        <f ca="1"/>
        <v>312360</v>
      </c>
      <c r="H100" s="141">
        <f ca="1"/>
        <v>-212108</v>
      </c>
      <c r="I100" s="142">
        <f ca="1"/>
        <v>-0.67904981431681388</v>
      </c>
      <c r="J100" s="26" t="str">
        <f ca="1"/>
        <v/>
      </c>
      <c r="K100" s="26" t="str">
        <f ca="1"/>
        <v/>
      </c>
    </row>
    <row r="101" spans="1:11" ht="45.75">
      <c r="A101" s="143" t="str">
        <v>Dunkleman</v>
      </c>
      <c r="B101" s="144" t="str">
        <v>NYCS V</v>
      </c>
      <c r="C101" s="139" cm="1">
        <f t="array" aca="1" ref="C101:K101" ca="1">IF(INDIRECT("'" &amp; $A101 &amp; "'!B5:J5")="", "", INDIRECT("'" &amp; $A101 &amp; "'!B5:J5"))</f>
        <v>83950</v>
      </c>
      <c r="D101" s="139">
        <f ca="1"/>
        <v>0</v>
      </c>
      <c r="E101" s="139">
        <f ca="1"/>
        <v>83950</v>
      </c>
      <c r="F101" s="140">
        <f ca="1"/>
        <v>0</v>
      </c>
      <c r="G101" s="141">
        <f ca="1"/>
        <v>0</v>
      </c>
      <c r="H101" s="141">
        <f ca="1"/>
        <v>83950</v>
      </c>
      <c r="I101" s="142">
        <f ca="1"/>
        <v>0</v>
      </c>
      <c r="J101" s="26" t="str">
        <f ca="1"/>
        <v>1. Site offline due to transformer tripping issue  from 01/29   
2. Site tripped offline on 01/09 at 15:00 and back online 01/12 at 16:00.
3. Inverter 1 tripped offline due to ground fault multiples in this month.</v>
      </c>
      <c r="K101" s="26" t="str">
        <f ca="1"/>
        <v>1. SR080591
2. SR080107
3. SR080268</v>
      </c>
    </row>
    <row r="102" spans="1:11" ht="30.75">
      <c r="A102" s="137" t="str">
        <v>Route 19 1</v>
      </c>
      <c r="B102" s="138" t="str">
        <v>NYCS V</v>
      </c>
      <c r="C102" s="139" cm="1">
        <f t="array" aca="1" ref="C102:K102" ca="1">IF(INDIRECT("'" &amp; $A102 &amp; "'!B5:J5")="", "", INDIRECT("'" &amp; $A102 &amp; "'!B5:J5"))</f>
        <v>29341</v>
      </c>
      <c r="D102" s="139">
        <f ca="1"/>
        <v>0</v>
      </c>
      <c r="E102" s="139">
        <f ca="1"/>
        <v>29341</v>
      </c>
      <c r="F102" s="140">
        <f ca="1"/>
        <v>0</v>
      </c>
      <c r="G102" s="141">
        <f ca="1"/>
        <v>133344</v>
      </c>
      <c r="H102" s="141">
        <f ca="1"/>
        <v>-104003</v>
      </c>
      <c r="I102" s="142">
        <f ca="1"/>
        <v>-0.77996010319174469</v>
      </c>
      <c r="J102" s="26" t="str">
        <f ca="1"/>
        <v>1. Site tripped offline on 01/04/2023 at 14:45 &amp; back online at EOD
2. Site tripped offline on 01/03 and back online at 10:40 AM</v>
      </c>
      <c r="K102" s="26" t="str">
        <f ca="1"/>
        <v>1. SR079957
2. SR079879</v>
      </c>
    </row>
    <row r="103" spans="1:11" ht="30.75">
      <c r="A103" s="143" t="str">
        <v>Route 19 2</v>
      </c>
      <c r="B103" s="144" t="str">
        <v>NYCS V</v>
      </c>
      <c r="C103" s="139" cm="1">
        <f t="array" aca="1" ref="C103:K103" ca="1">IF(INDIRECT("'" &amp; $A103 &amp; "'!B5:J5")="", "", INDIRECT("'" &amp; $A103 &amp; "'!B5:J5"))</f>
        <v>66472</v>
      </c>
      <c r="D103" s="139">
        <f ca="1"/>
        <v>0</v>
      </c>
      <c r="E103" s="139">
        <f ca="1"/>
        <v>66472</v>
      </c>
      <c r="F103" s="140">
        <f ca="1"/>
        <v>0</v>
      </c>
      <c r="G103" s="141">
        <f ca="1"/>
        <v>361225</v>
      </c>
      <c r="H103" s="141">
        <f ca="1"/>
        <v>-294753</v>
      </c>
      <c r="I103" s="142">
        <f ca="1"/>
        <v>-0.81598172883936604</v>
      </c>
      <c r="J103" s="26" t="str">
        <f ca="1"/>
        <v>1. Site tripped offline on 01/04/2023 at 14:45 &amp; back online at EOD
2. Site tripped offline on 01/03 and back online at 10:40 AM</v>
      </c>
      <c r="K103" s="26" t="str">
        <f ca="1"/>
        <v xml:space="preserve">1. SR079958
2. SR079880 </v>
      </c>
    </row>
    <row r="104" spans="1:11" ht="45.75">
      <c r="A104" s="137" t="str">
        <v>Yellow Mills 1</v>
      </c>
      <c r="B104" s="138" t="str">
        <v>NYCS V</v>
      </c>
      <c r="C104" s="139" cm="1">
        <f t="array" aca="1" ref="C104:K104" ca="1">IF(INDIRECT("'" &amp; $A104 &amp; "'!B5:J5")="", "", INDIRECT("'" &amp; $A104 &amp; "'!B5:J5"))</f>
        <v>31915</v>
      </c>
      <c r="D104" s="139">
        <f ca="1"/>
        <v>0</v>
      </c>
      <c r="E104" s="139">
        <f ca="1"/>
        <v>31915</v>
      </c>
      <c r="F104" s="140">
        <f ca="1"/>
        <v>0</v>
      </c>
      <c r="G104" s="141">
        <f ca="1"/>
        <v>0</v>
      </c>
      <c r="H104" s="141">
        <f ca="1"/>
        <v>31915</v>
      </c>
      <c r="I104" s="142">
        <f ca="1"/>
        <v>0</v>
      </c>
      <c r="J104" s="26" t="str">
        <f ca="1"/>
        <v xml:space="preserve">1. Site was offline from 01/08/2024 &amp; back online on 01/09/2024 .
2. Site tripped offline 01/14/2024 at 12:55 and back online on 01/16/2024 </v>
      </c>
      <c r="K104" s="26" t="str">
        <f ca="1"/>
        <v>1. 	SR079967 
2. SR080207</v>
      </c>
    </row>
    <row r="105" spans="1:11" ht="45.75">
      <c r="A105" s="143" t="str">
        <v>Yellow Mills 2</v>
      </c>
      <c r="B105" s="144" t="str">
        <v>NYCS V</v>
      </c>
      <c r="C105" s="139" cm="1">
        <f t="array" aca="1" ref="C105:K105" ca="1">IF(INDIRECT("'" &amp; $A105 &amp; "'!B5:J5")="", "", INDIRECT("'" &amp; $A105 &amp; "'!B5:J5"))</f>
        <v>31675</v>
      </c>
      <c r="D105" s="139">
        <f ca="1"/>
        <v>0</v>
      </c>
      <c r="E105" s="139">
        <f ca="1"/>
        <v>31675</v>
      </c>
      <c r="F105" s="140">
        <f ca="1"/>
        <v>0</v>
      </c>
      <c r="G105" s="141">
        <f ca="1"/>
        <v>0</v>
      </c>
      <c r="H105" s="141">
        <f ca="1"/>
        <v>31675</v>
      </c>
      <c r="I105" s="142">
        <f ca="1"/>
        <v>0</v>
      </c>
      <c r="J105" s="26" t="str">
        <f ca="1"/>
        <v xml:space="preserve">1. Site was offline from 01/08/2024 &amp; back online on 01/09/2024 .
2. Site tripped offline 01/14/2024 at 12:55 and back online on 01/16/2024 </v>
      </c>
      <c r="K105" s="26" t="str">
        <f ca="1"/>
        <v>1. 	SR079968
2. SR080210</v>
      </c>
    </row>
    <row r="106" spans="1:11" ht="45.75">
      <c r="A106" s="137" t="str">
        <v>Yellow Mills 3</v>
      </c>
      <c r="B106" s="138" t="str">
        <v>NYCS V</v>
      </c>
      <c r="C106" s="139" cm="1">
        <f t="array" aca="1" ref="C106:K106" ca="1">IF(INDIRECT("'" &amp; $A106 &amp; "'!B5:J5")="", "", INDIRECT("'" &amp; $A106 &amp; "'!B5:J5"))</f>
        <v>68145</v>
      </c>
      <c r="D106" s="139">
        <f ca="1"/>
        <v>0</v>
      </c>
      <c r="E106" s="139">
        <f ca="1"/>
        <v>68145</v>
      </c>
      <c r="F106" s="140">
        <f ca="1"/>
        <v>0</v>
      </c>
      <c r="G106" s="141">
        <f ca="1"/>
        <v>0</v>
      </c>
      <c r="H106" s="141">
        <f ca="1"/>
        <v>68145</v>
      </c>
      <c r="I106" s="142">
        <f ca="1"/>
        <v>0</v>
      </c>
      <c r="J106" s="26" t="str">
        <f ca="1"/>
        <v xml:space="preserve">1. Site was offline from 01/08/2024 &amp; back online on 01/09/2024 .
2. Site tripped offline 01/14/2024 at 12:55 and back online on 01/16/2024 </v>
      </c>
      <c r="K106" s="26" t="str">
        <f ca="1"/>
        <v>1. 	SR079969
2. SR080208</v>
      </c>
    </row>
    <row r="107" spans="1:11" ht="45.75">
      <c r="A107" s="143" t="str">
        <v>Catskill</v>
      </c>
      <c r="B107" s="144" t="str">
        <v>NYCS VI</v>
      </c>
      <c r="C107" s="139" cm="1">
        <f t="array" aca="1" ref="C107:K107" ca="1">IF(INDIRECT("'" &amp; $A107 &amp; "'!B5:J5")="", "", INDIRECT("'" &amp; $A107 &amp; "'!B5:J5"))</f>
        <v>186426</v>
      </c>
      <c r="D107" s="139">
        <f ca="1"/>
        <v>0</v>
      </c>
      <c r="E107" s="139">
        <f ca="1"/>
        <v>186426</v>
      </c>
      <c r="F107" s="140">
        <f ca="1"/>
        <v>0</v>
      </c>
      <c r="G107" s="141">
        <f ca="1"/>
        <v>0</v>
      </c>
      <c r="H107" s="141">
        <f ca="1"/>
        <v>186426</v>
      </c>
      <c r="I107" s="142">
        <f ca="1"/>
        <v>0</v>
      </c>
      <c r="J107" s="26" t="str">
        <f ca="1"/>
        <v xml:space="preserve">1. Site was offline on 01/12/2024 at 09:00 &amp; back online at 15:00 
2. Site was offline on 01/25/2024 at 9:00 &amp; back online at 13:00. </v>
      </c>
      <c r="K107" s="26" t="str">
        <f ca="1"/>
        <v xml:space="preserve">1. SR080167
2. SR080440
</v>
      </c>
    </row>
    <row r="108" spans="1:11" ht="15.75">
      <c r="A108" s="137" t="str">
        <v>Eddy Ridge</v>
      </c>
      <c r="B108" s="138" t="str">
        <v>NYCS VI</v>
      </c>
      <c r="C108" s="139" cm="1">
        <f t="array" aca="1" ref="C108:K108" ca="1">IF(INDIRECT("'" &amp; $A108 &amp; "'!B5:J5")="", "", INDIRECT("'" &amp; $A108 &amp; "'!B5:J5"))</f>
        <v>108825</v>
      </c>
      <c r="D108" s="139">
        <f ca="1"/>
        <v>0</v>
      </c>
      <c r="E108" s="139">
        <f ca="1"/>
        <v>108825</v>
      </c>
      <c r="F108" s="140">
        <f ca="1"/>
        <v>0</v>
      </c>
      <c r="G108" s="141">
        <f ca="1"/>
        <v>0</v>
      </c>
      <c r="H108" s="141">
        <f ca="1"/>
        <v>108825</v>
      </c>
      <c r="I108" s="142">
        <f ca="1"/>
        <v>0</v>
      </c>
      <c r="J108" s="26" t="str">
        <f ca="1"/>
        <v>1. Planned outage from the sub contractor to replace transformer cover on 01/04 from 9:30 to 11:30</v>
      </c>
      <c r="K108" s="26" t="str">
        <f ca="1"/>
        <v>1. SR079930</v>
      </c>
    </row>
    <row r="109" spans="1:11" ht="15.75">
      <c r="A109" s="143" t="str">
        <v>Ridgeway #1</v>
      </c>
      <c r="B109" s="144" t="str">
        <v>NYCS VI</v>
      </c>
      <c r="C109" s="139" cm="1">
        <f t="array" aca="1" ref="C109:K109" ca="1">IF(INDIRECT("'" &amp; $A109 &amp; "'!B5:J5")="", "", INDIRECT("'" &amp; $A109 &amp; "'!B5:J5"))</f>
        <v>0</v>
      </c>
      <c r="D109" s="139">
        <f ca="1"/>
        <v>0</v>
      </c>
      <c r="E109" s="139">
        <f ca="1"/>
        <v>0</v>
      </c>
      <c r="F109" s="140">
        <f ca="1"/>
        <v>0</v>
      </c>
      <c r="G109" s="141">
        <f ca="1"/>
        <v>0</v>
      </c>
      <c r="H109" s="141">
        <f ca="1"/>
        <v>0</v>
      </c>
      <c r="I109" s="142">
        <f ca="1"/>
        <v>0</v>
      </c>
      <c r="J109" s="26" t="str">
        <f ca="1"/>
        <v>1. Production data was not available for January month.</v>
      </c>
      <c r="K109" s="26" t="str">
        <f ca="1"/>
        <v/>
      </c>
    </row>
    <row r="110" spans="1:11" ht="15.75">
      <c r="A110" s="137" t="str">
        <v>Rivard 1</v>
      </c>
      <c r="B110" s="138" t="str">
        <v>NYCS VI</v>
      </c>
      <c r="C110" s="139" cm="1">
        <f t="array" aca="1" ref="C110:K110" ca="1">IF(INDIRECT("'" &amp; $A110 &amp; "'!B5:J5")="", "", INDIRECT("'" &amp; $A110 &amp; "'!B5:J5"))</f>
        <v>148695.250778894</v>
      </c>
      <c r="D110" s="139">
        <f ca="1"/>
        <v>188962.4</v>
      </c>
      <c r="E110" s="139">
        <f ca="1"/>
        <v>-40267.149221105996</v>
      </c>
      <c r="F110" s="140">
        <f ca="1"/>
        <v>-0.21309609330272053</v>
      </c>
      <c r="G110" s="141">
        <f ca="1"/>
        <v>269901.7</v>
      </c>
      <c r="H110" s="141">
        <f ca="1"/>
        <v>-121206.44922110601</v>
      </c>
      <c r="I110" s="142">
        <f ca="1"/>
        <v>-0.44907627192087346</v>
      </c>
      <c r="J110" s="26" t="str">
        <f ca="1"/>
        <v>1. Site was tripped offline due to utility outage on 01/09 at 13:00 and back online on 01/12 at 9:00</v>
      </c>
      <c r="K110" s="26" t="str">
        <f ca="1"/>
        <v>1. SR080095</v>
      </c>
    </row>
    <row r="111" spans="1:11" ht="45.75">
      <c r="A111" s="143" t="str">
        <v>Rivard 2</v>
      </c>
      <c r="B111" s="144" t="str">
        <v>NYCS VI</v>
      </c>
      <c r="C111" s="139" cm="1">
        <f t="array" aca="1" ref="C111:K111" ca="1">IF(INDIRECT("'" &amp; $A111 &amp; "'!B5:J5")="", "", INDIRECT("'" &amp; $A111 &amp; "'!B5:J5"))</f>
        <v>28249.4825870647</v>
      </c>
      <c r="D111" s="139">
        <f ca="1"/>
        <v>48018.29</v>
      </c>
      <c r="E111" s="139">
        <f ca="1"/>
        <v>-19768.807412935301</v>
      </c>
      <c r="F111" s="140">
        <f ca="1"/>
        <v>-0.41169328214176931</v>
      </c>
      <c r="G111" s="141">
        <f ca="1"/>
        <v>258654.9</v>
      </c>
      <c r="H111" s="141">
        <f ca="1"/>
        <v>-230405.41741293529</v>
      </c>
      <c r="I111" s="142">
        <f ca="1"/>
        <v>-0.89078311453962522</v>
      </c>
      <c r="J111" s="26" t="str">
        <f ca="1"/>
        <v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v>
      </c>
      <c r="K111" s="26" t="str">
        <f ca="1"/>
        <v>1. SR080096
2. SR079987
3. SR080388</v>
      </c>
    </row>
    <row r="112" spans="1:11" ht="15.75">
      <c r="A112" s="137" t="str">
        <v>Essex</v>
      </c>
      <c r="B112" s="138" t="str">
        <v>Opportunity</v>
      </c>
      <c r="C112" s="139" cm="1">
        <f t="array" aca="1" ref="C112:K112" ca="1">IF(INDIRECT("'" &amp; $A112 &amp; "'!B5:J5")="", "", INDIRECT("'" &amp; $A112 &amp; "'!B5:J5"))</f>
        <v>870</v>
      </c>
      <c r="D112" s="139">
        <f ca="1"/>
        <v>1507.5250000000001</v>
      </c>
      <c r="E112" s="139">
        <f ca="1"/>
        <v>-637.52500000000009</v>
      </c>
      <c r="F112" s="140">
        <f ca="1"/>
        <v>-0.42289514270078443</v>
      </c>
      <c r="G112" s="141">
        <f ca="1"/>
        <v>2164.9670000000001</v>
      </c>
      <c r="H112" s="141">
        <f ca="1"/>
        <v>-1294.9670000000001</v>
      </c>
      <c r="I112" s="142">
        <f ca="1"/>
        <v>-0.59814629968955646</v>
      </c>
      <c r="J112" s="26" t="str">
        <f ca="1"/>
        <v/>
      </c>
      <c r="K112" s="26" t="str">
        <f ca="1"/>
        <v xml:space="preserve"> </v>
      </c>
    </row>
    <row r="113" spans="1:11" ht="15.75">
      <c r="A113" s="143" t="str">
        <v>Temple Sinai</v>
      </c>
      <c r="B113" s="144" t="str">
        <v>Opportunity</v>
      </c>
      <c r="C113" s="139" cm="1">
        <f t="array" aca="1" ref="C113:K113" ca="1">IF(INDIRECT("'" &amp; $A113 &amp; "'!B5:J5")="", "", INDIRECT("'" &amp; $A113 &amp; "'!B5:J5"))</f>
        <v>2505.62</v>
      </c>
      <c r="D113" s="139">
        <f ca="1"/>
        <v>4293.1019999999999</v>
      </c>
      <c r="E113" s="139">
        <f ca="1"/>
        <v>-1787.482</v>
      </c>
      <c r="F113" s="140">
        <f ca="1"/>
        <v>-0.41636140953557593</v>
      </c>
      <c r="G113" s="141">
        <f ca="1"/>
        <v>5237.6580000000004</v>
      </c>
      <c r="H113" s="141">
        <f ca="1"/>
        <v>-2732.0380000000005</v>
      </c>
      <c r="I113" s="142">
        <f ca="1"/>
        <v>-0.52161443148827213</v>
      </c>
      <c r="J113" s="26" t="str">
        <f ca="1"/>
        <v/>
      </c>
      <c r="K113" s="26" t="str">
        <f ca="1"/>
        <v xml:space="preserve"> </v>
      </c>
    </row>
    <row r="114" spans="1:11" ht="15.75">
      <c r="A114" s="137" t="str">
        <v>Weinberg 1</v>
      </c>
      <c r="B114" s="138" t="str">
        <v>Opportunity</v>
      </c>
      <c r="C114" s="139" cm="1">
        <f t="array" aca="1" ref="C114:K114" ca="1">IF(INDIRECT("'" &amp; $A114 &amp; "'!B5:J5")="", "", INDIRECT("'" &amp; $A114 &amp; "'!B5:J5"))</f>
        <v>385</v>
      </c>
      <c r="D114" s="139">
        <f ca="1"/>
        <v>590.59410000000003</v>
      </c>
      <c r="E114" s="139">
        <f ca="1"/>
        <v>-205.59410000000003</v>
      </c>
      <c r="F114" s="140">
        <f ca="1"/>
        <v>-0.34811404313046812</v>
      </c>
      <c r="G114" s="141">
        <f ca="1"/>
        <v>808.99249999999995</v>
      </c>
      <c r="H114" s="141">
        <f ca="1"/>
        <v>-423.99249999999995</v>
      </c>
      <c r="I114" s="142">
        <f ca="1"/>
        <v>-0.52409941995753972</v>
      </c>
      <c r="J114" s="26" t="str">
        <f ca="1"/>
        <v/>
      </c>
      <c r="K114" s="26" t="str">
        <f ca="1"/>
        <v xml:space="preserve"> </v>
      </c>
    </row>
    <row r="115" spans="1:11" ht="15.75">
      <c r="A115" s="143" t="str">
        <v>Weinberg 2</v>
      </c>
      <c r="B115" s="144" t="str">
        <v>Opportunity</v>
      </c>
      <c r="C115" s="139" cm="1">
        <f t="array" aca="1" ref="C115:K115" ca="1">IF(INDIRECT("'" &amp; $A115 &amp; "'!B5:J5")="", "", INDIRECT("'" &amp; $A115 &amp; "'!B5:J5"))</f>
        <v>398</v>
      </c>
      <c r="D115" s="139">
        <f ca="1"/>
        <v>563.71370000000002</v>
      </c>
      <c r="E115" s="139">
        <f ca="1"/>
        <v>-165.71370000000002</v>
      </c>
      <c r="F115" s="140">
        <f ca="1"/>
        <v>-0.2939678421865568</v>
      </c>
      <c r="G115" s="141">
        <f ca="1"/>
        <v>862.08870000000002</v>
      </c>
      <c r="H115" s="141">
        <f ca="1"/>
        <v>-464.08870000000002</v>
      </c>
      <c r="I115" s="142">
        <f ca="1"/>
        <v>-0.53833056853662509</v>
      </c>
      <c r="J115" s="26" t="str">
        <f ca="1"/>
        <v/>
      </c>
      <c r="K115" s="26" t="str">
        <f ca="1"/>
        <v xml:space="preserve"> </v>
      </c>
    </row>
    <row r="116" spans="1:11" ht="15.75">
      <c r="A116" s="137" t="str">
        <v>Weinberg 3</v>
      </c>
      <c r="B116" s="138" t="str">
        <v>Opportunity</v>
      </c>
      <c r="C116" s="139" cm="1">
        <f t="array" aca="1" ref="C116:K116" ca="1">IF(INDIRECT("'" &amp; $A116 &amp; "'!B5:J5")="", "", INDIRECT("'" &amp; $A116 &amp; "'!B5:J5"))</f>
        <v>464</v>
      </c>
      <c r="D116" s="139">
        <f ca="1"/>
        <v>551.17399999999998</v>
      </c>
      <c r="E116" s="139">
        <f ca="1"/>
        <v>-87.173999999999978</v>
      </c>
      <c r="F116" s="140">
        <f ca="1"/>
        <v>-0.15816058086919918</v>
      </c>
      <c r="G116" s="141">
        <f ca="1"/>
        <v>893</v>
      </c>
      <c r="H116" s="141">
        <f ca="1"/>
        <v>-429</v>
      </c>
      <c r="I116" s="142">
        <f ca="1"/>
        <v>-0.48040313549832026</v>
      </c>
      <c r="J116" s="26" t="str">
        <f ca="1"/>
        <v/>
      </c>
      <c r="K116" s="26" t="str">
        <f ca="1"/>
        <v xml:space="preserve"> </v>
      </c>
    </row>
    <row r="117" spans="1:11" ht="15.75">
      <c r="A117" s="143" t="str">
        <v>Clayton Hall</v>
      </c>
      <c r="B117" s="144" t="str">
        <v>Opportunity</v>
      </c>
      <c r="C117" s="139" cm="1">
        <f t="array" aca="1" ref="C117:K117" ca="1">IF(INDIRECT("'" &amp; $A117 &amp; "'!B5:J5")="", "", INDIRECT("'" &amp; $A117 &amp; "'!B5:J5"))</f>
        <v>3000</v>
      </c>
      <c r="D117" s="139">
        <f ca="1"/>
        <v>0</v>
      </c>
      <c r="E117" s="139">
        <f ca="1"/>
        <v>3000</v>
      </c>
      <c r="F117" s="140">
        <f ca="1"/>
        <v>0</v>
      </c>
      <c r="G117" s="141">
        <f ca="1"/>
        <v>2819</v>
      </c>
      <c r="H117" s="141">
        <f ca="1"/>
        <v>181</v>
      </c>
      <c r="I117" s="142">
        <f ca="1"/>
        <v>6.4207165661582119E-2</v>
      </c>
      <c r="J117" s="26" t="str">
        <f ca="1"/>
        <v/>
      </c>
      <c r="K117" s="26" t="str">
        <f ca="1"/>
        <v xml:space="preserve"> </v>
      </c>
    </row>
    <row r="118" spans="1:11" ht="15.75">
      <c r="A118" s="137" t="str">
        <v>Field House</v>
      </c>
      <c r="B118" s="138" t="str">
        <v>Opportunity</v>
      </c>
      <c r="C118" s="139" cm="1">
        <f t="array" aca="1" ref="C118:K118" ca="1">IF(INDIRECT("'" &amp; $A118 &amp; "'!B5:J5")="", "", INDIRECT("'" &amp; $A118 &amp; "'!B5:J5"))</f>
        <v>17646</v>
      </c>
      <c r="D118" s="139">
        <f ca="1"/>
        <v>0</v>
      </c>
      <c r="E118" s="139">
        <f ca="1"/>
        <v>17646</v>
      </c>
      <c r="F118" s="140">
        <f ca="1"/>
        <v>0</v>
      </c>
      <c r="G118" s="141">
        <f ca="1"/>
        <v>28692</v>
      </c>
      <c r="H118" s="141">
        <f ca="1"/>
        <v>-11046</v>
      </c>
      <c r="I118" s="142">
        <f ca="1"/>
        <v>-0.3849853617733166</v>
      </c>
      <c r="J118" s="26" t="str">
        <f ca="1"/>
        <v/>
      </c>
      <c r="K118" s="26" t="str">
        <f ca="1"/>
        <v xml:space="preserve"> </v>
      </c>
    </row>
    <row r="119" spans="1:11" ht="15.75">
      <c r="A119" s="143" t="str">
        <v>Wyoming Road</v>
      </c>
      <c r="B119" s="144" t="str">
        <v>Opportunity</v>
      </c>
      <c r="C119" s="139" cm="1">
        <f t="array" aca="1" ref="C119:K119" ca="1">IF(INDIRECT("'" &amp; $A119 &amp; "'!B5:J5")="", "", INDIRECT("'" &amp; $A119 &amp; "'!B5:J5"))</f>
        <v>7263</v>
      </c>
      <c r="D119" s="139">
        <f ca="1"/>
        <v>10662</v>
      </c>
      <c r="E119" s="139">
        <f ca="1"/>
        <v>-3399</v>
      </c>
      <c r="F119" s="140">
        <f ca="1"/>
        <v>-0.31879572312886889</v>
      </c>
      <c r="G119" s="141">
        <f ca="1"/>
        <v>16720</v>
      </c>
      <c r="H119" s="141">
        <f ca="1"/>
        <v>-9457</v>
      </c>
      <c r="I119" s="142">
        <f ca="1"/>
        <v>-0.56561004784688995</v>
      </c>
      <c r="J119" s="26" t="str">
        <f ca="1"/>
        <v/>
      </c>
      <c r="K119" s="26" t="str">
        <f ca="1"/>
        <v xml:space="preserve"> </v>
      </c>
    </row>
    <row r="120" spans="1:11" ht="30.75">
      <c r="A120" s="137" t="str">
        <v>Leoku</v>
      </c>
      <c r="B120" s="138" t="str">
        <v>Opportunity</v>
      </c>
      <c r="C120" s="139" cm="1">
        <f t="array" aca="1" ref="C120:K120" ca="1">IF(INDIRECT("'" &amp; $A120 &amp; "'!B5:J5")="", "", INDIRECT("'" &amp; $A120 &amp; "'!B5:J5"))</f>
        <v>8344</v>
      </c>
      <c r="D120" s="139">
        <f ca="1"/>
        <v>7977.7489999999998</v>
      </c>
      <c r="E120" s="139">
        <f ca="1"/>
        <v>366.2510000000002</v>
      </c>
      <c r="F120" s="140">
        <f ca="1"/>
        <v>4.5909065326572726E-2</v>
      </c>
      <c r="G120" s="141">
        <f ca="1"/>
        <v>10288</v>
      </c>
      <c r="H120" s="141">
        <f ca="1"/>
        <v>-1944</v>
      </c>
      <c r="I120" s="142">
        <f ca="1"/>
        <v>-0.18895800933125972</v>
      </c>
      <c r="J120" s="26" t="str">
        <f ca="1"/>
        <v>1. Inverter 2 tripped on 08/07 and back online 01/10 but not communicating</v>
      </c>
      <c r="K120" s="26" t="str">
        <f ca="1"/>
        <v xml:space="preserve"> 1. SR078114</v>
      </c>
    </row>
    <row r="121" spans="1:11" ht="30.75">
      <c r="A121" s="143" t="str">
        <v>Waipahu</v>
      </c>
      <c r="B121" s="144" t="str">
        <v>Opportunity</v>
      </c>
      <c r="C121" s="139" cm="1">
        <f t="array" aca="1" ref="C121:K121" ca="1">IF(INDIRECT("'" &amp; $A121 &amp; "'!B5:J5")="", "", INDIRECT("'" &amp; $A121 &amp; "'!B5:J5"))</f>
        <v>7031</v>
      </c>
      <c r="D121" s="139">
        <f ca="1"/>
        <v>7601.15</v>
      </c>
      <c r="E121" s="139">
        <f ca="1"/>
        <v>-570.14999999999964</v>
      </c>
      <c r="F121" s="140">
        <f ca="1"/>
        <v>-7.5008386888825995E-2</v>
      </c>
      <c r="G121" s="141">
        <f ca="1"/>
        <v>10288</v>
      </c>
      <c r="H121" s="141">
        <f ca="1"/>
        <v>-3257</v>
      </c>
      <c r="I121" s="142">
        <f ca="1"/>
        <v>-0.31658242612752724</v>
      </c>
      <c r="J121" s="26" t="str">
        <f ca="1"/>
        <v>1.Inverter 2 was online only on 01/10,01/11 and 01/29</v>
      </c>
      <c r="K121" s="26" t="str">
        <f ca="1"/>
        <v xml:space="preserve"> 1. SR078935</v>
      </c>
    </row>
    <row r="122" spans="1:11" ht="15.75">
      <c r="A122" s="137" t="str">
        <v>Bird in Hand</v>
      </c>
      <c r="B122" s="138" t="str">
        <v>Opportunity</v>
      </c>
      <c r="C122" s="139" cm="1">
        <f t="array" aca="1" ref="C122:K122" ca="1">IF(INDIRECT("'" &amp; $A122 &amp; "'!B5:J5")="", "", INDIRECT("'" &amp; $A122 &amp; "'!B5:J5"))</f>
        <v>82202</v>
      </c>
      <c r="D122" s="139">
        <f ca="1"/>
        <v>92318.48</v>
      </c>
      <c r="E122" s="139">
        <f ca="1"/>
        <v>-10116.479999999996</v>
      </c>
      <c r="F122" s="140">
        <f ca="1"/>
        <v>-0.10958239347094965</v>
      </c>
      <c r="G122" s="141">
        <f ca="1"/>
        <v>127325.2</v>
      </c>
      <c r="H122" s="141">
        <f ca="1"/>
        <v>-45123.199999999997</v>
      </c>
      <c r="I122" s="142">
        <f ca="1"/>
        <v>-0.35439331726948003</v>
      </c>
      <c r="J122" s="26" t="str">
        <f ca="1"/>
        <v/>
      </c>
      <c r="K122" s="26" t="str">
        <f ca="1"/>
        <v xml:space="preserve"> </v>
      </c>
    </row>
    <row r="123" spans="1:11" ht="15.75">
      <c r="A123" s="143" t="str">
        <v>Shortal</v>
      </c>
      <c r="B123" s="144" t="str">
        <v>Opportunity</v>
      </c>
      <c r="C123" s="139" cm="1">
        <f t="array" aca="1" ref="C123:K123" ca="1">IF(INDIRECT("'" &amp; $A123 &amp; "'!B5:J5")="", "", INDIRECT("'" &amp; $A123 &amp; "'!B5:J5"))</f>
        <v>86841</v>
      </c>
      <c r="D123" s="139">
        <f ca="1"/>
        <v>66423.12</v>
      </c>
      <c r="E123" s="139">
        <f ca="1"/>
        <v>20417.880000000005</v>
      </c>
      <c r="F123" s="140">
        <f ca="1"/>
        <v>0.30739116139079292</v>
      </c>
      <c r="G123" s="141">
        <f ca="1"/>
        <v>6278.299</v>
      </c>
      <c r="H123" s="141">
        <f ca="1"/>
        <v>80562.701000000001</v>
      </c>
      <c r="I123" s="142">
        <f ca="1"/>
        <v>12.831931228506321</v>
      </c>
      <c r="J123" s="26" t="str">
        <f ca="1"/>
        <v/>
      </c>
      <c r="K123" s="26" t="str">
        <f ca="1"/>
        <v xml:space="preserve"> </v>
      </c>
    </row>
    <row r="124" spans="1:11" ht="15.75">
      <c r="A124" s="137" t="str">
        <v>Aguadilla</v>
      </c>
      <c r="B124" s="138" t="str">
        <v>Opportunity</v>
      </c>
      <c r="C124" s="139" cm="1">
        <f t="array" aca="1" ref="C124:K124" ca="1">IF(INDIRECT("'" &amp; $A124 &amp; "'!B5:J5")="", "", INDIRECT("'" &amp; $A124 &amp; "'!B5:J5"))</f>
        <v>17577</v>
      </c>
      <c r="D124" s="139">
        <f ca="1"/>
        <v>15476.68</v>
      </c>
      <c r="E124" s="139">
        <f ca="1"/>
        <v>2100.3199999999997</v>
      </c>
      <c r="F124" s="140">
        <f ca="1"/>
        <v>0.13570869204506392</v>
      </c>
      <c r="G124" s="141">
        <f ca="1"/>
        <v>18224</v>
      </c>
      <c r="H124" s="141">
        <f ca="1"/>
        <v>-647</v>
      </c>
      <c r="I124" s="142">
        <f ca="1"/>
        <v>-3.5502633889376647E-2</v>
      </c>
      <c r="J124" s="26" t="str">
        <f ca="1"/>
        <v>1.Inverter 5 is offline on 01/24 and back online at 09:45 on 01/30</v>
      </c>
      <c r="K124" s="26" t="str">
        <f ca="1"/>
        <v xml:space="preserve"> 1.SR080445</v>
      </c>
    </row>
    <row r="125" spans="1:11" ht="60.75">
      <c r="A125" s="143" t="str">
        <v>Bayamon</v>
      </c>
      <c r="B125" s="144" t="str">
        <v>Opportunity</v>
      </c>
      <c r="C125" s="139" cm="1">
        <f t="array" aca="1" ref="C125:K125" ca="1">IF(INDIRECT("'" &amp; $A125 &amp; "'!B5:J5")="", "", INDIRECT("'" &amp; $A125 &amp; "'!B5:J5"))</f>
        <v>52498</v>
      </c>
      <c r="D125" s="139">
        <f ca="1"/>
        <v>58863.74</v>
      </c>
      <c r="E125" s="139">
        <f ca="1"/>
        <v>-6365.739999999998</v>
      </c>
      <c r="F125" s="140">
        <f ca="1"/>
        <v>-0.10814365516020556</v>
      </c>
      <c r="G125" s="141">
        <f ca="1"/>
        <v>0</v>
      </c>
      <c r="H125" s="141">
        <f ca="1"/>
        <v>52498</v>
      </c>
      <c r="I125" s="142">
        <f ca="1"/>
        <v>0</v>
      </c>
      <c r="J125" s="26" t="str">
        <f ca="1"/>
        <v>1. Inverter 3 tripped offline on 12/14
2.Inverters 8 and 9 are offline since 08/17/2023 due to damage to the AC relay
3.Inverter 2 is offline on 01/21 and back online on 01/22 at 14:30
4. Inverter 2 and 15 are offline from 01/27</v>
      </c>
      <c r="K125" s="26" t="str">
        <f ca="1"/>
        <v xml:space="preserve">1. SR079260
2. SR078106
3. SR080373
4. SR080525	</v>
      </c>
    </row>
    <row r="126" spans="1:11" ht="45.75">
      <c r="A126" s="137" t="str">
        <v>St Francis</v>
      </c>
      <c r="B126" s="138" t="str">
        <v>Opportunity</v>
      </c>
      <c r="C126" s="139" cm="1">
        <f t="array" aca="1" ref="C126:K126" ca="1">IF(INDIRECT("'" &amp; $A126 &amp; "'!B5:J5")="", "", INDIRECT("'" &amp; $A126 &amp; "'!B5:J5"))</f>
        <v>13494</v>
      </c>
      <c r="D126" s="139">
        <f ca="1"/>
        <v>34760.43</v>
      </c>
      <c r="E126" s="139">
        <f ca="1"/>
        <v>-21266.43</v>
      </c>
      <c r="F126" s="140">
        <f ca="1"/>
        <v>-0.61179996910279877</v>
      </c>
      <c r="G126" s="141">
        <f ca="1"/>
        <v>23239</v>
      </c>
      <c r="H126" s="141">
        <f ca="1"/>
        <v>-9745</v>
      </c>
      <c r="I126" s="142">
        <f ca="1"/>
        <v>-0.41933818150522828</v>
      </c>
      <c r="J126" s="26" t="str">
        <f ca="1"/>
        <v>1. Inverters 6,10,15, have been offline since the commencement of the site. SMA is RMAing the inverters
2.Inverter 13 was offline 09/09/2023 from  and back online on 01/17/2024
3.Inverter 16 was offline from 01/15.</v>
      </c>
      <c r="K126" s="26" t="str">
        <f ca="1"/>
        <v>1. SR078111
2. SR079970
3. SR079971</v>
      </c>
    </row>
    <row r="127" spans="1:11" ht="15.75">
      <c r="A127" s="143" t="str">
        <v>Seaport</v>
      </c>
      <c r="B127" s="144" t="str">
        <v>Sunraise</v>
      </c>
      <c r="C127" s="139" cm="1">
        <f t="array" aca="1" ref="C127:K127" ca="1">IF(INDIRECT("'" &amp; $A127 &amp; "'!B5:J5")="", "", INDIRECT("'" &amp; $A127 &amp; "'!B5:J5"))</f>
        <v>15979.5</v>
      </c>
      <c r="D127" s="139">
        <f ca="1"/>
        <v>16624.46</v>
      </c>
      <c r="E127" s="139">
        <f ca="1"/>
        <v>-644.95999999999913</v>
      </c>
      <c r="F127" s="140">
        <f ca="1"/>
        <v>-3.8795846601934691E-2</v>
      </c>
      <c r="G127" s="141">
        <f ca="1"/>
        <v>23841.21</v>
      </c>
      <c r="H127" s="141">
        <f ca="1"/>
        <v>-7861.7099999999991</v>
      </c>
      <c r="I127" s="142">
        <f ca="1"/>
        <v>-0.32975297814162952</v>
      </c>
      <c r="J127" s="26" t="str">
        <f ca="1"/>
        <v>1.Inverter #3  had its three strings capped off</v>
      </c>
      <c r="K127" s="26" t="str">
        <f ca="1"/>
        <v xml:space="preserve"> 1.SR079277</v>
      </c>
    </row>
    <row r="128" spans="1:11" ht="15.75">
      <c r="A128" s="137" t="str">
        <v>Sprague St</v>
      </c>
      <c r="B128" s="138" t="str">
        <v>Sunraise</v>
      </c>
      <c r="C128" s="139" cm="1">
        <f t="array" aca="1" ref="C128:K128" ca="1">IF(INDIRECT("'" &amp; $A128 &amp; "'!B5:J5")="", "", INDIRECT("'" &amp; $A128 &amp; "'!B5:J5"))</f>
        <v>32699.5</v>
      </c>
      <c r="D128" s="139">
        <f ca="1"/>
        <v>50419.89</v>
      </c>
      <c r="E128" s="139">
        <f ca="1"/>
        <v>-17720.39</v>
      </c>
      <c r="F128" s="140">
        <f ca="1"/>
        <v>-0.35145633994838149</v>
      </c>
      <c r="G128" s="141">
        <f ca="1"/>
        <v>52949.27</v>
      </c>
      <c r="H128" s="141">
        <f ca="1"/>
        <v>-20249.769999999997</v>
      </c>
      <c r="I128" s="142">
        <f ca="1"/>
        <v>-0.38243718940789928</v>
      </c>
      <c r="J128" s="26" t="str">
        <f ca="1"/>
        <v/>
      </c>
      <c r="K128" s="26" t="str">
        <f ca="1"/>
        <v xml:space="preserve"> </v>
      </c>
    </row>
    <row r="129" spans="1:11" ht="15.75">
      <c r="A129" s="143" t="str">
        <v>Summer St</v>
      </c>
      <c r="B129" s="144" t="str">
        <v>Sunraise</v>
      </c>
      <c r="C129" s="139" cm="1">
        <f t="array" aca="1" ref="C129:K129" ca="1">IF(INDIRECT("'" &amp; $A129 &amp; "'!B5:J5")="", "", INDIRECT("'" &amp; $A129 &amp; "'!B5:J5"))</f>
        <v>74644</v>
      </c>
      <c r="D129" s="139">
        <f ca="1"/>
        <v>104933.8</v>
      </c>
      <c r="E129" s="139">
        <f ca="1"/>
        <v>-30289.800000000003</v>
      </c>
      <c r="F129" s="140">
        <f ca="1"/>
        <v>-0.28865627662392862</v>
      </c>
      <c r="G129" s="141">
        <f ca="1"/>
        <v>132017.60000000001</v>
      </c>
      <c r="H129" s="141">
        <f ca="1"/>
        <v>-57373.600000000006</v>
      </c>
      <c r="I129" s="142">
        <f ca="1"/>
        <v>-0.43459053944322579</v>
      </c>
      <c r="J129" s="26" t="str">
        <f ca="1"/>
        <v>1.Inverter 36 tripped offline on 01/03 11:00 and back online on 01/04 at 13:00</v>
      </c>
      <c r="K129" s="26" t="str">
        <f ca="1"/>
        <v xml:space="preserve"> 1.SR079920</v>
      </c>
    </row>
    <row r="130" spans="1:11" ht="15.75">
      <c r="A130" s="137" t="str">
        <v>Brock St Vocational</v>
      </c>
      <c r="B130" s="138" t="str">
        <v>Sunraise</v>
      </c>
      <c r="C130" s="139" cm="1">
        <f t="array" aca="1" ref="C130:K130" ca="1">IF(INDIRECT("'" &amp; $A130 &amp; "'!B5:J5")="", "", INDIRECT("'" &amp; $A130 &amp; "'!B5:J5"))</f>
        <v>1820.4686795321199</v>
      </c>
      <c r="D130" s="139">
        <f ca="1"/>
        <v>4815.5290000000005</v>
      </c>
      <c r="E130" s="139">
        <f ca="1"/>
        <v>-2995.0603204678805</v>
      </c>
      <c r="F130" s="140">
        <f ca="1"/>
        <v>-0.62195873401818991</v>
      </c>
      <c r="G130" s="141">
        <f ca="1"/>
        <v>4801.3860000000004</v>
      </c>
      <c r="H130" s="141">
        <f ca="1"/>
        <v>-2980.9173204678805</v>
      </c>
      <c r="I130" s="142">
        <f ca="1"/>
        <v>-0.62084517272051865</v>
      </c>
      <c r="J130" s="26" t="str">
        <f ca="1"/>
        <v/>
      </c>
      <c r="K130" s="26" t="str">
        <f ca="1"/>
        <v xml:space="preserve"> </v>
      </c>
    </row>
    <row r="131" spans="1:11" ht="15.75">
      <c r="A131" s="143" t="str">
        <v>McClelland ES</v>
      </c>
      <c r="B131" s="144" t="str">
        <v>Sunraise</v>
      </c>
      <c r="C131" s="139" cm="1">
        <f t="array" aca="1" ref="C131:K131" ca="1">IF(INDIRECT("'" &amp; $A131 &amp; "'!B5:J5")="", "", INDIRECT("'" &amp; $A131 &amp; "'!B5:J5"))</f>
        <v>1822.9083103328601</v>
      </c>
      <c r="D131" s="139">
        <f ca="1"/>
        <v>5664.0169999999998</v>
      </c>
      <c r="E131" s="139">
        <f ca="1"/>
        <v>-3841.1086896671395</v>
      </c>
      <c r="F131" s="140">
        <f ca="1"/>
        <v>-0.67815980948982668</v>
      </c>
      <c r="G131" s="141">
        <f ca="1"/>
        <v>3544.0749999999998</v>
      </c>
      <c r="H131" s="141">
        <f ca="1"/>
        <v>-1721.1666896671397</v>
      </c>
      <c r="I131" s="142">
        <f ca="1"/>
        <v>-0.48564623764089071</v>
      </c>
      <c r="J131" s="26" t="str">
        <f ca="1"/>
        <v/>
      </c>
      <c r="K131" s="26" t="str">
        <f ca="1"/>
        <v xml:space="preserve"> </v>
      </c>
    </row>
    <row r="132" spans="1:11" ht="15.75">
      <c r="A132" s="137" t="str">
        <v>Portland St</v>
      </c>
      <c r="B132" s="138" t="str">
        <v>Sunraise</v>
      </c>
      <c r="C132" s="139" cm="1">
        <f t="array" aca="1" ref="C132:K132" ca="1">IF(INDIRECT("'" &amp; $A132 &amp; "'!B5:J5")="", "", INDIRECT("'" &amp; $A132 &amp; "'!B5:J5"))</f>
        <v>1250</v>
      </c>
      <c r="D132" s="139">
        <f ca="1"/>
        <v>2762</v>
      </c>
      <c r="E132" s="139">
        <f ca="1"/>
        <v>-1512</v>
      </c>
      <c r="F132" s="140">
        <f ca="1"/>
        <v>-0.54742939898624188</v>
      </c>
      <c r="G132" s="141">
        <f ca="1"/>
        <v>4395</v>
      </c>
      <c r="H132" s="141">
        <f ca="1"/>
        <v>-3145</v>
      </c>
      <c r="I132" s="142">
        <f ca="1"/>
        <v>-0.71558589306029574</v>
      </c>
      <c r="J132" s="26" t="str">
        <f ca="1"/>
        <v/>
      </c>
      <c r="K132" s="26" t="str">
        <f ca="1"/>
        <v xml:space="preserve"> </v>
      </c>
    </row>
    <row r="133" spans="1:11" ht="15.75">
      <c r="A133" s="143" t="str">
        <v>Portsmouth HS</v>
      </c>
      <c r="B133" s="144" t="str">
        <v>Sunraise</v>
      </c>
      <c r="C133" s="139" cm="1">
        <f t="array" aca="1" ref="C133:K133" ca="1">IF(INDIRECT("'" &amp; $A133 &amp; "'!B5:J5")="", "", INDIRECT("'" &amp; $A133 &amp; "'!B5:J5"))</f>
        <v>6169.25</v>
      </c>
      <c r="D133" s="139">
        <f ca="1"/>
        <v>11780.96</v>
      </c>
      <c r="E133" s="139">
        <f ca="1"/>
        <v>-5611.7099999999991</v>
      </c>
      <c r="F133" s="140">
        <f ca="1"/>
        <v>-0.47633724246580922</v>
      </c>
      <c r="G133" s="141">
        <f ca="1"/>
        <v>7989.4369999999999</v>
      </c>
      <c r="H133" s="141">
        <f ca="1"/>
        <v>-1820.1869999999999</v>
      </c>
      <c r="I133" s="142">
        <f ca="1"/>
        <v>-0.2278241883627094</v>
      </c>
      <c r="J133" s="26" t="str">
        <f ca="1"/>
        <v/>
      </c>
      <c r="K133" s="26" t="str">
        <f ca="1"/>
        <v xml:space="preserve"> </v>
      </c>
    </row>
    <row r="134" spans="1:11" ht="15.75">
      <c r="A134" s="137" t="str">
        <v>Portsmouth WTP</v>
      </c>
      <c r="B134" s="138" t="str">
        <v>Sunraise</v>
      </c>
      <c r="C134" s="139" cm="1">
        <f t="array" aca="1" ref="C134:K134" ca="1">IF(INDIRECT("'" &amp; $A134 &amp; "'!B5:J5")="", "", INDIRECT("'" &amp; $A134 &amp; "'!B5:J5"))</f>
        <v>7384.75</v>
      </c>
      <c r="D134" s="139">
        <f ca="1"/>
        <v>15101.21</v>
      </c>
      <c r="E134" s="139">
        <f ca="1"/>
        <v>-7716.4599999999991</v>
      </c>
      <c r="F134" s="140">
        <f ca="1"/>
        <v>-0.51098289474816916</v>
      </c>
      <c r="G134" s="141">
        <f ca="1"/>
        <v>14831.87</v>
      </c>
      <c r="H134" s="141">
        <f ca="1"/>
        <v>-7447.1200000000008</v>
      </c>
      <c r="I134" s="142">
        <f ca="1"/>
        <v>-0.50210256697233735</v>
      </c>
      <c r="J134" s="26" t="str">
        <f ca="1"/>
        <v/>
      </c>
      <c r="K134" s="26" t="str">
        <f ca="1"/>
        <v xml:space="preserve"> </v>
      </c>
    </row>
    <row r="135" spans="1:11" ht="15.75">
      <c r="A135" s="143" t="str">
        <v>Rochester St</v>
      </c>
      <c r="B135" s="144" t="str">
        <v>Sunraise</v>
      </c>
      <c r="C135" s="139" cm="1">
        <f t="array" aca="1" ref="C135:K135" ca="1">IF(INDIRECT("'" &amp; $A135 &amp; "'!B5:J5")="", "", INDIRECT("'" &amp; $A135 &amp; "'!B5:J5"))</f>
        <v>5444.625</v>
      </c>
      <c r="D135" s="139">
        <f ca="1"/>
        <v>16420.68</v>
      </c>
      <c r="E135" s="139">
        <f ca="1"/>
        <v>-10976.055</v>
      </c>
      <c r="F135" s="140">
        <f ca="1"/>
        <v>-0.66842877396063993</v>
      </c>
      <c r="G135" s="141">
        <f ca="1"/>
        <v>11432.38</v>
      </c>
      <c r="H135" s="141">
        <f ca="1"/>
        <v>-5987.7549999999992</v>
      </c>
      <c r="I135" s="142">
        <f ca="1"/>
        <v>-0.52375402147234429</v>
      </c>
      <c r="J135" s="26" t="str">
        <f ca="1"/>
        <v/>
      </c>
      <c r="K135" s="26" t="str">
        <f ca="1"/>
        <v xml:space="preserve"> </v>
      </c>
    </row>
    <row r="136" spans="1:11" ht="15.75">
      <c r="A136" s="137" t="str">
        <v>Spaulding HS</v>
      </c>
      <c r="B136" s="138" t="str">
        <v>Sunraise</v>
      </c>
      <c r="C136" s="139" cm="1">
        <f t="array" aca="1" ref="C136:K136" ca="1">IF(INDIRECT("'" &amp; $A136 &amp; "'!B5:J5")="", "", INDIRECT("'" &amp; $A136 &amp; "'!B5:J5"))</f>
        <v>2486.1234915329801</v>
      </c>
      <c r="D136" s="139">
        <f ca="1"/>
        <v>6531.7079999999996</v>
      </c>
      <c r="E136" s="139">
        <f ca="1"/>
        <v>-4045.5845084670195</v>
      </c>
      <c r="F136" s="140">
        <f ca="1"/>
        <v>-0.61937620427413775</v>
      </c>
      <c r="G136" s="141">
        <f ca="1"/>
        <v>5447.299</v>
      </c>
      <c r="H136" s="141">
        <f ca="1"/>
        <v>-2961.1755084670199</v>
      </c>
      <c r="I136" s="142">
        <f ca="1"/>
        <v>-0.54360436400994694</v>
      </c>
      <c r="J136" s="26" t="str">
        <f ca="1"/>
        <v/>
      </c>
      <c r="K136" s="26" t="str">
        <f ca="1"/>
        <v xml:space="preserve"> </v>
      </c>
    </row>
    <row r="137" spans="1:11" ht="15.75">
      <c r="A137" s="156" t="s">
        <v>9</v>
      </c>
      <c r="B137" s="157"/>
      <c r="C137" s="61">
        <f ca="1">SUM(C3:C136)</f>
        <v>5231538.1062812647</v>
      </c>
      <c r="D137" s="61">
        <f ca="1">SUM(D3:D136)</f>
        <v>2882632.9468000005</v>
      </c>
      <c r="E137" s="61">
        <f ca="1">C137-D137</f>
        <v>2348905.1594812642</v>
      </c>
      <c r="F137" s="54">
        <f ca="1">IFERROR(E137/D137, 0)</f>
        <v>0.814847121652715</v>
      </c>
      <c r="G137" s="61">
        <f ca="1">SUM(G3:G136)</f>
        <v>9202509.7462000009</v>
      </c>
      <c r="H137" s="62">
        <f ca="1">C137-G137</f>
        <v>-3970971.6399187362</v>
      </c>
      <c r="I137" s="55">
        <f ca="1">IFERROR(H137/G137, 0)</f>
        <v>-0.43150963698337536</v>
      </c>
    </row>
    <row r="139" spans="1:11">
      <c r="A139" s="167" t="s">
        <v>10</v>
      </c>
      <c r="B139" s="167"/>
    </row>
    <row r="140" spans="1:11">
      <c r="A140" s="167"/>
      <c r="B140" s="167"/>
    </row>
    <row r="141" spans="1:11">
      <c r="A141" s="168" t="s">
        <v>11</v>
      </c>
      <c r="B141" s="168"/>
    </row>
    <row r="142" spans="1:11">
      <c r="A142" s="168"/>
      <c r="B142" s="168"/>
    </row>
  </sheetData>
  <autoFilter ref="A2:I2" xr:uid="{B0362DDA-D4B4-4F79-9A5D-D43AD85A6C79}"/>
  <mergeCells count="8">
    <mergeCell ref="A139:B140"/>
    <mergeCell ref="A141:B142"/>
    <mergeCell ref="A137:B137"/>
    <mergeCell ref="K1:K2"/>
    <mergeCell ref="C1:F1"/>
    <mergeCell ref="G1:I1"/>
    <mergeCell ref="A1:B1"/>
    <mergeCell ref="J1:J2"/>
  </mergeCells>
  <conditionalFormatting sqref="F3:F137 I3:I137">
    <cfRule type="cellIs" dxfId="2182" priority="4" operator="lessThanOrEqual">
      <formula>-0.1</formula>
    </cfRule>
    <cfRule type="cellIs" dxfId="2181" priority="5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42"/>
  <sheetViews>
    <sheetView workbookViewId="0">
      <pane ySplit="2" topLeftCell="A3" activePane="bottomLeft" state="frozen"/>
      <selection pane="bottomLeft" activeCell="A5" sqref="A5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24</v>
      </c>
      <c r="D1" s="170"/>
      <c r="E1" s="170"/>
      <c r="F1" s="170"/>
      <c r="G1" s="171" t="s">
        <v>25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"'!B6:J6")="", "", INDIRECT("'" &amp; $A3 &amp; "'!B6:J6"))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80" t="str">
        <f ca="1"/>
        <v/>
      </c>
      <c r="K3" s="80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"'!B6:J6")="", "", INDIRECT("'" &amp; $A4 &amp; "'!B6:J6"))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80" t="str">
        <f ca="1"/>
        <v/>
      </c>
      <c r="K4" s="80" t="str">
        <f ca="1"/>
        <v/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"'!B6:J6")="", "", INDIRECT("'" &amp; $A5 &amp; "'!B6:J6"))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"'!B6:J6")="", "", INDIRECT("'" &amp; $A6 &amp; "'!B6:J6"))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80" t="str">
        <f ca="1"/>
        <v/>
      </c>
      <c r="K6" s="80" t="str">
        <f ca="1"/>
        <v/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"'!B6:J6")="", "", INDIRECT("'" &amp; $A7 &amp; "'!B6:J6"))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80" t="str">
        <f ca="1"/>
        <v/>
      </c>
      <c r="K7" s="80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"'!B6:J6")="", "", INDIRECT("'" &amp; $A8 &amp; "'!B6:J6"))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80" t="str">
        <f ca="1"/>
        <v/>
      </c>
      <c r="K8" s="80" t="str">
        <f ca="1"/>
        <v/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"'!B6:J6")="", "", INDIRECT("'" &amp; $A9 &amp; "'!B6:J6"))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80" t="str">
        <f ca="1"/>
        <v/>
      </c>
      <c r="K9" s="80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"'!B6:J6")="", "", INDIRECT("'" &amp; $A10 &amp; "'!B6:J6"))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80" t="str">
        <f ca="1"/>
        <v/>
      </c>
      <c r="K10" s="80" t="str">
        <f ca="1"/>
        <v/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"'!B6:J6")="", "", INDIRECT("'" &amp; $A11 &amp; "'!B6:J6"))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80" t="str">
        <f ca="1"/>
        <v/>
      </c>
      <c r="K11" s="80" t="str">
        <f ca="1"/>
        <v/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"'!B6:J6")="", "", INDIRECT("'" &amp; $A12 &amp; "'!B6:J6"))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80" t="str">
        <f ca="1"/>
        <v/>
      </c>
      <c r="K12" s="80" t="str">
        <f ca="1"/>
        <v xml:space="preserve"> </v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"'!B6:J6")="", "", INDIRECT("'" &amp; $A13 &amp; "'!B6:J6"))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80" t="str">
        <f ca="1"/>
        <v/>
      </c>
      <c r="K13" s="80" t="str">
        <f ca="1"/>
        <v xml:space="preserve"> </v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"'!B6:J6")="", "", INDIRECT("'" &amp; $A14 &amp; "'!B6:J6"))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80" t="str">
        <f ca="1"/>
        <v/>
      </c>
      <c r="K14" s="80" t="str">
        <f ca="1"/>
        <v xml:space="preserve"> </v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"'!B6:J6")="", "", INDIRECT("'" &amp; $A15 &amp; "'!B6:J6"))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80" t="str">
        <f ca="1"/>
        <v/>
      </c>
      <c r="K15" s="80" t="str">
        <f ca="1"/>
        <v xml:space="preserve"> </v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"'!B6:J6")="", "", INDIRECT("'" &amp; $A16 &amp; "'!B6:J6"))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80" t="str">
        <f ca="1"/>
        <v/>
      </c>
      <c r="K16" s="80" t="str">
        <f ca="1"/>
        <v xml:space="preserve"> </v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"'!B6:J6")="", "", INDIRECT("'" &amp; $A17 &amp; "'!B6:J6"))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80" t="str">
        <f ca="1"/>
        <v/>
      </c>
      <c r="K17" s="80" t="str">
        <f ca="1"/>
        <v xml:space="preserve"> </v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"'!B6:J6")="", "", INDIRECT("'" &amp; $A18 &amp; "'!B6:J6"))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80" t="str">
        <f ca="1"/>
        <v/>
      </c>
      <c r="K18" s="80" t="str">
        <f ca="1"/>
        <v xml:space="preserve"> </v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"'!B6:J6")="", "", INDIRECT("'" &amp; $A19 &amp; "'!B6:J6"))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80" t="str">
        <f ca="1"/>
        <v/>
      </c>
      <c r="K19" s="80" t="str">
        <f ca="1"/>
        <v xml:space="preserve"> </v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"'!B6:J6")="", "", INDIRECT("'" &amp; $A20 &amp; "'!B6:J6"))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80" t="str">
        <f ca="1"/>
        <v/>
      </c>
      <c r="K20" s="80" t="str">
        <f ca="1"/>
        <v/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"'!B6:J6")="", "", INDIRECT("'" &amp; $A21 &amp; "'!B6:J6"))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80" t="str">
        <f ca="1"/>
        <v/>
      </c>
      <c r="K21" s="80" t="str">
        <f ca="1"/>
        <v xml:space="preserve"> </v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"'!B6:J6")="", "", INDIRECT("'" &amp; $A22 &amp; "'!B6:J6"))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80" t="str">
        <f ca="1"/>
        <v/>
      </c>
      <c r="K22" s="80" t="str">
        <f ca="1"/>
        <v xml:space="preserve"> </v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"'!B6:J6")="", "", INDIRECT("'" &amp; $A23 &amp; "'!B6:J6"))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80" t="str">
        <f ca="1"/>
        <v/>
      </c>
      <c r="K23" s="80" t="str">
        <f ca="1"/>
        <v xml:space="preserve"> </v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"'!B6:J6")="", "", INDIRECT("'" &amp; $A24 &amp; "'!B6:J6"))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80" t="str">
        <f ca="1"/>
        <v/>
      </c>
      <c r="K24" s="80" t="str">
        <f ca="1"/>
        <v xml:space="preserve"> </v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"'!B6:J6")="", "", INDIRECT("'" &amp; $A25 &amp; "'!B6:J6"))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80" t="str">
        <f ca="1"/>
        <v/>
      </c>
      <c r="K25" s="80" t="str">
        <f ca="1"/>
        <v xml:space="preserve"> </v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"'!B6:J6")="", "", INDIRECT("'" &amp; $A26 &amp; "'!B6:J6"))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80" t="str">
        <f ca="1"/>
        <v/>
      </c>
      <c r="K26" s="80" t="str">
        <f ca="1"/>
        <v xml:space="preserve"> </v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"'!B6:J6")="", "", INDIRECT("'" &amp; $A27 &amp; "'!B6:J6"))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80" t="str">
        <f ca="1"/>
        <v/>
      </c>
      <c r="K27" s="80" t="str">
        <f ca="1"/>
        <v xml:space="preserve"> </v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"'!B6:J6")="", "", INDIRECT("'" &amp; $A28 &amp; "'!B6:J6"))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80" t="str">
        <f ca="1"/>
        <v/>
      </c>
      <c r="K28" s="80" t="str">
        <f ca="1"/>
        <v xml:space="preserve"> </v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"'!B6:J6")="", "", INDIRECT("'" &amp; $A29 &amp; "'!B6:J6"))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80" t="str">
        <f ca="1"/>
        <v/>
      </c>
      <c r="K29" s="80" t="str">
        <f ca="1"/>
        <v xml:space="preserve"> </v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"'!B6:J6")="", "", INDIRECT("'" &amp; $A30 &amp; "'!B6:J6"))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80" t="str">
        <f ca="1"/>
        <v/>
      </c>
      <c r="K30" s="80" t="str">
        <f ca="1"/>
        <v xml:space="preserve"> </v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"'!B6:J6")="", "", INDIRECT("'" &amp; $A31 &amp; "'!B6:J6"))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80" t="str">
        <f ca="1"/>
        <v/>
      </c>
      <c r="K31" s="80" t="str">
        <f ca="1"/>
        <v xml:space="preserve"> </v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"'!B6:J6")="", "", INDIRECT("'" &amp; $A32 &amp; "'!B6:J6"))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80" t="str">
        <f ca="1"/>
        <v/>
      </c>
      <c r="K32" s="80" t="str">
        <f ca="1"/>
        <v xml:space="preserve"> </v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"'!B6:J6")="", "", INDIRECT("'" &amp; $A33 &amp; "'!B6:J6"))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80" t="str">
        <f ca="1"/>
        <v/>
      </c>
      <c r="K33" s="80" t="str">
        <f ca="1"/>
        <v xml:space="preserve"> </v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"'!B6:J6")="", "", INDIRECT("'" &amp; $A34 &amp; "'!B6:J6"))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80" t="str">
        <f ca="1"/>
        <v/>
      </c>
      <c r="K34" s="80" t="str">
        <f ca="1"/>
        <v xml:space="preserve"> </v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"'!B6:J6")="", "", INDIRECT("'" &amp; $A35 &amp; "'!B6:J6"))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80" t="str">
        <f ca="1"/>
        <v/>
      </c>
      <c r="K35" s="80" t="str">
        <f ca="1"/>
        <v xml:space="preserve"> </v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"'!B6:J6")="", "", INDIRECT("'" &amp; $A36 &amp; "'!B6:J6"))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80" t="str">
        <f ca="1"/>
        <v/>
      </c>
      <c r="K36" s="80" t="str">
        <f ca="1"/>
        <v xml:space="preserve"> </v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"'!B6:J6")="", "", INDIRECT("'" &amp; $A37 &amp; "'!B6:J6"))</f>
        <v/>
      </c>
      <c r="D37" s="50" t="str">
        <f ca="1"/>
        <v/>
      </c>
      <c r="E37" s="50">
        <f ca="1"/>
        <v>0</v>
      </c>
      <c r="F37" s="51">
        <f ca="1"/>
        <v>0</v>
      </c>
      <c r="G37" s="52" t="str">
        <f ca="1"/>
        <v/>
      </c>
      <c r="H37" s="52">
        <f ca="1"/>
        <v>0</v>
      </c>
      <c r="I37" s="53">
        <f ca="1"/>
        <v>0</v>
      </c>
      <c r="J37" s="80" t="str">
        <f ca="1"/>
        <v/>
      </c>
      <c r="K37" s="80" t="str">
        <f ca="1"/>
        <v xml:space="preserve"> </v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"'!B6:J6")="", "", INDIRECT("'" &amp; $A38 &amp; "'!B6:J6"))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80" t="str">
        <f ca="1"/>
        <v/>
      </c>
      <c r="K38" s="80" t="str">
        <f ca="1"/>
        <v xml:space="preserve"> </v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"'!B6:J6")="", "", INDIRECT("'" &amp; $A39 &amp; "'!B6:J6"))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80" t="str">
        <f ca="1"/>
        <v/>
      </c>
      <c r="K39" s="80" t="str">
        <f ca="1"/>
        <v xml:space="preserve"> </v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"'!B6:J6")="", "", INDIRECT("'" &amp; $A40 &amp; "'!B6:J6"))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80" t="str">
        <f ca="1"/>
        <v/>
      </c>
      <c r="K40" s="80" t="str">
        <f ca="1"/>
        <v xml:space="preserve"> </v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"'!B6:J6")="", "", INDIRECT("'" &amp; $A41 &amp; "'!B6:J6"))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80" t="str">
        <f ca="1"/>
        <v/>
      </c>
      <c r="K41" s="80" t="str">
        <f ca="1"/>
        <v xml:space="preserve"> </v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"'!B6:J6")="", "", INDIRECT("'" &amp; $A42 &amp; "'!B6:J6"))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80" t="str">
        <f ca="1"/>
        <v/>
      </c>
      <c r="K42" s="80" t="str">
        <f ca="1"/>
        <v xml:space="preserve"> </v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"'!B6:J6")="", "", INDIRECT("'" &amp; $A43 &amp; "'!B6:J6"))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80" t="str">
        <f ca="1"/>
        <v/>
      </c>
      <c r="K43" s="80" t="str">
        <f ca="1"/>
        <v xml:space="preserve"> </v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"'!B6:J6")="", "", INDIRECT("'" &amp; $A44 &amp; "'!B6:J6"))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80" t="str">
        <f ca="1"/>
        <v/>
      </c>
      <c r="K44" s="80" t="str">
        <f ca="1"/>
        <v xml:space="preserve"> </v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"'!B6:J6")="", "", INDIRECT("'" &amp; $A45 &amp; "'!B6:J6"))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80" t="str">
        <f ca="1"/>
        <v/>
      </c>
      <c r="K45" s="80" t="str">
        <f ca="1"/>
        <v xml:space="preserve"> </v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"'!B6:J6")="", "", INDIRECT("'" &amp; $A46 &amp; "'!B6:J6"))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80" t="str">
        <f ca="1"/>
        <v/>
      </c>
      <c r="K46" s="80" t="str">
        <f ca="1"/>
        <v xml:space="preserve"> </v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"'!B6:J6")="", "", INDIRECT("'" &amp; $A47 &amp; "'!B6:J6"))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80" t="str">
        <f ca="1"/>
        <v/>
      </c>
      <c r="K47" s="80" t="str">
        <f ca="1"/>
        <v xml:space="preserve"> </v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"'!B6:J6")="", "", INDIRECT("'" &amp; $A48 &amp; "'!B6:J6"))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80" t="str">
        <f ca="1"/>
        <v/>
      </c>
      <c r="K48" s="80" t="str">
        <f ca="1"/>
        <v xml:space="preserve"> </v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"'!B6:J6")="", "", INDIRECT("'" &amp; $A49 &amp; "'!B6:J6"))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80" t="str">
        <f ca="1"/>
        <v/>
      </c>
      <c r="K49" s="80" t="str">
        <f ca="1"/>
        <v xml:space="preserve"> </v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"'!B6:J6")="", "", INDIRECT("'" &amp; $A50 &amp; "'!B6:J6"))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80" t="str">
        <f ca="1"/>
        <v/>
      </c>
      <c r="K50" s="80" t="str">
        <f ca="1"/>
        <v xml:space="preserve"> </v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"'!B6:J6")="", "", INDIRECT("'" &amp; $A51 &amp; "'!B6:J6"))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80" t="str">
        <f ca="1"/>
        <v/>
      </c>
      <c r="K51" s="80" t="str">
        <f ca="1"/>
        <v xml:space="preserve"> </v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"'!B6:J6")="", "", INDIRECT("'" &amp; $A52 &amp; "'!B6:J6"))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80" t="str">
        <f ca="1"/>
        <v/>
      </c>
      <c r="K52" s="80" t="str">
        <f ca="1"/>
        <v xml:space="preserve"> </v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"'!B6:J6")="", "", INDIRECT("'" &amp; $A53 &amp; "'!B6:J6"))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80" t="str">
        <f ca="1"/>
        <v/>
      </c>
      <c r="K53" s="80" t="str">
        <f ca="1"/>
        <v xml:space="preserve"> </v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"'!B6:J6")="", "", INDIRECT("'" &amp; $A54 &amp; "'!B6:J6"))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80" t="str">
        <f ca="1"/>
        <v/>
      </c>
      <c r="K54" s="80" t="str">
        <f ca="1"/>
        <v xml:space="preserve"> </v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"'!B6:J6")="", "", INDIRECT("'" &amp; $A55 &amp; "'!B6:J6"))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80" t="str">
        <f ca="1"/>
        <v/>
      </c>
      <c r="K55" s="80" t="str">
        <f ca="1"/>
        <v xml:space="preserve"> </v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"'!B6:J6")="", "", INDIRECT("'" &amp; $A56 &amp; "'!B6:J6"))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80" t="str">
        <f ca="1"/>
        <v/>
      </c>
      <c r="K56" s="80" t="str">
        <f ca="1"/>
        <v xml:space="preserve"> </v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"'!B6:J6")="", "", INDIRECT("'" &amp; $A57 &amp; "'!B6:J6"))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80" t="str">
        <f ca="1"/>
        <v/>
      </c>
      <c r="K57" s="80" t="str">
        <f ca="1"/>
        <v xml:space="preserve"> </v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"'!B6:J6")="", "", INDIRECT("'" &amp; $A58 &amp; "'!B6:J6"))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80" t="str">
        <f ca="1"/>
        <v/>
      </c>
      <c r="K58" s="80" t="str">
        <f ca="1"/>
        <v xml:space="preserve"> </v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"'!B6:J6")="", "", INDIRECT("'" &amp; $A59 &amp; "'!B6:J6"))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80" t="str">
        <f ca="1"/>
        <v/>
      </c>
      <c r="K59" s="80" t="str">
        <f ca="1"/>
        <v xml:space="preserve"> </v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"'!B6:J6")="", "", INDIRECT("'" &amp; $A60 &amp; "'!B6:J6"))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80" t="str">
        <f ca="1"/>
        <v/>
      </c>
      <c r="K60" s="80" t="str">
        <f ca="1"/>
        <v xml:space="preserve"> </v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"'!B6:J6")="", "", INDIRECT("'" &amp; $A61 &amp; "'!B6:J6"))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80" t="str">
        <f ca="1"/>
        <v/>
      </c>
      <c r="K61" s="80" t="str">
        <f ca="1"/>
        <v xml:space="preserve"> </v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"'!B6:J6")="", "", INDIRECT("'" &amp; $A62 &amp; "'!B6:J6"))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80" t="str">
        <f ca="1"/>
        <v/>
      </c>
      <c r="K62" s="80" t="str">
        <f ca="1"/>
        <v xml:space="preserve"> </v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"'!B6:J6")="", "", INDIRECT("'" &amp; $A63 &amp; "'!B6:J6"))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80" t="str">
        <f ca="1"/>
        <v/>
      </c>
      <c r="K63" s="80" t="str">
        <f ca="1"/>
        <v xml:space="preserve"> </v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"'!B6:J6")="", "", INDIRECT("'" &amp; $A64 &amp; "'!B6:J6"))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80" t="str">
        <f ca="1"/>
        <v/>
      </c>
      <c r="K64" s="80" t="str">
        <f ca="1"/>
        <v xml:space="preserve"> </v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"'!B6:J6")="", "", INDIRECT("'" &amp; $A65 &amp; "'!B6:J6"))</f>
        <v/>
      </c>
      <c r="D65" s="50" t="str">
        <f ca="1"/>
        <v/>
      </c>
      <c r="E65" s="50">
        <f ca="1"/>
        <v>0</v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80" t="str">
        <f ca="1"/>
        <v/>
      </c>
      <c r="K65" s="80" t="str">
        <f ca="1"/>
        <v xml:space="preserve"> </v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"'!B6:J6")="", "", INDIRECT("'" &amp; $A66 &amp; "'!B6:J6"))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80" t="str">
        <f ca="1"/>
        <v/>
      </c>
      <c r="K66" s="80" t="str">
        <f ca="1"/>
        <v xml:space="preserve"> </v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"'!B6:J6")="", "", INDIRECT("'" &amp; $A67 &amp; "'!B6:J6"))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80" t="str">
        <f ca="1"/>
        <v/>
      </c>
      <c r="K67" s="80" t="str">
        <f ca="1"/>
        <v xml:space="preserve"> </v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"'!B6:J6")="", "", INDIRECT("'" &amp; $A68 &amp; "'!B6:J6"))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80" t="str">
        <f ca="1"/>
        <v/>
      </c>
      <c r="K68" s="80" t="str">
        <f ca="1"/>
        <v xml:space="preserve"> </v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"'!B6:J6")="", "", INDIRECT("'" &amp; $A69 &amp; "'!B6:J6"))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80" t="str">
        <f ca="1"/>
        <v/>
      </c>
      <c r="K69" s="80" t="str">
        <f ca="1"/>
        <v xml:space="preserve"> </v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"'!B6:J6")="", "", INDIRECT("'" &amp; $A70 &amp; "'!B6:J6"))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80" t="str">
        <f ca="1"/>
        <v/>
      </c>
      <c r="K70" s="80" t="str">
        <f ca="1"/>
        <v xml:space="preserve"> </v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"'!B6:J6")="", "", INDIRECT("'" &amp; $A71 &amp; "'!B6:J6"))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80" t="str">
        <f ca="1"/>
        <v/>
      </c>
      <c r="K71" s="80" t="str">
        <f ca="1"/>
        <v xml:space="preserve"> </v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"'!B6:J6")="", "", INDIRECT("'" &amp; $A72 &amp; "'!B6:J6"))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80" t="str">
        <f ca="1"/>
        <v/>
      </c>
      <c r="K72" s="80" t="str">
        <f ca="1"/>
        <v xml:space="preserve"> </v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"'!B6:J6")="", "", INDIRECT("'" &amp; $A73 &amp; "'!B6:J6"))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80" t="str">
        <f ca="1"/>
        <v/>
      </c>
      <c r="K73" s="80" t="str">
        <f ca="1"/>
        <v xml:space="preserve"> </v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"'!B6:J6")="", "", INDIRECT("'" &amp; $A74 &amp; "'!B6:J6"))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80" t="str">
        <f ca="1"/>
        <v/>
      </c>
      <c r="K74" s="80" t="str">
        <f ca="1"/>
        <v xml:space="preserve"> </v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"'!B6:J6")="", "", INDIRECT("'" &amp; $A75 &amp; "'!B6:J6"))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80" t="str">
        <f ca="1"/>
        <v/>
      </c>
      <c r="K75" s="80" t="str">
        <f ca="1"/>
        <v xml:space="preserve"> </v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"'!B6:J6")="", "", INDIRECT("'" &amp; $A76 &amp; "'!B6:J6"))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80" t="str">
        <f ca="1"/>
        <v/>
      </c>
      <c r="K76" s="80" t="str">
        <f ca="1"/>
        <v xml:space="preserve"> </v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"'!B6:J6")="", "", INDIRECT("'" &amp; $A77 &amp; "'!B6:J6"))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80" t="str">
        <f ca="1"/>
        <v/>
      </c>
      <c r="K77" s="80" t="str">
        <f ca="1"/>
        <v xml:space="preserve"> </v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"'!B6:J6")="", "", INDIRECT("'" &amp; $A78 &amp; "'!B6:J6"))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80" t="str">
        <f ca="1"/>
        <v/>
      </c>
      <c r="K78" s="80" t="str">
        <f ca="1"/>
        <v xml:space="preserve"> </v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"'!B6:J6")="", "", INDIRECT("'" &amp; $A79 &amp; "'!B6:J6"))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80" t="str">
        <f ca="1"/>
        <v/>
      </c>
      <c r="K79" s="80" t="str">
        <f ca="1"/>
        <v xml:space="preserve"> </v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"'!B6:J6")="", "", INDIRECT("'" &amp; $A80 &amp; "'!B6:J6"))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80" t="str">
        <f ca="1"/>
        <v/>
      </c>
      <c r="K80" s="80" t="str">
        <f ca="1"/>
        <v xml:space="preserve"> </v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"'!B6:J6")="", "", INDIRECT("'" &amp; $A81 &amp; "'!B6:J6"))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80" t="str">
        <f ca="1"/>
        <v/>
      </c>
      <c r="K81" s="80" t="str">
        <f ca="1"/>
        <v xml:space="preserve"> </v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"'!B6:J6")="", "", INDIRECT("'" &amp; $A82 &amp; "'!B6:J6"))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80" t="str">
        <f ca="1"/>
        <v/>
      </c>
      <c r="K82" s="80" t="str">
        <f ca="1"/>
        <v xml:space="preserve"> </v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"'!B6:J6")="", "", INDIRECT("'" &amp; $A83 &amp; "'!B6:J6"))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80" t="str">
        <f ca="1"/>
        <v/>
      </c>
      <c r="K83" s="80" t="str">
        <f ca="1"/>
        <v xml:space="preserve"> </v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"'!B6:J6")="", "", INDIRECT("'" &amp; $A84 &amp; "'!B6:J6"))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80" t="str">
        <f ca="1"/>
        <v/>
      </c>
      <c r="K84" s="80" t="str">
        <f ca="1"/>
        <v xml:space="preserve"> </v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"'!B6:J6")="", "", INDIRECT("'" &amp; $A85 &amp; "'!B6:J6"))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80" t="str">
        <f ca="1"/>
        <v/>
      </c>
      <c r="K85" s="80" t="str">
        <f ca="1"/>
        <v xml:space="preserve"> </v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"'!B6:J6")="", "", INDIRECT("'" &amp; $A86 &amp; "'!B6:J6"))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80" t="str">
        <f ca="1"/>
        <v/>
      </c>
      <c r="K86" s="80" t="str">
        <f ca="1"/>
        <v xml:space="preserve"> </v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"'!B6:J6")="", "", INDIRECT("'" &amp; $A87 &amp; "'!B6:J6"))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80" t="str">
        <f ca="1"/>
        <v/>
      </c>
      <c r="K87" s="80" t="str">
        <f ca="1"/>
        <v xml:space="preserve"> </v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"'!B6:J6")="", "", INDIRECT("'" &amp; $A88 &amp; "'!B6:J6"))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80" t="str">
        <f ca="1"/>
        <v/>
      </c>
      <c r="K88" s="80" t="str">
        <f ca="1"/>
        <v xml:space="preserve"> </v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"'!B6:J6")="", "", INDIRECT("'" &amp; $A89 &amp; "'!B6:J6"))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80" t="str">
        <f ca="1"/>
        <v/>
      </c>
      <c r="K89" s="80" t="str">
        <f ca="1"/>
        <v xml:space="preserve"> </v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"'!B6:J6")="", "", INDIRECT("'" &amp; $A90 &amp; "'!B6:J6"))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80" t="str">
        <f ca="1"/>
        <v/>
      </c>
      <c r="K90" s="80" t="str">
        <f ca="1"/>
        <v xml:space="preserve"> </v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"'!B6:J6")="", "", INDIRECT("'" &amp; $A91 &amp; "'!B6:J6"))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80" t="str">
        <f ca="1"/>
        <v/>
      </c>
      <c r="K91" s="80" t="str">
        <f ca="1"/>
        <v xml:space="preserve"> </v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"'!B6:J6")="", "", INDIRECT("'" &amp; $A92 &amp; "'!B6:J6"))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80" t="str">
        <f ca="1"/>
        <v/>
      </c>
      <c r="K92" s="80" t="str">
        <f ca="1"/>
        <v xml:space="preserve"> </v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"'!B6:J6")="", "", INDIRECT("'" &amp; $A93 &amp; "'!B6:J6"))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80" t="str">
        <f ca="1"/>
        <v/>
      </c>
      <c r="K93" s="80" t="str">
        <f ca="1"/>
        <v xml:space="preserve"> </v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"'!B6:J6")="", "", INDIRECT("'" &amp; $A94 &amp; "'!B6:J6"))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80" t="str">
        <f ca="1"/>
        <v/>
      </c>
      <c r="K94" s="80" t="str">
        <f ca="1"/>
        <v xml:space="preserve"> </v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"'!B6:J6")="", "", INDIRECT("'" &amp; $A95 &amp; "'!B6:J6"))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80" t="str">
        <f ca="1"/>
        <v/>
      </c>
      <c r="K95" s="80" t="str">
        <f ca="1"/>
        <v xml:space="preserve"> </v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"'!B6:J6")="", "", INDIRECT("'" &amp; $A96 &amp; "'!B6:J6"))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80" t="str">
        <f ca="1"/>
        <v/>
      </c>
      <c r="K96" s="80" t="str">
        <f ca="1"/>
        <v xml:space="preserve"> </v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"'!B6:J6")="", "", INDIRECT("'" &amp; $A97 &amp; "'!B6:J6"))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80" t="str">
        <f ca="1"/>
        <v/>
      </c>
      <c r="K97" s="80" t="str">
        <f ca="1"/>
        <v xml:space="preserve"> </v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"'!B6:J6")="", "", INDIRECT("'" &amp; $A98 &amp; "'!B6:J6"))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80" t="str">
        <f ca="1"/>
        <v/>
      </c>
      <c r="K98" s="80" t="str">
        <f ca="1"/>
        <v xml:space="preserve"> </v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"'!B6:J6")="", "", INDIRECT("'" &amp; $A99 &amp; "'!B6:J6"))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80" t="str">
        <f ca="1"/>
        <v/>
      </c>
      <c r="K99" s="80" t="str">
        <f ca="1"/>
        <v xml:space="preserve"> </v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"'!B6:J6")="", "", INDIRECT("'" &amp; $A100 &amp; "'!B6:J6"))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80" t="str">
        <f ca="1"/>
        <v/>
      </c>
      <c r="K100" s="80" t="str">
        <f ca="1"/>
        <v xml:space="preserve"> </v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"'!B6:J6")="", "", INDIRECT("'" &amp; $A101 &amp; "'!B6:J6"))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80" t="str">
        <f ca="1"/>
        <v/>
      </c>
      <c r="K101" s="80" t="str">
        <f ca="1"/>
        <v xml:space="preserve"> </v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"'!B6:J6")="", "", INDIRECT("'" &amp; $A102 &amp; "'!B6:J6"))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80" t="str">
        <f ca="1"/>
        <v/>
      </c>
      <c r="K102" s="80" t="str">
        <f ca="1"/>
        <v xml:space="preserve"> </v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"'!B6:J6")="", "", INDIRECT("'" &amp; $A103 &amp; "'!B6:J6"))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80" t="str">
        <f ca="1"/>
        <v/>
      </c>
      <c r="K103" s="80" t="str">
        <f ca="1"/>
        <v xml:space="preserve"> </v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"'!B6:J6")="", "", INDIRECT("'" &amp; $A104 &amp; "'!B6:J6"))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80" t="str">
        <f ca="1"/>
        <v/>
      </c>
      <c r="K104" s="80" t="str">
        <f ca="1"/>
        <v xml:space="preserve"> </v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"'!B6:J6")="", "", INDIRECT("'" &amp; $A105 &amp; "'!B6:J6"))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80" t="str">
        <f ca="1"/>
        <v/>
      </c>
      <c r="K105" s="80" t="str">
        <f ca="1"/>
        <v xml:space="preserve"> </v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"'!B6:J6")="", "", INDIRECT("'" &amp; $A106 &amp; "'!B6:J6"))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80" t="str">
        <f ca="1"/>
        <v/>
      </c>
      <c r="K106" s="80" t="str">
        <f ca="1"/>
        <v xml:space="preserve"> </v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"'!B6:J6")="", "", INDIRECT("'" &amp; $A107 &amp; "'!B6:J6"))</f>
        <v/>
      </c>
      <c r="D107" s="50" t="str">
        <f ca="1"/>
        <v/>
      </c>
      <c r="E107" s="50">
        <f ca="1"/>
        <v>0</v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80" t="str">
        <f ca="1"/>
        <v/>
      </c>
      <c r="K107" s="80" t="str">
        <f ca="1"/>
        <v xml:space="preserve"> </v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"'!B6:J6")="", "", INDIRECT("'" &amp; $A108 &amp; "'!B6:J6"))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80" t="str">
        <f ca="1"/>
        <v/>
      </c>
      <c r="K108" s="80" t="str">
        <f ca="1"/>
        <v xml:space="preserve"> </v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"'!B6:J6")="", "", INDIRECT("'" &amp; $A109 &amp; "'!B6:J6"))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80" t="str">
        <f ca="1"/>
        <v/>
      </c>
      <c r="K109" s="80" t="str">
        <f ca="1"/>
        <v xml:space="preserve"> </v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"'!B6:J6")="", "", INDIRECT("'" &amp; $A110 &amp; "'!B6:J6"))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80" t="str">
        <f ca="1"/>
        <v/>
      </c>
      <c r="K110" s="80" t="str">
        <f ca="1"/>
        <v xml:space="preserve"> </v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"'!B6:J6")="", "", INDIRECT("'" &amp; $A111 &amp; "'!B6:J6"))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80" t="str">
        <f ca="1"/>
        <v/>
      </c>
      <c r="K111" s="80" t="str">
        <f ca="1"/>
        <v xml:space="preserve"> </v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"'!B6:J6")="", "", INDIRECT("'" &amp; $A112 &amp; "'!B6:J6"))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80" t="str">
        <f ca="1"/>
        <v/>
      </c>
      <c r="K112" s="80" t="str">
        <f ca="1"/>
        <v xml:space="preserve"> </v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"'!B6:J6")="", "", INDIRECT("'" &amp; $A113 &amp; "'!B6:J6"))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80" t="str">
        <f ca="1"/>
        <v/>
      </c>
      <c r="K113" s="80" t="str">
        <f ca="1"/>
        <v xml:space="preserve"> </v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"'!B6:J6")="", "", INDIRECT("'" &amp; $A114 &amp; "'!B6:J6"))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80" t="str">
        <f ca="1"/>
        <v/>
      </c>
      <c r="K114" s="80" t="str">
        <f ca="1"/>
        <v xml:space="preserve"> </v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"'!B6:J6")="", "", INDIRECT("'" &amp; $A115 &amp; "'!B6:J6"))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80" t="str">
        <f ca="1"/>
        <v/>
      </c>
      <c r="K115" s="80" t="str">
        <f ca="1"/>
        <v xml:space="preserve"> </v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"'!B6:J6")="", "", INDIRECT("'" &amp; $A116 &amp; "'!B6:J6"))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80" t="str">
        <f ca="1"/>
        <v/>
      </c>
      <c r="K116" s="80" t="str">
        <f ca="1"/>
        <v xml:space="preserve"> </v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"'!B6:J6")="", "", INDIRECT("'" &amp; $A117 &amp; "'!B6:J6"))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80" t="str">
        <f ca="1"/>
        <v/>
      </c>
      <c r="K117" s="80" t="str">
        <f ca="1"/>
        <v xml:space="preserve"> </v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"'!B6:J6")="", "", INDIRECT("'" &amp; $A118 &amp; "'!B6:J6"))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80" t="str">
        <f ca="1"/>
        <v/>
      </c>
      <c r="K118" s="80" t="str">
        <f ca="1"/>
        <v xml:space="preserve"> </v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"'!B6:J6")="", "", INDIRECT("'" &amp; $A119 &amp; "'!B6:J6"))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80" t="str">
        <f ca="1"/>
        <v/>
      </c>
      <c r="K119" s="80" t="str">
        <f ca="1"/>
        <v xml:space="preserve"> </v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"'!B6:J6")="", "", INDIRECT("'" &amp; $A120 &amp; "'!B6:J6"))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80" t="str">
        <f ca="1"/>
        <v/>
      </c>
      <c r="K120" s="80" t="str">
        <f ca="1"/>
        <v xml:space="preserve"> </v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"'!B6:J6")="", "", INDIRECT("'" &amp; $A121 &amp; "'!B6:J6"))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80" t="str">
        <f ca="1"/>
        <v/>
      </c>
      <c r="K121" s="80" t="str">
        <f ca="1"/>
        <v xml:space="preserve"> </v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"'!B6:J6")="", "", INDIRECT("'" &amp; $A122 &amp; "'!B6:J6"))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80" t="str">
        <f ca="1"/>
        <v/>
      </c>
      <c r="K122" s="80" t="str">
        <f ca="1"/>
        <v xml:space="preserve"> </v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"'!B6:J6")="", "", INDIRECT("'" &amp; $A123 &amp; "'!B6:J6"))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80" t="str">
        <f ca="1"/>
        <v/>
      </c>
      <c r="K123" s="80" t="str">
        <f ca="1"/>
        <v xml:space="preserve"> </v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"'!B6:J6")="", "", INDIRECT("'" &amp; $A124 &amp; "'!B6:J6"))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80" t="str">
        <f ca="1"/>
        <v/>
      </c>
      <c r="K124" s="80" t="str">
        <f ca="1"/>
        <v xml:space="preserve"> </v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"'!B6:J6")="", "", INDIRECT("'" &amp; $A125 &amp; "'!B6:J6"))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80" t="str">
        <f ca="1"/>
        <v/>
      </c>
      <c r="K125" s="80" t="str">
        <f ca="1"/>
        <v xml:space="preserve"> </v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"'!B6:J6")="", "", INDIRECT("'" &amp; $A126 &amp; "'!B6:J6"))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80" t="str">
        <f ca="1"/>
        <v/>
      </c>
      <c r="K126" s="80" t="str">
        <f ca="1"/>
        <v xml:space="preserve"> </v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"'!B6:J6")="", "", INDIRECT("'" &amp; $A127 &amp; "'!B6:J6"))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80" t="str">
        <f ca="1"/>
        <v/>
      </c>
      <c r="K127" s="80" t="str">
        <f ca="1"/>
        <v xml:space="preserve"> </v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"'!B6:J6")="", "", INDIRECT("'" &amp; $A128 &amp; "'!B6:J6"))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80" t="str">
        <f ca="1"/>
        <v/>
      </c>
      <c r="K128" s="80" t="str">
        <f ca="1"/>
        <v xml:space="preserve"> </v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"'!B6:J6")="", "", INDIRECT("'" &amp; $A129 &amp; "'!B6:J6"))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80" t="str">
        <f ca="1"/>
        <v/>
      </c>
      <c r="K129" s="80" t="str">
        <f ca="1"/>
        <v xml:space="preserve"> </v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"'!B6:J6")="", "", INDIRECT("'" &amp; $A130 &amp; "'!B6:J6"))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80" t="str">
        <f ca="1"/>
        <v/>
      </c>
      <c r="K130" s="80" t="str">
        <f ca="1"/>
        <v xml:space="preserve"> </v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"'!B6:J6")="", "", INDIRECT("'" &amp; $A131 &amp; "'!B6:J6"))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80" t="str">
        <f ca="1"/>
        <v/>
      </c>
      <c r="K131" s="80" t="str">
        <f ca="1"/>
        <v xml:space="preserve"> </v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"'!B6:J6")="", "", INDIRECT("'" &amp; $A132 &amp; "'!B6:J6"))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80" t="str">
        <f ca="1"/>
        <v/>
      </c>
      <c r="K132" s="80" t="str">
        <f ca="1"/>
        <v xml:space="preserve"> </v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"'!B6:J6")="", "", INDIRECT("'" &amp; $A133 &amp; "'!B6:J6"))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80" t="str">
        <f ca="1"/>
        <v/>
      </c>
      <c r="K133" s="80" t="str">
        <f ca="1"/>
        <v xml:space="preserve"> </v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"'!B6:J6")="", "", INDIRECT("'" &amp; $A134 &amp; "'!B6:J6"))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80" t="str">
        <f ca="1"/>
        <v/>
      </c>
      <c r="K134" s="80" t="str">
        <f ca="1"/>
        <v xml:space="preserve"> </v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"'!B6:J6")="", "", INDIRECT("'" &amp; $A135 &amp; "'!B6:J6"))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80" t="str">
        <f ca="1"/>
        <v/>
      </c>
      <c r="K135" s="80" t="str">
        <f ca="1"/>
        <v xml:space="preserve"> </v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"'!B6:J6")="", "", INDIRECT("'" &amp; $A136 &amp; "'!B6:J6"))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80" t="str">
        <f ca="1"/>
        <v/>
      </c>
      <c r="K136" s="80" t="str">
        <f ca="1"/>
        <v xml:space="preserve"> </v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CAF24030-967D-40AB-9B78-5C3C0C46A55D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80" priority="1" operator="lessThanOrEqual">
      <formula>-0.1</formula>
    </cfRule>
    <cfRule type="cellIs" dxfId="2179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42"/>
  <sheetViews>
    <sheetView workbookViewId="0">
      <pane ySplit="2" topLeftCell="A107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26</v>
      </c>
      <c r="D1" s="170"/>
      <c r="E1" s="170"/>
      <c r="F1" s="170"/>
      <c r="G1" s="171" t="s">
        <v>27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"'!B7:J7")="", "", INDIRECT("'" &amp; $A3 &amp; "'!B7:J7"))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80" t="str">
        <f ca="1"/>
        <v/>
      </c>
      <c r="K3" s="80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"'!B7:J7")="", "", INDIRECT("'" &amp; $A4 &amp; "'!B7:J7"))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80" t="str">
        <f ca="1"/>
        <v/>
      </c>
      <c r="K4" s="80" t="str">
        <f ca="1"/>
        <v/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"'!B7:J7")="", "", INDIRECT("'" &amp; $A5 &amp; "'!B7:J7"))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"'!B7:J7")="", "", INDIRECT("'" &amp; $A6 &amp; "'!B7:J7"))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80" t="str">
        <f ca="1"/>
        <v/>
      </c>
      <c r="K6" s="80" t="str">
        <f ca="1"/>
        <v/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"'!B7:J7")="", "", INDIRECT("'" &amp; $A7 &amp; "'!B7:J7"))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80" t="str">
        <f ca="1"/>
        <v/>
      </c>
      <c r="K7" s="80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"'!B7:J7")="", "", INDIRECT("'" &amp; $A8 &amp; "'!B7:J7"))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80" t="str">
        <f ca="1"/>
        <v/>
      </c>
      <c r="K8" s="80" t="str">
        <f ca="1"/>
        <v/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"'!B7:J7")="", "", INDIRECT("'" &amp; $A9 &amp; "'!B7:J7"))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80" t="str">
        <f ca="1"/>
        <v/>
      </c>
      <c r="K9" s="80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"'!B7:J7")="", "", INDIRECT("'" &amp; $A10 &amp; "'!B7:J7"))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80" t="str">
        <f ca="1"/>
        <v/>
      </c>
      <c r="K10" s="80" t="str">
        <f ca="1"/>
        <v/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"'!B7:J7")="", "", INDIRECT("'" &amp; $A11 &amp; "'!B7:J7"))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80" t="str">
        <f ca="1"/>
        <v/>
      </c>
      <c r="K11" s="80" t="str">
        <f ca="1"/>
        <v/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"'!B7:J7")="", "", INDIRECT("'" &amp; $A12 &amp; "'!B7:J7"))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80" t="str">
        <f ca="1"/>
        <v/>
      </c>
      <c r="K12" s="80" t="str">
        <f ca="1"/>
        <v/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"'!B7:J7")="", "", INDIRECT("'" &amp; $A13 &amp; "'!B7:J7"))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80" t="str">
        <f ca="1"/>
        <v/>
      </c>
      <c r="K13" s="80" t="str">
        <f ca="1"/>
        <v/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"'!B7:J7")="", "", INDIRECT("'" &amp; $A14 &amp; "'!B7:J7"))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80" t="str">
        <f ca="1"/>
        <v/>
      </c>
      <c r="K14" s="80" t="str">
        <f ca="1"/>
        <v/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"'!B7:J7")="", "", INDIRECT("'" &amp; $A15 &amp; "'!B7:J7"))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80" t="str">
        <f ca="1"/>
        <v/>
      </c>
      <c r="K15" s="80" t="str">
        <f ca="1"/>
        <v/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"'!B7:J7")="", "", INDIRECT("'" &amp; $A16 &amp; "'!B7:J7"))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80" t="str">
        <f ca="1"/>
        <v/>
      </c>
      <c r="K16" s="80" t="str">
        <f ca="1"/>
        <v/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"'!B7:J7")="", "", INDIRECT("'" &amp; $A17 &amp; "'!B7:J7"))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80" t="str">
        <f ca="1"/>
        <v/>
      </c>
      <c r="K17" s="80" t="str">
        <f ca="1"/>
        <v/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"'!B7:J7")="", "", INDIRECT("'" &amp; $A18 &amp; "'!B7:J7"))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80" t="str">
        <f ca="1"/>
        <v/>
      </c>
      <c r="K18" s="80" t="str">
        <f ca="1"/>
        <v/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"'!B7:J7")="", "", INDIRECT("'" &amp; $A19 &amp; "'!B7:J7"))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80" t="str">
        <f ca="1"/>
        <v/>
      </c>
      <c r="K19" s="80" t="str">
        <f ca="1"/>
        <v/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"'!B7:J7")="", "", INDIRECT("'" &amp; $A20 &amp; "'!B7:J7"))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80" t="str">
        <f ca="1"/>
        <v/>
      </c>
      <c r="K20" s="80" t="str">
        <f ca="1"/>
        <v/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"'!B7:J7")="", "", INDIRECT("'" &amp; $A21 &amp; "'!B7:J7"))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80" t="str">
        <f ca="1"/>
        <v/>
      </c>
      <c r="K21" s="80" t="str">
        <f ca="1"/>
        <v/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"'!B7:J7")="", "", INDIRECT("'" &amp; $A22 &amp; "'!B7:J7"))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80" t="str">
        <f ca="1"/>
        <v/>
      </c>
      <c r="K22" s="80" t="str">
        <f ca="1"/>
        <v/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"'!B7:J7")="", "", INDIRECT("'" &amp; $A23 &amp; "'!B7:J7"))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80" t="str">
        <f ca="1"/>
        <v/>
      </c>
      <c r="K23" s="80" t="str">
        <f ca="1"/>
        <v/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"'!B7:J7")="", "", INDIRECT("'" &amp; $A24 &amp; "'!B7:J7"))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80" t="str">
        <f ca="1"/>
        <v/>
      </c>
      <c r="K24" s="80" t="str">
        <f ca="1"/>
        <v/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"'!B7:J7")="", "", INDIRECT("'" &amp; $A25 &amp; "'!B7:J7"))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80" t="str">
        <f ca="1"/>
        <v/>
      </c>
      <c r="K25" s="80" t="str">
        <f ca="1"/>
        <v/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"'!B7:J7")="", "", INDIRECT("'" &amp; $A26 &amp; "'!B7:J7"))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80" t="str">
        <f ca="1"/>
        <v/>
      </c>
      <c r="K26" s="80" t="str">
        <f ca="1"/>
        <v/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"'!B7:J7")="", "", INDIRECT("'" &amp; $A27 &amp; "'!B7:J7"))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80" t="str">
        <f ca="1"/>
        <v/>
      </c>
      <c r="K27" s="80" t="str">
        <f ca="1"/>
        <v/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"'!B7:J7")="", "", INDIRECT("'" &amp; $A28 &amp; "'!B7:J7"))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80" t="str">
        <f ca="1"/>
        <v/>
      </c>
      <c r="K28" s="80" t="str">
        <f ca="1"/>
        <v/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"'!B7:J7")="", "", INDIRECT("'" &amp; $A29 &amp; "'!B7:J7"))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80" t="str">
        <f ca="1"/>
        <v/>
      </c>
      <c r="K29" s="80" t="str">
        <f ca="1"/>
        <v/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"'!B7:J7")="", "", INDIRECT("'" &amp; $A30 &amp; "'!B7:J7"))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80" t="str">
        <f ca="1"/>
        <v/>
      </c>
      <c r="K30" s="80" t="str">
        <f ca="1"/>
        <v/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"'!B7:J7")="", "", INDIRECT("'" &amp; $A31 &amp; "'!B7:J7"))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80" t="str">
        <f ca="1"/>
        <v/>
      </c>
      <c r="K31" s="80" t="str">
        <f ca="1"/>
        <v/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"'!B7:J7")="", "", INDIRECT("'" &amp; $A32 &amp; "'!B7:J7"))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80" t="str">
        <f ca="1"/>
        <v/>
      </c>
      <c r="K32" s="80" t="str">
        <f ca="1"/>
        <v/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"'!B7:J7")="", "", INDIRECT("'" &amp; $A33 &amp; "'!B7:J7"))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80" t="str">
        <f ca="1"/>
        <v/>
      </c>
      <c r="K33" s="80" t="str">
        <f ca="1"/>
        <v/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"'!B7:J7")="", "", INDIRECT("'" &amp; $A34 &amp; "'!B7:J7"))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80" t="str">
        <f ca="1"/>
        <v/>
      </c>
      <c r="K34" s="80" t="str">
        <f ca="1"/>
        <v/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"'!B7:J7")="", "", INDIRECT("'" &amp; $A35 &amp; "'!B7:J7"))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80" t="str">
        <f ca="1"/>
        <v/>
      </c>
      <c r="K35" s="80" t="str">
        <f ca="1"/>
        <v/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"'!B7:J7")="", "", INDIRECT("'" &amp; $A36 &amp; "'!B7:J7"))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80" t="str">
        <f ca="1"/>
        <v/>
      </c>
      <c r="K36" s="80" t="str">
        <f ca="1"/>
        <v/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"'!B7:J7")="", "", INDIRECT("'" &amp; $A37 &amp; "'!B7:J7"))</f>
        <v/>
      </c>
      <c r="D37" s="50" t="str">
        <f ca="1"/>
        <v/>
      </c>
      <c r="E37" s="50">
        <f ca="1"/>
        <v>0</v>
      </c>
      <c r="F37" s="51">
        <f ca="1"/>
        <v>0</v>
      </c>
      <c r="G37" s="52" t="str">
        <f ca="1"/>
        <v/>
      </c>
      <c r="H37" s="52">
        <f ca="1"/>
        <v>0</v>
      </c>
      <c r="I37" s="53">
        <f ca="1"/>
        <v>0</v>
      </c>
      <c r="J37" s="80" t="str">
        <f ca="1"/>
        <v/>
      </c>
      <c r="K37" s="80" t="str">
        <f ca="1"/>
        <v/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"'!B7:J7")="", "", INDIRECT("'" &amp; $A38 &amp; "'!B7:J7"))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80" t="str">
        <f ca="1"/>
        <v/>
      </c>
      <c r="K38" s="80" t="str">
        <f ca="1"/>
        <v/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"'!B7:J7")="", "", INDIRECT("'" &amp; $A39 &amp; "'!B7:J7"))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80" t="str">
        <f ca="1"/>
        <v/>
      </c>
      <c r="K39" s="80" t="str">
        <f ca="1"/>
        <v/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"'!B7:J7")="", "", INDIRECT("'" &amp; $A40 &amp; "'!B7:J7"))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80" t="str">
        <f ca="1"/>
        <v/>
      </c>
      <c r="K40" s="80" t="str">
        <f ca="1"/>
        <v/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"'!B7:J7")="", "", INDIRECT("'" &amp; $A41 &amp; "'!B7:J7"))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80" t="str">
        <f ca="1"/>
        <v/>
      </c>
      <c r="K41" s="80" t="str">
        <f ca="1"/>
        <v/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"'!B7:J7")="", "", INDIRECT("'" &amp; $A42 &amp; "'!B7:J7"))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80" t="str">
        <f ca="1"/>
        <v/>
      </c>
      <c r="K42" s="80" t="str">
        <f ca="1"/>
        <v/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"'!B7:J7")="", "", INDIRECT("'" &amp; $A43 &amp; "'!B7:J7"))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80" t="str">
        <f ca="1"/>
        <v/>
      </c>
      <c r="K43" s="80" t="str">
        <f ca="1"/>
        <v/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"'!B7:J7")="", "", INDIRECT("'" &amp; $A44 &amp; "'!B7:J7"))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80" t="str">
        <f ca="1"/>
        <v/>
      </c>
      <c r="K44" s="80" t="str">
        <f ca="1"/>
        <v/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"'!B7:J7")="", "", INDIRECT("'" &amp; $A45 &amp; "'!B7:J7"))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80" t="str">
        <f ca="1"/>
        <v/>
      </c>
      <c r="K45" s="80" t="str">
        <f ca="1"/>
        <v/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"'!B7:J7")="", "", INDIRECT("'" &amp; $A46 &amp; "'!B7:J7"))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80" t="str">
        <f ca="1"/>
        <v/>
      </c>
      <c r="K46" s="80" t="str">
        <f ca="1"/>
        <v/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"'!B7:J7")="", "", INDIRECT("'" &amp; $A47 &amp; "'!B7:J7"))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80" t="str">
        <f ca="1"/>
        <v/>
      </c>
      <c r="K47" s="80" t="str">
        <f ca="1"/>
        <v/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"'!B7:J7")="", "", INDIRECT("'" &amp; $A48 &amp; "'!B7:J7"))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80" t="str">
        <f ca="1"/>
        <v/>
      </c>
      <c r="K48" s="80" t="str">
        <f ca="1"/>
        <v/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"'!B7:J7")="", "", INDIRECT("'" &amp; $A49 &amp; "'!B7:J7"))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80" t="str">
        <f ca="1"/>
        <v/>
      </c>
      <c r="K49" s="80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"'!B7:J7")="", "", INDIRECT("'" &amp; $A50 &amp; "'!B7:J7"))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80" t="str">
        <f ca="1"/>
        <v/>
      </c>
      <c r="K50" s="80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"'!B7:J7")="", "", INDIRECT("'" &amp; $A51 &amp; "'!B7:J7"))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80" t="str">
        <f ca="1"/>
        <v/>
      </c>
      <c r="K51" s="80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"'!B7:J7")="", "", INDIRECT("'" &amp; $A52 &amp; "'!B7:J7"))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80" t="str">
        <f ca="1"/>
        <v/>
      </c>
      <c r="K52" s="80" t="str">
        <f ca="1"/>
        <v/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"'!B7:J7")="", "", INDIRECT("'" &amp; $A53 &amp; "'!B7:J7"))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80" t="str">
        <f ca="1"/>
        <v/>
      </c>
      <c r="K53" s="80" t="str">
        <f ca="1"/>
        <v/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"'!B7:J7")="", "", INDIRECT("'" &amp; $A54 &amp; "'!B7:J7"))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80" t="str">
        <f ca="1"/>
        <v/>
      </c>
      <c r="K54" s="80" t="str">
        <f ca="1"/>
        <v/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"'!B7:J7")="", "", INDIRECT("'" &amp; $A55 &amp; "'!B7:J7"))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80" t="str">
        <f ca="1"/>
        <v/>
      </c>
      <c r="K55" s="80" t="str">
        <f ca="1"/>
        <v/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"'!B7:J7")="", "", INDIRECT("'" &amp; $A56 &amp; "'!B7:J7"))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80" t="str">
        <f ca="1"/>
        <v/>
      </c>
      <c r="K56" s="80" t="str">
        <f ca="1"/>
        <v/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"'!B7:J7")="", "", INDIRECT("'" &amp; $A57 &amp; "'!B7:J7"))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80" t="str">
        <f ca="1"/>
        <v/>
      </c>
      <c r="K57" s="80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"'!B7:J7")="", "", INDIRECT("'" &amp; $A58 &amp; "'!B7:J7"))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80" t="str">
        <f ca="1"/>
        <v/>
      </c>
      <c r="K58" s="80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"'!B7:J7")="", "", INDIRECT("'" &amp; $A59 &amp; "'!B7:J7"))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80" t="str">
        <f ca="1"/>
        <v/>
      </c>
      <c r="K59" s="80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"'!B7:J7")="", "", INDIRECT("'" &amp; $A60 &amp; "'!B7:J7"))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80" t="str">
        <f ca="1"/>
        <v/>
      </c>
      <c r="K60" s="80" t="str">
        <f ca="1"/>
        <v/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"'!B7:J7")="", "", INDIRECT("'" &amp; $A61 &amp; "'!B7:J7"))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80" t="str">
        <f ca="1"/>
        <v/>
      </c>
      <c r="K61" s="80" t="str">
        <f ca="1"/>
        <v/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"'!B7:J7")="", "", INDIRECT("'" &amp; $A62 &amp; "'!B7:J7"))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80" t="str">
        <f ca="1"/>
        <v/>
      </c>
      <c r="K62" s="80" t="str">
        <f ca="1"/>
        <v/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"'!B7:J7")="", "", INDIRECT("'" &amp; $A63 &amp; "'!B7:J7"))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80" t="str">
        <f ca="1"/>
        <v/>
      </c>
      <c r="K63" s="80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"'!B7:J7")="", "", INDIRECT("'" &amp; $A64 &amp; "'!B7:J7"))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80" t="str">
        <f ca="1"/>
        <v/>
      </c>
      <c r="K64" s="80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"'!B7:J7")="", "", INDIRECT("'" &amp; $A65 &amp; "'!B7:J7"))</f>
        <v/>
      </c>
      <c r="D65" s="50" t="str">
        <f ca="1"/>
        <v/>
      </c>
      <c r="E65" s="50">
        <f ca="1"/>
        <v>0</v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80" t="str">
        <f ca="1"/>
        <v/>
      </c>
      <c r="K65" s="80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"'!B7:J7")="", "", INDIRECT("'" &amp; $A66 &amp; "'!B7:J7"))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80" t="str">
        <f ca="1"/>
        <v/>
      </c>
      <c r="K66" s="80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"'!B7:J7")="", "", INDIRECT("'" &amp; $A67 &amp; "'!B7:J7"))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80" t="str">
        <f ca="1"/>
        <v/>
      </c>
      <c r="K67" s="80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"'!B7:J7")="", "", INDIRECT("'" &amp; $A68 &amp; "'!B7:J7"))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80" t="str">
        <f ca="1"/>
        <v/>
      </c>
      <c r="K68" s="80" t="str">
        <f ca="1"/>
        <v/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"'!B7:J7")="", "", INDIRECT("'" &amp; $A69 &amp; "'!B7:J7"))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80" t="str">
        <f ca="1"/>
        <v/>
      </c>
      <c r="K69" s="80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"'!B7:J7")="", "", INDIRECT("'" &amp; $A70 &amp; "'!B7:J7"))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80" t="str">
        <f ca="1"/>
        <v/>
      </c>
      <c r="K70" s="80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"'!B7:J7")="", "", INDIRECT("'" &amp; $A71 &amp; "'!B7:J7"))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80" t="str">
        <f ca="1"/>
        <v/>
      </c>
      <c r="K71" s="80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"'!B7:J7")="", "", INDIRECT("'" &amp; $A72 &amp; "'!B7:J7"))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80" t="str">
        <f ca="1"/>
        <v/>
      </c>
      <c r="K72" s="80" t="str">
        <f ca="1"/>
        <v/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"'!B7:J7")="", "", INDIRECT("'" &amp; $A73 &amp; "'!B7:J7"))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80" t="str">
        <f ca="1"/>
        <v/>
      </c>
      <c r="K73" s="80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"'!B7:J7")="", "", INDIRECT("'" &amp; $A74 &amp; "'!B7:J7"))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80" t="str">
        <f ca="1"/>
        <v/>
      </c>
      <c r="K74" s="80" t="str">
        <f ca="1"/>
        <v/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"'!B7:J7")="", "", INDIRECT("'" &amp; $A75 &amp; "'!B7:J7"))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80" t="str">
        <f ca="1"/>
        <v/>
      </c>
      <c r="K75" s="80" t="str">
        <f ca="1"/>
        <v/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"'!B7:J7")="", "", INDIRECT("'" &amp; $A76 &amp; "'!B7:J7"))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80" t="str">
        <f ca="1"/>
        <v/>
      </c>
      <c r="K76" s="80" t="str">
        <f ca="1"/>
        <v/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"'!B7:J7")="", "", INDIRECT("'" &amp; $A77 &amp; "'!B7:J7"))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80" t="str">
        <f ca="1"/>
        <v/>
      </c>
      <c r="K77" s="80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"'!B7:J7")="", "", INDIRECT("'" &amp; $A78 &amp; "'!B7:J7"))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80" t="str">
        <f ca="1"/>
        <v/>
      </c>
      <c r="K78" s="80" t="str">
        <f ca="1"/>
        <v/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"'!B7:J7")="", "", INDIRECT("'" &amp; $A79 &amp; "'!B7:J7"))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80" t="str">
        <f ca="1"/>
        <v/>
      </c>
      <c r="K79" s="80" t="str">
        <f ca="1"/>
        <v/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"'!B7:J7")="", "", INDIRECT("'" &amp; $A80 &amp; "'!B7:J7"))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80" t="str">
        <f ca="1"/>
        <v/>
      </c>
      <c r="K80" s="80" t="str">
        <f ca="1"/>
        <v/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"'!B7:J7")="", "", INDIRECT("'" &amp; $A81 &amp; "'!B7:J7"))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80" t="str">
        <f ca="1"/>
        <v/>
      </c>
      <c r="K81" s="80" t="str">
        <f ca="1"/>
        <v/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"'!B7:J7")="", "", INDIRECT("'" &amp; $A82 &amp; "'!B7:J7"))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80" t="str">
        <f ca="1"/>
        <v/>
      </c>
      <c r="K82" s="80" t="str">
        <f ca="1"/>
        <v/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"'!B7:J7")="", "", INDIRECT("'" &amp; $A83 &amp; "'!B7:J7"))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80" t="str">
        <f ca="1"/>
        <v/>
      </c>
      <c r="K83" s="80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"'!B7:J7")="", "", INDIRECT("'" &amp; $A84 &amp; "'!B7:J7"))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80" t="str">
        <f ca="1"/>
        <v/>
      </c>
      <c r="K84" s="80" t="str">
        <f ca="1"/>
        <v/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"'!B7:J7")="", "", INDIRECT("'" &amp; $A85 &amp; "'!B7:J7"))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80" t="str">
        <f ca="1"/>
        <v/>
      </c>
      <c r="K85" s="80" t="str">
        <f ca="1"/>
        <v/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"'!B7:J7")="", "", INDIRECT("'" &amp; $A86 &amp; "'!B7:J7"))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80" t="str">
        <f ca="1"/>
        <v/>
      </c>
      <c r="K86" s="80" t="str">
        <f ca="1"/>
        <v/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"'!B7:J7")="", "", INDIRECT("'" &amp; $A87 &amp; "'!B7:J7"))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80" t="str">
        <f ca="1"/>
        <v/>
      </c>
      <c r="K87" s="80" t="str">
        <f ca="1"/>
        <v/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"'!B7:J7")="", "", INDIRECT("'" &amp; $A88 &amp; "'!B7:J7"))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80" t="str">
        <f ca="1"/>
        <v/>
      </c>
      <c r="K88" s="80" t="str">
        <f ca="1"/>
        <v/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"'!B7:J7")="", "", INDIRECT("'" &amp; $A89 &amp; "'!B7:J7"))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80" t="str">
        <f ca="1"/>
        <v/>
      </c>
      <c r="K89" s="80" t="str">
        <f ca="1"/>
        <v/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"'!B7:J7")="", "", INDIRECT("'" &amp; $A90 &amp; "'!B7:J7"))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80" t="str">
        <f ca="1"/>
        <v/>
      </c>
      <c r="K90" s="80" t="str">
        <f ca="1"/>
        <v/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"'!B7:J7")="", "", INDIRECT("'" &amp; $A91 &amp; "'!B7:J7"))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80" t="str">
        <f ca="1"/>
        <v/>
      </c>
      <c r="K91" s="80" t="str">
        <f ca="1"/>
        <v/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"'!B7:J7")="", "", INDIRECT("'" &amp; $A92 &amp; "'!B7:J7"))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80" t="str">
        <f ca="1"/>
        <v/>
      </c>
      <c r="K92" s="80" t="str">
        <f ca="1"/>
        <v/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"'!B7:J7")="", "", INDIRECT("'" &amp; $A93 &amp; "'!B7:J7"))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80" t="str">
        <f ca="1"/>
        <v/>
      </c>
      <c r="K93" s="80" t="str">
        <f ca="1"/>
        <v/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"'!B7:J7")="", "", INDIRECT("'" &amp; $A94 &amp; "'!B7:J7"))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80" t="str">
        <f ca="1"/>
        <v/>
      </c>
      <c r="K94" s="80" t="str">
        <f ca="1"/>
        <v/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"'!B7:J7")="", "", INDIRECT("'" &amp; $A95 &amp; "'!B7:J7"))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80" t="str">
        <f ca="1"/>
        <v/>
      </c>
      <c r="K95" s="80" t="str">
        <f ca="1"/>
        <v/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"'!B7:J7")="", "", INDIRECT("'" &amp; $A96 &amp; "'!B7:J7"))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80" t="str">
        <f ca="1"/>
        <v/>
      </c>
      <c r="K96" s="80" t="str">
        <f ca="1"/>
        <v/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"'!B7:J7")="", "", INDIRECT("'" &amp; $A97 &amp; "'!B7:J7"))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80" t="str">
        <f ca="1"/>
        <v/>
      </c>
      <c r="K97" s="80" t="str">
        <f ca="1"/>
        <v/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"'!B7:J7")="", "", INDIRECT("'" &amp; $A98 &amp; "'!B7:J7"))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80" t="str">
        <f ca="1"/>
        <v/>
      </c>
      <c r="K98" s="80" t="str">
        <f ca="1"/>
        <v/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"'!B7:J7")="", "", INDIRECT("'" &amp; $A99 &amp; "'!B7:J7"))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80" t="str">
        <f ca="1"/>
        <v/>
      </c>
      <c r="K99" s="80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"'!B7:J7")="", "", INDIRECT("'" &amp; $A100 &amp; "'!B7:J7"))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80" t="str">
        <f ca="1"/>
        <v/>
      </c>
      <c r="K100" s="80" t="str">
        <f ca="1"/>
        <v/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"'!B7:J7")="", "", INDIRECT("'" &amp; $A101 &amp; "'!B7:J7"))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80" t="str">
        <f ca="1"/>
        <v/>
      </c>
      <c r="K101" s="80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"'!B7:J7")="", "", INDIRECT("'" &amp; $A102 &amp; "'!B7:J7"))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80" t="str">
        <f ca="1"/>
        <v/>
      </c>
      <c r="K102" s="80" t="str">
        <f ca="1"/>
        <v/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"'!B7:J7")="", "", INDIRECT("'" &amp; $A103 &amp; "'!B7:J7"))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80" t="str">
        <f ca="1"/>
        <v/>
      </c>
      <c r="K103" s="80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"'!B7:J7")="", "", INDIRECT("'" &amp; $A104 &amp; "'!B7:J7"))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80" t="str">
        <f ca="1"/>
        <v/>
      </c>
      <c r="K104" s="80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"'!B7:J7")="", "", INDIRECT("'" &amp; $A105 &amp; "'!B7:J7"))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80" t="str">
        <f ca="1"/>
        <v/>
      </c>
      <c r="K105" s="80" t="str">
        <f ca="1"/>
        <v/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"'!B7:J7")="", "", INDIRECT("'" &amp; $A106 &amp; "'!B7:J7"))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80" t="str">
        <f ca="1"/>
        <v/>
      </c>
      <c r="K106" s="80" t="str">
        <f ca="1"/>
        <v/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"'!B7:J7")="", "", INDIRECT("'" &amp; $A107 &amp; "'!B7:J7"))</f>
        <v/>
      </c>
      <c r="D107" s="50" t="str">
        <f ca="1"/>
        <v/>
      </c>
      <c r="E107" s="50">
        <f ca="1"/>
        <v>0</v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80" t="str">
        <f ca="1"/>
        <v/>
      </c>
      <c r="K107" s="80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"'!B7:J7")="", "", INDIRECT("'" &amp; $A108 &amp; "'!B7:J7"))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80" t="str">
        <f ca="1"/>
        <v/>
      </c>
      <c r="K108" s="80" t="str">
        <f ca="1"/>
        <v/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"'!B7:J7")="", "", INDIRECT("'" &amp; $A109 &amp; "'!B7:J7"))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80" t="str">
        <f ca="1"/>
        <v/>
      </c>
      <c r="K109" s="80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"'!B7:J7")="", "", INDIRECT("'" &amp; $A110 &amp; "'!B7:J7"))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80" t="str">
        <f ca="1"/>
        <v/>
      </c>
      <c r="K110" s="80" t="str">
        <f ca="1"/>
        <v/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"'!B7:J7")="", "", INDIRECT("'" &amp; $A111 &amp; "'!B7:J7"))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80" t="str">
        <f ca="1"/>
        <v/>
      </c>
      <c r="K111" s="80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"'!B7:J7")="", "", INDIRECT("'" &amp; $A112 &amp; "'!B7:J7"))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80" t="str">
        <f ca="1"/>
        <v/>
      </c>
      <c r="K112" s="80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"'!B7:J7")="", "", INDIRECT("'" &amp; $A113 &amp; "'!B7:J7"))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80" t="str">
        <f ca="1"/>
        <v/>
      </c>
      <c r="K113" s="80" t="str">
        <f ca="1"/>
        <v/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"'!B7:J7")="", "", INDIRECT("'" &amp; $A114 &amp; "'!B7:J7"))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80" t="str">
        <f ca="1"/>
        <v/>
      </c>
      <c r="K114" s="80" t="str">
        <f ca="1"/>
        <v/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"'!B7:J7")="", "", INDIRECT("'" &amp; $A115 &amp; "'!B7:J7"))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80" t="str">
        <f ca="1"/>
        <v/>
      </c>
      <c r="K115" s="80" t="str">
        <f ca="1"/>
        <v/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"'!B7:J7")="", "", INDIRECT("'" &amp; $A116 &amp; "'!B7:J7"))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80" t="str">
        <f ca="1"/>
        <v/>
      </c>
      <c r="K116" s="80" t="str">
        <f ca="1"/>
        <v/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"'!B7:J7")="", "", INDIRECT("'" &amp; $A117 &amp; "'!B7:J7"))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80" t="str">
        <f ca="1"/>
        <v/>
      </c>
      <c r="K117" s="80" t="str">
        <f ca="1"/>
        <v/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"'!B7:J7")="", "", INDIRECT("'" &amp; $A118 &amp; "'!B7:J7"))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80" t="str">
        <f ca="1"/>
        <v/>
      </c>
      <c r="K118" s="80" t="str">
        <f ca="1"/>
        <v/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"'!B7:J7")="", "", INDIRECT("'" &amp; $A119 &amp; "'!B7:J7"))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80" t="str">
        <f ca="1"/>
        <v/>
      </c>
      <c r="K119" s="80" t="str">
        <f ca="1"/>
        <v/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"'!B7:J7")="", "", INDIRECT("'" &amp; $A120 &amp; "'!B7:J7"))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80" t="str">
        <f ca="1"/>
        <v/>
      </c>
      <c r="K120" s="80" t="str">
        <f ca="1"/>
        <v/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"'!B7:J7")="", "", INDIRECT("'" &amp; $A121 &amp; "'!B7:J7"))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80" t="str">
        <f ca="1"/>
        <v/>
      </c>
      <c r="K121" s="80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"'!B7:J7")="", "", INDIRECT("'" &amp; $A122 &amp; "'!B7:J7"))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80" t="str">
        <f ca="1"/>
        <v/>
      </c>
      <c r="K122" s="80" t="str">
        <f ca="1"/>
        <v/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"'!B7:J7")="", "", INDIRECT("'" &amp; $A123 &amp; "'!B7:J7"))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80" t="str">
        <f ca="1"/>
        <v/>
      </c>
      <c r="K123" s="80" t="str">
        <f ca="1"/>
        <v/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"'!B7:J7")="", "", INDIRECT("'" &amp; $A124 &amp; "'!B7:J7"))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80" t="str">
        <f ca="1"/>
        <v/>
      </c>
      <c r="K124" s="80" t="str">
        <f ca="1"/>
        <v/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"'!B7:J7")="", "", INDIRECT("'" &amp; $A125 &amp; "'!B7:J7"))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80" t="str">
        <f ca="1"/>
        <v/>
      </c>
      <c r="K125" s="80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"'!B7:J7")="", "", INDIRECT("'" &amp; $A126 &amp; "'!B7:J7"))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80" t="str">
        <f ca="1"/>
        <v/>
      </c>
      <c r="K126" s="80" t="str">
        <f ca="1"/>
        <v/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"'!B7:J7")="", "", INDIRECT("'" &amp; $A127 &amp; "'!B7:J7"))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80" t="str">
        <f ca="1"/>
        <v/>
      </c>
      <c r="K127" s="80" t="str">
        <f ca="1"/>
        <v/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"'!B7:J7")="", "", INDIRECT("'" &amp; $A128 &amp; "'!B7:J7"))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80" t="str">
        <f ca="1"/>
        <v/>
      </c>
      <c r="K128" s="80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"'!B7:J7")="", "", INDIRECT("'" &amp; $A129 &amp; "'!B7:J7"))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80" t="str">
        <f ca="1"/>
        <v/>
      </c>
      <c r="K129" s="80" t="str">
        <f ca="1"/>
        <v/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"'!B7:J7")="", "", INDIRECT("'" &amp; $A130 &amp; "'!B7:J7"))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80" t="str">
        <f ca="1"/>
        <v/>
      </c>
      <c r="K130" s="80" t="str">
        <f ca="1"/>
        <v/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"'!B7:J7")="", "", INDIRECT("'" &amp; $A131 &amp; "'!B7:J7"))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80" t="str">
        <f ca="1"/>
        <v/>
      </c>
      <c r="K131" s="80" t="str">
        <f ca="1"/>
        <v/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"'!B7:J7")="", "", INDIRECT("'" &amp; $A132 &amp; "'!B7:J7"))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80" t="str">
        <f ca="1"/>
        <v/>
      </c>
      <c r="K132" s="80" t="str">
        <f ca="1"/>
        <v/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"'!B7:J7")="", "", INDIRECT("'" &amp; $A133 &amp; "'!B7:J7"))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80" t="str">
        <f ca="1"/>
        <v/>
      </c>
      <c r="K133" s="80" t="str">
        <f ca="1"/>
        <v/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"'!B7:J7")="", "", INDIRECT("'" &amp; $A134 &amp; "'!B7:J7"))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80" t="str">
        <f ca="1"/>
        <v/>
      </c>
      <c r="K134" s="80" t="str">
        <f ca="1"/>
        <v/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"'!B7:J7")="", "", INDIRECT("'" &amp; $A135 &amp; "'!B7:J7"))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80" t="str">
        <f ca="1"/>
        <v/>
      </c>
      <c r="K135" s="80" t="str">
        <f ca="1"/>
        <v/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"'!B7:J7")="", "", INDIRECT("'" &amp; $A136 &amp; "'!B7:J7"))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80" t="str">
        <f ca="1"/>
        <v/>
      </c>
      <c r="K136" s="80" t="str">
        <f ca="1"/>
        <v/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E69961AB-A757-4049-8AB9-40F3BCB812B3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78" priority="1" operator="lessThanOrEqual">
      <formula>-0.1</formula>
    </cfRule>
    <cfRule type="cellIs" dxfId="2177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42"/>
  <sheetViews>
    <sheetView workbookViewId="0">
      <pane ySplit="2" topLeftCell="A106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28</v>
      </c>
      <c r="D1" s="170"/>
      <c r="E1" s="170"/>
      <c r="F1" s="170"/>
      <c r="G1" s="171" t="s">
        <v>29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"'!B8:J8")="", "", INDIRECT("'" &amp; $A3 &amp; "'!B8:J8"))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80" t="str">
        <f ca="1"/>
        <v/>
      </c>
      <c r="K3" s="80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"'!B8:J8")="", "", INDIRECT("'" &amp; $A4 &amp; "'!B8:J8"))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80" t="str">
        <f ca="1"/>
        <v/>
      </c>
      <c r="K4" s="80" t="str">
        <f ca="1"/>
        <v/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"'!B8:J8")="", "", INDIRECT("'" &amp; $A5 &amp; "'!B8:J8"))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"'!B8:J8")="", "", INDIRECT("'" &amp; $A6 &amp; "'!B8:J8"))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80" t="str">
        <f ca="1"/>
        <v/>
      </c>
      <c r="K6" s="80" t="str">
        <f ca="1"/>
        <v/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"'!B8:J8")="", "", INDIRECT("'" &amp; $A7 &amp; "'!B8:J8"))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80" t="str">
        <f ca="1"/>
        <v/>
      </c>
      <c r="K7" s="80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"'!B8:J8")="", "", INDIRECT("'" &amp; $A8 &amp; "'!B8:J8"))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80" t="str">
        <f ca="1"/>
        <v/>
      </c>
      <c r="K8" s="80" t="str">
        <f ca="1"/>
        <v/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"'!B8:J8")="", "", INDIRECT("'" &amp; $A9 &amp; "'!B8:J8"))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80" t="str">
        <f ca="1"/>
        <v/>
      </c>
      <c r="K9" s="80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"'!B8:J8")="", "", INDIRECT("'" &amp; $A10 &amp; "'!B8:J8"))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80" t="str">
        <f ca="1"/>
        <v/>
      </c>
      <c r="K10" s="80" t="str">
        <f ca="1"/>
        <v/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"'!B8:J8")="", "", INDIRECT("'" &amp; $A11 &amp; "'!B8:J8"))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80" t="str">
        <f ca="1"/>
        <v/>
      </c>
      <c r="K11" s="80" t="str">
        <f ca="1"/>
        <v/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"'!B8:J8")="", "", INDIRECT("'" &amp; $A12 &amp; "'!B8:J8"))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80" t="str">
        <f ca="1"/>
        <v/>
      </c>
      <c r="K12" s="80" t="str">
        <f ca="1"/>
        <v/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"'!B8:J8")="", "", INDIRECT("'" &amp; $A13 &amp; "'!B8:J8"))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80" t="str">
        <f ca="1"/>
        <v/>
      </c>
      <c r="K13" s="80" t="str">
        <f ca="1"/>
        <v/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"'!B8:J8")="", "", INDIRECT("'" &amp; $A14 &amp; "'!B8:J8"))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80" t="str">
        <f ca="1"/>
        <v/>
      </c>
      <c r="K14" s="80" t="str">
        <f ca="1"/>
        <v/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"'!B8:J8")="", "", INDIRECT("'" &amp; $A15 &amp; "'!B8:J8"))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80" t="str">
        <f ca="1"/>
        <v/>
      </c>
      <c r="K15" s="80" t="str">
        <f ca="1"/>
        <v/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"'!B8:J8")="", "", INDIRECT("'" &amp; $A16 &amp; "'!B8:J8"))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80" t="str">
        <f ca="1"/>
        <v/>
      </c>
      <c r="K16" s="80" t="str">
        <f ca="1"/>
        <v/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"'!B8:J8")="", "", INDIRECT("'" &amp; $A17 &amp; "'!B8:J8"))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80" t="str">
        <f ca="1"/>
        <v/>
      </c>
      <c r="K17" s="80" t="str">
        <f ca="1"/>
        <v/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"'!B8:J8")="", "", INDIRECT("'" &amp; $A18 &amp; "'!B8:J8"))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80" t="str">
        <f ca="1"/>
        <v/>
      </c>
      <c r="K18" s="80" t="str">
        <f ca="1"/>
        <v/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"'!B8:J8")="", "", INDIRECT("'" &amp; $A19 &amp; "'!B8:J8"))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80" t="str">
        <f ca="1"/>
        <v/>
      </c>
      <c r="K19" s="80" t="str">
        <f ca="1"/>
        <v/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"'!B8:J8")="", "", INDIRECT("'" &amp; $A20 &amp; "'!B8:J8"))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80" t="str">
        <f ca="1"/>
        <v/>
      </c>
      <c r="K20" s="80" t="str">
        <f ca="1"/>
        <v/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"'!B8:J8")="", "", INDIRECT("'" &amp; $A21 &amp; "'!B8:J8"))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80" t="str">
        <f ca="1"/>
        <v/>
      </c>
      <c r="K21" s="80" t="str">
        <f ca="1"/>
        <v/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"'!B8:J8")="", "", INDIRECT("'" &amp; $A22 &amp; "'!B8:J8"))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80" t="str">
        <f ca="1"/>
        <v/>
      </c>
      <c r="K22" s="80" t="str">
        <f ca="1"/>
        <v/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"'!B8:J8")="", "", INDIRECT("'" &amp; $A23 &amp; "'!B8:J8"))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80" t="str">
        <f ca="1"/>
        <v/>
      </c>
      <c r="K23" s="80" t="str">
        <f ca="1"/>
        <v/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"'!B8:J8")="", "", INDIRECT("'" &amp; $A24 &amp; "'!B8:J8"))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80" t="str">
        <f ca="1"/>
        <v/>
      </c>
      <c r="K24" s="80" t="str">
        <f ca="1"/>
        <v/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"'!B8:J8")="", "", INDIRECT("'" &amp; $A25 &amp; "'!B8:J8"))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80" t="str">
        <f ca="1"/>
        <v/>
      </c>
      <c r="K25" s="80" t="str">
        <f ca="1"/>
        <v/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"'!B8:J8")="", "", INDIRECT("'" &amp; $A26 &amp; "'!B8:J8"))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80" t="str">
        <f ca="1"/>
        <v/>
      </c>
      <c r="K26" s="80" t="str">
        <f ca="1"/>
        <v/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"'!B8:J8")="", "", INDIRECT("'" &amp; $A27 &amp; "'!B8:J8"))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80" t="str">
        <f ca="1"/>
        <v/>
      </c>
      <c r="K27" s="80" t="str">
        <f ca="1"/>
        <v/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"'!B8:J8")="", "", INDIRECT("'" &amp; $A28 &amp; "'!B8:J8"))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80" t="str">
        <f ca="1"/>
        <v/>
      </c>
      <c r="K28" s="80" t="str">
        <f ca="1"/>
        <v/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"'!B8:J8")="", "", INDIRECT("'" &amp; $A29 &amp; "'!B8:J8"))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80" t="str">
        <f ca="1"/>
        <v/>
      </c>
      <c r="K29" s="80" t="str">
        <f ca="1"/>
        <v/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"'!B8:J8")="", "", INDIRECT("'" &amp; $A30 &amp; "'!B8:J8"))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80" t="str">
        <f ca="1"/>
        <v/>
      </c>
      <c r="K30" s="80" t="str">
        <f ca="1"/>
        <v/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"'!B8:J8")="", "", INDIRECT("'" &amp; $A31 &amp; "'!B8:J8"))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80" t="str">
        <f ca="1"/>
        <v/>
      </c>
      <c r="K31" s="80" t="str">
        <f ca="1"/>
        <v/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"'!B8:J8")="", "", INDIRECT("'" &amp; $A32 &amp; "'!B8:J8"))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80" t="str">
        <f ca="1"/>
        <v/>
      </c>
      <c r="K32" s="80" t="str">
        <f ca="1"/>
        <v/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"'!B8:J8")="", "", INDIRECT("'" &amp; $A33 &amp; "'!B8:J8"))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80" t="str">
        <f ca="1"/>
        <v/>
      </c>
      <c r="K33" s="80" t="str">
        <f ca="1"/>
        <v/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"'!B8:J8")="", "", INDIRECT("'" &amp; $A34 &amp; "'!B8:J8"))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80" t="str">
        <f ca="1"/>
        <v/>
      </c>
      <c r="K34" s="80" t="str">
        <f ca="1"/>
        <v/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"'!B8:J8")="", "", INDIRECT("'" &amp; $A35 &amp; "'!B8:J8"))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80" t="str">
        <f ca="1"/>
        <v/>
      </c>
      <c r="K35" s="80" t="str">
        <f ca="1"/>
        <v/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"'!B8:J8")="", "", INDIRECT("'" &amp; $A36 &amp; "'!B8:J8"))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80" t="str">
        <f ca="1"/>
        <v/>
      </c>
      <c r="K36" s="80" t="str">
        <f ca="1"/>
        <v/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"'!B8:J8")="", "", INDIRECT("'" &amp; $A37 &amp; "'!B8:J8"))</f>
        <v/>
      </c>
      <c r="D37" s="50" t="str">
        <f ca="1"/>
        <v/>
      </c>
      <c r="E37" s="50">
        <f ca="1"/>
        <v>0</v>
      </c>
      <c r="F37" s="51">
        <f ca="1"/>
        <v>0</v>
      </c>
      <c r="G37" s="52" t="str">
        <f ca="1"/>
        <v/>
      </c>
      <c r="H37" s="52">
        <f ca="1"/>
        <v>0</v>
      </c>
      <c r="I37" s="53">
        <f ca="1"/>
        <v>0</v>
      </c>
      <c r="J37" s="80" t="str">
        <f ca="1"/>
        <v/>
      </c>
      <c r="K37" s="80" t="str">
        <f ca="1"/>
        <v/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"'!B8:J8")="", "", INDIRECT("'" &amp; $A38 &amp; "'!B8:J8"))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80" t="str">
        <f ca="1"/>
        <v/>
      </c>
      <c r="K38" s="80" t="str">
        <f ca="1"/>
        <v/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"'!B8:J8")="", "", INDIRECT("'" &amp; $A39 &amp; "'!B8:J8"))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80" t="str">
        <f ca="1"/>
        <v/>
      </c>
      <c r="K39" s="80" t="str">
        <f ca="1"/>
        <v/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"'!B8:J8")="", "", INDIRECT("'" &amp; $A40 &amp; "'!B8:J8"))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80" t="str">
        <f ca="1"/>
        <v/>
      </c>
      <c r="K40" s="80" t="str">
        <f ca="1"/>
        <v/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"'!B8:J8")="", "", INDIRECT("'" &amp; $A41 &amp; "'!B8:J8"))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80" t="str">
        <f ca="1"/>
        <v/>
      </c>
      <c r="K41" s="80" t="str">
        <f ca="1"/>
        <v/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"'!B8:J8")="", "", INDIRECT("'" &amp; $A42 &amp; "'!B8:J8"))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80" t="str">
        <f ca="1"/>
        <v/>
      </c>
      <c r="K42" s="80" t="str">
        <f ca="1"/>
        <v/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"'!B8:J8")="", "", INDIRECT("'" &amp; $A43 &amp; "'!B8:J8"))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80" t="str">
        <f ca="1"/>
        <v/>
      </c>
      <c r="K43" s="80" t="str">
        <f ca="1"/>
        <v/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"'!B8:J8")="", "", INDIRECT("'" &amp; $A44 &amp; "'!B8:J8"))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80" t="str">
        <f ca="1"/>
        <v/>
      </c>
      <c r="K44" s="80" t="str">
        <f ca="1"/>
        <v/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"'!B8:J8")="", "", INDIRECT("'" &amp; $A45 &amp; "'!B8:J8"))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80" t="str">
        <f ca="1"/>
        <v/>
      </c>
      <c r="K45" s="80" t="str">
        <f ca="1"/>
        <v/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"'!B8:J8")="", "", INDIRECT("'" &amp; $A46 &amp; "'!B8:J8"))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80" t="str">
        <f ca="1"/>
        <v/>
      </c>
      <c r="K46" s="80" t="str">
        <f ca="1"/>
        <v/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"'!B8:J8")="", "", INDIRECT("'" &amp; $A47 &amp; "'!B8:J8"))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80" t="str">
        <f ca="1"/>
        <v/>
      </c>
      <c r="K47" s="80" t="str">
        <f ca="1"/>
        <v/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"'!B8:J8")="", "", INDIRECT("'" &amp; $A48 &amp; "'!B8:J8"))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80" t="str">
        <f ca="1"/>
        <v/>
      </c>
      <c r="K48" s="80" t="str">
        <f ca="1"/>
        <v/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"'!B8:J8")="", "", INDIRECT("'" &amp; $A49 &amp; "'!B8:J8"))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80" t="str">
        <f ca="1"/>
        <v/>
      </c>
      <c r="K49" s="80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"'!B8:J8")="", "", INDIRECT("'" &amp; $A50 &amp; "'!B8:J8"))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80" t="str">
        <f ca="1"/>
        <v/>
      </c>
      <c r="K50" s="80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"'!B8:J8")="", "", INDIRECT("'" &amp; $A51 &amp; "'!B8:J8"))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80" t="str">
        <f ca="1"/>
        <v/>
      </c>
      <c r="K51" s="80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"'!B8:J8")="", "", INDIRECT("'" &amp; $A52 &amp; "'!B8:J8"))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80" t="str">
        <f ca="1"/>
        <v/>
      </c>
      <c r="K52" s="80" t="str">
        <f ca="1"/>
        <v/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"'!B8:J8")="", "", INDIRECT("'" &amp; $A53 &amp; "'!B8:J8"))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80" t="str">
        <f ca="1"/>
        <v/>
      </c>
      <c r="K53" s="80" t="str">
        <f ca="1"/>
        <v/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"'!B8:J8")="", "", INDIRECT("'" &amp; $A54 &amp; "'!B8:J8"))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80" t="str">
        <f ca="1"/>
        <v/>
      </c>
      <c r="K54" s="80" t="str">
        <f ca="1"/>
        <v/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"'!B8:J8")="", "", INDIRECT("'" &amp; $A55 &amp; "'!B8:J8"))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80" t="str">
        <f ca="1"/>
        <v/>
      </c>
      <c r="K55" s="80" t="str">
        <f ca="1"/>
        <v/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"'!B8:J8")="", "", INDIRECT("'" &amp; $A56 &amp; "'!B8:J8"))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80" t="str">
        <f ca="1"/>
        <v/>
      </c>
      <c r="K56" s="80" t="str">
        <f ca="1"/>
        <v/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"'!B8:J8")="", "", INDIRECT("'" &amp; $A57 &amp; "'!B8:J8"))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80" t="str">
        <f ca="1"/>
        <v/>
      </c>
      <c r="K57" s="80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"'!B8:J8")="", "", INDIRECT("'" &amp; $A58 &amp; "'!B8:J8"))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80" t="str">
        <f ca="1"/>
        <v/>
      </c>
      <c r="K58" s="80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"'!B8:J8")="", "", INDIRECT("'" &amp; $A59 &amp; "'!B8:J8"))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80" t="str">
        <f ca="1"/>
        <v/>
      </c>
      <c r="K59" s="80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"'!B8:J8")="", "", INDIRECT("'" &amp; $A60 &amp; "'!B8:J8"))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80" t="str">
        <f ca="1"/>
        <v/>
      </c>
      <c r="K60" s="80" t="str">
        <f ca="1"/>
        <v/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"'!B8:J8")="", "", INDIRECT("'" &amp; $A61 &amp; "'!B8:J8"))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80" t="str">
        <f ca="1"/>
        <v/>
      </c>
      <c r="K61" s="80" t="str">
        <f ca="1"/>
        <v/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"'!B8:J8")="", "", INDIRECT("'" &amp; $A62 &amp; "'!B8:J8"))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80" t="str">
        <f ca="1"/>
        <v/>
      </c>
      <c r="K62" s="80" t="str">
        <f ca="1"/>
        <v/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"'!B8:J8")="", "", INDIRECT("'" &amp; $A63 &amp; "'!B8:J8"))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80" t="str">
        <f ca="1"/>
        <v/>
      </c>
      <c r="K63" s="80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"'!B8:J8")="", "", INDIRECT("'" &amp; $A64 &amp; "'!B8:J8"))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80" t="str">
        <f ca="1"/>
        <v/>
      </c>
      <c r="K64" s="80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"'!B8:J8")="", "", INDIRECT("'" &amp; $A65 &amp; "'!B8:J8"))</f>
        <v/>
      </c>
      <c r="D65" s="50" t="str">
        <f ca="1"/>
        <v/>
      </c>
      <c r="E65" s="50">
        <f ca="1"/>
        <v>0</v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80" t="str">
        <f ca="1"/>
        <v/>
      </c>
      <c r="K65" s="80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"'!B8:J8")="", "", INDIRECT("'" &amp; $A66 &amp; "'!B8:J8"))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80" t="str">
        <f ca="1"/>
        <v/>
      </c>
      <c r="K66" s="80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"'!B8:J8")="", "", INDIRECT("'" &amp; $A67 &amp; "'!B8:J8"))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80" t="str">
        <f ca="1"/>
        <v/>
      </c>
      <c r="K67" s="80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"'!B8:J8")="", "", INDIRECT("'" &amp; $A68 &amp; "'!B8:J8"))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80" t="str">
        <f ca="1"/>
        <v/>
      </c>
      <c r="K68" s="80" t="str">
        <f ca="1"/>
        <v/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"'!B8:J8")="", "", INDIRECT("'" &amp; $A69 &amp; "'!B8:J8"))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80" t="str">
        <f ca="1"/>
        <v/>
      </c>
      <c r="K69" s="80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"'!B8:J8")="", "", INDIRECT("'" &amp; $A70 &amp; "'!B8:J8"))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80" t="str">
        <f ca="1"/>
        <v/>
      </c>
      <c r="K70" s="80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"'!B8:J8")="", "", INDIRECT("'" &amp; $A71 &amp; "'!B8:J8"))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80" t="str">
        <f ca="1"/>
        <v/>
      </c>
      <c r="K71" s="80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"'!B8:J8")="", "", INDIRECT("'" &amp; $A72 &amp; "'!B8:J8"))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80" t="str">
        <f ca="1"/>
        <v/>
      </c>
      <c r="K72" s="80" t="str">
        <f ca="1"/>
        <v/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"'!B8:J8")="", "", INDIRECT("'" &amp; $A73 &amp; "'!B8:J8"))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80" t="str">
        <f ca="1"/>
        <v/>
      </c>
      <c r="K73" s="80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"'!B8:J8")="", "", INDIRECT("'" &amp; $A74 &amp; "'!B8:J8"))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80" t="str">
        <f ca="1"/>
        <v/>
      </c>
      <c r="K74" s="80" t="str">
        <f ca="1"/>
        <v/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"'!B8:J8")="", "", INDIRECT("'" &amp; $A75 &amp; "'!B8:J8"))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80" t="str">
        <f ca="1"/>
        <v/>
      </c>
      <c r="K75" s="80" t="str">
        <f ca="1"/>
        <v/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"'!B8:J8")="", "", INDIRECT("'" &amp; $A76 &amp; "'!B8:J8"))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80" t="str">
        <f ca="1"/>
        <v/>
      </c>
      <c r="K76" s="80" t="str">
        <f ca="1"/>
        <v/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"'!B8:J8")="", "", INDIRECT("'" &amp; $A77 &amp; "'!B8:J8"))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80" t="str">
        <f ca="1"/>
        <v/>
      </c>
      <c r="K77" s="80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"'!B8:J8")="", "", INDIRECT("'" &amp; $A78 &amp; "'!B8:J8"))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80" t="str">
        <f ca="1"/>
        <v/>
      </c>
      <c r="K78" s="80" t="str">
        <f ca="1"/>
        <v/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"'!B8:J8")="", "", INDIRECT("'" &amp; $A79 &amp; "'!B8:J8"))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80" t="str">
        <f ca="1"/>
        <v/>
      </c>
      <c r="K79" s="80" t="str">
        <f ca="1"/>
        <v/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"'!B8:J8")="", "", INDIRECT("'" &amp; $A80 &amp; "'!B8:J8"))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80" t="str">
        <f ca="1"/>
        <v/>
      </c>
      <c r="K80" s="80" t="str">
        <f ca="1"/>
        <v/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"'!B8:J8")="", "", INDIRECT("'" &amp; $A81 &amp; "'!B8:J8"))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80" t="str">
        <f ca="1"/>
        <v/>
      </c>
      <c r="K81" s="80" t="str">
        <f ca="1"/>
        <v/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"'!B8:J8")="", "", INDIRECT("'" &amp; $A82 &amp; "'!B8:J8"))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80" t="str">
        <f ca="1"/>
        <v/>
      </c>
      <c r="K82" s="80" t="str">
        <f ca="1"/>
        <v/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"'!B8:J8")="", "", INDIRECT("'" &amp; $A83 &amp; "'!B8:J8"))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80" t="str">
        <f ca="1"/>
        <v/>
      </c>
      <c r="K83" s="80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"'!B8:J8")="", "", INDIRECT("'" &amp; $A84 &amp; "'!B8:J8"))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80" t="str">
        <f ca="1"/>
        <v/>
      </c>
      <c r="K84" s="80" t="str">
        <f ca="1"/>
        <v/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"'!B8:J8")="", "", INDIRECT("'" &amp; $A85 &amp; "'!B8:J8"))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80" t="str">
        <f ca="1"/>
        <v/>
      </c>
      <c r="K85" s="80" t="str">
        <f ca="1"/>
        <v/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"'!B8:J8")="", "", INDIRECT("'" &amp; $A86 &amp; "'!B8:J8"))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80" t="str">
        <f ca="1"/>
        <v/>
      </c>
      <c r="K86" s="80" t="str">
        <f ca="1"/>
        <v/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"'!B8:J8")="", "", INDIRECT("'" &amp; $A87 &amp; "'!B8:J8"))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80" t="str">
        <f ca="1"/>
        <v/>
      </c>
      <c r="K87" s="80" t="str">
        <f ca="1"/>
        <v/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"'!B8:J8")="", "", INDIRECT("'" &amp; $A88 &amp; "'!B8:J8"))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80" t="str">
        <f ca="1"/>
        <v/>
      </c>
      <c r="K88" s="80" t="str">
        <f ca="1"/>
        <v/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"'!B8:J8")="", "", INDIRECT("'" &amp; $A89 &amp; "'!B8:J8"))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80" t="str">
        <f ca="1"/>
        <v/>
      </c>
      <c r="K89" s="80" t="str">
        <f ca="1"/>
        <v/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"'!B8:J8")="", "", INDIRECT("'" &amp; $A90 &amp; "'!B8:J8"))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80" t="str">
        <f ca="1"/>
        <v/>
      </c>
      <c r="K90" s="80" t="str">
        <f ca="1"/>
        <v/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"'!B8:J8")="", "", INDIRECT("'" &amp; $A91 &amp; "'!B8:J8"))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80" t="str">
        <f ca="1"/>
        <v/>
      </c>
      <c r="K91" s="80" t="str">
        <f ca="1"/>
        <v/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"'!B8:J8")="", "", INDIRECT("'" &amp; $A92 &amp; "'!B8:J8"))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80" t="str">
        <f ca="1"/>
        <v/>
      </c>
      <c r="K92" s="80" t="str">
        <f ca="1"/>
        <v/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"'!B8:J8")="", "", INDIRECT("'" &amp; $A93 &amp; "'!B8:J8"))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80" t="str">
        <f ca="1"/>
        <v/>
      </c>
      <c r="K93" s="80" t="str">
        <f ca="1"/>
        <v/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"'!B8:J8")="", "", INDIRECT("'" &amp; $A94 &amp; "'!B8:J8"))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80" t="str">
        <f ca="1"/>
        <v/>
      </c>
      <c r="K94" s="80" t="str">
        <f ca="1"/>
        <v/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"'!B8:J8")="", "", INDIRECT("'" &amp; $A95 &amp; "'!B8:J8"))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80" t="str">
        <f ca="1"/>
        <v/>
      </c>
      <c r="K95" s="80" t="str">
        <f ca="1"/>
        <v/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"'!B8:J8")="", "", INDIRECT("'" &amp; $A96 &amp; "'!B8:J8"))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80" t="str">
        <f ca="1"/>
        <v/>
      </c>
      <c r="K96" s="80" t="str">
        <f ca="1"/>
        <v/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"'!B8:J8")="", "", INDIRECT("'" &amp; $A97 &amp; "'!B8:J8"))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80" t="str">
        <f ca="1"/>
        <v/>
      </c>
      <c r="K97" s="80" t="str">
        <f ca="1"/>
        <v/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"'!B8:J8")="", "", INDIRECT("'" &amp; $A98 &amp; "'!B8:J8"))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80" t="str">
        <f ca="1"/>
        <v/>
      </c>
      <c r="K98" s="80" t="str">
        <f ca="1"/>
        <v/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"'!B8:J8")="", "", INDIRECT("'" &amp; $A99 &amp; "'!B8:J8"))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80" t="str">
        <f ca="1"/>
        <v/>
      </c>
      <c r="K99" s="80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"'!B8:J8")="", "", INDIRECT("'" &amp; $A100 &amp; "'!B8:J8"))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80" t="str">
        <f ca="1"/>
        <v/>
      </c>
      <c r="K100" s="80" t="str">
        <f ca="1"/>
        <v/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"'!B8:J8")="", "", INDIRECT("'" &amp; $A101 &amp; "'!B8:J8"))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80" t="str">
        <f ca="1"/>
        <v/>
      </c>
      <c r="K101" s="80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"'!B8:J8")="", "", INDIRECT("'" &amp; $A102 &amp; "'!B8:J8"))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80" t="str">
        <f ca="1"/>
        <v/>
      </c>
      <c r="K102" s="80" t="str">
        <f ca="1"/>
        <v/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"'!B8:J8")="", "", INDIRECT("'" &amp; $A103 &amp; "'!B8:J8"))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80" t="str">
        <f ca="1"/>
        <v/>
      </c>
      <c r="K103" s="80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"'!B8:J8")="", "", INDIRECT("'" &amp; $A104 &amp; "'!B8:J8"))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80" t="str">
        <f ca="1"/>
        <v/>
      </c>
      <c r="K104" s="80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"'!B8:J8")="", "", INDIRECT("'" &amp; $A105 &amp; "'!B8:J8"))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80" t="str">
        <f ca="1"/>
        <v/>
      </c>
      <c r="K105" s="80" t="str">
        <f ca="1"/>
        <v/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"'!B8:J8")="", "", INDIRECT("'" &amp; $A106 &amp; "'!B8:J8"))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80" t="str">
        <f ca="1"/>
        <v/>
      </c>
      <c r="K106" s="80" t="str">
        <f ca="1"/>
        <v/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"'!B8:J8")="", "", INDIRECT("'" &amp; $A107 &amp; "'!B8:J8"))</f>
        <v/>
      </c>
      <c r="D107" s="50" t="str">
        <f ca="1"/>
        <v/>
      </c>
      <c r="E107" s="50">
        <f ca="1"/>
        <v>0</v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80" t="str">
        <f ca="1"/>
        <v/>
      </c>
      <c r="K107" s="80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"'!B8:J8")="", "", INDIRECT("'" &amp; $A108 &amp; "'!B8:J8"))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80" t="str">
        <f ca="1"/>
        <v/>
      </c>
      <c r="K108" s="80" t="str">
        <f ca="1"/>
        <v/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"'!B8:J8")="", "", INDIRECT("'" &amp; $A109 &amp; "'!B8:J8"))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80" t="str">
        <f ca="1"/>
        <v/>
      </c>
      <c r="K109" s="80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"'!B8:J8")="", "", INDIRECT("'" &amp; $A110 &amp; "'!B8:J8"))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80" t="str">
        <f ca="1"/>
        <v/>
      </c>
      <c r="K110" s="80" t="str">
        <f ca="1"/>
        <v/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"'!B8:J8")="", "", INDIRECT("'" &amp; $A111 &amp; "'!B8:J8"))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80" t="str">
        <f ca="1"/>
        <v/>
      </c>
      <c r="K111" s="80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"'!B8:J8")="", "", INDIRECT("'" &amp; $A112 &amp; "'!B8:J8"))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80" t="str">
        <f ca="1"/>
        <v/>
      </c>
      <c r="K112" s="80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"'!B8:J8")="", "", INDIRECT("'" &amp; $A113 &amp; "'!B8:J8"))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80" t="str">
        <f ca="1"/>
        <v/>
      </c>
      <c r="K113" s="80" t="str">
        <f ca="1"/>
        <v/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"'!B8:J8")="", "", INDIRECT("'" &amp; $A114 &amp; "'!B8:J8"))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80" t="str">
        <f ca="1"/>
        <v/>
      </c>
      <c r="K114" s="80" t="str">
        <f ca="1"/>
        <v/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"'!B8:J8")="", "", INDIRECT("'" &amp; $A115 &amp; "'!B8:J8"))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80" t="str">
        <f ca="1"/>
        <v/>
      </c>
      <c r="K115" s="80" t="str">
        <f ca="1"/>
        <v/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"'!B8:J8")="", "", INDIRECT("'" &amp; $A116 &amp; "'!B8:J8"))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80" t="str">
        <f ca="1"/>
        <v/>
      </c>
      <c r="K116" s="80" t="str">
        <f ca="1"/>
        <v/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"'!B8:J8")="", "", INDIRECT("'" &amp; $A117 &amp; "'!B8:J8"))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80" t="str">
        <f ca="1"/>
        <v/>
      </c>
      <c r="K117" s="80" t="str">
        <f ca="1"/>
        <v/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"'!B8:J8")="", "", INDIRECT("'" &amp; $A118 &amp; "'!B8:J8"))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80" t="str">
        <f ca="1"/>
        <v/>
      </c>
      <c r="K118" s="80" t="str">
        <f ca="1"/>
        <v/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"'!B8:J8")="", "", INDIRECT("'" &amp; $A119 &amp; "'!B8:J8"))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80" t="str">
        <f ca="1"/>
        <v/>
      </c>
      <c r="K119" s="80" t="str">
        <f ca="1"/>
        <v/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"'!B8:J8")="", "", INDIRECT("'" &amp; $A120 &amp; "'!B8:J8"))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80" t="str">
        <f ca="1"/>
        <v/>
      </c>
      <c r="K120" s="80" t="str">
        <f ca="1"/>
        <v/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"'!B8:J8")="", "", INDIRECT("'" &amp; $A121 &amp; "'!B8:J8"))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80" t="str">
        <f ca="1"/>
        <v/>
      </c>
      <c r="K121" s="80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"'!B8:J8")="", "", INDIRECT("'" &amp; $A122 &amp; "'!B8:J8"))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80" t="str">
        <f ca="1"/>
        <v/>
      </c>
      <c r="K122" s="80" t="str">
        <f ca="1"/>
        <v/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"'!B8:J8")="", "", INDIRECT("'" &amp; $A123 &amp; "'!B8:J8"))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80" t="str">
        <f ca="1"/>
        <v/>
      </c>
      <c r="K123" s="80" t="str">
        <f ca="1"/>
        <v/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"'!B8:J8")="", "", INDIRECT("'" &amp; $A124 &amp; "'!B8:J8"))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80" t="str">
        <f ca="1"/>
        <v/>
      </c>
      <c r="K124" s="80" t="str">
        <f ca="1"/>
        <v/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"'!B8:J8")="", "", INDIRECT("'" &amp; $A125 &amp; "'!B8:J8"))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80" t="str">
        <f ca="1"/>
        <v/>
      </c>
      <c r="K125" s="80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"'!B8:J8")="", "", INDIRECT("'" &amp; $A126 &amp; "'!B8:J8"))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80" t="str">
        <f ca="1"/>
        <v/>
      </c>
      <c r="K126" s="80" t="str">
        <f ca="1"/>
        <v/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"'!B8:J8")="", "", INDIRECT("'" &amp; $A127 &amp; "'!B8:J8"))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80" t="str">
        <f ca="1"/>
        <v/>
      </c>
      <c r="K127" s="80" t="str">
        <f ca="1"/>
        <v/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"'!B8:J8")="", "", INDIRECT("'" &amp; $A128 &amp; "'!B8:J8"))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80" t="str">
        <f ca="1"/>
        <v/>
      </c>
      <c r="K128" s="80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"'!B8:J8")="", "", INDIRECT("'" &amp; $A129 &amp; "'!B8:J8"))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80" t="str">
        <f ca="1"/>
        <v/>
      </c>
      <c r="K129" s="80" t="str">
        <f ca="1"/>
        <v/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"'!B8:J8")="", "", INDIRECT("'" &amp; $A130 &amp; "'!B8:J8"))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80" t="str">
        <f ca="1"/>
        <v/>
      </c>
      <c r="K130" s="80" t="str">
        <f ca="1"/>
        <v/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"'!B8:J8")="", "", INDIRECT("'" &amp; $A131 &amp; "'!B8:J8"))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80" t="str">
        <f ca="1"/>
        <v/>
      </c>
      <c r="K131" s="80" t="str">
        <f ca="1"/>
        <v/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"'!B8:J8")="", "", INDIRECT("'" &amp; $A132 &amp; "'!B8:J8"))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80" t="str">
        <f ca="1"/>
        <v/>
      </c>
      <c r="K132" s="80" t="str">
        <f ca="1"/>
        <v/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"'!B8:J8")="", "", INDIRECT("'" &amp; $A133 &amp; "'!B8:J8"))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80" t="str">
        <f ca="1"/>
        <v/>
      </c>
      <c r="K133" s="80" t="str">
        <f ca="1"/>
        <v/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"'!B8:J8")="", "", INDIRECT("'" &amp; $A134 &amp; "'!B8:J8"))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80" t="str">
        <f ca="1"/>
        <v/>
      </c>
      <c r="K134" s="80" t="str">
        <f ca="1"/>
        <v/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"'!B8:J8")="", "", INDIRECT("'" &amp; $A135 &amp; "'!B8:J8"))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80" t="str">
        <f ca="1"/>
        <v/>
      </c>
      <c r="K135" s="80" t="str">
        <f ca="1"/>
        <v/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"'!B8:J8")="", "", INDIRECT("'" &amp; $A136 &amp; "'!B8:J8"))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80" t="str">
        <f ca="1"/>
        <v/>
      </c>
      <c r="K136" s="80" t="str">
        <f ca="1"/>
        <v/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9CEFA865-F03F-435F-98CB-83683B1083B8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76" priority="1" operator="lessThanOrEqual">
      <formula>-0.1</formula>
    </cfRule>
    <cfRule type="cellIs" dxfId="2175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42"/>
  <sheetViews>
    <sheetView workbookViewId="0">
      <pane ySplit="2" topLeftCell="A106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30</v>
      </c>
      <c r="D1" s="170"/>
      <c r="E1" s="170"/>
      <c r="F1" s="170"/>
      <c r="G1" s="171" t="s">
        <v>31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"'!B9:J9")="", "", INDIRECT("'" &amp; $A3 &amp; "'!B9:J9"))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80" t="str">
        <f ca="1"/>
        <v/>
      </c>
      <c r="K3" s="80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"'!B9:J9")="", "", INDIRECT("'" &amp; $A4 &amp; "'!B9:J9"))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80" t="str">
        <f ca="1"/>
        <v/>
      </c>
      <c r="K4" s="80" t="str">
        <f ca="1"/>
        <v/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"'!B9:J9")="", "", INDIRECT("'" &amp; $A5 &amp; "'!B9:J9"))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"'!B9:J9")="", "", INDIRECT("'" &amp; $A6 &amp; "'!B9:J9"))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80" t="str">
        <f ca="1"/>
        <v/>
      </c>
      <c r="K6" s="80" t="str">
        <f ca="1"/>
        <v/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"'!B9:J9")="", "", INDIRECT("'" &amp; $A7 &amp; "'!B9:J9"))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80" t="str">
        <f ca="1"/>
        <v/>
      </c>
      <c r="K7" s="80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"'!B9:J9")="", "", INDIRECT("'" &amp; $A8 &amp; "'!B9:J9"))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80" t="str">
        <f ca="1"/>
        <v/>
      </c>
      <c r="K8" s="80" t="str">
        <f ca="1"/>
        <v/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"'!B9:J9")="", "", INDIRECT("'" &amp; $A9 &amp; "'!B9:J9"))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80" t="str">
        <f ca="1"/>
        <v/>
      </c>
      <c r="K9" s="80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"'!B9:J9")="", "", INDIRECT("'" &amp; $A10 &amp; "'!B9:J9"))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80" t="str">
        <f ca="1"/>
        <v/>
      </c>
      <c r="K10" s="80" t="str">
        <f ca="1"/>
        <v/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"'!B9:J9")="", "", INDIRECT("'" &amp; $A11 &amp; "'!B9:J9"))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80" t="str">
        <f ca="1"/>
        <v/>
      </c>
      <c r="K11" s="80" t="str">
        <f ca="1"/>
        <v/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"'!B9:J9")="", "", INDIRECT("'" &amp; $A12 &amp; "'!B9:J9"))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80" t="str">
        <f ca="1"/>
        <v/>
      </c>
      <c r="K12" s="80" t="str">
        <f ca="1"/>
        <v/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"'!B9:J9")="", "", INDIRECT("'" &amp; $A13 &amp; "'!B9:J9"))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80" t="str">
        <f ca="1"/>
        <v/>
      </c>
      <c r="K13" s="80" t="str">
        <f ca="1"/>
        <v/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"'!B9:J9")="", "", INDIRECT("'" &amp; $A14 &amp; "'!B9:J9"))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80" t="str">
        <f ca="1"/>
        <v/>
      </c>
      <c r="K14" s="80" t="str">
        <f ca="1"/>
        <v/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"'!B9:J9")="", "", INDIRECT("'" &amp; $A15 &amp; "'!B9:J9"))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80" t="str">
        <f ca="1"/>
        <v/>
      </c>
      <c r="K15" s="80" t="str">
        <f ca="1"/>
        <v/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"'!B9:J9")="", "", INDIRECT("'" &amp; $A16 &amp; "'!B9:J9"))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80" t="str">
        <f ca="1"/>
        <v/>
      </c>
      <c r="K16" s="80" t="str">
        <f ca="1"/>
        <v/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"'!B9:J9")="", "", INDIRECT("'" &amp; $A17 &amp; "'!B9:J9"))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80" t="str">
        <f ca="1"/>
        <v/>
      </c>
      <c r="K17" s="80" t="str">
        <f ca="1"/>
        <v/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"'!B9:J9")="", "", INDIRECT("'" &amp; $A18 &amp; "'!B9:J9"))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80" t="str">
        <f ca="1"/>
        <v/>
      </c>
      <c r="K18" s="80" t="str">
        <f ca="1"/>
        <v/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"'!B9:J9")="", "", INDIRECT("'" &amp; $A19 &amp; "'!B9:J9"))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80" t="str">
        <f ca="1"/>
        <v/>
      </c>
      <c r="K19" s="80" t="str">
        <f ca="1"/>
        <v/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"'!B9:J9")="", "", INDIRECT("'" &amp; $A20 &amp; "'!B9:J9"))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80" t="str">
        <f ca="1"/>
        <v/>
      </c>
      <c r="K20" s="80" t="str">
        <f ca="1"/>
        <v/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"'!B9:J9")="", "", INDIRECT("'" &amp; $A21 &amp; "'!B9:J9"))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80" t="str">
        <f ca="1"/>
        <v/>
      </c>
      <c r="K21" s="80" t="str">
        <f ca="1"/>
        <v/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"'!B9:J9")="", "", INDIRECT("'" &amp; $A22 &amp; "'!B9:J9"))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80" t="str">
        <f ca="1"/>
        <v/>
      </c>
      <c r="K22" s="80" t="str">
        <f ca="1"/>
        <v/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"'!B9:J9")="", "", INDIRECT("'" &amp; $A23 &amp; "'!B9:J9"))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80" t="str">
        <f ca="1"/>
        <v/>
      </c>
      <c r="K23" s="80" t="str">
        <f ca="1"/>
        <v/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"'!B9:J9")="", "", INDIRECT("'" &amp; $A24 &amp; "'!B9:J9"))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80" t="str">
        <f ca="1"/>
        <v/>
      </c>
      <c r="K24" s="80" t="str">
        <f ca="1"/>
        <v/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"'!B9:J9")="", "", INDIRECT("'" &amp; $A25 &amp; "'!B9:J9"))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80" t="str">
        <f ca="1"/>
        <v/>
      </c>
      <c r="K25" s="80" t="str">
        <f ca="1"/>
        <v/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"'!B9:J9")="", "", INDIRECT("'" &amp; $A26 &amp; "'!B9:J9"))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80" t="str">
        <f ca="1"/>
        <v/>
      </c>
      <c r="K26" s="80" t="str">
        <f ca="1"/>
        <v/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"'!B9:J9")="", "", INDIRECT("'" &amp; $A27 &amp; "'!B9:J9"))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80" t="str">
        <f ca="1"/>
        <v/>
      </c>
      <c r="K27" s="80" t="str">
        <f ca="1"/>
        <v/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"'!B9:J9")="", "", INDIRECT("'" &amp; $A28 &amp; "'!B9:J9"))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80" t="str">
        <f ca="1"/>
        <v/>
      </c>
      <c r="K28" s="80" t="str">
        <f ca="1"/>
        <v/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"'!B9:J9")="", "", INDIRECT("'" &amp; $A29 &amp; "'!B9:J9"))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80" t="str">
        <f ca="1"/>
        <v/>
      </c>
      <c r="K29" s="80" t="str">
        <f ca="1"/>
        <v/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"'!B9:J9")="", "", INDIRECT("'" &amp; $A30 &amp; "'!B9:J9"))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80" t="str">
        <f ca="1"/>
        <v/>
      </c>
      <c r="K30" s="80" t="str">
        <f ca="1"/>
        <v/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"'!B9:J9")="", "", INDIRECT("'" &amp; $A31 &amp; "'!B9:J9"))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80" t="str">
        <f ca="1"/>
        <v/>
      </c>
      <c r="K31" s="80" t="str">
        <f ca="1"/>
        <v/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"'!B9:J9")="", "", INDIRECT("'" &amp; $A32 &amp; "'!B9:J9"))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80" t="str">
        <f ca="1"/>
        <v/>
      </c>
      <c r="K32" s="80" t="str">
        <f ca="1"/>
        <v/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"'!B9:J9")="", "", INDIRECT("'" &amp; $A33 &amp; "'!B9:J9"))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80" t="str">
        <f ca="1"/>
        <v/>
      </c>
      <c r="K33" s="80" t="str">
        <f ca="1"/>
        <v/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"'!B9:J9")="", "", INDIRECT("'" &amp; $A34 &amp; "'!B9:J9"))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80" t="str">
        <f ca="1"/>
        <v/>
      </c>
      <c r="K34" s="80" t="str">
        <f ca="1"/>
        <v/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"'!B9:J9")="", "", INDIRECT("'" &amp; $A35 &amp; "'!B9:J9"))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80" t="str">
        <f ca="1"/>
        <v/>
      </c>
      <c r="K35" s="80" t="str">
        <f ca="1"/>
        <v/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"'!B9:J9")="", "", INDIRECT("'" &amp; $A36 &amp; "'!B9:J9"))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80" t="str">
        <f ca="1"/>
        <v/>
      </c>
      <c r="K36" s="80" t="str">
        <f ca="1"/>
        <v/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"'!B9:J9")="", "", INDIRECT("'" &amp; $A37 &amp; "'!B9:J9"))</f>
        <v/>
      </c>
      <c r="D37" s="50" t="str">
        <f ca="1"/>
        <v/>
      </c>
      <c r="E37" s="50">
        <f ca="1"/>
        <v>0</v>
      </c>
      <c r="F37" s="51">
        <f ca="1"/>
        <v>0</v>
      </c>
      <c r="G37" s="52" t="str">
        <f ca="1"/>
        <v/>
      </c>
      <c r="H37" s="52">
        <f ca="1"/>
        <v>0</v>
      </c>
      <c r="I37" s="53">
        <f ca="1"/>
        <v>0</v>
      </c>
      <c r="J37" s="80" t="str">
        <f ca="1"/>
        <v/>
      </c>
      <c r="K37" s="80" t="str">
        <f ca="1"/>
        <v/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"'!B9:J9")="", "", INDIRECT("'" &amp; $A38 &amp; "'!B9:J9"))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80" t="str">
        <f ca="1"/>
        <v/>
      </c>
      <c r="K38" s="80" t="str">
        <f ca="1"/>
        <v/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"'!B9:J9")="", "", INDIRECT("'" &amp; $A39 &amp; "'!B9:J9"))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80" t="str">
        <f ca="1"/>
        <v/>
      </c>
      <c r="K39" s="80" t="str">
        <f ca="1"/>
        <v/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"'!B9:J9")="", "", INDIRECT("'" &amp; $A40 &amp; "'!B9:J9"))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80" t="str">
        <f ca="1"/>
        <v/>
      </c>
      <c r="K40" s="80" t="str">
        <f ca="1"/>
        <v/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"'!B9:J9")="", "", INDIRECT("'" &amp; $A41 &amp; "'!B9:J9"))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80" t="str">
        <f ca="1"/>
        <v/>
      </c>
      <c r="K41" s="80" t="str">
        <f ca="1"/>
        <v/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"'!B9:J9")="", "", INDIRECT("'" &amp; $A42 &amp; "'!B9:J9"))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80" t="str">
        <f ca="1"/>
        <v/>
      </c>
      <c r="K42" s="80" t="str">
        <f ca="1"/>
        <v/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"'!B9:J9")="", "", INDIRECT("'" &amp; $A43 &amp; "'!B9:J9"))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80" t="str">
        <f ca="1"/>
        <v/>
      </c>
      <c r="K43" s="80" t="str">
        <f ca="1"/>
        <v/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"'!B9:J9")="", "", INDIRECT("'" &amp; $A44 &amp; "'!B9:J9"))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80" t="str">
        <f ca="1"/>
        <v/>
      </c>
      <c r="K44" s="80" t="str">
        <f ca="1"/>
        <v/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"'!B9:J9")="", "", INDIRECT("'" &amp; $A45 &amp; "'!B9:J9"))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80" t="str">
        <f ca="1"/>
        <v/>
      </c>
      <c r="K45" s="80" t="str">
        <f ca="1"/>
        <v/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"'!B9:J9")="", "", INDIRECT("'" &amp; $A46 &amp; "'!B9:J9"))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80" t="str">
        <f ca="1"/>
        <v/>
      </c>
      <c r="K46" s="80" t="str">
        <f ca="1"/>
        <v/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"'!B9:J9")="", "", INDIRECT("'" &amp; $A47 &amp; "'!B9:J9"))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80" t="str">
        <f ca="1"/>
        <v/>
      </c>
      <c r="K47" s="80" t="str">
        <f ca="1"/>
        <v/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"'!B9:J9")="", "", INDIRECT("'" &amp; $A48 &amp; "'!B9:J9"))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80" t="str">
        <f ca="1"/>
        <v/>
      </c>
      <c r="K48" s="80" t="str">
        <f ca="1"/>
        <v/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"'!B9:J9")="", "", INDIRECT("'" &amp; $A49 &amp; "'!B9:J9"))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80" t="str">
        <f ca="1"/>
        <v/>
      </c>
      <c r="K49" s="80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"'!B9:J9")="", "", INDIRECT("'" &amp; $A50 &amp; "'!B9:J9"))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80" t="str">
        <f ca="1"/>
        <v/>
      </c>
      <c r="K50" s="80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"'!B9:J9")="", "", INDIRECT("'" &amp; $A51 &amp; "'!B9:J9"))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80" t="str">
        <f ca="1"/>
        <v/>
      </c>
      <c r="K51" s="80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"'!B9:J9")="", "", INDIRECT("'" &amp; $A52 &amp; "'!B9:J9"))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80" t="str">
        <f ca="1"/>
        <v/>
      </c>
      <c r="K52" s="80" t="str">
        <f ca="1"/>
        <v/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"'!B9:J9")="", "", INDIRECT("'" &amp; $A53 &amp; "'!B9:J9"))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80" t="str">
        <f ca="1"/>
        <v/>
      </c>
      <c r="K53" s="80" t="str">
        <f ca="1"/>
        <v/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"'!B9:J9")="", "", INDIRECT("'" &amp; $A54 &amp; "'!B9:J9"))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80" t="str">
        <f ca="1"/>
        <v/>
      </c>
      <c r="K54" s="80" t="str">
        <f ca="1"/>
        <v/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"'!B9:J9")="", "", INDIRECT("'" &amp; $A55 &amp; "'!B9:J9"))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80" t="str">
        <f ca="1"/>
        <v/>
      </c>
      <c r="K55" s="80" t="str">
        <f ca="1"/>
        <v/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"'!B9:J9")="", "", INDIRECT("'" &amp; $A56 &amp; "'!B9:J9"))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80" t="str">
        <f ca="1"/>
        <v/>
      </c>
      <c r="K56" s="80" t="str">
        <f ca="1"/>
        <v/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"'!B9:J9")="", "", INDIRECT("'" &amp; $A57 &amp; "'!B9:J9"))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80" t="str">
        <f ca="1"/>
        <v/>
      </c>
      <c r="K57" s="80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"'!B9:J9")="", "", INDIRECT("'" &amp; $A58 &amp; "'!B9:J9"))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80" t="str">
        <f ca="1"/>
        <v/>
      </c>
      <c r="K58" s="80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"'!B9:J9")="", "", INDIRECT("'" &amp; $A59 &amp; "'!B9:J9"))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80" t="str">
        <f ca="1"/>
        <v/>
      </c>
      <c r="K59" s="80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"'!B9:J9")="", "", INDIRECT("'" &amp; $A60 &amp; "'!B9:J9"))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80" t="str">
        <f ca="1"/>
        <v/>
      </c>
      <c r="K60" s="80" t="str">
        <f ca="1"/>
        <v/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"'!B9:J9")="", "", INDIRECT("'" &amp; $A61 &amp; "'!B9:J9"))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80" t="str">
        <f ca="1"/>
        <v/>
      </c>
      <c r="K61" s="80" t="str">
        <f ca="1"/>
        <v/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"'!B9:J9")="", "", INDIRECT("'" &amp; $A62 &amp; "'!B9:J9"))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80" t="str">
        <f ca="1"/>
        <v/>
      </c>
      <c r="K62" s="80" t="str">
        <f ca="1"/>
        <v/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"'!B9:J9")="", "", INDIRECT("'" &amp; $A63 &amp; "'!B9:J9"))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80" t="str">
        <f ca="1"/>
        <v/>
      </c>
      <c r="K63" s="80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"'!B9:J9")="", "", INDIRECT("'" &amp; $A64 &amp; "'!B9:J9"))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80" t="str">
        <f ca="1"/>
        <v/>
      </c>
      <c r="K64" s="80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"'!B9:J9")="", "", INDIRECT("'" &amp; $A65 &amp; "'!B9:J9"))</f>
        <v/>
      </c>
      <c r="D65" s="50" t="str">
        <f ca="1"/>
        <v/>
      </c>
      <c r="E65" s="50">
        <f ca="1"/>
        <v>0</v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80" t="str">
        <f ca="1"/>
        <v/>
      </c>
      <c r="K65" s="80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"'!B9:J9")="", "", INDIRECT("'" &amp; $A66 &amp; "'!B9:J9"))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80" t="str">
        <f ca="1"/>
        <v/>
      </c>
      <c r="K66" s="80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"'!B9:J9")="", "", INDIRECT("'" &amp; $A67 &amp; "'!B9:J9"))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80" t="str">
        <f ca="1"/>
        <v/>
      </c>
      <c r="K67" s="80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"'!B9:J9")="", "", INDIRECT("'" &amp; $A68 &amp; "'!B9:J9"))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80" t="str">
        <f ca="1"/>
        <v/>
      </c>
      <c r="K68" s="80" t="str">
        <f ca="1"/>
        <v/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"'!B9:J9")="", "", INDIRECT("'" &amp; $A69 &amp; "'!B9:J9"))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80" t="str">
        <f ca="1"/>
        <v/>
      </c>
      <c r="K69" s="80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"'!B9:J9")="", "", INDIRECT("'" &amp; $A70 &amp; "'!B9:J9"))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80" t="str">
        <f ca="1"/>
        <v/>
      </c>
      <c r="K70" s="80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"'!B9:J9")="", "", INDIRECT("'" &amp; $A71 &amp; "'!B9:J9"))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80" t="str">
        <f ca="1"/>
        <v/>
      </c>
      <c r="K71" s="80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"'!B9:J9")="", "", INDIRECT("'" &amp; $A72 &amp; "'!B9:J9"))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80" t="str">
        <f ca="1"/>
        <v/>
      </c>
      <c r="K72" s="80" t="str">
        <f ca="1"/>
        <v/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"'!B9:J9")="", "", INDIRECT("'" &amp; $A73 &amp; "'!B9:J9"))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80" t="str">
        <f ca="1"/>
        <v/>
      </c>
      <c r="K73" s="80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"'!B9:J9")="", "", INDIRECT("'" &amp; $A74 &amp; "'!B9:J9"))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80" t="str">
        <f ca="1"/>
        <v/>
      </c>
      <c r="K74" s="80" t="str">
        <f ca="1"/>
        <v/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"'!B9:J9")="", "", INDIRECT("'" &amp; $A75 &amp; "'!B9:J9"))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80" t="str">
        <f ca="1"/>
        <v/>
      </c>
      <c r="K75" s="80" t="str">
        <f ca="1"/>
        <v/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"'!B9:J9")="", "", INDIRECT("'" &amp; $A76 &amp; "'!B9:J9"))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80" t="str">
        <f ca="1"/>
        <v/>
      </c>
      <c r="K76" s="80" t="str">
        <f ca="1"/>
        <v/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"'!B9:J9")="", "", INDIRECT("'" &amp; $A77 &amp; "'!B9:J9"))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80" t="str">
        <f ca="1"/>
        <v/>
      </c>
      <c r="K77" s="80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"'!B9:J9")="", "", INDIRECT("'" &amp; $A78 &amp; "'!B9:J9"))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80" t="str">
        <f ca="1"/>
        <v/>
      </c>
      <c r="K78" s="80" t="str">
        <f ca="1"/>
        <v/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"'!B9:J9")="", "", INDIRECT("'" &amp; $A79 &amp; "'!B9:J9"))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80" t="str">
        <f ca="1"/>
        <v/>
      </c>
      <c r="K79" s="80" t="str">
        <f ca="1"/>
        <v/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"'!B9:J9")="", "", INDIRECT("'" &amp; $A80 &amp; "'!B9:J9"))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80" t="str">
        <f ca="1"/>
        <v/>
      </c>
      <c r="K80" s="80" t="str">
        <f ca="1"/>
        <v/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"'!B9:J9")="", "", INDIRECT("'" &amp; $A81 &amp; "'!B9:J9"))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80" t="str">
        <f ca="1"/>
        <v/>
      </c>
      <c r="K81" s="80" t="str">
        <f ca="1"/>
        <v/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"'!B9:J9")="", "", INDIRECT("'" &amp; $A82 &amp; "'!B9:J9"))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80" t="str">
        <f ca="1"/>
        <v/>
      </c>
      <c r="K82" s="80" t="str">
        <f ca="1"/>
        <v/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"'!B9:J9")="", "", INDIRECT("'" &amp; $A83 &amp; "'!B9:J9"))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80" t="str">
        <f ca="1"/>
        <v/>
      </c>
      <c r="K83" s="80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"'!B9:J9")="", "", INDIRECT("'" &amp; $A84 &amp; "'!B9:J9"))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80" t="str">
        <f ca="1"/>
        <v/>
      </c>
      <c r="K84" s="80" t="str">
        <f ca="1"/>
        <v/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"'!B9:J9")="", "", INDIRECT("'" &amp; $A85 &amp; "'!B9:J9"))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80" t="str">
        <f ca="1"/>
        <v/>
      </c>
      <c r="K85" s="80" t="str">
        <f ca="1"/>
        <v/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"'!B9:J9")="", "", INDIRECT("'" &amp; $A86 &amp; "'!B9:J9"))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80" t="str">
        <f ca="1"/>
        <v/>
      </c>
      <c r="K86" s="80" t="str">
        <f ca="1"/>
        <v/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"'!B9:J9")="", "", INDIRECT("'" &amp; $A87 &amp; "'!B9:J9"))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80" t="str">
        <f ca="1"/>
        <v/>
      </c>
      <c r="K87" s="80" t="str">
        <f ca="1"/>
        <v/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"'!B9:J9")="", "", INDIRECT("'" &amp; $A88 &amp; "'!B9:J9"))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80" t="str">
        <f ca="1"/>
        <v/>
      </c>
      <c r="K88" s="80" t="str">
        <f ca="1"/>
        <v/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"'!B9:J9")="", "", INDIRECT("'" &amp; $A89 &amp; "'!B9:J9"))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80" t="str">
        <f ca="1"/>
        <v/>
      </c>
      <c r="K89" s="80" t="str">
        <f ca="1"/>
        <v/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"'!B9:J9")="", "", INDIRECT("'" &amp; $A90 &amp; "'!B9:J9"))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80" t="str">
        <f ca="1"/>
        <v/>
      </c>
      <c r="K90" s="80" t="str">
        <f ca="1"/>
        <v/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"'!B9:J9")="", "", INDIRECT("'" &amp; $A91 &amp; "'!B9:J9"))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80" t="str">
        <f ca="1"/>
        <v/>
      </c>
      <c r="K91" s="80" t="str">
        <f ca="1"/>
        <v/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"'!B9:J9")="", "", INDIRECT("'" &amp; $A92 &amp; "'!B9:J9"))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80" t="str">
        <f ca="1"/>
        <v/>
      </c>
      <c r="K92" s="80" t="str">
        <f ca="1"/>
        <v/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"'!B9:J9")="", "", INDIRECT("'" &amp; $A93 &amp; "'!B9:J9"))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80" t="str">
        <f ca="1"/>
        <v/>
      </c>
      <c r="K93" s="80" t="str">
        <f ca="1"/>
        <v/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"'!B9:J9")="", "", INDIRECT("'" &amp; $A94 &amp; "'!B9:J9"))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80" t="str">
        <f ca="1"/>
        <v/>
      </c>
      <c r="K94" s="80" t="str">
        <f ca="1"/>
        <v/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"'!B9:J9")="", "", INDIRECT("'" &amp; $A95 &amp; "'!B9:J9"))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80" t="str">
        <f ca="1"/>
        <v/>
      </c>
      <c r="K95" s="80" t="str">
        <f ca="1"/>
        <v/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"'!B9:J9")="", "", INDIRECT("'" &amp; $A96 &amp; "'!B9:J9"))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80" t="str">
        <f ca="1"/>
        <v/>
      </c>
      <c r="K96" s="80" t="str">
        <f ca="1"/>
        <v/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"'!B9:J9")="", "", INDIRECT("'" &amp; $A97 &amp; "'!B9:J9"))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80" t="str">
        <f ca="1"/>
        <v/>
      </c>
      <c r="K97" s="80" t="str">
        <f ca="1"/>
        <v/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"'!B9:J9")="", "", INDIRECT("'" &amp; $A98 &amp; "'!B9:J9"))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80" t="str">
        <f ca="1"/>
        <v/>
      </c>
      <c r="K98" s="80" t="str">
        <f ca="1"/>
        <v/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"'!B9:J9")="", "", INDIRECT("'" &amp; $A99 &amp; "'!B9:J9"))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80" t="str">
        <f ca="1"/>
        <v/>
      </c>
      <c r="K99" s="80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"'!B9:J9")="", "", INDIRECT("'" &amp; $A100 &amp; "'!B9:J9"))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80" t="str">
        <f ca="1"/>
        <v/>
      </c>
      <c r="K100" s="80" t="str">
        <f ca="1"/>
        <v/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"'!B9:J9")="", "", INDIRECT("'" &amp; $A101 &amp; "'!B9:J9"))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80" t="str">
        <f ca="1"/>
        <v/>
      </c>
      <c r="K101" s="80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"'!B9:J9")="", "", INDIRECT("'" &amp; $A102 &amp; "'!B9:J9"))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80" t="str">
        <f ca="1"/>
        <v/>
      </c>
      <c r="K102" s="80" t="str">
        <f ca="1"/>
        <v/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"'!B9:J9")="", "", INDIRECT("'" &amp; $A103 &amp; "'!B9:J9"))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80" t="str">
        <f ca="1"/>
        <v/>
      </c>
      <c r="K103" s="80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"'!B9:J9")="", "", INDIRECT("'" &amp; $A104 &amp; "'!B9:J9"))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80" t="str">
        <f ca="1"/>
        <v/>
      </c>
      <c r="K104" s="80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"'!B9:J9")="", "", INDIRECT("'" &amp; $A105 &amp; "'!B9:J9"))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80" t="str">
        <f ca="1"/>
        <v/>
      </c>
      <c r="K105" s="80" t="str">
        <f ca="1"/>
        <v/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"'!B9:J9")="", "", INDIRECT("'" &amp; $A106 &amp; "'!B9:J9"))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80" t="str">
        <f ca="1"/>
        <v/>
      </c>
      <c r="K106" s="80" t="str">
        <f ca="1"/>
        <v/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"'!B9:J9")="", "", INDIRECT("'" &amp; $A107 &amp; "'!B9:J9"))</f>
        <v/>
      </c>
      <c r="D107" s="50" t="str">
        <f ca="1"/>
        <v/>
      </c>
      <c r="E107" s="50">
        <f ca="1"/>
        <v>0</v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80" t="str">
        <f ca="1"/>
        <v/>
      </c>
      <c r="K107" s="80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"'!B9:J9")="", "", INDIRECT("'" &amp; $A108 &amp; "'!B9:J9"))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80" t="str">
        <f ca="1"/>
        <v/>
      </c>
      <c r="K108" s="80" t="str">
        <f ca="1"/>
        <v/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"'!B9:J9")="", "", INDIRECT("'" &amp; $A109 &amp; "'!B9:J9"))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80" t="str">
        <f ca="1"/>
        <v/>
      </c>
      <c r="K109" s="80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"'!B9:J9")="", "", INDIRECT("'" &amp; $A110 &amp; "'!B9:J9"))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80" t="str">
        <f ca="1"/>
        <v/>
      </c>
      <c r="K110" s="80" t="str">
        <f ca="1"/>
        <v/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"'!B9:J9")="", "", INDIRECT("'" &amp; $A111 &amp; "'!B9:J9"))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80" t="str">
        <f ca="1"/>
        <v/>
      </c>
      <c r="K111" s="80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"'!B9:J9")="", "", INDIRECT("'" &amp; $A112 &amp; "'!B9:J9"))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80" t="str">
        <f ca="1"/>
        <v/>
      </c>
      <c r="K112" s="80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"'!B9:J9")="", "", INDIRECT("'" &amp; $A113 &amp; "'!B9:J9"))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80" t="str">
        <f ca="1"/>
        <v/>
      </c>
      <c r="K113" s="80" t="str">
        <f ca="1"/>
        <v/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"'!B9:J9")="", "", INDIRECT("'" &amp; $A114 &amp; "'!B9:J9"))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80" t="str">
        <f ca="1"/>
        <v/>
      </c>
      <c r="K114" s="80" t="str">
        <f ca="1"/>
        <v/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"'!B9:J9")="", "", INDIRECT("'" &amp; $A115 &amp; "'!B9:J9"))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80" t="str">
        <f ca="1"/>
        <v/>
      </c>
      <c r="K115" s="80" t="str">
        <f ca="1"/>
        <v/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"'!B9:J9")="", "", INDIRECT("'" &amp; $A116 &amp; "'!B9:J9"))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80" t="str">
        <f ca="1"/>
        <v/>
      </c>
      <c r="K116" s="80" t="str">
        <f ca="1"/>
        <v/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"'!B9:J9")="", "", INDIRECT("'" &amp; $A117 &amp; "'!B9:J9"))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80" t="str">
        <f ca="1"/>
        <v/>
      </c>
      <c r="K117" s="80" t="str">
        <f ca="1"/>
        <v/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"'!B9:J9")="", "", INDIRECT("'" &amp; $A118 &amp; "'!B9:J9"))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80" t="str">
        <f ca="1"/>
        <v/>
      </c>
      <c r="K118" s="80" t="str">
        <f ca="1"/>
        <v/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"'!B9:J9")="", "", INDIRECT("'" &amp; $A119 &amp; "'!B9:J9"))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80" t="str">
        <f ca="1"/>
        <v/>
      </c>
      <c r="K119" s="80" t="str">
        <f ca="1"/>
        <v/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"'!B9:J9")="", "", INDIRECT("'" &amp; $A120 &amp; "'!B9:J9"))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80" t="str">
        <f ca="1"/>
        <v/>
      </c>
      <c r="K120" s="80" t="str">
        <f ca="1"/>
        <v/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"'!B9:J9")="", "", INDIRECT("'" &amp; $A121 &amp; "'!B9:J9"))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80" t="str">
        <f ca="1"/>
        <v/>
      </c>
      <c r="K121" s="80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"'!B9:J9")="", "", INDIRECT("'" &amp; $A122 &amp; "'!B9:J9"))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80" t="str">
        <f ca="1"/>
        <v/>
      </c>
      <c r="K122" s="80" t="str">
        <f ca="1"/>
        <v/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"'!B9:J9")="", "", INDIRECT("'" &amp; $A123 &amp; "'!B9:J9"))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80" t="str">
        <f ca="1"/>
        <v/>
      </c>
      <c r="K123" s="80" t="str">
        <f ca="1"/>
        <v/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"'!B9:J9")="", "", INDIRECT("'" &amp; $A124 &amp; "'!B9:J9"))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80" t="str">
        <f ca="1"/>
        <v/>
      </c>
      <c r="K124" s="80" t="str">
        <f ca="1"/>
        <v/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"'!B9:J9")="", "", INDIRECT("'" &amp; $A125 &amp; "'!B9:J9"))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80" t="str">
        <f ca="1"/>
        <v/>
      </c>
      <c r="K125" s="80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"'!B9:J9")="", "", INDIRECT("'" &amp; $A126 &amp; "'!B9:J9"))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80" t="str">
        <f ca="1"/>
        <v/>
      </c>
      <c r="K126" s="80" t="str">
        <f ca="1"/>
        <v/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"'!B9:J9")="", "", INDIRECT("'" &amp; $A127 &amp; "'!B9:J9"))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80" t="str">
        <f ca="1"/>
        <v/>
      </c>
      <c r="K127" s="80" t="str">
        <f ca="1"/>
        <v/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"'!B9:J9")="", "", INDIRECT("'" &amp; $A128 &amp; "'!B9:J9"))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80" t="str">
        <f ca="1"/>
        <v/>
      </c>
      <c r="K128" s="80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"'!B9:J9")="", "", INDIRECT("'" &amp; $A129 &amp; "'!B9:J9"))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80" t="str">
        <f ca="1"/>
        <v/>
      </c>
      <c r="K129" s="80" t="str">
        <f ca="1"/>
        <v/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"'!B9:J9")="", "", INDIRECT("'" &amp; $A130 &amp; "'!B9:J9"))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80" t="str">
        <f ca="1"/>
        <v/>
      </c>
      <c r="K130" s="80" t="str">
        <f ca="1"/>
        <v/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"'!B9:J9")="", "", INDIRECT("'" &amp; $A131 &amp; "'!B9:J9"))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80" t="str">
        <f ca="1"/>
        <v/>
      </c>
      <c r="K131" s="80" t="str">
        <f ca="1"/>
        <v/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"'!B9:J9")="", "", INDIRECT("'" &amp; $A132 &amp; "'!B9:J9"))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80" t="str">
        <f ca="1"/>
        <v/>
      </c>
      <c r="K132" s="80" t="str">
        <f ca="1"/>
        <v/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"'!B9:J9")="", "", INDIRECT("'" &amp; $A133 &amp; "'!B9:J9"))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80" t="str">
        <f ca="1"/>
        <v/>
      </c>
      <c r="K133" s="80" t="str">
        <f ca="1"/>
        <v/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"'!B9:J9")="", "", INDIRECT("'" &amp; $A134 &amp; "'!B9:J9"))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80" t="str">
        <f ca="1"/>
        <v/>
      </c>
      <c r="K134" s="80" t="str">
        <f ca="1"/>
        <v/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"'!B9:J9")="", "", INDIRECT("'" &amp; $A135 &amp; "'!B9:J9"))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80" t="str">
        <f ca="1"/>
        <v/>
      </c>
      <c r="K135" s="80" t="str">
        <f ca="1"/>
        <v/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"'!B9:J9")="", "", INDIRECT("'" &amp; $A136 &amp; "'!B9:J9"))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80" t="str">
        <f ca="1"/>
        <v/>
      </c>
      <c r="K136" s="80" t="str">
        <f ca="1"/>
        <v/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BC8A3C74-EDA3-4B8F-8C65-FD4243AE8FF6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74" priority="1" operator="lessThanOrEqual">
      <formula>-0.1</formula>
    </cfRule>
    <cfRule type="cellIs" dxfId="2173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42"/>
  <sheetViews>
    <sheetView workbookViewId="0">
      <pane ySplit="2" topLeftCell="A106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32</v>
      </c>
      <c r="D1" s="170"/>
      <c r="E1" s="170"/>
      <c r="F1" s="170"/>
      <c r="G1" s="171" t="s">
        <v>33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"'!B10:J10")="", "", INDIRECT("'" &amp; $A3 &amp; "'!B10:J10"))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80" t="str">
        <f ca="1"/>
        <v/>
      </c>
      <c r="K3" s="80" t="str">
        <f ca="1"/>
        <v xml:space="preserve"> </v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"'!B10:J10")="", "", INDIRECT("'" &amp; $A4 &amp; "'!B10:J10"))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80" t="str">
        <f ca="1"/>
        <v/>
      </c>
      <c r="K4" s="80" t="str">
        <f ca="1"/>
        <v xml:space="preserve"> </v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"'!B10:J10")="", "", INDIRECT("'" &amp; $A5 &amp; "'!B10:J10"))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" t="str">
        <f ca="1"/>
        <v xml:space="preserve"> </v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"'!B10:J10")="", "", INDIRECT("'" &amp; $A6 &amp; "'!B10:J10"))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80" t="str">
        <f ca="1"/>
        <v/>
      </c>
      <c r="K6" s="80" t="str">
        <f ca="1"/>
        <v xml:space="preserve"> </v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"'!B10:J10")="", "", INDIRECT("'" &amp; $A7 &amp; "'!B10:J10"))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80" t="str">
        <f ca="1"/>
        <v/>
      </c>
      <c r="K7" s="80" t="str">
        <f ca="1"/>
        <v xml:space="preserve"> </v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"'!B10:J10")="", "", INDIRECT("'" &amp; $A8 &amp; "'!B10:J10"))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80" t="str">
        <f ca="1"/>
        <v/>
      </c>
      <c r="K8" s="80" t="str">
        <f ca="1"/>
        <v xml:space="preserve"> </v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"'!B10:J10")="", "", INDIRECT("'" &amp; $A9 &amp; "'!B10:J10"))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80" t="str">
        <f ca="1"/>
        <v/>
      </c>
      <c r="K9" s="80" t="str">
        <f ca="1"/>
        <v xml:space="preserve"> </v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"'!B10:J10")="", "", INDIRECT("'" &amp; $A10 &amp; "'!B10:J10"))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80" t="str">
        <f ca="1"/>
        <v/>
      </c>
      <c r="K10" s="80" t="str">
        <f ca="1"/>
        <v xml:space="preserve"> </v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"'!B10:J10")="", "", INDIRECT("'" &amp; $A11 &amp; "'!B10:J10"))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80" t="str">
        <f ca="1"/>
        <v/>
      </c>
      <c r="K11" s="80" t="str">
        <f ca="1"/>
        <v xml:space="preserve"> </v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"'!B10:J10")="", "", INDIRECT("'" &amp; $A12 &amp; "'!B10:J10"))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80" t="str">
        <f ca="1"/>
        <v/>
      </c>
      <c r="K12" s="80" t="str">
        <f ca="1"/>
        <v xml:space="preserve"> </v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"'!B10:J10")="", "", INDIRECT("'" &amp; $A13 &amp; "'!B10:J10"))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80" t="str">
        <f ca="1"/>
        <v/>
      </c>
      <c r="K13" s="80" t="str">
        <f ca="1"/>
        <v xml:space="preserve"> </v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"'!B10:J10")="", "", INDIRECT("'" &amp; $A14 &amp; "'!B10:J10"))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80" t="str">
        <f ca="1"/>
        <v/>
      </c>
      <c r="K14" s="80" t="str">
        <f ca="1"/>
        <v xml:space="preserve"> </v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"'!B10:J10")="", "", INDIRECT("'" &amp; $A15 &amp; "'!B10:J10"))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80" t="str">
        <f ca="1"/>
        <v/>
      </c>
      <c r="K15" s="80" t="str">
        <f ca="1"/>
        <v xml:space="preserve"> </v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"'!B10:J10")="", "", INDIRECT("'" &amp; $A16 &amp; "'!B10:J10"))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80" t="str">
        <f ca="1"/>
        <v/>
      </c>
      <c r="K16" s="80" t="str">
        <f ca="1"/>
        <v xml:space="preserve"> </v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"'!B10:J10")="", "", INDIRECT("'" &amp; $A17 &amp; "'!B10:J10"))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80" t="str">
        <f ca="1"/>
        <v/>
      </c>
      <c r="K17" s="80" t="str">
        <f ca="1"/>
        <v xml:space="preserve"> </v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"'!B10:J10")="", "", INDIRECT("'" &amp; $A18 &amp; "'!B10:J10"))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80" t="str">
        <f ca="1"/>
        <v/>
      </c>
      <c r="K18" s="80" t="str">
        <f ca="1"/>
        <v xml:space="preserve"> </v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"'!B10:J10")="", "", INDIRECT("'" &amp; $A19 &amp; "'!B10:J10"))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80" t="str">
        <f ca="1"/>
        <v/>
      </c>
      <c r="K19" s="80" t="str">
        <f ca="1"/>
        <v xml:space="preserve"> </v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"'!B10:J10")="", "", INDIRECT("'" &amp; $A20 &amp; "'!B10:J10"))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80" t="str">
        <f ca="1"/>
        <v/>
      </c>
      <c r="K20" s="80" t="str">
        <f ca="1"/>
        <v xml:space="preserve"> </v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"'!B10:J10")="", "", INDIRECT("'" &amp; $A21 &amp; "'!B10:J10"))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80" t="str">
        <f ca="1"/>
        <v/>
      </c>
      <c r="K21" s="80" t="str">
        <f ca="1"/>
        <v xml:space="preserve"> </v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"'!B10:J10")="", "", INDIRECT("'" &amp; $A22 &amp; "'!B10:J10"))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80" t="str">
        <f ca="1"/>
        <v/>
      </c>
      <c r="K22" s="80" t="str">
        <f ca="1"/>
        <v xml:space="preserve"> </v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"'!B10:J10")="", "", INDIRECT("'" &amp; $A23 &amp; "'!B10:J10"))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80" t="str">
        <f ca="1"/>
        <v/>
      </c>
      <c r="K23" s="80" t="str">
        <f ca="1"/>
        <v xml:space="preserve"> </v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"'!B10:J10")="", "", INDIRECT("'" &amp; $A24 &amp; "'!B10:J10"))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80" t="str">
        <f ca="1"/>
        <v/>
      </c>
      <c r="K24" s="80" t="str">
        <f ca="1"/>
        <v xml:space="preserve"> </v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"'!B10:J10")="", "", INDIRECT("'" &amp; $A25 &amp; "'!B10:J10"))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80" t="str">
        <f ca="1"/>
        <v/>
      </c>
      <c r="K25" s="80" t="str">
        <f ca="1"/>
        <v xml:space="preserve"> </v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"'!B10:J10")="", "", INDIRECT("'" &amp; $A26 &amp; "'!B10:J10"))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80" t="str">
        <f ca="1"/>
        <v/>
      </c>
      <c r="K26" s="80" t="str">
        <f ca="1"/>
        <v xml:space="preserve"> </v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"'!B10:J10")="", "", INDIRECT("'" &amp; $A27 &amp; "'!B10:J10"))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80" t="str">
        <f ca="1"/>
        <v/>
      </c>
      <c r="K27" s="80" t="str">
        <f ca="1"/>
        <v xml:space="preserve"> </v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"'!B10:J10")="", "", INDIRECT("'" &amp; $A28 &amp; "'!B10:J10"))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80" t="str">
        <f ca="1"/>
        <v/>
      </c>
      <c r="K28" s="80" t="str">
        <f ca="1"/>
        <v xml:space="preserve"> </v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"'!B10:J10")="", "", INDIRECT("'" &amp; $A29 &amp; "'!B10:J10"))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80" t="str">
        <f ca="1"/>
        <v/>
      </c>
      <c r="K29" s="80" t="str">
        <f ca="1"/>
        <v xml:space="preserve"> </v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"'!B10:J10")="", "", INDIRECT("'" &amp; $A30 &amp; "'!B10:J10"))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80" t="str">
        <f ca="1"/>
        <v/>
      </c>
      <c r="K30" s="80" t="str">
        <f ca="1"/>
        <v xml:space="preserve"> </v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"'!B10:J10")="", "", INDIRECT("'" &amp; $A31 &amp; "'!B10:J10"))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80" t="str">
        <f ca="1"/>
        <v/>
      </c>
      <c r="K31" s="80" t="str">
        <f ca="1"/>
        <v xml:space="preserve"> </v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"'!B10:J10")="", "", INDIRECT("'" &amp; $A32 &amp; "'!B10:J10"))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80" t="str">
        <f ca="1"/>
        <v/>
      </c>
      <c r="K32" s="80" t="str">
        <f ca="1"/>
        <v xml:space="preserve"> </v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"'!B10:J10")="", "", INDIRECT("'" &amp; $A33 &amp; "'!B10:J10"))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80" t="str">
        <f ca="1"/>
        <v/>
      </c>
      <c r="K33" s="80" t="str">
        <f ca="1"/>
        <v xml:space="preserve"> </v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"'!B10:J10")="", "", INDIRECT("'" &amp; $A34 &amp; "'!B10:J10"))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80" t="str">
        <f ca="1"/>
        <v/>
      </c>
      <c r="K34" s="80" t="str">
        <f ca="1"/>
        <v xml:space="preserve"> </v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"'!B10:J10")="", "", INDIRECT("'" &amp; $A35 &amp; "'!B10:J10"))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80" t="str">
        <f ca="1"/>
        <v/>
      </c>
      <c r="K35" s="80" t="str">
        <f ca="1"/>
        <v xml:space="preserve"> </v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"'!B10:J10")="", "", INDIRECT("'" &amp; $A36 &amp; "'!B10:J10"))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80" t="str">
        <f ca="1"/>
        <v/>
      </c>
      <c r="K36" s="80" t="str">
        <f ca="1"/>
        <v xml:space="preserve"> </v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"'!B10:J10")="", "", INDIRECT("'" &amp; $A37 &amp; "'!B10:J10"))</f>
        <v/>
      </c>
      <c r="D37" s="50" t="str">
        <f ca="1"/>
        <v/>
      </c>
      <c r="E37" s="50">
        <f ca="1"/>
        <v>0</v>
      </c>
      <c r="F37" s="51">
        <f ca="1"/>
        <v>0</v>
      </c>
      <c r="G37" s="52" t="str">
        <f ca="1"/>
        <v/>
      </c>
      <c r="H37" s="52">
        <f ca="1"/>
        <v>0</v>
      </c>
      <c r="I37" s="53">
        <f ca="1"/>
        <v>0</v>
      </c>
      <c r="J37" s="80" t="str">
        <f ca="1"/>
        <v/>
      </c>
      <c r="K37" s="80" t="str">
        <f ca="1"/>
        <v xml:space="preserve"> </v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"'!B10:J10")="", "", INDIRECT("'" &amp; $A38 &amp; "'!B10:J10"))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80" t="str">
        <f ca="1"/>
        <v/>
      </c>
      <c r="K38" s="80" t="str">
        <f ca="1"/>
        <v xml:space="preserve"> </v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"'!B10:J10")="", "", INDIRECT("'" &amp; $A39 &amp; "'!B10:J10"))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80" t="str">
        <f ca="1"/>
        <v/>
      </c>
      <c r="K39" s="80" t="str">
        <f ca="1"/>
        <v xml:space="preserve"> </v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"'!B10:J10")="", "", INDIRECT("'" &amp; $A40 &amp; "'!B10:J10"))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80" t="str">
        <f ca="1"/>
        <v/>
      </c>
      <c r="K40" s="80" t="str">
        <f ca="1"/>
        <v xml:space="preserve"> </v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"'!B10:J10")="", "", INDIRECT("'" &amp; $A41 &amp; "'!B10:J10"))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80" t="str">
        <f ca="1"/>
        <v/>
      </c>
      <c r="K41" s="80" t="str">
        <f ca="1"/>
        <v xml:space="preserve"> </v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"'!B10:J10")="", "", INDIRECT("'" &amp; $A42 &amp; "'!B10:J10"))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80" t="str">
        <f ca="1"/>
        <v/>
      </c>
      <c r="K42" s="80" t="str">
        <f ca="1"/>
        <v xml:space="preserve"> </v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"'!B10:J10")="", "", INDIRECT("'" &amp; $A43 &amp; "'!B10:J10"))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80" t="str">
        <f ca="1"/>
        <v/>
      </c>
      <c r="K43" s="80" t="str">
        <f ca="1"/>
        <v xml:space="preserve"> </v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"'!B10:J10")="", "", INDIRECT("'" &amp; $A44 &amp; "'!B10:J10"))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80" t="str">
        <f ca="1"/>
        <v/>
      </c>
      <c r="K44" s="80" t="str">
        <f ca="1"/>
        <v xml:space="preserve"> </v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"'!B10:J10")="", "", INDIRECT("'" &amp; $A45 &amp; "'!B10:J10"))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80" t="str">
        <f ca="1"/>
        <v/>
      </c>
      <c r="K45" s="80" t="str">
        <f ca="1"/>
        <v xml:space="preserve"> </v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"'!B10:J10")="", "", INDIRECT("'" &amp; $A46 &amp; "'!B10:J10"))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80" t="str">
        <f ca="1"/>
        <v/>
      </c>
      <c r="K46" s="80" t="str">
        <f ca="1"/>
        <v xml:space="preserve"> </v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"'!B10:J10")="", "", INDIRECT("'" &amp; $A47 &amp; "'!B10:J10"))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80" t="str">
        <f ca="1"/>
        <v/>
      </c>
      <c r="K47" s="80" t="str">
        <f ca="1"/>
        <v xml:space="preserve"> </v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"'!B10:J10")="", "", INDIRECT("'" &amp; $A48 &amp; "'!B10:J10"))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80" t="str">
        <f ca="1"/>
        <v/>
      </c>
      <c r="K48" s="80" t="str">
        <f ca="1"/>
        <v xml:space="preserve"> </v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"'!B10:J10")="", "", INDIRECT("'" &amp; $A49 &amp; "'!B10:J10"))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80" t="str">
        <f ca="1"/>
        <v/>
      </c>
      <c r="K49" s="80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"'!B10:J10")="", "", INDIRECT("'" &amp; $A50 &amp; "'!B10:J10"))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80" t="str">
        <f ca="1"/>
        <v/>
      </c>
      <c r="K50" s="80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"'!B10:J10")="", "", INDIRECT("'" &amp; $A51 &amp; "'!B10:J10"))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80" t="str">
        <f ca="1"/>
        <v/>
      </c>
      <c r="K51" s="80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"'!B10:J10")="", "", INDIRECT("'" &amp; $A52 &amp; "'!B10:J10"))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80" t="str">
        <f ca="1"/>
        <v/>
      </c>
      <c r="K52" s="80" t="str">
        <f ca="1"/>
        <v xml:space="preserve"> </v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"'!B10:J10")="", "", INDIRECT("'" &amp; $A53 &amp; "'!B10:J10"))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80" t="str">
        <f ca="1"/>
        <v/>
      </c>
      <c r="K53" s="80" t="str">
        <f ca="1"/>
        <v xml:space="preserve"> </v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"'!B10:J10")="", "", INDIRECT("'" &amp; $A54 &amp; "'!B10:J10"))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80" t="str">
        <f ca="1"/>
        <v/>
      </c>
      <c r="K54" s="80" t="str">
        <f ca="1"/>
        <v xml:space="preserve"> </v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"'!B10:J10")="", "", INDIRECT("'" &amp; $A55 &amp; "'!B10:J10"))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80" t="str">
        <f ca="1"/>
        <v/>
      </c>
      <c r="K55" s="80" t="str">
        <f ca="1"/>
        <v xml:space="preserve"> </v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"'!B10:J10")="", "", INDIRECT("'" &amp; $A56 &amp; "'!B10:J10"))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80" t="str">
        <f ca="1"/>
        <v/>
      </c>
      <c r="K56" s="80" t="str">
        <f ca="1"/>
        <v xml:space="preserve"> </v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"'!B10:J10")="", "", INDIRECT("'" &amp; $A57 &amp; "'!B10:J10"))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80" t="str">
        <f ca="1"/>
        <v/>
      </c>
      <c r="K57" s="80" t="str">
        <f ca="1"/>
        <v xml:space="preserve"> </v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"'!B10:J10")="", "", INDIRECT("'" &amp; $A58 &amp; "'!B10:J10"))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80" t="str">
        <f ca="1"/>
        <v/>
      </c>
      <c r="K58" s="80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"'!B10:J10")="", "", INDIRECT("'" &amp; $A59 &amp; "'!B10:J10"))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80" t="str">
        <f ca="1"/>
        <v/>
      </c>
      <c r="K59" s="80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"'!B10:J10")="", "", INDIRECT("'" &amp; $A60 &amp; "'!B10:J10"))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80" t="str">
        <f ca="1"/>
        <v/>
      </c>
      <c r="K60" s="80" t="str">
        <f ca="1"/>
        <v xml:space="preserve"> </v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"'!B10:J10")="", "", INDIRECT("'" &amp; $A61 &amp; "'!B10:J10"))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80" t="str">
        <f ca="1"/>
        <v/>
      </c>
      <c r="K61" s="80" t="str">
        <f ca="1"/>
        <v xml:space="preserve"> </v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"'!B10:J10")="", "", INDIRECT("'" &amp; $A62 &amp; "'!B10:J10"))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80" t="str">
        <f ca="1"/>
        <v/>
      </c>
      <c r="K62" s="80" t="str">
        <f ca="1"/>
        <v xml:space="preserve"> </v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"'!B10:J10")="", "", INDIRECT("'" &amp; $A63 &amp; "'!B10:J10"))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80" t="str">
        <f ca="1"/>
        <v/>
      </c>
      <c r="K63" s="80" t="str">
        <f ca="1"/>
        <v xml:space="preserve"> </v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"'!B10:J10")="", "", INDIRECT("'" &amp; $A64 &amp; "'!B10:J10"))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80" t="str">
        <f ca="1"/>
        <v/>
      </c>
      <c r="K64" s="80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"'!B10:J10")="", "", INDIRECT("'" &amp; $A65 &amp; "'!B10:J10"))</f>
        <v/>
      </c>
      <c r="D65" s="50" t="str">
        <f ca="1"/>
        <v/>
      </c>
      <c r="E65" s="50" t="str">
        <f ca="1"/>
        <v/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80" t="str">
        <f ca="1"/>
        <v/>
      </c>
      <c r="K65" s="80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"'!B10:J10")="", "", INDIRECT("'" &amp; $A66 &amp; "'!B10:J10"))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80" t="str">
        <f ca="1"/>
        <v/>
      </c>
      <c r="K66" s="80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"'!B10:J10")="", "", INDIRECT("'" &amp; $A67 &amp; "'!B10:J10"))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80" t="str">
        <f ca="1"/>
        <v/>
      </c>
      <c r="K67" s="80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"'!B10:J10")="", "", INDIRECT("'" &amp; $A68 &amp; "'!B10:J10"))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80" t="str">
        <f ca="1"/>
        <v/>
      </c>
      <c r="K68" s="80" t="str">
        <f ca="1"/>
        <v xml:space="preserve"> </v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"'!B10:J10")="", "", INDIRECT("'" &amp; $A69 &amp; "'!B10:J10"))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80" t="str">
        <f ca="1"/>
        <v/>
      </c>
      <c r="K69" s="80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"'!B10:J10")="", "", INDIRECT("'" &amp; $A70 &amp; "'!B10:J10"))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80" t="str">
        <f ca="1"/>
        <v/>
      </c>
      <c r="K70" s="80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"'!B10:J10")="", "", INDIRECT("'" &amp; $A71 &amp; "'!B10:J10"))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80" t="str">
        <f ca="1"/>
        <v/>
      </c>
      <c r="K71" s="80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"'!B10:J10")="", "", INDIRECT("'" &amp; $A72 &amp; "'!B10:J10"))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80" t="str">
        <f ca="1"/>
        <v/>
      </c>
      <c r="K72" s="80" t="str">
        <f ca="1"/>
        <v xml:space="preserve"> </v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"'!B10:J10")="", "", INDIRECT("'" &amp; $A73 &amp; "'!B10:J10"))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80" t="str">
        <f ca="1"/>
        <v/>
      </c>
      <c r="K73" s="80" t="str">
        <f ca="1"/>
        <v xml:space="preserve"> </v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"'!B10:J10")="", "", INDIRECT("'" &amp; $A74 &amp; "'!B10:J10"))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80" t="str">
        <f ca="1"/>
        <v/>
      </c>
      <c r="K74" s="80" t="str">
        <f ca="1"/>
        <v xml:space="preserve"> </v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"'!B10:J10")="", "", INDIRECT("'" &amp; $A75 &amp; "'!B10:J10"))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80" t="str">
        <f ca="1"/>
        <v/>
      </c>
      <c r="K75" s="80" t="str">
        <f ca="1"/>
        <v xml:space="preserve"> </v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"'!B10:J10")="", "", INDIRECT("'" &amp; $A76 &amp; "'!B10:J10"))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80" t="str">
        <f ca="1"/>
        <v/>
      </c>
      <c r="K76" s="80" t="str">
        <f ca="1"/>
        <v xml:space="preserve"> </v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"'!B10:J10")="", "", INDIRECT("'" &amp; $A77 &amp; "'!B10:J10"))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80" t="str">
        <f ca="1"/>
        <v/>
      </c>
      <c r="K77" s="80" t="str">
        <f ca="1"/>
        <v xml:space="preserve"> </v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"'!B10:J10")="", "", INDIRECT("'" &amp; $A78 &amp; "'!B10:J10"))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80" t="str">
        <f ca="1"/>
        <v/>
      </c>
      <c r="K78" s="80" t="str">
        <f ca="1"/>
        <v xml:space="preserve"> </v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"'!B10:J10")="", "", INDIRECT("'" &amp; $A79 &amp; "'!B10:J10"))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80" t="str">
        <f ca="1"/>
        <v/>
      </c>
      <c r="K79" s="80" t="str">
        <f ca="1"/>
        <v xml:space="preserve"> </v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"'!B10:J10")="", "", INDIRECT("'" &amp; $A80 &amp; "'!B10:J10"))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80" t="str">
        <f ca="1"/>
        <v/>
      </c>
      <c r="K80" s="80" t="str">
        <f ca="1"/>
        <v xml:space="preserve"> </v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"'!B10:J10")="", "", INDIRECT("'" &amp; $A81 &amp; "'!B10:J10"))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80" t="str">
        <f ca="1"/>
        <v/>
      </c>
      <c r="K81" s="80" t="str">
        <f ca="1"/>
        <v xml:space="preserve"> </v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"'!B10:J10")="", "", INDIRECT("'" &amp; $A82 &amp; "'!B10:J10"))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80" t="str">
        <f ca="1"/>
        <v/>
      </c>
      <c r="K82" s="80" t="str">
        <f ca="1"/>
        <v xml:space="preserve"> </v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"'!B10:J10")="", "", INDIRECT("'" &amp; $A83 &amp; "'!B10:J10"))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80" t="str">
        <f ca="1"/>
        <v/>
      </c>
      <c r="K83" s="80" t="str">
        <f ca="1"/>
        <v xml:space="preserve"> </v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"'!B10:J10")="", "", INDIRECT("'" &amp; $A84 &amp; "'!B10:J10"))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80" t="str">
        <f ca="1"/>
        <v/>
      </c>
      <c r="K84" s="80" t="str">
        <f ca="1"/>
        <v xml:space="preserve"> </v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"'!B10:J10")="", "", INDIRECT("'" &amp; $A85 &amp; "'!B10:J10"))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80" t="str">
        <f ca="1"/>
        <v/>
      </c>
      <c r="K85" s="80" t="str">
        <f ca="1"/>
        <v xml:space="preserve"> </v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"'!B10:J10")="", "", INDIRECT("'" &amp; $A86 &amp; "'!B10:J10"))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80" t="str">
        <f ca="1"/>
        <v/>
      </c>
      <c r="K86" s="80" t="str">
        <f ca="1"/>
        <v xml:space="preserve"> </v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"'!B10:J10")="", "", INDIRECT("'" &amp; $A87 &amp; "'!B10:J10"))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80" t="str">
        <f ca="1"/>
        <v/>
      </c>
      <c r="K87" s="80" t="str">
        <f ca="1"/>
        <v xml:space="preserve"> </v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"'!B10:J10")="", "", INDIRECT("'" &amp; $A88 &amp; "'!B10:J10"))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80" t="str">
        <f ca="1"/>
        <v/>
      </c>
      <c r="K88" s="80" t="str">
        <f ca="1"/>
        <v xml:space="preserve"> </v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"'!B10:J10")="", "", INDIRECT("'" &amp; $A89 &amp; "'!B10:J10"))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80" t="str">
        <f ca="1"/>
        <v/>
      </c>
      <c r="K89" s="80" t="str">
        <f ca="1"/>
        <v xml:space="preserve"> </v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"'!B10:J10")="", "", INDIRECT("'" &amp; $A90 &amp; "'!B10:J10"))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80" t="str">
        <f ca="1"/>
        <v/>
      </c>
      <c r="K90" s="80" t="str">
        <f ca="1"/>
        <v xml:space="preserve"> </v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"'!B10:J10")="", "", INDIRECT("'" &amp; $A91 &amp; "'!B10:J10"))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80" t="str">
        <f ca="1"/>
        <v/>
      </c>
      <c r="K91" s="80" t="str">
        <f ca="1"/>
        <v xml:space="preserve"> </v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"'!B10:J10")="", "", INDIRECT("'" &amp; $A92 &amp; "'!B10:J10"))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80" t="str">
        <f ca="1"/>
        <v/>
      </c>
      <c r="K92" s="80" t="str">
        <f ca="1"/>
        <v xml:space="preserve"> </v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"'!B10:J10")="", "", INDIRECT("'" &amp; $A93 &amp; "'!B10:J10"))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80" t="str">
        <f ca="1"/>
        <v/>
      </c>
      <c r="K93" s="80" t="str">
        <f ca="1"/>
        <v xml:space="preserve"> </v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"'!B10:J10")="", "", INDIRECT("'" &amp; $A94 &amp; "'!B10:J10"))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80" t="str">
        <f ca="1"/>
        <v/>
      </c>
      <c r="K94" s="80" t="str">
        <f ca="1"/>
        <v xml:space="preserve"> </v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"'!B10:J10")="", "", INDIRECT("'" &amp; $A95 &amp; "'!B10:J10"))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80" t="str">
        <f ca="1"/>
        <v/>
      </c>
      <c r="K95" s="80" t="str">
        <f ca="1"/>
        <v xml:space="preserve"> </v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"'!B10:J10")="", "", INDIRECT("'" &amp; $A96 &amp; "'!B10:J10"))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80" t="str">
        <f ca="1"/>
        <v/>
      </c>
      <c r="K96" s="80" t="str">
        <f ca="1"/>
        <v xml:space="preserve"> </v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"'!B10:J10")="", "", INDIRECT("'" &amp; $A97 &amp; "'!B10:J10"))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80" t="str">
        <f ca="1"/>
        <v/>
      </c>
      <c r="K97" s="80" t="str">
        <f ca="1"/>
        <v xml:space="preserve"> </v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"'!B10:J10")="", "", INDIRECT("'" &amp; $A98 &amp; "'!B10:J10"))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80" t="str">
        <f ca="1"/>
        <v/>
      </c>
      <c r="K98" s="80" t="str">
        <f ca="1"/>
        <v xml:space="preserve"> </v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"'!B10:J10")="", "", INDIRECT("'" &amp; $A99 &amp; "'!B10:J10"))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80" t="str">
        <f ca="1"/>
        <v/>
      </c>
      <c r="K99" s="80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"'!B10:J10")="", "", INDIRECT("'" &amp; $A100 &amp; "'!B10:J10"))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80" t="str">
        <f ca="1"/>
        <v/>
      </c>
      <c r="K100" s="80" t="str">
        <f ca="1"/>
        <v xml:space="preserve"> </v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"'!B10:J10")="", "", INDIRECT("'" &amp; $A101 &amp; "'!B10:J10"))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80" t="str">
        <f ca="1"/>
        <v/>
      </c>
      <c r="K101" s="80" t="str">
        <f ca="1"/>
        <v xml:space="preserve"> </v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"'!B10:J10")="", "", INDIRECT("'" &amp; $A102 &amp; "'!B10:J10"))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80" t="str">
        <f ca="1"/>
        <v/>
      </c>
      <c r="K102" s="80" t="str">
        <f ca="1"/>
        <v xml:space="preserve"> </v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"'!B10:J10")="", "", INDIRECT("'" &amp; $A103 &amp; "'!B10:J10"))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80" t="str">
        <f ca="1"/>
        <v/>
      </c>
      <c r="K103" s="80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"'!B10:J10")="", "", INDIRECT("'" &amp; $A104 &amp; "'!B10:J10"))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80" t="str">
        <f ca="1"/>
        <v/>
      </c>
      <c r="K104" s="80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"'!B10:J10")="", "", INDIRECT("'" &amp; $A105 &amp; "'!B10:J10"))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80" t="str">
        <f ca="1"/>
        <v/>
      </c>
      <c r="K105" s="80" t="str">
        <f ca="1"/>
        <v xml:space="preserve"> </v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"'!B10:J10")="", "", INDIRECT("'" &amp; $A106 &amp; "'!B10:J10"))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80" t="str">
        <f ca="1"/>
        <v/>
      </c>
      <c r="K106" s="80" t="str">
        <f ca="1"/>
        <v xml:space="preserve"> </v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"'!B10:J10")="", "", INDIRECT("'" &amp; $A107 &amp; "'!B10:J10"))</f>
        <v/>
      </c>
      <c r="D107" s="50" t="str">
        <f ca="1"/>
        <v/>
      </c>
      <c r="E107" s="50">
        <f ca="1"/>
        <v>0</v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80" t="str">
        <f ca="1"/>
        <v/>
      </c>
      <c r="K107" s="80" t="str">
        <f ca="1"/>
        <v xml:space="preserve"> </v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"'!B10:J10")="", "", INDIRECT("'" &amp; $A108 &amp; "'!B10:J10"))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80" t="str">
        <f ca="1"/>
        <v/>
      </c>
      <c r="K108" s="80" t="str">
        <f ca="1"/>
        <v xml:space="preserve"> </v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"'!B10:J10")="", "", INDIRECT("'" &amp; $A109 &amp; "'!B10:J10"))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80" t="str">
        <f ca="1"/>
        <v/>
      </c>
      <c r="K109" s="80" t="str">
        <f ca="1"/>
        <v xml:space="preserve"> </v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"'!B10:J10")="", "", INDIRECT("'" &amp; $A110 &amp; "'!B10:J10"))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80" t="str">
        <f ca="1"/>
        <v/>
      </c>
      <c r="K110" s="80" t="str">
        <f ca="1"/>
        <v xml:space="preserve"> </v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"'!B10:J10")="", "", INDIRECT("'" &amp; $A111 &amp; "'!B10:J10"))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80" t="str">
        <f ca="1"/>
        <v/>
      </c>
      <c r="K111" s="80" t="str">
        <f ca="1"/>
        <v xml:space="preserve"> </v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"'!B10:J10")="", "", INDIRECT("'" &amp; $A112 &amp; "'!B10:J10"))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80" t="str">
        <f ca="1"/>
        <v/>
      </c>
      <c r="K112" s="80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"'!B10:J10")="", "", INDIRECT("'" &amp; $A113 &amp; "'!B10:J10"))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80" t="str">
        <f ca="1"/>
        <v/>
      </c>
      <c r="K113" s="80" t="str">
        <f ca="1"/>
        <v xml:space="preserve"> </v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"'!B10:J10")="", "", INDIRECT("'" &amp; $A114 &amp; "'!B10:J10"))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80" t="str">
        <f ca="1"/>
        <v/>
      </c>
      <c r="K114" s="80" t="str">
        <f ca="1"/>
        <v xml:space="preserve"> </v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"'!B10:J10")="", "", INDIRECT("'" &amp; $A115 &amp; "'!B10:J10"))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80" t="str">
        <f ca="1"/>
        <v/>
      </c>
      <c r="K115" s="80" t="str">
        <f ca="1"/>
        <v xml:space="preserve"> </v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"'!B10:J10")="", "", INDIRECT("'" &amp; $A116 &amp; "'!B10:J10"))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80" t="str">
        <f ca="1"/>
        <v/>
      </c>
      <c r="K116" s="80" t="str">
        <f ca="1"/>
        <v xml:space="preserve"> </v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"'!B10:J10")="", "", INDIRECT("'" &amp; $A117 &amp; "'!B10:J10"))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80" t="str">
        <f ca="1"/>
        <v/>
      </c>
      <c r="K117" s="80" t="str">
        <f ca="1"/>
        <v xml:space="preserve"> </v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"'!B10:J10")="", "", INDIRECT("'" &amp; $A118 &amp; "'!B10:J10"))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80" t="str">
        <f ca="1"/>
        <v/>
      </c>
      <c r="K118" s="80" t="str">
        <f ca="1"/>
        <v xml:space="preserve"> </v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"'!B10:J10")="", "", INDIRECT("'" &amp; $A119 &amp; "'!B10:J10"))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80" t="str">
        <f ca="1"/>
        <v/>
      </c>
      <c r="K119" s="80" t="str">
        <f ca="1"/>
        <v xml:space="preserve"> </v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"'!B10:J10")="", "", INDIRECT("'" &amp; $A120 &amp; "'!B10:J10"))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80" t="str">
        <f ca="1"/>
        <v/>
      </c>
      <c r="K120" s="80" t="str">
        <f ca="1"/>
        <v xml:space="preserve"> </v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"'!B10:J10")="", "", INDIRECT("'" &amp; $A121 &amp; "'!B10:J10"))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80" t="str">
        <f ca="1"/>
        <v/>
      </c>
      <c r="K121" s="80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"'!B10:J10")="", "", INDIRECT("'" &amp; $A122 &amp; "'!B10:J10"))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80" t="str">
        <f ca="1"/>
        <v/>
      </c>
      <c r="K122" s="80" t="str">
        <f ca="1"/>
        <v xml:space="preserve"> </v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"'!B10:J10")="", "", INDIRECT("'" &amp; $A123 &amp; "'!B10:J10"))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80" t="str">
        <f ca="1"/>
        <v/>
      </c>
      <c r="K123" s="80" t="str">
        <f ca="1"/>
        <v xml:space="preserve"> </v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"'!B10:J10")="", "", INDIRECT("'" &amp; $A124 &amp; "'!B10:J10"))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80" t="str">
        <f ca="1"/>
        <v/>
      </c>
      <c r="K124" s="80" t="str">
        <f ca="1"/>
        <v xml:space="preserve"> </v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"'!B10:J10")="", "", INDIRECT("'" &amp; $A125 &amp; "'!B10:J10"))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80" t="str">
        <f ca="1"/>
        <v/>
      </c>
      <c r="K125" s="80" t="str">
        <f ca="1"/>
        <v xml:space="preserve"> </v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"'!B10:J10")="", "", INDIRECT("'" &amp; $A126 &amp; "'!B10:J10"))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80" t="str">
        <f ca="1"/>
        <v/>
      </c>
      <c r="K126" s="80" t="str">
        <f ca="1"/>
        <v xml:space="preserve"> </v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"'!B10:J10")="", "", INDIRECT("'" &amp; $A127 &amp; "'!B10:J10"))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80" t="str">
        <f ca="1"/>
        <v/>
      </c>
      <c r="K127" s="80" t="str">
        <f ca="1"/>
        <v xml:space="preserve"> </v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"'!B10:J10")="", "", INDIRECT("'" &amp; $A128 &amp; "'!B10:J10"))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80" t="str">
        <f ca="1"/>
        <v/>
      </c>
      <c r="K128" s="80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"'!B10:J10")="", "", INDIRECT("'" &amp; $A129 &amp; "'!B10:J10"))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80" t="str">
        <f ca="1"/>
        <v/>
      </c>
      <c r="K129" s="80" t="str">
        <f ca="1"/>
        <v xml:space="preserve"> </v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"'!B10:J10")="", "", INDIRECT("'" &amp; $A130 &amp; "'!B10:J10"))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80" t="str">
        <f ca="1"/>
        <v/>
      </c>
      <c r="K130" s="80" t="str">
        <f ca="1"/>
        <v xml:space="preserve"> </v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"'!B10:J10")="", "", INDIRECT("'" &amp; $A131 &amp; "'!B10:J10"))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80" t="str">
        <f ca="1"/>
        <v/>
      </c>
      <c r="K131" s="80" t="str">
        <f ca="1"/>
        <v xml:space="preserve"> </v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"'!B10:J10")="", "", INDIRECT("'" &amp; $A132 &amp; "'!B10:J10"))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80" t="str">
        <f ca="1"/>
        <v/>
      </c>
      <c r="K132" s="80" t="str">
        <f ca="1"/>
        <v xml:space="preserve"> </v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"'!B10:J10")="", "", INDIRECT("'" &amp; $A133 &amp; "'!B10:J10"))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80" t="str">
        <f ca="1"/>
        <v/>
      </c>
      <c r="K133" s="80" t="str">
        <f ca="1"/>
        <v xml:space="preserve"> </v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"'!B10:J10")="", "", INDIRECT("'" &amp; $A134 &amp; "'!B10:J10"))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80" t="str">
        <f ca="1"/>
        <v/>
      </c>
      <c r="K134" s="80" t="str">
        <f ca="1"/>
        <v xml:space="preserve"> </v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"'!B10:J10")="", "", INDIRECT("'" &amp; $A135 &amp; "'!B10:J10"))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80" t="str">
        <f ca="1"/>
        <v/>
      </c>
      <c r="K135" s="80" t="str">
        <f ca="1"/>
        <v xml:space="preserve"> </v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"'!B10:J10")="", "", INDIRECT("'" &amp; $A136 &amp; "'!B10:J10"))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80" t="str">
        <f ca="1"/>
        <v/>
      </c>
      <c r="K136" s="80" t="str">
        <f ca="1"/>
        <v xml:space="preserve"> </v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6C08AFFB-6AF8-48AC-9706-52E390C2AC4B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72" priority="1" operator="lessThanOrEqual">
      <formula>-0.1</formula>
    </cfRule>
    <cfRule type="cellIs" dxfId="2171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42"/>
  <sheetViews>
    <sheetView workbookViewId="0">
      <pane ySplit="2" topLeftCell="A107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34</v>
      </c>
      <c r="D1" s="170"/>
      <c r="E1" s="170"/>
      <c r="F1" s="170"/>
      <c r="G1" s="171" t="s">
        <v>35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"'!B11:J11")="", "", INDIRECT("'" &amp; $A3 &amp; "'!B11:J11"))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80" t="str">
        <f ca="1"/>
        <v/>
      </c>
      <c r="K3" s="80" t="str">
        <f ca="1"/>
        <v xml:space="preserve"> </v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"'!B11:J11")="", "", INDIRECT("'" &amp; $A4 &amp; "'!B11:J11"))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80" t="str">
        <f ca="1"/>
        <v/>
      </c>
      <c r="K4" s="80" t="str">
        <f ca="1"/>
        <v xml:space="preserve"> </v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"'!B11:J11")="", "", INDIRECT("'" &amp; $A5 &amp; "'!B11:J11"))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" t="str">
        <f ca="1"/>
        <v xml:space="preserve"> </v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"'!B11:J11")="", "", INDIRECT("'" &amp; $A6 &amp; "'!B11:J11"))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80" t="str">
        <f ca="1"/>
        <v/>
      </c>
      <c r="K6" s="80" t="str">
        <f ca="1"/>
        <v xml:space="preserve"> </v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"'!B11:J11")="", "", INDIRECT("'" &amp; $A7 &amp; "'!B11:J11"))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80" t="str">
        <f ca="1"/>
        <v/>
      </c>
      <c r="K7" s="80" t="str">
        <f ca="1"/>
        <v xml:space="preserve"> </v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"'!B11:J11")="", "", INDIRECT("'" &amp; $A8 &amp; "'!B11:J11"))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80" t="str">
        <f ca="1"/>
        <v/>
      </c>
      <c r="K8" s="80" t="str">
        <f ca="1"/>
        <v xml:space="preserve"> </v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"'!B11:J11")="", "", INDIRECT("'" &amp; $A9 &amp; "'!B11:J11"))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80" t="str">
        <f ca="1"/>
        <v/>
      </c>
      <c r="K9" s="80" t="str">
        <f ca="1"/>
        <v xml:space="preserve"> </v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"'!B11:J11")="", "", INDIRECT("'" &amp; $A10 &amp; "'!B11:J11"))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80" t="str">
        <f ca="1"/>
        <v/>
      </c>
      <c r="K10" s="80" t="str">
        <f ca="1"/>
        <v xml:space="preserve"> </v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"'!B11:J11")="", "", INDIRECT("'" &amp; $A11 &amp; "'!B11:J11"))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80" t="str">
        <f ca="1"/>
        <v/>
      </c>
      <c r="K11" s="80" t="str">
        <f ca="1"/>
        <v xml:space="preserve"> </v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"'!B11:J11")="", "", INDIRECT("'" &amp; $A12 &amp; "'!B11:J11"))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80" t="str">
        <f ca="1"/>
        <v/>
      </c>
      <c r="K12" s="80" t="str">
        <f ca="1"/>
        <v xml:space="preserve"> </v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"'!B11:J11")="", "", INDIRECT("'" &amp; $A13 &amp; "'!B11:J11"))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80" t="str">
        <f ca="1"/>
        <v/>
      </c>
      <c r="K13" s="80" t="str">
        <f ca="1"/>
        <v xml:space="preserve"> </v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"'!B11:J11")="", "", INDIRECT("'" &amp; $A14 &amp; "'!B11:J11"))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80" t="str">
        <f ca="1"/>
        <v/>
      </c>
      <c r="K14" s="80" t="str">
        <f ca="1"/>
        <v xml:space="preserve"> </v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"'!B11:J11")="", "", INDIRECT("'" &amp; $A15 &amp; "'!B11:J11"))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80" t="str">
        <f ca="1"/>
        <v/>
      </c>
      <c r="K15" s="80" t="str">
        <f ca="1"/>
        <v xml:space="preserve"> </v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"'!B11:J11")="", "", INDIRECT("'" &amp; $A16 &amp; "'!B11:J11"))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80" t="str">
        <f ca="1"/>
        <v/>
      </c>
      <c r="K16" s="80" t="str">
        <f ca="1"/>
        <v xml:space="preserve"> </v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"'!B11:J11")="", "", INDIRECT("'" &amp; $A17 &amp; "'!B11:J11"))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80" t="str">
        <f ca="1"/>
        <v/>
      </c>
      <c r="K17" s="80" t="str">
        <f ca="1"/>
        <v xml:space="preserve"> </v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"'!B11:J11")="", "", INDIRECT("'" &amp; $A18 &amp; "'!B11:J11"))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80" t="str">
        <f ca="1"/>
        <v/>
      </c>
      <c r="K18" s="80" t="str">
        <f ca="1"/>
        <v xml:space="preserve"> </v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"'!B11:J11")="", "", INDIRECT("'" &amp; $A19 &amp; "'!B11:J11"))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80" t="str">
        <f ca="1"/>
        <v/>
      </c>
      <c r="K19" s="80" t="str">
        <f ca="1"/>
        <v xml:space="preserve"> </v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"'!B11:J11")="", "", INDIRECT("'" &amp; $A20 &amp; "'!B11:J11"))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80" t="str">
        <f ca="1"/>
        <v/>
      </c>
      <c r="K20" s="80" t="str">
        <f ca="1"/>
        <v xml:space="preserve"> </v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"'!B11:J11")="", "", INDIRECT("'" &amp; $A21 &amp; "'!B11:J11"))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80" t="str">
        <f ca="1"/>
        <v/>
      </c>
      <c r="K21" s="80" t="str">
        <f ca="1"/>
        <v xml:space="preserve"> </v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"'!B11:J11")="", "", INDIRECT("'" &amp; $A22 &amp; "'!B11:J11"))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80" t="str">
        <f ca="1"/>
        <v/>
      </c>
      <c r="K22" s="80" t="str">
        <f ca="1"/>
        <v xml:space="preserve"> </v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"'!B11:J11")="", "", INDIRECT("'" &amp; $A23 &amp; "'!B11:J11"))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80" t="str">
        <f ca="1"/>
        <v/>
      </c>
      <c r="K23" s="80" t="str">
        <f ca="1"/>
        <v xml:space="preserve"> </v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"'!B11:J11")="", "", INDIRECT("'" &amp; $A24 &amp; "'!B11:J11"))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80" t="str">
        <f ca="1"/>
        <v/>
      </c>
      <c r="K24" s="80" t="str">
        <f ca="1"/>
        <v xml:space="preserve"> </v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"'!B11:J11")="", "", INDIRECT("'" &amp; $A25 &amp; "'!B11:J11"))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80" t="str">
        <f ca="1"/>
        <v/>
      </c>
      <c r="K25" s="80" t="str">
        <f ca="1"/>
        <v xml:space="preserve"> </v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"'!B11:J11")="", "", INDIRECT("'" &amp; $A26 &amp; "'!B11:J11"))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80" t="str">
        <f ca="1"/>
        <v/>
      </c>
      <c r="K26" s="80" t="str">
        <f ca="1"/>
        <v xml:space="preserve"> </v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"'!B11:J11")="", "", INDIRECT("'" &amp; $A27 &amp; "'!B11:J11"))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80" t="str">
        <f ca="1"/>
        <v/>
      </c>
      <c r="K27" s="80" t="str">
        <f ca="1"/>
        <v xml:space="preserve"> </v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"'!B11:J11")="", "", INDIRECT("'" &amp; $A28 &amp; "'!B11:J11"))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80" t="str">
        <f ca="1"/>
        <v/>
      </c>
      <c r="K28" s="80" t="str">
        <f ca="1"/>
        <v xml:space="preserve"> </v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"'!B11:J11")="", "", INDIRECT("'" &amp; $A29 &amp; "'!B11:J11"))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80" t="str">
        <f ca="1"/>
        <v/>
      </c>
      <c r="K29" s="80" t="str">
        <f ca="1"/>
        <v xml:space="preserve"> </v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"'!B11:J11")="", "", INDIRECT("'" &amp; $A30 &amp; "'!B11:J11"))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80" t="str">
        <f ca="1"/>
        <v/>
      </c>
      <c r="K30" s="80" t="str">
        <f ca="1"/>
        <v xml:space="preserve"> </v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"'!B11:J11")="", "", INDIRECT("'" &amp; $A31 &amp; "'!B11:J11"))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80" t="str">
        <f ca="1"/>
        <v/>
      </c>
      <c r="K31" s="80" t="str">
        <f ca="1"/>
        <v xml:space="preserve"> </v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"'!B11:J11")="", "", INDIRECT("'" &amp; $A32 &amp; "'!B11:J11"))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80" t="str">
        <f ca="1"/>
        <v/>
      </c>
      <c r="K32" s="80" t="str">
        <f ca="1"/>
        <v xml:space="preserve"> </v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"'!B11:J11")="", "", INDIRECT("'" &amp; $A33 &amp; "'!B11:J11"))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80" t="str">
        <f ca="1"/>
        <v/>
      </c>
      <c r="K33" s="80" t="str">
        <f ca="1"/>
        <v xml:space="preserve"> </v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"'!B11:J11")="", "", INDIRECT("'" &amp; $A34 &amp; "'!B11:J11"))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80" t="str">
        <f ca="1"/>
        <v/>
      </c>
      <c r="K34" s="80" t="str">
        <f ca="1"/>
        <v xml:space="preserve"> </v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"'!B11:J11")="", "", INDIRECT("'" &amp; $A35 &amp; "'!B11:J11"))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80" t="str">
        <f ca="1"/>
        <v/>
      </c>
      <c r="K35" s="80" t="str">
        <f ca="1"/>
        <v xml:space="preserve"> </v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"'!B11:J11")="", "", INDIRECT("'" &amp; $A36 &amp; "'!B11:J11"))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80" t="str">
        <f ca="1"/>
        <v/>
      </c>
      <c r="K36" s="80" t="str">
        <f ca="1"/>
        <v xml:space="preserve"> </v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"'!B11:J11")="", "", INDIRECT("'" &amp; $A37 &amp; "'!B11:J11"))</f>
        <v/>
      </c>
      <c r="D37" s="50" t="str">
        <f ca="1"/>
        <v/>
      </c>
      <c r="E37" s="50">
        <f ca="1"/>
        <v>0</v>
      </c>
      <c r="F37" s="51">
        <f ca="1"/>
        <v>0</v>
      </c>
      <c r="G37" s="52" t="str">
        <f ca="1"/>
        <v/>
      </c>
      <c r="H37" s="52">
        <f ca="1"/>
        <v>0</v>
      </c>
      <c r="I37" s="53">
        <f ca="1"/>
        <v>0</v>
      </c>
      <c r="J37" s="80" t="str">
        <f ca="1"/>
        <v/>
      </c>
      <c r="K37" s="80" t="str">
        <f ca="1"/>
        <v xml:space="preserve"> </v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"'!B11:J11")="", "", INDIRECT("'" &amp; $A38 &amp; "'!B11:J11"))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80" t="str">
        <f ca="1"/>
        <v/>
      </c>
      <c r="K38" s="80" t="str">
        <f ca="1"/>
        <v xml:space="preserve"> </v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"'!B11:J11")="", "", INDIRECT("'" &amp; $A39 &amp; "'!B11:J11"))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80" t="str">
        <f ca="1"/>
        <v/>
      </c>
      <c r="K39" s="80" t="str">
        <f ca="1"/>
        <v xml:space="preserve"> </v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"'!B11:J11")="", "", INDIRECT("'" &amp; $A40 &amp; "'!B11:J11"))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80" t="str">
        <f ca="1"/>
        <v/>
      </c>
      <c r="K40" s="80" t="str">
        <f ca="1"/>
        <v xml:space="preserve"> </v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"'!B11:J11")="", "", INDIRECT("'" &amp; $A41 &amp; "'!B11:J11"))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80" t="str">
        <f ca="1"/>
        <v/>
      </c>
      <c r="K41" s="80" t="str">
        <f ca="1"/>
        <v xml:space="preserve"> </v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"'!B11:J11")="", "", INDIRECT("'" &amp; $A42 &amp; "'!B11:J11"))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80" t="str">
        <f ca="1"/>
        <v/>
      </c>
      <c r="K42" s="80" t="str">
        <f ca="1"/>
        <v xml:space="preserve"> </v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"'!B11:J11")="", "", INDIRECT("'" &amp; $A43 &amp; "'!B11:J11"))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80" t="str">
        <f ca="1"/>
        <v/>
      </c>
      <c r="K43" s="80" t="str">
        <f ca="1"/>
        <v xml:space="preserve"> </v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"'!B11:J11")="", "", INDIRECT("'" &amp; $A44 &amp; "'!B11:J11"))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80" t="str">
        <f ca="1"/>
        <v/>
      </c>
      <c r="K44" s="80" t="str">
        <f ca="1"/>
        <v xml:space="preserve"> </v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"'!B11:J11")="", "", INDIRECT("'" &amp; $A45 &amp; "'!B11:J11"))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80" t="str">
        <f ca="1"/>
        <v/>
      </c>
      <c r="K45" s="80" t="str">
        <f ca="1"/>
        <v xml:space="preserve"> </v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"'!B11:J11")="", "", INDIRECT("'" &amp; $A46 &amp; "'!B11:J11"))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80" t="str">
        <f ca="1"/>
        <v/>
      </c>
      <c r="K46" s="80" t="str">
        <f ca="1"/>
        <v xml:space="preserve"> </v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"'!B11:J11")="", "", INDIRECT("'" &amp; $A47 &amp; "'!B11:J11"))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80" t="str">
        <f ca="1"/>
        <v/>
      </c>
      <c r="K47" s="80" t="str">
        <f ca="1"/>
        <v xml:space="preserve"> </v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"'!B11:J11")="", "", INDIRECT("'" &amp; $A48 &amp; "'!B11:J11"))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80" t="str">
        <f ca="1"/>
        <v/>
      </c>
      <c r="K48" s="80" t="str">
        <f ca="1"/>
        <v xml:space="preserve"> </v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"'!B11:J11")="", "", INDIRECT("'" &amp; $A49 &amp; "'!B11:J11"))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80" t="str">
        <f ca="1"/>
        <v/>
      </c>
      <c r="K49" s="80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"'!B11:J11")="", "", INDIRECT("'" &amp; $A50 &amp; "'!B11:J11"))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80" t="str">
        <f ca="1"/>
        <v/>
      </c>
      <c r="K50" s="80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"'!B11:J11")="", "", INDIRECT("'" &amp; $A51 &amp; "'!B11:J11"))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80" t="str">
        <f ca="1"/>
        <v/>
      </c>
      <c r="K51" s="80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"'!B11:J11")="", "", INDIRECT("'" &amp; $A52 &amp; "'!B11:J11"))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80" t="str">
        <f ca="1"/>
        <v/>
      </c>
      <c r="K52" s="80" t="str">
        <f ca="1"/>
        <v xml:space="preserve"> </v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"'!B11:J11")="", "", INDIRECT("'" &amp; $A53 &amp; "'!B11:J11"))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80" t="str">
        <f ca="1"/>
        <v/>
      </c>
      <c r="K53" s="80" t="str">
        <f ca="1"/>
        <v xml:space="preserve"> </v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"'!B11:J11")="", "", INDIRECT("'" &amp; $A54 &amp; "'!B11:J11"))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80" t="str">
        <f ca="1"/>
        <v/>
      </c>
      <c r="K54" s="80" t="str">
        <f ca="1"/>
        <v/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"'!B11:J11")="", "", INDIRECT("'" &amp; $A55 &amp; "'!B11:J11"))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80" t="str">
        <f ca="1"/>
        <v/>
      </c>
      <c r="K55" s="80" t="str">
        <f ca="1"/>
        <v xml:space="preserve"> </v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"'!B11:J11")="", "", INDIRECT("'" &amp; $A56 &amp; "'!B11:J11"))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80" t="str">
        <f ca="1"/>
        <v/>
      </c>
      <c r="K56" s="80" t="str">
        <f ca="1"/>
        <v xml:space="preserve"> </v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"'!B11:J11")="", "", INDIRECT("'" &amp; $A57 &amp; "'!B11:J11"))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80" t="str">
        <f ca="1"/>
        <v/>
      </c>
      <c r="K57" s="80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"'!B11:J11")="", "", INDIRECT("'" &amp; $A58 &amp; "'!B11:J11"))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80" t="str">
        <f ca="1"/>
        <v/>
      </c>
      <c r="K58" s="80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"'!B11:J11")="", "", INDIRECT("'" &amp; $A59 &amp; "'!B11:J11"))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80" t="str">
        <f ca="1"/>
        <v/>
      </c>
      <c r="K59" s="80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"'!B11:J11")="", "", INDIRECT("'" &amp; $A60 &amp; "'!B11:J11"))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80" t="str">
        <f ca="1"/>
        <v/>
      </c>
      <c r="K60" s="80" t="str">
        <f ca="1"/>
        <v/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"'!B11:J11")="", "", INDIRECT("'" &amp; $A61 &amp; "'!B11:J11"))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80" t="str">
        <f ca="1"/>
        <v/>
      </c>
      <c r="K61" s="80" t="str">
        <f ca="1"/>
        <v xml:space="preserve"> </v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"'!B11:J11")="", "", INDIRECT("'" &amp; $A62 &amp; "'!B11:J11"))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80" t="str">
        <f ca="1"/>
        <v/>
      </c>
      <c r="K62" s="80" t="str">
        <f ca="1"/>
        <v/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"'!B11:J11")="", "", INDIRECT("'" &amp; $A63 &amp; "'!B11:J11"))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80" t="str">
        <f ca="1"/>
        <v/>
      </c>
      <c r="K63" s="80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"'!B11:J11")="", "", INDIRECT("'" &amp; $A64 &amp; "'!B11:J11"))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80" t="str">
        <f ca="1"/>
        <v/>
      </c>
      <c r="K64" s="80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"'!B11:J11")="", "", INDIRECT("'" &amp; $A65 &amp; "'!B11:J11"))</f>
        <v/>
      </c>
      <c r="D65" s="50" t="str">
        <f ca="1"/>
        <v/>
      </c>
      <c r="E65" s="50" t="str">
        <f ca="1"/>
        <v/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80" t="str">
        <f ca="1"/>
        <v/>
      </c>
      <c r="K65" s="80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"'!B11:J11")="", "", INDIRECT("'" &amp; $A66 &amp; "'!B11:J11"))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80" t="str">
        <f ca="1"/>
        <v/>
      </c>
      <c r="K66" s="80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"'!B11:J11")="", "", INDIRECT("'" &amp; $A67 &amp; "'!B11:J11"))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80" t="str">
        <f ca="1"/>
        <v/>
      </c>
      <c r="K67" s="80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"'!B11:J11")="", "", INDIRECT("'" &amp; $A68 &amp; "'!B11:J11"))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80" t="str">
        <f ca="1"/>
        <v/>
      </c>
      <c r="K68" s="80" t="str">
        <f ca="1"/>
        <v xml:space="preserve"> </v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"'!B11:J11")="", "", INDIRECT("'" &amp; $A69 &amp; "'!B11:J11"))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80" t="str">
        <f ca="1"/>
        <v/>
      </c>
      <c r="K69" s="80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"'!B11:J11")="", "", INDIRECT("'" &amp; $A70 &amp; "'!B11:J11"))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80" t="str">
        <f ca="1"/>
        <v/>
      </c>
      <c r="K70" s="80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"'!B11:J11")="", "", INDIRECT("'" &amp; $A71 &amp; "'!B11:J11"))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80" t="str">
        <f ca="1"/>
        <v/>
      </c>
      <c r="K71" s="80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"'!B11:J11")="", "", INDIRECT("'" &amp; $A72 &amp; "'!B11:J11"))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80" t="str">
        <f ca="1"/>
        <v/>
      </c>
      <c r="K72" s="80" t="str">
        <f ca="1"/>
        <v xml:space="preserve"> </v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"'!B11:J11")="", "", INDIRECT("'" &amp; $A73 &amp; "'!B11:J11"))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80" t="str">
        <f ca="1"/>
        <v/>
      </c>
      <c r="K73" s="80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"'!B11:J11")="", "", INDIRECT("'" &amp; $A74 &amp; "'!B11:J11"))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80" t="str">
        <f ca="1"/>
        <v/>
      </c>
      <c r="K74" s="80" t="str">
        <f ca="1"/>
        <v xml:space="preserve"> </v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"'!B11:J11")="", "", INDIRECT("'" &amp; $A75 &amp; "'!B11:J11"))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80" t="str">
        <f ca="1"/>
        <v/>
      </c>
      <c r="K75" s="80" t="str">
        <f ca="1"/>
        <v xml:space="preserve"> </v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"'!B11:J11")="", "", INDIRECT("'" &amp; $A76 &amp; "'!B11:J11"))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80" t="str">
        <f ca="1"/>
        <v/>
      </c>
      <c r="K76" s="80" t="str">
        <f ca="1"/>
        <v xml:space="preserve"> </v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"'!B11:J11")="", "", INDIRECT("'" &amp; $A77 &amp; "'!B11:J11"))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80" t="str">
        <f ca="1"/>
        <v/>
      </c>
      <c r="K77" s="80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"'!B11:J11")="", "", INDIRECT("'" &amp; $A78 &amp; "'!B11:J11"))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80" t="str">
        <f ca="1"/>
        <v/>
      </c>
      <c r="K78" s="80" t="str">
        <f ca="1"/>
        <v xml:space="preserve"> </v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"'!B11:J11")="", "", INDIRECT("'" &amp; $A79 &amp; "'!B11:J11"))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80" t="str">
        <f ca="1"/>
        <v/>
      </c>
      <c r="K79" s="80" t="str">
        <f ca="1"/>
        <v xml:space="preserve"> </v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"'!B11:J11")="", "", INDIRECT("'" &amp; $A80 &amp; "'!B11:J11"))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80" t="str">
        <f ca="1"/>
        <v/>
      </c>
      <c r="K80" s="80" t="str">
        <f ca="1"/>
        <v xml:space="preserve"> </v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"'!B11:J11")="", "", INDIRECT("'" &amp; $A81 &amp; "'!B11:J11"))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80" t="str">
        <f ca="1"/>
        <v/>
      </c>
      <c r="K81" s="80" t="str">
        <f ca="1"/>
        <v/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"'!B11:J11")="", "", INDIRECT("'" &amp; $A82 &amp; "'!B11:J11"))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80" t="str">
        <f ca="1"/>
        <v/>
      </c>
      <c r="K82" s="80" t="str">
        <f ca="1"/>
        <v xml:space="preserve"> </v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"'!B11:J11")="", "", INDIRECT("'" &amp; $A83 &amp; "'!B11:J11"))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80" t="str">
        <f ca="1"/>
        <v/>
      </c>
      <c r="K83" s="80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"'!B11:J11")="", "", INDIRECT("'" &amp; $A84 &amp; "'!B11:J11"))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80" t="str">
        <f ca="1"/>
        <v/>
      </c>
      <c r="K84" s="80" t="str">
        <f ca="1"/>
        <v xml:space="preserve"> </v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"'!B11:J11")="", "", INDIRECT("'" &amp; $A85 &amp; "'!B11:J11"))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80" t="str">
        <f ca="1"/>
        <v/>
      </c>
      <c r="K85" s="80" t="str">
        <f ca="1"/>
        <v xml:space="preserve"> </v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"'!B11:J11")="", "", INDIRECT("'" &amp; $A86 &amp; "'!B11:J11"))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80" t="str">
        <f ca="1"/>
        <v/>
      </c>
      <c r="K86" s="80" t="str">
        <f ca="1"/>
        <v/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"'!B11:J11")="", "", INDIRECT("'" &amp; $A87 &amp; "'!B11:J11"))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80" t="str">
        <f ca="1"/>
        <v/>
      </c>
      <c r="K87" s="80" t="str">
        <f ca="1"/>
        <v xml:space="preserve"> </v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"'!B11:J11")="", "", INDIRECT("'" &amp; $A88 &amp; "'!B11:J11"))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80" t="str">
        <f ca="1"/>
        <v/>
      </c>
      <c r="K88" s="80" t="str">
        <f ca="1"/>
        <v xml:space="preserve"> </v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"'!B11:J11")="", "", INDIRECT("'" &amp; $A89 &amp; "'!B11:J11"))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80" t="str">
        <f ca="1"/>
        <v/>
      </c>
      <c r="K89" s="80" t="str">
        <f ca="1"/>
        <v xml:space="preserve"> </v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"'!B11:J11")="", "", INDIRECT("'" &amp; $A90 &amp; "'!B11:J11"))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80" t="str">
        <f ca="1"/>
        <v/>
      </c>
      <c r="K90" s="80" t="str">
        <f ca="1"/>
        <v xml:space="preserve"> </v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"'!B11:J11")="", "", INDIRECT("'" &amp; $A91 &amp; "'!B11:J11"))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80" t="str">
        <f ca="1"/>
        <v/>
      </c>
      <c r="K91" s="80" t="str">
        <f ca="1"/>
        <v xml:space="preserve"> </v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"'!B11:J11")="", "", INDIRECT("'" &amp; $A92 &amp; "'!B11:J11"))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80" t="str">
        <f ca="1"/>
        <v/>
      </c>
      <c r="K92" s="80" t="str">
        <f ca="1"/>
        <v/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"'!B11:J11")="", "", INDIRECT("'" &amp; $A93 &amp; "'!B11:J11"))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80" t="str">
        <f ca="1"/>
        <v/>
      </c>
      <c r="K93" s="80" t="str">
        <f ca="1"/>
        <v xml:space="preserve"> </v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"'!B11:J11")="", "", INDIRECT("'" &amp; $A94 &amp; "'!B11:J11"))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80" t="str">
        <f ca="1"/>
        <v/>
      </c>
      <c r="K94" s="80" t="str">
        <f ca="1"/>
        <v xml:space="preserve"> </v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"'!B11:J11")="", "", INDIRECT("'" &amp; $A95 &amp; "'!B11:J11"))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80" t="str">
        <f ca="1"/>
        <v/>
      </c>
      <c r="K95" s="80" t="str">
        <f ca="1"/>
        <v xml:space="preserve"> </v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"'!B11:J11")="", "", INDIRECT("'" &amp; $A96 &amp; "'!B11:J11"))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80" t="str">
        <f ca="1"/>
        <v/>
      </c>
      <c r="K96" s="80" t="str">
        <f ca="1"/>
        <v/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"'!B11:J11")="", "", INDIRECT("'" &amp; $A97 &amp; "'!B11:J11"))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80" t="str">
        <f ca="1"/>
        <v/>
      </c>
      <c r="K97" s="80" t="str">
        <f ca="1"/>
        <v xml:space="preserve"> </v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"'!B11:J11")="", "", INDIRECT("'" &amp; $A98 &amp; "'!B11:J11"))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80" t="str">
        <f ca="1"/>
        <v/>
      </c>
      <c r="K98" s="80" t="str">
        <f ca="1"/>
        <v xml:space="preserve"> </v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"'!B11:J11")="", "", INDIRECT("'" &amp; $A99 &amp; "'!B11:J11"))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80" t="str">
        <f ca="1"/>
        <v/>
      </c>
      <c r="K99" s="80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"'!B11:J11")="", "", INDIRECT("'" &amp; $A100 &amp; "'!B11:J11"))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80" t="str">
        <f ca="1"/>
        <v/>
      </c>
      <c r="K100" s="80" t="str">
        <f ca="1"/>
        <v xml:space="preserve"> </v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"'!B11:J11")="", "", INDIRECT("'" &amp; $A101 &amp; "'!B11:J11"))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80" t="str">
        <f ca="1"/>
        <v/>
      </c>
      <c r="K101" s="80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"'!B11:J11")="", "", INDIRECT("'" &amp; $A102 &amp; "'!B11:J11"))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80" t="str">
        <f ca="1"/>
        <v/>
      </c>
      <c r="K102" s="80" t="str">
        <f ca="1"/>
        <v xml:space="preserve"> </v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"'!B11:J11")="", "", INDIRECT("'" &amp; $A103 &amp; "'!B11:J11"))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80" t="str">
        <f ca="1"/>
        <v/>
      </c>
      <c r="K103" s="80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"'!B11:J11")="", "", INDIRECT("'" &amp; $A104 &amp; "'!B11:J11"))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80" t="str">
        <f ca="1"/>
        <v/>
      </c>
      <c r="K104" s="80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"'!B11:J11")="", "", INDIRECT("'" &amp; $A105 &amp; "'!B11:J11"))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80" t="str">
        <f ca="1"/>
        <v/>
      </c>
      <c r="K105" s="80" t="str">
        <f ca="1"/>
        <v xml:space="preserve"> </v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"'!B11:J11")="", "", INDIRECT("'" &amp; $A106 &amp; "'!B11:J11"))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80" t="str">
        <f ca="1"/>
        <v/>
      </c>
      <c r="K106" s="80" t="str">
        <f ca="1"/>
        <v xml:space="preserve"> </v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"'!B11:J11")="", "", INDIRECT("'" &amp; $A107 &amp; "'!B11:J11"))</f>
        <v/>
      </c>
      <c r="D107" s="50" t="str">
        <f ca="1"/>
        <v/>
      </c>
      <c r="E107" s="50">
        <f ca="1"/>
        <v>0</v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80" t="str">
        <f ca="1"/>
        <v/>
      </c>
      <c r="K107" s="80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"'!B11:J11")="", "", INDIRECT("'" &amp; $A108 &amp; "'!B11:J11"))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80" t="str">
        <f ca="1"/>
        <v/>
      </c>
      <c r="K108" s="80" t="str">
        <f ca="1"/>
        <v/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"'!B11:J11")="", "", INDIRECT("'" &amp; $A109 &amp; "'!B11:J11"))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80" t="str">
        <f ca="1"/>
        <v/>
      </c>
      <c r="K109" s="80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"'!B11:J11")="", "", INDIRECT("'" &amp; $A110 &amp; "'!B11:J11"))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80" t="str">
        <f ca="1"/>
        <v/>
      </c>
      <c r="K110" s="80" t="str">
        <f ca="1"/>
        <v/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"'!B11:J11")="", "", INDIRECT("'" &amp; $A111 &amp; "'!B11:J11"))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80" t="str">
        <f ca="1"/>
        <v/>
      </c>
      <c r="K111" s="80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"'!B11:J11")="", "", INDIRECT("'" &amp; $A112 &amp; "'!B11:J11"))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80" t="str">
        <f ca="1"/>
        <v/>
      </c>
      <c r="K112" s="80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"'!B11:J11")="", "", INDIRECT("'" &amp; $A113 &amp; "'!B11:J11"))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80" t="str">
        <f ca="1"/>
        <v/>
      </c>
      <c r="K113" s="80" t="str">
        <f ca="1"/>
        <v xml:space="preserve"> </v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"'!B11:J11")="", "", INDIRECT("'" &amp; $A114 &amp; "'!B11:J11"))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80" t="str">
        <f ca="1"/>
        <v/>
      </c>
      <c r="K114" s="80" t="str">
        <f ca="1"/>
        <v xml:space="preserve"> </v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"'!B11:J11")="", "", INDIRECT("'" &amp; $A115 &amp; "'!B11:J11"))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80" t="str">
        <f ca="1"/>
        <v/>
      </c>
      <c r="K115" s="80" t="str">
        <f ca="1"/>
        <v xml:space="preserve"> </v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"'!B11:J11")="", "", INDIRECT("'" &amp; $A116 &amp; "'!B11:J11"))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80" t="str">
        <f ca="1"/>
        <v/>
      </c>
      <c r="K116" s="80" t="str">
        <f ca="1"/>
        <v xml:space="preserve"> </v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"'!B11:J11")="", "", INDIRECT("'" &amp; $A117 &amp; "'!B11:J11"))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80" t="str">
        <f ca="1"/>
        <v/>
      </c>
      <c r="K117" s="80" t="str">
        <f ca="1"/>
        <v xml:space="preserve"> </v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"'!B11:J11")="", "", INDIRECT("'" &amp; $A118 &amp; "'!B11:J11"))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80" t="str">
        <f ca="1"/>
        <v/>
      </c>
      <c r="K118" s="80" t="str">
        <f ca="1"/>
        <v xml:space="preserve"> </v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"'!B11:J11")="", "", INDIRECT("'" &amp; $A119 &amp; "'!B11:J11"))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80" t="str">
        <f ca="1"/>
        <v/>
      </c>
      <c r="K119" s="80" t="str">
        <f ca="1"/>
        <v xml:space="preserve"> </v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"'!B11:J11")="", "", INDIRECT("'" &amp; $A120 &amp; "'!B11:J11"))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80" t="str">
        <f ca="1"/>
        <v/>
      </c>
      <c r="K120" s="80" t="str">
        <f ca="1"/>
        <v/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"'!B11:J11")="", "", INDIRECT("'" &amp; $A121 &amp; "'!B11:J11"))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80" t="str">
        <f ca="1"/>
        <v/>
      </c>
      <c r="K121" s="80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"'!B11:J11")="", "", INDIRECT("'" &amp; $A122 &amp; "'!B11:J11"))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80" t="str">
        <f ca="1"/>
        <v/>
      </c>
      <c r="K122" s="80" t="str">
        <f ca="1"/>
        <v xml:space="preserve"> </v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"'!B11:J11")="", "", INDIRECT("'" &amp; $A123 &amp; "'!B11:J11"))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80" t="str">
        <f ca="1"/>
        <v/>
      </c>
      <c r="K123" s="80" t="str">
        <f ca="1"/>
        <v xml:space="preserve"> </v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"'!B11:J11")="", "", INDIRECT("'" &amp; $A124 &amp; "'!B11:J11"))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80" t="str">
        <f ca="1"/>
        <v/>
      </c>
      <c r="K124" s="80" t="str">
        <f ca="1"/>
        <v xml:space="preserve"> </v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"'!B11:J11")="", "", INDIRECT("'" &amp; $A125 &amp; "'!B11:J11"))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80" t="str">
        <f ca="1"/>
        <v/>
      </c>
      <c r="K125" s="80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"'!B11:J11")="", "", INDIRECT("'" &amp; $A126 &amp; "'!B11:J11"))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80" t="str">
        <f ca="1"/>
        <v/>
      </c>
      <c r="K126" s="80" t="str">
        <f ca="1"/>
        <v xml:space="preserve"> </v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"'!B11:J11")="", "", INDIRECT("'" &amp; $A127 &amp; "'!B11:J11"))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80" t="str">
        <f ca="1"/>
        <v/>
      </c>
      <c r="K127" s="80" t="str">
        <f ca="1"/>
        <v xml:space="preserve"> </v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"'!B11:J11")="", "", INDIRECT("'" &amp; $A128 &amp; "'!B11:J11"))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80" t="str">
        <f ca="1"/>
        <v/>
      </c>
      <c r="K128" s="80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"'!B11:J11")="", "", INDIRECT("'" &amp; $A129 &amp; "'!B11:J11"))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80" t="str">
        <f ca="1"/>
        <v/>
      </c>
      <c r="K129" s="80" t="str">
        <f ca="1"/>
        <v xml:space="preserve"> </v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"'!B11:J11")="", "", INDIRECT("'" &amp; $A130 &amp; "'!B11:J11"))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80" t="str">
        <f ca="1"/>
        <v/>
      </c>
      <c r="K130" s="80" t="str">
        <f ca="1"/>
        <v xml:space="preserve"> </v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"'!B11:J11")="", "", INDIRECT("'" &amp; $A131 &amp; "'!B11:J11"))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80" t="str">
        <f ca="1"/>
        <v/>
      </c>
      <c r="K131" s="80" t="str">
        <f ca="1"/>
        <v xml:space="preserve"> </v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"'!B11:J11")="", "", INDIRECT("'" &amp; $A132 &amp; "'!B11:J11"))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80" t="str">
        <f ca="1"/>
        <v/>
      </c>
      <c r="K132" s="80" t="str">
        <f ca="1"/>
        <v xml:space="preserve"> </v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"'!B11:J11")="", "", INDIRECT("'" &amp; $A133 &amp; "'!B11:J11"))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80" t="str">
        <f ca="1"/>
        <v/>
      </c>
      <c r="K133" s="80" t="str">
        <f ca="1"/>
        <v xml:space="preserve"> </v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"'!B11:J11")="", "", INDIRECT("'" &amp; $A134 &amp; "'!B11:J11"))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80" t="str">
        <f ca="1"/>
        <v/>
      </c>
      <c r="K134" s="80" t="str">
        <f ca="1"/>
        <v xml:space="preserve"> </v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"'!B11:J11")="", "", INDIRECT("'" &amp; $A135 &amp; "'!B11:J11"))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80" t="str">
        <f ca="1"/>
        <v/>
      </c>
      <c r="K135" s="80" t="str">
        <f ca="1"/>
        <v xml:space="preserve"> </v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"'!B11:J11")="", "", INDIRECT("'" &amp; $A136 &amp; "'!B11:J11"))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80" t="str">
        <f ca="1"/>
        <v/>
      </c>
      <c r="K136" s="80" t="str">
        <f ca="1"/>
        <v xml:space="preserve"> </v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957CD936-B73F-469A-B0B5-B8EA155C9C51}"/>
  <sortState xmlns:xlrd2="http://schemas.microsoft.com/office/spreadsheetml/2017/richdata2" ref="A3:K19">
    <sortCondition ref="A3:A19"/>
  </sortState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70" priority="1" operator="lessThanOrEqual">
      <formula>-0.1</formula>
    </cfRule>
    <cfRule type="cellIs" dxfId="2169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42"/>
  <sheetViews>
    <sheetView workbookViewId="0">
      <pane ySplit="2" topLeftCell="A107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36</v>
      </c>
      <c r="D1" s="170"/>
      <c r="E1" s="170"/>
      <c r="F1" s="170"/>
      <c r="G1" s="171" t="s">
        <v>37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"'!B12:J12")="", "", INDIRECT("'" &amp; $A3 &amp; "'!B12:J12"))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80" t="str">
        <f ca="1"/>
        <v/>
      </c>
      <c r="K3" s="80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"'!B12:J12")="", "", INDIRECT("'" &amp; $A4 &amp; "'!B12:J12"))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80" t="str">
        <f ca="1"/>
        <v/>
      </c>
      <c r="K4" s="80" t="str">
        <f ca="1"/>
        <v/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"'!B12:J12")="", "", INDIRECT("'" &amp; $A5 &amp; "'!B12:J12"))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80" t="str">
        <f ca="1"/>
        <v/>
      </c>
      <c r="K5" s="80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"'!B12:J12")="", "", INDIRECT("'" &amp; $A6 &amp; "'!B12:J12"))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80" t="str">
        <f ca="1"/>
        <v/>
      </c>
      <c r="K6" s="80" t="str">
        <f ca="1"/>
        <v/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"'!B12:J12")="", "", INDIRECT("'" &amp; $A7 &amp; "'!B12:J12"))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80" t="str">
        <f ca="1"/>
        <v/>
      </c>
      <c r="K7" s="80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"'!B12:J12")="", "", INDIRECT("'" &amp; $A8 &amp; "'!B12:J12"))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80" t="str">
        <f ca="1"/>
        <v/>
      </c>
      <c r="K8" s="80" t="str">
        <f ca="1"/>
        <v/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"'!B12:J12")="", "", INDIRECT("'" &amp; $A9 &amp; "'!B12:J12"))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80" t="str">
        <f ca="1"/>
        <v/>
      </c>
      <c r="K9" s="80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"'!B12:J12")="", "", INDIRECT("'" &amp; $A10 &amp; "'!B12:J12"))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80" t="str">
        <f ca="1"/>
        <v/>
      </c>
      <c r="K10" s="80" t="str">
        <f ca="1"/>
        <v/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"'!B12:J12")="", "", INDIRECT("'" &amp; $A11 &amp; "'!B12:J12"))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80" t="str">
        <f ca="1"/>
        <v/>
      </c>
      <c r="K11" s="80" t="str">
        <f ca="1"/>
        <v/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"'!B12:J12")="", "", INDIRECT("'" &amp; $A12 &amp; "'!B12:J12"))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80" t="str">
        <f ca="1"/>
        <v/>
      </c>
      <c r="K12" s="80" t="str">
        <f ca="1"/>
        <v/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"'!B12:J12")="", "", INDIRECT("'" &amp; $A13 &amp; "'!B12:J12"))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80" t="str">
        <f ca="1"/>
        <v/>
      </c>
      <c r="K13" s="80" t="str">
        <f ca="1"/>
        <v/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"'!B12:J12")="", "", INDIRECT("'" &amp; $A14 &amp; "'!B12:J12"))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80" t="str">
        <f ca="1"/>
        <v/>
      </c>
      <c r="K14" s="80" t="str">
        <f ca="1"/>
        <v/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"'!B12:J12")="", "", INDIRECT("'" &amp; $A15 &amp; "'!B12:J12"))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80" t="str">
        <f ca="1"/>
        <v/>
      </c>
      <c r="K15" s="80" t="str">
        <f ca="1"/>
        <v/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"'!B12:J12")="", "", INDIRECT("'" &amp; $A16 &amp; "'!B12:J12"))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80" t="str">
        <f ca="1"/>
        <v/>
      </c>
      <c r="K16" s="80" t="str">
        <f ca="1"/>
        <v/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"'!B12:J12")="", "", INDIRECT("'" &amp; $A17 &amp; "'!B12:J12"))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80" t="str">
        <f ca="1"/>
        <v/>
      </c>
      <c r="K17" s="80" t="str">
        <f ca="1"/>
        <v/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"'!B12:J12")="", "", INDIRECT("'" &amp; $A18 &amp; "'!B12:J12"))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80" t="str">
        <f ca="1"/>
        <v/>
      </c>
      <c r="K18" s="80" t="str">
        <f ca="1"/>
        <v/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"'!B12:J12")="", "", INDIRECT("'" &amp; $A19 &amp; "'!B12:J12"))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80" t="str">
        <f ca="1"/>
        <v/>
      </c>
      <c r="K19" s="80" t="str">
        <f ca="1"/>
        <v/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"'!B12:J12")="", "", INDIRECT("'" &amp; $A20 &amp; "'!B12:J12"))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80" t="str">
        <f ca="1"/>
        <v/>
      </c>
      <c r="K20" s="80" t="str">
        <f ca="1"/>
        <v/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"'!B12:J12")="", "", INDIRECT("'" &amp; $A21 &amp; "'!B12:J12"))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80" t="str">
        <f ca="1"/>
        <v/>
      </c>
      <c r="K21" s="80" t="str">
        <f ca="1"/>
        <v/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"'!B12:J12")="", "", INDIRECT("'" &amp; $A22 &amp; "'!B12:J12"))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80" t="str">
        <f ca="1"/>
        <v/>
      </c>
      <c r="K22" s="80" t="str">
        <f ca="1"/>
        <v/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"'!B12:J12")="", "", INDIRECT("'" &amp; $A23 &amp; "'!B12:J12"))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80" t="str">
        <f ca="1"/>
        <v/>
      </c>
      <c r="K23" s="80" t="str">
        <f ca="1"/>
        <v/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"'!B12:J12")="", "", INDIRECT("'" &amp; $A24 &amp; "'!B12:J12"))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80" t="str">
        <f ca="1"/>
        <v/>
      </c>
      <c r="K24" s="80" t="str">
        <f ca="1"/>
        <v/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"'!B12:J12")="", "", INDIRECT("'" &amp; $A25 &amp; "'!B12:J12"))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80" t="str">
        <f ca="1"/>
        <v/>
      </c>
      <c r="K25" s="80" t="str">
        <f ca="1"/>
        <v/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"'!B12:J12")="", "", INDIRECT("'" &amp; $A26 &amp; "'!B12:J12"))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80" t="str">
        <f ca="1"/>
        <v/>
      </c>
      <c r="K26" s="80" t="str">
        <f ca="1"/>
        <v/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"'!B12:J12")="", "", INDIRECT("'" &amp; $A27 &amp; "'!B12:J12"))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80" t="str">
        <f ca="1"/>
        <v/>
      </c>
      <c r="K27" s="80" t="str">
        <f ca="1"/>
        <v/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"'!B12:J12")="", "", INDIRECT("'" &amp; $A28 &amp; "'!B12:J12"))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80" t="str">
        <f ca="1"/>
        <v/>
      </c>
      <c r="K28" s="80" t="str">
        <f ca="1"/>
        <v/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"'!B12:J12")="", "", INDIRECT("'" &amp; $A29 &amp; "'!B12:J12"))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80" t="str">
        <f ca="1"/>
        <v/>
      </c>
      <c r="K29" s="80" t="str">
        <f ca="1"/>
        <v/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"'!B12:J12")="", "", INDIRECT("'" &amp; $A30 &amp; "'!B12:J12"))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80" t="str">
        <f ca="1"/>
        <v/>
      </c>
      <c r="K30" s="80" t="str">
        <f ca="1"/>
        <v/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"'!B12:J12")="", "", INDIRECT("'" &amp; $A31 &amp; "'!B12:J12"))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80" t="str">
        <f ca="1"/>
        <v/>
      </c>
      <c r="K31" s="80" t="str">
        <f ca="1"/>
        <v/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"'!B12:J12")="", "", INDIRECT("'" &amp; $A32 &amp; "'!B12:J12"))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80" t="str">
        <f ca="1"/>
        <v/>
      </c>
      <c r="K32" s="80" t="str">
        <f ca="1"/>
        <v/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"'!B12:J12")="", "", INDIRECT("'" &amp; $A33 &amp; "'!B12:J12"))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80" t="str">
        <f ca="1"/>
        <v/>
      </c>
      <c r="K33" s="80" t="str">
        <f ca="1"/>
        <v/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"'!B12:J12")="", "", INDIRECT("'" &amp; $A34 &amp; "'!B12:J12"))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80" t="str">
        <f ca="1"/>
        <v/>
      </c>
      <c r="K34" s="80" t="str">
        <f ca="1"/>
        <v/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"'!B12:J12")="", "", INDIRECT("'" &amp; $A35 &amp; "'!B12:J12"))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80" t="str">
        <f ca="1"/>
        <v/>
      </c>
      <c r="K35" s="80" t="str">
        <f ca="1"/>
        <v/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"'!B12:J12")="", "", INDIRECT("'" &amp; $A36 &amp; "'!B12:J12"))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80" t="str">
        <f ca="1"/>
        <v/>
      </c>
      <c r="K36" s="80" t="str">
        <f ca="1"/>
        <v/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"'!B12:J12")="", "", INDIRECT("'" &amp; $A37 &amp; "'!B12:J12"))</f>
        <v/>
      </c>
      <c r="D37" s="50" t="str">
        <f ca="1"/>
        <v/>
      </c>
      <c r="E37" s="50">
        <f ca="1"/>
        <v>0</v>
      </c>
      <c r="F37" s="51">
        <f ca="1"/>
        <v>0</v>
      </c>
      <c r="G37" s="52" t="str">
        <f ca="1"/>
        <v/>
      </c>
      <c r="H37" s="52">
        <f ca="1"/>
        <v>0</v>
      </c>
      <c r="I37" s="53">
        <f ca="1"/>
        <v>0</v>
      </c>
      <c r="J37" s="80" t="str">
        <f ca="1"/>
        <v/>
      </c>
      <c r="K37" s="80" t="str">
        <f ca="1"/>
        <v/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"'!B12:J12")="", "", INDIRECT("'" &amp; $A38 &amp; "'!B12:J12"))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80" t="str">
        <f ca="1"/>
        <v/>
      </c>
      <c r="K38" s="80" t="str">
        <f ca="1"/>
        <v/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"'!B12:J12")="", "", INDIRECT("'" &amp; $A39 &amp; "'!B12:J12"))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80" t="str">
        <f ca="1"/>
        <v/>
      </c>
      <c r="K39" s="80" t="str">
        <f ca="1"/>
        <v/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"'!B12:J12")="", "", INDIRECT("'" &amp; $A40 &amp; "'!B12:J12"))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80" t="str">
        <f ca="1"/>
        <v/>
      </c>
      <c r="K40" s="80" t="str">
        <f ca="1"/>
        <v/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"'!B12:J12")="", "", INDIRECT("'" &amp; $A41 &amp; "'!B12:J12"))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80" t="str">
        <f ca="1"/>
        <v/>
      </c>
      <c r="K41" s="80" t="str">
        <f ca="1"/>
        <v/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"'!B12:J12")="", "", INDIRECT("'" &amp; $A42 &amp; "'!B12:J12"))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80" t="str">
        <f ca="1"/>
        <v/>
      </c>
      <c r="K42" s="80" t="str">
        <f ca="1"/>
        <v/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"'!B12:J12")="", "", INDIRECT("'" &amp; $A43 &amp; "'!B12:J12"))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80" t="str">
        <f ca="1"/>
        <v/>
      </c>
      <c r="K43" s="80" t="str">
        <f ca="1"/>
        <v/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"'!B12:J12")="", "", INDIRECT("'" &amp; $A44 &amp; "'!B12:J12"))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80" t="str">
        <f ca="1"/>
        <v/>
      </c>
      <c r="K44" s="80" t="str">
        <f ca="1"/>
        <v/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"'!B12:J12")="", "", INDIRECT("'" &amp; $A45 &amp; "'!B12:J12"))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80" t="str">
        <f ca="1"/>
        <v/>
      </c>
      <c r="K45" s="80" t="str">
        <f ca="1"/>
        <v/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"'!B12:J12")="", "", INDIRECT("'" &amp; $A46 &amp; "'!B12:J12"))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80" t="str">
        <f ca="1"/>
        <v/>
      </c>
      <c r="K46" s="80" t="str">
        <f ca="1"/>
        <v/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"'!B12:J12")="", "", INDIRECT("'" &amp; $A47 &amp; "'!B12:J12"))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80" t="str">
        <f ca="1"/>
        <v/>
      </c>
      <c r="K47" s="80" t="str">
        <f ca="1"/>
        <v/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"'!B12:J12")="", "", INDIRECT("'" &amp; $A48 &amp; "'!B12:J12"))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80" t="str">
        <f ca="1"/>
        <v/>
      </c>
      <c r="K48" s="80" t="str">
        <f ca="1"/>
        <v/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"'!B12:J12")="", "", INDIRECT("'" &amp; $A49 &amp; "'!B12:J12"))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80" t="str">
        <f ca="1"/>
        <v/>
      </c>
      <c r="K49" s="80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"'!B12:J12")="", "", INDIRECT("'" &amp; $A50 &amp; "'!B12:J12"))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80" t="str">
        <f ca="1"/>
        <v/>
      </c>
      <c r="K50" s="80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"'!B12:J12")="", "", INDIRECT("'" &amp; $A51 &amp; "'!B12:J12"))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80" t="str">
        <f ca="1"/>
        <v/>
      </c>
      <c r="K51" s="80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"'!B12:J12")="", "", INDIRECT("'" &amp; $A52 &amp; "'!B12:J12"))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80" t="str">
        <f ca="1"/>
        <v/>
      </c>
      <c r="K52" s="80" t="str">
        <f ca="1"/>
        <v/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"'!B12:J12")="", "", INDIRECT("'" &amp; $A53 &amp; "'!B12:J12"))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80" t="str">
        <f ca="1"/>
        <v/>
      </c>
      <c r="K53" s="80" t="str">
        <f ca="1"/>
        <v/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"'!B12:J12")="", "", INDIRECT("'" &amp; $A54 &amp; "'!B12:J12"))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80" t="str">
        <f ca="1"/>
        <v/>
      </c>
      <c r="K54" s="80" t="str">
        <f ca="1"/>
        <v/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"'!B12:J12")="", "", INDIRECT("'" &amp; $A55 &amp; "'!B12:J12"))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80" t="str">
        <f ca="1"/>
        <v/>
      </c>
      <c r="K55" s="80" t="str">
        <f ca="1"/>
        <v/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"'!B12:J12")="", "", INDIRECT("'" &amp; $A56 &amp; "'!B12:J12"))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80" t="str">
        <f ca="1"/>
        <v/>
      </c>
      <c r="K56" s="80" t="str">
        <f ca="1"/>
        <v/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"'!B12:J12")="", "", INDIRECT("'" &amp; $A57 &amp; "'!B12:J12"))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80" t="str">
        <f ca="1"/>
        <v/>
      </c>
      <c r="K57" s="80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"'!B12:J12")="", "", INDIRECT("'" &amp; $A58 &amp; "'!B12:J12"))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80" t="str">
        <f ca="1"/>
        <v/>
      </c>
      <c r="K58" s="80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"'!B12:J12")="", "", INDIRECT("'" &amp; $A59 &amp; "'!B12:J12"))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80" t="str">
        <f ca="1"/>
        <v/>
      </c>
      <c r="K59" s="80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"'!B12:J12")="", "", INDIRECT("'" &amp; $A60 &amp; "'!B12:J12"))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80" t="str">
        <f ca="1"/>
        <v/>
      </c>
      <c r="K60" s="80" t="str">
        <f ca="1"/>
        <v/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"'!B12:J12")="", "", INDIRECT("'" &amp; $A61 &amp; "'!B12:J12"))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80" t="str">
        <f ca="1"/>
        <v/>
      </c>
      <c r="K61" s="80" t="str">
        <f ca="1"/>
        <v/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"'!B12:J12")="", "", INDIRECT("'" &amp; $A62 &amp; "'!B12:J12"))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80" t="str">
        <f ca="1"/>
        <v/>
      </c>
      <c r="K62" s="80" t="str">
        <f ca="1"/>
        <v/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"'!B12:J12")="", "", INDIRECT("'" &amp; $A63 &amp; "'!B12:J12"))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80" t="str">
        <f ca="1"/>
        <v/>
      </c>
      <c r="K63" s="80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"'!B12:J12")="", "", INDIRECT("'" &amp; $A64 &amp; "'!B12:J12"))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80" t="str">
        <f ca="1"/>
        <v/>
      </c>
      <c r="K64" s="80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"'!B12:J12")="", "", INDIRECT("'" &amp; $A65 &amp; "'!B12:J12"))</f>
        <v/>
      </c>
      <c r="D65" s="50" t="str">
        <f ca="1"/>
        <v/>
      </c>
      <c r="E65" s="50" t="str">
        <f ca="1"/>
        <v/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80" t="str">
        <f ca="1"/>
        <v/>
      </c>
      <c r="K65" s="80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"'!B12:J12")="", "", INDIRECT("'" &amp; $A66 &amp; "'!B12:J12"))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80" t="str">
        <f ca="1"/>
        <v/>
      </c>
      <c r="K66" s="80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"'!B12:J12")="", "", INDIRECT("'" &amp; $A67 &amp; "'!B12:J12"))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80" t="str">
        <f ca="1"/>
        <v/>
      </c>
      <c r="K67" s="80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"'!B12:J12")="", "", INDIRECT("'" &amp; $A68 &amp; "'!B12:J12"))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80" t="str">
        <f ca="1"/>
        <v/>
      </c>
      <c r="K68" s="80" t="str">
        <f ca="1"/>
        <v/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"'!B12:J12")="", "", INDIRECT("'" &amp; $A69 &amp; "'!B12:J12"))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80" t="str">
        <f ca="1"/>
        <v/>
      </c>
      <c r="K69" s="80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"'!B12:J12")="", "", INDIRECT("'" &amp; $A70 &amp; "'!B12:J12"))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80" t="str">
        <f ca="1"/>
        <v/>
      </c>
      <c r="K70" s="80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"'!B12:J12")="", "", INDIRECT("'" &amp; $A71 &amp; "'!B12:J12"))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80" t="str">
        <f ca="1"/>
        <v/>
      </c>
      <c r="K71" s="80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"'!B12:J12")="", "", INDIRECT("'" &amp; $A72 &amp; "'!B12:J12"))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80" t="str">
        <f ca="1"/>
        <v/>
      </c>
      <c r="K72" s="80" t="str">
        <f ca="1"/>
        <v/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"'!B12:J12")="", "", INDIRECT("'" &amp; $A73 &amp; "'!B12:J12"))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80" t="str">
        <f ca="1"/>
        <v/>
      </c>
      <c r="K73" s="80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"'!B12:J12")="", "", INDIRECT("'" &amp; $A74 &amp; "'!B12:J12"))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80" t="str">
        <f ca="1"/>
        <v/>
      </c>
      <c r="K74" s="80" t="str">
        <f ca="1"/>
        <v/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"'!B12:J12")="", "", INDIRECT("'" &amp; $A75 &amp; "'!B12:J12"))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80" t="str">
        <f ca="1"/>
        <v/>
      </c>
      <c r="K75" s="80" t="str">
        <f ca="1"/>
        <v/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"'!B12:J12")="", "", INDIRECT("'" &amp; $A76 &amp; "'!B12:J12"))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80" t="str">
        <f ca="1"/>
        <v/>
      </c>
      <c r="K76" s="80" t="str">
        <f ca="1"/>
        <v/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"'!B12:J12")="", "", INDIRECT("'" &amp; $A77 &amp; "'!B12:J12"))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80" t="str">
        <f ca="1"/>
        <v/>
      </c>
      <c r="K77" s="80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"'!B12:J12")="", "", INDIRECT("'" &amp; $A78 &amp; "'!B12:J12"))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80" t="str">
        <f ca="1"/>
        <v/>
      </c>
      <c r="K78" s="80" t="str">
        <f ca="1"/>
        <v/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"'!B12:J12")="", "", INDIRECT("'" &amp; $A79 &amp; "'!B12:J12"))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80" t="str">
        <f ca="1"/>
        <v/>
      </c>
      <c r="K79" s="80" t="str">
        <f ca="1"/>
        <v/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"'!B12:J12")="", "", INDIRECT("'" &amp; $A80 &amp; "'!B12:J12"))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80" t="str">
        <f ca="1"/>
        <v/>
      </c>
      <c r="K80" s="80" t="str">
        <f ca="1"/>
        <v/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"'!B12:J12")="", "", INDIRECT("'" &amp; $A81 &amp; "'!B12:J12"))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80" t="str">
        <f ca="1"/>
        <v/>
      </c>
      <c r="K81" s="80" t="str">
        <f ca="1"/>
        <v/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"'!B12:J12")="", "", INDIRECT("'" &amp; $A82 &amp; "'!B12:J12"))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80" t="str">
        <f ca="1"/>
        <v/>
      </c>
      <c r="K82" s="80" t="str">
        <f ca="1"/>
        <v/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"'!B12:J12")="", "", INDIRECT("'" &amp; $A83 &amp; "'!B12:J12"))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80" t="str">
        <f ca="1"/>
        <v/>
      </c>
      <c r="K83" s="80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"'!B12:J12")="", "", INDIRECT("'" &amp; $A84 &amp; "'!B12:J12"))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80" t="str">
        <f ca="1"/>
        <v/>
      </c>
      <c r="K84" s="80" t="str">
        <f ca="1"/>
        <v/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"'!B12:J12")="", "", INDIRECT("'" &amp; $A85 &amp; "'!B12:J12"))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80" t="str">
        <f ca="1"/>
        <v/>
      </c>
      <c r="K85" s="80" t="str">
        <f ca="1"/>
        <v/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"'!B12:J12")="", "", INDIRECT("'" &amp; $A86 &amp; "'!B12:J12"))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80" t="str">
        <f ca="1"/>
        <v/>
      </c>
      <c r="K86" s="80" t="str">
        <f ca="1"/>
        <v/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"'!B12:J12")="", "", INDIRECT("'" &amp; $A87 &amp; "'!B12:J12"))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80" t="str">
        <f ca="1"/>
        <v/>
      </c>
      <c r="K87" s="80" t="str">
        <f ca="1"/>
        <v/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"'!B12:J12")="", "", INDIRECT("'" &amp; $A88 &amp; "'!B12:J12"))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80" t="str">
        <f ca="1"/>
        <v/>
      </c>
      <c r="K88" s="80" t="str">
        <f ca="1"/>
        <v/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"'!B12:J12")="", "", INDIRECT("'" &amp; $A89 &amp; "'!B12:J12"))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80" t="str">
        <f ca="1"/>
        <v/>
      </c>
      <c r="K89" s="80" t="str">
        <f ca="1"/>
        <v/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"'!B12:J12")="", "", INDIRECT("'" &amp; $A90 &amp; "'!B12:J12"))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80" t="str">
        <f ca="1"/>
        <v/>
      </c>
      <c r="K90" s="80" t="str">
        <f ca="1"/>
        <v/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"'!B12:J12")="", "", INDIRECT("'" &amp; $A91 &amp; "'!B12:J12"))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80" t="str">
        <f ca="1"/>
        <v/>
      </c>
      <c r="K91" s="80" t="str">
        <f ca="1"/>
        <v/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"'!B12:J12")="", "", INDIRECT("'" &amp; $A92 &amp; "'!B12:J12"))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80" t="str">
        <f ca="1"/>
        <v/>
      </c>
      <c r="K92" s="80" t="str">
        <f ca="1"/>
        <v/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"'!B12:J12")="", "", INDIRECT("'" &amp; $A93 &amp; "'!B12:J12"))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80" t="str">
        <f ca="1"/>
        <v/>
      </c>
      <c r="K93" s="80" t="str">
        <f ca="1"/>
        <v/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"'!B12:J12")="", "", INDIRECT("'" &amp; $A94 &amp; "'!B12:J12"))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80" t="str">
        <f ca="1"/>
        <v/>
      </c>
      <c r="K94" s="80" t="str">
        <f ca="1"/>
        <v/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"'!B12:J12")="", "", INDIRECT("'" &amp; $A95 &amp; "'!B12:J12"))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80" t="str">
        <f ca="1"/>
        <v/>
      </c>
      <c r="K95" s="80" t="str">
        <f ca="1"/>
        <v/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"'!B12:J12")="", "", INDIRECT("'" &amp; $A96 &amp; "'!B12:J12"))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80" t="str">
        <f ca="1"/>
        <v/>
      </c>
      <c r="K96" s="80" t="str">
        <f ca="1"/>
        <v/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"'!B12:J12")="", "", INDIRECT("'" &amp; $A97 &amp; "'!B12:J12"))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80" t="str">
        <f ca="1"/>
        <v/>
      </c>
      <c r="K97" s="80" t="str">
        <f ca="1"/>
        <v/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"'!B12:J12")="", "", INDIRECT("'" &amp; $A98 &amp; "'!B12:J12"))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80" t="str">
        <f ca="1"/>
        <v/>
      </c>
      <c r="K98" s="80" t="str">
        <f ca="1"/>
        <v/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"'!B12:J12")="", "", INDIRECT("'" &amp; $A99 &amp; "'!B12:J12"))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80" t="str">
        <f ca="1"/>
        <v/>
      </c>
      <c r="K99" s="80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"'!B12:J12")="", "", INDIRECT("'" &amp; $A100 &amp; "'!B12:J12"))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80" t="str">
        <f ca="1"/>
        <v/>
      </c>
      <c r="K100" s="80" t="str">
        <f ca="1"/>
        <v/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"'!B12:J12")="", "", INDIRECT("'" &amp; $A101 &amp; "'!B12:J12"))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80" t="str">
        <f ca="1"/>
        <v/>
      </c>
      <c r="K101" s="80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"'!B12:J12")="", "", INDIRECT("'" &amp; $A102 &amp; "'!B12:J12"))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80" t="str">
        <f ca="1"/>
        <v/>
      </c>
      <c r="K102" s="80" t="str">
        <f ca="1"/>
        <v/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"'!B12:J12")="", "", INDIRECT("'" &amp; $A103 &amp; "'!B12:J12"))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80" t="str">
        <f ca="1"/>
        <v/>
      </c>
      <c r="K103" s="80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"'!B12:J12")="", "", INDIRECT("'" &amp; $A104 &amp; "'!B12:J12"))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80" t="str">
        <f ca="1"/>
        <v/>
      </c>
      <c r="K104" s="80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"'!B12:J12")="", "", INDIRECT("'" &amp; $A105 &amp; "'!B12:J12"))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80" t="str">
        <f ca="1"/>
        <v/>
      </c>
      <c r="K105" s="80" t="str">
        <f ca="1"/>
        <v/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"'!B12:J12")="", "", INDIRECT("'" &amp; $A106 &amp; "'!B12:J12"))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80" t="str">
        <f ca="1"/>
        <v/>
      </c>
      <c r="K106" s="80" t="str">
        <f ca="1"/>
        <v/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"'!B12:J12")="", "", INDIRECT("'" &amp; $A107 &amp; "'!B12:J12"))</f>
        <v/>
      </c>
      <c r="D107" s="50" t="str">
        <f ca="1"/>
        <v/>
      </c>
      <c r="E107" s="50" t="str">
        <f ca="1"/>
        <v/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80" t="str">
        <f ca="1"/>
        <v/>
      </c>
      <c r="K107" s="80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"'!B12:J12")="", "", INDIRECT("'" &amp; $A108 &amp; "'!B12:J12"))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80" t="str">
        <f ca="1"/>
        <v/>
      </c>
      <c r="K108" s="80" t="str">
        <f ca="1"/>
        <v/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"'!B12:J12")="", "", INDIRECT("'" &amp; $A109 &amp; "'!B12:J12"))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80" t="str">
        <f ca="1"/>
        <v/>
      </c>
      <c r="K109" s="80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"'!B12:J12")="", "", INDIRECT("'" &amp; $A110 &amp; "'!B12:J12"))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80" t="str">
        <f ca="1"/>
        <v/>
      </c>
      <c r="K110" s="80" t="str">
        <f ca="1"/>
        <v/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"'!B12:J12")="", "", INDIRECT("'" &amp; $A111 &amp; "'!B12:J12"))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80" t="str">
        <f ca="1"/>
        <v/>
      </c>
      <c r="K111" s="80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"'!B12:J12")="", "", INDIRECT("'" &amp; $A112 &amp; "'!B12:J12"))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80" t="str">
        <f ca="1"/>
        <v/>
      </c>
      <c r="K112" s="80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"'!B12:J12")="", "", INDIRECT("'" &amp; $A113 &amp; "'!B12:J12"))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80" t="str">
        <f ca="1"/>
        <v/>
      </c>
      <c r="K113" s="80" t="str">
        <f ca="1"/>
        <v/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"'!B12:J12")="", "", INDIRECT("'" &amp; $A114 &amp; "'!B12:J12"))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80" t="str">
        <f ca="1"/>
        <v/>
      </c>
      <c r="K114" s="80" t="str">
        <f ca="1"/>
        <v/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"'!B12:J12")="", "", INDIRECT("'" &amp; $A115 &amp; "'!B12:J12"))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80" t="str">
        <f ca="1"/>
        <v/>
      </c>
      <c r="K115" s="80" t="str">
        <f ca="1"/>
        <v/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"'!B12:J12")="", "", INDIRECT("'" &amp; $A116 &amp; "'!B12:J12"))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80" t="str">
        <f ca="1"/>
        <v/>
      </c>
      <c r="K116" s="80" t="str">
        <f ca="1"/>
        <v/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"'!B12:J12")="", "", INDIRECT("'" &amp; $A117 &amp; "'!B12:J12"))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80" t="str">
        <f ca="1"/>
        <v/>
      </c>
      <c r="K117" s="80" t="str">
        <f ca="1"/>
        <v/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"'!B12:J12")="", "", INDIRECT("'" &amp; $A118 &amp; "'!B12:J12"))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80" t="str">
        <f ca="1"/>
        <v/>
      </c>
      <c r="K118" s="80" t="str">
        <f ca="1"/>
        <v/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"'!B12:J12")="", "", INDIRECT("'" &amp; $A119 &amp; "'!B12:J12"))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80" t="str">
        <f ca="1"/>
        <v/>
      </c>
      <c r="K119" s="80" t="str">
        <f ca="1"/>
        <v/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"'!B12:J12")="", "", INDIRECT("'" &amp; $A120 &amp; "'!B12:J12"))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80" t="str">
        <f ca="1"/>
        <v/>
      </c>
      <c r="K120" s="80" t="str">
        <f ca="1"/>
        <v/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"'!B12:J12")="", "", INDIRECT("'" &amp; $A121 &amp; "'!B12:J12"))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80" t="str">
        <f ca="1"/>
        <v/>
      </c>
      <c r="K121" s="80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"'!B12:J12")="", "", INDIRECT("'" &amp; $A122 &amp; "'!B12:J12"))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80" t="str">
        <f ca="1"/>
        <v/>
      </c>
      <c r="K122" s="80" t="str">
        <f ca="1"/>
        <v/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"'!B12:J12")="", "", INDIRECT("'" &amp; $A123 &amp; "'!B12:J12"))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80" t="str">
        <f ca="1"/>
        <v/>
      </c>
      <c r="K123" s="80" t="str">
        <f ca="1"/>
        <v/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"'!B12:J12")="", "", INDIRECT("'" &amp; $A124 &amp; "'!B12:J12"))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80" t="str">
        <f ca="1"/>
        <v/>
      </c>
      <c r="K124" s="80" t="str">
        <f ca="1"/>
        <v/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"'!B12:J12")="", "", INDIRECT("'" &amp; $A125 &amp; "'!B12:J12"))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80" t="str">
        <f ca="1"/>
        <v/>
      </c>
      <c r="K125" s="80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"'!B12:J12")="", "", INDIRECT("'" &amp; $A126 &amp; "'!B12:J12"))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80" t="str">
        <f ca="1"/>
        <v/>
      </c>
      <c r="K126" s="80" t="str">
        <f ca="1"/>
        <v/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"'!B12:J12")="", "", INDIRECT("'" &amp; $A127 &amp; "'!B12:J12"))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80" t="str">
        <f ca="1"/>
        <v/>
      </c>
      <c r="K127" s="80" t="str">
        <f ca="1"/>
        <v/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"'!B12:J12")="", "", INDIRECT("'" &amp; $A128 &amp; "'!B12:J12"))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80" t="str">
        <f ca="1"/>
        <v/>
      </c>
      <c r="K128" s="80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"'!B12:J12")="", "", INDIRECT("'" &amp; $A129 &amp; "'!B12:J12"))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80" t="str">
        <f ca="1"/>
        <v/>
      </c>
      <c r="K129" s="80" t="str">
        <f ca="1"/>
        <v/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"'!B12:J12")="", "", INDIRECT("'" &amp; $A130 &amp; "'!B12:J12"))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80" t="str">
        <f ca="1"/>
        <v/>
      </c>
      <c r="K130" s="80" t="str">
        <f ca="1"/>
        <v/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"'!B12:J12")="", "", INDIRECT("'" &amp; $A131 &amp; "'!B12:J12"))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80" t="str">
        <f ca="1"/>
        <v/>
      </c>
      <c r="K131" s="80" t="str">
        <f ca="1"/>
        <v/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"'!B12:J12")="", "", INDIRECT("'" &amp; $A132 &amp; "'!B12:J12"))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80" t="str">
        <f ca="1"/>
        <v/>
      </c>
      <c r="K132" s="80" t="str">
        <f ca="1"/>
        <v/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"'!B12:J12")="", "", INDIRECT("'" &amp; $A133 &amp; "'!B12:J12"))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80" t="str">
        <f ca="1"/>
        <v/>
      </c>
      <c r="K133" s="80" t="str">
        <f ca="1"/>
        <v/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"'!B12:J12")="", "", INDIRECT("'" &amp; $A134 &amp; "'!B12:J12"))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80" t="str">
        <f ca="1"/>
        <v/>
      </c>
      <c r="K134" s="80" t="str">
        <f ca="1"/>
        <v/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"'!B12:J12")="", "", INDIRECT("'" &amp; $A135 &amp; "'!B12:J12"))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80" t="str">
        <f ca="1"/>
        <v/>
      </c>
      <c r="K135" s="80" t="str">
        <f ca="1"/>
        <v/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"'!B12:J12")="", "", INDIRECT("'" &amp; $A136 &amp; "'!B12:J12"))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80" t="str">
        <f ca="1"/>
        <v/>
      </c>
      <c r="K136" s="80" t="str">
        <f ca="1"/>
        <v/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48D80AE8-42BF-4DAC-863F-113F77A3E00F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68" priority="1" operator="lessThanOrEqual">
      <formula>-0.1</formula>
    </cfRule>
    <cfRule type="cellIs" dxfId="2167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42"/>
  <sheetViews>
    <sheetView workbookViewId="0">
      <pane ySplit="2" topLeftCell="A106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38</v>
      </c>
      <c r="D1" s="170"/>
      <c r="E1" s="170"/>
      <c r="F1" s="170"/>
      <c r="G1" s="171" t="s">
        <v>39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"'!B13:J13")="", "", INDIRECT("'" &amp; $A3 &amp; "'!B13:J13"))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26" t="str">
        <f ca="1"/>
        <v/>
      </c>
      <c r="K3" s="26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"'!B13:J13")="", "", INDIRECT("'" &amp; $A4 &amp; "'!B13:J13"))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26" t="str">
        <f ca="1"/>
        <v/>
      </c>
      <c r="K4" s="26" t="str">
        <f ca="1"/>
        <v/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"'!B13:J13")="", "", INDIRECT("'" &amp; $A5 &amp; "'!B13:J13"))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26" t="str">
        <f ca="1"/>
        <v/>
      </c>
      <c r="K5" s="26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"'!B13:J13")="", "", INDIRECT("'" &amp; $A6 &amp; "'!B13:J13"))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26" t="str">
        <f ca="1"/>
        <v/>
      </c>
      <c r="K6" s="26" t="str">
        <f ca="1"/>
        <v/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"'!B13:J13")="", "", INDIRECT("'" &amp; $A7 &amp; "'!B13:J13"))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26" t="str">
        <f ca="1"/>
        <v/>
      </c>
      <c r="K7" s="26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"'!B13:J13")="", "", INDIRECT("'" &amp; $A8 &amp; "'!B13:J13"))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26" t="str">
        <f ca="1"/>
        <v/>
      </c>
      <c r="K8" s="26" t="str">
        <f ca="1"/>
        <v/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"'!B13:J13")="", "", INDIRECT("'" &amp; $A9 &amp; "'!B13:J13"))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26" t="str">
        <f ca="1"/>
        <v/>
      </c>
      <c r="K9" s="26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"'!B13:J13")="", "", INDIRECT("'" &amp; $A10 &amp; "'!B13:J13"))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26" t="str">
        <f ca="1"/>
        <v/>
      </c>
      <c r="K10" s="26" t="str">
        <f ca="1"/>
        <v/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"'!B13:J13")="", "", INDIRECT("'" &amp; $A11 &amp; "'!B13:J13"))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26" t="str">
        <f ca="1"/>
        <v/>
      </c>
      <c r="K11" s="26" t="str">
        <f ca="1"/>
        <v/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"'!B13:J13")="", "", INDIRECT("'" &amp; $A12 &amp; "'!B13:J13"))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26" t="str">
        <f ca="1"/>
        <v/>
      </c>
      <c r="K12" s="26" t="str">
        <f ca="1"/>
        <v/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"'!B13:J13")="", "", INDIRECT("'" &amp; $A13 &amp; "'!B13:J13"))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26" t="str">
        <f ca="1"/>
        <v/>
      </c>
      <c r="K13" s="26" t="str">
        <f ca="1"/>
        <v/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"'!B13:J13")="", "", INDIRECT("'" &amp; $A14 &amp; "'!B13:J13"))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26" t="str">
        <f ca="1"/>
        <v/>
      </c>
      <c r="K14" s="26" t="str">
        <f ca="1"/>
        <v/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"'!B13:J13")="", "", INDIRECT("'" &amp; $A15 &amp; "'!B13:J13"))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26" t="str">
        <f ca="1"/>
        <v/>
      </c>
      <c r="K15" s="26" t="str">
        <f ca="1"/>
        <v/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"'!B13:J13")="", "", INDIRECT("'" &amp; $A16 &amp; "'!B13:J13"))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26" t="str">
        <f ca="1"/>
        <v/>
      </c>
      <c r="K16" s="26" t="str">
        <f ca="1"/>
        <v/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"'!B13:J13")="", "", INDIRECT("'" &amp; $A17 &amp; "'!B13:J13"))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26" t="str">
        <f ca="1"/>
        <v/>
      </c>
      <c r="K17" s="26" t="str">
        <f ca="1"/>
        <v/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"'!B13:J13")="", "", INDIRECT("'" &amp; $A18 &amp; "'!B13:J13"))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26" t="str">
        <f ca="1"/>
        <v/>
      </c>
      <c r="K18" s="26" t="str">
        <f ca="1"/>
        <v/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"'!B13:J13")="", "", INDIRECT("'" &amp; $A19 &amp; "'!B13:J13"))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26" t="str">
        <f ca="1"/>
        <v/>
      </c>
      <c r="K19" s="26" t="str">
        <f ca="1"/>
        <v/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"'!B13:J13")="", "", INDIRECT("'" &amp; $A20 &amp; "'!B13:J13"))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26" t="str">
        <f ca="1"/>
        <v/>
      </c>
      <c r="K20" s="26" t="str">
        <f ca="1"/>
        <v/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"'!B13:J13")="", "", INDIRECT("'" &amp; $A21 &amp; "'!B13:J13"))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26" t="str">
        <f ca="1"/>
        <v/>
      </c>
      <c r="K21" s="26" t="str">
        <f ca="1"/>
        <v/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"'!B13:J13")="", "", INDIRECT("'" &amp; $A22 &amp; "'!B13:J13"))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26" t="str">
        <f ca="1"/>
        <v/>
      </c>
      <c r="K22" s="26" t="str">
        <f ca="1"/>
        <v/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"'!B13:J13")="", "", INDIRECT("'" &amp; $A23 &amp; "'!B13:J13"))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26" t="str">
        <f ca="1"/>
        <v/>
      </c>
      <c r="K23" s="26" t="str">
        <f ca="1"/>
        <v/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"'!B13:J13")="", "", INDIRECT("'" &amp; $A24 &amp; "'!B13:J13"))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26" t="str">
        <f ca="1"/>
        <v/>
      </c>
      <c r="K24" s="26" t="str">
        <f ca="1"/>
        <v/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"'!B13:J13")="", "", INDIRECT("'" &amp; $A25 &amp; "'!B13:J13"))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26" t="str">
        <f ca="1"/>
        <v/>
      </c>
      <c r="K25" s="26" t="str">
        <f ca="1"/>
        <v/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"'!B13:J13")="", "", INDIRECT("'" &amp; $A26 &amp; "'!B13:J13"))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26" t="str">
        <f ca="1"/>
        <v/>
      </c>
      <c r="K26" s="26" t="str">
        <f ca="1"/>
        <v/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"'!B13:J13")="", "", INDIRECT("'" &amp; $A27 &amp; "'!B13:J13"))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26" t="str">
        <f ca="1"/>
        <v/>
      </c>
      <c r="K27" s="26" t="str">
        <f ca="1"/>
        <v/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"'!B13:J13")="", "", INDIRECT("'" &amp; $A28 &amp; "'!B13:J13"))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26" t="str">
        <f ca="1"/>
        <v/>
      </c>
      <c r="K28" s="26" t="str">
        <f ca="1"/>
        <v/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"'!B13:J13")="", "", INDIRECT("'" &amp; $A29 &amp; "'!B13:J13"))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26" t="str">
        <f ca="1"/>
        <v/>
      </c>
      <c r="K29" s="26" t="str">
        <f ca="1"/>
        <v/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"'!B13:J13")="", "", INDIRECT("'" &amp; $A30 &amp; "'!B13:J13"))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26" t="str">
        <f ca="1"/>
        <v/>
      </c>
      <c r="K30" s="26" t="str">
        <f ca="1"/>
        <v/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"'!B13:J13")="", "", INDIRECT("'" &amp; $A31 &amp; "'!B13:J13"))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26" t="str">
        <f ca="1"/>
        <v/>
      </c>
      <c r="K31" s="26" t="str">
        <f ca="1"/>
        <v/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"'!B13:J13")="", "", INDIRECT("'" &amp; $A32 &amp; "'!B13:J13"))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26" t="str">
        <f ca="1"/>
        <v/>
      </c>
      <c r="K32" s="26" t="str">
        <f ca="1"/>
        <v/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"'!B13:J13")="", "", INDIRECT("'" &amp; $A33 &amp; "'!B13:J13"))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26" t="str">
        <f ca="1"/>
        <v/>
      </c>
      <c r="K33" s="26" t="str">
        <f ca="1"/>
        <v/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"'!B13:J13")="", "", INDIRECT("'" &amp; $A34 &amp; "'!B13:J13"))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26" t="str">
        <f ca="1"/>
        <v/>
      </c>
      <c r="K34" s="26" t="str">
        <f ca="1"/>
        <v/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"'!B13:J13")="", "", INDIRECT("'" &amp; $A35 &amp; "'!B13:J13"))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26" t="str">
        <f ca="1"/>
        <v/>
      </c>
      <c r="K35" s="26" t="str">
        <f ca="1"/>
        <v/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"'!B13:J13")="", "", INDIRECT("'" &amp; $A36 &amp; "'!B13:J13"))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26" t="str">
        <f ca="1"/>
        <v/>
      </c>
      <c r="K36" s="26" t="str">
        <f ca="1"/>
        <v/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"'!B13:J13")="", "", INDIRECT("'" &amp; $A37 &amp; "'!B13:J13"))</f>
        <v/>
      </c>
      <c r="D37" s="50" t="str">
        <f ca="1"/>
        <v/>
      </c>
      <c r="E37" s="50">
        <f ca="1"/>
        <v>0</v>
      </c>
      <c r="F37" s="51">
        <f ca="1"/>
        <v>0</v>
      </c>
      <c r="G37" s="52">
        <f ca="1"/>
        <v>0</v>
      </c>
      <c r="H37" s="52">
        <f ca="1"/>
        <v>0</v>
      </c>
      <c r="I37" s="53">
        <f ca="1"/>
        <v>0</v>
      </c>
      <c r="J37" s="26" t="str">
        <f ca="1"/>
        <v/>
      </c>
      <c r="K37" s="26" t="str">
        <f ca="1"/>
        <v/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"'!B13:J13")="", "", INDIRECT("'" &amp; $A38 &amp; "'!B13:J13"))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26" t="str">
        <f ca="1"/>
        <v/>
      </c>
      <c r="K38" s="26" t="str">
        <f ca="1"/>
        <v/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"'!B13:J13")="", "", INDIRECT("'" &amp; $A39 &amp; "'!B13:J13"))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26" t="str">
        <f ca="1"/>
        <v/>
      </c>
      <c r="K39" s="26" t="str">
        <f ca="1"/>
        <v/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"'!B13:J13")="", "", INDIRECT("'" &amp; $A40 &amp; "'!B13:J13"))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26" t="str">
        <f ca="1"/>
        <v/>
      </c>
      <c r="K40" s="26" t="str">
        <f ca="1"/>
        <v/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"'!B13:J13")="", "", INDIRECT("'" &amp; $A41 &amp; "'!B13:J13"))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26" t="str">
        <f ca="1"/>
        <v/>
      </c>
      <c r="K41" s="26" t="str">
        <f ca="1"/>
        <v/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"'!B13:J13")="", "", INDIRECT("'" &amp; $A42 &amp; "'!B13:J13"))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26" t="str">
        <f ca="1"/>
        <v/>
      </c>
      <c r="K42" s="26" t="str">
        <f ca="1"/>
        <v/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"'!B13:J13")="", "", INDIRECT("'" &amp; $A43 &amp; "'!B13:J13"))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26" t="str">
        <f ca="1"/>
        <v/>
      </c>
      <c r="K43" s="26" t="str">
        <f ca="1"/>
        <v/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"'!B13:J13")="", "", INDIRECT("'" &amp; $A44 &amp; "'!B13:J13"))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26" t="str">
        <f ca="1"/>
        <v/>
      </c>
      <c r="K44" s="26" t="str">
        <f ca="1"/>
        <v/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"'!B13:J13")="", "", INDIRECT("'" &amp; $A45 &amp; "'!B13:J13"))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26" t="str">
        <f ca="1"/>
        <v/>
      </c>
      <c r="K45" s="26" t="str">
        <f ca="1"/>
        <v/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"'!B13:J13")="", "", INDIRECT("'" &amp; $A46 &amp; "'!B13:J13"))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26" t="str">
        <f ca="1"/>
        <v/>
      </c>
      <c r="K46" s="26" t="str">
        <f ca="1"/>
        <v/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"'!B13:J13")="", "", INDIRECT("'" &amp; $A47 &amp; "'!B13:J13"))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26" t="str">
        <f ca="1"/>
        <v/>
      </c>
      <c r="K47" s="26" t="str">
        <f ca="1"/>
        <v/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"'!B13:J13")="", "", INDIRECT("'" &amp; $A48 &amp; "'!B13:J13"))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26" t="str">
        <f ca="1"/>
        <v/>
      </c>
      <c r="K48" s="26" t="str">
        <f ca="1"/>
        <v/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"'!B13:J13")="", "", INDIRECT("'" &amp; $A49 &amp; "'!B13:J13"))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26" t="str">
        <f ca="1"/>
        <v/>
      </c>
      <c r="K49" s="26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"'!B13:J13")="", "", INDIRECT("'" &amp; $A50 &amp; "'!B13:J13"))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26" t="str">
        <f ca="1"/>
        <v/>
      </c>
      <c r="K50" s="26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"'!B13:J13")="", "", INDIRECT("'" &amp; $A51 &amp; "'!B13:J13"))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26" t="str">
        <f ca="1"/>
        <v/>
      </c>
      <c r="K51" s="26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"'!B13:J13")="", "", INDIRECT("'" &amp; $A52 &amp; "'!B13:J13"))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26" t="str">
        <f ca="1"/>
        <v/>
      </c>
      <c r="K52" s="26" t="str">
        <f ca="1"/>
        <v/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"'!B13:J13")="", "", INDIRECT("'" &amp; $A53 &amp; "'!B13:J13"))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26" t="str">
        <f ca="1"/>
        <v/>
      </c>
      <c r="K53" s="26" t="str">
        <f ca="1"/>
        <v/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"'!B13:J13")="", "", INDIRECT("'" &amp; $A54 &amp; "'!B13:J13"))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26" t="str">
        <f ca="1"/>
        <v/>
      </c>
      <c r="K54" s="26" t="str">
        <f ca="1"/>
        <v/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"'!B13:J13")="", "", INDIRECT("'" &amp; $A55 &amp; "'!B13:J13"))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26" t="str">
        <f ca="1"/>
        <v/>
      </c>
      <c r="K55" s="26" t="str">
        <f ca="1"/>
        <v/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"'!B13:J13")="", "", INDIRECT("'" &amp; $A56 &amp; "'!B13:J13"))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26" t="str">
        <f ca="1"/>
        <v/>
      </c>
      <c r="K56" s="26" t="str">
        <f ca="1"/>
        <v/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"'!B13:J13")="", "", INDIRECT("'" &amp; $A57 &amp; "'!B13:J13"))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26" t="str">
        <f ca="1"/>
        <v/>
      </c>
      <c r="K57" s="26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"'!B13:J13")="", "", INDIRECT("'" &amp; $A58 &amp; "'!B13:J13"))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26" t="str">
        <f ca="1"/>
        <v/>
      </c>
      <c r="K58" s="26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"'!B13:J13")="", "", INDIRECT("'" &amp; $A59 &amp; "'!B13:J13"))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26" t="str">
        <f ca="1"/>
        <v/>
      </c>
      <c r="K59" s="26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"'!B13:J13")="", "", INDIRECT("'" &amp; $A60 &amp; "'!B13:J13"))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26" t="str">
        <f ca="1"/>
        <v/>
      </c>
      <c r="K60" s="26" t="str">
        <f ca="1"/>
        <v/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"'!B13:J13")="", "", INDIRECT("'" &amp; $A61 &amp; "'!B13:J13"))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26" t="str">
        <f ca="1"/>
        <v/>
      </c>
      <c r="K61" s="26" t="str">
        <f ca="1"/>
        <v/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"'!B13:J13")="", "", INDIRECT("'" &amp; $A62 &amp; "'!B13:J13"))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26" t="str">
        <f ca="1"/>
        <v/>
      </c>
      <c r="K62" s="26" t="str">
        <f ca="1"/>
        <v/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"'!B13:J13")="", "", INDIRECT("'" &amp; $A63 &amp; "'!B13:J13"))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26" t="str">
        <f ca="1"/>
        <v/>
      </c>
      <c r="K63" s="26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"'!B13:J13")="", "", INDIRECT("'" &amp; $A64 &amp; "'!B13:J13"))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26" t="str">
        <f ca="1"/>
        <v/>
      </c>
      <c r="K64" s="26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"'!B13:J13")="", "", INDIRECT("'" &amp; $A65 &amp; "'!B13:J13"))</f>
        <v/>
      </c>
      <c r="D65" s="50" t="str">
        <f ca="1"/>
        <v/>
      </c>
      <c r="E65" s="50" t="str">
        <f ca="1"/>
        <v/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26" t="str">
        <f ca="1"/>
        <v/>
      </c>
      <c r="K65" s="26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"'!B13:J13")="", "", INDIRECT("'" &amp; $A66 &amp; "'!B13:J13"))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26" t="str">
        <f ca="1"/>
        <v/>
      </c>
      <c r="K66" s="26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"'!B13:J13")="", "", INDIRECT("'" &amp; $A67 &amp; "'!B13:J13"))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26" t="str">
        <f ca="1"/>
        <v/>
      </c>
      <c r="K67" s="26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"'!B13:J13")="", "", INDIRECT("'" &amp; $A68 &amp; "'!B13:J13"))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26" t="str">
        <f ca="1"/>
        <v/>
      </c>
      <c r="K68" s="26" t="str">
        <f ca="1"/>
        <v/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"'!B13:J13")="", "", INDIRECT("'" &amp; $A69 &amp; "'!B13:J13"))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26" t="str">
        <f ca="1"/>
        <v/>
      </c>
      <c r="K69" s="26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"'!B13:J13")="", "", INDIRECT("'" &amp; $A70 &amp; "'!B13:J13"))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26" t="str">
        <f ca="1"/>
        <v/>
      </c>
      <c r="K70" s="26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"'!B13:J13")="", "", INDIRECT("'" &amp; $A71 &amp; "'!B13:J13"))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26" t="str">
        <f ca="1"/>
        <v/>
      </c>
      <c r="K71" s="26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"'!B13:J13")="", "", INDIRECT("'" &amp; $A72 &amp; "'!B13:J13"))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26" t="str">
        <f ca="1"/>
        <v/>
      </c>
      <c r="K72" s="26" t="str">
        <f ca="1"/>
        <v/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"'!B13:J13")="", "", INDIRECT("'" &amp; $A73 &amp; "'!B13:J13"))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26" t="str">
        <f ca="1"/>
        <v/>
      </c>
      <c r="K73" s="26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"'!B13:J13")="", "", INDIRECT("'" &amp; $A74 &amp; "'!B13:J13"))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26" t="str">
        <f ca="1"/>
        <v/>
      </c>
      <c r="K74" s="26" t="str">
        <f ca="1"/>
        <v/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"'!B13:J13")="", "", INDIRECT("'" &amp; $A75 &amp; "'!B13:J13"))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26" t="str">
        <f ca="1"/>
        <v/>
      </c>
      <c r="K75" s="26" t="str">
        <f ca="1"/>
        <v/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"'!B13:J13")="", "", INDIRECT("'" &amp; $A76 &amp; "'!B13:J13"))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26" t="str">
        <f ca="1"/>
        <v/>
      </c>
      <c r="K76" s="26" t="str">
        <f ca="1"/>
        <v/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"'!B13:J13")="", "", INDIRECT("'" &amp; $A77 &amp; "'!B13:J13"))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26" t="str">
        <f ca="1"/>
        <v/>
      </c>
      <c r="K77" s="26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"'!B13:J13")="", "", INDIRECT("'" &amp; $A78 &amp; "'!B13:J13"))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26" t="str">
        <f ca="1"/>
        <v/>
      </c>
      <c r="K78" s="26" t="str">
        <f ca="1"/>
        <v/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"'!B13:J13")="", "", INDIRECT("'" &amp; $A79 &amp; "'!B13:J13"))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26" t="str">
        <f ca="1"/>
        <v/>
      </c>
      <c r="K79" s="26" t="str">
        <f ca="1"/>
        <v/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"'!B13:J13")="", "", INDIRECT("'" &amp; $A80 &amp; "'!B13:J13"))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26" t="str">
        <f ca="1"/>
        <v/>
      </c>
      <c r="K80" s="26" t="str">
        <f ca="1"/>
        <v/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"'!B13:J13")="", "", INDIRECT("'" &amp; $A81 &amp; "'!B13:J13"))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26" t="str">
        <f ca="1"/>
        <v/>
      </c>
      <c r="K81" s="26" t="str">
        <f ca="1"/>
        <v/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"'!B13:J13")="", "", INDIRECT("'" &amp; $A82 &amp; "'!B13:J13"))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26" t="str">
        <f ca="1"/>
        <v/>
      </c>
      <c r="K82" s="26" t="str">
        <f ca="1"/>
        <v/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"'!B13:J13")="", "", INDIRECT("'" &amp; $A83 &amp; "'!B13:J13"))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26" t="str">
        <f ca="1"/>
        <v/>
      </c>
      <c r="K83" s="26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"'!B13:J13")="", "", INDIRECT("'" &amp; $A84 &amp; "'!B13:J13"))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26" t="str">
        <f ca="1"/>
        <v/>
      </c>
      <c r="K84" s="26" t="str">
        <f ca="1"/>
        <v/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"'!B13:J13")="", "", INDIRECT("'" &amp; $A85 &amp; "'!B13:J13"))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26" t="str">
        <f ca="1"/>
        <v/>
      </c>
      <c r="K85" s="26" t="str">
        <f ca="1"/>
        <v/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"'!B13:J13")="", "", INDIRECT("'" &amp; $A86 &amp; "'!B13:J13"))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26" t="str">
        <f ca="1"/>
        <v/>
      </c>
      <c r="K86" s="26" t="str">
        <f ca="1"/>
        <v/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"'!B13:J13")="", "", INDIRECT("'" &amp; $A87 &amp; "'!B13:J13"))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26" t="str">
        <f ca="1"/>
        <v/>
      </c>
      <c r="K87" s="26" t="str">
        <f ca="1"/>
        <v/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"'!B13:J13")="", "", INDIRECT("'" &amp; $A88 &amp; "'!B13:J13"))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26" t="str">
        <f ca="1"/>
        <v/>
      </c>
      <c r="K88" s="26" t="str">
        <f ca="1"/>
        <v/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"'!B13:J13")="", "", INDIRECT("'" &amp; $A89 &amp; "'!B13:J13"))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26" t="str">
        <f ca="1"/>
        <v/>
      </c>
      <c r="K89" s="26" t="str">
        <f ca="1"/>
        <v/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"'!B13:J13")="", "", INDIRECT("'" &amp; $A90 &amp; "'!B13:J13"))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26" t="str">
        <f ca="1"/>
        <v/>
      </c>
      <c r="K90" s="26" t="str">
        <f ca="1"/>
        <v/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"'!B13:J13")="", "", INDIRECT("'" &amp; $A91 &amp; "'!B13:J13"))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26" t="str">
        <f ca="1"/>
        <v/>
      </c>
      <c r="K91" s="26" t="str">
        <f ca="1"/>
        <v/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"'!B13:J13")="", "", INDIRECT("'" &amp; $A92 &amp; "'!B13:J13"))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26" t="str">
        <f ca="1"/>
        <v/>
      </c>
      <c r="K92" s="26" t="str">
        <f ca="1"/>
        <v/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"'!B13:J13")="", "", INDIRECT("'" &amp; $A93 &amp; "'!B13:J13"))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26" t="str">
        <f ca="1"/>
        <v/>
      </c>
      <c r="K93" s="26" t="str">
        <f ca="1"/>
        <v/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"'!B13:J13")="", "", INDIRECT("'" &amp; $A94 &amp; "'!B13:J13"))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26" t="str">
        <f ca="1"/>
        <v/>
      </c>
      <c r="K94" s="26" t="str">
        <f ca="1"/>
        <v/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"'!B13:J13")="", "", INDIRECT("'" &amp; $A95 &amp; "'!B13:J13"))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26" t="str">
        <f ca="1"/>
        <v/>
      </c>
      <c r="K95" s="26" t="str">
        <f ca="1"/>
        <v/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"'!B13:J13")="", "", INDIRECT("'" &amp; $A96 &amp; "'!B13:J13"))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26" t="str">
        <f ca="1"/>
        <v/>
      </c>
      <c r="K96" s="26" t="str">
        <f ca="1"/>
        <v/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"'!B13:J13")="", "", INDIRECT("'" &amp; $A97 &amp; "'!B13:J13"))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26" t="str">
        <f ca="1"/>
        <v/>
      </c>
      <c r="K97" s="26" t="str">
        <f ca="1"/>
        <v/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"'!B13:J13")="", "", INDIRECT("'" &amp; $A98 &amp; "'!B13:J13"))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26" t="str">
        <f ca="1"/>
        <v/>
      </c>
      <c r="K98" s="26" t="str">
        <f ca="1"/>
        <v/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"'!B13:J13")="", "", INDIRECT("'" &amp; $A99 &amp; "'!B13:J13"))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26" t="str">
        <f ca="1"/>
        <v/>
      </c>
      <c r="K99" s="26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"'!B13:J13")="", "", INDIRECT("'" &amp; $A100 &amp; "'!B13:J13"))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26" t="str">
        <f ca="1"/>
        <v/>
      </c>
      <c r="K100" s="26" t="str">
        <f ca="1"/>
        <v/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"'!B13:J13")="", "", INDIRECT("'" &amp; $A101 &amp; "'!B13:J13"))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26" t="str">
        <f ca="1"/>
        <v/>
      </c>
      <c r="K101" s="26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"'!B13:J13")="", "", INDIRECT("'" &amp; $A102 &amp; "'!B13:J13"))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26" t="str">
        <f ca="1"/>
        <v/>
      </c>
      <c r="K102" s="26" t="str">
        <f ca="1"/>
        <v/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"'!B13:J13")="", "", INDIRECT("'" &amp; $A103 &amp; "'!B13:J13"))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26" t="str">
        <f ca="1"/>
        <v/>
      </c>
      <c r="K103" s="26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"'!B13:J13")="", "", INDIRECT("'" &amp; $A104 &amp; "'!B13:J13"))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26" t="str">
        <f ca="1"/>
        <v/>
      </c>
      <c r="K104" s="26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"'!B13:J13")="", "", INDIRECT("'" &amp; $A105 &amp; "'!B13:J13"))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26" t="str">
        <f ca="1"/>
        <v/>
      </c>
      <c r="K105" s="26" t="str">
        <f ca="1"/>
        <v/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"'!B13:J13")="", "", INDIRECT("'" &amp; $A106 &amp; "'!B13:J13"))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26" t="str">
        <f ca="1"/>
        <v/>
      </c>
      <c r="K106" s="26" t="str">
        <f ca="1"/>
        <v/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"'!B13:J13")="", "", INDIRECT("'" &amp; $A107 &amp; "'!B13:J13"))</f>
        <v/>
      </c>
      <c r="D107" s="50" t="str">
        <f ca="1"/>
        <v/>
      </c>
      <c r="E107" s="50" t="str">
        <f ca="1"/>
        <v/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26" t="str">
        <f ca="1"/>
        <v/>
      </c>
      <c r="K107" s="26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"'!B13:J13")="", "", INDIRECT("'" &amp; $A108 &amp; "'!B13:J13"))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26" t="str">
        <f ca="1"/>
        <v/>
      </c>
      <c r="K108" s="26" t="str">
        <f ca="1"/>
        <v/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"'!B13:J13")="", "", INDIRECT("'" &amp; $A109 &amp; "'!B13:J13"))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26" t="str">
        <f ca="1"/>
        <v/>
      </c>
      <c r="K109" s="26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"'!B13:J13")="", "", INDIRECT("'" &amp; $A110 &amp; "'!B13:J13"))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26" t="str">
        <f ca="1"/>
        <v/>
      </c>
      <c r="K110" s="26" t="str">
        <f ca="1"/>
        <v/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"'!B13:J13")="", "", INDIRECT("'" &amp; $A111 &amp; "'!B13:J13"))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26" t="str">
        <f ca="1"/>
        <v/>
      </c>
      <c r="K111" s="26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"'!B13:J13")="", "", INDIRECT("'" &amp; $A112 &amp; "'!B13:J13"))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26" t="str">
        <f ca="1"/>
        <v/>
      </c>
      <c r="K112" s="26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"'!B13:J13")="", "", INDIRECT("'" &amp; $A113 &amp; "'!B13:J13"))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26" t="str">
        <f ca="1"/>
        <v/>
      </c>
      <c r="K113" s="26" t="str">
        <f ca="1"/>
        <v/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"'!B13:J13")="", "", INDIRECT("'" &amp; $A114 &amp; "'!B13:J13"))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26" t="str">
        <f ca="1"/>
        <v/>
      </c>
      <c r="K114" s="26" t="str">
        <f ca="1"/>
        <v/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"'!B13:J13")="", "", INDIRECT("'" &amp; $A115 &amp; "'!B13:J13"))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26" t="str">
        <f ca="1"/>
        <v/>
      </c>
      <c r="K115" s="26" t="str">
        <f ca="1"/>
        <v/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"'!B13:J13")="", "", INDIRECT("'" &amp; $A116 &amp; "'!B13:J13"))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26" t="str">
        <f ca="1"/>
        <v/>
      </c>
      <c r="K116" s="26" t="str">
        <f ca="1"/>
        <v/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"'!B13:J13")="", "", INDIRECT("'" &amp; $A117 &amp; "'!B13:J13"))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26" t="str">
        <f ca="1"/>
        <v/>
      </c>
      <c r="K117" s="26" t="str">
        <f ca="1"/>
        <v/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"'!B13:J13")="", "", INDIRECT("'" &amp; $A118 &amp; "'!B13:J13"))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26" t="str">
        <f ca="1"/>
        <v/>
      </c>
      <c r="K118" s="26" t="str">
        <f ca="1"/>
        <v/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"'!B13:J13")="", "", INDIRECT("'" &amp; $A119 &amp; "'!B13:J13"))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26" t="str">
        <f ca="1"/>
        <v/>
      </c>
      <c r="K119" s="26" t="str">
        <f ca="1"/>
        <v/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"'!B13:J13")="", "", INDIRECT("'" &amp; $A120 &amp; "'!B13:J13"))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26" t="str">
        <f ca="1"/>
        <v/>
      </c>
      <c r="K120" s="26" t="str">
        <f ca="1"/>
        <v/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"'!B13:J13")="", "", INDIRECT("'" &amp; $A121 &amp; "'!B13:J13"))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26" t="str">
        <f ca="1"/>
        <v/>
      </c>
      <c r="K121" s="26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"'!B13:J13")="", "", INDIRECT("'" &amp; $A122 &amp; "'!B13:J13"))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26" t="str">
        <f ca="1"/>
        <v/>
      </c>
      <c r="K122" s="26" t="str">
        <f ca="1"/>
        <v/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"'!B13:J13")="", "", INDIRECT("'" &amp; $A123 &amp; "'!B13:J13"))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26" t="str">
        <f ca="1"/>
        <v/>
      </c>
      <c r="K123" s="26" t="str">
        <f ca="1"/>
        <v/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"'!B13:J13")="", "", INDIRECT("'" &amp; $A124 &amp; "'!B13:J13"))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26" t="str">
        <f ca="1"/>
        <v/>
      </c>
      <c r="K124" s="26" t="str">
        <f ca="1"/>
        <v/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"'!B13:J13")="", "", INDIRECT("'" &amp; $A125 &amp; "'!B13:J13"))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26" t="str">
        <f ca="1"/>
        <v/>
      </c>
      <c r="K125" s="26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"'!B13:J13")="", "", INDIRECT("'" &amp; $A126 &amp; "'!B13:J13"))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26" t="str">
        <f ca="1"/>
        <v/>
      </c>
      <c r="K126" s="26" t="str">
        <f ca="1"/>
        <v/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"'!B13:J13")="", "", INDIRECT("'" &amp; $A127 &amp; "'!B13:J13"))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26" t="str">
        <f ca="1"/>
        <v/>
      </c>
      <c r="K127" s="26" t="str">
        <f ca="1"/>
        <v/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"'!B13:J13")="", "", INDIRECT("'" &amp; $A128 &amp; "'!B13:J13"))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26" t="str">
        <f ca="1"/>
        <v/>
      </c>
      <c r="K128" s="26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"'!B13:J13")="", "", INDIRECT("'" &amp; $A129 &amp; "'!B13:J13"))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26" t="str">
        <f ca="1"/>
        <v/>
      </c>
      <c r="K129" s="26" t="str">
        <f ca="1"/>
        <v/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"'!B13:J13")="", "", INDIRECT("'" &amp; $A130 &amp; "'!B13:J13"))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26" t="str">
        <f ca="1"/>
        <v/>
      </c>
      <c r="K130" s="26" t="str">
        <f ca="1"/>
        <v/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"'!B13:J13")="", "", INDIRECT("'" &amp; $A131 &amp; "'!B13:J13"))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26" t="str">
        <f ca="1"/>
        <v/>
      </c>
      <c r="K131" s="26" t="str">
        <f ca="1"/>
        <v/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"'!B13:J13")="", "", INDIRECT("'" &amp; $A132 &amp; "'!B13:J13"))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26" t="str">
        <f ca="1"/>
        <v/>
      </c>
      <c r="K132" s="26" t="str">
        <f ca="1"/>
        <v/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"'!B13:J13")="", "", INDIRECT("'" &amp; $A133 &amp; "'!B13:J13"))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26" t="str">
        <f ca="1"/>
        <v/>
      </c>
      <c r="K133" s="26" t="str">
        <f ca="1"/>
        <v/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"'!B13:J13")="", "", INDIRECT("'" &amp; $A134 &amp; "'!B13:J13"))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26" t="str">
        <f ca="1"/>
        <v/>
      </c>
      <c r="K134" s="26" t="str">
        <f ca="1"/>
        <v/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"'!B13:J13")="", "", INDIRECT("'" &amp; $A135 &amp; "'!B13:J13"))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26" t="str">
        <f ca="1"/>
        <v/>
      </c>
      <c r="K135" s="26" t="str">
        <f ca="1"/>
        <v/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"'!B13:J13")="", "", INDIRECT("'" &amp; $A136 &amp; "'!B13:J13"))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26" t="str">
        <f ca="1"/>
        <v/>
      </c>
      <c r="K136" s="26" t="str">
        <f ca="1"/>
        <v/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534CA70E-2643-48AC-AA44-E3F75A2814BF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66" priority="1" operator="lessThanOrEqual">
      <formula>-0.1</formula>
    </cfRule>
    <cfRule type="cellIs" dxfId="2165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42"/>
  <sheetViews>
    <sheetView workbookViewId="0">
      <pane ySplit="2" topLeftCell="A106" activePane="bottomLeft" state="frozen"/>
      <selection pane="bottomLeft" activeCell="A5" sqref="A5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style="109" customWidth="1"/>
    <col min="11" max="11" width="19.42578125" style="109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40</v>
      </c>
      <c r="D1" s="170"/>
      <c r="E1" s="170"/>
      <c r="F1" s="170"/>
      <c r="G1" s="171" t="s">
        <v>41</v>
      </c>
      <c r="H1" s="171"/>
      <c r="I1" s="171"/>
      <c r="J1" s="174" t="s">
        <v>22</v>
      </c>
      <c r="K1" s="175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4"/>
      <c r="K2" s="175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"'!B14:J14")="", "", INDIRECT("'" &amp; $A3 &amp; "'!B14:J14"))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26" t="str">
        <f ca="1"/>
        <v/>
      </c>
      <c r="K3" s="26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"'!B14:J14")="", "", INDIRECT("'" &amp; $A4 &amp; "'!B14:J14"))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26" t="str">
        <f ca="1"/>
        <v/>
      </c>
      <c r="K4" s="26" t="str">
        <f ca="1"/>
        <v/>
      </c>
    </row>
    <row r="5" spans="1:11" ht="15.75" customHeight="1">
      <c r="A5" s="63" t="str">
        <v>JFK Elementary</v>
      </c>
      <c r="B5" s="64" t="str">
        <v>Blue Renewables</v>
      </c>
      <c r="C5" s="50" t="str" cm="1">
        <f t="array" aca="1" ref="C5:K5" ca="1">IF(INDIRECT("'" &amp; $A5 &amp; "'!B14:J14")="", "", INDIRECT("'" &amp; $A5 &amp; "'!B14:J14"))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26" t="str">
        <f ca="1"/>
        <v/>
      </c>
      <c r="K5" s="26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"'!B14:J14")="", "", INDIRECT("'" &amp; $A6 &amp; "'!B14:J14"))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26" t="str">
        <f ca="1"/>
        <v/>
      </c>
      <c r="K6" s="26" t="str">
        <f ca="1"/>
        <v/>
      </c>
    </row>
    <row r="7" spans="1:11" ht="15.75" customHeight="1">
      <c r="A7" s="63" t="str">
        <v>Parking 3</v>
      </c>
      <c r="B7" s="64" t="str">
        <v>Blue Renewables</v>
      </c>
      <c r="C7" s="50" t="str" cm="1">
        <f t="array" aca="1" ref="C7:K7" ca="1">IF(INDIRECT("'" &amp; $A7 &amp; "'!B14:J14")="", "", INDIRECT("'" &amp; $A7 &amp; "'!B14:J14"))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26" t="str">
        <f ca="1"/>
        <v/>
      </c>
      <c r="K7" s="26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"'!B14:J14")="", "", INDIRECT("'" &amp; $A8 &amp; "'!B14:J14"))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26" t="str">
        <f ca="1"/>
        <v/>
      </c>
      <c r="K8" s="26" t="str">
        <f ca="1"/>
        <v/>
      </c>
    </row>
    <row r="9" spans="1:11" ht="15.75" customHeight="1">
      <c r="A9" s="63" t="str">
        <v>Schwada</v>
      </c>
      <c r="B9" s="64" t="str">
        <v>Blue Renewables</v>
      </c>
      <c r="C9" s="50" t="str" cm="1">
        <f t="array" aca="1" ref="C9:K9" ca="1">IF(INDIRECT("'" &amp; $A9 &amp; "'!B14:J14")="", "", INDIRECT("'" &amp; $A9 &amp; "'!B14:J14"))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26" t="str">
        <f ca="1"/>
        <v/>
      </c>
      <c r="K9" s="26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"'!B14:J14")="", "", INDIRECT("'" &amp; $A10 &amp; "'!B14:J14"))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26" t="str">
        <f ca="1"/>
        <v/>
      </c>
      <c r="K10" s="26" t="str">
        <f ca="1"/>
        <v/>
      </c>
    </row>
    <row r="11" spans="1:11" ht="15.75" customHeight="1">
      <c r="A11" s="63" t="str">
        <v>Yuma Airport</v>
      </c>
      <c r="B11" s="64" t="str">
        <v>Blue Renewables</v>
      </c>
      <c r="C11" s="50" t="str" cm="1">
        <f t="array" aca="1" ref="C11:K11" ca="1">IF(INDIRECT("'" &amp; $A11 &amp; "'!B14:J14")="", "", INDIRECT("'" &amp; $A11 &amp; "'!B14:J14"))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26" t="str">
        <f ca="1"/>
        <v/>
      </c>
      <c r="K11" s="26" t="str">
        <f ca="1"/>
        <v/>
      </c>
    </row>
    <row r="12" spans="1:11" ht="15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"'!B14:J14")="", "", INDIRECT("'" &amp; $A12 &amp; "'!B14:J14"))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26" t="str">
        <f ca="1"/>
        <v/>
      </c>
      <c r="K12" s="26" t="str">
        <f ca="1"/>
        <v/>
      </c>
    </row>
    <row r="13" spans="1:11" ht="15.75" customHeight="1">
      <c r="A13" s="63" t="str">
        <v>Wooster</v>
      </c>
      <c r="B13" s="64" t="str">
        <v>Blue Renewables</v>
      </c>
      <c r="C13" s="50" t="str" cm="1">
        <f t="array" aca="1" ref="C13:K13" ca="1">IF(INDIRECT("'" &amp; $A13 &amp; "'!B14:J14")="", "", INDIRECT("'" &amp; $A13 &amp; "'!B14:J14"))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26" t="str">
        <f ca="1"/>
        <v/>
      </c>
      <c r="K13" s="26" t="str">
        <f ca="1"/>
        <v/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"'!B14:J14")="", "", INDIRECT("'" &amp; $A14 &amp; "'!B14:J14"))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26" t="str">
        <f ca="1"/>
        <v/>
      </c>
      <c r="K14" s="26" t="str">
        <f ca="1"/>
        <v/>
      </c>
    </row>
    <row r="15" spans="1:11" ht="15.75" customHeight="1">
      <c r="A15" s="63" t="str">
        <v>Payson Gila CC</v>
      </c>
      <c r="B15" s="64" t="str">
        <v>CC Gen Equity</v>
      </c>
      <c r="C15" s="50" t="str" cm="1">
        <f t="array" aca="1" ref="C15:K15" ca="1">IF(INDIRECT("'" &amp; $A15 &amp; "'!B14:J14")="", "", INDIRECT("'" &amp; $A15 &amp; "'!B14:J14"))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26" t="str">
        <f ca="1"/>
        <v/>
      </c>
      <c r="K15" s="26" t="str">
        <f ca="1"/>
        <v/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"'!B14:J14")="", "", INDIRECT("'" &amp; $A16 &amp; "'!B14:J14"))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26" t="str">
        <f ca="1"/>
        <v/>
      </c>
      <c r="K16" s="26" t="str">
        <f ca="1"/>
        <v/>
      </c>
    </row>
    <row r="17" spans="1:11" ht="15.75" customHeight="1">
      <c r="A17" s="63" t="str">
        <v>Sequoia Charter School</v>
      </c>
      <c r="B17" s="64" t="str">
        <v>CC Gen Equity</v>
      </c>
      <c r="C17" s="50" t="str" cm="1">
        <f t="array" aca="1" ref="C17:K17" ca="1">IF(INDIRECT("'" &amp; $A17 &amp; "'!B14:J14")="", "", INDIRECT("'" &amp; $A17 &amp; "'!B14:J14"))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26" t="str">
        <f ca="1"/>
        <v/>
      </c>
      <c r="K17" s="26" t="str">
        <f ca="1"/>
        <v/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"'!B14:J14")="", "", INDIRECT("'" &amp; $A18 &amp; "'!B14:J14"))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26" t="str">
        <f ca="1"/>
        <v/>
      </c>
      <c r="K18" s="26" t="str">
        <f ca="1"/>
        <v/>
      </c>
    </row>
    <row r="19" spans="1:11" ht="15.75" customHeight="1">
      <c r="A19" s="63" t="str">
        <v>Spectro Coatings</v>
      </c>
      <c r="B19" s="64" t="str">
        <v>GESF2</v>
      </c>
      <c r="C19" s="50" t="str" cm="1">
        <f t="array" aca="1" ref="C19:K19" ca="1">IF(INDIRECT("'" &amp; $A19 &amp; "'!B14:J14")="", "", INDIRECT("'" &amp; $A19 &amp; "'!B14:J14"))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26" t="str">
        <f ca="1"/>
        <v/>
      </c>
      <c r="K19" s="26" t="str">
        <f ca="1"/>
        <v/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"'!B14:J14")="", "", INDIRECT("'" &amp; $A20 &amp; "'!B14:J14"))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26" t="str">
        <f ca="1"/>
        <v/>
      </c>
      <c r="K20" s="26" t="str">
        <f ca="1"/>
        <v/>
      </c>
    </row>
    <row r="21" spans="1:11" ht="15.75" customHeight="1">
      <c r="A21" s="63" t="str">
        <v>K041</v>
      </c>
      <c r="B21" s="64" t="str">
        <v>Hudson</v>
      </c>
      <c r="C21" s="50" t="str" cm="1">
        <f t="array" aca="1" ref="C21:K21" ca="1">IF(INDIRECT("'" &amp; $A21 &amp; "'!B14:J14")="", "", INDIRECT("'" &amp; $A21 &amp; "'!B14:J14"))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26" t="str">
        <f ca="1"/>
        <v/>
      </c>
      <c r="K21" s="26" t="str">
        <f ca="1"/>
        <v/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"'!B14:J14")="", "", INDIRECT("'" &amp; $A22 &amp; "'!B14:J14"))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26" t="str">
        <f ca="1"/>
        <v/>
      </c>
      <c r="K22" s="26" t="str">
        <f ca="1"/>
        <v/>
      </c>
    </row>
    <row r="23" spans="1:11" ht="15.75" customHeight="1">
      <c r="A23" s="63" t="str">
        <v>K058</v>
      </c>
      <c r="B23" s="64" t="str">
        <v>Hudson</v>
      </c>
      <c r="C23" s="50" t="str" cm="1">
        <f t="array" aca="1" ref="C23:K23" ca="1">IF(INDIRECT("'" &amp; $A23 &amp; "'!B14:J14")="", "", INDIRECT("'" &amp; $A23 &amp; "'!B14:J14"))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26" t="str">
        <f ca="1"/>
        <v/>
      </c>
      <c r="K23" s="26" t="str">
        <f ca="1"/>
        <v/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"'!B14:J14")="", "", INDIRECT("'" &amp; $A24 &amp; "'!B14:J14"))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26" t="str">
        <f ca="1"/>
        <v/>
      </c>
      <c r="K24" s="26" t="str">
        <f ca="1"/>
        <v/>
      </c>
    </row>
    <row r="25" spans="1:11" ht="15.75" customHeight="1">
      <c r="A25" s="63" t="str">
        <v>K152</v>
      </c>
      <c r="B25" s="64" t="str">
        <v>Hudson</v>
      </c>
      <c r="C25" s="50" t="str" cm="1">
        <f t="array" aca="1" ref="C25:K25" ca="1">IF(INDIRECT("'" &amp; $A25 &amp; "'!B14:J14")="", "", INDIRECT("'" &amp; $A25 &amp; "'!B14:J14"))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26" t="str">
        <f ca="1"/>
        <v/>
      </c>
      <c r="K25" s="26" t="str">
        <f ca="1"/>
        <v/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"'!B14:J14")="", "", INDIRECT("'" &amp; $A26 &amp; "'!B14:J14"))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26" t="str">
        <f ca="1"/>
        <v/>
      </c>
      <c r="K26" s="26" t="str">
        <f ca="1"/>
        <v/>
      </c>
    </row>
    <row r="27" spans="1:11" ht="15.75" customHeight="1">
      <c r="A27" s="63" t="str">
        <v>K206</v>
      </c>
      <c r="B27" s="64" t="str">
        <v>Hudson</v>
      </c>
      <c r="C27" s="50" t="str" cm="1">
        <f t="array" aca="1" ref="C27:K27" ca="1">IF(INDIRECT("'" &amp; $A27 &amp; "'!B14:J14")="", "", INDIRECT("'" &amp; $A27 &amp; "'!B14:J14"))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26" t="str">
        <f ca="1"/>
        <v/>
      </c>
      <c r="K27" s="26" t="str">
        <f ca="1"/>
        <v/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"'!B14:J14")="", "", INDIRECT("'" &amp; $A28 &amp; "'!B14:J14"))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26" t="str">
        <f ca="1"/>
        <v/>
      </c>
      <c r="K28" s="26" t="str">
        <f ca="1"/>
        <v/>
      </c>
    </row>
    <row r="29" spans="1:11" ht="15.75" customHeight="1">
      <c r="A29" s="63" t="str">
        <v>K269</v>
      </c>
      <c r="B29" s="64" t="str">
        <v>Hudson</v>
      </c>
      <c r="C29" s="50" t="str" cm="1">
        <f t="array" aca="1" ref="C29:K29" ca="1">IF(INDIRECT("'" &amp; $A29 &amp; "'!B14:J14")="", "", INDIRECT("'" &amp; $A29 &amp; "'!B14:J14"))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26" t="str">
        <f ca="1"/>
        <v/>
      </c>
      <c r="K29" s="26" t="str">
        <f ca="1"/>
        <v/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"'!B14:J14")="", "", INDIRECT("'" &amp; $A30 &amp; "'!B14:J14"))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26" t="str">
        <f ca="1"/>
        <v/>
      </c>
      <c r="K30" s="26" t="str">
        <f ca="1"/>
        <v/>
      </c>
    </row>
    <row r="31" spans="1:11" ht="15.75" customHeight="1">
      <c r="A31" s="63" t="str">
        <v>K287</v>
      </c>
      <c r="B31" s="64" t="str">
        <v>Hudson</v>
      </c>
      <c r="C31" s="50" t="str" cm="1">
        <f t="array" aca="1" ref="C31:K31" ca="1">IF(INDIRECT("'" &amp; $A31 &amp; "'!B14:J14")="", "", INDIRECT("'" &amp; $A31 &amp; "'!B14:J14"))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26" t="str">
        <f ca="1"/>
        <v/>
      </c>
      <c r="K31" s="26" t="str">
        <f ca="1"/>
        <v/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"'!B14:J14")="", "", INDIRECT("'" &amp; $A32 &amp; "'!B14:J14"))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26" t="str">
        <f ca="1"/>
        <v/>
      </c>
      <c r="K32" s="26" t="str">
        <f ca="1"/>
        <v/>
      </c>
    </row>
    <row r="33" spans="1:11" ht="15.75" customHeight="1">
      <c r="A33" s="63" t="str">
        <v>K335</v>
      </c>
      <c r="B33" s="64" t="str">
        <v>Hudson</v>
      </c>
      <c r="C33" s="50" t="str" cm="1">
        <f t="array" aca="1" ref="C33:K33" ca="1">IF(INDIRECT("'" &amp; $A33 &amp; "'!B14:J14")="", "", INDIRECT("'" &amp; $A33 &amp; "'!B14:J14"))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26" t="str">
        <f ca="1"/>
        <v/>
      </c>
      <c r="K33" s="26" t="str">
        <f ca="1"/>
        <v/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"'!B14:J14")="", "", INDIRECT("'" &amp; $A34 &amp; "'!B14:J14"))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26" t="str">
        <f ca="1"/>
        <v/>
      </c>
      <c r="K34" s="26" t="str">
        <f ca="1"/>
        <v/>
      </c>
    </row>
    <row r="35" spans="1:11" ht="15.75" customHeight="1">
      <c r="A35" s="63" t="str">
        <v>K445</v>
      </c>
      <c r="B35" s="64" t="str">
        <v>Hudson</v>
      </c>
      <c r="C35" s="50" t="str" cm="1">
        <f t="array" aca="1" ref="C35:K35" ca="1">IF(INDIRECT("'" &amp; $A35 &amp; "'!B14:J14")="", "", INDIRECT("'" &amp; $A35 &amp; "'!B14:J14"))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26" t="str">
        <f ca="1"/>
        <v/>
      </c>
      <c r="K35" s="26" t="str">
        <f ca="1"/>
        <v/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"'!B14:J14")="", "", INDIRECT("'" &amp; $A36 &amp; "'!B14:J14"))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26" t="str">
        <f ca="1"/>
        <v/>
      </c>
      <c r="K36" s="26" t="str">
        <f ca="1"/>
        <v/>
      </c>
    </row>
    <row r="37" spans="1:11" ht="15.75" customHeight="1">
      <c r="A37" s="63" t="str">
        <v>M020</v>
      </c>
      <c r="B37" s="64" t="str">
        <v>Hudson</v>
      </c>
      <c r="C37" s="50" t="str" cm="1">
        <f t="array" aca="1" ref="C37:K37" ca="1">IF(INDIRECT("'" &amp; $A37 &amp; "'!B14:J14")="", "", INDIRECT("'" &amp; $A37 &amp; "'!B14:J14"))</f>
        <v/>
      </c>
      <c r="D37" s="50" t="str">
        <f ca="1"/>
        <v/>
      </c>
      <c r="E37" s="50">
        <f ca="1"/>
        <v>0</v>
      </c>
      <c r="F37" s="51">
        <f ca="1"/>
        <v>0</v>
      </c>
      <c r="G37" s="52">
        <f ca="1"/>
        <v>0</v>
      </c>
      <c r="H37" s="52">
        <f ca="1"/>
        <v>0</v>
      </c>
      <c r="I37" s="53">
        <f ca="1"/>
        <v>0</v>
      </c>
      <c r="J37" s="26" t="str">
        <f ca="1"/>
        <v/>
      </c>
      <c r="K37" s="26" t="str">
        <f ca="1"/>
        <v/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"'!B14:J14")="", "", INDIRECT("'" &amp; $A38 &amp; "'!B14:J14"))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26" t="str">
        <f ca="1"/>
        <v/>
      </c>
      <c r="K38" s="26" t="str">
        <f ca="1"/>
        <v/>
      </c>
    </row>
    <row r="39" spans="1:11" ht="15.75" customHeight="1">
      <c r="A39" s="63" t="str">
        <v>M143</v>
      </c>
      <c r="B39" s="64" t="str">
        <v>Hudson</v>
      </c>
      <c r="C39" s="50" t="str" cm="1">
        <f t="array" aca="1" ref="C39:K39" ca="1">IF(INDIRECT("'" &amp; $A39 &amp; "'!B14:J14")="", "", INDIRECT("'" &amp; $A39 &amp; "'!B14:J14"))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26" t="str">
        <f ca="1"/>
        <v/>
      </c>
      <c r="K39" s="26" t="str">
        <f ca="1"/>
        <v/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"'!B14:J14")="", "", INDIRECT("'" &amp; $A40 &amp; "'!B14:J14"))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26" t="str">
        <f ca="1"/>
        <v/>
      </c>
      <c r="K40" s="26" t="str">
        <f ca="1"/>
        <v/>
      </c>
    </row>
    <row r="41" spans="1:11" ht="15.75" customHeight="1">
      <c r="A41" s="63" t="str">
        <v>M167</v>
      </c>
      <c r="B41" s="64" t="str">
        <v>Hudson</v>
      </c>
      <c r="C41" s="50" t="str" cm="1">
        <f t="array" aca="1" ref="C41:K41" ca="1">IF(INDIRECT("'" &amp; $A41 &amp; "'!B14:J14")="", "", INDIRECT("'" &amp; $A41 &amp; "'!B14:J14"))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26" t="str">
        <f ca="1"/>
        <v/>
      </c>
      <c r="K41" s="26" t="str">
        <f ca="1"/>
        <v/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"'!B14:J14")="", "", INDIRECT("'" &amp; $A42 &amp; "'!B14:J14"))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26" t="str">
        <f ca="1"/>
        <v/>
      </c>
      <c r="K42" s="26" t="str">
        <f ca="1"/>
        <v/>
      </c>
    </row>
    <row r="43" spans="1:11" ht="15.75" customHeight="1">
      <c r="A43" s="63" t="str">
        <v>EMHC</v>
      </c>
      <c r="B43" s="64" t="str">
        <v>Hudson</v>
      </c>
      <c r="C43" s="50" t="str" cm="1">
        <f t="array" aca="1" ref="C43:K43" ca="1">IF(INDIRECT("'" &amp; $A43 &amp; "'!B14:J14")="", "", INDIRECT("'" &amp; $A43 &amp; "'!B14:J14"))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26" t="str">
        <f ca="1"/>
        <v/>
      </c>
      <c r="K43" s="26" t="str">
        <f ca="1"/>
        <v/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"'!B14:J14")="", "", INDIRECT("'" &amp; $A44 &amp; "'!B14:J14"))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26" t="str">
        <f ca="1"/>
        <v/>
      </c>
      <c r="K44" s="26" t="str">
        <f ca="1"/>
        <v/>
      </c>
    </row>
    <row r="45" spans="1:11" ht="15.75" customHeight="1">
      <c r="A45" s="63" t="str">
        <v>Q018</v>
      </c>
      <c r="B45" s="64" t="str">
        <v>Hudson</v>
      </c>
      <c r="C45" s="50" t="str" cm="1">
        <f t="array" aca="1" ref="C45:K45" ca="1">IF(INDIRECT("'" &amp; $A45 &amp; "'!B14:J14")="", "", INDIRECT("'" &amp; $A45 &amp; "'!B14:J14"))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26" t="str">
        <f ca="1"/>
        <v/>
      </c>
      <c r="K45" s="26" t="str">
        <f ca="1"/>
        <v/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"'!B14:J14")="", "", INDIRECT("'" &amp; $A46 &amp; "'!B14:J14"))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26" t="str">
        <f ca="1"/>
        <v/>
      </c>
      <c r="K46" s="26" t="str">
        <f ca="1"/>
        <v/>
      </c>
    </row>
    <row r="47" spans="1:11" ht="15.75" customHeight="1">
      <c r="A47" s="63" t="str">
        <v>Q025</v>
      </c>
      <c r="B47" s="64" t="str">
        <v>Hudson</v>
      </c>
      <c r="C47" s="50" t="str" cm="1">
        <f t="array" aca="1" ref="C47:K47" ca="1">IF(INDIRECT("'" &amp; $A47 &amp; "'!B14:J14")="", "", INDIRECT("'" &amp; $A47 &amp; "'!B14:J14"))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26" t="str">
        <f ca="1"/>
        <v/>
      </c>
      <c r="K47" s="26" t="str">
        <f ca="1"/>
        <v/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"'!B14:J14")="", "", INDIRECT("'" &amp; $A48 &amp; "'!B14:J14"))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26" t="str">
        <f ca="1"/>
        <v/>
      </c>
      <c r="K48" s="26" t="str">
        <f ca="1"/>
        <v/>
      </c>
    </row>
    <row r="49" spans="1:11" ht="15.75" customHeight="1">
      <c r="A49" s="63" t="str">
        <v>Q115</v>
      </c>
      <c r="B49" s="64" t="str">
        <v>Hudson</v>
      </c>
      <c r="C49" s="50" t="str" cm="1">
        <f t="array" aca="1" ref="C49:K49" ca="1">IF(INDIRECT("'" &amp; $A49 &amp; "'!B14:J14")="", "", INDIRECT("'" &amp; $A49 &amp; "'!B14:J14"))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26" t="str">
        <f ca="1"/>
        <v/>
      </c>
      <c r="K49" s="26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"'!B14:J14")="", "", INDIRECT("'" &amp; $A50 &amp; "'!B14:J14"))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26" t="str">
        <f ca="1"/>
        <v/>
      </c>
      <c r="K50" s="26" t="str">
        <f ca="1"/>
        <v/>
      </c>
    </row>
    <row r="51" spans="1:11" ht="15.75" customHeight="1">
      <c r="A51" s="63" t="str">
        <v>Q157</v>
      </c>
      <c r="B51" s="64" t="str">
        <v>Hudson</v>
      </c>
      <c r="C51" s="50" t="str" cm="1">
        <f t="array" aca="1" ref="C51:K51" ca="1">IF(INDIRECT("'" &amp; $A51 &amp; "'!B14:J14")="", "", INDIRECT("'" &amp; $A51 &amp; "'!B14:J14"))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26" t="str">
        <f ca="1"/>
        <v/>
      </c>
      <c r="K51" s="26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"'!B14:J14")="", "", INDIRECT("'" &amp; $A52 &amp; "'!B14:J14"))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26" t="str">
        <f ca="1"/>
        <v/>
      </c>
      <c r="K52" s="26" t="str">
        <f ca="1"/>
        <v/>
      </c>
    </row>
    <row r="53" spans="1:11" ht="15.75" customHeight="1">
      <c r="A53" s="63" t="str">
        <v>Q210</v>
      </c>
      <c r="B53" s="64" t="str">
        <v>Hudson</v>
      </c>
      <c r="C53" s="50" t="str" cm="1">
        <f t="array" aca="1" ref="C53:K53" ca="1">IF(INDIRECT("'" &amp; $A53 &amp; "'!B14:J14")="", "", INDIRECT("'" &amp; $A53 &amp; "'!B14:J14"))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26" t="str">
        <f ca="1"/>
        <v/>
      </c>
      <c r="K53" s="26" t="str">
        <f ca="1"/>
        <v/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"'!B14:J14")="", "", INDIRECT("'" &amp; $A54 &amp; "'!B14:J14"))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26" t="str">
        <f ca="1"/>
        <v/>
      </c>
      <c r="K54" s="26" t="str">
        <f ca="1"/>
        <v/>
      </c>
    </row>
    <row r="55" spans="1:11" ht="15.75" customHeight="1">
      <c r="A55" s="63" t="str">
        <v>Q231</v>
      </c>
      <c r="B55" s="64" t="str">
        <v>Hudson</v>
      </c>
      <c r="C55" s="50" t="str" cm="1">
        <f t="array" aca="1" ref="C55:K55" ca="1">IF(INDIRECT("'" &amp; $A55 &amp; "'!B14:J14")="", "", INDIRECT("'" &amp; $A55 &amp; "'!B14:J14"))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26" t="str">
        <f ca="1"/>
        <v/>
      </c>
      <c r="K55" s="26" t="str">
        <f ca="1"/>
        <v/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"'!B14:J14")="", "", INDIRECT("'" &amp; $A56 &amp; "'!B14:J14"))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26" t="str">
        <f ca="1"/>
        <v/>
      </c>
      <c r="K56" s="26" t="str">
        <f ca="1"/>
        <v/>
      </c>
    </row>
    <row r="57" spans="1:11" ht="15.75" customHeight="1">
      <c r="A57" s="63" t="str">
        <v>Q435</v>
      </c>
      <c r="B57" s="64" t="str">
        <v>Hudson</v>
      </c>
      <c r="C57" s="50" t="str" cm="1">
        <f t="array" aca="1" ref="C57:K57" ca="1">IF(INDIRECT("'" &amp; $A57 &amp; "'!B14:J14")="", "", INDIRECT("'" &amp; $A57 &amp; "'!B14:J14"))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26" t="str">
        <f ca="1"/>
        <v/>
      </c>
      <c r="K57" s="26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"'!B14:J14")="", "", INDIRECT("'" &amp; $A58 &amp; "'!B14:J14"))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26" t="str">
        <f ca="1"/>
        <v/>
      </c>
      <c r="K58" s="26" t="str">
        <f ca="1"/>
        <v/>
      </c>
    </row>
    <row r="59" spans="1:11" ht="15.75" customHeight="1">
      <c r="A59" s="63" t="str">
        <v>Q490</v>
      </c>
      <c r="B59" s="64" t="str">
        <v>Hudson</v>
      </c>
      <c r="C59" s="50" t="str" cm="1">
        <f t="array" aca="1" ref="C59:K59" ca="1">IF(INDIRECT("'" &amp; $A59 &amp; "'!B14:J14")="", "", INDIRECT("'" &amp; $A59 &amp; "'!B14:J14"))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26" t="str">
        <f ca="1"/>
        <v/>
      </c>
      <c r="K59" s="26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"'!B14:J14")="", "", INDIRECT("'" &amp; $A60 &amp; "'!B14:J14"))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26" t="str">
        <f ca="1"/>
        <v/>
      </c>
      <c r="K60" s="26" t="str">
        <f ca="1"/>
        <v/>
      </c>
    </row>
    <row r="61" spans="1:11" ht="15.75" customHeight="1">
      <c r="A61" s="63" t="str">
        <v>QMOA</v>
      </c>
      <c r="B61" s="64" t="str">
        <v>Hudson</v>
      </c>
      <c r="C61" s="50" t="str" cm="1">
        <f t="array" aca="1" ref="C61:K61" ca="1">IF(INDIRECT("'" &amp; $A61 &amp; "'!B14:J14")="", "", INDIRECT("'" &amp; $A61 &amp; "'!B14:J14"))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26" t="str">
        <f ca="1"/>
        <v/>
      </c>
      <c r="K61" s="26" t="str">
        <f ca="1"/>
        <v/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"'!B14:J14")="", "", INDIRECT("'" &amp; $A62 &amp; "'!B14:J14"))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26" t="str">
        <f ca="1"/>
        <v/>
      </c>
      <c r="K62" s="26" t="str">
        <f ca="1"/>
        <v/>
      </c>
    </row>
    <row r="63" spans="1:11" ht="15.75" customHeight="1">
      <c r="A63" s="63" t="str">
        <v>X026</v>
      </c>
      <c r="B63" s="64" t="str">
        <v>Hudson</v>
      </c>
      <c r="C63" s="50" t="str" cm="1">
        <f t="array" aca="1" ref="C63:K63" ca="1">IF(INDIRECT("'" &amp; $A63 &amp; "'!B14:J14")="", "", INDIRECT("'" &amp; $A63 &amp; "'!B14:J14"))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26" t="str">
        <f ca="1"/>
        <v/>
      </c>
      <c r="K63" s="26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"'!B14:J14")="", "", INDIRECT("'" &amp; $A64 &amp; "'!B14:J14"))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26" t="str">
        <f ca="1"/>
        <v/>
      </c>
      <c r="K64" s="26" t="str">
        <f ca="1"/>
        <v/>
      </c>
    </row>
    <row r="65" spans="1:11" ht="15.75" customHeight="1">
      <c r="A65" s="63" t="str">
        <v>X117</v>
      </c>
      <c r="B65" s="64" t="str">
        <v>Hudson</v>
      </c>
      <c r="C65" s="50" t="str" cm="1">
        <f t="array" aca="1" ref="C65:K65" ca="1">IF(INDIRECT("'" &amp; $A65 &amp; "'!B14:J14")="", "", INDIRECT("'" &amp; $A65 &amp; "'!B14:J14"))</f>
        <v/>
      </c>
      <c r="D65" s="50" t="str">
        <f ca="1"/>
        <v/>
      </c>
      <c r="E65" s="50" t="str">
        <f ca="1"/>
        <v/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26" t="str">
        <f ca="1"/>
        <v/>
      </c>
      <c r="K65" s="26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"'!B14:J14")="", "", INDIRECT("'" &amp; $A66 &amp; "'!B14:J14"))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26" t="str">
        <f ca="1"/>
        <v/>
      </c>
      <c r="K66" s="26" t="str">
        <f ca="1"/>
        <v/>
      </c>
    </row>
    <row r="67" spans="1:11" ht="15.75" customHeight="1">
      <c r="A67" s="63" t="str">
        <v>X134</v>
      </c>
      <c r="B67" s="64" t="str">
        <v>Hudson</v>
      </c>
      <c r="C67" s="50" t="str" cm="1">
        <f t="array" aca="1" ref="C67:K67" ca="1">IF(INDIRECT("'" &amp; $A67 &amp; "'!B14:J14")="", "", INDIRECT("'" &amp; $A67 &amp; "'!B14:J14"))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26" t="str">
        <f ca="1"/>
        <v/>
      </c>
      <c r="K67" s="26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"'!B14:J14")="", "", INDIRECT("'" &amp; $A68 &amp; "'!B14:J14"))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26" t="str">
        <f ca="1"/>
        <v/>
      </c>
      <c r="K68" s="26" t="str">
        <f ca="1"/>
        <v/>
      </c>
    </row>
    <row r="69" spans="1:11" ht="15.75" customHeight="1">
      <c r="A69" s="63" t="str">
        <v>X139 JHS 222</v>
      </c>
      <c r="B69" s="64" t="str">
        <v>Hudson</v>
      </c>
      <c r="C69" s="50" t="str" cm="1">
        <f t="array" aca="1" ref="C69:K69" ca="1">IF(INDIRECT("'" &amp; $A69 &amp; "'!B14:J14")="", "", INDIRECT("'" &amp; $A69 &amp; "'!B14:J14"))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26" t="str">
        <f ca="1"/>
        <v/>
      </c>
      <c r="K69" s="26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"'!B14:J14")="", "", INDIRECT("'" &amp; $A70 &amp; "'!B14:J14"))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26" t="str">
        <f ca="1"/>
        <v/>
      </c>
      <c r="K70" s="26" t="str">
        <f ca="1"/>
        <v/>
      </c>
    </row>
    <row r="71" spans="1:11" ht="15.75" customHeight="1">
      <c r="A71" s="63" t="str">
        <v>X166</v>
      </c>
      <c r="B71" s="64" t="str">
        <v>Hudson</v>
      </c>
      <c r="C71" s="50" t="str" cm="1">
        <f t="array" aca="1" ref="C71:K71" ca="1">IF(INDIRECT("'" &amp; $A71 &amp; "'!B14:J14")="", "", INDIRECT("'" &amp; $A71 &amp; "'!B14:J14"))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26" t="str">
        <f ca="1"/>
        <v/>
      </c>
      <c r="K71" s="26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"'!B14:J14")="", "", INDIRECT("'" &amp; $A72 &amp; "'!B14:J14"))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26" t="str">
        <f ca="1"/>
        <v/>
      </c>
      <c r="K72" s="26" t="str">
        <f ca="1"/>
        <v/>
      </c>
    </row>
    <row r="73" spans="1:11" ht="15.75" customHeight="1">
      <c r="A73" s="63" t="str">
        <v>Terning</v>
      </c>
      <c r="B73" s="64" t="str">
        <v>MN Community Solar</v>
      </c>
      <c r="C73" s="50" t="str" cm="1">
        <f t="array" aca="1" ref="C73:K73" ca="1">IF(INDIRECT("'" &amp; $A73 &amp; "'!B14:J14")="", "", INDIRECT("'" &amp; $A73 &amp; "'!B14:J14"))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26" t="str">
        <f ca="1"/>
        <v/>
      </c>
      <c r="K73" s="26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"'!B14:J14")="", "", INDIRECT("'" &amp; $A74 &amp; "'!B14:J14"))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26" t="str">
        <f ca="1"/>
        <v/>
      </c>
      <c r="K74" s="26" t="str">
        <f ca="1"/>
        <v/>
      </c>
    </row>
    <row r="75" spans="1:11" ht="15.75" customHeight="1">
      <c r="A75" s="63" t="str">
        <v>Kelly Bridge Farm</v>
      </c>
      <c r="B75" s="64" t="str">
        <v>NYCS I</v>
      </c>
      <c r="C75" s="50" t="str" cm="1">
        <f t="array" aca="1" ref="C75:K75" ca="1">IF(INDIRECT("'" &amp; $A75 &amp; "'!B14:J14")="", "", INDIRECT("'" &amp; $A75 &amp; "'!B14:J14"))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26" t="str">
        <f ca="1"/>
        <v/>
      </c>
      <c r="K75" s="26" t="str">
        <f ca="1"/>
        <v/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"'!B14:J14")="", "", INDIRECT("'" &amp; $A76 &amp; "'!B14:J14"))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26" t="str">
        <f ca="1"/>
        <v/>
      </c>
      <c r="K76" s="26" t="str">
        <f ca="1"/>
        <v/>
      </c>
    </row>
    <row r="77" spans="1:11" ht="15.75" customHeight="1">
      <c r="A77" s="63" t="str">
        <v>Sackett Lake</v>
      </c>
      <c r="B77" s="64" t="str">
        <v>NYCS I</v>
      </c>
      <c r="C77" s="50" t="str" cm="1">
        <f t="array" aca="1" ref="C77:K77" ca="1">IF(INDIRECT("'" &amp; $A77 &amp; "'!B14:J14")="", "", INDIRECT("'" &amp; $A77 &amp; "'!B14:J14"))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26" t="str">
        <f ca="1"/>
        <v/>
      </c>
      <c r="K77" s="26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"'!B14:J14")="", "", INDIRECT("'" &amp; $A78 &amp; "'!B14:J14"))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26" t="str">
        <f ca="1"/>
        <v/>
      </c>
      <c r="K78" s="26" t="str">
        <f ca="1"/>
        <v/>
      </c>
    </row>
    <row r="79" spans="1:11" ht="15.75" customHeight="1">
      <c r="A79" s="63" t="str">
        <v>Villa Roma 1</v>
      </c>
      <c r="B79" s="64" t="str">
        <v>NYCS II</v>
      </c>
      <c r="C79" s="50" t="str" cm="1">
        <f t="array" aca="1" ref="C79:K79" ca="1">IF(INDIRECT("'" &amp; $A79 &amp; "'!B14:J14")="", "", INDIRECT("'" &amp; $A79 &amp; "'!B14:J14"))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26" t="str">
        <f ca="1"/>
        <v/>
      </c>
      <c r="K79" s="26" t="str">
        <f ca="1"/>
        <v/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"'!B14:J14")="", "", INDIRECT("'" &amp; $A80 &amp; "'!B14:J14"))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26" t="str">
        <f ca="1"/>
        <v/>
      </c>
      <c r="K80" s="26" t="str">
        <f ca="1"/>
        <v/>
      </c>
    </row>
    <row r="81" spans="1:11" ht="15.75" customHeight="1">
      <c r="A81" s="63" t="str">
        <v>Washington 1</v>
      </c>
      <c r="B81" s="64" t="str">
        <v>NYCS II</v>
      </c>
      <c r="C81" s="50" t="str" cm="1">
        <f t="array" aca="1" ref="C81:K81" ca="1">IF(INDIRECT("'" &amp; $A81 &amp; "'!B14:J14")="", "", INDIRECT("'" &amp; $A81 &amp; "'!B14:J14"))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26" t="str">
        <f ca="1"/>
        <v/>
      </c>
      <c r="K81" s="26" t="str">
        <f ca="1"/>
        <v/>
      </c>
    </row>
    <row r="82" spans="1:11" ht="15.7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"'!B14:J14")="", "", INDIRECT("'" &amp; $A82 &amp; "'!B14:J14"))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26" t="str">
        <f ca="1"/>
        <v/>
      </c>
      <c r="K82" s="26" t="str">
        <f ca="1"/>
        <v/>
      </c>
    </row>
    <row r="83" spans="1:11" ht="15.75" customHeight="1">
      <c r="A83" s="63" t="str">
        <v>Washington 4</v>
      </c>
      <c r="B83" s="64" t="str">
        <v>NYCS II</v>
      </c>
      <c r="C83" s="50" t="str" cm="1">
        <f t="array" aca="1" ref="C83:K83" ca="1">IF(INDIRECT("'" &amp; $A83 &amp; "'!B14:J14")="", "", INDIRECT("'" &amp; $A83 &amp; "'!B14:J14"))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26" t="str">
        <f ca="1"/>
        <v/>
      </c>
      <c r="K83" s="26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"'!B14:J14")="", "", INDIRECT("'" &amp; $A84 &amp; "'!B14:J14"))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26" t="str">
        <f ca="1"/>
        <v/>
      </c>
      <c r="K84" s="26" t="str">
        <f ca="1"/>
        <v/>
      </c>
    </row>
    <row r="85" spans="1:11" ht="15.75" customHeight="1">
      <c r="A85" s="63" t="str">
        <v>Canoga</v>
      </c>
      <c r="B85" s="64" t="str">
        <v>NYCS III</v>
      </c>
      <c r="C85" s="50" t="str" cm="1">
        <f t="array" aca="1" ref="C85:K85" ca="1">IF(INDIRECT("'" &amp; $A85 &amp; "'!B14:J14")="", "", INDIRECT("'" &amp; $A85 &amp; "'!B14:J14"))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26" t="str">
        <f ca="1"/>
        <v/>
      </c>
      <c r="K85" s="26" t="str">
        <f ca="1"/>
        <v/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"'!B14:J14")="", "", INDIRECT("'" &amp; $A86 &amp; "'!B14:J14"))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26" t="str">
        <f ca="1"/>
        <v/>
      </c>
      <c r="K86" s="26" t="str">
        <f ca="1"/>
        <v/>
      </c>
    </row>
    <row r="87" spans="1:11" ht="15.75" customHeight="1">
      <c r="A87" s="63" t="str">
        <v>Donati</v>
      </c>
      <c r="B87" s="64" t="str">
        <v>NYCS III</v>
      </c>
      <c r="C87" s="50" t="str" cm="1">
        <f t="array" aca="1" ref="C87:K87" ca="1">IF(INDIRECT("'" &amp; $A87 &amp; "'!B14:J14")="", "", INDIRECT("'" &amp; $A87 &amp; "'!B14:J14"))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26" t="str">
        <f ca="1"/>
        <v/>
      </c>
      <c r="K87" s="26" t="str">
        <f ca="1"/>
        <v/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"'!B14:J14")="", "", INDIRECT("'" &amp; $A88 &amp; "'!B14:J14"))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26" t="str">
        <f ca="1"/>
        <v/>
      </c>
      <c r="K88" s="26" t="str">
        <f ca="1"/>
        <v/>
      </c>
    </row>
    <row r="89" spans="1:11" ht="15.75" customHeight="1">
      <c r="A89" s="63" t="str">
        <v>NY 70</v>
      </c>
      <c r="B89" s="64" t="str">
        <v>NYCS III</v>
      </c>
      <c r="C89" s="50" t="str" cm="1">
        <f t="array" aca="1" ref="C89:K89" ca="1">IF(INDIRECT("'" &amp; $A89 &amp; "'!B14:J14")="", "", INDIRECT("'" &amp; $A89 &amp; "'!B14:J14"))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26" t="str">
        <f ca="1"/>
        <v/>
      </c>
      <c r="K89" s="26" t="str">
        <f ca="1"/>
        <v/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"'!B14:J14")="", "", INDIRECT("'" &amp; $A90 &amp; "'!B14:J14"))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26" t="str">
        <f ca="1"/>
        <v/>
      </c>
      <c r="K90" s="26" t="str">
        <f ca="1"/>
        <v/>
      </c>
    </row>
    <row r="91" spans="1:11" ht="15.75" customHeight="1">
      <c r="A91" s="63" t="str">
        <v>Sangolqui</v>
      </c>
      <c r="B91" s="64" t="str">
        <v>NYCS III</v>
      </c>
      <c r="C91" s="50" t="str" cm="1">
        <f t="array" aca="1" ref="C91:K91" ca="1">IF(INDIRECT("'" &amp; $A91 &amp; "'!B14:J14")="", "", INDIRECT("'" &amp; $A91 &amp; "'!B14:J14"))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26" t="str">
        <f ca="1"/>
        <v/>
      </c>
      <c r="K91" s="26" t="str">
        <f ca="1"/>
        <v/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"'!B14:J14")="", "", INDIRECT("'" &amp; $A92 &amp; "'!B14:J14"))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26" t="str">
        <f ca="1"/>
        <v/>
      </c>
      <c r="K92" s="26" t="str">
        <f ca="1"/>
        <v/>
      </c>
    </row>
    <row r="93" spans="1:11" ht="15.75" customHeight="1">
      <c r="A93" s="63" t="str">
        <v>State Route 14A</v>
      </c>
      <c r="B93" s="64" t="str">
        <v>NYCS III</v>
      </c>
      <c r="C93" s="50" t="str" cm="1">
        <f t="array" aca="1" ref="C93:K93" ca="1">IF(INDIRECT("'" &amp; $A93 &amp; "'!B14:J14")="", "", INDIRECT("'" &amp; $A93 &amp; "'!B14:J14"))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26" t="str">
        <f ca="1"/>
        <v/>
      </c>
      <c r="K93" s="26" t="str">
        <f ca="1"/>
        <v/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"'!B14:J14")="", "", INDIRECT("'" &amp; $A94 &amp; "'!B14:J14"))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26" t="str">
        <f ca="1"/>
        <v/>
      </c>
      <c r="K94" s="26" t="str">
        <f ca="1"/>
        <v/>
      </c>
    </row>
    <row r="95" spans="1:11" ht="15.75" customHeight="1">
      <c r="A95" s="63" t="str">
        <v>Wildflower</v>
      </c>
      <c r="B95" s="64" t="str">
        <v>NYCS III</v>
      </c>
      <c r="C95" s="50" t="str" cm="1">
        <f t="array" aca="1" ref="C95:K95" ca="1">IF(INDIRECT("'" &amp; $A95 &amp; "'!B14:J14")="", "", INDIRECT("'" &amp; $A95 &amp; "'!B14:J14"))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26" t="str">
        <f ca="1"/>
        <v/>
      </c>
      <c r="K95" s="26" t="str">
        <f ca="1"/>
        <v/>
      </c>
    </row>
    <row r="96" spans="1:11" ht="15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"'!B14:J14")="", "", INDIRECT("'" &amp; $A96 &amp; "'!B14:J14"))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26" t="str">
        <f ca="1"/>
        <v/>
      </c>
      <c r="K96" s="26" t="str">
        <f ca="1"/>
        <v/>
      </c>
    </row>
    <row r="97" spans="1:11" ht="15.75" customHeight="1">
      <c r="A97" s="63" t="str">
        <v>Glen Mary 2</v>
      </c>
      <c r="B97" s="64" t="str">
        <v>NYCS IV</v>
      </c>
      <c r="C97" s="50" t="str" cm="1">
        <f t="array" aca="1" ref="C97:K97" ca="1">IF(INDIRECT("'" &amp; $A97 &amp; "'!B14:J14")="", "", INDIRECT("'" &amp; $A97 &amp; "'!B14:J14"))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26" t="str">
        <f ca="1"/>
        <v/>
      </c>
      <c r="K97" s="26" t="str">
        <f ca="1"/>
        <v/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"'!B14:J14")="", "", INDIRECT("'" &amp; $A98 &amp; "'!B14:J14"))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26" t="str">
        <f ca="1"/>
        <v/>
      </c>
      <c r="K98" s="26" t="str">
        <f ca="1"/>
        <v/>
      </c>
    </row>
    <row r="99" spans="1:11" ht="15.75" customHeight="1">
      <c r="A99" s="63" t="str">
        <v>Telegraph 2</v>
      </c>
      <c r="B99" s="64" t="str">
        <v>NYCS IV</v>
      </c>
      <c r="C99" s="50" t="str" cm="1">
        <f t="array" aca="1" ref="C99:K99" ca="1">IF(INDIRECT("'" &amp; $A99 &amp; "'!B14:J14")="", "", INDIRECT("'" &amp; $A99 &amp; "'!B14:J14"))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26" t="str">
        <f ca="1"/>
        <v/>
      </c>
      <c r="K99" s="26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"'!B14:J14")="", "", INDIRECT("'" &amp; $A100 &amp; "'!B14:J14"))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26" t="str">
        <f ca="1"/>
        <v/>
      </c>
      <c r="K100" s="26" t="str">
        <f ca="1"/>
        <v/>
      </c>
    </row>
    <row r="101" spans="1:11" ht="15.75" customHeight="1">
      <c r="A101" s="63" t="str">
        <v>Dunkleman</v>
      </c>
      <c r="B101" s="64" t="str">
        <v>NYCS V</v>
      </c>
      <c r="C101" s="50" t="str" cm="1">
        <f t="array" aca="1" ref="C101:K101" ca="1">IF(INDIRECT("'" &amp; $A101 &amp; "'!B14:J14")="", "", INDIRECT("'" &amp; $A101 &amp; "'!B14:J14"))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26" t="str">
        <f ca="1"/>
        <v/>
      </c>
      <c r="K101" s="26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"'!B14:J14")="", "", INDIRECT("'" &amp; $A102 &amp; "'!B14:J14"))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26" t="str">
        <f ca="1"/>
        <v/>
      </c>
      <c r="K102" s="26" t="str">
        <f ca="1"/>
        <v/>
      </c>
    </row>
    <row r="103" spans="1:11" ht="15.75" customHeight="1">
      <c r="A103" s="63" t="str">
        <v>Route 19 2</v>
      </c>
      <c r="B103" s="64" t="str">
        <v>NYCS V</v>
      </c>
      <c r="C103" s="50" t="str" cm="1">
        <f t="array" aca="1" ref="C103:K103" ca="1">IF(INDIRECT("'" &amp; $A103 &amp; "'!B14:J14")="", "", INDIRECT("'" &amp; $A103 &amp; "'!B14:J14"))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26" t="str">
        <f ca="1"/>
        <v/>
      </c>
      <c r="K103" s="26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"'!B14:J14")="", "", INDIRECT("'" &amp; $A104 &amp; "'!B14:J14"))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26" t="str">
        <f ca="1"/>
        <v/>
      </c>
      <c r="K104" s="26" t="str">
        <f ca="1"/>
        <v/>
      </c>
    </row>
    <row r="105" spans="1:11" ht="15.75" customHeight="1">
      <c r="A105" s="63" t="str">
        <v>Yellow Mills 2</v>
      </c>
      <c r="B105" s="64" t="str">
        <v>NYCS V</v>
      </c>
      <c r="C105" s="50" t="str" cm="1">
        <f t="array" aca="1" ref="C105:K105" ca="1">IF(INDIRECT("'" &amp; $A105 &amp; "'!B14:J14")="", "", INDIRECT("'" &amp; $A105 &amp; "'!B14:J14"))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26" t="str">
        <f ca="1"/>
        <v/>
      </c>
      <c r="K105" s="26" t="str">
        <f ca="1"/>
        <v/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"'!B14:J14")="", "", INDIRECT("'" &amp; $A106 &amp; "'!B14:J14"))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26" t="str">
        <f ca="1"/>
        <v/>
      </c>
      <c r="K106" s="26" t="str">
        <f ca="1"/>
        <v/>
      </c>
    </row>
    <row r="107" spans="1:11" ht="15.75" customHeight="1">
      <c r="A107" s="63" t="str">
        <v>Catskill</v>
      </c>
      <c r="B107" s="64" t="str">
        <v>NYCS VI</v>
      </c>
      <c r="C107" s="50" t="str" cm="1">
        <f t="array" aca="1" ref="C107:K107" ca="1">IF(INDIRECT("'" &amp; $A107 &amp; "'!B14:J14")="", "", INDIRECT("'" &amp; $A107 &amp; "'!B14:J14"))</f>
        <v/>
      </c>
      <c r="D107" s="50" t="str">
        <f ca="1"/>
        <v/>
      </c>
      <c r="E107" s="50" t="str">
        <f ca="1"/>
        <v/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26" t="str">
        <f ca="1"/>
        <v/>
      </c>
      <c r="K107" s="26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"'!B14:J14")="", "", INDIRECT("'" &amp; $A108 &amp; "'!B14:J14"))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26" t="str">
        <f ca="1"/>
        <v/>
      </c>
      <c r="K108" s="26" t="str">
        <f ca="1"/>
        <v/>
      </c>
    </row>
    <row r="109" spans="1:11" ht="15.75" customHeight="1">
      <c r="A109" s="63" t="str">
        <v>Ridgeway #1</v>
      </c>
      <c r="B109" s="64" t="str">
        <v>NYCS VI</v>
      </c>
      <c r="C109" s="50" t="str" cm="1">
        <f t="array" aca="1" ref="C109:K109" ca="1">IF(INDIRECT("'" &amp; $A109 &amp; "'!B14:J14")="", "", INDIRECT("'" &amp; $A109 &amp; "'!B14:J14"))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26" t="str">
        <f ca="1"/>
        <v/>
      </c>
      <c r="K109" s="26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"'!B14:J14")="", "", INDIRECT("'" &amp; $A110 &amp; "'!B14:J14"))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26" t="str">
        <f ca="1"/>
        <v/>
      </c>
      <c r="K110" s="26" t="str">
        <f ca="1"/>
        <v/>
      </c>
    </row>
    <row r="111" spans="1:11" ht="15.75" customHeight="1">
      <c r="A111" s="63" t="str">
        <v>Rivard 2</v>
      </c>
      <c r="B111" s="64" t="str">
        <v>NYCS VI</v>
      </c>
      <c r="C111" s="50" t="str" cm="1">
        <f t="array" aca="1" ref="C111:K111" ca="1">IF(INDIRECT("'" &amp; $A111 &amp; "'!B14:J14")="", "", INDIRECT("'" &amp; $A111 &amp; "'!B14:J14"))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26" t="str">
        <f ca="1"/>
        <v/>
      </c>
      <c r="K111" s="26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"'!B14:J14")="", "", INDIRECT("'" &amp; $A112 &amp; "'!B14:J14"))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26" t="str">
        <f ca="1"/>
        <v/>
      </c>
      <c r="K112" s="26" t="str">
        <f ca="1"/>
        <v/>
      </c>
    </row>
    <row r="113" spans="1:11" ht="15.75" customHeight="1">
      <c r="A113" s="63" t="str">
        <v>Temple Sinai</v>
      </c>
      <c r="B113" s="64" t="str">
        <v>Opportunity</v>
      </c>
      <c r="C113" s="50" t="str" cm="1">
        <f t="array" aca="1" ref="C113:K113" ca="1">IF(INDIRECT("'" &amp; $A113 &amp; "'!B14:J14")="", "", INDIRECT("'" &amp; $A113 &amp; "'!B14:J14"))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26" t="str">
        <f ca="1"/>
        <v/>
      </c>
      <c r="K113" s="26" t="str">
        <f ca="1"/>
        <v/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"'!B14:J14")="", "", INDIRECT("'" &amp; $A114 &amp; "'!B14:J14"))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26" t="str">
        <f ca="1"/>
        <v/>
      </c>
      <c r="K114" s="26" t="str">
        <f ca="1"/>
        <v/>
      </c>
    </row>
    <row r="115" spans="1:11" ht="15.75" customHeight="1">
      <c r="A115" s="63" t="str">
        <v>Weinberg 2</v>
      </c>
      <c r="B115" s="64" t="str">
        <v>Opportunity</v>
      </c>
      <c r="C115" s="50" t="str" cm="1">
        <f t="array" aca="1" ref="C115:K115" ca="1">IF(INDIRECT("'" &amp; $A115 &amp; "'!B14:J14")="", "", INDIRECT("'" &amp; $A115 &amp; "'!B14:J14"))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26" t="str">
        <f ca="1"/>
        <v/>
      </c>
      <c r="K115" s="26" t="str">
        <f ca="1"/>
        <v/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"'!B14:J14")="", "", INDIRECT("'" &amp; $A116 &amp; "'!B14:J14"))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26" t="str">
        <f ca="1"/>
        <v/>
      </c>
      <c r="K116" s="26" t="str">
        <f ca="1"/>
        <v/>
      </c>
    </row>
    <row r="117" spans="1:11" ht="15.75" customHeight="1">
      <c r="A117" s="63" t="str">
        <v>Clayton Hall</v>
      </c>
      <c r="B117" s="64" t="str">
        <v>Opportunity</v>
      </c>
      <c r="C117" s="50" t="str" cm="1">
        <f t="array" aca="1" ref="C117:K117" ca="1">IF(INDIRECT("'" &amp; $A117 &amp; "'!B14:J14")="", "", INDIRECT("'" &amp; $A117 &amp; "'!B14:J14"))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26" t="str">
        <f ca="1"/>
        <v/>
      </c>
      <c r="K117" s="26" t="str">
        <f ca="1"/>
        <v/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"'!B14:J14")="", "", INDIRECT("'" &amp; $A118 &amp; "'!B14:J14"))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26" t="str">
        <f ca="1"/>
        <v/>
      </c>
      <c r="K118" s="26" t="str">
        <f ca="1"/>
        <v/>
      </c>
    </row>
    <row r="119" spans="1:11" ht="15.75" customHeight="1">
      <c r="A119" s="63" t="str">
        <v>Wyoming Road</v>
      </c>
      <c r="B119" s="64" t="str">
        <v>Opportunity</v>
      </c>
      <c r="C119" s="50" t="str" cm="1">
        <f t="array" aca="1" ref="C119:K119" ca="1">IF(INDIRECT("'" &amp; $A119 &amp; "'!B14:J14")="", "", INDIRECT("'" &amp; $A119 &amp; "'!B14:J14"))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26" t="str">
        <f ca="1"/>
        <v/>
      </c>
      <c r="K119" s="26" t="str">
        <f ca="1"/>
        <v/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"'!B14:J14")="", "", INDIRECT("'" &amp; $A120 &amp; "'!B14:J14"))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26" t="str">
        <f ca="1"/>
        <v/>
      </c>
      <c r="K120" s="26" t="str">
        <f ca="1"/>
        <v/>
      </c>
    </row>
    <row r="121" spans="1:11" ht="15.75" customHeight="1">
      <c r="A121" s="63" t="str">
        <v>Waipahu</v>
      </c>
      <c r="B121" s="64" t="str">
        <v>Opportunity</v>
      </c>
      <c r="C121" s="50" t="str" cm="1">
        <f t="array" aca="1" ref="C121:K121" ca="1">IF(INDIRECT("'" &amp; $A121 &amp; "'!B14:J14")="", "", INDIRECT("'" &amp; $A121 &amp; "'!B14:J14"))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26" t="str">
        <f ca="1"/>
        <v/>
      </c>
      <c r="K121" s="26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"'!B14:J14")="", "", INDIRECT("'" &amp; $A122 &amp; "'!B14:J14"))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26" t="str">
        <f ca="1"/>
        <v/>
      </c>
      <c r="K122" s="26" t="str">
        <f ca="1"/>
        <v/>
      </c>
    </row>
    <row r="123" spans="1:11" ht="15.75" customHeight="1">
      <c r="A123" s="63" t="str">
        <v>Shortal</v>
      </c>
      <c r="B123" s="64" t="str">
        <v>Opportunity</v>
      </c>
      <c r="C123" s="50" t="str" cm="1">
        <f t="array" aca="1" ref="C123:K123" ca="1">IF(INDIRECT("'" &amp; $A123 &amp; "'!B14:J14")="", "", INDIRECT("'" &amp; $A123 &amp; "'!B14:J14"))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26" t="str">
        <f ca="1"/>
        <v/>
      </c>
      <c r="K123" s="26" t="str">
        <f ca="1"/>
        <v/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"'!B14:J14")="", "", INDIRECT("'" &amp; $A124 &amp; "'!B14:J14"))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26" t="str">
        <f ca="1"/>
        <v/>
      </c>
      <c r="K124" s="26" t="str">
        <f ca="1"/>
        <v/>
      </c>
    </row>
    <row r="125" spans="1:11" ht="15.75" customHeight="1">
      <c r="A125" s="63" t="str">
        <v>Bayamon</v>
      </c>
      <c r="B125" s="64" t="str">
        <v>Opportunity</v>
      </c>
      <c r="C125" s="50" t="str" cm="1">
        <f t="array" aca="1" ref="C125:K125" ca="1">IF(INDIRECT("'" &amp; $A125 &amp; "'!B14:J14")="", "", INDIRECT("'" &amp; $A125 &amp; "'!B14:J14"))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26" t="str">
        <f ca="1"/>
        <v/>
      </c>
      <c r="K125" s="26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"'!B14:J14")="", "", INDIRECT("'" &amp; $A126 &amp; "'!B14:J14"))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26" t="str">
        <f ca="1"/>
        <v/>
      </c>
      <c r="K126" s="26" t="str">
        <f ca="1"/>
        <v/>
      </c>
    </row>
    <row r="127" spans="1:11" ht="15.75" customHeight="1">
      <c r="A127" s="63" t="str">
        <v>Seaport</v>
      </c>
      <c r="B127" s="64" t="str">
        <v>Sunraise</v>
      </c>
      <c r="C127" s="50" t="str" cm="1">
        <f t="array" aca="1" ref="C127:K127" ca="1">IF(INDIRECT("'" &amp; $A127 &amp; "'!B14:J14")="", "", INDIRECT("'" &amp; $A127 &amp; "'!B14:J14"))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26" t="str">
        <f ca="1"/>
        <v/>
      </c>
      <c r="K127" s="26" t="str">
        <f ca="1"/>
        <v/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"'!B14:J14")="", "", INDIRECT("'" &amp; $A128 &amp; "'!B14:J14"))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26" t="str">
        <f ca="1"/>
        <v/>
      </c>
      <c r="K128" s="26" t="str">
        <f ca="1"/>
        <v/>
      </c>
    </row>
    <row r="129" spans="1:11" ht="15.75" customHeight="1">
      <c r="A129" s="63" t="str">
        <v>Summer St</v>
      </c>
      <c r="B129" s="64" t="str">
        <v>Sunraise</v>
      </c>
      <c r="C129" s="50" t="str" cm="1">
        <f t="array" aca="1" ref="C129:K129" ca="1">IF(INDIRECT("'" &amp; $A129 &amp; "'!B14:J14")="", "", INDIRECT("'" &amp; $A129 &amp; "'!B14:J14"))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26" t="str">
        <f ca="1"/>
        <v/>
      </c>
      <c r="K129" s="26" t="str">
        <f ca="1"/>
        <v/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"'!B14:J14")="", "", INDIRECT("'" &amp; $A130 &amp; "'!B14:J14"))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26" t="str">
        <f ca="1"/>
        <v/>
      </c>
      <c r="K130" s="26" t="str">
        <f ca="1"/>
        <v/>
      </c>
    </row>
    <row r="131" spans="1:11" ht="15.75" customHeight="1">
      <c r="A131" s="63" t="str">
        <v>McClelland ES</v>
      </c>
      <c r="B131" s="64" t="str">
        <v>Sunraise</v>
      </c>
      <c r="C131" s="50" t="str" cm="1">
        <f t="array" aca="1" ref="C131:K131" ca="1">IF(INDIRECT("'" &amp; $A131 &amp; "'!B14:J14")="", "", INDIRECT("'" &amp; $A131 &amp; "'!B14:J14"))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26" t="str">
        <f ca="1"/>
        <v/>
      </c>
      <c r="K131" s="26" t="str">
        <f ca="1"/>
        <v/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"'!B14:J14")="", "", INDIRECT("'" &amp; $A132 &amp; "'!B14:J14"))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26" t="str">
        <f ca="1"/>
        <v/>
      </c>
      <c r="K132" s="26" t="str">
        <f ca="1"/>
        <v/>
      </c>
    </row>
    <row r="133" spans="1:11" ht="15.75" customHeight="1">
      <c r="A133" s="63" t="str">
        <v>Portsmouth HS</v>
      </c>
      <c r="B133" s="64" t="str">
        <v>Sunraise</v>
      </c>
      <c r="C133" s="50" t="str" cm="1">
        <f t="array" aca="1" ref="C133:K133" ca="1">IF(INDIRECT("'" &amp; $A133 &amp; "'!B14:J14")="", "", INDIRECT("'" &amp; $A133 &amp; "'!B14:J14"))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26" t="str">
        <f ca="1"/>
        <v/>
      </c>
      <c r="K133" s="26" t="str">
        <f ca="1"/>
        <v/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"'!B14:J14")="", "", INDIRECT("'" &amp; $A134 &amp; "'!B14:J14"))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26" t="str">
        <f ca="1"/>
        <v/>
      </c>
      <c r="K134" s="26" t="str">
        <f ca="1"/>
        <v/>
      </c>
    </row>
    <row r="135" spans="1:11" ht="15.75" customHeight="1">
      <c r="A135" s="63" t="str">
        <v>Rochester St</v>
      </c>
      <c r="B135" s="64" t="str">
        <v>Sunraise</v>
      </c>
      <c r="C135" s="50" t="str" cm="1">
        <f t="array" aca="1" ref="C135:K135" ca="1">IF(INDIRECT("'" &amp; $A135 &amp; "'!B14:J14")="", "", INDIRECT("'" &amp; $A135 &amp; "'!B14:J14"))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26" t="str">
        <f ca="1"/>
        <v/>
      </c>
      <c r="K135" s="26" t="str">
        <f ca="1"/>
        <v/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"'!B14:J14")="", "", INDIRECT("'" &amp; $A136 &amp; "'!B14:J14"))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26" t="str">
        <f ca="1"/>
        <v/>
      </c>
      <c r="K136" s="26" t="str">
        <f ca="1"/>
        <v/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B87DE706-15D9-4E58-ADBD-0129509DEFD6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64" priority="1" operator="lessThanOrEqual">
      <formula>-0.1</formula>
    </cfRule>
    <cfRule type="cellIs" dxfId="2163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42"/>
  <sheetViews>
    <sheetView zoomScaleNormal="100" workbookViewId="0">
      <pane ySplit="2" topLeftCell="A107" activePane="bottomLeft" state="frozen"/>
      <selection pane="bottomLeft" activeCell="A12" sqref="A12:B136"/>
      <selection activeCell="L18" sqref="L18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style="118" customWidth="1"/>
    <col min="11" max="11" width="19.42578125" style="109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42</v>
      </c>
      <c r="D1" s="170"/>
      <c r="E1" s="170"/>
      <c r="F1" s="170"/>
      <c r="G1" s="171" t="s">
        <v>43</v>
      </c>
      <c r="H1" s="171"/>
      <c r="I1" s="171"/>
      <c r="J1" s="176" t="s">
        <v>22</v>
      </c>
      <c r="K1" s="175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6"/>
      <c r="K2" s="175"/>
    </row>
    <row r="3" spans="1:11" ht="15.75" customHeight="1">
      <c r="A3" s="63" t="str" cm="1">
        <f t="array" ref="A3:A136">Sites[Site]</f>
        <v>Farmer</v>
      </c>
      <c r="B3" s="64" t="str" cm="1">
        <f t="array" ref="B3:B136">Sites[Portfolio]</f>
        <v>Blue Renewables</v>
      </c>
      <c r="C3" s="50" t="str" cm="1">
        <f t="array" aca="1" ref="C3:K3" ca="1">IF(INDIRECT("'" &amp; $A3 &amp; "'!B15:J15")="", "", INDIRECT("'" &amp; $A3 &amp; "'!B15:J15"))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26" t="str">
        <f ca="1"/>
        <v/>
      </c>
      <c r="K3" s="26" t="str">
        <f ca="1"/>
        <v/>
      </c>
    </row>
    <row r="4" spans="1:11" ht="15.75" customHeight="1">
      <c r="A4" s="59" t="str">
        <v>Fulton</v>
      </c>
      <c r="B4" s="21" t="str">
        <v>Blue Renewables</v>
      </c>
      <c r="C4" s="50" t="str" cm="1">
        <f t="array" aca="1" ref="C4:K4" ca="1">IF(INDIRECT("'" &amp; $A4 &amp; "'!B15:J15")="", "", INDIRECT("'" &amp; $A4 &amp; "'!B15:J15"))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26" t="str">
        <f ca="1"/>
        <v/>
      </c>
      <c r="K4" s="26" t="str">
        <f ca="1"/>
        <v/>
      </c>
    </row>
    <row r="5" spans="1:11" ht="15.75" customHeight="1">
      <c r="A5" s="60" t="str">
        <v>JFK Elementary</v>
      </c>
      <c r="B5" s="49" t="str">
        <v>Blue Renewables</v>
      </c>
      <c r="C5" s="50" t="str" cm="1">
        <f t="array" aca="1" ref="C5:K5" ca="1">IF(INDIRECT("'" &amp; $A5 &amp; "'!B15:J15")="", "", INDIRECT("'" &amp; $A5 &amp; "'!B15:J15"))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26" t="str">
        <f ca="1"/>
        <v/>
      </c>
      <c r="K5" s="26" t="str">
        <f ca="1"/>
        <v/>
      </c>
    </row>
    <row r="6" spans="1:11" ht="15.75" customHeight="1">
      <c r="A6" s="59" t="str">
        <v>Noble</v>
      </c>
      <c r="B6" s="21" t="str">
        <v>Blue Renewables</v>
      </c>
      <c r="C6" s="50" t="str" cm="1">
        <f t="array" aca="1" ref="C6:K6" ca="1">IF(INDIRECT("'" &amp; $A6 &amp; "'!B15:J15")="", "", INDIRECT("'" &amp; $A6 &amp; "'!B15:J15"))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26" t="str">
        <f ca="1"/>
        <v/>
      </c>
      <c r="K6" s="26" t="str">
        <f ca="1"/>
        <v/>
      </c>
    </row>
    <row r="7" spans="1:11" ht="15.75" customHeight="1">
      <c r="A7" s="60" t="str">
        <v>Parking 3</v>
      </c>
      <c r="B7" s="49" t="str">
        <v>Blue Renewables</v>
      </c>
      <c r="C7" s="50" t="str" cm="1">
        <f t="array" aca="1" ref="C7:K7" ca="1">IF(INDIRECT("'" &amp; $A7 &amp; "'!B15:J15")="", "", INDIRECT("'" &amp; $A7 &amp; "'!B15:J15"))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26" t="str">
        <f ca="1"/>
        <v/>
      </c>
      <c r="K7" s="26" t="str">
        <f ca="1"/>
        <v/>
      </c>
    </row>
    <row r="8" spans="1:11" ht="15.75" customHeight="1">
      <c r="A8" s="59" t="str">
        <v>PE East</v>
      </c>
      <c r="B8" s="21" t="str">
        <v>Blue Renewables</v>
      </c>
      <c r="C8" s="50" t="str" cm="1">
        <f t="array" aca="1" ref="C8:K8" ca="1">IF(INDIRECT("'" &amp; $A8 &amp; "'!B15:J15")="", "", INDIRECT("'" &amp; $A8 &amp; "'!B15:J15"))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26" t="str">
        <f ca="1"/>
        <v/>
      </c>
      <c r="K8" s="26" t="str">
        <f ca="1"/>
        <v/>
      </c>
    </row>
    <row r="9" spans="1:11" ht="15.75" customHeight="1">
      <c r="A9" s="60" t="str">
        <v>Schwada</v>
      </c>
      <c r="B9" s="49" t="str">
        <v>Blue Renewables</v>
      </c>
      <c r="C9" s="50" t="str" cm="1">
        <f t="array" aca="1" ref="C9:K9" ca="1">IF(INDIRECT("'" &amp; $A9 &amp; "'!B15:J15")="", "", INDIRECT("'" &amp; $A9 &amp; "'!B15:J15"))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26" t="str">
        <f ca="1"/>
        <v/>
      </c>
      <c r="K9" s="26" t="str">
        <f ca="1"/>
        <v/>
      </c>
    </row>
    <row r="10" spans="1:11" ht="15.75" customHeight="1">
      <c r="A10" s="59" t="str">
        <v>Starshine</v>
      </c>
      <c r="B10" s="21" t="str">
        <v>Blue Renewables</v>
      </c>
      <c r="C10" s="50" t="str" cm="1">
        <f t="array" aca="1" ref="C10:K10" ca="1">IF(INDIRECT("'" &amp; $A10 &amp; "'!B15:J15")="", "", INDIRECT("'" &amp; $A10 &amp; "'!B15:J15"))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26" t="str">
        <f ca="1"/>
        <v/>
      </c>
      <c r="K10" s="26" t="str">
        <f ca="1"/>
        <v xml:space="preserve"> </v>
      </c>
    </row>
    <row r="11" spans="1:11" ht="15.75" customHeight="1">
      <c r="A11" s="60" t="str">
        <v>Yuma Airport</v>
      </c>
      <c r="B11" s="49" t="str">
        <v>Blue Renewables</v>
      </c>
      <c r="C11" s="50" t="str" cm="1">
        <f t="array" aca="1" ref="C11:K11" ca="1">IF(INDIRECT("'" &amp; $A11 &amp; "'!B15:J15")="", "", INDIRECT("'" &amp; $A11 &amp; "'!B15:J15"))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26" t="str">
        <f ca="1"/>
        <v/>
      </c>
      <c r="K11" s="26" t="str">
        <f ca="1"/>
        <v/>
      </c>
    </row>
    <row r="12" spans="1:11" ht="36.75" customHeight="1">
      <c r="A12" s="59" t="str">
        <v>Kinsman</v>
      </c>
      <c r="B12" s="21" t="str">
        <v>Blue Renewables</v>
      </c>
      <c r="C12" s="50" t="str" cm="1">
        <f t="array" aca="1" ref="C12:K12" ca="1">IF(INDIRECT("'" &amp; $A12 &amp; "'!B15:J15")="", "", INDIRECT("'" &amp; $A12 &amp; "'!B15:J15"))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26" t="str">
        <f ca="1"/>
        <v/>
      </c>
      <c r="K12" s="26" t="str">
        <f ca="1"/>
        <v/>
      </c>
    </row>
    <row r="13" spans="1:11" ht="15.75" customHeight="1">
      <c r="A13" s="60" t="str">
        <v>Wooster</v>
      </c>
      <c r="B13" s="49" t="str">
        <v>Blue Renewables</v>
      </c>
      <c r="C13" s="50" t="str" cm="1">
        <f t="array" aca="1" ref="C13:K13" ca="1">IF(INDIRECT("'" &amp; $A13 &amp; "'!B15:J15")="", "", INDIRECT("'" &amp; $A13 &amp; "'!B15:J15"))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26" t="str">
        <f ca="1"/>
        <v/>
      </c>
      <c r="K13" s="26" t="str">
        <f ca="1"/>
        <v xml:space="preserve"> </v>
      </c>
    </row>
    <row r="14" spans="1:11" ht="15.75" customHeight="1">
      <c r="A14" s="59" t="str">
        <v>Globe Gila CC</v>
      </c>
      <c r="B14" s="21" t="str">
        <v>CC Gen Equity</v>
      </c>
      <c r="C14" s="50" t="str" cm="1">
        <f t="array" aca="1" ref="C14:K14" ca="1">IF(INDIRECT("'" &amp; $A14 &amp; "'!B15:J15")="", "", INDIRECT("'" &amp; $A14 &amp; "'!B15:J15"))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26" t="str">
        <f ca="1"/>
        <v/>
      </c>
      <c r="K14" s="26" t="str">
        <f ca="1"/>
        <v xml:space="preserve"> </v>
      </c>
    </row>
    <row r="15" spans="1:11" ht="15.75" customHeight="1">
      <c r="A15" s="60" t="str">
        <v>Payson Gila CC</v>
      </c>
      <c r="B15" s="49" t="str">
        <v>CC Gen Equity</v>
      </c>
      <c r="C15" s="50" t="str" cm="1">
        <f t="array" aca="1" ref="C15:K15" ca="1">IF(INDIRECT("'" &amp; $A15 &amp; "'!B15:J15")="", "", INDIRECT("'" &amp; $A15 &amp; "'!B15:J15"))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26" t="str">
        <f ca="1"/>
        <v/>
      </c>
      <c r="K15" s="26" t="str">
        <f ca="1"/>
        <v xml:space="preserve"> </v>
      </c>
    </row>
    <row r="16" spans="1:11" ht="15.75" customHeight="1">
      <c r="A16" s="59" t="str">
        <v>SCNM</v>
      </c>
      <c r="B16" s="21" t="str">
        <v>CC Gen Equity</v>
      </c>
      <c r="C16" s="50" t="str" cm="1">
        <f t="array" aca="1" ref="C16:K16" ca="1">IF(INDIRECT("'" &amp; $A16 &amp; "'!B15:J15")="", "", INDIRECT("'" &amp; $A16 &amp; "'!B15:J15"))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26" t="str">
        <f ca="1"/>
        <v/>
      </c>
      <c r="K16" s="26" t="str">
        <f ca="1"/>
        <v xml:space="preserve"> </v>
      </c>
    </row>
    <row r="17" spans="1:11" ht="15.75" customHeight="1">
      <c r="A17" s="60" t="str">
        <v>Sequoia Charter School</v>
      </c>
      <c r="B17" s="49" t="str">
        <v>CC Gen Equity</v>
      </c>
      <c r="C17" s="50" t="str" cm="1">
        <f t="array" aca="1" ref="C17:K17" ca="1">IF(INDIRECT("'" &amp; $A17 &amp; "'!B15:J15")="", "", INDIRECT("'" &amp; $A17 &amp; "'!B15:J15"))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26" t="str">
        <f ca="1"/>
        <v/>
      </c>
      <c r="K17" s="26" t="str">
        <f ca="1"/>
        <v xml:space="preserve"> </v>
      </c>
    </row>
    <row r="18" spans="1:11" ht="15.75" customHeight="1">
      <c r="A18" s="59" t="str">
        <v>RCAB</v>
      </c>
      <c r="B18" s="21" t="str">
        <v>GESF2</v>
      </c>
      <c r="C18" s="50" t="str" cm="1">
        <f t="array" aca="1" ref="C18:K18" ca="1">IF(INDIRECT("'" &amp; $A18 &amp; "'!B15:J15")="", "", INDIRECT("'" &amp; $A18 &amp; "'!B15:J15"))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26" t="str">
        <f ca="1"/>
        <v/>
      </c>
      <c r="K18" s="26" t="str">
        <f ca="1"/>
        <v/>
      </c>
    </row>
    <row r="19" spans="1:11" ht="15.75" customHeight="1">
      <c r="A19" s="60" t="str">
        <v>Spectro Coatings</v>
      </c>
      <c r="B19" s="49" t="str">
        <v>GESF2</v>
      </c>
      <c r="C19" s="50" t="str" cm="1">
        <f t="array" aca="1" ref="C19:K19" ca="1">IF(INDIRECT("'" &amp; $A19 &amp; "'!B15:J15")="", "", INDIRECT("'" &amp; $A19 &amp; "'!B15:J15"))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26" t="str">
        <f ca="1"/>
        <v/>
      </c>
      <c r="K19" s="26" t="str">
        <f ca="1"/>
        <v/>
      </c>
    </row>
    <row r="20" spans="1:11" ht="15.75" customHeight="1">
      <c r="A20" s="59" t="str">
        <v>K026</v>
      </c>
      <c r="B20" s="21" t="str">
        <v>Hudson</v>
      </c>
      <c r="C20" s="50" t="str" cm="1">
        <f t="array" aca="1" ref="C20:K20" ca="1">IF(INDIRECT("'" &amp; $A20 &amp; "'!B15:J15")="", "", INDIRECT("'" &amp; $A20 &amp; "'!B15:J15"))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26" t="str">
        <f ca="1"/>
        <v/>
      </c>
      <c r="K20" s="26" t="str">
        <f ca="1"/>
        <v/>
      </c>
    </row>
    <row r="21" spans="1:11" ht="15.75" customHeight="1">
      <c r="A21" s="60" t="str">
        <v>K041</v>
      </c>
      <c r="B21" s="49" t="str">
        <v>Hudson</v>
      </c>
      <c r="C21" s="50" t="str" cm="1">
        <f t="array" aca="1" ref="C21:K21" ca="1">IF(INDIRECT("'" &amp; $A21 &amp; "'!B15:J15")="", "", INDIRECT("'" &amp; $A21 &amp; "'!B15:J15"))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26" t="str">
        <f ca="1"/>
        <v/>
      </c>
      <c r="K21" s="26" t="str">
        <f ca="1"/>
        <v/>
      </c>
    </row>
    <row r="22" spans="1:11" ht="15.75" customHeight="1">
      <c r="A22" s="59" t="str">
        <v>K043</v>
      </c>
      <c r="B22" s="21" t="str">
        <v>Hudson</v>
      </c>
      <c r="C22" s="50" t="str" cm="1">
        <f t="array" aca="1" ref="C22:K22" ca="1">IF(INDIRECT("'" &amp; $A22 &amp; "'!B15:J15")="", "", INDIRECT("'" &amp; $A22 &amp; "'!B15:J15"))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26" t="str">
        <f ca="1"/>
        <v/>
      </c>
      <c r="K22" s="26" t="str">
        <f ca="1"/>
        <v/>
      </c>
    </row>
    <row r="23" spans="1:11" ht="15.75" customHeight="1">
      <c r="A23" s="60" t="str">
        <v>K058</v>
      </c>
      <c r="B23" s="49" t="str">
        <v>Hudson</v>
      </c>
      <c r="C23" s="50" t="str" cm="1">
        <f t="array" aca="1" ref="C23:K23" ca="1">IF(INDIRECT("'" &amp; $A23 &amp; "'!B15:J15")="", "", INDIRECT("'" &amp; $A23 &amp; "'!B15:J15"))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26" t="str">
        <f ca="1"/>
        <v/>
      </c>
      <c r="K23" s="26" t="str">
        <f ca="1"/>
        <v xml:space="preserve"> </v>
      </c>
    </row>
    <row r="24" spans="1:11" ht="15.75" customHeight="1">
      <c r="A24" s="59" t="str">
        <v>K115</v>
      </c>
      <c r="B24" s="21" t="str">
        <v>Hudson</v>
      </c>
      <c r="C24" s="50" t="str" cm="1">
        <f t="array" aca="1" ref="C24:K24" ca="1">IF(INDIRECT("'" &amp; $A24 &amp; "'!B15:J15")="", "", INDIRECT("'" &amp; $A24 &amp; "'!B15:J15"))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26" t="str">
        <f ca="1"/>
        <v/>
      </c>
      <c r="K24" s="26" t="str">
        <f ca="1"/>
        <v/>
      </c>
    </row>
    <row r="25" spans="1:11" ht="15.75" customHeight="1">
      <c r="A25" s="60" t="str">
        <v>K152</v>
      </c>
      <c r="B25" s="49" t="str">
        <v>Hudson</v>
      </c>
      <c r="C25" s="50" t="str" cm="1">
        <f t="array" aca="1" ref="C25:K25" ca="1">IF(INDIRECT("'" &amp; $A25 &amp; "'!B15:J15")="", "", INDIRECT("'" &amp; $A25 &amp; "'!B15:J15"))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26" t="str">
        <f ca="1"/>
        <v/>
      </c>
      <c r="K25" s="26" t="str">
        <f ca="1"/>
        <v/>
      </c>
    </row>
    <row r="26" spans="1:11" ht="15.75" customHeight="1">
      <c r="A26" s="59" t="str">
        <v>K166</v>
      </c>
      <c r="B26" s="21" t="str">
        <v>Hudson</v>
      </c>
      <c r="C26" s="50" t="str" cm="1">
        <f t="array" aca="1" ref="C26:K26" ca="1">IF(INDIRECT("'" &amp; $A26 &amp; "'!B15:J15")="", "", INDIRECT("'" &amp; $A26 &amp; "'!B15:J15"))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26" t="str">
        <f ca="1"/>
        <v/>
      </c>
      <c r="K26" s="26" t="str">
        <f ca="1"/>
        <v/>
      </c>
    </row>
    <row r="27" spans="1:11" ht="15.75" customHeight="1">
      <c r="A27" s="60" t="str">
        <v>K206</v>
      </c>
      <c r="B27" s="49" t="str">
        <v>Hudson</v>
      </c>
      <c r="C27" s="50" t="str" cm="1">
        <f t="array" aca="1" ref="C27:K27" ca="1">IF(INDIRECT("'" &amp; $A27 &amp; "'!B15:J15")="", "", INDIRECT("'" &amp; $A27 &amp; "'!B15:J15"))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26" t="str">
        <f ca="1"/>
        <v/>
      </c>
      <c r="K27" s="26" t="str">
        <f ca="1"/>
        <v/>
      </c>
    </row>
    <row r="28" spans="1:11" ht="15.75" customHeight="1">
      <c r="A28" s="59" t="str">
        <v>K251</v>
      </c>
      <c r="B28" s="21" t="str">
        <v>Hudson</v>
      </c>
      <c r="C28" s="50" t="str" cm="1">
        <f t="array" aca="1" ref="C28:K28" ca="1">IF(INDIRECT("'" &amp; $A28 &amp; "'!B15:J15")="", "", INDIRECT("'" &amp; $A28 &amp; "'!B15:J15"))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26" t="str">
        <f ca="1"/>
        <v/>
      </c>
      <c r="K28" s="26" t="str">
        <f ca="1"/>
        <v/>
      </c>
    </row>
    <row r="29" spans="1:11" ht="36" customHeight="1">
      <c r="A29" s="60" t="str">
        <v>K269</v>
      </c>
      <c r="B29" s="49" t="str">
        <v>Hudson</v>
      </c>
      <c r="C29" s="50" t="str" cm="1">
        <f t="array" aca="1" ref="C29:K29" ca="1">IF(INDIRECT("'" &amp; $A29 &amp; "'!B15:J15")="", "", INDIRECT("'" &amp; $A29 &amp; "'!B15:J15"))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26" t="str">
        <f ca="1"/>
        <v/>
      </c>
      <c r="K29" s="26" t="str">
        <f ca="1"/>
        <v/>
      </c>
    </row>
    <row r="30" spans="1:11" ht="15.75" customHeight="1">
      <c r="A30" s="59" t="str">
        <v>K273</v>
      </c>
      <c r="B30" s="21" t="str">
        <v>Hudson</v>
      </c>
      <c r="C30" s="50" t="str" cm="1">
        <f t="array" aca="1" ref="C30:K30" ca="1">IF(INDIRECT("'" &amp; $A30 &amp; "'!B15:J15")="", "", INDIRECT("'" &amp; $A30 &amp; "'!B15:J15"))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26" t="str">
        <f ca="1"/>
        <v/>
      </c>
      <c r="K30" s="26" t="str">
        <f ca="1"/>
        <v/>
      </c>
    </row>
    <row r="31" spans="1:11" ht="15.75" customHeight="1">
      <c r="A31" s="60" t="str">
        <v>K287</v>
      </c>
      <c r="B31" s="49" t="str">
        <v>Hudson</v>
      </c>
      <c r="C31" s="50" t="str" cm="1">
        <f t="array" aca="1" ref="C31:K31" ca="1">IF(INDIRECT("'" &amp; $A31 &amp; "'!B15:J15")="", "", INDIRECT("'" &amp; $A31 &amp; "'!B15:J15"))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26" t="str">
        <f ca="1"/>
        <v/>
      </c>
      <c r="K31" s="26" t="str">
        <f ca="1"/>
        <v/>
      </c>
    </row>
    <row r="32" spans="1:11" ht="15.75" customHeight="1">
      <c r="A32" s="59" t="str">
        <v>K298</v>
      </c>
      <c r="B32" s="21" t="str">
        <v>Hudson</v>
      </c>
      <c r="C32" s="50" t="str" cm="1">
        <f t="array" aca="1" ref="C32:K32" ca="1">IF(INDIRECT("'" &amp; $A32 &amp; "'!B15:J15")="", "", INDIRECT("'" &amp; $A32 &amp; "'!B15:J15"))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26" t="str">
        <f ca="1"/>
        <v/>
      </c>
      <c r="K32" s="26" t="str">
        <f ca="1"/>
        <v/>
      </c>
    </row>
    <row r="33" spans="1:11" ht="15.75" customHeight="1">
      <c r="A33" s="60" t="str">
        <v>K335</v>
      </c>
      <c r="B33" s="49" t="str">
        <v>Hudson</v>
      </c>
      <c r="C33" s="50" t="str" cm="1">
        <f t="array" aca="1" ref="C33:K33" ca="1">IF(INDIRECT("'" &amp; $A33 &amp; "'!B15:J15")="", "", INDIRECT("'" &amp; $A33 &amp; "'!B15:J15"))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26" t="str">
        <f ca="1"/>
        <v/>
      </c>
      <c r="K33" s="26" t="str">
        <f ca="1"/>
        <v/>
      </c>
    </row>
    <row r="34" spans="1:11" ht="15.75" customHeight="1">
      <c r="A34" s="59" t="str">
        <v>K345</v>
      </c>
      <c r="B34" s="21" t="str">
        <v>Hudson</v>
      </c>
      <c r="C34" s="50" t="str" cm="1">
        <f t="array" aca="1" ref="C34:K34" ca="1">IF(INDIRECT("'" &amp; $A34 &amp; "'!B15:J15")="", "", INDIRECT("'" &amp; $A34 &amp; "'!B15:J15"))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26" t="str">
        <f ca="1"/>
        <v/>
      </c>
      <c r="K34" s="26" t="str">
        <f ca="1"/>
        <v/>
      </c>
    </row>
    <row r="35" spans="1:11" ht="15.75" customHeight="1">
      <c r="A35" s="60" t="str">
        <v>K445</v>
      </c>
      <c r="B35" s="49" t="str">
        <v>Hudson</v>
      </c>
      <c r="C35" s="50" t="str" cm="1">
        <f t="array" aca="1" ref="C35:K35" ca="1">IF(INDIRECT("'" &amp; $A35 &amp; "'!B15:J15")="", "", INDIRECT("'" &amp; $A35 &amp; "'!B15:J15"))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26" t="str">
        <f ca="1"/>
        <v/>
      </c>
      <c r="K35" s="26" t="str">
        <f ca="1"/>
        <v/>
      </c>
    </row>
    <row r="36" spans="1:11" ht="15.75" customHeight="1">
      <c r="A36" s="59" t="str">
        <v>K495</v>
      </c>
      <c r="B36" s="21" t="str">
        <v>Hudson</v>
      </c>
      <c r="C36" s="50" t="str" cm="1">
        <f t="array" aca="1" ref="C36:K36" ca="1">IF(INDIRECT("'" &amp; $A36 &amp; "'!B15:J15")="", "", INDIRECT("'" &amp; $A36 &amp; "'!B15:J15"))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26" t="str">
        <f ca="1"/>
        <v/>
      </c>
      <c r="K36" s="26" t="str">
        <f ca="1"/>
        <v/>
      </c>
    </row>
    <row r="37" spans="1:11" ht="15.75" customHeight="1">
      <c r="A37" s="60" t="str">
        <v>M020</v>
      </c>
      <c r="B37" s="49" t="str">
        <v>Hudson</v>
      </c>
      <c r="C37" s="50" t="str" cm="1">
        <f t="array" aca="1" ref="C37:K37" ca="1">IF(INDIRECT("'" &amp; $A37 &amp; "'!B15:J15")="", "", INDIRECT("'" &amp; $A37 &amp; "'!B15:J15"))</f>
        <v/>
      </c>
      <c r="D37" s="50" t="str">
        <f ca="1"/>
        <v/>
      </c>
      <c r="E37" s="50">
        <f ca="1"/>
        <v>0</v>
      </c>
      <c r="F37" s="51">
        <f ca="1"/>
        <v>0</v>
      </c>
      <c r="G37" s="52">
        <f ca="1"/>
        <v>0</v>
      </c>
      <c r="H37" s="52">
        <f ca="1"/>
        <v>0</v>
      </c>
      <c r="I37" s="53">
        <f ca="1"/>
        <v>0</v>
      </c>
      <c r="J37" s="26" t="str">
        <f ca="1"/>
        <v/>
      </c>
      <c r="K37" s="26" t="str">
        <f ca="1"/>
        <v/>
      </c>
    </row>
    <row r="38" spans="1:11" ht="15.75" customHeight="1">
      <c r="A38" s="59" t="str">
        <v>M092</v>
      </c>
      <c r="B38" s="21" t="str">
        <v>Hudson</v>
      </c>
      <c r="C38" s="50" t="str" cm="1">
        <f t="array" aca="1" ref="C38:K38" ca="1">IF(INDIRECT("'" &amp; $A38 &amp; "'!B15:J15")="", "", INDIRECT("'" &amp; $A38 &amp; "'!B15:J15"))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26" t="str">
        <f ca="1"/>
        <v/>
      </c>
      <c r="K38" s="26" t="str">
        <f ca="1"/>
        <v/>
      </c>
    </row>
    <row r="39" spans="1:11" ht="15.75" customHeight="1">
      <c r="A39" s="60" t="str">
        <v>M143</v>
      </c>
      <c r="B39" s="49" t="str">
        <v>Hudson</v>
      </c>
      <c r="C39" s="50" t="str" cm="1">
        <f t="array" aca="1" ref="C39:K39" ca="1">IF(INDIRECT("'" &amp; $A39 &amp; "'!B15:J15")="", "", INDIRECT("'" &amp; $A39 &amp; "'!B15:J15"))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26" t="str">
        <f ca="1"/>
        <v/>
      </c>
      <c r="K39" s="26" t="str">
        <f ca="1"/>
        <v/>
      </c>
    </row>
    <row r="40" spans="1:11" ht="15.75" customHeight="1">
      <c r="A40" s="59" t="str">
        <v>M144</v>
      </c>
      <c r="B40" s="21" t="str">
        <v>Hudson</v>
      </c>
      <c r="C40" s="50" t="str" cm="1">
        <f t="array" aca="1" ref="C40:K40" ca="1">IF(INDIRECT("'" &amp; $A40 &amp; "'!B15:J15")="", "", INDIRECT("'" &amp; $A40 &amp; "'!B15:J15"))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26" t="str">
        <f ca="1"/>
        <v/>
      </c>
      <c r="K40" s="26" t="str">
        <f ca="1"/>
        <v/>
      </c>
    </row>
    <row r="41" spans="1:11" ht="15.75" customHeight="1">
      <c r="A41" s="60" t="str">
        <v>M167</v>
      </c>
      <c r="B41" s="49" t="str">
        <v>Hudson</v>
      </c>
      <c r="C41" s="50" t="str" cm="1">
        <f t="array" aca="1" ref="C41:K41" ca="1">IF(INDIRECT("'" &amp; $A41 &amp; "'!B15:J15")="", "", INDIRECT("'" &amp; $A41 &amp; "'!B15:J15"))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26" t="str">
        <f ca="1"/>
        <v/>
      </c>
      <c r="K41" s="26" t="str">
        <f ca="1"/>
        <v xml:space="preserve"> </v>
      </c>
    </row>
    <row r="42" spans="1:11" ht="15.75" customHeight="1">
      <c r="A42" s="59" t="str">
        <v>M188</v>
      </c>
      <c r="B42" s="21" t="str">
        <v>Hudson</v>
      </c>
      <c r="C42" s="50" t="str" cm="1">
        <f t="array" aca="1" ref="C42:K42" ca="1">IF(INDIRECT("'" &amp; $A42 &amp; "'!B15:J15")="", "", INDIRECT("'" &amp; $A42 &amp; "'!B15:J15"))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26" t="str">
        <f ca="1"/>
        <v/>
      </c>
      <c r="K42" s="26" t="str">
        <f ca="1"/>
        <v xml:space="preserve"> </v>
      </c>
    </row>
    <row r="43" spans="1:11" ht="15.75" customHeight="1">
      <c r="A43" s="60" t="str">
        <v>EMHC</v>
      </c>
      <c r="B43" s="49" t="str">
        <v>Hudson</v>
      </c>
      <c r="C43" s="50" t="str" cm="1">
        <f t="array" aca="1" ref="C43:K43" ca="1">IF(INDIRECT("'" &amp; $A43 &amp; "'!B15:J15")="", "", INDIRECT("'" &amp; $A43 &amp; "'!B15:J15"))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26" t="str">
        <f ca="1"/>
        <v/>
      </c>
      <c r="K43" s="26" t="str">
        <f ca="1"/>
        <v xml:space="preserve"> </v>
      </c>
    </row>
    <row r="44" spans="1:11" ht="15.75" customHeight="1">
      <c r="A44" s="59" t="str">
        <v>Q008</v>
      </c>
      <c r="B44" s="21" t="str">
        <v>Hudson</v>
      </c>
      <c r="C44" s="50" t="str" cm="1">
        <f t="array" aca="1" ref="C44:K44" ca="1">IF(INDIRECT("'" &amp; $A44 &amp; "'!B15:J15")="", "", INDIRECT("'" &amp; $A44 &amp; "'!B15:J15"))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26" t="str">
        <f ca="1"/>
        <v/>
      </c>
      <c r="K44" s="26" t="str">
        <f ca="1"/>
        <v xml:space="preserve"> </v>
      </c>
    </row>
    <row r="45" spans="1:11" ht="15.75" customHeight="1">
      <c r="A45" s="60" t="str">
        <v>Q018</v>
      </c>
      <c r="B45" s="49" t="str">
        <v>Hudson</v>
      </c>
      <c r="C45" s="50" t="str" cm="1">
        <f t="array" aca="1" ref="C45:K45" ca="1">IF(INDIRECT("'" &amp; $A45 &amp; "'!B15:J15")="", "", INDIRECT("'" &amp; $A45 &amp; "'!B15:J15"))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26" t="str">
        <f ca="1"/>
        <v/>
      </c>
      <c r="K45" s="26" t="str">
        <f ca="1"/>
        <v/>
      </c>
    </row>
    <row r="46" spans="1:11" ht="15.75" customHeight="1">
      <c r="A46" s="59" t="str">
        <v>Q021</v>
      </c>
      <c r="B46" s="21" t="str">
        <v>Hudson</v>
      </c>
      <c r="C46" s="50" t="str" cm="1">
        <f t="array" aca="1" ref="C46:K46" ca="1">IF(INDIRECT("'" &amp; $A46 &amp; "'!B15:J15")="", "", INDIRECT("'" &amp; $A46 &amp; "'!B15:J15"))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26" t="str">
        <f ca="1"/>
        <v/>
      </c>
      <c r="K46" s="26" t="str">
        <f ca="1"/>
        <v xml:space="preserve"> </v>
      </c>
    </row>
    <row r="47" spans="1:11" ht="15.75" customHeight="1">
      <c r="A47" s="60" t="str">
        <v>Q025</v>
      </c>
      <c r="B47" s="49" t="str">
        <v>Hudson</v>
      </c>
      <c r="C47" s="50" t="str" cm="1">
        <f t="array" aca="1" ref="C47:K47" ca="1">IF(INDIRECT("'" &amp; $A47 &amp; "'!B15:J15")="", "", INDIRECT("'" &amp; $A47 &amp; "'!B15:J15"))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26" t="str">
        <f ca="1"/>
        <v/>
      </c>
      <c r="K47" s="26" t="str">
        <f ca="1"/>
        <v/>
      </c>
    </row>
    <row r="48" spans="1:11" ht="15.75" customHeight="1">
      <c r="A48" s="59" t="str">
        <v>Q074</v>
      </c>
      <c r="B48" s="21" t="str">
        <v>Hudson</v>
      </c>
      <c r="C48" s="50" t="str" cm="1">
        <f t="array" aca="1" ref="C48:K48" ca="1">IF(INDIRECT("'" &amp; $A48 &amp; "'!B15:J15")="", "", INDIRECT("'" &amp; $A48 &amp; "'!B15:J15"))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26" t="str">
        <f ca="1"/>
        <v/>
      </c>
      <c r="K48" s="26" t="str">
        <f ca="1"/>
        <v/>
      </c>
    </row>
    <row r="49" spans="1:11" ht="15.75" customHeight="1">
      <c r="A49" s="60" t="str">
        <v>Q115</v>
      </c>
      <c r="B49" s="49" t="str">
        <v>Hudson</v>
      </c>
      <c r="C49" s="50" t="str" cm="1">
        <f t="array" aca="1" ref="C49:K49" ca="1">IF(INDIRECT("'" &amp; $A49 &amp; "'!B15:J15")="", "", INDIRECT("'" &amp; $A49 &amp; "'!B15:J15"))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26" t="str">
        <f ca="1"/>
        <v/>
      </c>
      <c r="K49" s="26" t="str">
        <f ca="1"/>
        <v/>
      </c>
    </row>
    <row r="50" spans="1:11" ht="15.75" customHeight="1">
      <c r="A50" s="59" t="str">
        <v>Q139</v>
      </c>
      <c r="B50" s="21" t="str">
        <v>Hudson</v>
      </c>
      <c r="C50" s="50" t="str" cm="1">
        <f t="array" aca="1" ref="C50:K50" ca="1">IF(INDIRECT("'" &amp; $A50 &amp; "'!B15:J15")="", "", INDIRECT("'" &amp; $A50 &amp; "'!B15:J15"))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26" t="str">
        <f ca="1"/>
        <v/>
      </c>
      <c r="K50" s="26" t="str">
        <f ca="1"/>
        <v/>
      </c>
    </row>
    <row r="51" spans="1:11" ht="15.75" customHeight="1">
      <c r="A51" s="60" t="str">
        <v>Q157</v>
      </c>
      <c r="B51" s="49" t="str">
        <v>Hudson</v>
      </c>
      <c r="C51" s="50" t="str" cm="1">
        <f t="array" aca="1" ref="C51:K51" ca="1">IF(INDIRECT("'" &amp; $A51 &amp; "'!B15:J15")="", "", INDIRECT("'" &amp; $A51 &amp; "'!B15:J15"))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26" t="str">
        <f ca="1"/>
        <v/>
      </c>
      <c r="K51" s="26" t="str">
        <f ca="1"/>
        <v/>
      </c>
    </row>
    <row r="52" spans="1:11" ht="15.75" customHeight="1">
      <c r="A52" s="59" t="str">
        <v>Q192</v>
      </c>
      <c r="B52" s="21" t="str">
        <v>Hudson</v>
      </c>
      <c r="C52" s="50" t="str" cm="1">
        <f t="array" aca="1" ref="C52:K52" ca="1">IF(INDIRECT("'" &amp; $A52 &amp; "'!B15:J15")="", "", INDIRECT("'" &amp; $A52 &amp; "'!B15:J15"))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26" t="str">
        <f ca="1"/>
        <v/>
      </c>
      <c r="K52" s="26" t="str">
        <f ca="1"/>
        <v/>
      </c>
    </row>
    <row r="53" spans="1:11" ht="15.75" customHeight="1">
      <c r="A53" s="60" t="str">
        <v>Q210</v>
      </c>
      <c r="B53" s="49" t="str">
        <v>Hudson</v>
      </c>
      <c r="C53" s="50" t="str" cm="1">
        <f t="array" aca="1" ref="C53:K53" ca="1">IF(INDIRECT("'" &amp; $A53 &amp; "'!B15:J15")="", "", INDIRECT("'" &amp; $A53 &amp; "'!B15:J15"))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26" t="str">
        <f ca="1"/>
        <v/>
      </c>
      <c r="K53" s="26" t="str">
        <f ca="1"/>
        <v xml:space="preserve"> </v>
      </c>
    </row>
    <row r="54" spans="1:11" ht="15.75" customHeight="1">
      <c r="A54" s="59" t="str">
        <v>Q229</v>
      </c>
      <c r="B54" s="21" t="str">
        <v>Hudson</v>
      </c>
      <c r="C54" s="50" t="str" cm="1">
        <f t="array" aca="1" ref="C54:K54" ca="1">IF(INDIRECT("'" &amp; $A54 &amp; "'!B15:J15")="", "", INDIRECT("'" &amp; $A54 &amp; "'!B15:J15"))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26" t="str">
        <f ca="1"/>
        <v/>
      </c>
      <c r="K54" s="26" t="str">
        <f ca="1"/>
        <v/>
      </c>
    </row>
    <row r="55" spans="1:11" ht="15.75" customHeight="1">
      <c r="A55" s="60" t="str">
        <v>Q231</v>
      </c>
      <c r="B55" s="49" t="str">
        <v>Hudson</v>
      </c>
      <c r="C55" s="50" t="str" cm="1">
        <f t="array" aca="1" ref="C55:K55" ca="1">IF(INDIRECT("'" &amp; $A55 &amp; "'!B15:J15")="", "", INDIRECT("'" &amp; $A55 &amp; "'!B15:J15"))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26" t="str">
        <f ca="1"/>
        <v/>
      </c>
      <c r="K55" s="26" t="str">
        <f ca="1"/>
        <v xml:space="preserve"> </v>
      </c>
    </row>
    <row r="56" spans="1:11" ht="15.75" customHeight="1">
      <c r="A56" s="59" t="str">
        <v>Q405</v>
      </c>
      <c r="B56" s="21" t="str">
        <v>Hudson</v>
      </c>
      <c r="C56" s="50" t="str" cm="1">
        <f t="array" aca="1" ref="C56:K56" ca="1">IF(INDIRECT("'" &amp; $A56 &amp; "'!B15:J15")="", "", INDIRECT("'" &amp; $A56 &amp; "'!B15:J15"))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26" t="str">
        <f ca="1"/>
        <v/>
      </c>
      <c r="K56" s="26" t="str">
        <f ca="1"/>
        <v xml:space="preserve"> </v>
      </c>
    </row>
    <row r="57" spans="1:11" ht="15.75" customHeight="1">
      <c r="A57" s="60" t="str">
        <v>Q435</v>
      </c>
      <c r="B57" s="49" t="str">
        <v>Hudson</v>
      </c>
      <c r="C57" s="50" t="str" cm="1">
        <f t="array" aca="1" ref="C57:K57" ca="1">IF(INDIRECT("'" &amp; $A57 &amp; "'!B15:J15")="", "", INDIRECT("'" &amp; $A57 &amp; "'!B15:J15"))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26" t="str">
        <f ca="1"/>
        <v/>
      </c>
      <c r="K57" s="26" t="str">
        <f ca="1"/>
        <v/>
      </c>
    </row>
    <row r="58" spans="1:11" ht="15.75" customHeight="1">
      <c r="A58" s="59" t="str">
        <v>Q485</v>
      </c>
      <c r="B58" s="21" t="str">
        <v>Hudson</v>
      </c>
      <c r="C58" s="50" t="str" cm="1">
        <f t="array" aca="1" ref="C58:K58" ca="1">IF(INDIRECT("'" &amp; $A58 &amp; "'!B15:J15")="", "", INDIRECT("'" &amp; $A58 &amp; "'!B15:J15"))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26" t="str">
        <f ca="1"/>
        <v/>
      </c>
      <c r="K58" s="26" t="str">
        <f ca="1"/>
        <v/>
      </c>
    </row>
    <row r="59" spans="1:11" ht="15.75" customHeight="1">
      <c r="A59" s="60" t="str">
        <v>Q490</v>
      </c>
      <c r="B59" s="49" t="str">
        <v>Hudson</v>
      </c>
      <c r="C59" s="50" t="str" cm="1">
        <f t="array" aca="1" ref="C59:K59" ca="1">IF(INDIRECT("'" &amp; $A59 &amp; "'!B15:J15")="", "", INDIRECT("'" &amp; $A59 &amp; "'!B15:J15"))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26" t="str">
        <f ca="1"/>
        <v/>
      </c>
      <c r="K59" s="26" t="str">
        <f ca="1"/>
        <v/>
      </c>
    </row>
    <row r="60" spans="1:11" ht="15.75" customHeight="1">
      <c r="A60" s="59" t="str">
        <v>Q620</v>
      </c>
      <c r="B60" s="21" t="str">
        <v>Hudson</v>
      </c>
      <c r="C60" s="50" t="str" cm="1">
        <f t="array" aca="1" ref="C60:K60" ca="1">IF(INDIRECT("'" &amp; $A60 &amp; "'!B15:J15")="", "", INDIRECT("'" &amp; $A60 &amp; "'!B15:J15"))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26" t="str">
        <f ca="1"/>
        <v/>
      </c>
      <c r="K60" s="26" t="str">
        <f ca="1"/>
        <v/>
      </c>
    </row>
    <row r="61" spans="1:11" ht="15.75" customHeight="1">
      <c r="A61" s="60" t="str">
        <v>QMOA</v>
      </c>
      <c r="B61" s="49" t="str">
        <v>Hudson</v>
      </c>
      <c r="C61" s="50" t="str" cm="1">
        <f t="array" aca="1" ref="C61:K61" ca="1">IF(INDIRECT("'" &amp; $A61 &amp; "'!B15:J15")="", "", INDIRECT("'" &amp; $A61 &amp; "'!B15:J15"))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26" t="str">
        <f ca="1"/>
        <v/>
      </c>
      <c r="K61" s="26" t="str">
        <f ca="1"/>
        <v xml:space="preserve"> </v>
      </c>
    </row>
    <row r="62" spans="1:11" ht="15.75" customHeight="1">
      <c r="A62" s="59" t="str">
        <v>X024</v>
      </c>
      <c r="B62" s="21" t="str">
        <v>Hudson</v>
      </c>
      <c r="C62" s="50" t="str" cm="1">
        <f t="array" aca="1" ref="C62:K62" ca="1">IF(INDIRECT("'" &amp; $A62 &amp; "'!B15:J15")="", "", INDIRECT("'" &amp; $A62 &amp; "'!B15:J15"))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26" t="str">
        <f ca="1"/>
        <v/>
      </c>
      <c r="K62" s="26" t="str">
        <f ca="1"/>
        <v/>
      </c>
    </row>
    <row r="63" spans="1:11" ht="15.75" customHeight="1">
      <c r="A63" s="60" t="str">
        <v>X026</v>
      </c>
      <c r="B63" s="49" t="str">
        <v>Hudson</v>
      </c>
      <c r="C63" s="50" t="str" cm="1">
        <f t="array" aca="1" ref="C63:K63" ca="1">IF(INDIRECT("'" &amp; $A63 &amp; "'!B15:J15")="", "", INDIRECT("'" &amp; $A63 &amp; "'!B15:J15"))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26" t="str">
        <f ca="1"/>
        <v/>
      </c>
      <c r="K63" s="26" t="str">
        <f ca="1"/>
        <v/>
      </c>
    </row>
    <row r="64" spans="1:11" ht="15.75" customHeight="1">
      <c r="A64" s="59" t="str">
        <v>X090</v>
      </c>
      <c r="B64" s="21" t="str">
        <v>Hudson</v>
      </c>
      <c r="C64" s="50" t="str" cm="1">
        <f t="array" aca="1" ref="C64:K64" ca="1">IF(INDIRECT("'" &amp; $A64 &amp; "'!B15:J15")="", "", INDIRECT("'" &amp; $A64 &amp; "'!B15:J15"))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26" t="str">
        <f ca="1"/>
        <v/>
      </c>
      <c r="K64" s="26" t="str">
        <f ca="1"/>
        <v/>
      </c>
    </row>
    <row r="65" spans="1:11" ht="15.75" customHeight="1">
      <c r="A65" s="60" t="str">
        <v>X117</v>
      </c>
      <c r="B65" s="49" t="str">
        <v>Hudson</v>
      </c>
      <c r="C65" s="50" t="str" cm="1">
        <f t="array" aca="1" ref="C65:K65" ca="1">IF(INDIRECT("'" &amp; $A65 &amp; "'!B15:J15")="", "", INDIRECT("'" &amp; $A65 &amp; "'!B15:J15"))</f>
        <v/>
      </c>
      <c r="D65" s="50" t="str">
        <f ca="1"/>
        <v/>
      </c>
      <c r="E65" s="50" t="str">
        <f ca="1"/>
        <v/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26" t="str">
        <f ca="1"/>
        <v/>
      </c>
      <c r="K65" s="26" t="str">
        <f ca="1"/>
        <v/>
      </c>
    </row>
    <row r="66" spans="1:11" ht="15.75" customHeight="1">
      <c r="A66" s="59" t="str">
        <v>X125</v>
      </c>
      <c r="B66" s="21" t="str">
        <v>Hudson</v>
      </c>
      <c r="C66" s="50" t="str" cm="1">
        <f t="array" aca="1" ref="C66:K66" ca="1">IF(INDIRECT("'" &amp; $A66 &amp; "'!B15:J15")="", "", INDIRECT("'" &amp; $A66 &amp; "'!B15:J15"))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26" t="str">
        <f ca="1"/>
        <v/>
      </c>
      <c r="K66" s="26" t="str">
        <f ca="1"/>
        <v/>
      </c>
    </row>
    <row r="67" spans="1:11" ht="15.75" customHeight="1">
      <c r="A67" s="60" t="str">
        <v>X134</v>
      </c>
      <c r="B67" s="49" t="str">
        <v>Hudson</v>
      </c>
      <c r="C67" s="50" t="str" cm="1">
        <f t="array" aca="1" ref="C67:K67" ca="1">IF(INDIRECT("'" &amp; $A67 &amp; "'!B15:J15")="", "", INDIRECT("'" &amp; $A67 &amp; "'!B15:J15"))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26" t="str">
        <f ca="1"/>
        <v/>
      </c>
      <c r="K67" s="26" t="str">
        <f ca="1"/>
        <v/>
      </c>
    </row>
    <row r="68" spans="1:11" ht="15.75" customHeight="1">
      <c r="A68" s="59" t="str">
        <v>X135</v>
      </c>
      <c r="B68" s="21" t="str">
        <v>Hudson</v>
      </c>
      <c r="C68" s="50" t="str" cm="1">
        <f t="array" aca="1" ref="C68:K68" ca="1">IF(INDIRECT("'" &amp; $A68 &amp; "'!B15:J15")="", "", INDIRECT("'" &amp; $A68 &amp; "'!B15:J15"))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26" t="str">
        <f ca="1"/>
        <v/>
      </c>
      <c r="K68" s="26" t="str">
        <f ca="1"/>
        <v xml:space="preserve"> </v>
      </c>
    </row>
    <row r="69" spans="1:11" ht="30" customHeight="1">
      <c r="A69" s="60" t="str">
        <v>X139 JHS 222</v>
      </c>
      <c r="B69" s="49" t="str">
        <v>Hudson</v>
      </c>
      <c r="C69" s="50" t="str" cm="1">
        <f t="array" aca="1" ref="C69:K69" ca="1">IF(INDIRECT("'" &amp; $A69 &amp; "'!B15:J15")="", "", INDIRECT("'" &amp; $A69 &amp; "'!B15:J15"))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26" t="str">
        <f ca="1"/>
        <v/>
      </c>
      <c r="K69" s="26" t="str">
        <f ca="1"/>
        <v/>
      </c>
    </row>
    <row r="70" spans="1:11" ht="15.75" customHeight="1">
      <c r="A70" s="59" t="str">
        <v>X140</v>
      </c>
      <c r="B70" s="21" t="str">
        <v>Hudson</v>
      </c>
      <c r="C70" s="50" t="str" cm="1">
        <f t="array" aca="1" ref="C70:K70" ca="1">IF(INDIRECT("'" &amp; $A70 &amp; "'!B15:J15")="", "", INDIRECT("'" &amp; $A70 &amp; "'!B15:J15"))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26" t="str">
        <f ca="1"/>
        <v/>
      </c>
      <c r="K70" s="26" t="str">
        <f ca="1"/>
        <v/>
      </c>
    </row>
    <row r="71" spans="1:11" ht="15.75" customHeight="1">
      <c r="A71" s="60" t="str">
        <v>X166</v>
      </c>
      <c r="B71" s="49" t="str">
        <v>Hudson</v>
      </c>
      <c r="C71" s="50" t="str" cm="1">
        <f t="array" aca="1" ref="C71:K71" ca="1">IF(INDIRECT("'" &amp; $A71 &amp; "'!B15:J15")="", "", INDIRECT("'" &amp; $A71 &amp; "'!B15:J15"))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26" t="str">
        <f ca="1"/>
        <v/>
      </c>
      <c r="K71" s="26" t="str">
        <f ca="1"/>
        <v/>
      </c>
    </row>
    <row r="72" spans="1:11" ht="15.75" customHeight="1">
      <c r="A72" s="59" t="str">
        <v>Murphy</v>
      </c>
      <c r="B72" s="21" t="str">
        <v>MN Community Solar</v>
      </c>
      <c r="C72" s="50" t="str" cm="1">
        <f t="array" aca="1" ref="C72:K72" ca="1">IF(INDIRECT("'" &amp; $A72 &amp; "'!B15:J15")="", "", INDIRECT("'" &amp; $A72 &amp; "'!B15:J15"))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26" t="str">
        <f ca="1"/>
        <v/>
      </c>
      <c r="K72" s="26" t="str">
        <f ca="1"/>
        <v/>
      </c>
    </row>
    <row r="73" spans="1:11" ht="33.75" customHeight="1">
      <c r="A73" s="60" t="str">
        <v>Terning</v>
      </c>
      <c r="B73" s="49" t="str">
        <v>MN Community Solar</v>
      </c>
      <c r="C73" s="50" t="str" cm="1">
        <f t="array" aca="1" ref="C73:K73" ca="1">IF(INDIRECT("'" &amp; $A73 &amp; "'!B15:J15")="", "", INDIRECT("'" &amp; $A73 &amp; "'!B15:J15"))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26" t="str">
        <f ca="1"/>
        <v/>
      </c>
      <c r="K73" s="26" t="str">
        <f ca="1"/>
        <v/>
      </c>
    </row>
    <row r="74" spans="1:11" ht="15.75" customHeight="1">
      <c r="A74" s="59" t="str">
        <v>Boas Road 04</v>
      </c>
      <c r="B74" s="21" t="str">
        <v>NYCS I</v>
      </c>
      <c r="C74" s="50" t="str" cm="1">
        <f t="array" aca="1" ref="C74:K74" ca="1">IF(INDIRECT("'" &amp; $A74 &amp; "'!B15:J15")="", "", INDIRECT("'" &amp; $A74 &amp; "'!B15:J15"))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26" t="str">
        <f ca="1"/>
        <v/>
      </c>
      <c r="K74" s="26" t="str">
        <f ca="1"/>
        <v xml:space="preserve"> </v>
      </c>
    </row>
    <row r="75" spans="1:11" ht="15.75" customHeight="1">
      <c r="A75" s="60" t="str">
        <v>Kelly Bridge Farm</v>
      </c>
      <c r="B75" s="49" t="str">
        <v>NYCS I</v>
      </c>
      <c r="C75" s="50" t="str" cm="1">
        <f t="array" aca="1" ref="C75:K75" ca="1">IF(INDIRECT("'" &amp; $A75 &amp; "'!B15:J15")="", "", INDIRECT("'" &amp; $A75 &amp; "'!B15:J15"))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26" t="str">
        <f ca="1"/>
        <v/>
      </c>
      <c r="K75" s="26" t="str">
        <f ca="1"/>
        <v/>
      </c>
    </row>
    <row r="76" spans="1:11" ht="15.75" customHeight="1">
      <c r="A76" s="59" t="str">
        <v>Pool Brook Road</v>
      </c>
      <c r="B76" s="21" t="str">
        <v>NYCS I</v>
      </c>
      <c r="C76" s="50" t="str" cm="1">
        <f t="array" aca="1" ref="C76:K76" ca="1">IF(INDIRECT("'" &amp; $A76 &amp; "'!B15:J15")="", "", INDIRECT("'" &amp; $A76 &amp; "'!B15:J15"))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26" t="str">
        <f ca="1"/>
        <v/>
      </c>
      <c r="K76" s="26" t="str">
        <f ca="1"/>
        <v/>
      </c>
    </row>
    <row r="77" spans="1:11" ht="15.75" customHeight="1">
      <c r="A77" s="60" t="str">
        <v>Sackett Lake</v>
      </c>
      <c r="B77" s="49" t="str">
        <v>NYCS I</v>
      </c>
      <c r="C77" s="50" t="str" cm="1">
        <f t="array" aca="1" ref="C77:K77" ca="1">IF(INDIRECT("'" &amp; $A77 &amp; "'!B15:J15")="", "", INDIRECT("'" &amp; $A77 &amp; "'!B15:J15"))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26" t="str">
        <f ca="1"/>
        <v/>
      </c>
      <c r="K77" s="26" t="str">
        <f ca="1"/>
        <v/>
      </c>
    </row>
    <row r="78" spans="1:11" ht="15.75" customHeight="1">
      <c r="A78" s="59" t="str">
        <v>Burritt Road</v>
      </c>
      <c r="B78" s="21" t="str">
        <v>NYCS II</v>
      </c>
      <c r="C78" s="50" t="str" cm="1">
        <f t="array" aca="1" ref="C78:K78" ca="1">IF(INDIRECT("'" &amp; $A78 &amp; "'!B15:J15")="", "", INDIRECT("'" &amp; $A78 &amp; "'!B15:J15"))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26" t="str">
        <f ca="1"/>
        <v/>
      </c>
      <c r="K78" s="26" t="str">
        <f ca="1"/>
        <v xml:space="preserve"> </v>
      </c>
    </row>
    <row r="79" spans="1:11" ht="15.75" customHeight="1">
      <c r="A79" s="60" t="str">
        <v>Villa Roma 1</v>
      </c>
      <c r="B79" s="49" t="str">
        <v>NYCS II</v>
      </c>
      <c r="C79" s="50" t="str" cm="1">
        <f t="array" aca="1" ref="C79:K79" ca="1">IF(INDIRECT("'" &amp; $A79 &amp; "'!B15:J15")="", "", INDIRECT("'" &amp; $A79 &amp; "'!B15:J15"))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26" t="str">
        <f ca="1"/>
        <v/>
      </c>
      <c r="K79" s="26" t="str">
        <f ca="1"/>
        <v/>
      </c>
    </row>
    <row r="80" spans="1:11" ht="15.75" customHeight="1">
      <c r="A80" s="59" t="str">
        <v>Villa Roma 2</v>
      </c>
      <c r="B80" s="21" t="str">
        <v>NYCS II</v>
      </c>
      <c r="C80" s="50" t="str" cm="1">
        <f t="array" aca="1" ref="C80:K80" ca="1">IF(INDIRECT("'" &amp; $A80 &amp; "'!B15:J15")="", "", INDIRECT("'" &amp; $A80 &amp; "'!B15:J15"))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26" t="str">
        <f ca="1"/>
        <v/>
      </c>
      <c r="K80" s="26" t="str">
        <f ca="1"/>
        <v/>
      </c>
    </row>
    <row r="81" spans="1:11" ht="15.75" customHeight="1">
      <c r="A81" s="60" t="str">
        <v>Washington 1</v>
      </c>
      <c r="B81" s="49" t="str">
        <v>NYCS II</v>
      </c>
      <c r="C81" s="50" t="str" cm="1">
        <f t="array" aca="1" ref="C81:K81" ca="1">IF(INDIRECT("'" &amp; $A81 &amp; "'!B15:J15")="", "", INDIRECT("'" &amp; $A81 &amp; "'!B15:J15"))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26" t="str">
        <f ca="1"/>
        <v/>
      </c>
      <c r="K81" s="26" t="str">
        <f ca="1"/>
        <v/>
      </c>
    </row>
    <row r="82" spans="1:11" ht="19.5" customHeight="1">
      <c r="A82" s="59" t="str">
        <v>Washington 3</v>
      </c>
      <c r="B82" s="21" t="str">
        <v>NYCS II</v>
      </c>
      <c r="C82" s="50" t="str" cm="1">
        <f t="array" aca="1" ref="C82:K82" ca="1">IF(INDIRECT("'" &amp; $A82 &amp; "'!B15:J15")="", "", INDIRECT("'" &amp; $A82 &amp; "'!B15:J15"))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26" t="str">
        <f ca="1"/>
        <v/>
      </c>
      <c r="K82" s="26" t="str">
        <f ca="1"/>
        <v/>
      </c>
    </row>
    <row r="83" spans="1:11" ht="15.75" customHeight="1">
      <c r="A83" s="60" t="str">
        <v>Washington 4</v>
      </c>
      <c r="B83" s="49" t="str">
        <v>NYCS II</v>
      </c>
      <c r="C83" s="50" t="str" cm="1">
        <f t="array" aca="1" ref="C83:K83" ca="1">IF(INDIRECT("'" &amp; $A83 &amp; "'!B15:J15")="", "", INDIRECT("'" &amp; $A83 &amp; "'!B15:J15"))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26" t="str">
        <f ca="1"/>
        <v/>
      </c>
      <c r="K83" s="26" t="str">
        <f ca="1"/>
        <v/>
      </c>
    </row>
    <row r="84" spans="1:11" ht="15.75" customHeight="1">
      <c r="A84" s="59" t="str">
        <v>Big Tree</v>
      </c>
      <c r="B84" s="21" t="str">
        <v>NYCS III</v>
      </c>
      <c r="C84" s="50" t="str" cm="1">
        <f t="array" aca="1" ref="C84:K84" ca="1">IF(INDIRECT("'" &amp; $A84 &amp; "'!B15:J15")="", "", INDIRECT("'" &amp; $A84 &amp; "'!B15:J15"))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26" t="str">
        <f ca="1"/>
        <v/>
      </c>
      <c r="K84" s="26" t="str">
        <f ca="1"/>
        <v xml:space="preserve"> </v>
      </c>
    </row>
    <row r="85" spans="1:11" ht="15.75" customHeight="1">
      <c r="A85" s="60" t="str">
        <v>Canoga</v>
      </c>
      <c r="B85" s="49" t="str">
        <v>NYCS III</v>
      </c>
      <c r="C85" s="50" t="str" cm="1">
        <f t="array" aca="1" ref="C85:K85" ca="1">IF(INDIRECT("'" &amp; $A85 &amp; "'!B15:J15")="", "", INDIRECT("'" &amp; $A85 &amp; "'!B15:J15"))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26" t="str">
        <f ca="1"/>
        <v/>
      </c>
      <c r="K85" s="26" t="str">
        <f ca="1"/>
        <v xml:space="preserve"> </v>
      </c>
    </row>
    <row r="86" spans="1:11" ht="15.75" customHeight="1">
      <c r="A86" s="59" t="str">
        <v>County Route 84</v>
      </c>
      <c r="B86" s="21" t="str">
        <v>NYCS III</v>
      </c>
      <c r="C86" s="50" t="str" cm="1">
        <f t="array" aca="1" ref="C86:K86" ca="1">IF(INDIRECT("'" &amp; $A86 &amp; "'!B15:J15")="", "", INDIRECT("'" &amp; $A86 &amp; "'!B15:J15"))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26" t="str">
        <f ca="1"/>
        <v/>
      </c>
      <c r="K86" s="26" t="str">
        <f ca="1"/>
        <v/>
      </c>
    </row>
    <row r="87" spans="1:11" ht="15.75" customHeight="1">
      <c r="A87" s="60" t="str">
        <v>Donati</v>
      </c>
      <c r="B87" s="49" t="str">
        <v>NYCS III</v>
      </c>
      <c r="C87" s="50" t="str" cm="1">
        <f t="array" aca="1" ref="C87:K87" ca="1">IF(INDIRECT("'" &amp; $A87 &amp; "'!B15:J15")="", "", INDIRECT("'" &amp; $A87 &amp; "'!B15:J15"))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26" t="str">
        <f ca="1"/>
        <v/>
      </c>
      <c r="K87" s="26" t="str">
        <f ca="1"/>
        <v xml:space="preserve"> </v>
      </c>
    </row>
    <row r="88" spans="1:11" ht="15.75" customHeight="1">
      <c r="A88" s="59" t="str">
        <v>Henrietta</v>
      </c>
      <c r="B88" s="21" t="str">
        <v>NYCS III</v>
      </c>
      <c r="C88" s="50" t="str" cm="1">
        <f t="array" aca="1" ref="C88:K88" ca="1">IF(INDIRECT("'" &amp; $A88 &amp; "'!B15:J15")="", "", INDIRECT("'" &amp; $A88 &amp; "'!B15:J15"))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26" t="str">
        <f ca="1"/>
        <v/>
      </c>
      <c r="K88" s="26" t="str">
        <f ca="1"/>
        <v/>
      </c>
    </row>
    <row r="89" spans="1:11" ht="15.75" customHeight="1">
      <c r="A89" s="60" t="str">
        <v>NY 70</v>
      </c>
      <c r="B89" s="49" t="str">
        <v>NYCS III</v>
      </c>
      <c r="C89" s="50" t="str" cm="1">
        <f t="array" aca="1" ref="C89:K89" ca="1">IF(INDIRECT("'" &amp; $A89 &amp; "'!B15:J15")="", "", INDIRECT("'" &amp; $A89 &amp; "'!B15:J15"))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26" t="str">
        <f ca="1"/>
        <v/>
      </c>
      <c r="K89" s="26" t="str">
        <f ca="1"/>
        <v/>
      </c>
    </row>
    <row r="90" spans="1:11" ht="15.75" customHeight="1">
      <c r="A90" s="59" t="str">
        <v>Reid</v>
      </c>
      <c r="B90" s="21" t="str">
        <v>NYCS III</v>
      </c>
      <c r="C90" s="50" t="str" cm="1">
        <f t="array" aca="1" ref="C90:K90" ca="1">IF(INDIRECT("'" &amp; $A90 &amp; "'!B15:J15")="", "", INDIRECT("'" &amp; $A90 &amp; "'!B15:J15"))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26" t="str">
        <f ca="1"/>
        <v/>
      </c>
      <c r="K90" s="26" t="str">
        <f ca="1"/>
        <v xml:space="preserve"> </v>
      </c>
    </row>
    <row r="91" spans="1:11" ht="15.75" customHeight="1">
      <c r="A91" s="60" t="str">
        <v>Sangolqui</v>
      </c>
      <c r="B91" s="49" t="str">
        <v>NYCS III</v>
      </c>
      <c r="C91" s="50" t="str" cm="1">
        <f t="array" aca="1" ref="C91:K91" ca="1">IF(INDIRECT("'" &amp; $A91 &amp; "'!B15:J15")="", "", INDIRECT("'" &amp; $A91 &amp; "'!B15:J15"))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26" t="str">
        <f ca="1"/>
        <v/>
      </c>
      <c r="K91" s="26" t="str">
        <f ca="1"/>
        <v/>
      </c>
    </row>
    <row r="92" spans="1:11" ht="15.75" customHeight="1">
      <c r="A92" s="59" t="str">
        <v>State Highway 17B</v>
      </c>
      <c r="B92" s="21" t="str">
        <v>NYCS III</v>
      </c>
      <c r="C92" s="50" t="str" cm="1">
        <f t="array" aca="1" ref="C92:K92" ca="1">IF(INDIRECT("'" &amp; $A92 &amp; "'!B15:J15")="", "", INDIRECT("'" &amp; $A92 &amp; "'!B15:J15"))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26" t="str">
        <f ca="1"/>
        <v/>
      </c>
      <c r="K92" s="26" t="str">
        <f ca="1"/>
        <v/>
      </c>
    </row>
    <row r="93" spans="1:11" ht="15.75" customHeight="1">
      <c r="A93" s="60" t="str">
        <v>State Route 14A</v>
      </c>
      <c r="B93" s="49" t="str">
        <v>NYCS III</v>
      </c>
      <c r="C93" s="50" t="str" cm="1">
        <f t="array" aca="1" ref="C93:K93" ca="1">IF(INDIRECT("'" &amp; $A93 &amp; "'!B15:J15")="", "", INDIRECT("'" &amp; $A93 &amp; "'!B15:J15"))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26" t="str">
        <f ca="1"/>
        <v/>
      </c>
      <c r="K93" s="26" t="str">
        <f ca="1"/>
        <v/>
      </c>
    </row>
    <row r="94" spans="1:11" ht="15.75" customHeight="1">
      <c r="A94" s="59" t="str">
        <v>West Creek</v>
      </c>
      <c r="B94" s="21" t="str">
        <v>NYCS III</v>
      </c>
      <c r="C94" s="50" t="str" cm="1">
        <f t="array" aca="1" ref="C94:K94" ca="1">IF(INDIRECT("'" &amp; $A94 &amp; "'!B15:J15")="", "", INDIRECT("'" &amp; $A94 &amp; "'!B15:J15"))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26" t="str">
        <f ca="1"/>
        <v/>
      </c>
      <c r="K94" s="26" t="str">
        <f ca="1"/>
        <v xml:space="preserve"> </v>
      </c>
    </row>
    <row r="95" spans="1:11" ht="38.25" customHeight="1">
      <c r="A95" s="60" t="str">
        <v>Wildflower</v>
      </c>
      <c r="B95" s="49" t="str">
        <v>NYCS III</v>
      </c>
      <c r="C95" s="50" t="str" cm="1">
        <f t="array" aca="1" ref="C95:K95" ca="1">IF(INDIRECT("'" &amp; $A95 &amp; "'!B15:J15")="", "", INDIRECT("'" &amp; $A95 &amp; "'!B15:J15"))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26" t="str">
        <f ca="1"/>
        <v/>
      </c>
      <c r="K95" s="26" t="str">
        <f ca="1"/>
        <v/>
      </c>
    </row>
    <row r="96" spans="1:11" ht="33.75" customHeight="1">
      <c r="A96" s="59" t="str">
        <v>Glen Mary 1</v>
      </c>
      <c r="B96" s="21" t="str">
        <v>NYCS IV</v>
      </c>
      <c r="C96" s="50" t="str" cm="1">
        <f t="array" aca="1" ref="C96:K96" ca="1">IF(INDIRECT("'" &amp; $A96 &amp; "'!B15:J15")="", "", INDIRECT("'" &amp; $A96 &amp; "'!B15:J15"))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26" t="str">
        <f ca="1"/>
        <v/>
      </c>
      <c r="K96" s="26" t="str">
        <f ca="1"/>
        <v/>
      </c>
    </row>
    <row r="97" spans="1:11" ht="15.75" customHeight="1">
      <c r="A97" s="60" t="str">
        <v>Glen Mary 2</v>
      </c>
      <c r="B97" s="49" t="str">
        <v>NYCS IV</v>
      </c>
      <c r="C97" s="50" t="str" cm="1">
        <f t="array" aca="1" ref="C97:K97" ca="1">IF(INDIRECT("'" &amp; $A97 &amp; "'!B15:J15")="", "", INDIRECT("'" &amp; $A97 &amp; "'!B15:J15"))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26" t="str">
        <f ca="1"/>
        <v/>
      </c>
      <c r="K97" s="26" t="str">
        <f ca="1"/>
        <v xml:space="preserve"> </v>
      </c>
    </row>
    <row r="98" spans="1:11" ht="15.75" customHeight="1">
      <c r="A98" s="59" t="str">
        <v>Telegraph 1</v>
      </c>
      <c r="B98" s="21" t="str">
        <v>NYCS IV</v>
      </c>
      <c r="C98" s="50" t="str" cm="1">
        <f t="array" aca="1" ref="C98:K98" ca="1">IF(INDIRECT("'" &amp; $A98 &amp; "'!B15:J15")="", "", INDIRECT("'" &amp; $A98 &amp; "'!B15:J15"))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26" t="str">
        <f ca="1"/>
        <v/>
      </c>
      <c r="K98" s="26" t="str">
        <f ca="1"/>
        <v/>
      </c>
    </row>
    <row r="99" spans="1:11" ht="15.75" customHeight="1">
      <c r="A99" s="60" t="str">
        <v>Telegraph 2</v>
      </c>
      <c r="B99" s="49" t="str">
        <v>NYCS IV</v>
      </c>
      <c r="C99" s="50" t="str" cm="1">
        <f t="array" aca="1" ref="C99:K99" ca="1">IF(INDIRECT("'" &amp; $A99 &amp; "'!B15:J15")="", "", INDIRECT("'" &amp; $A99 &amp; "'!B15:J15"))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26" t="str">
        <f ca="1"/>
        <v/>
      </c>
      <c r="K99" s="26" t="str">
        <f ca="1"/>
        <v/>
      </c>
    </row>
    <row r="100" spans="1:11" ht="15.75" customHeight="1">
      <c r="A100" s="59" t="str">
        <v>Cafferty Hill</v>
      </c>
      <c r="B100" s="21" t="str">
        <v>NYCS V</v>
      </c>
      <c r="C100" s="50" t="str" cm="1">
        <f t="array" aca="1" ref="C100:K100" ca="1">IF(INDIRECT("'" &amp; $A100 &amp; "'!B15:J15")="", "", INDIRECT("'" &amp; $A100 &amp; "'!B15:J15"))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26" t="str">
        <f ca="1"/>
        <v/>
      </c>
      <c r="K100" s="26" t="str">
        <f ca="1"/>
        <v/>
      </c>
    </row>
    <row r="101" spans="1:11" ht="15.75" customHeight="1">
      <c r="A101" s="60" t="str">
        <v>Dunkleman</v>
      </c>
      <c r="B101" s="49" t="str">
        <v>NYCS V</v>
      </c>
      <c r="C101" s="50" t="str" cm="1">
        <f t="array" aca="1" ref="C101:K101" ca="1">IF(INDIRECT("'" &amp; $A101 &amp; "'!B15:J15")="", "", INDIRECT("'" &amp; $A101 &amp; "'!B15:J15"))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26" t="str">
        <f ca="1"/>
        <v/>
      </c>
      <c r="K101" s="26" t="str">
        <f ca="1"/>
        <v/>
      </c>
    </row>
    <row r="102" spans="1:11" ht="15.75" customHeight="1">
      <c r="A102" s="59" t="str">
        <v>Route 19 1</v>
      </c>
      <c r="B102" s="21" t="str">
        <v>NYCS V</v>
      </c>
      <c r="C102" s="50" t="str" cm="1">
        <f t="array" aca="1" ref="C102:K102" ca="1">IF(INDIRECT("'" &amp; $A102 &amp; "'!B15:J15")="", "", INDIRECT("'" &amp; $A102 &amp; "'!B15:J15"))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26" t="str">
        <f ca="1"/>
        <v/>
      </c>
      <c r="K102" s="26" t="str">
        <f ca="1"/>
        <v/>
      </c>
    </row>
    <row r="103" spans="1:11" ht="15.75" customHeight="1">
      <c r="A103" s="60" t="str">
        <v>Route 19 2</v>
      </c>
      <c r="B103" s="49" t="str">
        <v>NYCS V</v>
      </c>
      <c r="C103" s="50" t="str" cm="1">
        <f t="array" aca="1" ref="C103:K103" ca="1">IF(INDIRECT("'" &amp; $A103 &amp; "'!B15:J15")="", "", INDIRECT("'" &amp; $A103 &amp; "'!B15:J15"))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26" t="str">
        <f ca="1"/>
        <v/>
      </c>
      <c r="K103" s="26" t="str">
        <f ca="1"/>
        <v/>
      </c>
    </row>
    <row r="104" spans="1:11" ht="15.75" customHeight="1">
      <c r="A104" s="59" t="str">
        <v>Yellow Mills 1</v>
      </c>
      <c r="B104" s="21" t="str">
        <v>NYCS V</v>
      </c>
      <c r="C104" s="50" t="str" cm="1">
        <f t="array" aca="1" ref="C104:K104" ca="1">IF(INDIRECT("'" &amp; $A104 &amp; "'!B15:J15")="", "", INDIRECT("'" &amp; $A104 &amp; "'!B15:J15"))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26" t="str">
        <f ca="1"/>
        <v/>
      </c>
      <c r="K104" s="26" t="str">
        <f ca="1"/>
        <v/>
      </c>
    </row>
    <row r="105" spans="1:11" ht="15.75" customHeight="1">
      <c r="A105" s="60" t="str">
        <v>Yellow Mills 2</v>
      </c>
      <c r="B105" s="49" t="str">
        <v>NYCS V</v>
      </c>
      <c r="C105" s="50" t="str" cm="1">
        <f t="array" aca="1" ref="C105:K105" ca="1">IF(INDIRECT("'" &amp; $A105 &amp; "'!B15:J15")="", "", INDIRECT("'" &amp; $A105 &amp; "'!B15:J15"))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26" t="str">
        <f ca="1"/>
        <v/>
      </c>
      <c r="K105" s="26" t="str">
        <f ca="1"/>
        <v/>
      </c>
    </row>
    <row r="106" spans="1:11" ht="15.75" customHeight="1">
      <c r="A106" s="59" t="str">
        <v>Yellow Mills 3</v>
      </c>
      <c r="B106" s="21" t="str">
        <v>NYCS V</v>
      </c>
      <c r="C106" s="50" t="str" cm="1">
        <f t="array" aca="1" ref="C106:K106" ca="1">IF(INDIRECT("'" &amp; $A106 &amp; "'!B15:J15")="", "", INDIRECT("'" &amp; $A106 &amp; "'!B15:J15"))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26" t="str">
        <f ca="1"/>
        <v/>
      </c>
      <c r="K106" s="26" t="str">
        <f ca="1"/>
        <v/>
      </c>
    </row>
    <row r="107" spans="1:11" ht="15.75" customHeight="1">
      <c r="A107" s="60" t="str">
        <v>Catskill</v>
      </c>
      <c r="B107" s="49" t="str">
        <v>NYCS VI</v>
      </c>
      <c r="C107" s="50" t="str" cm="1">
        <f t="array" aca="1" ref="C107:K107" ca="1">IF(INDIRECT("'" &amp; $A107 &amp; "'!B15:J15")="", "", INDIRECT("'" &amp; $A107 &amp; "'!B15:J15"))</f>
        <v/>
      </c>
      <c r="D107" s="50" t="str">
        <f ca="1"/>
        <v/>
      </c>
      <c r="E107" s="50" t="str">
        <f ca="1"/>
        <v/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26" t="str">
        <f ca="1"/>
        <v/>
      </c>
      <c r="K107" s="26" t="str">
        <f ca="1"/>
        <v/>
      </c>
    </row>
    <row r="108" spans="1:11" ht="15.75" customHeight="1">
      <c r="A108" s="59" t="str">
        <v>Eddy Ridge</v>
      </c>
      <c r="B108" s="21" t="str">
        <v>NYCS VI</v>
      </c>
      <c r="C108" s="50" t="str" cm="1">
        <f t="array" aca="1" ref="C108:K108" ca="1">IF(INDIRECT("'" &amp; $A108 &amp; "'!B15:J15")="", "", INDIRECT("'" &amp; $A108 &amp; "'!B15:J15"))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26" t="str">
        <f ca="1"/>
        <v/>
      </c>
      <c r="K108" s="26" t="str">
        <f ca="1"/>
        <v/>
      </c>
    </row>
    <row r="109" spans="1:11" ht="15.75" customHeight="1">
      <c r="A109" s="60" t="str">
        <v>Ridgeway #1</v>
      </c>
      <c r="B109" s="49" t="str">
        <v>NYCS VI</v>
      </c>
      <c r="C109" s="50" t="str" cm="1">
        <f t="array" aca="1" ref="C109:K109" ca="1">IF(INDIRECT("'" &amp; $A109 &amp; "'!B15:J15")="", "", INDIRECT("'" &amp; $A109 &amp; "'!B15:J15"))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26" t="str">
        <f ca="1"/>
        <v/>
      </c>
      <c r="K109" s="26" t="str">
        <f ca="1"/>
        <v/>
      </c>
    </row>
    <row r="110" spans="1:11" ht="15.75" customHeight="1">
      <c r="A110" s="59" t="str">
        <v>Rivard 1</v>
      </c>
      <c r="B110" s="21" t="str">
        <v>NYCS VI</v>
      </c>
      <c r="C110" s="50" t="str" cm="1">
        <f t="array" aca="1" ref="C110:K110" ca="1">IF(INDIRECT("'" &amp; $A110 &amp; "'!B15:J15")="", "", INDIRECT("'" &amp; $A110 &amp; "'!B15:J15"))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26" t="str">
        <f ca="1"/>
        <v/>
      </c>
      <c r="K110" s="26" t="str">
        <f ca="1"/>
        <v/>
      </c>
    </row>
    <row r="111" spans="1:11" ht="15.75" customHeight="1">
      <c r="A111" s="60" t="str">
        <v>Rivard 2</v>
      </c>
      <c r="B111" s="49" t="str">
        <v>NYCS VI</v>
      </c>
      <c r="C111" s="50" t="str" cm="1">
        <f t="array" aca="1" ref="C111:K111" ca="1">IF(INDIRECT("'" &amp; $A111 &amp; "'!B15:J15")="", "", INDIRECT("'" &amp; $A111 &amp; "'!B15:J15"))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26" t="str">
        <f ca="1"/>
        <v/>
      </c>
      <c r="K111" s="26" t="str">
        <f ca="1"/>
        <v/>
      </c>
    </row>
    <row r="112" spans="1:11" ht="15.75" customHeight="1">
      <c r="A112" s="59" t="str">
        <v>Essex</v>
      </c>
      <c r="B112" s="21" t="str">
        <v>Opportunity</v>
      </c>
      <c r="C112" s="50" t="str" cm="1">
        <f t="array" aca="1" ref="C112:K112" ca="1">IF(INDIRECT("'" &amp; $A112 &amp; "'!B15:J15")="", "", INDIRECT("'" &amp; $A112 &amp; "'!B15:J15"))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26" t="str">
        <f ca="1"/>
        <v/>
      </c>
      <c r="K112" s="26" t="str">
        <f ca="1"/>
        <v/>
      </c>
    </row>
    <row r="113" spans="1:11" ht="15.75" customHeight="1">
      <c r="A113" s="60" t="str">
        <v>Temple Sinai</v>
      </c>
      <c r="B113" s="49" t="str">
        <v>Opportunity</v>
      </c>
      <c r="C113" s="50" t="str" cm="1">
        <f t="array" aca="1" ref="C113:K113" ca="1">IF(INDIRECT("'" &amp; $A113 &amp; "'!B15:J15")="", "", INDIRECT("'" &amp; $A113 &amp; "'!B15:J15"))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26" t="str">
        <f ca="1"/>
        <v/>
      </c>
      <c r="K113" s="26" t="str">
        <f ca="1"/>
        <v xml:space="preserve"> </v>
      </c>
    </row>
    <row r="114" spans="1:11" ht="15.75" customHeight="1">
      <c r="A114" s="59" t="str">
        <v>Weinberg 1</v>
      </c>
      <c r="B114" s="21" t="str">
        <v>Opportunity</v>
      </c>
      <c r="C114" s="50" t="str" cm="1">
        <f t="array" aca="1" ref="C114:K114" ca="1">IF(INDIRECT("'" &amp; $A114 &amp; "'!B15:J15")="", "", INDIRECT("'" &amp; $A114 &amp; "'!B15:J15"))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26" t="str">
        <f ca="1"/>
        <v/>
      </c>
      <c r="K114" s="26" t="str">
        <f ca="1"/>
        <v xml:space="preserve"> </v>
      </c>
    </row>
    <row r="115" spans="1:11" ht="15.75" customHeight="1">
      <c r="A115" s="60" t="str">
        <v>Weinberg 2</v>
      </c>
      <c r="B115" s="49" t="str">
        <v>Opportunity</v>
      </c>
      <c r="C115" s="50" t="str" cm="1">
        <f t="array" aca="1" ref="C115:K115" ca="1">IF(INDIRECT("'" &amp; $A115 &amp; "'!B15:J15")="", "", INDIRECT("'" &amp; $A115 &amp; "'!B15:J15"))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26" t="str">
        <f ca="1"/>
        <v/>
      </c>
      <c r="K115" s="26" t="str">
        <f ca="1"/>
        <v xml:space="preserve"> </v>
      </c>
    </row>
    <row r="116" spans="1:11" ht="15.75" customHeight="1">
      <c r="A116" s="59" t="str">
        <v>Weinberg 3</v>
      </c>
      <c r="B116" s="21" t="str">
        <v>Opportunity</v>
      </c>
      <c r="C116" s="50" t="str" cm="1">
        <f t="array" aca="1" ref="C116:K116" ca="1">IF(INDIRECT("'" &amp; $A116 &amp; "'!B15:J15")="", "", INDIRECT("'" &amp; $A116 &amp; "'!B15:J15"))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26" t="str">
        <f ca="1"/>
        <v/>
      </c>
      <c r="K116" s="26" t="str">
        <f ca="1"/>
        <v xml:space="preserve"> </v>
      </c>
    </row>
    <row r="117" spans="1:11" ht="15.75" customHeight="1">
      <c r="A117" s="60" t="str">
        <v>Clayton Hall</v>
      </c>
      <c r="B117" s="49" t="str">
        <v>Opportunity</v>
      </c>
      <c r="C117" s="50" t="str" cm="1">
        <f t="array" aca="1" ref="C117:K117" ca="1">IF(INDIRECT("'" &amp; $A117 &amp; "'!B15:J15")="", "", INDIRECT("'" &amp; $A117 &amp; "'!B15:J15"))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26" t="str">
        <f ca="1"/>
        <v/>
      </c>
      <c r="K117" s="26" t="str">
        <f ca="1"/>
        <v xml:space="preserve"> </v>
      </c>
    </row>
    <row r="118" spans="1:11" ht="15.75" customHeight="1">
      <c r="A118" s="59" t="str">
        <v>Field House</v>
      </c>
      <c r="B118" s="21" t="str">
        <v>Opportunity</v>
      </c>
      <c r="C118" s="50" t="str" cm="1">
        <f t="array" aca="1" ref="C118:K118" ca="1">IF(INDIRECT("'" &amp; $A118 &amp; "'!B15:J15")="", "", INDIRECT("'" &amp; $A118 &amp; "'!B15:J15"))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26" t="str">
        <f ca="1"/>
        <v/>
      </c>
      <c r="K118" s="26" t="str">
        <f ca="1"/>
        <v xml:space="preserve"> </v>
      </c>
    </row>
    <row r="119" spans="1:11" ht="15.75" customHeight="1">
      <c r="A119" s="60" t="str">
        <v>Wyoming Road</v>
      </c>
      <c r="B119" s="49" t="str">
        <v>Opportunity</v>
      </c>
      <c r="C119" s="50" t="str" cm="1">
        <f t="array" aca="1" ref="C119:K119" ca="1">IF(INDIRECT("'" &amp; $A119 &amp; "'!B15:J15")="", "", INDIRECT("'" &amp; $A119 &amp; "'!B15:J15"))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26" t="str">
        <f ca="1"/>
        <v/>
      </c>
      <c r="K119" s="26" t="str">
        <f ca="1"/>
        <v xml:space="preserve"> </v>
      </c>
    </row>
    <row r="120" spans="1:11" ht="15.75" customHeight="1">
      <c r="A120" s="59" t="str">
        <v>Leoku</v>
      </c>
      <c r="B120" s="21" t="str">
        <v>Opportunity</v>
      </c>
      <c r="C120" s="50" t="str" cm="1">
        <f t="array" aca="1" ref="C120:K120" ca="1">IF(INDIRECT("'" &amp; $A120 &amp; "'!B15:J15")="", "", INDIRECT("'" &amp; $A120 &amp; "'!B15:J15"))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26" t="str">
        <f ca="1"/>
        <v/>
      </c>
      <c r="K120" s="26" t="str">
        <f ca="1"/>
        <v/>
      </c>
    </row>
    <row r="121" spans="1:11" ht="15.75" customHeight="1">
      <c r="A121" s="60" t="str">
        <v>Waipahu</v>
      </c>
      <c r="B121" s="49" t="str">
        <v>Opportunity</v>
      </c>
      <c r="C121" s="50" t="str" cm="1">
        <f t="array" aca="1" ref="C121:K121" ca="1">IF(INDIRECT("'" &amp; $A121 &amp; "'!B15:J15")="", "", INDIRECT("'" &amp; $A121 &amp; "'!B15:J15"))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26" t="str">
        <f ca="1"/>
        <v/>
      </c>
      <c r="K121" s="26" t="str">
        <f ca="1"/>
        <v/>
      </c>
    </row>
    <row r="122" spans="1:11" ht="15.75" customHeight="1">
      <c r="A122" s="59" t="str">
        <v>Bird in Hand</v>
      </c>
      <c r="B122" s="21" t="str">
        <v>Opportunity</v>
      </c>
      <c r="C122" s="50" t="str" cm="1">
        <f t="array" aca="1" ref="C122:K122" ca="1">IF(INDIRECT("'" &amp; $A122 &amp; "'!B15:J15")="", "", INDIRECT("'" &amp; $A122 &amp; "'!B15:J15"))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26" t="str">
        <f ca="1"/>
        <v/>
      </c>
      <c r="K122" s="26" t="str">
        <f ca="1"/>
        <v/>
      </c>
    </row>
    <row r="123" spans="1:11" ht="15.75" customHeight="1">
      <c r="A123" s="60" t="str">
        <v>Shortal</v>
      </c>
      <c r="B123" s="49" t="str">
        <v>Opportunity</v>
      </c>
      <c r="C123" s="50" t="str" cm="1">
        <f t="array" aca="1" ref="C123:K123" ca="1">IF(INDIRECT("'" &amp; $A123 &amp; "'!B15:J15")="", "", INDIRECT("'" &amp; $A123 &amp; "'!B15:J15"))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26" t="str">
        <f ca="1"/>
        <v/>
      </c>
      <c r="K123" s="26" t="str">
        <f ca="1"/>
        <v xml:space="preserve"> </v>
      </c>
    </row>
    <row r="124" spans="1:11" ht="15.75" customHeight="1">
      <c r="A124" s="59" t="str">
        <v>Aguadilla</v>
      </c>
      <c r="B124" s="21" t="str">
        <v>Opportunity</v>
      </c>
      <c r="C124" s="50" t="str" cm="1">
        <f t="array" aca="1" ref="C124:K124" ca="1">IF(INDIRECT("'" &amp; $A124 &amp; "'!B15:J15")="", "", INDIRECT("'" &amp; $A124 &amp; "'!B15:J15"))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26" t="str">
        <f ca="1"/>
        <v/>
      </c>
      <c r="K124" s="26" t="str">
        <f ca="1"/>
        <v/>
      </c>
    </row>
    <row r="125" spans="1:11" ht="15.75" customHeight="1">
      <c r="A125" s="60" t="str">
        <v>Bayamon</v>
      </c>
      <c r="B125" s="49" t="str">
        <v>Opportunity</v>
      </c>
      <c r="C125" s="50" t="str" cm="1">
        <f t="array" aca="1" ref="C125:K125" ca="1">IF(INDIRECT("'" &amp; $A125 &amp; "'!B15:J15")="", "", INDIRECT("'" &amp; $A125 &amp; "'!B15:J15"))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26" t="str">
        <f ca="1"/>
        <v/>
      </c>
      <c r="K125" s="26" t="str">
        <f ca="1"/>
        <v/>
      </c>
    </row>
    <row r="126" spans="1:11" ht="15.75" customHeight="1">
      <c r="A126" s="59" t="str">
        <v>St Francis</v>
      </c>
      <c r="B126" s="21" t="str">
        <v>Opportunity</v>
      </c>
      <c r="C126" s="50" t="str" cm="1">
        <f t="array" aca="1" ref="C126:K126" ca="1">IF(INDIRECT("'" &amp; $A126 &amp; "'!B15:J15")="", "", INDIRECT("'" &amp; $A126 &amp; "'!B15:J15"))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26" t="str">
        <f ca="1"/>
        <v/>
      </c>
      <c r="K126" s="26" t="str">
        <f ca="1"/>
        <v/>
      </c>
    </row>
    <row r="127" spans="1:11" ht="15.75" customHeight="1">
      <c r="A127" s="60" t="str">
        <v>Seaport</v>
      </c>
      <c r="B127" s="49" t="str">
        <v>Sunraise</v>
      </c>
      <c r="C127" s="50" t="str" cm="1">
        <f t="array" aca="1" ref="C127:K127" ca="1">IF(INDIRECT("'" &amp; $A127 &amp; "'!B15:J15")="", "", INDIRECT("'" &amp; $A127 &amp; "'!B15:J15"))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26" t="str">
        <f ca="1"/>
        <v/>
      </c>
      <c r="K127" s="26" t="str">
        <f ca="1"/>
        <v xml:space="preserve"> </v>
      </c>
    </row>
    <row r="128" spans="1:11" ht="15.75" customHeight="1">
      <c r="A128" s="59" t="str">
        <v>Sprague St</v>
      </c>
      <c r="B128" s="21" t="str">
        <v>Sunraise</v>
      </c>
      <c r="C128" s="50" t="str" cm="1">
        <f t="array" aca="1" ref="C128:K128" ca="1">IF(INDIRECT("'" &amp; $A128 &amp; "'!B15:J15")="", "", INDIRECT("'" &amp; $A128 &amp; "'!B15:J15"))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26" t="str">
        <f ca="1"/>
        <v/>
      </c>
      <c r="K128" s="26" t="str">
        <f ca="1"/>
        <v/>
      </c>
    </row>
    <row r="129" spans="1:11" ht="15.75" customHeight="1">
      <c r="A129" s="60" t="str">
        <v>Summer St</v>
      </c>
      <c r="B129" s="49" t="str">
        <v>Sunraise</v>
      </c>
      <c r="C129" s="50" t="str" cm="1">
        <f t="array" aca="1" ref="C129:K129" ca="1">IF(INDIRECT("'" &amp; $A129 &amp; "'!B15:J15")="", "", INDIRECT("'" &amp; $A129 &amp; "'!B15:J15"))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26" t="str">
        <f ca="1"/>
        <v/>
      </c>
      <c r="K129" s="26" t="str">
        <f ca="1"/>
        <v xml:space="preserve"> </v>
      </c>
    </row>
    <row r="130" spans="1:11" ht="15.75" customHeight="1">
      <c r="A130" s="59" t="str">
        <v>Brock St Vocational</v>
      </c>
      <c r="B130" s="21" t="str">
        <v>Sunraise</v>
      </c>
      <c r="C130" s="50" t="str" cm="1">
        <f t="array" aca="1" ref="C130:K130" ca="1">IF(INDIRECT("'" &amp; $A130 &amp; "'!B15:J15")="", "", INDIRECT("'" &amp; $A130 &amp; "'!B15:J15"))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26" t="str">
        <f ca="1"/>
        <v/>
      </c>
      <c r="K130" s="26" t="str">
        <f ca="1"/>
        <v xml:space="preserve"> </v>
      </c>
    </row>
    <row r="131" spans="1:11" ht="15.75" customHeight="1">
      <c r="A131" s="60" t="str">
        <v>McClelland ES</v>
      </c>
      <c r="B131" s="49" t="str">
        <v>Sunraise</v>
      </c>
      <c r="C131" s="50" t="str" cm="1">
        <f t="array" aca="1" ref="C131:K131" ca="1">IF(INDIRECT("'" &amp; $A131 &amp; "'!B15:J15")="", "", INDIRECT("'" &amp; $A131 &amp; "'!B15:J15"))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26" t="str">
        <f ca="1"/>
        <v/>
      </c>
      <c r="K131" s="26" t="str">
        <f ca="1"/>
        <v xml:space="preserve"> </v>
      </c>
    </row>
    <row r="132" spans="1:11" ht="15.75" customHeight="1">
      <c r="A132" s="59" t="str">
        <v>Portland St</v>
      </c>
      <c r="B132" s="21" t="str">
        <v>Sunraise</v>
      </c>
      <c r="C132" s="50" t="str" cm="1">
        <f t="array" aca="1" ref="C132:K132" ca="1">IF(INDIRECT("'" &amp; $A132 &amp; "'!B15:J15")="", "", INDIRECT("'" &amp; $A132 &amp; "'!B15:J15"))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26" t="str">
        <f ca="1"/>
        <v/>
      </c>
      <c r="K132" s="26" t="str">
        <f ca="1"/>
        <v xml:space="preserve"> </v>
      </c>
    </row>
    <row r="133" spans="1:11" ht="15.75" customHeight="1">
      <c r="A133" s="60" t="str">
        <v>Portsmouth HS</v>
      </c>
      <c r="B133" s="49" t="str">
        <v>Sunraise</v>
      </c>
      <c r="C133" s="50" t="str" cm="1">
        <f t="array" aca="1" ref="C133:K133" ca="1">IF(INDIRECT("'" &amp; $A133 &amp; "'!B15:J15")="", "", INDIRECT("'" &amp; $A133 &amp; "'!B15:J15"))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26" t="str">
        <f ca="1"/>
        <v/>
      </c>
      <c r="K133" s="26" t="str">
        <f ca="1"/>
        <v/>
      </c>
    </row>
    <row r="134" spans="1:11" ht="15.75" customHeight="1">
      <c r="A134" s="59" t="str">
        <v>Portsmouth WTP</v>
      </c>
      <c r="B134" s="21" t="str">
        <v>Sunraise</v>
      </c>
      <c r="C134" s="50" t="str" cm="1">
        <f t="array" aca="1" ref="C134:K134" ca="1">IF(INDIRECT("'" &amp; $A134 &amp; "'!B15:J15")="", "", INDIRECT("'" &amp; $A134 &amp; "'!B15:J15"))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26" t="str">
        <f ca="1"/>
        <v/>
      </c>
      <c r="K134" s="26" t="str">
        <f ca="1"/>
        <v xml:space="preserve"> </v>
      </c>
    </row>
    <row r="135" spans="1:11" ht="15.75" customHeight="1">
      <c r="A135" s="60" t="str">
        <v>Rochester St</v>
      </c>
      <c r="B135" s="49" t="str">
        <v>Sunraise</v>
      </c>
      <c r="C135" s="50" t="str" cm="1">
        <f t="array" aca="1" ref="C135:K135" ca="1">IF(INDIRECT("'" &amp; $A135 &amp; "'!B15:J15")="", "", INDIRECT("'" &amp; $A135 &amp; "'!B15:J15"))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26" t="str">
        <f ca="1"/>
        <v/>
      </c>
      <c r="K135" s="26" t="str">
        <f ca="1"/>
        <v xml:space="preserve"> </v>
      </c>
    </row>
    <row r="136" spans="1:11" ht="15.75" customHeight="1">
      <c r="A136" s="59" t="str">
        <v>Spaulding HS</v>
      </c>
      <c r="B136" s="21" t="str">
        <v>Sunraise</v>
      </c>
      <c r="C136" s="50" t="str" cm="1">
        <f t="array" aca="1" ref="C136:K136" ca="1">IF(INDIRECT("'" &amp; $A136 &amp; "'!B15:J15")="", "", INDIRECT("'" &amp; $A136 &amp; "'!B15:J15"))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26" t="str">
        <f ca="1"/>
        <v/>
      </c>
      <c r="K136" s="26" t="str">
        <f ca="1"/>
        <v xml:space="preserve"> </v>
      </c>
    </row>
    <row r="137" spans="1:11" ht="30.75" customHeight="1">
      <c r="A137" s="156" t="s">
        <v>9</v>
      </c>
      <c r="B137" s="157"/>
      <c r="C137" s="61">
        <f ca="1">SUM(C3:C61)</f>
        <v>0</v>
      </c>
      <c r="D137" s="61">
        <f ca="1">SUM(D3:D61)</f>
        <v>0</v>
      </c>
      <c r="E137" s="61">
        <f ca="1">C137-D137</f>
        <v>0</v>
      </c>
      <c r="F137" s="54">
        <f ca="1">IFERROR(E137/D137, 0)</f>
        <v>0</v>
      </c>
      <c r="G137" s="61">
        <f ca="1">SUM(G3:G61)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7397A98F-A32F-42EE-8114-2658DE422011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62" priority="1" operator="lessThanOrEqual">
      <formula>-0.1</formula>
    </cfRule>
    <cfRule type="cellIs" dxfId="2161" priority="2" operator="greaterThanOrEqual">
      <formula>0.1</formula>
    </cfRule>
  </conditionalFormatting>
  <pageMargins left="0.4" right="0.7" top="0.25" bottom="0.25" header="0.3" footer="0.3"/>
  <pageSetup scale="10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O142"/>
  <sheetViews>
    <sheetView zoomScale="112" zoomScaleNormal="112" workbookViewId="0">
      <pane ySplit="2" topLeftCell="A3" activePane="bottomLeft" state="frozen"/>
      <selection pane="bottomLeft" activeCell="D15" sqref="D15"/>
      <selection activeCell="J24" sqref="J24"/>
    </sheetView>
  </sheetViews>
  <sheetFormatPr defaultRowHeight="12.75"/>
  <cols>
    <col min="1" max="1" width="23" bestFit="1" customWidth="1"/>
    <col min="2" max="2" width="20.140625" bestFit="1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  <col min="12" max="12" width="9.85546875" bestFit="1" customWidth="1"/>
  </cols>
  <sheetData>
    <row r="1" spans="1:11" ht="19.5" customHeight="1">
      <c r="A1" s="172" t="str" cm="1">
        <f t="array" ref="A1">portfolio</f>
        <v>Generate Capital</v>
      </c>
      <c r="B1" s="172"/>
      <c r="C1" s="170" t="s">
        <v>44</v>
      </c>
      <c r="D1" s="170"/>
      <c r="E1" s="170"/>
      <c r="F1" s="170"/>
      <c r="G1" s="171" t="s">
        <v>45</v>
      </c>
      <c r="H1" s="171"/>
      <c r="I1" s="171"/>
      <c r="J1" s="173" t="s">
        <v>22</v>
      </c>
      <c r="K1" s="169" t="s">
        <v>23</v>
      </c>
    </row>
    <row r="2" spans="1:11" ht="14.25" customHeight="1">
      <c r="A2" s="65" t="s">
        <v>2</v>
      </c>
      <c r="B2" s="65" t="s">
        <v>3</v>
      </c>
      <c r="C2" s="66" t="s">
        <v>4</v>
      </c>
      <c r="D2" s="67" t="s">
        <v>5</v>
      </c>
      <c r="E2" s="66" t="s">
        <v>6</v>
      </c>
      <c r="F2" s="68" t="s">
        <v>7</v>
      </c>
      <c r="G2" s="69" t="s">
        <v>8</v>
      </c>
      <c r="H2" s="70" t="s">
        <v>6</v>
      </c>
      <c r="I2" s="71" t="s">
        <v>7</v>
      </c>
      <c r="J2" s="173"/>
      <c r="K2" s="169"/>
    </row>
    <row r="3" spans="1:11" ht="15.75" customHeight="1">
      <c r="A3" s="143" t="str" cm="1">
        <f t="array" ref="A3:A136">Sites[Site]</f>
        <v>Farmer</v>
      </c>
      <c r="B3" s="144" t="str" cm="1">
        <f t="array" ref="B3:B136">Sites[Portfolio]</f>
        <v>Blue Renewables</v>
      </c>
      <c r="C3" s="50" t="str" cm="1">
        <f t="array" aca="1" ref="C3:K3" ca="1">IF(INDIRECT("'" &amp; $A3 &amp; "'!B16:J16")="", "", INDIRECT("'" &amp; $A3 &amp; "'!B16:J16"))</f>
        <v/>
      </c>
      <c r="D3" s="50" t="str">
        <f ca="1"/>
        <v/>
      </c>
      <c r="E3" s="50">
        <f ca="1"/>
        <v>0</v>
      </c>
      <c r="F3" s="51">
        <f ca="1"/>
        <v>0</v>
      </c>
      <c r="G3" s="52" t="str">
        <f ca="1"/>
        <v/>
      </c>
      <c r="H3" s="52">
        <f ca="1"/>
        <v>0</v>
      </c>
      <c r="I3" s="53">
        <f ca="1"/>
        <v>0</v>
      </c>
      <c r="J3" s="26" t="str">
        <f ca="1"/>
        <v/>
      </c>
      <c r="K3" s="26" t="str">
        <f ca="1"/>
        <v/>
      </c>
    </row>
    <row r="4" spans="1:11" ht="15.75" customHeight="1">
      <c r="A4" s="137" t="str">
        <v>Fulton</v>
      </c>
      <c r="B4" s="138" t="str">
        <v>Blue Renewables</v>
      </c>
      <c r="C4" s="50" t="str" cm="1">
        <f t="array" aca="1" ref="C4:K4" ca="1">IF(INDIRECT("'" &amp; $A4 &amp; "'!B16:J16")="", "", INDIRECT("'" &amp; $A4 &amp; "'!B16:J16"))</f>
        <v/>
      </c>
      <c r="D4" s="50" t="str">
        <f ca="1"/>
        <v/>
      </c>
      <c r="E4" s="50">
        <f ca="1"/>
        <v>0</v>
      </c>
      <c r="F4" s="51">
        <f ca="1"/>
        <v>0</v>
      </c>
      <c r="G4" s="52" t="str">
        <f ca="1"/>
        <v/>
      </c>
      <c r="H4" s="52">
        <f ca="1"/>
        <v>0</v>
      </c>
      <c r="I4" s="53">
        <f ca="1"/>
        <v>0</v>
      </c>
      <c r="J4" s="26" t="str">
        <f ca="1"/>
        <v/>
      </c>
      <c r="K4" s="26" t="str">
        <f ca="1"/>
        <v/>
      </c>
    </row>
    <row r="5" spans="1:11" ht="15.75" customHeight="1">
      <c r="A5" s="145" t="str">
        <v>JFK Elementary</v>
      </c>
      <c r="B5" s="146" t="str">
        <v>Blue Renewables</v>
      </c>
      <c r="C5" s="50" t="str" cm="1">
        <f t="array" aca="1" ref="C5:K5" ca="1">IF(INDIRECT("'" &amp; $A5 &amp; "'!B16:J16")="", "", INDIRECT("'" &amp; $A5 &amp; "'!B16:J16"))</f>
        <v/>
      </c>
      <c r="D5" s="50" t="str">
        <f ca="1"/>
        <v/>
      </c>
      <c r="E5" s="50">
        <f ca="1"/>
        <v>0</v>
      </c>
      <c r="F5" s="51">
        <f ca="1"/>
        <v>0</v>
      </c>
      <c r="G5" s="52" t="str">
        <f ca="1"/>
        <v/>
      </c>
      <c r="H5" s="52">
        <f ca="1"/>
        <v>0</v>
      </c>
      <c r="I5" s="53">
        <f ca="1"/>
        <v>0</v>
      </c>
      <c r="J5" s="26" t="str">
        <f ca="1"/>
        <v/>
      </c>
      <c r="K5" s="26" t="str">
        <f ca="1"/>
        <v/>
      </c>
    </row>
    <row r="6" spans="1:11" ht="15.75" customHeight="1">
      <c r="A6" s="137" t="str">
        <v>Noble</v>
      </c>
      <c r="B6" s="138" t="str">
        <v>Blue Renewables</v>
      </c>
      <c r="C6" s="50" t="str" cm="1">
        <f t="array" aca="1" ref="C6:K6" ca="1">IF(INDIRECT("'" &amp; $A6 &amp; "'!B16:J16")="", "", INDIRECT("'" &amp; $A6 &amp; "'!B16:J16"))</f>
        <v/>
      </c>
      <c r="D6" s="50" t="str">
        <f ca="1"/>
        <v/>
      </c>
      <c r="E6" s="50">
        <f ca="1"/>
        <v>0</v>
      </c>
      <c r="F6" s="51">
        <f ca="1"/>
        <v>0</v>
      </c>
      <c r="G6" s="52" t="str">
        <f ca="1"/>
        <v/>
      </c>
      <c r="H6" s="52">
        <f ca="1"/>
        <v>0</v>
      </c>
      <c r="I6" s="53">
        <f ca="1"/>
        <v>0</v>
      </c>
      <c r="J6" s="26" t="str">
        <f ca="1"/>
        <v/>
      </c>
      <c r="K6" s="26" t="str">
        <f ca="1"/>
        <v/>
      </c>
    </row>
    <row r="7" spans="1:11" ht="15.75" customHeight="1">
      <c r="A7" s="145" t="str">
        <v>Parking 3</v>
      </c>
      <c r="B7" s="146" t="str">
        <v>Blue Renewables</v>
      </c>
      <c r="C7" s="50" t="str" cm="1">
        <f t="array" aca="1" ref="C7:K7" ca="1">IF(INDIRECT("'" &amp; $A7 &amp; "'!B16:J16")="", "", INDIRECT("'" &amp; $A7 &amp; "'!B16:J16"))</f>
        <v/>
      </c>
      <c r="D7" s="50" t="str">
        <f ca="1"/>
        <v/>
      </c>
      <c r="E7" s="50">
        <f ca="1"/>
        <v>0</v>
      </c>
      <c r="F7" s="51">
        <f ca="1"/>
        <v>0</v>
      </c>
      <c r="G7" s="52" t="str">
        <f ca="1"/>
        <v/>
      </c>
      <c r="H7" s="52">
        <f ca="1"/>
        <v>0</v>
      </c>
      <c r="I7" s="53">
        <f ca="1"/>
        <v>0</v>
      </c>
      <c r="J7" s="26" t="str">
        <f ca="1"/>
        <v/>
      </c>
      <c r="K7" s="26" t="str">
        <f ca="1"/>
        <v/>
      </c>
    </row>
    <row r="8" spans="1:11" ht="15.75" customHeight="1">
      <c r="A8" s="137" t="str">
        <v>PE East</v>
      </c>
      <c r="B8" s="138" t="str">
        <v>Blue Renewables</v>
      </c>
      <c r="C8" s="50" t="str" cm="1">
        <f t="array" aca="1" ref="C8:K8" ca="1">IF(INDIRECT("'" &amp; $A8 &amp; "'!B16:J16")="", "", INDIRECT("'" &amp; $A8 &amp; "'!B16:J16"))</f>
        <v/>
      </c>
      <c r="D8" s="50" t="str">
        <f ca="1"/>
        <v/>
      </c>
      <c r="E8" s="50">
        <f ca="1"/>
        <v>0</v>
      </c>
      <c r="F8" s="51">
        <f ca="1"/>
        <v>0</v>
      </c>
      <c r="G8" s="52" t="str">
        <f ca="1"/>
        <v/>
      </c>
      <c r="H8" s="52">
        <f ca="1"/>
        <v>0</v>
      </c>
      <c r="I8" s="53">
        <f ca="1"/>
        <v>0</v>
      </c>
      <c r="J8" s="26" t="str">
        <f ca="1"/>
        <v/>
      </c>
      <c r="K8" s="26" t="str">
        <f ca="1"/>
        <v/>
      </c>
    </row>
    <row r="9" spans="1:11" ht="15.75" customHeight="1">
      <c r="A9" s="145" t="str">
        <v>Schwada</v>
      </c>
      <c r="B9" s="146" t="str">
        <v>Blue Renewables</v>
      </c>
      <c r="C9" s="50" t="str" cm="1">
        <f t="array" aca="1" ref="C9:K9" ca="1">IF(INDIRECT("'" &amp; $A9 &amp; "'!B16:J16")="", "", INDIRECT("'" &amp; $A9 &amp; "'!B16:J16"))</f>
        <v/>
      </c>
      <c r="D9" s="50" t="str">
        <f ca="1"/>
        <v/>
      </c>
      <c r="E9" s="50">
        <f ca="1"/>
        <v>0</v>
      </c>
      <c r="F9" s="51">
        <f ca="1"/>
        <v>0</v>
      </c>
      <c r="G9" s="52" t="str">
        <f ca="1"/>
        <v/>
      </c>
      <c r="H9" s="52">
        <f ca="1"/>
        <v>0</v>
      </c>
      <c r="I9" s="53">
        <f ca="1"/>
        <v>0</v>
      </c>
      <c r="J9" s="26" t="str">
        <f ca="1"/>
        <v/>
      </c>
      <c r="K9" s="26" t="str">
        <f ca="1"/>
        <v xml:space="preserve"> </v>
      </c>
    </row>
    <row r="10" spans="1:11" ht="15.75" customHeight="1">
      <c r="A10" s="137" t="str">
        <v>Starshine</v>
      </c>
      <c r="B10" s="138" t="str">
        <v>Blue Renewables</v>
      </c>
      <c r="C10" s="50" t="str" cm="1">
        <f t="array" aca="1" ref="C10:K10" ca="1">IF(INDIRECT("'" &amp; $A10 &amp; "'!B16:J16")="", "", INDIRECT("'" &amp; $A10 &amp; "'!B16:J16"))</f>
        <v/>
      </c>
      <c r="D10" s="50" t="str">
        <f ca="1"/>
        <v/>
      </c>
      <c r="E10" s="50">
        <f ca="1"/>
        <v>0</v>
      </c>
      <c r="F10" s="51">
        <f ca="1"/>
        <v>0</v>
      </c>
      <c r="G10" s="52" t="str">
        <f ca="1"/>
        <v/>
      </c>
      <c r="H10" s="52">
        <f ca="1"/>
        <v>0</v>
      </c>
      <c r="I10" s="53">
        <f ca="1"/>
        <v>0</v>
      </c>
      <c r="J10" s="26" t="str">
        <f ca="1"/>
        <v/>
      </c>
      <c r="K10" s="26" t="str">
        <f ca="1"/>
        <v xml:space="preserve"> </v>
      </c>
    </row>
    <row r="11" spans="1:11" ht="15.75" customHeight="1">
      <c r="A11" s="145" t="str">
        <v>Yuma Airport</v>
      </c>
      <c r="B11" s="146" t="str">
        <v>Blue Renewables</v>
      </c>
      <c r="C11" s="50" t="str" cm="1">
        <f t="array" aca="1" ref="C11:K11" ca="1">IF(INDIRECT("'" &amp; $A11 &amp; "'!B16:J16")="", "", INDIRECT("'" &amp; $A11 &amp; "'!B16:J16"))</f>
        <v/>
      </c>
      <c r="D11" s="50" t="str">
        <f ca="1"/>
        <v/>
      </c>
      <c r="E11" s="50">
        <f ca="1"/>
        <v>0</v>
      </c>
      <c r="F11" s="51">
        <f ca="1"/>
        <v>0</v>
      </c>
      <c r="G11" s="52" t="str">
        <f ca="1"/>
        <v/>
      </c>
      <c r="H11" s="52">
        <f ca="1"/>
        <v>0</v>
      </c>
      <c r="I11" s="53">
        <f ca="1"/>
        <v>0</v>
      </c>
      <c r="J11" s="26" t="str">
        <f ca="1"/>
        <v/>
      </c>
      <c r="K11" s="26" t="str">
        <f ca="1"/>
        <v/>
      </c>
    </row>
    <row r="12" spans="1:11" ht="15.75" customHeight="1">
      <c r="A12" s="137" t="str">
        <v>Kinsman</v>
      </c>
      <c r="B12" s="138" t="str">
        <v>Blue Renewables</v>
      </c>
      <c r="C12" s="50" t="str" cm="1">
        <f t="array" aca="1" ref="C12:K12" ca="1">IF(INDIRECT("'" &amp; $A12 &amp; "'!B16:J16")="", "", INDIRECT("'" &amp; $A12 &amp; "'!B16:J16"))</f>
        <v/>
      </c>
      <c r="D12" s="50" t="str">
        <f ca="1"/>
        <v/>
      </c>
      <c r="E12" s="50">
        <f ca="1"/>
        <v>0</v>
      </c>
      <c r="F12" s="51">
        <f ca="1"/>
        <v>0</v>
      </c>
      <c r="G12" s="52" t="str">
        <f ca="1"/>
        <v/>
      </c>
      <c r="H12" s="52">
        <f ca="1"/>
        <v>0</v>
      </c>
      <c r="I12" s="53">
        <f ca="1"/>
        <v>0</v>
      </c>
      <c r="J12" s="26" t="str">
        <f ca="1"/>
        <v/>
      </c>
      <c r="K12" s="26" t="str">
        <f ca="1"/>
        <v/>
      </c>
    </row>
    <row r="13" spans="1:11" ht="15.75" customHeight="1">
      <c r="A13" s="145" t="str">
        <v>Wooster</v>
      </c>
      <c r="B13" s="146" t="str">
        <v>Blue Renewables</v>
      </c>
      <c r="C13" s="50" t="str" cm="1">
        <f t="array" aca="1" ref="C13:K13" ca="1">IF(INDIRECT("'" &amp; $A13 &amp; "'!B16:J16")="", "", INDIRECT("'" &amp; $A13 &amp; "'!B16:J16"))</f>
        <v/>
      </c>
      <c r="D13" s="50" t="str">
        <f ca="1"/>
        <v/>
      </c>
      <c r="E13" s="50">
        <f ca="1"/>
        <v>0</v>
      </c>
      <c r="F13" s="51">
        <f ca="1"/>
        <v>0</v>
      </c>
      <c r="G13" s="52" t="str">
        <f ca="1"/>
        <v/>
      </c>
      <c r="H13" s="52">
        <f ca="1"/>
        <v>0</v>
      </c>
      <c r="I13" s="53">
        <f ca="1"/>
        <v>0</v>
      </c>
      <c r="J13" s="26" t="str">
        <f ca="1"/>
        <v/>
      </c>
      <c r="K13" s="26" t="str">
        <f ca="1"/>
        <v xml:space="preserve"> </v>
      </c>
    </row>
    <row r="14" spans="1:11" ht="15.75" customHeight="1">
      <c r="A14" s="137" t="str">
        <v>Globe Gila CC</v>
      </c>
      <c r="B14" s="138" t="str">
        <v>CC Gen Equity</v>
      </c>
      <c r="C14" s="50" t="str" cm="1">
        <f t="array" aca="1" ref="C14:K14" ca="1">IF(INDIRECT("'" &amp; $A14 &amp; "'!B16:J16")="", "", INDIRECT("'" &amp; $A14 &amp; "'!B16:J16"))</f>
        <v/>
      </c>
      <c r="D14" s="50" t="str">
        <f ca="1"/>
        <v/>
      </c>
      <c r="E14" s="50">
        <f ca="1"/>
        <v>0</v>
      </c>
      <c r="F14" s="51">
        <f ca="1"/>
        <v>0</v>
      </c>
      <c r="G14" s="52" t="str">
        <f ca="1"/>
        <v/>
      </c>
      <c r="H14" s="52">
        <f ca="1"/>
        <v>0</v>
      </c>
      <c r="I14" s="53">
        <f ca="1"/>
        <v>0</v>
      </c>
      <c r="J14" s="26" t="str">
        <f ca="1"/>
        <v/>
      </c>
      <c r="K14" s="26" t="str">
        <f ca="1"/>
        <v xml:space="preserve"> </v>
      </c>
    </row>
    <row r="15" spans="1:11" ht="15.75" customHeight="1">
      <c r="A15" s="145" t="str">
        <v>Payson Gila CC</v>
      </c>
      <c r="B15" s="146" t="str">
        <v>CC Gen Equity</v>
      </c>
      <c r="C15" s="50" t="str" cm="1">
        <f t="array" aca="1" ref="C15:K15" ca="1">IF(INDIRECT("'" &amp; $A15 &amp; "'!B16:J16")="", "", INDIRECT("'" &amp; $A15 &amp; "'!B16:J16"))</f>
        <v/>
      </c>
      <c r="D15" s="50" t="str">
        <f ca="1"/>
        <v/>
      </c>
      <c r="E15" s="50">
        <f ca="1"/>
        <v>0</v>
      </c>
      <c r="F15" s="51">
        <f ca="1"/>
        <v>0</v>
      </c>
      <c r="G15" s="52" t="str">
        <f ca="1"/>
        <v/>
      </c>
      <c r="H15" s="52">
        <f ca="1"/>
        <v>0</v>
      </c>
      <c r="I15" s="53">
        <f ca="1"/>
        <v>0</v>
      </c>
      <c r="J15" s="26" t="str">
        <f ca="1"/>
        <v/>
      </c>
      <c r="K15" s="26" t="str">
        <f ca="1"/>
        <v xml:space="preserve"> </v>
      </c>
    </row>
    <row r="16" spans="1:11" ht="15.75" customHeight="1">
      <c r="A16" s="137" t="str">
        <v>SCNM</v>
      </c>
      <c r="B16" s="138" t="str">
        <v>CC Gen Equity</v>
      </c>
      <c r="C16" s="50" t="str" cm="1">
        <f t="array" aca="1" ref="C16:K16" ca="1">IF(INDIRECT("'" &amp; $A16 &amp; "'!B16:J16")="", "", INDIRECT("'" &amp; $A16 &amp; "'!B16:J16"))</f>
        <v/>
      </c>
      <c r="D16" s="50" t="str">
        <f ca="1"/>
        <v/>
      </c>
      <c r="E16" s="50">
        <f ca="1"/>
        <v>0</v>
      </c>
      <c r="F16" s="51">
        <f ca="1"/>
        <v>0</v>
      </c>
      <c r="G16" s="52" t="str">
        <f ca="1"/>
        <v/>
      </c>
      <c r="H16" s="52">
        <f ca="1"/>
        <v>0</v>
      </c>
      <c r="I16" s="53">
        <f ca="1"/>
        <v>0</v>
      </c>
      <c r="J16" s="26" t="str">
        <f ca="1"/>
        <v/>
      </c>
      <c r="K16" s="26" t="str">
        <f ca="1"/>
        <v xml:space="preserve"> </v>
      </c>
    </row>
    <row r="17" spans="1:11" ht="15.75" customHeight="1">
      <c r="A17" s="145" t="str">
        <v>Sequoia Charter School</v>
      </c>
      <c r="B17" s="146" t="str">
        <v>CC Gen Equity</v>
      </c>
      <c r="C17" s="50" t="str" cm="1">
        <f t="array" aca="1" ref="C17:K17" ca="1">IF(INDIRECT("'" &amp; $A17 &amp; "'!B16:J16")="", "", INDIRECT("'" &amp; $A17 &amp; "'!B16:J16"))</f>
        <v/>
      </c>
      <c r="D17" s="50" t="str">
        <f ca="1"/>
        <v/>
      </c>
      <c r="E17" s="50">
        <f ca="1"/>
        <v>0</v>
      </c>
      <c r="F17" s="51">
        <f ca="1"/>
        <v>0</v>
      </c>
      <c r="G17" s="52" t="str">
        <f ca="1"/>
        <v/>
      </c>
      <c r="H17" s="52">
        <f ca="1"/>
        <v>0</v>
      </c>
      <c r="I17" s="53">
        <f ca="1"/>
        <v>0</v>
      </c>
      <c r="J17" s="26" t="str">
        <f ca="1"/>
        <v/>
      </c>
      <c r="K17" s="26" t="str">
        <f ca="1"/>
        <v xml:space="preserve"> </v>
      </c>
    </row>
    <row r="18" spans="1:11" ht="15.75" customHeight="1">
      <c r="A18" s="137" t="str">
        <v>RCAB</v>
      </c>
      <c r="B18" s="138" t="str">
        <v>GESF2</v>
      </c>
      <c r="C18" s="50" t="str" cm="1">
        <f t="array" aca="1" ref="C18:K18" ca="1">IF(INDIRECT("'" &amp; $A18 &amp; "'!B16:J16")="", "", INDIRECT("'" &amp; $A18 &amp; "'!B16:J16"))</f>
        <v/>
      </c>
      <c r="D18" s="50" t="str">
        <f ca="1"/>
        <v/>
      </c>
      <c r="E18" s="50">
        <f ca="1"/>
        <v>0</v>
      </c>
      <c r="F18" s="51">
        <f ca="1"/>
        <v>0</v>
      </c>
      <c r="G18" s="52" t="str">
        <f ca="1"/>
        <v/>
      </c>
      <c r="H18" s="52">
        <f ca="1"/>
        <v>0</v>
      </c>
      <c r="I18" s="53">
        <f ca="1"/>
        <v>0</v>
      </c>
      <c r="J18" s="26" t="str">
        <f ca="1"/>
        <v/>
      </c>
      <c r="K18" s="26" t="str">
        <f ca="1"/>
        <v/>
      </c>
    </row>
    <row r="19" spans="1:11" ht="15.75" customHeight="1">
      <c r="A19" s="145" t="str">
        <v>Spectro Coatings</v>
      </c>
      <c r="B19" s="146" t="str">
        <v>GESF2</v>
      </c>
      <c r="C19" s="50" t="str" cm="1">
        <f t="array" aca="1" ref="C19:K19" ca="1">IF(INDIRECT("'" &amp; $A19 &amp; "'!B16:J16")="", "", INDIRECT("'" &amp; $A19 &amp; "'!B16:J16"))</f>
        <v/>
      </c>
      <c r="D19" s="50" t="str">
        <f ca="1"/>
        <v/>
      </c>
      <c r="E19" s="50">
        <f ca="1"/>
        <v>0</v>
      </c>
      <c r="F19" s="51">
        <f ca="1"/>
        <v>0</v>
      </c>
      <c r="G19" s="52" t="str">
        <f ca="1"/>
        <v/>
      </c>
      <c r="H19" s="52">
        <f ca="1"/>
        <v>0</v>
      </c>
      <c r="I19" s="53">
        <f ca="1"/>
        <v>0</v>
      </c>
      <c r="J19" s="26" t="str">
        <f ca="1"/>
        <v/>
      </c>
      <c r="K19" s="26" t="str">
        <f ca="1"/>
        <v/>
      </c>
    </row>
    <row r="20" spans="1:11" ht="15.75" customHeight="1">
      <c r="A20" s="137" t="str">
        <v>K026</v>
      </c>
      <c r="B20" s="138" t="str">
        <v>Hudson</v>
      </c>
      <c r="C20" s="50" t="str" cm="1">
        <f t="array" aca="1" ref="C20:K20" ca="1">IF(INDIRECT("'" &amp; $A20 &amp; "'!B16:J16")="", "", INDIRECT("'" &amp; $A20 &amp; "'!B16:J16"))</f>
        <v/>
      </c>
      <c r="D20" s="50" t="str">
        <f ca="1"/>
        <v/>
      </c>
      <c r="E20" s="50">
        <f ca="1"/>
        <v>0</v>
      </c>
      <c r="F20" s="51">
        <f ca="1"/>
        <v>0</v>
      </c>
      <c r="G20" s="52" t="str">
        <f ca="1"/>
        <v/>
      </c>
      <c r="H20" s="52">
        <f ca="1"/>
        <v>0</v>
      </c>
      <c r="I20" s="53">
        <f ca="1"/>
        <v>0</v>
      </c>
      <c r="J20" s="26" t="str">
        <f ca="1"/>
        <v/>
      </c>
      <c r="K20" s="26" t="str">
        <f ca="1"/>
        <v/>
      </c>
    </row>
    <row r="21" spans="1:11" ht="15.75" customHeight="1">
      <c r="A21" s="145" t="str">
        <v>K041</v>
      </c>
      <c r="B21" s="146" t="str">
        <v>Hudson</v>
      </c>
      <c r="C21" s="50" t="str" cm="1">
        <f t="array" aca="1" ref="C21:K21" ca="1">IF(INDIRECT("'" &amp; $A21 &amp; "'!B16:J16")="", "", INDIRECT("'" &amp; $A21 &amp; "'!B16:J16"))</f>
        <v/>
      </c>
      <c r="D21" s="50" t="str">
        <f ca="1"/>
        <v/>
      </c>
      <c r="E21" s="50">
        <f ca="1"/>
        <v>0</v>
      </c>
      <c r="F21" s="51">
        <f ca="1"/>
        <v>0</v>
      </c>
      <c r="G21" s="52" t="str">
        <f ca="1"/>
        <v/>
      </c>
      <c r="H21" s="52">
        <f ca="1"/>
        <v>0</v>
      </c>
      <c r="I21" s="53">
        <f ca="1"/>
        <v>0</v>
      </c>
      <c r="J21" s="26" t="str">
        <f ca="1"/>
        <v/>
      </c>
      <c r="K21" s="26" t="str">
        <f ca="1"/>
        <v/>
      </c>
    </row>
    <row r="22" spans="1:11" ht="15.75" customHeight="1">
      <c r="A22" s="137" t="str">
        <v>K043</v>
      </c>
      <c r="B22" s="138" t="str">
        <v>Hudson</v>
      </c>
      <c r="C22" s="50" t="str" cm="1">
        <f t="array" aca="1" ref="C22:K22" ca="1">IF(INDIRECT("'" &amp; $A22 &amp; "'!B16:J16")="", "", INDIRECT("'" &amp; $A22 &amp; "'!B16:J16"))</f>
        <v/>
      </c>
      <c r="D22" s="50" t="str">
        <f ca="1"/>
        <v/>
      </c>
      <c r="E22" s="50">
        <f ca="1"/>
        <v>0</v>
      </c>
      <c r="F22" s="51">
        <f ca="1"/>
        <v>0</v>
      </c>
      <c r="G22" s="52" t="str">
        <f ca="1"/>
        <v/>
      </c>
      <c r="H22" s="52">
        <f ca="1"/>
        <v>0</v>
      </c>
      <c r="I22" s="53">
        <f ca="1"/>
        <v>0</v>
      </c>
      <c r="J22" s="26" t="str">
        <f ca="1"/>
        <v/>
      </c>
      <c r="K22" s="26" t="str">
        <f ca="1"/>
        <v/>
      </c>
    </row>
    <row r="23" spans="1:11" ht="15.75" customHeight="1">
      <c r="A23" s="145" t="str">
        <v>K058</v>
      </c>
      <c r="B23" s="146" t="str">
        <v>Hudson</v>
      </c>
      <c r="C23" s="50" t="str" cm="1">
        <f t="array" aca="1" ref="C23:K23" ca="1">IF(INDIRECT("'" &amp; $A23 &amp; "'!B16:J16")="", "", INDIRECT("'" &amp; $A23 &amp; "'!B16:J16"))</f>
        <v/>
      </c>
      <c r="D23" s="50" t="str">
        <f ca="1"/>
        <v/>
      </c>
      <c r="E23" s="50">
        <f ca="1"/>
        <v>0</v>
      </c>
      <c r="F23" s="51">
        <f ca="1"/>
        <v>0</v>
      </c>
      <c r="G23" s="52" t="str">
        <f ca="1"/>
        <v/>
      </c>
      <c r="H23" s="52">
        <f ca="1"/>
        <v>0</v>
      </c>
      <c r="I23" s="53">
        <f ca="1"/>
        <v>0</v>
      </c>
      <c r="J23" s="26" t="str">
        <f ca="1"/>
        <v/>
      </c>
      <c r="K23" s="26" t="str">
        <f ca="1"/>
        <v xml:space="preserve"> </v>
      </c>
    </row>
    <row r="24" spans="1:11" ht="15.75" customHeight="1">
      <c r="A24" s="137" t="str">
        <v>K115</v>
      </c>
      <c r="B24" s="138" t="str">
        <v>Hudson</v>
      </c>
      <c r="C24" s="50" t="str" cm="1">
        <f t="array" aca="1" ref="C24:K24" ca="1">IF(INDIRECT("'" &amp; $A24 &amp; "'!B16:J16")="", "", INDIRECT("'" &amp; $A24 &amp; "'!B16:J16"))</f>
        <v/>
      </c>
      <c r="D24" s="50" t="str">
        <f ca="1"/>
        <v/>
      </c>
      <c r="E24" s="50">
        <f ca="1"/>
        <v>0</v>
      </c>
      <c r="F24" s="51">
        <f ca="1"/>
        <v>0</v>
      </c>
      <c r="G24" s="52" t="str">
        <f ca="1"/>
        <v/>
      </c>
      <c r="H24" s="52">
        <f ca="1"/>
        <v>0</v>
      </c>
      <c r="I24" s="53">
        <f ca="1"/>
        <v>0</v>
      </c>
      <c r="J24" s="26" t="str">
        <f ca="1"/>
        <v/>
      </c>
      <c r="K24" s="26" t="str">
        <f ca="1"/>
        <v/>
      </c>
    </row>
    <row r="25" spans="1:11" ht="15.75" customHeight="1">
      <c r="A25" s="145" t="str">
        <v>K152</v>
      </c>
      <c r="B25" s="146" t="str">
        <v>Hudson</v>
      </c>
      <c r="C25" s="50" t="str" cm="1">
        <f t="array" aca="1" ref="C25:K25" ca="1">IF(INDIRECT("'" &amp; $A25 &amp; "'!B16:J16")="", "", INDIRECT("'" &amp; $A25 &amp; "'!B16:J16"))</f>
        <v/>
      </c>
      <c r="D25" s="50" t="str">
        <f ca="1"/>
        <v/>
      </c>
      <c r="E25" s="50">
        <f ca="1"/>
        <v>0</v>
      </c>
      <c r="F25" s="51">
        <f ca="1"/>
        <v>0</v>
      </c>
      <c r="G25" s="52" t="str">
        <f ca="1"/>
        <v/>
      </c>
      <c r="H25" s="52">
        <f ca="1"/>
        <v>0</v>
      </c>
      <c r="I25" s="53">
        <f ca="1"/>
        <v>0</v>
      </c>
      <c r="J25" s="26" t="str">
        <f ca="1"/>
        <v/>
      </c>
      <c r="K25" s="26" t="str">
        <f ca="1"/>
        <v/>
      </c>
    </row>
    <row r="26" spans="1:11" ht="15.75" customHeight="1">
      <c r="A26" s="137" t="str">
        <v>K166</v>
      </c>
      <c r="B26" s="138" t="str">
        <v>Hudson</v>
      </c>
      <c r="C26" s="50" t="str" cm="1">
        <f t="array" aca="1" ref="C26:K26" ca="1">IF(INDIRECT("'" &amp; $A26 &amp; "'!B16:J16")="", "", INDIRECT("'" &amp; $A26 &amp; "'!B16:J16"))</f>
        <v/>
      </c>
      <c r="D26" s="50" t="str">
        <f ca="1"/>
        <v/>
      </c>
      <c r="E26" s="50">
        <f ca="1"/>
        <v>0</v>
      </c>
      <c r="F26" s="51">
        <f ca="1"/>
        <v>0</v>
      </c>
      <c r="G26" s="52" t="str">
        <f ca="1"/>
        <v/>
      </c>
      <c r="H26" s="52">
        <f ca="1"/>
        <v>0</v>
      </c>
      <c r="I26" s="53">
        <f ca="1"/>
        <v>0</v>
      </c>
      <c r="J26" s="26" t="str">
        <f ca="1"/>
        <v/>
      </c>
      <c r="K26" s="26" t="str">
        <f ca="1"/>
        <v/>
      </c>
    </row>
    <row r="27" spans="1:11" ht="15.75" customHeight="1">
      <c r="A27" s="145" t="str">
        <v>K206</v>
      </c>
      <c r="B27" s="146" t="str">
        <v>Hudson</v>
      </c>
      <c r="C27" s="50" t="str" cm="1">
        <f t="array" aca="1" ref="C27:K27" ca="1">IF(INDIRECT("'" &amp; $A27 &amp; "'!B16:J16")="", "", INDIRECT("'" &amp; $A27 &amp; "'!B16:J16"))</f>
        <v/>
      </c>
      <c r="D27" s="50" t="str">
        <f ca="1"/>
        <v/>
      </c>
      <c r="E27" s="50">
        <f ca="1"/>
        <v>0</v>
      </c>
      <c r="F27" s="51">
        <f ca="1"/>
        <v>0</v>
      </c>
      <c r="G27" s="52" t="str">
        <f ca="1"/>
        <v/>
      </c>
      <c r="H27" s="52">
        <f ca="1"/>
        <v>0</v>
      </c>
      <c r="I27" s="53">
        <f ca="1"/>
        <v>0</v>
      </c>
      <c r="J27" s="26" t="str">
        <f ca="1"/>
        <v/>
      </c>
      <c r="K27" s="26" t="str">
        <f ca="1"/>
        <v/>
      </c>
    </row>
    <row r="28" spans="1:11" ht="15.75" customHeight="1">
      <c r="A28" s="137" t="str">
        <v>K251</v>
      </c>
      <c r="B28" s="138" t="str">
        <v>Hudson</v>
      </c>
      <c r="C28" s="50" t="str" cm="1">
        <f t="array" aca="1" ref="C28:K28" ca="1">IF(INDIRECT("'" &amp; $A28 &amp; "'!B16:J16")="", "", INDIRECT("'" &amp; $A28 &amp; "'!B16:J16"))</f>
        <v/>
      </c>
      <c r="D28" s="50" t="str">
        <f ca="1"/>
        <v/>
      </c>
      <c r="E28" s="50">
        <f ca="1"/>
        <v>0</v>
      </c>
      <c r="F28" s="51">
        <f ca="1"/>
        <v>0</v>
      </c>
      <c r="G28" s="52" t="str">
        <f ca="1"/>
        <v/>
      </c>
      <c r="H28" s="52">
        <f ca="1"/>
        <v>0</v>
      </c>
      <c r="I28" s="53">
        <f ca="1"/>
        <v>0</v>
      </c>
      <c r="J28" s="26" t="str">
        <f ca="1"/>
        <v/>
      </c>
      <c r="K28" s="26" t="str">
        <f ca="1"/>
        <v/>
      </c>
    </row>
    <row r="29" spans="1:11" ht="15.75" customHeight="1">
      <c r="A29" s="145" t="str">
        <v>K269</v>
      </c>
      <c r="B29" s="146" t="str">
        <v>Hudson</v>
      </c>
      <c r="C29" s="50" t="str" cm="1">
        <f t="array" aca="1" ref="C29:K29" ca="1">IF(INDIRECT("'" &amp; $A29 &amp; "'!B16:J16")="", "", INDIRECT("'" &amp; $A29 &amp; "'!B16:J16"))</f>
        <v/>
      </c>
      <c r="D29" s="50" t="str">
        <f ca="1"/>
        <v/>
      </c>
      <c r="E29" s="50">
        <f ca="1"/>
        <v>0</v>
      </c>
      <c r="F29" s="51">
        <f ca="1"/>
        <v>0</v>
      </c>
      <c r="G29" s="52" t="str">
        <f ca="1"/>
        <v/>
      </c>
      <c r="H29" s="52">
        <f ca="1"/>
        <v>0</v>
      </c>
      <c r="I29" s="53">
        <f ca="1"/>
        <v>0</v>
      </c>
      <c r="J29" s="26" t="str">
        <f ca="1"/>
        <v/>
      </c>
      <c r="K29" s="26" t="str">
        <f ca="1"/>
        <v/>
      </c>
    </row>
    <row r="30" spans="1:11" ht="15.75" customHeight="1">
      <c r="A30" s="137" t="str">
        <v>K273</v>
      </c>
      <c r="B30" s="138" t="str">
        <v>Hudson</v>
      </c>
      <c r="C30" s="50" t="str" cm="1">
        <f t="array" aca="1" ref="C30:K30" ca="1">IF(INDIRECT("'" &amp; $A30 &amp; "'!B16:J16")="", "", INDIRECT("'" &amp; $A30 &amp; "'!B16:J16"))</f>
        <v/>
      </c>
      <c r="D30" s="50" t="str">
        <f ca="1"/>
        <v/>
      </c>
      <c r="E30" s="50">
        <f ca="1"/>
        <v>0</v>
      </c>
      <c r="F30" s="51">
        <f ca="1"/>
        <v>0</v>
      </c>
      <c r="G30" s="52" t="str">
        <f ca="1"/>
        <v/>
      </c>
      <c r="H30" s="52">
        <f ca="1"/>
        <v>0</v>
      </c>
      <c r="I30" s="53">
        <f ca="1"/>
        <v>0</v>
      </c>
      <c r="J30" s="26" t="str">
        <f ca="1"/>
        <v/>
      </c>
      <c r="K30" s="26" t="str">
        <f ca="1"/>
        <v/>
      </c>
    </row>
    <row r="31" spans="1:11" ht="15.75" customHeight="1">
      <c r="A31" s="145" t="str">
        <v>K287</v>
      </c>
      <c r="B31" s="146" t="str">
        <v>Hudson</v>
      </c>
      <c r="C31" s="50" t="str" cm="1">
        <f t="array" aca="1" ref="C31:K31" ca="1">IF(INDIRECT("'" &amp; $A31 &amp; "'!B16:J16")="", "", INDIRECT("'" &amp; $A31 &amp; "'!B16:J16"))</f>
        <v/>
      </c>
      <c r="D31" s="50" t="str">
        <f ca="1"/>
        <v/>
      </c>
      <c r="E31" s="50">
        <f ca="1"/>
        <v>0</v>
      </c>
      <c r="F31" s="51">
        <f ca="1"/>
        <v>0</v>
      </c>
      <c r="G31" s="52" t="str">
        <f ca="1"/>
        <v/>
      </c>
      <c r="H31" s="52">
        <f ca="1"/>
        <v>0</v>
      </c>
      <c r="I31" s="53">
        <f ca="1"/>
        <v>0</v>
      </c>
      <c r="J31" s="26" t="str">
        <f ca="1"/>
        <v/>
      </c>
      <c r="K31" s="26" t="str">
        <f ca="1"/>
        <v/>
      </c>
    </row>
    <row r="32" spans="1:11" ht="15.75" customHeight="1">
      <c r="A32" s="137" t="str">
        <v>K298</v>
      </c>
      <c r="B32" s="138" t="str">
        <v>Hudson</v>
      </c>
      <c r="C32" s="50" t="str" cm="1">
        <f t="array" aca="1" ref="C32:K32" ca="1">IF(INDIRECT("'" &amp; $A32 &amp; "'!B16:J16")="", "", INDIRECT("'" &amp; $A32 &amp; "'!B16:J16"))</f>
        <v/>
      </c>
      <c r="D32" s="50" t="str">
        <f ca="1"/>
        <v/>
      </c>
      <c r="E32" s="50">
        <f ca="1"/>
        <v>0</v>
      </c>
      <c r="F32" s="51">
        <f ca="1"/>
        <v>0</v>
      </c>
      <c r="G32" s="52" t="str">
        <f ca="1"/>
        <v/>
      </c>
      <c r="H32" s="52">
        <f ca="1"/>
        <v>0</v>
      </c>
      <c r="I32" s="53">
        <f ca="1"/>
        <v>0</v>
      </c>
      <c r="J32" s="26" t="str">
        <f ca="1"/>
        <v/>
      </c>
      <c r="K32" s="26" t="str">
        <f ca="1"/>
        <v/>
      </c>
    </row>
    <row r="33" spans="1:11" ht="15.75" customHeight="1">
      <c r="A33" s="145" t="str">
        <v>K335</v>
      </c>
      <c r="B33" s="146" t="str">
        <v>Hudson</v>
      </c>
      <c r="C33" s="50" t="str" cm="1">
        <f t="array" aca="1" ref="C33:K33" ca="1">IF(INDIRECT("'" &amp; $A33 &amp; "'!B16:J16")="", "", INDIRECT("'" &amp; $A33 &amp; "'!B16:J16"))</f>
        <v/>
      </c>
      <c r="D33" s="50" t="str">
        <f ca="1"/>
        <v/>
      </c>
      <c r="E33" s="50">
        <f ca="1"/>
        <v>0</v>
      </c>
      <c r="F33" s="51">
        <f ca="1"/>
        <v>0</v>
      </c>
      <c r="G33" s="52" t="str">
        <f ca="1"/>
        <v/>
      </c>
      <c r="H33" s="52">
        <f ca="1"/>
        <v>0</v>
      </c>
      <c r="I33" s="53">
        <f ca="1"/>
        <v>0</v>
      </c>
      <c r="J33" s="26" t="str">
        <f ca="1"/>
        <v/>
      </c>
      <c r="K33" s="26" t="str">
        <f ca="1"/>
        <v/>
      </c>
    </row>
    <row r="34" spans="1:11" ht="15.75" customHeight="1">
      <c r="A34" s="137" t="str">
        <v>K345</v>
      </c>
      <c r="B34" s="138" t="str">
        <v>Hudson</v>
      </c>
      <c r="C34" s="50" t="str" cm="1">
        <f t="array" aca="1" ref="C34:K34" ca="1">IF(INDIRECT("'" &amp; $A34 &amp; "'!B16:J16")="", "", INDIRECT("'" &amp; $A34 &amp; "'!B16:J16"))</f>
        <v/>
      </c>
      <c r="D34" s="50" t="str">
        <f ca="1"/>
        <v/>
      </c>
      <c r="E34" s="50">
        <f ca="1"/>
        <v>0</v>
      </c>
      <c r="F34" s="51">
        <f ca="1"/>
        <v>0</v>
      </c>
      <c r="G34" s="52" t="str">
        <f ca="1"/>
        <v/>
      </c>
      <c r="H34" s="52">
        <f ca="1"/>
        <v>0</v>
      </c>
      <c r="I34" s="53">
        <f ca="1"/>
        <v>0</v>
      </c>
      <c r="J34" s="26" t="str">
        <f ca="1"/>
        <v/>
      </c>
      <c r="K34" s="26" t="str">
        <f ca="1"/>
        <v/>
      </c>
    </row>
    <row r="35" spans="1:11" ht="15.75" customHeight="1">
      <c r="A35" s="145" t="str">
        <v>K445</v>
      </c>
      <c r="B35" s="146" t="str">
        <v>Hudson</v>
      </c>
      <c r="C35" s="50" t="str" cm="1">
        <f t="array" aca="1" ref="C35:K35" ca="1">IF(INDIRECT("'" &amp; $A35 &amp; "'!B16:J16")="", "", INDIRECT("'" &amp; $A35 &amp; "'!B16:J16"))</f>
        <v/>
      </c>
      <c r="D35" s="50" t="str">
        <f ca="1"/>
        <v/>
      </c>
      <c r="E35" s="50">
        <f ca="1"/>
        <v>0</v>
      </c>
      <c r="F35" s="51">
        <f ca="1"/>
        <v>0</v>
      </c>
      <c r="G35" s="52" t="str">
        <f ca="1"/>
        <v/>
      </c>
      <c r="H35" s="52">
        <f ca="1"/>
        <v>0</v>
      </c>
      <c r="I35" s="53">
        <f ca="1"/>
        <v>0</v>
      </c>
      <c r="J35" s="26" t="str">
        <f ca="1"/>
        <v/>
      </c>
      <c r="K35" s="26" t="str">
        <f ca="1"/>
        <v/>
      </c>
    </row>
    <row r="36" spans="1:11" ht="15.75" customHeight="1">
      <c r="A36" s="137" t="str">
        <v>K495</v>
      </c>
      <c r="B36" s="138" t="str">
        <v>Hudson</v>
      </c>
      <c r="C36" s="50" t="str" cm="1">
        <f t="array" aca="1" ref="C36:K36" ca="1">IF(INDIRECT("'" &amp; $A36 &amp; "'!B16:J16")="", "", INDIRECT("'" &amp; $A36 &amp; "'!B16:J16"))</f>
        <v/>
      </c>
      <c r="D36" s="50" t="str">
        <f ca="1"/>
        <v/>
      </c>
      <c r="E36" s="50">
        <f ca="1"/>
        <v>0</v>
      </c>
      <c r="F36" s="51">
        <f ca="1"/>
        <v>0</v>
      </c>
      <c r="G36" s="52" t="str">
        <f ca="1"/>
        <v/>
      </c>
      <c r="H36" s="52">
        <f ca="1"/>
        <v>0</v>
      </c>
      <c r="I36" s="53">
        <f ca="1"/>
        <v>0</v>
      </c>
      <c r="J36" s="26" t="str">
        <f ca="1"/>
        <v/>
      </c>
      <c r="K36" s="26" t="str">
        <f ca="1"/>
        <v/>
      </c>
    </row>
    <row r="37" spans="1:11" ht="15.75" customHeight="1">
      <c r="A37" s="145" t="str">
        <v>M020</v>
      </c>
      <c r="B37" s="146" t="str">
        <v>Hudson</v>
      </c>
      <c r="C37" s="50" t="str" cm="1">
        <f t="array" aca="1" ref="C37:K37" ca="1">IF(INDIRECT("'" &amp; $A37 &amp; "'!B16:J16")="", "", INDIRECT("'" &amp; $A37 &amp; "'!B16:J16"))</f>
        <v/>
      </c>
      <c r="D37" s="50" t="str">
        <f ca="1"/>
        <v/>
      </c>
      <c r="E37" s="50">
        <f ca="1"/>
        <v>0</v>
      </c>
      <c r="F37" s="51">
        <f ca="1"/>
        <v>0</v>
      </c>
      <c r="G37" s="52">
        <f ca="1"/>
        <v>0</v>
      </c>
      <c r="H37" s="52">
        <f ca="1"/>
        <v>0</v>
      </c>
      <c r="I37" s="53">
        <f ca="1"/>
        <v>0</v>
      </c>
      <c r="J37" s="26" t="str">
        <f ca="1"/>
        <v/>
      </c>
      <c r="K37" s="26" t="str">
        <f ca="1"/>
        <v/>
      </c>
    </row>
    <row r="38" spans="1:11" ht="15.75" customHeight="1">
      <c r="A38" s="137" t="str">
        <v>M092</v>
      </c>
      <c r="B38" s="138" t="str">
        <v>Hudson</v>
      </c>
      <c r="C38" s="50" t="str" cm="1">
        <f t="array" aca="1" ref="C38:K38" ca="1">IF(INDIRECT("'" &amp; $A38 &amp; "'!B16:J16")="", "", INDIRECT("'" &amp; $A38 &amp; "'!B16:J16"))</f>
        <v/>
      </c>
      <c r="D38" s="50" t="str">
        <f ca="1"/>
        <v/>
      </c>
      <c r="E38" s="50">
        <f ca="1"/>
        <v>0</v>
      </c>
      <c r="F38" s="51">
        <f ca="1"/>
        <v>0</v>
      </c>
      <c r="G38" s="52" t="str">
        <f ca="1"/>
        <v/>
      </c>
      <c r="H38" s="52">
        <f ca="1"/>
        <v>0</v>
      </c>
      <c r="I38" s="53">
        <f ca="1"/>
        <v>0</v>
      </c>
      <c r="J38" s="26" t="str">
        <f ca="1"/>
        <v/>
      </c>
      <c r="K38" s="26" t="str">
        <f ca="1"/>
        <v/>
      </c>
    </row>
    <row r="39" spans="1:11" ht="15.75" customHeight="1">
      <c r="A39" s="145" t="str">
        <v>M143</v>
      </c>
      <c r="B39" s="146" t="str">
        <v>Hudson</v>
      </c>
      <c r="C39" s="50" t="str" cm="1">
        <f t="array" aca="1" ref="C39:K39" ca="1">IF(INDIRECT("'" &amp; $A39 &amp; "'!B16:J16")="", "", INDIRECT("'" &amp; $A39 &amp; "'!B16:J16"))</f>
        <v/>
      </c>
      <c r="D39" s="50" t="str">
        <f ca="1"/>
        <v/>
      </c>
      <c r="E39" s="50">
        <f ca="1"/>
        <v>0</v>
      </c>
      <c r="F39" s="51">
        <f ca="1"/>
        <v>0</v>
      </c>
      <c r="G39" s="52" t="str">
        <f ca="1"/>
        <v/>
      </c>
      <c r="H39" s="52">
        <f ca="1"/>
        <v>0</v>
      </c>
      <c r="I39" s="53">
        <f ca="1"/>
        <v>0</v>
      </c>
      <c r="J39" s="26" t="str">
        <f ca="1"/>
        <v/>
      </c>
      <c r="K39" s="26" t="str">
        <f ca="1"/>
        <v/>
      </c>
    </row>
    <row r="40" spans="1:11" ht="15.75" customHeight="1">
      <c r="A40" s="137" t="str">
        <v>M144</v>
      </c>
      <c r="B40" s="138" t="str">
        <v>Hudson</v>
      </c>
      <c r="C40" s="50" t="str" cm="1">
        <f t="array" aca="1" ref="C40:K40" ca="1">IF(INDIRECT("'" &amp; $A40 &amp; "'!B16:J16")="", "", INDIRECT("'" &amp; $A40 &amp; "'!B16:J16"))</f>
        <v/>
      </c>
      <c r="D40" s="50" t="str">
        <f ca="1"/>
        <v/>
      </c>
      <c r="E40" s="50">
        <f ca="1"/>
        <v>0</v>
      </c>
      <c r="F40" s="51">
        <f ca="1"/>
        <v>0</v>
      </c>
      <c r="G40" s="52" t="str">
        <f ca="1"/>
        <v/>
      </c>
      <c r="H40" s="52">
        <f ca="1"/>
        <v>0</v>
      </c>
      <c r="I40" s="53">
        <f ca="1"/>
        <v>0</v>
      </c>
      <c r="J40" s="26" t="str">
        <f ca="1"/>
        <v/>
      </c>
      <c r="K40" s="26" t="str">
        <f ca="1"/>
        <v/>
      </c>
    </row>
    <row r="41" spans="1:11" ht="15.75" customHeight="1">
      <c r="A41" s="145" t="str">
        <v>M167</v>
      </c>
      <c r="B41" s="146" t="str">
        <v>Hudson</v>
      </c>
      <c r="C41" s="50" t="str" cm="1">
        <f t="array" aca="1" ref="C41:K41" ca="1">IF(INDIRECT("'" &amp; $A41 &amp; "'!B16:J16")="", "", INDIRECT("'" &amp; $A41 &amp; "'!B16:J16"))</f>
        <v/>
      </c>
      <c r="D41" s="50" t="str">
        <f ca="1"/>
        <v/>
      </c>
      <c r="E41" s="50">
        <f ca="1"/>
        <v>0</v>
      </c>
      <c r="F41" s="51">
        <f ca="1"/>
        <v>0</v>
      </c>
      <c r="G41" s="52" t="str">
        <f ca="1"/>
        <v/>
      </c>
      <c r="H41" s="52">
        <f ca="1"/>
        <v>0</v>
      </c>
      <c r="I41" s="53">
        <f ca="1"/>
        <v>0</v>
      </c>
      <c r="J41" s="26" t="str">
        <f ca="1"/>
        <v/>
      </c>
      <c r="K41" s="26" t="str">
        <f ca="1"/>
        <v xml:space="preserve"> </v>
      </c>
    </row>
    <row r="42" spans="1:11" ht="15.75" customHeight="1">
      <c r="A42" s="137" t="str">
        <v>M188</v>
      </c>
      <c r="B42" s="138" t="str">
        <v>Hudson</v>
      </c>
      <c r="C42" s="50" t="str" cm="1">
        <f t="array" aca="1" ref="C42:K42" ca="1">IF(INDIRECT("'" &amp; $A42 &amp; "'!B16:J16")="", "", INDIRECT("'" &amp; $A42 &amp; "'!B16:J16"))</f>
        <v/>
      </c>
      <c r="D42" s="50" t="str">
        <f ca="1"/>
        <v/>
      </c>
      <c r="E42" s="50">
        <f ca="1"/>
        <v>0</v>
      </c>
      <c r="F42" s="51">
        <f ca="1"/>
        <v>0</v>
      </c>
      <c r="G42" s="52" t="str">
        <f ca="1"/>
        <v/>
      </c>
      <c r="H42" s="52">
        <f ca="1"/>
        <v>0</v>
      </c>
      <c r="I42" s="53">
        <f ca="1"/>
        <v>0</v>
      </c>
      <c r="J42" s="26" t="str">
        <f ca="1"/>
        <v/>
      </c>
      <c r="K42" s="26" t="str">
        <f ca="1"/>
        <v xml:space="preserve"> </v>
      </c>
    </row>
    <row r="43" spans="1:11" ht="15.75" customHeight="1">
      <c r="A43" s="145" t="str">
        <v>EMHC</v>
      </c>
      <c r="B43" s="146" t="str">
        <v>Hudson</v>
      </c>
      <c r="C43" s="50" t="str" cm="1">
        <f t="array" aca="1" ref="C43:K43" ca="1">IF(INDIRECT("'" &amp; $A43 &amp; "'!B16:J16")="", "", INDIRECT("'" &amp; $A43 &amp; "'!B16:J16"))</f>
        <v/>
      </c>
      <c r="D43" s="50" t="str">
        <f ca="1"/>
        <v/>
      </c>
      <c r="E43" s="50">
        <f ca="1"/>
        <v>0</v>
      </c>
      <c r="F43" s="51">
        <f ca="1"/>
        <v>0</v>
      </c>
      <c r="G43" s="52" t="str">
        <f ca="1"/>
        <v/>
      </c>
      <c r="H43" s="52">
        <f ca="1"/>
        <v>0</v>
      </c>
      <c r="I43" s="53">
        <f ca="1"/>
        <v>0</v>
      </c>
      <c r="J43" s="26" t="str">
        <f ca="1"/>
        <v/>
      </c>
      <c r="K43" s="26" t="str">
        <f ca="1"/>
        <v xml:space="preserve"> </v>
      </c>
    </row>
    <row r="44" spans="1:11" ht="15.75" customHeight="1">
      <c r="A44" s="137" t="str">
        <v>Q008</v>
      </c>
      <c r="B44" s="138" t="str">
        <v>Hudson</v>
      </c>
      <c r="C44" s="50" t="str" cm="1">
        <f t="array" aca="1" ref="C44:K44" ca="1">IF(INDIRECT("'" &amp; $A44 &amp; "'!B16:J16")="", "", INDIRECT("'" &amp; $A44 &amp; "'!B16:J16"))</f>
        <v/>
      </c>
      <c r="D44" s="50" t="str">
        <f ca="1"/>
        <v/>
      </c>
      <c r="E44" s="50">
        <f ca="1"/>
        <v>0</v>
      </c>
      <c r="F44" s="51">
        <f ca="1"/>
        <v>0</v>
      </c>
      <c r="G44" s="52" t="str">
        <f ca="1"/>
        <v/>
      </c>
      <c r="H44" s="52">
        <f ca="1"/>
        <v>0</v>
      </c>
      <c r="I44" s="53">
        <f ca="1"/>
        <v>0</v>
      </c>
      <c r="J44" s="26" t="str">
        <f ca="1"/>
        <v/>
      </c>
      <c r="K44" s="26" t="str">
        <f ca="1"/>
        <v xml:space="preserve"> </v>
      </c>
    </row>
    <row r="45" spans="1:11" ht="15.75" customHeight="1">
      <c r="A45" s="145" t="str">
        <v>Q018</v>
      </c>
      <c r="B45" s="146" t="str">
        <v>Hudson</v>
      </c>
      <c r="C45" s="50" t="str" cm="1">
        <f t="array" aca="1" ref="C45:K45" ca="1">IF(INDIRECT("'" &amp; $A45 &amp; "'!B16:J16")="", "", INDIRECT("'" &amp; $A45 &amp; "'!B16:J16"))</f>
        <v/>
      </c>
      <c r="D45" s="50" t="str">
        <f ca="1"/>
        <v/>
      </c>
      <c r="E45" s="50">
        <f ca="1"/>
        <v>0</v>
      </c>
      <c r="F45" s="51">
        <f ca="1"/>
        <v>0</v>
      </c>
      <c r="G45" s="52" t="str">
        <f ca="1"/>
        <v/>
      </c>
      <c r="H45" s="52">
        <f ca="1"/>
        <v>0</v>
      </c>
      <c r="I45" s="53">
        <f ca="1"/>
        <v>0</v>
      </c>
      <c r="J45" s="26" t="str">
        <f ca="1"/>
        <v/>
      </c>
      <c r="K45" s="26" t="str">
        <f ca="1"/>
        <v/>
      </c>
    </row>
    <row r="46" spans="1:11" ht="15.75" customHeight="1">
      <c r="A46" s="137" t="str">
        <v>Q021</v>
      </c>
      <c r="B46" s="138" t="str">
        <v>Hudson</v>
      </c>
      <c r="C46" s="50" t="str" cm="1">
        <f t="array" aca="1" ref="C46:K46" ca="1">IF(INDIRECT("'" &amp; $A46 &amp; "'!B16:J16")="", "", INDIRECT("'" &amp; $A46 &amp; "'!B16:J16"))</f>
        <v/>
      </c>
      <c r="D46" s="50" t="str">
        <f ca="1"/>
        <v/>
      </c>
      <c r="E46" s="50">
        <f ca="1"/>
        <v>0</v>
      </c>
      <c r="F46" s="51">
        <f ca="1"/>
        <v>0</v>
      </c>
      <c r="G46" s="52" t="str">
        <f ca="1"/>
        <v/>
      </c>
      <c r="H46" s="52">
        <f ca="1"/>
        <v>0</v>
      </c>
      <c r="I46" s="53">
        <f ca="1"/>
        <v>0</v>
      </c>
      <c r="J46" s="26" t="str">
        <f ca="1"/>
        <v/>
      </c>
      <c r="K46" s="26" t="str">
        <f ca="1"/>
        <v xml:space="preserve"> </v>
      </c>
    </row>
    <row r="47" spans="1:11" ht="15.75" customHeight="1">
      <c r="A47" s="145" t="str">
        <v>Q025</v>
      </c>
      <c r="B47" s="146" t="str">
        <v>Hudson</v>
      </c>
      <c r="C47" s="50" t="str" cm="1">
        <f t="array" aca="1" ref="C47:K47" ca="1">IF(INDIRECT("'" &amp; $A47 &amp; "'!B16:J16")="", "", INDIRECT("'" &amp; $A47 &amp; "'!B16:J16"))</f>
        <v/>
      </c>
      <c r="D47" s="50" t="str">
        <f ca="1"/>
        <v/>
      </c>
      <c r="E47" s="50">
        <f ca="1"/>
        <v>0</v>
      </c>
      <c r="F47" s="51">
        <f ca="1"/>
        <v>0</v>
      </c>
      <c r="G47" s="52" t="str">
        <f ca="1"/>
        <v/>
      </c>
      <c r="H47" s="52">
        <f ca="1"/>
        <v>0</v>
      </c>
      <c r="I47" s="53">
        <f ca="1"/>
        <v>0</v>
      </c>
      <c r="J47" s="26" t="str">
        <f ca="1"/>
        <v/>
      </c>
      <c r="K47" s="26" t="str">
        <f ca="1"/>
        <v/>
      </c>
    </row>
    <row r="48" spans="1:11" ht="15.75" customHeight="1">
      <c r="A48" s="137" t="str">
        <v>Q074</v>
      </c>
      <c r="B48" s="138" t="str">
        <v>Hudson</v>
      </c>
      <c r="C48" s="50" t="str" cm="1">
        <f t="array" aca="1" ref="C48:K48" ca="1">IF(INDIRECT("'" &amp; $A48 &amp; "'!B16:J16")="", "", INDIRECT("'" &amp; $A48 &amp; "'!B16:J16"))</f>
        <v/>
      </c>
      <c r="D48" s="50" t="str">
        <f ca="1"/>
        <v/>
      </c>
      <c r="E48" s="50">
        <f ca="1"/>
        <v>0</v>
      </c>
      <c r="F48" s="51">
        <f ca="1"/>
        <v>0</v>
      </c>
      <c r="G48" s="52" t="str">
        <f ca="1"/>
        <v/>
      </c>
      <c r="H48" s="52">
        <f ca="1"/>
        <v>0</v>
      </c>
      <c r="I48" s="53">
        <f ca="1"/>
        <v>0</v>
      </c>
      <c r="J48" s="26" t="str">
        <f ca="1"/>
        <v/>
      </c>
      <c r="K48" s="26" t="str">
        <f ca="1"/>
        <v/>
      </c>
    </row>
    <row r="49" spans="1:12" ht="15.75" customHeight="1">
      <c r="A49" s="145" t="str">
        <v>Q115</v>
      </c>
      <c r="B49" s="146" t="str">
        <v>Hudson</v>
      </c>
      <c r="C49" s="50" t="str" cm="1">
        <f t="array" aca="1" ref="C49:K49" ca="1">IF(INDIRECT("'" &amp; $A49 &amp; "'!B16:J16")="", "", INDIRECT("'" &amp; $A49 &amp; "'!B16:J16"))</f>
        <v/>
      </c>
      <c r="D49" s="50" t="str">
        <f ca="1"/>
        <v/>
      </c>
      <c r="E49" s="50">
        <f ca="1"/>
        <v>0</v>
      </c>
      <c r="F49" s="51">
        <f ca="1"/>
        <v>0</v>
      </c>
      <c r="G49" s="52" t="str">
        <f ca="1"/>
        <v/>
      </c>
      <c r="H49" s="52">
        <f ca="1"/>
        <v>0</v>
      </c>
      <c r="I49" s="53">
        <f ca="1"/>
        <v>0</v>
      </c>
      <c r="J49" s="26" t="str">
        <f ca="1"/>
        <v/>
      </c>
      <c r="K49" s="26" t="str">
        <f ca="1"/>
        <v/>
      </c>
    </row>
    <row r="50" spans="1:12" ht="15.75" customHeight="1">
      <c r="A50" s="137" t="str">
        <v>Q139</v>
      </c>
      <c r="B50" s="138" t="str">
        <v>Hudson</v>
      </c>
      <c r="C50" s="50" t="str" cm="1">
        <f t="array" aca="1" ref="C50:K50" ca="1">IF(INDIRECT("'" &amp; $A50 &amp; "'!B16:J16")="", "", INDIRECT("'" &amp; $A50 &amp; "'!B16:J16"))</f>
        <v/>
      </c>
      <c r="D50" s="50" t="str">
        <f ca="1"/>
        <v/>
      </c>
      <c r="E50" s="50">
        <f ca="1"/>
        <v>0</v>
      </c>
      <c r="F50" s="51">
        <f ca="1"/>
        <v>0</v>
      </c>
      <c r="G50" s="52" t="str">
        <f ca="1"/>
        <v/>
      </c>
      <c r="H50" s="52">
        <f ca="1"/>
        <v>0</v>
      </c>
      <c r="I50" s="53">
        <f ca="1"/>
        <v>0</v>
      </c>
      <c r="J50" s="26" t="str">
        <f ca="1"/>
        <v/>
      </c>
      <c r="K50" s="26" t="str">
        <f ca="1"/>
        <v/>
      </c>
    </row>
    <row r="51" spans="1:12" ht="15.75" customHeight="1">
      <c r="A51" s="145" t="str">
        <v>Q157</v>
      </c>
      <c r="B51" s="146" t="str">
        <v>Hudson</v>
      </c>
      <c r="C51" s="50" t="str" cm="1">
        <f t="array" aca="1" ref="C51:K51" ca="1">IF(INDIRECT("'" &amp; $A51 &amp; "'!B16:J16")="", "", INDIRECT("'" &amp; $A51 &amp; "'!B16:J16"))</f>
        <v/>
      </c>
      <c r="D51" s="50" t="str">
        <f ca="1"/>
        <v/>
      </c>
      <c r="E51" s="50">
        <f ca="1"/>
        <v>0</v>
      </c>
      <c r="F51" s="51">
        <f ca="1"/>
        <v>0</v>
      </c>
      <c r="G51" s="52" t="str">
        <f ca="1"/>
        <v/>
      </c>
      <c r="H51" s="52">
        <f ca="1"/>
        <v>0</v>
      </c>
      <c r="I51" s="53">
        <f ca="1"/>
        <v>0</v>
      </c>
      <c r="J51" s="26" t="str">
        <f ca="1"/>
        <v/>
      </c>
      <c r="K51" s="26" t="str">
        <f ca="1"/>
        <v/>
      </c>
    </row>
    <row r="52" spans="1:12" ht="15.75" customHeight="1">
      <c r="A52" s="137" t="str">
        <v>Q192</v>
      </c>
      <c r="B52" s="138" t="str">
        <v>Hudson</v>
      </c>
      <c r="C52" s="50" t="str" cm="1">
        <f t="array" aca="1" ref="C52:K52" ca="1">IF(INDIRECT("'" &amp; $A52 &amp; "'!B16:J16")="", "", INDIRECT("'" &amp; $A52 &amp; "'!B16:J16"))</f>
        <v/>
      </c>
      <c r="D52" s="50" t="str">
        <f ca="1"/>
        <v/>
      </c>
      <c r="E52" s="50">
        <f ca="1"/>
        <v>0</v>
      </c>
      <c r="F52" s="51">
        <f ca="1"/>
        <v>0</v>
      </c>
      <c r="G52" s="52" t="str">
        <f ca="1"/>
        <v/>
      </c>
      <c r="H52" s="52">
        <f ca="1"/>
        <v>0</v>
      </c>
      <c r="I52" s="53">
        <f ca="1"/>
        <v>0</v>
      </c>
      <c r="J52" s="26" t="str">
        <f ca="1"/>
        <v/>
      </c>
      <c r="K52" s="26" t="str">
        <f ca="1"/>
        <v/>
      </c>
    </row>
    <row r="53" spans="1:12" ht="15.75" customHeight="1">
      <c r="A53" s="145" t="str">
        <v>Q210</v>
      </c>
      <c r="B53" s="146" t="str">
        <v>Hudson</v>
      </c>
      <c r="C53" s="50" t="str" cm="1">
        <f t="array" aca="1" ref="C53:K53" ca="1">IF(INDIRECT("'" &amp; $A53 &amp; "'!B16:J16")="", "", INDIRECT("'" &amp; $A53 &amp; "'!B16:J16"))</f>
        <v/>
      </c>
      <c r="D53" s="50" t="str">
        <f ca="1"/>
        <v/>
      </c>
      <c r="E53" s="50">
        <f ca="1"/>
        <v>0</v>
      </c>
      <c r="F53" s="51">
        <f ca="1"/>
        <v>0</v>
      </c>
      <c r="G53" s="52" t="str">
        <f ca="1"/>
        <v/>
      </c>
      <c r="H53" s="52">
        <f ca="1"/>
        <v>0</v>
      </c>
      <c r="I53" s="53">
        <f ca="1"/>
        <v>0</v>
      </c>
      <c r="J53" s="26" t="str">
        <f ca="1"/>
        <v/>
      </c>
      <c r="K53" s="26" t="str">
        <f ca="1"/>
        <v xml:space="preserve"> </v>
      </c>
    </row>
    <row r="54" spans="1:12" ht="15.75" customHeight="1">
      <c r="A54" s="137" t="str">
        <v>Q229</v>
      </c>
      <c r="B54" s="138" t="str">
        <v>Hudson</v>
      </c>
      <c r="C54" s="50" t="str" cm="1">
        <f t="array" aca="1" ref="C54:K54" ca="1">IF(INDIRECT("'" &amp; $A54 &amp; "'!B16:J16")="", "", INDIRECT("'" &amp; $A54 &amp; "'!B16:J16"))</f>
        <v/>
      </c>
      <c r="D54" s="50" t="str">
        <f ca="1"/>
        <v/>
      </c>
      <c r="E54" s="50">
        <f ca="1"/>
        <v>0</v>
      </c>
      <c r="F54" s="51">
        <f ca="1"/>
        <v>0</v>
      </c>
      <c r="G54" s="52" t="str">
        <f ca="1"/>
        <v/>
      </c>
      <c r="H54" s="52">
        <f ca="1"/>
        <v>0</v>
      </c>
      <c r="I54" s="53">
        <f ca="1"/>
        <v>0</v>
      </c>
      <c r="J54" s="26" t="str">
        <f ca="1"/>
        <v/>
      </c>
      <c r="K54" s="26" t="str">
        <f ca="1"/>
        <v/>
      </c>
    </row>
    <row r="55" spans="1:12" ht="39" customHeight="1">
      <c r="A55" s="145" t="str">
        <v>Q231</v>
      </c>
      <c r="B55" s="146" t="str">
        <v>Hudson</v>
      </c>
      <c r="C55" s="50" t="str" cm="1">
        <f t="array" aca="1" ref="C55:K55" ca="1">IF(INDIRECT("'" &amp; $A55 &amp; "'!B16:J16")="", "", INDIRECT("'" &amp; $A55 &amp; "'!B16:J16"))</f>
        <v/>
      </c>
      <c r="D55" s="50" t="str">
        <f ca="1"/>
        <v/>
      </c>
      <c r="E55" s="50">
        <f ca="1"/>
        <v>0</v>
      </c>
      <c r="F55" s="51">
        <f ca="1"/>
        <v>0</v>
      </c>
      <c r="G55" s="52" t="str">
        <f ca="1"/>
        <v/>
      </c>
      <c r="H55" s="52">
        <f ca="1"/>
        <v>0</v>
      </c>
      <c r="I55" s="53">
        <f ca="1"/>
        <v>0</v>
      </c>
      <c r="J55" s="26" t="str">
        <f ca="1"/>
        <v/>
      </c>
      <c r="K55" s="26" t="str">
        <f ca="1"/>
        <v xml:space="preserve"> </v>
      </c>
    </row>
    <row r="56" spans="1:12" ht="15.75" customHeight="1">
      <c r="A56" s="137" t="str">
        <v>Q405</v>
      </c>
      <c r="B56" s="138" t="str">
        <v>Hudson</v>
      </c>
      <c r="C56" s="50" t="str" cm="1">
        <f t="array" aca="1" ref="C56:K56" ca="1">IF(INDIRECT("'" &amp; $A56 &amp; "'!B16:J16")="", "", INDIRECT("'" &amp; $A56 &amp; "'!B16:J16"))</f>
        <v/>
      </c>
      <c r="D56" s="50" t="str">
        <f ca="1"/>
        <v/>
      </c>
      <c r="E56" s="50">
        <f ca="1"/>
        <v>0</v>
      </c>
      <c r="F56" s="51">
        <f ca="1"/>
        <v>0</v>
      </c>
      <c r="G56" s="52" t="str">
        <f ca="1"/>
        <v/>
      </c>
      <c r="H56" s="52">
        <f ca="1"/>
        <v>0</v>
      </c>
      <c r="I56" s="53">
        <f ca="1"/>
        <v>0</v>
      </c>
      <c r="J56" s="26" t="str">
        <f ca="1"/>
        <v/>
      </c>
      <c r="K56" s="26" t="str">
        <f ca="1"/>
        <v xml:space="preserve"> </v>
      </c>
    </row>
    <row r="57" spans="1:12" ht="15.75" customHeight="1">
      <c r="A57" s="145" t="str">
        <v>Q435</v>
      </c>
      <c r="B57" s="146" t="str">
        <v>Hudson</v>
      </c>
      <c r="C57" s="50" t="str" cm="1">
        <f t="array" aca="1" ref="C57:K57" ca="1">IF(INDIRECT("'" &amp; $A57 &amp; "'!B16:J16")="", "", INDIRECT("'" &amp; $A57 &amp; "'!B16:J16"))</f>
        <v/>
      </c>
      <c r="D57" s="50" t="str">
        <f ca="1"/>
        <v/>
      </c>
      <c r="E57" s="50">
        <f ca="1"/>
        <v>0</v>
      </c>
      <c r="F57" s="51">
        <f ca="1"/>
        <v>0</v>
      </c>
      <c r="G57" s="52" t="str">
        <f ca="1"/>
        <v/>
      </c>
      <c r="H57" s="52">
        <f ca="1"/>
        <v>0</v>
      </c>
      <c r="I57" s="53">
        <f ca="1"/>
        <v>0</v>
      </c>
      <c r="J57" s="26" t="str">
        <f ca="1"/>
        <v/>
      </c>
      <c r="K57" s="26" t="str">
        <f ca="1"/>
        <v/>
      </c>
    </row>
    <row r="58" spans="1:12" ht="15.75" customHeight="1">
      <c r="A58" s="137" t="str">
        <v>Q485</v>
      </c>
      <c r="B58" s="138" t="str">
        <v>Hudson</v>
      </c>
      <c r="C58" s="50" t="str" cm="1">
        <f t="array" aca="1" ref="C58:K58" ca="1">IF(INDIRECT("'" &amp; $A58 &amp; "'!B16:J16")="", "", INDIRECT("'" &amp; $A58 &amp; "'!B16:J16"))</f>
        <v/>
      </c>
      <c r="D58" s="50" t="str">
        <f ca="1"/>
        <v/>
      </c>
      <c r="E58" s="50">
        <f ca="1"/>
        <v>0</v>
      </c>
      <c r="F58" s="51">
        <f ca="1"/>
        <v>0</v>
      </c>
      <c r="G58" s="52" t="str">
        <f ca="1"/>
        <v/>
      </c>
      <c r="H58" s="52">
        <f ca="1"/>
        <v>0</v>
      </c>
      <c r="I58" s="53">
        <f ca="1"/>
        <v>0</v>
      </c>
      <c r="J58" s="26" t="str">
        <f ca="1"/>
        <v/>
      </c>
      <c r="K58" s="26" t="str">
        <f ca="1"/>
        <v/>
      </c>
    </row>
    <row r="59" spans="1:12" ht="15.75" customHeight="1">
      <c r="A59" s="145" t="str">
        <v>Q490</v>
      </c>
      <c r="B59" s="146" t="str">
        <v>Hudson</v>
      </c>
      <c r="C59" s="50" t="str" cm="1">
        <f t="array" aca="1" ref="C59:K59" ca="1">IF(INDIRECT("'" &amp; $A59 &amp; "'!B16:J16")="", "", INDIRECT("'" &amp; $A59 &amp; "'!B16:J16"))</f>
        <v/>
      </c>
      <c r="D59" s="50" t="str">
        <f ca="1"/>
        <v/>
      </c>
      <c r="E59" s="50">
        <f ca="1"/>
        <v>0</v>
      </c>
      <c r="F59" s="51">
        <f ca="1"/>
        <v>0</v>
      </c>
      <c r="G59" s="52" t="str">
        <f ca="1"/>
        <v/>
      </c>
      <c r="H59" s="52">
        <f ca="1"/>
        <v>0</v>
      </c>
      <c r="I59" s="53">
        <f ca="1"/>
        <v>0</v>
      </c>
      <c r="J59" s="26" t="str">
        <f ca="1"/>
        <v/>
      </c>
      <c r="K59" s="26" t="str">
        <f ca="1"/>
        <v/>
      </c>
    </row>
    <row r="60" spans="1:12" ht="15.75" customHeight="1">
      <c r="A60" s="137" t="str">
        <v>Q620</v>
      </c>
      <c r="B60" s="138" t="str">
        <v>Hudson</v>
      </c>
      <c r="C60" s="50" t="str" cm="1">
        <f t="array" aca="1" ref="C60:K60" ca="1">IF(INDIRECT("'" &amp; $A60 &amp; "'!B16:J16")="", "", INDIRECT("'" &amp; $A60 &amp; "'!B16:J16"))</f>
        <v/>
      </c>
      <c r="D60" s="50" t="str">
        <f ca="1"/>
        <v/>
      </c>
      <c r="E60" s="50">
        <f ca="1"/>
        <v>0</v>
      </c>
      <c r="F60" s="51">
        <f ca="1"/>
        <v>0</v>
      </c>
      <c r="G60" s="52" t="str">
        <f ca="1"/>
        <v/>
      </c>
      <c r="H60" s="52">
        <f ca="1"/>
        <v>0</v>
      </c>
      <c r="I60" s="53">
        <f ca="1"/>
        <v>0</v>
      </c>
      <c r="J60" s="26" t="str">
        <f ca="1"/>
        <v/>
      </c>
      <c r="K60" s="26" t="str">
        <f ca="1"/>
        <v/>
      </c>
    </row>
    <row r="61" spans="1:12" ht="15.75" customHeight="1">
      <c r="A61" s="145" t="str">
        <v>QMOA</v>
      </c>
      <c r="B61" s="146" t="str">
        <v>Hudson</v>
      </c>
      <c r="C61" s="50" t="str" cm="1">
        <f t="array" aca="1" ref="C61:K61" ca="1">IF(INDIRECT("'" &amp; $A61 &amp; "'!B16:J16")="", "", INDIRECT("'" &amp; $A61 &amp; "'!B16:J16"))</f>
        <v/>
      </c>
      <c r="D61" s="50" t="str">
        <f ca="1"/>
        <v/>
      </c>
      <c r="E61" s="50">
        <f ca="1"/>
        <v>0</v>
      </c>
      <c r="F61" s="51">
        <f ca="1"/>
        <v>0</v>
      </c>
      <c r="G61" s="52" t="str">
        <f ca="1"/>
        <v/>
      </c>
      <c r="H61" s="52">
        <f ca="1"/>
        <v>0</v>
      </c>
      <c r="I61" s="53">
        <f ca="1"/>
        <v>0</v>
      </c>
      <c r="J61" s="26" t="str">
        <f ca="1"/>
        <v/>
      </c>
      <c r="K61" s="26" t="str">
        <f ca="1"/>
        <v xml:space="preserve"> </v>
      </c>
    </row>
    <row r="62" spans="1:12" ht="15.75" customHeight="1">
      <c r="A62" s="137" t="str">
        <v>X024</v>
      </c>
      <c r="B62" s="138" t="str">
        <v>Hudson</v>
      </c>
      <c r="C62" s="50" t="str" cm="1">
        <f t="array" aca="1" ref="C62:K62" ca="1">IF(INDIRECT("'" &amp; $A62 &amp; "'!B16:J16")="", "", INDIRECT("'" &amp; $A62 &amp; "'!B16:J16"))</f>
        <v/>
      </c>
      <c r="D62" s="50" t="str">
        <f ca="1"/>
        <v/>
      </c>
      <c r="E62" s="50">
        <f ca="1"/>
        <v>0</v>
      </c>
      <c r="F62" s="51">
        <f ca="1"/>
        <v>0</v>
      </c>
      <c r="G62" s="52" t="str">
        <f ca="1"/>
        <v/>
      </c>
      <c r="H62" s="52">
        <f ca="1"/>
        <v>0</v>
      </c>
      <c r="I62" s="53">
        <f ca="1"/>
        <v>0</v>
      </c>
      <c r="J62" s="26" t="str">
        <f ca="1"/>
        <v/>
      </c>
      <c r="K62" s="26" t="str">
        <f ca="1"/>
        <v/>
      </c>
    </row>
    <row r="63" spans="1:12" ht="15.75" customHeight="1">
      <c r="A63" s="145" t="str">
        <v>X026</v>
      </c>
      <c r="B63" s="146" t="str">
        <v>Hudson</v>
      </c>
      <c r="C63" s="50" t="str" cm="1">
        <f t="array" aca="1" ref="C63:K63" ca="1">IF(INDIRECT("'" &amp; $A63 &amp; "'!B16:J16")="", "", INDIRECT("'" &amp; $A63 &amp; "'!B16:J16"))</f>
        <v/>
      </c>
      <c r="D63" s="50" t="str">
        <f ca="1"/>
        <v/>
      </c>
      <c r="E63" s="50">
        <f ca="1"/>
        <v>0</v>
      </c>
      <c r="F63" s="51">
        <f ca="1"/>
        <v>0</v>
      </c>
      <c r="G63" s="52" t="str">
        <f ca="1"/>
        <v/>
      </c>
      <c r="H63" s="52">
        <f ca="1"/>
        <v>0</v>
      </c>
      <c r="I63" s="53">
        <f ca="1"/>
        <v>0</v>
      </c>
      <c r="J63" s="26" t="str">
        <f ca="1"/>
        <v/>
      </c>
      <c r="K63" s="26" t="str">
        <f ca="1"/>
        <v/>
      </c>
    </row>
    <row r="64" spans="1:12" ht="15.75" customHeight="1">
      <c r="A64" s="137" t="str">
        <v>X090</v>
      </c>
      <c r="B64" s="138" t="str">
        <v>Hudson</v>
      </c>
      <c r="C64" s="50" t="str" cm="1">
        <f t="array" aca="1" ref="C64:K64" ca="1">IF(INDIRECT("'" &amp; $A64 &amp; "'!B16:J16")="", "", INDIRECT("'" &amp; $A64 &amp; "'!B16:J16"))</f>
        <v/>
      </c>
      <c r="D64" s="50" t="str">
        <f ca="1"/>
        <v/>
      </c>
      <c r="E64" s="50">
        <f ca="1"/>
        <v>0</v>
      </c>
      <c r="F64" s="51">
        <f ca="1"/>
        <v>0</v>
      </c>
      <c r="G64" s="52" t="str">
        <f ca="1"/>
        <v/>
      </c>
      <c r="H64" s="52">
        <f ca="1"/>
        <v>0</v>
      </c>
      <c r="I64" s="53">
        <f ca="1"/>
        <v>0</v>
      </c>
      <c r="J64" s="26" t="str">
        <f ca="1"/>
        <v/>
      </c>
      <c r="K64" s="26" t="str">
        <f ca="1"/>
        <v/>
      </c>
      <c r="L64" s="125"/>
    </row>
    <row r="65" spans="1:15" ht="15.75" customHeight="1">
      <c r="A65" s="145" t="str">
        <v>X117</v>
      </c>
      <c r="B65" s="146" t="str">
        <v>Hudson</v>
      </c>
      <c r="C65" s="50" t="str" cm="1">
        <f t="array" aca="1" ref="C65:K65" ca="1">IF(INDIRECT("'" &amp; $A65 &amp; "'!B16:J16")="", "", INDIRECT("'" &amp; $A65 &amp; "'!B16:J16"))</f>
        <v/>
      </c>
      <c r="D65" s="50" t="str">
        <f ca="1"/>
        <v/>
      </c>
      <c r="E65" s="50" t="str">
        <f ca="1"/>
        <v/>
      </c>
      <c r="F65" s="51">
        <f ca="1"/>
        <v>0</v>
      </c>
      <c r="G65" s="52" t="str">
        <f ca="1"/>
        <v/>
      </c>
      <c r="H65" s="52">
        <f ca="1"/>
        <v>0</v>
      </c>
      <c r="I65" s="53">
        <f ca="1"/>
        <v>0</v>
      </c>
      <c r="J65" s="26" t="str">
        <f ca="1"/>
        <v/>
      </c>
      <c r="K65" s="26" t="str">
        <f ca="1"/>
        <v/>
      </c>
    </row>
    <row r="66" spans="1:15" ht="15.75" customHeight="1">
      <c r="A66" s="137" t="str">
        <v>X125</v>
      </c>
      <c r="B66" s="138" t="str">
        <v>Hudson</v>
      </c>
      <c r="C66" s="50" t="str" cm="1">
        <f t="array" aca="1" ref="C66:K66" ca="1">IF(INDIRECT("'" &amp; $A66 &amp; "'!B16:J16")="", "", INDIRECT("'" &amp; $A66 &amp; "'!B16:J16"))</f>
        <v/>
      </c>
      <c r="D66" s="50" t="str">
        <f ca="1"/>
        <v/>
      </c>
      <c r="E66" s="50">
        <f ca="1"/>
        <v>0</v>
      </c>
      <c r="F66" s="51">
        <f ca="1"/>
        <v>0</v>
      </c>
      <c r="G66" s="52" t="str">
        <f ca="1"/>
        <v/>
      </c>
      <c r="H66" s="52">
        <f ca="1"/>
        <v>0</v>
      </c>
      <c r="I66" s="53">
        <f ca="1"/>
        <v>0</v>
      </c>
      <c r="J66" s="26" t="str">
        <f ca="1"/>
        <v/>
      </c>
      <c r="K66" s="26" t="str">
        <f ca="1"/>
        <v/>
      </c>
    </row>
    <row r="67" spans="1:15" ht="15.75" customHeight="1">
      <c r="A67" s="145" t="str">
        <v>X134</v>
      </c>
      <c r="B67" s="146" t="str">
        <v>Hudson</v>
      </c>
      <c r="C67" s="50" t="str" cm="1">
        <f t="array" aca="1" ref="C67:K67" ca="1">IF(INDIRECT("'" &amp; $A67 &amp; "'!B16:J16")="", "", INDIRECT("'" &amp; $A67 &amp; "'!B16:J16"))</f>
        <v/>
      </c>
      <c r="D67" s="50" t="str">
        <f ca="1"/>
        <v/>
      </c>
      <c r="E67" s="50">
        <f ca="1"/>
        <v>0</v>
      </c>
      <c r="F67" s="51">
        <f ca="1"/>
        <v>0</v>
      </c>
      <c r="G67" s="52" t="str">
        <f ca="1"/>
        <v/>
      </c>
      <c r="H67" s="52">
        <f ca="1"/>
        <v>0</v>
      </c>
      <c r="I67" s="53">
        <f ca="1"/>
        <v>0</v>
      </c>
      <c r="J67" s="26" t="str">
        <f ca="1"/>
        <v/>
      </c>
      <c r="K67" s="26" t="str">
        <f ca="1"/>
        <v/>
      </c>
      <c r="L67" s="125"/>
    </row>
    <row r="68" spans="1:15" ht="15.75" customHeight="1">
      <c r="A68" s="137" t="str">
        <v>X135</v>
      </c>
      <c r="B68" s="138" t="str">
        <v>Hudson</v>
      </c>
      <c r="C68" s="50" t="str" cm="1">
        <f t="array" aca="1" ref="C68:K68" ca="1">IF(INDIRECT("'" &amp; $A68 &amp; "'!B16:J16")="", "", INDIRECT("'" &amp; $A68 &amp; "'!B16:J16"))</f>
        <v/>
      </c>
      <c r="D68" s="50" t="str">
        <f ca="1"/>
        <v/>
      </c>
      <c r="E68" s="50">
        <f ca="1"/>
        <v>0</v>
      </c>
      <c r="F68" s="51">
        <f ca="1"/>
        <v>0</v>
      </c>
      <c r="G68" s="52" t="str">
        <f ca="1"/>
        <v/>
      </c>
      <c r="H68" s="52">
        <f ca="1"/>
        <v>0</v>
      </c>
      <c r="I68" s="53">
        <f ca="1"/>
        <v>0</v>
      </c>
      <c r="J68" s="26" t="str">
        <f ca="1"/>
        <v/>
      </c>
      <c r="K68" s="26" t="str">
        <f ca="1"/>
        <v xml:space="preserve"> </v>
      </c>
    </row>
    <row r="69" spans="1:15" ht="15.75" customHeight="1">
      <c r="A69" s="145" t="str">
        <v>X139 JHS 222</v>
      </c>
      <c r="B69" s="146" t="str">
        <v>Hudson</v>
      </c>
      <c r="C69" s="50" t="str" cm="1">
        <f t="array" aca="1" ref="C69:K69" ca="1">IF(INDIRECT("'" &amp; $A69 &amp; "'!B16:J16")="", "", INDIRECT("'" &amp; $A69 &amp; "'!B16:J16"))</f>
        <v/>
      </c>
      <c r="D69" s="50" t="str">
        <f ca="1"/>
        <v/>
      </c>
      <c r="E69" s="50">
        <f ca="1"/>
        <v>0</v>
      </c>
      <c r="F69" s="51">
        <f ca="1"/>
        <v>0</v>
      </c>
      <c r="G69" s="52" t="str">
        <f ca="1"/>
        <v/>
      </c>
      <c r="H69" s="52">
        <f ca="1"/>
        <v>0</v>
      </c>
      <c r="I69" s="53">
        <f ca="1"/>
        <v>0</v>
      </c>
      <c r="J69" s="26" t="str">
        <f ca="1"/>
        <v/>
      </c>
      <c r="K69" s="26" t="str">
        <f ca="1"/>
        <v/>
      </c>
    </row>
    <row r="70" spans="1:15" ht="15.75" customHeight="1">
      <c r="A70" s="137" t="str">
        <v>X140</v>
      </c>
      <c r="B70" s="138" t="str">
        <v>Hudson</v>
      </c>
      <c r="C70" s="50" t="str" cm="1">
        <f t="array" aca="1" ref="C70:K70" ca="1">IF(INDIRECT("'" &amp; $A70 &amp; "'!B16:J16")="", "", INDIRECT("'" &amp; $A70 &amp; "'!B16:J16"))</f>
        <v/>
      </c>
      <c r="D70" s="50" t="str">
        <f ca="1"/>
        <v/>
      </c>
      <c r="E70" s="50">
        <f ca="1"/>
        <v>0</v>
      </c>
      <c r="F70" s="51">
        <f ca="1"/>
        <v>0</v>
      </c>
      <c r="G70" s="52" t="str">
        <f ca="1"/>
        <v/>
      </c>
      <c r="H70" s="52">
        <f ca="1"/>
        <v>0</v>
      </c>
      <c r="I70" s="53">
        <f ca="1"/>
        <v>0</v>
      </c>
      <c r="J70" s="26" t="str">
        <f ca="1"/>
        <v/>
      </c>
      <c r="K70" s="26" t="str">
        <f ca="1"/>
        <v/>
      </c>
    </row>
    <row r="71" spans="1:15" ht="15.75" customHeight="1">
      <c r="A71" s="145" t="str">
        <v>X166</v>
      </c>
      <c r="B71" s="146" t="str">
        <v>Hudson</v>
      </c>
      <c r="C71" s="50" t="str" cm="1">
        <f t="array" aca="1" ref="C71:K71" ca="1">IF(INDIRECT("'" &amp; $A71 &amp; "'!B16:J16")="", "", INDIRECT("'" &amp; $A71 &amp; "'!B16:J16"))</f>
        <v/>
      </c>
      <c r="D71" s="50" t="str">
        <f ca="1"/>
        <v/>
      </c>
      <c r="E71" s="50">
        <f ca="1"/>
        <v>0</v>
      </c>
      <c r="F71" s="51">
        <f ca="1"/>
        <v>0</v>
      </c>
      <c r="G71" s="52" t="str">
        <f ca="1"/>
        <v/>
      </c>
      <c r="H71" s="52">
        <f ca="1"/>
        <v>0</v>
      </c>
      <c r="I71" s="53">
        <f ca="1"/>
        <v>0</v>
      </c>
      <c r="J71" s="26" t="str">
        <f ca="1"/>
        <v/>
      </c>
      <c r="K71" s="26" t="str">
        <f ca="1"/>
        <v/>
      </c>
    </row>
    <row r="72" spans="1:15" ht="32.450000000000003" customHeight="1">
      <c r="A72" s="137" t="str">
        <v>Murphy</v>
      </c>
      <c r="B72" s="138" t="str">
        <v>MN Community Solar</v>
      </c>
      <c r="C72" s="50" t="str" cm="1">
        <f t="array" aca="1" ref="C72:K72" ca="1">IF(INDIRECT("'" &amp; $A72 &amp; "'!B16:J16")="", "", INDIRECT("'" &amp; $A72 &amp; "'!B16:J16"))</f>
        <v/>
      </c>
      <c r="D72" s="50" t="str">
        <f ca="1"/>
        <v/>
      </c>
      <c r="E72" s="50">
        <f ca="1"/>
        <v>0</v>
      </c>
      <c r="F72" s="51">
        <f ca="1"/>
        <v>0</v>
      </c>
      <c r="G72" s="52" t="str">
        <f ca="1"/>
        <v/>
      </c>
      <c r="H72" s="52">
        <f ca="1"/>
        <v>0</v>
      </c>
      <c r="I72" s="53">
        <f ca="1"/>
        <v>0</v>
      </c>
      <c r="J72" s="26" t="str">
        <f ca="1"/>
        <v/>
      </c>
      <c r="K72" s="26" t="str">
        <f ca="1"/>
        <v/>
      </c>
    </row>
    <row r="73" spans="1:15" ht="15.75" customHeight="1">
      <c r="A73" s="145" t="str">
        <v>Terning</v>
      </c>
      <c r="B73" s="146" t="str">
        <v>MN Community Solar</v>
      </c>
      <c r="C73" s="50" t="str" cm="1">
        <f t="array" aca="1" ref="C73:K73" ca="1">IF(INDIRECT("'" &amp; $A73 &amp; "'!B16:J16")="", "", INDIRECT("'" &amp; $A73 &amp; "'!B16:J16"))</f>
        <v/>
      </c>
      <c r="D73" s="50" t="str">
        <f ca="1"/>
        <v/>
      </c>
      <c r="E73" s="50">
        <f ca="1"/>
        <v>0</v>
      </c>
      <c r="F73" s="51">
        <f ca="1"/>
        <v>0</v>
      </c>
      <c r="G73" s="52" t="str">
        <f ca="1"/>
        <v/>
      </c>
      <c r="H73" s="52">
        <f ca="1"/>
        <v>0</v>
      </c>
      <c r="I73" s="53">
        <f ca="1"/>
        <v>0</v>
      </c>
      <c r="J73" s="26" t="str">
        <f ca="1"/>
        <v/>
      </c>
      <c r="K73" s="26" t="str">
        <f ca="1"/>
        <v/>
      </c>
    </row>
    <row r="74" spans="1:15" ht="15.75" customHeight="1">
      <c r="A74" s="137" t="str">
        <v>Boas Road 04</v>
      </c>
      <c r="B74" s="138" t="str">
        <v>NYCS I</v>
      </c>
      <c r="C74" s="50" t="str" cm="1">
        <f t="array" aca="1" ref="C74:K74" ca="1">IF(INDIRECT("'" &amp; $A74 &amp; "'!B16:J16")="", "", INDIRECT("'" &amp; $A74 &amp; "'!B16:J16"))</f>
        <v/>
      </c>
      <c r="D74" s="50" t="str">
        <f ca="1"/>
        <v/>
      </c>
      <c r="E74" s="50">
        <f ca="1"/>
        <v>0</v>
      </c>
      <c r="F74" s="51">
        <f ca="1"/>
        <v>0</v>
      </c>
      <c r="G74" s="52" t="str">
        <f ca="1"/>
        <v/>
      </c>
      <c r="H74" s="52">
        <f ca="1"/>
        <v>0</v>
      </c>
      <c r="I74" s="53">
        <f ca="1"/>
        <v>0</v>
      </c>
      <c r="J74" s="26" t="str">
        <f ca="1"/>
        <v/>
      </c>
      <c r="K74" s="26" t="str">
        <f ca="1"/>
        <v xml:space="preserve"> </v>
      </c>
    </row>
    <row r="75" spans="1:15" ht="15.75" customHeight="1">
      <c r="A75" s="145" t="str">
        <v>Kelly Bridge Farm</v>
      </c>
      <c r="B75" s="146" t="str">
        <v>NYCS I</v>
      </c>
      <c r="C75" s="50" t="str" cm="1">
        <f t="array" aca="1" ref="C75:K75" ca="1">IF(INDIRECT("'" &amp; $A75 &amp; "'!B16:J16")="", "", INDIRECT("'" &amp; $A75 &amp; "'!B16:J16"))</f>
        <v/>
      </c>
      <c r="D75" s="50" t="str">
        <f ca="1"/>
        <v/>
      </c>
      <c r="E75" s="50">
        <f ca="1"/>
        <v>0</v>
      </c>
      <c r="F75" s="51">
        <f ca="1"/>
        <v>0</v>
      </c>
      <c r="G75" s="52" t="str">
        <f ca="1"/>
        <v/>
      </c>
      <c r="H75" s="52">
        <f ca="1"/>
        <v>0</v>
      </c>
      <c r="I75" s="53">
        <f ca="1"/>
        <v>0</v>
      </c>
      <c r="J75" s="26" t="str">
        <f ca="1"/>
        <v/>
      </c>
      <c r="K75" s="26" t="str">
        <f ca="1"/>
        <v/>
      </c>
    </row>
    <row r="76" spans="1:15" ht="15.75" customHeight="1">
      <c r="A76" s="137" t="str">
        <v>Pool Brook Road</v>
      </c>
      <c r="B76" s="138" t="str">
        <v>NYCS I</v>
      </c>
      <c r="C76" s="50" t="str" cm="1">
        <f t="array" aca="1" ref="C76:K76" ca="1">IF(INDIRECT("'" &amp; $A76 &amp; "'!B16:J16")="", "", INDIRECT("'" &amp; $A76 &amp; "'!B16:J16"))</f>
        <v/>
      </c>
      <c r="D76" s="50" t="str">
        <f ca="1"/>
        <v/>
      </c>
      <c r="E76" s="50">
        <f ca="1"/>
        <v>0</v>
      </c>
      <c r="F76" s="51">
        <f ca="1"/>
        <v>0</v>
      </c>
      <c r="G76" s="52" t="str">
        <f ca="1"/>
        <v/>
      </c>
      <c r="H76" s="52">
        <f ca="1"/>
        <v>0</v>
      </c>
      <c r="I76" s="53">
        <f ca="1"/>
        <v>0</v>
      </c>
      <c r="J76" s="26" t="str">
        <f ca="1"/>
        <v/>
      </c>
      <c r="K76" s="26" t="str">
        <f ca="1"/>
        <v/>
      </c>
    </row>
    <row r="77" spans="1:15" ht="15.75" customHeight="1">
      <c r="A77" s="145" t="str">
        <v>Sackett Lake</v>
      </c>
      <c r="B77" s="146" t="str">
        <v>NYCS I</v>
      </c>
      <c r="C77" s="50" t="str" cm="1">
        <f t="array" aca="1" ref="C77:K77" ca="1">IF(INDIRECT("'" &amp; $A77 &amp; "'!B16:J16")="", "", INDIRECT("'" &amp; $A77 &amp; "'!B16:J16"))</f>
        <v/>
      </c>
      <c r="D77" s="50" t="str">
        <f ca="1"/>
        <v/>
      </c>
      <c r="E77" s="50">
        <f ca="1"/>
        <v>0</v>
      </c>
      <c r="F77" s="51">
        <f ca="1"/>
        <v>0</v>
      </c>
      <c r="G77" s="52" t="str">
        <f ca="1"/>
        <v/>
      </c>
      <c r="H77" s="52">
        <f ca="1"/>
        <v>0</v>
      </c>
      <c r="I77" s="53">
        <f ca="1"/>
        <v>0</v>
      </c>
      <c r="J77" s="26" t="str">
        <f ca="1"/>
        <v/>
      </c>
      <c r="K77" s="26" t="str">
        <f ca="1"/>
        <v/>
      </c>
    </row>
    <row r="78" spans="1:15" ht="15.75" customHeight="1">
      <c r="A78" s="137" t="str">
        <v>Burritt Road</v>
      </c>
      <c r="B78" s="138" t="str">
        <v>NYCS II</v>
      </c>
      <c r="C78" s="50" t="str" cm="1">
        <f t="array" aca="1" ref="C78:K78" ca="1">IF(INDIRECT("'" &amp; $A78 &amp; "'!B16:J16")="", "", INDIRECT("'" &amp; $A78 &amp; "'!B16:J16"))</f>
        <v/>
      </c>
      <c r="D78" s="50" t="str">
        <f ca="1"/>
        <v/>
      </c>
      <c r="E78" s="50">
        <f ca="1"/>
        <v>0</v>
      </c>
      <c r="F78" s="51">
        <f ca="1"/>
        <v>0</v>
      </c>
      <c r="G78" s="52" t="str">
        <f ca="1"/>
        <v/>
      </c>
      <c r="H78" s="52">
        <f ca="1"/>
        <v>0</v>
      </c>
      <c r="I78" s="53">
        <f ca="1"/>
        <v>0</v>
      </c>
      <c r="J78" s="26" t="str">
        <f ca="1"/>
        <v/>
      </c>
      <c r="K78" s="26" t="str">
        <f ca="1"/>
        <v xml:space="preserve"> </v>
      </c>
    </row>
    <row r="79" spans="1:15" ht="15.75" customHeight="1">
      <c r="A79" s="145" t="str">
        <v>Villa Roma 1</v>
      </c>
      <c r="B79" s="146" t="str">
        <v>NYCS II</v>
      </c>
      <c r="C79" s="50" t="str" cm="1">
        <f t="array" aca="1" ref="C79:K79" ca="1">IF(INDIRECT("'" &amp; $A79 &amp; "'!B16:J16")="", "", INDIRECT("'" &amp; $A79 &amp; "'!B16:J16"))</f>
        <v/>
      </c>
      <c r="D79" s="50" t="str">
        <f ca="1"/>
        <v/>
      </c>
      <c r="E79" s="50">
        <f ca="1"/>
        <v>0</v>
      </c>
      <c r="F79" s="51">
        <f ca="1"/>
        <v>0</v>
      </c>
      <c r="G79" s="52" t="str">
        <f ca="1"/>
        <v/>
      </c>
      <c r="H79" s="52">
        <f ca="1"/>
        <v>0</v>
      </c>
      <c r="I79" s="53">
        <f ca="1"/>
        <v>0</v>
      </c>
      <c r="J79" s="26" t="str">
        <f ca="1"/>
        <v/>
      </c>
      <c r="K79" s="26" t="str">
        <f ca="1"/>
        <v/>
      </c>
    </row>
    <row r="80" spans="1:15" ht="15.75" customHeight="1">
      <c r="A80" s="137" t="str">
        <v>Villa Roma 2</v>
      </c>
      <c r="B80" s="138" t="str">
        <v>NYCS II</v>
      </c>
      <c r="C80" s="50" t="str" cm="1">
        <f t="array" aca="1" ref="C80:K80" ca="1">IF(INDIRECT("'" &amp; $A80 &amp; "'!B16:J16")="", "", INDIRECT("'" &amp; $A80 &amp; "'!B16:J16"))</f>
        <v/>
      </c>
      <c r="D80" s="50" t="str">
        <f ca="1"/>
        <v/>
      </c>
      <c r="E80" s="50">
        <f ca="1"/>
        <v>0</v>
      </c>
      <c r="F80" s="51">
        <f ca="1"/>
        <v>0</v>
      </c>
      <c r="G80" s="52" t="str">
        <f ca="1"/>
        <v/>
      </c>
      <c r="H80" s="52">
        <f ca="1"/>
        <v>0</v>
      </c>
      <c r="I80" s="53">
        <f ca="1"/>
        <v>0</v>
      </c>
      <c r="J80" s="26" t="str">
        <f ca="1"/>
        <v/>
      </c>
      <c r="K80" s="26" t="str">
        <f ca="1"/>
        <v/>
      </c>
      <c r="O80" t="s">
        <v>46</v>
      </c>
    </row>
    <row r="81" spans="1:11" ht="15.75" customHeight="1">
      <c r="A81" s="145" t="str">
        <v>Washington 1</v>
      </c>
      <c r="B81" s="146" t="str">
        <v>NYCS II</v>
      </c>
      <c r="C81" s="50" t="str" cm="1">
        <f t="array" aca="1" ref="C81:K81" ca="1">IF(INDIRECT("'" &amp; $A81 &amp; "'!B16:J16")="", "", INDIRECT("'" &amp; $A81 &amp; "'!B16:J16"))</f>
        <v/>
      </c>
      <c r="D81" s="50" t="str">
        <f ca="1"/>
        <v/>
      </c>
      <c r="E81" s="50">
        <f ca="1"/>
        <v>0</v>
      </c>
      <c r="F81" s="51">
        <f ca="1"/>
        <v>0</v>
      </c>
      <c r="G81" s="52" t="str">
        <f ca="1"/>
        <v/>
      </c>
      <c r="H81" s="52">
        <f ca="1"/>
        <v>0</v>
      </c>
      <c r="I81" s="53">
        <f ca="1"/>
        <v>0</v>
      </c>
      <c r="J81" s="26" t="str">
        <f ca="1"/>
        <v/>
      </c>
      <c r="K81" s="26" t="str">
        <f ca="1"/>
        <v/>
      </c>
    </row>
    <row r="82" spans="1:11" ht="15.75" customHeight="1">
      <c r="A82" s="137" t="str">
        <v>Washington 3</v>
      </c>
      <c r="B82" s="138" t="str">
        <v>NYCS II</v>
      </c>
      <c r="C82" s="50" t="str" cm="1">
        <f t="array" aca="1" ref="C82:K82" ca="1">IF(INDIRECT("'" &amp; $A82 &amp; "'!B16:J16")="", "", INDIRECT("'" &amp; $A82 &amp; "'!B16:J16"))</f>
        <v/>
      </c>
      <c r="D82" s="50" t="str">
        <f ca="1"/>
        <v/>
      </c>
      <c r="E82" s="50">
        <f ca="1"/>
        <v>0</v>
      </c>
      <c r="F82" s="51">
        <f ca="1"/>
        <v>0</v>
      </c>
      <c r="G82" s="52" t="str">
        <f ca="1"/>
        <v/>
      </c>
      <c r="H82" s="52">
        <f ca="1"/>
        <v>0</v>
      </c>
      <c r="I82" s="53">
        <f ca="1"/>
        <v>0</v>
      </c>
      <c r="J82" s="26" t="str">
        <f ca="1"/>
        <v/>
      </c>
      <c r="K82" s="26" t="str">
        <f ca="1"/>
        <v/>
      </c>
    </row>
    <row r="83" spans="1:11" ht="15.75" customHeight="1">
      <c r="A83" s="145" t="str">
        <v>Washington 4</v>
      </c>
      <c r="B83" s="146" t="str">
        <v>NYCS II</v>
      </c>
      <c r="C83" s="50" t="str" cm="1">
        <f t="array" aca="1" ref="C83:K83" ca="1">IF(INDIRECT("'" &amp; $A83 &amp; "'!B16:J16")="", "", INDIRECT("'" &amp; $A83 &amp; "'!B16:J16"))</f>
        <v/>
      </c>
      <c r="D83" s="50" t="str">
        <f ca="1"/>
        <v/>
      </c>
      <c r="E83" s="50">
        <f ca="1"/>
        <v>0</v>
      </c>
      <c r="F83" s="51">
        <f ca="1"/>
        <v>0</v>
      </c>
      <c r="G83" s="52" t="str">
        <f ca="1"/>
        <v/>
      </c>
      <c r="H83" s="52">
        <f ca="1"/>
        <v>0</v>
      </c>
      <c r="I83" s="53">
        <f ca="1"/>
        <v>0</v>
      </c>
      <c r="J83" s="26" t="str">
        <f ca="1"/>
        <v/>
      </c>
      <c r="K83" s="26" t="str">
        <f ca="1"/>
        <v/>
      </c>
    </row>
    <row r="84" spans="1:11" ht="15.75" customHeight="1">
      <c r="A84" s="137" t="str">
        <v>Big Tree</v>
      </c>
      <c r="B84" s="138" t="str">
        <v>NYCS III</v>
      </c>
      <c r="C84" s="50" t="str" cm="1">
        <f t="array" aca="1" ref="C84:K84" ca="1">IF(INDIRECT("'" &amp; $A84 &amp; "'!B16:J16")="", "", INDIRECT("'" &amp; $A84 &amp; "'!B16:J16"))</f>
        <v/>
      </c>
      <c r="D84" s="50" t="str">
        <f ca="1"/>
        <v/>
      </c>
      <c r="E84" s="50">
        <f ca="1"/>
        <v>0</v>
      </c>
      <c r="F84" s="51">
        <f ca="1"/>
        <v>0</v>
      </c>
      <c r="G84" s="52" t="str">
        <f ca="1"/>
        <v/>
      </c>
      <c r="H84" s="52">
        <f ca="1"/>
        <v>0</v>
      </c>
      <c r="I84" s="53">
        <f ca="1"/>
        <v>0</v>
      </c>
      <c r="J84" s="26" t="str">
        <f ca="1"/>
        <v/>
      </c>
      <c r="K84" s="26" t="str">
        <f ca="1"/>
        <v xml:space="preserve"> </v>
      </c>
    </row>
    <row r="85" spans="1:11" ht="15.75" customHeight="1">
      <c r="A85" s="145" t="str">
        <v>Canoga</v>
      </c>
      <c r="B85" s="146" t="str">
        <v>NYCS III</v>
      </c>
      <c r="C85" s="50" t="str" cm="1">
        <f t="array" aca="1" ref="C85:K85" ca="1">IF(INDIRECT("'" &amp; $A85 &amp; "'!B16:J16")="", "", INDIRECT("'" &amp; $A85 &amp; "'!B16:J16"))</f>
        <v/>
      </c>
      <c r="D85" s="50" t="str">
        <f ca="1"/>
        <v/>
      </c>
      <c r="E85" s="50">
        <f ca="1"/>
        <v>0</v>
      </c>
      <c r="F85" s="51">
        <f ca="1"/>
        <v>0</v>
      </c>
      <c r="G85" s="52" t="str">
        <f ca="1"/>
        <v/>
      </c>
      <c r="H85" s="52">
        <f ca="1"/>
        <v>0</v>
      </c>
      <c r="I85" s="53">
        <f ca="1"/>
        <v>0</v>
      </c>
      <c r="J85" s="26" t="str">
        <f ca="1"/>
        <v/>
      </c>
      <c r="K85" s="26" t="str">
        <f ca="1"/>
        <v xml:space="preserve"> </v>
      </c>
    </row>
    <row r="86" spans="1:11" ht="15.75" customHeight="1">
      <c r="A86" s="137" t="str">
        <v>County Route 84</v>
      </c>
      <c r="B86" s="138" t="str">
        <v>NYCS III</v>
      </c>
      <c r="C86" s="50" t="str" cm="1">
        <f t="array" aca="1" ref="C86:K86" ca="1">IF(INDIRECT("'" &amp; $A86 &amp; "'!B16:J16")="", "", INDIRECT("'" &amp; $A86 &amp; "'!B16:J16"))</f>
        <v/>
      </c>
      <c r="D86" s="50" t="str">
        <f ca="1"/>
        <v/>
      </c>
      <c r="E86" s="50">
        <f ca="1"/>
        <v>0</v>
      </c>
      <c r="F86" s="51">
        <f ca="1"/>
        <v>0</v>
      </c>
      <c r="G86" s="52" t="str">
        <f ca="1"/>
        <v/>
      </c>
      <c r="H86" s="52">
        <f ca="1"/>
        <v>0</v>
      </c>
      <c r="I86" s="53">
        <f ca="1"/>
        <v>0</v>
      </c>
      <c r="J86" s="26" t="str">
        <f ca="1"/>
        <v/>
      </c>
      <c r="K86" s="26" t="str">
        <f ca="1"/>
        <v/>
      </c>
    </row>
    <row r="87" spans="1:11" ht="15.75" customHeight="1">
      <c r="A87" s="145" t="str">
        <v>Donati</v>
      </c>
      <c r="B87" s="146" t="str">
        <v>NYCS III</v>
      </c>
      <c r="C87" s="50" t="str" cm="1">
        <f t="array" aca="1" ref="C87:K87" ca="1">IF(INDIRECT("'" &amp; $A87 &amp; "'!B16:J16")="", "", INDIRECT("'" &amp; $A87 &amp; "'!B16:J16"))</f>
        <v/>
      </c>
      <c r="D87" s="50" t="str">
        <f ca="1"/>
        <v/>
      </c>
      <c r="E87" s="50">
        <f ca="1"/>
        <v>0</v>
      </c>
      <c r="F87" s="51">
        <f ca="1"/>
        <v>0</v>
      </c>
      <c r="G87" s="52" t="str">
        <f ca="1"/>
        <v/>
      </c>
      <c r="H87" s="52">
        <f ca="1"/>
        <v>0</v>
      </c>
      <c r="I87" s="53">
        <f ca="1"/>
        <v>0</v>
      </c>
      <c r="J87" s="26" t="str">
        <f ca="1"/>
        <v/>
      </c>
      <c r="K87" s="26" t="str">
        <f ca="1"/>
        <v xml:space="preserve"> </v>
      </c>
    </row>
    <row r="88" spans="1:11" ht="15.75" customHeight="1">
      <c r="A88" s="137" t="str">
        <v>Henrietta</v>
      </c>
      <c r="B88" s="138" t="str">
        <v>NYCS III</v>
      </c>
      <c r="C88" s="50" t="str" cm="1">
        <f t="array" aca="1" ref="C88:K88" ca="1">IF(INDIRECT("'" &amp; $A88 &amp; "'!B16:J16")="", "", INDIRECT("'" &amp; $A88 &amp; "'!B16:J16"))</f>
        <v/>
      </c>
      <c r="D88" s="50" t="str">
        <f ca="1"/>
        <v/>
      </c>
      <c r="E88" s="50">
        <f ca="1"/>
        <v>0</v>
      </c>
      <c r="F88" s="51">
        <f ca="1"/>
        <v>0</v>
      </c>
      <c r="G88" s="52" t="str">
        <f ca="1"/>
        <v/>
      </c>
      <c r="H88" s="52">
        <f ca="1"/>
        <v>0</v>
      </c>
      <c r="I88" s="53">
        <f ca="1"/>
        <v>0</v>
      </c>
      <c r="J88" s="26" t="str">
        <f ca="1"/>
        <v/>
      </c>
      <c r="K88" s="26" t="str">
        <f ca="1"/>
        <v/>
      </c>
    </row>
    <row r="89" spans="1:11" ht="15.75" customHeight="1">
      <c r="A89" s="145" t="str">
        <v>NY 70</v>
      </c>
      <c r="B89" s="146" t="str">
        <v>NYCS III</v>
      </c>
      <c r="C89" s="50" t="str" cm="1">
        <f t="array" aca="1" ref="C89:K89" ca="1">IF(INDIRECT("'" &amp; $A89 &amp; "'!B16:J16")="", "", INDIRECT("'" &amp; $A89 &amp; "'!B16:J16"))</f>
        <v/>
      </c>
      <c r="D89" s="50" t="str">
        <f ca="1"/>
        <v/>
      </c>
      <c r="E89" s="50">
        <f ca="1"/>
        <v>0</v>
      </c>
      <c r="F89" s="51">
        <f ca="1"/>
        <v>0</v>
      </c>
      <c r="G89" s="52" t="str">
        <f ca="1"/>
        <v/>
      </c>
      <c r="H89" s="52">
        <f ca="1"/>
        <v>0</v>
      </c>
      <c r="I89" s="53">
        <f ca="1"/>
        <v>0</v>
      </c>
      <c r="J89" s="26" t="str">
        <f ca="1"/>
        <v/>
      </c>
      <c r="K89" s="26" t="str">
        <f ca="1"/>
        <v/>
      </c>
    </row>
    <row r="90" spans="1:11" ht="15.75" customHeight="1">
      <c r="A90" s="137" t="str">
        <v>Reid</v>
      </c>
      <c r="B90" s="138" t="str">
        <v>NYCS III</v>
      </c>
      <c r="C90" s="50" t="str" cm="1">
        <f t="array" aca="1" ref="C90:K90" ca="1">IF(INDIRECT("'" &amp; $A90 &amp; "'!B16:J16")="", "", INDIRECT("'" &amp; $A90 &amp; "'!B16:J16"))</f>
        <v/>
      </c>
      <c r="D90" s="50" t="str">
        <f ca="1"/>
        <v/>
      </c>
      <c r="E90" s="50">
        <f ca="1"/>
        <v>0</v>
      </c>
      <c r="F90" s="51">
        <f ca="1"/>
        <v>0</v>
      </c>
      <c r="G90" s="52" t="str">
        <f ca="1"/>
        <v/>
      </c>
      <c r="H90" s="52">
        <f ca="1"/>
        <v>0</v>
      </c>
      <c r="I90" s="53">
        <f ca="1"/>
        <v>0</v>
      </c>
      <c r="J90" s="26" t="str">
        <f ca="1"/>
        <v/>
      </c>
      <c r="K90" s="26" t="str">
        <f ca="1"/>
        <v xml:space="preserve"> </v>
      </c>
    </row>
    <row r="91" spans="1:11" ht="15.75" customHeight="1">
      <c r="A91" s="145" t="str">
        <v>Sangolqui</v>
      </c>
      <c r="B91" s="146" t="str">
        <v>NYCS III</v>
      </c>
      <c r="C91" s="50" t="str" cm="1">
        <f t="array" aca="1" ref="C91:K91" ca="1">IF(INDIRECT("'" &amp; $A91 &amp; "'!B16:J16")="", "", INDIRECT("'" &amp; $A91 &amp; "'!B16:J16"))</f>
        <v/>
      </c>
      <c r="D91" s="50" t="str">
        <f ca="1"/>
        <v/>
      </c>
      <c r="E91" s="50">
        <f ca="1"/>
        <v>0</v>
      </c>
      <c r="F91" s="51">
        <f ca="1"/>
        <v>0</v>
      </c>
      <c r="G91" s="52" t="str">
        <f ca="1"/>
        <v/>
      </c>
      <c r="H91" s="52">
        <f ca="1"/>
        <v>0</v>
      </c>
      <c r="I91" s="53">
        <f ca="1"/>
        <v>0</v>
      </c>
      <c r="J91" s="26" t="str">
        <f ca="1"/>
        <v/>
      </c>
      <c r="K91" s="26" t="str">
        <f ca="1"/>
        <v/>
      </c>
    </row>
    <row r="92" spans="1:11" ht="15.75" customHeight="1">
      <c r="A92" s="137" t="str">
        <v>State Highway 17B</v>
      </c>
      <c r="B92" s="138" t="str">
        <v>NYCS III</v>
      </c>
      <c r="C92" s="50" t="str" cm="1">
        <f t="array" aca="1" ref="C92:K92" ca="1">IF(INDIRECT("'" &amp; $A92 &amp; "'!B16:J16")="", "", INDIRECT("'" &amp; $A92 &amp; "'!B16:J16"))</f>
        <v/>
      </c>
      <c r="D92" s="50" t="str">
        <f ca="1"/>
        <v/>
      </c>
      <c r="E92" s="50">
        <f ca="1"/>
        <v>0</v>
      </c>
      <c r="F92" s="51">
        <f ca="1"/>
        <v>0</v>
      </c>
      <c r="G92" s="52" t="str">
        <f ca="1"/>
        <v/>
      </c>
      <c r="H92" s="52">
        <f ca="1"/>
        <v>0</v>
      </c>
      <c r="I92" s="53">
        <f ca="1"/>
        <v>0</v>
      </c>
      <c r="J92" s="26" t="str">
        <f ca="1"/>
        <v/>
      </c>
      <c r="K92" s="26" t="str">
        <f ca="1"/>
        <v/>
      </c>
    </row>
    <row r="93" spans="1:11" ht="15.75" customHeight="1">
      <c r="A93" s="145" t="str">
        <v>State Route 14A</v>
      </c>
      <c r="B93" s="146" t="str">
        <v>NYCS III</v>
      </c>
      <c r="C93" s="50" t="str" cm="1">
        <f t="array" aca="1" ref="C93:K93" ca="1">IF(INDIRECT("'" &amp; $A93 &amp; "'!B16:J16")="", "", INDIRECT("'" &amp; $A93 &amp; "'!B16:J16"))</f>
        <v/>
      </c>
      <c r="D93" s="50" t="str">
        <f ca="1"/>
        <v/>
      </c>
      <c r="E93" s="50">
        <f ca="1"/>
        <v>0</v>
      </c>
      <c r="F93" s="51">
        <f ca="1"/>
        <v>0</v>
      </c>
      <c r="G93" s="52" t="str">
        <f ca="1"/>
        <v/>
      </c>
      <c r="H93" s="52">
        <f ca="1"/>
        <v>0</v>
      </c>
      <c r="I93" s="53">
        <f ca="1"/>
        <v>0</v>
      </c>
      <c r="J93" s="26" t="str">
        <f ca="1"/>
        <v/>
      </c>
      <c r="K93" s="26" t="str">
        <f ca="1"/>
        <v/>
      </c>
    </row>
    <row r="94" spans="1:11" ht="15.75" customHeight="1">
      <c r="A94" s="137" t="str">
        <v>West Creek</v>
      </c>
      <c r="B94" s="138" t="str">
        <v>NYCS III</v>
      </c>
      <c r="C94" s="50" t="str" cm="1">
        <f t="array" aca="1" ref="C94:K94" ca="1">IF(INDIRECT("'" &amp; $A94 &amp; "'!B16:J16")="", "", INDIRECT("'" &amp; $A94 &amp; "'!B16:J16"))</f>
        <v/>
      </c>
      <c r="D94" s="50" t="str">
        <f ca="1"/>
        <v/>
      </c>
      <c r="E94" s="50">
        <f ca="1"/>
        <v>0</v>
      </c>
      <c r="F94" s="51">
        <f ca="1"/>
        <v>0</v>
      </c>
      <c r="G94" s="52" t="str">
        <f ca="1"/>
        <v/>
      </c>
      <c r="H94" s="52">
        <f ca="1"/>
        <v>0</v>
      </c>
      <c r="I94" s="53">
        <f ca="1"/>
        <v>0</v>
      </c>
      <c r="J94" s="26" t="str">
        <f ca="1"/>
        <v/>
      </c>
      <c r="K94" s="26" t="str">
        <f ca="1"/>
        <v xml:space="preserve"> </v>
      </c>
    </row>
    <row r="95" spans="1:11" ht="32.450000000000003" customHeight="1">
      <c r="A95" s="145" t="str">
        <v>Wildflower</v>
      </c>
      <c r="B95" s="146" t="str">
        <v>NYCS III</v>
      </c>
      <c r="C95" s="50" t="str" cm="1">
        <f t="array" aca="1" ref="C95:K95" ca="1">IF(INDIRECT("'" &amp; $A95 &amp; "'!B16:J16")="", "", INDIRECT("'" &amp; $A95 &amp; "'!B16:J16"))</f>
        <v/>
      </c>
      <c r="D95" s="50" t="str">
        <f ca="1"/>
        <v/>
      </c>
      <c r="E95" s="50">
        <f ca="1"/>
        <v>0</v>
      </c>
      <c r="F95" s="51">
        <f ca="1"/>
        <v>0</v>
      </c>
      <c r="G95" s="52" t="str">
        <f ca="1"/>
        <v/>
      </c>
      <c r="H95" s="52">
        <f ca="1"/>
        <v>0</v>
      </c>
      <c r="I95" s="53">
        <f ca="1"/>
        <v>0</v>
      </c>
      <c r="J95" s="26" t="str">
        <f ca="1"/>
        <v/>
      </c>
      <c r="K95" s="26" t="str">
        <f ca="1"/>
        <v/>
      </c>
    </row>
    <row r="96" spans="1:11" ht="15.75" customHeight="1">
      <c r="A96" s="137" t="str">
        <v>Glen Mary 1</v>
      </c>
      <c r="B96" s="138" t="str">
        <v>NYCS IV</v>
      </c>
      <c r="C96" s="50" t="str" cm="1">
        <f t="array" aca="1" ref="C96:K96" ca="1">IF(INDIRECT("'" &amp; $A96 &amp; "'!B16:J16")="", "", INDIRECT("'" &amp; $A96 &amp; "'!B16:J16"))</f>
        <v/>
      </c>
      <c r="D96" s="50" t="str">
        <f ca="1"/>
        <v/>
      </c>
      <c r="E96" s="50">
        <f ca="1"/>
        <v>0</v>
      </c>
      <c r="F96" s="51">
        <f ca="1"/>
        <v>0</v>
      </c>
      <c r="G96" s="52" t="str">
        <f ca="1"/>
        <v/>
      </c>
      <c r="H96" s="52">
        <f ca="1"/>
        <v>0</v>
      </c>
      <c r="I96" s="53">
        <f ca="1"/>
        <v>0</v>
      </c>
      <c r="J96" s="26" t="str">
        <f ca="1"/>
        <v/>
      </c>
      <c r="K96" s="26" t="str">
        <f ca="1"/>
        <v/>
      </c>
    </row>
    <row r="97" spans="1:12" ht="15.75" customHeight="1">
      <c r="A97" s="145" t="str">
        <v>Glen Mary 2</v>
      </c>
      <c r="B97" s="146" t="str">
        <v>NYCS IV</v>
      </c>
      <c r="C97" s="50" t="str" cm="1">
        <f t="array" aca="1" ref="C97:K97" ca="1">IF(INDIRECT("'" &amp; $A97 &amp; "'!B16:J16")="", "", INDIRECT("'" &amp; $A97 &amp; "'!B16:J16"))</f>
        <v/>
      </c>
      <c r="D97" s="50" t="str">
        <f ca="1"/>
        <v/>
      </c>
      <c r="E97" s="50">
        <f ca="1"/>
        <v>0</v>
      </c>
      <c r="F97" s="51">
        <f ca="1"/>
        <v>0</v>
      </c>
      <c r="G97" s="52" t="str">
        <f ca="1"/>
        <v/>
      </c>
      <c r="H97" s="52">
        <f ca="1"/>
        <v>0</v>
      </c>
      <c r="I97" s="53">
        <f ca="1"/>
        <v>0</v>
      </c>
      <c r="J97" s="26" t="str">
        <f ca="1"/>
        <v/>
      </c>
      <c r="K97" s="26" t="str">
        <f ca="1"/>
        <v xml:space="preserve"> </v>
      </c>
    </row>
    <row r="98" spans="1:12" ht="30" customHeight="1">
      <c r="A98" s="137" t="str">
        <v>Telegraph 1</v>
      </c>
      <c r="B98" s="138" t="str">
        <v>NYCS IV</v>
      </c>
      <c r="C98" s="50" t="str" cm="1">
        <f t="array" aca="1" ref="C98:K98" ca="1">IF(INDIRECT("'" &amp; $A98 &amp; "'!B16:J16")="", "", INDIRECT("'" &amp; $A98 &amp; "'!B16:J16"))</f>
        <v/>
      </c>
      <c r="D98" s="50" t="str">
        <f ca="1"/>
        <v/>
      </c>
      <c r="E98" s="50">
        <f ca="1"/>
        <v>0</v>
      </c>
      <c r="F98" s="51">
        <f ca="1"/>
        <v>0</v>
      </c>
      <c r="G98" s="52" t="str">
        <f ca="1"/>
        <v/>
      </c>
      <c r="H98" s="52">
        <f ca="1"/>
        <v>0</v>
      </c>
      <c r="I98" s="53">
        <f ca="1"/>
        <v>0</v>
      </c>
      <c r="J98" s="26" t="str">
        <f ca="1"/>
        <v/>
      </c>
      <c r="K98" s="26" t="str">
        <f ca="1"/>
        <v/>
      </c>
    </row>
    <row r="99" spans="1:12" ht="28.5" customHeight="1">
      <c r="A99" s="145" t="str">
        <v>Telegraph 2</v>
      </c>
      <c r="B99" s="146" t="str">
        <v>NYCS IV</v>
      </c>
      <c r="C99" s="50" t="str" cm="1">
        <f t="array" aca="1" ref="C99:K99" ca="1">IF(INDIRECT("'" &amp; $A99 &amp; "'!B16:J16")="", "", INDIRECT("'" &amp; $A99 &amp; "'!B16:J16"))</f>
        <v/>
      </c>
      <c r="D99" s="50" t="str">
        <f ca="1"/>
        <v/>
      </c>
      <c r="E99" s="50">
        <f ca="1"/>
        <v>0</v>
      </c>
      <c r="F99" s="51">
        <f ca="1"/>
        <v>0</v>
      </c>
      <c r="G99" s="52" t="str">
        <f ca="1"/>
        <v/>
      </c>
      <c r="H99" s="52">
        <f ca="1"/>
        <v>0</v>
      </c>
      <c r="I99" s="53">
        <f ca="1"/>
        <v>0</v>
      </c>
      <c r="J99" s="26" t="str">
        <f ca="1"/>
        <v/>
      </c>
      <c r="K99" s="26" t="str">
        <f ca="1"/>
        <v/>
      </c>
    </row>
    <row r="100" spans="1:12" ht="15.75" customHeight="1">
      <c r="A100" s="137" t="str">
        <v>Cafferty Hill</v>
      </c>
      <c r="B100" s="138" t="str">
        <v>NYCS V</v>
      </c>
      <c r="C100" s="50" t="str" cm="1">
        <f t="array" aca="1" ref="C100:K100" ca="1">IF(INDIRECT("'" &amp; $A100 &amp; "'!B16:J16")="", "", INDIRECT("'" &amp; $A100 &amp; "'!B16:J16"))</f>
        <v/>
      </c>
      <c r="D100" s="50" t="str">
        <f ca="1"/>
        <v/>
      </c>
      <c r="E100" s="50">
        <f ca="1"/>
        <v>0</v>
      </c>
      <c r="F100" s="51">
        <f ca="1"/>
        <v>0</v>
      </c>
      <c r="G100" s="52" t="str">
        <f ca="1"/>
        <v/>
      </c>
      <c r="H100" s="52">
        <f ca="1"/>
        <v>0</v>
      </c>
      <c r="I100" s="53">
        <f ca="1"/>
        <v>0</v>
      </c>
      <c r="J100" s="26" t="str">
        <f ca="1"/>
        <v/>
      </c>
      <c r="K100" s="26" t="str">
        <f ca="1"/>
        <v/>
      </c>
    </row>
    <row r="101" spans="1:12" ht="15.75" customHeight="1">
      <c r="A101" s="145" t="str">
        <v>Dunkleman</v>
      </c>
      <c r="B101" s="146" t="str">
        <v>NYCS V</v>
      </c>
      <c r="C101" s="50" t="str" cm="1">
        <f t="array" aca="1" ref="C101:K101" ca="1">IF(INDIRECT("'" &amp; $A101 &amp; "'!B16:J16")="", "", INDIRECT("'" &amp; $A101 &amp; "'!B16:J16"))</f>
        <v/>
      </c>
      <c r="D101" s="50" t="str">
        <f ca="1"/>
        <v/>
      </c>
      <c r="E101" s="50">
        <f ca="1"/>
        <v>0</v>
      </c>
      <c r="F101" s="51">
        <f ca="1"/>
        <v>0</v>
      </c>
      <c r="G101" s="52" t="str">
        <f ca="1"/>
        <v/>
      </c>
      <c r="H101" s="52">
        <f ca="1"/>
        <v>0</v>
      </c>
      <c r="I101" s="53">
        <f ca="1"/>
        <v>0</v>
      </c>
      <c r="J101" s="26" t="str">
        <f ca="1"/>
        <v/>
      </c>
      <c r="K101" s="26" t="str">
        <f ca="1"/>
        <v/>
      </c>
    </row>
    <row r="102" spans="1:12" ht="15.75" customHeight="1">
      <c r="A102" s="137" t="str">
        <v>Route 19 1</v>
      </c>
      <c r="B102" s="138" t="str">
        <v>NYCS V</v>
      </c>
      <c r="C102" s="50" t="str" cm="1">
        <f t="array" aca="1" ref="C102:K102" ca="1">IF(INDIRECT("'" &amp; $A102 &amp; "'!B16:J16")="", "", INDIRECT("'" &amp; $A102 &amp; "'!B16:J16"))</f>
        <v/>
      </c>
      <c r="D102" s="50" t="str">
        <f ca="1"/>
        <v/>
      </c>
      <c r="E102" s="50">
        <f ca="1"/>
        <v>0</v>
      </c>
      <c r="F102" s="51">
        <f ca="1"/>
        <v>0</v>
      </c>
      <c r="G102" s="52" t="str">
        <f ca="1"/>
        <v/>
      </c>
      <c r="H102" s="52">
        <f ca="1"/>
        <v>0</v>
      </c>
      <c r="I102" s="53">
        <f ca="1"/>
        <v>0</v>
      </c>
      <c r="J102" s="26" t="str">
        <f ca="1"/>
        <v/>
      </c>
      <c r="K102" s="26" t="str">
        <f ca="1"/>
        <v/>
      </c>
    </row>
    <row r="103" spans="1:12" ht="15.75" customHeight="1">
      <c r="A103" s="145" t="str">
        <v>Route 19 2</v>
      </c>
      <c r="B103" s="146" t="str">
        <v>NYCS V</v>
      </c>
      <c r="C103" s="50" t="str" cm="1">
        <f t="array" aca="1" ref="C103:K103" ca="1">IF(INDIRECT("'" &amp; $A103 &amp; "'!B16:J16")="", "", INDIRECT("'" &amp; $A103 &amp; "'!B16:J16"))</f>
        <v/>
      </c>
      <c r="D103" s="50" t="str">
        <f ca="1"/>
        <v/>
      </c>
      <c r="E103" s="50">
        <f ca="1"/>
        <v>0</v>
      </c>
      <c r="F103" s="51">
        <f ca="1"/>
        <v>0</v>
      </c>
      <c r="G103" s="52" t="str">
        <f ca="1"/>
        <v/>
      </c>
      <c r="H103" s="52">
        <f ca="1"/>
        <v>0</v>
      </c>
      <c r="I103" s="53">
        <f ca="1"/>
        <v>0</v>
      </c>
      <c r="J103" s="26" t="str">
        <f ca="1"/>
        <v/>
      </c>
      <c r="K103" s="26" t="str">
        <f ca="1"/>
        <v/>
      </c>
    </row>
    <row r="104" spans="1:12" ht="31.35" customHeight="1">
      <c r="A104" s="137" t="str">
        <v>Yellow Mills 1</v>
      </c>
      <c r="B104" s="138" t="str">
        <v>NYCS V</v>
      </c>
      <c r="C104" s="50" t="str" cm="1">
        <f t="array" aca="1" ref="C104:K104" ca="1">IF(INDIRECT("'" &amp; $A104 &amp; "'!B16:J16")="", "", INDIRECT("'" &amp; $A104 &amp; "'!B16:J16"))</f>
        <v/>
      </c>
      <c r="D104" s="50" t="str">
        <f ca="1"/>
        <v/>
      </c>
      <c r="E104" s="50">
        <f ca="1"/>
        <v>0</v>
      </c>
      <c r="F104" s="51">
        <f ca="1"/>
        <v>0</v>
      </c>
      <c r="G104" s="52" t="str">
        <f ca="1"/>
        <v/>
      </c>
      <c r="H104" s="52">
        <f ca="1"/>
        <v>0</v>
      </c>
      <c r="I104" s="53">
        <f ca="1"/>
        <v>0</v>
      </c>
      <c r="J104" s="26" t="str">
        <f ca="1"/>
        <v/>
      </c>
      <c r="K104" s="26" t="str">
        <f ca="1"/>
        <v/>
      </c>
    </row>
    <row r="105" spans="1:12" ht="15.75" customHeight="1">
      <c r="A105" s="145" t="str">
        <v>Yellow Mills 2</v>
      </c>
      <c r="B105" s="146" t="str">
        <v>NYCS V</v>
      </c>
      <c r="C105" s="50" t="str" cm="1">
        <f t="array" aca="1" ref="C105:K105" ca="1">IF(INDIRECT("'" &amp; $A105 &amp; "'!B16:J16")="", "", INDIRECT("'" &amp; $A105 &amp; "'!B16:J16"))</f>
        <v/>
      </c>
      <c r="D105" s="50" t="str">
        <f ca="1"/>
        <v/>
      </c>
      <c r="E105" s="50">
        <f ca="1"/>
        <v>0</v>
      </c>
      <c r="F105" s="51">
        <f ca="1"/>
        <v>0</v>
      </c>
      <c r="G105" s="52" t="str">
        <f ca="1"/>
        <v/>
      </c>
      <c r="H105" s="52">
        <f ca="1"/>
        <v>0</v>
      </c>
      <c r="I105" s="53">
        <f ca="1"/>
        <v>0</v>
      </c>
      <c r="J105" s="26" t="str">
        <f ca="1"/>
        <v/>
      </c>
      <c r="K105" s="26" t="str">
        <f ca="1"/>
        <v/>
      </c>
    </row>
    <row r="106" spans="1:12" ht="30.75" customHeight="1">
      <c r="A106" s="137" t="str">
        <v>Yellow Mills 3</v>
      </c>
      <c r="B106" s="138" t="str">
        <v>NYCS V</v>
      </c>
      <c r="C106" s="50" t="str" cm="1">
        <f t="array" aca="1" ref="C106:K106" ca="1">IF(INDIRECT("'" &amp; $A106 &amp; "'!B16:J16")="", "", INDIRECT("'" &amp; $A106 &amp; "'!B16:J16"))</f>
        <v/>
      </c>
      <c r="D106" s="50" t="str">
        <f ca="1"/>
        <v/>
      </c>
      <c r="E106" s="50">
        <f ca="1"/>
        <v>0</v>
      </c>
      <c r="F106" s="51">
        <f ca="1"/>
        <v>0</v>
      </c>
      <c r="G106" s="52" t="str">
        <f ca="1"/>
        <v/>
      </c>
      <c r="H106" s="52">
        <f ca="1"/>
        <v>0</v>
      </c>
      <c r="I106" s="53">
        <f ca="1"/>
        <v>0</v>
      </c>
      <c r="J106" s="26" t="str">
        <f ca="1"/>
        <v/>
      </c>
      <c r="K106" s="26" t="str">
        <f ca="1"/>
        <v/>
      </c>
    </row>
    <row r="107" spans="1:12" ht="129" customHeight="1">
      <c r="A107" s="145" t="str">
        <v>Catskill</v>
      </c>
      <c r="B107" s="146" t="str">
        <v>NYCS VI</v>
      </c>
      <c r="C107" s="50" t="str" cm="1">
        <f t="array" aca="1" ref="C107:K107" ca="1">IF(INDIRECT("'" &amp; $A107 &amp; "'!B16:J16")="", "", INDIRECT("'" &amp; $A107 &amp; "'!B16:J16"))</f>
        <v/>
      </c>
      <c r="D107" s="50" t="str">
        <f ca="1"/>
        <v/>
      </c>
      <c r="E107" s="50" t="str">
        <f ca="1"/>
        <v/>
      </c>
      <c r="F107" s="51">
        <f ca="1"/>
        <v>0</v>
      </c>
      <c r="G107" s="52" t="str">
        <f ca="1"/>
        <v/>
      </c>
      <c r="H107" s="52">
        <f ca="1"/>
        <v>0</v>
      </c>
      <c r="I107" s="53">
        <f ca="1"/>
        <v>0</v>
      </c>
      <c r="J107" s="26" t="str">
        <f ca="1"/>
        <v/>
      </c>
      <c r="K107" s="26" t="str">
        <f ca="1"/>
        <v/>
      </c>
    </row>
    <row r="108" spans="1:12" ht="15.75" customHeight="1">
      <c r="A108" s="137" t="str">
        <v>Eddy Ridge</v>
      </c>
      <c r="B108" s="138" t="str">
        <v>NYCS VI</v>
      </c>
      <c r="C108" s="50" t="str" cm="1">
        <f t="array" aca="1" ref="C108:K108" ca="1">IF(INDIRECT("'" &amp; $A108 &amp; "'!B16:J16")="", "", INDIRECT("'" &amp; $A108 &amp; "'!B16:J16"))</f>
        <v/>
      </c>
      <c r="D108" s="50" t="str">
        <f ca="1"/>
        <v/>
      </c>
      <c r="E108" s="50">
        <f ca="1"/>
        <v>0</v>
      </c>
      <c r="F108" s="51">
        <f ca="1"/>
        <v>0</v>
      </c>
      <c r="G108" s="52" t="str">
        <f ca="1"/>
        <v/>
      </c>
      <c r="H108" s="52">
        <f ca="1"/>
        <v>0</v>
      </c>
      <c r="I108" s="53">
        <f ca="1"/>
        <v>0</v>
      </c>
      <c r="J108" s="26" t="str">
        <f ca="1"/>
        <v/>
      </c>
      <c r="K108" s="26" t="str">
        <f ca="1"/>
        <v/>
      </c>
    </row>
    <row r="109" spans="1:12" ht="15.75" customHeight="1">
      <c r="A109" s="145" t="str">
        <v>Ridgeway #1</v>
      </c>
      <c r="B109" s="146" t="str">
        <v>NYCS VI</v>
      </c>
      <c r="C109" s="50" t="str" cm="1">
        <f t="array" aca="1" ref="C109:K109" ca="1">IF(INDIRECT("'" &amp; $A109 &amp; "'!B16:J16")="", "", INDIRECT("'" &amp; $A109 &amp; "'!B16:J16"))</f>
        <v/>
      </c>
      <c r="D109" s="50" t="str">
        <f ca="1"/>
        <v/>
      </c>
      <c r="E109" s="50">
        <f ca="1"/>
        <v>0</v>
      </c>
      <c r="F109" s="51">
        <f ca="1"/>
        <v>0</v>
      </c>
      <c r="G109" s="52" t="str">
        <f ca="1"/>
        <v/>
      </c>
      <c r="H109" s="52">
        <f ca="1"/>
        <v>0</v>
      </c>
      <c r="I109" s="53">
        <f ca="1"/>
        <v>0</v>
      </c>
      <c r="J109" s="26" t="str">
        <f ca="1"/>
        <v/>
      </c>
      <c r="K109" s="26" t="str">
        <f ca="1"/>
        <v/>
      </c>
    </row>
    <row r="110" spans="1:12" ht="15.75" customHeight="1">
      <c r="A110" s="137" t="str">
        <v>Rivard 1</v>
      </c>
      <c r="B110" s="138" t="str">
        <v>NYCS VI</v>
      </c>
      <c r="C110" s="50" t="str" cm="1">
        <f t="array" aca="1" ref="C110:K110" ca="1">IF(INDIRECT("'" &amp; $A110 &amp; "'!B16:J16")="", "", INDIRECT("'" &amp; $A110 &amp; "'!B16:J16"))</f>
        <v/>
      </c>
      <c r="D110" s="50" t="str">
        <f ca="1"/>
        <v/>
      </c>
      <c r="E110" s="50">
        <f ca="1"/>
        <v>0</v>
      </c>
      <c r="F110" s="51">
        <f ca="1"/>
        <v>0</v>
      </c>
      <c r="G110" s="52" t="str">
        <f ca="1"/>
        <v/>
      </c>
      <c r="H110" s="52">
        <f ca="1"/>
        <v>0</v>
      </c>
      <c r="I110" s="53">
        <f ca="1"/>
        <v>0</v>
      </c>
      <c r="J110" s="26" t="str">
        <f ca="1"/>
        <v/>
      </c>
      <c r="K110" s="26" t="str">
        <f ca="1"/>
        <v/>
      </c>
      <c r="L110" s="125"/>
    </row>
    <row r="111" spans="1:12" ht="15.75" customHeight="1">
      <c r="A111" s="145" t="str">
        <v>Rivard 2</v>
      </c>
      <c r="B111" s="146" t="str">
        <v>NYCS VI</v>
      </c>
      <c r="C111" s="50" t="str" cm="1">
        <f t="array" aca="1" ref="C111:K111" ca="1">IF(INDIRECT("'" &amp; $A111 &amp; "'!B16:J16")="", "", INDIRECT("'" &amp; $A111 &amp; "'!B16:J16"))</f>
        <v/>
      </c>
      <c r="D111" s="50" t="str">
        <f ca="1"/>
        <v/>
      </c>
      <c r="E111" s="50">
        <f ca="1"/>
        <v>0</v>
      </c>
      <c r="F111" s="51">
        <f ca="1"/>
        <v>0</v>
      </c>
      <c r="G111" s="52" t="str">
        <f ca="1"/>
        <v/>
      </c>
      <c r="H111" s="52">
        <f ca="1"/>
        <v>0</v>
      </c>
      <c r="I111" s="53">
        <f ca="1"/>
        <v>0</v>
      </c>
      <c r="J111" s="26" t="str">
        <f ca="1"/>
        <v/>
      </c>
      <c r="K111" s="26" t="str">
        <f ca="1"/>
        <v/>
      </c>
    </row>
    <row r="112" spans="1:12" ht="15.75" customHeight="1">
      <c r="A112" s="137" t="str">
        <v>Essex</v>
      </c>
      <c r="B112" s="138" t="str">
        <v>Opportunity</v>
      </c>
      <c r="C112" s="50" t="str" cm="1">
        <f t="array" aca="1" ref="C112:K112" ca="1">IF(INDIRECT("'" &amp; $A112 &amp; "'!B16:J16")="", "", INDIRECT("'" &amp; $A112 &amp; "'!B16:J16"))</f>
        <v/>
      </c>
      <c r="D112" s="50" t="str">
        <f ca="1"/>
        <v/>
      </c>
      <c r="E112" s="50">
        <f ca="1"/>
        <v>0</v>
      </c>
      <c r="F112" s="51">
        <f ca="1"/>
        <v>0</v>
      </c>
      <c r="G112" s="52" t="str">
        <f ca="1"/>
        <v/>
      </c>
      <c r="H112" s="52">
        <f ca="1"/>
        <v>0</v>
      </c>
      <c r="I112" s="53">
        <f ca="1"/>
        <v>0</v>
      </c>
      <c r="J112" s="26" t="str">
        <f ca="1"/>
        <v/>
      </c>
      <c r="K112" s="26" t="str">
        <f ca="1"/>
        <v/>
      </c>
    </row>
    <row r="113" spans="1:11" ht="15.75" customHeight="1">
      <c r="A113" s="145" t="str">
        <v>Temple Sinai</v>
      </c>
      <c r="B113" s="146" t="str">
        <v>Opportunity</v>
      </c>
      <c r="C113" s="50" t="str" cm="1">
        <f t="array" aca="1" ref="C113:K113" ca="1">IF(INDIRECT("'" &amp; $A113 &amp; "'!B16:J16")="", "", INDIRECT("'" &amp; $A113 &amp; "'!B16:J16"))</f>
        <v/>
      </c>
      <c r="D113" s="50" t="str">
        <f ca="1"/>
        <v/>
      </c>
      <c r="E113" s="50">
        <f ca="1"/>
        <v>0</v>
      </c>
      <c r="F113" s="51">
        <f ca="1"/>
        <v>0</v>
      </c>
      <c r="G113" s="52" t="str">
        <f ca="1"/>
        <v/>
      </c>
      <c r="H113" s="52">
        <f ca="1"/>
        <v>0</v>
      </c>
      <c r="I113" s="53">
        <f ca="1"/>
        <v>0</v>
      </c>
      <c r="J113" s="26" t="str">
        <f ca="1"/>
        <v/>
      </c>
      <c r="K113" s="26" t="str">
        <f ca="1"/>
        <v xml:space="preserve"> </v>
      </c>
    </row>
    <row r="114" spans="1:11" ht="15.75" customHeight="1">
      <c r="A114" s="137" t="str">
        <v>Weinberg 1</v>
      </c>
      <c r="B114" s="138" t="str">
        <v>Opportunity</v>
      </c>
      <c r="C114" s="50" t="str" cm="1">
        <f t="array" aca="1" ref="C114:K114" ca="1">IF(INDIRECT("'" &amp; $A114 &amp; "'!B16:J16")="", "", INDIRECT("'" &amp; $A114 &amp; "'!B16:J16"))</f>
        <v/>
      </c>
      <c r="D114" s="50" t="str">
        <f ca="1"/>
        <v/>
      </c>
      <c r="E114" s="50">
        <f ca="1"/>
        <v>0</v>
      </c>
      <c r="F114" s="51">
        <f ca="1"/>
        <v>0</v>
      </c>
      <c r="G114" s="52" t="str">
        <f ca="1"/>
        <v/>
      </c>
      <c r="H114" s="52">
        <f ca="1"/>
        <v>0</v>
      </c>
      <c r="I114" s="53">
        <f ca="1"/>
        <v>0</v>
      </c>
      <c r="J114" s="26" t="str">
        <f ca="1"/>
        <v/>
      </c>
      <c r="K114" s="26" t="str">
        <f ca="1"/>
        <v xml:space="preserve"> </v>
      </c>
    </row>
    <row r="115" spans="1:11" ht="15.75" customHeight="1">
      <c r="A115" s="145" t="str">
        <v>Weinberg 2</v>
      </c>
      <c r="B115" s="146" t="str">
        <v>Opportunity</v>
      </c>
      <c r="C115" s="50" t="str" cm="1">
        <f t="array" aca="1" ref="C115:K115" ca="1">IF(INDIRECT("'" &amp; $A115 &amp; "'!B16:J16")="", "", INDIRECT("'" &amp; $A115 &amp; "'!B16:J16"))</f>
        <v/>
      </c>
      <c r="D115" s="50" t="str">
        <f ca="1"/>
        <v/>
      </c>
      <c r="E115" s="50">
        <f ca="1"/>
        <v>0</v>
      </c>
      <c r="F115" s="51">
        <f ca="1"/>
        <v>0</v>
      </c>
      <c r="G115" s="52" t="str">
        <f ca="1"/>
        <v/>
      </c>
      <c r="H115" s="52">
        <f ca="1"/>
        <v>0</v>
      </c>
      <c r="I115" s="53">
        <f ca="1"/>
        <v>0</v>
      </c>
      <c r="J115" s="26" t="str">
        <f ca="1"/>
        <v/>
      </c>
      <c r="K115" s="26" t="str">
        <f ca="1"/>
        <v xml:space="preserve"> </v>
      </c>
    </row>
    <row r="116" spans="1:11" ht="15.75" customHeight="1">
      <c r="A116" s="137" t="str">
        <v>Weinberg 3</v>
      </c>
      <c r="B116" s="138" t="str">
        <v>Opportunity</v>
      </c>
      <c r="C116" s="50" t="str" cm="1">
        <f t="array" aca="1" ref="C116:K116" ca="1">IF(INDIRECT("'" &amp; $A116 &amp; "'!B16:J16")="", "", INDIRECT("'" &amp; $A116 &amp; "'!B16:J16"))</f>
        <v/>
      </c>
      <c r="D116" s="50" t="str">
        <f ca="1"/>
        <v/>
      </c>
      <c r="E116" s="50">
        <f ca="1"/>
        <v>0</v>
      </c>
      <c r="F116" s="51">
        <f ca="1"/>
        <v>0</v>
      </c>
      <c r="G116" s="52" t="str">
        <f ca="1"/>
        <v/>
      </c>
      <c r="H116" s="52">
        <f ca="1"/>
        <v>0</v>
      </c>
      <c r="I116" s="53">
        <f ca="1"/>
        <v>0</v>
      </c>
      <c r="J116" s="26" t="str">
        <f ca="1"/>
        <v/>
      </c>
      <c r="K116" s="26" t="str">
        <f ca="1"/>
        <v xml:space="preserve"> </v>
      </c>
    </row>
    <row r="117" spans="1:11" ht="15.75" customHeight="1">
      <c r="A117" s="145" t="str">
        <v>Clayton Hall</v>
      </c>
      <c r="B117" s="146" t="str">
        <v>Opportunity</v>
      </c>
      <c r="C117" s="50" t="str" cm="1">
        <f t="array" aca="1" ref="C117:K117" ca="1">IF(INDIRECT("'" &amp; $A117 &amp; "'!B16:J16")="", "", INDIRECT("'" &amp; $A117 &amp; "'!B16:J16"))</f>
        <v/>
      </c>
      <c r="D117" s="50" t="str">
        <f ca="1"/>
        <v/>
      </c>
      <c r="E117" s="50">
        <f ca="1"/>
        <v>0</v>
      </c>
      <c r="F117" s="51">
        <f ca="1"/>
        <v>0</v>
      </c>
      <c r="G117" s="52" t="str">
        <f ca="1"/>
        <v/>
      </c>
      <c r="H117" s="52">
        <f ca="1"/>
        <v>0</v>
      </c>
      <c r="I117" s="53">
        <f ca="1"/>
        <v>0</v>
      </c>
      <c r="J117" s="26" t="str">
        <f ca="1"/>
        <v/>
      </c>
      <c r="K117" s="26" t="str">
        <f ca="1"/>
        <v xml:space="preserve"> </v>
      </c>
    </row>
    <row r="118" spans="1:11" ht="15.75" customHeight="1">
      <c r="A118" s="137" t="str">
        <v>Field House</v>
      </c>
      <c r="B118" s="138" t="str">
        <v>Opportunity</v>
      </c>
      <c r="C118" s="50" t="str" cm="1">
        <f t="array" aca="1" ref="C118:K118" ca="1">IF(INDIRECT("'" &amp; $A118 &amp; "'!B16:J16")="", "", INDIRECT("'" &amp; $A118 &amp; "'!B16:J16"))</f>
        <v/>
      </c>
      <c r="D118" s="50" t="str">
        <f ca="1"/>
        <v/>
      </c>
      <c r="E118" s="50">
        <f ca="1"/>
        <v>0</v>
      </c>
      <c r="F118" s="51">
        <f ca="1"/>
        <v>0</v>
      </c>
      <c r="G118" s="52" t="str">
        <f ca="1"/>
        <v/>
      </c>
      <c r="H118" s="52">
        <f ca="1"/>
        <v>0</v>
      </c>
      <c r="I118" s="53">
        <f ca="1"/>
        <v>0</v>
      </c>
      <c r="J118" s="26" t="str">
        <f ca="1"/>
        <v/>
      </c>
      <c r="K118" s="26" t="str">
        <f ca="1"/>
        <v xml:space="preserve"> </v>
      </c>
    </row>
    <row r="119" spans="1:11" ht="15.75" customHeight="1">
      <c r="A119" s="145" t="str">
        <v>Wyoming Road</v>
      </c>
      <c r="B119" s="146" t="str">
        <v>Opportunity</v>
      </c>
      <c r="C119" s="50" t="str" cm="1">
        <f t="array" aca="1" ref="C119:K119" ca="1">IF(INDIRECT("'" &amp; $A119 &amp; "'!B16:J16")="", "", INDIRECT("'" &amp; $A119 &amp; "'!B16:J16"))</f>
        <v/>
      </c>
      <c r="D119" s="50" t="str">
        <f ca="1"/>
        <v/>
      </c>
      <c r="E119" s="50">
        <f ca="1"/>
        <v>0</v>
      </c>
      <c r="F119" s="51">
        <f ca="1"/>
        <v>0</v>
      </c>
      <c r="G119" s="52" t="str">
        <f ca="1"/>
        <v/>
      </c>
      <c r="H119" s="52">
        <f ca="1"/>
        <v>0</v>
      </c>
      <c r="I119" s="53">
        <f ca="1"/>
        <v>0</v>
      </c>
      <c r="J119" s="26" t="str">
        <f ca="1"/>
        <v/>
      </c>
      <c r="K119" s="26" t="str">
        <f ca="1"/>
        <v xml:space="preserve"> </v>
      </c>
    </row>
    <row r="120" spans="1:11" ht="15.75" customHeight="1">
      <c r="A120" s="137" t="str">
        <v>Leoku</v>
      </c>
      <c r="B120" s="138" t="str">
        <v>Opportunity</v>
      </c>
      <c r="C120" s="50" t="str" cm="1">
        <f t="array" aca="1" ref="C120:K120" ca="1">IF(INDIRECT("'" &amp; $A120 &amp; "'!B16:J16")="", "", INDIRECT("'" &amp; $A120 &amp; "'!B16:J16"))</f>
        <v/>
      </c>
      <c r="D120" s="50" t="str">
        <f ca="1"/>
        <v/>
      </c>
      <c r="E120" s="50">
        <f ca="1"/>
        <v>0</v>
      </c>
      <c r="F120" s="51">
        <f ca="1"/>
        <v>0</v>
      </c>
      <c r="G120" s="52" t="str">
        <f ca="1"/>
        <v/>
      </c>
      <c r="H120" s="52">
        <f ca="1"/>
        <v>0</v>
      </c>
      <c r="I120" s="53">
        <f ca="1"/>
        <v>0</v>
      </c>
      <c r="J120" s="26" t="str">
        <f ca="1"/>
        <v/>
      </c>
      <c r="K120" s="26" t="str">
        <f ca="1"/>
        <v/>
      </c>
    </row>
    <row r="121" spans="1:11" ht="15.75" customHeight="1">
      <c r="A121" s="145" t="str">
        <v>Waipahu</v>
      </c>
      <c r="B121" s="146" t="str">
        <v>Opportunity</v>
      </c>
      <c r="C121" s="50" t="str" cm="1">
        <f t="array" aca="1" ref="C121:K121" ca="1">IF(INDIRECT("'" &amp; $A121 &amp; "'!B16:J16")="", "", INDIRECT("'" &amp; $A121 &amp; "'!B16:J16"))</f>
        <v/>
      </c>
      <c r="D121" s="50" t="str">
        <f ca="1"/>
        <v/>
      </c>
      <c r="E121" s="50">
        <f ca="1"/>
        <v>0</v>
      </c>
      <c r="F121" s="51">
        <f ca="1"/>
        <v>0</v>
      </c>
      <c r="G121" s="52" t="str">
        <f ca="1"/>
        <v/>
      </c>
      <c r="H121" s="52">
        <f ca="1"/>
        <v>0</v>
      </c>
      <c r="I121" s="53">
        <f ca="1"/>
        <v>0</v>
      </c>
      <c r="J121" s="26" t="str">
        <f ca="1"/>
        <v/>
      </c>
      <c r="K121" s="26" t="str">
        <f ca="1"/>
        <v/>
      </c>
    </row>
    <row r="122" spans="1:11" ht="15.75" customHeight="1">
      <c r="A122" s="145" t="str">
        <v>Bird in Hand</v>
      </c>
      <c r="B122" s="146" t="str">
        <v>Opportunity</v>
      </c>
      <c r="C122" s="50" t="str" cm="1">
        <f t="array" aca="1" ref="C122:K122" ca="1">IF(INDIRECT("'" &amp; $A122 &amp; "'!B16:J16")="", "", INDIRECT("'" &amp; $A122 &amp; "'!B16:J16"))</f>
        <v/>
      </c>
      <c r="D122" s="50" t="str">
        <f ca="1"/>
        <v/>
      </c>
      <c r="E122" s="50">
        <f ca="1"/>
        <v>0</v>
      </c>
      <c r="F122" s="51">
        <f ca="1"/>
        <v>0</v>
      </c>
      <c r="G122" s="52" t="str">
        <f ca="1"/>
        <v/>
      </c>
      <c r="H122" s="52">
        <f ca="1"/>
        <v>0</v>
      </c>
      <c r="I122" s="53">
        <f ca="1"/>
        <v>0</v>
      </c>
      <c r="J122" s="26" t="str">
        <f ca="1"/>
        <v/>
      </c>
      <c r="K122" s="26" t="str">
        <f ca="1"/>
        <v/>
      </c>
    </row>
    <row r="123" spans="1:11" ht="15.75" customHeight="1">
      <c r="A123" s="145" t="str">
        <v>Shortal</v>
      </c>
      <c r="B123" s="146" t="str">
        <v>Opportunity</v>
      </c>
      <c r="C123" s="50" t="str" cm="1">
        <f t="array" aca="1" ref="C123:K123" ca="1">IF(INDIRECT("'" &amp; $A123 &amp; "'!B16:J16")="", "", INDIRECT("'" &amp; $A123 &amp; "'!B16:J16"))</f>
        <v/>
      </c>
      <c r="D123" s="50" t="str">
        <f ca="1"/>
        <v/>
      </c>
      <c r="E123" s="50">
        <f ca="1"/>
        <v>0</v>
      </c>
      <c r="F123" s="51">
        <f ca="1"/>
        <v>0</v>
      </c>
      <c r="G123" s="52" t="str">
        <f ca="1"/>
        <v/>
      </c>
      <c r="H123" s="52">
        <f ca="1"/>
        <v>0</v>
      </c>
      <c r="I123" s="53">
        <f ca="1"/>
        <v>0</v>
      </c>
      <c r="J123" s="26" t="str">
        <f ca="1"/>
        <v/>
      </c>
      <c r="K123" s="26" t="str">
        <f ca="1"/>
        <v xml:space="preserve"> </v>
      </c>
    </row>
    <row r="124" spans="1:11" ht="15.75" customHeight="1">
      <c r="A124" s="145" t="str">
        <v>Aguadilla</v>
      </c>
      <c r="B124" s="146" t="str">
        <v>Opportunity</v>
      </c>
      <c r="C124" s="50" t="str" cm="1">
        <f t="array" aca="1" ref="C124:K124" ca="1">IF(INDIRECT("'" &amp; $A124 &amp; "'!B16:J16")="", "", INDIRECT("'" &amp; $A124 &amp; "'!B16:J16"))</f>
        <v/>
      </c>
      <c r="D124" s="50" t="str">
        <f ca="1"/>
        <v/>
      </c>
      <c r="E124" s="50">
        <f ca="1"/>
        <v>0</v>
      </c>
      <c r="F124" s="51">
        <f ca="1"/>
        <v>0</v>
      </c>
      <c r="G124" s="52" t="str">
        <f ca="1"/>
        <v/>
      </c>
      <c r="H124" s="52">
        <f ca="1"/>
        <v>0</v>
      </c>
      <c r="I124" s="53">
        <f ca="1"/>
        <v>0</v>
      </c>
      <c r="J124" s="26" t="str">
        <f ca="1"/>
        <v/>
      </c>
      <c r="K124" s="26" t="str">
        <f ca="1"/>
        <v/>
      </c>
    </row>
    <row r="125" spans="1:11" ht="46.5" customHeight="1">
      <c r="A125" s="137" t="str">
        <v>Bayamon</v>
      </c>
      <c r="B125" s="138" t="str">
        <v>Opportunity</v>
      </c>
      <c r="C125" s="50" t="str" cm="1">
        <f t="array" aca="1" ref="C125:K125" ca="1">IF(INDIRECT("'" &amp; $A125 &amp; "'!B16:J16")="", "", INDIRECT("'" &amp; $A125 &amp; "'!B16:J16"))</f>
        <v/>
      </c>
      <c r="D125" s="50" t="str">
        <f ca="1"/>
        <v/>
      </c>
      <c r="E125" s="50">
        <f ca="1"/>
        <v>0</v>
      </c>
      <c r="F125" s="51">
        <f ca="1"/>
        <v>0</v>
      </c>
      <c r="G125" s="52" t="str">
        <f ca="1"/>
        <v/>
      </c>
      <c r="H125" s="52">
        <f ca="1"/>
        <v>0</v>
      </c>
      <c r="I125" s="53">
        <f ca="1"/>
        <v>0</v>
      </c>
      <c r="J125" s="26" t="str">
        <f ca="1"/>
        <v/>
      </c>
      <c r="K125" s="26" t="str">
        <f ca="1"/>
        <v/>
      </c>
    </row>
    <row r="126" spans="1:11" ht="15.75" customHeight="1">
      <c r="A126" s="145" t="str">
        <v>St Francis</v>
      </c>
      <c r="B126" s="146" t="str">
        <v>Opportunity</v>
      </c>
      <c r="C126" s="50" t="str" cm="1">
        <f t="array" aca="1" ref="C126:K126" ca="1">IF(INDIRECT("'" &amp; $A126 &amp; "'!B16:J16")="", "", INDIRECT("'" &amp; $A126 &amp; "'!B16:J16"))</f>
        <v/>
      </c>
      <c r="D126" s="50" t="str">
        <f ca="1"/>
        <v/>
      </c>
      <c r="E126" s="50">
        <f ca="1"/>
        <v>0</v>
      </c>
      <c r="F126" s="51">
        <f ca="1"/>
        <v>0</v>
      </c>
      <c r="G126" s="52" t="str">
        <f ca="1"/>
        <v/>
      </c>
      <c r="H126" s="52">
        <f ca="1"/>
        <v>0</v>
      </c>
      <c r="I126" s="53">
        <f ca="1"/>
        <v>0</v>
      </c>
      <c r="J126" s="26" t="str">
        <f ca="1"/>
        <v/>
      </c>
      <c r="K126" s="26" t="str">
        <f ca="1"/>
        <v/>
      </c>
    </row>
    <row r="127" spans="1:11" ht="15.75" customHeight="1">
      <c r="A127" s="137" t="str">
        <v>Seaport</v>
      </c>
      <c r="B127" s="138" t="str">
        <v>Sunraise</v>
      </c>
      <c r="C127" s="50" t="str" cm="1">
        <f t="array" aca="1" ref="C127:K127" ca="1">IF(INDIRECT("'" &amp; $A127 &amp; "'!B16:J16")="", "", INDIRECT("'" &amp; $A127 &amp; "'!B16:J16"))</f>
        <v/>
      </c>
      <c r="D127" s="50" t="str">
        <f ca="1"/>
        <v/>
      </c>
      <c r="E127" s="50">
        <f ca="1"/>
        <v>0</v>
      </c>
      <c r="F127" s="51">
        <f ca="1"/>
        <v>0</v>
      </c>
      <c r="G127" s="52" t="str">
        <f ca="1"/>
        <v/>
      </c>
      <c r="H127" s="52">
        <f ca="1"/>
        <v>0</v>
      </c>
      <c r="I127" s="53">
        <f ca="1"/>
        <v>0</v>
      </c>
      <c r="J127" s="26" t="str">
        <f ca="1"/>
        <v/>
      </c>
      <c r="K127" s="26" t="str">
        <f ca="1"/>
        <v xml:space="preserve"> </v>
      </c>
    </row>
    <row r="128" spans="1:11" ht="15.75" customHeight="1">
      <c r="A128" s="145" t="str">
        <v>Sprague St</v>
      </c>
      <c r="B128" s="146" t="str">
        <v>Sunraise</v>
      </c>
      <c r="C128" s="50" t="str" cm="1">
        <f t="array" aca="1" ref="C128:K128" ca="1">IF(INDIRECT("'" &amp; $A128 &amp; "'!B16:J16")="", "", INDIRECT("'" &amp; $A128 &amp; "'!B16:J16"))</f>
        <v/>
      </c>
      <c r="D128" s="50" t="str">
        <f ca="1"/>
        <v/>
      </c>
      <c r="E128" s="50">
        <f ca="1"/>
        <v>0</v>
      </c>
      <c r="F128" s="51">
        <f ca="1"/>
        <v>0</v>
      </c>
      <c r="G128" s="52" t="str">
        <f ca="1"/>
        <v/>
      </c>
      <c r="H128" s="52">
        <f ca="1"/>
        <v>0</v>
      </c>
      <c r="I128" s="53">
        <f ca="1"/>
        <v>0</v>
      </c>
      <c r="J128" s="26" t="str">
        <f ca="1"/>
        <v/>
      </c>
      <c r="K128" s="26" t="str">
        <f ca="1"/>
        <v/>
      </c>
    </row>
    <row r="129" spans="1:11" ht="15.75" customHeight="1">
      <c r="A129" s="137" t="str">
        <v>Summer St</v>
      </c>
      <c r="B129" s="138" t="str">
        <v>Sunraise</v>
      </c>
      <c r="C129" s="50" t="str" cm="1">
        <f t="array" aca="1" ref="C129:K129" ca="1">IF(INDIRECT("'" &amp; $A129 &amp; "'!B16:J16")="", "", INDIRECT("'" &amp; $A129 &amp; "'!B16:J16"))</f>
        <v/>
      </c>
      <c r="D129" s="50" t="str">
        <f ca="1"/>
        <v/>
      </c>
      <c r="E129" s="50">
        <f ca="1"/>
        <v>0</v>
      </c>
      <c r="F129" s="51">
        <f ca="1"/>
        <v>0</v>
      </c>
      <c r="G129" s="52" t="str">
        <f ca="1"/>
        <v/>
      </c>
      <c r="H129" s="52">
        <f ca="1"/>
        <v>0</v>
      </c>
      <c r="I129" s="53">
        <f ca="1"/>
        <v>0</v>
      </c>
      <c r="J129" s="26" t="str">
        <f ca="1"/>
        <v/>
      </c>
      <c r="K129" s="26" t="str">
        <f ca="1"/>
        <v xml:space="preserve"> </v>
      </c>
    </row>
    <row r="130" spans="1:11" ht="15.75" customHeight="1">
      <c r="A130" s="145" t="str">
        <v>Brock St Vocational</v>
      </c>
      <c r="B130" s="146" t="str">
        <v>Sunraise</v>
      </c>
      <c r="C130" s="50" t="str" cm="1">
        <f t="array" aca="1" ref="C130:K130" ca="1">IF(INDIRECT("'" &amp; $A130 &amp; "'!B16:J16")="", "", INDIRECT("'" &amp; $A130 &amp; "'!B16:J16"))</f>
        <v/>
      </c>
      <c r="D130" s="50" t="str">
        <f ca="1"/>
        <v/>
      </c>
      <c r="E130" s="50">
        <f ca="1"/>
        <v>0</v>
      </c>
      <c r="F130" s="51">
        <f ca="1"/>
        <v>0</v>
      </c>
      <c r="G130" s="52" t="str">
        <f ca="1"/>
        <v/>
      </c>
      <c r="H130" s="52">
        <f ca="1"/>
        <v>0</v>
      </c>
      <c r="I130" s="53">
        <f ca="1"/>
        <v>0</v>
      </c>
      <c r="J130" s="26" t="str">
        <f ca="1"/>
        <v/>
      </c>
      <c r="K130" s="26" t="str">
        <f ca="1"/>
        <v xml:space="preserve"> </v>
      </c>
    </row>
    <row r="131" spans="1:11" ht="15.75" customHeight="1">
      <c r="A131" s="137" t="str">
        <v>McClelland ES</v>
      </c>
      <c r="B131" s="138" t="str">
        <v>Sunraise</v>
      </c>
      <c r="C131" s="50" t="str" cm="1">
        <f t="array" aca="1" ref="C131:K131" ca="1">IF(INDIRECT("'" &amp; $A131 &amp; "'!B16:J16")="", "", INDIRECT("'" &amp; $A131 &amp; "'!B16:J16"))</f>
        <v/>
      </c>
      <c r="D131" s="50" t="str">
        <f ca="1"/>
        <v/>
      </c>
      <c r="E131" s="50">
        <f ca="1"/>
        <v>0</v>
      </c>
      <c r="F131" s="51">
        <f ca="1"/>
        <v>0</v>
      </c>
      <c r="G131" s="52" t="str">
        <f ca="1"/>
        <v/>
      </c>
      <c r="H131" s="52">
        <f ca="1"/>
        <v>0</v>
      </c>
      <c r="I131" s="53">
        <f ca="1"/>
        <v>0</v>
      </c>
      <c r="J131" s="26" t="str">
        <f ca="1"/>
        <v/>
      </c>
      <c r="K131" s="26" t="str">
        <f ca="1"/>
        <v xml:space="preserve"> </v>
      </c>
    </row>
    <row r="132" spans="1:11" ht="15.75" customHeight="1">
      <c r="A132" s="145" t="str">
        <v>Portland St</v>
      </c>
      <c r="B132" s="146" t="str">
        <v>Sunraise</v>
      </c>
      <c r="C132" s="50" t="str" cm="1">
        <f t="array" aca="1" ref="C132:K132" ca="1">IF(INDIRECT("'" &amp; $A132 &amp; "'!B16:J16")="", "", INDIRECT("'" &amp; $A132 &amp; "'!B16:J16"))</f>
        <v/>
      </c>
      <c r="D132" s="50" t="str">
        <f ca="1"/>
        <v/>
      </c>
      <c r="E132" s="50">
        <f ca="1"/>
        <v>0</v>
      </c>
      <c r="F132" s="51">
        <f ca="1"/>
        <v>0</v>
      </c>
      <c r="G132" s="52" t="str">
        <f ca="1"/>
        <v/>
      </c>
      <c r="H132" s="52">
        <f ca="1"/>
        <v>0</v>
      </c>
      <c r="I132" s="53">
        <f ca="1"/>
        <v>0</v>
      </c>
      <c r="J132" s="26" t="str">
        <f ca="1"/>
        <v/>
      </c>
      <c r="K132" s="26" t="str">
        <f ca="1"/>
        <v xml:space="preserve"> </v>
      </c>
    </row>
    <row r="133" spans="1:11" ht="15.75" customHeight="1">
      <c r="A133" s="137" t="str">
        <v>Portsmouth HS</v>
      </c>
      <c r="B133" s="138" t="str">
        <v>Sunraise</v>
      </c>
      <c r="C133" s="50" t="str" cm="1">
        <f t="array" aca="1" ref="C133:K133" ca="1">IF(INDIRECT("'" &amp; $A133 &amp; "'!B16:J16")="", "", INDIRECT("'" &amp; $A133 &amp; "'!B16:J16"))</f>
        <v/>
      </c>
      <c r="D133" s="50" t="str">
        <f ca="1"/>
        <v/>
      </c>
      <c r="E133" s="50">
        <f ca="1"/>
        <v>0</v>
      </c>
      <c r="F133" s="51">
        <f ca="1"/>
        <v>0</v>
      </c>
      <c r="G133" s="52" t="str">
        <f ca="1"/>
        <v/>
      </c>
      <c r="H133" s="52">
        <f ca="1"/>
        <v>0</v>
      </c>
      <c r="I133" s="53">
        <f ca="1"/>
        <v>0</v>
      </c>
      <c r="J133" s="26" t="str">
        <f ca="1"/>
        <v/>
      </c>
      <c r="K133" s="26" t="str">
        <f ca="1"/>
        <v/>
      </c>
    </row>
    <row r="134" spans="1:11" ht="15.75" customHeight="1">
      <c r="A134" s="145" t="str">
        <v>Portsmouth WTP</v>
      </c>
      <c r="B134" s="146" t="str">
        <v>Sunraise</v>
      </c>
      <c r="C134" s="50" t="str" cm="1">
        <f t="array" aca="1" ref="C134:K134" ca="1">IF(INDIRECT("'" &amp; $A134 &amp; "'!B16:J16")="", "", INDIRECT("'" &amp; $A134 &amp; "'!B16:J16"))</f>
        <v/>
      </c>
      <c r="D134" s="50" t="str">
        <f ca="1"/>
        <v/>
      </c>
      <c r="E134" s="50">
        <f ca="1"/>
        <v>0</v>
      </c>
      <c r="F134" s="51">
        <f ca="1"/>
        <v>0</v>
      </c>
      <c r="G134" s="52" t="str">
        <f ca="1"/>
        <v/>
      </c>
      <c r="H134" s="52">
        <f ca="1"/>
        <v>0</v>
      </c>
      <c r="I134" s="53">
        <f ca="1"/>
        <v>0</v>
      </c>
      <c r="J134" s="26" t="str">
        <f ca="1"/>
        <v/>
      </c>
      <c r="K134" s="26" t="str">
        <f ca="1"/>
        <v xml:space="preserve"> </v>
      </c>
    </row>
    <row r="135" spans="1:11" ht="15.75" customHeight="1">
      <c r="A135" s="137" t="str">
        <v>Rochester St</v>
      </c>
      <c r="B135" s="138" t="str">
        <v>Sunraise</v>
      </c>
      <c r="C135" s="50" t="str" cm="1">
        <f t="array" aca="1" ref="C135:K135" ca="1">IF(INDIRECT("'" &amp; $A135 &amp; "'!B16:J16")="", "", INDIRECT("'" &amp; $A135 &amp; "'!B16:J16"))</f>
        <v/>
      </c>
      <c r="D135" s="50" t="str">
        <f ca="1"/>
        <v/>
      </c>
      <c r="E135" s="50">
        <f ca="1"/>
        <v>0</v>
      </c>
      <c r="F135" s="51">
        <f ca="1"/>
        <v>0</v>
      </c>
      <c r="G135" s="52" t="str">
        <f ca="1"/>
        <v/>
      </c>
      <c r="H135" s="52">
        <f ca="1"/>
        <v>0</v>
      </c>
      <c r="I135" s="53">
        <f ca="1"/>
        <v>0</v>
      </c>
      <c r="J135" s="26" t="str">
        <f ca="1"/>
        <v/>
      </c>
      <c r="K135" s="26" t="str">
        <f ca="1"/>
        <v xml:space="preserve"> </v>
      </c>
    </row>
    <row r="136" spans="1:11" ht="15.75" customHeight="1">
      <c r="A136" s="145" t="str">
        <v>Spaulding HS</v>
      </c>
      <c r="B136" s="146" t="str">
        <v>Sunraise</v>
      </c>
      <c r="C136" s="50" t="str" cm="1">
        <f t="array" aca="1" ref="C136:K136" ca="1">IF(INDIRECT("'" &amp; $A136 &amp; "'!B16:J16")="", "", INDIRECT("'" &amp; $A136 &amp; "'!B16:J16"))</f>
        <v/>
      </c>
      <c r="D136" s="50" t="str">
        <f ca="1"/>
        <v/>
      </c>
      <c r="E136" s="50">
        <f ca="1"/>
        <v>0</v>
      </c>
      <c r="F136" s="51">
        <f ca="1"/>
        <v>0</v>
      </c>
      <c r="G136" s="52" t="str">
        <f ca="1"/>
        <v/>
      </c>
      <c r="H136" s="52">
        <f ca="1"/>
        <v>0</v>
      </c>
      <c r="I136" s="53">
        <f ca="1"/>
        <v>0</v>
      </c>
      <c r="J136" s="26" t="str">
        <f ca="1"/>
        <v/>
      </c>
      <c r="K136" s="26" t="str">
        <f ca="1"/>
        <v xml:space="preserve"> </v>
      </c>
    </row>
    <row r="137" spans="1:11" ht="30.75" customHeight="1">
      <c r="A137" s="156" t="s">
        <v>9</v>
      </c>
      <c r="B137" s="157"/>
      <c r="C137" s="61">
        <f ca="1">SUM(C3:C58)</f>
        <v>0</v>
      </c>
      <c r="D137" s="61">
        <f ca="1">SUM(D3:D58)</f>
        <v>0</v>
      </c>
      <c r="E137" s="61">
        <f ca="1">C137-D137</f>
        <v>0</v>
      </c>
      <c r="F137" s="54">
        <f ca="1">IFERROR(E137/D137, 0)</f>
        <v>0</v>
      </c>
      <c r="G137" s="61">
        <f ca="1">SUM(G3:G58)</f>
        <v>0</v>
      </c>
      <c r="H137" s="62">
        <f ca="1">C137-G137</f>
        <v>0</v>
      </c>
      <c r="I137" s="55">
        <f ca="1">IFERROR(H137/G137, 0)</f>
        <v>0</v>
      </c>
    </row>
    <row r="138" spans="1:11" ht="12.75" customHeight="1"/>
    <row r="139" spans="1:11" ht="12.75" customHeight="1">
      <c r="A139" s="167" t="s">
        <v>10</v>
      </c>
      <c r="B139" s="167"/>
    </row>
    <row r="140" spans="1:11" ht="12.75" customHeight="1">
      <c r="A140" s="167"/>
      <c r="B140" s="167"/>
    </row>
    <row r="141" spans="1:11" ht="12.75" customHeight="1">
      <c r="A141" s="168" t="s">
        <v>11</v>
      </c>
      <c r="B141" s="168"/>
    </row>
    <row r="142" spans="1:11" ht="12.75" customHeight="1">
      <c r="A142" s="168"/>
      <c r="B142" s="168"/>
    </row>
  </sheetData>
  <autoFilter ref="A2:I2" xr:uid="{7BFACBC8-3831-4E2B-BAD7-988F02FCC664}"/>
  <mergeCells count="8">
    <mergeCell ref="A141:B142"/>
    <mergeCell ref="G1:I1"/>
    <mergeCell ref="J1:J2"/>
    <mergeCell ref="K1:K2"/>
    <mergeCell ref="C1:F1"/>
    <mergeCell ref="A1:B1"/>
    <mergeCell ref="A137:B137"/>
    <mergeCell ref="A139:B140"/>
  </mergeCells>
  <conditionalFormatting sqref="F3:F137 I3:I137">
    <cfRule type="cellIs" dxfId="2160" priority="1" operator="lessThanOrEqual">
      <formula>-0.1</formula>
    </cfRule>
    <cfRule type="cellIs" dxfId="2159" priority="2" operator="greaterThanOrEqual">
      <formula>0.1</formula>
    </cfRule>
  </conditionalFormatting>
  <pageMargins left="0.4" right="0.7" top="0.25" bottom="0.25" header="0.3" footer="0.3"/>
  <pageSetup scale="61"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DC99-AE09-4DEE-B03D-C219F7BF5DB4}">
  <sheetPr codeName="Sheet141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I136"/>
  <sheetViews>
    <sheetView workbookViewId="0">
      <pane ySplit="2" topLeftCell="A101" activePane="bottomLeft" state="frozen"/>
      <selection pane="bottomLeft" activeCell="A110" sqref="A110"/>
    </sheetView>
  </sheetViews>
  <sheetFormatPr defaultRowHeight="12.75" customHeight="1"/>
  <cols>
    <col min="1" max="1" width="40.7109375" style="10" bestFit="1" customWidth="1"/>
    <col min="2" max="2" width="21.42578125" customWidth="1"/>
    <col min="3" max="3" width="8" customWidth="1"/>
    <col min="4" max="4" width="9.140625" customWidth="1"/>
    <col min="5" max="5" width="19.140625" bestFit="1" customWidth="1"/>
    <col min="6" max="6" width="12.140625" customWidth="1"/>
    <col min="7" max="16" width="9.140625" customWidth="1"/>
  </cols>
  <sheetData>
    <row r="1" spans="1:9" ht="12.75" customHeight="1">
      <c r="A1" s="10" t="s">
        <v>47</v>
      </c>
      <c r="B1" t="s">
        <v>48</v>
      </c>
    </row>
    <row r="2" spans="1:9">
      <c r="A2" s="10" t="s">
        <v>49</v>
      </c>
      <c r="B2" t="s">
        <v>2</v>
      </c>
      <c r="C2" t="s">
        <v>50</v>
      </c>
      <c r="D2" t="s">
        <v>51</v>
      </c>
      <c r="E2" t="s">
        <v>3</v>
      </c>
      <c r="F2" t="s">
        <v>52</v>
      </c>
    </row>
    <row r="3" spans="1:9" ht="14.25">
      <c r="A3" s="77" t="s">
        <v>53</v>
      </c>
      <c r="B3" s="78" t="s">
        <v>54</v>
      </c>
      <c r="C3" s="78" t="s">
        <v>55</v>
      </c>
      <c r="E3" s="78" t="s">
        <v>56</v>
      </c>
      <c r="F3" t="s">
        <v>57</v>
      </c>
      <c r="I3" s="11"/>
    </row>
    <row r="4" spans="1:9" ht="14.25">
      <c r="A4" s="77" t="s">
        <v>58</v>
      </c>
      <c r="B4" s="78" t="s">
        <v>59</v>
      </c>
      <c r="C4" s="78" t="s">
        <v>55</v>
      </c>
      <c r="E4" s="78" t="s">
        <v>56</v>
      </c>
      <c r="F4" t="s">
        <v>57</v>
      </c>
      <c r="I4" s="11"/>
    </row>
    <row r="5" spans="1:9" ht="14.25">
      <c r="A5" s="77" t="s">
        <v>60</v>
      </c>
      <c r="B5" s="78" t="s">
        <v>60</v>
      </c>
      <c r="C5" s="78" t="s">
        <v>55</v>
      </c>
      <c r="E5" s="78" t="s">
        <v>56</v>
      </c>
      <c r="F5" t="s">
        <v>57</v>
      </c>
      <c r="I5" s="11"/>
    </row>
    <row r="6" spans="1:9" ht="14.25">
      <c r="A6" s="77" t="s">
        <v>61</v>
      </c>
      <c r="B6" s="78" t="s">
        <v>62</v>
      </c>
      <c r="C6" s="78" t="s">
        <v>55</v>
      </c>
      <c r="E6" s="78" t="s">
        <v>56</v>
      </c>
      <c r="F6" t="s">
        <v>57</v>
      </c>
      <c r="I6" s="11"/>
    </row>
    <row r="7" spans="1:9" ht="14.25">
      <c r="A7" s="77" t="s">
        <v>63</v>
      </c>
      <c r="B7" s="78" t="s">
        <v>64</v>
      </c>
      <c r="C7" s="78" t="s">
        <v>55</v>
      </c>
      <c r="E7" s="78" t="s">
        <v>56</v>
      </c>
      <c r="F7" t="s">
        <v>57</v>
      </c>
      <c r="I7" s="11"/>
    </row>
    <row r="8" spans="1:9" ht="14.25">
      <c r="A8" s="77" t="s">
        <v>65</v>
      </c>
      <c r="B8" s="78" t="s">
        <v>66</v>
      </c>
      <c r="C8" s="78" t="s">
        <v>55</v>
      </c>
      <c r="E8" s="78" t="s">
        <v>56</v>
      </c>
      <c r="F8" t="s">
        <v>57</v>
      </c>
      <c r="I8" s="11"/>
    </row>
    <row r="9" spans="1:9" ht="14.25">
      <c r="A9" s="77" t="s">
        <v>67</v>
      </c>
      <c r="B9" s="78" t="s">
        <v>68</v>
      </c>
      <c r="C9" s="78" t="s">
        <v>55</v>
      </c>
      <c r="E9" s="78" t="s">
        <v>56</v>
      </c>
      <c r="F9" t="s">
        <v>57</v>
      </c>
      <c r="I9" s="11"/>
    </row>
    <row r="10" spans="1:9" ht="14.25">
      <c r="A10" s="77" t="s">
        <v>69</v>
      </c>
      <c r="B10" s="78" t="s">
        <v>69</v>
      </c>
      <c r="C10" s="78" t="s">
        <v>55</v>
      </c>
      <c r="E10" s="78" t="s">
        <v>56</v>
      </c>
      <c r="F10" t="s">
        <v>57</v>
      </c>
      <c r="I10" s="11"/>
    </row>
    <row r="11" spans="1:9" ht="14.25">
      <c r="A11" s="77" t="s">
        <v>70</v>
      </c>
      <c r="B11" s="78" t="s">
        <v>70</v>
      </c>
      <c r="C11" s="78" t="s">
        <v>55</v>
      </c>
      <c r="E11" s="78" t="s">
        <v>56</v>
      </c>
      <c r="F11" t="s">
        <v>57</v>
      </c>
      <c r="I11" s="11"/>
    </row>
    <row r="12" spans="1:9" ht="14.25">
      <c r="A12" s="77" t="s">
        <v>71</v>
      </c>
      <c r="B12" s="78" t="s">
        <v>72</v>
      </c>
      <c r="C12" s="78" t="s">
        <v>73</v>
      </c>
      <c r="E12" s="78" t="s">
        <v>56</v>
      </c>
      <c r="F12" t="s">
        <v>57</v>
      </c>
      <c r="I12" s="11"/>
    </row>
    <row r="13" spans="1:9" ht="14.25">
      <c r="A13" s="77" t="s">
        <v>74</v>
      </c>
      <c r="B13" s="78" t="s">
        <v>75</v>
      </c>
      <c r="C13" s="78" t="s">
        <v>73</v>
      </c>
      <c r="E13" s="78" t="s">
        <v>56</v>
      </c>
      <c r="F13" t="s">
        <v>57</v>
      </c>
      <c r="I13" s="11"/>
    </row>
    <row r="14" spans="1:9" ht="14.25">
      <c r="A14" s="77" t="s">
        <v>76</v>
      </c>
      <c r="B14" s="78" t="s">
        <v>77</v>
      </c>
      <c r="C14" s="78" t="s">
        <v>55</v>
      </c>
      <c r="E14" s="78" t="s">
        <v>78</v>
      </c>
      <c r="F14" t="s">
        <v>57</v>
      </c>
      <c r="I14" s="11"/>
    </row>
    <row r="15" spans="1:9" ht="14.25">
      <c r="A15" s="77" t="s">
        <v>79</v>
      </c>
      <c r="B15" s="78" t="s">
        <v>80</v>
      </c>
      <c r="C15" s="78" t="s">
        <v>55</v>
      </c>
      <c r="E15" s="78" t="s">
        <v>78</v>
      </c>
      <c r="F15" t="s">
        <v>57</v>
      </c>
      <c r="I15" s="11"/>
    </row>
    <row r="16" spans="1:9" ht="12.75" customHeight="1">
      <c r="A16" s="77" t="s">
        <v>81</v>
      </c>
      <c r="B16" s="78" t="s">
        <v>82</v>
      </c>
      <c r="C16" s="78" t="s">
        <v>55</v>
      </c>
      <c r="E16" s="78" t="s">
        <v>78</v>
      </c>
      <c r="F16" t="s">
        <v>57</v>
      </c>
    </row>
    <row r="17" spans="1:6" ht="12.75" customHeight="1">
      <c r="A17" s="77" t="s">
        <v>83</v>
      </c>
      <c r="B17" s="78" t="s">
        <v>83</v>
      </c>
      <c r="C17" s="78" t="s">
        <v>55</v>
      </c>
      <c r="E17" s="78" t="s">
        <v>78</v>
      </c>
      <c r="F17" t="s">
        <v>57</v>
      </c>
    </row>
    <row r="18" spans="1:6" ht="12.75" customHeight="1">
      <c r="A18" s="77" t="s">
        <v>84</v>
      </c>
      <c r="B18" s="78" t="s">
        <v>85</v>
      </c>
      <c r="C18" s="78" t="s">
        <v>86</v>
      </c>
      <c r="E18" s="78" t="s">
        <v>87</v>
      </c>
      <c r="F18" t="s">
        <v>57</v>
      </c>
    </row>
    <row r="19" spans="1:6" ht="12.75" customHeight="1">
      <c r="A19" s="77" t="s">
        <v>88</v>
      </c>
      <c r="B19" s="78" t="s">
        <v>89</v>
      </c>
      <c r="C19" s="78" t="s">
        <v>86</v>
      </c>
      <c r="E19" s="78" t="s">
        <v>87</v>
      </c>
      <c r="F19" t="s">
        <v>57</v>
      </c>
    </row>
    <row r="20" spans="1:6" ht="12.75" customHeight="1">
      <c r="A20" s="77" t="s">
        <v>90</v>
      </c>
      <c r="B20" s="78" t="s">
        <v>90</v>
      </c>
      <c r="C20" s="78" t="s">
        <v>91</v>
      </c>
      <c r="E20" t="s">
        <v>92</v>
      </c>
      <c r="F20" t="s">
        <v>57</v>
      </c>
    </row>
    <row r="21" spans="1:6" ht="12.75" customHeight="1">
      <c r="A21" s="77" t="s">
        <v>93</v>
      </c>
      <c r="B21" s="78" t="s">
        <v>93</v>
      </c>
      <c r="C21" s="78" t="s">
        <v>91</v>
      </c>
      <c r="E21" t="s">
        <v>92</v>
      </c>
      <c r="F21" t="s">
        <v>57</v>
      </c>
    </row>
    <row r="22" spans="1:6" ht="12.75" customHeight="1">
      <c r="A22" s="10" t="s">
        <v>94</v>
      </c>
      <c r="B22" t="s">
        <v>95</v>
      </c>
      <c r="C22" s="78" t="s">
        <v>91</v>
      </c>
      <c r="E22" t="s">
        <v>92</v>
      </c>
      <c r="F22" t="s">
        <v>57</v>
      </c>
    </row>
    <row r="23" spans="1:6" ht="12.75" customHeight="1">
      <c r="A23" s="77" t="s">
        <v>96</v>
      </c>
      <c r="B23" s="78" t="s">
        <v>96</v>
      </c>
      <c r="C23" s="78" t="s">
        <v>91</v>
      </c>
      <c r="E23" t="s">
        <v>92</v>
      </c>
      <c r="F23" t="s">
        <v>57</v>
      </c>
    </row>
    <row r="24" spans="1:6" ht="12.75" customHeight="1">
      <c r="A24" s="10" t="s">
        <v>97</v>
      </c>
      <c r="B24" t="s">
        <v>97</v>
      </c>
      <c r="C24" s="78" t="s">
        <v>91</v>
      </c>
      <c r="E24" t="s">
        <v>92</v>
      </c>
      <c r="F24" t="s">
        <v>57</v>
      </c>
    </row>
    <row r="25" spans="1:6" ht="12.75" customHeight="1">
      <c r="A25" s="77" t="s">
        <v>98</v>
      </c>
      <c r="B25" s="78" t="s">
        <v>98</v>
      </c>
      <c r="C25" s="78" t="s">
        <v>91</v>
      </c>
      <c r="E25" t="s">
        <v>92</v>
      </c>
      <c r="F25" t="s">
        <v>57</v>
      </c>
    </row>
    <row r="26" spans="1:6" ht="12.75" customHeight="1">
      <c r="A26" s="77" t="s">
        <v>99</v>
      </c>
      <c r="B26" s="78" t="s">
        <v>99</v>
      </c>
      <c r="C26" s="78" t="s">
        <v>91</v>
      </c>
      <c r="E26" t="s">
        <v>92</v>
      </c>
      <c r="F26" t="s">
        <v>57</v>
      </c>
    </row>
    <row r="27" spans="1:6" ht="12.75" customHeight="1">
      <c r="A27" s="77" t="s">
        <v>100</v>
      </c>
      <c r="B27" s="78" t="s">
        <v>100</v>
      </c>
      <c r="C27" s="78" t="s">
        <v>91</v>
      </c>
      <c r="E27" t="s">
        <v>92</v>
      </c>
      <c r="F27" t="s">
        <v>57</v>
      </c>
    </row>
    <row r="28" spans="1:6" ht="12.75" customHeight="1">
      <c r="A28" s="77" t="s">
        <v>101</v>
      </c>
      <c r="B28" s="78" t="s">
        <v>101</v>
      </c>
      <c r="C28" s="78" t="s">
        <v>91</v>
      </c>
      <c r="E28" t="s">
        <v>92</v>
      </c>
      <c r="F28" t="s">
        <v>57</v>
      </c>
    </row>
    <row r="29" spans="1:6" ht="12.75" customHeight="1">
      <c r="A29" s="77" t="s">
        <v>102</v>
      </c>
      <c r="B29" s="78" t="s">
        <v>102</v>
      </c>
      <c r="C29" s="78" t="s">
        <v>91</v>
      </c>
      <c r="E29" t="s">
        <v>92</v>
      </c>
      <c r="F29" t="s">
        <v>57</v>
      </c>
    </row>
    <row r="30" spans="1:6" ht="12.75" customHeight="1">
      <c r="A30" s="77" t="s">
        <v>103</v>
      </c>
      <c r="B30" s="78" t="s">
        <v>103</v>
      </c>
      <c r="C30" s="78" t="s">
        <v>91</v>
      </c>
      <c r="E30" t="s">
        <v>92</v>
      </c>
      <c r="F30" t="s">
        <v>57</v>
      </c>
    </row>
    <row r="31" spans="1:6" ht="12.75" customHeight="1">
      <c r="A31" s="10" t="s">
        <v>104</v>
      </c>
      <c r="B31" t="s">
        <v>104</v>
      </c>
      <c r="C31" s="78" t="s">
        <v>91</v>
      </c>
      <c r="E31" t="s">
        <v>92</v>
      </c>
      <c r="F31" t="s">
        <v>57</v>
      </c>
    </row>
    <row r="32" spans="1:6" ht="12.75" customHeight="1">
      <c r="A32" s="10" t="s">
        <v>105</v>
      </c>
      <c r="B32" t="s">
        <v>105</v>
      </c>
      <c r="C32" s="78" t="s">
        <v>91</v>
      </c>
      <c r="E32" t="s">
        <v>92</v>
      </c>
      <c r="F32" t="s">
        <v>57</v>
      </c>
    </row>
    <row r="33" spans="1:6" ht="12.75" customHeight="1">
      <c r="A33" s="77" t="s">
        <v>106</v>
      </c>
      <c r="B33" s="78" t="s">
        <v>106</v>
      </c>
      <c r="C33" s="78" t="s">
        <v>91</v>
      </c>
      <c r="E33" t="s">
        <v>92</v>
      </c>
      <c r="F33" t="s">
        <v>57</v>
      </c>
    </row>
    <row r="34" spans="1:6" ht="12.75" customHeight="1">
      <c r="A34" s="77" t="s">
        <v>107</v>
      </c>
      <c r="B34" s="78" t="s">
        <v>107</v>
      </c>
      <c r="C34" s="78" t="s">
        <v>91</v>
      </c>
      <c r="E34" t="s">
        <v>92</v>
      </c>
      <c r="F34" t="s">
        <v>57</v>
      </c>
    </row>
    <row r="35" spans="1:6" ht="12.75" customHeight="1">
      <c r="A35" s="77" t="s">
        <v>108</v>
      </c>
      <c r="B35" s="78" t="s">
        <v>108</v>
      </c>
      <c r="C35" s="78" t="s">
        <v>91</v>
      </c>
      <c r="E35" t="s">
        <v>92</v>
      </c>
      <c r="F35" t="s">
        <v>57</v>
      </c>
    </row>
    <row r="36" spans="1:6" ht="12.75" customHeight="1">
      <c r="A36" s="10" t="s">
        <v>109</v>
      </c>
      <c r="B36" t="s">
        <v>109</v>
      </c>
      <c r="C36" s="78" t="s">
        <v>91</v>
      </c>
      <c r="E36" t="s">
        <v>92</v>
      </c>
      <c r="F36" t="s">
        <v>57</v>
      </c>
    </row>
    <row r="37" spans="1:6" ht="12.75" customHeight="1">
      <c r="A37" s="77" t="s">
        <v>110</v>
      </c>
      <c r="B37" s="78" t="s">
        <v>110</v>
      </c>
      <c r="C37" s="78" t="s">
        <v>91</v>
      </c>
      <c r="E37" t="s">
        <v>92</v>
      </c>
      <c r="F37" t="s">
        <v>57</v>
      </c>
    </row>
    <row r="38" spans="1:6" ht="12.75" customHeight="1">
      <c r="A38" s="77" t="s">
        <v>111</v>
      </c>
      <c r="B38" s="78" t="s">
        <v>111</v>
      </c>
      <c r="C38" s="78" t="s">
        <v>91</v>
      </c>
      <c r="E38" t="s">
        <v>92</v>
      </c>
      <c r="F38" t="s">
        <v>57</v>
      </c>
    </row>
    <row r="39" spans="1:6" ht="12.75" customHeight="1">
      <c r="A39" s="77" t="s">
        <v>112</v>
      </c>
      <c r="B39" s="78" t="s">
        <v>112</v>
      </c>
      <c r="C39" s="78" t="s">
        <v>91</v>
      </c>
      <c r="E39" t="s">
        <v>92</v>
      </c>
      <c r="F39" t="s">
        <v>57</v>
      </c>
    </row>
    <row r="40" spans="1:6" ht="12.75" customHeight="1">
      <c r="A40" s="10" t="s">
        <v>113</v>
      </c>
      <c r="B40" t="s">
        <v>113</v>
      </c>
      <c r="C40" s="78" t="s">
        <v>91</v>
      </c>
      <c r="E40" t="s">
        <v>92</v>
      </c>
      <c r="F40" t="s">
        <v>57</v>
      </c>
    </row>
    <row r="41" spans="1:6" ht="12.75" customHeight="1">
      <c r="A41" s="10" t="s">
        <v>114</v>
      </c>
      <c r="B41" t="s">
        <v>114</v>
      </c>
      <c r="C41" s="78" t="s">
        <v>91</v>
      </c>
      <c r="E41" t="s">
        <v>92</v>
      </c>
      <c r="F41" t="s">
        <v>57</v>
      </c>
    </row>
    <row r="42" spans="1:6" ht="12.75" customHeight="1">
      <c r="A42" s="77" t="s">
        <v>115</v>
      </c>
      <c r="B42" s="78" t="s">
        <v>115</v>
      </c>
      <c r="C42" s="78" t="s">
        <v>91</v>
      </c>
      <c r="E42" t="s">
        <v>92</v>
      </c>
      <c r="F42" t="s">
        <v>57</v>
      </c>
    </row>
    <row r="43" spans="1:6" ht="12.75" customHeight="1">
      <c r="A43" s="77" t="s">
        <v>116</v>
      </c>
      <c r="B43" s="78" t="s">
        <v>117</v>
      </c>
      <c r="C43" s="78" t="s">
        <v>91</v>
      </c>
      <c r="E43" t="s">
        <v>92</v>
      </c>
      <c r="F43" t="s">
        <v>57</v>
      </c>
    </row>
    <row r="44" spans="1:6" ht="12.75" customHeight="1">
      <c r="A44" s="10" t="s">
        <v>118</v>
      </c>
      <c r="B44" t="s">
        <v>118</v>
      </c>
      <c r="C44" s="78" t="s">
        <v>91</v>
      </c>
      <c r="E44" t="s">
        <v>92</v>
      </c>
      <c r="F44" t="s">
        <v>57</v>
      </c>
    </row>
    <row r="45" spans="1:6" ht="12.75" customHeight="1">
      <c r="A45" s="77" t="s">
        <v>119</v>
      </c>
      <c r="B45" s="78" t="s">
        <v>119</v>
      </c>
      <c r="C45" s="78" t="s">
        <v>91</v>
      </c>
      <c r="E45" t="s">
        <v>92</v>
      </c>
      <c r="F45" t="s">
        <v>57</v>
      </c>
    </row>
    <row r="46" spans="1:6" ht="12.75" customHeight="1">
      <c r="A46" s="77" t="s">
        <v>120</v>
      </c>
      <c r="B46" s="78" t="s">
        <v>120</v>
      </c>
      <c r="C46" s="78" t="s">
        <v>91</v>
      </c>
      <c r="E46" t="s">
        <v>92</v>
      </c>
      <c r="F46" t="s">
        <v>57</v>
      </c>
    </row>
    <row r="47" spans="1:6" ht="12.75" customHeight="1">
      <c r="A47" s="77" t="s">
        <v>121</v>
      </c>
      <c r="B47" s="78" t="s">
        <v>121</v>
      </c>
      <c r="C47" s="78" t="s">
        <v>91</v>
      </c>
      <c r="E47" t="s">
        <v>92</v>
      </c>
      <c r="F47" t="s">
        <v>57</v>
      </c>
    </row>
    <row r="48" spans="1:6" ht="12.75" customHeight="1">
      <c r="A48" s="77" t="s">
        <v>122</v>
      </c>
      <c r="B48" s="78" t="s">
        <v>122</v>
      </c>
      <c r="C48" s="78" t="s">
        <v>91</v>
      </c>
      <c r="E48" s="78" t="s">
        <v>92</v>
      </c>
      <c r="F48" t="s">
        <v>57</v>
      </c>
    </row>
    <row r="49" spans="1:6" ht="12.75" customHeight="1">
      <c r="A49" s="77" t="s">
        <v>123</v>
      </c>
      <c r="B49" s="78" t="s">
        <v>123</v>
      </c>
      <c r="C49" s="78" t="s">
        <v>91</v>
      </c>
      <c r="E49" t="s">
        <v>92</v>
      </c>
      <c r="F49" t="s">
        <v>57</v>
      </c>
    </row>
    <row r="50" spans="1:6" ht="12.75" customHeight="1">
      <c r="A50" s="77" t="s">
        <v>124</v>
      </c>
      <c r="B50" s="78" t="s">
        <v>124</v>
      </c>
      <c r="C50" s="78" t="s">
        <v>91</v>
      </c>
      <c r="E50" t="s">
        <v>92</v>
      </c>
      <c r="F50" t="s">
        <v>57</v>
      </c>
    </row>
    <row r="51" spans="1:6" ht="12.75" customHeight="1">
      <c r="A51" s="77" t="s">
        <v>125</v>
      </c>
      <c r="B51" s="78" t="s">
        <v>125</v>
      </c>
      <c r="C51" s="78" t="s">
        <v>91</v>
      </c>
      <c r="E51" t="s">
        <v>92</v>
      </c>
      <c r="F51" t="s">
        <v>57</v>
      </c>
    </row>
    <row r="52" spans="1:6" ht="12.75" customHeight="1">
      <c r="A52" s="77" t="s">
        <v>126</v>
      </c>
      <c r="B52" s="78" t="s">
        <v>126</v>
      </c>
      <c r="C52" s="78" t="s">
        <v>91</v>
      </c>
      <c r="E52" t="s">
        <v>92</v>
      </c>
      <c r="F52" t="s">
        <v>57</v>
      </c>
    </row>
    <row r="53" spans="1:6" ht="12.75" customHeight="1">
      <c r="A53" s="77" t="s">
        <v>127</v>
      </c>
      <c r="B53" s="78" t="s">
        <v>127</v>
      </c>
      <c r="C53" s="78" t="s">
        <v>91</v>
      </c>
      <c r="E53" t="s">
        <v>92</v>
      </c>
      <c r="F53" t="s">
        <v>57</v>
      </c>
    </row>
    <row r="54" spans="1:6" ht="12.75" customHeight="1">
      <c r="A54" s="77" t="s">
        <v>128</v>
      </c>
      <c r="B54" s="78" t="s">
        <v>128</v>
      </c>
      <c r="C54" s="78" t="s">
        <v>91</v>
      </c>
      <c r="E54" t="s">
        <v>92</v>
      </c>
      <c r="F54" t="s">
        <v>57</v>
      </c>
    </row>
    <row r="55" spans="1:6" ht="12.75" customHeight="1">
      <c r="A55" s="77" t="s">
        <v>129</v>
      </c>
      <c r="B55" s="78" t="s">
        <v>129</v>
      </c>
      <c r="C55" s="78" t="s">
        <v>91</v>
      </c>
      <c r="E55" t="s">
        <v>92</v>
      </c>
      <c r="F55" t="s">
        <v>57</v>
      </c>
    </row>
    <row r="56" spans="1:6" ht="12.75" customHeight="1">
      <c r="A56" s="77" t="s">
        <v>130</v>
      </c>
      <c r="B56" s="78" t="s">
        <v>130</v>
      </c>
      <c r="C56" s="78" t="s">
        <v>91</v>
      </c>
      <c r="E56" t="s">
        <v>92</v>
      </c>
      <c r="F56" t="s">
        <v>57</v>
      </c>
    </row>
    <row r="57" spans="1:6" ht="12.75" customHeight="1">
      <c r="A57" s="10" t="s">
        <v>131</v>
      </c>
      <c r="B57" t="s">
        <v>131</v>
      </c>
      <c r="C57" s="78" t="s">
        <v>91</v>
      </c>
      <c r="E57" t="s">
        <v>92</v>
      </c>
      <c r="F57" t="s">
        <v>57</v>
      </c>
    </row>
    <row r="58" spans="1:6" ht="12.75" customHeight="1">
      <c r="A58" s="10" t="s">
        <v>132</v>
      </c>
      <c r="B58" t="s">
        <v>132</v>
      </c>
      <c r="C58" s="78" t="s">
        <v>91</v>
      </c>
      <c r="E58" t="s">
        <v>92</v>
      </c>
      <c r="F58" t="s">
        <v>57</v>
      </c>
    </row>
    <row r="59" spans="1:6" ht="12.75" customHeight="1">
      <c r="A59" s="77" t="s">
        <v>133</v>
      </c>
      <c r="B59" s="78" t="s">
        <v>133</v>
      </c>
      <c r="C59" s="78" t="s">
        <v>91</v>
      </c>
      <c r="E59" t="s">
        <v>92</v>
      </c>
      <c r="F59" t="s">
        <v>57</v>
      </c>
    </row>
    <row r="60" spans="1:6" ht="12.75" customHeight="1">
      <c r="A60" s="77" t="s">
        <v>134</v>
      </c>
      <c r="B60" s="78" t="s">
        <v>134</v>
      </c>
      <c r="C60" s="78" t="s">
        <v>91</v>
      </c>
      <c r="E60" t="s">
        <v>92</v>
      </c>
      <c r="F60" t="s">
        <v>57</v>
      </c>
    </row>
    <row r="61" spans="1:6" ht="12.75" customHeight="1">
      <c r="A61" s="10" t="s">
        <v>135</v>
      </c>
      <c r="B61" t="s">
        <v>136</v>
      </c>
      <c r="C61" s="78" t="s">
        <v>91</v>
      </c>
      <c r="E61" t="s">
        <v>92</v>
      </c>
      <c r="F61" t="s">
        <v>57</v>
      </c>
    </row>
    <row r="62" spans="1:6" ht="12.75" customHeight="1">
      <c r="A62" s="10" t="s">
        <v>137</v>
      </c>
      <c r="B62" t="s">
        <v>137</v>
      </c>
      <c r="C62" s="78" t="s">
        <v>91</v>
      </c>
      <c r="E62" t="s">
        <v>92</v>
      </c>
      <c r="F62" t="s">
        <v>57</v>
      </c>
    </row>
    <row r="63" spans="1:6" ht="12.75" customHeight="1">
      <c r="A63" s="77">
        <v>38</v>
      </c>
      <c r="B63" s="78" t="s">
        <v>138</v>
      </c>
      <c r="C63" s="78" t="s">
        <v>91</v>
      </c>
      <c r="E63" t="s">
        <v>92</v>
      </c>
      <c r="F63" t="s">
        <v>57</v>
      </c>
    </row>
    <row r="64" spans="1:6" ht="12.75" customHeight="1">
      <c r="A64" s="10">
        <v>144</v>
      </c>
      <c r="B64" t="s">
        <v>139</v>
      </c>
      <c r="C64" s="78" t="s">
        <v>91</v>
      </c>
      <c r="E64" t="s">
        <v>92</v>
      </c>
      <c r="F64" t="s">
        <v>57</v>
      </c>
    </row>
    <row r="65" spans="1:8" ht="12.75" customHeight="1">
      <c r="A65" s="77">
        <v>279</v>
      </c>
      <c r="B65" s="78" t="s">
        <v>140</v>
      </c>
      <c r="C65" s="78" t="s">
        <v>91</v>
      </c>
      <c r="E65" t="s">
        <v>92</v>
      </c>
      <c r="F65" t="s">
        <v>57</v>
      </c>
    </row>
    <row r="66" spans="1:8" ht="12.75" customHeight="1">
      <c r="A66" s="77">
        <v>293</v>
      </c>
      <c r="B66" s="78" t="s">
        <v>141</v>
      </c>
      <c r="C66" s="78" t="s">
        <v>91</v>
      </c>
      <c r="E66" t="s">
        <v>92</v>
      </c>
      <c r="F66" t="s">
        <v>57</v>
      </c>
    </row>
    <row r="67" spans="1:8" ht="12.75" customHeight="1">
      <c r="A67" s="10">
        <v>308</v>
      </c>
      <c r="B67" t="s">
        <v>142</v>
      </c>
      <c r="C67" s="78" t="s">
        <v>91</v>
      </c>
      <c r="E67" t="s">
        <v>92</v>
      </c>
      <c r="F67" t="s">
        <v>57</v>
      </c>
    </row>
    <row r="68" spans="1:8" ht="12.75" customHeight="1">
      <c r="A68" s="10">
        <v>309</v>
      </c>
      <c r="B68" t="s">
        <v>143</v>
      </c>
      <c r="C68" s="78" t="s">
        <v>91</v>
      </c>
      <c r="E68" t="s">
        <v>92</v>
      </c>
      <c r="F68" t="s">
        <v>57</v>
      </c>
    </row>
    <row r="69" spans="1:8" ht="12.75" customHeight="1">
      <c r="A69" s="10" t="s">
        <v>144</v>
      </c>
      <c r="B69" t="s">
        <v>145</v>
      </c>
      <c r="C69" s="78" t="s">
        <v>91</v>
      </c>
      <c r="E69" t="s">
        <v>92</v>
      </c>
      <c r="F69" t="s">
        <v>57</v>
      </c>
    </row>
    <row r="70" spans="1:8" ht="12.75" customHeight="1">
      <c r="A70" s="77" t="s">
        <v>146</v>
      </c>
      <c r="B70" s="78" t="s">
        <v>146</v>
      </c>
      <c r="C70" s="78" t="s">
        <v>91</v>
      </c>
      <c r="E70" t="s">
        <v>92</v>
      </c>
      <c r="F70" t="s">
        <v>57</v>
      </c>
    </row>
    <row r="71" spans="1:8" ht="12.75" customHeight="1">
      <c r="A71" s="77">
        <v>358</v>
      </c>
      <c r="B71" s="78" t="s">
        <v>147</v>
      </c>
      <c r="C71" s="78" t="s">
        <v>91</v>
      </c>
      <c r="E71" t="s">
        <v>92</v>
      </c>
      <c r="F71" t="s">
        <v>57</v>
      </c>
    </row>
    <row r="72" spans="1:8" ht="12.75" customHeight="1">
      <c r="A72" s="77" t="s">
        <v>148</v>
      </c>
      <c r="B72" s="78" t="s">
        <v>149</v>
      </c>
      <c r="C72" s="78" t="s">
        <v>150</v>
      </c>
      <c r="E72" s="78" t="s">
        <v>151</v>
      </c>
      <c r="F72" t="s">
        <v>57</v>
      </c>
    </row>
    <row r="73" spans="1:8" ht="12.75" customHeight="1">
      <c r="A73" s="77" t="s">
        <v>152</v>
      </c>
      <c r="B73" s="78" t="s">
        <v>153</v>
      </c>
      <c r="C73" s="78" t="s">
        <v>150</v>
      </c>
      <c r="E73" s="78" t="s">
        <v>151</v>
      </c>
      <c r="F73" t="s">
        <v>57</v>
      </c>
    </row>
    <row r="74" spans="1:8" ht="12.75" customHeight="1">
      <c r="A74" s="77" t="s">
        <v>154</v>
      </c>
      <c r="B74" s="77" t="s">
        <v>154</v>
      </c>
      <c r="C74" s="78" t="s">
        <v>91</v>
      </c>
      <c r="D74" t="s">
        <v>155</v>
      </c>
      <c r="E74" s="78" t="s">
        <v>156</v>
      </c>
      <c r="F74" t="s">
        <v>157</v>
      </c>
      <c r="H74" s="72" t="s">
        <v>158</v>
      </c>
    </row>
    <row r="75" spans="1:8" ht="12.75" customHeight="1">
      <c r="A75" s="77" t="s">
        <v>159</v>
      </c>
      <c r="B75" s="78" t="s">
        <v>159</v>
      </c>
      <c r="C75" s="78" t="s">
        <v>91</v>
      </c>
      <c r="D75" t="s">
        <v>160</v>
      </c>
      <c r="E75" s="78" t="s">
        <v>156</v>
      </c>
      <c r="F75" s="79" t="s">
        <v>157</v>
      </c>
      <c r="H75" t="s">
        <v>138</v>
      </c>
    </row>
    <row r="76" spans="1:8" ht="12.75" customHeight="1">
      <c r="A76" s="77" t="s">
        <v>161</v>
      </c>
      <c r="B76" s="78" t="s">
        <v>162</v>
      </c>
      <c r="C76" s="78" t="s">
        <v>91</v>
      </c>
      <c r="D76" t="s">
        <v>160</v>
      </c>
      <c r="E76" s="78" t="s">
        <v>156</v>
      </c>
      <c r="F76" s="79" t="s">
        <v>157</v>
      </c>
      <c r="H76" t="s">
        <v>139</v>
      </c>
    </row>
    <row r="77" spans="1:8" ht="12.75" customHeight="1">
      <c r="A77" s="77" t="s">
        <v>163</v>
      </c>
      <c r="B77" s="78" t="s">
        <v>164</v>
      </c>
      <c r="C77" s="78" t="s">
        <v>91</v>
      </c>
      <c r="D77" t="s">
        <v>160</v>
      </c>
      <c r="E77" s="78" t="s">
        <v>156</v>
      </c>
      <c r="F77" s="79" t="s">
        <v>157</v>
      </c>
      <c r="H77" t="s">
        <v>140</v>
      </c>
    </row>
    <row r="78" spans="1:8" ht="12.75" customHeight="1">
      <c r="A78" s="77" t="s">
        <v>165</v>
      </c>
      <c r="B78" s="78" t="s">
        <v>165</v>
      </c>
      <c r="C78" s="78" t="s">
        <v>91</v>
      </c>
      <c r="E78" s="78" t="s">
        <v>166</v>
      </c>
      <c r="F78" t="s">
        <v>157</v>
      </c>
      <c r="H78" t="s">
        <v>141</v>
      </c>
    </row>
    <row r="79" spans="1:8" ht="12.75" customHeight="1">
      <c r="A79" s="77" t="s">
        <v>167</v>
      </c>
      <c r="B79" s="77" t="s">
        <v>167</v>
      </c>
      <c r="C79" s="78" t="s">
        <v>91</v>
      </c>
      <c r="E79" s="78" t="s">
        <v>166</v>
      </c>
      <c r="F79" t="s">
        <v>157</v>
      </c>
      <c r="H79" t="s">
        <v>142</v>
      </c>
    </row>
    <row r="80" spans="1:8" ht="12.75" customHeight="1">
      <c r="A80" s="77" t="s">
        <v>168</v>
      </c>
      <c r="B80" s="77" t="s">
        <v>168</v>
      </c>
      <c r="C80" s="78" t="s">
        <v>91</v>
      </c>
      <c r="E80" s="78" t="s">
        <v>166</v>
      </c>
      <c r="F80" t="s">
        <v>157</v>
      </c>
      <c r="H80" t="s">
        <v>143</v>
      </c>
    </row>
    <row r="81" spans="1:8" ht="12.75" customHeight="1">
      <c r="A81" s="77" t="s">
        <v>169</v>
      </c>
      <c r="B81" s="77" t="s">
        <v>169</v>
      </c>
      <c r="C81" s="78" t="s">
        <v>91</v>
      </c>
      <c r="E81" s="78" t="s">
        <v>166</v>
      </c>
      <c r="F81" t="s">
        <v>157</v>
      </c>
      <c r="H81" t="s">
        <v>144</v>
      </c>
    </row>
    <row r="82" spans="1:8" ht="12.75" customHeight="1">
      <c r="A82" s="77" t="s">
        <v>170</v>
      </c>
      <c r="B82" s="77" t="s">
        <v>170</v>
      </c>
      <c r="C82" s="78" t="s">
        <v>91</v>
      </c>
      <c r="E82" s="78" t="s">
        <v>166</v>
      </c>
      <c r="F82" t="s">
        <v>157</v>
      </c>
      <c r="H82" t="s">
        <v>147</v>
      </c>
    </row>
    <row r="83" spans="1:8" ht="12.75" customHeight="1">
      <c r="A83" s="77" t="s">
        <v>171</v>
      </c>
      <c r="B83" s="77" t="s">
        <v>171</v>
      </c>
      <c r="C83" s="78" t="s">
        <v>91</v>
      </c>
      <c r="E83" s="78" t="s">
        <v>166</v>
      </c>
      <c r="F83" t="s">
        <v>157</v>
      </c>
    </row>
    <row r="84" spans="1:8" ht="12.75" customHeight="1">
      <c r="A84" s="77" t="s">
        <v>172</v>
      </c>
      <c r="B84" s="77" t="s">
        <v>172</v>
      </c>
      <c r="C84" s="78" t="s">
        <v>91</v>
      </c>
      <c r="E84" s="78" t="s">
        <v>173</v>
      </c>
      <c r="F84" t="s">
        <v>157</v>
      </c>
    </row>
    <row r="85" spans="1:8" ht="12.75" customHeight="1">
      <c r="A85" s="77" t="s">
        <v>174</v>
      </c>
      <c r="B85" s="78" t="s">
        <v>174</v>
      </c>
      <c r="C85" s="78" t="s">
        <v>91</v>
      </c>
      <c r="E85" s="78" t="s">
        <v>173</v>
      </c>
      <c r="F85" t="s">
        <v>157</v>
      </c>
    </row>
    <row r="86" spans="1:8" ht="12.75" customHeight="1">
      <c r="A86" s="77" t="s">
        <v>175</v>
      </c>
      <c r="B86" s="78" t="s">
        <v>175</v>
      </c>
      <c r="C86" s="78" t="s">
        <v>91</v>
      </c>
      <c r="E86" s="78" t="s">
        <v>173</v>
      </c>
      <c r="F86" t="s">
        <v>157</v>
      </c>
    </row>
    <row r="87" spans="1:8" ht="12.75" customHeight="1">
      <c r="A87" s="77" t="s">
        <v>176</v>
      </c>
      <c r="B87" s="78" t="s">
        <v>176</v>
      </c>
      <c r="C87" s="78" t="s">
        <v>91</v>
      </c>
      <c r="E87" s="78" t="s">
        <v>173</v>
      </c>
      <c r="F87" t="s">
        <v>157</v>
      </c>
    </row>
    <row r="88" spans="1:8" ht="12.75" customHeight="1">
      <c r="A88" s="77" t="s">
        <v>177</v>
      </c>
      <c r="B88" s="78" t="s">
        <v>177</v>
      </c>
      <c r="C88" s="78" t="s">
        <v>91</v>
      </c>
      <c r="E88" s="78" t="s">
        <v>173</v>
      </c>
      <c r="F88" t="s">
        <v>157</v>
      </c>
    </row>
    <row r="89" spans="1:8" ht="12.75" customHeight="1">
      <c r="A89" s="77" t="s">
        <v>178</v>
      </c>
      <c r="B89" s="78" t="s">
        <v>178</v>
      </c>
      <c r="C89" s="78" t="s">
        <v>91</v>
      </c>
      <c r="E89" s="78" t="s">
        <v>173</v>
      </c>
      <c r="F89" t="s">
        <v>157</v>
      </c>
    </row>
    <row r="90" spans="1:8" ht="12.75" customHeight="1">
      <c r="A90" s="77" t="s">
        <v>179</v>
      </c>
      <c r="B90" s="78" t="s">
        <v>180</v>
      </c>
      <c r="C90" s="78" t="s">
        <v>91</v>
      </c>
      <c r="E90" s="78" t="s">
        <v>173</v>
      </c>
      <c r="F90" t="s">
        <v>57</v>
      </c>
    </row>
    <row r="91" spans="1:8" ht="12.75" customHeight="1">
      <c r="A91" s="77" t="s">
        <v>181</v>
      </c>
      <c r="B91" s="78" t="s">
        <v>181</v>
      </c>
      <c r="C91" s="78" t="s">
        <v>91</v>
      </c>
      <c r="E91" s="78" t="s">
        <v>173</v>
      </c>
      <c r="F91" t="s">
        <v>157</v>
      </c>
    </row>
    <row r="92" spans="1:8" ht="12.75" customHeight="1">
      <c r="A92" s="77" t="s">
        <v>182</v>
      </c>
      <c r="B92" s="78" t="s">
        <v>182</v>
      </c>
      <c r="C92" s="78" t="s">
        <v>91</v>
      </c>
      <c r="E92" s="78" t="s">
        <v>173</v>
      </c>
      <c r="F92" t="s">
        <v>157</v>
      </c>
    </row>
    <row r="93" spans="1:8" ht="12.75" customHeight="1">
      <c r="A93" s="77" t="s">
        <v>183</v>
      </c>
      <c r="B93" s="78" t="s">
        <v>183</v>
      </c>
      <c r="C93" s="78" t="s">
        <v>91</v>
      </c>
      <c r="E93" s="78" t="s">
        <v>173</v>
      </c>
      <c r="F93" t="s">
        <v>157</v>
      </c>
    </row>
    <row r="94" spans="1:8" ht="12.75" customHeight="1">
      <c r="A94" s="77" t="s">
        <v>184</v>
      </c>
      <c r="B94" s="78" t="s">
        <v>184</v>
      </c>
      <c r="C94" s="78" t="s">
        <v>91</v>
      </c>
      <c r="E94" s="78" t="s">
        <v>173</v>
      </c>
      <c r="F94" t="s">
        <v>157</v>
      </c>
    </row>
    <row r="95" spans="1:8" ht="12.75" customHeight="1">
      <c r="A95" s="78" t="s">
        <v>185</v>
      </c>
      <c r="B95" s="78" t="s">
        <v>185</v>
      </c>
      <c r="C95" s="78" t="s">
        <v>91</v>
      </c>
      <c r="E95" s="78" t="s">
        <v>173</v>
      </c>
      <c r="F95" t="s">
        <v>157</v>
      </c>
    </row>
    <row r="96" spans="1:8" ht="12.75" customHeight="1">
      <c r="A96" s="78" t="s">
        <v>186</v>
      </c>
      <c r="B96" s="78" t="s">
        <v>186</v>
      </c>
      <c r="C96" s="78" t="s">
        <v>91</v>
      </c>
      <c r="D96" t="s">
        <v>187</v>
      </c>
      <c r="E96" s="78" t="s">
        <v>188</v>
      </c>
      <c r="F96" t="s">
        <v>157</v>
      </c>
    </row>
    <row r="97" spans="1:6" ht="12.75" customHeight="1">
      <c r="A97" s="78" t="s">
        <v>189</v>
      </c>
      <c r="B97" s="78" t="s">
        <v>189</v>
      </c>
      <c r="C97" s="78" t="s">
        <v>91</v>
      </c>
      <c r="D97" t="s">
        <v>160</v>
      </c>
      <c r="E97" s="78" t="s">
        <v>188</v>
      </c>
      <c r="F97" t="s">
        <v>157</v>
      </c>
    </row>
    <row r="98" spans="1:6" ht="12.75" customHeight="1">
      <c r="A98" s="78" t="s">
        <v>190</v>
      </c>
      <c r="B98" s="78" t="s">
        <v>190</v>
      </c>
      <c r="C98" s="78" t="s">
        <v>91</v>
      </c>
      <c r="D98" t="s">
        <v>160</v>
      </c>
      <c r="E98" s="78" t="s">
        <v>188</v>
      </c>
      <c r="F98" t="s">
        <v>157</v>
      </c>
    </row>
    <row r="99" spans="1:6" ht="12.75" customHeight="1">
      <c r="A99" s="78" t="s">
        <v>191</v>
      </c>
      <c r="B99" s="78" t="s">
        <v>191</v>
      </c>
      <c r="C99" s="78" t="s">
        <v>91</v>
      </c>
      <c r="D99" t="s">
        <v>160</v>
      </c>
      <c r="E99" s="78" t="s">
        <v>188</v>
      </c>
      <c r="F99" t="s">
        <v>157</v>
      </c>
    </row>
    <row r="100" spans="1:6" ht="12.75" customHeight="1">
      <c r="A100" s="78" t="s">
        <v>192</v>
      </c>
      <c r="B100" s="78" t="s">
        <v>192</v>
      </c>
      <c r="C100" s="78" t="s">
        <v>91</v>
      </c>
      <c r="D100" t="s">
        <v>155</v>
      </c>
      <c r="E100" s="78" t="s">
        <v>193</v>
      </c>
      <c r="F100" t="s">
        <v>157</v>
      </c>
    </row>
    <row r="101" spans="1:6" ht="12.75" customHeight="1">
      <c r="A101" s="78" t="s">
        <v>194</v>
      </c>
      <c r="B101" s="78" t="s">
        <v>194</v>
      </c>
      <c r="C101" s="78" t="s">
        <v>91</v>
      </c>
      <c r="D101" t="s">
        <v>160</v>
      </c>
      <c r="E101" s="78" t="s">
        <v>193</v>
      </c>
      <c r="F101" t="s">
        <v>157</v>
      </c>
    </row>
    <row r="102" spans="1:6" ht="12.75" customHeight="1">
      <c r="A102" s="78" t="s">
        <v>195</v>
      </c>
      <c r="B102" s="78" t="s">
        <v>196</v>
      </c>
      <c r="C102" s="78" t="s">
        <v>91</v>
      </c>
      <c r="D102" t="s">
        <v>160</v>
      </c>
      <c r="E102" s="78" t="s">
        <v>193</v>
      </c>
      <c r="F102" t="s">
        <v>157</v>
      </c>
    </row>
    <row r="103" spans="1:6" ht="12.75" customHeight="1">
      <c r="A103" s="78" t="s">
        <v>197</v>
      </c>
      <c r="B103" s="78" t="s">
        <v>198</v>
      </c>
      <c r="C103" s="78" t="s">
        <v>91</v>
      </c>
      <c r="D103" t="s">
        <v>160</v>
      </c>
      <c r="E103" s="78" t="s">
        <v>193</v>
      </c>
      <c r="F103" t="s">
        <v>157</v>
      </c>
    </row>
    <row r="104" spans="1:6" ht="12.75" customHeight="1">
      <c r="A104" s="78" t="s">
        <v>199</v>
      </c>
      <c r="B104" s="78" t="s">
        <v>199</v>
      </c>
      <c r="C104" s="78" t="s">
        <v>91</v>
      </c>
      <c r="D104" t="s">
        <v>160</v>
      </c>
      <c r="E104" s="78" t="s">
        <v>193</v>
      </c>
      <c r="F104" t="s">
        <v>157</v>
      </c>
    </row>
    <row r="105" spans="1:6" ht="12.75" customHeight="1">
      <c r="A105" s="78" t="s">
        <v>200</v>
      </c>
      <c r="B105" s="78" t="s">
        <v>200</v>
      </c>
      <c r="C105" s="78" t="s">
        <v>91</v>
      </c>
      <c r="D105" t="s">
        <v>160</v>
      </c>
      <c r="E105" s="78" t="s">
        <v>193</v>
      </c>
      <c r="F105" t="s">
        <v>157</v>
      </c>
    </row>
    <row r="106" spans="1:6" ht="12.75" customHeight="1">
      <c r="A106" s="78" t="s">
        <v>201</v>
      </c>
      <c r="B106" s="78" t="s">
        <v>201</v>
      </c>
      <c r="C106" s="78" t="s">
        <v>91</v>
      </c>
      <c r="E106" s="78" t="s">
        <v>193</v>
      </c>
      <c r="F106" t="s">
        <v>157</v>
      </c>
    </row>
    <row r="107" spans="1:6" ht="12.75" customHeight="1">
      <c r="A107" s="77" t="s">
        <v>202</v>
      </c>
      <c r="B107" s="78" t="s">
        <v>202</v>
      </c>
      <c r="C107" s="78" t="s">
        <v>91</v>
      </c>
      <c r="E107" s="78" t="s">
        <v>203</v>
      </c>
      <c r="F107" t="s">
        <v>157</v>
      </c>
    </row>
    <row r="108" spans="1:6" ht="12.75" customHeight="1">
      <c r="A108" s="77" t="s">
        <v>204</v>
      </c>
      <c r="B108" s="78" t="s">
        <v>204</v>
      </c>
      <c r="C108" s="78" t="s">
        <v>91</v>
      </c>
      <c r="E108" s="78" t="s">
        <v>203</v>
      </c>
      <c r="F108" t="s">
        <v>157</v>
      </c>
    </row>
    <row r="109" spans="1:6" ht="12.75" customHeight="1">
      <c r="A109" s="77" t="s">
        <v>205</v>
      </c>
      <c r="B109" s="78" t="s">
        <v>205</v>
      </c>
      <c r="C109" s="78" t="s">
        <v>91</v>
      </c>
      <c r="E109" s="78" t="s">
        <v>203</v>
      </c>
      <c r="F109" t="s">
        <v>157</v>
      </c>
    </row>
    <row r="110" spans="1:6" ht="12.75" customHeight="1">
      <c r="A110" s="77" t="s">
        <v>206</v>
      </c>
      <c r="B110" s="78" t="s">
        <v>206</v>
      </c>
      <c r="C110" s="78" t="s">
        <v>91</v>
      </c>
      <c r="E110" s="78" t="s">
        <v>203</v>
      </c>
      <c r="F110" t="s">
        <v>57</v>
      </c>
    </row>
    <row r="111" spans="1:6" ht="12.75" customHeight="1">
      <c r="A111" s="77" t="s">
        <v>207</v>
      </c>
      <c r="B111" s="78" t="s">
        <v>207</v>
      </c>
      <c r="C111" s="78" t="s">
        <v>91</v>
      </c>
      <c r="E111" s="78" t="s">
        <v>203</v>
      </c>
      <c r="F111" t="s">
        <v>57</v>
      </c>
    </row>
    <row r="112" spans="1:6" ht="12.75" customHeight="1">
      <c r="A112" s="77" t="s">
        <v>208</v>
      </c>
      <c r="B112" s="78" t="s">
        <v>209</v>
      </c>
      <c r="C112" s="78" t="s">
        <v>210</v>
      </c>
      <c r="E112" s="78" t="s">
        <v>211</v>
      </c>
      <c r="F112" t="s">
        <v>57</v>
      </c>
    </row>
    <row r="113" spans="1:6" ht="12.75" customHeight="1">
      <c r="A113" s="77" t="s">
        <v>212</v>
      </c>
      <c r="B113" s="78" t="s">
        <v>212</v>
      </c>
      <c r="C113" s="78" t="s">
        <v>210</v>
      </c>
      <c r="E113" s="78" t="s">
        <v>211</v>
      </c>
      <c r="F113" t="s">
        <v>57</v>
      </c>
    </row>
    <row r="114" spans="1:6" ht="12.75" customHeight="1">
      <c r="A114" s="77" t="s">
        <v>213</v>
      </c>
      <c r="B114" s="78" t="s">
        <v>214</v>
      </c>
      <c r="C114" s="78" t="s">
        <v>210</v>
      </c>
      <c r="E114" s="78" t="s">
        <v>211</v>
      </c>
      <c r="F114" t="s">
        <v>57</v>
      </c>
    </row>
    <row r="115" spans="1:6" ht="12.75" customHeight="1">
      <c r="A115" s="77" t="s">
        <v>215</v>
      </c>
      <c r="B115" s="78" t="s">
        <v>216</v>
      </c>
      <c r="C115" s="78" t="s">
        <v>210</v>
      </c>
      <c r="E115" s="78" t="s">
        <v>211</v>
      </c>
      <c r="F115" t="s">
        <v>57</v>
      </c>
    </row>
    <row r="116" spans="1:6" ht="12.75" customHeight="1">
      <c r="A116" s="77" t="s">
        <v>217</v>
      </c>
      <c r="B116" s="78" t="s">
        <v>218</v>
      </c>
      <c r="C116" s="78" t="s">
        <v>210</v>
      </c>
      <c r="E116" s="78" t="s">
        <v>211</v>
      </c>
      <c r="F116" t="s">
        <v>57</v>
      </c>
    </row>
    <row r="117" spans="1:6" ht="12.75" customHeight="1">
      <c r="A117" s="77" t="s">
        <v>219</v>
      </c>
      <c r="B117" s="78" t="s">
        <v>220</v>
      </c>
      <c r="C117" s="78" t="s">
        <v>221</v>
      </c>
      <c r="E117" s="78" t="s">
        <v>211</v>
      </c>
      <c r="F117" t="s">
        <v>57</v>
      </c>
    </row>
    <row r="118" spans="1:6" ht="12.75" customHeight="1">
      <c r="A118" s="77" t="s">
        <v>222</v>
      </c>
      <c r="B118" s="78" t="s">
        <v>223</v>
      </c>
      <c r="C118" s="78" t="s">
        <v>221</v>
      </c>
      <c r="E118" s="78" t="s">
        <v>211</v>
      </c>
      <c r="F118" t="s">
        <v>57</v>
      </c>
    </row>
    <row r="119" spans="1:6" ht="12.75" customHeight="1">
      <c r="A119" s="77" t="s">
        <v>224</v>
      </c>
      <c r="B119" s="78" t="s">
        <v>225</v>
      </c>
      <c r="C119" s="78" t="s">
        <v>221</v>
      </c>
      <c r="E119" s="78" t="s">
        <v>211</v>
      </c>
      <c r="F119" t="s">
        <v>57</v>
      </c>
    </row>
    <row r="120" spans="1:6" ht="12.75" customHeight="1">
      <c r="A120" s="77" t="s">
        <v>226</v>
      </c>
      <c r="B120" s="78" t="s">
        <v>227</v>
      </c>
      <c r="C120" s="78" t="s">
        <v>228</v>
      </c>
      <c r="E120" s="78" t="s">
        <v>211</v>
      </c>
      <c r="F120" t="s">
        <v>57</v>
      </c>
    </row>
    <row r="121" spans="1:6" ht="12.75" customHeight="1">
      <c r="A121" s="77" t="s">
        <v>229</v>
      </c>
      <c r="B121" s="78" t="s">
        <v>230</v>
      </c>
      <c r="C121" s="78" t="s">
        <v>228</v>
      </c>
      <c r="E121" s="78" t="s">
        <v>211</v>
      </c>
      <c r="F121" t="s">
        <v>57</v>
      </c>
    </row>
    <row r="122" spans="1:6" ht="12.75" customHeight="1">
      <c r="A122" s="77" t="s">
        <v>231</v>
      </c>
      <c r="B122" s="78" t="s">
        <v>232</v>
      </c>
      <c r="C122" s="78" t="s">
        <v>233</v>
      </c>
      <c r="E122" s="78" t="s">
        <v>211</v>
      </c>
      <c r="F122" t="s">
        <v>57</v>
      </c>
    </row>
    <row r="123" spans="1:6" ht="12.75" customHeight="1">
      <c r="A123" s="77" t="s">
        <v>234</v>
      </c>
      <c r="B123" s="78" t="s">
        <v>235</v>
      </c>
      <c r="C123" s="78" t="s">
        <v>233</v>
      </c>
      <c r="E123" s="78" t="s">
        <v>211</v>
      </c>
      <c r="F123" t="s">
        <v>57</v>
      </c>
    </row>
    <row r="124" spans="1:6" ht="12.75" customHeight="1">
      <c r="A124" s="77" t="s">
        <v>236</v>
      </c>
      <c r="B124" s="78" t="s">
        <v>237</v>
      </c>
      <c r="C124" s="78" t="s">
        <v>238</v>
      </c>
      <c r="E124" s="78" t="s">
        <v>211</v>
      </c>
      <c r="F124" t="s">
        <v>57</v>
      </c>
    </row>
    <row r="125" spans="1:6" ht="12.75" customHeight="1">
      <c r="A125" s="77" t="s">
        <v>239</v>
      </c>
      <c r="B125" s="78" t="s">
        <v>240</v>
      </c>
      <c r="C125" s="78" t="s">
        <v>238</v>
      </c>
      <c r="E125" s="78" t="s">
        <v>211</v>
      </c>
      <c r="F125" t="s">
        <v>57</v>
      </c>
    </row>
    <row r="126" spans="1:6" ht="12.75" customHeight="1">
      <c r="A126" s="77" t="s">
        <v>241</v>
      </c>
      <c r="B126" s="78" t="s">
        <v>242</v>
      </c>
      <c r="C126" s="78" t="s">
        <v>238</v>
      </c>
      <c r="E126" s="78" t="s">
        <v>211</v>
      </c>
      <c r="F126" t="s">
        <v>57</v>
      </c>
    </row>
    <row r="127" spans="1:6" ht="12.75" customHeight="1">
      <c r="A127" s="77" t="s">
        <v>243</v>
      </c>
      <c r="B127" s="78" t="s">
        <v>244</v>
      </c>
      <c r="C127" s="78" t="s">
        <v>86</v>
      </c>
      <c r="E127" s="78" t="s">
        <v>245</v>
      </c>
      <c r="F127" t="s">
        <v>57</v>
      </c>
    </row>
    <row r="128" spans="1:6" ht="12.75" customHeight="1">
      <c r="A128" s="77" t="s">
        <v>246</v>
      </c>
      <c r="B128" s="78" t="s">
        <v>247</v>
      </c>
      <c r="C128" s="78" t="s">
        <v>86</v>
      </c>
      <c r="E128" s="78" t="s">
        <v>245</v>
      </c>
      <c r="F128" t="s">
        <v>57</v>
      </c>
    </row>
    <row r="129" spans="1:6" ht="12.75" customHeight="1">
      <c r="A129" s="77" t="s">
        <v>248</v>
      </c>
      <c r="B129" s="78" t="s">
        <v>249</v>
      </c>
      <c r="C129" s="78" t="s">
        <v>86</v>
      </c>
      <c r="E129" s="78" t="s">
        <v>245</v>
      </c>
      <c r="F129" t="s">
        <v>57</v>
      </c>
    </row>
    <row r="130" spans="1:6" ht="12.75" customHeight="1">
      <c r="A130" s="77" t="s">
        <v>250</v>
      </c>
      <c r="B130" s="78" t="s">
        <v>251</v>
      </c>
      <c r="C130" s="78" t="s">
        <v>252</v>
      </c>
      <c r="E130" s="78" t="s">
        <v>245</v>
      </c>
      <c r="F130" t="s">
        <v>57</v>
      </c>
    </row>
    <row r="131" spans="1:6" ht="12.75" customHeight="1">
      <c r="A131" s="77" t="s">
        <v>253</v>
      </c>
      <c r="B131" s="78" t="s">
        <v>254</v>
      </c>
      <c r="C131" s="78" t="s">
        <v>252</v>
      </c>
      <c r="E131" s="78" t="s">
        <v>245</v>
      </c>
      <c r="F131" t="s">
        <v>57</v>
      </c>
    </row>
    <row r="132" spans="1:6" ht="12.75" customHeight="1">
      <c r="A132" s="77" t="s">
        <v>255</v>
      </c>
      <c r="B132" s="78" t="s">
        <v>256</v>
      </c>
      <c r="C132" s="78" t="s">
        <v>252</v>
      </c>
      <c r="E132" s="78" t="s">
        <v>245</v>
      </c>
      <c r="F132" t="s">
        <v>57</v>
      </c>
    </row>
    <row r="133" spans="1:6" ht="12.75" customHeight="1">
      <c r="A133" s="77" t="s">
        <v>257</v>
      </c>
      <c r="B133" s="78" t="s">
        <v>258</v>
      </c>
      <c r="C133" s="78" t="s">
        <v>252</v>
      </c>
      <c r="E133" s="78" t="s">
        <v>245</v>
      </c>
      <c r="F133" t="s">
        <v>57</v>
      </c>
    </row>
    <row r="134" spans="1:6" ht="12.75" customHeight="1">
      <c r="A134" s="77" t="s">
        <v>259</v>
      </c>
      <c r="B134" s="78" t="s">
        <v>260</v>
      </c>
      <c r="C134" s="78" t="s">
        <v>252</v>
      </c>
      <c r="E134" s="78" t="s">
        <v>245</v>
      </c>
      <c r="F134" t="s">
        <v>57</v>
      </c>
    </row>
    <row r="135" spans="1:6" ht="12.75" customHeight="1">
      <c r="A135" s="77" t="s">
        <v>261</v>
      </c>
      <c r="B135" s="78" t="s">
        <v>262</v>
      </c>
      <c r="C135" s="78" t="s">
        <v>252</v>
      </c>
      <c r="E135" s="78" t="s">
        <v>245</v>
      </c>
      <c r="F135" t="s">
        <v>57</v>
      </c>
    </row>
    <row r="136" spans="1:6" ht="12.75" customHeight="1">
      <c r="A136" s="77" t="s">
        <v>263</v>
      </c>
      <c r="B136" s="78" t="s">
        <v>264</v>
      </c>
      <c r="C136" s="78" t="s">
        <v>252</v>
      </c>
      <c r="E136" s="78" t="s">
        <v>245</v>
      </c>
      <c r="F136" t="s">
        <v>57</v>
      </c>
    </row>
  </sheetData>
  <phoneticPr fontId="37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A0B0-5038-4AE7-AA5F-0EC0189F06C3}">
  <sheetPr codeName="Sheet77">
    <tabColor rgb="FF00206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54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9019.8055667054105</v>
      </c>
      <c r="C5" s="14">
        <v>7182.884</v>
      </c>
      <c r="D5" s="15">
        <f>B5-C5</f>
        <v>1836.9215667054104</v>
      </c>
      <c r="E5" s="16">
        <f t="shared" ref="E5:E16" si="0">IFERROR(D5/C5, 0)</f>
        <v>0.25573593652708443</v>
      </c>
      <c r="F5" s="17">
        <v>9612.777</v>
      </c>
      <c r="G5" s="18">
        <f>B5-F5</f>
        <v>-592.97143329458959</v>
      </c>
      <c r="H5" s="19">
        <f t="shared" ref="H5:H16" si="1">IFERROR(G5/F5, 0)</f>
        <v>-6.1685757746652144E-2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108"/>
      <c r="J16" s="36"/>
    </row>
    <row r="17" spans="1:15" ht="13.15" customHeight="1">
      <c r="A17" s="37" t="s">
        <v>286</v>
      </c>
      <c r="B17" s="38">
        <f>SUM(B5:B16)</f>
        <v>9019.8055667054105</v>
      </c>
      <c r="C17" s="38">
        <f t="shared" ref="C17:F17" si="4">SUM(C5:C16)</f>
        <v>7182.884</v>
      </c>
      <c r="D17" s="38">
        <f>B17-C17</f>
        <v>1836.9215667054104</v>
      </c>
      <c r="E17" s="39">
        <f>IFERROR(D17/C17, 0)</f>
        <v>0.25573593652708443</v>
      </c>
      <c r="F17" s="38">
        <f t="shared" si="4"/>
        <v>9612.777</v>
      </c>
      <c r="G17" s="38">
        <f>B17-F17</f>
        <v>-592.97143329458959</v>
      </c>
      <c r="H17" s="40">
        <f>IFERROR(G17/F17, 0)</f>
        <v>-6.1685757746652144E-2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153" priority="1" operator="lessThanOrEqual">
      <formula>-0.1</formula>
    </cfRule>
    <cfRule type="cellIs" dxfId="215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9BE1-1FB1-42F7-9559-18DF95D25890}">
  <sheetPr codeName="Sheet78">
    <tabColor rgb="FF00206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59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29434.75</v>
      </c>
      <c r="C5" s="14">
        <v>28981.22</v>
      </c>
      <c r="D5" s="15">
        <f>B5-C5</f>
        <v>453.52999999999884</v>
      </c>
      <c r="E5" s="16">
        <f t="shared" ref="E5:E16" si="0">IFERROR(D5/C5, 0)</f>
        <v>1.5649099658330425E-2</v>
      </c>
      <c r="F5" s="17">
        <v>39673.79</v>
      </c>
      <c r="G5" s="18">
        <f>B5-F5</f>
        <v>-10239.040000000001</v>
      </c>
      <c r="H5" s="19">
        <f t="shared" ref="H5:H16" si="1">IFERROR(G5/F5, 0)</f>
        <v>-0.25808071273251182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29434.75</v>
      </c>
      <c r="C17" s="38">
        <f t="shared" ref="C17:F17" si="4">SUM(C5:C16)</f>
        <v>28981.22</v>
      </c>
      <c r="D17" s="38">
        <f>B17-C17</f>
        <v>453.52999999999884</v>
      </c>
      <c r="E17" s="39">
        <f>IFERROR(D17/C17, 0)</f>
        <v>1.5649099658330425E-2</v>
      </c>
      <c r="F17" s="38">
        <f t="shared" si="4"/>
        <v>39673.79</v>
      </c>
      <c r="G17" s="38">
        <f>B17-F17</f>
        <v>-10239.040000000001</v>
      </c>
      <c r="H17" s="40">
        <f>IFERROR(G17/F17, 0)</f>
        <v>-0.25808071273251182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137" priority="1" operator="lessThanOrEqual">
      <formula>-0.1</formula>
    </cfRule>
    <cfRule type="cellIs" dxfId="213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583E-8DF1-4ED7-A079-4CBE15733E77}">
  <sheetPr codeName="Sheet79">
    <tabColor rgb="FF002060"/>
  </sheetPr>
  <dimension ref="A1:O20"/>
  <sheetViews>
    <sheetView workbookViewId="0">
      <selection activeCell="B5" sqref="B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60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15656.69</v>
      </c>
      <c r="C5" s="14">
        <v>0</v>
      </c>
      <c r="D5" s="15">
        <f>B5-C5</f>
        <v>15656.69</v>
      </c>
      <c r="E5" s="16">
        <f t="shared" ref="E5:E16" si="0">IFERROR(D5/C5, 0)</f>
        <v>0</v>
      </c>
      <c r="F5" s="17">
        <v>1973</v>
      </c>
      <c r="G5" s="18">
        <f>B5-F5</f>
        <v>13683.69</v>
      </c>
      <c r="H5" s="19">
        <f t="shared" ref="H5:H16" si="1">IFERROR(G5/F5, 0)</f>
        <v>6.9354738976178414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7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15656.69</v>
      </c>
      <c r="C17" s="38">
        <f t="shared" ref="C17:F17" si="4">SUM(C5:C16)</f>
        <v>0</v>
      </c>
      <c r="D17" s="38">
        <f>B17-C17</f>
        <v>15656.69</v>
      </c>
      <c r="E17" s="39">
        <f>IFERROR(D17/C17, 0)</f>
        <v>0</v>
      </c>
      <c r="F17" s="38">
        <f t="shared" si="4"/>
        <v>1973</v>
      </c>
      <c r="G17" s="38">
        <f>B17-F17</f>
        <v>13683.69</v>
      </c>
      <c r="H17" s="40">
        <f>IFERROR(G17/F17, 0)</f>
        <v>6.9354738976178414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121" priority="1" operator="lessThanOrEqual">
      <formula>-0.1</formula>
    </cfRule>
    <cfRule type="cellIs" dxfId="212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DBC4-51CF-4C84-90A3-50F72C87CEE5}">
  <sheetPr codeName="Sheet80">
    <tabColor rgb="FF00206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62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8806.2478459322592</v>
      </c>
      <c r="C5" s="14">
        <v>12098.42</v>
      </c>
      <c r="D5" s="15">
        <f>B5-C5</f>
        <v>-3292.1721540677408</v>
      </c>
      <c r="E5" s="16">
        <f t="shared" ref="E5:E16" si="0">IFERROR(D5/C5, 0)</f>
        <v>-0.27211587579764474</v>
      </c>
      <c r="F5" s="17">
        <v>11218.66</v>
      </c>
      <c r="G5" s="18">
        <f>B5-F5</f>
        <v>-2412.4121540677406</v>
      </c>
      <c r="H5" s="19">
        <f t="shared" ref="H5:H16" si="1">IFERROR(G5/F5, 0)</f>
        <v>-0.21503567752902225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8806.2478459322592</v>
      </c>
      <c r="C17" s="38">
        <f t="shared" ref="C17:F17" si="4">SUM(C5:C16)</f>
        <v>12098.42</v>
      </c>
      <c r="D17" s="38">
        <f>B17-C17</f>
        <v>-3292.1721540677408</v>
      </c>
      <c r="E17" s="39">
        <f>IFERROR(D17/C17, 0)</f>
        <v>-0.27211587579764474</v>
      </c>
      <c r="F17" s="38">
        <f t="shared" si="4"/>
        <v>11218.66</v>
      </c>
      <c r="G17" s="38">
        <f>B17-F17</f>
        <v>-2412.4121540677406</v>
      </c>
      <c r="H17" s="40">
        <f>IFERROR(G17/F17, 0)</f>
        <v>-0.21503567752902225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105" priority="1" operator="lessThanOrEqual">
      <formula>-0.1</formula>
    </cfRule>
    <cfRule type="cellIs" dxfId="210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E425-3C48-45AC-9EFA-14A3622FD453}">
  <sheetPr codeName="Sheet81">
    <tabColor rgb="FF00206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64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31.5" customHeight="1">
      <c r="A5" s="13" t="s">
        <v>274</v>
      </c>
      <c r="B5" s="14">
        <v>16586.8</v>
      </c>
      <c r="C5" s="14">
        <v>24366.89</v>
      </c>
      <c r="D5" s="15">
        <f>B5-C5</f>
        <v>-7780.09</v>
      </c>
      <c r="E5" s="16">
        <f t="shared" ref="E5:E16" si="0">IFERROR(D5/C5, 0)</f>
        <v>-0.31928941280565554</v>
      </c>
      <c r="F5" s="17">
        <v>24201.63</v>
      </c>
      <c r="G5" s="18">
        <f>B5-F5</f>
        <v>-7614.8300000000017</v>
      </c>
      <c r="H5" s="19">
        <f t="shared" ref="H5:H16" si="1">IFERROR(G5/F5, 0)</f>
        <v>-0.31464120391890965</v>
      </c>
      <c r="I5" s="26" t="s">
        <v>287</v>
      </c>
      <c r="J5" s="26" t="s">
        <v>288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16586.8</v>
      </c>
      <c r="C17" s="38">
        <f t="shared" ref="C17:F17" si="4">SUM(C5:C16)</f>
        <v>24366.89</v>
      </c>
      <c r="D17" s="38">
        <f>B17-C17</f>
        <v>-7780.09</v>
      </c>
      <c r="E17" s="39">
        <f>IFERROR(D17/C17, 0)</f>
        <v>-0.31928941280565554</v>
      </c>
      <c r="F17" s="38">
        <f t="shared" si="4"/>
        <v>24201.63</v>
      </c>
      <c r="G17" s="38">
        <f>B17-F17</f>
        <v>-7614.8300000000017</v>
      </c>
      <c r="H17" s="40">
        <f>IFERROR(G17/F17, 0)</f>
        <v>-0.31464120391890965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089" priority="1" operator="lessThanOrEqual">
      <formula>-0.1</formula>
    </cfRule>
    <cfRule type="cellIs" dxfId="208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E746-F83C-4E2E-98CC-7AF74189AA35}">
  <sheetPr codeName="Sheet82">
    <tabColor rgb="FF002060"/>
  </sheetPr>
  <dimension ref="A1:O20"/>
  <sheetViews>
    <sheetView topLeftCell="A2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66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20730.183365017401</v>
      </c>
      <c r="C5" s="14">
        <v>16836.22</v>
      </c>
      <c r="D5" s="15">
        <f>B5-C5</f>
        <v>3893.9633650174001</v>
      </c>
      <c r="E5" s="16">
        <f t="shared" ref="E5:E16" si="0">IFERROR(D5/C5, 0)</f>
        <v>0.23128489441319963</v>
      </c>
      <c r="F5" s="17">
        <v>24326.73</v>
      </c>
      <c r="G5" s="18">
        <f>B5-F5</f>
        <v>-3596.5466349825983</v>
      </c>
      <c r="H5" s="19">
        <f t="shared" ref="H5:H16" si="1">IFERROR(G5/F5, 0)</f>
        <v>-0.14784340661414824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20730.183365017401</v>
      </c>
      <c r="C17" s="38">
        <f t="shared" ref="C17:F17" si="4">SUM(C5:C16)</f>
        <v>16836.22</v>
      </c>
      <c r="D17" s="38">
        <f>B17-C17</f>
        <v>3893.9633650174001</v>
      </c>
      <c r="E17" s="39">
        <f>IFERROR(D17/C17, 0)</f>
        <v>0.23128489441319963</v>
      </c>
      <c r="F17" s="38">
        <f t="shared" si="4"/>
        <v>24326.73</v>
      </c>
      <c r="G17" s="38">
        <f>B17-F17</f>
        <v>-3596.5466349825983</v>
      </c>
      <c r="H17" s="40">
        <f>IFERROR(G17/F17, 0)</f>
        <v>-0.14784340661414824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073" priority="1" operator="lessThanOrEqual">
      <formula>-0.1</formula>
    </cfRule>
    <cfRule type="cellIs" dxfId="207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F958-8610-4762-94C1-AD31DC335482}">
  <sheetPr codeName="Sheet83">
    <tabColor rgb="FF00206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68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8912.9887629654295</v>
      </c>
      <c r="C5" s="14">
        <v>7118.6189999999997</v>
      </c>
      <c r="D5" s="15">
        <f>B5-C5</f>
        <v>1794.3697629654298</v>
      </c>
      <c r="E5" s="16">
        <f t="shared" ref="E5:E16" si="0">IFERROR(D5/C5, 0)</f>
        <v>0.25206711624339356</v>
      </c>
      <c r="F5" s="17">
        <v>10705</v>
      </c>
      <c r="G5" s="18">
        <f>B5-F5</f>
        <v>-1792.0112370345705</v>
      </c>
      <c r="H5" s="19">
        <f t="shared" ref="H5:H16" si="1">IFERROR(G5/F5, 0)</f>
        <v>-0.16739946165666236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8912.9887629654295</v>
      </c>
      <c r="C17" s="38">
        <f t="shared" ref="C17:F17" si="4">SUM(C5:C16)</f>
        <v>7118.6189999999997</v>
      </c>
      <c r="D17" s="38">
        <f>B17-C17</f>
        <v>1794.3697629654298</v>
      </c>
      <c r="E17" s="39">
        <f>IFERROR(D17/C17, 0)</f>
        <v>0.25206711624339356</v>
      </c>
      <c r="F17" s="38">
        <f t="shared" si="4"/>
        <v>10705</v>
      </c>
      <c r="G17" s="38">
        <f>B17-F17</f>
        <v>-1792.0112370345705</v>
      </c>
      <c r="H17" s="40">
        <f>IFERROR(G17/F17, 0)</f>
        <v>-0.16739946165666236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057" priority="1" operator="lessThanOrEqual">
      <formula>-0.1</formula>
    </cfRule>
    <cfRule type="cellIs" dxfId="205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DDCC-6EE0-4F51-998E-81D2105725CF}">
  <sheetPr codeName="Sheet84">
    <tabColor rgb="FF002060"/>
  </sheetPr>
  <dimension ref="A1:O20"/>
  <sheetViews>
    <sheetView workbookViewId="0">
      <selection activeCell="I24" sqref="I2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69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3747.203</v>
      </c>
      <c r="C5" s="14">
        <v>0</v>
      </c>
      <c r="D5" s="15">
        <f>B5-C5</f>
        <v>3747.203</v>
      </c>
      <c r="E5" s="16">
        <f t="shared" ref="E5:E16" si="0">IFERROR(D5/C5, 0)</f>
        <v>0</v>
      </c>
      <c r="F5" s="17">
        <v>0</v>
      </c>
      <c r="G5" s="18">
        <f>B5-F5</f>
        <v>3747.203</v>
      </c>
      <c r="H5" s="19">
        <f t="shared" ref="H5:H16" si="1">IFERROR(G5/F5, 0)</f>
        <v>0</v>
      </c>
      <c r="I5" s="27" t="s">
        <v>289</v>
      </c>
      <c r="J5" s="27" t="s">
        <v>290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3747.203</v>
      </c>
      <c r="C17" s="38">
        <f t="shared" ref="C17:F17" si="4">SUM(C5:C16)</f>
        <v>0</v>
      </c>
      <c r="D17" s="38">
        <f>B17-C17</f>
        <v>3747.203</v>
      </c>
      <c r="E17" s="39">
        <f>IFERROR(D17/C17, 0)</f>
        <v>0</v>
      </c>
      <c r="F17" s="38">
        <f t="shared" si="4"/>
        <v>0</v>
      </c>
      <c r="G17" s="38">
        <f>B17-F17</f>
        <v>3747.203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041" priority="1" operator="lessThanOrEqual">
      <formula>-0.1</formula>
    </cfRule>
    <cfRule type="cellIs" dxfId="204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FDB1-A3BB-4804-8CD1-744EF51DB714}">
  <sheetPr codeName="Sheet85">
    <tabColor rgb="FF002060"/>
  </sheetPr>
  <dimension ref="A1:O20"/>
  <sheetViews>
    <sheetView workbookViewId="0">
      <selection activeCell="H5" sqref="H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70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52995</v>
      </c>
      <c r="C5" s="14">
        <v>74566.16</v>
      </c>
      <c r="D5" s="15">
        <f>B5-C5</f>
        <v>-21571.160000000003</v>
      </c>
      <c r="E5" s="16">
        <f t="shared" ref="E5:E16" si="0">IFERROR(D5/C5, 0)</f>
        <v>-0.28928886776521684</v>
      </c>
      <c r="F5" s="17">
        <v>67067</v>
      </c>
      <c r="G5" s="18">
        <f>B5-F5</f>
        <v>-14072</v>
      </c>
      <c r="H5" s="19">
        <f t="shared" ref="H5:H16" si="1">IFERROR(G5/F5, 0)</f>
        <v>-0.20982003071555311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52995</v>
      </c>
      <c r="C17" s="38">
        <f t="shared" ref="C17:F17" si="4">SUM(C5:C16)</f>
        <v>74566.16</v>
      </c>
      <c r="D17" s="38">
        <f>B17-C17</f>
        <v>-21571.160000000003</v>
      </c>
      <c r="E17" s="39">
        <f>IFERROR(D17/C17, 0)</f>
        <v>-0.28928886776521684</v>
      </c>
      <c r="F17" s="38">
        <f t="shared" si="4"/>
        <v>67067</v>
      </c>
      <c r="G17" s="38">
        <f>B17-F17</f>
        <v>-14072</v>
      </c>
      <c r="H17" s="40">
        <f>IFERROR(G17/F17, 0)</f>
        <v>-0.20982003071555311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025" priority="1" operator="lessThanOrEqual">
      <formula>-0.1</formula>
    </cfRule>
    <cfRule type="cellIs" dxfId="202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E960-B7AB-40BD-9EA5-55ED33833ABE}">
  <sheetPr codeName="Sheet86">
    <tabColor rgb="FF002060"/>
  </sheetPr>
  <dimension ref="A1:O20"/>
  <sheetViews>
    <sheetView workbookViewId="0">
      <selection activeCell="B5" sqref="B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72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20047.7890625</v>
      </c>
      <c r="C5" s="14">
        <v>40688.25</v>
      </c>
      <c r="D5" s="15">
        <f>B5-C5</f>
        <v>-20640.4609375</v>
      </c>
      <c r="E5" s="16">
        <f t="shared" ref="E5:E16" si="0">IFERROR(D5/C5, 0)</f>
        <v>-0.50728308387556609</v>
      </c>
      <c r="F5" s="17">
        <v>55531</v>
      </c>
      <c r="G5" s="18">
        <f>B5-F5</f>
        <v>-35483.2109375</v>
      </c>
      <c r="H5" s="19">
        <f t="shared" ref="H5:H16" si="1">IFERROR(G5/F5, 0)</f>
        <v>-0.63898022613495165</v>
      </c>
      <c r="I5" s="73" t="s">
        <v>291</v>
      </c>
      <c r="J5" s="73" t="s">
        <v>292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34.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20047.7890625</v>
      </c>
      <c r="C17" s="38">
        <f t="shared" ref="C17:F17" si="4">SUM(C5:C16)</f>
        <v>40688.25</v>
      </c>
      <c r="D17" s="38">
        <f>B17-C17</f>
        <v>-20640.4609375</v>
      </c>
      <c r="E17" s="39">
        <f>IFERROR(D17/C17, 0)</f>
        <v>-0.50728308387556609</v>
      </c>
      <c r="F17" s="38">
        <f t="shared" si="4"/>
        <v>55531</v>
      </c>
      <c r="G17" s="38">
        <f>B17-F17</f>
        <v>-35483.2109375</v>
      </c>
      <c r="H17" s="40">
        <f>IFERROR(G17/F17, 0)</f>
        <v>-0.63898022613495165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009" priority="1" operator="lessThanOrEqual">
      <formula>-0.1</formula>
    </cfRule>
    <cfRule type="cellIs" dxfId="200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2F19-D60D-4D3B-A15C-84D7D10C514A}">
  <sheetPr codeName="Sheet87">
    <tabColor rgb="FF00206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75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6323.25</v>
      </c>
      <c r="C5" s="14">
        <v>0</v>
      </c>
      <c r="D5" s="15">
        <f>B5-C5</f>
        <v>6323.25</v>
      </c>
      <c r="E5" s="16">
        <f t="shared" ref="E5:E16" si="0">IFERROR(D5/C5, 0)</f>
        <v>0</v>
      </c>
      <c r="F5" s="17">
        <v>12400</v>
      </c>
      <c r="G5" s="18">
        <f>B5-F5</f>
        <v>-6076.75</v>
      </c>
      <c r="H5" s="19">
        <f t="shared" ref="H5:H16" si="1">IFERROR(G5/F5, 0)</f>
        <v>-0.49006048387096773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6323.25</v>
      </c>
      <c r="C17" s="38">
        <f t="shared" ref="C17:F17" si="4">SUM(C5:C16)</f>
        <v>0</v>
      </c>
      <c r="D17" s="38">
        <f>B17-C17</f>
        <v>6323.25</v>
      </c>
      <c r="E17" s="39">
        <f>IFERROR(D17/C17, 0)</f>
        <v>0</v>
      </c>
      <c r="F17" s="38">
        <f t="shared" si="4"/>
        <v>12400</v>
      </c>
      <c r="G17" s="38">
        <f>B17-F17</f>
        <v>-6076.75</v>
      </c>
      <c r="H17" s="40">
        <f>IFERROR(G17/F17, 0)</f>
        <v>-0.49006048387096773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993" priority="1" operator="lessThanOrEqual">
      <formula>-0.1</formula>
    </cfRule>
    <cfRule type="cellIs" dxfId="199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179B-1F0D-44B1-A871-75CB04CE2528}">
  <sheetPr codeName="Sheet88">
    <tabColor rgb="FF00B0F0"/>
  </sheetPr>
  <dimension ref="A1:O20"/>
  <sheetViews>
    <sheetView workbookViewId="0">
      <selection activeCell="F15" sqref="F15:F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77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10382.7778156565</v>
      </c>
      <c r="C5" s="14">
        <v>0</v>
      </c>
      <c r="D5" s="15">
        <f>B5-C5</f>
        <v>10382.7778156565</v>
      </c>
      <c r="E5" s="16">
        <f t="shared" ref="E5:E16" si="0">IFERROR(D5/C5, 0)</f>
        <v>0</v>
      </c>
      <c r="F5" s="17">
        <v>11007</v>
      </c>
      <c r="G5" s="18">
        <f>B5-F5</f>
        <v>-624.22218434349998</v>
      </c>
      <c r="H5" s="19">
        <f t="shared" ref="H5:H16" si="1">IFERROR(G5/F5, 0)</f>
        <v>-5.6711382242527482E-2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10382.7778156565</v>
      </c>
      <c r="C17" s="38">
        <f t="shared" ref="C17:F17" si="4">SUM(C5:C16)</f>
        <v>0</v>
      </c>
      <c r="D17" s="38">
        <f>B17-C17</f>
        <v>10382.7778156565</v>
      </c>
      <c r="E17" s="39">
        <f>IFERROR(D17/C17, 0)</f>
        <v>0</v>
      </c>
      <c r="F17" s="38">
        <f t="shared" si="4"/>
        <v>11007</v>
      </c>
      <c r="G17" s="38">
        <f>B17-F17</f>
        <v>-624.22218434349998</v>
      </c>
      <c r="H17" s="40">
        <f>IFERROR(G17/F17, 0)</f>
        <v>-5.6711382242527482E-2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977" priority="1" operator="lessThanOrEqual">
      <formula>-0.1</formula>
    </cfRule>
    <cfRule type="cellIs" dxfId="197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5C9E-881C-451B-B037-C5F5318A6589}">
  <sheetPr codeName="Sheet89">
    <tabColor rgb="FF00B0F0"/>
  </sheetPr>
  <dimension ref="A1:O20"/>
  <sheetViews>
    <sheetView topLeftCell="A2" workbookViewId="0">
      <selection activeCell="C15" sqref="C15:C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80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6804.58081607043</v>
      </c>
      <c r="C5" s="14">
        <v>0</v>
      </c>
      <c r="D5" s="15">
        <f>B5-C5</f>
        <v>6804.58081607043</v>
      </c>
      <c r="E5" s="16">
        <f t="shared" ref="E5:E16" si="0">IFERROR(D5/C5, 0)</f>
        <v>0</v>
      </c>
      <c r="F5" s="17">
        <v>8517</v>
      </c>
      <c r="G5" s="18">
        <f>B5-F5</f>
        <v>-1712.41918392957</v>
      </c>
      <c r="H5" s="19">
        <f t="shared" ref="H5:H16" si="1">IFERROR(G5/F5, 0)</f>
        <v>-0.20105896253722788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6804.58081607043</v>
      </c>
      <c r="C17" s="38">
        <f t="shared" ref="C17:F17" si="4">SUM(C5:C16)</f>
        <v>0</v>
      </c>
      <c r="D17" s="38">
        <f>B17-C17</f>
        <v>6804.58081607043</v>
      </c>
      <c r="E17" s="39">
        <f>IFERROR(D17/C17, 0)</f>
        <v>0</v>
      </c>
      <c r="F17" s="38">
        <f t="shared" si="4"/>
        <v>8517</v>
      </c>
      <c r="G17" s="38">
        <f>B17-F17</f>
        <v>-1712.41918392957</v>
      </c>
      <c r="H17" s="40">
        <f>IFERROR(G17/F17, 0)</f>
        <v>-0.20105896253722788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961" priority="1" operator="lessThanOrEqual">
      <formula>-0.1</formula>
    </cfRule>
    <cfRule type="cellIs" dxfId="196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2573-D460-40B8-98D0-F265593F67DE}">
  <sheetPr codeName="Sheet90">
    <tabColor rgb="FF00B0F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82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51680.32</v>
      </c>
      <c r="C5" s="14">
        <v>0</v>
      </c>
      <c r="D5" s="15">
        <f>B5-C5</f>
        <v>51680.32</v>
      </c>
      <c r="E5" s="16">
        <f t="shared" ref="E5:E16" si="0">IFERROR(D5/C5, 0)</f>
        <v>0</v>
      </c>
      <c r="F5" s="17">
        <v>28849</v>
      </c>
      <c r="G5" s="18">
        <f>B5-F5</f>
        <v>22831.32</v>
      </c>
      <c r="H5" s="19">
        <f t="shared" ref="H5:H16" si="1">IFERROR(G5/F5, 0)</f>
        <v>0.79140767444278826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3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51680.32</v>
      </c>
      <c r="C17" s="38">
        <f t="shared" ref="C17:F17" si="4">SUM(C5:C16)</f>
        <v>0</v>
      </c>
      <c r="D17" s="38">
        <f>B17-C17</f>
        <v>51680.32</v>
      </c>
      <c r="E17" s="39">
        <f>IFERROR(D17/C17, 0)</f>
        <v>0</v>
      </c>
      <c r="F17" s="38">
        <f t="shared" si="4"/>
        <v>28849</v>
      </c>
      <c r="G17" s="38">
        <f>B17-F17</f>
        <v>22831.32</v>
      </c>
      <c r="H17" s="40">
        <f>IFERROR(G17/F17, 0)</f>
        <v>0.79140767444278826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945" priority="1" operator="lessThanOrEqual">
      <formula>-0.1</formula>
    </cfRule>
    <cfRule type="cellIs" dxfId="194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B018-D635-4655-8A29-3A3364623303}">
  <sheetPr codeName="Sheet91">
    <tabColor rgb="FF00B0F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83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20768</v>
      </c>
      <c r="C5" s="14">
        <v>0</v>
      </c>
      <c r="D5" s="15">
        <f>B5-C5</f>
        <v>20768</v>
      </c>
      <c r="E5" s="16">
        <f t="shared" ref="E5:E16" si="0">IFERROR(D5/C5, 0)</f>
        <v>0</v>
      </c>
      <c r="F5" s="17">
        <v>8180</v>
      </c>
      <c r="G5" s="18">
        <f>B5-F5</f>
        <v>12588</v>
      </c>
      <c r="H5" s="19">
        <f t="shared" ref="H5:H16" si="1">IFERROR(G5/F5, 0)</f>
        <v>1.5388753056234719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3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20768</v>
      </c>
      <c r="C17" s="38">
        <f t="shared" ref="C17:F17" si="4">SUM(C5:C16)</f>
        <v>0</v>
      </c>
      <c r="D17" s="38">
        <f>B17-C17</f>
        <v>20768</v>
      </c>
      <c r="E17" s="39">
        <f>IFERROR(D17/C17, 0)</f>
        <v>0</v>
      </c>
      <c r="F17" s="38">
        <f t="shared" si="4"/>
        <v>8180</v>
      </c>
      <c r="G17" s="38">
        <f>B17-F17</f>
        <v>12588</v>
      </c>
      <c r="H17" s="40">
        <f>IFERROR(G17/F17, 0)</f>
        <v>1.5388753056234719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929" priority="1" operator="lessThanOrEqual">
      <formula>-0.1</formula>
    </cfRule>
    <cfRule type="cellIs" dxfId="192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2C31-8649-4B1F-A557-A0E9BA2EC915}">
  <sheetPr codeName="Sheet92">
    <tabColor theme="8" tint="0.59999389629810485"/>
  </sheetPr>
  <dimension ref="A1:O20"/>
  <sheetViews>
    <sheetView workbookViewId="0">
      <selection activeCell="I15" sqref="I15:J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85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23135</v>
      </c>
      <c r="C5" s="14">
        <v>43481.120000000003</v>
      </c>
      <c r="D5" s="15">
        <f>B5-C5</f>
        <v>-20346.120000000003</v>
      </c>
      <c r="E5" s="16">
        <f t="shared" ref="E5:E16" si="0">IFERROR(D5/C5, 0)</f>
        <v>-0.4679299889239284</v>
      </c>
      <c r="F5" s="17">
        <v>47410.87</v>
      </c>
      <c r="G5" s="18">
        <f>B5-F5</f>
        <v>-24275.870000000003</v>
      </c>
      <c r="H5" s="19">
        <f t="shared" ref="H5:H16" si="1">IFERROR(G5/F5, 0)</f>
        <v>-0.51203173449464234</v>
      </c>
      <c r="I5" s="73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27"/>
      <c r="J16" s="27"/>
    </row>
    <row r="17" spans="1:15" ht="13.15" customHeight="1">
      <c r="A17" s="37" t="s">
        <v>286</v>
      </c>
      <c r="B17" s="38">
        <f>SUM(B5:B16)</f>
        <v>23135</v>
      </c>
      <c r="C17" s="38">
        <f t="shared" ref="C17:F17" si="4">SUM(C5:C16)</f>
        <v>43481.120000000003</v>
      </c>
      <c r="D17" s="38">
        <f>B17-C17</f>
        <v>-20346.120000000003</v>
      </c>
      <c r="E17" s="39">
        <f>IFERROR(D17/C17, 0)</f>
        <v>-0.4679299889239284</v>
      </c>
      <c r="F17" s="38">
        <f t="shared" si="4"/>
        <v>47410.87</v>
      </c>
      <c r="G17" s="38">
        <f>B17-F17</f>
        <v>-24275.870000000003</v>
      </c>
      <c r="H17" s="40">
        <f>IFERROR(G17/F17, 0)</f>
        <v>-0.51203173449464234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913" priority="1" operator="lessThanOrEqual">
      <formula>-0.1</formula>
    </cfRule>
    <cfRule type="cellIs" dxfId="191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B1AF-1260-449D-8782-5CF64A16B32D}">
  <sheetPr codeName="Sheet93">
    <tabColor theme="8" tint="0.59999389629810485"/>
  </sheetPr>
  <dimension ref="A1:O20"/>
  <sheetViews>
    <sheetView workbookViewId="0">
      <selection activeCell="I21" sqref="I2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89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5510.625</v>
      </c>
      <c r="C5" s="14">
        <v>12146.73</v>
      </c>
      <c r="D5" s="15">
        <f>B5-C5</f>
        <v>-6636.1049999999996</v>
      </c>
      <c r="E5" s="16">
        <f t="shared" ref="E5:E16" si="0">IFERROR(D5/C5, 0)</f>
        <v>-0.54632851804559746</v>
      </c>
      <c r="F5" s="17">
        <v>11789.76</v>
      </c>
      <c r="G5" s="18">
        <f>B5-F5</f>
        <v>-6279.1350000000002</v>
      </c>
      <c r="H5" s="19">
        <f t="shared" ref="H5:H16" si="1">IFERROR(G5/F5, 0)</f>
        <v>-0.53259226650924196</v>
      </c>
      <c r="I5" s="73" t="s">
        <v>293</v>
      </c>
      <c r="J5" s="73" t="s">
        <v>294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28.9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9"/>
      <c r="J16" s="119"/>
    </row>
    <row r="17" spans="1:15" ht="13.15" customHeight="1">
      <c r="A17" s="37" t="s">
        <v>286</v>
      </c>
      <c r="B17" s="38">
        <f>SUM(B5:B16)</f>
        <v>5510.625</v>
      </c>
      <c r="C17" s="38">
        <f t="shared" ref="C17:F17" si="4">SUM(C5:C16)</f>
        <v>12146.73</v>
      </c>
      <c r="D17" s="38">
        <f>B17-C17</f>
        <v>-6636.1049999999996</v>
      </c>
      <c r="E17" s="39">
        <f>IFERROR(D17/C17, 0)</f>
        <v>-0.54632851804559746</v>
      </c>
      <c r="F17" s="38">
        <f t="shared" si="4"/>
        <v>11789.76</v>
      </c>
      <c r="G17" s="38">
        <f>B17-F17</f>
        <v>-6279.1350000000002</v>
      </c>
      <c r="H17" s="40">
        <f>IFERROR(G17/F17, 0)</f>
        <v>-0.53259226650924196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897" priority="1" operator="lessThanOrEqual">
      <formula>-0.1</formula>
    </cfRule>
    <cfRule type="cellIs" dxfId="189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topLeftCell="C1" workbookViewId="0">
      <selection activeCell="I13" sqref="I13:J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77" t="s">
        <v>90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7049.125</v>
      </c>
      <c r="C5" s="14">
        <v>12398.04</v>
      </c>
      <c r="D5" s="15">
        <f>B5-C5</f>
        <v>-5348.9150000000009</v>
      </c>
      <c r="E5" s="16">
        <f t="shared" ref="E5:E16" si="0">IFERROR(D5/C5, 0)</f>
        <v>-0.43143230704208091</v>
      </c>
      <c r="F5" s="17">
        <v>18592.650000000001</v>
      </c>
      <c r="G5" s="18">
        <f>B5-F5</f>
        <v>-11543.525000000001</v>
      </c>
      <c r="H5" s="19">
        <f t="shared" ref="H5:H16" si="1">IFERROR(G5/F5, 0)</f>
        <v>-0.62086496545678005</v>
      </c>
      <c r="I5" s="20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/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7049.125</v>
      </c>
      <c r="C17" s="38">
        <f t="shared" ref="C17:F17" si="4">SUM(C5:C16)</f>
        <v>12398.04</v>
      </c>
      <c r="D17" s="38">
        <f>B17-C17</f>
        <v>-5348.9150000000009</v>
      </c>
      <c r="E17" s="39">
        <f>IFERROR(D17/C17, 0)</f>
        <v>-0.43143230704208091</v>
      </c>
      <c r="F17" s="38">
        <f t="shared" si="4"/>
        <v>18592.650000000001</v>
      </c>
      <c r="G17" s="38">
        <f>B17-F17</f>
        <v>-11543.525000000001</v>
      </c>
      <c r="H17" s="40">
        <f>IFERROR(G17/F17, 0)</f>
        <v>-0.62086496545678005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881" priority="1" operator="lessThanOrEqual">
      <formula>-0.1</formula>
    </cfRule>
    <cfRule type="cellIs" dxfId="188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EE0E-866C-418C-A20F-372969A7AE42}">
  <sheetPr>
    <tabColor rgb="FFFFFF00"/>
  </sheetPr>
  <dimension ref="A1:O20"/>
  <sheetViews>
    <sheetView workbookViewId="0">
      <selection activeCell="H22" sqref="H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93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2400.5965820312499</v>
      </c>
      <c r="C5" s="14">
        <v>0</v>
      </c>
      <c r="D5" s="15">
        <f>B5-C5</f>
        <v>2400.5965820312499</v>
      </c>
      <c r="E5" s="16">
        <f t="shared" ref="E5:E16" si="0">IFERROR(D5/C5, 0)</f>
        <v>0</v>
      </c>
      <c r="F5" s="17">
        <v>0</v>
      </c>
      <c r="G5" s="18">
        <f>B5-F5</f>
        <v>2400.5965820312499</v>
      </c>
      <c r="H5" s="19">
        <f t="shared" ref="H5:H16" si="1">IFERROR(G5/F5, 0)</f>
        <v>0</v>
      </c>
      <c r="I5" s="27" t="s">
        <v>295</v>
      </c>
      <c r="J5" s="27" t="s">
        <v>296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2400.5965820312499</v>
      </c>
      <c r="C17" s="38">
        <f t="shared" ref="C17:F17" si="4">SUM(C5:C16)</f>
        <v>0</v>
      </c>
      <c r="D17" s="38">
        <f>B17-C17</f>
        <v>2400.5965820312499</v>
      </c>
      <c r="E17" s="39">
        <f>IFERROR(D17/C17, 0)</f>
        <v>0</v>
      </c>
      <c r="F17" s="38">
        <f t="shared" si="4"/>
        <v>0</v>
      </c>
      <c r="G17" s="38">
        <f>B17-F17</f>
        <v>2400.5965820312499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6">
    <cfRule type="cellIs" dxfId="1865" priority="1" operator="lessThanOrEqual">
      <formula>-0.1</formula>
    </cfRule>
    <cfRule type="cellIs" dxfId="1864" priority="2" operator="greaterThan">
      <formula>0.1</formula>
    </cfRule>
  </conditionalFormatting>
  <conditionalFormatting sqref="H5:H17 E17">
    <cfRule type="cellIs" dxfId="1863" priority="3" operator="lessThanOrEqual">
      <formula>-0.1</formula>
    </cfRule>
    <cfRule type="cellIs" dxfId="1862" priority="4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workbookViewId="0">
      <selection sqref="A1:XFD104857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95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7037.328125</v>
      </c>
      <c r="C5" s="14">
        <v>10909.38</v>
      </c>
      <c r="D5" s="15">
        <f>B5-C5</f>
        <v>-3872.0518749999992</v>
      </c>
      <c r="E5" s="16">
        <f t="shared" ref="E5:E16" si="0">IFERROR(D5/C5, 0)</f>
        <v>-0.35492868293156893</v>
      </c>
      <c r="F5" s="17">
        <v>20258</v>
      </c>
      <c r="G5" s="18">
        <f>B5-F5</f>
        <v>-13220.671875</v>
      </c>
      <c r="H5" s="19">
        <f t="shared" ref="H5:H16" si="1">IFERROR(G5/F5, 0)</f>
        <v>-0.65261486202981533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7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4"/>
      <c r="D9" s="15">
        <f t="shared" si="2"/>
        <v>0</v>
      </c>
      <c r="E9" s="22">
        <f t="shared" si="0"/>
        <v>0</v>
      </c>
      <c r="F9" s="23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15"/>
      <c r="D10" s="15">
        <f t="shared" si="2"/>
        <v>0</v>
      </c>
      <c r="E10" s="22">
        <f t="shared" si="0"/>
        <v>0</v>
      </c>
      <c r="F10" s="24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17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3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4"/>
      <c r="D13" s="15">
        <f t="shared" si="2"/>
        <v>0</v>
      </c>
      <c r="E13" s="22">
        <f t="shared" si="0"/>
        <v>0</v>
      </c>
      <c r="F13" s="24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7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3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15"/>
      <c r="D16" s="31">
        <f t="shared" si="2"/>
        <v>0</v>
      </c>
      <c r="E16" s="32">
        <f t="shared" si="0"/>
        <v>0</v>
      </c>
      <c r="F16" s="24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7037.328125</v>
      </c>
      <c r="C17" s="38">
        <f t="shared" ref="C17:F17" si="4">SUM(C5:C16)</f>
        <v>10909.38</v>
      </c>
      <c r="D17" s="38">
        <f>B17-C17</f>
        <v>-3872.0518749999992</v>
      </c>
      <c r="E17" s="39">
        <f>IFERROR(D17/C17, 0)</f>
        <v>-0.35492868293156893</v>
      </c>
      <c r="F17" s="38">
        <f t="shared" si="4"/>
        <v>20258</v>
      </c>
      <c r="G17" s="38">
        <f>B17-F17</f>
        <v>-13220.671875</v>
      </c>
      <c r="H17" s="40">
        <f>IFERROR(G17/F17, 0)</f>
        <v>-0.65261486202981533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6">
    <cfRule type="cellIs" dxfId="1847" priority="1" operator="lessThanOrEqual">
      <formula>-0.1</formula>
    </cfRule>
    <cfRule type="cellIs" dxfId="1846" priority="2" operator="greaterThan">
      <formula>0.1</formula>
    </cfRule>
  </conditionalFormatting>
  <conditionalFormatting sqref="H5:H17 E17">
    <cfRule type="cellIs" dxfId="1845" priority="3" operator="lessThanOrEqual">
      <formula>-0.1</formula>
    </cfRule>
    <cfRule type="cellIs" dxfId="1844" priority="4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96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5262.6875</v>
      </c>
      <c r="C5" s="14">
        <v>8705.5619999999999</v>
      </c>
      <c r="D5" s="15">
        <f>B5-C5</f>
        <v>-3442.8744999999999</v>
      </c>
      <c r="E5" s="16">
        <f t="shared" ref="E5:E16" si="0">IFERROR(D5/C5, 0)</f>
        <v>-0.39547986677942215</v>
      </c>
      <c r="F5" s="17">
        <v>13134.4</v>
      </c>
      <c r="G5" s="18">
        <f>B5-F5</f>
        <v>-7871.7124999999996</v>
      </c>
      <c r="H5" s="19">
        <f t="shared" ref="H5:H16" si="1">IFERROR(G5/F5, 0)</f>
        <v>-0.59932029632111095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5262.6875</v>
      </c>
      <c r="C17" s="38">
        <f t="shared" ref="C17:F17" si="4">SUM(C5:C16)</f>
        <v>8705.5619999999999</v>
      </c>
      <c r="D17" s="38">
        <f>B17-C17</f>
        <v>-3442.8744999999999</v>
      </c>
      <c r="E17" s="39">
        <f>IFERROR(D17/C17, 0)</f>
        <v>-0.39547986677942215</v>
      </c>
      <c r="F17" s="38">
        <f t="shared" si="4"/>
        <v>13134.4</v>
      </c>
      <c r="G17" s="38">
        <f>B17-F17</f>
        <v>-7871.7124999999996</v>
      </c>
      <c r="H17" s="40">
        <f>IFERROR(G17/F17, 0)</f>
        <v>-0.59932029632111095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829" priority="1" operator="lessThanOrEqual">
      <formula>-0.1</formula>
    </cfRule>
    <cfRule type="cellIs" dxfId="182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zoomScale="90" zoomScaleNormal="90" workbookViewId="0">
      <selection activeCell="I26" sqref="I2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6.140625" customWidth="1"/>
    <col min="10" max="10" width="21.42578125" customWidth="1"/>
  </cols>
  <sheetData>
    <row r="1" spans="1:15" ht="25.15">
      <c r="A1" s="177" t="s">
        <v>97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149" t="s">
        <v>267</v>
      </c>
      <c r="J4" s="150" t="s">
        <v>273</v>
      </c>
    </row>
    <row r="5" spans="1:15" ht="13.15" customHeight="1">
      <c r="A5" s="13" t="s">
        <v>274</v>
      </c>
      <c r="B5" s="14">
        <v>1496.6525963930401</v>
      </c>
      <c r="C5" s="14">
        <v>5139.6459999999997</v>
      </c>
      <c r="D5" s="15">
        <f>B5-C5</f>
        <v>-3642.9934036069599</v>
      </c>
      <c r="E5" s="16">
        <f t="shared" ref="E5:E16" si="0">IFERROR(D5/C5, 0)</f>
        <v>-0.70880239682012347</v>
      </c>
      <c r="F5" s="17">
        <v>4549.33</v>
      </c>
      <c r="G5" s="18">
        <f>B5-F5</f>
        <v>-3052.6774036069601</v>
      </c>
      <c r="H5" s="19">
        <f t="shared" ref="H5:H16" si="1">IFERROR(G5/F5, 0)</f>
        <v>-0.67101691976773725</v>
      </c>
      <c r="I5" s="73" t="s">
        <v>297</v>
      </c>
      <c r="J5" s="73" t="s">
        <v>298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21.6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25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7"/>
      <c r="J14" s="27"/>
    </row>
    <row r="15" spans="1:15" ht="25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1496.6525963930401</v>
      </c>
      <c r="C17" s="38">
        <f t="shared" ref="C17:F17" si="4">SUM(C5:C16)</f>
        <v>5139.6459999999997</v>
      </c>
      <c r="D17" s="38">
        <f>B17-C17</f>
        <v>-3642.9934036069599</v>
      </c>
      <c r="E17" s="39">
        <f>IFERROR(D17/C17, 0)</f>
        <v>-0.70880239682012347</v>
      </c>
      <c r="F17" s="38">
        <f t="shared" si="4"/>
        <v>4549.33</v>
      </c>
      <c r="G17" s="38">
        <f>B17-F17</f>
        <v>-3052.6774036069601</v>
      </c>
      <c r="H17" s="40">
        <f>IFERROR(G17/F17, 0)</f>
        <v>-0.67101691976773725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813" priority="1" operator="lessThanOrEqual">
      <formula>-0.1</formula>
    </cfRule>
    <cfRule type="cellIs" dxfId="181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rgb="FFFFFF00"/>
  </sheetPr>
  <dimension ref="A1:O20"/>
  <sheetViews>
    <sheetView workbookViewId="0">
      <selection activeCell="I21" sqref="I2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98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1927.1875</v>
      </c>
      <c r="C5" s="14">
        <v>3008.1570000000002</v>
      </c>
      <c r="D5" s="15">
        <f>B5-C5</f>
        <v>-1080.9695000000002</v>
      </c>
      <c r="E5" s="16">
        <f t="shared" ref="E5:E16" si="0">IFERROR(D5/C5, 0)</f>
        <v>-0.3593461046082369</v>
      </c>
      <c r="F5" s="17">
        <v>798</v>
      </c>
      <c r="G5" s="18">
        <f>B5-F5</f>
        <v>1129.1875</v>
      </c>
      <c r="H5" s="19">
        <f t="shared" ref="H5:H16" si="1">IFERROR(G5/F5, 0)</f>
        <v>1.4150219298245614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1927.1875</v>
      </c>
      <c r="C17" s="38">
        <f t="shared" ref="C17:F17" si="4">SUM(C5:C16)</f>
        <v>3008.1570000000002</v>
      </c>
      <c r="D17" s="38">
        <f>B17-C17</f>
        <v>-1080.9695000000002</v>
      </c>
      <c r="E17" s="39">
        <f>IFERROR(D17/C17, 0)</f>
        <v>-0.3593461046082369</v>
      </c>
      <c r="F17" s="38">
        <f t="shared" si="4"/>
        <v>798</v>
      </c>
      <c r="G17" s="38">
        <f>B17-F17</f>
        <v>1129.1875</v>
      </c>
      <c r="H17" s="40">
        <f>IFERROR(G17/F17, 0)</f>
        <v>1.4150219298245614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97" priority="1" operator="lessThanOrEqual">
      <formula>-0.1</formula>
    </cfRule>
    <cfRule type="cellIs" dxfId="179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91FA-534A-4F59-A9AE-A70764A2D848}">
  <sheetPr codeName="Sheet24">
    <tabColor rgb="FFFFFF00"/>
  </sheetPr>
  <dimension ref="A1:O20"/>
  <sheetViews>
    <sheetView workbookViewId="0">
      <selection activeCell="E32" sqref="E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99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7390.625</v>
      </c>
      <c r="C5" s="14">
        <v>11891.79</v>
      </c>
      <c r="D5" s="15">
        <f>B5-C5</f>
        <v>-4501.1650000000009</v>
      </c>
      <c r="E5" s="16">
        <f t="shared" ref="E5:E16" si="0">IFERROR(D5/C5, 0)</f>
        <v>-0.37851029996325203</v>
      </c>
      <c r="F5" s="17">
        <v>18302.04</v>
      </c>
      <c r="G5" s="18">
        <f>B5-F5</f>
        <v>-10911.415000000001</v>
      </c>
      <c r="H5" s="19">
        <f t="shared" ref="H5:H16" si="1">IFERROR(G5/F5, 0)</f>
        <v>-0.59618572574423401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9"/>
      <c r="J16" s="119"/>
    </row>
    <row r="17" spans="1:15" ht="13.15" customHeight="1">
      <c r="A17" s="37" t="s">
        <v>286</v>
      </c>
      <c r="B17" s="38">
        <f>SUM(B5:B16)</f>
        <v>7390.625</v>
      </c>
      <c r="C17" s="38">
        <f t="shared" ref="C17:F17" si="4">SUM(C5:C16)</f>
        <v>11891.79</v>
      </c>
      <c r="D17" s="38">
        <f>B17-C17</f>
        <v>-4501.1650000000009</v>
      </c>
      <c r="E17" s="39">
        <f>IFERROR(D17/C17, 0)</f>
        <v>-0.37851029996325203</v>
      </c>
      <c r="F17" s="38">
        <f t="shared" si="4"/>
        <v>18302.04</v>
      </c>
      <c r="G17" s="38">
        <f>B17-F17</f>
        <v>-10911.415000000001</v>
      </c>
      <c r="H17" s="40">
        <f>IFERROR(G17/F17, 0)</f>
        <v>-0.59618572574423401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81" priority="1" operator="lessThanOrEqual">
      <formula>-0.1</formula>
    </cfRule>
    <cfRule type="cellIs" dxfId="178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BCA8-1F2A-4EED-891F-A3D7A89FF9A3}">
  <sheetPr>
    <tabColor rgb="FFFFFF00"/>
  </sheetPr>
  <dimension ref="A1:O20"/>
  <sheetViews>
    <sheetView workbookViewId="0">
      <selection activeCell="F12" sqref="F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4600.7732192947096</v>
      </c>
      <c r="C5" s="14">
        <v>0</v>
      </c>
      <c r="D5" s="15">
        <f>B5-C5</f>
        <v>4600.7732192947096</v>
      </c>
      <c r="E5" s="16">
        <f t="shared" ref="E5:E16" si="0">IFERROR(D5/C5, 0)</f>
        <v>0</v>
      </c>
      <c r="F5" s="17">
        <v>0</v>
      </c>
      <c r="G5" s="18">
        <f>B5-F5</f>
        <v>4600.7732192947096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4600.7732192947096</v>
      </c>
      <c r="C17" s="38">
        <f t="shared" ref="C17:F17" si="4">SUM(C5:C16)</f>
        <v>0</v>
      </c>
      <c r="D17" s="38">
        <f>B17-C17</f>
        <v>4600.7732192947096</v>
      </c>
      <c r="E17" s="39">
        <f>IFERROR(D17/C17, 0)</f>
        <v>0</v>
      </c>
      <c r="F17" s="38">
        <f t="shared" si="4"/>
        <v>0</v>
      </c>
      <c r="G17" s="38">
        <f>B17-F17</f>
        <v>4600.7732192947096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765" priority="1" operator="lessThanOrEqual">
      <formula>-0.1</formula>
    </cfRule>
    <cfRule type="cellIs" dxfId="1764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A71-5E79-4031-8921-6A4F1831EF88}">
  <sheetPr codeName="Sheet25">
    <tabColor rgb="FFFFFF00"/>
  </sheetPr>
  <dimension ref="A1:O20"/>
  <sheetViews>
    <sheetView workbookViewId="0">
      <selection sqref="A1:XFD104857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4966.375</v>
      </c>
      <c r="C5" s="14">
        <v>7470.1769999999997</v>
      </c>
      <c r="D5" s="15">
        <f>B5-C5</f>
        <v>-2503.8019999999997</v>
      </c>
      <c r="E5" s="16">
        <f t="shared" ref="E5:E16" si="0">IFERROR(D5/C5, 0)</f>
        <v>-0.33517304877782678</v>
      </c>
      <c r="F5" s="17">
        <v>9815.6869999999999</v>
      </c>
      <c r="G5" s="18">
        <f>B5-F5</f>
        <v>-4849.3119999999999</v>
      </c>
      <c r="H5" s="19">
        <f t="shared" ref="H5:H16" si="1">IFERROR(G5/F5, 0)</f>
        <v>-0.49403694310953478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4966.375</v>
      </c>
      <c r="C17" s="38">
        <f t="shared" ref="C17:F17" si="4">SUM(C5:C16)</f>
        <v>7470.1769999999997</v>
      </c>
      <c r="D17" s="38">
        <f>B17-C17</f>
        <v>-2503.8019999999997</v>
      </c>
      <c r="E17" s="39">
        <f>IFERROR(D17/C17, 0)</f>
        <v>-0.33517304877782678</v>
      </c>
      <c r="F17" s="38">
        <f t="shared" si="4"/>
        <v>9815.6869999999999</v>
      </c>
      <c r="G17" s="38">
        <f>B17-F17</f>
        <v>-4849.3119999999999</v>
      </c>
      <c r="H17" s="40">
        <f>IFERROR(G17/F17, 0)</f>
        <v>-0.49403694310953478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49" priority="1" operator="lessThanOrEqual">
      <formula>-0.1</formula>
    </cfRule>
    <cfRule type="cellIs" dxfId="174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0CF4-28D7-4AC1-88AA-26AD70AD233C}">
  <sheetPr codeName="Sheet26">
    <tabColor rgb="FFFFFF00"/>
  </sheetPr>
  <dimension ref="A1:O20"/>
  <sheetViews>
    <sheetView workbookViewId="0">
      <selection activeCell="I13" sqref="I13:J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4328.3125</v>
      </c>
      <c r="C5" s="14">
        <v>0</v>
      </c>
      <c r="D5" s="15">
        <f>B5-C5</f>
        <v>4328.3125</v>
      </c>
      <c r="E5" s="16">
        <f t="shared" ref="E5:E16" si="0">IFERROR(D5/C5, 0)</f>
        <v>0</v>
      </c>
      <c r="F5" s="17">
        <v>10978.73</v>
      </c>
      <c r="G5" s="18">
        <f>B5-F5</f>
        <v>-6650.4174999999996</v>
      </c>
      <c r="H5" s="19">
        <f t="shared" ref="H5:H16" si="1">IFERROR(G5/F5, 0)</f>
        <v>-0.60575471844193274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5"/>
      <c r="J13" s="76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15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4328.3125</v>
      </c>
      <c r="C17" s="38">
        <f t="shared" ref="C17:F17" si="4">SUM(C5:C16)</f>
        <v>0</v>
      </c>
      <c r="D17" s="38">
        <f>B17-C17</f>
        <v>4328.3125</v>
      </c>
      <c r="E17" s="39">
        <f>IFERROR(D17/C17, 0)</f>
        <v>0</v>
      </c>
      <c r="F17" s="38">
        <f t="shared" si="4"/>
        <v>10978.73</v>
      </c>
      <c r="G17" s="38">
        <f>B17-F17</f>
        <v>-6650.4174999999996</v>
      </c>
      <c r="H17" s="40">
        <f>IFERROR(G17/F17, 0)</f>
        <v>-0.60575471844193274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33" priority="1" operator="lessThanOrEqual">
      <formula>-0.1</formula>
    </cfRule>
    <cfRule type="cellIs" dxfId="173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EF1-12CA-4F2E-B504-1435118765CA}">
  <sheetPr codeName="Sheet27">
    <tabColor rgb="FFFFFF00"/>
  </sheetPr>
  <dimension ref="A1:O20"/>
  <sheetViews>
    <sheetView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5062.03125</v>
      </c>
      <c r="C5" s="14">
        <v>0</v>
      </c>
      <c r="D5" s="15">
        <f>B5-C5</f>
        <v>5062.03125</v>
      </c>
      <c r="E5" s="16">
        <f t="shared" ref="E5:E16" si="0">IFERROR(D5/C5, 0)</f>
        <v>0</v>
      </c>
      <c r="F5" s="17">
        <v>11224</v>
      </c>
      <c r="G5" s="18">
        <f>B5-F5</f>
        <v>-6161.96875</v>
      </c>
      <c r="H5" s="19">
        <f t="shared" ref="H5:H16" si="1">IFERROR(G5/F5, 0)</f>
        <v>-0.54899935406272271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6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5062.03125</v>
      </c>
      <c r="C17" s="38">
        <f t="shared" ref="C17:F17" si="4">SUM(C5:C16)</f>
        <v>0</v>
      </c>
      <c r="D17" s="38">
        <f>B17-C17</f>
        <v>5062.03125</v>
      </c>
      <c r="E17" s="39">
        <f>IFERROR(D17/C17, 0)</f>
        <v>0</v>
      </c>
      <c r="F17" s="38">
        <f t="shared" si="4"/>
        <v>11224</v>
      </c>
      <c r="G17" s="38">
        <f>B17-F17</f>
        <v>-6161.96875</v>
      </c>
      <c r="H17" s="40">
        <f>IFERROR(G17/F17, 0)</f>
        <v>-0.54899935406272271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17" priority="1" operator="lessThanOrEqual">
      <formula>-0.1</formula>
    </cfRule>
    <cfRule type="cellIs" dxfId="171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B0E-92E3-425E-9B70-A5D72654A3A5}">
  <sheetPr codeName="Sheet28">
    <tabColor rgb="FFFFFF00"/>
  </sheetPr>
  <dimension ref="A1:O20"/>
  <sheetViews>
    <sheetView workbookViewId="0">
      <selection activeCell="J30" sqref="J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3720.0499218750001</v>
      </c>
      <c r="C5" s="14">
        <v>5487.5860000000002</v>
      </c>
      <c r="D5" s="15">
        <f>B5-C5</f>
        <v>-1767.5360781250001</v>
      </c>
      <c r="E5" s="16">
        <f t="shared" ref="E5:E16" si="0">IFERROR(D5/C5, 0)</f>
        <v>-0.32209719868171544</v>
      </c>
      <c r="F5" s="17">
        <v>0</v>
      </c>
      <c r="G5" s="18">
        <f>B5-F5</f>
        <v>3720.0499218750001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6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3720.0499218750001</v>
      </c>
      <c r="C17" s="38">
        <f t="shared" ref="C17:F17" si="4">SUM(C5:C16)</f>
        <v>5487.5860000000002</v>
      </c>
      <c r="D17" s="38">
        <f>B17-C17</f>
        <v>-1767.5360781250001</v>
      </c>
      <c r="E17" s="39">
        <f>IFERROR(D17/C17, 0)</f>
        <v>-0.32209719868171544</v>
      </c>
      <c r="F17" s="38">
        <f t="shared" si="4"/>
        <v>0</v>
      </c>
      <c r="G17" s="38">
        <f>B17-F17</f>
        <v>3720.0499218750001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01" priority="1" operator="lessThanOrEqual">
      <formula>-0.1</formula>
    </cfRule>
    <cfRule type="cellIs" dxfId="170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B16-D497-4605-A7F3-4374FFA66927}">
  <sheetPr codeName="Sheet29">
    <tabColor rgb="FFFFFF00"/>
  </sheetPr>
  <dimension ref="A1:O20"/>
  <sheetViews>
    <sheetView workbookViewId="0">
      <selection activeCell="I11" sqref="I1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3421.078125</v>
      </c>
      <c r="C5" s="14">
        <v>7008.5879999999997</v>
      </c>
      <c r="D5" s="15">
        <f>B5-C5</f>
        <v>-3587.5098749999997</v>
      </c>
      <c r="E5" s="16">
        <f t="shared" ref="E5:E16" si="0">IFERROR(D5/C5, 0)</f>
        <v>-0.51187341515865958</v>
      </c>
      <c r="F5" s="17">
        <v>0</v>
      </c>
      <c r="G5" s="18">
        <f>B5-F5</f>
        <v>3421.078125</v>
      </c>
      <c r="H5" s="19">
        <f t="shared" ref="H5:H16" si="1">IFERROR(G5/F5, 0)</f>
        <v>0</v>
      </c>
      <c r="I5" s="73" t="s">
        <v>299</v>
      </c>
      <c r="J5" s="73" t="s">
        <v>300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3421.078125</v>
      </c>
      <c r="C17" s="38">
        <f t="shared" ref="C17:F17" si="4">SUM(C5:C16)</f>
        <v>7008.5879999999997</v>
      </c>
      <c r="D17" s="38">
        <f>B17-C17</f>
        <v>-3587.5098749999997</v>
      </c>
      <c r="E17" s="39">
        <f>IFERROR(D17/C17, 0)</f>
        <v>-0.51187341515865958</v>
      </c>
      <c r="F17" s="38">
        <f t="shared" si="4"/>
        <v>0</v>
      </c>
      <c r="G17" s="38">
        <f>B17-F17</f>
        <v>3421.078125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685" priority="1" operator="lessThanOrEqual">
      <formula>-0.1</formula>
    </cfRule>
    <cfRule type="cellIs" dxfId="168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D247-F01A-48EA-812F-62CB2CDB5B3C}">
  <sheetPr codeName="Sheet30">
    <tabColor rgb="FFFFFF00"/>
  </sheetPr>
  <dimension ref="A1:O20"/>
  <sheetViews>
    <sheetView workbookViewId="0">
      <selection activeCell="I33" sqref="I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4100.5625</v>
      </c>
      <c r="C5" s="14">
        <v>7358.259</v>
      </c>
      <c r="D5" s="15">
        <f>B5-C5</f>
        <v>-3257.6965</v>
      </c>
      <c r="E5" s="16">
        <f t="shared" ref="E5:E16" si="0">IFERROR(D5/C5, 0)</f>
        <v>-0.44272653354550306</v>
      </c>
      <c r="F5" s="17">
        <v>11610</v>
      </c>
      <c r="G5" s="18">
        <f>B5-F5</f>
        <v>-7509.4375</v>
      </c>
      <c r="H5" s="19">
        <f t="shared" ref="H5:H16" si="1">IFERROR(G5/F5, 0)</f>
        <v>-0.64680770887166239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6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4100.5625</v>
      </c>
      <c r="C17" s="38">
        <f t="shared" ref="C17:F17" si="4">SUM(C5:C16)</f>
        <v>7358.259</v>
      </c>
      <c r="D17" s="38">
        <f>B17-C17</f>
        <v>-3257.6965</v>
      </c>
      <c r="E17" s="39">
        <f>IFERROR(D17/C17, 0)</f>
        <v>-0.44272653354550306</v>
      </c>
      <c r="F17" s="38">
        <f t="shared" si="4"/>
        <v>11610</v>
      </c>
      <c r="G17" s="38">
        <f>B17-F17</f>
        <v>-7509.4375</v>
      </c>
      <c r="H17" s="40">
        <f>IFERROR(G17/F17, 0)</f>
        <v>-0.64680770887166239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669" priority="1" operator="lessThanOrEqual">
      <formula>-0.1</formula>
    </cfRule>
    <cfRule type="cellIs" dxfId="166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7DFF-CFCE-43B3-B0DF-521564A06B3B}">
  <sheetPr>
    <tabColor rgb="FFFFFF00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3.7109375" customWidth="1"/>
    <col min="10" max="10" width="21.42578125" customWidth="1"/>
  </cols>
  <sheetData>
    <row r="1" spans="1:15" ht="25.15">
      <c r="A1" s="177" t="s">
        <v>107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14">
        <v>4561.296875</v>
      </c>
      <c r="C5" s="14">
        <v>0</v>
      </c>
      <c r="D5" s="15">
        <f>B5-C5</f>
        <v>4561.296875</v>
      </c>
      <c r="E5" s="16">
        <f t="shared" ref="E5:E16" si="0">IFERROR(D5/C5, 0)</f>
        <v>0</v>
      </c>
      <c r="F5" s="17">
        <v>0</v>
      </c>
      <c r="G5" s="18">
        <f>B5-F5</f>
        <v>4561.296875</v>
      </c>
      <c r="H5" s="19">
        <f t="shared" ref="H5:H16" si="1">IFERROR(G5/F5, 0)</f>
        <v>0</v>
      </c>
      <c r="I5" s="26" t="s">
        <v>301</v>
      </c>
      <c r="J5" s="26" t="s">
        <v>302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6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4561.296875</v>
      </c>
      <c r="C17" s="38">
        <f t="shared" ref="C17:F17" si="4">SUM(C5:C16)</f>
        <v>0</v>
      </c>
      <c r="D17" s="38">
        <f>B17-C17</f>
        <v>4561.296875</v>
      </c>
      <c r="E17" s="39">
        <f>IFERROR(D17/C17, 0)</f>
        <v>0</v>
      </c>
      <c r="F17" s="38">
        <f t="shared" si="4"/>
        <v>0</v>
      </c>
      <c r="G17" s="38">
        <f>B17-F17</f>
        <v>4561.296875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653" priority="1" operator="lessThanOrEqual">
      <formula>-0.1</formula>
    </cfRule>
    <cfRule type="cellIs" dxfId="1652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9DF2-9274-4B9E-A9F2-6C2FCCB95FF8}">
  <sheetPr>
    <tabColor rgb="FFFFFF00"/>
  </sheetPr>
  <dimension ref="A1:O20"/>
  <sheetViews>
    <sheetView workbookViewId="0">
      <selection activeCell="I31" sqref="I3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4488.8050683593801</v>
      </c>
      <c r="C5" s="14">
        <v>0</v>
      </c>
      <c r="D5" s="15">
        <f>B5-C5</f>
        <v>4488.8050683593801</v>
      </c>
      <c r="E5" s="16">
        <f t="shared" ref="E5:E16" si="0">IFERROR(D5/C5, 0)</f>
        <v>0</v>
      </c>
      <c r="F5" s="17">
        <v>0</v>
      </c>
      <c r="G5" s="18">
        <f>B5-F5</f>
        <v>4488.8050683593801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6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4488.8050683593801</v>
      </c>
      <c r="C17" s="38">
        <f t="shared" ref="C17:F17" si="4">SUM(C5:C16)</f>
        <v>0</v>
      </c>
      <c r="D17" s="38">
        <f>B17-C17</f>
        <v>4488.8050683593801</v>
      </c>
      <c r="E17" s="39">
        <f>IFERROR(D17/C17, 0)</f>
        <v>0</v>
      </c>
      <c r="F17" s="38">
        <f t="shared" si="4"/>
        <v>0</v>
      </c>
      <c r="G17" s="38">
        <f>B17-F17</f>
        <v>4488.8050683593801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637" priority="1" operator="lessThanOrEqual">
      <formula>-0.1</formula>
    </cfRule>
    <cfRule type="cellIs" dxfId="1636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D96-6D4C-40E6-9F96-37CE715411C8}">
  <sheetPr codeName="Sheet31">
    <tabColor rgb="FFFFFF00"/>
  </sheetPr>
  <dimension ref="A1:O20"/>
  <sheetViews>
    <sheetView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109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2.75">
      <c r="A5" s="13" t="s">
        <v>274</v>
      </c>
      <c r="B5" s="14">
        <v>20449.1875</v>
      </c>
      <c r="C5" s="14">
        <v>0</v>
      </c>
      <c r="D5" s="15">
        <f>B5-C5</f>
        <v>20449.1875</v>
      </c>
      <c r="E5" s="16">
        <f t="shared" ref="E5:E16" si="0">IFERROR(D5/C5, 0)</f>
        <v>0</v>
      </c>
      <c r="F5" s="17">
        <v>0</v>
      </c>
      <c r="G5" s="18">
        <f>B5-F5</f>
        <v>20449.1875</v>
      </c>
      <c r="H5" s="19">
        <f t="shared" ref="H5:H16" si="1">IFERROR(G5/F5, 0)</f>
        <v>0</v>
      </c>
      <c r="I5" s="26" t="s">
        <v>303</v>
      </c>
      <c r="J5" s="26" t="s">
        <v>304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115"/>
      <c r="J14" s="116"/>
    </row>
    <row r="15" spans="1:15" ht="32.450000000000003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5"/>
      <c r="J15" s="75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4"/>
      <c r="J16" s="114"/>
    </row>
    <row r="17" spans="1:15" ht="13.15" customHeight="1">
      <c r="A17" s="37" t="s">
        <v>286</v>
      </c>
      <c r="B17" s="38">
        <f>SUM(B5:B16)</f>
        <v>20449.1875</v>
      </c>
      <c r="C17" s="38">
        <f t="shared" ref="C17:F17" si="4">SUM(C5:C16)</f>
        <v>0</v>
      </c>
      <c r="D17" s="38">
        <f>B17-C17</f>
        <v>20449.1875</v>
      </c>
      <c r="E17" s="39">
        <f>IFERROR(D17/C17, 0)</f>
        <v>0</v>
      </c>
      <c r="F17" s="38">
        <f t="shared" si="4"/>
        <v>0</v>
      </c>
      <c r="G17" s="38">
        <f>B17-F17</f>
        <v>20449.1875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621" priority="1" operator="lessThanOrEqual">
      <formula>-0.1</formula>
    </cfRule>
    <cfRule type="cellIs" dxfId="162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4DC8-80BD-4D99-AE2D-B041D863694E}">
  <sheetPr codeName="Sheet32">
    <tabColor rgb="FFFFFF00"/>
  </sheetPr>
  <dimension ref="A1:O20"/>
  <sheetViews>
    <sheetView workbookViewId="0">
      <selection activeCell="I29" sqref="I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4382.65625</v>
      </c>
      <c r="C5" s="14">
        <v>7052.3590000000004</v>
      </c>
      <c r="D5" s="15">
        <f>B5-C5</f>
        <v>-2669.7027500000004</v>
      </c>
      <c r="E5" s="16">
        <f t="shared" ref="E5:E16" si="0">IFERROR(D5/C5, 0)</f>
        <v>-0.37855457301592277</v>
      </c>
      <c r="F5" s="17">
        <v>0</v>
      </c>
      <c r="G5" s="18">
        <f>B5-F5</f>
        <v>4382.65625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>
        <v>0</v>
      </c>
      <c r="G13" s="18">
        <f t="shared" si="3"/>
        <v>0</v>
      </c>
      <c r="H13" s="19">
        <f t="shared" si="1"/>
        <v>0</v>
      </c>
      <c r="I13" s="76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>
        <v>0</v>
      </c>
      <c r="G14" s="18">
        <f t="shared" si="3"/>
        <v>0</v>
      </c>
      <c r="H14" s="19">
        <f t="shared" si="1"/>
        <v>0</v>
      </c>
      <c r="I14" s="7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>
        <v>0</v>
      </c>
      <c r="G15" s="18">
        <f t="shared" si="3"/>
        <v>0</v>
      </c>
      <c r="H15" s="19">
        <f t="shared" si="1"/>
        <v>0</v>
      </c>
      <c r="I15" s="76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>
        <v>0</v>
      </c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4382.65625</v>
      </c>
      <c r="C17" s="38">
        <f t="shared" ref="C17:F17" si="4">SUM(C5:C16)</f>
        <v>7052.3590000000004</v>
      </c>
      <c r="D17" s="38">
        <f>B17-C17</f>
        <v>-2669.7027500000004</v>
      </c>
      <c r="E17" s="39">
        <f>IFERROR(D17/C17, 0)</f>
        <v>-0.37855457301592277</v>
      </c>
      <c r="F17" s="38">
        <f t="shared" si="4"/>
        <v>0</v>
      </c>
      <c r="G17" s="38">
        <f>B17-F17</f>
        <v>4382.65625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605" priority="1" operator="lessThanOrEqual">
      <formula>-0.1</formula>
    </cfRule>
    <cfRule type="cellIs" dxfId="160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5B15-B1D2-4C4C-A84A-BAE3BD04B209}">
  <sheetPr codeName="Sheet33">
    <tabColor rgb="FFFFFF00"/>
  </sheetPr>
  <dimension ref="A1:O19"/>
  <sheetViews>
    <sheetView workbookViewId="0">
      <selection activeCell="I27" sqref="I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4470.75</v>
      </c>
      <c r="C5" s="14">
        <v>7217.8190000000004</v>
      </c>
      <c r="D5" s="15">
        <f>B5-C5</f>
        <v>-2747.0690000000004</v>
      </c>
      <c r="E5" s="16">
        <f t="shared" ref="E5:E16" si="0">IFERROR(D5/C5, 0)</f>
        <v>-0.38059544025695302</v>
      </c>
      <c r="F5" s="17">
        <v>11299.41</v>
      </c>
      <c r="G5" s="18">
        <f>B5-F5</f>
        <v>-6828.66</v>
      </c>
      <c r="H5" s="19">
        <f t="shared" ref="H5:H16" si="1">IFERROR(G5/F5, 0)</f>
        <v>-0.60433774860811318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108"/>
      <c r="J16" s="108"/>
    </row>
    <row r="17" spans="1:15" ht="14.25">
      <c r="A17" s="37" t="s">
        <v>286</v>
      </c>
      <c r="B17" s="126">
        <f>SUM(B5:B16)</f>
        <v>4470.75</v>
      </c>
      <c r="C17" s="38">
        <f t="shared" ref="C17:F17" si="4">SUM(C5:C16)</f>
        <v>7217.8190000000004</v>
      </c>
      <c r="D17" s="38">
        <f>B17-C17</f>
        <v>-2747.0690000000004</v>
      </c>
      <c r="E17" s="39">
        <f>IFERROR(D17/C17, 0)</f>
        <v>-0.38059544025695302</v>
      </c>
      <c r="F17" s="38">
        <f t="shared" si="4"/>
        <v>11299.41</v>
      </c>
      <c r="G17" s="38">
        <f>B17-F17</f>
        <v>-6828.66</v>
      </c>
      <c r="H17" s="40">
        <f>IFERROR(G17/F17, 0)</f>
        <v>-0.60433774860811318</v>
      </c>
      <c r="I17" s="41"/>
      <c r="J17" s="41"/>
    </row>
    <row r="18" spans="1:15">
      <c r="F18" s="10"/>
    </row>
    <row r="19" spans="1:15" ht="13.5" customHeight="1">
      <c r="L19" s="3"/>
      <c r="M19" s="3"/>
      <c r="N19" s="3"/>
      <c r="O19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589" priority="1" operator="lessThanOrEqual">
      <formula>-0.1</formula>
    </cfRule>
    <cfRule type="cellIs" dxfId="158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A9A1-4415-463B-A480-4344BEC1A041}">
  <sheetPr codeName="Sheet34">
    <tabColor rgb="FFFFFF00"/>
  </sheetPr>
  <dimension ref="A1:O20"/>
  <sheetViews>
    <sheetView workbookViewId="0">
      <selection activeCell="I33" sqref="I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4964.5</v>
      </c>
      <c r="C5" s="14">
        <v>7892.9740000000002</v>
      </c>
      <c r="D5" s="15">
        <f>B5-C5</f>
        <v>-2928.4740000000002</v>
      </c>
      <c r="E5" s="16">
        <f t="shared" ref="E5:E16" si="0">IFERROR(D5/C5, 0)</f>
        <v>-0.37102288693716717</v>
      </c>
      <c r="F5" s="17">
        <v>15533.26</v>
      </c>
      <c r="G5" s="18">
        <f>B5-F5</f>
        <v>-10568.76</v>
      </c>
      <c r="H5" s="19">
        <f t="shared" ref="H5:H16" si="1">IFERROR(G5/F5, 0)</f>
        <v>-0.6803954868456461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4964.5</v>
      </c>
      <c r="C17" s="38">
        <f t="shared" ref="C17:F17" si="4">SUM(C5:C16)</f>
        <v>7892.9740000000002</v>
      </c>
      <c r="D17" s="38">
        <f>B17-C17</f>
        <v>-2928.4740000000002</v>
      </c>
      <c r="E17" s="39">
        <f>IFERROR(D17/C17, 0)</f>
        <v>-0.37102288693716717</v>
      </c>
      <c r="F17" s="38">
        <f t="shared" si="4"/>
        <v>15533.26</v>
      </c>
      <c r="G17" s="38">
        <f>B17-F17</f>
        <v>-10568.76</v>
      </c>
      <c r="H17" s="40">
        <f>IFERROR(G17/F17, 0)</f>
        <v>-0.6803954868456461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573" priority="1" operator="lessThanOrEqual">
      <formula>-0.1</formula>
    </cfRule>
    <cfRule type="cellIs" dxfId="157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3B42-2647-4461-BE2B-FD912C315022}">
  <sheetPr codeName="Sheet35">
    <tabColor rgb="FFFFFF00"/>
  </sheetPr>
  <dimension ref="A1:O20"/>
  <sheetViews>
    <sheetView workbookViewId="0">
      <selection activeCell="I14" sqref="I14:J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7482.359375</v>
      </c>
      <c r="C5" s="14">
        <v>0</v>
      </c>
      <c r="D5" s="15">
        <f>B5-C5</f>
        <v>7482.359375</v>
      </c>
      <c r="E5" s="16">
        <f t="shared" ref="E5:E16" si="0">IFERROR(D5/C5, 0)</f>
        <v>0</v>
      </c>
      <c r="F5" s="17">
        <v>0</v>
      </c>
      <c r="G5" s="18">
        <f>B5-F5</f>
        <v>7482.359375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7482.359375</v>
      </c>
      <c r="C17" s="38">
        <f t="shared" ref="C17:F17" si="4">SUM(C5:C16)</f>
        <v>0</v>
      </c>
      <c r="D17" s="38">
        <f>B17-C17</f>
        <v>7482.359375</v>
      </c>
      <c r="E17" s="39">
        <f>IFERROR(D17/C17, 0)</f>
        <v>0</v>
      </c>
      <c r="F17" s="38">
        <f t="shared" si="4"/>
        <v>0</v>
      </c>
      <c r="G17" s="38">
        <f>B17-F17</f>
        <v>7482.359375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557" priority="1" operator="lessThanOrEqual">
      <formula>-0.1</formula>
    </cfRule>
    <cfRule type="cellIs" dxfId="155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717C-18C9-4493-B072-6AA827081AC4}">
  <sheetPr>
    <tabColor rgb="FFFFFF00"/>
  </sheetPr>
  <dimension ref="A1:O20"/>
  <sheetViews>
    <sheetView workbookViewId="0">
      <selection activeCell="F12" sqref="F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4434</v>
      </c>
      <c r="C5" s="14">
        <v>5657</v>
      </c>
      <c r="D5" s="15">
        <f>B5-C5</f>
        <v>-1223</v>
      </c>
      <c r="E5" s="16">
        <f t="shared" ref="E5:E16" si="0">IFERROR(D5/C5, 0)</f>
        <v>-0.21619232808909317</v>
      </c>
      <c r="F5" s="17">
        <v>10982</v>
      </c>
      <c r="G5" s="18">
        <f>B5-F5</f>
        <v>-6548</v>
      </c>
      <c r="H5" s="19">
        <f t="shared" ref="H5:H16" si="1">IFERROR(G5/F5, 0)</f>
        <v>-0.59624840648333632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4434</v>
      </c>
      <c r="C17" s="38">
        <f t="shared" ref="C17:F17" si="4">SUM(C5:C16)</f>
        <v>5657</v>
      </c>
      <c r="D17" s="38">
        <f>B17-C17</f>
        <v>-1223</v>
      </c>
      <c r="E17" s="39">
        <f>IFERROR(D17/C17, 0)</f>
        <v>-0.21619232808909317</v>
      </c>
      <c r="F17" s="38">
        <f t="shared" si="4"/>
        <v>10982</v>
      </c>
      <c r="G17" s="38">
        <f>B17-F17</f>
        <v>-6548</v>
      </c>
      <c r="H17" s="40">
        <f>IFERROR(G17/F17, 0)</f>
        <v>-0.59624840648333632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541" priority="1" operator="lessThanOrEqual">
      <formula>-0.1</formula>
    </cfRule>
    <cfRule type="cellIs" dxfId="154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5351-E6C9-4B07-A016-BD126838CFED}">
  <sheetPr codeName="Sheet36">
    <tabColor rgb="FFFFFF00"/>
  </sheetPr>
  <dimension ref="A1:O20"/>
  <sheetViews>
    <sheetView workbookViewId="0">
      <selection activeCell="G23" sqref="G23:H2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3879.9296875</v>
      </c>
      <c r="C5" s="14">
        <v>0</v>
      </c>
      <c r="D5" s="15">
        <f>B5-C5</f>
        <v>3879.9296875</v>
      </c>
      <c r="E5" s="16">
        <f t="shared" ref="E5:E16" si="0">IFERROR(D5/C5, 0)</f>
        <v>0</v>
      </c>
      <c r="F5" s="17">
        <v>0</v>
      </c>
      <c r="G5" s="18">
        <f>B5-F5</f>
        <v>3879.9296875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3879.9296875</v>
      </c>
      <c r="C17" s="38">
        <f t="shared" ref="C17:F17" si="4">SUM(C5:C16)</f>
        <v>0</v>
      </c>
      <c r="D17" s="38">
        <f>B17-C17</f>
        <v>3879.9296875</v>
      </c>
      <c r="E17" s="39">
        <f>IFERROR(D17/C17, 0)</f>
        <v>0</v>
      </c>
      <c r="F17" s="38">
        <f t="shared" si="4"/>
        <v>0</v>
      </c>
      <c r="G17" s="38">
        <f>B17-F17</f>
        <v>3879.9296875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525" priority="1" operator="lessThanOrEqual">
      <formula>-0.1</formula>
    </cfRule>
    <cfRule type="cellIs" dxfId="152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1E0B-D1F5-4B97-8D56-942EB60300E3}">
  <sheetPr>
    <tabColor rgb="FFFFFF00"/>
  </sheetPr>
  <dimension ref="A1:O20"/>
  <sheetViews>
    <sheetView workbookViewId="0">
      <selection activeCell="J30" sqref="J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911</v>
      </c>
      <c r="C5" s="14">
        <v>0</v>
      </c>
      <c r="D5" s="15">
        <f>B5-C5</f>
        <v>911</v>
      </c>
      <c r="E5" s="16">
        <f t="shared" ref="E5:E16" si="0">IFERROR(D5/C5, 0)</f>
        <v>0</v>
      </c>
      <c r="F5" s="17">
        <v>0</v>
      </c>
      <c r="G5" s="18">
        <f>B5-F5</f>
        <v>911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911</v>
      </c>
      <c r="C17" s="38">
        <f t="shared" ref="C17:F17" si="4">SUM(C5:C16)</f>
        <v>0</v>
      </c>
      <c r="D17" s="38">
        <f>B17-C17</f>
        <v>911</v>
      </c>
      <c r="E17" s="39">
        <f>IFERROR(D17/C17, 0)</f>
        <v>0</v>
      </c>
      <c r="F17" s="38">
        <f t="shared" si="4"/>
        <v>0</v>
      </c>
      <c r="G17" s="38">
        <f>B17-F17</f>
        <v>911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509" priority="1" operator="lessThanOrEqual">
      <formula>-0.1</formula>
    </cfRule>
    <cfRule type="cellIs" dxfId="1508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9C3D-00A1-440D-BD05-ADB262538688}">
  <sheetPr codeName="Sheet37">
    <tabColor rgb="FFFFFF00"/>
  </sheetPr>
  <dimension ref="A1:O20"/>
  <sheetViews>
    <sheetView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6839.03125</v>
      </c>
      <c r="C5" s="14">
        <v>9522.7690000000002</v>
      </c>
      <c r="D5" s="15">
        <f>B5-C5</f>
        <v>-2683.7377500000002</v>
      </c>
      <c r="E5" s="16">
        <f t="shared" ref="E5:E16" si="0">IFERROR(D5/C5, 0)</f>
        <v>-0.281823254349654</v>
      </c>
      <c r="F5" s="17">
        <v>15253</v>
      </c>
      <c r="G5" s="18">
        <f>B5-F5</f>
        <v>-8413.96875</v>
      </c>
      <c r="H5" s="19">
        <f t="shared" ref="H5:H16" si="1">IFERROR(G5/F5, 0)</f>
        <v>-0.55162713892349047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6839.03125</v>
      </c>
      <c r="C17" s="38">
        <f t="shared" ref="C17:F17" si="4">SUM(C5:C16)</f>
        <v>9522.7690000000002</v>
      </c>
      <c r="D17" s="38">
        <f>B17-C17</f>
        <v>-2683.7377500000002</v>
      </c>
      <c r="E17" s="39">
        <f>IFERROR(D17/C17, 0)</f>
        <v>-0.281823254349654</v>
      </c>
      <c r="F17" s="38">
        <f t="shared" si="4"/>
        <v>15253</v>
      </c>
      <c r="G17" s="38">
        <f>B17-F17</f>
        <v>-8413.96875</v>
      </c>
      <c r="H17" s="40">
        <f>IFERROR(G17/F17, 0)</f>
        <v>-0.55162713892349047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493" priority="1" operator="lessThanOrEqual">
      <formula>-0.1</formula>
    </cfRule>
    <cfRule type="cellIs" dxfId="149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4AAE-BCD7-4725-9D47-461D3D33269D}">
  <sheetPr codeName="Sheet38">
    <tabColor rgb="FFFFFF00"/>
  </sheetPr>
  <dimension ref="A1:O20"/>
  <sheetViews>
    <sheetView workbookViewId="0">
      <selection activeCell="H32" sqref="H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119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4357.5</v>
      </c>
      <c r="C5" s="14">
        <v>5639.9430000000002</v>
      </c>
      <c r="D5" s="15">
        <f>B5-C5</f>
        <v>-1282.4430000000002</v>
      </c>
      <c r="E5" s="16">
        <f t="shared" ref="E5:E16" si="0">IFERROR(D5/C5, 0)</f>
        <v>-0.2273858086863644</v>
      </c>
      <c r="F5" s="17">
        <v>9568.2369999999992</v>
      </c>
      <c r="G5" s="18">
        <f>B5-F5</f>
        <v>-5210.7369999999992</v>
      </c>
      <c r="H5" s="19">
        <f t="shared" ref="H5:H16" si="1">IFERROR(G5/F5, 0)</f>
        <v>-0.54458694950804409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4357.5</v>
      </c>
      <c r="C17" s="38">
        <f t="shared" ref="C17:F17" si="4">SUM(C5:C16)</f>
        <v>5639.9430000000002</v>
      </c>
      <c r="D17" s="38">
        <f>B17-C17</f>
        <v>-1282.4430000000002</v>
      </c>
      <c r="E17" s="39">
        <f>IFERROR(D17/C17, 0)</f>
        <v>-0.2273858086863644</v>
      </c>
      <c r="F17" s="38">
        <f t="shared" si="4"/>
        <v>9568.2369999999992</v>
      </c>
      <c r="G17" s="38">
        <f>B17-F17</f>
        <v>-5210.7369999999992</v>
      </c>
      <c r="H17" s="40">
        <f>IFERROR(G17/F17, 0)</f>
        <v>-0.54458694950804409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477" priority="1" operator="lessThanOrEqual">
      <formula>-0.1</formula>
    </cfRule>
    <cfRule type="cellIs" dxfId="147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3535-9590-4107-9348-E41EFFA15398}">
  <sheetPr codeName="Sheet39">
    <tabColor rgb="FFFFFF00"/>
  </sheetPr>
  <dimension ref="A1:O20"/>
  <sheetViews>
    <sheetView workbookViewId="0">
      <selection activeCell="I33" sqref="I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3435.6875</v>
      </c>
      <c r="C5" s="14">
        <v>6008.808</v>
      </c>
      <c r="D5" s="15">
        <f>B5-C5</f>
        <v>-2573.1205</v>
      </c>
      <c r="E5" s="16">
        <f t="shared" ref="E5:E16" si="0">IFERROR(D5/C5, 0)</f>
        <v>-0.42822478268568409</v>
      </c>
      <c r="F5" s="17">
        <v>4290.74</v>
      </c>
      <c r="G5" s="18">
        <f>B5-F5</f>
        <v>-855.05249999999978</v>
      </c>
      <c r="H5" s="19">
        <f t="shared" ref="H5:H16" si="1">IFERROR(G5/F5, 0)</f>
        <v>-0.19927856267217306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3435.6875</v>
      </c>
      <c r="C17" s="38">
        <f t="shared" ref="C17:F17" si="4">SUM(C5:C16)</f>
        <v>6008.808</v>
      </c>
      <c r="D17" s="38">
        <f>B17-C17</f>
        <v>-2573.1205</v>
      </c>
      <c r="E17" s="39">
        <f>IFERROR(D17/C17, 0)</f>
        <v>-0.42822478268568409</v>
      </c>
      <c r="F17" s="38">
        <f t="shared" si="4"/>
        <v>4290.74</v>
      </c>
      <c r="G17" s="38">
        <f>B17-F17</f>
        <v>-855.05249999999978</v>
      </c>
      <c r="H17" s="40">
        <f>IFERROR(G17/F17, 0)</f>
        <v>-0.19927856267217306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461" priority="1" operator="lessThanOrEqual">
      <formula>-0.1</formula>
    </cfRule>
    <cfRule type="cellIs" dxfId="146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C91C-9A44-4906-86C6-E7E02C1A1993}">
  <sheetPr codeName="Sheet40">
    <tabColor rgb="FFFFFF00"/>
  </sheetPr>
  <dimension ref="A1:O20"/>
  <sheetViews>
    <sheetView topLeftCell="C1" workbookViewId="0">
      <selection activeCell="I32" sqref="I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6042.5</v>
      </c>
      <c r="C5" s="14">
        <v>9148.84</v>
      </c>
      <c r="D5" s="15">
        <f>B5-C5</f>
        <v>-3106.34</v>
      </c>
      <c r="E5" s="16">
        <f t="shared" ref="E5:E16" si="0">IFERROR(D5/C5, 0)</f>
        <v>-0.33953375509900707</v>
      </c>
      <c r="F5" s="17">
        <v>7767</v>
      </c>
      <c r="G5" s="18">
        <f>B5-F5</f>
        <v>-1724.5</v>
      </c>
      <c r="H5" s="19">
        <f t="shared" ref="H5:H16" si="1">IFERROR(G5/F5, 0)</f>
        <v>-0.22202909746362817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6"/>
      <c r="J13" s="76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6042.5</v>
      </c>
      <c r="C17" s="38">
        <f t="shared" ref="C17:F17" si="4">SUM(C5:C16)</f>
        <v>9148.84</v>
      </c>
      <c r="D17" s="38">
        <f>B17-C17</f>
        <v>-3106.34</v>
      </c>
      <c r="E17" s="39">
        <f>IFERROR(D17/C17, 0)</f>
        <v>-0.33953375509900707</v>
      </c>
      <c r="F17" s="38">
        <f t="shared" si="4"/>
        <v>7767</v>
      </c>
      <c r="G17" s="38">
        <f>B17-F17</f>
        <v>-1724.5</v>
      </c>
      <c r="H17" s="40">
        <f>IFERROR(G17/F17, 0)</f>
        <v>-0.22202909746362817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445" priority="1" operator="lessThanOrEqual">
      <formula>-0.1</formula>
    </cfRule>
    <cfRule type="cellIs" dxfId="144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C7A9-74D9-473C-8F24-40F83867C678}">
  <sheetPr codeName="Sheet94">
    <tabColor rgb="FFFFFF00"/>
  </sheetPr>
  <dimension ref="A1:O20"/>
  <sheetViews>
    <sheetView workbookViewId="0">
      <selection activeCell="F28" sqref="F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3737.71875</v>
      </c>
      <c r="C5" s="14">
        <v>5120.8</v>
      </c>
      <c r="D5" s="15">
        <f>B5-C5</f>
        <v>-1383.0812500000002</v>
      </c>
      <c r="E5" s="16">
        <f t="shared" ref="E5:E16" si="0">IFERROR(D5/C5, 0)</f>
        <v>-0.27009085494453994</v>
      </c>
      <c r="F5" s="17">
        <v>8043.3059999999996</v>
      </c>
      <c r="G5" s="18">
        <f>B5-F5</f>
        <v>-4305.5872499999996</v>
      </c>
      <c r="H5" s="19">
        <f t="shared" ref="H5:H16" si="1">IFERROR(G5/F5, 0)</f>
        <v>-0.53530068979098888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6"/>
      <c r="J13" s="76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127"/>
      <c r="B17" s="128"/>
      <c r="C17" s="128"/>
      <c r="D17" s="128">
        <f>B17-C17</f>
        <v>0</v>
      </c>
      <c r="E17" s="129">
        <f>IFERROR(D17/C17, 0)</f>
        <v>0</v>
      </c>
      <c r="F17" s="130"/>
      <c r="G17" s="131">
        <f>B17-F17</f>
        <v>0</v>
      </c>
      <c r="H17" s="132">
        <f>IFERROR(G17/F17, 0)</f>
        <v>0</v>
      </c>
      <c r="I17" s="133"/>
      <c r="J17" s="133"/>
    </row>
    <row r="18" spans="1:15" ht="14.25">
      <c r="A18" s="37" t="s">
        <v>286</v>
      </c>
      <c r="B18" s="126">
        <f>SUM(B5:B17)</f>
        <v>3737.71875</v>
      </c>
      <c r="C18" s="38">
        <f t="shared" ref="C18:F18" si="4">SUM(C5:C16)</f>
        <v>5120.8</v>
      </c>
      <c r="D18" s="38">
        <f>B18-C18</f>
        <v>-1383.0812500000002</v>
      </c>
      <c r="E18" s="39">
        <f>IFERROR(D18/C18, 0)</f>
        <v>-0.27009085494453994</v>
      </c>
      <c r="F18" s="38">
        <f t="shared" si="4"/>
        <v>8043.3059999999996</v>
      </c>
      <c r="G18" s="38">
        <f>B18-F18</f>
        <v>-4305.5872499999996</v>
      </c>
      <c r="H18" s="40">
        <f>IFERROR(G18/F18, 0)</f>
        <v>-0.53530068979098888</v>
      </c>
      <c r="I18" s="41"/>
      <c r="J18" s="41"/>
    </row>
    <row r="19" spans="1:15">
      <c r="F19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8 H5:H18">
    <cfRule type="cellIs" dxfId="1429" priority="1" operator="lessThanOrEqual">
      <formula>-0.1</formula>
    </cfRule>
    <cfRule type="cellIs" dxfId="1428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753F-C447-4EE6-BB26-A47A9900049A}">
  <sheetPr codeName="Sheet41">
    <tabColor rgb="FFFFFF00"/>
  </sheetPr>
  <dimension ref="A1:O20"/>
  <sheetViews>
    <sheetView topLeftCell="C1" workbookViewId="0">
      <selection activeCell="I11" sqref="I1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4955.0625</v>
      </c>
      <c r="C5" s="14">
        <v>8344.5239999999994</v>
      </c>
      <c r="D5" s="15">
        <f>B5-C5</f>
        <v>-3389.4614999999994</v>
      </c>
      <c r="E5" s="16">
        <f t="shared" ref="E5:E16" si="0">IFERROR(D5/C5, 0)</f>
        <v>-0.40618991568602353</v>
      </c>
      <c r="F5" s="17">
        <v>11121.22</v>
      </c>
      <c r="G5" s="18">
        <f>B5-F5</f>
        <v>-6166.1574999999993</v>
      </c>
      <c r="H5" s="19">
        <f t="shared" ref="H5:H16" si="1">IFERROR(G5/F5, 0)</f>
        <v>-0.55444973662961439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4955.0625</v>
      </c>
      <c r="C17" s="38">
        <f t="shared" ref="C17:F17" si="4">SUM(C5:C16)</f>
        <v>8344.5239999999994</v>
      </c>
      <c r="D17" s="38">
        <f>B17-C17</f>
        <v>-3389.4614999999994</v>
      </c>
      <c r="E17" s="39">
        <f>IFERROR(D17/C17, 0)</f>
        <v>-0.40618991568602353</v>
      </c>
      <c r="F17" s="38">
        <f t="shared" si="4"/>
        <v>11121.22</v>
      </c>
      <c r="G17" s="38">
        <f>B17-F17</f>
        <v>-6166.1574999999993</v>
      </c>
      <c r="H17" s="40">
        <f>IFERROR(G17/F17, 0)</f>
        <v>-0.55444973662961439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413" priority="1" operator="lessThanOrEqual">
      <formula>-0.1</formula>
    </cfRule>
    <cfRule type="cellIs" dxfId="141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77AB-CE33-470F-91F7-AB774742CC61}">
  <sheetPr codeName="Sheet42">
    <tabColor rgb="FFFFFF00"/>
  </sheetPr>
  <dimension ref="A1:O20"/>
  <sheetViews>
    <sheetView topLeftCell="D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2925.8125</v>
      </c>
      <c r="C5" s="14">
        <v>4425.3320000000003</v>
      </c>
      <c r="D5" s="15">
        <f>B5-C5</f>
        <v>-1499.5195000000003</v>
      </c>
      <c r="E5" s="16">
        <f t="shared" ref="E5:E16" si="0">IFERROR(D5/C5, 0)</f>
        <v>-0.33884904002682742</v>
      </c>
      <c r="F5" s="17">
        <v>6324</v>
      </c>
      <c r="G5" s="18">
        <f>B5-F5</f>
        <v>-3398.1875</v>
      </c>
      <c r="H5" s="19">
        <f t="shared" ref="H5:H16" si="1">IFERROR(G5/F5, 0)</f>
        <v>-0.53734780202403543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2925.8125</v>
      </c>
      <c r="C17" s="38">
        <f t="shared" ref="C17:F17" si="4">SUM(C5:C16)</f>
        <v>4425.3320000000003</v>
      </c>
      <c r="D17" s="38">
        <f>B17-C17</f>
        <v>-1499.5195000000003</v>
      </c>
      <c r="E17" s="39">
        <f>IFERROR(D17/C17, 0)</f>
        <v>-0.33884904002682742</v>
      </c>
      <c r="F17" s="38">
        <f t="shared" si="4"/>
        <v>6324</v>
      </c>
      <c r="G17" s="38">
        <f>B17-F17</f>
        <v>-3398.1875</v>
      </c>
      <c r="H17" s="40">
        <f>IFERROR(G17/F17, 0)</f>
        <v>-0.53734780202403543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397" priority="1" operator="lessThanOrEqual">
      <formula>-0.1</formula>
    </cfRule>
    <cfRule type="cellIs" dxfId="139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530C-85F2-495C-A3F4-9E507E8AC258}">
  <sheetPr codeName="Sheet43">
    <tabColor rgb="FFFFFF00"/>
  </sheetPr>
  <dimension ref="A1:O20"/>
  <sheetViews>
    <sheetView topLeftCell="C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4902.4375</v>
      </c>
      <c r="C5" s="14">
        <v>8720.9449999999997</v>
      </c>
      <c r="D5" s="15">
        <f>B5-C5</f>
        <v>-3818.5074999999997</v>
      </c>
      <c r="E5" s="16">
        <f t="shared" ref="E5:E16" si="0">IFERROR(D5/C5, 0)</f>
        <v>-0.43785478523256366</v>
      </c>
      <c r="F5" s="17">
        <v>11481.79</v>
      </c>
      <c r="G5" s="18">
        <f>B5-F5</f>
        <v>-6579.3525000000009</v>
      </c>
      <c r="H5" s="19">
        <f t="shared" ref="H5:H16" si="1">IFERROR(G5/F5, 0)</f>
        <v>-0.57302498129647039</v>
      </c>
      <c r="I5" s="73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4902.4375</v>
      </c>
      <c r="C17" s="38">
        <f t="shared" ref="C17:F17" si="4">SUM(C5:C16)</f>
        <v>8720.9449999999997</v>
      </c>
      <c r="D17" s="38">
        <f>B17-C17</f>
        <v>-3818.5074999999997</v>
      </c>
      <c r="E17" s="39">
        <f>IFERROR(D17/C17, 0)</f>
        <v>-0.43785478523256366</v>
      </c>
      <c r="F17" s="38">
        <f t="shared" si="4"/>
        <v>11481.79</v>
      </c>
      <c r="G17" s="38">
        <f>B17-F17</f>
        <v>-6579.3525000000009</v>
      </c>
      <c r="H17" s="40">
        <f>IFERROR(G17/F17, 0)</f>
        <v>-0.57302498129647039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381" priority="1" operator="lessThanOrEqual">
      <formula>-0.1</formula>
    </cfRule>
    <cfRule type="cellIs" dxfId="138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F9C8-5DB4-4F30-AA09-E49935F806DD}">
  <sheetPr codeName="Sheet44">
    <tabColor rgb="FFFFFF00"/>
  </sheetPr>
  <dimension ref="A1:O20"/>
  <sheetViews>
    <sheetView topLeftCell="C1" workbookViewId="0">
      <selection activeCell="I9" sqref="I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5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4.25">
      <c r="A5" s="13" t="s">
        <v>274</v>
      </c>
      <c r="B5" s="14">
        <v>8347.5</v>
      </c>
      <c r="C5" s="14">
        <v>13350</v>
      </c>
      <c r="D5" s="15">
        <f>B5-C5</f>
        <v>-5002.5</v>
      </c>
      <c r="E5" s="16">
        <f t="shared" ref="E5:E16" si="0">IFERROR(D5/C5, 0)</f>
        <v>-0.37471910112359552</v>
      </c>
      <c r="F5" s="17">
        <v>16384.009999999998</v>
      </c>
      <c r="G5" s="18">
        <f>B5-F5</f>
        <v>-8036.5099999999984</v>
      </c>
      <c r="H5" s="19">
        <f t="shared" ref="H5:H16" si="1">IFERROR(G5/F5, 0)</f>
        <v>-0.49050934417154279</v>
      </c>
      <c r="I5" s="73" t="s">
        <v>305</v>
      </c>
      <c r="J5" s="73" t="s">
        <v>306</v>
      </c>
      <c r="O5" s="4"/>
    </row>
    <row r="6" spans="1:15" ht="14.25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4.25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4.25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4.25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4.25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4.25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4.25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4.25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4.25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4.25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3"/>
      <c r="J16" s="36"/>
    </row>
    <row r="17" spans="1:15" ht="14.25">
      <c r="A17" s="37" t="s">
        <v>286</v>
      </c>
      <c r="B17" s="38">
        <f>SUM(B5:B16)</f>
        <v>8347.5</v>
      </c>
      <c r="C17" s="38">
        <f t="shared" ref="C17:F17" si="4">SUM(C5:C16)</f>
        <v>13350</v>
      </c>
      <c r="D17" s="38">
        <f>B17-C17</f>
        <v>-5002.5</v>
      </c>
      <c r="E17" s="39">
        <f>IFERROR(D17/C17, 0)</f>
        <v>-0.37471910112359552</v>
      </c>
      <c r="F17" s="38">
        <f t="shared" si="4"/>
        <v>16384.009999999998</v>
      </c>
      <c r="G17" s="38">
        <f>B17-F17</f>
        <v>-8036.5099999999984</v>
      </c>
      <c r="H17" s="40">
        <f>IFERROR(G17/F17, 0)</f>
        <v>-0.49050934417154279</v>
      </c>
      <c r="I17" s="41"/>
      <c r="J17" s="41"/>
    </row>
    <row r="18" spans="1:15">
      <c r="F18" s="10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365" priority="1" operator="lessThanOrEqual">
      <formula>-0.1</formula>
    </cfRule>
    <cfRule type="cellIs" dxfId="136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F44E-489D-4781-ACBC-736AA2549B19}">
  <sheetPr codeName="Sheet45">
    <tabColor rgb="FFFFFF00"/>
  </sheetPr>
  <dimension ref="A1:O20"/>
  <sheetViews>
    <sheetView workbookViewId="0">
      <selection activeCell="I29" sqref="I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6315.875</v>
      </c>
      <c r="C5" s="14">
        <v>9204.3379999999997</v>
      </c>
      <c r="D5" s="15">
        <f>B5-C5</f>
        <v>-2888.4629999999997</v>
      </c>
      <c r="E5" s="16">
        <f t="shared" ref="E5:E16" si="0">IFERROR(D5/C5, 0)</f>
        <v>-0.31381539878261749</v>
      </c>
      <c r="F5" s="17">
        <v>15624</v>
      </c>
      <c r="G5" s="18">
        <f>B5-F5</f>
        <v>-9308.125</v>
      </c>
      <c r="H5" s="19">
        <f t="shared" ref="H5:H16" si="1">IFERROR(G5/F5, 0)</f>
        <v>-0.59575812852022525</v>
      </c>
      <c r="I5" s="147" t="s">
        <v>307</v>
      </c>
      <c r="J5" s="147" t="s">
        <v>308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6315.875</v>
      </c>
      <c r="C17" s="38">
        <f t="shared" ref="C17:F17" si="4">SUM(C5:C16)</f>
        <v>9204.3379999999997</v>
      </c>
      <c r="D17" s="38">
        <f>B17-C17</f>
        <v>-2888.4629999999997</v>
      </c>
      <c r="E17" s="39">
        <f>IFERROR(D17/C17, 0)</f>
        <v>-0.31381539878261749</v>
      </c>
      <c r="F17" s="38">
        <f t="shared" si="4"/>
        <v>15624</v>
      </c>
      <c r="G17" s="38">
        <f>B17-F17</f>
        <v>-9308.125</v>
      </c>
      <c r="H17" s="40">
        <f>IFERROR(G17/F17, 0)</f>
        <v>-0.59575812852022525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349" priority="1" operator="lessThanOrEqual">
      <formula>-0.1</formula>
    </cfRule>
    <cfRule type="cellIs" dxfId="134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5DCD-F99A-4063-9076-607B08C5C658}">
  <sheetPr codeName="Sheet46">
    <tabColor rgb="FFFFFF00"/>
  </sheetPr>
  <dimension ref="A1:O20"/>
  <sheetViews>
    <sheetView topLeftCell="C1" workbookViewId="0">
      <selection activeCell="I27" sqref="I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2660.53125000006</v>
      </c>
      <c r="C5" s="14">
        <v>3950.5940000000001</v>
      </c>
      <c r="D5" s="15">
        <f>B5-C5</f>
        <v>-1290.06274999994</v>
      </c>
      <c r="E5" s="16">
        <f t="shared" ref="E5:E16" si="0">IFERROR(D5/C5, 0)</f>
        <v>-0.32654905819224656</v>
      </c>
      <c r="F5" s="17">
        <v>7281.06</v>
      </c>
      <c r="G5" s="18">
        <f>B5-F5</f>
        <v>-4620.5287499999404</v>
      </c>
      <c r="H5" s="19">
        <f t="shared" ref="H5:H16" si="1">IFERROR(G5/F5, 0)</f>
        <v>-0.63459561519887764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17"/>
      <c r="C14" s="117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111"/>
      <c r="J14" s="112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126">
        <f>SUM(B5:B16)</f>
        <v>2660.53125000006</v>
      </c>
      <c r="C17" s="38">
        <f t="shared" ref="C17:F17" si="4">SUM(C5:C16)</f>
        <v>3950.5940000000001</v>
      </c>
      <c r="D17" s="38">
        <f>B17-C17</f>
        <v>-1290.06274999994</v>
      </c>
      <c r="E17" s="39">
        <f>IFERROR(D17/C17, 0)</f>
        <v>-0.32654905819224656</v>
      </c>
      <c r="F17" s="38">
        <f t="shared" si="4"/>
        <v>7281.06</v>
      </c>
      <c r="G17" s="38">
        <f>B17-F17</f>
        <v>-4620.5287499999404</v>
      </c>
      <c r="H17" s="40">
        <f>IFERROR(G17/F17, 0)</f>
        <v>-0.63459561519887764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333" priority="1" operator="lessThanOrEqual">
      <formula>-0.1</formula>
    </cfRule>
    <cfRule type="cellIs" dxfId="133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C7C9-9E12-40F0-A393-7E1B5B5ABB56}">
  <sheetPr codeName="Sheet47">
    <tabColor rgb="FFFFFF00"/>
  </sheetPr>
  <dimension ref="A1:O20"/>
  <sheetViews>
    <sheetView workbookViewId="0">
      <selection activeCell="I33" sqref="I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129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11460.875</v>
      </c>
      <c r="C5" s="14">
        <v>21002.59</v>
      </c>
      <c r="D5" s="15">
        <f>B5-C5</f>
        <v>-9541.7150000000001</v>
      </c>
      <c r="E5" s="16">
        <f t="shared" ref="E5:E16" si="0">IFERROR(D5/C5, 0)</f>
        <v>-0.4543113492193106</v>
      </c>
      <c r="F5" s="17">
        <v>0</v>
      </c>
      <c r="G5" s="18">
        <f>B5-F5</f>
        <v>11460.875</v>
      </c>
      <c r="H5" s="19">
        <f t="shared" ref="H5:H16" si="1">IFERROR(G5/F5, 0)</f>
        <v>0</v>
      </c>
      <c r="I5" s="73"/>
      <c r="J5" s="20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11460.875</v>
      </c>
      <c r="C17" s="38">
        <f t="shared" ref="C17:F17" si="4">SUM(C5:C16)</f>
        <v>21002.59</v>
      </c>
      <c r="D17" s="38">
        <f>B17-C17</f>
        <v>-9541.7150000000001</v>
      </c>
      <c r="E17" s="39">
        <f>IFERROR(D17/C17, 0)</f>
        <v>-0.4543113492193106</v>
      </c>
      <c r="F17" s="38">
        <f t="shared" si="4"/>
        <v>0</v>
      </c>
      <c r="G17" s="38">
        <f>B17-F17</f>
        <v>11460.875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317" priority="1" operator="lessThanOrEqual">
      <formula>-0.1</formula>
    </cfRule>
    <cfRule type="cellIs" dxfId="131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8E3B-A79D-4C45-A9C2-2B9F72C8C082}">
  <sheetPr codeName="Sheet48">
    <tabColor rgb="FFFFFF00"/>
  </sheetPr>
  <dimension ref="A1:O20"/>
  <sheetViews>
    <sheetView workbookViewId="0">
      <selection activeCell="I33" sqref="I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12294.25</v>
      </c>
      <c r="C5" s="14">
        <v>18722.73</v>
      </c>
      <c r="D5" s="15">
        <f>B5-C5</f>
        <v>-6428.48</v>
      </c>
      <c r="E5" s="16">
        <f t="shared" ref="E5:E16" si="0">IFERROR(D5/C5, 0)</f>
        <v>-0.34335163728793822</v>
      </c>
      <c r="F5" s="17">
        <v>20486.32</v>
      </c>
      <c r="G5" s="18">
        <f>B5-F5</f>
        <v>-8192.07</v>
      </c>
      <c r="H5" s="19">
        <f t="shared" ref="H5:H16" si="1">IFERROR(G5/F5, 0)</f>
        <v>-0.39988001749460128</v>
      </c>
      <c r="I5" s="73" t="s">
        <v>309</v>
      </c>
      <c r="J5" s="73" t="s">
        <v>310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12294.25</v>
      </c>
      <c r="C17" s="38">
        <f t="shared" ref="C17:F17" si="4">SUM(C5:C16)</f>
        <v>18722.73</v>
      </c>
      <c r="D17" s="38">
        <f>B17-C17</f>
        <v>-6428.48</v>
      </c>
      <c r="E17" s="39">
        <f>IFERROR(D17/C17, 0)</f>
        <v>-0.34335163728793822</v>
      </c>
      <c r="F17" s="38">
        <f t="shared" si="4"/>
        <v>20486.32</v>
      </c>
      <c r="G17" s="38">
        <f>B17-F17</f>
        <v>-8192.07</v>
      </c>
      <c r="H17" s="40">
        <f>IFERROR(G17/F17, 0)</f>
        <v>-0.39988001749460128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301" priority="1" operator="lessThanOrEqual">
      <formula>-0.1</formula>
    </cfRule>
    <cfRule type="cellIs" dxfId="130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515B-E7FE-4590-BEEE-A819C813A858}">
  <sheetPr codeName="Sheet49">
    <tabColor rgb="FFFFFF00"/>
  </sheetPr>
  <dimension ref="A1:O20"/>
  <sheetViews>
    <sheetView workbookViewId="0">
      <selection activeCell="I10" sqref="I1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5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4.25">
      <c r="A5" s="13" t="s">
        <v>274</v>
      </c>
      <c r="B5" s="14">
        <v>0</v>
      </c>
      <c r="C5" s="14">
        <v>0</v>
      </c>
      <c r="D5" s="15">
        <f>B5-C5</f>
        <v>0</v>
      </c>
      <c r="E5" s="16">
        <f t="shared" ref="E5:E16" si="0">IFERROR(D5/C5, 0)</f>
        <v>0</v>
      </c>
      <c r="F5" s="17">
        <v>0</v>
      </c>
      <c r="G5" s="18">
        <f>B5-F5</f>
        <v>0</v>
      </c>
      <c r="H5" s="19">
        <f t="shared" ref="H5:H16" si="1">IFERROR(G5/F5, 0)</f>
        <v>0</v>
      </c>
      <c r="I5" s="73" t="s">
        <v>311</v>
      </c>
      <c r="J5" s="73" t="s">
        <v>312</v>
      </c>
      <c r="O5" s="4"/>
    </row>
    <row r="6" spans="1:15" ht="14.25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4.25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4.25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4.25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4.25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4.25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4.25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4.25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6"/>
    </row>
    <row r="15" spans="1:15" ht="14.25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6"/>
    </row>
    <row r="16" spans="1:15" ht="14.25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4.25">
      <c r="A17" s="37" t="s">
        <v>286</v>
      </c>
      <c r="B17" s="38">
        <f>SUM(B5:B16)</f>
        <v>0</v>
      </c>
      <c r="C17" s="38">
        <f t="shared" ref="C17:F17" si="4">SUM(C5:C16)</f>
        <v>0</v>
      </c>
      <c r="D17" s="38">
        <f>B17-C17</f>
        <v>0</v>
      </c>
      <c r="E17" s="39">
        <f>IFERROR(D17/C17, 0)</f>
        <v>0</v>
      </c>
      <c r="F17" s="38">
        <f t="shared" si="4"/>
        <v>0</v>
      </c>
      <c r="G17" s="38">
        <f>B17-F17</f>
        <v>0</v>
      </c>
      <c r="H17" s="40">
        <f>IFERROR(G17/F17, 0)</f>
        <v>0</v>
      </c>
      <c r="I17" s="41"/>
      <c r="J17" s="41"/>
    </row>
    <row r="18" spans="1:15">
      <c r="F18" s="10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285" priority="1" operator="lessThanOrEqual">
      <formula>-0.1</formula>
    </cfRule>
    <cfRule type="cellIs" dxfId="128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1312-9C14-4122-A434-AE7F19898A4B}">
  <sheetPr>
    <tabColor rgb="FFFFFF00"/>
  </sheetPr>
  <dimension ref="A1:O20"/>
  <sheetViews>
    <sheetView workbookViewId="0">
      <selection activeCell="I24" sqref="I2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14">
        <v>12481.4388279307</v>
      </c>
      <c r="C5" s="14">
        <v>12754.8</v>
      </c>
      <c r="D5" s="15">
        <f>B5-C5</f>
        <v>-273.36117206929885</v>
      </c>
      <c r="E5" s="16">
        <f t="shared" ref="E5:E16" si="0">IFERROR(D5/C5, 0)</f>
        <v>-2.1432023400547156E-2</v>
      </c>
      <c r="F5" s="17">
        <v>27674.85</v>
      </c>
      <c r="G5" s="18">
        <f>B5-F5</f>
        <v>-15193.411172069298</v>
      </c>
      <c r="H5" s="19">
        <f t="shared" ref="H5:H16" si="1">IFERROR(G5/F5, 0)</f>
        <v>-0.5489970558853724</v>
      </c>
      <c r="I5" s="74" t="s">
        <v>313</v>
      </c>
      <c r="J5" s="74" t="s">
        <v>314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111"/>
      <c r="J14" s="112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12481.4388279307</v>
      </c>
      <c r="C17" s="38">
        <f t="shared" ref="C17:F17" si="4">SUM(C5:C16)</f>
        <v>12754.8</v>
      </c>
      <c r="D17" s="38">
        <f>B17-C17</f>
        <v>-273.36117206929885</v>
      </c>
      <c r="E17" s="39">
        <f>IFERROR(D17/C17, 0)</f>
        <v>-2.1432023400547156E-2</v>
      </c>
      <c r="F17" s="38">
        <f t="shared" si="4"/>
        <v>27674.85</v>
      </c>
      <c r="G17" s="38">
        <f>B17-F17</f>
        <v>-15193.411172069298</v>
      </c>
      <c r="H17" s="40">
        <f>IFERROR(G17/F17, 0)</f>
        <v>-0.5489970558853724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269" priority="1" operator="lessThanOrEqual">
      <formula>-0.1</formula>
    </cfRule>
    <cfRule type="cellIs" dxfId="1268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0C56-6FEE-48BA-89DD-D4B1462F4E0A}">
  <sheetPr codeName="Sheet50">
    <tabColor rgb="FFFFFF00"/>
  </sheetPr>
  <dimension ref="A1:O20"/>
  <sheetViews>
    <sheetView workbookViewId="0">
      <selection activeCell="D28" sqref="D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10238.1439808419</v>
      </c>
      <c r="C5" s="14">
        <v>0</v>
      </c>
      <c r="D5" s="15">
        <f>B5-C5</f>
        <v>10238.1439808419</v>
      </c>
      <c r="E5" s="16">
        <f t="shared" ref="E5:E16" si="0">IFERROR(D5/C5, 0)</f>
        <v>0</v>
      </c>
      <c r="F5" s="17">
        <v>21505.42</v>
      </c>
      <c r="G5" s="18">
        <f>B5-F5</f>
        <v>-11267.276019158098</v>
      </c>
      <c r="H5" s="19">
        <f t="shared" ref="H5:H16" si="1">IFERROR(G5/F5, 0)</f>
        <v>-0.52392727131849082</v>
      </c>
      <c r="I5" s="73" t="s">
        <v>315</v>
      </c>
      <c r="J5" s="73" t="s">
        <v>316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111"/>
      <c r="J14" s="112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10238.1439808419</v>
      </c>
      <c r="C17" s="38">
        <f t="shared" ref="C17:F17" si="4">SUM(C5:C16)</f>
        <v>0</v>
      </c>
      <c r="D17" s="38">
        <f>B17-C17</f>
        <v>10238.1439808419</v>
      </c>
      <c r="E17" s="39">
        <f>IFERROR(D17/C17, 0)</f>
        <v>0</v>
      </c>
      <c r="F17" s="38">
        <f t="shared" si="4"/>
        <v>21505.42</v>
      </c>
      <c r="G17" s="38">
        <f>B17-F17</f>
        <v>-11267.276019158098</v>
      </c>
      <c r="H17" s="40">
        <f>IFERROR(G17/F17, 0)</f>
        <v>-0.52392727131849082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253" priority="1" operator="lessThanOrEqual">
      <formula>-0.1</formula>
    </cfRule>
    <cfRule type="cellIs" dxfId="125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2227-8EBF-4561-B070-461AEF2D2283}">
  <sheetPr codeName="Sheet51">
    <tabColor rgb="FFFFFF00"/>
  </sheetPr>
  <dimension ref="A1:O20"/>
  <sheetViews>
    <sheetView workbookViewId="0">
      <selection activeCell="I28" sqref="I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15903</v>
      </c>
      <c r="C5" s="14">
        <v>23742.06</v>
      </c>
      <c r="D5" s="15">
        <f>B5-C5</f>
        <v>-7839.0600000000013</v>
      </c>
      <c r="E5" s="16">
        <f t="shared" ref="E5:E16" si="0">IFERROR(D5/C5, 0)</f>
        <v>-0.33017606728312543</v>
      </c>
      <c r="F5" s="17">
        <v>34544.519999999997</v>
      </c>
      <c r="G5" s="18">
        <f>B5-F5</f>
        <v>-18641.519999999997</v>
      </c>
      <c r="H5" s="19">
        <f t="shared" ref="H5:H16" si="1">IFERROR(G5/F5, 0)</f>
        <v>-0.53963754598413871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15903</v>
      </c>
      <c r="C17" s="38">
        <f t="shared" ref="C17:F17" si="4">SUM(C5:C16)</f>
        <v>23742.06</v>
      </c>
      <c r="D17" s="38">
        <f>B17-C17</f>
        <v>-7839.0600000000013</v>
      </c>
      <c r="E17" s="39">
        <f>IFERROR(D17/C17, 0)</f>
        <v>-0.33017606728312543</v>
      </c>
      <c r="F17" s="38">
        <f t="shared" si="4"/>
        <v>34544.519999999997</v>
      </c>
      <c r="G17" s="38">
        <f>B17-F17</f>
        <v>-18641.519999999997</v>
      </c>
      <c r="H17" s="40">
        <f>IFERROR(G17/F17, 0)</f>
        <v>-0.53963754598413871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237" priority="1" operator="lessThanOrEqual">
      <formula>-0.1</formula>
    </cfRule>
    <cfRule type="cellIs" dxfId="123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DCA1-F2D8-4BA7-A366-B53F59D491A2}">
  <sheetPr codeName="Sheet52">
    <tabColor rgb="FFFFFF00"/>
  </sheetPr>
  <dimension ref="A1:O20"/>
  <sheetViews>
    <sheetView workbookViewId="0">
      <selection activeCell="D29" sqref="D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1546.0999999999899</v>
      </c>
      <c r="C5" s="14">
        <v>0</v>
      </c>
      <c r="D5" s="15">
        <f>B5-C5</f>
        <v>1546.0999999999899</v>
      </c>
      <c r="E5" s="16">
        <f t="shared" ref="E5:E16" si="0">IFERROR(D5/C5, 0)</f>
        <v>0</v>
      </c>
      <c r="F5" s="17">
        <v>2946.8270000000002</v>
      </c>
      <c r="G5" s="18">
        <f>B5-F5</f>
        <v>-1400.7270000000103</v>
      </c>
      <c r="H5" s="19">
        <f t="shared" ref="H5:H16" si="1">IFERROR(G5/F5, 0)</f>
        <v>-0.47533397786840226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1546.0999999999899</v>
      </c>
      <c r="C17" s="38">
        <f t="shared" ref="C17:F17" si="4">SUM(C5:C16)</f>
        <v>0</v>
      </c>
      <c r="D17" s="38">
        <f>B17-C17</f>
        <v>1546.0999999999899</v>
      </c>
      <c r="E17" s="39">
        <f>IFERROR(D17/C17, 0)</f>
        <v>0</v>
      </c>
      <c r="F17" s="38">
        <f t="shared" si="4"/>
        <v>2946.8270000000002</v>
      </c>
      <c r="G17" s="38">
        <f>B17-F17</f>
        <v>-1400.7270000000103</v>
      </c>
      <c r="H17" s="40">
        <f>IFERROR(G17/F17, 0)</f>
        <v>-0.47533397786840226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221" priority="1" operator="lessThanOrEqual">
      <formula>-0.1</formula>
    </cfRule>
    <cfRule type="cellIs" dxfId="122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5B9A-4A70-470C-B3B5-4BDAD9455CE4}">
  <sheetPr>
    <tabColor rgb="FFFFFF00"/>
  </sheetPr>
  <dimension ref="A1:O20"/>
  <sheetViews>
    <sheetView workbookViewId="0">
      <selection activeCell="F32" sqref="F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5421</v>
      </c>
      <c r="C5" s="14">
        <v>0</v>
      </c>
      <c r="D5" s="15">
        <f>B5-C5</f>
        <v>5421</v>
      </c>
      <c r="E5" s="16">
        <f t="shared" ref="E5:E16" si="0">IFERROR(D5/C5, 0)</f>
        <v>0</v>
      </c>
      <c r="F5" s="17">
        <v>0</v>
      </c>
      <c r="G5" s="18">
        <f>B5-F5</f>
        <v>5421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7"/>
      <c r="J10" s="27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7"/>
      <c r="J11" s="27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7"/>
      <c r="J12" s="27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7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5421</v>
      </c>
      <c r="C17" s="38">
        <f t="shared" ref="C17:F17" si="4">SUM(C5:C16)</f>
        <v>0</v>
      </c>
      <c r="D17" s="38">
        <f>B17-C17</f>
        <v>5421</v>
      </c>
      <c r="E17" s="39">
        <f>IFERROR(D17/C17, 0)</f>
        <v>0</v>
      </c>
      <c r="F17" s="38">
        <f t="shared" si="4"/>
        <v>0</v>
      </c>
      <c r="G17" s="38">
        <f>B17-F17</f>
        <v>5421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205" priority="1" operator="lessThanOrEqual">
      <formula>-0.1</formula>
    </cfRule>
    <cfRule type="cellIs" dxfId="1204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A99D-68C7-4324-98C0-6AEFE0D8B77F}">
  <sheetPr codeName="Sheet53">
    <tabColor rgb="FFFFFF00"/>
  </sheetPr>
  <dimension ref="A1:O20"/>
  <sheetViews>
    <sheetView workbookViewId="0">
      <selection activeCell="F27" sqref="F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4766.8999999999696</v>
      </c>
      <c r="C5" s="14">
        <v>7713.94</v>
      </c>
      <c r="D5" s="15">
        <f>B5-C5</f>
        <v>-2947.04000000003</v>
      </c>
      <c r="E5" s="16">
        <f t="shared" ref="E5:E16" si="0">IFERROR(D5/C5, 0)</f>
        <v>-0.38204082479252238</v>
      </c>
      <c r="F5" s="17">
        <v>14664.49</v>
      </c>
      <c r="G5" s="18">
        <f>B5-F5</f>
        <v>-9897.5900000000292</v>
      </c>
      <c r="H5" s="19">
        <f t="shared" ref="H5:H16" si="1">IFERROR(G5/F5, 0)</f>
        <v>-0.67493584843387189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7"/>
      <c r="J10" s="27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7"/>
      <c r="J11" s="27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7"/>
      <c r="J12" s="27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7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4766.8999999999696</v>
      </c>
      <c r="C17" s="38">
        <f t="shared" ref="C17:F17" si="4">SUM(C5:C16)</f>
        <v>7713.94</v>
      </c>
      <c r="D17" s="38">
        <f>B17-C17</f>
        <v>-2947.04000000003</v>
      </c>
      <c r="E17" s="39">
        <f>IFERROR(D17/C17, 0)</f>
        <v>-0.38204082479252238</v>
      </c>
      <c r="F17" s="38">
        <f t="shared" si="4"/>
        <v>14664.49</v>
      </c>
      <c r="G17" s="38">
        <f>B17-F17</f>
        <v>-9897.5900000000292</v>
      </c>
      <c r="H17" s="40">
        <f>IFERROR(G17/F17, 0)</f>
        <v>-0.67493584843387189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189" priority="1" operator="lessThanOrEqual">
      <formula>-0.1</formula>
    </cfRule>
    <cfRule type="cellIs" dxfId="118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0E82-C458-4AD1-B09D-431E82442645}">
  <sheetPr codeName="Sheet54">
    <tabColor rgb="FFFFFF00"/>
  </sheetPr>
  <dimension ref="A1:O20"/>
  <sheetViews>
    <sheetView workbookViewId="0">
      <selection activeCell="H29" sqref="H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139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4671.94531250001</v>
      </c>
      <c r="C5" s="14">
        <v>4641.6970000000001</v>
      </c>
      <c r="D5" s="15">
        <f>B5-C5</f>
        <v>30.248312500009888</v>
      </c>
      <c r="E5" s="16">
        <f t="shared" ref="E5:E16" si="0">IFERROR(D5/C5, 0)</f>
        <v>6.5166495141776573E-3</v>
      </c>
      <c r="F5" s="17">
        <v>9177</v>
      </c>
      <c r="G5" s="18">
        <f>B5-F5</f>
        <v>-4505.05468749999</v>
      </c>
      <c r="H5" s="19">
        <f t="shared" ref="H5:H16" si="1">IFERROR(G5/F5, 0)</f>
        <v>-0.49090712514983004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6"/>
      <c r="J13" s="76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75"/>
      <c r="J14" s="76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6"/>
      <c r="J15" s="76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114"/>
      <c r="J16" s="114"/>
    </row>
    <row r="17" spans="1:15" ht="13.15" customHeight="1">
      <c r="A17" s="127"/>
      <c r="B17" s="128"/>
      <c r="C17" s="128"/>
      <c r="D17" s="128">
        <f>B17-C17</f>
        <v>0</v>
      </c>
      <c r="E17" s="129">
        <f>IFERROR(D17/C17, 0)</f>
        <v>0</v>
      </c>
      <c r="F17" s="130"/>
      <c r="G17" s="131">
        <f>B17-F17</f>
        <v>0</v>
      </c>
      <c r="H17" s="132">
        <f>IFERROR(G17/F17, 0)</f>
        <v>0</v>
      </c>
      <c r="I17" s="133"/>
      <c r="J17" s="133"/>
    </row>
    <row r="18" spans="1:15" ht="14.25">
      <c r="A18" s="37" t="s">
        <v>286</v>
      </c>
      <c r="B18" s="126">
        <f>SUM(B5:B17)</f>
        <v>4671.94531250001</v>
      </c>
      <c r="C18" s="38">
        <f t="shared" ref="C18:F18" si="4">SUM(C5:C16)</f>
        <v>4641.6970000000001</v>
      </c>
      <c r="D18" s="38">
        <f>B18-C18</f>
        <v>30.248312500009888</v>
      </c>
      <c r="E18" s="39">
        <f>IFERROR(D18/C18, 0)</f>
        <v>6.5166495141776573E-3</v>
      </c>
      <c r="F18" s="38">
        <f t="shared" si="4"/>
        <v>9177</v>
      </c>
      <c r="G18" s="38">
        <f>B18-F18</f>
        <v>-4505.05468749999</v>
      </c>
      <c r="H18" s="40">
        <f>IFERROR(G18/F18, 0)</f>
        <v>-0.49090712514983004</v>
      </c>
      <c r="I18" s="41"/>
      <c r="J18" s="41"/>
    </row>
    <row r="19" spans="1:15">
      <c r="F19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8 H5:H18">
    <cfRule type="cellIs" dxfId="1173" priority="1" operator="lessThanOrEqual">
      <formula>-0.1</formula>
    </cfRule>
    <cfRule type="cellIs" dxfId="117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9631-184F-43AF-8E03-4C1E8C6C793E}">
  <sheetPr codeName="Sheet55">
    <tabColor rgb="FFFFFF00"/>
  </sheetPr>
  <dimension ref="A1:O20"/>
  <sheetViews>
    <sheetView workbookViewId="0">
      <selection activeCell="I28" sqref="I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3429.2000000000098</v>
      </c>
      <c r="C5" s="14">
        <v>6689.2290000000003</v>
      </c>
      <c r="D5" s="15">
        <f>B5-C5</f>
        <v>-3260.0289999999904</v>
      </c>
      <c r="E5" s="16">
        <f t="shared" ref="E5:E16" si="0">IFERROR(D5/C5, 0)</f>
        <v>-0.48735497020657992</v>
      </c>
      <c r="F5" s="17">
        <v>16899.22</v>
      </c>
      <c r="G5" s="18">
        <f>B5-F5</f>
        <v>-13470.019999999991</v>
      </c>
      <c r="H5" s="19">
        <f t="shared" ref="H5:H16" si="1">IFERROR(G5/F5, 0)</f>
        <v>-0.79707939182991816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9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/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/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/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/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6"/>
      <c r="J13" s="26"/>
    </row>
    <row r="14" spans="1:15" ht="28.9" customHeight="1">
      <c r="A14" s="21" t="s">
        <v>283</v>
      </c>
      <c r="B14" s="15"/>
      <c r="C14" s="15"/>
      <c r="D14" s="15"/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6"/>
    </row>
    <row r="15" spans="1:15" ht="33.6" customHeight="1">
      <c r="A15" s="21" t="s">
        <v>284</v>
      </c>
      <c r="B15" s="28"/>
      <c r="C15" s="28"/>
      <c r="D15" s="15"/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6"/>
    </row>
    <row r="16" spans="1:15" ht="13.15" customHeight="1">
      <c r="A16" s="30" t="s">
        <v>285</v>
      </c>
      <c r="B16" s="31"/>
      <c r="C16" s="31"/>
      <c r="D16" s="31"/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3"/>
      <c r="J16" s="113"/>
    </row>
    <row r="17" spans="1:15" ht="13.15" customHeight="1">
      <c r="A17" s="37" t="s">
        <v>286</v>
      </c>
      <c r="B17" s="38">
        <f>SUM(B5:B16)</f>
        <v>3429.2000000000098</v>
      </c>
      <c r="C17" s="38">
        <f t="shared" ref="C17:F17" si="4">SUM(C5:C16)</f>
        <v>6689.2290000000003</v>
      </c>
      <c r="D17" s="38">
        <f>B17-C17</f>
        <v>-3260.0289999999904</v>
      </c>
      <c r="E17" s="39">
        <f>IFERROR(D17/C17, 0)</f>
        <v>-0.48735497020657992</v>
      </c>
      <c r="F17" s="38">
        <f t="shared" si="4"/>
        <v>16899.22</v>
      </c>
      <c r="G17" s="38">
        <f>B17-F17</f>
        <v>-13470.019999999991</v>
      </c>
      <c r="H17" s="40">
        <f>IFERROR(G17/F17, 0)</f>
        <v>-0.79707939182991816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157" priority="1" operator="lessThanOrEqual">
      <formula>-0.1</formula>
    </cfRule>
    <cfRule type="cellIs" dxfId="115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4B98-97FB-4FC7-AF54-7B49CC3D9872}">
  <sheetPr codeName="Sheet56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7318.96875</v>
      </c>
      <c r="C5" s="14">
        <v>11623.7</v>
      </c>
      <c r="D5" s="15">
        <f>B5-C5</f>
        <v>-4304.7312500000007</v>
      </c>
      <c r="E5" s="16">
        <f t="shared" ref="E5:E16" si="0">IFERROR(D5/C5, 0)</f>
        <v>-0.37034087682923683</v>
      </c>
      <c r="F5" s="17">
        <v>10537.29</v>
      </c>
      <c r="G5" s="18">
        <f>B5-F5</f>
        <v>-3218.3212500000009</v>
      </c>
      <c r="H5" s="19">
        <f t="shared" ref="H5:H16" si="1">IFERROR(G5/F5, 0)</f>
        <v>-0.30542210093866645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10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29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7318.96875</v>
      </c>
      <c r="C17" s="38">
        <f t="shared" ref="C17:F17" si="4">SUM(C5:C16)</f>
        <v>11623.7</v>
      </c>
      <c r="D17" s="38">
        <f>B17-C17</f>
        <v>-4304.7312500000007</v>
      </c>
      <c r="E17" s="39">
        <f>IFERROR(D17/C17, 0)</f>
        <v>-0.37034087682923683</v>
      </c>
      <c r="F17" s="38">
        <f t="shared" si="4"/>
        <v>10537.29</v>
      </c>
      <c r="G17" s="38">
        <f>B17-F17</f>
        <v>-3218.3212500000009</v>
      </c>
      <c r="H17" s="40">
        <f>IFERROR(G17/F17, 0)</f>
        <v>-0.30542210093866645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141" priority="1" operator="lessThanOrEqual">
      <formula>-0.1</formula>
    </cfRule>
    <cfRule type="cellIs" dxfId="114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DA5E-A68F-4554-B17D-D11356F51065}">
  <sheetPr codeName="Sheet57">
    <tabColor rgb="FFFFFF00"/>
  </sheetPr>
  <dimension ref="A1:O20"/>
  <sheetViews>
    <sheetView workbookViewId="0">
      <selection activeCell="C5" sqref="C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6696.25</v>
      </c>
      <c r="C5" s="14">
        <v>0</v>
      </c>
      <c r="D5" s="15">
        <f>B5-C5</f>
        <v>6696.25</v>
      </c>
      <c r="E5" s="16">
        <f t="shared" ref="E5:E16" si="0">IFERROR(D5/C5, 0)</f>
        <v>0</v>
      </c>
      <c r="F5" s="17">
        <v>0</v>
      </c>
      <c r="G5" s="18">
        <f>B5-F5</f>
        <v>6696.25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73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6696.25</v>
      </c>
      <c r="C17" s="38">
        <f t="shared" ref="C17:F17" si="4">SUM(C5:C16)</f>
        <v>0</v>
      </c>
      <c r="D17" s="38">
        <f>B17-C17</f>
        <v>6696.25</v>
      </c>
      <c r="E17" s="39">
        <f>IFERROR(D17/C17, 0)</f>
        <v>0</v>
      </c>
      <c r="F17" s="38">
        <f t="shared" si="4"/>
        <v>0</v>
      </c>
      <c r="G17" s="38">
        <f>B17-F17</f>
        <v>6696.25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125" priority="1" operator="lessThanOrEqual">
      <formula>-0.1</formula>
    </cfRule>
    <cfRule type="cellIs" dxfId="112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AC65-E157-4387-A200-80FE84576740}">
  <sheetPr codeName="Sheet58">
    <tabColor rgb="FFFFFF00"/>
  </sheetPr>
  <dimension ref="A1:O20"/>
  <sheetViews>
    <sheetView workbookViewId="0">
      <selection activeCell="C5" sqref="C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5327.84375</v>
      </c>
      <c r="C5" s="14">
        <v>0</v>
      </c>
      <c r="D5" s="15">
        <f>B5-C5</f>
        <v>5327.84375</v>
      </c>
      <c r="E5" s="16">
        <f t="shared" ref="E5:E16" si="0">IFERROR(D5/C5, 0)</f>
        <v>0</v>
      </c>
      <c r="F5" s="17">
        <v>0</v>
      </c>
      <c r="G5" s="18">
        <f>B5-F5</f>
        <v>5327.84375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5327.84375</v>
      </c>
      <c r="C17" s="38">
        <f t="shared" ref="C17:F17" si="4">SUM(C5:C16)</f>
        <v>0</v>
      </c>
      <c r="D17" s="38">
        <f>B17-C17</f>
        <v>5327.84375</v>
      </c>
      <c r="E17" s="39">
        <f>IFERROR(D17/C17, 0)</f>
        <v>0</v>
      </c>
      <c r="F17" s="38">
        <f t="shared" si="4"/>
        <v>0</v>
      </c>
      <c r="G17" s="38">
        <f>B17-F17</f>
        <v>5327.84375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109" priority="1" operator="lessThanOrEqual">
      <formula>-0.1</formula>
    </cfRule>
    <cfRule type="cellIs" dxfId="110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817F-FE33-45C2-85D2-7D6D730FDC64}">
  <sheetPr codeName="Sheet59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8332.7036999624706</v>
      </c>
      <c r="C5" s="14">
        <v>11815.57</v>
      </c>
      <c r="D5" s="15">
        <f>B5-C5</f>
        <v>-3482.8663000375291</v>
      </c>
      <c r="E5" s="16">
        <f t="shared" ref="E5:E16" si="0">IFERROR(D5/C5, 0)</f>
        <v>-0.29476921553827107</v>
      </c>
      <c r="F5" s="17">
        <v>22550</v>
      </c>
      <c r="G5" s="18">
        <f>B5-F5</f>
        <v>-14217.296300037529</v>
      </c>
      <c r="H5" s="19">
        <f t="shared" ref="H5:H16" si="1">IFERROR(G5/F5, 0)</f>
        <v>-0.63047877162028954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73"/>
      <c r="J14" s="73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3"/>
      <c r="J15" s="73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8332.7036999624706</v>
      </c>
      <c r="C17" s="38">
        <f t="shared" ref="C17:F17" si="4">SUM(C5:C16)</f>
        <v>11815.57</v>
      </c>
      <c r="D17" s="38">
        <f>B17-C17</f>
        <v>-3482.8663000375291</v>
      </c>
      <c r="E17" s="39">
        <f>IFERROR(D17/C17, 0)</f>
        <v>-0.29476921553827107</v>
      </c>
      <c r="F17" s="38">
        <f t="shared" si="4"/>
        <v>22550</v>
      </c>
      <c r="G17" s="38">
        <f>B17-F17</f>
        <v>-14217.296300037529</v>
      </c>
      <c r="H17" s="40">
        <f>IFERROR(G17/F17, 0)</f>
        <v>-0.63047877162028954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093" priority="1" operator="lessThanOrEqual">
      <formula>-0.1</formula>
    </cfRule>
    <cfRule type="cellIs" dxfId="109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9677-BA63-4F7B-9D0C-5FF12132B480}">
  <sheetPr>
    <tabColor rgb="FFFFFF00"/>
  </sheetPr>
  <dimension ref="A1:O20"/>
  <sheetViews>
    <sheetView workbookViewId="0">
      <selection activeCell="I33" sqref="I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3985</v>
      </c>
      <c r="C5" s="14">
        <v>5753</v>
      </c>
      <c r="D5" s="15">
        <f>B5-C5</f>
        <v>-1768</v>
      </c>
      <c r="E5" s="16">
        <f t="shared" ref="E5:E16" si="0">IFERROR(D5/C5, 0)</f>
        <v>-0.3073179210846515</v>
      </c>
      <c r="F5" s="17">
        <v>9034</v>
      </c>
      <c r="G5" s="18">
        <f>B5-F5</f>
        <v>-5049</v>
      </c>
      <c r="H5" s="19">
        <f t="shared" ref="H5:H16" si="1">IFERROR(G5/F5, 0)</f>
        <v>-0.55888864290458273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3985</v>
      </c>
      <c r="C17" s="38">
        <f>SUM(C5:C16)</f>
        <v>5753</v>
      </c>
      <c r="D17" s="38">
        <f>B17-C17</f>
        <v>-1768</v>
      </c>
      <c r="E17" s="39">
        <f>IFERROR(D17/C17, 0)</f>
        <v>-0.3073179210846515</v>
      </c>
      <c r="F17" s="38">
        <f>SUM(F5:F16)</f>
        <v>9034</v>
      </c>
      <c r="G17" s="38">
        <f>B17-F17</f>
        <v>-5049</v>
      </c>
      <c r="H17" s="40">
        <f>IFERROR(G17/F17, 0)</f>
        <v>-0.55888864290458273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077" priority="1" operator="lessThanOrEqual">
      <formula>-0.1</formula>
    </cfRule>
    <cfRule type="cellIs" dxfId="1076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5203-7C9C-4694-B1E2-D47EC342629F}">
  <sheetPr codeName="Sheet60">
    <tabColor rgb="FFFFFF00"/>
  </sheetPr>
  <dimension ref="A1:O20"/>
  <sheetViews>
    <sheetView workbookViewId="0">
      <selection activeCell="A2" sqref="A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5046.3999999999696</v>
      </c>
      <c r="C5" s="14">
        <v>7824.4260000000004</v>
      </c>
      <c r="D5" s="15">
        <f>B5-C5</f>
        <v>-2778.0260000000308</v>
      </c>
      <c r="E5" s="16">
        <f t="shared" ref="E5:E16" si="0">IFERROR(D5/C5, 0)</f>
        <v>-0.35504534134517096</v>
      </c>
      <c r="F5" s="17">
        <v>0</v>
      </c>
      <c r="G5" s="18">
        <f>B5-F5</f>
        <v>5046.3999999999696</v>
      </c>
      <c r="H5" s="19">
        <f t="shared" ref="H5:H16" si="1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5046.3999999999696</v>
      </c>
      <c r="C17" s="38">
        <f>SUM(C5:C16)</f>
        <v>7824.4260000000004</v>
      </c>
      <c r="D17" s="38">
        <f>B17-C17</f>
        <v>-2778.0260000000308</v>
      </c>
      <c r="E17" s="39">
        <f>IFERROR(D17/C17, 0)</f>
        <v>-0.35504534134517096</v>
      </c>
      <c r="F17" s="38">
        <f>SUM(F5:F16)</f>
        <v>0</v>
      </c>
      <c r="G17" s="38">
        <f>B17-F17</f>
        <v>5046.3999999999696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061" priority="1" operator="lessThanOrEqual">
      <formula>-0.1</formula>
    </cfRule>
    <cfRule type="cellIs" dxfId="106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D45C-9D36-478B-A48F-4067C531F3AA}">
  <sheetPr codeName="Sheet61">
    <tabColor rgb="FF00B0F0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2.75">
      <c r="A5" s="13" t="s">
        <v>274</v>
      </c>
      <c r="B5" s="14">
        <v>286090</v>
      </c>
      <c r="C5" s="14">
        <v>414785.1</v>
      </c>
      <c r="D5" s="15">
        <f>B5-C5</f>
        <v>-128695.09999999998</v>
      </c>
      <c r="E5" s="16">
        <f t="shared" ref="E5:E16" si="0">IFERROR(D5/C5, 0)</f>
        <v>-0.31026934188330291</v>
      </c>
      <c r="F5" s="17">
        <v>533246.5</v>
      </c>
      <c r="G5" s="18">
        <f>B5-F5</f>
        <v>-247156.5</v>
      </c>
      <c r="H5" s="19">
        <f t="shared" ref="H5:H16" si="1">IFERROR(G5/F5, 0)</f>
        <v>-0.46349390010061015</v>
      </c>
      <c r="I5" s="26" t="s">
        <v>317</v>
      </c>
      <c r="J5" s="26" t="s">
        <v>318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22"/>
      <c r="J16" s="122"/>
    </row>
    <row r="17" spans="1:15" ht="13.15" customHeight="1">
      <c r="A17" s="37" t="s">
        <v>286</v>
      </c>
      <c r="B17" s="38">
        <f>SUM(B5:B16)</f>
        <v>286090</v>
      </c>
      <c r="C17" s="38">
        <f t="shared" ref="C17:F17" si="4">SUM(C5:C16)</f>
        <v>414785.1</v>
      </c>
      <c r="D17" s="38">
        <f>B17-C17</f>
        <v>-128695.09999999998</v>
      </c>
      <c r="E17" s="39">
        <f>IFERROR(D17/C17, 0)</f>
        <v>-0.31026934188330291</v>
      </c>
      <c r="F17" s="38">
        <f t="shared" si="4"/>
        <v>533246.5</v>
      </c>
      <c r="G17" s="38">
        <f>B17-F17</f>
        <v>-247156.5</v>
      </c>
      <c r="H17" s="40">
        <f>IFERROR(G17/F17, 0)</f>
        <v>-0.46349390010061015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045" priority="1" operator="lessThanOrEqual">
      <formula>-0.1</formula>
    </cfRule>
    <cfRule type="cellIs" dxfId="104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40A6-BD9C-4D3D-8F9D-D8CC8B3549B5}">
  <sheetPr codeName="Sheet62">
    <tabColor rgb="FF00B0F0"/>
  </sheetPr>
  <dimension ref="A1:O20"/>
  <sheetViews>
    <sheetView workbookViewId="0">
      <selection activeCell="I26" sqref="I2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153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283485</v>
      </c>
      <c r="C5" s="14">
        <v>410301.4</v>
      </c>
      <c r="D5" s="15">
        <f>B5-C5</f>
        <v>-126816.40000000002</v>
      </c>
      <c r="E5" s="16">
        <f t="shared" ref="E5:E16" si="0">IFERROR(D5/C5, 0)</f>
        <v>-0.30908108039602111</v>
      </c>
      <c r="F5" s="17">
        <v>483171.2</v>
      </c>
      <c r="G5" s="18">
        <f>B5-F5</f>
        <v>-199686.2</v>
      </c>
      <c r="H5" s="19">
        <f t="shared" ref="H5:H16" si="1">IFERROR(G5/F5, 0)</f>
        <v>-0.41328249697001812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9"/>
      <c r="J16" s="119"/>
    </row>
    <row r="17" spans="1:15" ht="13.15" customHeight="1">
      <c r="A17" s="37" t="s">
        <v>286</v>
      </c>
      <c r="B17" s="38">
        <f>SUM(B5:B16)</f>
        <v>283485</v>
      </c>
      <c r="C17" s="38">
        <f t="shared" ref="C17:F17" si="4">SUM(C5:C16)</f>
        <v>410301.4</v>
      </c>
      <c r="D17" s="38">
        <f>B17-C17</f>
        <v>-126816.40000000002</v>
      </c>
      <c r="E17" s="39">
        <f>IFERROR(D17/C17, 0)</f>
        <v>-0.30908108039602111</v>
      </c>
      <c r="F17" s="38">
        <f t="shared" si="4"/>
        <v>483171.2</v>
      </c>
      <c r="G17" s="38">
        <f>B17-F17</f>
        <v>-199686.2</v>
      </c>
      <c r="H17" s="40">
        <f>IFERROR(G17/F17, 0)</f>
        <v>-0.41328249697001812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029" priority="1" operator="lessThanOrEqual">
      <formula>-0.1</formula>
    </cfRule>
    <cfRule type="cellIs" dxfId="102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A9A1-726C-4628-88B0-15422D143A38}">
  <sheetPr codeName="Sheet95">
    <tabColor theme="9" tint="0.79998168889431442"/>
  </sheetPr>
  <dimension ref="A1:O20"/>
  <sheetViews>
    <sheetView workbookViewId="0">
      <selection activeCell="B5" sqref="B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154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84">
        <v>33560</v>
      </c>
      <c r="C5" s="84">
        <v>0</v>
      </c>
      <c r="D5" s="85">
        <f t="shared" ref="D5:D16" si="0">B5-C5</f>
        <v>33560</v>
      </c>
      <c r="E5" s="86">
        <f t="shared" ref="E5:E16" si="1">IFERROR(D5/C5, 0)</f>
        <v>0</v>
      </c>
      <c r="F5" s="87">
        <v>220064.68</v>
      </c>
      <c r="G5" s="88">
        <f>B5-F5</f>
        <v>-186504.68</v>
      </c>
      <c r="H5" s="89">
        <f t="shared" ref="H5:H16" si="2">IFERROR(G5/F5, 0)</f>
        <v>-0.84749938063663832</v>
      </c>
      <c r="I5" s="90"/>
      <c r="J5" s="20" t="s">
        <v>46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 t="s">
        <v>46</v>
      </c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90"/>
      <c r="J13" s="20"/>
    </row>
    <row r="14" spans="1:15" ht="13.15" customHeight="1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96"/>
      <c r="C15" s="96"/>
      <c r="D15" s="85">
        <f t="shared" si="0"/>
        <v>0</v>
      </c>
      <c r="E15" s="91">
        <f t="shared" si="1"/>
        <v>0</v>
      </c>
      <c r="F15" s="97"/>
      <c r="G15" s="88">
        <f t="shared" si="3"/>
        <v>0</v>
      </c>
      <c r="H15" s="89">
        <f t="shared" si="2"/>
        <v>0</v>
      </c>
      <c r="I15" s="90"/>
      <c r="J15" s="20" t="s">
        <v>46</v>
      </c>
    </row>
    <row r="16" spans="1:15" ht="13.1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03"/>
      <c r="J16" s="36" t="s">
        <v>46</v>
      </c>
    </row>
    <row r="17" spans="1:15" ht="13.15" customHeight="1">
      <c r="A17" s="37" t="s">
        <v>286</v>
      </c>
      <c r="B17" s="38">
        <f>SUM(B5:B16)</f>
        <v>33560</v>
      </c>
      <c r="C17" s="38">
        <f t="shared" ref="C17:F17" si="4">SUM(C5:C16)</f>
        <v>0</v>
      </c>
      <c r="D17" s="38">
        <f>B17-C17</f>
        <v>33560</v>
      </c>
      <c r="E17" s="39">
        <f>IFERROR(D17/C17, 0)</f>
        <v>0</v>
      </c>
      <c r="F17" s="38">
        <f t="shared" si="4"/>
        <v>220064.68</v>
      </c>
      <c r="G17" s="38">
        <f>B17-F17</f>
        <v>-186504.68</v>
      </c>
      <c r="H17" s="40">
        <f>IFERROR(G17/F17, 0)</f>
        <v>-0.84749938063663832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013" priority="1" operator="lessThanOrEqual">
      <formula>-0.1</formula>
    </cfRule>
    <cfRule type="cellIs" dxfId="1012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45B4-C011-438D-85BD-D3D4EB475C4A}">
  <sheetPr codeName="Sheet74">
    <tabColor theme="9" tint="0.79998168889431442"/>
  </sheetPr>
  <dimension ref="A1:O20"/>
  <sheetViews>
    <sheetView workbookViewId="0">
      <selection activeCell="I25" sqref="I2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159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30.75" customHeight="1">
      <c r="A5" s="13" t="s">
        <v>274</v>
      </c>
      <c r="B5" s="84">
        <v>39040</v>
      </c>
      <c r="C5" s="84">
        <v>0</v>
      </c>
      <c r="D5" s="85">
        <f t="shared" ref="D5:D16" si="0">B5-C5</f>
        <v>39040</v>
      </c>
      <c r="E5" s="86">
        <f t="shared" ref="E5:E16" si="1">IFERROR(D5/C5, 0)</f>
        <v>0</v>
      </c>
      <c r="F5" s="87">
        <v>209445.59</v>
      </c>
      <c r="G5" s="88">
        <f>B5-F5</f>
        <v>-170405.59</v>
      </c>
      <c r="H5" s="89">
        <f t="shared" ref="H5:H16" si="2">IFERROR(G5/F5, 0)</f>
        <v>-0.81360314151279101</v>
      </c>
      <c r="I5" s="95" t="s">
        <v>319</v>
      </c>
      <c r="J5" s="26" t="s">
        <v>320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 t="s">
        <v>46</v>
      </c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90"/>
      <c r="J13" s="20"/>
    </row>
    <row r="14" spans="1:15" ht="13.15" customHeight="1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96"/>
      <c r="C15" s="96"/>
      <c r="D15" s="85">
        <f t="shared" si="0"/>
        <v>0</v>
      </c>
      <c r="E15" s="91">
        <f t="shared" si="1"/>
        <v>0</v>
      </c>
      <c r="F15" s="97"/>
      <c r="G15" s="88">
        <f t="shared" si="3"/>
        <v>0</v>
      </c>
      <c r="H15" s="89">
        <f t="shared" si="2"/>
        <v>0</v>
      </c>
      <c r="I15" s="90"/>
      <c r="J15" s="20"/>
    </row>
    <row r="16" spans="1:15" ht="29.2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21"/>
      <c r="J16" s="122"/>
    </row>
    <row r="17" spans="1:15" ht="13.15" customHeight="1">
      <c r="A17" s="37" t="s">
        <v>286</v>
      </c>
      <c r="B17" s="38">
        <f>SUM(B5:B16)</f>
        <v>39040</v>
      </c>
      <c r="C17" s="38">
        <f t="shared" ref="C17:F17" si="4">SUM(C5:C16)</f>
        <v>0</v>
      </c>
      <c r="D17" s="38">
        <f>B17-C17</f>
        <v>39040</v>
      </c>
      <c r="E17" s="39">
        <f>IFERROR(D17/C17, 0)</f>
        <v>0</v>
      </c>
      <c r="F17" s="38">
        <f t="shared" si="4"/>
        <v>209445.59</v>
      </c>
      <c r="G17" s="38">
        <f>B17-F17</f>
        <v>-170405.59</v>
      </c>
      <c r="H17" s="40">
        <f>IFERROR(G17/F17, 0)</f>
        <v>-0.81360314151279101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997" priority="1" operator="lessThanOrEqual">
      <formula>-0.1</formula>
    </cfRule>
    <cfRule type="cellIs" dxfId="99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714C-8547-4B34-83EC-78337AEDAB2F}">
  <sheetPr codeName="Sheet75">
    <tabColor theme="9" tint="0.79998168889431442"/>
  </sheetPr>
  <dimension ref="A1:O20"/>
  <sheetViews>
    <sheetView workbookViewId="0">
      <selection activeCell="I27" sqref="I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162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84">
        <v>35247</v>
      </c>
      <c r="C5" s="84">
        <v>0</v>
      </c>
      <c r="D5" s="85">
        <f t="shared" ref="D5:D16" si="0">B5-C5</f>
        <v>35247</v>
      </c>
      <c r="E5" s="86">
        <f t="shared" ref="E5:E16" si="1">IFERROR(D5/C5, 0)</f>
        <v>0</v>
      </c>
      <c r="F5" s="87">
        <v>194874.12</v>
      </c>
      <c r="G5" s="88">
        <f>B5-F5</f>
        <v>-159627.12</v>
      </c>
      <c r="H5" s="89">
        <f t="shared" ref="H5:H16" si="2">IFERROR(G5/F5, 0)</f>
        <v>-0.81912939491400905</v>
      </c>
      <c r="I5" s="90"/>
      <c r="J5" s="20" t="s">
        <v>46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 t="s">
        <v>46</v>
      </c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90"/>
      <c r="J13" s="20"/>
    </row>
    <row r="14" spans="1:15" ht="13.15" customHeight="1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96"/>
      <c r="C15" s="96"/>
      <c r="D15" s="85">
        <f t="shared" si="0"/>
        <v>0</v>
      </c>
      <c r="E15" s="91">
        <f t="shared" si="1"/>
        <v>0</v>
      </c>
      <c r="F15" s="97"/>
      <c r="G15" s="88">
        <f t="shared" si="3"/>
        <v>0</v>
      </c>
      <c r="H15" s="89">
        <f t="shared" si="2"/>
        <v>0</v>
      </c>
      <c r="I15" s="90"/>
      <c r="J15" s="20"/>
    </row>
    <row r="16" spans="1:15" ht="29.2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23"/>
      <c r="J16" s="108"/>
    </row>
    <row r="17" spans="1:15" ht="13.15" customHeight="1">
      <c r="A17" s="37" t="s">
        <v>286</v>
      </c>
      <c r="B17" s="38">
        <f>SUM(B5:B16)</f>
        <v>35247</v>
      </c>
      <c r="C17" s="38">
        <f t="shared" ref="C17:F17" si="4">SUM(C5:C16)</f>
        <v>0</v>
      </c>
      <c r="D17" s="38">
        <f>B17-C17</f>
        <v>35247</v>
      </c>
      <c r="E17" s="39">
        <f>IFERROR(D17/C17, 0)</f>
        <v>0</v>
      </c>
      <c r="F17" s="38">
        <f t="shared" si="4"/>
        <v>194874.12</v>
      </c>
      <c r="G17" s="38">
        <f>B17-F17</f>
        <v>-159627.12</v>
      </c>
      <c r="H17" s="40">
        <f>IFERROR(G17/F17, 0)</f>
        <v>-0.81912939491400905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981" priority="1" operator="lessThanOrEqual">
      <formula>-0.1</formula>
    </cfRule>
    <cfRule type="cellIs" dxfId="98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03E2-F7B4-41C7-A0F7-2DC6AF9E7E5E}">
  <sheetPr codeName="Sheet76">
    <tabColor theme="9" tint="0.79998168889431442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164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84">
        <v>43312</v>
      </c>
      <c r="C5" s="84">
        <v>0</v>
      </c>
      <c r="D5" s="85">
        <f t="shared" ref="D5:D16" si="0">B5-C5</f>
        <v>43312</v>
      </c>
      <c r="E5" s="86">
        <f t="shared" ref="E5:E16" si="1">IFERROR(D5/C5, 0)</f>
        <v>0</v>
      </c>
      <c r="F5" s="87">
        <v>223309.11</v>
      </c>
      <c r="G5" s="88">
        <f>B5-F5</f>
        <v>-179997.11</v>
      </c>
      <c r="H5" s="89">
        <f t="shared" ref="H5:H16" si="2">IFERROR(G5/F5, 0)</f>
        <v>-0.80604463472179888</v>
      </c>
      <c r="I5" s="95" t="s">
        <v>321</v>
      </c>
      <c r="J5" s="26" t="s">
        <v>322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/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90"/>
      <c r="J13" s="20"/>
    </row>
    <row r="14" spans="1:15" ht="13.15" customHeight="1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96"/>
      <c r="C15" s="96"/>
      <c r="D15" s="85">
        <f t="shared" si="0"/>
        <v>0</v>
      </c>
      <c r="E15" s="91">
        <f t="shared" si="1"/>
        <v>0</v>
      </c>
      <c r="F15" s="97"/>
      <c r="G15" s="88">
        <f t="shared" si="3"/>
        <v>0</v>
      </c>
      <c r="H15" s="89">
        <f t="shared" si="2"/>
        <v>0</v>
      </c>
      <c r="I15" s="90"/>
      <c r="J15" s="20"/>
    </row>
    <row r="16" spans="1:15" ht="13.1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20"/>
      <c r="J16" s="119"/>
    </row>
    <row r="17" spans="1:15" ht="13.15" customHeight="1">
      <c r="A17" s="37" t="s">
        <v>286</v>
      </c>
      <c r="B17" s="38">
        <f>SUM(B5:B16)</f>
        <v>43312</v>
      </c>
      <c r="C17" s="38">
        <f t="shared" ref="C17:F17" si="4">SUM(C5:C16)</f>
        <v>0</v>
      </c>
      <c r="D17" s="38">
        <f>B17-C17</f>
        <v>43312</v>
      </c>
      <c r="E17" s="39">
        <f>IFERROR(D17/C17, 0)</f>
        <v>0</v>
      </c>
      <c r="F17" s="38">
        <f t="shared" si="4"/>
        <v>223309.11</v>
      </c>
      <c r="G17" s="38">
        <f>B17-F17</f>
        <v>-179997.11</v>
      </c>
      <c r="H17" s="40">
        <f>IFERROR(G17/F17, 0)</f>
        <v>-0.80604463472179888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965" priority="1" operator="lessThanOrEqual">
      <formula>-0.1</formula>
    </cfRule>
    <cfRule type="cellIs" dxfId="96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4E56-C7DF-4617-BE8E-F0AA6AB03404}">
  <sheetPr codeName="Sheet96">
    <tabColor theme="9" tint="0.59999389629810485"/>
  </sheetPr>
  <dimension ref="A1:O20"/>
  <sheetViews>
    <sheetView workbookViewId="0">
      <selection activeCell="G32" sqref="G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165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84">
        <v>72810</v>
      </c>
      <c r="C5" s="84">
        <v>97923.36</v>
      </c>
      <c r="D5" s="85">
        <f t="shared" ref="D5:D16" si="0">B5-C5</f>
        <v>-25113.360000000001</v>
      </c>
      <c r="E5" s="86">
        <f t="shared" ref="E5:E16" si="1">IFERROR(D5/C5, 0)</f>
        <v>-0.25645933717960656</v>
      </c>
      <c r="F5" s="87">
        <v>111632.62</v>
      </c>
      <c r="G5" s="88">
        <f>B5-F5</f>
        <v>-38822.619999999995</v>
      </c>
      <c r="H5" s="89">
        <f t="shared" ref="H5:H16" si="2">IFERROR(G5/F5, 0)</f>
        <v>-0.34777128763975973</v>
      </c>
      <c r="I5" s="90"/>
      <c r="J5" s="20" t="s">
        <v>46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 t="s">
        <v>46</v>
      </c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104"/>
      <c r="J13" s="73"/>
    </row>
    <row r="14" spans="1:15" ht="13.15" customHeight="1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96"/>
      <c r="C15" s="106"/>
      <c r="D15" s="85">
        <f t="shared" si="0"/>
        <v>0</v>
      </c>
      <c r="E15" s="91">
        <f t="shared" si="1"/>
        <v>0</v>
      </c>
      <c r="F15" s="107"/>
      <c r="G15" s="88">
        <f t="shared" si="3"/>
        <v>0</v>
      </c>
      <c r="H15" s="89">
        <f t="shared" si="2"/>
        <v>0</v>
      </c>
      <c r="I15" s="90"/>
      <c r="J15" s="20" t="s">
        <v>46</v>
      </c>
    </row>
    <row r="16" spans="1:15" ht="13.1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03"/>
      <c r="J16" s="36" t="s">
        <v>46</v>
      </c>
    </row>
    <row r="17" spans="1:15" ht="13.15" customHeight="1">
      <c r="A17" s="37" t="s">
        <v>286</v>
      </c>
      <c r="B17" s="38">
        <f>SUM(B5:B16)</f>
        <v>72810</v>
      </c>
      <c r="C17" s="38">
        <f t="shared" ref="C17:F17" si="4">SUM(C5:C16)</f>
        <v>97923.36</v>
      </c>
      <c r="D17" s="38">
        <f>B17-C17</f>
        <v>-25113.360000000001</v>
      </c>
      <c r="E17" s="39">
        <f>IFERROR(D17/C17, 0)</f>
        <v>-0.25645933717960656</v>
      </c>
      <c r="F17" s="38">
        <f t="shared" si="4"/>
        <v>111632.62</v>
      </c>
      <c r="G17" s="38">
        <f>B17-F17</f>
        <v>-38822.619999999995</v>
      </c>
      <c r="H17" s="40">
        <f>IFERROR(G17/F17, 0)</f>
        <v>-0.34777128763975973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949" priority="1" operator="lessThanOrEqual">
      <formula>-0.1</formula>
    </cfRule>
    <cfRule type="cellIs" dxfId="94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D879-42E0-487E-B6EB-BC43768829CC}">
  <sheetPr codeName="Sheet97">
    <tabColor theme="9" tint="0.59999389629810485"/>
  </sheetPr>
  <dimension ref="A1:O20"/>
  <sheetViews>
    <sheetView workbookViewId="0">
      <selection activeCell="E23" sqref="E2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5.85546875" customWidth="1"/>
    <col min="10" max="10" width="21.42578125" customWidth="1"/>
  </cols>
  <sheetData>
    <row r="1" spans="1:15" ht="25.15">
      <c r="A1" s="177" t="s">
        <v>167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84">
        <v>8879</v>
      </c>
      <c r="C5" s="84">
        <v>74159.11</v>
      </c>
      <c r="D5" s="85">
        <f t="shared" ref="D5:D16" si="0">B5-C5</f>
        <v>-65280.11</v>
      </c>
      <c r="E5" s="86">
        <f t="shared" ref="E5:E16" si="1">IFERROR(D5/C5, 0)</f>
        <v>-0.88027094715672827</v>
      </c>
      <c r="F5" s="87">
        <v>118883.5</v>
      </c>
      <c r="G5" s="88">
        <f>B5-F5</f>
        <v>-110004.5</v>
      </c>
      <c r="H5" s="89">
        <f t="shared" ref="H5:H16" si="2">IFERROR(G5/F5, 0)</f>
        <v>-0.92531343710439207</v>
      </c>
      <c r="I5" s="152" t="s">
        <v>323</v>
      </c>
      <c r="J5" s="151" t="s">
        <v>324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 t="s">
        <v>46</v>
      </c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104"/>
      <c r="J13" s="73"/>
    </row>
    <row r="14" spans="1:15" ht="13.15" customHeight="1">
      <c r="A14" s="21" t="s">
        <v>283</v>
      </c>
      <c r="B14" s="154"/>
      <c r="C14" s="154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155"/>
      <c r="C15" s="155"/>
      <c r="D15" s="85">
        <f t="shared" si="0"/>
        <v>0</v>
      </c>
      <c r="E15" s="91">
        <f t="shared" si="1"/>
        <v>0</v>
      </c>
      <c r="F15" s="107"/>
      <c r="G15" s="88">
        <f t="shared" si="3"/>
        <v>0</v>
      </c>
      <c r="H15" s="89">
        <f t="shared" si="2"/>
        <v>0</v>
      </c>
      <c r="I15" s="105"/>
      <c r="J15" s="76"/>
    </row>
    <row r="16" spans="1:15" ht="13.1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05"/>
      <c r="J16" s="119"/>
    </row>
    <row r="17" spans="1:15" ht="13.15" customHeight="1">
      <c r="A17" s="37" t="s">
        <v>286</v>
      </c>
      <c r="B17" s="38">
        <f>SUM(B5:B16)</f>
        <v>8879</v>
      </c>
      <c r="C17" s="38">
        <f t="shared" ref="C17:F17" si="4">SUM(C5:C16)</f>
        <v>74159.11</v>
      </c>
      <c r="D17" s="38">
        <f>B17-C17</f>
        <v>-65280.11</v>
      </c>
      <c r="E17" s="39">
        <f>IFERROR(D17/C17, 0)</f>
        <v>-0.88027094715672827</v>
      </c>
      <c r="F17" s="38">
        <f t="shared" si="4"/>
        <v>118883.5</v>
      </c>
      <c r="G17" s="38">
        <f>B17-F17</f>
        <v>-110004.5</v>
      </c>
      <c r="H17" s="40">
        <f>IFERROR(G17/F17, 0)</f>
        <v>-0.92531343710439207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933" priority="1" operator="lessThanOrEqual">
      <formula>-0.1</formula>
    </cfRule>
    <cfRule type="cellIs" dxfId="93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FBEE-F9A5-489B-81DA-0740B3DD80D4}">
  <sheetPr codeName="Sheet98">
    <tabColor theme="9" tint="0.59999389629810485"/>
  </sheetPr>
  <dimension ref="A1:O20"/>
  <sheetViews>
    <sheetView workbookViewId="0">
      <selection activeCell="G14" sqref="G1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2.42578125" customWidth="1"/>
    <col min="10" max="10" width="21.42578125" customWidth="1"/>
  </cols>
  <sheetData>
    <row r="1" spans="1:15" ht="25.15">
      <c r="A1" s="177" t="s">
        <v>168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30" customHeight="1">
      <c r="A5" s="13" t="s">
        <v>274</v>
      </c>
      <c r="B5" s="84">
        <v>67057</v>
      </c>
      <c r="C5" s="84">
        <v>110773.82</v>
      </c>
      <c r="D5" s="85">
        <f t="shared" ref="D5:D16" si="0">B5-C5</f>
        <v>-43716.820000000007</v>
      </c>
      <c r="E5" s="86">
        <f t="shared" ref="E5:E16" si="1">IFERROR(D5/C5, 0)</f>
        <v>-0.39464938556781742</v>
      </c>
      <c r="F5" s="87">
        <v>115878.35</v>
      </c>
      <c r="G5" s="88">
        <f>B5-F5</f>
        <v>-48821.350000000006</v>
      </c>
      <c r="H5" s="89">
        <f t="shared" ref="H5:H16" si="2">IFERROR(G5/F5, 0)</f>
        <v>-0.42131554341255295</v>
      </c>
      <c r="I5" s="95" t="s">
        <v>325</v>
      </c>
      <c r="J5" s="26" t="s">
        <v>326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 t="s">
        <v>46</v>
      </c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104"/>
      <c r="J13" s="73"/>
    </row>
    <row r="14" spans="1:15" ht="13.15" customHeight="1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153"/>
      <c r="C15" s="153"/>
      <c r="D15" s="85">
        <f t="shared" si="0"/>
        <v>0</v>
      </c>
      <c r="E15" s="91">
        <f t="shared" si="1"/>
        <v>0</v>
      </c>
      <c r="F15" s="107"/>
      <c r="G15" s="88">
        <f t="shared" si="3"/>
        <v>0</v>
      </c>
      <c r="H15" s="89">
        <f t="shared" si="2"/>
        <v>0</v>
      </c>
      <c r="I15" s="90"/>
      <c r="J15" s="20"/>
    </row>
    <row r="16" spans="1:15" ht="13.1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20"/>
      <c r="J16" s="119"/>
    </row>
    <row r="17" spans="1:15" ht="13.15" customHeight="1">
      <c r="A17" s="37" t="s">
        <v>286</v>
      </c>
      <c r="B17" s="38">
        <f>SUM(B5:B16)</f>
        <v>67057</v>
      </c>
      <c r="C17" s="38">
        <f t="shared" ref="C17:F17" si="4">SUM(C5:C16)</f>
        <v>110773.82</v>
      </c>
      <c r="D17" s="38">
        <f>B17-C17</f>
        <v>-43716.820000000007</v>
      </c>
      <c r="E17" s="39">
        <f>IFERROR(D17/C17, 0)</f>
        <v>-0.39464938556781742</v>
      </c>
      <c r="F17" s="38">
        <f t="shared" si="4"/>
        <v>115878.35</v>
      </c>
      <c r="G17" s="38">
        <f>B17-F17</f>
        <v>-48821.350000000006</v>
      </c>
      <c r="H17" s="40">
        <f>IFERROR(G17/F17, 0)</f>
        <v>-0.42131554341255295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917" priority="1" operator="lessThanOrEqual">
      <formula>-0.1</formula>
    </cfRule>
    <cfRule type="cellIs" dxfId="91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CFE6-8FE0-4F08-ABF8-4752CA06D849}">
  <sheetPr codeName="Sheet99">
    <tabColor theme="9" tint="0.59999389629810485"/>
  </sheetPr>
  <dimension ref="A1:O20"/>
  <sheetViews>
    <sheetView workbookViewId="0">
      <selection activeCell="I26" sqref="I2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169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84">
        <v>55740</v>
      </c>
      <c r="C5" s="84">
        <v>109395.46</v>
      </c>
      <c r="D5" s="85">
        <f t="shared" ref="D5:D16" si="0">B5-C5</f>
        <v>-53655.460000000006</v>
      </c>
      <c r="E5" s="86">
        <f t="shared" ref="E5:E16" si="1">IFERROR(D5/C5, 0)</f>
        <v>-0.49047245653521637</v>
      </c>
      <c r="F5" s="87">
        <v>107420.17</v>
      </c>
      <c r="G5" s="88">
        <f>B5-F5</f>
        <v>-51680.17</v>
      </c>
      <c r="H5" s="89">
        <f t="shared" ref="H5:H16" si="2">IFERROR(G5/F5, 0)</f>
        <v>-0.4811030367946727</v>
      </c>
      <c r="I5" s="148" t="s">
        <v>327</v>
      </c>
      <c r="J5" s="27" t="s">
        <v>328</v>
      </c>
      <c r="O5" s="4"/>
    </row>
    <row r="6" spans="1:15" ht="13.15" customHeight="1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3.15" customHeight="1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3.15" customHeight="1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3.15" customHeight="1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3.15" customHeight="1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3.15" customHeight="1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/>
    </row>
    <row r="12" spans="1:15" ht="13.15" customHeight="1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3.15" customHeight="1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104"/>
      <c r="J13" s="73"/>
    </row>
    <row r="14" spans="1:15" ht="13.15" customHeight="1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3.15" customHeight="1">
      <c r="A15" s="21" t="s">
        <v>284</v>
      </c>
      <c r="B15" s="106"/>
      <c r="C15" s="106"/>
      <c r="D15" s="85">
        <f t="shared" si="0"/>
        <v>0</v>
      </c>
      <c r="E15" s="91">
        <f t="shared" si="1"/>
        <v>0</v>
      </c>
      <c r="F15" s="107"/>
      <c r="G15" s="88">
        <f t="shared" si="3"/>
        <v>0</v>
      </c>
      <c r="H15" s="89">
        <f t="shared" si="2"/>
        <v>0</v>
      </c>
      <c r="I15" s="90"/>
      <c r="J15" s="20"/>
    </row>
    <row r="16" spans="1:15" ht="13.15" customHeight="1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20"/>
      <c r="J16" s="119"/>
    </row>
    <row r="17" spans="1:15" ht="13.15" customHeight="1">
      <c r="A17" s="37" t="s">
        <v>286</v>
      </c>
      <c r="B17" s="38">
        <f>SUM(B5:B16)</f>
        <v>55740</v>
      </c>
      <c r="C17" s="38">
        <f t="shared" ref="C17:F17" si="4">SUM(C5:C16)</f>
        <v>109395.46</v>
      </c>
      <c r="D17" s="38">
        <f>B17-C17</f>
        <v>-53655.460000000006</v>
      </c>
      <c r="E17" s="39">
        <f>IFERROR(D17/C17, 0)</f>
        <v>-0.49047245653521637</v>
      </c>
      <c r="F17" s="38">
        <f t="shared" si="4"/>
        <v>107420.17</v>
      </c>
      <c r="G17" s="38">
        <f>B17-F17</f>
        <v>-51680.17</v>
      </c>
      <c r="H17" s="40">
        <f>IFERROR(G17/F17, 0)</f>
        <v>-0.4811030367946727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901" priority="1" operator="lessThanOrEqual">
      <formula>-0.1</formula>
    </cfRule>
    <cfRule type="cellIs" dxfId="90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99ED-B57B-4EB6-BF0B-9DF270AEFF86}">
  <sheetPr codeName="Sheet100">
    <tabColor theme="9" tint="0.59999389629810485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170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5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57">
      <c r="A5" s="13" t="s">
        <v>274</v>
      </c>
      <c r="B5" s="84">
        <v>48791</v>
      </c>
      <c r="C5" s="84">
        <v>117227.81</v>
      </c>
      <c r="D5" s="85">
        <f t="shared" ref="D5:D16" si="0">B5-C5</f>
        <v>-68436.81</v>
      </c>
      <c r="E5" s="86">
        <f t="shared" ref="E5:E16" si="1">IFERROR(D5/C5, 0)</f>
        <v>-0.58379329955920867</v>
      </c>
      <c r="F5" s="87">
        <v>130931.08</v>
      </c>
      <c r="G5" s="88">
        <f>B5-F5</f>
        <v>-82140.08</v>
      </c>
      <c r="H5" s="89">
        <f t="shared" ref="H5:H16" si="2">IFERROR(G5/F5, 0)</f>
        <v>-0.6273535664717651</v>
      </c>
      <c r="I5" s="95" t="s">
        <v>329</v>
      </c>
      <c r="J5" s="26" t="s">
        <v>330</v>
      </c>
      <c r="O5" s="4"/>
    </row>
    <row r="6" spans="1:15" ht="14.25">
      <c r="A6" s="21" t="s">
        <v>275</v>
      </c>
      <c r="B6" s="85"/>
      <c r="C6" s="85"/>
      <c r="D6" s="85">
        <f t="shared" si="0"/>
        <v>0</v>
      </c>
      <c r="E6" s="91">
        <f t="shared" si="1"/>
        <v>0</v>
      </c>
      <c r="F6" s="92"/>
      <c r="G6" s="88">
        <f t="shared" ref="G6:G16" si="3">B6-F6</f>
        <v>0</v>
      </c>
      <c r="H6" s="89">
        <f t="shared" si="2"/>
        <v>0</v>
      </c>
      <c r="I6" s="90"/>
      <c r="J6" s="20" t="s">
        <v>46</v>
      </c>
    </row>
    <row r="7" spans="1:15" ht="14.25">
      <c r="A7" s="21" t="s">
        <v>276</v>
      </c>
      <c r="B7" s="85"/>
      <c r="C7" s="85"/>
      <c r="D7" s="85">
        <f t="shared" si="0"/>
        <v>0</v>
      </c>
      <c r="E7" s="91">
        <f t="shared" si="1"/>
        <v>0</v>
      </c>
      <c r="F7" s="93"/>
      <c r="G7" s="88">
        <f t="shared" si="3"/>
        <v>0</v>
      </c>
      <c r="H7" s="89">
        <f t="shared" si="2"/>
        <v>0</v>
      </c>
      <c r="I7" s="94"/>
      <c r="J7" s="25"/>
    </row>
    <row r="8" spans="1:15" ht="14.25">
      <c r="A8" s="21" t="s">
        <v>277</v>
      </c>
      <c r="B8" s="85"/>
      <c r="C8" s="85"/>
      <c r="D8" s="85">
        <f t="shared" si="0"/>
        <v>0</v>
      </c>
      <c r="E8" s="91">
        <f t="shared" si="1"/>
        <v>0</v>
      </c>
      <c r="F8" s="88"/>
      <c r="G8" s="88">
        <f t="shared" si="3"/>
        <v>0</v>
      </c>
      <c r="H8" s="89">
        <f t="shared" si="2"/>
        <v>0</v>
      </c>
      <c r="I8" s="90"/>
      <c r="J8" s="20"/>
    </row>
    <row r="9" spans="1:15" ht="14.25">
      <c r="A9" s="21" t="s">
        <v>278</v>
      </c>
      <c r="B9" s="85"/>
      <c r="C9" s="85"/>
      <c r="D9" s="85">
        <f t="shared" si="0"/>
        <v>0</v>
      </c>
      <c r="E9" s="91">
        <f t="shared" si="1"/>
        <v>0</v>
      </c>
      <c r="F9" s="88"/>
      <c r="G9" s="88">
        <f t="shared" si="3"/>
        <v>0</v>
      </c>
      <c r="H9" s="89">
        <f t="shared" si="2"/>
        <v>0</v>
      </c>
      <c r="I9" s="95"/>
      <c r="J9" s="27"/>
    </row>
    <row r="10" spans="1:15" ht="14.25">
      <c r="A10" s="21" t="s">
        <v>279</v>
      </c>
      <c r="B10" s="96"/>
      <c r="C10" s="96"/>
      <c r="D10" s="85">
        <f t="shared" si="0"/>
        <v>0</v>
      </c>
      <c r="E10" s="91">
        <f t="shared" si="1"/>
        <v>0</v>
      </c>
      <c r="F10" s="97"/>
      <c r="G10" s="88">
        <f t="shared" si="3"/>
        <v>0</v>
      </c>
      <c r="H10" s="89">
        <f t="shared" si="2"/>
        <v>0</v>
      </c>
      <c r="I10" s="90"/>
      <c r="J10" s="20" t="s">
        <v>46</v>
      </c>
    </row>
    <row r="11" spans="1:15" ht="14.25">
      <c r="A11" s="21" t="s">
        <v>280</v>
      </c>
      <c r="B11" s="85"/>
      <c r="C11" s="85"/>
      <c r="D11" s="85">
        <f t="shared" si="0"/>
        <v>0</v>
      </c>
      <c r="E11" s="91">
        <f t="shared" si="1"/>
        <v>0</v>
      </c>
      <c r="F11" s="92"/>
      <c r="G11" s="88">
        <f t="shared" si="3"/>
        <v>0</v>
      </c>
      <c r="H11" s="89">
        <f t="shared" si="2"/>
        <v>0</v>
      </c>
      <c r="I11" s="90"/>
      <c r="J11" s="20" t="s">
        <v>46</v>
      </c>
    </row>
    <row r="12" spans="1:15" ht="14.25">
      <c r="A12" s="21" t="s">
        <v>281</v>
      </c>
      <c r="B12" s="85"/>
      <c r="C12" s="85"/>
      <c r="D12" s="85">
        <f t="shared" si="0"/>
        <v>0</v>
      </c>
      <c r="E12" s="91">
        <f t="shared" si="1"/>
        <v>0</v>
      </c>
      <c r="F12" s="93"/>
      <c r="G12" s="88">
        <f t="shared" si="3"/>
        <v>0</v>
      </c>
      <c r="H12" s="89">
        <f t="shared" si="2"/>
        <v>0</v>
      </c>
      <c r="I12" s="94"/>
      <c r="J12" s="25"/>
    </row>
    <row r="13" spans="1:15" ht="14.25">
      <c r="A13" s="21" t="s">
        <v>282</v>
      </c>
      <c r="B13" s="85"/>
      <c r="C13" s="85"/>
      <c r="D13" s="85">
        <f t="shared" si="0"/>
        <v>0</v>
      </c>
      <c r="E13" s="91">
        <f t="shared" si="1"/>
        <v>0</v>
      </c>
      <c r="F13" s="88"/>
      <c r="G13" s="88">
        <f t="shared" si="3"/>
        <v>0</v>
      </c>
      <c r="H13" s="89">
        <f t="shared" si="2"/>
        <v>0</v>
      </c>
      <c r="I13" s="104"/>
      <c r="J13" s="73"/>
    </row>
    <row r="14" spans="1:15" ht="14.25">
      <c r="A14" s="21" t="s">
        <v>283</v>
      </c>
      <c r="B14" s="85"/>
      <c r="C14" s="85"/>
      <c r="D14" s="85">
        <f t="shared" si="0"/>
        <v>0</v>
      </c>
      <c r="E14" s="91">
        <f t="shared" si="1"/>
        <v>0</v>
      </c>
      <c r="F14" s="88"/>
      <c r="G14" s="88">
        <f t="shared" si="3"/>
        <v>0</v>
      </c>
      <c r="H14" s="89">
        <f t="shared" si="2"/>
        <v>0</v>
      </c>
      <c r="I14" s="95"/>
      <c r="J14" s="27"/>
    </row>
    <row r="15" spans="1:15" ht="14.25">
      <c r="A15" s="21" t="s">
        <v>284</v>
      </c>
      <c r="B15" s="106"/>
      <c r="C15" s="106"/>
      <c r="D15" s="85">
        <f t="shared" si="0"/>
        <v>0</v>
      </c>
      <c r="E15" s="91">
        <f t="shared" si="1"/>
        <v>0</v>
      </c>
      <c r="F15" s="107"/>
      <c r="G15" s="88">
        <f t="shared" si="3"/>
        <v>0</v>
      </c>
      <c r="H15" s="89">
        <f t="shared" si="2"/>
        <v>0</v>
      </c>
      <c r="I15" s="95"/>
      <c r="J15" s="26"/>
    </row>
    <row r="16" spans="1:15" ht="14.25">
      <c r="A16" s="30" t="s">
        <v>285</v>
      </c>
      <c r="B16" s="98"/>
      <c r="C16" s="98"/>
      <c r="D16" s="98">
        <f t="shared" si="0"/>
        <v>0</v>
      </c>
      <c r="E16" s="99">
        <f t="shared" si="1"/>
        <v>0</v>
      </c>
      <c r="F16" s="100"/>
      <c r="G16" s="101">
        <f t="shared" si="3"/>
        <v>0</v>
      </c>
      <c r="H16" s="102">
        <f t="shared" si="2"/>
        <v>0</v>
      </c>
      <c r="I16" s="121"/>
      <c r="J16" s="122"/>
    </row>
    <row r="17" spans="1:15" ht="14.25">
      <c r="A17" s="37" t="s">
        <v>286</v>
      </c>
      <c r="B17" s="38">
        <f>SUM(B5:B16)</f>
        <v>48791</v>
      </c>
      <c r="C17" s="38">
        <f t="shared" ref="C17:F17" si="4">SUM(C5:C16)</f>
        <v>117227.81</v>
      </c>
      <c r="D17" s="38">
        <f>B17-C17</f>
        <v>-68436.81</v>
      </c>
      <c r="E17" s="39">
        <f>IFERROR(D17/C17, 0)</f>
        <v>-0.58379329955920867</v>
      </c>
      <c r="F17" s="38">
        <f t="shared" si="4"/>
        <v>130931.08</v>
      </c>
      <c r="G17" s="38">
        <f>B17-F17</f>
        <v>-82140.08</v>
      </c>
      <c r="H17" s="40">
        <f>IFERROR(G17/F17, 0)</f>
        <v>-0.6273535664717651</v>
      </c>
      <c r="I17" s="41"/>
      <c r="J17" s="41"/>
    </row>
    <row r="18" spans="1:15">
      <c r="F18" s="10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885" priority="1" operator="lessThanOrEqual">
      <formula>-0.1</formula>
    </cfRule>
    <cfRule type="cellIs" dxfId="88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8270-BDC9-4EA8-A3BC-FE6C92F4DB7B}">
  <sheetPr codeName="Sheet101">
    <tabColor theme="9" tint="0.59999389629810485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171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81604</v>
      </c>
      <c r="C5" s="14">
        <v>0</v>
      </c>
      <c r="D5" s="15">
        <f t="shared" ref="D5:D16" si="0">B5-C5</f>
        <v>81604</v>
      </c>
      <c r="E5" s="16">
        <f t="shared" ref="E5:E16" si="1">IFERROR(D5/C5, 0)</f>
        <v>0</v>
      </c>
      <c r="F5" s="17">
        <v>131400.47</v>
      </c>
      <c r="G5" s="18">
        <f>B5-F5</f>
        <v>-49796.47</v>
      </c>
      <c r="H5" s="19">
        <f t="shared" ref="H5:H16" si="2">IFERROR(G5/F5, 0)</f>
        <v>-0.37896721373979864</v>
      </c>
      <c r="I5" s="27" t="s">
        <v>331</v>
      </c>
      <c r="J5" s="27" t="s">
        <v>332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83"/>
      <c r="C15" s="83"/>
      <c r="D15" s="15">
        <f t="shared" si="0"/>
        <v>0</v>
      </c>
      <c r="E15" s="22">
        <f t="shared" si="1"/>
        <v>0</v>
      </c>
      <c r="G15" s="18">
        <f t="shared" si="3"/>
        <v>0</v>
      </c>
      <c r="H15" s="19">
        <f t="shared" si="2"/>
        <v>0</v>
      </c>
      <c r="I15" s="27"/>
      <c r="J15" s="76"/>
    </row>
    <row r="16" spans="1:15" ht="13.15" customHeight="1">
      <c r="A16" s="30" t="s">
        <v>285</v>
      </c>
      <c r="B16" s="31"/>
      <c r="C16" s="31"/>
      <c r="D16" s="31">
        <f t="shared" si="0"/>
        <v>0</v>
      </c>
      <c r="E16" s="32">
        <f t="shared" si="1"/>
        <v>0</v>
      </c>
      <c r="F16" s="33"/>
      <c r="G16" s="34">
        <f t="shared" si="3"/>
        <v>0</v>
      </c>
      <c r="H16" s="35">
        <f t="shared" si="2"/>
        <v>0</v>
      </c>
      <c r="I16" s="119"/>
      <c r="J16" s="119"/>
    </row>
    <row r="17" spans="1:15" ht="13.15" customHeight="1">
      <c r="A17" s="37" t="s">
        <v>286</v>
      </c>
      <c r="B17" s="38">
        <f>SUM(B5:B16)</f>
        <v>81604</v>
      </c>
      <c r="C17" s="38">
        <f t="shared" ref="C17:F17" si="4">SUM(C5:C16)</f>
        <v>0</v>
      </c>
      <c r="D17" s="38">
        <f>B17-C17</f>
        <v>81604</v>
      </c>
      <c r="E17" s="39">
        <f>IFERROR(D17/C17, 0)</f>
        <v>0</v>
      </c>
      <c r="F17" s="38">
        <f t="shared" si="4"/>
        <v>131400.47</v>
      </c>
      <c r="G17" s="38">
        <f>B17-F17</f>
        <v>-49796.47</v>
      </c>
      <c r="H17" s="40">
        <f>IFERROR(G17/F17, 0)</f>
        <v>-0.37896721373979864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869" priority="1" operator="lessThanOrEqual">
      <formula>-0.1</formula>
    </cfRule>
    <cfRule type="cellIs" dxfId="86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2425-73AC-448E-B4BE-5887375E20DB}">
  <sheetPr codeName="Sheet102">
    <tabColor theme="9" tint="0.39997558519241921"/>
  </sheetPr>
  <dimension ref="A1:O20"/>
  <sheetViews>
    <sheetView workbookViewId="0">
      <selection activeCell="G32" sqref="G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172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32655</v>
      </c>
      <c r="C5" s="14">
        <v>0</v>
      </c>
      <c r="D5" s="15">
        <f t="shared" ref="D5:D16" si="0">B5-C5</f>
        <v>32655</v>
      </c>
      <c r="E5" s="16">
        <f t="shared" ref="E5:E16" si="1">IFERROR(D5/C5, 0)</f>
        <v>0</v>
      </c>
      <c r="F5" s="17">
        <v>107924</v>
      </c>
      <c r="G5" s="18">
        <f>B5-F5</f>
        <v>-75269</v>
      </c>
      <c r="H5" s="19">
        <f t="shared" ref="H5:H16" si="2">IFERROR(G5/F5, 0)</f>
        <v>-0.69742596642081467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0"/>
        <v>0</v>
      </c>
      <c r="E16" s="32">
        <f t="shared" si="1"/>
        <v>0</v>
      </c>
      <c r="F16" s="33"/>
      <c r="G16" s="34">
        <f t="shared" si="3"/>
        <v>0</v>
      </c>
      <c r="H16" s="35">
        <f t="shared" si="2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32655</v>
      </c>
      <c r="C17" s="38">
        <f t="shared" ref="C17:F17" si="4">SUM(C5:C16)</f>
        <v>0</v>
      </c>
      <c r="D17" s="38">
        <f>B17-C17</f>
        <v>32655</v>
      </c>
      <c r="E17" s="39">
        <f>IFERROR(D17/C17, 0)</f>
        <v>0</v>
      </c>
      <c r="F17" s="38">
        <f t="shared" si="4"/>
        <v>107924</v>
      </c>
      <c r="G17" s="38">
        <f>B17-F17</f>
        <v>-75269</v>
      </c>
      <c r="H17" s="40">
        <f>IFERROR(G17/F17, 0)</f>
        <v>-0.69742596642081467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853" priority="1" operator="lessThanOrEqual">
      <formula>-0.1</formula>
    </cfRule>
    <cfRule type="cellIs" dxfId="85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7767-571B-4F34-931E-FCE4004C0A23}">
  <sheetPr codeName="Sheet103">
    <tabColor theme="9" tint="0.39997558519241921"/>
  </sheetPr>
  <dimension ref="A1:O20"/>
  <sheetViews>
    <sheetView workbookViewId="0">
      <selection activeCell="I29" sqref="I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5.5703125" customWidth="1"/>
    <col min="10" max="10" width="21.42578125" customWidth="1"/>
  </cols>
  <sheetData>
    <row r="1" spans="1:15" ht="25.15">
      <c r="A1" s="177" t="s">
        <v>174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2.75">
      <c r="A5" s="13" t="s">
        <v>274</v>
      </c>
      <c r="B5" s="14">
        <v>219933</v>
      </c>
      <c r="C5" s="14">
        <v>0</v>
      </c>
      <c r="D5" s="15">
        <f t="shared" ref="D5:D16" si="0">B5-C5</f>
        <v>219933</v>
      </c>
      <c r="E5" s="16">
        <f t="shared" ref="E5:E16" si="1">IFERROR(D5/C5, 0)</f>
        <v>0</v>
      </c>
      <c r="F5" s="17">
        <v>305951</v>
      </c>
      <c r="G5" s="18">
        <f>B5-F5</f>
        <v>-86018</v>
      </c>
      <c r="H5" s="19">
        <f t="shared" ref="H5:H16" si="2">IFERROR(G5/F5, 0)</f>
        <v>-0.2811495958503159</v>
      </c>
      <c r="I5" s="26" t="s">
        <v>333</v>
      </c>
      <c r="J5" s="26" t="s">
        <v>334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0"/>
        <v>0</v>
      </c>
      <c r="E16" s="32">
        <f t="shared" si="1"/>
        <v>0</v>
      </c>
      <c r="F16" s="33"/>
      <c r="G16" s="34">
        <f t="shared" si="3"/>
        <v>0</v>
      </c>
      <c r="H16" s="35">
        <f t="shared" si="2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219933</v>
      </c>
      <c r="C17" s="38">
        <f t="shared" ref="C17:F17" si="4">SUM(C5:C16)</f>
        <v>0</v>
      </c>
      <c r="D17" s="38">
        <f>B17-C17</f>
        <v>219933</v>
      </c>
      <c r="E17" s="39">
        <f>IFERROR(D17/C17, 0)</f>
        <v>0</v>
      </c>
      <c r="F17" s="38">
        <f t="shared" si="4"/>
        <v>305951</v>
      </c>
      <c r="G17" s="38">
        <f>B17-F17</f>
        <v>-86018</v>
      </c>
      <c r="H17" s="40">
        <f>IFERROR(G17/F17, 0)</f>
        <v>-0.2811495958503159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837" priority="1" operator="lessThanOrEqual">
      <formula>-0.1</formula>
    </cfRule>
    <cfRule type="cellIs" dxfId="83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8C54-B5A9-4BBF-8EB5-1F4578BA2A3C}">
  <sheetPr codeName="Sheet104">
    <tabColor theme="9" tint="0.39997558519241921"/>
  </sheetPr>
  <dimension ref="A1:O20"/>
  <sheetViews>
    <sheetView workbookViewId="0">
      <selection activeCell="I20" sqref="I2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105" bestFit="1" customWidth="1"/>
    <col min="10" max="10" width="21.42578125" customWidth="1"/>
  </cols>
  <sheetData>
    <row r="1" spans="1:15" ht="25.15">
      <c r="A1" s="177" t="s">
        <v>175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57">
      <c r="A5" s="13" t="s">
        <v>274</v>
      </c>
      <c r="B5" s="14">
        <v>240973</v>
      </c>
      <c r="C5" s="14">
        <v>0</v>
      </c>
      <c r="D5" s="15">
        <f t="shared" ref="D5:D16" si="0">B5-C5</f>
        <v>240973</v>
      </c>
      <c r="E5" s="16">
        <f t="shared" ref="E5:E16" si="1">IFERROR(D5/C5, 0)</f>
        <v>0</v>
      </c>
      <c r="F5" s="17">
        <v>377147</v>
      </c>
      <c r="G5" s="18">
        <f>B5-F5</f>
        <v>-136174</v>
      </c>
      <c r="H5" s="19">
        <f t="shared" ref="H5:H16" si="2">IFERROR(G5/F5, 0)</f>
        <v>-0.36106345801504452</v>
      </c>
      <c r="I5" s="26" t="s">
        <v>335</v>
      </c>
      <c r="J5" s="26" t="s">
        <v>336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0"/>
        <v>0</v>
      </c>
      <c r="E16" s="32">
        <f t="shared" si="1"/>
        <v>0</v>
      </c>
      <c r="F16" s="33"/>
      <c r="G16" s="34">
        <f t="shared" si="3"/>
        <v>0</v>
      </c>
      <c r="H16" s="35">
        <f t="shared" si="2"/>
        <v>0</v>
      </c>
      <c r="I16" s="36"/>
      <c r="J16" s="36"/>
    </row>
    <row r="17" spans="1:15" ht="13.15" customHeight="1">
      <c r="A17" s="37" t="s">
        <v>286</v>
      </c>
      <c r="B17" s="38">
        <f>SUM(B5:B16)</f>
        <v>240973</v>
      </c>
      <c r="C17" s="38">
        <f t="shared" ref="C17:F17" si="4">SUM(C5:C16)</f>
        <v>0</v>
      </c>
      <c r="D17" s="38">
        <f>B17-C17</f>
        <v>240973</v>
      </c>
      <c r="E17" s="39">
        <f>IFERROR(D17/C17, 0)</f>
        <v>0</v>
      </c>
      <c r="F17" s="38">
        <f t="shared" si="4"/>
        <v>377147</v>
      </c>
      <c r="G17" s="38">
        <f>B17-F17</f>
        <v>-136174</v>
      </c>
      <c r="H17" s="40">
        <f>IFERROR(G17/F17, 0)</f>
        <v>-0.36106345801504452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821" priority="1" operator="lessThanOrEqual">
      <formula>-0.1</formula>
    </cfRule>
    <cfRule type="cellIs" dxfId="82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A5EE-DD93-4243-98B7-90FF3255FDB7}">
  <sheetPr codeName="Sheet105">
    <tabColor theme="9" tint="0.39997558519241921"/>
  </sheetPr>
  <dimension ref="A1:O20"/>
  <sheetViews>
    <sheetView workbookViewId="0">
      <selection activeCell="I22" sqref="I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176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82618</v>
      </c>
      <c r="C5" s="14">
        <v>0</v>
      </c>
      <c r="D5" s="15">
        <f t="shared" ref="D5:D16" si="0">B5-C5</f>
        <v>82618</v>
      </c>
      <c r="E5" s="16">
        <f t="shared" ref="E5:E16" si="1">IFERROR(D5/C5, 0)</f>
        <v>0</v>
      </c>
      <c r="F5" s="17">
        <v>120408</v>
      </c>
      <c r="G5" s="18">
        <f>B5-F5</f>
        <v>-37790</v>
      </c>
      <c r="H5" s="19">
        <f t="shared" ref="H5:H16" si="2">IFERROR(G5/F5, 0)</f>
        <v>-0.31384957810112285</v>
      </c>
      <c r="I5" s="27" t="s">
        <v>337</v>
      </c>
      <c r="J5" s="27" t="s">
        <v>338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0"/>
        <v>0</v>
      </c>
      <c r="E16" s="32">
        <f t="shared" si="1"/>
        <v>0</v>
      </c>
      <c r="F16" s="33"/>
      <c r="G16" s="34">
        <f t="shared" si="3"/>
        <v>0</v>
      </c>
      <c r="H16" s="35">
        <f t="shared" si="2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82618</v>
      </c>
      <c r="C17" s="38">
        <f t="shared" ref="C17:F17" si="4">SUM(C5:C16)</f>
        <v>0</v>
      </c>
      <c r="D17" s="38">
        <f>B17-C17</f>
        <v>82618</v>
      </c>
      <c r="E17" s="39">
        <f>IFERROR(D17/C17, 0)</f>
        <v>0</v>
      </c>
      <c r="F17" s="38">
        <f t="shared" si="4"/>
        <v>120408</v>
      </c>
      <c r="G17" s="38">
        <f>B17-F17</f>
        <v>-37790</v>
      </c>
      <c r="H17" s="40">
        <f>IFERROR(G17/F17, 0)</f>
        <v>-0.31384957810112285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805" priority="1" operator="lessThanOrEqual">
      <formula>-0.1</formula>
    </cfRule>
    <cfRule type="cellIs" dxfId="80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BEB2-0AF2-4325-A9ED-C1721988F080}">
  <sheetPr codeName="Sheet106">
    <tabColor theme="9" tint="0.39997558519241921"/>
  </sheetPr>
  <dimension ref="A1:O24"/>
  <sheetViews>
    <sheetView workbookViewId="0">
      <selection activeCell="I20" sqref="I2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177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149508</v>
      </c>
      <c r="C5" s="14">
        <v>0</v>
      </c>
      <c r="D5" s="15">
        <f t="shared" ref="D5:D16" si="0">B5-C5</f>
        <v>149508</v>
      </c>
      <c r="E5" s="16">
        <f t="shared" ref="E5:E16" si="1">IFERROR(D5/C5, 0)</f>
        <v>0</v>
      </c>
      <c r="F5" s="17">
        <v>231860</v>
      </c>
      <c r="G5" s="18">
        <f>B5-F5</f>
        <v>-82352</v>
      </c>
      <c r="H5" s="19">
        <f t="shared" ref="H5:H16" si="2">IFERROR(G5/F5, 0)</f>
        <v>-0.35517984990942808</v>
      </c>
      <c r="I5" s="27" t="s">
        <v>339</v>
      </c>
      <c r="J5" s="27" t="s">
        <v>340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/>
    </row>
    <row r="16" spans="1:15" ht="13.15" customHeight="1">
      <c r="A16" s="30" t="s">
        <v>285</v>
      </c>
      <c r="B16" s="50"/>
      <c r="C16" s="31"/>
      <c r="D16" s="31">
        <f t="shared" si="0"/>
        <v>0</v>
      </c>
      <c r="E16" s="32">
        <f t="shared" si="1"/>
        <v>0</v>
      </c>
      <c r="F16" s="52"/>
      <c r="G16" s="34">
        <f t="shared" si="3"/>
        <v>0</v>
      </c>
      <c r="H16" s="35">
        <f t="shared" si="2"/>
        <v>0</v>
      </c>
      <c r="I16" s="119"/>
      <c r="J16" s="119"/>
    </row>
    <row r="17" spans="1:15" ht="13.15" customHeight="1">
      <c r="A17" s="37" t="s">
        <v>286</v>
      </c>
      <c r="B17" s="38">
        <f>SUM(B5:B16)</f>
        <v>149508</v>
      </c>
      <c r="C17" s="38">
        <f t="shared" ref="C17:F17" si="4">SUM(C5:C16)</f>
        <v>0</v>
      </c>
      <c r="D17" s="38">
        <f>B17-C17</f>
        <v>149508</v>
      </c>
      <c r="E17" s="39">
        <f>IFERROR(D17/C17, 0)</f>
        <v>0</v>
      </c>
      <c r="F17" s="38">
        <f t="shared" si="4"/>
        <v>231860</v>
      </c>
      <c r="G17" s="38">
        <f>B17-F17</f>
        <v>-82352</v>
      </c>
      <c r="H17" s="40">
        <f>IFERROR(G17/F17, 0)</f>
        <v>-0.35517984990942808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  <row r="23" spans="1:15" ht="13.5">
      <c r="D23" s="134"/>
      <c r="E23" s="134"/>
      <c r="F23" s="134"/>
      <c r="G23" s="135"/>
      <c r="H23" s="136"/>
    </row>
    <row r="24" spans="1:15" ht="13.5">
      <c r="D24" s="134"/>
      <c r="E24" s="134"/>
      <c r="F24" s="134"/>
      <c r="G24" s="135"/>
      <c r="H24" s="136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789" priority="3" operator="lessThanOrEqual">
      <formula>-0.1</formula>
    </cfRule>
    <cfRule type="cellIs" dxfId="788" priority="4" operator="greaterThan">
      <formula>0.1</formula>
    </cfRule>
  </conditionalFormatting>
  <conditionalFormatting sqref="G23:G24">
    <cfRule type="cellIs" dxfId="787" priority="1" operator="lessThanOrEqual">
      <formula>-0.1</formula>
    </cfRule>
    <cfRule type="cellIs" dxfId="786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1B54-653B-4096-A208-B41920B1DC3F}">
  <sheetPr codeName="Sheet107">
    <tabColor theme="9" tint="0.39997558519241921"/>
  </sheetPr>
  <dimension ref="A1:O20"/>
  <sheetViews>
    <sheetView workbookViewId="0">
      <selection activeCell="I14" sqref="I1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178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14">
        <v>202299</v>
      </c>
      <c r="C5" s="14">
        <v>0</v>
      </c>
      <c r="D5" s="15">
        <f t="shared" ref="D5:D16" si="0">B5-C5</f>
        <v>202299</v>
      </c>
      <c r="E5" s="16">
        <f t="shared" ref="E5:E16" si="1">IFERROR(D5/C5, 0)</f>
        <v>0</v>
      </c>
      <c r="F5" s="17">
        <v>360230</v>
      </c>
      <c r="G5" s="18">
        <f>B5-F5</f>
        <v>-157931</v>
      </c>
      <c r="H5" s="19">
        <f t="shared" ref="H5:H16" si="2">IFERROR(G5/F5, 0)</f>
        <v>-0.43841712239402603</v>
      </c>
      <c r="I5" s="26" t="s">
        <v>341</v>
      </c>
      <c r="J5" s="75" t="s">
        <v>342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7"/>
      <c r="J15" s="27"/>
    </row>
    <row r="16" spans="1:15" ht="30" customHeight="1">
      <c r="A16" s="30" t="s">
        <v>285</v>
      </c>
      <c r="B16" s="50"/>
      <c r="C16" s="31"/>
      <c r="D16" s="31">
        <f t="shared" si="0"/>
        <v>0</v>
      </c>
      <c r="E16" s="32">
        <f t="shared" si="1"/>
        <v>0</v>
      </c>
      <c r="F16" s="52"/>
      <c r="G16" s="34">
        <f t="shared" si="3"/>
        <v>0</v>
      </c>
      <c r="H16" s="35">
        <f t="shared" si="2"/>
        <v>0</v>
      </c>
      <c r="I16" s="122"/>
      <c r="J16" s="122"/>
    </row>
    <row r="17" spans="1:15" ht="13.15" customHeight="1">
      <c r="A17" s="37" t="s">
        <v>286</v>
      </c>
      <c r="B17" s="38">
        <f>SUM(B5:B16)</f>
        <v>202299</v>
      </c>
      <c r="C17" s="38">
        <f t="shared" ref="C17:F17" si="4">SUM(C5:C16)</f>
        <v>0</v>
      </c>
      <c r="D17" s="38">
        <f>B17-C17</f>
        <v>202299</v>
      </c>
      <c r="E17" s="39">
        <f>IFERROR(D17/C17, 0)</f>
        <v>0</v>
      </c>
      <c r="F17" s="38">
        <f t="shared" si="4"/>
        <v>360230</v>
      </c>
      <c r="G17" s="38">
        <f>B17-F17</f>
        <v>-157931</v>
      </c>
      <c r="H17" s="40">
        <f>IFERROR(G17/F17, 0)</f>
        <v>-0.43841712239402603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771" priority="1" operator="lessThanOrEqual">
      <formula>-0.1</formula>
    </cfRule>
    <cfRule type="cellIs" dxfId="77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2F45-4F2C-4134-BBAC-EA2AC06363B0}">
  <sheetPr codeName="Sheet108">
    <tabColor theme="9" tint="0.39997558519241921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161556.07105237199</v>
      </c>
      <c r="C5" s="14">
        <v>184058</v>
      </c>
      <c r="D5" s="15">
        <f t="shared" ref="D5:D16" si="0">B5-C5</f>
        <v>-22501.92894762801</v>
      </c>
      <c r="E5" s="16">
        <f t="shared" ref="E5:E16" si="1">IFERROR(D5/C5, 0)</f>
        <v>-0.12225455534466315</v>
      </c>
      <c r="F5" s="17">
        <v>380016</v>
      </c>
      <c r="G5" s="18">
        <f>B5-F5</f>
        <v>-218459.92894762801</v>
      </c>
      <c r="H5" s="19">
        <f t="shared" ref="H5:H16" si="2">IFERROR(G5/F5, 0)</f>
        <v>-0.57487034479502974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0"/>
        <v>0</v>
      </c>
      <c r="E16" s="32">
        <f t="shared" si="1"/>
        <v>0</v>
      </c>
      <c r="F16" s="33"/>
      <c r="G16" s="34">
        <f t="shared" si="3"/>
        <v>0</v>
      </c>
      <c r="H16" s="35">
        <f t="shared" si="2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161556.07105237199</v>
      </c>
      <c r="C17" s="38">
        <f t="shared" ref="C17:F17" si="4">SUM(C5:C16)</f>
        <v>184058</v>
      </c>
      <c r="D17" s="38">
        <f>B17-C17</f>
        <v>-22501.92894762801</v>
      </c>
      <c r="E17" s="39">
        <f>IFERROR(D17/C17, 0)</f>
        <v>-0.12225455534466315</v>
      </c>
      <c r="F17" s="38">
        <f t="shared" si="4"/>
        <v>380016</v>
      </c>
      <c r="G17" s="38">
        <f>B17-F17</f>
        <v>-218459.92894762801</v>
      </c>
      <c r="H17" s="40">
        <f>IFERROR(G17/F17, 0)</f>
        <v>-0.57487034479502974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755" priority="1" operator="lessThanOrEqual">
      <formula>-0.1</formula>
    </cfRule>
    <cfRule type="cellIs" dxfId="75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05F5-B28F-4708-B4BE-BCADED3EE646}">
  <sheetPr codeName="Sheet109">
    <tabColor theme="9" tint="0.39997558519241921"/>
  </sheetPr>
  <dimension ref="A1:O26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76404</v>
      </c>
      <c r="C5" s="14">
        <v>0</v>
      </c>
      <c r="D5" s="15">
        <f t="shared" ref="D5:D16" si="0">B5-C5</f>
        <v>76404</v>
      </c>
      <c r="E5" s="16">
        <f t="shared" ref="E5:E16" si="1">IFERROR(D5/C5, 0)</f>
        <v>0</v>
      </c>
      <c r="F5" s="17">
        <v>117423</v>
      </c>
      <c r="G5" s="18">
        <f>B5-F5</f>
        <v>-41019</v>
      </c>
      <c r="H5" s="19">
        <f t="shared" ref="H5:H16" si="2">IFERROR(G5/F5, 0)</f>
        <v>-0.34932679287703433</v>
      </c>
      <c r="I5" s="27" t="s">
        <v>343</v>
      </c>
      <c r="J5" s="27" t="s">
        <v>344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/>
    </row>
    <row r="16" spans="1:15" ht="13.15" customHeight="1">
      <c r="A16" s="30" t="s">
        <v>285</v>
      </c>
      <c r="B16" s="50"/>
      <c r="C16" s="31"/>
      <c r="D16" s="31">
        <f t="shared" si="0"/>
        <v>0</v>
      </c>
      <c r="E16" s="32">
        <f t="shared" si="1"/>
        <v>0</v>
      </c>
      <c r="F16" s="52"/>
      <c r="G16" s="34">
        <f t="shared" si="3"/>
        <v>0</v>
      </c>
      <c r="H16" s="35">
        <f t="shared" si="2"/>
        <v>0</v>
      </c>
      <c r="I16" s="119"/>
      <c r="J16" s="119"/>
    </row>
    <row r="17" spans="1:15" ht="13.15" customHeight="1">
      <c r="A17" s="37" t="s">
        <v>286</v>
      </c>
      <c r="B17" s="38">
        <f>SUM(B5:B16)</f>
        <v>76404</v>
      </c>
      <c r="C17" s="38">
        <f t="shared" ref="C17:F17" si="4">SUM(C5:C16)</f>
        <v>0</v>
      </c>
      <c r="D17" s="38">
        <f>B17-C17</f>
        <v>76404</v>
      </c>
      <c r="E17" s="39">
        <f>IFERROR(D17/C17, 0)</f>
        <v>0</v>
      </c>
      <c r="F17" s="38">
        <f t="shared" si="4"/>
        <v>117423</v>
      </c>
      <c r="G17" s="38">
        <f>B17-F17</f>
        <v>-41019</v>
      </c>
      <c r="H17" s="40">
        <f>IFERROR(G17/F17, 0)</f>
        <v>-0.34932679287703433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  <row r="22" spans="1:15" ht="13.5">
      <c r="C22" s="134"/>
      <c r="D22" s="134"/>
      <c r="E22" s="134"/>
      <c r="F22" s="135"/>
      <c r="G22" s="136"/>
    </row>
    <row r="23" spans="1:15" ht="13.5">
      <c r="C23" s="134"/>
      <c r="D23" s="134"/>
      <c r="E23" s="134"/>
      <c r="F23" s="135"/>
      <c r="G23" s="136"/>
    </row>
    <row r="24" spans="1:15" ht="13.5">
      <c r="C24" s="134"/>
      <c r="D24" s="134"/>
      <c r="E24" s="134"/>
      <c r="F24" s="135"/>
      <c r="G24" s="136"/>
    </row>
    <row r="25" spans="1:15" ht="13.5">
      <c r="C25" s="134"/>
      <c r="D25" s="134"/>
      <c r="E25" s="134"/>
      <c r="F25" s="135"/>
      <c r="G25" s="136"/>
    </row>
    <row r="26" spans="1:15" ht="13.5">
      <c r="C26" s="134"/>
      <c r="D26" s="134"/>
      <c r="E26" s="134"/>
      <c r="F26" s="135"/>
      <c r="G26" s="136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739" priority="3" operator="lessThanOrEqual">
      <formula>-0.1</formula>
    </cfRule>
    <cfRule type="cellIs" dxfId="738" priority="4" operator="greaterThan">
      <formula>0.1</formula>
    </cfRule>
  </conditionalFormatting>
  <conditionalFormatting sqref="F22:F26">
    <cfRule type="cellIs" dxfId="737" priority="1" operator="lessThanOrEqual">
      <formula>-0.1</formula>
    </cfRule>
    <cfRule type="cellIs" dxfId="736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C2EA-8732-4AE1-8204-B658885654E9}">
  <sheetPr codeName="Sheet110">
    <tabColor theme="9" tint="0.39997558519241921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4.25" customHeight="1">
      <c r="A5" s="13" t="s">
        <v>274</v>
      </c>
      <c r="B5" s="14">
        <v>175181</v>
      </c>
      <c r="C5" s="14">
        <v>0</v>
      </c>
      <c r="D5" s="15">
        <f t="shared" ref="D5:D16" si="0">B5-C5</f>
        <v>175181</v>
      </c>
      <c r="E5" s="16">
        <f t="shared" ref="E5:E16" si="1">IFERROR(D5/C5, 0)</f>
        <v>0</v>
      </c>
      <c r="F5" s="17">
        <v>323774</v>
      </c>
      <c r="G5" s="18">
        <f>B5-F5</f>
        <v>-148593</v>
      </c>
      <c r="H5" s="19">
        <f t="shared" ref="H5:H16" si="2">IFERROR(G5/F5, 0)</f>
        <v>-0.45894049553083321</v>
      </c>
      <c r="I5" s="26" t="s">
        <v>345</v>
      </c>
      <c r="J5" s="26" t="s">
        <v>346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76"/>
      <c r="J15" s="76"/>
    </row>
    <row r="16" spans="1:15" ht="27.75" customHeight="1">
      <c r="A16" s="30" t="s">
        <v>285</v>
      </c>
      <c r="B16" s="50"/>
      <c r="C16" s="31"/>
      <c r="D16" s="31">
        <f t="shared" si="0"/>
        <v>0</v>
      </c>
      <c r="E16" s="32">
        <f t="shared" si="1"/>
        <v>0</v>
      </c>
      <c r="F16" s="52"/>
      <c r="G16" s="34">
        <f t="shared" si="3"/>
        <v>0</v>
      </c>
      <c r="H16" s="35">
        <f t="shared" si="2"/>
        <v>0</v>
      </c>
      <c r="I16" s="124"/>
      <c r="J16" s="124"/>
    </row>
    <row r="17" spans="1:15" ht="13.15" customHeight="1">
      <c r="A17" s="37" t="s">
        <v>286</v>
      </c>
      <c r="B17" s="38">
        <f>SUM(B5:B16)</f>
        <v>175181</v>
      </c>
      <c r="C17" s="38">
        <f t="shared" ref="C17:F17" si="4">SUM(C5:C16)</f>
        <v>0</v>
      </c>
      <c r="D17" s="38">
        <f>B17-C17</f>
        <v>175181</v>
      </c>
      <c r="E17" s="39">
        <f>IFERROR(D17/C17, 0)</f>
        <v>0</v>
      </c>
      <c r="F17" s="38">
        <f t="shared" si="4"/>
        <v>323774</v>
      </c>
      <c r="G17" s="38">
        <f>B17-F17</f>
        <v>-148593</v>
      </c>
      <c r="H17" s="40">
        <f>IFERROR(G17/F17, 0)</f>
        <v>-0.45894049553083321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721" priority="1" operator="lessThanOrEqual">
      <formula>-0.1</formula>
    </cfRule>
    <cfRule type="cellIs" dxfId="72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21FF-4596-4645-B1FB-57775E256796}">
  <sheetPr codeName="Sheet111">
    <tabColor theme="9" tint="0.39997558519241921"/>
  </sheetPr>
  <dimension ref="A1:O20"/>
  <sheetViews>
    <sheetView workbookViewId="0">
      <selection activeCell="I15" sqref="I1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251217</v>
      </c>
      <c r="C5" s="14">
        <v>0</v>
      </c>
      <c r="D5" s="15">
        <f t="shared" ref="D5:D16" si="0">B5-C5</f>
        <v>251217</v>
      </c>
      <c r="E5" s="16">
        <f t="shared" ref="E5:E16" si="1">IFERROR(D5/C5, 0)</f>
        <v>0</v>
      </c>
      <c r="F5" s="17">
        <v>347615</v>
      </c>
      <c r="G5" s="18">
        <f>B5-F5</f>
        <v>-96398</v>
      </c>
      <c r="H5" s="19">
        <f t="shared" ref="H5:H16" si="2">IFERROR(G5/F5, 0)</f>
        <v>-0.27731254405017047</v>
      </c>
      <c r="I5" s="27" t="s">
        <v>347</v>
      </c>
      <c r="J5" s="27" t="s">
        <v>348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28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6"/>
      <c r="J15" s="27"/>
    </row>
    <row r="16" spans="1:15" ht="13.15" customHeight="1">
      <c r="A16" s="30" t="s">
        <v>285</v>
      </c>
      <c r="B16" s="50"/>
      <c r="C16" s="31"/>
      <c r="D16" s="31">
        <f t="shared" si="0"/>
        <v>0</v>
      </c>
      <c r="E16" s="32">
        <f t="shared" si="1"/>
        <v>0</v>
      </c>
      <c r="F16" s="52"/>
      <c r="G16" s="34">
        <f t="shared" si="3"/>
        <v>0</v>
      </c>
      <c r="H16" s="35">
        <f t="shared" si="2"/>
        <v>0</v>
      </c>
      <c r="I16" s="36"/>
      <c r="J16" s="36"/>
    </row>
    <row r="17" spans="1:15" ht="13.15" customHeight="1">
      <c r="A17" s="37" t="s">
        <v>286</v>
      </c>
      <c r="B17" s="38">
        <f>SUM(B5:B16)</f>
        <v>251217</v>
      </c>
      <c r="C17" s="38">
        <f t="shared" ref="C17:F17" si="4">SUM(C5:C16)</f>
        <v>0</v>
      </c>
      <c r="D17" s="38">
        <f>B17-C17</f>
        <v>251217</v>
      </c>
      <c r="E17" s="39">
        <f>IFERROR(D17/C17, 0)</f>
        <v>0</v>
      </c>
      <c r="F17" s="38">
        <f t="shared" si="4"/>
        <v>347615</v>
      </c>
      <c r="G17" s="38">
        <f>B17-F17</f>
        <v>-96398</v>
      </c>
      <c r="H17" s="40">
        <f>IFERROR(G17/F17, 0)</f>
        <v>-0.27731254405017047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705" priority="1" operator="lessThanOrEqual">
      <formula>-0.1</formula>
    </cfRule>
    <cfRule type="cellIs" dxfId="70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6744-0264-4A7C-A368-CC98228BE824}">
  <sheetPr codeName="Sheet112">
    <tabColor theme="9" tint="0.39997558519241921"/>
  </sheetPr>
  <dimension ref="A1:O20"/>
  <sheetViews>
    <sheetView workbookViewId="0">
      <selection activeCell="G32" sqref="G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204956</v>
      </c>
      <c r="C5" s="14">
        <v>0</v>
      </c>
      <c r="D5" s="15">
        <f t="shared" ref="D5:D16" si="0">B5-C5</f>
        <v>204956</v>
      </c>
      <c r="E5" s="16">
        <f t="shared" ref="E5:E16" si="1">IFERROR(D5/C5, 0)</f>
        <v>0</v>
      </c>
      <c r="F5" s="17">
        <v>298444</v>
      </c>
      <c r="G5" s="18">
        <f>B5-F5</f>
        <v>-93488</v>
      </c>
      <c r="H5" s="19">
        <f t="shared" ref="H5:H16" si="2">IFERROR(G5/F5, 0)</f>
        <v>-0.3132513972470547</v>
      </c>
      <c r="I5" s="27" t="s">
        <v>349</v>
      </c>
      <c r="J5" s="27" t="s">
        <v>350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 t="s">
        <v>46</v>
      </c>
    </row>
    <row r="16" spans="1:15" ht="13.15" customHeight="1">
      <c r="A16" s="30" t="s">
        <v>285</v>
      </c>
      <c r="B16" s="50"/>
      <c r="C16" s="31"/>
      <c r="D16" s="31">
        <f t="shared" si="0"/>
        <v>0</v>
      </c>
      <c r="E16" s="32">
        <f t="shared" si="1"/>
        <v>0</v>
      </c>
      <c r="F16" s="52"/>
      <c r="G16" s="34">
        <f t="shared" si="3"/>
        <v>0</v>
      </c>
      <c r="H16" s="35">
        <f t="shared" si="2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204956</v>
      </c>
      <c r="C17" s="38">
        <f t="shared" ref="C17:F17" si="4">SUM(C5:C16)</f>
        <v>0</v>
      </c>
      <c r="D17" s="38">
        <f>B17-C17</f>
        <v>204956</v>
      </c>
      <c r="E17" s="39">
        <f>IFERROR(D17/C17, 0)</f>
        <v>0</v>
      </c>
      <c r="F17" s="38">
        <f t="shared" si="4"/>
        <v>298444</v>
      </c>
      <c r="G17" s="38">
        <f>B17-F17</f>
        <v>-93488</v>
      </c>
      <c r="H17" s="40">
        <f>IFERROR(G17/F17, 0)</f>
        <v>-0.3132513972470547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689" priority="1" operator="lessThanOrEqual">
      <formula>-0.1</formula>
    </cfRule>
    <cfRule type="cellIs" dxfId="68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4F96-606D-41BA-86FA-3557533819C9}">
  <sheetPr codeName="Sheet113">
    <tabColor theme="9" tint="0.39997558519241921"/>
  </sheetPr>
  <dimension ref="A1:O20"/>
  <sheetViews>
    <sheetView workbookViewId="0">
      <selection activeCell="I22" sqref="I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5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2.75">
      <c r="A5" s="13" t="s">
        <v>274</v>
      </c>
      <c r="B5" s="14">
        <v>222902</v>
      </c>
      <c r="C5" s="14">
        <v>0</v>
      </c>
      <c r="D5" s="15">
        <f t="shared" ref="D5:D16" si="0">B5-C5</f>
        <v>222902</v>
      </c>
      <c r="E5" s="16">
        <f t="shared" ref="E5:E16" si="1">IFERROR(D5/C5, 0)</f>
        <v>0</v>
      </c>
      <c r="F5" s="17">
        <v>406945</v>
      </c>
      <c r="G5" s="18">
        <f>B5-F5</f>
        <v>-184043</v>
      </c>
      <c r="H5" s="19">
        <f t="shared" ref="H5:H16" si="2">IFERROR(G5/F5, 0)</f>
        <v>-0.45225521876420649</v>
      </c>
      <c r="I5" s="26" t="s">
        <v>351</v>
      </c>
      <c r="J5" s="27" t="s">
        <v>352</v>
      </c>
      <c r="O5" s="4"/>
    </row>
    <row r="6" spans="1:15" ht="14.25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4.25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4.25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4.25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4.25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4.25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 t="s">
        <v>46</v>
      </c>
    </row>
    <row r="12" spans="1:15" ht="14.25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0"/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4.25">
      <c r="A14" s="21" t="s">
        <v>283</v>
      </c>
      <c r="B14" s="15"/>
      <c r="C14" s="15"/>
      <c r="D14" s="15">
        <f t="shared" si="0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4.25">
      <c r="A15" s="21" t="s">
        <v>284</v>
      </c>
      <c r="B15" s="28"/>
      <c r="C15" s="28"/>
      <c r="D15" s="15">
        <f t="shared" si="0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6"/>
      <c r="J15" s="26"/>
    </row>
    <row r="16" spans="1:15" ht="14.25">
      <c r="A16" s="30" t="s">
        <v>285</v>
      </c>
      <c r="B16" s="50"/>
      <c r="C16" s="31"/>
      <c r="D16" s="31">
        <f t="shared" si="0"/>
        <v>0</v>
      </c>
      <c r="E16" s="32">
        <f t="shared" si="1"/>
        <v>0</v>
      </c>
      <c r="F16" s="52"/>
      <c r="G16" s="34">
        <f t="shared" si="3"/>
        <v>0</v>
      </c>
      <c r="H16" s="35">
        <f t="shared" si="2"/>
        <v>0</v>
      </c>
      <c r="I16" s="124"/>
      <c r="J16" s="124"/>
    </row>
    <row r="17" spans="1:15" ht="14.25">
      <c r="A17" s="37" t="s">
        <v>286</v>
      </c>
      <c r="B17" s="38">
        <f>SUM(B5:B16)</f>
        <v>222902</v>
      </c>
      <c r="C17" s="38">
        <f t="shared" ref="C17:F17" si="4">SUM(C5:C16)</f>
        <v>0</v>
      </c>
      <c r="D17" s="38">
        <f>B17-C17</f>
        <v>222902</v>
      </c>
      <c r="E17" s="39">
        <f>IFERROR(D17/C17, 0)</f>
        <v>0</v>
      </c>
      <c r="F17" s="38">
        <f t="shared" si="4"/>
        <v>406945</v>
      </c>
      <c r="G17" s="38">
        <f>B17-F17</f>
        <v>-184043</v>
      </c>
      <c r="H17" s="40">
        <f>IFERROR(G17/F17, 0)</f>
        <v>-0.45225521876420649</v>
      </c>
      <c r="I17" s="41"/>
      <c r="J17" s="41"/>
    </row>
    <row r="18" spans="1:15">
      <c r="F18" s="10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673" priority="1" operator="lessThanOrEqual">
      <formula>-0.1</formula>
    </cfRule>
    <cfRule type="cellIs" dxfId="67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4067-9958-4045-B241-B60069D50D39}">
  <sheetPr codeName="Sheet63">
    <tabColor theme="9" tint="-0.249977111117893"/>
  </sheetPr>
  <dimension ref="A1:O20"/>
  <sheetViews>
    <sheetView workbookViewId="0">
      <selection activeCell="F29" sqref="F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90965</v>
      </c>
      <c r="C5" s="14">
        <v>0</v>
      </c>
      <c r="D5" s="15">
        <f t="shared" ref="D5:D12" si="0">B5-C5</f>
        <v>90965</v>
      </c>
      <c r="E5" s="16">
        <f t="shared" ref="E5:E16" si="1">IFERROR(D5/C5, 0)</f>
        <v>0</v>
      </c>
      <c r="F5" s="17">
        <v>0</v>
      </c>
      <c r="G5" s="18">
        <f>B5-F5</f>
        <v>90965</v>
      </c>
      <c r="H5" s="19">
        <f t="shared" ref="H5:H16" si="2">IFERROR(G5/F5, 0)</f>
        <v>0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si="0"/>
        <v>0</v>
      </c>
      <c r="E6" s="22">
        <f t="shared" si="1"/>
        <v>0</v>
      </c>
      <c r="F6" s="23"/>
      <c r="G6" s="18">
        <f t="shared" ref="G6:G16" si="3">B6-F6</f>
        <v>0</v>
      </c>
      <c r="H6" s="19">
        <f t="shared" si="2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0"/>
        <v>0</v>
      </c>
      <c r="E7" s="22">
        <f t="shared" si="1"/>
        <v>0</v>
      </c>
      <c r="F7" s="24"/>
      <c r="G7" s="18">
        <f t="shared" si="3"/>
        <v>0</v>
      </c>
      <c r="H7" s="19">
        <f t="shared" si="2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0"/>
        <v>0</v>
      </c>
      <c r="E8" s="22">
        <f t="shared" si="1"/>
        <v>0</v>
      </c>
      <c r="F8" s="18"/>
      <c r="G8" s="18">
        <f t="shared" si="3"/>
        <v>0</v>
      </c>
      <c r="H8" s="19">
        <f t="shared" si="2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0"/>
        <v>0</v>
      </c>
      <c r="E9" s="22">
        <f t="shared" si="1"/>
        <v>0</v>
      </c>
      <c r="F9" s="18"/>
      <c r="G9" s="18">
        <f t="shared" si="3"/>
        <v>0</v>
      </c>
      <c r="H9" s="19">
        <f t="shared" si="2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0"/>
        <v>0</v>
      </c>
      <c r="E10" s="22">
        <f t="shared" si="1"/>
        <v>0</v>
      </c>
      <c r="F10" s="29"/>
      <c r="G10" s="18">
        <f t="shared" si="3"/>
        <v>0</v>
      </c>
      <c r="H10" s="19">
        <f t="shared" si="2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0"/>
        <v>0</v>
      </c>
      <c r="E11" s="22">
        <f t="shared" si="1"/>
        <v>0</v>
      </c>
      <c r="F11" s="23"/>
      <c r="G11" s="18">
        <f t="shared" si="3"/>
        <v>0</v>
      </c>
      <c r="H11" s="19">
        <f t="shared" si="2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0"/>
        <v>0</v>
      </c>
      <c r="E12" s="22">
        <f t="shared" si="1"/>
        <v>0</v>
      </c>
      <c r="F12" s="24"/>
      <c r="G12" s="18">
        <f t="shared" si="3"/>
        <v>0</v>
      </c>
      <c r="H12" s="19">
        <f t="shared" si="2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ref="D13:D16" si="4">B13-C13</f>
        <v>0</v>
      </c>
      <c r="E13" s="22">
        <f t="shared" si="1"/>
        <v>0</v>
      </c>
      <c r="F13" s="18"/>
      <c r="G13" s="18">
        <f t="shared" si="3"/>
        <v>0</v>
      </c>
      <c r="H13" s="19">
        <f t="shared" si="2"/>
        <v>0</v>
      </c>
      <c r="I13" s="73"/>
      <c r="J13" s="73"/>
    </row>
    <row r="14" spans="1:15" ht="13.15" customHeight="1">
      <c r="A14" s="21" t="s">
        <v>283</v>
      </c>
      <c r="B14" s="15"/>
      <c r="C14" s="15"/>
      <c r="D14" s="15">
        <f t="shared" si="4"/>
        <v>0</v>
      </c>
      <c r="E14" s="22">
        <f t="shared" si="1"/>
        <v>0</v>
      </c>
      <c r="F14" s="18"/>
      <c r="G14" s="18">
        <f t="shared" si="3"/>
        <v>0</v>
      </c>
      <c r="H14" s="19">
        <f t="shared" si="2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4"/>
        <v>0</v>
      </c>
      <c r="E15" s="22">
        <f t="shared" si="1"/>
        <v>0</v>
      </c>
      <c r="F15" s="29"/>
      <c r="G15" s="18">
        <f t="shared" si="3"/>
        <v>0</v>
      </c>
      <c r="H15" s="19">
        <f t="shared" si="2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4"/>
        <v>0</v>
      </c>
      <c r="E16" s="32">
        <f t="shared" si="1"/>
        <v>0</v>
      </c>
      <c r="F16" s="33"/>
      <c r="G16" s="34">
        <f t="shared" si="3"/>
        <v>0</v>
      </c>
      <c r="H16" s="35">
        <f t="shared" si="2"/>
        <v>0</v>
      </c>
      <c r="I16" s="36"/>
      <c r="J16" s="36"/>
    </row>
    <row r="17" spans="1:15" ht="13.15" customHeight="1">
      <c r="A17" s="37" t="s">
        <v>286</v>
      </c>
      <c r="B17" s="38">
        <f>SUM(B5:B16)</f>
        <v>90965</v>
      </c>
      <c r="C17" s="38">
        <f t="shared" ref="C17:F17" si="5">SUM(C5:C16)</f>
        <v>0</v>
      </c>
      <c r="D17" s="38">
        <f>B17-C17</f>
        <v>90965</v>
      </c>
      <c r="E17" s="39">
        <f>IFERROR(D17/C17, 0)</f>
        <v>0</v>
      </c>
      <c r="F17" s="38">
        <f t="shared" si="5"/>
        <v>0</v>
      </c>
      <c r="G17" s="38">
        <f>B17-F17</f>
        <v>90965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657" priority="1" operator="lessThanOrEqual">
      <formula>-0.1</formula>
    </cfRule>
    <cfRule type="cellIs" dxfId="65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697F-E3A9-4997-95AA-7059987BC345}">
  <sheetPr codeName="Sheet64">
    <tabColor theme="9" tint="-0.249977111117893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189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39864</v>
      </c>
      <c r="C5" s="14">
        <v>0</v>
      </c>
      <c r="D5" s="15">
        <f>B5-C5</f>
        <v>39864</v>
      </c>
      <c r="E5" s="16">
        <f t="shared" ref="E5:E16" si="0">IFERROR(D5/C5, 0)</f>
        <v>0</v>
      </c>
      <c r="F5" s="17">
        <v>159217</v>
      </c>
      <c r="G5" s="18">
        <f>B5-F5</f>
        <v>-119353</v>
      </c>
      <c r="H5" s="19">
        <f t="shared" ref="H5:H16" si="1">IFERROR(G5/F5, 0)</f>
        <v>-0.74962472600287655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39864</v>
      </c>
      <c r="C17" s="38">
        <f t="shared" ref="C17:F17" si="4">SUM(C5:C16)</f>
        <v>0</v>
      </c>
      <c r="D17" s="38">
        <f>B17-C17</f>
        <v>39864</v>
      </c>
      <c r="E17" s="39">
        <f>IFERROR(D17/C17, 0)</f>
        <v>0</v>
      </c>
      <c r="F17" s="38">
        <f t="shared" si="4"/>
        <v>159217</v>
      </c>
      <c r="G17" s="38">
        <f>B17-F17</f>
        <v>-119353</v>
      </c>
      <c r="H17" s="40">
        <f>IFERROR(G17/F17, 0)</f>
        <v>-0.74962472600287655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641" priority="1" operator="lessThanOrEqual">
      <formula>-0.1</formula>
    </cfRule>
    <cfRule type="cellIs" dxfId="64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E6A0-6D97-49D4-B451-D8FF891A2BC4}">
  <sheetPr codeName="Sheet65">
    <tabColor theme="9" tint="-0.249977111117893"/>
  </sheetPr>
  <dimension ref="A1:O20"/>
  <sheetViews>
    <sheetView workbookViewId="0">
      <selection activeCell="I5" sqref="I5: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190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5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14">
        <v>54564</v>
      </c>
      <c r="C5" s="14">
        <v>0</v>
      </c>
      <c r="D5" s="15">
        <f>B5-C5</f>
        <v>54564</v>
      </c>
      <c r="E5" s="16">
        <f t="shared" ref="E5:E16" si="0">IFERROR(D5/C5, 0)</f>
        <v>0</v>
      </c>
      <c r="F5" s="17">
        <v>264699</v>
      </c>
      <c r="G5" s="18">
        <f>B5-F5</f>
        <v>-210135</v>
      </c>
      <c r="H5" s="19">
        <f t="shared" ref="H5:H16" si="1">IFERROR(G5/F5, 0)</f>
        <v>-0.79386397379665208</v>
      </c>
      <c r="I5" s="26" t="s">
        <v>353</v>
      </c>
      <c r="J5" s="74" t="s">
        <v>354</v>
      </c>
      <c r="O5" s="4"/>
    </row>
    <row r="6" spans="1:15" ht="14.25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4.25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4.25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4.25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4.25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4.25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4.25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4.25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4.25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4.25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24"/>
      <c r="J16" s="124"/>
    </row>
    <row r="17" spans="1:15" ht="14.25">
      <c r="A17" s="37" t="s">
        <v>286</v>
      </c>
      <c r="B17" s="38">
        <f>SUM(B5:B16)</f>
        <v>54564</v>
      </c>
      <c r="C17" s="38">
        <f t="shared" ref="C17:F17" si="4">SUM(C5:C16)</f>
        <v>0</v>
      </c>
      <c r="D17" s="38">
        <f>B17-C17</f>
        <v>54564</v>
      </c>
      <c r="E17" s="39">
        <f>IFERROR(D17/C17, 0)</f>
        <v>0</v>
      </c>
      <c r="F17" s="38">
        <f t="shared" si="4"/>
        <v>264699</v>
      </c>
      <c r="G17" s="38">
        <f>B17-F17</f>
        <v>-210135</v>
      </c>
      <c r="H17" s="40">
        <f>IFERROR(G17/F17, 0)</f>
        <v>-0.79386397379665208</v>
      </c>
      <c r="I17" s="41"/>
      <c r="J17" s="41"/>
    </row>
    <row r="18" spans="1:15">
      <c r="F18" s="10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625" priority="1" operator="lessThanOrEqual">
      <formula>-0.1</formula>
    </cfRule>
    <cfRule type="cellIs" dxfId="62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A207-55BD-43CC-82EF-9B104129D9C2}">
  <sheetPr codeName="Sheet66">
    <tabColor theme="9" tint="-0.249977111117893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191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7.4" customHeight="1">
      <c r="A5" s="13" t="s">
        <v>274</v>
      </c>
      <c r="B5" s="14">
        <v>29393</v>
      </c>
      <c r="C5" s="14">
        <v>0</v>
      </c>
      <c r="D5" s="15">
        <f>B5-C5</f>
        <v>29393</v>
      </c>
      <c r="E5" s="16">
        <f t="shared" ref="E5:E16" si="0">IFERROR(D5/C5, 0)</f>
        <v>0</v>
      </c>
      <c r="F5" s="17">
        <v>137325</v>
      </c>
      <c r="G5" s="18">
        <f>B5-F5</f>
        <v>-107932</v>
      </c>
      <c r="H5" s="19">
        <f t="shared" ref="H5:H16" si="1">IFERROR(G5/F5, 0)</f>
        <v>-0.78596031312579651</v>
      </c>
      <c r="I5" s="26" t="s">
        <v>353</v>
      </c>
      <c r="J5" s="74" t="s">
        <v>355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24"/>
      <c r="J16" s="124"/>
    </row>
    <row r="17" spans="1:15" ht="13.15" customHeight="1">
      <c r="A17" s="37" t="s">
        <v>286</v>
      </c>
      <c r="B17" s="38">
        <f>SUM(B5:B16)</f>
        <v>29393</v>
      </c>
      <c r="C17" s="38">
        <f t="shared" ref="C17:F17" si="4">SUM(C5:C16)</f>
        <v>0</v>
      </c>
      <c r="D17" s="38">
        <f>B17-C17</f>
        <v>29393</v>
      </c>
      <c r="E17" s="39">
        <f>IFERROR(D17/C17, 0)</f>
        <v>0</v>
      </c>
      <c r="F17" s="38">
        <f t="shared" si="4"/>
        <v>137325</v>
      </c>
      <c r="G17" s="38">
        <f>B17-F17</f>
        <v>-107932</v>
      </c>
      <c r="H17" s="40">
        <f>IFERROR(G17/F17, 0)</f>
        <v>-0.78596031312579651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609" priority="1" operator="lessThanOrEqual">
      <formula>-0.1</formula>
    </cfRule>
    <cfRule type="cellIs" dxfId="60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AB61-C825-485A-B91B-8AFD0BB878D3}">
  <sheetPr codeName="Sheet67">
    <tabColor theme="9" tint="-0.499984740745262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192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100252</v>
      </c>
      <c r="C5" s="14">
        <v>0</v>
      </c>
      <c r="D5" s="15">
        <f>B5-C5</f>
        <v>100252</v>
      </c>
      <c r="E5" s="16">
        <f t="shared" ref="E5:E16" si="0">IFERROR(D5/C5, 0)</f>
        <v>0</v>
      </c>
      <c r="F5" s="17">
        <v>312360</v>
      </c>
      <c r="G5" s="18">
        <f>B5-F5</f>
        <v>-212108</v>
      </c>
      <c r="H5" s="19">
        <f t="shared" ref="H5:H16" si="1">IFERROR(G5/F5, 0)</f>
        <v>-0.67904981431681388</v>
      </c>
      <c r="I5" s="27"/>
      <c r="J5" s="27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39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6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100252</v>
      </c>
      <c r="C17" s="38">
        <f t="shared" ref="C17:F17" si="4">SUM(C5:C16)</f>
        <v>0</v>
      </c>
      <c r="D17" s="38">
        <f>B17-C17</f>
        <v>100252</v>
      </c>
      <c r="E17" s="39">
        <f>IFERROR(D17/C17, 0)</f>
        <v>0</v>
      </c>
      <c r="F17" s="38">
        <f t="shared" si="4"/>
        <v>312360</v>
      </c>
      <c r="G17" s="38">
        <f>B17-F17</f>
        <v>-212108</v>
      </c>
      <c r="H17" s="40">
        <f>IFERROR(G17/F17, 0)</f>
        <v>-0.67904981431681388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593" priority="1" operator="lessThanOrEqual">
      <formula>-0.1</formula>
    </cfRule>
    <cfRule type="cellIs" dxfId="59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4610-75FA-46D6-BAD4-104A7B5B201D}">
  <sheetPr codeName="Sheet68">
    <tabColor theme="9" tint="-0.499984740745262"/>
  </sheetPr>
  <dimension ref="A1:O20"/>
  <sheetViews>
    <sheetView topLeftCell="B2" workbookViewId="0">
      <selection activeCell="I26" sqref="I2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194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2.75">
      <c r="A5" s="13" t="s">
        <v>274</v>
      </c>
      <c r="B5" s="14">
        <v>83950</v>
      </c>
      <c r="C5" s="14">
        <v>0</v>
      </c>
      <c r="D5" s="15">
        <f>B5-C5</f>
        <v>83950</v>
      </c>
      <c r="E5" s="16">
        <f t="shared" ref="E5:E16" si="0">IFERROR(D5/C5, 0)</f>
        <v>0</v>
      </c>
      <c r="F5" s="17">
        <v>0</v>
      </c>
      <c r="G5" s="18">
        <f>B5-F5</f>
        <v>83950</v>
      </c>
      <c r="H5" s="19">
        <f t="shared" ref="H5:H16" si="1">IFERROR(G5/F5, 0)</f>
        <v>0</v>
      </c>
      <c r="I5" s="26" t="s">
        <v>356</v>
      </c>
      <c r="J5" s="26" t="s">
        <v>357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7"/>
      <c r="J6" s="27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7"/>
      <c r="J7" s="27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7"/>
      <c r="J8" s="27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7"/>
      <c r="J10" s="27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7"/>
      <c r="J11" s="27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7"/>
      <c r="J12" s="27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7"/>
      <c r="J13" s="27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83950</v>
      </c>
      <c r="C17" s="38">
        <f t="shared" ref="C17:F17" si="4">SUM(C5:C16)</f>
        <v>0</v>
      </c>
      <c r="D17" s="38">
        <f>B17-C17</f>
        <v>83950</v>
      </c>
      <c r="E17" s="39">
        <f>IFERROR(D17/C17, 0)</f>
        <v>0</v>
      </c>
      <c r="F17" s="38">
        <f t="shared" si="4"/>
        <v>0</v>
      </c>
      <c r="G17" s="38">
        <f>B17-F17</f>
        <v>83950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577" priority="1" operator="lessThanOrEqual">
      <formula>-0.1</formula>
    </cfRule>
    <cfRule type="cellIs" dxfId="57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9368-6AD8-426B-8236-F967543A3287}">
  <sheetPr codeName="Sheet69">
    <tabColor theme="9" tint="-0.499984740745262"/>
  </sheetPr>
  <dimension ref="A1:O20"/>
  <sheetViews>
    <sheetView topLeftCell="C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196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14">
        <v>29341</v>
      </c>
      <c r="C5" s="14">
        <v>0</v>
      </c>
      <c r="D5" s="15">
        <f>B5-C5</f>
        <v>29341</v>
      </c>
      <c r="E5" s="16">
        <f t="shared" ref="E5:E16" si="0">IFERROR(D5/C5, 0)</f>
        <v>0</v>
      </c>
      <c r="F5" s="17">
        <v>133344</v>
      </c>
      <c r="G5" s="18">
        <f>B5-F5</f>
        <v>-104003</v>
      </c>
      <c r="H5" s="19">
        <f t="shared" ref="H5:H16" si="1">IFERROR(G5/F5, 0)</f>
        <v>-0.77996010319174469</v>
      </c>
      <c r="I5" s="26" t="s">
        <v>353</v>
      </c>
      <c r="J5" s="74" t="s">
        <v>358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9"/>
      <c r="J16" s="119"/>
    </row>
    <row r="17" spans="1:15" ht="13.15" customHeight="1">
      <c r="A17" s="37" t="s">
        <v>286</v>
      </c>
      <c r="B17" s="38">
        <f>SUM(B5:B16)</f>
        <v>29341</v>
      </c>
      <c r="C17" s="38">
        <f t="shared" ref="C17:F17" si="4">SUM(C5:C16)</f>
        <v>0</v>
      </c>
      <c r="D17" s="38">
        <f>B17-C17</f>
        <v>29341</v>
      </c>
      <c r="E17" s="39">
        <f>IFERROR(D17/C17, 0)</f>
        <v>0</v>
      </c>
      <c r="F17" s="38">
        <f t="shared" si="4"/>
        <v>133344</v>
      </c>
      <c r="G17" s="38">
        <f>B17-F17</f>
        <v>-104003</v>
      </c>
      <c r="H17" s="40">
        <f>IFERROR(G17/F17, 0)</f>
        <v>-0.77996010319174469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561" priority="1" operator="lessThanOrEqual">
      <formula>-0.1</formula>
    </cfRule>
    <cfRule type="cellIs" dxfId="56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B197-586F-4E8C-B465-A03D8210A67E}">
  <sheetPr codeName="Sheet70">
    <tabColor theme="9" tint="-0.499984740745262"/>
  </sheetPr>
  <dimension ref="A1:O20"/>
  <sheetViews>
    <sheetView workbookViewId="0">
      <selection activeCell="I31" sqref="I3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198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0.5" customHeight="1">
      <c r="A5" s="13" t="s">
        <v>274</v>
      </c>
      <c r="B5" s="14">
        <v>66472</v>
      </c>
      <c r="C5" s="14">
        <v>0</v>
      </c>
      <c r="D5" s="15">
        <f>B5-C5</f>
        <v>66472</v>
      </c>
      <c r="E5" s="16">
        <f t="shared" ref="E5:E16" si="0">IFERROR(D5/C5, 0)</f>
        <v>0</v>
      </c>
      <c r="F5" s="17">
        <v>361225</v>
      </c>
      <c r="G5" s="18">
        <f>B5-F5</f>
        <v>-294753</v>
      </c>
      <c r="H5" s="19">
        <f t="shared" ref="H5:H16" si="1">IFERROR(G5/F5, 0)</f>
        <v>-0.81598172883936604</v>
      </c>
      <c r="I5" s="26" t="s">
        <v>353</v>
      </c>
      <c r="J5" s="75" t="s">
        <v>359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9"/>
      <c r="J16" s="119"/>
    </row>
    <row r="17" spans="1:15" ht="13.15" customHeight="1">
      <c r="A17" s="37" t="s">
        <v>286</v>
      </c>
      <c r="B17" s="38">
        <f>SUM(B5:B16)</f>
        <v>66472</v>
      </c>
      <c r="C17" s="38">
        <f t="shared" ref="C17:F17" si="4">SUM(C5:C16)</f>
        <v>0</v>
      </c>
      <c r="D17" s="38">
        <f>B17-C17</f>
        <v>66472</v>
      </c>
      <c r="E17" s="39">
        <f>IFERROR(D17/C17, 0)</f>
        <v>0</v>
      </c>
      <c r="F17" s="38">
        <f t="shared" si="4"/>
        <v>361225</v>
      </c>
      <c r="G17" s="38">
        <f>B17-F17</f>
        <v>-294753</v>
      </c>
      <c r="H17" s="40">
        <f>IFERROR(G17/F17, 0)</f>
        <v>-0.81598172883936604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545" priority="1" operator="lessThanOrEqual">
      <formula>-0.1</formula>
    </cfRule>
    <cfRule type="cellIs" dxfId="54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F16A-0B00-4844-9CEC-2DD603AB1F97}">
  <sheetPr codeName="Sheet71">
    <tabColor theme="9" tint="-0.499984740745262"/>
  </sheetPr>
  <dimension ref="A1:O20"/>
  <sheetViews>
    <sheetView workbookViewId="0">
      <selection activeCell="I5" sqref="I5: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199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33" customHeight="1">
      <c r="A5" s="13" t="s">
        <v>274</v>
      </c>
      <c r="B5" s="14">
        <v>31915</v>
      </c>
      <c r="C5" s="14">
        <v>0</v>
      </c>
      <c r="D5" s="15">
        <f>B5-C5</f>
        <v>31915</v>
      </c>
      <c r="E5" s="16">
        <f t="shared" ref="E5:E16" si="0">IFERROR(D5/C5, 0)</f>
        <v>0</v>
      </c>
      <c r="F5" s="17">
        <v>0</v>
      </c>
      <c r="G5" s="18">
        <f>B5-F5</f>
        <v>31915</v>
      </c>
      <c r="H5" s="19">
        <f t="shared" ref="H5:H16" si="1">IFERROR(G5/F5, 0)</f>
        <v>0</v>
      </c>
      <c r="I5" s="74" t="s">
        <v>360</v>
      </c>
      <c r="J5" s="26" t="s">
        <v>361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26.2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22"/>
      <c r="J16" s="122"/>
    </row>
    <row r="17" spans="1:15" ht="13.15" customHeight="1">
      <c r="A17" s="37" t="s">
        <v>286</v>
      </c>
      <c r="B17" s="38">
        <f>SUM(B5:B16)</f>
        <v>31915</v>
      </c>
      <c r="C17" s="38">
        <f t="shared" ref="C17:F17" si="4">SUM(C5:C16)</f>
        <v>0</v>
      </c>
      <c r="D17" s="38">
        <f>B17-C17</f>
        <v>31915</v>
      </c>
      <c r="E17" s="39">
        <f>IFERROR(D17/C17, 0)</f>
        <v>0</v>
      </c>
      <c r="F17" s="38">
        <f t="shared" si="4"/>
        <v>0</v>
      </c>
      <c r="G17" s="38">
        <f>B17-F17</f>
        <v>31915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529" priority="1" operator="lessThanOrEqual">
      <formula>-0.1</formula>
    </cfRule>
    <cfRule type="cellIs" dxfId="52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6E09-B57C-4CAD-8D94-B279A14668A4}">
  <sheetPr codeName="Sheet72">
    <tabColor theme="9" tint="-0.499984740745262"/>
  </sheetPr>
  <dimension ref="A1:O20"/>
  <sheetViews>
    <sheetView workbookViewId="0">
      <selection activeCell="I5" sqref="I5: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200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32.25" customHeight="1">
      <c r="A5" s="13" t="s">
        <v>274</v>
      </c>
      <c r="B5" s="14">
        <v>31675</v>
      </c>
      <c r="C5" s="14">
        <v>0</v>
      </c>
      <c r="D5" s="15">
        <f>B5-C5</f>
        <v>31675</v>
      </c>
      <c r="E5" s="16">
        <f t="shared" ref="E5:E16" si="0">IFERROR(D5/C5, 0)</f>
        <v>0</v>
      </c>
      <c r="F5" s="17">
        <v>0</v>
      </c>
      <c r="G5" s="18">
        <f>B5-F5</f>
        <v>31675</v>
      </c>
      <c r="H5" s="19">
        <f t="shared" ref="H5:H16" si="1">IFERROR(G5/F5, 0)</f>
        <v>0</v>
      </c>
      <c r="I5" s="74" t="s">
        <v>360</v>
      </c>
      <c r="J5" s="26" t="s">
        <v>362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29.2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22"/>
      <c r="J16" s="122"/>
    </row>
    <row r="17" spans="1:15" ht="13.15" customHeight="1">
      <c r="A17" s="37" t="s">
        <v>286</v>
      </c>
      <c r="B17" s="38">
        <f>SUM(B5:B16)</f>
        <v>31675</v>
      </c>
      <c r="C17" s="38">
        <f t="shared" ref="C17:F17" si="4">SUM(C5:C16)</f>
        <v>0</v>
      </c>
      <c r="D17" s="38">
        <f>B17-C17</f>
        <v>31675</v>
      </c>
      <c r="E17" s="39">
        <f>IFERROR(D17/C17, 0)</f>
        <v>0</v>
      </c>
      <c r="F17" s="38">
        <f t="shared" si="4"/>
        <v>0</v>
      </c>
      <c r="G17" s="38">
        <f>B17-F17</f>
        <v>31675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513" priority="1" operator="lessThanOrEqual">
      <formula>-0.1</formula>
    </cfRule>
    <cfRule type="cellIs" dxfId="51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0603-102F-4F4A-9434-8F7326840B95}">
  <sheetPr codeName="Sheet73">
    <tabColor theme="9" tint="-0.499984740745262"/>
  </sheetPr>
  <dimension ref="A1:O20"/>
  <sheetViews>
    <sheetView workbookViewId="0">
      <selection activeCell="I11" sqref="I1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201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28.5">
      <c r="A5" s="13" t="s">
        <v>274</v>
      </c>
      <c r="B5" s="14">
        <v>68145</v>
      </c>
      <c r="C5" s="14">
        <v>0</v>
      </c>
      <c r="D5" s="15">
        <f>B5-C5</f>
        <v>68145</v>
      </c>
      <c r="E5" s="16">
        <f t="shared" ref="E5:E16" si="0">IFERROR(D5/C5, 0)</f>
        <v>0</v>
      </c>
      <c r="F5" s="17">
        <v>0</v>
      </c>
      <c r="G5" s="18">
        <f>B5-F5</f>
        <v>68145</v>
      </c>
      <c r="H5" s="19">
        <f t="shared" ref="H5:H16" si="1">IFERROR(G5/F5, 0)</f>
        <v>0</v>
      </c>
      <c r="I5" s="74" t="s">
        <v>360</v>
      </c>
      <c r="J5" s="26" t="s">
        <v>363</v>
      </c>
      <c r="O5" s="4"/>
    </row>
    <row r="6" spans="1:15" ht="13.15" customHeight="1">
      <c r="A6" s="21" t="s">
        <v>275</v>
      </c>
      <c r="B6" s="15"/>
      <c r="C6" s="15"/>
      <c r="D6" s="15">
        <f t="shared" ref="D6:D15" si="2">B6-C6</f>
        <v>0</v>
      </c>
      <c r="E6" s="22">
        <f t="shared" si="0"/>
        <v>0</v>
      </c>
      <c r="F6" s="23"/>
      <c r="G6" s="18">
        <f t="shared" ref="G6:G15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/>
    </row>
    <row r="16" spans="1:15" ht="22.5" customHeight="1">
      <c r="A16" s="30" t="s">
        <v>285</v>
      </c>
      <c r="B16" s="31"/>
      <c r="C16" s="31"/>
      <c r="D16" s="15">
        <f>B16-C16</f>
        <v>0</v>
      </c>
      <c r="E16" s="32">
        <f t="shared" si="0"/>
        <v>0</v>
      </c>
      <c r="F16" s="33"/>
      <c r="G16" s="18">
        <f>B16-F16</f>
        <v>0</v>
      </c>
      <c r="H16" s="35">
        <f t="shared" si="1"/>
        <v>0</v>
      </c>
      <c r="I16" s="124"/>
      <c r="J16" s="124"/>
    </row>
    <row r="17" spans="1:15" ht="13.15" customHeight="1">
      <c r="A17" s="37" t="s">
        <v>286</v>
      </c>
      <c r="B17" s="38">
        <f>SUM(B5:B16)</f>
        <v>68145</v>
      </c>
      <c r="C17" s="38">
        <f t="shared" ref="C17:F17" si="4">SUM(C5:C16)</f>
        <v>0</v>
      </c>
      <c r="D17" s="38">
        <f>B17-C17</f>
        <v>68145</v>
      </c>
      <c r="E17" s="39">
        <f>IFERROR(D17/C17, 0)</f>
        <v>0</v>
      </c>
      <c r="F17" s="38">
        <f t="shared" si="4"/>
        <v>0</v>
      </c>
      <c r="G17" s="38">
        <f>B17-F17</f>
        <v>68145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497" priority="1" operator="lessThanOrEqual">
      <formula>-0.1</formula>
    </cfRule>
    <cfRule type="cellIs" dxfId="49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157D-D3F7-4E8B-B879-697B08DA02BC}">
  <sheetPr codeName="Sheet114">
    <tabColor theme="9"/>
  </sheetPr>
  <dimension ref="A1:O22"/>
  <sheetViews>
    <sheetView topLeftCell="A2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202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5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42.75">
      <c r="A5" s="13" t="s">
        <v>274</v>
      </c>
      <c r="B5" s="14">
        <v>186426</v>
      </c>
      <c r="C5" s="14">
        <v>0</v>
      </c>
      <c r="D5" s="15">
        <f>B5-C5</f>
        <v>186426</v>
      </c>
      <c r="E5" s="16">
        <f t="shared" ref="E5:E16" si="0">IFERROR(D5/C5, 0)</f>
        <v>0</v>
      </c>
      <c r="F5" s="17">
        <v>0</v>
      </c>
      <c r="G5" s="18">
        <f>B5-F5</f>
        <v>186426</v>
      </c>
      <c r="H5" s="19">
        <f t="shared" ref="H5:H16" si="1">IFERROR(G5/F5, 0)</f>
        <v>0</v>
      </c>
      <c r="I5" s="26" t="s">
        <v>364</v>
      </c>
      <c r="J5" s="26" t="s">
        <v>365</v>
      </c>
      <c r="O5" s="4"/>
    </row>
    <row r="6" spans="1:15" ht="14.25">
      <c r="A6" s="21" t="s">
        <v>275</v>
      </c>
      <c r="B6" s="15"/>
      <c r="C6" s="15"/>
      <c r="D6" s="15">
        <f t="shared" ref="D6:D11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4.25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4.25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4.25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4.25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4.25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4.25">
      <c r="A12" s="21" t="s">
        <v>281</v>
      </c>
      <c r="B12" s="15"/>
      <c r="C12" s="15"/>
      <c r="D12" s="15"/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/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4.25">
      <c r="A14" s="21" t="s">
        <v>283</v>
      </c>
      <c r="B14" s="15"/>
      <c r="C14" s="15"/>
      <c r="D14" s="15"/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4.25">
      <c r="A15" s="21" t="s">
        <v>284</v>
      </c>
      <c r="B15" s="28"/>
      <c r="C15" s="28"/>
      <c r="D15" s="15"/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4.25">
      <c r="A16" s="30" t="s">
        <v>285</v>
      </c>
      <c r="B16" s="50"/>
      <c r="C16" s="31"/>
      <c r="D16" s="31"/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22"/>
      <c r="J16" s="122"/>
    </row>
    <row r="17" spans="1:15" ht="14.25">
      <c r="A17" s="37" t="s">
        <v>286</v>
      </c>
      <c r="B17" s="38">
        <f>SUM(B5:B16)</f>
        <v>186426</v>
      </c>
      <c r="C17" s="38">
        <f t="shared" ref="C17:F17" si="4">SUM(C5:C16)</f>
        <v>0</v>
      </c>
      <c r="D17" s="38">
        <f>B17-C17</f>
        <v>186426</v>
      </c>
      <c r="E17" s="39">
        <f>IFERROR(D17/C17, 0)</f>
        <v>0</v>
      </c>
      <c r="F17" s="38">
        <f t="shared" si="4"/>
        <v>0</v>
      </c>
      <c r="G17" s="38">
        <f>B17-F17</f>
        <v>186426</v>
      </c>
      <c r="H17" s="40">
        <f>IFERROR(G17/F17, 0)</f>
        <v>0</v>
      </c>
      <c r="I17" s="41"/>
      <c r="J17" s="41"/>
    </row>
    <row r="18" spans="1:15">
      <c r="F18" s="10"/>
    </row>
    <row r="20" spans="1:15">
      <c r="L20" s="3"/>
      <c r="M20" s="3"/>
      <c r="N20" s="3"/>
      <c r="O20" s="3"/>
    </row>
    <row r="21" spans="1:15" ht="13.5">
      <c r="D21" s="134"/>
    </row>
    <row r="22" spans="1:15" ht="13.5">
      <c r="D22" s="134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481" priority="1" operator="lessThanOrEqual">
      <formula>-0.1</formula>
    </cfRule>
    <cfRule type="cellIs" dxfId="48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79C0-7A22-4A82-80D2-3598824F705D}">
  <sheetPr codeName="Sheet115">
    <tabColor theme="9"/>
  </sheetPr>
  <dimension ref="A1:O20"/>
  <sheetViews>
    <sheetView workbookViewId="0">
      <selection sqref="A1:XFD104857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2.85546875" customWidth="1"/>
    <col min="10" max="10" width="21.42578125" customWidth="1"/>
  </cols>
  <sheetData>
    <row r="1" spans="1:15" ht="25.15">
      <c r="A1" s="177" t="s">
        <v>204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4.25">
      <c r="A5" s="13" t="s">
        <v>274</v>
      </c>
      <c r="B5" s="14">
        <v>108825</v>
      </c>
      <c r="C5" s="14">
        <v>0</v>
      </c>
      <c r="D5" s="15">
        <f>B5-C5</f>
        <v>108825</v>
      </c>
      <c r="E5" s="16">
        <f t="shared" ref="E5:E16" si="0">IFERROR(D5/C5, 0)</f>
        <v>0</v>
      </c>
      <c r="F5" s="17">
        <v>0</v>
      </c>
      <c r="G5" s="18">
        <f>B5-F5</f>
        <v>108825</v>
      </c>
      <c r="H5" s="19">
        <f t="shared" ref="H5:H16" si="1">IFERROR(G5/F5, 0)</f>
        <v>0</v>
      </c>
      <c r="I5" s="26" t="s">
        <v>366</v>
      </c>
      <c r="J5" s="27" t="s">
        <v>367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3"/>
      <c r="J15" s="27"/>
    </row>
    <row r="16" spans="1:15" ht="13.15" customHeight="1">
      <c r="A16" s="30" t="s">
        <v>285</v>
      </c>
      <c r="B16" s="50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108825</v>
      </c>
      <c r="C17" s="38">
        <f t="shared" ref="C17:F17" si="4">SUM(C5:C16)</f>
        <v>0</v>
      </c>
      <c r="D17" s="38">
        <f>B17-C17</f>
        <v>108825</v>
      </c>
      <c r="E17" s="39">
        <f>IFERROR(D17/C17, 0)</f>
        <v>0</v>
      </c>
      <c r="F17" s="38">
        <f t="shared" si="4"/>
        <v>0</v>
      </c>
      <c r="G17" s="38">
        <f>B17-F17</f>
        <v>108825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465" priority="1" operator="lessThanOrEqual">
      <formula>-0.1</formula>
    </cfRule>
    <cfRule type="cellIs" dxfId="46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FC96-FB84-42D5-9134-ECFF699FFD89}">
  <sheetPr>
    <tabColor theme="9"/>
  </sheetPr>
  <dimension ref="A1:O20"/>
  <sheetViews>
    <sheetView workbookViewId="0">
      <selection activeCell="I9" sqref="I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2.85546875" customWidth="1"/>
    <col min="10" max="10" width="21.42578125" customWidth="1"/>
  </cols>
  <sheetData>
    <row r="1" spans="1:15" ht="25.15">
      <c r="A1" s="177" t="s">
        <v>205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4.25">
      <c r="A5" s="13" t="s">
        <v>274</v>
      </c>
      <c r="B5" s="14">
        <v>0</v>
      </c>
      <c r="C5" s="14">
        <v>0</v>
      </c>
      <c r="D5" s="15">
        <f>B5-C5</f>
        <v>0</v>
      </c>
      <c r="E5" s="16">
        <f t="shared" ref="E5:E16" si="0">IFERROR(D5/C5, 0)</f>
        <v>0</v>
      </c>
      <c r="F5" s="17">
        <v>0</v>
      </c>
      <c r="G5" s="18">
        <f>B5-F5</f>
        <v>0</v>
      </c>
      <c r="H5" s="19">
        <f t="shared" ref="H5:H16" si="1">IFERROR(G5/F5, 0)</f>
        <v>0</v>
      </c>
      <c r="I5" s="26" t="s">
        <v>368</v>
      </c>
      <c r="J5" s="27"/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3"/>
      <c r="J15" s="27"/>
    </row>
    <row r="16" spans="1:15" ht="13.15" customHeight="1">
      <c r="A16" s="30" t="s">
        <v>285</v>
      </c>
      <c r="B16" s="50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0</v>
      </c>
      <c r="C17" s="38">
        <f t="shared" ref="C17:F17" si="4">SUM(C5:C16)</f>
        <v>0</v>
      </c>
      <c r="D17" s="38">
        <f>B17-C17</f>
        <v>0</v>
      </c>
      <c r="E17" s="39">
        <f>IFERROR(D17/C17, 0)</f>
        <v>0</v>
      </c>
      <c r="F17" s="38">
        <f t="shared" si="4"/>
        <v>0</v>
      </c>
      <c r="G17" s="38">
        <f>B17-F17</f>
        <v>0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449" priority="1" operator="lessThanOrEqual">
      <formula>-0.1</formula>
    </cfRule>
    <cfRule type="cellIs" dxfId="448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35B0-B0E0-4467-A7F5-2DABB45A6D99}">
  <sheetPr>
    <tabColor theme="9"/>
  </sheetPr>
  <dimension ref="A1:O20"/>
  <sheetViews>
    <sheetView workbookViewId="0">
      <selection activeCell="I28" sqref="I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2.85546875" customWidth="1"/>
    <col min="10" max="10" width="21.42578125" customWidth="1"/>
  </cols>
  <sheetData>
    <row r="1" spans="1:15" ht="25.15">
      <c r="A1" s="177" t="s">
        <v>206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4.25">
      <c r="A5" s="13" t="s">
        <v>274</v>
      </c>
      <c r="B5" s="14">
        <v>148695.250778894</v>
      </c>
      <c r="C5" s="14">
        <v>188962.4</v>
      </c>
      <c r="D5" s="15">
        <f>B5-C5</f>
        <v>-40267.149221105996</v>
      </c>
      <c r="E5" s="16">
        <f t="shared" ref="E5:E16" si="0">IFERROR(D5/C5, 0)</f>
        <v>-0.21309609330272053</v>
      </c>
      <c r="F5" s="17">
        <v>269901.7</v>
      </c>
      <c r="G5" s="18">
        <f>B5-F5</f>
        <v>-121206.44922110601</v>
      </c>
      <c r="H5" s="19">
        <f t="shared" ref="H5:H16" si="1">IFERROR(G5/F5, 0)</f>
        <v>-0.44907627192087346</v>
      </c>
      <c r="I5" s="26" t="s">
        <v>369</v>
      </c>
      <c r="J5" s="27" t="s">
        <v>370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3"/>
      <c r="J15" s="27"/>
    </row>
    <row r="16" spans="1:15" ht="13.15" customHeight="1">
      <c r="A16" s="30" t="s">
        <v>285</v>
      </c>
      <c r="B16" s="50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148695.250778894</v>
      </c>
      <c r="C17" s="38">
        <f t="shared" ref="C17:F17" si="4">SUM(C5:C16)</f>
        <v>188962.4</v>
      </c>
      <c r="D17" s="38">
        <f>B17-C17</f>
        <v>-40267.149221105996</v>
      </c>
      <c r="E17" s="39">
        <f>IFERROR(D17/C17, 0)</f>
        <v>-0.21309609330272053</v>
      </c>
      <c r="F17" s="38">
        <f t="shared" si="4"/>
        <v>269901.7</v>
      </c>
      <c r="G17" s="38">
        <f>B17-F17</f>
        <v>-121206.44922110601</v>
      </c>
      <c r="H17" s="40">
        <f>IFERROR(G17/F17, 0)</f>
        <v>-0.44907627192087346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433" priority="1" operator="lessThanOrEqual">
      <formula>-0.1</formula>
    </cfRule>
    <cfRule type="cellIs" dxfId="432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C48E-C308-4CCB-A8CE-4EED9542797A}">
  <sheetPr>
    <tabColor theme="9"/>
  </sheetPr>
  <dimension ref="A1:O20"/>
  <sheetViews>
    <sheetView workbookViewId="0">
      <selection activeCell="I20" sqref="I2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7" customWidth="1"/>
    <col min="10" max="10" width="21.42578125" customWidth="1"/>
  </cols>
  <sheetData>
    <row r="1" spans="1:15" ht="25.15">
      <c r="A1" s="177" t="s">
        <v>207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5" thickBot="1">
      <c r="A2" s="9"/>
      <c r="B2" s="9"/>
      <c r="C2" s="9"/>
      <c r="D2" s="9"/>
      <c r="E2" s="9"/>
    </row>
    <row r="3" spans="1:15" ht="15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thickBo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57">
      <c r="A5" s="13" t="s">
        <v>274</v>
      </c>
      <c r="B5" s="14">
        <v>28249.4825870647</v>
      </c>
      <c r="C5" s="14">
        <v>48018.29</v>
      </c>
      <c r="D5" s="15">
        <f>B5-C5</f>
        <v>-19768.807412935301</v>
      </c>
      <c r="E5" s="16">
        <f t="shared" ref="E5:E16" si="0">IFERROR(D5/C5, 0)</f>
        <v>-0.41169328214176931</v>
      </c>
      <c r="F5" s="17">
        <v>258654.9</v>
      </c>
      <c r="G5" s="18">
        <f>B5-F5</f>
        <v>-230405.41741293529</v>
      </c>
      <c r="H5" s="19">
        <f t="shared" ref="H5:H16" si="1">IFERROR(G5/F5, 0)</f>
        <v>-0.89078311453962522</v>
      </c>
      <c r="I5" s="26" t="s">
        <v>371</v>
      </c>
      <c r="J5" s="26" t="s">
        <v>372</v>
      </c>
      <c r="O5" s="4"/>
    </row>
    <row r="6" spans="1:15" ht="14.25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4.25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4.25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4.25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4.25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4.25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4.25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4.25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4.25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73"/>
      <c r="J15" s="27"/>
    </row>
    <row r="16" spans="1:15" ht="14.25">
      <c r="A16" s="30" t="s">
        <v>285</v>
      </c>
      <c r="B16" s="50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4.25">
      <c r="A17" s="37" t="s">
        <v>286</v>
      </c>
      <c r="B17" s="38">
        <f>SUM(B5:B16)</f>
        <v>28249.4825870647</v>
      </c>
      <c r="C17" s="38">
        <f t="shared" ref="C17:F17" si="4">SUM(C5:C16)</f>
        <v>48018.29</v>
      </c>
      <c r="D17" s="38">
        <f>B17-C17</f>
        <v>-19768.807412935301</v>
      </c>
      <c r="E17" s="39">
        <f>IFERROR(D17/C17, 0)</f>
        <v>-0.41169328214176931</v>
      </c>
      <c r="F17" s="38">
        <f t="shared" si="4"/>
        <v>258654.9</v>
      </c>
      <c r="G17" s="38">
        <f>B17-F17</f>
        <v>-230405.41741293529</v>
      </c>
      <c r="H17" s="40">
        <f>IFERROR(G17/F17, 0)</f>
        <v>-0.89078311453962522</v>
      </c>
      <c r="I17" s="41"/>
      <c r="J17" s="41"/>
    </row>
    <row r="18" spans="1:15">
      <c r="F18" s="10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417" priority="1" operator="lessThanOrEqual">
      <formula>-0.1</formula>
    </cfRule>
    <cfRule type="cellIs" dxfId="416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9567-EE4F-4DC7-9EE9-122E9896565F}">
  <sheetPr codeName="Sheet116">
    <tabColor rgb="FFFF0000"/>
  </sheetPr>
  <dimension ref="A1:O20"/>
  <sheetViews>
    <sheetView workbookViewId="0">
      <selection activeCell="G37" sqref="G3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209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870</v>
      </c>
      <c r="C5" s="14">
        <v>1507.5250000000001</v>
      </c>
      <c r="D5" s="15">
        <f>B5-C5</f>
        <v>-637.52500000000009</v>
      </c>
      <c r="E5" s="16">
        <f t="shared" ref="E5:E16" si="0">IFERROR(D5/C5, 0)</f>
        <v>-0.42289514270078443</v>
      </c>
      <c r="F5" s="17">
        <v>2164.9670000000001</v>
      </c>
      <c r="G5" s="18">
        <f>B5-F5</f>
        <v>-1294.9670000000001</v>
      </c>
      <c r="H5" s="19">
        <f t="shared" ref="H5:H16" si="1">IFERROR(G5/F5, 0)</f>
        <v>-0.59814629968955646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27"/>
      <c r="J16" s="27"/>
    </row>
    <row r="17" spans="1:15" ht="13.15" customHeight="1">
      <c r="A17" s="37" t="s">
        <v>286</v>
      </c>
      <c r="B17" s="38">
        <f>SUM(B5:B16)</f>
        <v>870</v>
      </c>
      <c r="C17" s="38">
        <f t="shared" ref="C17:F17" si="4">SUM(C5:C16)</f>
        <v>1507.5250000000001</v>
      </c>
      <c r="D17" s="38">
        <f>B17-C17</f>
        <v>-637.52500000000009</v>
      </c>
      <c r="E17" s="39">
        <f>IFERROR(D17/C17, 0)</f>
        <v>-0.42289514270078443</v>
      </c>
      <c r="F17" s="38">
        <f t="shared" si="4"/>
        <v>2164.9670000000001</v>
      </c>
      <c r="G17" s="38">
        <f>B17-F17</f>
        <v>-1294.9670000000001</v>
      </c>
      <c r="H17" s="40">
        <f>IFERROR(G17/F17, 0)</f>
        <v>-0.59814629968955646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401" priority="1" operator="lessThanOrEqual">
      <formula>-0.1</formula>
    </cfRule>
    <cfRule type="cellIs" dxfId="40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1F32-1624-414A-9DB0-469F9BEC4AF5}">
  <sheetPr codeName="Sheet117">
    <tabColor rgb="FFFF0000"/>
  </sheetPr>
  <dimension ref="A1:O20"/>
  <sheetViews>
    <sheetView workbookViewId="0">
      <selection activeCell="H36" sqref="H3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212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2505.62</v>
      </c>
      <c r="C5" s="14">
        <v>4293.1019999999999</v>
      </c>
      <c r="D5" s="15">
        <f>B5-C5</f>
        <v>-1787.482</v>
      </c>
      <c r="E5" s="16">
        <f t="shared" ref="E5:E16" si="0">IFERROR(D5/C5, 0)</f>
        <v>-0.41636140953557593</v>
      </c>
      <c r="F5" s="17">
        <v>5237.6580000000004</v>
      </c>
      <c r="G5" s="18">
        <f>B5-F5</f>
        <v>-2732.0380000000005</v>
      </c>
      <c r="H5" s="19">
        <f t="shared" ref="H5:H16" si="1">IFERROR(G5/F5, 0)</f>
        <v>-0.52161443148827213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2505.62</v>
      </c>
      <c r="C17" s="38">
        <f t="shared" ref="C17:F17" si="4">SUM(C5:C16)</f>
        <v>4293.1019999999999</v>
      </c>
      <c r="D17" s="38">
        <f>B17-C17</f>
        <v>-1787.482</v>
      </c>
      <c r="E17" s="39">
        <f>IFERROR(D17/C17, 0)</f>
        <v>-0.41636140953557593</v>
      </c>
      <c r="F17" s="38">
        <f t="shared" si="4"/>
        <v>5237.6580000000004</v>
      </c>
      <c r="G17" s="38">
        <f>B17-F17</f>
        <v>-2732.0380000000005</v>
      </c>
      <c r="H17" s="40">
        <f>IFERROR(G17/F17, 0)</f>
        <v>-0.52161443148827213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85" priority="1" operator="lessThanOrEqual">
      <formula>-0.1</formula>
    </cfRule>
    <cfRule type="cellIs" dxfId="38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E734-859B-4967-A026-0CB8FCF58B6B}">
  <sheetPr codeName="Sheet118">
    <tabColor rgb="FFFF0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214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385</v>
      </c>
      <c r="C5" s="14">
        <v>590.59410000000003</v>
      </c>
      <c r="D5" s="15">
        <f>B5-C5</f>
        <v>-205.59410000000003</v>
      </c>
      <c r="E5" s="16">
        <f t="shared" ref="E5:E16" si="0">IFERROR(D5/C5, 0)</f>
        <v>-0.34811404313046812</v>
      </c>
      <c r="F5" s="17">
        <v>808.99249999999995</v>
      </c>
      <c r="G5" s="18">
        <f>B5-F5</f>
        <v>-423.99249999999995</v>
      </c>
      <c r="H5" s="19">
        <f t="shared" ref="H5:H16" si="1">IFERROR(G5/F5, 0)</f>
        <v>-0.52409941995753972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385</v>
      </c>
      <c r="C17" s="38">
        <f t="shared" ref="C17:F17" si="4">SUM(C5:C16)</f>
        <v>590.59410000000003</v>
      </c>
      <c r="D17" s="38">
        <f>B17-C17</f>
        <v>-205.59410000000003</v>
      </c>
      <c r="E17" s="39">
        <f>IFERROR(D17/C17, 0)</f>
        <v>-0.34811404313046812</v>
      </c>
      <c r="F17" s="38">
        <f t="shared" si="4"/>
        <v>808.99249999999995</v>
      </c>
      <c r="G17" s="38">
        <f>B17-F17</f>
        <v>-423.99249999999995</v>
      </c>
      <c r="H17" s="40">
        <f>IFERROR(G17/F17, 0)</f>
        <v>-0.52409941995753972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69" priority="1" operator="lessThanOrEqual">
      <formula>-0.1</formula>
    </cfRule>
    <cfRule type="cellIs" dxfId="36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FA7B-B472-4AF5-A68D-D997DE50302E}">
  <sheetPr codeName="Sheet119">
    <tabColor rgb="FFFF0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216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398</v>
      </c>
      <c r="C5" s="14">
        <v>563.71370000000002</v>
      </c>
      <c r="D5" s="15">
        <f>B5-C5</f>
        <v>-165.71370000000002</v>
      </c>
      <c r="E5" s="16">
        <f t="shared" ref="E5:E16" si="0">IFERROR(D5/C5, 0)</f>
        <v>-0.2939678421865568</v>
      </c>
      <c r="F5" s="17">
        <v>862.08870000000002</v>
      </c>
      <c r="G5" s="18">
        <f>B5-F5</f>
        <v>-464.08870000000002</v>
      </c>
      <c r="H5" s="19">
        <f t="shared" ref="H5:H16" si="1">IFERROR(G5/F5, 0)</f>
        <v>-0.53833056853662509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398</v>
      </c>
      <c r="C17" s="38">
        <f t="shared" ref="C17:F17" si="4">SUM(C5:C16)</f>
        <v>563.71370000000002</v>
      </c>
      <c r="D17" s="38">
        <f>B17-C17</f>
        <v>-165.71370000000002</v>
      </c>
      <c r="E17" s="39">
        <f>IFERROR(D17/C17, 0)</f>
        <v>-0.2939678421865568</v>
      </c>
      <c r="F17" s="38">
        <f t="shared" si="4"/>
        <v>862.08870000000002</v>
      </c>
      <c r="G17" s="38">
        <f>B17-F17</f>
        <v>-464.08870000000002</v>
      </c>
      <c r="H17" s="40">
        <f>IFERROR(G17/F17, 0)</f>
        <v>-0.53833056853662509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53" priority="1" operator="lessThanOrEqual">
      <formula>-0.1</formula>
    </cfRule>
    <cfRule type="cellIs" dxfId="35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DED3-5E74-4DB9-9D27-C7F3D02BB435}">
  <sheetPr codeName="Sheet120">
    <tabColor rgb="FFFF0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218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464</v>
      </c>
      <c r="C5" s="14">
        <v>551.17399999999998</v>
      </c>
      <c r="D5" s="15">
        <f>B5-C5</f>
        <v>-87.173999999999978</v>
      </c>
      <c r="E5" s="16">
        <f t="shared" ref="E5:E16" si="0">IFERROR(D5/C5, 0)</f>
        <v>-0.15816058086919918</v>
      </c>
      <c r="F5" s="17">
        <v>893</v>
      </c>
      <c r="G5" s="18">
        <f>B5-F5</f>
        <v>-429</v>
      </c>
      <c r="H5" s="19">
        <f t="shared" ref="H5:H16" si="1">IFERROR(G5/F5, 0)</f>
        <v>-0.48040313549832026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464</v>
      </c>
      <c r="C17" s="38">
        <f t="shared" ref="C17:F17" si="4">SUM(C5:C16)</f>
        <v>551.17399999999998</v>
      </c>
      <c r="D17" s="38">
        <f>B17-C17</f>
        <v>-87.173999999999978</v>
      </c>
      <c r="E17" s="39">
        <f>IFERROR(D17/C17, 0)</f>
        <v>-0.15816058086919918</v>
      </c>
      <c r="F17" s="38">
        <f t="shared" si="4"/>
        <v>893</v>
      </c>
      <c r="G17" s="38">
        <f>B17-F17</f>
        <v>-429</v>
      </c>
      <c r="H17" s="40">
        <f>IFERROR(G17/F17, 0)</f>
        <v>-0.48040313549832026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37" priority="1" operator="lessThanOrEqual">
      <formula>-0.1</formula>
    </cfRule>
    <cfRule type="cellIs" dxfId="33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9C5D-98B9-4E42-9212-14B5CDC080C3}">
  <sheetPr codeName="Sheet121">
    <tabColor rgb="FFFF0000"/>
  </sheetPr>
  <dimension ref="A1:O24"/>
  <sheetViews>
    <sheetView workbookViewId="0">
      <selection activeCell="I27" sqref="I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220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3000</v>
      </c>
      <c r="C5" s="14">
        <v>0</v>
      </c>
      <c r="D5" s="15">
        <f>B5-C5</f>
        <v>3000</v>
      </c>
      <c r="E5" s="16">
        <f t="shared" ref="E5:E16" si="0">IFERROR(D5/C5, 0)</f>
        <v>0</v>
      </c>
      <c r="F5" s="17">
        <v>2819</v>
      </c>
      <c r="G5" s="18">
        <f>B5-F5</f>
        <v>181</v>
      </c>
      <c r="H5" s="19">
        <f t="shared" ref="H5:H16" si="1">IFERROR(G5/F5, 0)</f>
        <v>6.4207165661582119E-2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0" t="s">
        <v>46</v>
      </c>
    </row>
    <row r="16" spans="1:15" ht="13.15" customHeight="1">
      <c r="A16" s="30" t="s">
        <v>285</v>
      </c>
      <c r="B16" s="50"/>
      <c r="C16" s="31"/>
      <c r="D16" s="31">
        <f t="shared" si="2"/>
        <v>0</v>
      </c>
      <c r="E16" s="32">
        <f t="shared" si="0"/>
        <v>0</v>
      </c>
      <c r="F16" s="52"/>
      <c r="G16" s="34">
        <f t="shared" si="3"/>
        <v>0</v>
      </c>
      <c r="H16" s="35">
        <f t="shared" si="1"/>
        <v>0</v>
      </c>
      <c r="I16" s="108"/>
      <c r="J16" s="36" t="s">
        <v>46</v>
      </c>
    </row>
    <row r="17" spans="1:15" ht="13.15" customHeight="1">
      <c r="A17" s="37" t="s">
        <v>286</v>
      </c>
      <c r="B17" s="38">
        <f>SUM(B5:B16)</f>
        <v>3000</v>
      </c>
      <c r="C17" s="38">
        <f t="shared" ref="C17:F17" si="4">SUM(C5:C16)</f>
        <v>0</v>
      </c>
      <c r="D17" s="38">
        <f>B17-C17</f>
        <v>3000</v>
      </c>
      <c r="E17" s="39">
        <f>IFERROR(D17/C17, 0)</f>
        <v>0</v>
      </c>
      <c r="F17" s="38">
        <f t="shared" si="4"/>
        <v>2819</v>
      </c>
      <c r="G17" s="38">
        <f>B17-F17</f>
        <v>181</v>
      </c>
      <c r="H17" s="40">
        <f>IFERROR(G17/F17, 0)</f>
        <v>6.4207165661582119E-2</v>
      </c>
      <c r="I17" s="41"/>
      <c r="J17" s="41"/>
    </row>
    <row r="18" spans="1:15">
      <c r="F18" s="10"/>
    </row>
    <row r="20" spans="1:15" ht="13.5" customHeight="1">
      <c r="D20" s="134"/>
      <c r="E20" s="134"/>
      <c r="F20" s="134"/>
      <c r="G20" s="135"/>
      <c r="H20" s="136"/>
      <c r="L20" s="3"/>
      <c r="M20" s="3"/>
      <c r="N20" s="3"/>
      <c r="O20" s="3"/>
    </row>
    <row r="21" spans="1:15" ht="13.5">
      <c r="D21" s="134"/>
      <c r="E21" s="134"/>
      <c r="F21" s="134"/>
      <c r="G21" s="135"/>
      <c r="H21" s="136"/>
    </row>
    <row r="22" spans="1:15" ht="13.5">
      <c r="D22" s="134"/>
      <c r="E22" s="134"/>
      <c r="F22" s="134"/>
      <c r="G22" s="135"/>
      <c r="H22" s="136"/>
    </row>
    <row r="23" spans="1:15" ht="13.5">
      <c r="D23" s="134"/>
      <c r="E23" s="134"/>
      <c r="F23" s="134"/>
      <c r="G23" s="135"/>
      <c r="H23" s="136"/>
    </row>
    <row r="24" spans="1:15" ht="13.5">
      <c r="D24" s="134"/>
      <c r="E24" s="134"/>
      <c r="F24" s="134"/>
      <c r="G24" s="135"/>
      <c r="H24" s="136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21" priority="3" operator="lessThanOrEqual">
      <formula>-0.1</formula>
    </cfRule>
    <cfRule type="cellIs" dxfId="320" priority="4" operator="greaterThan">
      <formula>0.1</formula>
    </cfRule>
  </conditionalFormatting>
  <conditionalFormatting sqref="G20:G24">
    <cfRule type="cellIs" dxfId="319" priority="1" operator="lessThanOrEqual">
      <formula>-0.1</formula>
    </cfRule>
    <cfRule type="cellIs" dxfId="318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34C2-7D73-47D8-AF0B-EE50B5515F99}">
  <sheetPr codeName="Sheet122">
    <tabColor rgb="FFFF0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223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17646</v>
      </c>
      <c r="C5" s="14">
        <v>0</v>
      </c>
      <c r="D5" s="15">
        <f>B5-C5</f>
        <v>17646</v>
      </c>
      <c r="E5" s="16">
        <f t="shared" ref="E5:E16" si="0">IFERROR(D5/C5, 0)</f>
        <v>0</v>
      </c>
      <c r="F5" s="17">
        <v>28692</v>
      </c>
      <c r="G5" s="18">
        <f>B5-F5</f>
        <v>-11046</v>
      </c>
      <c r="H5" s="19">
        <f t="shared" ref="H5:H16" si="1">IFERROR(G5/F5, 0)</f>
        <v>-0.3849853617733166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52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17646</v>
      </c>
      <c r="C17" s="38">
        <f t="shared" ref="C17:F17" si="4">SUM(C5:C16)</f>
        <v>0</v>
      </c>
      <c r="D17" s="38">
        <f>B17-C17</f>
        <v>17646</v>
      </c>
      <c r="E17" s="39">
        <f>IFERROR(D17/C17, 0)</f>
        <v>0</v>
      </c>
      <c r="F17" s="38">
        <f t="shared" si="4"/>
        <v>28692</v>
      </c>
      <c r="G17" s="38">
        <f>B17-F17</f>
        <v>-11046</v>
      </c>
      <c r="H17" s="40">
        <f>IFERROR(G17/F17, 0)</f>
        <v>-0.3849853617733166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03" priority="1" operator="lessThanOrEqual">
      <formula>-0.1</formula>
    </cfRule>
    <cfRule type="cellIs" dxfId="30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AFFB-2E9E-4801-AB36-99C8C32E5568}">
  <sheetPr codeName="Sheet123">
    <tabColor rgb="FFFF0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225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7263</v>
      </c>
      <c r="C5" s="14">
        <v>10662</v>
      </c>
      <c r="D5" s="15">
        <f>B5-C5</f>
        <v>-3399</v>
      </c>
      <c r="E5" s="16">
        <f t="shared" ref="E5:E16" si="0">IFERROR(D5/C5, 0)</f>
        <v>-0.31879572312886889</v>
      </c>
      <c r="F5" s="17">
        <v>16720</v>
      </c>
      <c r="G5" s="18">
        <f>B5-F5</f>
        <v>-9457</v>
      </c>
      <c r="H5" s="19">
        <f t="shared" ref="H5:H16" si="1">IFERROR(G5/F5, 0)</f>
        <v>-0.56561004784688995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50"/>
      <c r="C16" s="31"/>
      <c r="D16" s="31">
        <f t="shared" si="2"/>
        <v>0</v>
      </c>
      <c r="E16" s="32">
        <f t="shared" si="0"/>
        <v>0</v>
      </c>
      <c r="F16" s="52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7263</v>
      </c>
      <c r="C17" s="38">
        <f t="shared" ref="C17:F17" si="4">SUM(C5:C16)</f>
        <v>10662</v>
      </c>
      <c r="D17" s="38">
        <f>B17-C17</f>
        <v>-3399</v>
      </c>
      <c r="E17" s="39">
        <f>IFERROR(D17/C17, 0)</f>
        <v>-0.31879572312886889</v>
      </c>
      <c r="F17" s="38">
        <f t="shared" si="4"/>
        <v>16720</v>
      </c>
      <c r="G17" s="38">
        <f>B17-F17</f>
        <v>-9457</v>
      </c>
      <c r="H17" s="40">
        <f>IFERROR(G17/F17, 0)</f>
        <v>-0.56561004784688995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87" priority="1" operator="lessThanOrEqual">
      <formula>-0.1</formula>
    </cfRule>
    <cfRule type="cellIs" dxfId="28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462A-F5CF-4CA7-ACF1-8BAD8FE1970D}">
  <sheetPr codeName="Sheet124">
    <tabColor rgb="FFFF0000"/>
  </sheetPr>
  <dimension ref="A1:O20"/>
  <sheetViews>
    <sheetView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227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8344</v>
      </c>
      <c r="C5" s="14">
        <v>7977.7489999999998</v>
      </c>
      <c r="D5" s="15">
        <f>B5-C5</f>
        <v>366.2510000000002</v>
      </c>
      <c r="E5" s="16">
        <f t="shared" ref="E5:E16" si="0">IFERROR(D5/C5, 0)</f>
        <v>4.5909065326572726E-2</v>
      </c>
      <c r="F5" s="17">
        <v>10288</v>
      </c>
      <c r="G5" s="18">
        <f>B5-F5</f>
        <v>-1944</v>
      </c>
      <c r="H5" s="19">
        <f t="shared" ref="H5:H16" si="1">IFERROR(G5/F5, 0)</f>
        <v>-0.18895800933125972</v>
      </c>
      <c r="I5" s="27" t="s">
        <v>373</v>
      </c>
      <c r="J5" s="27" t="s">
        <v>374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27"/>
    </row>
    <row r="17" spans="1:15" ht="13.15" customHeight="1">
      <c r="A17" s="37" t="s">
        <v>286</v>
      </c>
      <c r="B17" s="38">
        <f>SUM(B5:B16)</f>
        <v>8344</v>
      </c>
      <c r="C17" s="38">
        <f t="shared" ref="C17:F17" si="4">SUM(C5:C16)</f>
        <v>7977.7489999999998</v>
      </c>
      <c r="D17" s="38">
        <f>B17-C17</f>
        <v>366.2510000000002</v>
      </c>
      <c r="E17" s="39">
        <f>IFERROR(D17/C17, 0)</f>
        <v>4.5909065326572726E-2</v>
      </c>
      <c r="F17" s="38">
        <f t="shared" si="4"/>
        <v>10288</v>
      </c>
      <c r="G17" s="38">
        <f>B17-F17</f>
        <v>-1944</v>
      </c>
      <c r="H17" s="40">
        <f>IFERROR(G17/F17, 0)</f>
        <v>-0.18895800933125972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71" priority="1" operator="lessThanOrEqual">
      <formula>-0.1</formula>
    </cfRule>
    <cfRule type="cellIs" dxfId="27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B728-BC19-4DBA-A93E-B65D36A34174}">
  <sheetPr codeName="Sheet125">
    <tabColor rgb="FFFF0000"/>
  </sheetPr>
  <dimension ref="A1:O20"/>
  <sheetViews>
    <sheetView workbookViewId="0">
      <selection activeCell="I22" sqref="I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230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7031</v>
      </c>
      <c r="C5" s="14">
        <v>7601.15</v>
      </c>
      <c r="D5" s="15">
        <f>B5-C5</f>
        <v>-570.14999999999964</v>
      </c>
      <c r="E5" s="16">
        <f t="shared" ref="E5:E16" si="0">IFERROR(D5/C5, 0)</f>
        <v>-7.5008386888825995E-2</v>
      </c>
      <c r="F5" s="17">
        <v>10288</v>
      </c>
      <c r="G5" s="18">
        <f>B5-F5</f>
        <v>-3257</v>
      </c>
      <c r="H5" s="19">
        <f t="shared" ref="H5:H16" si="1">IFERROR(G5/F5, 0)</f>
        <v>-0.31658242612752724</v>
      </c>
      <c r="I5" s="27" t="s">
        <v>375</v>
      </c>
      <c r="J5" s="27" t="s">
        <v>376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19"/>
    </row>
    <row r="17" spans="1:15" ht="13.15" customHeight="1">
      <c r="A17" s="37" t="s">
        <v>286</v>
      </c>
      <c r="B17" s="38">
        <f>SUM(B5:B16)</f>
        <v>7031</v>
      </c>
      <c r="C17" s="38">
        <f t="shared" ref="C17:F17" si="4">SUM(C5:C16)</f>
        <v>7601.15</v>
      </c>
      <c r="D17" s="38">
        <f>B17-C17</f>
        <v>-570.14999999999964</v>
      </c>
      <c r="E17" s="39">
        <f>IFERROR(D17/C17, 0)</f>
        <v>-7.5008386888825995E-2</v>
      </c>
      <c r="F17" s="38">
        <f t="shared" si="4"/>
        <v>10288</v>
      </c>
      <c r="G17" s="38">
        <f>B17-F17</f>
        <v>-3257</v>
      </c>
      <c r="H17" s="40">
        <f>IFERROR(G17/F17, 0)</f>
        <v>-0.31658242612752724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55" priority="1" operator="lessThanOrEqual">
      <formula>-0.1</formula>
    </cfRule>
    <cfRule type="cellIs" dxfId="25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FF92-7DA4-436A-A42E-E696B0A7E510}">
  <sheetPr codeName="Sheet126">
    <tabColor rgb="FFFF0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232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82202</v>
      </c>
      <c r="C5" s="14">
        <v>92318.48</v>
      </c>
      <c r="D5" s="15">
        <f>B5-C5</f>
        <v>-10116.479999999996</v>
      </c>
      <c r="E5" s="16">
        <f t="shared" ref="E5:E16" si="0">IFERROR(D5/C5, 0)</f>
        <v>-0.10958239347094965</v>
      </c>
      <c r="F5" s="17">
        <v>127325.2</v>
      </c>
      <c r="G5" s="18">
        <f>B5-F5</f>
        <v>-45123.199999999997</v>
      </c>
      <c r="H5" s="19">
        <f t="shared" ref="H5:H16" si="1">IFERROR(G5/F5, 0)</f>
        <v>-0.35439331726948003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4.25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6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82202</v>
      </c>
      <c r="C17" s="38">
        <f t="shared" ref="C17:F17" si="4">SUM(C5:C16)</f>
        <v>92318.48</v>
      </c>
      <c r="D17" s="38">
        <f>B17-C17</f>
        <v>-10116.479999999996</v>
      </c>
      <c r="E17" s="39">
        <f>IFERROR(D17/C17, 0)</f>
        <v>-0.10958239347094965</v>
      </c>
      <c r="F17" s="38">
        <f t="shared" si="4"/>
        <v>127325.2</v>
      </c>
      <c r="G17" s="38">
        <f>B17-F17</f>
        <v>-45123.199999999997</v>
      </c>
      <c r="H17" s="40">
        <f>IFERROR(G17/F17, 0)</f>
        <v>-0.35439331726948003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39" priority="1" operator="lessThanOrEqual">
      <formula>-0.1</formula>
    </cfRule>
    <cfRule type="cellIs" dxfId="23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9C4F-67FD-4196-980A-6D245A8A6B19}">
  <sheetPr codeName="Sheet127">
    <tabColor rgb="FFFF0000"/>
  </sheetPr>
  <dimension ref="A1:O20"/>
  <sheetViews>
    <sheetView workbookViewId="0">
      <selection activeCell="H5" sqref="H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235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86841</v>
      </c>
      <c r="C5" s="14">
        <v>66423.12</v>
      </c>
      <c r="D5" s="15">
        <f>B5-C5</f>
        <v>20417.880000000005</v>
      </c>
      <c r="E5" s="16">
        <f t="shared" ref="E5:E16" si="0">IFERROR(D5/C5, 0)</f>
        <v>0.30739116139079292</v>
      </c>
      <c r="F5" s="17">
        <v>6278.299</v>
      </c>
      <c r="G5" s="18">
        <f>B5-F5</f>
        <v>80562.701000000001</v>
      </c>
      <c r="H5" s="19">
        <f t="shared" ref="H5:H16" si="1">IFERROR(G5/F5, 0)</f>
        <v>12.831931228506321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3.15" customHeight="1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20"/>
      <c r="J13" s="20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86841</v>
      </c>
      <c r="C17" s="38">
        <f t="shared" ref="C17:F17" si="4">SUM(C5:C16)</f>
        <v>66423.12</v>
      </c>
      <c r="D17" s="38">
        <f>B17-C17</f>
        <v>20417.880000000005</v>
      </c>
      <c r="E17" s="39">
        <f>IFERROR(D17/C17, 0)</f>
        <v>0.30739116139079292</v>
      </c>
      <c r="F17" s="38">
        <f t="shared" si="4"/>
        <v>6278.299</v>
      </c>
      <c r="G17" s="38">
        <f>B17-F17</f>
        <v>80562.701000000001</v>
      </c>
      <c r="H17" s="40">
        <f>IFERROR(G17/F17, 0)</f>
        <v>12.831931228506321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23" priority="1" operator="lessThanOrEqual">
      <formula>-0.1</formula>
    </cfRule>
    <cfRule type="cellIs" dxfId="22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B892-43FB-4360-BBBB-43E0B5FD19DC}">
  <sheetPr codeName="Sheet128">
    <tabColor rgb="FFFF0000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237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17577</v>
      </c>
      <c r="C5" s="14">
        <v>15476.68</v>
      </c>
      <c r="D5" s="15">
        <f>B5-C5</f>
        <v>2100.3199999999997</v>
      </c>
      <c r="E5" s="16">
        <f t="shared" ref="E5:E16" si="0">IFERROR(D5/C5, 0)</f>
        <v>0.13570869204506392</v>
      </c>
      <c r="F5" s="17">
        <v>18224</v>
      </c>
      <c r="G5" s="18">
        <f>B5-F5</f>
        <v>-647</v>
      </c>
      <c r="H5" s="19">
        <f t="shared" ref="H5:H16" si="1">IFERROR(G5/F5, 0)</f>
        <v>-3.5502633889376647E-2</v>
      </c>
      <c r="I5" s="27" t="s">
        <v>377</v>
      </c>
      <c r="J5" s="27" t="s">
        <v>378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28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6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9"/>
      <c r="J16" s="108"/>
    </row>
    <row r="17" spans="1:15" ht="13.15" customHeight="1">
      <c r="A17" s="37" t="s">
        <v>286</v>
      </c>
      <c r="B17" s="38">
        <f>SUM(B5:B16)</f>
        <v>17577</v>
      </c>
      <c r="C17" s="38">
        <f t="shared" ref="C17:F17" si="4">SUM(C5:C16)</f>
        <v>15476.68</v>
      </c>
      <c r="D17" s="38">
        <f>B17-C17</f>
        <v>2100.3199999999997</v>
      </c>
      <c r="E17" s="39">
        <f>IFERROR(D17/C17, 0)</f>
        <v>0.13570869204506392</v>
      </c>
      <c r="F17" s="38">
        <f t="shared" si="4"/>
        <v>18224</v>
      </c>
      <c r="G17" s="38">
        <f>B17-F17</f>
        <v>-647</v>
      </c>
      <c r="H17" s="40">
        <f>IFERROR(G17/F17, 0)</f>
        <v>-3.5502633889376647E-2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207" priority="1" operator="lessThanOrEqual">
      <formula>-0.1</formula>
    </cfRule>
    <cfRule type="cellIs" dxfId="20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6C71-5D02-48A4-BDB3-24358E45B310}">
  <sheetPr codeName="Sheet129">
    <tabColor rgb="FFFF0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240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64.5" customHeight="1">
      <c r="A5" s="13" t="s">
        <v>274</v>
      </c>
      <c r="B5" s="14">
        <v>52498</v>
      </c>
      <c r="C5" s="14">
        <v>58863.74</v>
      </c>
      <c r="D5" s="15">
        <f>B5-C5</f>
        <v>-6365.739999999998</v>
      </c>
      <c r="E5" s="16">
        <f t="shared" ref="E5:E16" si="0">IFERROR(D5/C5, 0)</f>
        <v>-0.10814365516020556</v>
      </c>
      <c r="F5" s="17">
        <v>0</v>
      </c>
      <c r="G5" s="18">
        <f>B5-F5</f>
        <v>52498</v>
      </c>
      <c r="H5" s="19">
        <f t="shared" ref="H5:H16" si="1">IFERROR(G5/F5, 0)</f>
        <v>0</v>
      </c>
      <c r="I5" s="26" t="s">
        <v>379</v>
      </c>
      <c r="J5" s="26" t="s">
        <v>380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33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6"/>
    </row>
    <row r="16" spans="1:15" ht="60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22"/>
      <c r="J16" s="122"/>
    </row>
    <row r="17" spans="1:15" ht="13.15" customHeight="1">
      <c r="A17" s="37" t="s">
        <v>286</v>
      </c>
      <c r="B17" s="38">
        <f>SUM(B5:B16)</f>
        <v>52498</v>
      </c>
      <c r="C17" s="38">
        <f t="shared" ref="C17:F17" si="4">SUM(C5:C16)</f>
        <v>58863.74</v>
      </c>
      <c r="D17" s="38">
        <f>B17-C17</f>
        <v>-6365.739999999998</v>
      </c>
      <c r="E17" s="39">
        <f>IFERROR(D17/C17, 0)</f>
        <v>-0.10814365516020556</v>
      </c>
      <c r="F17" s="38">
        <f t="shared" si="4"/>
        <v>0</v>
      </c>
      <c r="G17" s="38">
        <f>B17-F17</f>
        <v>52498</v>
      </c>
      <c r="H17" s="40">
        <f>IFERROR(G17/F17, 0)</f>
        <v>0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91" priority="1" operator="lessThanOrEqual">
      <formula>-0.1</formula>
    </cfRule>
    <cfRule type="cellIs" dxfId="19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0871-EF5D-453A-93AD-7A7BBA17FECE}">
  <sheetPr codeName="Sheet130">
    <tabColor rgb="FFFF0000"/>
  </sheetPr>
  <dimension ref="A1:O20"/>
  <sheetViews>
    <sheetView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6.85546875" customWidth="1"/>
    <col min="10" max="10" width="21.42578125" customWidth="1"/>
  </cols>
  <sheetData>
    <row r="1" spans="1:15" ht="25.15">
      <c r="A1" s="177" t="s">
        <v>242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74.25" customHeight="1">
      <c r="A5" s="13" t="s">
        <v>274</v>
      </c>
      <c r="B5" s="14">
        <v>13494</v>
      </c>
      <c r="C5" s="14">
        <v>34760.43</v>
      </c>
      <c r="D5" s="15">
        <f>B5-C5</f>
        <v>-21266.43</v>
      </c>
      <c r="E5" s="16">
        <f t="shared" ref="E5:E16" si="0">IFERROR(D5/C5, 0)</f>
        <v>-0.61179996910279877</v>
      </c>
      <c r="F5" s="17">
        <v>23239</v>
      </c>
      <c r="G5" s="18">
        <f>B5-F5</f>
        <v>-9745</v>
      </c>
      <c r="H5" s="19">
        <f t="shared" ref="H5:H16" si="1">IFERROR(G5/F5, 0)</f>
        <v>-0.41933818150522828</v>
      </c>
      <c r="I5" s="26" t="s">
        <v>381</v>
      </c>
      <c r="J5" s="26" t="s">
        <v>382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28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6"/>
      <c r="J15" s="26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08"/>
      <c r="J16" s="108"/>
    </row>
    <row r="17" spans="1:15" ht="13.15" customHeight="1">
      <c r="A17" s="37" t="s">
        <v>286</v>
      </c>
      <c r="B17" s="38">
        <f>SUM(B5:B16)</f>
        <v>13494</v>
      </c>
      <c r="C17" s="38">
        <f t="shared" ref="C17:F17" si="4">SUM(C5:C16)</f>
        <v>34760.43</v>
      </c>
      <c r="D17" s="38">
        <f>B17-C17</f>
        <v>-21266.43</v>
      </c>
      <c r="E17" s="39">
        <f>IFERROR(D17/C17, 0)</f>
        <v>-0.61179996910279877</v>
      </c>
      <c r="F17" s="38">
        <f t="shared" si="4"/>
        <v>23239</v>
      </c>
      <c r="G17" s="38">
        <f>B17-F17</f>
        <v>-9745</v>
      </c>
      <c r="H17" s="40">
        <f>IFERROR(G17/F17, 0)</f>
        <v>-0.41933818150522828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75" priority="1" operator="lessThanOrEqual">
      <formula>-0.1</formula>
    </cfRule>
    <cfRule type="cellIs" dxfId="17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3ABE-016B-44AA-A022-59F67DDD32AC}">
  <sheetPr codeName="Sheet131">
    <tabColor rgb="FFFFC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244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4.25">
      <c r="A5" s="13" t="s">
        <v>274</v>
      </c>
      <c r="B5" s="14">
        <v>15979.5</v>
      </c>
      <c r="C5" s="14">
        <v>16624.46</v>
      </c>
      <c r="D5" s="15">
        <f>B5-C5</f>
        <v>-644.95999999999913</v>
      </c>
      <c r="E5" s="16">
        <f t="shared" ref="E5:E16" si="0">IFERROR(D5/C5, 0)</f>
        <v>-3.8795846601934691E-2</v>
      </c>
      <c r="F5" s="17">
        <v>23841.21</v>
      </c>
      <c r="G5" s="18">
        <f>B5-F5</f>
        <v>-7861.7099999999991</v>
      </c>
      <c r="H5" s="19">
        <f t="shared" ref="H5:H16" si="1">IFERROR(G5/F5, 0)</f>
        <v>-0.32975297814162952</v>
      </c>
      <c r="I5" s="27" t="s">
        <v>383</v>
      </c>
      <c r="J5" s="27" t="s">
        <v>384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15979.5</v>
      </c>
      <c r="C17" s="38">
        <f t="shared" ref="C17:F17" si="4">SUM(C5:C16)</f>
        <v>16624.46</v>
      </c>
      <c r="D17" s="38">
        <f>B17-C17</f>
        <v>-644.95999999999913</v>
      </c>
      <c r="E17" s="39">
        <f>IFERROR(D17/C17, 0)</f>
        <v>-3.8795846601934691E-2</v>
      </c>
      <c r="F17" s="38">
        <f t="shared" si="4"/>
        <v>23841.21</v>
      </c>
      <c r="G17" s="38">
        <f>B17-F17</f>
        <v>-7861.7099999999991</v>
      </c>
      <c r="H17" s="40">
        <f>IFERROR(G17/F17, 0)</f>
        <v>-0.32975297814162952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59" priority="1" operator="lessThanOrEqual">
      <formula>-0.1</formula>
    </cfRule>
    <cfRule type="cellIs" dxfId="15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3E14-9051-4ACB-8C66-EB4455DFE110}">
  <sheetPr codeName="Sheet132">
    <tabColor rgb="FFFFC000"/>
  </sheetPr>
  <dimension ref="A1:O20"/>
  <sheetViews>
    <sheetView workbookViewId="0">
      <selection activeCell="I34" sqref="I3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247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32699.5</v>
      </c>
      <c r="C5" s="14">
        <v>50419.89</v>
      </c>
      <c r="D5" s="15">
        <f>B5-C5</f>
        <v>-17720.39</v>
      </c>
      <c r="E5" s="16">
        <f t="shared" ref="E5:E16" si="0">IFERROR(D5/C5, 0)</f>
        <v>-0.35145633994838149</v>
      </c>
      <c r="F5" s="17">
        <v>52949.27</v>
      </c>
      <c r="G5" s="18">
        <f>B5-F5</f>
        <v>-20249.769999999997</v>
      </c>
      <c r="H5" s="19">
        <f t="shared" ref="H5:H16" si="1">IFERROR(G5/F5, 0)</f>
        <v>-0.38243718940789928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/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/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7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/>
    </row>
    <row r="17" spans="1:15" ht="13.15" customHeight="1">
      <c r="A17" s="37" t="s">
        <v>286</v>
      </c>
      <c r="B17" s="38">
        <f>SUM(B5:B16)</f>
        <v>32699.5</v>
      </c>
      <c r="C17" s="38">
        <f t="shared" ref="C17:F17" si="4">SUM(C5:C16)</f>
        <v>50419.89</v>
      </c>
      <c r="D17" s="38">
        <f>B17-C17</f>
        <v>-17720.39</v>
      </c>
      <c r="E17" s="39">
        <f>IFERROR(D17/C17, 0)</f>
        <v>-0.35145633994838149</v>
      </c>
      <c r="F17" s="38">
        <f t="shared" si="4"/>
        <v>52949.27</v>
      </c>
      <c r="G17" s="38">
        <f>B17-F17</f>
        <v>-20249.769999999997</v>
      </c>
      <c r="H17" s="40">
        <f>IFERROR(G17/F17, 0)</f>
        <v>-0.38243718940789928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43" priority="1" operator="lessThanOrEqual">
      <formula>-0.1</formula>
    </cfRule>
    <cfRule type="cellIs" dxfId="14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459-80D7-4C87-B2ED-F7401B44982B}">
  <sheetPr codeName="Sheet133">
    <tabColor rgb="FFFFC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249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4.25">
      <c r="A5" s="13" t="s">
        <v>274</v>
      </c>
      <c r="B5" s="14">
        <v>74644</v>
      </c>
      <c r="C5" s="14">
        <v>104933.8</v>
      </c>
      <c r="D5" s="15">
        <f>B5-C5</f>
        <v>-30289.800000000003</v>
      </c>
      <c r="E5" s="16">
        <f t="shared" ref="E5:E16" si="0">IFERROR(D5/C5, 0)</f>
        <v>-0.28865627662392862</v>
      </c>
      <c r="F5" s="17">
        <v>132017.60000000001</v>
      </c>
      <c r="G5" s="18">
        <f>B5-F5</f>
        <v>-57373.600000000006</v>
      </c>
      <c r="H5" s="19">
        <f t="shared" ref="H5:H16" si="1">IFERROR(G5/F5, 0)</f>
        <v>-0.43459053944322579</v>
      </c>
      <c r="I5" s="27" t="s">
        <v>385</v>
      </c>
      <c r="J5" s="27" t="s">
        <v>386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74644</v>
      </c>
      <c r="C17" s="38">
        <f t="shared" ref="C17:F17" si="4">SUM(C5:C16)</f>
        <v>104933.8</v>
      </c>
      <c r="D17" s="38">
        <f>B17-C17</f>
        <v>-30289.800000000003</v>
      </c>
      <c r="E17" s="39">
        <f>IFERROR(D17/C17, 0)</f>
        <v>-0.28865627662392862</v>
      </c>
      <c r="F17" s="38">
        <f t="shared" si="4"/>
        <v>132017.60000000001</v>
      </c>
      <c r="G17" s="38">
        <f>B17-F17</f>
        <v>-57373.600000000006</v>
      </c>
      <c r="H17" s="40">
        <f>IFERROR(G17/F17, 0)</f>
        <v>-0.43459053944322579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27" priority="1" operator="lessThanOrEqual">
      <formula>-0.1</formula>
    </cfRule>
    <cfRule type="cellIs" dxfId="12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3E9C-EC58-41A5-943F-D4C376C09BFA}">
  <sheetPr codeName="Sheet134">
    <tabColor rgb="FFFFC000"/>
  </sheetPr>
  <dimension ref="A1:O20"/>
  <sheetViews>
    <sheetView workbookViewId="0">
      <selection activeCell="I35" sqref="I3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251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1820.4686795321199</v>
      </c>
      <c r="C5" s="14">
        <v>4815.5290000000005</v>
      </c>
      <c r="D5" s="15">
        <f>B5-C5</f>
        <v>-2995.0603204678805</v>
      </c>
      <c r="E5" s="16">
        <f t="shared" ref="E5:E16" si="0">IFERROR(D5/C5, 0)</f>
        <v>-0.62195873401818991</v>
      </c>
      <c r="F5" s="17">
        <v>4801.3860000000004</v>
      </c>
      <c r="G5" s="18">
        <f>B5-F5</f>
        <v>-2980.9173204678805</v>
      </c>
      <c r="H5" s="19">
        <f t="shared" ref="H5:H16" si="1">IFERROR(G5/F5, 0)</f>
        <v>-0.62084517272051865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1820.4686795321199</v>
      </c>
      <c r="C17" s="38">
        <f t="shared" ref="C17:F17" si="4">SUM(C5:C16)</f>
        <v>4815.5290000000005</v>
      </c>
      <c r="D17" s="38">
        <f>B17-C17</f>
        <v>-2995.0603204678805</v>
      </c>
      <c r="E17" s="39">
        <f>IFERROR(D17/C17, 0)</f>
        <v>-0.62195873401818991</v>
      </c>
      <c r="F17" s="38">
        <f t="shared" si="4"/>
        <v>4801.3860000000004</v>
      </c>
      <c r="G17" s="38">
        <f>B17-F17</f>
        <v>-2980.9173204678805</v>
      </c>
      <c r="H17" s="40">
        <f>IFERROR(G17/F17, 0)</f>
        <v>-0.62084517272051865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11" priority="1" operator="lessThanOrEqual">
      <formula>-0.1</formula>
    </cfRule>
    <cfRule type="cellIs" dxfId="11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04D4-EFA6-4318-919A-F6DBC2DA0F6E}">
  <sheetPr codeName="Sheet135">
    <tabColor rgb="FFFFC000"/>
  </sheetPr>
  <dimension ref="A1:O20"/>
  <sheetViews>
    <sheetView workbookViewId="0">
      <selection activeCell="I32" sqref="I3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254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1822.9083103328601</v>
      </c>
      <c r="C5" s="14">
        <v>5664.0169999999998</v>
      </c>
      <c r="D5" s="15">
        <f>B5-C5</f>
        <v>-3841.1086896671395</v>
      </c>
      <c r="E5" s="16">
        <f t="shared" ref="E5:E16" si="0">IFERROR(D5/C5, 0)</f>
        <v>-0.67815980948982668</v>
      </c>
      <c r="F5" s="17">
        <v>3544.0749999999998</v>
      </c>
      <c r="G5" s="18">
        <f>B5-F5</f>
        <v>-1721.1666896671397</v>
      </c>
      <c r="H5" s="19">
        <f t="shared" ref="H5:H16" si="1">IFERROR(G5/F5, 0)</f>
        <v>-0.48564623764089071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1822.9083103328601</v>
      </c>
      <c r="C17" s="38">
        <f t="shared" ref="C17:F17" si="4">SUM(C5:C16)</f>
        <v>5664.0169999999998</v>
      </c>
      <c r="D17" s="38">
        <f>B17-C17</f>
        <v>-3841.1086896671395</v>
      </c>
      <c r="E17" s="39">
        <f>IFERROR(D17/C17, 0)</f>
        <v>-0.67815980948982668</v>
      </c>
      <c r="F17" s="38">
        <f t="shared" si="4"/>
        <v>3544.0749999999998</v>
      </c>
      <c r="G17" s="38">
        <f>B17-F17</f>
        <v>-1721.1666896671397</v>
      </c>
      <c r="H17" s="40">
        <f>IFERROR(G17/F17, 0)</f>
        <v>-0.48564623764089071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95" priority="1" operator="lessThanOrEqual">
      <formula>-0.1</formula>
    </cfRule>
    <cfRule type="cellIs" dxfId="9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E744-9B89-42AF-A66B-29FD9FE22A4C}">
  <sheetPr codeName="Sheet136">
    <tabColor rgb="FFFFC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256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1250</v>
      </c>
      <c r="C5" s="14">
        <v>2762</v>
      </c>
      <c r="D5" s="15">
        <f>B5-C5</f>
        <v>-1512</v>
      </c>
      <c r="E5" s="16">
        <f t="shared" ref="E5:E16" si="0">IFERROR(D5/C5, 0)</f>
        <v>-0.54742939898624188</v>
      </c>
      <c r="F5" s="17">
        <v>4395</v>
      </c>
      <c r="G5" s="18">
        <f>B5-F5</f>
        <v>-3145</v>
      </c>
      <c r="H5" s="19">
        <f t="shared" ref="H5:H16" si="1">IFERROR(G5/F5, 0)</f>
        <v>-0.71558589306029574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1250</v>
      </c>
      <c r="C17" s="38">
        <f t="shared" ref="C17:F17" si="4">SUM(C5:C16)</f>
        <v>2762</v>
      </c>
      <c r="D17" s="38">
        <f>B17-C17</f>
        <v>-1512</v>
      </c>
      <c r="E17" s="39">
        <f>IFERROR(D17/C17, 0)</f>
        <v>-0.54742939898624188</v>
      </c>
      <c r="F17" s="38">
        <f t="shared" si="4"/>
        <v>4395</v>
      </c>
      <c r="G17" s="38">
        <f>B17-F17</f>
        <v>-3145</v>
      </c>
      <c r="H17" s="40">
        <f>IFERROR(G17/F17, 0)</f>
        <v>-0.71558589306029574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79" priority="1" operator="lessThanOrEqual">
      <formula>-0.1</formula>
    </cfRule>
    <cfRule type="cellIs" dxfId="7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542E-1D05-46C0-A674-74A14A755DE5}">
  <sheetPr codeName="Sheet137">
    <tabColor rgb="FFFFC0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258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6169.25</v>
      </c>
      <c r="C5" s="14">
        <v>11780.96</v>
      </c>
      <c r="D5" s="15">
        <f>B5-C5</f>
        <v>-5611.7099999999991</v>
      </c>
      <c r="E5" s="16">
        <f t="shared" ref="E5:E16" si="0">IFERROR(D5/C5, 0)</f>
        <v>-0.47633724246580922</v>
      </c>
      <c r="F5" s="17">
        <v>7989.4369999999999</v>
      </c>
      <c r="G5" s="18">
        <f>B5-F5</f>
        <v>-1820.1869999999999</v>
      </c>
      <c r="H5" s="19">
        <f t="shared" ref="H5:H16" si="1">IFERROR(G5/F5, 0)</f>
        <v>-0.2278241883627094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7"/>
      <c r="J15" s="20"/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119"/>
      <c r="J16" s="119"/>
    </row>
    <row r="17" spans="1:15" ht="13.15" customHeight="1">
      <c r="A17" s="37" t="s">
        <v>286</v>
      </c>
      <c r="B17" s="38">
        <f>SUM(B5:B16)</f>
        <v>6169.25</v>
      </c>
      <c r="C17" s="38">
        <f t="shared" ref="C17:F17" si="4">SUM(C5:C16)</f>
        <v>11780.96</v>
      </c>
      <c r="D17" s="38">
        <f>B17-C17</f>
        <v>-5611.7099999999991</v>
      </c>
      <c r="E17" s="39">
        <f>IFERROR(D17/C17, 0)</f>
        <v>-0.47633724246580922</v>
      </c>
      <c r="F17" s="38">
        <f t="shared" si="4"/>
        <v>7989.4369999999999</v>
      </c>
      <c r="G17" s="38">
        <f>B17-F17</f>
        <v>-1820.1869999999999</v>
      </c>
      <c r="H17" s="40">
        <f>IFERROR(G17/F17, 0)</f>
        <v>-0.2278241883627094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63" priority="1" operator="lessThanOrEqual">
      <formula>-0.1</formula>
    </cfRule>
    <cfRule type="cellIs" dxfId="6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0B95-1E90-418B-BE3F-CABD3EFAEF89}">
  <sheetPr codeName="Sheet138">
    <tabColor rgb="FFFFC000"/>
  </sheetPr>
  <dimension ref="A1:O20"/>
  <sheetViews>
    <sheetView workbookViewId="0">
      <selection activeCell="I29" sqref="I2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260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7384.75</v>
      </c>
      <c r="C5" s="14">
        <v>15101.21</v>
      </c>
      <c r="D5" s="15">
        <f>B5-C5</f>
        <v>-7716.4599999999991</v>
      </c>
      <c r="E5" s="16">
        <f t="shared" ref="E5:E16" si="0">IFERROR(D5/C5, 0)</f>
        <v>-0.51098289474816916</v>
      </c>
      <c r="F5" s="17">
        <v>14831.87</v>
      </c>
      <c r="G5" s="18">
        <f>B5-F5</f>
        <v>-7447.1200000000008</v>
      </c>
      <c r="H5" s="19">
        <f t="shared" ref="H5:H16" si="1">IFERROR(G5/F5, 0)</f>
        <v>-0.50210256697233735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7384.75</v>
      </c>
      <c r="C17" s="38">
        <f t="shared" ref="C17:F17" si="4">SUM(C5:C16)</f>
        <v>15101.21</v>
      </c>
      <c r="D17" s="38">
        <f>B17-C17</f>
        <v>-7716.4599999999991</v>
      </c>
      <c r="E17" s="39">
        <f>IFERROR(D17/C17, 0)</f>
        <v>-0.51098289474816916</v>
      </c>
      <c r="F17" s="38">
        <f t="shared" si="4"/>
        <v>14831.87</v>
      </c>
      <c r="G17" s="38">
        <f>B17-F17</f>
        <v>-7447.1200000000008</v>
      </c>
      <c r="H17" s="40">
        <f>IFERROR(G17/F17, 0)</f>
        <v>-0.50210256697233735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47" priority="1" operator="lessThanOrEqual">
      <formula>-0.1</formula>
    </cfRule>
    <cfRule type="cellIs" dxfId="4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EC5B-0D5B-4439-914E-F27278347E44}">
  <sheetPr codeName="Sheet139">
    <tabColor rgb="FFFFC000"/>
  </sheetPr>
  <dimension ref="A1:O20"/>
  <sheetViews>
    <sheetView workbookViewId="0">
      <selection activeCell="I25" sqref="I2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262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5444.625</v>
      </c>
      <c r="C5" s="14">
        <v>16420.68</v>
      </c>
      <c r="D5" s="15">
        <f>B5-C5</f>
        <v>-10976.055</v>
      </c>
      <c r="E5" s="16">
        <f t="shared" ref="E5:E16" si="0">IFERROR(D5/C5, 0)</f>
        <v>-0.66842877396063993</v>
      </c>
      <c r="F5" s="17">
        <v>11432.38</v>
      </c>
      <c r="G5" s="18">
        <f>B5-F5</f>
        <v>-5987.7549999999992</v>
      </c>
      <c r="H5" s="19">
        <f t="shared" ref="H5:H16" si="1">IFERROR(G5/F5, 0)</f>
        <v>-0.52375402147234429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5444.625</v>
      </c>
      <c r="C17" s="38">
        <f t="shared" ref="C17:F17" si="4">SUM(C5:C16)</f>
        <v>16420.68</v>
      </c>
      <c r="D17" s="38">
        <f>B17-C17</f>
        <v>-10976.055</v>
      </c>
      <c r="E17" s="39">
        <f>IFERROR(D17/C17, 0)</f>
        <v>-0.66842877396063993</v>
      </c>
      <c r="F17" s="38">
        <f t="shared" si="4"/>
        <v>11432.38</v>
      </c>
      <c r="G17" s="38">
        <f>B17-F17</f>
        <v>-5987.7549999999992</v>
      </c>
      <c r="H17" s="40">
        <f>IFERROR(G17/F17, 0)</f>
        <v>-0.52375402147234429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9FBE-C69E-4236-BFC9-8B7999C4A016}">
  <sheetPr codeName="Sheet140">
    <tabColor rgb="FFFFC000"/>
  </sheetPr>
  <dimension ref="A1:O20"/>
  <sheetViews>
    <sheetView topLeftCell="D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77" t="s">
        <v>264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9"/>
      <c r="B2" s="9"/>
      <c r="C2" s="9"/>
      <c r="D2" s="9"/>
      <c r="E2" s="9"/>
    </row>
    <row r="3" spans="1:15" ht="16.5" customHeight="1">
      <c r="A3" s="178" t="s">
        <v>265</v>
      </c>
      <c r="B3" s="179"/>
      <c r="C3" s="179"/>
      <c r="D3" s="179"/>
      <c r="E3" s="180"/>
      <c r="F3" s="181" t="s">
        <v>266</v>
      </c>
      <c r="G3" s="182"/>
      <c r="H3" s="183"/>
      <c r="I3" s="184" t="s">
        <v>267</v>
      </c>
      <c r="J3" s="185"/>
    </row>
    <row r="4" spans="1:15" ht="13.15" customHeight="1">
      <c r="A4" s="12" t="s">
        <v>268</v>
      </c>
      <c r="B4" s="42" t="s">
        <v>4</v>
      </c>
      <c r="C4" s="42" t="s">
        <v>5</v>
      </c>
      <c r="D4" s="42" t="s">
        <v>269</v>
      </c>
      <c r="E4" s="43" t="s">
        <v>270</v>
      </c>
      <c r="F4" s="44" t="s">
        <v>8</v>
      </c>
      <c r="G4" s="45" t="s">
        <v>271</v>
      </c>
      <c r="H4" s="46" t="s">
        <v>272</v>
      </c>
      <c r="I4" s="47" t="s">
        <v>267</v>
      </c>
      <c r="J4" s="48" t="s">
        <v>273</v>
      </c>
    </row>
    <row r="5" spans="1:15" ht="13.15" customHeight="1">
      <c r="A5" s="13" t="s">
        <v>274</v>
      </c>
      <c r="B5" s="14">
        <v>2486.1234915329801</v>
      </c>
      <c r="C5" s="14">
        <v>6531.7079999999996</v>
      </c>
      <c r="D5" s="15">
        <f>B5-C5</f>
        <v>-4045.5845084670195</v>
      </c>
      <c r="E5" s="16">
        <f t="shared" ref="E5:E16" si="0">IFERROR(D5/C5, 0)</f>
        <v>-0.61937620427413775</v>
      </c>
      <c r="F5" s="17">
        <v>5447.299</v>
      </c>
      <c r="G5" s="18">
        <f>B5-F5</f>
        <v>-2961.1755084670199</v>
      </c>
      <c r="H5" s="19">
        <f t="shared" ref="H5:H16" si="1">IFERROR(G5/F5, 0)</f>
        <v>-0.54360436400994694</v>
      </c>
      <c r="I5" s="20"/>
      <c r="J5" s="20" t="s">
        <v>46</v>
      </c>
      <c r="O5" s="4"/>
    </row>
    <row r="6" spans="1:15" ht="13.15" customHeight="1">
      <c r="A6" s="21" t="s">
        <v>275</v>
      </c>
      <c r="B6" s="15"/>
      <c r="C6" s="15"/>
      <c r="D6" s="15">
        <f t="shared" ref="D6:D16" si="2">B6-C6</f>
        <v>0</v>
      </c>
      <c r="E6" s="22">
        <f t="shared" si="0"/>
        <v>0</v>
      </c>
      <c r="F6" s="23"/>
      <c r="G6" s="18">
        <f t="shared" ref="G6:G16" si="3">B6-F6</f>
        <v>0</v>
      </c>
      <c r="H6" s="19">
        <f t="shared" si="1"/>
        <v>0</v>
      </c>
      <c r="I6" s="20"/>
      <c r="J6" s="20" t="s">
        <v>46</v>
      </c>
    </row>
    <row r="7" spans="1:15" ht="13.15" customHeight="1">
      <c r="A7" s="21" t="s">
        <v>276</v>
      </c>
      <c r="B7" s="15"/>
      <c r="C7" s="15"/>
      <c r="D7" s="15">
        <f t="shared" si="2"/>
        <v>0</v>
      </c>
      <c r="E7" s="22">
        <f t="shared" si="0"/>
        <v>0</v>
      </c>
      <c r="F7" s="24"/>
      <c r="G7" s="18">
        <f t="shared" si="3"/>
        <v>0</v>
      </c>
      <c r="H7" s="19">
        <f t="shared" si="1"/>
        <v>0</v>
      </c>
      <c r="I7" s="25"/>
      <c r="J7" s="25"/>
    </row>
    <row r="8" spans="1:15" ht="13.15" customHeight="1">
      <c r="A8" s="21" t="s">
        <v>277</v>
      </c>
      <c r="B8" s="15"/>
      <c r="C8" s="15"/>
      <c r="D8" s="15">
        <f t="shared" si="2"/>
        <v>0</v>
      </c>
      <c r="E8" s="22">
        <f t="shared" si="0"/>
        <v>0</v>
      </c>
      <c r="F8" s="18"/>
      <c r="G8" s="18">
        <f t="shared" si="3"/>
        <v>0</v>
      </c>
      <c r="H8" s="19">
        <f t="shared" si="1"/>
        <v>0</v>
      </c>
      <c r="I8" s="20"/>
      <c r="J8" s="20"/>
    </row>
    <row r="9" spans="1:15" ht="13.15" customHeight="1">
      <c r="A9" s="21" t="s">
        <v>278</v>
      </c>
      <c r="B9" s="15"/>
      <c r="C9" s="15"/>
      <c r="D9" s="15">
        <f t="shared" si="2"/>
        <v>0</v>
      </c>
      <c r="E9" s="22">
        <f t="shared" si="0"/>
        <v>0</v>
      </c>
      <c r="F9" s="18"/>
      <c r="G9" s="18">
        <f t="shared" si="3"/>
        <v>0</v>
      </c>
      <c r="H9" s="19">
        <f t="shared" si="1"/>
        <v>0</v>
      </c>
      <c r="I9" s="26"/>
      <c r="J9" s="27"/>
    </row>
    <row r="10" spans="1:15" ht="13.15" customHeight="1">
      <c r="A10" s="21" t="s">
        <v>279</v>
      </c>
      <c r="B10" s="28"/>
      <c r="C10" s="28"/>
      <c r="D10" s="15">
        <f t="shared" si="2"/>
        <v>0</v>
      </c>
      <c r="E10" s="22">
        <f t="shared" si="0"/>
        <v>0</v>
      </c>
      <c r="F10" s="29"/>
      <c r="G10" s="18">
        <f t="shared" si="3"/>
        <v>0</v>
      </c>
      <c r="H10" s="19">
        <f t="shared" si="1"/>
        <v>0</v>
      </c>
      <c r="I10" s="20"/>
      <c r="J10" s="20" t="s">
        <v>46</v>
      </c>
    </row>
    <row r="11" spans="1:15" ht="13.15" customHeight="1">
      <c r="A11" s="21" t="s">
        <v>280</v>
      </c>
      <c r="B11" s="15"/>
      <c r="C11" s="15"/>
      <c r="D11" s="15">
        <f t="shared" si="2"/>
        <v>0</v>
      </c>
      <c r="E11" s="22">
        <f t="shared" si="0"/>
        <v>0</v>
      </c>
      <c r="F11" s="23"/>
      <c r="G11" s="18">
        <f t="shared" si="3"/>
        <v>0</v>
      </c>
      <c r="H11" s="19">
        <f t="shared" si="1"/>
        <v>0</v>
      </c>
      <c r="I11" s="20"/>
      <c r="J11" s="20" t="s">
        <v>46</v>
      </c>
    </row>
    <row r="12" spans="1:15" ht="13.15" customHeight="1">
      <c r="A12" s="21" t="s">
        <v>281</v>
      </c>
      <c r="B12" s="15"/>
      <c r="C12" s="15"/>
      <c r="D12" s="15">
        <f t="shared" si="2"/>
        <v>0</v>
      </c>
      <c r="E12" s="22">
        <f t="shared" si="0"/>
        <v>0</v>
      </c>
      <c r="F12" s="24"/>
      <c r="G12" s="18">
        <f t="shared" si="3"/>
        <v>0</v>
      </c>
      <c r="H12" s="19">
        <f t="shared" si="1"/>
        <v>0</v>
      </c>
      <c r="I12" s="25"/>
      <c r="J12" s="25"/>
    </row>
    <row r="13" spans="1:15" ht="14.25">
      <c r="A13" s="21" t="s">
        <v>282</v>
      </c>
      <c r="B13" s="15"/>
      <c r="C13" s="15"/>
      <c r="D13" s="15">
        <f t="shared" si="2"/>
        <v>0</v>
      </c>
      <c r="E13" s="22">
        <f t="shared" si="0"/>
        <v>0</v>
      </c>
      <c r="F13" s="18"/>
      <c r="G13" s="18">
        <f t="shared" si="3"/>
        <v>0</v>
      </c>
      <c r="H13" s="19">
        <f t="shared" si="1"/>
        <v>0</v>
      </c>
      <c r="I13" s="74"/>
      <c r="J13" s="74"/>
    </row>
    <row r="14" spans="1:15" ht="13.15" customHeight="1">
      <c r="A14" s="21" t="s">
        <v>283</v>
      </c>
      <c r="B14" s="15"/>
      <c r="C14" s="15"/>
      <c r="D14" s="15">
        <f t="shared" si="2"/>
        <v>0</v>
      </c>
      <c r="E14" s="22">
        <f t="shared" si="0"/>
        <v>0</v>
      </c>
      <c r="F14" s="18"/>
      <c r="G14" s="18">
        <f t="shared" si="3"/>
        <v>0</v>
      </c>
      <c r="H14" s="19">
        <f t="shared" si="1"/>
        <v>0</v>
      </c>
      <c r="I14" s="26"/>
      <c r="J14" s="27"/>
    </row>
    <row r="15" spans="1:15" ht="13.15" customHeight="1">
      <c r="A15" s="21" t="s">
        <v>284</v>
      </c>
      <c r="B15" s="28"/>
      <c r="C15" s="28"/>
      <c r="D15" s="15">
        <f t="shared" si="2"/>
        <v>0</v>
      </c>
      <c r="E15" s="22">
        <f t="shared" si="0"/>
        <v>0</v>
      </c>
      <c r="F15" s="29"/>
      <c r="G15" s="18">
        <f t="shared" si="3"/>
        <v>0</v>
      </c>
      <c r="H15" s="19">
        <f t="shared" si="1"/>
        <v>0</v>
      </c>
      <c r="I15" s="20"/>
      <c r="J15" s="20" t="s">
        <v>46</v>
      </c>
    </row>
    <row r="16" spans="1:15" ht="13.15" customHeight="1">
      <c r="A16" s="30" t="s">
        <v>285</v>
      </c>
      <c r="B16" s="31"/>
      <c r="C16" s="31"/>
      <c r="D16" s="31">
        <f t="shared" si="2"/>
        <v>0</v>
      </c>
      <c r="E16" s="32">
        <f t="shared" si="0"/>
        <v>0</v>
      </c>
      <c r="F16" s="33"/>
      <c r="G16" s="34">
        <f t="shared" si="3"/>
        <v>0</v>
      </c>
      <c r="H16" s="35">
        <f t="shared" si="1"/>
        <v>0</v>
      </c>
      <c r="I16" s="36"/>
      <c r="J16" s="36" t="s">
        <v>46</v>
      </c>
    </row>
    <row r="17" spans="1:15" ht="13.15" customHeight="1">
      <c r="A17" s="37" t="s">
        <v>286</v>
      </c>
      <c r="B17" s="38">
        <f>SUM(B5:B16)</f>
        <v>2486.1234915329801</v>
      </c>
      <c r="C17" s="38">
        <f t="shared" ref="C17:F17" si="4">SUM(C5:C16)</f>
        <v>6531.7079999999996</v>
      </c>
      <c r="D17" s="38">
        <f>B17-C17</f>
        <v>-4045.5845084670195</v>
      </c>
      <c r="E17" s="39">
        <f>IFERROR(D17/C17, 0)</f>
        <v>-0.61937620427413775</v>
      </c>
      <c r="F17" s="38">
        <f t="shared" si="4"/>
        <v>5447.299</v>
      </c>
      <c r="G17" s="38">
        <f>B17-F17</f>
        <v>-2961.1755084670199</v>
      </c>
      <c r="H17" s="40">
        <f>IFERROR(G17/F17, 0)</f>
        <v>-0.54360436400994694</v>
      </c>
      <c r="I17" s="41"/>
      <c r="J17" s="41"/>
    </row>
    <row r="18" spans="1:15">
      <c r="F18" s="10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Gilbert, Mariesa</DisplayName>
        <AccountId>25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9B8C44D0-CCDF-4707-993A-78D6175CC731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2025-05-06T14:14:27Z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2025-02-24T19:53:26Z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6eff5e45-1aef-4a54-9161-7a6d13a6434f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