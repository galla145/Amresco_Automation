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FE92C62D-0B4C-439F-9F72-AB4BD82E3938}" xr6:coauthVersionLast="47" xr6:coauthVersionMax="47" xr10:uidLastSave="{00000000-0000-0000-0000-000000000000}"/>
  <bookViews>
    <workbookView xWindow="43080" yWindow="1335" windowWidth="29040" windowHeight="15720" tabRatio="866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Yankee Phase 1" sheetId="5" r:id="rId19"/>
    <sheet name="Yankee Phase 2" sheetId="69" r:id="rId20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Jan!$C$3:$C$4</definedName>
    <definedName name="JanActual2">Jan!#REF!</definedName>
    <definedName name="JanExpected">Jan!$D$3:$D$4</definedName>
    <definedName name="JanExpectedDelta">Jan!$E$3:$E$4</definedName>
    <definedName name="JanExpectedPercent">Jan!$F$3:$F$4</definedName>
    <definedName name="JanExpPercent">Jan!$F$3:$F$4</definedName>
    <definedName name="JanForecasted">Jan!$G$3:$G$4</definedName>
    <definedName name="JanForecastedDelta">Jan!$H$3:$H$4</definedName>
    <definedName name="JanForecastedPercent">Jan!$I$3:$I$4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C17" i="5"/>
  <c r="B17" i="5"/>
  <c r="G16" i="5"/>
  <c r="H16" i="5" s="1"/>
  <c r="D16" i="5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D16" i="69"/>
  <c r="D15" i="69"/>
  <c r="E15" i="69" s="1"/>
  <c r="D14" i="69"/>
  <c r="E14" i="69" s="1"/>
  <c r="D13" i="69"/>
  <c r="D12" i="69"/>
  <c r="D11" i="69"/>
  <c r="D10" i="69"/>
  <c r="D9" i="69"/>
  <c r="D8" i="69"/>
  <c r="D7" i="69"/>
  <c r="E7" i="69" s="1"/>
  <c r="D6" i="69"/>
  <c r="D5" i="69"/>
  <c r="E5" i="69" s="1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F17" i="69"/>
  <c r="C17" i="69"/>
  <c r="B17" i="69"/>
  <c r="G16" i="69"/>
  <c r="H16" i="69" s="1"/>
  <c r="G15" i="69"/>
  <c r="H15" i="69" s="1"/>
  <c r="G14" i="69"/>
  <c r="H14" i="69" s="1"/>
  <c r="G13" i="69"/>
  <c r="H13" i="69" s="1"/>
  <c r="E13" i="69"/>
  <c r="G12" i="69"/>
  <c r="H12" i="69" s="1"/>
  <c r="E12" i="69"/>
  <c r="G11" i="69"/>
  <c r="H11" i="69" s="1"/>
  <c r="E11" i="69"/>
  <c r="G10" i="69"/>
  <c r="H10" i="69" s="1"/>
  <c r="E10" i="69"/>
  <c r="G9" i="69"/>
  <c r="H9" i="69" s="1"/>
  <c r="E9" i="69"/>
  <c r="G8" i="69"/>
  <c r="H8" i="69" s="1"/>
  <c r="E8" i="69"/>
  <c r="G7" i="69"/>
  <c r="H7" i="69" s="1"/>
  <c r="G6" i="69"/>
  <c r="H6" i="69" s="1"/>
  <c r="E6" i="69"/>
  <c r="G5" i="69"/>
  <c r="H5" i="69" s="1"/>
  <c r="B3" i="3" a="1"/>
  <c r="B3" i="3" s="1"/>
  <c r="A3" i="3" a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 s="1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E16" i="69" l="1"/>
  <c r="E16" i="5"/>
  <c r="A3" i="3"/>
  <c r="G17" i="5"/>
  <c r="H17" i="5" s="1"/>
  <c r="D17" i="5"/>
  <c r="E17" i="5" s="1"/>
  <c r="A3" i="33"/>
  <c r="A3" i="32"/>
  <c r="A3" i="31"/>
  <c r="A3" i="28"/>
  <c r="A3" i="27"/>
  <c r="A3" i="26"/>
  <c r="A3" i="19"/>
  <c r="A3" i="20"/>
  <c r="A3" i="21"/>
  <c r="A3" i="4"/>
  <c r="G17" i="69"/>
  <c r="H17" i="69" s="1"/>
  <c r="D17" i="69"/>
  <c r="E17" i="69" s="1"/>
  <c r="A3" i="2"/>
  <c r="C3" i="33" a="1"/>
  <c r="C4" i="31" a="1"/>
  <c r="C4" i="20" a="1"/>
  <c r="C4" i="27" a="1"/>
  <c r="C4" i="4" a="1"/>
  <c r="C4" i="21" a="1"/>
  <c r="C4" i="2" a="1"/>
  <c r="C4" i="26" a="1"/>
  <c r="C4" i="19" a="1"/>
  <c r="C4" i="33" a="1"/>
  <c r="C4" i="32" a="1"/>
  <c r="C4" i="28" a="1"/>
  <c r="C4" i="3" a="1"/>
  <c r="C4" i="33" l="1"/>
  <c r="C3" i="33"/>
  <c r="C4" i="26"/>
  <c r="C4" i="19"/>
  <c r="C4" i="3"/>
  <c r="C4" i="21"/>
  <c r="G4" i="18"/>
  <c r="C4" i="20"/>
  <c r="C4" i="32"/>
  <c r="C4" i="4"/>
  <c r="C4" i="31"/>
  <c r="C4" i="28"/>
  <c r="C4" i="27"/>
  <c r="C4" i="2"/>
  <c r="D4" i="1"/>
  <c r="G4" i="1"/>
  <c r="D4" i="18"/>
  <c r="D4" i="29"/>
  <c r="G4" i="29"/>
  <c r="D4" i="30"/>
  <c r="G4" i="30"/>
  <c r="C4" i="18" l="1"/>
  <c r="E4" i="18" s="1"/>
  <c r="F4" i="18" s="1"/>
  <c r="C4" i="1"/>
  <c r="E4" i="1" s="1"/>
  <c r="F4" i="1" s="1"/>
  <c r="C4" i="29"/>
  <c r="H4" i="29" s="1"/>
  <c r="I4" i="29" s="1"/>
  <c r="C4" i="30"/>
  <c r="H4" i="30" s="1"/>
  <c r="I4" i="30" s="1"/>
  <c r="D4" i="34"/>
  <c r="E4" i="29" l="1"/>
  <c r="F4" i="29" s="1"/>
  <c r="E4" i="30"/>
  <c r="F4" i="30" s="1"/>
  <c r="H4" i="1"/>
  <c r="I4" i="1" s="1"/>
  <c r="G4" i="34"/>
  <c r="H4" i="18"/>
  <c r="I4" i="18" s="1"/>
  <c r="C4" i="34"/>
  <c r="E4" i="34" s="1"/>
  <c r="F4" i="34" s="1"/>
  <c r="H4" i="34" l="1"/>
  <c r="I4" i="34" s="1"/>
  <c r="C3" i="2" a="1"/>
  <c r="G5" i="2" l="1"/>
  <c r="C3" i="2"/>
  <c r="D5" i="2"/>
  <c r="C5" i="2" l="1"/>
  <c r="E5" i="2" l="1"/>
  <c r="F5" i="2" s="1"/>
  <c r="H5" i="2"/>
  <c r="I5" i="2" s="1"/>
  <c r="C3" i="28" a="1"/>
  <c r="C3" i="19" a="1"/>
  <c r="C3" i="26" a="1"/>
  <c r="C3" i="21" a="1"/>
  <c r="C3" i="27" a="1"/>
  <c r="C3" i="3" a="1"/>
  <c r="C3" i="31" a="1"/>
  <c r="C3" i="20" a="1"/>
  <c r="C3" i="4" a="1"/>
  <c r="C3" i="32" a="1"/>
  <c r="G3" i="1" l="1"/>
  <c r="G5" i="3"/>
  <c r="D5" i="3"/>
  <c r="C3" i="3"/>
  <c r="D3" i="1"/>
  <c r="D3" i="18"/>
  <c r="D5" i="18" s="1"/>
  <c r="G3" i="18"/>
  <c r="G5" i="18" s="1"/>
  <c r="G5" i="21"/>
  <c r="D5" i="21"/>
  <c r="C3" i="21"/>
  <c r="G3" i="29"/>
  <c r="G5" i="29" s="1"/>
  <c r="D3" i="29"/>
  <c r="D5" i="29" s="1"/>
  <c r="G5" i="26"/>
  <c r="D5" i="26"/>
  <c r="C3" i="26"/>
  <c r="G3" i="30"/>
  <c r="G5" i="30" s="1"/>
  <c r="D3" i="30"/>
  <c r="D5" i="30" s="1"/>
  <c r="G5" i="31"/>
  <c r="D5" i="31"/>
  <c r="C3" i="31"/>
  <c r="G5" i="4"/>
  <c r="D5" i="4"/>
  <c r="C3" i="4"/>
  <c r="C5" i="4" s="1"/>
  <c r="G5" i="20"/>
  <c r="D5" i="20"/>
  <c r="C3" i="20"/>
  <c r="C5" i="20" s="1"/>
  <c r="G5" i="19"/>
  <c r="D5" i="19"/>
  <c r="C3" i="19"/>
  <c r="C5" i="19" s="1"/>
  <c r="G5" i="27"/>
  <c r="D5" i="27"/>
  <c r="C3" i="27"/>
  <c r="C5" i="27" s="1"/>
  <c r="G5" i="28"/>
  <c r="D5" i="28"/>
  <c r="C3" i="28"/>
  <c r="C5" i="28" s="1"/>
  <c r="G5" i="32"/>
  <c r="D5" i="32"/>
  <c r="C3" i="32"/>
  <c r="C5" i="32" s="1"/>
  <c r="G5" i="33"/>
  <c r="D5" i="33"/>
  <c r="C5" i="33"/>
  <c r="H5" i="33" l="1"/>
  <c r="I5" i="33" s="1"/>
  <c r="E5" i="33"/>
  <c r="F5" i="33" s="1"/>
  <c r="H5" i="32"/>
  <c r="I5" i="32" s="1"/>
  <c r="E5" i="32"/>
  <c r="F5" i="32" s="1"/>
  <c r="H5" i="28"/>
  <c r="I5" i="28" s="1"/>
  <c r="E5" i="28"/>
  <c r="F5" i="28" s="1"/>
  <c r="H5" i="27"/>
  <c r="I5" i="27" s="1"/>
  <c r="E5" i="27"/>
  <c r="F5" i="27" s="1"/>
  <c r="H5" i="19"/>
  <c r="I5" i="19" s="1"/>
  <c r="E5" i="19"/>
  <c r="F5" i="19" s="1"/>
  <c r="H5" i="20"/>
  <c r="I5" i="20" s="1"/>
  <c r="E5" i="20"/>
  <c r="F5" i="20" s="1"/>
  <c r="H5" i="4"/>
  <c r="I5" i="4" s="1"/>
  <c r="E5" i="4"/>
  <c r="F5" i="4" s="1"/>
  <c r="C5" i="31"/>
  <c r="C3" i="30"/>
  <c r="C5" i="26"/>
  <c r="C3" i="29"/>
  <c r="C5" i="21"/>
  <c r="C3" i="18"/>
  <c r="D5" i="1"/>
  <c r="D3" i="34"/>
  <c r="D5" i="34" s="1"/>
  <c r="C5" i="3"/>
  <c r="C3" i="1"/>
  <c r="G5" i="1"/>
  <c r="G3" i="34"/>
  <c r="G5" i="34" s="1"/>
  <c r="H3" i="1" l="1"/>
  <c r="I3" i="1" s="1"/>
  <c r="E3" i="1"/>
  <c r="F3" i="1" s="1"/>
  <c r="C3" i="34"/>
  <c r="C5" i="1"/>
  <c r="H5" i="3"/>
  <c r="I5" i="3" s="1"/>
  <c r="E5" i="3"/>
  <c r="F5" i="3" s="1"/>
  <c r="E3" i="18"/>
  <c r="F3" i="18" s="1"/>
  <c r="H3" i="18"/>
  <c r="I3" i="18" s="1"/>
  <c r="C5" i="18"/>
  <c r="H5" i="21"/>
  <c r="I5" i="21" s="1"/>
  <c r="E5" i="21"/>
  <c r="F5" i="21" s="1"/>
  <c r="H3" i="29"/>
  <c r="I3" i="29" s="1"/>
  <c r="E3" i="29"/>
  <c r="F3" i="29" s="1"/>
  <c r="C5" i="29"/>
  <c r="H5" i="26"/>
  <c r="I5" i="26" s="1"/>
  <c r="E5" i="26"/>
  <c r="F5" i="26" s="1"/>
  <c r="H3" i="30"/>
  <c r="I3" i="30" s="1"/>
  <c r="E3" i="30"/>
  <c r="F3" i="30" s="1"/>
  <c r="C5" i="30"/>
  <c r="H5" i="31"/>
  <c r="I5" i="31" s="1"/>
  <c r="E5" i="31"/>
  <c r="F5" i="31" s="1"/>
  <c r="H5" i="30" l="1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E3" i="34"/>
  <c r="F3" i="34" s="1"/>
  <c r="H3" i="34"/>
  <c r="I3" i="34" s="1"/>
  <c r="C5" i="34"/>
  <c r="H5" i="34" l="1"/>
  <c r="I5" i="34" s="1"/>
  <c r="E5" i="34"/>
  <c r="F5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<sst xmlns="http://schemas.openxmlformats.org/spreadsheetml/2006/main" count="331" uniqueCount="79">
  <si>
    <t>Year to Date 2024 Actual v. Expected</t>
  </si>
  <si>
    <t>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</si>
  <si>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</si>
  <si>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</si>
  <si>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</si>
  <si>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</si>
  <si>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</si>
  <si>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</si>
  <si>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</si>
  <si>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</si>
  <si>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</si>
  <si>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</si>
  <si>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</si>
  <si>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</si>
  <si>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</si>
  <si>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>2nd Quarter 2024 Forecasted</t>
  </si>
  <si>
    <t>3rd Quarter 2024 Actual v. Expected</t>
  </si>
  <si>
    <t>3rd Quarter 2024 Forecasted</t>
  </si>
  <si>
    <t>4th Quarter 2024 Actual v. Expected</t>
  </si>
  <si>
    <t>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</si>
  <si>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</si>
  <si>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</si>
  <si>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</si>
  <si>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</si>
  <si>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</si>
  <si>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</si>
  <si>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</si>
  <si>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</si>
  <si>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</si>
  <si>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</si>
  <si>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</si>
  <si>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</si>
  <si>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</si>
  <si>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</si>
  <si>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</si>
  <si>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</si>
  <si>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</si>
  <si>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</si>
  <si>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</si>
  <si>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</si>
  <si>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</si>
  <si>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</si>
  <si>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</si>
  <si>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</si>
  <si>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</si>
  <si>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</si>
  <si>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</si>
  <si>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Yankee Sprinkler Co.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</si>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</sst>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9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3" fontId="29" fillId="38" borderId="16" xfId="0" applyNumberFormat="1" applyFont="1" applyFill="1" applyBorder="1"/>
    <xf numFmtId="3" fontId="29" fillId="3" borderId="2" xfId="0" applyNumberFormat="1" applyFont="1" applyFill="1" applyBorder="1" applyAlignment="1">
      <alignment horizontal="right"/>
    </xf>
    <xf numFmtId="9" fontId="29" fillId="3" borderId="2" xfId="2" applyFont="1" applyFill="1" applyBorder="1" applyAlignment="1">
      <alignment horizontal="center"/>
    </xf>
    <xf numFmtId="3" fontId="29" fillId="39" borderId="16" xfId="0" applyNumberFormat="1" applyFont="1" applyFill="1" applyBorder="1"/>
    <xf numFmtId="3" fontId="29" fillId="4" borderId="2" xfId="1" applyNumberFormat="1" applyFont="1" applyFill="1" applyBorder="1"/>
    <xf numFmtId="9" fontId="29" fillId="4" borderId="2" xfId="2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9" fontId="29" fillId="3" borderId="1" xfId="2" applyFont="1" applyFill="1" applyBorder="1" applyAlignment="1">
      <alignment horizontal="center"/>
    </xf>
    <xf numFmtId="3" fontId="29" fillId="4" borderId="13" xfId="1" applyNumberFormat="1" applyFont="1" applyFill="1" applyBorder="1"/>
    <xf numFmtId="3" fontId="29" fillId="4" borderId="2" xfId="1" applyNumberFormat="1" applyFont="1" applyFill="1" applyBorder="1" applyAlignment="1">
      <alignment vertical="center"/>
    </xf>
    <xf numFmtId="3" fontId="29" fillId="38" borderId="14" xfId="0" applyNumberFormat="1" applyFont="1" applyFill="1" applyBorder="1"/>
    <xf numFmtId="3" fontId="29" fillId="39" borderId="14" xfId="0" applyNumberFormat="1" applyFont="1" applyFill="1" applyBorder="1"/>
    <xf numFmtId="0" fontId="28" fillId="0" borderId="3" xfId="0" applyFont="1" applyBorder="1" applyAlignment="1">
      <alignment horizontal="center"/>
    </xf>
    <xf numFmtId="3" fontId="29" fillId="3" borderId="28" xfId="0" applyNumberFormat="1" applyFont="1" applyFill="1" applyBorder="1" applyAlignment="1">
      <alignment horizontal="right"/>
    </xf>
    <xf numFmtId="9" fontId="29" fillId="3" borderId="3" xfId="2" applyFont="1" applyFill="1" applyBorder="1" applyAlignment="1">
      <alignment horizontal="center"/>
    </xf>
    <xf numFmtId="3" fontId="29" fillId="4" borderId="38" xfId="1" applyNumberFormat="1" applyFont="1" applyFill="1" applyBorder="1"/>
    <xf numFmtId="3" fontId="29" fillId="4" borderId="28" xfId="1" applyNumberFormat="1" applyFont="1" applyFill="1" applyBorder="1"/>
    <xf numFmtId="9" fontId="29" fillId="4" borderId="28" xfId="2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9" fontId="28" fillId="5" borderId="1" xfId="2" applyFont="1" applyFill="1" applyBorder="1" applyAlignment="1">
      <alignment horizontal="center"/>
    </xf>
    <xf numFmtId="9" fontId="28" fillId="5" borderId="1" xfId="0" applyNumberFormat="1" applyFont="1" applyFill="1" applyBorder="1" applyAlignment="1">
      <alignment horizontal="center"/>
    </xf>
    <xf numFmtId="0" fontId="28" fillId="0" borderId="0" xfId="0" applyFont="1"/>
    <xf numFmtId="0" fontId="30" fillId="3" borderId="17" xfId="0" applyFont="1" applyFill="1" applyBorder="1" applyAlignment="1">
      <alignment horizontal="left" vertical="center" wrapText="1"/>
    </xf>
    <xf numFmtId="9" fontId="30" fillId="3" borderId="35" xfId="2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/>
    </xf>
    <xf numFmtId="0" fontId="30" fillId="4" borderId="17" xfId="0" applyFont="1" applyFill="1" applyBorder="1" applyAlignment="1">
      <alignment horizontal="left" vertical="center" wrapText="1"/>
    </xf>
    <xf numFmtId="9" fontId="30" fillId="4" borderId="35" xfId="2" applyFont="1" applyFill="1" applyBorder="1" applyAlignment="1">
      <alignment horizontal="left" vertical="center"/>
    </xf>
    <xf numFmtId="9" fontId="30" fillId="43" borderId="36" xfId="2" applyFont="1" applyFill="1" applyBorder="1" applyAlignment="1">
      <alignment horizontal="center" vertical="center"/>
    </xf>
    <xf numFmtId="9" fontId="30" fillId="43" borderId="37" xfId="2" applyFont="1" applyFill="1" applyBorder="1" applyAlignment="1">
      <alignment horizontal="center" vertical="center"/>
    </xf>
    <xf numFmtId="0" fontId="28" fillId="45" borderId="39" xfId="0" applyFont="1" applyFill="1" applyBorder="1" applyAlignment="1">
      <alignment horizontal="center"/>
    </xf>
    <xf numFmtId="3" fontId="32" fillId="3" borderId="16" xfId="0" applyNumberFormat="1" applyFont="1" applyFill="1" applyBorder="1" applyAlignment="1">
      <alignment horizontal="right"/>
    </xf>
    <xf numFmtId="9" fontId="32" fillId="3" borderId="16" xfId="2" applyFont="1" applyFill="1" applyBorder="1" applyAlignment="1">
      <alignment horizontal="center"/>
    </xf>
    <xf numFmtId="3" fontId="32" fillId="4" borderId="16" xfId="1" applyNumberFormat="1" applyFont="1" applyFill="1" applyBorder="1"/>
    <xf numFmtId="9" fontId="32" fillId="40" borderId="16" xfId="2" applyFont="1" applyFill="1" applyBorder="1" applyAlignment="1">
      <alignment horizontal="center"/>
    </xf>
    <xf numFmtId="9" fontId="32" fillId="37" borderId="18" xfId="0" applyNumberFormat="1" applyFont="1" applyFill="1" applyBorder="1" applyAlignment="1">
      <alignment horizontal="center" vertical="center"/>
    </xf>
    <xf numFmtId="9" fontId="32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left" vertical="center" wrapText="1"/>
    </xf>
    <xf numFmtId="0" fontId="35" fillId="45" borderId="39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3" fontId="32" fillId="37" borderId="18" xfId="0" applyNumberFormat="1" applyFont="1" applyFill="1" applyBorder="1" applyAlignment="1">
      <alignment horizontal="center" vertical="center"/>
    </xf>
    <xf numFmtId="3" fontId="32" fillId="37" borderId="18" xfId="1" applyNumberFormat="1" applyFont="1" applyFill="1" applyBorder="1" applyAlignment="1">
      <alignment horizontal="center" vertical="center"/>
    </xf>
    <xf numFmtId="49" fontId="29" fillId="43" borderId="2" xfId="2" applyNumberFormat="1" applyFont="1" applyFill="1" applyBorder="1" applyAlignment="1">
      <alignment horizontal="center" wrapText="1"/>
    </xf>
    <xf numFmtId="49" fontId="29" fillId="43" borderId="2" xfId="2" applyNumberFormat="1" applyFont="1" applyFill="1" applyBorder="1" applyAlignment="1">
      <alignment horizontal="center" vertical="center" wrapText="1"/>
    </xf>
    <xf numFmtId="49" fontId="29" fillId="43" borderId="2" xfId="2" applyNumberFormat="1" applyFont="1" applyFill="1" applyBorder="1" applyAlignment="1">
      <alignment horizontal="left" vertical="top" wrapText="1"/>
    </xf>
    <xf numFmtId="49" fontId="29" fillId="43" borderId="28" xfId="2" applyNumberFormat="1" applyFont="1" applyFill="1" applyBorder="1" applyAlignment="1">
      <alignment horizontal="center" wrapText="1"/>
    </xf>
    <xf numFmtId="3" fontId="36" fillId="3" borderId="39" xfId="0" applyNumberFormat="1" applyFont="1" applyFill="1" applyBorder="1" applyAlignment="1">
      <alignment horizontal="right"/>
    </xf>
    <xf numFmtId="3" fontId="32" fillId="3" borderId="16" xfId="0" applyNumberFormat="1" applyFont="1" applyFill="1" applyBorder="1" applyAlignment="1">
      <alignment horizontal="right" vertical="center"/>
    </xf>
    <xf numFmtId="9" fontId="32" fillId="3" borderId="16" xfId="2" applyFont="1" applyFill="1" applyBorder="1" applyAlignment="1">
      <alignment horizontal="center" vertical="center"/>
    </xf>
    <xf numFmtId="3" fontId="32" fillId="4" borderId="16" xfId="1" applyNumberFormat="1" applyFont="1" applyFill="1" applyBorder="1" applyAlignment="1">
      <alignment vertical="center"/>
    </xf>
    <xf numFmtId="9" fontId="32" fillId="40" borderId="16" xfId="2" applyFont="1" applyFill="1" applyBorder="1" applyAlignment="1">
      <alignment horizontal="center" vertical="center"/>
    </xf>
    <xf numFmtId="49" fontId="28" fillId="45" borderId="39" xfId="0" applyNumberFormat="1" applyFont="1" applyFill="1" applyBorder="1" applyAlignment="1">
      <alignment horizontal="center" vertical="center"/>
    </xf>
    <xf numFmtId="49" fontId="35" fillId="45" borderId="39" xfId="0" applyNumberFormat="1" applyFont="1" applyFill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43" borderId="2" xfId="2" applyNumberFormat="1" applyFont="1" applyFill="1" applyBorder="1" applyAlignment="1">
      <alignment horizontal="left" wrapText="1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1" fillId="44" borderId="23" xfId="0" applyFont="1" applyFill="1" applyBorder="1" applyAlignment="1">
      <alignment horizontal="center" vertical="center"/>
    </xf>
    <xf numFmtId="0" fontId="31" fillId="44" borderId="24" xfId="0" applyFont="1" applyFill="1" applyBorder="1" applyAlignment="1">
      <alignment horizontal="center" vertical="center"/>
    </xf>
    <xf numFmtId="0" fontId="26" fillId="41" borderId="0" xfId="0" applyFont="1" applyFill="1" applyAlignment="1">
      <alignment horizontal="center" wrapText="1"/>
    </xf>
    <xf numFmtId="0" fontId="25" fillId="42" borderId="0" xfId="0" applyFont="1" applyFill="1" applyAlignment="1">
      <alignment horizont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4" totalsRowShown="0">
  <autoFilter ref="A2:E4" xr:uid="{C9C95D9E-67ED-41E0-9F41-9C3DA4ACF4CD}"/>
  <sortState xmlns:xlrd2="http://schemas.microsoft.com/office/spreadsheetml/2017/richdata2" ref="A3:D4">
    <sortCondition ref="C2:C4"/>
  </sortState>
  <tableColumns count="5">
    <tableColumn id="3" xr3:uid="{3FB6FBC9-911C-415A-89D1-91E602B41CD0}" name="Site DAS Name" dataDxfId="34" dataCellStyle="Normal 2"/>
    <tableColumn id="1" xr3:uid="{9A753695-C18C-437C-AD9C-C2CE5C1A806E}" name="Site" dataDxfId="33" dataCellStyle="Normal 2"/>
    <tableColumn id="2" xr3:uid="{250F229D-34D2-4043-BE8F-6D9C210E223F}" name="State" dataDxfId="32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29" dataDxfId="28" headerRowBorderDxfId="26" tableBorderDxfId="27" dataCellStyle="Percent">
  <autoFilter ref="A4:J16" xr:uid="{D3EEF7C6-5546-45C7-990F-851AA4C662FC}"/>
  <tableColumns count="10">
    <tableColumn id="1" xr3:uid="{A191EE12-3FD2-4A5B-B66A-E6E29A36A7A5}" name="Month" dataDxfId="25"/>
    <tableColumn id="2" xr3:uid="{43ACE17D-95C2-4D85-8539-0A43DED8D495}" name="Actual" dataDxfId="24"/>
    <tableColumn id="3" xr3:uid="{7A2B5D12-F08B-4AE4-9AD5-D1E35A67DFF1}" name="Expected" dataDxfId="23"/>
    <tableColumn id="4" xr3:uid="{8CAEB585-20A6-4981-8AF5-F5046984FB02}" name="Delta Expected" dataDxfId="22">
      <calculatedColumnFormula>B5-C5</calculatedColumnFormula>
    </tableColumn>
    <tableColumn id="5" xr3:uid="{4C262FB7-AF12-4240-8FE1-5711C11E958F}" name="% Expected" dataDxfId="21" dataCellStyle="Percent">
      <calculatedColumnFormula>IFERROR(D5/C5, 0)</calculatedColumnFormula>
    </tableColumn>
    <tableColumn id="6" xr3:uid="{348E3C66-E4A9-4633-B920-AB84EB68A327}" name="Forecasted" dataDxfId="20"/>
    <tableColumn id="7" xr3:uid="{F2A1622D-26EB-4465-A86B-476F3813167A}" name="Delta Forecasted" dataDxfId="19" dataCellStyle="Comma">
      <calculatedColumnFormula>B5-F5</calculatedColumnFormula>
    </tableColumn>
    <tableColumn id="8" xr3:uid="{C7DCA6BC-7D8C-4F77-9A93-7F40451A2C5C}" name="% Forecasted" dataDxfId="18" dataCellStyle="Percent">
      <calculatedColumnFormula>IFERROR(G5/F5, 0)</calculatedColumnFormula>
    </tableColumn>
    <tableColumn id="9" xr3:uid="{B6ED3D4A-832D-4DD0-B569-F26D8034F0F2}" name="Notes" dataDxfId="17" dataCellStyle="Percent"/>
    <tableColumn id="10" xr3:uid="{31B5E61E-AFD2-4382-B522-C84C145D11D4}" name="Service Request" dataDxfId="16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16A2F-BE38-4444-BB98-722217F0B1D6}" name="Data2" displayName="Data2" ref="A4:J16" totalsRowShown="0" headerRowDxfId="13" dataDxfId="12" headerRowBorderDxfId="10" tableBorderDxfId="11" dataCellStyle="Percent">
  <autoFilter ref="A4:J16" xr:uid="{59A959C2-52B2-422A-A87A-BC08BBF40681}"/>
  <tableColumns count="10">
    <tableColumn id="1" xr3:uid="{16326703-039A-4C8F-95AA-9DF74A63CA4B}" name="Month" dataDxfId="9"/>
    <tableColumn id="2" xr3:uid="{172E256D-9FEC-41BC-8E46-53EABDFEED80}" name="Actual" dataDxfId="8"/>
    <tableColumn id="3" xr3:uid="{B98CC24C-7927-4B74-AB36-8EAAA7797DDF}" name="Expected" dataDxfId="7"/>
    <tableColumn id="4" xr3:uid="{EB799F21-4D47-49AB-B60A-AA9FBEC606CD}" name="Delta Expected" dataDxfId="6">
      <calculatedColumnFormula>B5-C5</calculatedColumnFormula>
    </tableColumn>
    <tableColumn id="5" xr3:uid="{1475FBA7-647D-4E42-AEF4-5BDB54AB0AC8}" name="% Expected" dataDxfId="5" dataCellStyle="Percent">
      <calculatedColumnFormula>IFERROR(D5/C5, 0)</calculatedColumnFormula>
    </tableColumn>
    <tableColumn id="6" xr3:uid="{DA8440A1-2F52-444D-9E4B-BEBBDBE4DC5A}" name="Forecasted" dataDxfId="4"/>
    <tableColumn id="7" xr3:uid="{EF3E8C46-9B1A-405A-AEFD-97C73B1B9333}" name="Delta Forecasted" dataDxfId="3" dataCellStyle="Comma">
      <calculatedColumnFormula>B5-F5</calculatedColumnFormula>
    </tableColumn>
    <tableColumn id="8" xr3:uid="{0A276867-8E2B-412B-812E-40A203C3C68F}" name="% Forecasted" dataDxfId="2" dataCellStyle="Percent">
      <calculatedColumnFormula>IFERROR(G5/F5, 0)</calculatedColumnFormula>
    </tableColumn>
    <tableColumn id="9" xr3:uid="{336B281B-2A86-494D-B282-5A9DE000BBAC}" name="Notes" dataDxfId="1" dataCellStyle="Percent"/>
    <tableColumn id="10" xr3:uid="{FF22BF38-38F9-4832-B953-AFCEDC37BEF7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0"/>
  <sheetViews>
    <sheetView tabSelected="1" workbookViewId="0">
      <pane ySplit="2" topLeftCell="A3" activePane="bottomLeft" state="frozen"/>
      <selection pane="bottomLeft" activeCell="D26" sqref="D2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0" t="str" cm="1">
        <f t="array" ref="A1">portfolio</f>
        <v>Yankee Sprinkler Co.</v>
      </c>
      <c r="B1" s="81"/>
      <c r="C1" s="82" t="s">
        <v>0</v>
      </c>
      <c r="D1" s="83"/>
      <c r="E1" s="83"/>
      <c r="F1" s="84"/>
      <c r="G1" s="74" t="s">
        <v>1</v>
      </c>
      <c r="H1" s="74"/>
      <c r="I1" s="75"/>
    </row>
    <row r="2" spans="1:9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</row>
    <row r="3" spans="1:9" ht="15.75">
      <c r="A3" s="56" t="str" cm="1">
        <f t="array" ref="A3:A4">Sites[Site]</f>
        <v>Yankee Phase 1</v>
      </c>
      <c r="B3" s="45" t="str" cm="1">
        <f t="array" ref="B3:B4">Sites[State]</f>
        <v>MA</v>
      </c>
      <c r="C3" s="46">
        <f ca="1">SUM('1st Qtr'!C3, '2nd Qtr'!C3, '3rd Qtr'!C3, '4th Qtr'!C3)</f>
        <v>3764</v>
      </c>
      <c r="D3" s="46">
        <f ca="1">SUM('1st Qtr'!D3, '2nd Qtr'!D3, '3rd Qtr'!D3, '4th Qtr'!D3)</f>
        <v>0</v>
      </c>
      <c r="E3" s="46">
        <f ca="1">C3-D3</f>
        <v>3764</v>
      </c>
      <c r="F3" s="47">
        <f ca="1">IFERROR(E3/D3, 0)</f>
        <v>0</v>
      </c>
      <c r="G3" s="48">
        <f ca="1">SUM('1st Qtr'!G3, '2nd Qtr'!G3, '3rd Qtr'!G3, '4th Qtr'!G3)</f>
        <v>9297</v>
      </c>
      <c r="H3" s="48">
        <f ca="1">C3-G3</f>
        <v>-5533</v>
      </c>
      <c r="I3" s="49">
        <f ca="1">IFERROR(H3/G3, 0)</f>
        <v>-0.59513821662902011</v>
      </c>
    </row>
    <row r="4" spans="1:9" ht="15.75">
      <c r="A4" s="57" t="str">
        <v>Yankee Phase 2</v>
      </c>
      <c r="B4" s="21" t="str">
        <v>MA</v>
      </c>
      <c r="C4" s="46">
        <f ca="1">SUM('1st Qtr'!C4, '2nd Qtr'!C4, '3rd Qtr'!C4, '4th Qtr'!C4)</f>
        <v>1923</v>
      </c>
      <c r="D4" s="46">
        <f ca="1">SUM('1st Qtr'!D4, '2nd Qtr'!D4, '3rd Qtr'!D4, '4th Qtr'!D4)</f>
        <v>0</v>
      </c>
      <c r="E4" s="46">
        <f t="shared" ref="E4" ca="1" si="0">C4-D4</f>
        <v>1923</v>
      </c>
      <c r="F4" s="47">
        <f t="shared" ref="F4" ca="1" si="1">IFERROR(E4/D4, 0)</f>
        <v>0</v>
      </c>
      <c r="G4" s="48">
        <f ca="1">SUM('1st Qtr'!G4, '2nd Qtr'!G4, '3rd Qtr'!G4, '4th Qtr'!G4)</f>
        <v>0</v>
      </c>
      <c r="H4" s="48">
        <f t="shared" ref="H4" ca="1" si="2">C4-G4</f>
        <v>1923</v>
      </c>
      <c r="I4" s="49">
        <f t="shared" ref="I4" ca="1" si="3">IFERROR(H4/G4, 0)</f>
        <v>0</v>
      </c>
    </row>
    <row r="5" spans="1:9" ht="24.75" customHeight="1">
      <c r="A5" s="76" t="s">
        <v>9</v>
      </c>
      <c r="B5" s="77"/>
      <c r="C5" s="58">
        <f ca="1">SUM(C3:C4)</f>
        <v>5687</v>
      </c>
      <c r="D5" s="58">
        <f ca="1">SUM(D3:D4)</f>
        <v>0</v>
      </c>
      <c r="E5" s="58">
        <f ca="1">C5-D5</f>
        <v>5687</v>
      </c>
      <c r="F5" s="50">
        <f ca="1">IFERROR(E5/D5, 0)</f>
        <v>0</v>
      </c>
      <c r="G5" s="58">
        <f ca="1">SUM(G3:G4)</f>
        <v>9297</v>
      </c>
      <c r="H5" s="59">
        <f ca="1">C5-G5</f>
        <v>-3610</v>
      </c>
      <c r="I5" s="51">
        <f ca="1">IFERROR(H5/G5, 0)</f>
        <v>-0.38829730020436698</v>
      </c>
    </row>
    <row r="7" spans="1:9" ht="12.75" customHeight="1">
      <c r="A7" s="78" t="s">
        <v>10</v>
      </c>
    </row>
    <row r="8" spans="1:9">
      <c r="A8" s="78"/>
    </row>
    <row r="9" spans="1:9">
      <c r="A9" s="79" t="s">
        <v>11</v>
      </c>
    </row>
    <row r="10" spans="1:9" ht="12.75" customHeight="1">
      <c r="A10" s="79"/>
    </row>
  </sheetData>
  <autoFilter ref="A2:I2" xr:uid="{D5C25034-9971-4A61-864F-C938F31EB1B8}"/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76" priority="1" operator="lessThanOrEqual">
      <formula>-0.1</formula>
    </cfRule>
    <cfRule type="cellIs" dxfId="7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0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0" t="str" cm="1">
        <f t="array" ref="A1">portfolio</f>
        <v>Yankee Sprinkler Co.</v>
      </c>
      <c r="B1" s="81"/>
      <c r="C1" s="82" t="s">
        <v>12</v>
      </c>
      <c r="D1" s="83"/>
      <c r="E1" s="83"/>
      <c r="F1" s="84"/>
      <c r="G1" s="74" t="s">
        <v>13</v>
      </c>
      <c r="H1" s="74"/>
      <c r="I1" s="75"/>
    </row>
    <row r="2" spans="1:9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</row>
    <row r="3" spans="1:9" ht="15.75">
      <c r="A3" s="56" t="str" cm="1">
        <f t="array" ref="A3:A4">Sites[Site]</f>
        <v>Yankee Phase 1</v>
      </c>
      <c r="B3" s="45" t="str" cm="1">
        <f t="array" ref="B3:B4">Sites[State]</f>
        <v>MA</v>
      </c>
      <c r="C3" s="46">
        <f ca="1">SUM(Jan!C3, Feb!C3, Mar!C3)</f>
        <v>3764</v>
      </c>
      <c r="D3" s="46">
        <f ca="1">SUM(Jan!D3, Feb!D3, Mar!D3)</f>
        <v>0</v>
      </c>
      <c r="E3" s="46">
        <f ca="1">C3-D3</f>
        <v>3764</v>
      </c>
      <c r="F3" s="47">
        <f ca="1">IFERROR(E3/D3, 0)</f>
        <v>0</v>
      </c>
      <c r="G3" s="48">
        <f ca="1">SUM(Jan!G3, Feb!G3, Mar!G3)</f>
        <v>9297</v>
      </c>
      <c r="H3" s="48">
        <f ca="1">C3-G3</f>
        <v>-5533</v>
      </c>
      <c r="I3" s="49">
        <f ca="1">IFERROR(H3/G3, 0)</f>
        <v>-0.59513821662902011</v>
      </c>
    </row>
    <row r="4" spans="1:9" ht="15.75">
      <c r="A4" s="57" t="str">
        <v>Yankee Phase 2</v>
      </c>
      <c r="B4" s="21" t="str">
        <v>MA</v>
      </c>
      <c r="C4" s="46">
        <f ca="1">SUM(Jan!C4, Feb!C4, Mar!C4)</f>
        <v>1923</v>
      </c>
      <c r="D4" s="46">
        <f ca="1">SUM(Jan!D4, Feb!D4, Mar!D4)</f>
        <v>0</v>
      </c>
      <c r="E4" s="46">
        <f t="shared" ref="E4" ca="1" si="0">C4-D4</f>
        <v>1923</v>
      </c>
      <c r="F4" s="47">
        <f t="shared" ref="F4" ca="1" si="1">IFERROR(E4/D4, 0)</f>
        <v>0</v>
      </c>
      <c r="G4" s="48">
        <f ca="1">SUM(Jan!G4, Feb!G4, Mar!G4)</f>
        <v>0</v>
      </c>
      <c r="H4" s="48">
        <f t="shared" ref="H4" ca="1" si="2">C4-G4</f>
        <v>1923</v>
      </c>
      <c r="I4" s="49">
        <f t="shared" ref="I4" ca="1" si="3">IFERROR(H4/G4, 0)</f>
        <v>0</v>
      </c>
    </row>
    <row r="5" spans="1:9" ht="24.75" customHeight="1">
      <c r="A5" s="76" t="s">
        <v>9</v>
      </c>
      <c r="B5" s="77"/>
      <c r="C5" s="58">
        <f ca="1">SUM(C3:C4)</f>
        <v>5687</v>
      </c>
      <c r="D5" s="58">
        <f ca="1">SUM(D3:D4)</f>
        <v>0</v>
      </c>
      <c r="E5" s="58">
        <f ca="1">C5-D5</f>
        <v>5687</v>
      </c>
      <c r="F5" s="50">
        <f ca="1">IFERROR(E5/D5, 0)</f>
        <v>0</v>
      </c>
      <c r="G5" s="58">
        <f ca="1">SUM(G3:G4)</f>
        <v>9297</v>
      </c>
      <c r="H5" s="59">
        <f ca="1">C5-G5</f>
        <v>-3610</v>
      </c>
      <c r="I5" s="51">
        <f ca="1">IFERROR(H5/G5, 0)</f>
        <v>-0.38829730020436698</v>
      </c>
    </row>
    <row r="7" spans="1:9" ht="12.75" customHeight="1">
      <c r="A7" s="78" t="s">
        <v>10</v>
      </c>
    </row>
    <row r="8" spans="1:9">
      <c r="A8" s="78"/>
    </row>
    <row r="9" spans="1:9">
      <c r="A9" s="79" t="s">
        <v>11</v>
      </c>
    </row>
    <row r="10" spans="1:9" ht="12.75" customHeight="1">
      <c r="A10" s="79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74" priority="1" operator="lessThanOrEqual">
      <formula>-0.1</formula>
    </cfRule>
    <cfRule type="cellIs" dxfId="73" priority="2" operator="greaterThanOrEqual">
      <formula>0.1</formula>
    </cfRule>
  </conditionalFormatting>
  <conditionalFormatting sqref="I3:I5">
    <cfRule type="cellIs" dxfId="72" priority="3" operator="lessThanOrEqual">
      <formula>-0.1</formula>
    </cfRule>
    <cfRule type="cellIs" dxfId="71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0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0" t="str" cm="1">
        <f t="array" ref="A1">portfolio</f>
        <v>Yankee Sprinkler Co.</v>
      </c>
      <c r="B1" s="81"/>
      <c r="C1" s="82" t="s">
        <v>14</v>
      </c>
      <c r="D1" s="83"/>
      <c r="E1" s="83"/>
      <c r="F1" s="84"/>
      <c r="G1" s="74" t="s">
        <v>15</v>
      </c>
      <c r="H1" s="74"/>
      <c r="I1" s="75"/>
    </row>
    <row r="2" spans="1:9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</row>
    <row r="3" spans="1:9" ht="15.75">
      <c r="A3" s="56" t="str" cm="1">
        <f t="array" ref="A3:A4">Sites[Site]</f>
        <v>Yankee Phase 1</v>
      </c>
      <c r="B3" s="45" t="str" cm="1">
        <f t="array" ref="B3:B4">Sites[State]</f>
        <v>MA</v>
      </c>
      <c r="C3" s="46">
        <f ca="1">SUM(Apr!C3, May!C3, Jun!C3)</f>
        <v>0</v>
      </c>
      <c r="D3" s="46">
        <f ca="1">SUM(Apr!D3, May!D3, Jun!D3)</f>
        <v>0</v>
      </c>
      <c r="E3" s="46">
        <f ca="1">C3-D3</f>
        <v>0</v>
      </c>
      <c r="F3" s="47">
        <f ca="1">IFERROR(E3/D3, 0)</f>
        <v>0</v>
      </c>
      <c r="G3" s="48">
        <f ca="1">SUM(Apr!G3, May!G3, Jun!G3)</f>
        <v>0</v>
      </c>
      <c r="H3" s="48">
        <f ca="1">C3-G3</f>
        <v>0</v>
      </c>
      <c r="I3" s="49">
        <f ca="1">IFERROR(H3/G3, 0)</f>
        <v>0</v>
      </c>
    </row>
    <row r="4" spans="1:9" ht="15.75">
      <c r="A4" s="57" t="str">
        <v>Yankee Phase 2</v>
      </c>
      <c r="B4" s="21" t="str">
        <v>MA</v>
      </c>
      <c r="C4" s="46">
        <f ca="1">SUM(Apr!C4, May!C4, Jun!C4)</f>
        <v>0</v>
      </c>
      <c r="D4" s="46">
        <f ca="1">SUM(Apr!D4, May!D4, Jun!D4)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SUM(Apr!G4, May!G4, Jun!G4)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</row>
    <row r="7" spans="1:9" ht="12.75" customHeight="1">
      <c r="A7" s="78" t="s">
        <v>10</v>
      </c>
    </row>
    <row r="8" spans="1:9">
      <c r="A8" s="78"/>
    </row>
    <row r="9" spans="1:9">
      <c r="A9" s="79" t="s">
        <v>11</v>
      </c>
    </row>
    <row r="10" spans="1:9" ht="12.75" customHeight="1">
      <c r="A10" s="79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70" priority="3" operator="lessThanOrEqual">
      <formula>-0.1</formula>
    </cfRule>
    <cfRule type="cellIs" dxfId="69" priority="4" operator="greaterThanOrEqual">
      <formula>0.1</formula>
    </cfRule>
  </conditionalFormatting>
  <conditionalFormatting sqref="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0"/>
  <sheetViews>
    <sheetView workbookViewId="0">
      <pane ySplit="2" topLeftCell="A3" activePane="bottomLeft" state="frozen"/>
      <selection pane="bottomLeft" activeCell="G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0" t="str" cm="1">
        <f t="array" ref="A1">portfolio</f>
        <v>Yankee Sprinkler Co.</v>
      </c>
      <c r="B1" s="81"/>
      <c r="C1" s="82" t="s">
        <v>16</v>
      </c>
      <c r="D1" s="83"/>
      <c r="E1" s="83"/>
      <c r="F1" s="84"/>
      <c r="G1" s="74" t="s">
        <v>17</v>
      </c>
      <c r="H1" s="74"/>
      <c r="I1" s="75"/>
    </row>
    <row r="2" spans="1:9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</row>
    <row r="3" spans="1:9" ht="15.75">
      <c r="A3" s="56" t="str" cm="1">
        <f t="array" ref="A3:A4">Sites[Site]</f>
        <v>Yankee Phase 1</v>
      </c>
      <c r="B3" s="45" t="str" cm="1">
        <f t="array" ref="B3:B4">Sites[State]</f>
        <v>MA</v>
      </c>
      <c r="C3" s="46">
        <f ca="1">SUM(Jul!C3, Aug!C3, Sep!C3)</f>
        <v>0</v>
      </c>
      <c r="D3" s="46">
        <f ca="1">SUM(Jul!D3, Aug!D3, Sep!D3)</f>
        <v>0</v>
      </c>
      <c r="E3" s="46">
        <f ca="1">C3-D3</f>
        <v>0</v>
      </c>
      <c r="F3" s="47">
        <f ca="1">IFERROR(E3/D3, 0)</f>
        <v>0</v>
      </c>
      <c r="G3" s="48">
        <f ca="1">SUM(Jul!G3, Aug!G3, Sep!G3)</f>
        <v>0</v>
      </c>
      <c r="H3" s="48">
        <f ca="1">C3-G3</f>
        <v>0</v>
      </c>
      <c r="I3" s="49">
        <f ca="1">IFERROR(H3/G3, 0)</f>
        <v>0</v>
      </c>
    </row>
    <row r="4" spans="1:9" ht="15.75">
      <c r="A4" s="57" t="str">
        <v>Yankee Phase 2</v>
      </c>
      <c r="B4" s="21" t="str">
        <v>MA</v>
      </c>
      <c r="C4" s="46">
        <f ca="1">SUM(Jul!C4, Aug!C4, Sep!C4)</f>
        <v>0</v>
      </c>
      <c r="D4" s="46">
        <f ca="1">SUM(Jul!D4, Aug!D4, Sep!D4)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SUM(Jul!G4, Aug!G4, Sep!G4)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</row>
    <row r="7" spans="1:9" ht="12.75" customHeight="1">
      <c r="A7" s="78" t="s">
        <v>10</v>
      </c>
    </row>
    <row r="8" spans="1:9">
      <c r="A8" s="78"/>
    </row>
    <row r="9" spans="1:9" ht="12.75" customHeight="1">
      <c r="A9" s="79" t="s">
        <v>11</v>
      </c>
    </row>
    <row r="10" spans="1:9">
      <c r="A10" s="79"/>
    </row>
  </sheetData>
  <autoFilter ref="A2:I2" xr:uid="{CACFAF7D-C0A7-49C0-9FFC-8D8BC8F00BC8}"/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66" priority="3" operator="lessThanOrEqual">
      <formula>-0.1</formula>
    </cfRule>
    <cfRule type="cellIs" dxfId="65" priority="4" operator="greaterThanOrEqual">
      <formula>0.1</formula>
    </cfRule>
  </conditionalFormatting>
  <conditionalFormatting sqref="I3:I5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0"/>
  <sheetViews>
    <sheetView workbookViewId="0">
      <pane ySplit="2" topLeftCell="A3" activePane="bottomLeft" state="frozen"/>
      <selection pane="bottomLeft" activeCell="J28" sqref="J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0" t="str" cm="1">
        <f t="array" ref="A1">portfolio</f>
        <v>Yankee Sprinkler Co.</v>
      </c>
      <c r="B1" s="81"/>
      <c r="C1" s="82" t="s">
        <v>18</v>
      </c>
      <c r="D1" s="83"/>
      <c r="E1" s="83"/>
      <c r="F1" s="84"/>
      <c r="G1" s="74" t="s">
        <v>19</v>
      </c>
      <c r="H1" s="74"/>
      <c r="I1" s="75"/>
    </row>
    <row r="2" spans="1:9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</row>
    <row r="3" spans="1:9" ht="15.75">
      <c r="A3" s="56" t="str" cm="1">
        <f t="array" ref="A3:A4">Sites[Site]</f>
        <v>Yankee Phase 1</v>
      </c>
      <c r="B3" s="45" t="str" cm="1">
        <f t="array" ref="B3:B4">Sites[State]</f>
        <v>MA</v>
      </c>
      <c r="C3" s="46">
        <f ca="1">SUM(Oct!C3, Nov!C3, Dec!C3)</f>
        <v>0</v>
      </c>
      <c r="D3" s="46">
        <f ca="1">SUM(Oct!D3, Nov!D3, Dec!D3)</f>
        <v>0</v>
      </c>
      <c r="E3" s="46">
        <f ca="1">C3-D3</f>
        <v>0</v>
      </c>
      <c r="F3" s="47">
        <f ca="1">IFERROR(E3/D3, 0)</f>
        <v>0</v>
      </c>
      <c r="G3" s="48">
        <f ca="1">SUM(Oct!G3, Nov!G3, Dec!G3)</f>
        <v>0</v>
      </c>
      <c r="H3" s="48">
        <f ca="1">C3-G3</f>
        <v>0</v>
      </c>
      <c r="I3" s="49">
        <f ca="1">IFERROR(H3/G3, 0)</f>
        <v>0</v>
      </c>
    </row>
    <row r="4" spans="1:9" ht="15.75">
      <c r="A4" s="57" t="str">
        <v>Yankee Phase 2</v>
      </c>
      <c r="B4" s="21" t="str">
        <v>MA</v>
      </c>
      <c r="C4" s="46">
        <f ca="1">SUM(Oct!C4, Nov!C4, Dec!C4)</f>
        <v>0</v>
      </c>
      <c r="D4" s="46">
        <f ca="1">SUM(Oct!D4, Nov!D4, Dec!D4)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SUM(Oct!G4, Nov!G4, Dec!G4)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</row>
    <row r="7" spans="1:9" ht="12.75" customHeight="1">
      <c r="A7" s="78" t="s">
        <v>10</v>
      </c>
    </row>
    <row r="8" spans="1:9">
      <c r="A8" s="78"/>
    </row>
    <row r="9" spans="1:9">
      <c r="A9" s="79" t="s">
        <v>11</v>
      </c>
    </row>
    <row r="10" spans="1:9" ht="12.75" customHeight="1">
      <c r="A10" s="79"/>
    </row>
  </sheetData>
  <autoFilter ref="A2:I2" xr:uid="{CE62352A-0CAA-4862-87B6-A6A1C7531211}"/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62" priority="3" operator="lessThanOrEqual">
      <formula>-0.1</formula>
    </cfRule>
    <cfRule type="cellIs" dxfId="61" priority="4" operator="greaterThanOrEqual">
      <formula>0.1</formula>
    </cfRule>
  </conditionalFormatting>
  <conditionalFormatting sqref="I3:I5">
    <cfRule type="cellIs" dxfId="60" priority="1" operator="lessThanOrEqual">
      <formula>-0.1</formula>
    </cfRule>
    <cfRule type="cellIs" dxfId="5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E28" sqref="E28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20</v>
      </c>
      <c r="D1" s="83"/>
      <c r="E1" s="83"/>
      <c r="F1" s="84"/>
      <c r="G1" s="74" t="s">
        <v>21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cm="1">
        <f t="array" aca="1" ref="C3:K3" ca="1">IF(INDIRECT("'" &amp; $A3 &amp; "'!B5:J5")="", "", INDIRECT("'" &amp; $A3 &amp; "'!B5:J5"))</f>
        <v>3764</v>
      </c>
      <c r="D3" s="65">
        <f ca="1"/>
        <v>0</v>
      </c>
      <c r="E3" s="65">
        <f ca="1"/>
        <v>3764</v>
      </c>
      <c r="F3" s="66">
        <f ca="1"/>
        <v>0</v>
      </c>
      <c r="G3" s="67">
        <f ca="1"/>
        <v>9297</v>
      </c>
      <c r="H3" s="67">
        <f ca="1"/>
        <v>-5533</v>
      </c>
      <c r="I3" s="68">
        <f ca="1"/>
        <v>-0.59513821662902011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cm="1">
        <f t="array" aca="1" ref="C4:K4" ca="1">IF(INDIRECT("'" &amp; $A4 &amp; "'!B5:J5")="", "", INDIRECT("'" &amp; $A4 &amp; "'!B5:J5"))</f>
        <v>1923</v>
      </c>
      <c r="D4" s="65">
        <f ca="1"/>
        <v>0</v>
      </c>
      <c r="E4" s="65">
        <f ca="1"/>
        <v>1923</v>
      </c>
      <c r="F4" s="66">
        <f ca="1"/>
        <v>0</v>
      </c>
      <c r="G4" s="67">
        <f ca="1"/>
        <v>0</v>
      </c>
      <c r="H4" s="67">
        <f ca="1"/>
        <v>1923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24.75" customHeight="1">
      <c r="A5" s="76" t="s">
        <v>9</v>
      </c>
      <c r="B5" s="77"/>
      <c r="C5" s="58">
        <f ca="1">SUM(C3:C4)</f>
        <v>5687</v>
      </c>
      <c r="D5" s="58">
        <f ca="1">SUM(D3:D4)</f>
        <v>0</v>
      </c>
      <c r="E5" s="58">
        <f ca="1">C5-D5</f>
        <v>5687</v>
      </c>
      <c r="F5" s="50">
        <f ca="1">IFERROR(E5/D5, 0)</f>
        <v>0</v>
      </c>
      <c r="G5" s="58">
        <f ca="1">SUM(G3:G4)</f>
        <v>9297</v>
      </c>
      <c r="H5" s="59">
        <f ca="1">C5-G5</f>
        <v>-3610</v>
      </c>
      <c r="I5" s="51">
        <f ca="1">IFERROR(H5/G5, 0)</f>
        <v>-0.38829730020436698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58" priority="4" operator="lessThanOrEqual">
      <formula>-0.1</formula>
    </cfRule>
    <cfRule type="cellIs" dxfId="57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24</v>
      </c>
      <c r="D1" s="83"/>
      <c r="E1" s="83"/>
      <c r="F1" s="84"/>
      <c r="G1" s="74" t="s">
        <v>25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"'!B6:J6")="", "", INDIRECT("'" &amp; $A3 &amp; "'!B6:J6"))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"'!B6:J6")="", "", INDIRECT("'" &amp; $A4 &amp; "'!B6:J6"))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24.75" customHeight="1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26</v>
      </c>
      <c r="D1" s="83"/>
      <c r="E1" s="83"/>
      <c r="F1" s="84"/>
      <c r="G1" s="74" t="s">
        <v>27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"'!B7:J7")="", "", INDIRECT("'" &amp; $A3 &amp; "'!B7:J7"))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"'!B7:J7")="", "", INDIRECT("'" &amp; $A4 &amp; "'!B7:J7"))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E69961AB-A757-4049-8AB9-40F3BCB812B3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28</v>
      </c>
      <c r="D1" s="83"/>
      <c r="E1" s="83"/>
      <c r="F1" s="84"/>
      <c r="G1" s="74" t="s">
        <v>29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"'!B8:J8")="", "", INDIRECT("'" &amp; $A3 &amp; "'!B8:J8"))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"'!B8:J8")="", "", INDIRECT("'" &amp; $A4 &amp; "'!B8:J8"))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9CEFA865-F03F-435F-98CB-83683B1083B8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30</v>
      </c>
      <c r="D1" s="83"/>
      <c r="E1" s="83"/>
      <c r="F1" s="84"/>
      <c r="G1" s="74" t="s">
        <v>31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"'!B9:J9")="", "", INDIRECT("'" &amp; $A3 &amp; "'!B9:J9"))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"'!B9:J9")="", "", INDIRECT("'" &amp; $A4 &amp; "'!B9:J9"))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>
      <c r="A7" s="78" t="s">
        <v>10</v>
      </c>
      <c r="J7" s="8"/>
    </row>
    <row r="8" spans="1:11">
      <c r="A8" s="78"/>
      <c r="J8" s="8"/>
    </row>
    <row r="9" spans="1:11" ht="12.75" customHeight="1">
      <c r="A9" s="79" t="s">
        <v>11</v>
      </c>
      <c r="J9" s="8"/>
    </row>
    <row r="10" spans="1:1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BC8A3C74-EDA3-4B8F-8C65-FD4243AE8FF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32</v>
      </c>
      <c r="D1" s="83"/>
      <c r="E1" s="83"/>
      <c r="F1" s="84"/>
      <c r="G1" s="74" t="s">
        <v>33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"'!B10:J10")="", "", INDIRECT("'" &amp; $A3 &amp; "'!B10:J10"))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"'!B10:J10")="", "", INDIRECT("'" &amp; $A4 &amp; "'!B10:J10"))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6C08AFFB-6AF8-48AC-9706-52E390C2AC4B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34</v>
      </c>
      <c r="D1" s="83"/>
      <c r="E1" s="83"/>
      <c r="F1" s="84"/>
      <c r="G1" s="74" t="s">
        <v>35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"'!B11:J11")="", "", INDIRECT("'" &amp; $A3 &amp; "'!B11:J11"))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"'!B11:J11")="", "", INDIRECT("'" &amp; $A4 &amp; "'!B11:J11"))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957CD936-B73F-469A-B0B5-B8EA155C9C51}"/>
  <sortState xmlns:xlrd2="http://schemas.microsoft.com/office/spreadsheetml/2017/richdata2" ref="A3:K8">
    <sortCondition ref="A3:A8"/>
  </sortState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36</v>
      </c>
      <c r="D1" s="83"/>
      <c r="E1" s="83"/>
      <c r="F1" s="84"/>
      <c r="G1" s="74" t="s">
        <v>37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"'!B12:J12")="", "", INDIRECT("'" &amp; $A3 &amp; "'!B12:J12"))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"'!B12:J12")="", "", INDIRECT("'" &amp; $A4 &amp; "'!B12:J12"))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48D80AE8-42BF-4DAC-863F-113F77A3E00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"/>
  <sheetViews>
    <sheetView workbookViewId="0">
      <pane ySplit="2" topLeftCell="A3" activePane="bottomLeft" state="frozen"/>
      <selection pane="bottomLeft" activeCell="A5" sqref="A5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38</v>
      </c>
      <c r="D1" s="83"/>
      <c r="E1" s="83"/>
      <c r="F1" s="84"/>
      <c r="G1" s="74" t="s">
        <v>39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"'!B13:J13")="", "", INDIRECT("'" &amp; $A3 &amp; "'!B13:J13"))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"'!B13:J13")="", "", INDIRECT("'" &amp; $A4 &amp; "'!B13:J13"))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534CA70E-2643-48AC-AA44-E3F75A2814B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"/>
  <sheetViews>
    <sheetView workbookViewId="0">
      <pane ySplit="2" topLeftCell="A3" activePane="bottomLeft" state="frozen"/>
      <selection pane="bottomLeft" activeCell="F30" sqref="F30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40</v>
      </c>
      <c r="D1" s="83"/>
      <c r="E1" s="83"/>
      <c r="F1" s="84"/>
      <c r="G1" s="74" t="s">
        <v>41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"'!B14:J14")="", "", INDIRECT("'" &amp; $A3 &amp; "'!B14:J14"))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"'!B14:J14")="", "", INDIRECT("'" &amp; $A4 &amp; "'!B14:J14"))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B87DE706-15D9-4E58-ADBD-0129509DEFD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"/>
  <sheetViews>
    <sheetView workbookViewId="0">
      <pane ySplit="2" topLeftCell="A3" activePane="bottomLeft" state="frozen"/>
      <selection pane="bottomLeft" activeCell="G37" sqref="G37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42</v>
      </c>
      <c r="D1" s="83"/>
      <c r="E1" s="83"/>
      <c r="F1" s="84"/>
      <c r="G1" s="74" t="s">
        <v>43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"'!B15:J15")="", "", INDIRECT("'" &amp; $A3 &amp; "'!B15:J15"))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"'!B15:J15")="", "", INDIRECT("'" &amp; $A4 &amp; "'!B15:J15"))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7397A98F-A32F-42EE-8114-2658DE422011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4"/>
  <sheetViews>
    <sheetView workbookViewId="0">
      <pane ySplit="2" topLeftCell="A3" activePane="bottomLeft" state="frozen"/>
      <selection pane="bottomLeft" activeCell="J3" activeCellId="2" sqref="C3:D4 G3:G4 J3:K4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0" t="str" cm="1">
        <f t="array" ref="A1">portfolio</f>
        <v>Yankee Sprinkler Co.</v>
      </c>
      <c r="B1" s="81"/>
      <c r="C1" s="82" t="s">
        <v>44</v>
      </c>
      <c r="D1" s="83"/>
      <c r="E1" s="83"/>
      <c r="F1" s="84"/>
      <c r="G1" s="74" t="s">
        <v>45</v>
      </c>
      <c r="H1" s="74"/>
      <c r="I1" s="75"/>
      <c r="J1" s="85" t="s">
        <v>22</v>
      </c>
      <c r="K1" s="85" t="s">
        <v>23</v>
      </c>
    </row>
    <row r="2" spans="1:11" ht="14.25" customHeight="1">
      <c r="A2" s="54" t="s">
        <v>2</v>
      </c>
      <c r="B2" s="55" t="s">
        <v>3</v>
      </c>
      <c r="C2" s="5" t="s">
        <v>4</v>
      </c>
      <c r="D2" s="52" t="s">
        <v>5</v>
      </c>
      <c r="E2" s="5" t="s">
        <v>6</v>
      </c>
      <c r="F2" s="6" t="s">
        <v>7</v>
      </c>
      <c r="G2" s="53" t="s">
        <v>8</v>
      </c>
      <c r="H2" s="7" t="s">
        <v>6</v>
      </c>
      <c r="I2" s="9" t="s">
        <v>7</v>
      </c>
      <c r="J2" s="86"/>
      <c r="K2" s="86"/>
    </row>
    <row r="3" spans="1:11" ht="15.75">
      <c r="A3" s="70" t="str" cm="1">
        <f t="array" ref="A3:A4">Sites[Site]</f>
        <v>Yankee Phase 1</v>
      </c>
      <c r="B3" s="69" t="str" cm="1">
        <f t="array" ref="B3:B4">Sites[State]</f>
        <v>MA</v>
      </c>
      <c r="C3" s="65" t="str" cm="1">
        <f t="array" aca="1" ref="C3:K3" ca="1">IF(INDIRECT("'" &amp; $A3 &amp; "'!B16:J16")="", "", INDIRECT("'" &amp; $A3 &amp; "'!B16:J16"))</f>
        <v/>
      </c>
      <c r="D3" s="65" t="str">
        <f ca="1"/>
        <v/>
      </c>
      <c r="E3" s="65">
        <f ca="1"/>
        <v>0</v>
      </c>
      <c r="F3" s="66">
        <f ca="1"/>
        <v>0</v>
      </c>
      <c r="G3" s="67" t="str">
        <f ca="1"/>
        <v/>
      </c>
      <c r="H3" s="67">
        <f ca="1"/>
        <v>0</v>
      </c>
      <c r="I3" s="68">
        <f ca="1"/>
        <v>0</v>
      </c>
      <c r="J3" s="62" t="str">
        <f ca="1"/>
        <v/>
      </c>
      <c r="K3" s="62" t="str">
        <f ca="1"/>
        <v/>
      </c>
    </row>
    <row r="4" spans="1:11" ht="15.75">
      <c r="A4" s="71" t="str">
        <v>Yankee Phase 2</v>
      </c>
      <c r="B4" s="72" t="str">
        <v>MA</v>
      </c>
      <c r="C4" s="65" t="str" cm="1">
        <f t="array" aca="1" ref="C4:K4" ca="1">IF(INDIRECT("'" &amp; $A4 &amp; "'!B16:J16")="", "", INDIRECT("'" &amp; $A4 &amp; "'!B16:J16"))</f>
        <v/>
      </c>
      <c r="D4" s="65" t="str">
        <f ca="1"/>
        <v/>
      </c>
      <c r="E4" s="65">
        <f ca="1"/>
        <v>0</v>
      </c>
      <c r="F4" s="66">
        <f ca="1"/>
        <v>0</v>
      </c>
      <c r="G4" s="67" t="str">
        <f ca="1"/>
        <v/>
      </c>
      <c r="H4" s="67">
        <f ca="1"/>
        <v>0</v>
      </c>
      <c r="I4" s="68">
        <f ca="1"/>
        <v>0</v>
      </c>
      <c r="J4" s="62" t="str">
        <f ca="1"/>
        <v/>
      </c>
      <c r="K4" s="62" t="str">
        <f ca="1"/>
        <v/>
      </c>
    </row>
    <row r="5" spans="1:11" ht="13.5">
      <c r="A5" s="76" t="s">
        <v>9</v>
      </c>
      <c r="B5" s="77"/>
      <c r="C5" s="58">
        <f ca="1">SUM(C3:C4)</f>
        <v>0</v>
      </c>
      <c r="D5" s="58">
        <f ca="1">SUM(D3:D4)</f>
        <v>0</v>
      </c>
      <c r="E5" s="58">
        <f ca="1">C5-D5</f>
        <v>0</v>
      </c>
      <c r="F5" s="50">
        <f ca="1">IFERROR(E5/D5, 0)</f>
        <v>0</v>
      </c>
      <c r="G5" s="58">
        <f ca="1">SUM(G3:G4)</f>
        <v>0</v>
      </c>
      <c r="H5" s="59">
        <f ca="1">C5-G5</f>
        <v>0</v>
      </c>
      <c r="I5" s="51">
        <f ca="1">IFERROR(H5/G5, 0)</f>
        <v>0</v>
      </c>
      <c r="J5" s="8"/>
    </row>
    <row r="6" spans="1:11">
      <c r="J6" s="8"/>
    </row>
    <row r="7" spans="1:11" ht="12.75" customHeight="1">
      <c r="A7" s="78" t="s">
        <v>10</v>
      </c>
      <c r="J7" s="8"/>
    </row>
    <row r="8" spans="1:11">
      <c r="A8" s="78"/>
      <c r="J8" s="8"/>
    </row>
    <row r="9" spans="1:11">
      <c r="A9" s="79" t="s">
        <v>11</v>
      </c>
      <c r="J9" s="8"/>
    </row>
    <row r="10" spans="1:11" ht="12.75" customHeight="1">
      <c r="A10" s="79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7BFACBC8-3831-4E2B-BAD7-988F02FCC664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36" priority="1" operator="lessThanOrEqual">
      <formula>-0.1</formula>
    </cfRule>
    <cfRule type="cellIs" dxfId="3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B25" sqref="B2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25">
      <c r="A3" t="s">
        <v>51</v>
      </c>
      <c r="B3" t="s">
        <v>52</v>
      </c>
      <c r="C3" t="s">
        <v>53</v>
      </c>
      <c r="E3" t="s">
        <v>54</v>
      </c>
      <c r="G3" s="12"/>
    </row>
    <row r="4" spans="1:7" ht="14.25">
      <c r="A4" t="s">
        <v>55</v>
      </c>
      <c r="B4" t="s">
        <v>56</v>
      </c>
      <c r="C4" t="s">
        <v>53</v>
      </c>
      <c r="E4" t="s">
        <v>54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G5" sqref="G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5" t="s">
        <v>52</v>
      </c>
      <c r="B1" s="95"/>
      <c r="C1" s="95"/>
      <c r="D1" s="95"/>
      <c r="E1" s="95"/>
      <c r="F1" s="95"/>
      <c r="G1" s="95"/>
      <c r="H1" s="95"/>
      <c r="I1" s="95"/>
      <c r="J1" s="95"/>
    </row>
    <row r="2" spans="1:15" ht="25.15">
      <c r="A2" s="10"/>
      <c r="B2" s="10"/>
      <c r="C2" s="10"/>
      <c r="D2" s="10"/>
      <c r="E2" s="10"/>
    </row>
    <row r="3" spans="1:15" ht="16.5" customHeight="1">
      <c r="A3" s="87" t="s">
        <v>57</v>
      </c>
      <c r="B3" s="88"/>
      <c r="C3" s="88"/>
      <c r="D3" s="88"/>
      <c r="E3" s="89"/>
      <c r="F3" s="90" t="s">
        <v>58</v>
      </c>
      <c r="G3" s="91"/>
      <c r="H3" s="92"/>
      <c r="I3" s="93" t="s">
        <v>59</v>
      </c>
      <c r="J3" s="94"/>
    </row>
    <row r="4" spans="1:15" ht="13.15" customHeight="1">
      <c r="A4" s="13" t="s">
        <v>60</v>
      </c>
      <c r="B4" s="38" t="s">
        <v>4</v>
      </c>
      <c r="C4" s="38" t="s">
        <v>5</v>
      </c>
      <c r="D4" s="38" t="s">
        <v>61</v>
      </c>
      <c r="E4" s="39" t="s">
        <v>62</v>
      </c>
      <c r="F4" s="40" t="s">
        <v>8</v>
      </c>
      <c r="G4" s="41" t="s">
        <v>63</v>
      </c>
      <c r="H4" s="42" t="s">
        <v>64</v>
      </c>
      <c r="I4" s="43" t="s">
        <v>59</v>
      </c>
      <c r="J4" s="44" t="s">
        <v>65</v>
      </c>
    </row>
    <row r="5" spans="1:15" ht="13.15" customHeight="1">
      <c r="A5" s="14" t="s">
        <v>66</v>
      </c>
      <c r="B5" s="15">
        <v>3764</v>
      </c>
      <c r="C5" s="15">
        <v>0</v>
      </c>
      <c r="D5" s="64">
        <f>B5-C5</f>
        <v>3764</v>
      </c>
      <c r="E5" s="17">
        <f t="shared" ref="E5:E16" si="0">IFERROR(D5/C5, 0)</f>
        <v>0</v>
      </c>
      <c r="F5" s="18">
        <v>9297</v>
      </c>
      <c r="G5" s="19">
        <f>B5-F5</f>
        <v>-5533</v>
      </c>
      <c r="H5" s="20">
        <f t="shared" ref="H5:H16" si="1">IFERROR(G5/F5, 0)</f>
        <v>-0.59513821662902011</v>
      </c>
      <c r="I5" s="60"/>
      <c r="J5" s="60"/>
      <c r="O5" s="4"/>
    </row>
    <row r="6" spans="1:15" ht="13.15" customHeight="1">
      <c r="A6" s="21" t="s">
        <v>67</v>
      </c>
      <c r="B6" s="16"/>
      <c r="C6" s="16"/>
      <c r="D6" s="64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0"/>
      <c r="J6" s="60"/>
    </row>
    <row r="7" spans="1:15" ht="13.15" customHeight="1">
      <c r="A7" s="21" t="s">
        <v>68</v>
      </c>
      <c r="B7" s="16"/>
      <c r="C7" s="16"/>
      <c r="D7" s="64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1"/>
      <c r="J7" s="61"/>
    </row>
    <row r="8" spans="1:15" ht="13.15" customHeight="1">
      <c r="A8" s="21" t="s">
        <v>69</v>
      </c>
      <c r="B8" s="16"/>
      <c r="C8" s="16"/>
      <c r="D8" s="64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0"/>
      <c r="J8" s="60"/>
    </row>
    <row r="9" spans="1:15" ht="13.15" customHeight="1">
      <c r="A9" s="21" t="s">
        <v>70</v>
      </c>
      <c r="B9" s="16"/>
      <c r="C9" s="16"/>
      <c r="D9" s="64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2"/>
      <c r="J9" s="62"/>
    </row>
    <row r="10" spans="1:15" ht="13.15" customHeight="1">
      <c r="A10" s="21" t="s">
        <v>71</v>
      </c>
      <c r="B10" s="25"/>
      <c r="C10" s="25"/>
      <c r="D10" s="64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0"/>
      <c r="J10" s="60"/>
    </row>
    <row r="11" spans="1:15" ht="13.15" customHeight="1">
      <c r="A11" s="21" t="s">
        <v>72</v>
      </c>
      <c r="B11" s="16"/>
      <c r="C11" s="16"/>
      <c r="D11" s="64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0"/>
      <c r="J11" s="60"/>
    </row>
    <row r="12" spans="1:15" ht="13.15" customHeight="1">
      <c r="A12" s="21" t="s">
        <v>73</v>
      </c>
      <c r="B12" s="16"/>
      <c r="C12" s="16"/>
      <c r="D12" s="64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1"/>
      <c r="J12" s="61"/>
    </row>
    <row r="13" spans="1:15" ht="13.15" customHeight="1">
      <c r="A13" s="21" t="s">
        <v>74</v>
      </c>
      <c r="B13" s="16"/>
      <c r="C13" s="16"/>
      <c r="D13" s="64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0"/>
      <c r="J13" s="60"/>
    </row>
    <row r="14" spans="1:15" ht="13.15" customHeight="1">
      <c r="A14" s="21" t="s">
        <v>75</v>
      </c>
      <c r="B14" s="16"/>
      <c r="C14" s="16"/>
      <c r="D14" s="64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2"/>
      <c r="J14" s="62"/>
    </row>
    <row r="15" spans="1:15" ht="13.15" customHeight="1">
      <c r="A15" s="21" t="s">
        <v>76</v>
      </c>
      <c r="B15" s="25"/>
      <c r="C15" s="25"/>
      <c r="D15" s="64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73"/>
      <c r="J15" s="62"/>
    </row>
    <row r="16" spans="1:15" ht="13.15" customHeight="1">
      <c r="A16" s="27" t="s">
        <v>77</v>
      </c>
      <c r="B16" s="28"/>
      <c r="C16" s="28"/>
      <c r="D16" s="64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3"/>
      <c r="J16" s="63"/>
    </row>
    <row r="17" spans="1:15" ht="13.15" customHeight="1">
      <c r="A17" s="33" t="s">
        <v>78</v>
      </c>
      <c r="B17" s="34">
        <f>SUM(B5:B16)</f>
        <v>3764</v>
      </c>
      <c r="C17" s="34">
        <f t="shared" ref="C17:F17" si="4">SUM(C5:C16)</f>
        <v>0</v>
      </c>
      <c r="D17" s="34">
        <f>B17-C17</f>
        <v>3764</v>
      </c>
      <c r="E17" s="35">
        <f>IFERROR(D17/C17, 0)</f>
        <v>0</v>
      </c>
      <c r="F17" s="34">
        <f t="shared" si="4"/>
        <v>9297</v>
      </c>
      <c r="G17" s="34">
        <f>B17-F17</f>
        <v>-5533</v>
      </c>
      <c r="H17" s="36">
        <f>IFERROR(G17/F17, 0)</f>
        <v>-0.59513821662902011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 codeName="Sheet20">
    <tabColor rgb="FFFFFF00"/>
  </sheetPr>
  <dimension ref="A1:O20"/>
  <sheetViews>
    <sheetView workbookViewId="0">
      <selection activeCell="F5" sqref="F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5" t="s">
        <v>56</v>
      </c>
      <c r="B1" s="95"/>
      <c r="C1" s="95"/>
      <c r="D1" s="95"/>
      <c r="E1" s="95"/>
      <c r="F1" s="95"/>
      <c r="G1" s="95"/>
      <c r="H1" s="95"/>
      <c r="I1" s="95"/>
      <c r="J1" s="95"/>
    </row>
    <row r="2" spans="1:15" ht="25.15">
      <c r="A2" s="10"/>
      <c r="B2" s="10"/>
      <c r="C2" s="10"/>
      <c r="D2" s="10"/>
      <c r="E2" s="10"/>
    </row>
    <row r="3" spans="1:15" ht="16.5" customHeight="1">
      <c r="A3" s="87" t="s">
        <v>57</v>
      </c>
      <c r="B3" s="88"/>
      <c r="C3" s="88"/>
      <c r="D3" s="88"/>
      <c r="E3" s="89"/>
      <c r="F3" s="90" t="s">
        <v>58</v>
      </c>
      <c r="G3" s="91"/>
      <c r="H3" s="92"/>
      <c r="I3" s="93" t="s">
        <v>59</v>
      </c>
      <c r="J3" s="94"/>
    </row>
    <row r="4" spans="1:15" ht="13.15" customHeight="1">
      <c r="A4" s="13" t="s">
        <v>60</v>
      </c>
      <c r="B4" s="38" t="s">
        <v>4</v>
      </c>
      <c r="C4" s="38" t="s">
        <v>5</v>
      </c>
      <c r="D4" s="38" t="s">
        <v>61</v>
      </c>
      <c r="E4" s="39" t="s">
        <v>62</v>
      </c>
      <c r="F4" s="40" t="s">
        <v>8</v>
      </c>
      <c r="G4" s="41" t="s">
        <v>63</v>
      </c>
      <c r="H4" s="42" t="s">
        <v>64</v>
      </c>
      <c r="I4" s="43" t="s">
        <v>59</v>
      </c>
      <c r="J4" s="44" t="s">
        <v>65</v>
      </c>
    </row>
    <row r="5" spans="1:15" ht="13.15" customHeight="1">
      <c r="A5" s="14" t="s">
        <v>66</v>
      </c>
      <c r="B5" s="15">
        <v>1923</v>
      </c>
      <c r="C5" s="15">
        <v>0</v>
      </c>
      <c r="D5" s="64">
        <f>B5-C5</f>
        <v>1923</v>
      </c>
      <c r="E5" s="17">
        <f t="shared" ref="E5:E16" si="0">IFERROR(D5/C5, 0)</f>
        <v>0</v>
      </c>
      <c r="F5" s="18">
        <v>0</v>
      </c>
      <c r="G5" s="19">
        <f>B5-F5</f>
        <v>1923</v>
      </c>
      <c r="H5" s="20">
        <f t="shared" ref="H5:H16" si="1">IFERROR(G5/F5, 0)</f>
        <v>0</v>
      </c>
      <c r="I5" s="60"/>
      <c r="J5" s="60"/>
      <c r="O5" s="4"/>
    </row>
    <row r="6" spans="1:15" ht="13.15" customHeight="1">
      <c r="A6" s="21" t="s">
        <v>67</v>
      </c>
      <c r="B6" s="16"/>
      <c r="C6" s="16"/>
      <c r="D6" s="64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0"/>
      <c r="J6" s="60"/>
    </row>
    <row r="7" spans="1:15" ht="13.15" customHeight="1">
      <c r="A7" s="21" t="s">
        <v>68</v>
      </c>
      <c r="B7" s="16"/>
      <c r="C7" s="16"/>
      <c r="D7" s="64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1"/>
      <c r="J7" s="61"/>
    </row>
    <row r="8" spans="1:15" ht="13.15" customHeight="1">
      <c r="A8" s="21" t="s">
        <v>69</v>
      </c>
      <c r="B8" s="16"/>
      <c r="C8" s="16"/>
      <c r="D8" s="64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0"/>
      <c r="J8" s="60"/>
    </row>
    <row r="9" spans="1:15" ht="13.15" customHeight="1">
      <c r="A9" s="21" t="s">
        <v>70</v>
      </c>
      <c r="B9" s="16"/>
      <c r="C9" s="16"/>
      <c r="D9" s="64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2"/>
      <c r="J9" s="62"/>
    </row>
    <row r="10" spans="1:15" ht="13.15" customHeight="1">
      <c r="A10" s="21" t="s">
        <v>71</v>
      </c>
      <c r="B10" s="25"/>
      <c r="C10" s="25"/>
      <c r="D10" s="64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0"/>
      <c r="J10" s="60"/>
    </row>
    <row r="11" spans="1:15" ht="13.15" customHeight="1">
      <c r="A11" s="21" t="s">
        <v>72</v>
      </c>
      <c r="B11" s="16"/>
      <c r="C11" s="16"/>
      <c r="D11" s="64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0"/>
      <c r="J11" s="60"/>
    </row>
    <row r="12" spans="1:15" ht="13.15" customHeight="1">
      <c r="A12" s="21" t="s">
        <v>73</v>
      </c>
      <c r="B12" s="16"/>
      <c r="C12" s="16"/>
      <c r="D12" s="64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1"/>
      <c r="J12" s="61"/>
    </row>
    <row r="13" spans="1:15" ht="13.15" customHeight="1">
      <c r="A13" s="21" t="s">
        <v>74</v>
      </c>
      <c r="B13" s="16"/>
      <c r="C13" s="16"/>
      <c r="D13" s="64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0"/>
      <c r="J13" s="60"/>
    </row>
    <row r="14" spans="1:15" ht="13.15" customHeight="1">
      <c r="A14" s="21" t="s">
        <v>75</v>
      </c>
      <c r="B14" s="16"/>
      <c r="C14" s="16"/>
      <c r="D14" s="64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2"/>
      <c r="J14" s="62"/>
    </row>
    <row r="15" spans="1:15" ht="13.15" customHeight="1">
      <c r="A15" s="21" t="s">
        <v>76</v>
      </c>
      <c r="B15" s="25"/>
      <c r="C15" s="25"/>
      <c r="D15" s="64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2"/>
      <c r="J15" s="62"/>
    </row>
    <row r="16" spans="1:15" ht="13.15" customHeight="1">
      <c r="A16" s="27" t="s">
        <v>77</v>
      </c>
      <c r="B16" s="28"/>
      <c r="C16" s="28"/>
      <c r="D16" s="64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2"/>
      <c r="J16" s="62"/>
    </row>
    <row r="17" spans="1:15" ht="13.15" customHeight="1">
      <c r="A17" s="33" t="s">
        <v>78</v>
      </c>
      <c r="B17" s="34">
        <f>SUM(B5:B16)</f>
        <v>1923</v>
      </c>
      <c r="C17" s="34">
        <f t="shared" ref="C17:F17" si="4">SUM(C5:C16)</f>
        <v>0</v>
      </c>
      <c r="D17" s="34">
        <f>B17-C17</f>
        <v>1923</v>
      </c>
      <c r="E17" s="35">
        <f>IFERROR(D17/C17, 0)</f>
        <v>0</v>
      </c>
      <c r="F17" s="34">
        <f t="shared" si="4"/>
        <v>0</v>
      </c>
      <c r="G17" s="34">
        <f>B17-F17</f>
        <v>1923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DFCD68C5-F6C7-431F-9E94-BB407C2F2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2024-02-12T14:32:31Z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