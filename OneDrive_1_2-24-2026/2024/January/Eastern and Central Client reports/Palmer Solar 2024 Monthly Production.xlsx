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ileeps_libsysinc_com/Documents/Desktop/Eastern Jan/"/>
    </mc:Choice>
  </mc:AlternateContent>
  <xr:revisionPtr revIDLastSave="153" documentId="13_ncr:1_{A106F7EB-DB63-4C8D-B422-A4CCAEB87559}" xr6:coauthVersionLast="47" xr6:coauthVersionMax="47" xr10:uidLastSave="{A46E6503-A552-41C8-98E4-4A5EBE0A04C7}"/>
  <bookViews>
    <workbookView xWindow="-28920" yWindow="7725" windowWidth="29040" windowHeight="15720" xr2:uid="{00000000-000D-0000-FFFF-FFFF00000000}"/>
  </bookViews>
  <sheets>
    <sheet name="Monthly" sheetId="1" r:id="rId1"/>
    <sheet name="Sheet2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C17" i="1"/>
  <c r="B17" i="1"/>
  <c r="G17" i="1" s="1"/>
  <c r="H17" i="1" s="1"/>
  <c r="G16" i="1"/>
  <c r="H16" i="1" s="1"/>
  <c r="D16" i="1"/>
  <c r="E16" i="1" s="1"/>
  <c r="G15" i="1"/>
  <c r="H15" i="1" s="1"/>
  <c r="D15" i="1"/>
  <c r="E15" i="1" s="1"/>
  <c r="G14" i="1"/>
  <c r="H14" i="1" s="1"/>
  <c r="D14" i="1"/>
  <c r="E14" i="1" s="1"/>
  <c r="G13" i="1"/>
  <c r="H13" i="1" s="1"/>
  <c r="D13" i="1"/>
  <c r="E13" i="1" s="1"/>
  <c r="G12" i="1"/>
  <c r="H12" i="1" s="1"/>
  <c r="D12" i="1"/>
  <c r="E12" i="1" s="1"/>
  <c r="G11" i="1"/>
  <c r="H11" i="1" s="1"/>
  <c r="D11" i="1"/>
  <c r="E11" i="1" s="1"/>
  <c r="H10" i="1"/>
  <c r="G10" i="1"/>
  <c r="D10" i="1"/>
  <c r="E10" i="1" s="1"/>
  <c r="G9" i="1"/>
  <c r="H9" i="1" s="1"/>
  <c r="D9" i="1"/>
  <c r="E9" i="1" s="1"/>
  <c r="G8" i="1"/>
  <c r="H8" i="1" s="1"/>
  <c r="D8" i="1"/>
  <c r="E8" i="1" s="1"/>
  <c r="G7" i="1"/>
  <c r="H7" i="1" s="1"/>
  <c r="D7" i="1"/>
  <c r="E7" i="1" s="1"/>
  <c r="G6" i="1"/>
  <c r="H6" i="1" s="1"/>
  <c r="E6" i="1"/>
  <c r="D6" i="1"/>
  <c r="G5" i="1"/>
  <c r="H5" i="1" s="1"/>
  <c r="D5" i="1"/>
  <c r="E5" i="1" s="1"/>
  <c r="E17" i="4"/>
  <c r="D17" i="4"/>
  <c r="F17" i="4"/>
  <c r="C17" i="4"/>
  <c r="B17" i="4"/>
  <c r="F102" i="1"/>
  <c r="C102" i="1"/>
  <c r="B102" i="1"/>
  <c r="G101" i="1"/>
  <c r="H101" i="1" s="1"/>
  <c r="D101" i="1"/>
  <c r="E101" i="1" s="1"/>
  <c r="G100" i="1"/>
  <c r="H100" i="1" s="1"/>
  <c r="D100" i="1"/>
  <c r="E100" i="1" s="1"/>
  <c r="G99" i="1"/>
  <c r="H99" i="1" s="1"/>
  <c r="D99" i="1"/>
  <c r="E99" i="1" s="1"/>
  <c r="G98" i="1"/>
  <c r="H98" i="1" s="1"/>
  <c r="D98" i="1"/>
  <c r="E98" i="1" s="1"/>
  <c r="G97" i="1"/>
  <c r="H97" i="1" s="1"/>
  <c r="D97" i="1"/>
  <c r="E97" i="1" s="1"/>
  <c r="G96" i="1"/>
  <c r="H96" i="1" s="1"/>
  <c r="D96" i="1"/>
  <c r="E96" i="1" s="1"/>
  <c r="G95" i="1"/>
  <c r="H95" i="1" s="1"/>
  <c r="D95" i="1"/>
  <c r="E95" i="1" s="1"/>
  <c r="G94" i="1"/>
  <c r="H94" i="1" s="1"/>
  <c r="D94" i="1"/>
  <c r="E94" i="1" s="1"/>
  <c r="G93" i="1"/>
  <c r="H93" i="1" s="1"/>
  <c r="D93" i="1"/>
  <c r="E93" i="1" s="1"/>
  <c r="G92" i="1"/>
  <c r="H92" i="1" s="1"/>
  <c r="D92" i="1"/>
  <c r="E92" i="1" s="1"/>
  <c r="G91" i="1"/>
  <c r="H91" i="1" s="1"/>
  <c r="D91" i="1"/>
  <c r="E91" i="1" s="1"/>
  <c r="G90" i="1"/>
  <c r="H90" i="1" s="1"/>
  <c r="D90" i="1"/>
  <c r="E90" i="1" s="1"/>
  <c r="F85" i="1"/>
  <c r="C85" i="1"/>
  <c r="B85" i="1"/>
  <c r="G84" i="1"/>
  <c r="H84" i="1" s="1"/>
  <c r="D84" i="1"/>
  <c r="E84" i="1" s="1"/>
  <c r="G83" i="1"/>
  <c r="H83" i="1" s="1"/>
  <c r="D83" i="1"/>
  <c r="E83" i="1" s="1"/>
  <c r="G82" i="1"/>
  <c r="H82" i="1" s="1"/>
  <c r="D82" i="1"/>
  <c r="E82" i="1" s="1"/>
  <c r="G81" i="1"/>
  <c r="H81" i="1" s="1"/>
  <c r="D81" i="1"/>
  <c r="E81" i="1" s="1"/>
  <c r="G80" i="1"/>
  <c r="H80" i="1" s="1"/>
  <c r="D80" i="1"/>
  <c r="E80" i="1" s="1"/>
  <c r="G79" i="1"/>
  <c r="H79" i="1" s="1"/>
  <c r="D79" i="1"/>
  <c r="E79" i="1" s="1"/>
  <c r="G78" i="1"/>
  <c r="H78" i="1" s="1"/>
  <c r="D78" i="1"/>
  <c r="E78" i="1" s="1"/>
  <c r="G77" i="1"/>
  <c r="H77" i="1" s="1"/>
  <c r="D77" i="1"/>
  <c r="E77" i="1" s="1"/>
  <c r="G76" i="1"/>
  <c r="H76" i="1" s="1"/>
  <c r="D76" i="1"/>
  <c r="E76" i="1" s="1"/>
  <c r="G75" i="1"/>
  <c r="H75" i="1" s="1"/>
  <c r="D75" i="1"/>
  <c r="E75" i="1" s="1"/>
  <c r="G74" i="1"/>
  <c r="H74" i="1" s="1"/>
  <c r="D74" i="1"/>
  <c r="E74" i="1" s="1"/>
  <c r="G73" i="1"/>
  <c r="H73" i="1" s="1"/>
  <c r="D73" i="1"/>
  <c r="E73" i="1" s="1"/>
  <c r="F68" i="1"/>
  <c r="C68" i="1"/>
  <c r="B68" i="1"/>
  <c r="G67" i="1"/>
  <c r="H67" i="1" s="1"/>
  <c r="D67" i="1"/>
  <c r="E67" i="1" s="1"/>
  <c r="G66" i="1"/>
  <c r="H66" i="1" s="1"/>
  <c r="D66" i="1"/>
  <c r="E66" i="1" s="1"/>
  <c r="G65" i="1"/>
  <c r="H65" i="1" s="1"/>
  <c r="D65" i="1"/>
  <c r="E65" i="1" s="1"/>
  <c r="G64" i="1"/>
  <c r="H64" i="1" s="1"/>
  <c r="D64" i="1"/>
  <c r="E64" i="1" s="1"/>
  <c r="G63" i="1"/>
  <c r="H63" i="1" s="1"/>
  <c r="D63" i="1"/>
  <c r="E63" i="1" s="1"/>
  <c r="G62" i="1"/>
  <c r="H62" i="1" s="1"/>
  <c r="D62" i="1"/>
  <c r="E62" i="1" s="1"/>
  <c r="G61" i="1"/>
  <c r="H61" i="1" s="1"/>
  <c r="D61" i="1"/>
  <c r="E61" i="1" s="1"/>
  <c r="G60" i="1"/>
  <c r="H60" i="1" s="1"/>
  <c r="D60" i="1"/>
  <c r="E60" i="1" s="1"/>
  <c r="G59" i="1"/>
  <c r="H59" i="1" s="1"/>
  <c r="D59" i="1"/>
  <c r="E59" i="1" s="1"/>
  <c r="G58" i="1"/>
  <c r="H58" i="1" s="1"/>
  <c r="D58" i="1"/>
  <c r="E58" i="1" s="1"/>
  <c r="G57" i="1"/>
  <c r="H57" i="1" s="1"/>
  <c r="D57" i="1"/>
  <c r="E57" i="1" s="1"/>
  <c r="G56" i="1"/>
  <c r="H56" i="1" s="1"/>
  <c r="D56" i="1"/>
  <c r="E56" i="1" s="1"/>
  <c r="F51" i="1"/>
  <c r="C51" i="1"/>
  <c r="B51" i="1"/>
  <c r="G50" i="1"/>
  <c r="H50" i="1" s="1"/>
  <c r="D50" i="1"/>
  <c r="E50" i="1" s="1"/>
  <c r="G49" i="1"/>
  <c r="H49" i="1" s="1"/>
  <c r="D49" i="1"/>
  <c r="E49" i="1" s="1"/>
  <c r="G48" i="1"/>
  <c r="H48" i="1" s="1"/>
  <c r="D48" i="1"/>
  <c r="E48" i="1" s="1"/>
  <c r="G47" i="1"/>
  <c r="H47" i="1" s="1"/>
  <c r="D47" i="1"/>
  <c r="E47" i="1" s="1"/>
  <c r="G46" i="1"/>
  <c r="H46" i="1" s="1"/>
  <c r="D46" i="1"/>
  <c r="E46" i="1" s="1"/>
  <c r="G45" i="1"/>
  <c r="H45" i="1" s="1"/>
  <c r="D45" i="1"/>
  <c r="E45" i="1" s="1"/>
  <c r="G44" i="1"/>
  <c r="H44" i="1" s="1"/>
  <c r="D44" i="1"/>
  <c r="E44" i="1" s="1"/>
  <c r="G43" i="1"/>
  <c r="H43" i="1" s="1"/>
  <c r="D43" i="1"/>
  <c r="E43" i="1" s="1"/>
  <c r="G42" i="1"/>
  <c r="H42" i="1" s="1"/>
  <c r="D42" i="1"/>
  <c r="E42" i="1" s="1"/>
  <c r="G41" i="1"/>
  <c r="H41" i="1" s="1"/>
  <c r="D41" i="1"/>
  <c r="E41" i="1" s="1"/>
  <c r="G40" i="1"/>
  <c r="H40" i="1" s="1"/>
  <c r="D40" i="1"/>
  <c r="E40" i="1" s="1"/>
  <c r="G39" i="1"/>
  <c r="H39" i="1" s="1"/>
  <c r="D39" i="1"/>
  <c r="E39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F34" i="1"/>
  <c r="C34" i="1"/>
  <c r="B34" i="1"/>
  <c r="G68" i="1" l="1"/>
  <c r="H68" i="1" s="1"/>
  <c r="G102" i="1"/>
  <c r="H102" i="1" s="1"/>
  <c r="D17" i="1"/>
  <c r="E17" i="1" s="1"/>
  <c r="G85" i="1"/>
  <c r="H85" i="1" s="1"/>
  <c r="D102" i="1"/>
  <c r="E102" i="1" s="1"/>
  <c r="D85" i="1"/>
  <c r="E85" i="1" s="1"/>
  <c r="D68" i="1"/>
  <c r="E68" i="1" s="1"/>
  <c r="G51" i="1"/>
  <c r="H51" i="1" s="1"/>
  <c r="D51" i="1"/>
  <c r="E51" i="1" s="1"/>
  <c r="G34" i="1"/>
  <c r="H34" i="1" s="1"/>
  <c r="D34" i="1"/>
  <c r="E34" i="1" s="1"/>
</calcChain>
</file>

<file path=xl/sharedStrings.xml><?xml version="1.0" encoding="utf-8"?>
<sst xmlns="http://schemas.openxmlformats.org/spreadsheetml/2006/main" count="220" uniqueCount="35">
  <si>
    <t>Palmer Solar</t>
  </si>
  <si>
    <t>Actual vs. Expected</t>
  </si>
  <si>
    <t>Actual vs. Forecasted</t>
  </si>
  <si>
    <t>Actual</t>
  </si>
  <si>
    <t>Expected</t>
  </si>
  <si>
    <t>Delta Expected</t>
  </si>
  <si>
    <t>% Expected</t>
  </si>
  <si>
    <t>Forecasted</t>
  </si>
  <si>
    <t>Delta Forecasted</t>
  </si>
  <si>
    <t>% Forecasted</t>
  </si>
  <si>
    <t>Notes</t>
  </si>
  <si>
    <t>Month</t>
  </si>
  <si>
    <t>Service Request</t>
  </si>
  <si>
    <t>Jan</t>
  </si>
  <si>
    <t xml:space="preserve"> 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</si>
  <si>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</si>
  <si>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</si>
  <si>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</si>
  <si>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</si>
  <si>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</si>
  <si>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</si>
  <si>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</si>
  <si>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</si>
  <si>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</si>
  <si>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</si>
  <si>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1. Inverter 1 zone 7 was offline almost throughout the month</t>
  </si>
  <si>
    <t>1. SR078060</t>
  </si>
  <si>
    <t>Dec</t>
  </si>
  <si>
    <t>Totals</t>
  </si>
  <si>
    <t xml:space="preserve">Actual  </t>
  </si>
  <si>
    <t xml:space="preserve">Actual       </t>
  </si>
  <si>
    <t xml:space="preserve">Actual          </t>
  </si>
  <si>
    <t xml:space="preserve">Actual         </t>
  </si>
  <si>
    <t>1. Site tripped offline at 6:00 AM on 01/10 and back online at 8:00</t>
  </si>
  <si>
    <t>1. SR080119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</si>
</sst>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4" fillId="0" borderId="13" xfId="0" applyFont="1" applyBorder="1" applyAlignment="1">
      <alignment horizontal="left" vertical="center"/>
    </xf>
    <xf numFmtId="0" fontId="4" fillId="5" borderId="14" xfId="0" applyFont="1" applyFill="1" applyBorder="1" applyAlignment="1">
      <alignment horizontal="left" vertical="center" wrapText="1"/>
    </xf>
    <xf numFmtId="9" fontId="4" fillId="5" borderId="15" xfId="2" applyFont="1" applyFill="1" applyBorder="1" applyAlignment="1">
      <alignment horizontal="left" vertical="center"/>
    </xf>
    <xf numFmtId="9" fontId="4" fillId="7" borderId="16" xfId="2" applyFont="1" applyFill="1" applyBorder="1" applyAlignment="1">
      <alignment horizontal="center" vertical="center"/>
    </xf>
    <xf numFmtId="9" fontId="4" fillId="7" borderId="17" xfId="2" applyFont="1" applyFill="1" applyBorder="1" applyAlignment="1">
      <alignment horizontal="center" vertical="center"/>
    </xf>
    <xf numFmtId="3" fontId="6" fillId="3" borderId="1" xfId="0" applyNumberFormat="1" applyFont="1" applyFill="1" applyBorder="1" applyAlignment="1">
      <alignment horizontal="right"/>
    </xf>
    <xf numFmtId="9" fontId="6" fillId="3" borderId="1" xfId="2" applyFont="1" applyFill="1" applyBorder="1" applyAlignment="1">
      <alignment horizontal="center"/>
    </xf>
    <xf numFmtId="3" fontId="6" fillId="5" borderId="1" xfId="1" applyNumberFormat="1" applyFont="1" applyFill="1" applyBorder="1"/>
    <xf numFmtId="9" fontId="6" fillId="5" borderId="1" xfId="2" applyFont="1" applyFill="1" applyBorder="1" applyAlignment="1">
      <alignment horizontal="center"/>
    </xf>
    <xf numFmtId="9" fontId="6" fillId="7" borderId="1" xfId="2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9" fontId="6" fillId="3" borderId="3" xfId="2" applyFont="1" applyFill="1" applyBorder="1" applyAlignment="1">
      <alignment horizontal="center"/>
    </xf>
    <xf numFmtId="3" fontId="6" fillId="5" borderId="4" xfId="1" applyNumberFormat="1" applyFont="1" applyFill="1" applyBorder="1"/>
    <xf numFmtId="9" fontId="6" fillId="7" borderId="1" xfId="2" applyFont="1" applyFill="1" applyBorder="1" applyAlignment="1">
      <alignment horizontal="center" vertical="center"/>
    </xf>
    <xf numFmtId="9" fontId="6" fillId="7" borderId="1" xfId="2" applyFont="1" applyFill="1" applyBorder="1" applyAlignment="1">
      <alignment horizontal="left" vertical="top" wrapText="1"/>
    </xf>
    <xf numFmtId="9" fontId="6" fillId="7" borderId="1" xfId="2" applyFont="1" applyFill="1" applyBorder="1" applyAlignment="1">
      <alignment horizontal="left" vertical="top"/>
    </xf>
    <xf numFmtId="3" fontId="6" fillId="4" borderId="2" xfId="0" applyNumberFormat="1" applyFont="1" applyFill="1" applyBorder="1"/>
    <xf numFmtId="3" fontId="6" fillId="6" borderId="2" xfId="0" applyNumberFormat="1" applyFont="1" applyFill="1" applyBorder="1"/>
    <xf numFmtId="0" fontId="5" fillId="0" borderId="18" xfId="0" applyFont="1" applyBorder="1" applyAlignment="1">
      <alignment horizontal="center"/>
    </xf>
    <xf numFmtId="3" fontId="6" fillId="3" borderId="19" xfId="0" applyNumberFormat="1" applyFont="1" applyFill="1" applyBorder="1" applyAlignment="1">
      <alignment horizontal="right"/>
    </xf>
    <xf numFmtId="9" fontId="6" fillId="3" borderId="18" xfId="2" applyFont="1" applyFill="1" applyBorder="1" applyAlignment="1">
      <alignment horizontal="center"/>
    </xf>
    <xf numFmtId="3" fontId="6" fillId="5" borderId="20" xfId="1" applyNumberFormat="1" applyFont="1" applyFill="1" applyBorder="1"/>
    <xf numFmtId="3" fontId="6" fillId="5" borderId="19" xfId="1" applyNumberFormat="1" applyFont="1" applyFill="1" applyBorder="1"/>
    <xf numFmtId="9" fontId="6" fillId="5" borderId="19" xfId="2" applyFont="1" applyFill="1" applyBorder="1" applyAlignment="1">
      <alignment horizontal="center"/>
    </xf>
    <xf numFmtId="9" fontId="6" fillId="7" borderId="19" xfId="2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3" fontId="5" fillId="2" borderId="3" xfId="0" applyNumberFormat="1" applyFont="1" applyFill="1" applyBorder="1" applyAlignment="1">
      <alignment horizontal="center"/>
    </xf>
    <xf numFmtId="9" fontId="5" fillId="2" borderId="3" xfId="2" applyFont="1" applyFill="1" applyBorder="1" applyAlignment="1">
      <alignment horizontal="center"/>
    </xf>
    <xf numFmtId="9" fontId="5" fillId="2" borderId="3" xfId="0" applyNumberFormat="1" applyFont="1" applyFill="1" applyBorder="1" applyAlignment="1">
      <alignment horizontal="center"/>
    </xf>
    <xf numFmtId="0" fontId="5" fillId="0" borderId="0" xfId="0" applyFont="1"/>
    <xf numFmtId="3" fontId="7" fillId="4" borderId="2" xfId="0" applyNumberFormat="1" applyFont="1" applyFill="1" applyBorder="1"/>
    <xf numFmtId="0" fontId="7" fillId="4" borderId="2" xfId="0" applyFont="1" applyFill="1" applyBorder="1"/>
    <xf numFmtId="3" fontId="6" fillId="3" borderId="2" xfId="0" applyNumberFormat="1" applyFont="1" applyFill="1" applyBorder="1" applyAlignment="1">
      <alignment horizontal="right"/>
    </xf>
    <xf numFmtId="9" fontId="6" fillId="3" borderId="2" xfId="2" applyFont="1" applyFill="1" applyBorder="1" applyAlignment="1">
      <alignment horizontal="center"/>
    </xf>
    <xf numFmtId="3" fontId="7" fillId="6" borderId="2" xfId="0" applyNumberFormat="1" applyFont="1" applyFill="1" applyBorder="1"/>
    <xf numFmtId="3" fontId="7" fillId="4" borderId="2" xfId="0" applyNumberFormat="1" applyFont="1" applyFill="1" applyBorder="1" applyAlignment="1">
      <alignment horizontal="right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4" fillId="3" borderId="19" xfId="0" applyFont="1" applyFill="1" applyBorder="1" applyAlignment="1">
      <alignment horizontal="left" vertical="center" wrapText="1"/>
    </xf>
    <xf numFmtId="9" fontId="4" fillId="3" borderId="23" xfId="2" applyFont="1" applyFill="1" applyBorder="1" applyAlignment="1">
      <alignment horizontal="left" vertical="center" wrapText="1"/>
    </xf>
    <xf numFmtId="0" fontId="4" fillId="5" borderId="19" xfId="0" applyFont="1" applyFill="1" applyBorder="1" applyAlignment="1">
      <alignment horizontal="left" vertical="center"/>
    </xf>
    <xf numFmtId="3" fontId="8" fillId="3" borderId="1" xfId="0" applyNumberFormat="1" applyFont="1" applyFill="1" applyBorder="1" applyAlignment="1">
      <alignment horizontal="right"/>
    </xf>
    <xf numFmtId="0" fontId="0" fillId="0" borderId="0" xfId="0" applyAlignment="1">
      <alignment horizontal="center"/>
    </xf>
    <xf numFmtId="0" fontId="3" fillId="2" borderId="8" xfId="0" applyFont="1" applyFill="1" applyBorder="1"/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5" fillId="2" borderId="18" xfId="0" applyFont="1" applyFill="1" applyBorder="1" applyAlignment="1">
      <alignment horizontal="center"/>
    </xf>
    <xf numFmtId="3" fontId="5" fillId="2" borderId="18" xfId="0" applyNumberFormat="1" applyFont="1" applyFill="1" applyBorder="1" applyAlignment="1">
      <alignment horizontal="center"/>
    </xf>
    <xf numFmtId="9" fontId="5" fillId="2" borderId="18" xfId="2" applyFont="1" applyFill="1" applyBorder="1" applyAlignment="1">
      <alignment horizontal="center"/>
    </xf>
    <xf numFmtId="9" fontId="5" fillId="2" borderId="18" xfId="0" applyNumberFormat="1" applyFont="1" applyFill="1" applyBorder="1" applyAlignment="1">
      <alignment horizontal="center"/>
    </xf>
    <xf numFmtId="0" fontId="0" fillId="8" borderId="0" xfId="0" applyFill="1" applyBorder="1"/>
  </cellXfs>
  <cellStyles count="3">
    <cellStyle name="Comma" xfId="1" builtinId="3"/>
    <cellStyle name="Normal" xfId="0" builtinId="0"/>
    <cellStyle name="Percent" xfId="2" builtinId="5"/>
  </cellStyles>
  <dxfs count="96"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9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CC1993-FB68-424F-ABAC-4A131FA108B5}" name="Data" displayName="Data" ref="A21:J33" totalsRowShown="0" headerRowDxfId="95" dataDxfId="93" headerRowBorderDxfId="94" tableBorderDxfId="92" dataCellStyle="Percent">
  <autoFilter ref="A21:J33" xr:uid="{59CC1993-FB68-424F-ABAC-4A131FA108B5}"/>
  <tableColumns count="10">
    <tableColumn id="1" xr3:uid="{FBDD0233-8515-42AA-9991-71A2ADDF4212}" name="Month" dataDxfId="91"/>
    <tableColumn id="2" xr3:uid="{4B627D97-5EE2-4A9E-8EDC-4653E3804DE5}" name="Actual" dataDxfId="90"/>
    <tableColumn id="3" xr3:uid="{6840E30D-F1AC-4AE8-82B2-BA121BBB93A5}" name="Expected" dataDxfId="89"/>
    <tableColumn id="4" xr3:uid="{7E2E935F-606E-4CFD-91BE-87B665995E67}" name="Delta Expected" dataDxfId="88">
      <calculatedColumnFormula>B22-C22</calculatedColumnFormula>
    </tableColumn>
    <tableColumn id="5" xr3:uid="{D0AE28DC-B020-4DB0-9210-5071CAC59D13}" name="% Expected" dataDxfId="87" dataCellStyle="Percent">
      <calculatedColumnFormula>IFERROR(D22/C22, 0)</calculatedColumnFormula>
    </tableColumn>
    <tableColumn id="6" xr3:uid="{E104F17E-1287-4E77-9C21-19F33D6CDCEB}" name="Forecasted" dataDxfId="86"/>
    <tableColumn id="7" xr3:uid="{0EC651AE-4897-4539-9A99-0F95D36CCFD1}" name="Delta Forecasted" dataDxfId="85" dataCellStyle="Comma">
      <calculatedColumnFormula>B22-F22</calculatedColumnFormula>
    </tableColumn>
    <tableColumn id="8" xr3:uid="{8DF46A5A-8533-4717-B9A9-F059CB8E4A37}" name="% Forecasted" dataDxfId="84" dataCellStyle="Percent">
      <calculatedColumnFormula>IFERROR(G22/F22, 0)</calculatedColumnFormula>
    </tableColumn>
    <tableColumn id="9" xr3:uid="{91668AC9-A528-46F6-8BE5-EB036F59A18E}" name="Notes" dataDxfId="83" dataCellStyle="Percent"/>
    <tableColumn id="10" xr3:uid="{CD4FC54A-2343-4F00-AB7D-88E561824952}" name="Service Request" dataDxfId="82" dataCellStyle="Perc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C1A7E65-57A8-4C2A-83E5-41396FADF830}" name="Data4" displayName="Data4" ref="A38:J50" totalsRowShown="0" headerRowDxfId="81" dataDxfId="79" headerRowBorderDxfId="80" tableBorderDxfId="78" dataCellStyle="Percent">
  <autoFilter ref="A38:J50" xr:uid="{EC1A7E65-57A8-4C2A-83E5-41396FADF830}"/>
  <tableColumns count="10">
    <tableColumn id="1" xr3:uid="{3ACFBB36-7F9E-4970-8469-FAC66BFE5D59}" name="Month" dataDxfId="77"/>
    <tableColumn id="2" xr3:uid="{D4B4DA8F-9933-4D41-9485-C66A95B93178}" name="Actual" dataDxfId="76"/>
    <tableColumn id="3" xr3:uid="{5DE4AC9C-9108-454B-B5F8-A1EEE6049FB4}" name="Expected" dataDxfId="75"/>
    <tableColumn id="4" xr3:uid="{B215271E-295A-4CDF-B874-7AB31FB56B33}" name="Delta Expected" dataDxfId="74">
      <calculatedColumnFormula>B39-C39</calculatedColumnFormula>
    </tableColumn>
    <tableColumn id="5" xr3:uid="{1303F5B6-BBCC-4A9C-961E-13303762A44F}" name="% Expected" dataDxfId="73" dataCellStyle="Percent">
      <calculatedColumnFormula>IFERROR(D39/C39, 0)</calculatedColumnFormula>
    </tableColumn>
    <tableColumn id="6" xr3:uid="{F8AC9E20-A810-42D7-AC39-87D85E9A326A}" name="Forecasted" dataDxfId="72"/>
    <tableColumn id="7" xr3:uid="{B94C3C4B-90DE-45AB-BCCF-5DF44EB4B420}" name="Delta Forecasted" dataDxfId="71" dataCellStyle="Comma">
      <calculatedColumnFormula>B39-F39</calculatedColumnFormula>
    </tableColumn>
    <tableColumn id="8" xr3:uid="{533FA534-DE92-48ED-8B0A-149FFC1C5FD7}" name="% Forecasted" dataDxfId="70" dataCellStyle="Percent">
      <calculatedColumnFormula>IFERROR(G39/F39, 0)</calculatedColumnFormula>
    </tableColumn>
    <tableColumn id="9" xr3:uid="{DC8EB7DB-03E6-45F1-983E-BB1CFEB84A27}" name="Notes" dataDxfId="69" dataCellStyle="Percent"/>
    <tableColumn id="10" xr3:uid="{089E260F-B9A1-4B14-A3D6-BE190392652F}" name="Service Request" dataDxfId="68" dataCellStyle="Perc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2997333-E102-4836-9962-4D4EDFB06F52}" name="Data45" displayName="Data45" ref="A55:J67" totalsRowShown="0" headerRowDxfId="67" dataDxfId="65" headerRowBorderDxfId="66" tableBorderDxfId="64" dataCellStyle="Percent">
  <autoFilter ref="A55:J67" xr:uid="{22997333-E102-4836-9962-4D4EDFB06F52}"/>
  <tableColumns count="10">
    <tableColumn id="1" xr3:uid="{D61E7124-956D-4623-9ACF-163EA3B33A16}" name="Month" dataDxfId="63"/>
    <tableColumn id="2" xr3:uid="{A8BE0143-0A6A-40E4-879C-88E3BF6916CA}" name="Actual" dataDxfId="62"/>
    <tableColumn id="3" xr3:uid="{4497EF3D-516F-4AD3-A627-3BD0A70C3679}" name="Expected" dataDxfId="61"/>
    <tableColumn id="4" xr3:uid="{755260BF-A655-4F76-B160-FEDA61317677}" name="Delta Expected" dataDxfId="60">
      <calculatedColumnFormula>B56-C56</calculatedColumnFormula>
    </tableColumn>
    <tableColumn id="5" xr3:uid="{599D84DA-6F49-4758-B0C0-65C5DF49D325}" name="% Expected" dataDxfId="59" dataCellStyle="Percent">
      <calculatedColumnFormula>IFERROR(D56/C56, 0)</calculatedColumnFormula>
    </tableColumn>
    <tableColumn id="6" xr3:uid="{668985C9-F8C4-4901-8A34-10DB5664BCEC}" name="Forecasted" dataDxfId="58"/>
    <tableColumn id="7" xr3:uid="{A946B6E8-9345-4792-B8B1-8BCAC7F78FB0}" name="Delta Forecasted" dataDxfId="57" dataCellStyle="Comma">
      <calculatedColumnFormula>B56-F56</calculatedColumnFormula>
    </tableColumn>
    <tableColumn id="8" xr3:uid="{6664BB4E-12B5-48F1-AE06-50E07BF343AA}" name="% Forecasted" dataDxfId="56" dataCellStyle="Percent">
      <calculatedColumnFormula>IFERROR(G56/F56, 0)</calculatedColumnFormula>
    </tableColumn>
    <tableColumn id="9" xr3:uid="{901AB10C-D6B7-48B1-94D8-090D10724320}" name="Notes" dataDxfId="55" dataCellStyle="Percent"/>
    <tableColumn id="10" xr3:uid="{59733D66-CD4F-40E1-AF47-08CDE6A522B0}" name="Service Request" dataDxfId="54" dataCellStyle="Perc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93DA36B-52E8-4E38-992A-A32ED2640F6A}" name="Data456" displayName="Data456" ref="A72:J84" totalsRowShown="0" headerRowDxfId="53" dataDxfId="51" headerRowBorderDxfId="52" tableBorderDxfId="50" dataCellStyle="Percent">
  <autoFilter ref="A72:J84" xr:uid="{B93DA36B-52E8-4E38-992A-A32ED2640F6A}"/>
  <tableColumns count="10">
    <tableColumn id="1" xr3:uid="{5F393356-F376-4EFF-AA03-34806719C552}" name="Month" dataDxfId="49"/>
    <tableColumn id="2" xr3:uid="{A98D5B76-2B82-4C3D-B154-5BDD0DD6EB98}" name="Actual" dataDxfId="48"/>
    <tableColumn id="3" xr3:uid="{606BC1A6-2597-45CA-98B3-8A63C4914AE2}" name="Expected" dataDxfId="47"/>
    <tableColumn id="4" xr3:uid="{3858E900-78B8-434A-AD19-FA18EA4876E9}" name="Delta Expected" dataDxfId="46">
      <calculatedColumnFormula>B73-C73</calculatedColumnFormula>
    </tableColumn>
    <tableColumn id="5" xr3:uid="{15DE9F65-16A9-473B-8714-4F08F50F0C93}" name="% Expected" dataDxfId="45" dataCellStyle="Percent">
      <calculatedColumnFormula>IFERROR(D73/C73, 0)</calculatedColumnFormula>
    </tableColumn>
    <tableColumn id="6" xr3:uid="{D21B1945-4E5A-43B1-AE67-D9235ADBBDF0}" name="Forecasted" dataDxfId="44"/>
    <tableColumn id="7" xr3:uid="{AE811D17-502B-4FBA-9A5F-05AF5F17F6EB}" name="Delta Forecasted" dataDxfId="43" dataCellStyle="Comma">
      <calculatedColumnFormula>B73-F73</calculatedColumnFormula>
    </tableColumn>
    <tableColumn id="8" xr3:uid="{5C8361E3-52F9-485E-847E-31FB1C74D5A4}" name="% Forecasted" dataDxfId="42" dataCellStyle="Percent">
      <calculatedColumnFormula>IFERROR(G73/F73, 0)</calculatedColumnFormula>
    </tableColumn>
    <tableColumn id="9" xr3:uid="{779F0595-7985-4E11-A6D6-530C41A43357}" name="Notes" dataDxfId="41" dataCellStyle="Percent"/>
    <tableColumn id="10" xr3:uid="{7CE4B7C3-1611-41AE-8B8C-C32D407A7268}" name="Service Request" dataDxfId="40" dataCellStyle="Perc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A9A7BC2-FE77-4FF9-8BAE-BCEA7917C9CF}" name="Data4567" displayName="Data4567" ref="A89:J101" totalsRowShown="0" headerRowDxfId="39" dataDxfId="37" headerRowBorderDxfId="38" tableBorderDxfId="36" dataCellStyle="Percent">
  <autoFilter ref="A89:J101" xr:uid="{BA9A7BC2-FE77-4FF9-8BAE-BCEA7917C9CF}"/>
  <tableColumns count="10">
    <tableColumn id="1" xr3:uid="{15F28E0F-6233-4889-8DE2-A083829BDBFE}" name="Month" dataDxfId="35"/>
    <tableColumn id="2" xr3:uid="{FB4E88B2-D1A2-4D96-9F67-EB0CD23DFAF3}" name="Actual" dataDxfId="34"/>
    <tableColumn id="3" xr3:uid="{87BCF844-D290-4E9B-A4C4-F44EFCFA4EC6}" name="Expected" dataDxfId="33"/>
    <tableColumn id="4" xr3:uid="{19FAB218-77CA-45F6-BF52-EA62F9A71771}" name="Delta Expected" dataDxfId="32">
      <calculatedColumnFormula>B90-C90</calculatedColumnFormula>
    </tableColumn>
    <tableColumn id="5" xr3:uid="{B98B3128-6190-40B8-8BC4-169E40A5F568}" name="% Expected" dataDxfId="31" dataCellStyle="Percent">
      <calculatedColumnFormula>IFERROR(D90/C90, 0)</calculatedColumnFormula>
    </tableColumn>
    <tableColumn id="6" xr3:uid="{9D23215C-6B43-4EBC-AA7F-DF9DB6E03B67}" name="Forecasted" dataDxfId="30"/>
    <tableColumn id="7" xr3:uid="{0B97452F-4046-4BB7-AC60-54D05D401C8C}" name="Delta Forecasted" dataDxfId="29" dataCellStyle="Comma">
      <calculatedColumnFormula>B90-F90</calculatedColumnFormula>
    </tableColumn>
    <tableColumn id="8" xr3:uid="{C43F09B9-2C3C-47EC-BA86-93E4723192CD}" name="% Forecasted" dataDxfId="28" dataCellStyle="Percent">
      <calculatedColumnFormula>IFERROR(G90/F90, 0)</calculatedColumnFormula>
    </tableColumn>
    <tableColumn id="9" xr3:uid="{B0047F75-F328-49DE-AE71-7F05A96B281A}" name="Notes" dataDxfId="27" dataCellStyle="Percent"/>
    <tableColumn id="10" xr3:uid="{1C62414C-43CD-4201-8C03-20DDC0784590}" name="Service Request" dataDxfId="26" dataCellStyle="Perc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CBE1D3-2385-405B-95A4-043FE349743B}" name="Data3" displayName="Data3" ref="A4:J16" totalsRowShown="0" headerRowDxfId="25" dataDxfId="24" headerRowBorderDxfId="22" tableBorderDxfId="23" dataCellStyle="Percent">
  <autoFilter ref="A4:J16" xr:uid="{A5CBE1D3-2385-405B-95A4-043FE349743B}"/>
  <tableColumns count="10">
    <tableColumn id="1" xr3:uid="{FBE6B1D2-CBF7-4A6C-8FE8-FED84245997A}" name="Month" dataDxfId="21"/>
    <tableColumn id="2" xr3:uid="{5B3F6B5F-3300-48D6-BE2C-496E3F86680F}" name="Actual" dataDxfId="20"/>
    <tableColumn id="3" xr3:uid="{B08E1F00-74E0-4044-857F-BD04BA35F9C4}" name="Expected" dataDxfId="19"/>
    <tableColumn id="4" xr3:uid="{62A23A9C-647E-4D27-9A7F-97BC33A7DA59}" name="Delta Expected" dataDxfId="18">
      <calculatedColumnFormula>B5-C5</calculatedColumnFormula>
    </tableColumn>
    <tableColumn id="5" xr3:uid="{045ACF9F-CAE5-4F8B-ABF1-57A7F5DFBC44}" name="% Expected" dataDxfId="17" dataCellStyle="Percent">
      <calculatedColumnFormula>IFERROR(D5/C5, 0)</calculatedColumnFormula>
    </tableColumn>
    <tableColumn id="6" xr3:uid="{B7CB116B-E50A-4C96-BDEE-F79BA5298363}" name="Forecasted" dataDxfId="16"/>
    <tableColumn id="7" xr3:uid="{06C78612-A1C9-4FE2-BAA3-2CCE9CC68212}" name="Delta Forecasted" dataDxfId="15" dataCellStyle="Comma">
      <calculatedColumnFormula>B5-F5</calculatedColumnFormula>
    </tableColumn>
    <tableColumn id="8" xr3:uid="{8209C0E0-EE44-4BE2-A5B7-87D0B6A529F3}" name="% Forecasted" dataDxfId="14" dataCellStyle="Percent">
      <calculatedColumnFormula>IFERROR(G5/F5, 0)</calculatedColumnFormula>
    </tableColumn>
    <tableColumn id="9" xr3:uid="{41390F49-7AB0-426B-8C37-E2457788FAA8}" name="Notes" dataDxfId="13" dataCellStyle="Percent"/>
    <tableColumn id="10" xr3:uid="{95F95E72-75E6-41C5-81F6-192363459EDA}" name="Service Request" dataDxfId="12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J102"/>
  <sheetViews>
    <sheetView tabSelected="1" workbookViewId="0">
      <selection activeCell="B11" sqref="B11"/>
    </sheetView>
  </sheetViews>
  <sheetFormatPr defaultRowHeight="14.25" x14ac:dyDescent="0.45"/>
  <cols>
    <col min="1" max="1" width="10.3984375" customWidth="1"/>
    <col min="2" max="2" width="10.59765625" customWidth="1"/>
    <col min="3" max="3" width="11" bestFit="1" customWidth="1"/>
    <col min="4" max="4" width="15" customWidth="1"/>
    <col min="5" max="5" width="13.265625" customWidth="1"/>
    <col min="6" max="6" width="12.59765625" customWidth="1"/>
    <col min="7" max="7" width="17.1328125" customWidth="1"/>
    <col min="8" max="8" width="15.265625" customWidth="1"/>
    <col min="9" max="9" width="69.86328125" customWidth="1"/>
    <col min="10" max="10" width="18.86328125" customWidth="1"/>
  </cols>
  <sheetData>
    <row r="1" spans="1:10" ht="30.75" customHeight="1" x14ac:dyDescent="0.45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</row>
    <row r="2" spans="1:10" ht="14.65" thickBot="1" x14ac:dyDescent="0.5">
      <c r="A2">
        <v>2024</v>
      </c>
    </row>
    <row r="3" spans="1:10" ht="15.4" x14ac:dyDescent="0.45">
      <c r="A3" s="45" t="s">
        <v>1</v>
      </c>
      <c r="B3" s="46"/>
      <c r="C3" s="46"/>
      <c r="D3" s="46"/>
      <c r="E3" s="47"/>
      <c r="F3" s="48" t="s">
        <v>2</v>
      </c>
      <c r="G3" s="49"/>
      <c r="H3" s="50"/>
      <c r="I3" s="51" t="s">
        <v>10</v>
      </c>
      <c r="J3" s="52"/>
    </row>
    <row r="4" spans="1:10" ht="14.65" thickBot="1" x14ac:dyDescent="0.5">
      <c r="A4" s="1" t="s">
        <v>11</v>
      </c>
      <c r="B4" s="39" t="s">
        <v>3</v>
      </c>
      <c r="C4" s="39" t="s">
        <v>4</v>
      </c>
      <c r="D4" s="39" t="s">
        <v>5</v>
      </c>
      <c r="E4" s="40" t="s">
        <v>6</v>
      </c>
      <c r="F4" s="41" t="s">
        <v>7</v>
      </c>
      <c r="G4" s="2" t="s">
        <v>8</v>
      </c>
      <c r="H4" s="3" t="s">
        <v>9</v>
      </c>
      <c r="I4" s="4" t="s">
        <v>10</v>
      </c>
      <c r="J4" s="5" t="s">
        <v>12</v>
      </c>
    </row>
    <row r="5" spans="1:10" x14ac:dyDescent="0.45">
      <c r="A5" s="37" t="s">
        <v>13</v>
      </c>
      <c r="B5" s="31">
        <v>65254</v>
      </c>
      <c r="C5" s="32">
        <v>0</v>
      </c>
      <c r="D5" s="33">
        <f>B5-C5</f>
        <v>65254</v>
      </c>
      <c r="E5" s="34">
        <f t="shared" ref="E5:E16" si="0">IFERROR(D5/C5, 0)</f>
        <v>0</v>
      </c>
      <c r="F5" s="35">
        <v>0</v>
      </c>
      <c r="G5" s="13">
        <f>B5-F5</f>
        <v>65254</v>
      </c>
      <c r="H5" s="9">
        <f t="shared" ref="H5:H16" si="1">IFERROR(G5/F5, 0)</f>
        <v>0</v>
      </c>
      <c r="I5" s="16" t="s">
        <v>33</v>
      </c>
      <c r="J5" s="16" t="s">
        <v>34</v>
      </c>
    </row>
    <row r="6" spans="1:10" x14ac:dyDescent="0.45">
      <c r="A6" s="38" t="s">
        <v>15</v>
      </c>
      <c r="B6" s="36"/>
      <c r="C6" s="32">
        <v>0</v>
      </c>
      <c r="D6" s="33">
        <f t="shared" ref="D6:D16" si="2">B6-C6</f>
        <v>0</v>
      </c>
      <c r="E6" s="34">
        <f t="shared" si="0"/>
        <v>0</v>
      </c>
      <c r="F6" s="35">
        <v>0</v>
      </c>
      <c r="G6" s="13">
        <f t="shared" ref="G6:G16" si="3">B6-F6</f>
        <v>0</v>
      </c>
      <c r="H6" s="9">
        <f t="shared" si="1"/>
        <v>0</v>
      </c>
      <c r="I6" s="10"/>
      <c r="J6" s="10" t="s">
        <v>14</v>
      </c>
    </row>
    <row r="7" spans="1:10" x14ac:dyDescent="0.45">
      <c r="A7" s="38" t="s">
        <v>16</v>
      </c>
      <c r="B7" s="36"/>
      <c r="C7" s="32">
        <v>0</v>
      </c>
      <c r="D7" s="33">
        <f t="shared" si="2"/>
        <v>0</v>
      </c>
      <c r="E7" s="34">
        <f t="shared" si="0"/>
        <v>0</v>
      </c>
      <c r="F7" s="35">
        <v>0</v>
      </c>
      <c r="G7" s="13">
        <f t="shared" si="3"/>
        <v>0</v>
      </c>
      <c r="H7" s="9">
        <f t="shared" si="1"/>
        <v>0</v>
      </c>
      <c r="I7" s="14"/>
      <c r="J7" s="14"/>
    </row>
    <row r="8" spans="1:10" x14ac:dyDescent="0.45">
      <c r="A8" s="38" t="s">
        <v>17</v>
      </c>
      <c r="B8" s="36"/>
      <c r="C8" s="32">
        <v>0</v>
      </c>
      <c r="D8" s="33">
        <f t="shared" si="2"/>
        <v>0</v>
      </c>
      <c r="E8" s="34">
        <f t="shared" si="0"/>
        <v>0</v>
      </c>
      <c r="F8" s="35">
        <v>0</v>
      </c>
      <c r="G8" s="13">
        <f t="shared" si="3"/>
        <v>0</v>
      </c>
      <c r="H8" s="9">
        <f t="shared" si="1"/>
        <v>0</v>
      </c>
      <c r="I8" s="10"/>
      <c r="J8" s="10"/>
    </row>
    <row r="9" spans="1:10" x14ac:dyDescent="0.45">
      <c r="A9" s="38" t="s">
        <v>18</v>
      </c>
      <c r="B9" s="36"/>
      <c r="C9" s="32">
        <v>0</v>
      </c>
      <c r="D9" s="33">
        <f t="shared" si="2"/>
        <v>0</v>
      </c>
      <c r="E9" s="34">
        <f t="shared" si="0"/>
        <v>0</v>
      </c>
      <c r="F9" s="35">
        <v>0</v>
      </c>
      <c r="G9" s="13">
        <f t="shared" si="3"/>
        <v>0</v>
      </c>
      <c r="H9" s="9">
        <f t="shared" si="1"/>
        <v>0</v>
      </c>
      <c r="I9" s="15"/>
      <c r="J9" s="16"/>
    </row>
    <row r="10" spans="1:10" x14ac:dyDescent="0.45">
      <c r="A10" s="38" t="s">
        <v>19</v>
      </c>
      <c r="B10" s="31"/>
      <c r="C10" s="32">
        <v>0</v>
      </c>
      <c r="D10" s="33">
        <f t="shared" si="2"/>
        <v>0</v>
      </c>
      <c r="E10" s="34">
        <f t="shared" si="0"/>
        <v>0</v>
      </c>
      <c r="F10" s="35">
        <v>0</v>
      </c>
      <c r="G10" s="13">
        <f t="shared" si="3"/>
        <v>0</v>
      </c>
      <c r="H10" s="9">
        <f t="shared" si="1"/>
        <v>0</v>
      </c>
      <c r="I10" s="10"/>
      <c r="J10" s="10" t="s">
        <v>14</v>
      </c>
    </row>
    <row r="11" spans="1:10" x14ac:dyDescent="0.45">
      <c r="A11" s="11" t="s">
        <v>20</v>
      </c>
      <c r="B11" s="6"/>
      <c r="C11" s="32">
        <v>0</v>
      </c>
      <c r="D11" s="6">
        <f t="shared" si="2"/>
        <v>0</v>
      </c>
      <c r="E11" s="7">
        <f t="shared" si="0"/>
        <v>0</v>
      </c>
      <c r="F11" s="35">
        <v>0</v>
      </c>
      <c r="G11" s="8">
        <f t="shared" si="3"/>
        <v>0</v>
      </c>
      <c r="H11" s="9">
        <f t="shared" si="1"/>
        <v>0</v>
      </c>
      <c r="I11" s="10"/>
      <c r="J11" s="10" t="s">
        <v>14</v>
      </c>
    </row>
    <row r="12" spans="1:10" x14ac:dyDescent="0.45">
      <c r="A12" s="11" t="s">
        <v>21</v>
      </c>
      <c r="B12" s="42"/>
      <c r="C12" s="32">
        <v>0</v>
      </c>
      <c r="D12" s="6">
        <f t="shared" si="2"/>
        <v>0</v>
      </c>
      <c r="E12" s="12">
        <f t="shared" si="0"/>
        <v>0</v>
      </c>
      <c r="F12" s="35">
        <v>0</v>
      </c>
      <c r="G12" s="8">
        <f t="shared" si="3"/>
        <v>0</v>
      </c>
      <c r="H12" s="9">
        <f t="shared" si="1"/>
        <v>0</v>
      </c>
      <c r="I12" s="14"/>
      <c r="J12" s="14"/>
    </row>
    <row r="13" spans="1:10" x14ac:dyDescent="0.45">
      <c r="A13" s="11" t="s">
        <v>22</v>
      </c>
      <c r="B13" s="6"/>
      <c r="C13" s="32">
        <v>0</v>
      </c>
      <c r="D13" s="6">
        <f t="shared" si="2"/>
        <v>0</v>
      </c>
      <c r="E13" s="12">
        <f t="shared" si="0"/>
        <v>0</v>
      </c>
      <c r="F13" s="35">
        <v>0</v>
      </c>
      <c r="G13" s="8">
        <f t="shared" si="3"/>
        <v>0</v>
      </c>
      <c r="H13" s="9">
        <f t="shared" si="1"/>
        <v>0</v>
      </c>
      <c r="I13" s="10"/>
      <c r="J13" s="10"/>
    </row>
    <row r="14" spans="1:10" x14ac:dyDescent="0.45">
      <c r="A14" s="11" t="s">
        <v>23</v>
      </c>
      <c r="B14" s="6"/>
      <c r="C14" s="32">
        <v>0</v>
      </c>
      <c r="D14" s="6">
        <f t="shared" si="2"/>
        <v>0</v>
      </c>
      <c r="E14" s="12">
        <f t="shared" si="0"/>
        <v>0</v>
      </c>
      <c r="F14" s="35">
        <v>0</v>
      </c>
      <c r="G14" s="8">
        <f t="shared" si="3"/>
        <v>0</v>
      </c>
      <c r="H14" s="9">
        <f t="shared" si="1"/>
        <v>0</v>
      </c>
      <c r="I14" s="15"/>
      <c r="J14" s="16"/>
    </row>
    <row r="15" spans="1:10" x14ac:dyDescent="0.45">
      <c r="A15" s="11" t="s">
        <v>24</v>
      </c>
      <c r="B15" s="17"/>
      <c r="C15" s="17">
        <v>0</v>
      </c>
      <c r="D15" s="6">
        <f t="shared" si="2"/>
        <v>0</v>
      </c>
      <c r="E15" s="12">
        <f t="shared" si="0"/>
        <v>0</v>
      </c>
      <c r="F15" s="18">
        <v>0</v>
      </c>
      <c r="G15" s="8">
        <f t="shared" si="3"/>
        <v>0</v>
      </c>
      <c r="H15" s="9">
        <f t="shared" si="1"/>
        <v>0</v>
      </c>
      <c r="I15" s="16"/>
      <c r="J15" s="16"/>
    </row>
    <row r="16" spans="1:10" x14ac:dyDescent="0.45">
      <c r="A16" s="19" t="s">
        <v>27</v>
      </c>
      <c r="B16" s="20"/>
      <c r="C16" s="20">
        <v>0</v>
      </c>
      <c r="D16" s="20">
        <f t="shared" si="2"/>
        <v>0</v>
      </c>
      <c r="E16" s="21">
        <f t="shared" si="0"/>
        <v>0</v>
      </c>
      <c r="F16" s="22">
        <v>0</v>
      </c>
      <c r="G16" s="23">
        <f t="shared" si="3"/>
        <v>0</v>
      </c>
      <c r="H16" s="24">
        <f t="shared" si="1"/>
        <v>0</v>
      </c>
      <c r="I16" s="25"/>
      <c r="J16" s="25" t="s">
        <v>14</v>
      </c>
    </row>
    <row r="17" spans="1:10" x14ac:dyDescent="0.45">
      <c r="A17" s="55" t="s">
        <v>28</v>
      </c>
      <c r="B17" s="56">
        <f>SUM(B5:B16)</f>
        <v>65254</v>
      </c>
      <c r="C17" s="56">
        <f t="shared" ref="C17:F17" si="4">SUM(C5:C16)</f>
        <v>0</v>
      </c>
      <c r="D17" s="56">
        <f>B17-C17</f>
        <v>65254</v>
      </c>
      <c r="E17" s="57">
        <f>IFERROR(D17/C17, 0)</f>
        <v>0</v>
      </c>
      <c r="F17" s="56">
        <f t="shared" ref="F17:I17" si="5">SUM(F5:F16)</f>
        <v>0</v>
      </c>
      <c r="G17" s="56">
        <f>B17-F17</f>
        <v>65254</v>
      </c>
      <c r="H17" s="58">
        <f>IFERROR(G17/F17, 0)</f>
        <v>0</v>
      </c>
      <c r="I17" s="30"/>
      <c r="J17" s="30"/>
    </row>
    <row r="18" spans="1:10" s="59" customFormat="1" x14ac:dyDescent="0.45">
      <c r="A18"/>
      <c r="B18"/>
      <c r="C18"/>
      <c r="D18"/>
      <c r="E18"/>
      <c r="F18"/>
      <c r="G18"/>
      <c r="H18"/>
      <c r="I18"/>
      <c r="J18"/>
    </row>
    <row r="19" spans="1:10" ht="14.65" thickBot="1" x14ac:dyDescent="0.5">
      <c r="A19">
        <v>2023</v>
      </c>
    </row>
    <row r="20" spans="1:10" ht="15.4" x14ac:dyDescent="0.45">
      <c r="A20" s="45" t="s">
        <v>1</v>
      </c>
      <c r="B20" s="46"/>
      <c r="C20" s="46"/>
      <c r="D20" s="46"/>
      <c r="E20" s="47"/>
      <c r="F20" s="48" t="s">
        <v>2</v>
      </c>
      <c r="G20" s="49"/>
      <c r="H20" s="50"/>
      <c r="I20" s="51" t="s">
        <v>10</v>
      </c>
      <c r="J20" s="52"/>
    </row>
    <row r="21" spans="1:10" x14ac:dyDescent="0.45">
      <c r="A21" s="1" t="s">
        <v>11</v>
      </c>
      <c r="B21" s="39" t="s">
        <v>3</v>
      </c>
      <c r="C21" s="39" t="s">
        <v>4</v>
      </c>
      <c r="D21" s="39" t="s">
        <v>5</v>
      </c>
      <c r="E21" s="40" t="s">
        <v>6</v>
      </c>
      <c r="F21" s="41" t="s">
        <v>7</v>
      </c>
      <c r="G21" s="2" t="s">
        <v>8</v>
      </c>
      <c r="H21" s="3" t="s">
        <v>9</v>
      </c>
      <c r="I21" s="4" t="s">
        <v>10</v>
      </c>
      <c r="J21" s="5" t="s">
        <v>12</v>
      </c>
    </row>
    <row r="22" spans="1:10" x14ac:dyDescent="0.45">
      <c r="A22" s="37" t="s">
        <v>13</v>
      </c>
      <c r="B22" s="31">
        <v>100696</v>
      </c>
      <c r="C22" s="32">
        <v>0</v>
      </c>
      <c r="D22" s="33">
        <f>B22-C22</f>
        <v>100696</v>
      </c>
      <c r="E22" s="34">
        <f t="shared" ref="E22:E33" si="6">IFERROR(D22/C22, 0)</f>
        <v>0</v>
      </c>
      <c r="F22" s="35">
        <v>0</v>
      </c>
      <c r="G22" s="13">
        <f>B22-F22</f>
        <v>100696</v>
      </c>
      <c r="H22" s="9">
        <f t="shared" ref="H22:H33" si="7">IFERROR(G22/F22, 0)</f>
        <v>0</v>
      </c>
      <c r="I22" s="10"/>
      <c r="J22" s="10" t="s">
        <v>14</v>
      </c>
    </row>
    <row r="23" spans="1:10" x14ac:dyDescent="0.45">
      <c r="A23" s="38" t="s">
        <v>15</v>
      </c>
      <c r="B23" s="36">
        <v>188937</v>
      </c>
      <c r="C23" s="32">
        <v>0</v>
      </c>
      <c r="D23" s="33">
        <f t="shared" ref="D23:D27" si="8">B23-C23</f>
        <v>188937</v>
      </c>
      <c r="E23" s="34">
        <f t="shared" si="6"/>
        <v>0</v>
      </c>
      <c r="F23" s="35">
        <v>0</v>
      </c>
      <c r="G23" s="13">
        <f t="shared" ref="G23:G33" si="9">B23-F23</f>
        <v>188937</v>
      </c>
      <c r="H23" s="9">
        <f t="shared" si="7"/>
        <v>0</v>
      </c>
      <c r="I23" s="10"/>
      <c r="J23" s="10" t="s">
        <v>14</v>
      </c>
    </row>
    <row r="24" spans="1:10" x14ac:dyDescent="0.45">
      <c r="A24" s="38" t="s">
        <v>16</v>
      </c>
      <c r="B24" s="36">
        <v>275427</v>
      </c>
      <c r="C24" s="32">
        <v>0</v>
      </c>
      <c r="D24" s="33">
        <f t="shared" si="8"/>
        <v>275427</v>
      </c>
      <c r="E24" s="34">
        <f t="shared" si="6"/>
        <v>0</v>
      </c>
      <c r="F24" s="35">
        <v>0</v>
      </c>
      <c r="G24" s="13">
        <f t="shared" si="9"/>
        <v>275427</v>
      </c>
      <c r="H24" s="9">
        <f t="shared" si="7"/>
        <v>0</v>
      </c>
      <c r="I24" s="14"/>
      <c r="J24" s="14"/>
    </row>
    <row r="25" spans="1:10" x14ac:dyDescent="0.45">
      <c r="A25" s="38" t="s">
        <v>17</v>
      </c>
      <c r="B25" s="36">
        <v>303805</v>
      </c>
      <c r="C25" s="32">
        <v>0</v>
      </c>
      <c r="D25" s="33">
        <f t="shared" si="8"/>
        <v>303805</v>
      </c>
      <c r="E25" s="34">
        <f t="shared" si="6"/>
        <v>0</v>
      </c>
      <c r="F25" s="35">
        <v>0</v>
      </c>
      <c r="G25" s="13">
        <f t="shared" si="9"/>
        <v>303805</v>
      </c>
      <c r="H25" s="9">
        <f t="shared" si="7"/>
        <v>0</v>
      </c>
      <c r="I25" s="10"/>
      <c r="J25" s="10"/>
    </row>
    <row r="26" spans="1:10" x14ac:dyDescent="0.45">
      <c r="A26" s="38" t="s">
        <v>18</v>
      </c>
      <c r="B26" s="36">
        <v>375176</v>
      </c>
      <c r="C26" s="32">
        <v>0</v>
      </c>
      <c r="D26" s="33">
        <f t="shared" si="8"/>
        <v>375176</v>
      </c>
      <c r="E26" s="34">
        <f t="shared" si="6"/>
        <v>0</v>
      </c>
      <c r="F26" s="35">
        <v>0</v>
      </c>
      <c r="G26" s="13">
        <f t="shared" si="9"/>
        <v>375176</v>
      </c>
      <c r="H26" s="9">
        <f t="shared" si="7"/>
        <v>0</v>
      </c>
      <c r="I26" s="15"/>
      <c r="J26" s="16"/>
    </row>
    <row r="27" spans="1:10" x14ac:dyDescent="0.45">
      <c r="A27" s="38" t="s">
        <v>19</v>
      </c>
      <c r="B27" s="31">
        <v>213256</v>
      </c>
      <c r="C27" s="32">
        <v>0</v>
      </c>
      <c r="D27" s="33">
        <f t="shared" si="8"/>
        <v>213256</v>
      </c>
      <c r="E27" s="34">
        <f t="shared" si="6"/>
        <v>0</v>
      </c>
      <c r="F27" s="35">
        <v>0</v>
      </c>
      <c r="G27" s="13">
        <f t="shared" si="9"/>
        <v>213256</v>
      </c>
      <c r="H27" s="9">
        <f t="shared" si="7"/>
        <v>0</v>
      </c>
      <c r="I27" s="10"/>
      <c r="J27" s="10" t="s">
        <v>14</v>
      </c>
    </row>
    <row r="28" spans="1:10" x14ac:dyDescent="0.45">
      <c r="A28" s="11" t="s">
        <v>20</v>
      </c>
      <c r="B28" s="6">
        <v>270954</v>
      </c>
      <c r="C28" s="32">
        <v>0</v>
      </c>
      <c r="D28" s="6">
        <f t="shared" ref="D28:D33" si="10">B28-C28</f>
        <v>270954</v>
      </c>
      <c r="E28" s="7">
        <f t="shared" si="6"/>
        <v>0</v>
      </c>
      <c r="F28" s="35">
        <v>0</v>
      </c>
      <c r="G28" s="8">
        <f t="shared" si="9"/>
        <v>270954</v>
      </c>
      <c r="H28" s="9">
        <f t="shared" si="7"/>
        <v>0</v>
      </c>
      <c r="I28" s="10"/>
      <c r="J28" s="10" t="s">
        <v>14</v>
      </c>
    </row>
    <row r="29" spans="1:10" x14ac:dyDescent="0.45">
      <c r="A29" s="11" t="s">
        <v>21</v>
      </c>
      <c r="B29" s="42">
        <v>286064</v>
      </c>
      <c r="C29" s="32">
        <v>0</v>
      </c>
      <c r="D29" s="6">
        <f t="shared" si="10"/>
        <v>286064</v>
      </c>
      <c r="E29" s="12">
        <f t="shared" si="6"/>
        <v>0</v>
      </c>
      <c r="F29" s="35">
        <v>0</v>
      </c>
      <c r="G29" s="8">
        <f t="shared" si="9"/>
        <v>286064</v>
      </c>
      <c r="H29" s="9">
        <f t="shared" si="7"/>
        <v>0</v>
      </c>
      <c r="I29" s="14"/>
      <c r="J29" s="14"/>
    </row>
    <row r="30" spans="1:10" x14ac:dyDescent="0.45">
      <c r="A30" s="11" t="s">
        <v>22</v>
      </c>
      <c r="B30" s="6">
        <v>247680</v>
      </c>
      <c r="C30" s="32">
        <v>0</v>
      </c>
      <c r="D30" s="6">
        <f t="shared" si="10"/>
        <v>247680</v>
      </c>
      <c r="E30" s="12">
        <f t="shared" si="6"/>
        <v>0</v>
      </c>
      <c r="F30" s="35">
        <v>0</v>
      </c>
      <c r="G30" s="8">
        <f t="shared" si="9"/>
        <v>247680</v>
      </c>
      <c r="H30" s="9">
        <f t="shared" si="7"/>
        <v>0</v>
      </c>
      <c r="I30" s="10"/>
      <c r="J30" s="10"/>
    </row>
    <row r="31" spans="1:10" x14ac:dyDescent="0.45">
      <c r="A31" s="11" t="s">
        <v>23</v>
      </c>
      <c r="B31" s="6">
        <v>221566</v>
      </c>
      <c r="C31" s="32">
        <v>0</v>
      </c>
      <c r="D31" s="6">
        <f t="shared" si="10"/>
        <v>221566</v>
      </c>
      <c r="E31" s="12">
        <f t="shared" si="6"/>
        <v>0</v>
      </c>
      <c r="F31" s="35">
        <v>0</v>
      </c>
      <c r="G31" s="8">
        <f t="shared" si="9"/>
        <v>221566</v>
      </c>
      <c r="H31" s="9">
        <f t="shared" si="7"/>
        <v>0</v>
      </c>
      <c r="I31" s="15"/>
      <c r="J31" s="16"/>
    </row>
    <row r="32" spans="1:10" x14ac:dyDescent="0.45">
      <c r="A32" s="11" t="s">
        <v>24</v>
      </c>
      <c r="B32" s="17">
        <v>194357</v>
      </c>
      <c r="C32" s="17">
        <v>0</v>
      </c>
      <c r="D32" s="6">
        <f t="shared" si="10"/>
        <v>194357</v>
      </c>
      <c r="E32" s="12">
        <f t="shared" si="6"/>
        <v>0</v>
      </c>
      <c r="F32" s="18">
        <v>0</v>
      </c>
      <c r="G32" s="8">
        <f t="shared" si="9"/>
        <v>194357</v>
      </c>
      <c r="H32" s="9">
        <f t="shared" si="7"/>
        <v>0</v>
      </c>
      <c r="I32" s="16" t="s">
        <v>25</v>
      </c>
      <c r="J32" s="16" t="s">
        <v>26</v>
      </c>
    </row>
    <row r="33" spans="1:10" x14ac:dyDescent="0.45">
      <c r="A33" s="19" t="s">
        <v>27</v>
      </c>
      <c r="B33" s="20">
        <v>116966</v>
      </c>
      <c r="C33" s="20">
        <v>0</v>
      </c>
      <c r="D33" s="20">
        <f t="shared" si="10"/>
        <v>116966</v>
      </c>
      <c r="E33" s="21">
        <f t="shared" si="6"/>
        <v>0</v>
      </c>
      <c r="F33" s="22">
        <v>0</v>
      </c>
      <c r="G33" s="23">
        <f t="shared" si="9"/>
        <v>116966</v>
      </c>
      <c r="H33" s="24">
        <f t="shared" si="7"/>
        <v>0</v>
      </c>
      <c r="I33" s="25"/>
      <c r="J33" s="25" t="s">
        <v>14</v>
      </c>
    </row>
    <row r="34" spans="1:10" x14ac:dyDescent="0.45">
      <c r="A34" s="26" t="s">
        <v>28</v>
      </c>
      <c r="B34" s="27">
        <f>SUM(B22:B33)</f>
        <v>2794884</v>
      </c>
      <c r="C34" s="27">
        <f t="shared" ref="C34:F34" si="11">SUM(C22:C33)</f>
        <v>0</v>
      </c>
      <c r="D34" s="27">
        <f>B34-C34</f>
        <v>2794884</v>
      </c>
      <c r="E34" s="28">
        <f>IFERROR(D34/C34, 0)</f>
        <v>0</v>
      </c>
      <c r="F34" s="27">
        <f t="shared" si="11"/>
        <v>0</v>
      </c>
      <c r="G34" s="27">
        <f>B34-F34</f>
        <v>2794884</v>
      </c>
      <c r="H34" s="29">
        <f>IFERROR(G34/F34, 0)</f>
        <v>0</v>
      </c>
      <c r="I34" s="30"/>
      <c r="J34" s="30"/>
    </row>
    <row r="36" spans="1:10" x14ac:dyDescent="0.45">
      <c r="A36">
        <v>2022</v>
      </c>
    </row>
    <row r="37" spans="1:10" ht="15.4" x14ac:dyDescent="0.45">
      <c r="A37" s="45" t="s">
        <v>1</v>
      </c>
      <c r="B37" s="46"/>
      <c r="C37" s="46"/>
      <c r="D37" s="46"/>
      <c r="E37" s="47"/>
      <c r="F37" s="48" t="s">
        <v>2</v>
      </c>
      <c r="G37" s="49"/>
      <c r="H37" s="50"/>
      <c r="I37" s="51" t="s">
        <v>10</v>
      </c>
      <c r="J37" s="52"/>
    </row>
    <row r="38" spans="1:10" x14ac:dyDescent="0.45">
      <c r="A38" s="1" t="s">
        <v>11</v>
      </c>
      <c r="B38" s="39" t="s">
        <v>3</v>
      </c>
      <c r="C38" s="39" t="s">
        <v>4</v>
      </c>
      <c r="D38" s="39" t="s">
        <v>5</v>
      </c>
      <c r="E38" s="40" t="s">
        <v>6</v>
      </c>
      <c r="F38" s="41" t="s">
        <v>7</v>
      </c>
      <c r="G38" s="2" t="s">
        <v>8</v>
      </c>
      <c r="H38" s="3" t="s">
        <v>9</v>
      </c>
      <c r="I38" s="4" t="s">
        <v>10</v>
      </c>
      <c r="J38" s="5" t="s">
        <v>12</v>
      </c>
    </row>
    <row r="39" spans="1:10" x14ac:dyDescent="0.45">
      <c r="A39" s="37" t="s">
        <v>13</v>
      </c>
      <c r="B39" s="31">
        <v>152276</v>
      </c>
      <c r="C39" s="32">
        <v>0</v>
      </c>
      <c r="D39" s="33">
        <f>B39-C39</f>
        <v>152276</v>
      </c>
      <c r="E39" s="34">
        <f t="shared" ref="E39:E50" si="12">IFERROR(D39/C39, 0)</f>
        <v>0</v>
      </c>
      <c r="F39" s="35">
        <v>0</v>
      </c>
      <c r="G39" s="13">
        <f>B39-F39</f>
        <v>152276</v>
      </c>
      <c r="H39" s="9">
        <f t="shared" ref="H39:H50" si="13">IFERROR(G39/F39, 0)</f>
        <v>0</v>
      </c>
      <c r="I39" s="10"/>
      <c r="J39" s="10" t="s">
        <v>14</v>
      </c>
    </row>
    <row r="40" spans="1:10" x14ac:dyDescent="0.45">
      <c r="A40" s="38" t="s">
        <v>15</v>
      </c>
      <c r="B40" s="36">
        <v>177447.2</v>
      </c>
      <c r="C40" s="32">
        <v>0</v>
      </c>
      <c r="D40" s="33">
        <f t="shared" ref="D40:D50" si="14">B40-C40</f>
        <v>177447.2</v>
      </c>
      <c r="E40" s="34">
        <f t="shared" si="12"/>
        <v>0</v>
      </c>
      <c r="F40" s="35">
        <v>0</v>
      </c>
      <c r="G40" s="13">
        <f t="shared" ref="G40:G50" si="15">B40-F40</f>
        <v>177447.2</v>
      </c>
      <c r="H40" s="9">
        <f t="shared" si="13"/>
        <v>0</v>
      </c>
      <c r="I40" s="10"/>
      <c r="J40" s="10" t="s">
        <v>14</v>
      </c>
    </row>
    <row r="41" spans="1:10" x14ac:dyDescent="0.45">
      <c r="A41" s="38" t="s">
        <v>16</v>
      </c>
      <c r="B41" s="36">
        <v>271618.40000000002</v>
      </c>
      <c r="C41" s="32">
        <v>0</v>
      </c>
      <c r="D41" s="33">
        <f t="shared" si="14"/>
        <v>271618.40000000002</v>
      </c>
      <c r="E41" s="34">
        <f t="shared" si="12"/>
        <v>0</v>
      </c>
      <c r="F41" s="35">
        <v>0</v>
      </c>
      <c r="G41" s="13">
        <f t="shared" si="15"/>
        <v>271618.40000000002</v>
      </c>
      <c r="H41" s="9">
        <f t="shared" si="13"/>
        <v>0</v>
      </c>
      <c r="I41" s="14"/>
      <c r="J41" s="14"/>
    </row>
    <row r="42" spans="1:10" x14ac:dyDescent="0.45">
      <c r="A42" s="38" t="s">
        <v>17</v>
      </c>
      <c r="B42" s="36">
        <v>324716</v>
      </c>
      <c r="C42" s="32">
        <v>0</v>
      </c>
      <c r="D42" s="33">
        <f t="shared" si="14"/>
        <v>324716</v>
      </c>
      <c r="E42" s="34">
        <f t="shared" si="12"/>
        <v>0</v>
      </c>
      <c r="F42" s="35">
        <v>0</v>
      </c>
      <c r="G42" s="13">
        <f t="shared" si="15"/>
        <v>324716</v>
      </c>
      <c r="H42" s="9">
        <f t="shared" si="13"/>
        <v>0</v>
      </c>
      <c r="I42" s="10"/>
      <c r="J42" s="10"/>
    </row>
    <row r="43" spans="1:10" x14ac:dyDescent="0.45">
      <c r="A43" s="38" t="s">
        <v>18</v>
      </c>
      <c r="B43" s="36">
        <v>365977.59999999998</v>
      </c>
      <c r="C43" s="32">
        <v>0</v>
      </c>
      <c r="D43" s="33">
        <f t="shared" si="14"/>
        <v>365977.59999999998</v>
      </c>
      <c r="E43" s="34">
        <f t="shared" si="12"/>
        <v>0</v>
      </c>
      <c r="F43" s="35">
        <v>0</v>
      </c>
      <c r="G43" s="13">
        <f t="shared" si="15"/>
        <v>365977.59999999998</v>
      </c>
      <c r="H43" s="9">
        <f t="shared" si="13"/>
        <v>0</v>
      </c>
      <c r="I43" s="15"/>
      <c r="J43" s="16"/>
    </row>
    <row r="44" spans="1:10" x14ac:dyDescent="0.45">
      <c r="A44" s="38" t="s">
        <v>19</v>
      </c>
      <c r="B44" s="31">
        <v>358822.40000000002</v>
      </c>
      <c r="C44" s="32">
        <v>0</v>
      </c>
      <c r="D44" s="33">
        <f t="shared" si="14"/>
        <v>358822.40000000002</v>
      </c>
      <c r="E44" s="34">
        <f t="shared" si="12"/>
        <v>0</v>
      </c>
      <c r="F44" s="35">
        <v>0</v>
      </c>
      <c r="G44" s="13">
        <f t="shared" si="15"/>
        <v>358822.40000000002</v>
      </c>
      <c r="H44" s="9">
        <f t="shared" si="13"/>
        <v>0</v>
      </c>
      <c r="I44" s="10"/>
      <c r="J44" s="10" t="s">
        <v>14</v>
      </c>
    </row>
    <row r="45" spans="1:10" x14ac:dyDescent="0.45">
      <c r="A45" s="11" t="s">
        <v>20</v>
      </c>
      <c r="B45" s="6">
        <v>393542.40000000002</v>
      </c>
      <c r="C45" s="32">
        <v>0</v>
      </c>
      <c r="D45" s="6">
        <f t="shared" si="14"/>
        <v>393542.40000000002</v>
      </c>
      <c r="E45" s="7">
        <f t="shared" si="12"/>
        <v>0</v>
      </c>
      <c r="F45" s="35">
        <v>0</v>
      </c>
      <c r="G45" s="8">
        <f t="shared" si="15"/>
        <v>393542.40000000002</v>
      </c>
      <c r="H45" s="9">
        <f t="shared" si="13"/>
        <v>0</v>
      </c>
      <c r="I45" s="10"/>
      <c r="J45" s="10" t="s">
        <v>14</v>
      </c>
    </row>
    <row r="46" spans="1:10" x14ac:dyDescent="0.45">
      <c r="A46" s="11" t="s">
        <v>21</v>
      </c>
      <c r="B46" s="42">
        <v>344978.8</v>
      </c>
      <c r="C46" s="32">
        <v>0</v>
      </c>
      <c r="D46" s="6">
        <f t="shared" si="14"/>
        <v>344978.8</v>
      </c>
      <c r="E46" s="12">
        <f t="shared" si="12"/>
        <v>0</v>
      </c>
      <c r="F46" s="35">
        <v>0</v>
      </c>
      <c r="G46" s="8">
        <f t="shared" si="15"/>
        <v>344978.8</v>
      </c>
      <c r="H46" s="9">
        <f t="shared" si="13"/>
        <v>0</v>
      </c>
      <c r="I46" s="14"/>
      <c r="J46" s="14"/>
    </row>
    <row r="47" spans="1:10" x14ac:dyDescent="0.45">
      <c r="A47" s="11" t="s">
        <v>22</v>
      </c>
      <c r="B47" s="6">
        <v>286905.59999999998</v>
      </c>
      <c r="C47" s="32">
        <v>0</v>
      </c>
      <c r="D47" s="6">
        <f t="shared" si="14"/>
        <v>286905.59999999998</v>
      </c>
      <c r="E47" s="12">
        <f t="shared" si="12"/>
        <v>0</v>
      </c>
      <c r="F47" s="35">
        <v>0</v>
      </c>
      <c r="G47" s="8">
        <f t="shared" si="15"/>
        <v>286905.59999999998</v>
      </c>
      <c r="H47" s="9">
        <f t="shared" si="13"/>
        <v>0</v>
      </c>
      <c r="I47" s="10"/>
      <c r="J47" s="10"/>
    </row>
    <row r="48" spans="1:10" x14ac:dyDescent="0.45">
      <c r="A48" s="11" t="s">
        <v>23</v>
      </c>
      <c r="B48" s="6">
        <v>241724.79999999999</v>
      </c>
      <c r="C48" s="32">
        <v>0</v>
      </c>
      <c r="D48" s="6">
        <f t="shared" si="14"/>
        <v>241724.79999999999</v>
      </c>
      <c r="E48" s="12">
        <f t="shared" si="12"/>
        <v>0</v>
      </c>
      <c r="F48" s="35">
        <v>0</v>
      </c>
      <c r="G48" s="8">
        <f t="shared" si="15"/>
        <v>241724.79999999999</v>
      </c>
      <c r="H48" s="9">
        <f t="shared" si="13"/>
        <v>0</v>
      </c>
      <c r="I48" s="15"/>
      <c r="J48" s="16"/>
    </row>
    <row r="49" spans="1:10" x14ac:dyDescent="0.45">
      <c r="A49" s="11" t="s">
        <v>24</v>
      </c>
      <c r="B49" s="17">
        <v>200424</v>
      </c>
      <c r="C49" s="17">
        <v>0</v>
      </c>
      <c r="D49" s="6">
        <f t="shared" si="14"/>
        <v>200424</v>
      </c>
      <c r="E49" s="12">
        <f t="shared" si="12"/>
        <v>0</v>
      </c>
      <c r="F49" s="18">
        <v>0</v>
      </c>
      <c r="G49" s="8">
        <f t="shared" si="15"/>
        <v>200424</v>
      </c>
      <c r="H49" s="9">
        <f t="shared" si="13"/>
        <v>0</v>
      </c>
      <c r="I49" s="16" t="s">
        <v>14</v>
      </c>
      <c r="J49" s="16" t="s">
        <v>14</v>
      </c>
    </row>
    <row r="50" spans="1:10" x14ac:dyDescent="0.45">
      <c r="A50" s="19" t="s">
        <v>27</v>
      </c>
      <c r="B50" s="20">
        <v>142748</v>
      </c>
      <c r="C50" s="20">
        <v>0</v>
      </c>
      <c r="D50" s="20">
        <f t="shared" si="14"/>
        <v>142748</v>
      </c>
      <c r="E50" s="21">
        <f t="shared" si="12"/>
        <v>0</v>
      </c>
      <c r="F50" s="22">
        <v>0</v>
      </c>
      <c r="G50" s="23">
        <f t="shared" si="15"/>
        <v>142748</v>
      </c>
      <c r="H50" s="24">
        <f t="shared" si="13"/>
        <v>0</v>
      </c>
      <c r="I50" s="25"/>
      <c r="J50" s="25" t="s">
        <v>14</v>
      </c>
    </row>
    <row r="51" spans="1:10" x14ac:dyDescent="0.45">
      <c r="A51" s="26" t="s">
        <v>28</v>
      </c>
      <c r="B51" s="27">
        <f>SUM(B39:B50)</f>
        <v>3261181.1999999997</v>
      </c>
      <c r="C51" s="27">
        <f t="shared" ref="C51" si="16">SUM(C39:C50)</f>
        <v>0</v>
      </c>
      <c r="D51" s="27">
        <f>B51-C51</f>
        <v>3261181.1999999997</v>
      </c>
      <c r="E51" s="28">
        <f>IFERROR(D51/C51, 0)</f>
        <v>0</v>
      </c>
      <c r="F51" s="27">
        <f t="shared" ref="F51" si="17">SUM(F39:F50)</f>
        <v>0</v>
      </c>
      <c r="G51" s="27">
        <f>B51-F51</f>
        <v>3261181.1999999997</v>
      </c>
      <c r="H51" s="29">
        <f>IFERROR(G51/F51, 0)</f>
        <v>0</v>
      </c>
      <c r="I51" s="30"/>
      <c r="J51" s="30"/>
    </row>
    <row r="53" spans="1:10" ht="14.65" thickBot="1" x14ac:dyDescent="0.5">
      <c r="A53">
        <v>2021</v>
      </c>
    </row>
    <row r="54" spans="1:10" ht="15.4" x14ac:dyDescent="0.45">
      <c r="A54" s="45" t="s">
        <v>1</v>
      </c>
      <c r="B54" s="46"/>
      <c r="C54" s="46"/>
      <c r="D54" s="46"/>
      <c r="E54" s="47"/>
      <c r="F54" s="48" t="s">
        <v>2</v>
      </c>
      <c r="G54" s="49"/>
      <c r="H54" s="50"/>
      <c r="I54" s="51" t="s">
        <v>10</v>
      </c>
      <c r="J54" s="52"/>
    </row>
    <row r="55" spans="1:10" ht="14.65" thickBot="1" x14ac:dyDescent="0.5">
      <c r="A55" s="1" t="s">
        <v>11</v>
      </c>
      <c r="B55" s="39" t="s">
        <v>3</v>
      </c>
      <c r="C55" s="39" t="s">
        <v>4</v>
      </c>
      <c r="D55" s="39" t="s">
        <v>5</v>
      </c>
      <c r="E55" s="40" t="s">
        <v>6</v>
      </c>
      <c r="F55" s="41" t="s">
        <v>7</v>
      </c>
      <c r="G55" s="2" t="s">
        <v>8</v>
      </c>
      <c r="H55" s="3" t="s">
        <v>9</v>
      </c>
      <c r="I55" s="4" t="s">
        <v>10</v>
      </c>
      <c r="J55" s="5" t="s">
        <v>12</v>
      </c>
    </row>
    <row r="56" spans="1:10" x14ac:dyDescent="0.45">
      <c r="A56" s="37" t="s">
        <v>13</v>
      </c>
      <c r="B56" s="31">
        <v>148550.04</v>
      </c>
      <c r="C56" s="32">
        <v>0</v>
      </c>
      <c r="D56" s="33">
        <f>B56-C56</f>
        <v>148550.04</v>
      </c>
      <c r="E56" s="34">
        <f t="shared" ref="E56:E67" si="18">IFERROR(D56/C56, 0)</f>
        <v>0</v>
      </c>
      <c r="F56" s="35">
        <v>0</v>
      </c>
      <c r="G56" s="13">
        <f>B56-F56</f>
        <v>148550.04</v>
      </c>
      <c r="H56" s="9">
        <f t="shared" ref="H56:H67" si="19">IFERROR(G56/F56, 0)</f>
        <v>0</v>
      </c>
      <c r="I56" s="10"/>
      <c r="J56" s="10" t="s">
        <v>14</v>
      </c>
    </row>
    <row r="57" spans="1:10" x14ac:dyDescent="0.45">
      <c r="A57" s="38" t="s">
        <v>15</v>
      </c>
      <c r="B57" s="36">
        <v>101896</v>
      </c>
      <c r="C57" s="32">
        <v>0</v>
      </c>
      <c r="D57" s="33">
        <f t="shared" ref="D57:D67" si="20">B57-C57</f>
        <v>101896</v>
      </c>
      <c r="E57" s="34">
        <f t="shared" si="18"/>
        <v>0</v>
      </c>
      <c r="F57" s="35">
        <v>0</v>
      </c>
      <c r="G57" s="13">
        <f t="shared" ref="G57:G67" si="21">B57-F57</f>
        <v>101896</v>
      </c>
      <c r="H57" s="9">
        <f t="shared" si="19"/>
        <v>0</v>
      </c>
      <c r="I57" s="10"/>
      <c r="J57" s="10" t="s">
        <v>14</v>
      </c>
    </row>
    <row r="58" spans="1:10" x14ac:dyDescent="0.45">
      <c r="A58" s="38" t="s">
        <v>16</v>
      </c>
      <c r="B58" s="36">
        <v>324248</v>
      </c>
      <c r="C58" s="32">
        <v>0</v>
      </c>
      <c r="D58" s="33">
        <f t="shared" si="20"/>
        <v>324248</v>
      </c>
      <c r="E58" s="34">
        <f t="shared" si="18"/>
        <v>0</v>
      </c>
      <c r="F58" s="35">
        <v>0</v>
      </c>
      <c r="G58" s="13">
        <f t="shared" si="21"/>
        <v>324248</v>
      </c>
      <c r="H58" s="9">
        <f t="shared" si="19"/>
        <v>0</v>
      </c>
      <c r="I58" s="14"/>
      <c r="J58" s="14"/>
    </row>
    <row r="59" spans="1:10" x14ac:dyDescent="0.45">
      <c r="A59" s="38" t="s">
        <v>17</v>
      </c>
      <c r="B59" s="36">
        <v>302428.79999999999</v>
      </c>
      <c r="C59" s="32">
        <v>0</v>
      </c>
      <c r="D59" s="33">
        <f t="shared" si="20"/>
        <v>302428.79999999999</v>
      </c>
      <c r="E59" s="34">
        <f t="shared" si="18"/>
        <v>0</v>
      </c>
      <c r="F59" s="35">
        <v>0</v>
      </c>
      <c r="G59" s="13">
        <f t="shared" si="21"/>
        <v>302428.79999999999</v>
      </c>
      <c r="H59" s="9">
        <f t="shared" si="19"/>
        <v>0</v>
      </c>
      <c r="I59" s="10"/>
      <c r="J59" s="10"/>
    </row>
    <row r="60" spans="1:10" x14ac:dyDescent="0.45">
      <c r="A60" s="38" t="s">
        <v>18</v>
      </c>
      <c r="B60" s="36">
        <v>336012.79999999999</v>
      </c>
      <c r="C60" s="32">
        <v>0</v>
      </c>
      <c r="D60" s="33">
        <f t="shared" si="20"/>
        <v>336012.79999999999</v>
      </c>
      <c r="E60" s="34">
        <f t="shared" si="18"/>
        <v>0</v>
      </c>
      <c r="F60" s="35">
        <v>0</v>
      </c>
      <c r="G60" s="13">
        <f t="shared" si="21"/>
        <v>336012.79999999999</v>
      </c>
      <c r="H60" s="9">
        <f t="shared" si="19"/>
        <v>0</v>
      </c>
      <c r="I60" s="15"/>
      <c r="J60" s="16"/>
    </row>
    <row r="61" spans="1:10" x14ac:dyDescent="0.45">
      <c r="A61" s="38" t="s">
        <v>19</v>
      </c>
      <c r="B61" s="31">
        <v>350416</v>
      </c>
      <c r="C61" s="32">
        <v>0</v>
      </c>
      <c r="D61" s="33">
        <f t="shared" si="20"/>
        <v>350416</v>
      </c>
      <c r="E61" s="34">
        <f t="shared" si="18"/>
        <v>0</v>
      </c>
      <c r="F61" s="35">
        <v>0</v>
      </c>
      <c r="G61" s="13">
        <f t="shared" si="21"/>
        <v>350416</v>
      </c>
      <c r="H61" s="9">
        <f t="shared" si="19"/>
        <v>0</v>
      </c>
      <c r="I61" s="10"/>
      <c r="J61" s="10" t="s">
        <v>14</v>
      </c>
    </row>
    <row r="62" spans="1:10" x14ac:dyDescent="0.45">
      <c r="A62" s="11" t="s">
        <v>20</v>
      </c>
      <c r="B62" s="6">
        <v>269349.59999999998</v>
      </c>
      <c r="C62" s="32">
        <v>0</v>
      </c>
      <c r="D62" s="6">
        <f t="shared" si="20"/>
        <v>269349.59999999998</v>
      </c>
      <c r="E62" s="7">
        <f t="shared" si="18"/>
        <v>0</v>
      </c>
      <c r="F62" s="35">
        <v>0</v>
      </c>
      <c r="G62" s="8">
        <f t="shared" si="21"/>
        <v>269349.59999999998</v>
      </c>
      <c r="H62" s="9">
        <f t="shared" si="19"/>
        <v>0</v>
      </c>
      <c r="I62" s="10"/>
      <c r="J62" s="10" t="s">
        <v>14</v>
      </c>
    </row>
    <row r="63" spans="1:10" x14ac:dyDescent="0.45">
      <c r="A63" s="11" t="s">
        <v>21</v>
      </c>
      <c r="B63" s="42">
        <v>298040.8</v>
      </c>
      <c r="C63" s="32">
        <v>0</v>
      </c>
      <c r="D63" s="6">
        <f t="shared" si="20"/>
        <v>298040.8</v>
      </c>
      <c r="E63" s="12">
        <f t="shared" si="18"/>
        <v>0</v>
      </c>
      <c r="F63" s="35">
        <v>0</v>
      </c>
      <c r="G63" s="8">
        <f t="shared" si="21"/>
        <v>298040.8</v>
      </c>
      <c r="H63" s="9">
        <f t="shared" si="19"/>
        <v>0</v>
      </c>
      <c r="I63" s="14"/>
      <c r="J63" s="14"/>
    </row>
    <row r="64" spans="1:10" x14ac:dyDescent="0.45">
      <c r="A64" s="11" t="s">
        <v>22</v>
      </c>
      <c r="B64" s="6">
        <v>279539.20000000001</v>
      </c>
      <c r="C64" s="32">
        <v>0</v>
      </c>
      <c r="D64" s="6">
        <f t="shared" si="20"/>
        <v>279539.20000000001</v>
      </c>
      <c r="E64" s="12">
        <f t="shared" si="18"/>
        <v>0</v>
      </c>
      <c r="F64" s="35">
        <v>0</v>
      </c>
      <c r="G64" s="8">
        <f t="shared" si="21"/>
        <v>279539.20000000001</v>
      </c>
      <c r="H64" s="9">
        <f t="shared" si="19"/>
        <v>0</v>
      </c>
      <c r="I64" s="10"/>
      <c r="J64" s="10"/>
    </row>
    <row r="65" spans="1:10" x14ac:dyDescent="0.45">
      <c r="A65" s="11" t="s">
        <v>23</v>
      </c>
      <c r="B65" s="6">
        <v>221016.8</v>
      </c>
      <c r="C65" s="32">
        <v>0</v>
      </c>
      <c r="D65" s="6">
        <f t="shared" si="20"/>
        <v>221016.8</v>
      </c>
      <c r="E65" s="12">
        <f t="shared" si="18"/>
        <v>0</v>
      </c>
      <c r="F65" s="35">
        <v>0</v>
      </c>
      <c r="G65" s="8">
        <f t="shared" si="21"/>
        <v>221016.8</v>
      </c>
      <c r="H65" s="9">
        <f t="shared" si="19"/>
        <v>0</v>
      </c>
      <c r="I65" s="15"/>
      <c r="J65" s="16"/>
    </row>
    <row r="66" spans="1:10" x14ac:dyDescent="0.45">
      <c r="A66" s="11" t="s">
        <v>24</v>
      </c>
      <c r="B66" s="17">
        <v>212768</v>
      </c>
      <c r="C66" s="17">
        <v>0</v>
      </c>
      <c r="D66" s="6">
        <f t="shared" si="20"/>
        <v>212768</v>
      </c>
      <c r="E66" s="12">
        <f t="shared" si="18"/>
        <v>0</v>
      </c>
      <c r="F66" s="18">
        <v>0</v>
      </c>
      <c r="G66" s="8">
        <f t="shared" si="21"/>
        <v>212768</v>
      </c>
      <c r="H66" s="9">
        <f t="shared" si="19"/>
        <v>0</v>
      </c>
      <c r="I66" s="16" t="s">
        <v>14</v>
      </c>
      <c r="J66" s="16" t="s">
        <v>14</v>
      </c>
    </row>
    <row r="67" spans="1:10" x14ac:dyDescent="0.45">
      <c r="A67" s="19" t="s">
        <v>27</v>
      </c>
      <c r="B67" s="20">
        <v>118600</v>
      </c>
      <c r="C67" s="20">
        <v>0</v>
      </c>
      <c r="D67" s="20">
        <f t="shared" si="20"/>
        <v>118600</v>
      </c>
      <c r="E67" s="21">
        <f t="shared" si="18"/>
        <v>0</v>
      </c>
      <c r="F67" s="22">
        <v>0</v>
      </c>
      <c r="G67" s="23">
        <f t="shared" si="21"/>
        <v>118600</v>
      </c>
      <c r="H67" s="24">
        <f t="shared" si="19"/>
        <v>0</v>
      </c>
      <c r="I67" s="25"/>
      <c r="J67" s="25" t="s">
        <v>14</v>
      </c>
    </row>
    <row r="68" spans="1:10" x14ac:dyDescent="0.45">
      <c r="A68" s="26" t="s">
        <v>28</v>
      </c>
      <c r="B68" s="27">
        <f>SUM(B56:B67)</f>
        <v>2962866.04</v>
      </c>
      <c r="C68" s="27">
        <f t="shared" ref="C68" si="22">SUM(C56:C67)</f>
        <v>0</v>
      </c>
      <c r="D68" s="27">
        <f>B68-C68</f>
        <v>2962866.04</v>
      </c>
      <c r="E68" s="28">
        <f>IFERROR(D68/C68, 0)</f>
        <v>0</v>
      </c>
      <c r="F68" s="27">
        <f t="shared" ref="F68" si="23">SUM(F56:F67)</f>
        <v>0</v>
      </c>
      <c r="G68" s="27">
        <f>B68-F68</f>
        <v>2962866.04</v>
      </c>
      <c r="H68" s="29">
        <f>IFERROR(G68/F68, 0)</f>
        <v>0</v>
      </c>
      <c r="I68" s="30"/>
      <c r="J68" s="30"/>
    </row>
    <row r="70" spans="1:10" ht="14.65" thickBot="1" x14ac:dyDescent="0.5">
      <c r="A70">
        <v>2020</v>
      </c>
    </row>
    <row r="71" spans="1:10" ht="15.4" x14ac:dyDescent="0.45">
      <c r="A71" s="45" t="s">
        <v>1</v>
      </c>
      <c r="B71" s="46"/>
      <c r="C71" s="46"/>
      <c r="D71" s="46"/>
      <c r="E71" s="47"/>
      <c r="F71" s="48" t="s">
        <v>2</v>
      </c>
      <c r="G71" s="49"/>
      <c r="H71" s="50"/>
      <c r="I71" s="51" t="s">
        <v>10</v>
      </c>
      <c r="J71" s="52"/>
    </row>
    <row r="72" spans="1:10" ht="14.65" thickBot="1" x14ac:dyDescent="0.5">
      <c r="A72" s="1" t="s">
        <v>11</v>
      </c>
      <c r="B72" s="39" t="s">
        <v>3</v>
      </c>
      <c r="C72" s="39" t="s">
        <v>4</v>
      </c>
      <c r="D72" s="39" t="s">
        <v>5</v>
      </c>
      <c r="E72" s="40" t="s">
        <v>6</v>
      </c>
      <c r="F72" s="41" t="s">
        <v>7</v>
      </c>
      <c r="G72" s="2" t="s">
        <v>8</v>
      </c>
      <c r="H72" s="3" t="s">
        <v>9</v>
      </c>
      <c r="I72" s="4" t="s">
        <v>10</v>
      </c>
      <c r="J72" s="5" t="s">
        <v>12</v>
      </c>
    </row>
    <row r="73" spans="1:10" x14ac:dyDescent="0.45">
      <c r="A73" s="37" t="s">
        <v>13</v>
      </c>
      <c r="B73" s="31">
        <v>163531.12</v>
      </c>
      <c r="C73" s="32">
        <v>0</v>
      </c>
      <c r="D73" s="33">
        <f>B73-C73</f>
        <v>163531.12</v>
      </c>
      <c r="E73" s="34">
        <f t="shared" ref="E73:E84" si="24">IFERROR(D73/C73, 0)</f>
        <v>0</v>
      </c>
      <c r="F73" s="35">
        <v>0</v>
      </c>
      <c r="G73" s="13">
        <f>B73-F73</f>
        <v>163531.12</v>
      </c>
      <c r="H73" s="9">
        <f t="shared" ref="H73:H84" si="25">IFERROR(G73/F73, 0)</f>
        <v>0</v>
      </c>
      <c r="I73" s="10"/>
      <c r="J73" s="10" t="s">
        <v>14</v>
      </c>
    </row>
    <row r="74" spans="1:10" x14ac:dyDescent="0.45">
      <c r="A74" s="38" t="s">
        <v>15</v>
      </c>
      <c r="B74" s="36">
        <v>195537.6</v>
      </c>
      <c r="C74" s="32">
        <v>0</v>
      </c>
      <c r="D74" s="33">
        <f t="shared" ref="D74:D84" si="26">B74-C74</f>
        <v>195537.6</v>
      </c>
      <c r="E74" s="34">
        <f t="shared" si="24"/>
        <v>0</v>
      </c>
      <c r="F74" s="35">
        <v>0</v>
      </c>
      <c r="G74" s="13">
        <f t="shared" ref="G74:G84" si="27">B74-F74</f>
        <v>195537.6</v>
      </c>
      <c r="H74" s="9">
        <f t="shared" si="25"/>
        <v>0</v>
      </c>
      <c r="I74" s="10"/>
      <c r="J74" s="10" t="s">
        <v>14</v>
      </c>
    </row>
    <row r="75" spans="1:10" x14ac:dyDescent="0.45">
      <c r="A75" s="38" t="s">
        <v>16</v>
      </c>
      <c r="B75" s="36">
        <v>269144.8</v>
      </c>
      <c r="C75" s="32">
        <v>0</v>
      </c>
      <c r="D75" s="33">
        <f t="shared" si="26"/>
        <v>269144.8</v>
      </c>
      <c r="E75" s="34">
        <f t="shared" si="24"/>
        <v>0</v>
      </c>
      <c r="F75" s="35">
        <v>0</v>
      </c>
      <c r="G75" s="13">
        <f t="shared" si="27"/>
        <v>269144.8</v>
      </c>
      <c r="H75" s="9">
        <f t="shared" si="25"/>
        <v>0</v>
      </c>
      <c r="I75" s="14"/>
      <c r="J75" s="14"/>
    </row>
    <row r="76" spans="1:10" x14ac:dyDescent="0.45">
      <c r="A76" s="38" t="s">
        <v>17</v>
      </c>
      <c r="B76" s="36">
        <v>277955.20000000001</v>
      </c>
      <c r="C76" s="32">
        <v>0</v>
      </c>
      <c r="D76" s="33">
        <f t="shared" si="26"/>
        <v>277955.20000000001</v>
      </c>
      <c r="E76" s="34">
        <f t="shared" si="24"/>
        <v>0</v>
      </c>
      <c r="F76" s="35">
        <v>0</v>
      </c>
      <c r="G76" s="13">
        <f t="shared" si="27"/>
        <v>277955.20000000001</v>
      </c>
      <c r="H76" s="9">
        <f t="shared" si="25"/>
        <v>0</v>
      </c>
      <c r="I76" s="10"/>
      <c r="J76" s="10"/>
    </row>
    <row r="77" spans="1:10" x14ac:dyDescent="0.45">
      <c r="A77" s="38" t="s">
        <v>18</v>
      </c>
      <c r="B77" s="36">
        <v>395892.8</v>
      </c>
      <c r="C77" s="32">
        <v>0</v>
      </c>
      <c r="D77" s="33">
        <f t="shared" si="26"/>
        <v>395892.8</v>
      </c>
      <c r="E77" s="34">
        <f t="shared" si="24"/>
        <v>0</v>
      </c>
      <c r="F77" s="35">
        <v>0</v>
      </c>
      <c r="G77" s="13">
        <f t="shared" si="27"/>
        <v>395892.8</v>
      </c>
      <c r="H77" s="9">
        <f t="shared" si="25"/>
        <v>0</v>
      </c>
      <c r="I77" s="15"/>
      <c r="J77" s="16"/>
    </row>
    <row r="78" spans="1:10" x14ac:dyDescent="0.45">
      <c r="A78" s="38" t="s">
        <v>19</v>
      </c>
      <c r="B78" s="31">
        <v>360033.6</v>
      </c>
      <c r="C78" s="32">
        <v>0</v>
      </c>
      <c r="D78" s="33">
        <f t="shared" si="26"/>
        <v>360033.6</v>
      </c>
      <c r="E78" s="34">
        <f t="shared" si="24"/>
        <v>0</v>
      </c>
      <c r="F78" s="35">
        <v>0</v>
      </c>
      <c r="G78" s="13">
        <f t="shared" si="27"/>
        <v>360033.6</v>
      </c>
      <c r="H78" s="9">
        <f t="shared" si="25"/>
        <v>0</v>
      </c>
      <c r="I78" s="10"/>
      <c r="J78" s="10" t="s">
        <v>14</v>
      </c>
    </row>
    <row r="79" spans="1:10" x14ac:dyDescent="0.45">
      <c r="A79" s="11" t="s">
        <v>20</v>
      </c>
      <c r="B79" s="6">
        <v>359911.2</v>
      </c>
      <c r="C79" s="32">
        <v>0</v>
      </c>
      <c r="D79" s="6">
        <f t="shared" si="26"/>
        <v>359911.2</v>
      </c>
      <c r="E79" s="7">
        <f t="shared" si="24"/>
        <v>0</v>
      </c>
      <c r="F79" s="35">
        <v>0</v>
      </c>
      <c r="G79" s="8">
        <f t="shared" si="27"/>
        <v>359911.2</v>
      </c>
      <c r="H79" s="9">
        <f t="shared" si="25"/>
        <v>0</v>
      </c>
      <c r="I79" s="10"/>
      <c r="J79" s="10" t="s">
        <v>14</v>
      </c>
    </row>
    <row r="80" spans="1:10" x14ac:dyDescent="0.45">
      <c r="A80" s="11" t="s">
        <v>21</v>
      </c>
      <c r="B80" s="42">
        <v>296787.20000000001</v>
      </c>
      <c r="C80" s="32">
        <v>0</v>
      </c>
      <c r="D80" s="6">
        <f t="shared" si="26"/>
        <v>296787.20000000001</v>
      </c>
      <c r="E80" s="12">
        <f t="shared" si="24"/>
        <v>0</v>
      </c>
      <c r="F80" s="35">
        <v>0</v>
      </c>
      <c r="G80" s="8">
        <f t="shared" si="27"/>
        <v>296787.20000000001</v>
      </c>
      <c r="H80" s="9">
        <f t="shared" si="25"/>
        <v>0</v>
      </c>
      <c r="I80" s="14"/>
      <c r="J80" s="14"/>
    </row>
    <row r="81" spans="1:10" x14ac:dyDescent="0.45">
      <c r="A81" s="11" t="s">
        <v>22</v>
      </c>
      <c r="B81" s="6">
        <v>297240</v>
      </c>
      <c r="C81" s="32">
        <v>0</v>
      </c>
      <c r="D81" s="6">
        <f t="shared" si="26"/>
        <v>297240</v>
      </c>
      <c r="E81" s="12">
        <f t="shared" si="24"/>
        <v>0</v>
      </c>
      <c r="F81" s="35">
        <v>0</v>
      </c>
      <c r="G81" s="8">
        <f t="shared" si="27"/>
        <v>297240</v>
      </c>
      <c r="H81" s="9">
        <f t="shared" si="25"/>
        <v>0</v>
      </c>
      <c r="I81" s="10"/>
      <c r="J81" s="10"/>
    </row>
    <row r="82" spans="1:10" x14ac:dyDescent="0.45">
      <c r="A82" s="11" t="s">
        <v>23</v>
      </c>
      <c r="B82" s="6">
        <v>207990.39999999999</v>
      </c>
      <c r="C82" s="32">
        <v>0</v>
      </c>
      <c r="D82" s="6">
        <f t="shared" si="26"/>
        <v>207990.39999999999</v>
      </c>
      <c r="E82" s="12">
        <f t="shared" si="24"/>
        <v>0</v>
      </c>
      <c r="F82" s="35">
        <v>0</v>
      </c>
      <c r="G82" s="8">
        <f t="shared" si="27"/>
        <v>207990.39999999999</v>
      </c>
      <c r="H82" s="9">
        <f t="shared" si="25"/>
        <v>0</v>
      </c>
      <c r="I82" s="15"/>
      <c r="J82" s="16"/>
    </row>
    <row r="83" spans="1:10" x14ac:dyDescent="0.45">
      <c r="A83" s="11" t="s">
        <v>24</v>
      </c>
      <c r="B83" s="17">
        <v>170175.2</v>
      </c>
      <c r="C83" s="17">
        <v>0</v>
      </c>
      <c r="D83" s="6">
        <f t="shared" si="26"/>
        <v>170175.2</v>
      </c>
      <c r="E83" s="12">
        <f t="shared" si="24"/>
        <v>0</v>
      </c>
      <c r="F83" s="18">
        <v>0</v>
      </c>
      <c r="G83" s="8">
        <f t="shared" si="27"/>
        <v>170175.2</v>
      </c>
      <c r="H83" s="9">
        <f t="shared" si="25"/>
        <v>0</v>
      </c>
      <c r="I83" s="16" t="s">
        <v>14</v>
      </c>
      <c r="J83" s="16" t="s">
        <v>14</v>
      </c>
    </row>
    <row r="84" spans="1:10" x14ac:dyDescent="0.45">
      <c r="A84" s="19" t="s">
        <v>27</v>
      </c>
      <c r="B84" s="20">
        <v>116733.6</v>
      </c>
      <c r="C84" s="20">
        <v>0</v>
      </c>
      <c r="D84" s="20">
        <f t="shared" si="26"/>
        <v>116733.6</v>
      </c>
      <c r="E84" s="21">
        <f t="shared" si="24"/>
        <v>0</v>
      </c>
      <c r="F84" s="22">
        <v>0</v>
      </c>
      <c r="G84" s="23">
        <f t="shared" si="27"/>
        <v>116733.6</v>
      </c>
      <c r="H84" s="24">
        <f t="shared" si="25"/>
        <v>0</v>
      </c>
      <c r="I84" s="25"/>
      <c r="J84" s="25" t="s">
        <v>14</v>
      </c>
    </row>
    <row r="85" spans="1:10" x14ac:dyDescent="0.45">
      <c r="A85" s="26" t="s">
        <v>28</v>
      </c>
      <c r="B85" s="27">
        <f>SUM(B73:B84)</f>
        <v>3110932.72</v>
      </c>
      <c r="C85" s="27">
        <f t="shared" ref="C85" si="28">SUM(C73:C84)</f>
        <v>0</v>
      </c>
      <c r="D85" s="27">
        <f>B85-C85</f>
        <v>3110932.72</v>
      </c>
      <c r="E85" s="28">
        <f>IFERROR(D85/C85, 0)</f>
        <v>0</v>
      </c>
      <c r="F85" s="27">
        <f t="shared" ref="F85" si="29">SUM(F73:F84)</f>
        <v>0</v>
      </c>
      <c r="G85" s="27">
        <f>B85-F85</f>
        <v>3110932.72</v>
      </c>
      <c r="H85" s="29">
        <f>IFERROR(G85/F85, 0)</f>
        <v>0</v>
      </c>
      <c r="I85" s="30"/>
      <c r="J85" s="30"/>
    </row>
    <row r="87" spans="1:10" ht="14.65" thickBot="1" x14ac:dyDescent="0.5">
      <c r="A87">
        <v>2019</v>
      </c>
    </row>
    <row r="88" spans="1:10" ht="15.4" x14ac:dyDescent="0.45">
      <c r="A88" s="45" t="s">
        <v>1</v>
      </c>
      <c r="B88" s="46"/>
      <c r="C88" s="46"/>
      <c r="D88" s="46"/>
      <c r="E88" s="47"/>
      <c r="F88" s="48" t="s">
        <v>2</v>
      </c>
      <c r="G88" s="49"/>
      <c r="H88" s="50"/>
      <c r="I88" s="51" t="s">
        <v>10</v>
      </c>
      <c r="J88" s="52"/>
    </row>
    <row r="89" spans="1:10" ht="14.65" thickBot="1" x14ac:dyDescent="0.5">
      <c r="A89" s="1" t="s">
        <v>11</v>
      </c>
      <c r="B89" s="39" t="s">
        <v>3</v>
      </c>
      <c r="C89" s="39" t="s">
        <v>4</v>
      </c>
      <c r="D89" s="39" t="s">
        <v>5</v>
      </c>
      <c r="E89" s="40" t="s">
        <v>6</v>
      </c>
      <c r="F89" s="41" t="s">
        <v>7</v>
      </c>
      <c r="G89" s="2" t="s">
        <v>8</v>
      </c>
      <c r="H89" s="3" t="s">
        <v>9</v>
      </c>
      <c r="I89" s="4" t="s">
        <v>10</v>
      </c>
      <c r="J89" s="5" t="s">
        <v>12</v>
      </c>
    </row>
    <row r="90" spans="1:10" x14ac:dyDescent="0.45">
      <c r="A90" s="37" t="s">
        <v>13</v>
      </c>
      <c r="B90" s="31">
        <v>138823</v>
      </c>
      <c r="C90" s="32">
        <v>0</v>
      </c>
      <c r="D90" s="33">
        <f>B90-C90</f>
        <v>138823</v>
      </c>
      <c r="E90" s="34">
        <f t="shared" ref="E90:E101" si="30">IFERROR(D90/C90, 0)</f>
        <v>0</v>
      </c>
      <c r="F90" s="35">
        <v>0</v>
      </c>
      <c r="G90" s="13">
        <f>B90-F90</f>
        <v>138823</v>
      </c>
      <c r="H90" s="9">
        <f t="shared" ref="H90:H101" si="31">IFERROR(G90/F90, 0)</f>
        <v>0</v>
      </c>
      <c r="I90" s="10"/>
      <c r="J90" s="10" t="s">
        <v>14</v>
      </c>
    </row>
    <row r="91" spans="1:10" x14ac:dyDescent="0.45">
      <c r="A91" s="38" t="s">
        <v>15</v>
      </c>
      <c r="B91" s="36">
        <v>169596.79999999999</v>
      </c>
      <c r="C91" s="32">
        <v>0</v>
      </c>
      <c r="D91" s="33">
        <f t="shared" ref="D91:D101" si="32">B91-C91</f>
        <v>169596.79999999999</v>
      </c>
      <c r="E91" s="34">
        <f t="shared" si="30"/>
        <v>0</v>
      </c>
      <c r="F91" s="35">
        <v>0</v>
      </c>
      <c r="G91" s="13">
        <f t="shared" ref="G91:G101" si="33">B91-F91</f>
        <v>169596.79999999999</v>
      </c>
      <c r="H91" s="9">
        <f t="shared" si="31"/>
        <v>0</v>
      </c>
      <c r="I91" s="10"/>
      <c r="J91" s="10" t="s">
        <v>14</v>
      </c>
    </row>
    <row r="92" spans="1:10" x14ac:dyDescent="0.45">
      <c r="A92" s="38" t="s">
        <v>16</v>
      </c>
      <c r="B92" s="36">
        <v>287568.8</v>
      </c>
      <c r="C92" s="32">
        <v>0</v>
      </c>
      <c r="D92" s="33">
        <f t="shared" si="32"/>
        <v>287568.8</v>
      </c>
      <c r="E92" s="34">
        <f t="shared" si="30"/>
        <v>0</v>
      </c>
      <c r="F92" s="35">
        <v>0</v>
      </c>
      <c r="G92" s="13">
        <f t="shared" si="33"/>
        <v>287568.8</v>
      </c>
      <c r="H92" s="9">
        <f t="shared" si="31"/>
        <v>0</v>
      </c>
      <c r="I92" s="14"/>
      <c r="J92" s="14"/>
    </row>
    <row r="93" spans="1:10" x14ac:dyDescent="0.45">
      <c r="A93" s="38" t="s">
        <v>17</v>
      </c>
      <c r="B93" s="36">
        <v>271976.8</v>
      </c>
      <c r="C93" s="32">
        <v>0</v>
      </c>
      <c r="D93" s="33">
        <f t="shared" si="32"/>
        <v>271976.8</v>
      </c>
      <c r="E93" s="34">
        <f t="shared" si="30"/>
        <v>0</v>
      </c>
      <c r="F93" s="35">
        <v>0</v>
      </c>
      <c r="G93" s="13">
        <f t="shared" si="33"/>
        <v>271976.8</v>
      </c>
      <c r="H93" s="9">
        <f t="shared" si="31"/>
        <v>0</v>
      </c>
      <c r="I93" s="10"/>
      <c r="J93" s="10"/>
    </row>
    <row r="94" spans="1:10" x14ac:dyDescent="0.45">
      <c r="A94" s="38" t="s">
        <v>18</v>
      </c>
      <c r="B94" s="36">
        <v>265980</v>
      </c>
      <c r="C94" s="32">
        <v>0</v>
      </c>
      <c r="D94" s="33">
        <f t="shared" si="32"/>
        <v>265980</v>
      </c>
      <c r="E94" s="34">
        <f t="shared" si="30"/>
        <v>0</v>
      </c>
      <c r="F94" s="35">
        <v>0</v>
      </c>
      <c r="G94" s="13">
        <f t="shared" si="33"/>
        <v>265980</v>
      </c>
      <c r="H94" s="9">
        <f t="shared" si="31"/>
        <v>0</v>
      </c>
      <c r="I94" s="15"/>
      <c r="J94" s="16"/>
    </row>
    <row r="95" spans="1:10" x14ac:dyDescent="0.45">
      <c r="A95" s="38" t="s">
        <v>19</v>
      </c>
      <c r="B95" s="31">
        <v>342952.4</v>
      </c>
      <c r="C95" s="32">
        <v>0</v>
      </c>
      <c r="D95" s="33">
        <f t="shared" si="32"/>
        <v>342952.4</v>
      </c>
      <c r="E95" s="34">
        <f t="shared" si="30"/>
        <v>0</v>
      </c>
      <c r="F95" s="35">
        <v>0</v>
      </c>
      <c r="G95" s="13">
        <f t="shared" si="33"/>
        <v>342952.4</v>
      </c>
      <c r="H95" s="9">
        <f t="shared" si="31"/>
        <v>0</v>
      </c>
      <c r="I95" s="10"/>
      <c r="J95" s="10" t="s">
        <v>14</v>
      </c>
    </row>
    <row r="96" spans="1:10" x14ac:dyDescent="0.45">
      <c r="A96" s="11" t="s">
        <v>20</v>
      </c>
      <c r="B96" s="6">
        <v>393640.4</v>
      </c>
      <c r="C96" s="32">
        <v>0</v>
      </c>
      <c r="D96" s="6">
        <f t="shared" si="32"/>
        <v>393640.4</v>
      </c>
      <c r="E96" s="7">
        <f t="shared" si="30"/>
        <v>0</v>
      </c>
      <c r="F96" s="35">
        <v>0</v>
      </c>
      <c r="G96" s="8">
        <f t="shared" si="33"/>
        <v>393640.4</v>
      </c>
      <c r="H96" s="9">
        <f t="shared" si="31"/>
        <v>0</v>
      </c>
      <c r="I96" s="10"/>
      <c r="J96" s="10" t="s">
        <v>14</v>
      </c>
    </row>
    <row r="97" spans="1:10" x14ac:dyDescent="0.45">
      <c r="A97" s="11" t="s">
        <v>21</v>
      </c>
      <c r="B97" s="42">
        <v>362188</v>
      </c>
      <c r="C97" s="32">
        <v>0</v>
      </c>
      <c r="D97" s="6">
        <f t="shared" si="32"/>
        <v>362188</v>
      </c>
      <c r="E97" s="12">
        <f t="shared" si="30"/>
        <v>0</v>
      </c>
      <c r="F97" s="35">
        <v>0</v>
      </c>
      <c r="G97" s="8">
        <f t="shared" si="33"/>
        <v>362188</v>
      </c>
      <c r="H97" s="9">
        <f t="shared" si="31"/>
        <v>0</v>
      </c>
      <c r="I97" s="14"/>
      <c r="J97" s="14"/>
    </row>
    <row r="98" spans="1:10" x14ac:dyDescent="0.45">
      <c r="A98" s="11" t="s">
        <v>22</v>
      </c>
      <c r="B98" s="6">
        <v>314244</v>
      </c>
      <c r="C98" s="32">
        <v>0</v>
      </c>
      <c r="D98" s="6">
        <f t="shared" si="32"/>
        <v>314244</v>
      </c>
      <c r="E98" s="12">
        <f t="shared" si="30"/>
        <v>0</v>
      </c>
      <c r="F98" s="35">
        <v>0</v>
      </c>
      <c r="G98" s="8">
        <f t="shared" si="33"/>
        <v>314244</v>
      </c>
      <c r="H98" s="9">
        <f t="shared" si="31"/>
        <v>0</v>
      </c>
      <c r="I98" s="10"/>
      <c r="J98" s="10"/>
    </row>
    <row r="99" spans="1:10" x14ac:dyDescent="0.45">
      <c r="A99" s="11" t="s">
        <v>23</v>
      </c>
      <c r="B99" s="6">
        <v>183406.4</v>
      </c>
      <c r="C99" s="32">
        <v>0</v>
      </c>
      <c r="D99" s="6">
        <f t="shared" si="32"/>
        <v>183406.4</v>
      </c>
      <c r="E99" s="12">
        <f t="shared" si="30"/>
        <v>0</v>
      </c>
      <c r="F99" s="35">
        <v>0</v>
      </c>
      <c r="G99" s="8">
        <f t="shared" si="33"/>
        <v>183406.4</v>
      </c>
      <c r="H99" s="9">
        <f t="shared" si="31"/>
        <v>0</v>
      </c>
      <c r="I99" s="15"/>
      <c r="J99" s="16"/>
    </row>
    <row r="100" spans="1:10" x14ac:dyDescent="0.45">
      <c r="A100" s="11" t="s">
        <v>24</v>
      </c>
      <c r="B100" s="17">
        <v>178924</v>
      </c>
      <c r="C100" s="17">
        <v>0</v>
      </c>
      <c r="D100" s="6">
        <f t="shared" si="32"/>
        <v>178924</v>
      </c>
      <c r="E100" s="12">
        <f t="shared" si="30"/>
        <v>0</v>
      </c>
      <c r="F100" s="18">
        <v>0</v>
      </c>
      <c r="G100" s="8">
        <f t="shared" si="33"/>
        <v>178924</v>
      </c>
      <c r="H100" s="9">
        <f t="shared" si="31"/>
        <v>0</v>
      </c>
      <c r="I100" s="16" t="s">
        <v>14</v>
      </c>
      <c r="J100" s="16" t="s">
        <v>14</v>
      </c>
    </row>
    <row r="101" spans="1:10" x14ac:dyDescent="0.45">
      <c r="A101" s="19" t="s">
        <v>27</v>
      </c>
      <c r="B101" s="20">
        <v>86102.399999999994</v>
      </c>
      <c r="C101" s="20">
        <v>0</v>
      </c>
      <c r="D101" s="20">
        <f t="shared" si="32"/>
        <v>86102.399999999994</v>
      </c>
      <c r="E101" s="21">
        <f t="shared" si="30"/>
        <v>0</v>
      </c>
      <c r="F101" s="22">
        <v>0</v>
      </c>
      <c r="G101" s="23">
        <f t="shared" si="33"/>
        <v>86102.399999999994</v>
      </c>
      <c r="H101" s="24">
        <f t="shared" si="31"/>
        <v>0</v>
      </c>
      <c r="I101" s="25"/>
      <c r="J101" s="25" t="s">
        <v>14</v>
      </c>
    </row>
    <row r="102" spans="1:10" x14ac:dyDescent="0.45">
      <c r="A102" s="26" t="s">
        <v>28</v>
      </c>
      <c r="B102" s="27">
        <f>SUM(B90:B101)</f>
        <v>2995402.9999999995</v>
      </c>
      <c r="C102" s="27">
        <f t="shared" ref="C102" si="34">SUM(C90:C101)</f>
        <v>0</v>
      </c>
      <c r="D102" s="27">
        <f>B102-C102</f>
        <v>2995402.9999999995</v>
      </c>
      <c r="E102" s="28">
        <f>IFERROR(D102/C102, 0)</f>
        <v>0</v>
      </c>
      <c r="F102" s="27">
        <f t="shared" ref="F102" si="35">SUM(F90:F101)</f>
        <v>0</v>
      </c>
      <c r="G102" s="27">
        <f>B102-F102</f>
        <v>2995402.9999999995</v>
      </c>
      <c r="H102" s="29">
        <f>IFERROR(G102/F102, 0)</f>
        <v>0</v>
      </c>
      <c r="I102" s="30"/>
      <c r="J102" s="30"/>
    </row>
  </sheetData>
  <mergeCells count="19">
    <mergeCell ref="A20:E20"/>
    <mergeCell ref="F20:H20"/>
    <mergeCell ref="I20:J20"/>
    <mergeCell ref="A1:J1"/>
    <mergeCell ref="A37:E37"/>
    <mergeCell ref="F37:H37"/>
    <mergeCell ref="I37:J37"/>
    <mergeCell ref="A3:E3"/>
    <mergeCell ref="F3:H3"/>
    <mergeCell ref="I3:J3"/>
    <mergeCell ref="A88:E88"/>
    <mergeCell ref="F88:H88"/>
    <mergeCell ref="I88:J88"/>
    <mergeCell ref="A54:E54"/>
    <mergeCell ref="F54:H54"/>
    <mergeCell ref="I54:J54"/>
    <mergeCell ref="A71:E71"/>
    <mergeCell ref="F71:H71"/>
    <mergeCell ref="I71:J71"/>
  </mergeCells>
  <conditionalFormatting sqref="E22:E34 H22:H34">
    <cfRule type="cellIs" dxfId="11" priority="11" operator="lessThanOrEqual">
      <formula>-0.1</formula>
    </cfRule>
    <cfRule type="cellIs" dxfId="10" priority="12" operator="greaterThan">
      <formula>0.1</formula>
    </cfRule>
  </conditionalFormatting>
  <conditionalFormatting sqref="E39:E51 H39:H51">
    <cfRule type="cellIs" dxfId="9" priority="9" operator="lessThanOrEqual">
      <formula>-0.1</formula>
    </cfRule>
    <cfRule type="cellIs" dxfId="8" priority="10" operator="greaterThan">
      <formula>0.1</formula>
    </cfRule>
  </conditionalFormatting>
  <conditionalFormatting sqref="E56:E68 H56:H68">
    <cfRule type="cellIs" dxfId="7" priority="7" operator="lessThanOrEqual">
      <formula>-0.1</formula>
    </cfRule>
    <cfRule type="cellIs" dxfId="6" priority="8" operator="greaterThan">
      <formula>0.1</formula>
    </cfRule>
  </conditionalFormatting>
  <conditionalFormatting sqref="E73:E85 H73:H85">
    <cfRule type="cellIs" dxfId="5" priority="5" operator="lessThanOrEqual">
      <formula>-0.1</formula>
    </cfRule>
    <cfRule type="cellIs" dxfId="4" priority="6" operator="greaterThan">
      <formula>0.1</formula>
    </cfRule>
  </conditionalFormatting>
  <conditionalFormatting sqref="E90:E102 H90:H102">
    <cfRule type="cellIs" dxfId="3" priority="3" operator="lessThanOrEqual">
      <formula>-0.1</formula>
    </cfRule>
    <cfRule type="cellIs" dxfId="2" priority="4" operator="greaterThan">
      <formula>0.1</formula>
    </cfRule>
  </conditionalFormatting>
  <conditionalFormatting sqref="E5:E17 H5:H17">
    <cfRule type="cellIs" dxfId="1" priority="1" operator="lessThanOrEqual">
      <formula>-0.1</formula>
    </cfRule>
    <cfRule type="cellIs" dxfId="0" priority="2" operator="greaterThan">
      <formula>0.1</formula>
    </cfRule>
  </conditionalFormatting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B019C-3DD8-465F-A45C-C06F1BBCCA8F}">
  <dimension ref="A1:F17"/>
  <sheetViews>
    <sheetView workbookViewId="0">
      <selection activeCell="F27" sqref="F27"/>
    </sheetView>
  </sheetViews>
  <sheetFormatPr defaultRowHeight="14.25" x14ac:dyDescent="0.45"/>
  <cols>
    <col min="1" max="1" width="6.265625" bestFit="1" customWidth="1"/>
  </cols>
  <sheetData>
    <row r="1" spans="1:6" ht="21" x14ac:dyDescent="0.65">
      <c r="A1" s="54" t="s">
        <v>0</v>
      </c>
      <c r="B1" s="54"/>
      <c r="C1" s="54"/>
      <c r="D1" s="54"/>
      <c r="E1" s="54"/>
      <c r="F1" s="54"/>
    </row>
    <row r="2" spans="1:6" ht="14.65" thickBot="1" x14ac:dyDescent="0.5">
      <c r="B2" s="43">
        <v>2023</v>
      </c>
      <c r="C2" s="43">
        <v>2022</v>
      </c>
      <c r="D2" s="43">
        <v>2021</v>
      </c>
      <c r="E2" s="43">
        <v>2020</v>
      </c>
      <c r="F2" s="43">
        <v>2019</v>
      </c>
    </row>
    <row r="3" spans="1:6" ht="15.4" x14ac:dyDescent="0.45">
      <c r="A3" s="45" t="s">
        <v>14</v>
      </c>
      <c r="B3" s="46"/>
      <c r="C3" s="46"/>
      <c r="D3" s="46"/>
      <c r="E3" s="47"/>
      <c r="F3" s="44" t="s">
        <v>14</v>
      </c>
    </row>
    <row r="4" spans="1:6" ht="14.65" thickBot="1" x14ac:dyDescent="0.5">
      <c r="A4" s="1" t="s">
        <v>11</v>
      </c>
      <c r="B4" s="39" t="s">
        <v>3</v>
      </c>
      <c r="C4" s="39" t="s">
        <v>29</v>
      </c>
      <c r="D4" s="39" t="s">
        <v>30</v>
      </c>
      <c r="E4" s="39" t="s">
        <v>31</v>
      </c>
      <c r="F4" s="39" t="s">
        <v>32</v>
      </c>
    </row>
    <row r="5" spans="1:6" x14ac:dyDescent="0.45">
      <c r="A5" s="37" t="s">
        <v>13</v>
      </c>
      <c r="B5" s="31">
        <v>100696</v>
      </c>
      <c r="C5" s="31">
        <v>152276</v>
      </c>
      <c r="D5" s="31">
        <v>148550.04</v>
      </c>
      <c r="E5" s="31">
        <v>163531.12</v>
      </c>
      <c r="F5" s="35">
        <v>138823</v>
      </c>
    </row>
    <row r="6" spans="1:6" x14ac:dyDescent="0.45">
      <c r="A6" s="38" t="s">
        <v>15</v>
      </c>
      <c r="B6" s="36">
        <v>188937</v>
      </c>
      <c r="C6" s="36">
        <v>177447.2</v>
      </c>
      <c r="D6" s="36">
        <v>101896</v>
      </c>
      <c r="E6" s="36">
        <v>195537.6</v>
      </c>
      <c r="F6" s="35">
        <v>169596.79999999999</v>
      </c>
    </row>
    <row r="7" spans="1:6" x14ac:dyDescent="0.45">
      <c r="A7" s="38" t="s">
        <v>16</v>
      </c>
      <c r="B7" s="36">
        <v>275427</v>
      </c>
      <c r="C7" s="36">
        <v>271618.40000000002</v>
      </c>
      <c r="D7" s="36">
        <v>324248</v>
      </c>
      <c r="E7" s="36">
        <v>269144.8</v>
      </c>
      <c r="F7" s="35">
        <v>287568.8</v>
      </c>
    </row>
    <row r="8" spans="1:6" x14ac:dyDescent="0.45">
      <c r="A8" s="38" t="s">
        <v>17</v>
      </c>
      <c r="B8" s="36">
        <v>303805</v>
      </c>
      <c r="C8" s="36">
        <v>324716</v>
      </c>
      <c r="D8" s="36">
        <v>302428.79999999999</v>
      </c>
      <c r="E8" s="36">
        <v>277955.20000000001</v>
      </c>
      <c r="F8" s="35">
        <v>271976.8</v>
      </c>
    </row>
    <row r="9" spans="1:6" x14ac:dyDescent="0.45">
      <c r="A9" s="38" t="s">
        <v>18</v>
      </c>
      <c r="B9" s="36">
        <v>375176</v>
      </c>
      <c r="C9" s="36">
        <v>365977.59999999998</v>
      </c>
      <c r="D9" s="36">
        <v>336012.79999999999</v>
      </c>
      <c r="E9" s="36">
        <v>395892.8</v>
      </c>
      <c r="F9" s="35">
        <v>265980</v>
      </c>
    </row>
    <row r="10" spans="1:6" x14ac:dyDescent="0.45">
      <c r="A10" s="38" t="s">
        <v>19</v>
      </c>
      <c r="B10" s="31">
        <v>213256</v>
      </c>
      <c r="C10" s="31">
        <v>358822.40000000002</v>
      </c>
      <c r="D10" s="31">
        <v>350416</v>
      </c>
      <c r="E10" s="31">
        <v>360033.6</v>
      </c>
      <c r="F10" s="35">
        <v>342952.4</v>
      </c>
    </row>
    <row r="11" spans="1:6" x14ac:dyDescent="0.45">
      <c r="A11" s="11" t="s">
        <v>20</v>
      </c>
      <c r="B11" s="6">
        <v>270954</v>
      </c>
      <c r="C11" s="6">
        <v>393542.40000000002</v>
      </c>
      <c r="D11" s="6">
        <v>269349.59999999998</v>
      </c>
      <c r="E11" s="6">
        <v>359911.2</v>
      </c>
      <c r="F11" s="35">
        <v>393640.4</v>
      </c>
    </row>
    <row r="12" spans="1:6" x14ac:dyDescent="0.45">
      <c r="A12" s="11" t="s">
        <v>21</v>
      </c>
      <c r="B12" s="42">
        <v>286064</v>
      </c>
      <c r="C12" s="42">
        <v>344978.8</v>
      </c>
      <c r="D12" s="42">
        <v>298040.8</v>
      </c>
      <c r="E12" s="42">
        <v>296787.20000000001</v>
      </c>
      <c r="F12" s="35">
        <v>362188</v>
      </c>
    </row>
    <row r="13" spans="1:6" x14ac:dyDescent="0.45">
      <c r="A13" s="11" t="s">
        <v>22</v>
      </c>
      <c r="B13" s="6">
        <v>247680</v>
      </c>
      <c r="C13" s="6">
        <v>286905.59999999998</v>
      </c>
      <c r="D13" s="6">
        <v>279539.20000000001</v>
      </c>
      <c r="E13" s="6">
        <v>297240</v>
      </c>
      <c r="F13" s="35">
        <v>314244</v>
      </c>
    </row>
    <row r="14" spans="1:6" x14ac:dyDescent="0.45">
      <c r="A14" s="11" t="s">
        <v>23</v>
      </c>
      <c r="B14" s="6">
        <v>221566</v>
      </c>
      <c r="C14" s="6">
        <v>241724.79999999999</v>
      </c>
      <c r="D14" s="6">
        <v>221016.8</v>
      </c>
      <c r="E14" s="6">
        <v>207990.39999999999</v>
      </c>
      <c r="F14" s="35">
        <v>183406.4</v>
      </c>
    </row>
    <row r="15" spans="1:6" x14ac:dyDescent="0.45">
      <c r="A15" s="11" t="s">
        <v>24</v>
      </c>
      <c r="B15" s="17">
        <v>194357</v>
      </c>
      <c r="C15" s="17">
        <v>200424</v>
      </c>
      <c r="D15" s="17">
        <v>212768</v>
      </c>
      <c r="E15" s="17">
        <v>170175.2</v>
      </c>
      <c r="F15" s="18">
        <v>178924</v>
      </c>
    </row>
    <row r="16" spans="1:6" x14ac:dyDescent="0.45">
      <c r="A16" s="19" t="s">
        <v>27</v>
      </c>
      <c r="B16" s="20">
        <v>116966</v>
      </c>
      <c r="C16" s="20">
        <v>142748</v>
      </c>
      <c r="D16" s="20">
        <v>118600</v>
      </c>
      <c r="E16" s="20">
        <v>116733.6</v>
      </c>
      <c r="F16" s="22">
        <v>86102.399999999994</v>
      </c>
    </row>
    <row r="17" spans="1:6" x14ac:dyDescent="0.45">
      <c r="A17" s="26" t="s">
        <v>28</v>
      </c>
      <c r="B17" s="27">
        <f>SUM(B5:B16)</f>
        <v>2794884</v>
      </c>
      <c r="C17" s="27">
        <f t="shared" ref="C17:F17" si="0">SUM(C5:C16)</f>
        <v>3261181.1999999997</v>
      </c>
      <c r="D17" s="27">
        <f>SUM(D5:D16)</f>
        <v>2962866.04</v>
      </c>
      <c r="E17" s="27">
        <f>SUM(E5:E16)</f>
        <v>3110932.72</v>
      </c>
      <c r="F17" s="27">
        <f t="shared" si="0"/>
        <v>2995402.9999999995</v>
      </c>
    </row>
  </sheetData>
  <mergeCells count="2">
    <mergeCell ref="A3:E3"/>
    <mergeCell ref="A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E8523F-0514-47BB-A588-16783CD199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8A7339-4BA8-48E1-9706-A998B307CD95}">
  <ds:schemaRefs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www.w3.org/XML/1998/namespace"/>
    <ds:schemaRef ds:uri="7f39bfab-6331-41a1-b6d4-5b974a316951"/>
    <ds:schemaRef ds:uri="http://schemas.microsoft.com/sharepoint/v3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9FB051A-91B9-44D8-8B58-075BF657D15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LibsysAdmin</dc:creator>
  <cp:keywords/>
  <dc:description/>
  <cp:lastModifiedBy>Dileep Siriki [Libsys]</cp:lastModifiedBy>
  <cp:revision/>
  <dcterms:created xsi:type="dcterms:W3CDTF">2023-06-15T21:59:03Z</dcterms:created>
  <dcterms:modified xsi:type="dcterms:W3CDTF">2024-02-10T22:39:46Z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