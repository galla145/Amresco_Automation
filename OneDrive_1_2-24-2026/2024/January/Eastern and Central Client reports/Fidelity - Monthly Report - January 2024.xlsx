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20" documentId="13_ncr:1_{56BCBB72-CD7D-4019-9B71-7F0FB712995D}" xr6:coauthVersionLast="47" xr6:coauthVersionMax="47" xr10:uidLastSave="{02AD8C42-5779-482A-9A7D-259D2B411E1E}"/>
  <bookViews>
    <workbookView xWindow="-28920" yWindow="7725" windowWidth="29040" windowHeight="15720" tabRatio="713" firstSheet="6" activeTab="5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Sheet1" sheetId="37" r:id="rId7"/>
    <sheet name="Predicted Data" sheetId="34" r:id="rId8"/>
    <sheet name="Ashley Config" sheetId="17" state="hidden" r:id="rId9"/>
    <sheet name="Lang Config" sheetId="19" state="hidden" r:id="rId10"/>
    <sheet name="Stikeleather Config" sheetId="21" state="hidden" r:id="rId11"/>
    <sheet name="Yadkin Config" sheetId="23" state="hidden" r:id="rId12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3" i="12"/>
  <c r="J13" i="18"/>
  <c r="J10" i="36"/>
  <c r="J10" i="12"/>
  <c r="J10" i="18"/>
  <c r="J7" i="36"/>
  <c r="J7" i="12"/>
  <c r="J7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G91" i="33"/>
  <c r="E91" i="33"/>
  <c r="D91" i="33"/>
  <c r="N90" i="33"/>
  <c r="M90" i="33"/>
  <c r="L90" i="33"/>
  <c r="I90" i="33"/>
  <c r="F90" i="33"/>
  <c r="N89" i="33"/>
  <c r="M89" i="33"/>
  <c r="L89" i="33"/>
  <c r="I89" i="33"/>
  <c r="F89" i="33"/>
  <c r="N88" i="33"/>
  <c r="M88" i="33"/>
  <c r="L88" i="33"/>
  <c r="I88" i="33"/>
  <c r="F88" i="33"/>
  <c r="N87" i="33"/>
  <c r="M87" i="33"/>
  <c r="L87" i="33"/>
  <c r="I87" i="33"/>
  <c r="F87" i="33"/>
  <c r="N86" i="33"/>
  <c r="M86" i="33"/>
  <c r="L86" i="33"/>
  <c r="I86" i="33"/>
  <c r="F86" i="33"/>
  <c r="N85" i="33"/>
  <c r="M85" i="33"/>
  <c r="L85" i="33"/>
  <c r="I85" i="33"/>
  <c r="F85" i="33"/>
  <c r="N84" i="33"/>
  <c r="M84" i="33"/>
  <c r="L84" i="33"/>
  <c r="I84" i="33"/>
  <c r="F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M80" i="33"/>
  <c r="L80" i="33"/>
  <c r="I80" i="33"/>
  <c r="F80" i="33"/>
  <c r="N79" i="33"/>
  <c r="M79" i="33"/>
  <c r="L79" i="33"/>
  <c r="I79" i="33"/>
  <c r="F79" i="33"/>
  <c r="I72" i="33"/>
  <c r="J8" i="18"/>
  <c r="J6" i="18"/>
  <c r="N72" i="33"/>
  <c r="M72" i="33"/>
  <c r="L72" i="33"/>
  <c r="F72" i="33"/>
  <c r="J8" i="12"/>
  <c r="J6" i="12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J8" i="36"/>
  <c r="J6" i="36"/>
  <c r="F69" i="33"/>
  <c r="F70" i="33"/>
  <c r="I69" i="33"/>
  <c r="I70" i="33"/>
  <c r="L68" i="33"/>
  <c r="N68" i="33"/>
  <c r="M68" i="33"/>
  <c r="F68" i="33"/>
  <c r="I68" i="33"/>
  <c r="L91" i="33" l="1"/>
  <c r="O79" i="33"/>
  <c r="O84" i="33"/>
  <c r="O87" i="33"/>
  <c r="F91" i="33"/>
  <c r="O81" i="33"/>
  <c r="O86" i="33"/>
  <c r="O89" i="33"/>
  <c r="N91" i="33"/>
  <c r="O80" i="33"/>
  <c r="O83" i="33"/>
  <c r="O88" i="33"/>
  <c r="O82" i="33"/>
  <c r="O85" i="33"/>
  <c r="O90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<sst xmlns="http://schemas.openxmlformats.org/spreadsheetml/2006/main" count="505" uniqueCount="91">
  <si>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</si>
  <si>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</si>
  <si>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</si>
  <si>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</si>
  <si>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</si>
  <si>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</si>
  <si>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</si>
  <si>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</si>
  <si>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</si>
  <si>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</si>
  <si>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</si>
  <si>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</si>
  <si>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</si>
  <si>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</si>
  <si>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</si>
  <si>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</si>
  <si>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</si>
  <si>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</si>
  <si>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</si>
  <si>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</si>
  <si>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</si>
  <si>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</si>
  <si>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</si>
  <si>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</si>
  <si>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January 2024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</si>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</sst>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3" fontId="7" fillId="0" borderId="1" xfId="6" applyNumberFormat="1" applyBorder="1"/>
    <xf numFmtId="0" fontId="1" fillId="0" borderId="19" xfId="0" applyFont="1" applyBorder="1" applyAlignment="1">
      <alignment horizontal="center" wrapText="1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" fontId="0" fillId="0" borderId="18" xfId="0" applyNumberFormat="1" applyBorder="1" applyAlignment="1">
      <alignment horizontal="right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3" fontId="7" fillId="0" borderId="15" xfId="6" applyNumberFormat="1" applyBorder="1" applyAlignment="1">
      <alignment horizontal="right"/>
    </xf>
    <xf numFmtId="3" fontId="7" fillId="0" borderId="15" xfId="6" applyNumberFormat="1" applyBorder="1"/>
    <xf numFmtId="1" fontId="0" fillId="0" borderId="20" xfId="0" applyNumberFormat="1" applyBorder="1" applyAlignment="1">
      <alignment horizontal="right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" fontId="0" fillId="0" borderId="22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6863.375</c:v>
                </c:pt>
                <c:pt idx="1">
                  <c:v>8510.5</c:v>
                </c:pt>
                <c:pt idx="2">
                  <c:v>4434.125</c:v>
                </c:pt>
                <c:pt idx="3">
                  <c:v>3048.125</c:v>
                </c:pt>
                <c:pt idx="4">
                  <c:v>8990.625</c:v>
                </c:pt>
                <c:pt idx="5">
                  <c:v>2715.625</c:v>
                </c:pt>
                <c:pt idx="6">
                  <c:v>0</c:v>
                </c:pt>
                <c:pt idx="7">
                  <c:v>1499</c:v>
                </c:pt>
                <c:pt idx="8">
                  <c:v>1264.625</c:v>
                </c:pt>
                <c:pt idx="9">
                  <c:v>4544.125</c:v>
                </c:pt>
                <c:pt idx="10">
                  <c:v>3698.125</c:v>
                </c:pt>
                <c:pt idx="11">
                  <c:v>8991.25</c:v>
                </c:pt>
                <c:pt idx="12">
                  <c:v>1058.5</c:v>
                </c:pt>
                <c:pt idx="13">
                  <c:v>7041.875</c:v>
                </c:pt>
                <c:pt idx="14">
                  <c:v>8348.375</c:v>
                </c:pt>
                <c:pt idx="15">
                  <c:v>0</c:v>
                </c:pt>
                <c:pt idx="16">
                  <c:v>189.875</c:v>
                </c:pt>
                <c:pt idx="17">
                  <c:v>104</c:v>
                </c:pt>
                <c:pt idx="18">
                  <c:v>45.125</c:v>
                </c:pt>
                <c:pt idx="19">
                  <c:v>124</c:v>
                </c:pt>
                <c:pt idx="20">
                  <c:v>420.25</c:v>
                </c:pt>
                <c:pt idx="21">
                  <c:v>1046.5</c:v>
                </c:pt>
                <c:pt idx="22">
                  <c:v>1602.625</c:v>
                </c:pt>
                <c:pt idx="23">
                  <c:v>214</c:v>
                </c:pt>
                <c:pt idx="24">
                  <c:v>4656.25</c:v>
                </c:pt>
                <c:pt idx="25">
                  <c:v>1096.25</c:v>
                </c:pt>
                <c:pt idx="26">
                  <c:v>4279.125</c:v>
                </c:pt>
                <c:pt idx="27">
                  <c:v>776.125</c:v>
                </c:pt>
                <c:pt idx="28">
                  <c:v>151.875</c:v>
                </c:pt>
                <c:pt idx="29">
                  <c:v>488.75</c:v>
                </c:pt>
                <c:pt idx="3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3313.5940000000001</c:v>
                </c:pt>
                <c:pt idx="1">
                  <c:v>4293.0129999999999</c:v>
                </c:pt>
                <c:pt idx="2">
                  <c:v>2006.962</c:v>
                </c:pt>
                <c:pt idx="3">
                  <c:v>1402.317</c:v>
                </c:pt>
                <c:pt idx="4">
                  <c:v>4378.8429999999998</c:v>
                </c:pt>
                <c:pt idx="5">
                  <c:v>1126.146</c:v>
                </c:pt>
                <c:pt idx="6">
                  <c:v>65.388289999999998</c:v>
                </c:pt>
                <c:pt idx="7">
                  <c:v>3340.973</c:v>
                </c:pt>
                <c:pt idx="8">
                  <c:v>1190.663</c:v>
                </c:pt>
                <c:pt idx="9">
                  <c:v>2048.9270000000001</c:v>
                </c:pt>
                <c:pt idx="10">
                  <c:v>1567.0630000000001</c:v>
                </c:pt>
                <c:pt idx="11">
                  <c:v>4259.5889999999999</c:v>
                </c:pt>
                <c:pt idx="12">
                  <c:v>483.42840000000001</c:v>
                </c:pt>
                <c:pt idx="13">
                  <c:v>3134.8290000000002</c:v>
                </c:pt>
                <c:pt idx="14">
                  <c:v>4606.0810000000001</c:v>
                </c:pt>
                <c:pt idx="15">
                  <c:v>196.95189999999999</c:v>
                </c:pt>
                <c:pt idx="16">
                  <c:v>4690.4110000000001</c:v>
                </c:pt>
                <c:pt idx="17">
                  <c:v>2454.5529999999999</c:v>
                </c:pt>
                <c:pt idx="18">
                  <c:v>1348.451</c:v>
                </c:pt>
                <c:pt idx="19">
                  <c:v>1985.6279999999999</c:v>
                </c:pt>
                <c:pt idx="20">
                  <c:v>4927.0929999999998</c:v>
                </c:pt>
                <c:pt idx="21">
                  <c:v>4223.4579999999996</c:v>
                </c:pt>
                <c:pt idx="22">
                  <c:v>773.47289999999998</c:v>
                </c:pt>
                <c:pt idx="23">
                  <c:v>188.64070000000001</c:v>
                </c:pt>
                <c:pt idx="24">
                  <c:v>1958.616</c:v>
                </c:pt>
                <c:pt idx="25">
                  <c:v>438.7133</c:v>
                </c:pt>
                <c:pt idx="26">
                  <c:v>1800.8589999999999</c:v>
                </c:pt>
                <c:pt idx="27">
                  <c:v>349.18880000000001</c:v>
                </c:pt>
                <c:pt idx="28">
                  <c:v>437.24419999999998</c:v>
                </c:pt>
                <c:pt idx="29">
                  <c:v>719.14530000000002</c:v>
                </c:pt>
                <c:pt idx="30">
                  <c:v>839.36490000000003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7748</c:v>
                </c:pt>
                <c:pt idx="1">
                  <c:v>10209</c:v>
                </c:pt>
                <c:pt idx="2">
                  <c:v>9605</c:v>
                </c:pt>
                <c:pt idx="3">
                  <c:v>5716.5</c:v>
                </c:pt>
                <c:pt idx="4">
                  <c:v>10808.75</c:v>
                </c:pt>
                <c:pt idx="5">
                  <c:v>4705.5</c:v>
                </c:pt>
                <c:pt idx="6">
                  <c:v>8.5</c:v>
                </c:pt>
                <c:pt idx="7">
                  <c:v>195.25</c:v>
                </c:pt>
                <c:pt idx="8">
                  <c:v>109.75</c:v>
                </c:pt>
                <c:pt idx="9">
                  <c:v>4990.5</c:v>
                </c:pt>
                <c:pt idx="10">
                  <c:v>5454.25</c:v>
                </c:pt>
                <c:pt idx="11">
                  <c:v>10752.75</c:v>
                </c:pt>
                <c:pt idx="12">
                  <c:v>3877.25</c:v>
                </c:pt>
                <c:pt idx="13">
                  <c:v>6357.25</c:v>
                </c:pt>
                <c:pt idx="14">
                  <c:v>8390.5</c:v>
                </c:pt>
                <c:pt idx="15">
                  <c:v>20.75</c:v>
                </c:pt>
                <c:pt idx="16">
                  <c:v>518.75</c:v>
                </c:pt>
                <c:pt idx="17">
                  <c:v>517.75</c:v>
                </c:pt>
                <c:pt idx="18">
                  <c:v>226.25</c:v>
                </c:pt>
                <c:pt idx="19">
                  <c:v>638</c:v>
                </c:pt>
                <c:pt idx="20">
                  <c:v>817.25</c:v>
                </c:pt>
                <c:pt idx="21">
                  <c:v>1248</c:v>
                </c:pt>
                <c:pt idx="22">
                  <c:v>1215.5</c:v>
                </c:pt>
                <c:pt idx="23">
                  <c:v>282.5</c:v>
                </c:pt>
                <c:pt idx="24">
                  <c:v>2917.25</c:v>
                </c:pt>
                <c:pt idx="25">
                  <c:v>1909.25</c:v>
                </c:pt>
                <c:pt idx="26">
                  <c:v>2556.25</c:v>
                </c:pt>
                <c:pt idx="27">
                  <c:v>474.75</c:v>
                </c:pt>
                <c:pt idx="28">
                  <c:v>1852</c:v>
                </c:pt>
                <c:pt idx="29">
                  <c:v>1484.25</c:v>
                </c:pt>
                <c:pt idx="30">
                  <c:v>2555.75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2438.5169999999998</c:v>
                </c:pt>
                <c:pt idx="1">
                  <c:v>3364.8560000000002</c:v>
                </c:pt>
                <c:pt idx="2">
                  <c:v>3008.3879999999999</c:v>
                </c:pt>
                <c:pt idx="3">
                  <c:v>1737.539</c:v>
                </c:pt>
                <c:pt idx="4">
                  <c:v>3456.35</c:v>
                </c:pt>
                <c:pt idx="5">
                  <c:v>1387.3979999999999</c:v>
                </c:pt>
                <c:pt idx="6">
                  <c:v>402.26549999999997</c:v>
                </c:pt>
                <c:pt idx="7">
                  <c:v>3489.5949999999998</c:v>
                </c:pt>
                <c:pt idx="8">
                  <c:v>1110.93</c:v>
                </c:pt>
                <c:pt idx="9">
                  <c:v>1558.0260000000001</c:v>
                </c:pt>
                <c:pt idx="10">
                  <c:v>1627.347</c:v>
                </c:pt>
                <c:pt idx="11">
                  <c:v>3524.9659999999999</c:v>
                </c:pt>
                <c:pt idx="12">
                  <c:v>1268.9549999999999</c:v>
                </c:pt>
                <c:pt idx="13">
                  <c:v>1960.5530000000001</c:v>
                </c:pt>
                <c:pt idx="14">
                  <c:v>3289.1779999999999</c:v>
                </c:pt>
                <c:pt idx="15">
                  <c:v>220.64660000000001</c:v>
                </c:pt>
                <c:pt idx="16">
                  <c:v>2611.2910000000002</c:v>
                </c:pt>
                <c:pt idx="17">
                  <c:v>2045.0060000000001</c:v>
                </c:pt>
                <c:pt idx="18">
                  <c:v>870.38649999999996</c:v>
                </c:pt>
                <c:pt idx="19">
                  <c:v>2495.567</c:v>
                </c:pt>
                <c:pt idx="20">
                  <c:v>3870.9670000000001</c:v>
                </c:pt>
                <c:pt idx="21">
                  <c:v>3502.6819999999998</c:v>
                </c:pt>
                <c:pt idx="22">
                  <c:v>795.97799999999995</c:v>
                </c:pt>
                <c:pt idx="23">
                  <c:v>281.5052</c:v>
                </c:pt>
                <c:pt idx="24">
                  <c:v>827.97379999999998</c:v>
                </c:pt>
                <c:pt idx="25">
                  <c:v>528.28449999999998</c:v>
                </c:pt>
                <c:pt idx="26">
                  <c:v>721.13620000000003</c:v>
                </c:pt>
                <c:pt idx="27">
                  <c:v>381.29090000000002</c:v>
                </c:pt>
                <c:pt idx="28">
                  <c:v>908.18510000000003</c:v>
                </c:pt>
                <c:pt idx="29">
                  <c:v>719.53440000000001</c:v>
                </c:pt>
                <c:pt idx="30">
                  <c:v>891.65329999999994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8555.5</c:v>
                </c:pt>
                <c:pt idx="1">
                  <c:v>4276</c:v>
                </c:pt>
                <c:pt idx="2">
                  <c:v>10581.5</c:v>
                </c:pt>
                <c:pt idx="3">
                  <c:v>9959.5</c:v>
                </c:pt>
                <c:pt idx="4">
                  <c:v>4895</c:v>
                </c:pt>
                <c:pt idx="5">
                  <c:v>4380.5</c:v>
                </c:pt>
                <c:pt idx="6">
                  <c:v>13644.5</c:v>
                </c:pt>
                <c:pt idx="7">
                  <c:v>1644.5</c:v>
                </c:pt>
                <c:pt idx="8">
                  <c:v>14028</c:v>
                </c:pt>
                <c:pt idx="9">
                  <c:v>13717.5</c:v>
                </c:pt>
                <c:pt idx="10">
                  <c:v>13146</c:v>
                </c:pt>
                <c:pt idx="11">
                  <c:v>13915.5</c:v>
                </c:pt>
                <c:pt idx="12">
                  <c:v>13333.5</c:v>
                </c:pt>
                <c:pt idx="13">
                  <c:v>1850.5</c:v>
                </c:pt>
                <c:pt idx="14">
                  <c:v>10369.5</c:v>
                </c:pt>
                <c:pt idx="15">
                  <c:v>15330.5</c:v>
                </c:pt>
                <c:pt idx="16">
                  <c:v>14762</c:v>
                </c:pt>
                <c:pt idx="17">
                  <c:v>13488</c:v>
                </c:pt>
                <c:pt idx="18">
                  <c:v>15015.5</c:v>
                </c:pt>
                <c:pt idx="19">
                  <c:v>14299.5</c:v>
                </c:pt>
                <c:pt idx="20">
                  <c:v>3532.5</c:v>
                </c:pt>
                <c:pt idx="21">
                  <c:v>1310.5</c:v>
                </c:pt>
                <c:pt idx="22">
                  <c:v>1737</c:v>
                </c:pt>
                <c:pt idx="23">
                  <c:v>2204</c:v>
                </c:pt>
                <c:pt idx="24">
                  <c:v>4214.5</c:v>
                </c:pt>
                <c:pt idx="25">
                  <c:v>1650.5</c:v>
                </c:pt>
                <c:pt idx="26">
                  <c:v>5487</c:v>
                </c:pt>
                <c:pt idx="27">
                  <c:v>15342</c:v>
                </c:pt>
                <c:pt idx="28">
                  <c:v>14778.5</c:v>
                </c:pt>
                <c:pt idx="29">
                  <c:v>14977</c:v>
                </c:pt>
                <c:pt idx="30" formatCode="#,##0">
                  <c:v>13818.5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3063.7539999999999</c:v>
                </c:pt>
                <c:pt idx="1">
                  <c:v>1168.038</c:v>
                </c:pt>
                <c:pt idx="2">
                  <c:v>3828.8969999999999</c:v>
                </c:pt>
                <c:pt idx="3">
                  <c:v>3507.0410000000002</c:v>
                </c:pt>
                <c:pt idx="4">
                  <c:v>1645.556</c:v>
                </c:pt>
                <c:pt idx="5">
                  <c:v>1355.287</c:v>
                </c:pt>
                <c:pt idx="6">
                  <c:v>4975.4979999999996</c:v>
                </c:pt>
                <c:pt idx="7">
                  <c:v>380.0204</c:v>
                </c:pt>
                <c:pt idx="8">
                  <c:v>5248.7709999999997</c:v>
                </c:pt>
                <c:pt idx="9">
                  <c:v>5170.0060000000003</c:v>
                </c:pt>
                <c:pt idx="10">
                  <c:v>4912.674</c:v>
                </c:pt>
                <c:pt idx="11">
                  <c:v>5161.9430000000002</c:v>
                </c:pt>
                <c:pt idx="12">
                  <c:v>5035.6130000000003</c:v>
                </c:pt>
                <c:pt idx="13">
                  <c:v>415.8854</c:v>
                </c:pt>
                <c:pt idx="14">
                  <c:v>4151.8149999999996</c:v>
                </c:pt>
                <c:pt idx="15">
                  <c:v>5657.2</c:v>
                </c:pt>
                <c:pt idx="16">
                  <c:v>5490.4470000000001</c:v>
                </c:pt>
                <c:pt idx="17">
                  <c:v>5131.8710000000001</c:v>
                </c:pt>
                <c:pt idx="18">
                  <c:v>5514.6220000000003</c:v>
                </c:pt>
                <c:pt idx="19">
                  <c:v>5105.0240000000003</c:v>
                </c:pt>
                <c:pt idx="20">
                  <c:v>916.41390000000001</c:v>
                </c:pt>
                <c:pt idx="21">
                  <c:v>89.085809999999995</c:v>
                </c:pt>
                <c:pt idx="22">
                  <c:v>252.27109999999999</c:v>
                </c:pt>
                <c:pt idx="23">
                  <c:v>438.33280000000002</c:v>
                </c:pt>
                <c:pt idx="24">
                  <c:v>1347.3579999999999</c:v>
                </c:pt>
                <c:pt idx="25">
                  <c:v>218.54570000000001</c:v>
                </c:pt>
                <c:pt idx="26">
                  <c:v>1946.3589999999999</c:v>
                </c:pt>
                <c:pt idx="27">
                  <c:v>5785.259</c:v>
                </c:pt>
                <c:pt idx="28">
                  <c:v>5563.1120000000001</c:v>
                </c:pt>
                <c:pt idx="29">
                  <c:v>5717.3580000000002</c:v>
                </c:pt>
                <c:pt idx="30" formatCode="#,##0">
                  <c:v>5083.9430000000002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J27" sqref="J27"/>
    </sheetView>
  </sheetViews>
  <sheetFormatPr defaultRowHeight="14.25"/>
  <cols>
    <col min="23" max="23" width="12.5703125" customWidth="1"/>
  </cols>
  <sheetData>
    <row r="1" spans="1:31">
      <c r="A1" s="170" t="s">
        <v>0</v>
      </c>
      <c r="B1" s="171"/>
      <c r="C1" s="171"/>
      <c r="D1" s="171"/>
      <c r="E1" s="172"/>
      <c r="F1" s="164" t="s">
        <v>1</v>
      </c>
      <c r="G1" s="165"/>
      <c r="H1" s="165"/>
      <c r="I1" s="165"/>
      <c r="J1" s="165"/>
      <c r="K1" s="16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3" t="s">
        <v>2</v>
      </c>
      <c r="B2" s="174"/>
      <c r="C2" s="174"/>
      <c r="D2" s="174"/>
      <c r="E2" s="174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6" t="s">
        <v>4</v>
      </c>
      <c r="B3" s="167"/>
      <c r="C3" s="167"/>
      <c r="D3" s="167"/>
      <c r="E3" s="167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>
      <c r="A4" s="166" t="s">
        <v>6</v>
      </c>
      <c r="B4" s="167"/>
      <c r="C4" s="167"/>
      <c r="D4" s="167"/>
      <c r="E4" s="167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>
      <c r="A5" s="166" t="s">
        <v>8</v>
      </c>
      <c r="B5" s="167"/>
      <c r="C5" s="167"/>
      <c r="D5" s="167"/>
      <c r="E5" s="167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6" t="s">
        <v>10</v>
      </c>
      <c r="B6" s="167"/>
      <c r="C6" s="167"/>
      <c r="D6" s="167"/>
      <c r="E6" s="167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6" t="s">
        <v>12</v>
      </c>
      <c r="B7" s="167"/>
      <c r="C7" s="167"/>
      <c r="D7" s="167"/>
      <c r="E7" s="167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6" t="s">
        <v>14</v>
      </c>
      <c r="B8" s="167"/>
      <c r="C8" s="167"/>
      <c r="D8" s="167"/>
      <c r="E8" s="167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6" t="s">
        <v>16</v>
      </c>
      <c r="B9" s="167"/>
      <c r="C9" s="167"/>
      <c r="D9" s="167"/>
      <c r="E9" s="167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6" t="s">
        <v>18</v>
      </c>
      <c r="B10" s="167"/>
      <c r="C10" s="167"/>
      <c r="D10" s="167"/>
      <c r="E10" s="167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8" t="s">
        <v>20</v>
      </c>
      <c r="B11" s="169"/>
      <c r="C11" s="169"/>
      <c r="D11" s="169"/>
      <c r="E11" s="169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2"/>
  <sheetViews>
    <sheetView topLeftCell="A32" zoomScale="90" zoomScaleNormal="90" workbookViewId="0">
      <selection activeCell="R20" sqref="R20"/>
    </sheetView>
  </sheetViews>
  <sheetFormatPr defaultRowHeight="14.2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</cols>
  <sheetData>
    <row r="1" spans="3:13" ht="18">
      <c r="E1" s="193" t="s">
        <v>22</v>
      </c>
      <c r="F1" s="193"/>
      <c r="G1" s="193"/>
      <c r="H1" s="193"/>
      <c r="I1" s="193"/>
      <c r="J1" s="193"/>
    </row>
    <row r="2" spans="3:13">
      <c r="E2" s="194" t="s">
        <v>23</v>
      </c>
      <c r="F2" s="194"/>
      <c r="G2" s="194"/>
      <c r="H2" s="194"/>
      <c r="I2" s="194"/>
      <c r="J2" s="194"/>
    </row>
    <row r="3" spans="3:13">
      <c r="E3" s="195" t="s">
        <v>24</v>
      </c>
      <c r="F3" s="196"/>
      <c r="G3" s="196"/>
      <c r="H3" s="196"/>
      <c r="I3" s="196"/>
      <c r="J3" s="196"/>
    </row>
    <row r="5" spans="3:13">
      <c r="C5" s="178" t="s">
        <v>25</v>
      </c>
      <c r="D5" s="179"/>
      <c r="E5" s="179"/>
      <c r="F5" s="179"/>
      <c r="G5" s="179"/>
      <c r="H5" s="179"/>
      <c r="I5" s="179"/>
      <c r="J5" s="179"/>
      <c r="K5" s="179"/>
      <c r="L5" s="180"/>
    </row>
    <row r="6" spans="3:13">
      <c r="C6" s="20"/>
      <c r="D6" s="21"/>
      <c r="E6" s="171" t="s">
        <v>2</v>
      </c>
      <c r="F6" s="171"/>
      <c r="G6" s="171"/>
      <c r="H6" s="171"/>
      <c r="I6" s="171"/>
      <c r="J6" s="22">
        <f>SUM(G32:G62)</f>
        <v>86843</v>
      </c>
      <c r="K6" s="21" t="s">
        <v>26</v>
      </c>
      <c r="L6" s="23"/>
    </row>
    <row r="7" spans="3:13">
      <c r="C7" s="3"/>
      <c r="D7" s="2"/>
      <c r="E7" s="181" t="s">
        <v>4</v>
      </c>
      <c r="F7" s="181"/>
      <c r="G7" s="181"/>
      <c r="H7" s="181"/>
      <c r="I7" s="181"/>
      <c r="J7" s="8">
        <f>'Predicted Data'!D17</f>
        <v>148923.29999999999</v>
      </c>
      <c r="K7" s="69"/>
      <c r="L7" s="4"/>
    </row>
    <row r="8" spans="3:13" ht="15.75">
      <c r="C8" s="3"/>
      <c r="D8" s="2"/>
      <c r="E8" s="181" t="s">
        <v>6</v>
      </c>
      <c r="F8" s="181"/>
      <c r="G8" s="181"/>
      <c r="H8" s="181"/>
      <c r="I8" s="181"/>
      <c r="J8" s="8">
        <f>SUM(H32:H62)</f>
        <v>64549.607690000004</v>
      </c>
      <c r="K8" s="2" t="s">
        <v>26</v>
      </c>
      <c r="L8" s="4"/>
    </row>
    <row r="9" spans="3:13" ht="15.75">
      <c r="C9" s="3"/>
      <c r="D9" s="2"/>
      <c r="E9" s="181" t="s">
        <v>8</v>
      </c>
      <c r="F9" s="181"/>
      <c r="G9" s="181"/>
      <c r="H9" s="181"/>
      <c r="I9" s="181"/>
      <c r="J9" s="79"/>
      <c r="K9" s="69"/>
      <c r="L9" s="4"/>
    </row>
    <row r="10" spans="3:13">
      <c r="C10" s="3"/>
      <c r="D10" s="2"/>
      <c r="E10" s="181" t="s">
        <v>10</v>
      </c>
      <c r="F10" s="181"/>
      <c r="G10" s="181"/>
      <c r="H10" s="181"/>
      <c r="I10" s="181"/>
      <c r="J10" s="85">
        <f>'Plant Health'!H79</f>
        <v>151534.5576</v>
      </c>
      <c r="K10" s="2" t="s">
        <v>26</v>
      </c>
      <c r="L10" s="4"/>
    </row>
    <row r="11" spans="3:13">
      <c r="C11" s="3"/>
      <c r="D11" s="2"/>
      <c r="E11" s="181" t="s">
        <v>12</v>
      </c>
      <c r="F11" s="181"/>
      <c r="G11" s="181"/>
      <c r="H11" s="181"/>
      <c r="I11" s="181"/>
      <c r="J11" s="31">
        <f>J6/J10</f>
        <v>0.57309039849006693</v>
      </c>
      <c r="K11" s="2"/>
      <c r="L11" s="4"/>
      <c r="M11" s="61"/>
    </row>
    <row r="12" spans="3:13">
      <c r="C12" s="3"/>
      <c r="D12" s="2"/>
      <c r="E12" s="181" t="s">
        <v>16</v>
      </c>
      <c r="F12" s="181"/>
      <c r="G12" s="181"/>
      <c r="H12" s="181"/>
      <c r="I12" s="181"/>
      <c r="J12" s="31">
        <f>J6/J7</f>
        <v>0.58313910583501716</v>
      </c>
      <c r="K12" s="2"/>
      <c r="L12" s="4"/>
    </row>
    <row r="13" spans="3:13">
      <c r="C13" s="3"/>
      <c r="D13" s="2"/>
      <c r="E13" s="181" t="s">
        <v>18</v>
      </c>
      <c r="F13" s="181"/>
      <c r="G13" s="181"/>
      <c r="H13" s="181"/>
      <c r="I13" s="181"/>
      <c r="J13" s="31">
        <f>Availability!E38</f>
        <v>0.98660000000000003</v>
      </c>
      <c r="K13" s="2"/>
      <c r="L13" s="4"/>
    </row>
    <row r="14" spans="3:13">
      <c r="C14" s="5"/>
      <c r="D14" s="6"/>
      <c r="E14" s="192" t="s">
        <v>20</v>
      </c>
      <c r="F14" s="192"/>
      <c r="G14" s="192"/>
      <c r="H14" s="192"/>
      <c r="I14" s="192"/>
      <c r="J14" s="9">
        <f>Availability!E50</f>
        <v>0.98660000000000003</v>
      </c>
      <c r="K14" s="6"/>
      <c r="L14" s="7"/>
    </row>
    <row r="16" spans="3:13">
      <c r="C16" s="182" t="s">
        <v>27</v>
      </c>
      <c r="D16" s="182"/>
      <c r="E16" s="182"/>
      <c r="F16" s="182"/>
      <c r="G16" s="182"/>
      <c r="H16" s="182"/>
      <c r="I16" s="182"/>
      <c r="J16" s="182"/>
      <c r="K16" s="182"/>
      <c r="L16" s="182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2" t="s">
        <v>28</v>
      </c>
      <c r="G30" s="182"/>
      <c r="H30" s="182"/>
      <c r="I30" s="182"/>
      <c r="J30" s="11"/>
      <c r="K30" s="11"/>
      <c r="L30" s="11"/>
    </row>
    <row r="31" spans="3:12" s="10" customFormat="1" ht="44.1" customHeight="1">
      <c r="E31" s="13"/>
      <c r="F31" s="154" t="s">
        <v>29</v>
      </c>
      <c r="G31" s="140" t="s">
        <v>30</v>
      </c>
      <c r="H31" s="140" t="s">
        <v>31</v>
      </c>
      <c r="I31" s="140" t="s">
        <v>32</v>
      </c>
      <c r="J31" s="12"/>
      <c r="K31" s="13"/>
    </row>
    <row r="32" spans="3:12">
      <c r="E32" s="2"/>
      <c r="F32" s="163">
        <v>45292</v>
      </c>
      <c r="G32" s="153">
        <v>6863.375</v>
      </c>
      <c r="H32" s="150">
        <v>3313.5940000000001</v>
      </c>
      <c r="I32" s="144">
        <v>29.99052</v>
      </c>
      <c r="J32" s="2"/>
      <c r="K32" s="14"/>
    </row>
    <row r="33" spans="5:15">
      <c r="E33" s="2"/>
      <c r="F33" s="163">
        <v>45293</v>
      </c>
      <c r="G33" s="153">
        <v>8510.5</v>
      </c>
      <c r="H33" s="150">
        <v>4293.0129999999999</v>
      </c>
      <c r="I33" s="144">
        <v>25.733709999999999</v>
      </c>
      <c r="J33" s="2"/>
      <c r="K33" s="14"/>
    </row>
    <row r="34" spans="5:15">
      <c r="E34" s="2"/>
      <c r="F34" s="163">
        <v>45294</v>
      </c>
      <c r="G34" s="153">
        <v>4434.125</v>
      </c>
      <c r="H34" s="150">
        <v>2006.962</v>
      </c>
      <c r="I34" s="144">
        <v>31.075399999999998</v>
      </c>
      <c r="J34" s="2"/>
      <c r="K34" s="14"/>
    </row>
    <row r="35" spans="5:15">
      <c r="E35" s="2"/>
      <c r="F35" s="163">
        <v>45295</v>
      </c>
      <c r="G35" s="153">
        <v>3048.125</v>
      </c>
      <c r="H35" s="150">
        <v>1402.317</v>
      </c>
      <c r="I35" s="144">
        <v>32.579720000000002</v>
      </c>
      <c r="J35" s="2"/>
      <c r="K35" s="14"/>
    </row>
    <row r="36" spans="5:15">
      <c r="E36" s="2"/>
      <c r="F36" s="163">
        <v>45296</v>
      </c>
      <c r="G36" s="153">
        <v>8990.625</v>
      </c>
      <c r="H36" s="150">
        <v>4378.8429999999998</v>
      </c>
      <c r="I36" s="144">
        <v>24.564060000000001</v>
      </c>
      <c r="J36" s="2"/>
      <c r="K36" s="14"/>
    </row>
    <row r="37" spans="5:15">
      <c r="E37" s="2"/>
      <c r="F37" s="163">
        <v>45297</v>
      </c>
      <c r="G37" s="153">
        <v>2715.625</v>
      </c>
      <c r="H37" s="150">
        <v>1126.146</v>
      </c>
      <c r="I37" s="144">
        <v>32.327449999999999</v>
      </c>
      <c r="J37" s="2"/>
      <c r="K37" s="14"/>
    </row>
    <row r="38" spans="5:15">
      <c r="E38" s="2"/>
      <c r="F38" s="163">
        <v>45298</v>
      </c>
      <c r="G38" s="153">
        <v>0</v>
      </c>
      <c r="H38" s="150">
        <v>65.388289999999998</v>
      </c>
      <c r="I38" s="144">
        <v>25.133130000000001</v>
      </c>
      <c r="J38" s="2"/>
      <c r="K38" s="14"/>
    </row>
    <row r="39" spans="5:15">
      <c r="E39" s="2"/>
      <c r="F39" s="163">
        <v>45299</v>
      </c>
      <c r="G39" s="153">
        <v>1499</v>
      </c>
      <c r="H39" s="150">
        <v>3340.973</v>
      </c>
      <c r="I39" s="144">
        <v>23.996459999999999</v>
      </c>
      <c r="J39" s="2"/>
      <c r="K39" s="14"/>
    </row>
    <row r="40" spans="5:15">
      <c r="E40" s="2"/>
      <c r="F40" s="163">
        <v>45300</v>
      </c>
      <c r="G40" s="153">
        <v>1264.625</v>
      </c>
      <c r="H40" s="150">
        <v>1190.663</v>
      </c>
      <c r="I40" s="144">
        <v>25.337009999999999</v>
      </c>
      <c r="J40" s="2"/>
      <c r="K40" s="14"/>
    </row>
    <row r="41" spans="5:15">
      <c r="E41" s="2"/>
      <c r="F41" s="163">
        <v>45301</v>
      </c>
      <c r="G41" s="153">
        <v>4544.125</v>
      </c>
      <c r="H41" s="150">
        <v>2048.9270000000001</v>
      </c>
      <c r="I41" s="144">
        <v>44.637009999999997</v>
      </c>
      <c r="J41" s="2"/>
      <c r="K41" s="14"/>
    </row>
    <row r="42" spans="5:15">
      <c r="E42" s="2"/>
      <c r="F42" s="163">
        <v>45302</v>
      </c>
      <c r="G42" s="153">
        <v>3698.125</v>
      </c>
      <c r="H42" s="150">
        <v>1567.0630000000001</v>
      </c>
      <c r="I42" s="144">
        <v>37.97898</v>
      </c>
      <c r="J42" s="2"/>
      <c r="K42" s="14"/>
    </row>
    <row r="43" spans="5:15">
      <c r="E43" s="2"/>
      <c r="F43" s="163">
        <v>45303</v>
      </c>
      <c r="G43" s="153">
        <v>8991.25</v>
      </c>
      <c r="H43" s="150">
        <v>4259.5889999999999</v>
      </c>
      <c r="I43" s="144">
        <v>36.092480000000002</v>
      </c>
      <c r="J43" s="2"/>
      <c r="K43" s="14"/>
    </row>
    <row r="44" spans="5:15">
      <c r="E44" s="2"/>
      <c r="F44" s="163">
        <v>45304</v>
      </c>
      <c r="G44" s="153">
        <v>1058.5</v>
      </c>
      <c r="H44" s="150">
        <v>483.42840000000001</v>
      </c>
      <c r="I44" s="144">
        <v>42.761989999999997</v>
      </c>
      <c r="J44" s="2"/>
      <c r="K44" s="14"/>
    </row>
    <row r="45" spans="5:15">
      <c r="E45" s="2"/>
      <c r="F45" s="163">
        <v>45305</v>
      </c>
      <c r="G45" s="153">
        <v>7041.875</v>
      </c>
      <c r="H45" s="150">
        <v>3134.8290000000002</v>
      </c>
      <c r="I45" s="144">
        <v>31.80706</v>
      </c>
      <c r="J45" s="2"/>
      <c r="K45" s="14"/>
    </row>
    <row r="46" spans="5:15">
      <c r="E46" s="2"/>
      <c r="F46" s="163">
        <v>45306</v>
      </c>
      <c r="G46" s="153">
        <v>8348.375</v>
      </c>
      <c r="H46" s="150">
        <v>4606.0810000000001</v>
      </c>
      <c r="I46" s="144">
        <v>23.018280000000001</v>
      </c>
      <c r="J46" s="2"/>
      <c r="K46" s="14"/>
    </row>
    <row r="47" spans="5:15">
      <c r="E47" s="2"/>
      <c r="F47" s="163">
        <v>45307</v>
      </c>
      <c r="G47" s="153">
        <v>0</v>
      </c>
      <c r="H47" s="150">
        <v>196.95189999999999</v>
      </c>
      <c r="I47" s="144">
        <v>24.626539999999999</v>
      </c>
      <c r="J47" s="2"/>
      <c r="K47" s="14"/>
    </row>
    <row r="48" spans="5:15">
      <c r="E48" s="2"/>
      <c r="F48" s="163">
        <v>45308</v>
      </c>
      <c r="G48" s="153">
        <v>189.875</v>
      </c>
      <c r="H48" s="150">
        <v>4690.4110000000001</v>
      </c>
      <c r="I48" s="144">
        <v>18.405480000000001</v>
      </c>
      <c r="J48" s="2"/>
      <c r="K48" s="14"/>
      <c r="M48" s="2"/>
      <c r="N48" s="2"/>
      <c r="O48" s="2"/>
    </row>
    <row r="49" spans="3:15">
      <c r="E49" s="2"/>
      <c r="F49" s="163">
        <v>45309</v>
      </c>
      <c r="G49" s="153">
        <v>104</v>
      </c>
      <c r="H49" s="150">
        <v>2454.5529999999999</v>
      </c>
      <c r="I49" s="144">
        <v>17.70129</v>
      </c>
      <c r="J49" s="2"/>
      <c r="K49" s="14"/>
      <c r="M49" s="2"/>
      <c r="N49" s="2"/>
      <c r="O49" s="2"/>
    </row>
    <row r="50" spans="3:15">
      <c r="E50" s="2"/>
      <c r="F50" s="163">
        <v>45310</v>
      </c>
      <c r="G50" s="153">
        <v>45.125</v>
      </c>
      <c r="H50" s="150">
        <v>1348.451</v>
      </c>
      <c r="I50" s="144">
        <v>18.834</v>
      </c>
      <c r="J50" s="2"/>
      <c r="K50" s="14"/>
    </row>
    <row r="51" spans="3:15">
      <c r="E51" s="2"/>
      <c r="F51" s="163">
        <v>45311</v>
      </c>
      <c r="G51" s="153">
        <v>124</v>
      </c>
      <c r="H51" s="150">
        <v>1985.6279999999999</v>
      </c>
      <c r="I51" s="144">
        <v>14.61669</v>
      </c>
      <c r="J51" s="2"/>
      <c r="K51" s="14"/>
    </row>
    <row r="52" spans="3:15">
      <c r="E52" s="2"/>
      <c r="F52" s="163">
        <v>45312</v>
      </c>
      <c r="G52" s="153">
        <v>420.25</v>
      </c>
      <c r="H52" s="150">
        <v>4927.0929999999998</v>
      </c>
      <c r="I52" s="144">
        <v>17.687629999999999</v>
      </c>
      <c r="J52" s="2"/>
      <c r="K52" s="14"/>
    </row>
    <row r="53" spans="3:15">
      <c r="E53" s="2"/>
      <c r="F53" s="163">
        <v>45313</v>
      </c>
      <c r="G53" s="153">
        <v>1046.5</v>
      </c>
      <c r="H53" s="150">
        <v>4223.4579999999996</v>
      </c>
      <c r="I53" s="144">
        <v>24.864260000000002</v>
      </c>
      <c r="J53" s="2"/>
      <c r="K53" s="14"/>
    </row>
    <row r="54" spans="3:15">
      <c r="E54" s="2"/>
      <c r="F54" s="163">
        <v>45314</v>
      </c>
      <c r="G54" s="153">
        <v>1602.625</v>
      </c>
      <c r="H54" s="150">
        <v>773.47289999999998</v>
      </c>
      <c r="I54" s="144">
        <v>34.432949999999998</v>
      </c>
      <c r="J54" s="2"/>
      <c r="K54" s="14"/>
    </row>
    <row r="55" spans="3:15">
      <c r="E55" s="2"/>
      <c r="F55" s="163">
        <v>45315</v>
      </c>
      <c r="G55" s="153">
        <v>214</v>
      </c>
      <c r="H55" s="150">
        <v>188.64070000000001</v>
      </c>
      <c r="I55" s="144">
        <v>32.970440000000004</v>
      </c>
      <c r="J55" s="2"/>
      <c r="K55" s="14"/>
    </row>
    <row r="56" spans="3:15">
      <c r="E56" s="2"/>
      <c r="F56" s="163">
        <v>45316</v>
      </c>
      <c r="G56" s="153">
        <v>4656.25</v>
      </c>
      <c r="H56" s="150">
        <v>1958.616</v>
      </c>
      <c r="I56" s="144">
        <v>37.937609999999999</v>
      </c>
      <c r="J56" s="2"/>
      <c r="K56" s="14"/>
    </row>
    <row r="57" spans="3:15">
      <c r="E57" s="2"/>
      <c r="F57" s="163">
        <v>45317</v>
      </c>
      <c r="G57" s="153">
        <v>1096.25</v>
      </c>
      <c r="H57" s="150">
        <v>438.7133</v>
      </c>
      <c r="I57" s="144">
        <v>35.682960000000001</v>
      </c>
      <c r="J57" s="2"/>
      <c r="K57" s="14"/>
    </row>
    <row r="58" spans="3:15">
      <c r="E58" s="2"/>
      <c r="F58" s="163">
        <v>45318</v>
      </c>
      <c r="G58" s="153">
        <v>4279.125</v>
      </c>
      <c r="H58" s="150">
        <v>1800.8589999999999</v>
      </c>
      <c r="I58" s="144">
        <v>36.614379999999997</v>
      </c>
      <c r="J58" s="2"/>
      <c r="K58" s="14"/>
    </row>
    <row r="59" spans="3:15">
      <c r="E59" s="2"/>
      <c r="F59" s="163">
        <v>45319</v>
      </c>
      <c r="G59" s="153">
        <v>776.125</v>
      </c>
      <c r="H59" s="150">
        <v>349.18880000000001</v>
      </c>
      <c r="I59" s="144">
        <v>34.217449999999999</v>
      </c>
      <c r="J59" s="2"/>
      <c r="K59" s="14"/>
    </row>
    <row r="60" spans="3:15">
      <c r="E60" s="2"/>
      <c r="F60" s="163">
        <v>45320</v>
      </c>
      <c r="G60" s="153">
        <v>151.875</v>
      </c>
      <c r="H60" s="150">
        <v>437.24419999999998</v>
      </c>
      <c r="I60" s="144">
        <v>33.527079999999998</v>
      </c>
      <c r="J60" s="2"/>
      <c r="K60" s="14"/>
    </row>
    <row r="61" spans="3:15">
      <c r="E61" s="2"/>
      <c r="F61" s="163">
        <v>45321</v>
      </c>
      <c r="G61" s="153">
        <v>488.75</v>
      </c>
      <c r="H61" s="150">
        <v>719.14530000000002</v>
      </c>
      <c r="I61" s="144">
        <v>27.53293</v>
      </c>
      <c r="J61" s="2"/>
      <c r="K61" s="14"/>
    </row>
    <row r="62" spans="3:15">
      <c r="F62" s="163">
        <v>45322</v>
      </c>
      <c r="G62" s="153">
        <v>640</v>
      </c>
      <c r="H62" s="150">
        <v>839.36490000000003</v>
      </c>
      <c r="I62" s="144">
        <v>29.357240000000001</v>
      </c>
    </row>
    <row r="63" spans="3:15">
      <c r="F63" s="155"/>
      <c r="G63" s="141"/>
      <c r="H63" s="2"/>
      <c r="I63" s="2"/>
    </row>
    <row r="64" spans="3:15">
      <c r="C64" s="178" t="s">
        <v>33</v>
      </c>
      <c r="D64" s="179"/>
      <c r="E64" s="179"/>
      <c r="F64" s="179"/>
      <c r="G64" s="179"/>
      <c r="H64" s="179"/>
      <c r="I64" s="179"/>
      <c r="J64" s="179"/>
      <c r="K64" s="179"/>
      <c r="L64" s="180"/>
    </row>
    <row r="65" spans="3:12" ht="15" customHeight="1">
      <c r="C65" s="183"/>
      <c r="D65" s="184"/>
      <c r="E65" s="184"/>
      <c r="F65" s="184"/>
      <c r="G65" s="184"/>
      <c r="H65" s="184"/>
      <c r="I65" s="184"/>
      <c r="J65" s="184"/>
      <c r="K65" s="184"/>
      <c r="L65" s="185"/>
    </row>
    <row r="66" spans="3:12">
      <c r="C66" s="186"/>
      <c r="D66" s="187"/>
      <c r="E66" s="187"/>
      <c r="F66" s="187"/>
      <c r="G66" s="187"/>
      <c r="H66" s="187"/>
      <c r="I66" s="187"/>
      <c r="J66" s="187"/>
      <c r="K66" s="187"/>
      <c r="L66" s="188"/>
    </row>
    <row r="67" spans="3:12">
      <c r="C67" s="189"/>
      <c r="D67" s="190"/>
      <c r="E67" s="190"/>
      <c r="F67" s="190"/>
      <c r="G67" s="190"/>
      <c r="H67" s="190"/>
      <c r="I67" s="190"/>
      <c r="J67" s="190"/>
      <c r="K67" s="190"/>
      <c r="L67" s="191"/>
    </row>
    <row r="69" spans="3:12">
      <c r="C69" s="175" t="s">
        <v>34</v>
      </c>
      <c r="D69" s="176"/>
      <c r="E69" s="176"/>
      <c r="F69" s="176"/>
      <c r="G69" s="176"/>
      <c r="H69" s="176"/>
      <c r="I69" s="176"/>
      <c r="J69" s="176"/>
      <c r="K69" s="176"/>
      <c r="L69" s="177"/>
    </row>
    <row r="70" spans="3:12" ht="14.85" customHeight="1">
      <c r="C70" s="183"/>
      <c r="D70" s="184"/>
      <c r="E70" s="184"/>
      <c r="F70" s="184"/>
      <c r="G70" s="184"/>
      <c r="H70" s="184"/>
      <c r="I70" s="184"/>
      <c r="J70" s="184"/>
      <c r="K70" s="184"/>
      <c r="L70" s="185"/>
    </row>
    <row r="71" spans="3:12">
      <c r="C71" s="186"/>
      <c r="D71" s="187"/>
      <c r="E71" s="187"/>
      <c r="F71" s="187"/>
      <c r="G71" s="187"/>
      <c r="H71" s="187"/>
      <c r="I71" s="187"/>
      <c r="J71" s="187"/>
      <c r="K71" s="187"/>
      <c r="L71" s="188"/>
    </row>
    <row r="72" spans="3:12">
      <c r="C72" s="189"/>
      <c r="D72" s="190"/>
      <c r="E72" s="190"/>
      <c r="F72" s="190"/>
      <c r="G72" s="190"/>
      <c r="H72" s="190"/>
      <c r="I72" s="190"/>
      <c r="J72" s="190"/>
      <c r="K72" s="190"/>
      <c r="L72" s="191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3"/>
  <sheetViews>
    <sheetView topLeftCell="A56" zoomScale="70" zoomScaleNormal="70" workbookViewId="0">
      <selection activeCell="O52" sqref="O52"/>
    </sheetView>
  </sheetViews>
  <sheetFormatPr defaultRowHeight="14.2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93" t="s">
        <v>35</v>
      </c>
      <c r="F1" s="193"/>
      <c r="G1" s="193"/>
      <c r="H1" s="193"/>
      <c r="I1" s="193"/>
      <c r="J1" s="193"/>
    </row>
    <row r="2" spans="3:18">
      <c r="E2" s="194" t="s">
        <v>23</v>
      </c>
      <c r="F2" s="194"/>
      <c r="G2" s="194"/>
      <c r="H2" s="194"/>
      <c r="I2" s="194"/>
      <c r="J2" s="194"/>
    </row>
    <row r="3" spans="3:18" ht="14.25" customHeight="1">
      <c r="E3" s="195" t="s">
        <v>24</v>
      </c>
      <c r="F3" s="196"/>
      <c r="G3" s="196"/>
      <c r="H3" s="196"/>
      <c r="I3" s="196"/>
      <c r="J3" s="196"/>
    </row>
    <row r="5" spans="3:18">
      <c r="C5" s="178" t="s">
        <v>25</v>
      </c>
      <c r="D5" s="179"/>
      <c r="E5" s="179"/>
      <c r="F5" s="179"/>
      <c r="G5" s="179"/>
      <c r="H5" s="179"/>
      <c r="I5" s="179"/>
      <c r="J5" s="179"/>
      <c r="K5" s="179"/>
      <c r="L5" s="180"/>
      <c r="R5" s="26"/>
    </row>
    <row r="6" spans="3:18">
      <c r="C6" s="20"/>
      <c r="D6" s="21"/>
      <c r="E6" s="171" t="s">
        <v>2</v>
      </c>
      <c r="F6" s="171"/>
      <c r="G6" s="171"/>
      <c r="H6" s="171"/>
      <c r="I6" s="171"/>
      <c r="J6" s="22">
        <f>SUM(G32:G62)</f>
        <v>108163</v>
      </c>
      <c r="K6" s="2"/>
      <c r="L6" s="23"/>
      <c r="R6" s="26"/>
    </row>
    <row r="7" spans="3:18">
      <c r="C7" s="3"/>
      <c r="D7" s="2"/>
      <c r="E7" s="181" t="s">
        <v>4</v>
      </c>
      <c r="F7" s="181"/>
      <c r="G7" s="181"/>
      <c r="H7" s="181"/>
      <c r="I7" s="181"/>
      <c r="J7" s="8">
        <f>'Predicted Data'!D5</f>
        <v>173872.6</v>
      </c>
      <c r="K7" s="69"/>
      <c r="L7" s="4"/>
      <c r="R7" s="26"/>
    </row>
    <row r="8" spans="3:18" ht="15.75">
      <c r="C8" s="3"/>
      <c r="D8" s="2"/>
      <c r="E8" s="181" t="s">
        <v>6</v>
      </c>
      <c r="F8" s="181"/>
      <c r="G8" s="181"/>
      <c r="H8" s="181"/>
      <c r="I8" s="181"/>
      <c r="J8" s="8">
        <f>SUM(H32:H62)</f>
        <v>55296.951000000001</v>
      </c>
      <c r="K8" s="2"/>
      <c r="L8" s="4"/>
      <c r="R8" s="26"/>
    </row>
    <row r="9" spans="3:18" ht="15.75">
      <c r="C9" s="3"/>
      <c r="D9" s="2"/>
      <c r="E9" s="181" t="s">
        <v>8</v>
      </c>
      <c r="F9" s="181"/>
      <c r="G9" s="181"/>
      <c r="H9" s="181"/>
      <c r="I9" s="181"/>
      <c r="J9" s="79"/>
      <c r="K9" s="69"/>
      <c r="L9" s="4"/>
      <c r="R9" s="44"/>
    </row>
    <row r="10" spans="3:18">
      <c r="C10" s="3"/>
      <c r="D10" s="2"/>
      <c r="E10" s="181" t="s">
        <v>10</v>
      </c>
      <c r="F10" s="181"/>
      <c r="G10" s="181"/>
      <c r="H10" s="181"/>
      <c r="I10" s="181"/>
      <c r="J10" s="84">
        <f>'Plant Health'!E79</f>
        <v>172809.64279999997</v>
      </c>
      <c r="K10" s="2"/>
      <c r="L10" s="4"/>
      <c r="R10" s="26"/>
    </row>
    <row r="11" spans="3:18">
      <c r="C11" s="3"/>
      <c r="D11" s="2"/>
      <c r="E11" s="181" t="s">
        <v>12</v>
      </c>
      <c r="F11" s="181"/>
      <c r="G11" s="181"/>
      <c r="H11" s="181"/>
      <c r="I11" s="181"/>
      <c r="J11" s="31">
        <f>J6/J10</f>
        <v>0.62590835932218025</v>
      </c>
      <c r="K11" s="2"/>
      <c r="L11" s="4"/>
      <c r="R11" s="26"/>
    </row>
    <row r="12" spans="3:18">
      <c r="C12" s="3"/>
      <c r="D12" s="2"/>
      <c r="E12" s="181" t="s">
        <v>16</v>
      </c>
      <c r="F12" s="181"/>
      <c r="G12" s="181"/>
      <c r="H12" s="181"/>
      <c r="I12" s="181"/>
      <c r="J12" s="31">
        <f>J6/J7</f>
        <v>0.62208191514936795</v>
      </c>
      <c r="K12" s="2"/>
      <c r="L12" s="4"/>
      <c r="R12" s="26"/>
    </row>
    <row r="13" spans="3:18">
      <c r="C13" s="3"/>
      <c r="D13" s="2"/>
      <c r="E13" s="181" t="s">
        <v>18</v>
      </c>
      <c r="F13" s="181"/>
      <c r="G13" s="181"/>
      <c r="H13" s="181"/>
      <c r="I13" s="181"/>
      <c r="J13" s="31">
        <f>Availability!D38</f>
        <v>1</v>
      </c>
      <c r="K13" s="2"/>
      <c r="L13" s="4"/>
      <c r="R13" s="26"/>
    </row>
    <row r="14" spans="3:18">
      <c r="C14" s="5"/>
      <c r="D14" s="6"/>
      <c r="E14" s="192" t="s">
        <v>20</v>
      </c>
      <c r="F14" s="192"/>
      <c r="G14" s="192"/>
      <c r="H14" s="192"/>
      <c r="I14" s="192"/>
      <c r="J14" s="9">
        <f>Availability!D50</f>
        <v>1</v>
      </c>
      <c r="K14" s="6"/>
      <c r="L14" s="7"/>
      <c r="R14" s="26"/>
    </row>
    <row r="15" spans="3:18">
      <c r="R15" s="26"/>
    </row>
    <row r="16" spans="3:18">
      <c r="C16" s="178" t="s">
        <v>27</v>
      </c>
      <c r="D16" s="179"/>
      <c r="E16" s="179"/>
      <c r="F16" s="179"/>
      <c r="G16" s="179"/>
      <c r="H16" s="179"/>
      <c r="I16" s="179"/>
      <c r="J16" s="179"/>
      <c r="K16" s="179"/>
      <c r="L16" s="180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7" t="s">
        <v>28</v>
      </c>
      <c r="G30" s="197"/>
      <c r="H30" s="197"/>
      <c r="I30" s="198"/>
      <c r="J30" s="11"/>
      <c r="K30" s="11"/>
      <c r="L30" s="11"/>
      <c r="R30" s="26"/>
    </row>
    <row r="31" spans="5:24" s="10" customFormat="1" ht="44.1" customHeight="1">
      <c r="E31" s="13"/>
      <c r="F31" s="142" t="s">
        <v>29</v>
      </c>
      <c r="G31" s="143" t="s">
        <v>30</v>
      </c>
      <c r="H31" s="151" t="s">
        <v>31</v>
      </c>
      <c r="I31" s="143" t="s">
        <v>32</v>
      </c>
      <c r="J31" s="12"/>
      <c r="K31" s="13"/>
      <c r="R31" s="45"/>
      <c r="X31"/>
    </row>
    <row r="32" spans="5:24">
      <c r="E32" s="2"/>
      <c r="F32" s="162">
        <v>44927</v>
      </c>
      <c r="G32" s="144">
        <v>7748</v>
      </c>
      <c r="H32" s="150">
        <v>2438.5169999999998</v>
      </c>
      <c r="I32" s="144">
        <v>32.398319999999998</v>
      </c>
      <c r="J32" s="14"/>
      <c r="K32" s="14"/>
      <c r="R32" s="26"/>
    </row>
    <row r="33" spans="5:18">
      <c r="E33" s="2"/>
      <c r="F33" s="162">
        <v>44928</v>
      </c>
      <c r="G33" s="144">
        <v>10209</v>
      </c>
      <c r="H33" s="150">
        <v>3364.8560000000002</v>
      </c>
      <c r="I33" s="144">
        <v>25.939530000000001</v>
      </c>
      <c r="J33" s="14"/>
      <c r="K33" s="14"/>
      <c r="R33" s="26"/>
    </row>
    <row r="34" spans="5:18">
      <c r="E34" s="2"/>
      <c r="F34" s="162">
        <v>44929</v>
      </c>
      <c r="G34" s="144">
        <v>9605</v>
      </c>
      <c r="H34" s="150">
        <v>3008.3879999999999</v>
      </c>
      <c r="I34" s="144">
        <v>32.773690000000002</v>
      </c>
      <c r="J34" s="14"/>
      <c r="K34" s="14"/>
      <c r="R34" s="26"/>
    </row>
    <row r="35" spans="5:18">
      <c r="E35" s="2"/>
      <c r="F35" s="162">
        <v>44930</v>
      </c>
      <c r="G35" s="144">
        <v>5716.5</v>
      </c>
      <c r="H35" s="150">
        <v>1737.539</v>
      </c>
      <c r="I35" s="144">
        <v>34.28331</v>
      </c>
      <c r="J35" s="14"/>
      <c r="K35" s="14"/>
      <c r="R35" s="26"/>
    </row>
    <row r="36" spans="5:18">
      <c r="E36" s="2"/>
      <c r="F36" s="162">
        <v>44931</v>
      </c>
      <c r="G36" s="144">
        <v>10808.75</v>
      </c>
      <c r="H36" s="150">
        <v>3456.35</v>
      </c>
      <c r="I36" s="144">
        <v>25.10445</v>
      </c>
      <c r="J36" s="14"/>
      <c r="K36" s="14"/>
      <c r="R36" s="26"/>
    </row>
    <row r="37" spans="5:18">
      <c r="E37" s="2"/>
      <c r="F37" s="162">
        <v>44932</v>
      </c>
      <c r="G37" s="144">
        <v>4705.5</v>
      </c>
      <c r="H37" s="150">
        <v>1387.3979999999999</v>
      </c>
      <c r="I37" s="144">
        <v>28.452739999999999</v>
      </c>
      <c r="J37" s="14"/>
      <c r="K37" s="14"/>
      <c r="R37" s="26"/>
    </row>
    <row r="38" spans="5:18">
      <c r="E38" s="2"/>
      <c r="F38" s="162">
        <v>44933</v>
      </c>
      <c r="G38" s="144">
        <v>8.5</v>
      </c>
      <c r="H38" s="150">
        <v>402.26549999999997</v>
      </c>
      <c r="I38" s="144">
        <v>28.419309999999999</v>
      </c>
      <c r="J38" s="14"/>
      <c r="K38" s="14"/>
    </row>
    <row r="39" spans="5:18">
      <c r="E39" s="2"/>
      <c r="F39" s="162">
        <v>44934</v>
      </c>
      <c r="G39" s="144">
        <v>195.25</v>
      </c>
      <c r="H39" s="150">
        <v>3489.5949999999998</v>
      </c>
      <c r="I39" s="144">
        <v>26.123249999999999</v>
      </c>
      <c r="J39" s="14"/>
      <c r="K39" s="14"/>
    </row>
    <row r="40" spans="5:18">
      <c r="E40" s="2"/>
      <c r="F40" s="162">
        <v>44935</v>
      </c>
      <c r="G40" s="144">
        <v>109.75</v>
      </c>
      <c r="H40" s="150">
        <v>1110.93</v>
      </c>
      <c r="I40" s="144">
        <v>29.72701</v>
      </c>
      <c r="J40" s="14"/>
      <c r="K40" s="14"/>
    </row>
    <row r="41" spans="5:18">
      <c r="E41" s="2"/>
      <c r="F41" s="162">
        <v>44936</v>
      </c>
      <c r="G41" s="144">
        <v>4990.5</v>
      </c>
      <c r="H41" s="150">
        <v>1558.0260000000001</v>
      </c>
      <c r="I41" s="144">
        <v>47.44341</v>
      </c>
      <c r="J41" s="14"/>
      <c r="K41" s="14"/>
    </row>
    <row r="42" spans="5:18">
      <c r="E42" s="2"/>
      <c r="F42" s="162">
        <v>44937</v>
      </c>
      <c r="G42" s="144">
        <v>5454.25</v>
      </c>
      <c r="H42" s="150">
        <v>1627.347</v>
      </c>
      <c r="I42" s="144">
        <v>38.268300000000004</v>
      </c>
      <c r="J42" s="14"/>
      <c r="K42" s="14"/>
    </row>
    <row r="43" spans="5:18">
      <c r="E43" s="2"/>
      <c r="F43" s="162">
        <v>44938</v>
      </c>
      <c r="G43" s="144">
        <v>10752.75</v>
      </c>
      <c r="H43" s="150">
        <v>3524.9659999999999</v>
      </c>
      <c r="I43" s="144">
        <v>37.000309999999999</v>
      </c>
      <c r="J43" s="14"/>
      <c r="K43" s="14"/>
    </row>
    <row r="44" spans="5:18">
      <c r="E44" s="2"/>
      <c r="F44" s="162">
        <v>44939</v>
      </c>
      <c r="G44" s="144">
        <v>3877.25</v>
      </c>
      <c r="H44" s="150">
        <v>1268.9549999999999</v>
      </c>
      <c r="I44" s="144">
        <v>45.566369999999999</v>
      </c>
      <c r="J44" s="14"/>
      <c r="K44" s="14"/>
    </row>
    <row r="45" spans="5:18">
      <c r="E45" s="2"/>
      <c r="F45" s="162">
        <v>44940</v>
      </c>
      <c r="G45" s="144">
        <v>6357.25</v>
      </c>
      <c r="H45" s="150">
        <v>1960.5530000000001</v>
      </c>
      <c r="I45" s="144">
        <v>30.547889999999999</v>
      </c>
      <c r="J45" s="14"/>
      <c r="K45" s="14"/>
    </row>
    <row r="46" spans="5:18">
      <c r="E46" s="2"/>
      <c r="F46" s="162">
        <v>44941</v>
      </c>
      <c r="G46" s="144">
        <v>8390.5</v>
      </c>
      <c r="H46" s="150">
        <v>3289.1779999999999</v>
      </c>
      <c r="I46" s="144">
        <v>23.462039999999998</v>
      </c>
      <c r="J46" s="14"/>
      <c r="K46" s="14"/>
    </row>
    <row r="47" spans="5:18">
      <c r="E47" s="2"/>
      <c r="F47" s="162">
        <v>44942</v>
      </c>
      <c r="G47" s="144">
        <v>20.75</v>
      </c>
      <c r="H47" s="150">
        <v>220.64660000000001</v>
      </c>
      <c r="I47" s="144">
        <v>25.687729999999998</v>
      </c>
      <c r="J47" s="14"/>
      <c r="K47" s="14"/>
    </row>
    <row r="48" spans="5:18">
      <c r="E48" s="2"/>
      <c r="F48" s="162">
        <v>44943</v>
      </c>
      <c r="G48" s="144">
        <v>518.75</v>
      </c>
      <c r="H48" s="150">
        <v>2611.2910000000002</v>
      </c>
      <c r="I48" s="144">
        <v>16.501609999999999</v>
      </c>
      <c r="J48" s="14"/>
      <c r="K48" s="14"/>
    </row>
    <row r="49" spans="3:12">
      <c r="E49" s="2"/>
      <c r="F49" s="162">
        <v>44944</v>
      </c>
      <c r="G49" s="144">
        <v>517.75</v>
      </c>
      <c r="H49" s="150">
        <v>2045.0060000000001</v>
      </c>
      <c r="I49" s="144">
        <v>20.413150000000002</v>
      </c>
      <c r="J49" s="14"/>
      <c r="K49" s="14"/>
    </row>
    <row r="50" spans="3:12">
      <c r="E50" s="2"/>
      <c r="F50" s="162">
        <v>44945</v>
      </c>
      <c r="G50" s="144">
        <v>226.25</v>
      </c>
      <c r="H50" s="150">
        <v>870.38649999999996</v>
      </c>
      <c r="I50" s="144">
        <v>22.826090000000001</v>
      </c>
      <c r="J50" s="14"/>
      <c r="K50" s="14"/>
    </row>
    <row r="51" spans="3:12">
      <c r="E51" s="2"/>
      <c r="F51" s="162">
        <v>44946</v>
      </c>
      <c r="G51" s="144">
        <v>638</v>
      </c>
      <c r="H51" s="150">
        <v>2495.567</v>
      </c>
      <c r="I51" s="144">
        <v>15.137639999999999</v>
      </c>
      <c r="J51" s="14"/>
      <c r="K51" s="14"/>
    </row>
    <row r="52" spans="3:12">
      <c r="E52" s="2"/>
      <c r="F52" s="162">
        <v>44947</v>
      </c>
      <c r="G52" s="144">
        <v>817.25</v>
      </c>
      <c r="H52" s="150">
        <v>3870.9670000000001</v>
      </c>
      <c r="I52" s="144">
        <v>15.595129999999999</v>
      </c>
      <c r="J52" s="14"/>
      <c r="K52" s="14"/>
    </row>
    <row r="53" spans="3:12">
      <c r="E53" s="2"/>
      <c r="F53" s="162">
        <v>44948</v>
      </c>
      <c r="G53" s="144">
        <v>1248</v>
      </c>
      <c r="H53" s="150">
        <v>3502.6819999999998</v>
      </c>
      <c r="I53" s="144">
        <v>26.294809999999998</v>
      </c>
      <c r="J53" s="14"/>
      <c r="K53" s="14"/>
    </row>
    <row r="54" spans="3:12">
      <c r="E54" s="2"/>
      <c r="F54" s="162">
        <v>44949</v>
      </c>
      <c r="G54" s="144">
        <v>1215.5</v>
      </c>
      <c r="H54" s="150">
        <v>795.97799999999995</v>
      </c>
      <c r="I54" s="144">
        <v>33.823720000000002</v>
      </c>
      <c r="J54" s="14"/>
      <c r="K54" s="14"/>
    </row>
    <row r="55" spans="3:12">
      <c r="E55" s="2"/>
      <c r="F55" s="162">
        <v>44950</v>
      </c>
      <c r="G55" s="144">
        <v>282.5</v>
      </c>
      <c r="H55" s="150">
        <v>281.5052</v>
      </c>
      <c r="I55" s="144">
        <v>34.406440000000003</v>
      </c>
      <c r="J55" s="14"/>
      <c r="K55" s="14"/>
    </row>
    <row r="56" spans="3:12">
      <c r="E56" s="2"/>
      <c r="F56" s="162">
        <v>44951</v>
      </c>
      <c r="G56" s="144">
        <v>2917.25</v>
      </c>
      <c r="H56" s="150">
        <v>827.97379999999998</v>
      </c>
      <c r="I56" s="144">
        <v>45.522449999999999</v>
      </c>
      <c r="J56" s="14"/>
      <c r="K56" s="14"/>
    </row>
    <row r="57" spans="3:12">
      <c r="E57" s="2"/>
      <c r="F57" s="162">
        <v>44952</v>
      </c>
      <c r="G57" s="144">
        <v>1909.25</v>
      </c>
      <c r="H57" s="150">
        <v>528.28449999999998</v>
      </c>
      <c r="I57" s="144">
        <v>37.95805</v>
      </c>
      <c r="J57" s="14"/>
      <c r="K57" s="14"/>
    </row>
    <row r="58" spans="3:12">
      <c r="E58" s="2"/>
      <c r="F58" s="162">
        <v>44953</v>
      </c>
      <c r="G58" s="144">
        <v>2556.25</v>
      </c>
      <c r="H58" s="150">
        <v>721.13620000000003</v>
      </c>
      <c r="I58" s="144">
        <v>36.473779999999998</v>
      </c>
      <c r="J58" s="14"/>
      <c r="K58" s="14"/>
    </row>
    <row r="59" spans="3:12">
      <c r="E59" s="2"/>
      <c r="F59" s="162">
        <v>44954</v>
      </c>
      <c r="G59" s="144">
        <v>474.75</v>
      </c>
      <c r="H59" s="150">
        <v>381.29090000000002</v>
      </c>
      <c r="I59" s="144">
        <v>34.190240000000003</v>
      </c>
      <c r="J59" s="14"/>
      <c r="K59" s="14"/>
    </row>
    <row r="60" spans="3:12">
      <c r="E60" s="2"/>
      <c r="F60" s="162">
        <v>44955</v>
      </c>
      <c r="G60" s="144">
        <v>1852</v>
      </c>
      <c r="H60" s="150">
        <v>908.18510000000003</v>
      </c>
      <c r="I60" s="144">
        <v>31.73085</v>
      </c>
      <c r="J60" s="14"/>
      <c r="K60" s="14"/>
    </row>
    <row r="61" spans="3:12">
      <c r="E61" s="2"/>
      <c r="F61" s="162">
        <v>44956</v>
      </c>
      <c r="G61" s="144">
        <v>1484.25</v>
      </c>
      <c r="H61" s="150">
        <v>719.53440000000001</v>
      </c>
      <c r="I61" s="144">
        <v>27.977450000000001</v>
      </c>
      <c r="J61" s="14"/>
      <c r="K61" s="14"/>
    </row>
    <row r="62" spans="3:12">
      <c r="F62" s="162">
        <v>44957</v>
      </c>
      <c r="G62" s="144">
        <v>2555.75</v>
      </c>
      <c r="H62" s="150">
        <v>891.65329999999994</v>
      </c>
      <c r="I62" s="144">
        <v>30.243469999999999</v>
      </c>
    </row>
    <row r="63" spans="3:12">
      <c r="F63" s="145"/>
      <c r="G63" s="2"/>
      <c r="H63" s="2"/>
      <c r="I63" s="2"/>
    </row>
    <row r="64" spans="3:12">
      <c r="C64" s="175" t="s">
        <v>33</v>
      </c>
      <c r="D64" s="176"/>
      <c r="E64" s="176"/>
      <c r="F64" s="176"/>
      <c r="G64" s="176"/>
      <c r="H64" s="176"/>
      <c r="I64" s="176"/>
      <c r="J64" s="176"/>
      <c r="K64" s="176"/>
      <c r="L64" s="177"/>
    </row>
    <row r="65" spans="3:12" ht="15" customHeight="1">
      <c r="C65" s="183"/>
      <c r="D65" s="184"/>
      <c r="E65" s="184"/>
      <c r="F65" s="184"/>
      <c r="G65" s="184"/>
      <c r="H65" s="184"/>
      <c r="I65" s="184"/>
      <c r="J65" s="184"/>
      <c r="K65" s="184"/>
      <c r="L65" s="185"/>
    </row>
    <row r="66" spans="3:12">
      <c r="C66" s="186"/>
      <c r="D66" s="187"/>
      <c r="E66" s="187"/>
      <c r="F66" s="187"/>
      <c r="G66" s="187"/>
      <c r="H66" s="187"/>
      <c r="I66" s="187"/>
      <c r="J66" s="187"/>
      <c r="K66" s="187"/>
      <c r="L66" s="188"/>
    </row>
    <row r="67" spans="3:12">
      <c r="C67" s="189"/>
      <c r="D67" s="190"/>
      <c r="E67" s="190"/>
      <c r="F67" s="190"/>
      <c r="G67" s="190"/>
      <c r="H67" s="190"/>
      <c r="I67" s="190"/>
      <c r="J67" s="190"/>
      <c r="K67" s="190"/>
      <c r="L67" s="191"/>
    </row>
    <row r="68" spans="3:12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>
      <c r="C69" s="175" t="s">
        <v>34</v>
      </c>
      <c r="D69" s="176"/>
      <c r="E69" s="176"/>
      <c r="F69" s="176"/>
      <c r="G69" s="176"/>
      <c r="H69" s="176"/>
      <c r="I69" s="176"/>
      <c r="J69" s="176"/>
      <c r="K69" s="176"/>
      <c r="L69" s="177"/>
    </row>
    <row r="70" spans="3:12" ht="14.85" customHeight="1">
      <c r="C70" s="183"/>
      <c r="D70" s="184"/>
      <c r="E70" s="184"/>
      <c r="F70" s="184"/>
      <c r="G70" s="184"/>
      <c r="H70" s="184"/>
      <c r="I70" s="184"/>
      <c r="J70" s="184"/>
      <c r="K70" s="184"/>
      <c r="L70" s="185"/>
    </row>
    <row r="71" spans="3:12">
      <c r="C71" s="186"/>
      <c r="D71" s="187"/>
      <c r="E71" s="187"/>
      <c r="F71" s="187"/>
      <c r="G71" s="187"/>
      <c r="H71" s="187"/>
      <c r="I71" s="187"/>
      <c r="J71" s="187"/>
      <c r="K71" s="187"/>
      <c r="L71" s="188"/>
    </row>
    <row r="72" spans="3:12">
      <c r="C72" s="189"/>
      <c r="D72" s="190"/>
      <c r="E72" s="190"/>
      <c r="F72" s="190"/>
      <c r="G72" s="190"/>
      <c r="H72" s="190"/>
      <c r="I72" s="190"/>
      <c r="J72" s="190"/>
      <c r="K72" s="190"/>
      <c r="L72" s="191"/>
    </row>
    <row r="73" spans="3:12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E1:J1"/>
    <mergeCell ref="E2:J2"/>
    <mergeCell ref="E3:J3"/>
    <mergeCell ref="E8:I8"/>
    <mergeCell ref="E9:I9"/>
    <mergeCell ref="E6:I6"/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M72"/>
  <sheetViews>
    <sheetView topLeftCell="A69" zoomScale="80" zoomScaleNormal="80" workbookViewId="0">
      <selection activeCell="H57" sqref="H57"/>
    </sheetView>
  </sheetViews>
  <sheetFormatPr defaultColWidth="9" defaultRowHeight="14.2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7" t="s">
        <v>36</v>
      </c>
      <c r="F1" s="217"/>
      <c r="G1" s="217"/>
      <c r="H1" s="217"/>
      <c r="I1" s="217"/>
      <c r="J1" s="217"/>
    </row>
    <row r="2" spans="3:13">
      <c r="E2" s="218" t="s">
        <v>23</v>
      </c>
      <c r="F2" s="218"/>
      <c r="G2" s="218"/>
      <c r="H2" s="218"/>
      <c r="I2" s="218"/>
      <c r="J2" s="218"/>
    </row>
    <row r="3" spans="3:13" ht="14.25" customHeight="1">
      <c r="E3" s="195" t="s">
        <v>24</v>
      </c>
      <c r="F3" s="196"/>
      <c r="G3" s="196"/>
      <c r="H3" s="196"/>
      <c r="I3" s="196"/>
      <c r="J3" s="196"/>
    </row>
    <row r="5" spans="3:13">
      <c r="C5" s="209" t="s">
        <v>25</v>
      </c>
      <c r="D5" s="210"/>
      <c r="E5" s="210"/>
      <c r="F5" s="210"/>
      <c r="G5" s="210"/>
      <c r="H5" s="210"/>
      <c r="I5" s="210"/>
      <c r="J5" s="210"/>
      <c r="K5" s="210"/>
      <c r="L5" s="211"/>
    </row>
    <row r="6" spans="3:13">
      <c r="C6" s="107"/>
      <c r="D6" s="108"/>
      <c r="E6" s="219" t="s">
        <v>2</v>
      </c>
      <c r="F6" s="219"/>
      <c r="G6" s="219"/>
      <c r="H6" s="219"/>
      <c r="I6" s="219"/>
      <c r="J6" s="109">
        <f>SUM(G32:G62)</f>
        <v>290245</v>
      </c>
      <c r="K6" s="108"/>
      <c r="L6" s="110"/>
    </row>
    <row r="7" spans="3:13">
      <c r="C7" s="111"/>
      <c r="E7" s="216" t="s">
        <v>4</v>
      </c>
      <c r="F7" s="216"/>
      <c r="G7" s="216"/>
      <c r="H7" s="216"/>
      <c r="I7" s="216"/>
      <c r="J7" s="112">
        <f>'Predicted Data'!D29</f>
        <v>359065</v>
      </c>
      <c r="K7" s="113"/>
      <c r="L7" s="114"/>
    </row>
    <row r="8" spans="3:13" ht="15.75">
      <c r="C8" s="111"/>
      <c r="E8" s="216" t="s">
        <v>6</v>
      </c>
      <c r="F8" s="216"/>
      <c r="G8" s="216"/>
      <c r="H8" s="216"/>
      <c r="I8" s="216"/>
      <c r="J8" s="112">
        <f>SUM(H32:H62)</f>
        <v>104278.00111000001</v>
      </c>
      <c r="L8" s="114"/>
    </row>
    <row r="9" spans="3:13" ht="15.75">
      <c r="C9" s="111"/>
      <c r="E9" s="216" t="s">
        <v>8</v>
      </c>
      <c r="F9" s="216"/>
      <c r="G9" s="216"/>
      <c r="H9" s="216"/>
      <c r="I9" s="216"/>
      <c r="J9" s="115"/>
      <c r="K9" s="113"/>
      <c r="L9" s="114"/>
    </row>
    <row r="10" spans="3:13">
      <c r="C10" s="111"/>
      <c r="E10" s="216" t="s">
        <v>10</v>
      </c>
      <c r="F10" s="216"/>
      <c r="G10" s="216"/>
      <c r="H10" s="216"/>
      <c r="I10" s="216"/>
      <c r="J10" s="116">
        <f>'Plant Health'!K79</f>
        <v>287392.10129999998</v>
      </c>
      <c r="L10" s="114"/>
    </row>
    <row r="11" spans="3:13">
      <c r="C11" s="111"/>
      <c r="E11" s="216" t="s">
        <v>12</v>
      </c>
      <c r="F11" s="216"/>
      <c r="G11" s="216"/>
      <c r="H11" s="216"/>
      <c r="I11" s="216"/>
      <c r="J11" s="117">
        <f>J6/J10</f>
        <v>1.0099268514586697</v>
      </c>
      <c r="L11" s="114"/>
      <c r="M11" s="118"/>
    </row>
    <row r="12" spans="3:13">
      <c r="C12" s="111"/>
      <c r="E12" s="216" t="s">
        <v>16</v>
      </c>
      <c r="F12" s="216"/>
      <c r="G12" s="216"/>
      <c r="H12" s="216"/>
      <c r="I12" s="216"/>
      <c r="J12" s="117">
        <f>J6/J7</f>
        <v>0.80833553813376413</v>
      </c>
      <c r="L12" s="114"/>
    </row>
    <row r="13" spans="3:13">
      <c r="C13" s="111"/>
      <c r="E13" s="216" t="s">
        <v>18</v>
      </c>
      <c r="F13" s="216"/>
      <c r="G13" s="216"/>
      <c r="H13" s="216"/>
      <c r="I13" s="216"/>
      <c r="J13" s="117">
        <f>Availability!F38</f>
        <v>1</v>
      </c>
      <c r="L13" s="114"/>
    </row>
    <row r="14" spans="3:13">
      <c r="C14" s="119"/>
      <c r="D14" s="120"/>
      <c r="E14" s="208" t="s">
        <v>20</v>
      </c>
      <c r="F14" s="208"/>
      <c r="G14" s="208"/>
      <c r="H14" s="208"/>
      <c r="I14" s="208"/>
      <c r="J14" s="121">
        <f>Availability!F50</f>
        <v>1</v>
      </c>
      <c r="K14" s="120"/>
      <c r="L14" s="122"/>
    </row>
    <row r="16" spans="3:13">
      <c r="C16" s="209" t="s">
        <v>27</v>
      </c>
      <c r="D16" s="210"/>
      <c r="E16" s="210"/>
      <c r="F16" s="210"/>
      <c r="G16" s="210"/>
      <c r="H16" s="210"/>
      <c r="I16" s="210"/>
      <c r="J16" s="210"/>
      <c r="K16" s="210"/>
      <c r="L16" s="211"/>
    </row>
    <row r="30" spans="5:12">
      <c r="E30" s="123"/>
      <c r="F30" s="212" t="s">
        <v>28</v>
      </c>
      <c r="G30" s="212"/>
      <c r="H30" s="212"/>
      <c r="I30" s="212"/>
      <c r="J30" s="123"/>
      <c r="K30" s="123"/>
      <c r="L30" s="123"/>
    </row>
    <row r="31" spans="5:12" s="127" customFormat="1" ht="44.1" customHeight="1">
      <c r="E31" s="124"/>
      <c r="F31" s="125" t="s">
        <v>29</v>
      </c>
      <c r="G31" s="147" t="s">
        <v>30</v>
      </c>
      <c r="H31" s="147" t="s">
        <v>31</v>
      </c>
      <c r="I31" s="126" t="s">
        <v>32</v>
      </c>
      <c r="K31" s="124"/>
    </row>
    <row r="32" spans="5:12">
      <c r="F32" s="146">
        <v>44927</v>
      </c>
      <c r="G32" s="150">
        <v>8555.5</v>
      </c>
      <c r="H32" s="144">
        <v>3063.7539999999999</v>
      </c>
      <c r="I32" s="144">
        <v>36.730589999999999</v>
      </c>
      <c r="K32" s="128"/>
    </row>
    <row r="33" spans="6:11">
      <c r="F33" s="146">
        <v>44928</v>
      </c>
      <c r="G33" s="150">
        <v>4276</v>
      </c>
      <c r="H33" s="144">
        <v>1168.038</v>
      </c>
      <c r="I33" s="144">
        <v>38.375160000000001</v>
      </c>
      <c r="K33" s="128"/>
    </row>
    <row r="34" spans="6:11">
      <c r="F34" s="146">
        <v>44929</v>
      </c>
      <c r="G34" s="150">
        <v>10581.5</v>
      </c>
      <c r="H34" s="144">
        <v>3828.8969999999999</v>
      </c>
      <c r="I34" s="144">
        <v>44.592489999999998</v>
      </c>
      <c r="K34" s="128"/>
    </row>
    <row r="35" spans="6:11">
      <c r="F35" s="146">
        <v>44930</v>
      </c>
      <c r="G35" s="150">
        <v>9959.5</v>
      </c>
      <c r="H35" s="144">
        <v>3507.0410000000002</v>
      </c>
      <c r="I35" s="144">
        <v>46.167450000000002</v>
      </c>
      <c r="K35" s="128"/>
    </row>
    <row r="36" spans="6:11">
      <c r="F36" s="146">
        <v>44931</v>
      </c>
      <c r="G36" s="150">
        <v>4895</v>
      </c>
      <c r="H36" s="144">
        <v>1645.556</v>
      </c>
      <c r="I36" s="144">
        <v>49.041080000000001</v>
      </c>
      <c r="K36" s="128"/>
    </row>
    <row r="37" spans="6:11">
      <c r="F37" s="146">
        <v>44932</v>
      </c>
      <c r="G37" s="150">
        <v>4380.5</v>
      </c>
      <c r="H37" s="144">
        <v>1355.287</v>
      </c>
      <c r="I37" s="144">
        <v>43.218780000000002</v>
      </c>
      <c r="K37" s="128"/>
    </row>
    <row r="38" spans="6:11">
      <c r="F38" s="146">
        <v>44933</v>
      </c>
      <c r="G38" s="150">
        <v>13644.5</v>
      </c>
      <c r="H38" s="144">
        <v>4975.4979999999996</v>
      </c>
      <c r="I38" s="144">
        <v>46.444949999999999</v>
      </c>
      <c r="K38" s="128"/>
    </row>
    <row r="39" spans="6:11">
      <c r="F39" s="146">
        <v>44934</v>
      </c>
      <c r="G39" s="150">
        <v>1644.5</v>
      </c>
      <c r="H39" s="144">
        <v>380.0204</v>
      </c>
      <c r="I39" s="144">
        <v>49.927660000000003</v>
      </c>
      <c r="K39" s="128"/>
    </row>
    <row r="40" spans="6:11">
      <c r="F40" s="146">
        <v>44935</v>
      </c>
      <c r="G40" s="150">
        <v>14028</v>
      </c>
      <c r="H40" s="144">
        <v>5248.7709999999997</v>
      </c>
      <c r="I40" s="144">
        <v>37.703189999999999</v>
      </c>
      <c r="K40" s="128"/>
    </row>
    <row r="41" spans="6:11">
      <c r="F41" s="146">
        <v>44936</v>
      </c>
      <c r="G41" s="150">
        <v>13717.5</v>
      </c>
      <c r="H41" s="144">
        <v>5170.0060000000003</v>
      </c>
      <c r="I41" s="144">
        <v>49.672089999999997</v>
      </c>
      <c r="K41" s="128"/>
    </row>
    <row r="42" spans="6:11">
      <c r="F42" s="146">
        <v>44937</v>
      </c>
      <c r="G42" s="150">
        <v>13146</v>
      </c>
      <c r="H42" s="144">
        <v>4912.674</v>
      </c>
      <c r="I42" s="144">
        <v>53.597949999999997</v>
      </c>
      <c r="K42" s="128"/>
    </row>
    <row r="43" spans="6:11">
      <c r="F43" s="146">
        <v>44938</v>
      </c>
      <c r="G43" s="150">
        <v>13915.5</v>
      </c>
      <c r="H43" s="144">
        <v>5161.9430000000002</v>
      </c>
      <c r="I43" s="144">
        <v>37.477820000000001</v>
      </c>
      <c r="K43" s="128"/>
    </row>
    <row r="44" spans="6:11">
      <c r="F44" s="146">
        <v>44939</v>
      </c>
      <c r="G44" s="150">
        <v>13333.5</v>
      </c>
      <c r="H44" s="144">
        <v>5035.6130000000003</v>
      </c>
      <c r="I44" s="144">
        <v>37.797080000000001</v>
      </c>
      <c r="K44" s="128"/>
    </row>
    <row r="45" spans="6:11">
      <c r="F45" s="146">
        <v>44940</v>
      </c>
      <c r="G45" s="150">
        <v>1850.5</v>
      </c>
      <c r="H45" s="144">
        <v>415.8854</v>
      </c>
      <c r="I45" s="144">
        <v>13.79696</v>
      </c>
      <c r="K45" s="128"/>
    </row>
    <row r="46" spans="6:11">
      <c r="F46" s="146">
        <v>44941</v>
      </c>
      <c r="G46" s="150">
        <v>10369.5</v>
      </c>
      <c r="H46" s="144">
        <v>4151.8149999999996</v>
      </c>
      <c r="I46" s="144">
        <v>15.956899999999999</v>
      </c>
      <c r="K46" s="128"/>
    </row>
    <row r="47" spans="6:11">
      <c r="F47" s="146">
        <v>44942</v>
      </c>
      <c r="G47" s="150">
        <v>15330.5</v>
      </c>
      <c r="H47" s="144">
        <v>5657.2</v>
      </c>
      <c r="I47" s="144">
        <v>17.43852</v>
      </c>
      <c r="K47" s="128"/>
    </row>
    <row r="48" spans="6:11">
      <c r="F48" s="146">
        <v>44943</v>
      </c>
      <c r="G48" s="150">
        <v>14762</v>
      </c>
      <c r="H48" s="144">
        <v>5490.4470000000001</v>
      </c>
      <c r="I48" s="144">
        <v>30.494150000000001</v>
      </c>
      <c r="K48" s="128"/>
    </row>
    <row r="49" spans="3:12">
      <c r="F49" s="146">
        <v>44944</v>
      </c>
      <c r="G49" s="150">
        <v>13488</v>
      </c>
      <c r="H49" s="144">
        <v>5131.8710000000001</v>
      </c>
      <c r="I49" s="144">
        <v>44.824060000000003</v>
      </c>
      <c r="K49" s="128"/>
    </row>
    <row r="50" spans="3:12">
      <c r="F50" s="146">
        <v>44945</v>
      </c>
      <c r="G50" s="150">
        <v>15015.5</v>
      </c>
      <c r="H50" s="144">
        <v>5514.6220000000003</v>
      </c>
      <c r="I50" s="144">
        <v>29.16985</v>
      </c>
      <c r="K50" s="128"/>
    </row>
    <row r="51" spans="3:12">
      <c r="F51" s="146">
        <v>44946</v>
      </c>
      <c r="G51" s="150">
        <v>14299.5</v>
      </c>
      <c r="H51" s="144">
        <v>5105.0240000000003</v>
      </c>
      <c r="I51" s="144">
        <v>26.451049999999999</v>
      </c>
      <c r="K51" s="128"/>
    </row>
    <row r="52" spans="3:12">
      <c r="F52" s="146">
        <v>44947</v>
      </c>
      <c r="G52" s="150">
        <v>3532.5</v>
      </c>
      <c r="H52" s="144">
        <v>916.41390000000001</v>
      </c>
      <c r="I52" s="144">
        <v>35.871690000000001</v>
      </c>
      <c r="K52" s="128"/>
    </row>
    <row r="53" spans="3:12">
      <c r="F53" s="146">
        <v>44948</v>
      </c>
      <c r="G53" s="150">
        <v>1310.5</v>
      </c>
      <c r="H53" s="144">
        <v>89.085809999999995</v>
      </c>
      <c r="I53" s="144">
        <v>35.531260000000003</v>
      </c>
      <c r="K53" s="128"/>
    </row>
    <row r="54" spans="3:12">
      <c r="F54" s="146">
        <v>44949</v>
      </c>
      <c r="G54" s="150">
        <v>1737</v>
      </c>
      <c r="H54" s="144">
        <v>252.27109999999999</v>
      </c>
      <c r="I54" s="144">
        <v>44.217030000000001</v>
      </c>
      <c r="K54" s="128"/>
    </row>
    <row r="55" spans="3:12">
      <c r="F55" s="146">
        <v>44950</v>
      </c>
      <c r="G55" s="150">
        <v>2204</v>
      </c>
      <c r="H55" s="144">
        <v>438.33280000000002</v>
      </c>
      <c r="I55" s="144">
        <v>48.14978</v>
      </c>
      <c r="K55" s="128"/>
    </row>
    <row r="56" spans="3:12">
      <c r="F56" s="146">
        <v>44951</v>
      </c>
      <c r="G56" s="150">
        <v>4214.5</v>
      </c>
      <c r="H56" s="144">
        <v>1347.3579999999999</v>
      </c>
      <c r="I56" s="144">
        <v>49.656300000000002</v>
      </c>
      <c r="K56" s="128"/>
    </row>
    <row r="57" spans="3:12">
      <c r="F57" s="146">
        <v>44952</v>
      </c>
      <c r="G57" s="150">
        <v>1650.5</v>
      </c>
      <c r="H57" s="144">
        <v>218.54570000000001</v>
      </c>
      <c r="I57" s="144">
        <v>49.653739999999999</v>
      </c>
      <c r="K57" s="128"/>
    </row>
    <row r="58" spans="3:12">
      <c r="F58" s="146">
        <v>44953</v>
      </c>
      <c r="G58" s="150">
        <v>5487</v>
      </c>
      <c r="H58" s="144">
        <v>1946.3589999999999</v>
      </c>
      <c r="I58" s="144">
        <v>44.58952</v>
      </c>
      <c r="K58" s="128"/>
    </row>
    <row r="59" spans="3:12">
      <c r="F59" s="146">
        <v>44954</v>
      </c>
      <c r="G59" s="150">
        <v>15342</v>
      </c>
      <c r="H59" s="144">
        <v>5785.259</v>
      </c>
      <c r="I59" s="144">
        <v>45.8429</v>
      </c>
      <c r="K59" s="128"/>
    </row>
    <row r="60" spans="3:12">
      <c r="F60" s="146">
        <v>44955</v>
      </c>
      <c r="G60" s="150">
        <v>14778.5</v>
      </c>
      <c r="H60" s="144">
        <v>5563.1120000000001</v>
      </c>
      <c r="I60" s="144">
        <v>54.748199999999997</v>
      </c>
      <c r="K60" s="128"/>
    </row>
    <row r="61" spans="3:12">
      <c r="F61" s="146">
        <v>44956</v>
      </c>
      <c r="G61" s="150">
        <v>14977</v>
      </c>
      <c r="H61" s="144">
        <v>5717.3580000000002</v>
      </c>
      <c r="I61" s="144">
        <v>56.88552</v>
      </c>
      <c r="K61" s="128"/>
    </row>
    <row r="62" spans="3:12">
      <c r="F62" s="146">
        <v>44957</v>
      </c>
      <c r="G62" s="148">
        <v>13818.5</v>
      </c>
      <c r="H62" s="149">
        <v>5083.9430000000002</v>
      </c>
      <c r="I62" s="139">
        <v>57.439259999999997</v>
      </c>
    </row>
    <row r="63" spans="3:12">
      <c r="F63" s="138"/>
      <c r="G63" s="129"/>
    </row>
    <row r="64" spans="3:12">
      <c r="C64" s="209" t="s">
        <v>33</v>
      </c>
      <c r="D64" s="210"/>
      <c r="E64" s="210"/>
      <c r="F64" s="210"/>
      <c r="G64" s="210"/>
      <c r="H64" s="210"/>
      <c r="I64" s="210"/>
      <c r="J64" s="210"/>
      <c r="K64" s="210"/>
      <c r="L64" s="211"/>
    </row>
    <row r="65" spans="3:12" ht="15" customHeight="1">
      <c r="C65" s="199"/>
      <c r="D65" s="200"/>
      <c r="E65" s="200"/>
      <c r="F65" s="200"/>
      <c r="G65" s="200"/>
      <c r="H65" s="200"/>
      <c r="I65" s="200"/>
      <c r="J65" s="200"/>
      <c r="K65" s="200"/>
      <c r="L65" s="201"/>
    </row>
    <row r="66" spans="3:12">
      <c r="C66" s="202"/>
      <c r="D66" s="203"/>
      <c r="E66" s="203"/>
      <c r="F66" s="203"/>
      <c r="G66" s="203"/>
      <c r="H66" s="203"/>
      <c r="I66" s="203"/>
      <c r="J66" s="203"/>
      <c r="K66" s="203"/>
      <c r="L66" s="204"/>
    </row>
    <row r="67" spans="3:12">
      <c r="C67" s="205"/>
      <c r="D67" s="206"/>
      <c r="E67" s="206"/>
      <c r="F67" s="206"/>
      <c r="G67" s="206"/>
      <c r="H67" s="206"/>
      <c r="I67" s="206"/>
      <c r="J67" s="206"/>
      <c r="K67" s="206"/>
      <c r="L67" s="207"/>
    </row>
    <row r="69" spans="3:12">
      <c r="C69" s="213" t="s">
        <v>34</v>
      </c>
      <c r="D69" s="214"/>
      <c r="E69" s="214"/>
      <c r="F69" s="214"/>
      <c r="G69" s="214"/>
      <c r="H69" s="214"/>
      <c r="I69" s="214"/>
      <c r="J69" s="214"/>
      <c r="K69" s="214"/>
      <c r="L69" s="215"/>
    </row>
    <row r="70" spans="3:12" ht="14.85" customHeight="1">
      <c r="C70" s="199"/>
      <c r="D70" s="200"/>
      <c r="E70" s="200"/>
      <c r="F70" s="200"/>
      <c r="G70" s="200"/>
      <c r="H70" s="200"/>
      <c r="I70" s="200"/>
      <c r="J70" s="200"/>
      <c r="K70" s="200"/>
      <c r="L70" s="201"/>
    </row>
    <row r="71" spans="3:12">
      <c r="C71" s="202"/>
      <c r="D71" s="203"/>
      <c r="E71" s="203"/>
      <c r="F71" s="203"/>
      <c r="G71" s="203"/>
      <c r="H71" s="203"/>
      <c r="I71" s="203"/>
      <c r="J71" s="203"/>
      <c r="K71" s="203"/>
      <c r="L71" s="204"/>
    </row>
    <row r="72" spans="3:12">
      <c r="C72" s="205"/>
      <c r="D72" s="206"/>
      <c r="E72" s="206"/>
      <c r="F72" s="206"/>
      <c r="G72" s="206"/>
      <c r="H72" s="206"/>
      <c r="I72" s="206"/>
      <c r="J72" s="206"/>
      <c r="K72" s="206"/>
      <c r="L72" s="207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0:L72"/>
    <mergeCell ref="E14:I14"/>
    <mergeCell ref="C16:L16"/>
    <mergeCell ref="F30:I30"/>
    <mergeCell ref="C64:L64"/>
    <mergeCell ref="C65:L67"/>
    <mergeCell ref="C69:L69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12" zoomScaleNormal="100" workbookViewId="0">
      <selection activeCell="N46" sqref="N46"/>
    </sheetView>
  </sheetViews>
  <sheetFormatPr defaultRowHeight="14.2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3" t="s">
        <v>37</v>
      </c>
      <c r="D4" s="224"/>
      <c r="E4" s="225"/>
      <c r="G4" s="223" t="s">
        <v>38</v>
      </c>
      <c r="H4" s="224"/>
      <c r="I4" s="225"/>
    </row>
    <row r="5" spans="3:9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>
      <c r="C6" s="43" t="s">
        <v>39</v>
      </c>
      <c r="D6" s="46"/>
      <c r="E6" s="46"/>
      <c r="G6" s="43" t="s">
        <v>39</v>
      </c>
      <c r="H6" s="62">
        <v>0.99899000000000004</v>
      </c>
      <c r="I6" s="62">
        <v>0.99677000000000004</v>
      </c>
    </row>
    <row r="7" spans="3:9">
      <c r="C7" s="43" t="s">
        <v>40</v>
      </c>
      <c r="D7" s="46"/>
      <c r="E7" s="46"/>
      <c r="G7" s="43" t="s">
        <v>40</v>
      </c>
      <c r="H7" s="62">
        <v>0.99977000000000005</v>
      </c>
      <c r="I7" s="62">
        <v>0.96015000000000006</v>
      </c>
    </row>
    <row r="8" spans="3:9">
      <c r="C8" s="43" t="s">
        <v>41</v>
      </c>
      <c r="D8" s="46"/>
      <c r="E8" s="46"/>
      <c r="G8" s="43" t="s">
        <v>41</v>
      </c>
      <c r="H8" s="62">
        <v>0.99834999999999996</v>
      </c>
      <c r="I8" s="62">
        <v>0.99973000000000001</v>
      </c>
    </row>
    <row r="9" spans="3:9">
      <c r="C9" s="43" t="s">
        <v>42</v>
      </c>
      <c r="D9" s="46"/>
      <c r="E9" s="46"/>
      <c r="G9" s="43" t="s">
        <v>42</v>
      </c>
      <c r="H9" s="62">
        <v>1</v>
      </c>
      <c r="I9" s="62">
        <v>1</v>
      </c>
    </row>
    <row r="10" spans="3:9">
      <c r="C10" s="43" t="s">
        <v>43</v>
      </c>
      <c r="D10" s="46"/>
      <c r="E10" s="46"/>
      <c r="G10" s="43" t="s">
        <v>43</v>
      </c>
      <c r="H10" s="62">
        <v>1</v>
      </c>
      <c r="I10" s="62">
        <v>1</v>
      </c>
    </row>
    <row r="11" spans="3:9">
      <c r="C11" s="43" t="s">
        <v>44</v>
      </c>
      <c r="D11" s="46"/>
      <c r="E11" s="46"/>
      <c r="G11" s="43" t="s">
        <v>44</v>
      </c>
      <c r="H11" s="62">
        <v>1</v>
      </c>
      <c r="I11" s="62">
        <v>0.99909999999999999</v>
      </c>
    </row>
    <row r="12" spans="3:9">
      <c r="C12" s="43" t="s">
        <v>45</v>
      </c>
      <c r="D12" s="46">
        <v>0.98024</v>
      </c>
      <c r="E12" s="46">
        <v>1</v>
      </c>
      <c r="G12" s="43" t="s">
        <v>45</v>
      </c>
      <c r="H12" s="62">
        <v>1</v>
      </c>
      <c r="I12" s="62">
        <v>1</v>
      </c>
    </row>
    <row r="13" spans="3:9">
      <c r="C13" s="43" t="s">
        <v>46</v>
      </c>
      <c r="D13" s="46">
        <v>0.98093999999999992</v>
      </c>
      <c r="E13" s="46">
        <v>1</v>
      </c>
      <c r="G13" s="43" t="s">
        <v>46</v>
      </c>
      <c r="H13" s="90">
        <v>0.998</v>
      </c>
      <c r="I13" s="91">
        <v>1</v>
      </c>
    </row>
    <row r="14" spans="3:9">
      <c r="C14" s="43" t="s">
        <v>47</v>
      </c>
      <c r="D14" s="46">
        <v>0.97177999999999998</v>
      </c>
      <c r="E14" s="46">
        <v>1</v>
      </c>
      <c r="G14" s="43" t="s">
        <v>47</v>
      </c>
      <c r="H14" s="90">
        <v>1</v>
      </c>
      <c r="I14" s="91">
        <v>0.97929999999999995</v>
      </c>
    </row>
    <row r="15" spans="3:9">
      <c r="C15" s="43" t="s">
        <v>48</v>
      </c>
      <c r="D15" s="46">
        <v>0.99820999999999993</v>
      </c>
      <c r="E15" s="46">
        <v>0.99462000000000006</v>
      </c>
      <c r="G15" s="43" t="s">
        <v>48</v>
      </c>
      <c r="H15" s="62">
        <v>1</v>
      </c>
      <c r="I15" s="62">
        <v>1</v>
      </c>
    </row>
    <row r="16" spans="3:9">
      <c r="C16" s="43" t="s">
        <v>49</v>
      </c>
      <c r="D16" s="46">
        <v>1</v>
      </c>
      <c r="E16" s="46">
        <v>1</v>
      </c>
      <c r="G16" s="43" t="s">
        <v>49</v>
      </c>
      <c r="H16" s="62">
        <v>1</v>
      </c>
      <c r="I16" s="46">
        <v>0.98499999999999999</v>
      </c>
    </row>
    <row r="17" spans="3:12">
      <c r="C17" s="43" t="s">
        <v>50</v>
      </c>
      <c r="D17" s="46">
        <v>1</v>
      </c>
      <c r="E17" s="46">
        <v>0.99820999999999993</v>
      </c>
      <c r="G17" s="43" t="s">
        <v>50</v>
      </c>
      <c r="H17" s="46">
        <v>0.98167000000000004</v>
      </c>
      <c r="I17" s="46">
        <v>1</v>
      </c>
    </row>
    <row r="18" spans="3:12">
      <c r="C18" s="56" t="s">
        <v>51</v>
      </c>
      <c r="D18" s="52">
        <f>AVERAGE(D6:D17)</f>
        <v>0.98852833333333334</v>
      </c>
      <c r="E18" s="52">
        <f>AVERAGE(E6:E17)</f>
        <v>0.99880500000000005</v>
      </c>
      <c r="G18" s="56" t="s">
        <v>51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3" t="s">
        <v>52</v>
      </c>
      <c r="D20" s="224"/>
      <c r="E20" s="225"/>
      <c r="G20" s="220" t="s">
        <v>53</v>
      </c>
      <c r="H20" s="226"/>
      <c r="I20" s="221"/>
      <c r="K20" s="220" t="s">
        <v>53</v>
      </c>
      <c r="L20" s="221"/>
    </row>
    <row r="21" spans="3:12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>
      <c r="C22" s="43" t="s">
        <v>39</v>
      </c>
      <c r="D22" s="62">
        <v>1</v>
      </c>
      <c r="E22" s="62">
        <v>1</v>
      </c>
      <c r="G22" s="43" t="s">
        <v>39</v>
      </c>
      <c r="H22" s="62">
        <v>1</v>
      </c>
      <c r="I22" s="62">
        <v>0.99860000000000004</v>
      </c>
      <c r="K22" s="43" t="s">
        <v>39</v>
      </c>
      <c r="L22" s="62">
        <v>0.9647</v>
      </c>
    </row>
    <row r="23" spans="3:12">
      <c r="C23" s="43" t="s">
        <v>40</v>
      </c>
      <c r="D23" s="62">
        <v>1</v>
      </c>
      <c r="E23" s="62">
        <v>0.99867000000000006</v>
      </c>
      <c r="G23" s="43" t="s">
        <v>40</v>
      </c>
      <c r="H23" s="62">
        <v>1</v>
      </c>
      <c r="I23" s="62">
        <v>0.99960000000000004</v>
      </c>
      <c r="K23" s="43" t="s">
        <v>40</v>
      </c>
      <c r="L23" s="62">
        <v>0.82140000000000002</v>
      </c>
    </row>
    <row r="24" spans="3:12">
      <c r="C24" s="43" t="s">
        <v>41</v>
      </c>
      <c r="D24" s="62">
        <v>1</v>
      </c>
      <c r="E24" s="62">
        <v>1</v>
      </c>
      <c r="G24" s="43" t="s">
        <v>41</v>
      </c>
      <c r="H24" s="62">
        <v>1</v>
      </c>
      <c r="I24" s="62">
        <v>1</v>
      </c>
      <c r="K24" s="43" t="s">
        <v>41</v>
      </c>
      <c r="L24" s="62">
        <v>1</v>
      </c>
    </row>
    <row r="25" spans="3:12">
      <c r="C25" s="43" t="s">
        <v>42</v>
      </c>
      <c r="D25" s="62">
        <v>1</v>
      </c>
      <c r="E25" s="62">
        <v>1</v>
      </c>
      <c r="G25" s="43" t="s">
        <v>42</v>
      </c>
      <c r="H25" s="62">
        <v>1</v>
      </c>
      <c r="I25" s="62">
        <v>1</v>
      </c>
      <c r="K25" s="43" t="s">
        <v>42</v>
      </c>
      <c r="L25" s="62">
        <v>1</v>
      </c>
    </row>
    <row r="26" spans="3:12">
      <c r="C26" s="43" t="s">
        <v>43</v>
      </c>
      <c r="D26" s="62">
        <v>0.99953999999999998</v>
      </c>
      <c r="E26" s="62">
        <v>0.99919000000000002</v>
      </c>
      <c r="G26" s="43" t="s">
        <v>43</v>
      </c>
      <c r="H26" s="62">
        <v>1</v>
      </c>
      <c r="I26" s="62">
        <v>1</v>
      </c>
      <c r="K26" s="43" t="s">
        <v>43</v>
      </c>
      <c r="L26" s="62">
        <v>1</v>
      </c>
    </row>
    <row r="27" spans="3:12">
      <c r="C27" s="43" t="s">
        <v>44</v>
      </c>
      <c r="D27" s="62">
        <v>1</v>
      </c>
      <c r="E27" s="62">
        <v>1</v>
      </c>
      <c r="G27" s="43" t="s">
        <v>44</v>
      </c>
      <c r="H27" s="62">
        <v>1</v>
      </c>
      <c r="I27" s="62">
        <v>0.88139999999999996</v>
      </c>
      <c r="K27" s="43" t="s">
        <v>44</v>
      </c>
      <c r="L27" s="137">
        <v>1</v>
      </c>
    </row>
    <row r="28" spans="3:12">
      <c r="C28" s="43" t="s">
        <v>45</v>
      </c>
      <c r="D28" s="62">
        <v>1</v>
      </c>
      <c r="E28" s="62">
        <v>1</v>
      </c>
      <c r="G28" s="43" t="s">
        <v>45</v>
      </c>
      <c r="H28" s="62">
        <v>0.99544999999999995</v>
      </c>
      <c r="I28" s="62">
        <v>1</v>
      </c>
      <c r="K28" s="43" t="s">
        <v>45</v>
      </c>
      <c r="L28" s="137">
        <v>1</v>
      </c>
    </row>
    <row r="29" spans="3:12">
      <c r="C29" s="43" t="s">
        <v>46</v>
      </c>
      <c r="D29" s="62">
        <v>1</v>
      </c>
      <c r="E29" s="62">
        <v>0.99942999999999993</v>
      </c>
      <c r="G29" s="43" t="s">
        <v>46</v>
      </c>
      <c r="H29" s="62">
        <v>1</v>
      </c>
      <c r="I29" s="62">
        <v>1</v>
      </c>
      <c r="K29" s="43" t="s">
        <v>46</v>
      </c>
      <c r="L29" s="62">
        <v>0.98</v>
      </c>
    </row>
    <row r="30" spans="3:12">
      <c r="C30" s="43" t="s">
        <v>47</v>
      </c>
      <c r="D30" s="62">
        <v>1</v>
      </c>
      <c r="E30" s="62">
        <v>1</v>
      </c>
      <c r="G30" s="43" t="s">
        <v>47</v>
      </c>
      <c r="H30" s="62">
        <v>1</v>
      </c>
      <c r="I30" s="62">
        <v>1</v>
      </c>
      <c r="K30" s="43" t="s">
        <v>47</v>
      </c>
      <c r="L30" s="62">
        <v>1</v>
      </c>
    </row>
    <row r="31" spans="3:12">
      <c r="C31" s="43" t="s">
        <v>48</v>
      </c>
      <c r="D31" s="46">
        <v>1</v>
      </c>
      <c r="E31" s="46">
        <v>0.99968000000000001</v>
      </c>
      <c r="G31" s="43" t="s">
        <v>48</v>
      </c>
      <c r="H31" s="62">
        <v>0.99950000000000006</v>
      </c>
      <c r="I31" s="62">
        <v>1</v>
      </c>
      <c r="K31" s="43" t="s">
        <v>48</v>
      </c>
      <c r="L31" s="62">
        <v>1</v>
      </c>
    </row>
    <row r="32" spans="3:12">
      <c r="C32" s="43" t="s">
        <v>49</v>
      </c>
      <c r="D32" s="46">
        <v>1</v>
      </c>
      <c r="E32" s="46">
        <v>0.99951999999999996</v>
      </c>
      <c r="G32" s="43" t="s">
        <v>49</v>
      </c>
      <c r="H32" s="62">
        <v>1</v>
      </c>
      <c r="I32" s="46" t="s">
        <v>54</v>
      </c>
      <c r="K32" s="43" t="s">
        <v>49</v>
      </c>
      <c r="L32" s="152">
        <v>0.96</v>
      </c>
    </row>
    <row r="33" spans="3:12">
      <c r="C33" s="43" t="s">
        <v>50</v>
      </c>
      <c r="D33" s="46">
        <v>1</v>
      </c>
      <c r="E33" s="46">
        <v>1</v>
      </c>
      <c r="G33" s="43" t="s">
        <v>50</v>
      </c>
      <c r="H33" s="46">
        <v>1</v>
      </c>
      <c r="I33" s="46">
        <v>1</v>
      </c>
      <c r="K33" s="43" t="s">
        <v>50</v>
      </c>
      <c r="L33" s="46">
        <v>1</v>
      </c>
    </row>
    <row r="34" spans="3:12">
      <c r="C34" s="56" t="s">
        <v>51</v>
      </c>
      <c r="D34" s="52">
        <f>AVERAGE(D22:D33)</f>
        <v>0.99996166666666664</v>
      </c>
      <c r="E34" s="52">
        <f>AVERAGE(E22:E33)</f>
        <v>0.99970749999999997</v>
      </c>
      <c r="G34" s="56" t="s">
        <v>51</v>
      </c>
      <c r="H34" s="52">
        <f>AVERAGE(H22:H33)</f>
        <v>0.99957916666666657</v>
      </c>
      <c r="I34" s="52">
        <f>AVERAGE(I22:I33)</f>
        <v>0.98905454545454541</v>
      </c>
      <c r="K34" s="56" t="s">
        <v>51</v>
      </c>
      <c r="L34" s="52">
        <f>AVERAGE(L22:L33)</f>
        <v>0.9771749999999999</v>
      </c>
    </row>
    <row r="36" spans="3:12">
      <c r="C36" s="222" t="s">
        <v>55</v>
      </c>
      <c r="D36" s="222"/>
      <c r="E36" s="222"/>
      <c r="F36" s="222"/>
    </row>
    <row r="37" spans="3:12">
      <c r="C37" s="1"/>
      <c r="D37" s="42" t="s">
        <v>35</v>
      </c>
      <c r="E37" s="42" t="s">
        <v>22</v>
      </c>
      <c r="F37" s="42" t="s">
        <v>36</v>
      </c>
    </row>
    <row r="38" spans="3:12">
      <c r="C38" s="43" t="s">
        <v>39</v>
      </c>
      <c r="D38" s="62">
        <v>1</v>
      </c>
      <c r="E38" s="62">
        <v>0.98660000000000003</v>
      </c>
      <c r="F38" s="62">
        <v>1</v>
      </c>
    </row>
    <row r="39" spans="3:12">
      <c r="C39" s="43" t="s">
        <v>40</v>
      </c>
      <c r="D39" s="62"/>
      <c r="E39" s="62"/>
      <c r="F39" s="62"/>
    </row>
    <row r="40" spans="3:12">
      <c r="C40" s="43" t="s">
        <v>41</v>
      </c>
      <c r="D40" s="62"/>
      <c r="E40" s="62"/>
      <c r="F40" s="62"/>
    </row>
    <row r="41" spans="3:12">
      <c r="C41" s="43" t="s">
        <v>42</v>
      </c>
      <c r="D41" s="62"/>
      <c r="E41" s="161"/>
      <c r="F41" s="62"/>
    </row>
    <row r="42" spans="3:12">
      <c r="C42" s="43" t="s">
        <v>43</v>
      </c>
      <c r="D42" s="62"/>
      <c r="E42" s="161"/>
      <c r="F42" s="62"/>
    </row>
    <row r="43" spans="3:12">
      <c r="C43" s="43" t="s">
        <v>44</v>
      </c>
      <c r="D43" s="62"/>
      <c r="E43" s="161"/>
      <c r="F43" s="62"/>
    </row>
    <row r="44" spans="3:12">
      <c r="C44" s="43" t="s">
        <v>45</v>
      </c>
      <c r="D44" s="62"/>
      <c r="E44" s="161"/>
      <c r="F44" s="62"/>
    </row>
    <row r="45" spans="3:12">
      <c r="C45" s="43" t="s">
        <v>46</v>
      </c>
      <c r="D45" s="62"/>
      <c r="E45" s="62"/>
      <c r="F45" s="62"/>
    </row>
    <row r="46" spans="3:12">
      <c r="C46" s="43" t="s">
        <v>47</v>
      </c>
      <c r="D46" s="62"/>
      <c r="E46" s="62"/>
      <c r="F46" s="62"/>
    </row>
    <row r="47" spans="3:12">
      <c r="C47" s="43" t="s">
        <v>48</v>
      </c>
      <c r="D47" s="62"/>
      <c r="E47" s="62"/>
      <c r="F47" s="62"/>
    </row>
    <row r="48" spans="3:12">
      <c r="C48" s="43" t="s">
        <v>49</v>
      </c>
      <c r="D48" s="62"/>
      <c r="E48" s="46"/>
      <c r="F48" s="152"/>
    </row>
    <row r="49" spans="3:6">
      <c r="C49" s="43" t="s">
        <v>50</v>
      </c>
      <c r="D49" s="46"/>
      <c r="E49" s="46"/>
      <c r="F49" s="46"/>
    </row>
    <row r="50" spans="3:6">
      <c r="C50" s="56" t="s">
        <v>51</v>
      </c>
      <c r="D50" s="52">
        <f>AVERAGE(D38:D49)</f>
        <v>1</v>
      </c>
      <c r="E50" s="52">
        <f>AVERAGE(E38:E49)</f>
        <v>0.98660000000000003</v>
      </c>
      <c r="F50" s="52">
        <f>AVERAGE(F38:F49)</f>
        <v>1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abSelected="1" topLeftCell="A47" zoomScaleNormal="100" workbookViewId="0">
      <selection activeCell="C76" sqref="C76"/>
    </sheetView>
  </sheetViews>
  <sheetFormatPr defaultColWidth="9.140625" defaultRowHeight="14.2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7" t="s">
        <v>56</v>
      </c>
      <c r="D4" s="228"/>
      <c r="E4" s="228"/>
      <c r="F4" s="228"/>
      <c r="G4" s="228"/>
      <c r="H4" s="228"/>
      <c r="I4" s="228"/>
      <c r="J4" s="77"/>
      <c r="K4" s="77"/>
      <c r="L4" s="78"/>
    </row>
    <row r="5" spans="3:12" ht="15.75">
      <c r="C5" s="42"/>
      <c r="D5" s="235" t="s">
        <v>35</v>
      </c>
      <c r="E5" s="236"/>
      <c r="F5" s="237"/>
      <c r="G5" s="235" t="s">
        <v>22</v>
      </c>
      <c r="H5" s="236"/>
      <c r="I5" s="237"/>
      <c r="J5" s="230" t="s">
        <v>57</v>
      </c>
      <c r="K5" s="231"/>
      <c r="L5" s="232"/>
    </row>
    <row r="6" spans="3:12">
      <c r="C6" s="42"/>
      <c r="D6" s="42" t="s">
        <v>58</v>
      </c>
      <c r="E6" s="42" t="s">
        <v>59</v>
      </c>
      <c r="F6" s="42" t="s">
        <v>60</v>
      </c>
      <c r="G6" s="42" t="s">
        <v>58</v>
      </c>
      <c r="H6" s="42" t="s">
        <v>59</v>
      </c>
      <c r="I6" s="42" t="s">
        <v>60</v>
      </c>
      <c r="J6" s="49" t="s">
        <v>58</v>
      </c>
      <c r="K6" s="49" t="s">
        <v>59</v>
      </c>
      <c r="L6" s="49" t="s">
        <v>60</v>
      </c>
    </row>
    <row r="7" spans="3:12">
      <c r="C7" s="47" t="s">
        <v>39</v>
      </c>
      <c r="D7" s="86" t="s">
        <v>61</v>
      </c>
      <c r="E7" s="86" t="s">
        <v>61</v>
      </c>
      <c r="F7" s="86" t="s">
        <v>61</v>
      </c>
      <c r="G7" s="86" t="s">
        <v>61</v>
      </c>
      <c r="H7" s="86" t="s">
        <v>61</v>
      </c>
      <c r="I7" s="86" t="s">
        <v>61</v>
      </c>
      <c r="J7" s="86" t="s">
        <v>61</v>
      </c>
      <c r="K7" s="86" t="s">
        <v>61</v>
      </c>
      <c r="L7" s="86" t="s">
        <v>61</v>
      </c>
    </row>
    <row r="8" spans="3:12">
      <c r="C8" s="47" t="s">
        <v>40</v>
      </c>
      <c r="D8" s="86" t="s">
        <v>61</v>
      </c>
      <c r="E8" s="86" t="s">
        <v>61</v>
      </c>
      <c r="F8" s="86" t="s">
        <v>61</v>
      </c>
      <c r="G8" s="86" t="s">
        <v>61</v>
      </c>
      <c r="H8" s="86" t="s">
        <v>61</v>
      </c>
      <c r="I8" s="86" t="s">
        <v>61</v>
      </c>
      <c r="J8" s="86" t="s">
        <v>61</v>
      </c>
      <c r="K8" s="86" t="s">
        <v>61</v>
      </c>
      <c r="L8" s="86" t="s">
        <v>61</v>
      </c>
    </row>
    <row r="9" spans="3:12">
      <c r="C9" s="47" t="s">
        <v>41</v>
      </c>
      <c r="D9" s="86" t="s">
        <v>61</v>
      </c>
      <c r="E9" s="86" t="s">
        <v>61</v>
      </c>
      <c r="F9" s="86" t="s">
        <v>61</v>
      </c>
      <c r="G9" s="86" t="s">
        <v>61</v>
      </c>
      <c r="H9" s="86" t="s">
        <v>61</v>
      </c>
      <c r="I9" s="86" t="s">
        <v>61</v>
      </c>
      <c r="J9" s="86" t="s">
        <v>61</v>
      </c>
      <c r="K9" s="86" t="s">
        <v>61</v>
      </c>
      <c r="L9" s="86" t="s">
        <v>61</v>
      </c>
    </row>
    <row r="10" spans="3:12">
      <c r="C10" s="47" t="s">
        <v>42</v>
      </c>
      <c r="D10" s="86" t="s">
        <v>61</v>
      </c>
      <c r="E10" s="86" t="s">
        <v>61</v>
      </c>
      <c r="F10" s="86" t="s">
        <v>61</v>
      </c>
      <c r="G10" s="86" t="s">
        <v>61</v>
      </c>
      <c r="H10" s="86" t="s">
        <v>61</v>
      </c>
      <c r="I10" s="86" t="s">
        <v>61</v>
      </c>
      <c r="J10" s="86" t="s">
        <v>61</v>
      </c>
      <c r="K10" s="86" t="s">
        <v>61</v>
      </c>
      <c r="L10" s="86" t="s">
        <v>61</v>
      </c>
    </row>
    <row r="11" spans="3:12">
      <c r="C11" s="47" t="s">
        <v>43</v>
      </c>
      <c r="D11" s="86" t="s">
        <v>61</v>
      </c>
      <c r="E11" s="86" t="s">
        <v>61</v>
      </c>
      <c r="F11" s="86" t="s">
        <v>61</v>
      </c>
      <c r="G11" s="86" t="s">
        <v>61</v>
      </c>
      <c r="H11" s="86" t="s">
        <v>61</v>
      </c>
      <c r="I11" s="86" t="s">
        <v>61</v>
      </c>
      <c r="J11" s="86" t="s">
        <v>61</v>
      </c>
      <c r="K11" s="86" t="s">
        <v>61</v>
      </c>
      <c r="L11" s="86" t="s">
        <v>61</v>
      </c>
    </row>
    <row r="12" spans="3:12">
      <c r="C12" s="47" t="s">
        <v>44</v>
      </c>
      <c r="D12" s="86" t="s">
        <v>61</v>
      </c>
      <c r="E12" s="86" t="s">
        <v>61</v>
      </c>
      <c r="F12" s="86" t="s">
        <v>61</v>
      </c>
      <c r="G12" s="86" t="s">
        <v>61</v>
      </c>
      <c r="H12" s="86" t="s">
        <v>61</v>
      </c>
      <c r="I12" s="86" t="s">
        <v>61</v>
      </c>
      <c r="J12" s="86" t="s">
        <v>61</v>
      </c>
      <c r="K12" s="86" t="s">
        <v>61</v>
      </c>
      <c r="L12" s="86" t="s">
        <v>61</v>
      </c>
    </row>
    <row r="13" spans="3:12">
      <c r="C13" s="47" t="s">
        <v>45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46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61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47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61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48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49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50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62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7" t="s">
        <v>63</v>
      </c>
      <c r="D22" s="228"/>
      <c r="E22" s="228"/>
      <c r="F22" s="228"/>
      <c r="G22" s="228"/>
      <c r="H22" s="228"/>
      <c r="I22" s="228"/>
      <c r="J22" s="77"/>
      <c r="K22" s="77"/>
      <c r="L22" s="78"/>
    </row>
    <row r="23" spans="3:12" ht="15.75">
      <c r="C23" s="42"/>
      <c r="D23" s="235" t="s">
        <v>35</v>
      </c>
      <c r="E23" s="236"/>
      <c r="F23" s="237"/>
      <c r="G23" s="235" t="s">
        <v>22</v>
      </c>
      <c r="H23" s="236"/>
      <c r="I23" s="237"/>
      <c r="J23" s="230" t="s">
        <v>57</v>
      </c>
      <c r="K23" s="231"/>
      <c r="L23" s="232"/>
    </row>
    <row r="24" spans="3:12">
      <c r="C24" s="42"/>
      <c r="D24" s="42" t="s">
        <v>58</v>
      </c>
      <c r="E24" s="42" t="s">
        <v>59</v>
      </c>
      <c r="F24" s="42" t="s">
        <v>60</v>
      </c>
      <c r="G24" s="42" t="s">
        <v>58</v>
      </c>
      <c r="H24" s="42" t="s">
        <v>59</v>
      </c>
      <c r="I24" s="42" t="s">
        <v>60</v>
      </c>
      <c r="J24" s="49" t="s">
        <v>58</v>
      </c>
      <c r="K24" s="49" t="s">
        <v>59</v>
      </c>
      <c r="L24" s="49" t="s">
        <v>60</v>
      </c>
    </row>
    <row r="25" spans="3:12">
      <c r="C25" s="47" t="s">
        <v>39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40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41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42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43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44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45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46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47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48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49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50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62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7" t="s">
        <v>64</v>
      </c>
      <c r="D40" s="228"/>
      <c r="E40" s="228"/>
      <c r="F40" s="228"/>
      <c r="G40" s="228"/>
      <c r="H40" s="228"/>
      <c r="I40" s="228"/>
      <c r="J40" s="77"/>
      <c r="K40" s="77"/>
      <c r="L40" s="78"/>
    </row>
    <row r="41" spans="3:43" ht="15.75">
      <c r="C41" s="42"/>
      <c r="D41" s="235" t="s">
        <v>35</v>
      </c>
      <c r="E41" s="236"/>
      <c r="F41" s="237"/>
      <c r="G41" s="235" t="s">
        <v>22</v>
      </c>
      <c r="H41" s="236"/>
      <c r="I41" s="237"/>
      <c r="J41" s="230" t="s">
        <v>57</v>
      </c>
      <c r="K41" s="231"/>
      <c r="L41" s="232"/>
    </row>
    <row r="42" spans="3:43">
      <c r="C42" s="42"/>
      <c r="D42" s="42" t="s">
        <v>58</v>
      </c>
      <c r="E42" s="42" t="s">
        <v>59</v>
      </c>
      <c r="F42" s="42" t="s">
        <v>60</v>
      </c>
      <c r="G42" s="42" t="s">
        <v>58</v>
      </c>
      <c r="H42" s="42" t="s">
        <v>59</v>
      </c>
      <c r="I42" s="42" t="s">
        <v>60</v>
      </c>
      <c r="J42" s="49" t="s">
        <v>58</v>
      </c>
      <c r="K42" s="49" t="s">
        <v>59</v>
      </c>
      <c r="L42" s="49" t="s">
        <v>60</v>
      </c>
    </row>
    <row r="43" spans="3:43">
      <c r="C43" s="47" t="s">
        <v>39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40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41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42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43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44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45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3"/>
      <c r="AO49" s="233"/>
      <c r="AP49" s="233"/>
      <c r="AQ49" s="233"/>
    </row>
    <row r="50" spans="3:43" ht="15.75">
      <c r="C50" s="47" t="s">
        <v>46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4"/>
      <c r="AP50" s="234"/>
      <c r="AQ50" s="234"/>
    </row>
    <row r="51" spans="3:43">
      <c r="C51" s="47" t="s">
        <v>47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>
      <c r="C52" s="47" t="s">
        <v>48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>
      <c r="C53" s="47" t="s">
        <v>49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>
      <c r="C54" s="47" t="s">
        <v>50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>
      <c r="C55" s="49" t="s">
        <v>62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7" t="s">
        <v>65</v>
      </c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9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>
      <c r="C59" s="42"/>
      <c r="D59" s="230" t="s">
        <v>35</v>
      </c>
      <c r="E59" s="231"/>
      <c r="F59" s="232"/>
      <c r="G59" s="230" t="s">
        <v>22</v>
      </c>
      <c r="H59" s="231"/>
      <c r="I59" s="232"/>
      <c r="J59" s="230" t="s">
        <v>36</v>
      </c>
      <c r="K59" s="231"/>
      <c r="L59" s="232"/>
      <c r="M59" s="230" t="s">
        <v>57</v>
      </c>
      <c r="N59" s="231"/>
      <c r="O59" s="232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58</v>
      </c>
      <c r="E60" s="42" t="s">
        <v>59</v>
      </c>
      <c r="F60" s="42" t="s">
        <v>60</v>
      </c>
      <c r="G60" s="42" t="s">
        <v>58</v>
      </c>
      <c r="H60" s="42" t="s">
        <v>59</v>
      </c>
      <c r="I60" s="42" t="s">
        <v>60</v>
      </c>
      <c r="J60" s="42" t="s">
        <v>58</v>
      </c>
      <c r="K60" s="42" t="s">
        <v>59</v>
      </c>
      <c r="L60" s="42" t="s">
        <v>60</v>
      </c>
      <c r="M60" s="49" t="s">
        <v>58</v>
      </c>
      <c r="N60" s="49" t="s">
        <v>59</v>
      </c>
      <c r="O60" s="49" t="s">
        <v>60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39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40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41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42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43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44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45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46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47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48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49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50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62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7" t="s">
        <v>66</v>
      </c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9"/>
    </row>
    <row r="77" spans="3:43" ht="15.75">
      <c r="C77" s="42"/>
      <c r="D77" s="230" t="s">
        <v>35</v>
      </c>
      <c r="E77" s="231"/>
      <c r="F77" s="232"/>
      <c r="G77" s="230" t="s">
        <v>22</v>
      </c>
      <c r="H77" s="231"/>
      <c r="I77" s="232"/>
      <c r="J77" s="230" t="s">
        <v>36</v>
      </c>
      <c r="K77" s="231"/>
      <c r="L77" s="232"/>
      <c r="M77" s="230" t="s">
        <v>57</v>
      </c>
      <c r="N77" s="231"/>
      <c r="O77" s="232"/>
    </row>
    <row r="78" spans="3:43">
      <c r="C78" s="42"/>
      <c r="D78" s="42" t="s">
        <v>58</v>
      </c>
      <c r="E78" s="42" t="s">
        <v>59</v>
      </c>
      <c r="F78" s="42" t="s">
        <v>60</v>
      </c>
      <c r="G78" s="42" t="s">
        <v>58</v>
      </c>
      <c r="H78" s="42" t="s">
        <v>59</v>
      </c>
      <c r="I78" s="42" t="s">
        <v>60</v>
      </c>
      <c r="J78" s="42" t="s">
        <v>58</v>
      </c>
      <c r="K78" s="42" t="s">
        <v>59</v>
      </c>
      <c r="L78" s="42" t="s">
        <v>60</v>
      </c>
      <c r="M78" s="49" t="s">
        <v>58</v>
      </c>
      <c r="N78" s="49" t="s">
        <v>59</v>
      </c>
      <c r="O78" s="49" t="s">
        <v>60</v>
      </c>
    </row>
    <row r="79" spans="3:43">
      <c r="C79" s="47" t="s">
        <v>39</v>
      </c>
      <c r="D79" s="48">
        <v>108163</v>
      </c>
      <c r="E79" s="48">
        <v>172809.64279999997</v>
      </c>
      <c r="F79" s="46">
        <f t="shared" ref="F79:F88" si="29">D79/E79</f>
        <v>0.62590835932218025</v>
      </c>
      <c r="G79" s="48">
        <v>86767.62</v>
      </c>
      <c r="H79" s="48">
        <v>151534.5576</v>
      </c>
      <c r="I79" s="46">
        <f t="shared" ref="I79:I88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8" si="32">M79/N79</f>
        <v>0.79311235683040071</v>
      </c>
    </row>
    <row r="80" spans="3:43">
      <c r="C80" s="47" t="s">
        <v>40</v>
      </c>
      <c r="D80" s="48"/>
      <c r="E80" s="48"/>
      <c r="F80" s="46" t="e">
        <f t="shared" si="29"/>
        <v>#DIV/0!</v>
      </c>
      <c r="G80" s="48"/>
      <c r="H80" s="48"/>
      <c r="I80" s="46" t="e">
        <f t="shared" si="30"/>
        <v>#DIV/0!</v>
      </c>
      <c r="J80" s="48"/>
      <c r="K80" s="48"/>
      <c r="L80" s="46" t="e">
        <f t="shared" si="31"/>
        <v>#DIV/0!</v>
      </c>
      <c r="M80" s="50">
        <f t="shared" ref="M80:M83" si="33">SUM(D80,G80,J80)</f>
        <v>0</v>
      </c>
      <c r="N80" s="50">
        <f t="shared" ref="N80:N91" si="34">SUM(E80,H80,K80)</f>
        <v>0</v>
      </c>
      <c r="O80" s="51" t="e">
        <f t="shared" si="32"/>
        <v>#DIV/0!</v>
      </c>
    </row>
    <row r="81" spans="3:16">
      <c r="C81" s="93" t="s">
        <v>41</v>
      </c>
      <c r="D81" s="92"/>
      <c r="E81" s="94"/>
      <c r="F81" s="46" t="e">
        <f t="shared" si="29"/>
        <v>#DIV/0!</v>
      </c>
      <c r="G81" s="48"/>
      <c r="H81" s="48"/>
      <c r="I81" s="46" t="e">
        <f t="shared" si="30"/>
        <v>#DIV/0!</v>
      </c>
      <c r="J81" s="48"/>
      <c r="K81" s="48"/>
      <c r="L81" s="46" t="e">
        <f t="shared" si="31"/>
        <v>#DIV/0!</v>
      </c>
      <c r="M81" s="50">
        <f t="shared" si="33"/>
        <v>0</v>
      </c>
      <c r="N81" s="50">
        <f t="shared" si="34"/>
        <v>0</v>
      </c>
      <c r="O81" s="51" t="e">
        <f t="shared" si="32"/>
        <v>#DIV/0!</v>
      </c>
      <c r="P81" t="s">
        <v>67</v>
      </c>
    </row>
    <row r="82" spans="3:16">
      <c r="C82" s="47" t="s">
        <v>42</v>
      </c>
      <c r="D82" s="92"/>
      <c r="E82" s="48"/>
      <c r="F82" s="46" t="e">
        <f t="shared" si="29"/>
        <v>#DIV/0!</v>
      </c>
      <c r="G82" s="103"/>
      <c r="H82" s="48"/>
      <c r="I82" s="46" t="e">
        <f t="shared" si="30"/>
        <v>#DIV/0!</v>
      </c>
      <c r="J82" s="86"/>
      <c r="K82" s="48"/>
      <c r="L82" s="46" t="e">
        <f t="shared" si="31"/>
        <v>#DIV/0!</v>
      </c>
      <c r="M82" s="50">
        <f t="shared" si="33"/>
        <v>0</v>
      </c>
      <c r="N82" s="50">
        <f t="shared" si="34"/>
        <v>0</v>
      </c>
      <c r="O82" s="51" t="e">
        <f t="shared" si="32"/>
        <v>#DIV/0!</v>
      </c>
    </row>
    <row r="83" spans="3:16">
      <c r="C83" s="47" t="s">
        <v>43</v>
      </c>
      <c r="D83" s="105"/>
      <c r="E83" s="48"/>
      <c r="F83" s="46" t="e">
        <f t="shared" si="29"/>
        <v>#DIV/0!</v>
      </c>
      <c r="G83" s="105"/>
      <c r="H83" s="48"/>
      <c r="I83" s="46" t="e">
        <f t="shared" si="30"/>
        <v>#DIV/0!</v>
      </c>
      <c r="J83" s="48"/>
      <c r="K83" s="48"/>
      <c r="L83" s="46" t="e">
        <f t="shared" si="31"/>
        <v>#DIV/0!</v>
      </c>
      <c r="M83" s="50">
        <f t="shared" si="33"/>
        <v>0</v>
      </c>
      <c r="N83" s="50">
        <f t="shared" si="34"/>
        <v>0</v>
      </c>
      <c r="O83" s="51" t="e">
        <f t="shared" si="32"/>
        <v>#DIV/0!</v>
      </c>
    </row>
    <row r="84" spans="3:16">
      <c r="C84" s="47" t="s">
        <v>44</v>
      </c>
      <c r="D84" s="48"/>
      <c r="E84" s="48"/>
      <c r="F84" s="46" t="e">
        <f t="shared" si="29"/>
        <v>#DIV/0!</v>
      </c>
      <c r="G84" s="48"/>
      <c r="H84" s="48"/>
      <c r="I84" s="46" t="e">
        <f t="shared" si="30"/>
        <v>#DIV/0!</v>
      </c>
      <c r="J84" s="48"/>
      <c r="K84" s="48"/>
      <c r="L84" s="46" t="e">
        <f t="shared" si="31"/>
        <v>#DIV/0!</v>
      </c>
      <c r="M84" s="50">
        <f>SUM(D84,G84,J84)</f>
        <v>0</v>
      </c>
      <c r="N84" s="50">
        <f t="shared" si="34"/>
        <v>0</v>
      </c>
      <c r="O84" s="51" t="e">
        <f t="shared" si="32"/>
        <v>#DIV/0!</v>
      </c>
    </row>
    <row r="85" spans="3:16">
      <c r="C85" s="47" t="s">
        <v>45</v>
      </c>
      <c r="D85" s="48"/>
      <c r="E85" s="48"/>
      <c r="F85" s="46" t="e">
        <f t="shared" si="29"/>
        <v>#DIV/0!</v>
      </c>
      <c r="G85" s="48"/>
      <c r="H85" s="48"/>
      <c r="I85" s="46" t="e">
        <f t="shared" si="30"/>
        <v>#DIV/0!</v>
      </c>
      <c r="J85" s="48"/>
      <c r="K85" s="48"/>
      <c r="L85" s="46" t="e">
        <f t="shared" si="31"/>
        <v>#DIV/0!</v>
      </c>
      <c r="M85" s="50">
        <f>SUM(D85,G85,J85)</f>
        <v>0</v>
      </c>
      <c r="N85" s="50">
        <f t="shared" si="34"/>
        <v>0</v>
      </c>
      <c r="O85" s="51" t="e">
        <f t="shared" si="32"/>
        <v>#DIV/0!</v>
      </c>
    </row>
    <row r="86" spans="3:16">
      <c r="C86" s="47" t="s">
        <v>46</v>
      </c>
      <c r="D86" s="86"/>
      <c r="E86" s="86"/>
      <c r="F86" s="46" t="e">
        <f t="shared" si="29"/>
        <v>#DIV/0!</v>
      </c>
      <c r="G86" s="86"/>
      <c r="H86" s="86"/>
      <c r="I86" s="46" t="e">
        <f t="shared" si="30"/>
        <v>#DIV/0!</v>
      </c>
      <c r="J86" s="86"/>
      <c r="K86" s="86"/>
      <c r="L86" s="46" t="e">
        <f t="shared" si="31"/>
        <v>#DIV/0!</v>
      </c>
      <c r="M86" s="50">
        <f>SUM(D86,G86,J86)</f>
        <v>0</v>
      </c>
      <c r="N86" s="50">
        <f t="shared" si="34"/>
        <v>0</v>
      </c>
      <c r="O86" s="51" t="e">
        <f t="shared" si="32"/>
        <v>#DIV/0!</v>
      </c>
    </row>
    <row r="87" spans="3:16">
      <c r="C87" s="47" t="s">
        <v>47</v>
      </c>
      <c r="D87" s="86"/>
      <c r="E87" s="86"/>
      <c r="F87" s="46" t="e">
        <f t="shared" si="29"/>
        <v>#DIV/0!</v>
      </c>
      <c r="G87" s="86"/>
      <c r="H87" s="86"/>
      <c r="I87" s="46" t="e">
        <f t="shared" si="30"/>
        <v>#DIV/0!</v>
      </c>
      <c r="J87" s="86"/>
      <c r="K87" s="86"/>
      <c r="L87" s="46" t="e">
        <f t="shared" si="31"/>
        <v>#DIV/0!</v>
      </c>
      <c r="M87" s="50">
        <f t="shared" ref="M87:M91" si="35">SUM(D87,G87,J87)</f>
        <v>0</v>
      </c>
      <c r="N87" s="50">
        <f t="shared" si="34"/>
        <v>0</v>
      </c>
      <c r="O87" s="51" t="e">
        <f t="shared" si="32"/>
        <v>#DIV/0!</v>
      </c>
    </row>
    <row r="88" spans="3:16">
      <c r="C88" s="47" t="s">
        <v>48</v>
      </c>
      <c r="D88" s="86"/>
      <c r="E88" s="19"/>
      <c r="F88" s="46" t="e">
        <f t="shared" si="29"/>
        <v>#DIV/0!</v>
      </c>
      <c r="G88" s="48"/>
      <c r="H88" s="86"/>
      <c r="I88" s="46" t="e">
        <f t="shared" si="30"/>
        <v>#DIV/0!</v>
      </c>
      <c r="J88" s="86"/>
      <c r="K88" s="19"/>
      <c r="L88" s="46" t="e">
        <f t="shared" si="31"/>
        <v>#DIV/0!</v>
      </c>
      <c r="M88" s="50">
        <f t="shared" si="35"/>
        <v>0</v>
      </c>
      <c r="N88" s="50">
        <f t="shared" si="34"/>
        <v>0</v>
      </c>
      <c r="O88" s="51" t="e">
        <f t="shared" si="32"/>
        <v>#DIV/0!</v>
      </c>
    </row>
    <row r="89" spans="3:16">
      <c r="C89" s="47" t="s">
        <v>49</v>
      </c>
      <c r="D89" s="48"/>
      <c r="E89" s="48"/>
      <c r="F89" s="46" t="e">
        <f>D89/E89</f>
        <v>#DIV/0!</v>
      </c>
      <c r="G89" s="48"/>
      <c r="H89" s="48"/>
      <c r="I89" s="46" t="e">
        <f>G89/H89</f>
        <v>#DIV/0!</v>
      </c>
      <c r="J89" s="86"/>
      <c r="K89" s="105"/>
      <c r="L89" s="46" t="e">
        <f t="shared" si="31"/>
        <v>#DIV/0!</v>
      </c>
      <c r="M89" s="50">
        <f t="shared" si="35"/>
        <v>0</v>
      </c>
      <c r="N89" s="50">
        <f t="shared" si="34"/>
        <v>0</v>
      </c>
      <c r="O89" s="51" t="e">
        <f>M89/N89</f>
        <v>#DIV/0!</v>
      </c>
    </row>
    <row r="90" spans="3:16">
      <c r="C90" s="47" t="s">
        <v>50</v>
      </c>
      <c r="D90" s="86"/>
      <c r="E90" s="86"/>
      <c r="F90" s="46" t="e">
        <f>D90/E90</f>
        <v>#DIV/0!</v>
      </c>
      <c r="G90" s="86"/>
      <c r="H90" s="86"/>
      <c r="I90" s="46" t="e">
        <f>G90/H90</f>
        <v>#DIV/0!</v>
      </c>
      <c r="J90" s="86"/>
      <c r="K90" s="86"/>
      <c r="L90" s="46" t="e">
        <f t="shared" si="31"/>
        <v>#DIV/0!</v>
      </c>
      <c r="M90" s="50">
        <f t="shared" si="35"/>
        <v>0</v>
      </c>
      <c r="N90" s="50">
        <f t="shared" si="34"/>
        <v>0</v>
      </c>
      <c r="O90" s="51" t="e">
        <f>M90/N90</f>
        <v>#DIV/0!</v>
      </c>
    </row>
    <row r="91" spans="3:16">
      <c r="C91" s="49" t="s">
        <v>62</v>
      </c>
      <c r="D91" s="53">
        <f>SUM(D79:D90)</f>
        <v>108163</v>
      </c>
      <c r="E91" s="53">
        <f>SUM(E79:E90)</f>
        <v>172809.64279999997</v>
      </c>
      <c r="F91" s="55">
        <f>D91/E91</f>
        <v>0.62590835932218025</v>
      </c>
      <c r="G91" s="53">
        <f>SUM(G79:G90)</f>
        <v>86767.62</v>
      </c>
      <c r="H91" s="53">
        <f>SUM(H79:H90)</f>
        <v>151534.5576</v>
      </c>
      <c r="I91" s="55">
        <f t="shared" ref="I91" si="36">G91/H91</f>
        <v>0.57259295420281076</v>
      </c>
      <c r="J91" s="53">
        <f>SUM(J79:J90)</f>
        <v>290245</v>
      </c>
      <c r="K91" s="53">
        <f>SUM(K79:K90)</f>
        <v>287392.10129999998</v>
      </c>
      <c r="L91" s="55">
        <f>J91/K91</f>
        <v>1.0099268514586697</v>
      </c>
      <c r="M91" s="54">
        <f t="shared" si="35"/>
        <v>485175.62</v>
      </c>
      <c r="N91" s="54">
        <f t="shared" si="34"/>
        <v>611736.30169999995</v>
      </c>
      <c r="O91" s="55">
        <f t="shared" ref="O91" si="37">M91/N91</f>
        <v>0.79311235683040071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3EC-7755-47C3-9235-7F976189F9B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workbookViewId="0">
      <selection activeCell="D17" sqref="D17"/>
    </sheetView>
  </sheetViews>
  <sheetFormatPr defaultRowHeight="14.2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5.75">
      <c r="A4" s="70" t="s">
        <v>68</v>
      </c>
      <c r="B4" s="71" t="s">
        <v>69</v>
      </c>
      <c r="C4" s="71" t="s">
        <v>70</v>
      </c>
      <c r="D4" s="72" t="s">
        <v>4</v>
      </c>
      <c r="E4" s="73" t="s">
        <v>71</v>
      </c>
      <c r="F4" s="60"/>
      <c r="G4" s="60"/>
      <c r="H4" s="60"/>
    </row>
    <row r="5" spans="1:8">
      <c r="A5" s="1" t="s">
        <v>35</v>
      </c>
      <c r="B5" s="1">
        <v>1</v>
      </c>
      <c r="C5" s="1">
        <f>2024</f>
        <v>2024</v>
      </c>
      <c r="D5" s="104">
        <v>173872.6</v>
      </c>
      <c r="E5" s="80"/>
    </row>
    <row r="6" spans="1:8">
      <c r="A6" s="1" t="s">
        <v>35</v>
      </c>
      <c r="B6" s="1">
        <v>2</v>
      </c>
      <c r="C6" s="1">
        <f>2024</f>
        <v>2024</v>
      </c>
      <c r="D6" s="104">
        <v>223465.4</v>
      </c>
      <c r="E6" s="81"/>
    </row>
    <row r="7" spans="1:8">
      <c r="A7" s="1" t="s">
        <v>35</v>
      </c>
      <c r="B7" s="1">
        <v>3</v>
      </c>
      <c r="C7" s="1">
        <f>2024</f>
        <v>2024</v>
      </c>
      <c r="D7" s="104">
        <v>344525.3</v>
      </c>
      <c r="E7" s="81"/>
    </row>
    <row r="8" spans="1:8">
      <c r="A8" s="1" t="s">
        <v>35</v>
      </c>
      <c r="B8" s="1">
        <v>4</v>
      </c>
      <c r="C8" s="1">
        <f>2024</f>
        <v>2024</v>
      </c>
      <c r="D8" s="104">
        <v>439674.5</v>
      </c>
      <c r="E8" s="81"/>
    </row>
    <row r="9" spans="1:8">
      <c r="A9" s="1" t="s">
        <v>35</v>
      </c>
      <c r="B9" s="1">
        <v>5</v>
      </c>
      <c r="C9" s="1">
        <f>2024</f>
        <v>2024</v>
      </c>
      <c r="D9" s="104">
        <v>455091.20000000001</v>
      </c>
      <c r="E9" s="81"/>
    </row>
    <row r="10" spans="1:8">
      <c r="A10" s="1" t="s">
        <v>35</v>
      </c>
      <c r="B10" s="1">
        <v>6</v>
      </c>
      <c r="C10" s="1">
        <f>2024</f>
        <v>2024</v>
      </c>
      <c r="D10" s="104">
        <v>491177.6</v>
      </c>
      <c r="E10" s="81"/>
    </row>
    <row r="11" spans="1:8">
      <c r="A11" s="1" t="s">
        <v>35</v>
      </c>
      <c r="B11" s="1">
        <v>7</v>
      </c>
      <c r="C11" s="1">
        <f>2024</f>
        <v>2024</v>
      </c>
      <c r="D11" s="104">
        <v>524395</v>
      </c>
      <c r="E11" s="81"/>
    </row>
    <row r="12" spans="1:8">
      <c r="A12" s="1" t="s">
        <v>35</v>
      </c>
      <c r="B12" s="1">
        <v>8</v>
      </c>
      <c r="C12" s="1">
        <f>2024</f>
        <v>2024</v>
      </c>
      <c r="D12" s="104">
        <v>488163.4</v>
      </c>
      <c r="E12" s="81"/>
    </row>
    <row r="13" spans="1:8">
      <c r="A13" s="1" t="s">
        <v>35</v>
      </c>
      <c r="B13" s="1">
        <v>9</v>
      </c>
      <c r="C13" s="1">
        <f>2024</f>
        <v>2024</v>
      </c>
      <c r="D13" s="104">
        <v>412507.2</v>
      </c>
      <c r="E13" s="81"/>
    </row>
    <row r="14" spans="1:8">
      <c r="A14" s="1" t="s">
        <v>35</v>
      </c>
      <c r="B14" s="1">
        <v>10</v>
      </c>
      <c r="C14" s="1">
        <f>2024</f>
        <v>2024</v>
      </c>
      <c r="D14" s="104">
        <v>292225.09999999998</v>
      </c>
      <c r="E14" s="81"/>
    </row>
    <row r="15" spans="1:8">
      <c r="A15" s="1" t="s">
        <v>35</v>
      </c>
      <c r="B15" s="1">
        <v>11</v>
      </c>
      <c r="C15" s="1">
        <f>2024</f>
        <v>2024</v>
      </c>
      <c r="D15" s="104">
        <v>204482.1</v>
      </c>
      <c r="E15" s="81"/>
    </row>
    <row r="16" spans="1:8">
      <c r="A16" s="1" t="s">
        <v>35</v>
      </c>
      <c r="B16" s="1">
        <v>12</v>
      </c>
      <c r="C16" s="1">
        <f>2024</f>
        <v>2024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>
      <c r="A28" s="159" t="s">
        <v>22</v>
      </c>
      <c r="B28" s="159">
        <v>12</v>
      </c>
      <c r="C28" s="1">
        <f>2024</f>
        <v>2024</v>
      </c>
      <c r="D28" s="160">
        <v>140863.4</v>
      </c>
      <c r="E28" s="82"/>
      <c r="F28" s="89"/>
    </row>
    <row r="29" spans="1:6">
      <c r="A29" s="156" t="s">
        <v>36</v>
      </c>
      <c r="B29" s="156">
        <v>1</v>
      </c>
      <c r="C29" s="1">
        <f>2024</f>
        <v>2024</v>
      </c>
      <c r="D29" s="136">
        <v>359065</v>
      </c>
      <c r="E29" s="81"/>
    </row>
    <row r="30" spans="1:6">
      <c r="A30" s="156" t="s">
        <v>36</v>
      </c>
      <c r="B30" s="156">
        <v>2</v>
      </c>
      <c r="C30" s="1">
        <f>2024</f>
        <v>2024</v>
      </c>
      <c r="D30" s="136">
        <v>341764</v>
      </c>
      <c r="E30" s="81"/>
    </row>
    <row r="31" spans="1:6">
      <c r="A31" s="156" t="s">
        <v>36</v>
      </c>
      <c r="B31" s="156">
        <v>3</v>
      </c>
      <c r="C31" s="1">
        <f>2024</f>
        <v>2024</v>
      </c>
      <c r="D31" s="136">
        <v>409489</v>
      </c>
      <c r="E31" s="81"/>
    </row>
    <row r="32" spans="1:6">
      <c r="A32" s="156" t="s">
        <v>36</v>
      </c>
      <c r="B32" s="156">
        <v>4</v>
      </c>
      <c r="C32" s="1">
        <f>2024</f>
        <v>2024</v>
      </c>
      <c r="D32" s="136">
        <v>426854</v>
      </c>
      <c r="E32" s="81"/>
    </row>
    <row r="33" spans="1:5">
      <c r="A33" s="156" t="s">
        <v>36</v>
      </c>
      <c r="B33" s="156">
        <v>5</v>
      </c>
      <c r="C33" s="1">
        <f>2024</f>
        <v>2024</v>
      </c>
      <c r="D33" s="136">
        <v>491560</v>
      </c>
      <c r="E33" s="81"/>
    </row>
    <row r="34" spans="1:5">
      <c r="A34" s="156" t="s">
        <v>36</v>
      </c>
      <c r="B34" s="156">
        <v>6</v>
      </c>
      <c r="C34" s="1">
        <f>2024</f>
        <v>2024</v>
      </c>
      <c r="D34" s="136">
        <v>511081</v>
      </c>
      <c r="E34" s="81"/>
    </row>
    <row r="35" spans="1:5">
      <c r="A35" s="156" t="s">
        <v>36</v>
      </c>
      <c r="B35" s="156">
        <v>7</v>
      </c>
      <c r="C35" s="1">
        <f>2024</f>
        <v>2024</v>
      </c>
      <c r="D35" s="157">
        <v>528500</v>
      </c>
      <c r="E35" s="81"/>
    </row>
    <row r="36" spans="1:5">
      <c r="A36" s="156" t="s">
        <v>36</v>
      </c>
      <c r="B36" s="156">
        <v>8</v>
      </c>
      <c r="C36" s="1">
        <f>2024</f>
        <v>2024</v>
      </c>
      <c r="D36" s="136">
        <v>491649</v>
      </c>
      <c r="E36" s="81"/>
    </row>
    <row r="37" spans="1:5">
      <c r="A37" s="156" t="s">
        <v>36</v>
      </c>
      <c r="B37" s="156">
        <v>9</v>
      </c>
      <c r="C37" s="1">
        <f>2024</f>
        <v>2024</v>
      </c>
      <c r="D37" s="136">
        <v>422985</v>
      </c>
      <c r="E37" s="81"/>
    </row>
    <row r="38" spans="1:5">
      <c r="A38" s="156" t="s">
        <v>36</v>
      </c>
      <c r="B38" s="156">
        <v>10</v>
      </c>
      <c r="C38" s="1">
        <f>2024</f>
        <v>2024</v>
      </c>
      <c r="D38" s="136">
        <v>426835</v>
      </c>
      <c r="E38" s="81"/>
    </row>
    <row r="39" spans="1:5">
      <c r="A39" s="156" t="s">
        <v>36</v>
      </c>
      <c r="B39" s="156">
        <v>11</v>
      </c>
      <c r="C39" s="1">
        <f>2024</f>
        <v>2024</v>
      </c>
      <c r="D39" s="136">
        <v>378158</v>
      </c>
      <c r="E39" s="81"/>
    </row>
    <row r="40" spans="1:5">
      <c r="A40" s="156" t="s">
        <v>36</v>
      </c>
      <c r="B40" s="156">
        <v>12</v>
      </c>
      <c r="C40" s="1">
        <f>2024</f>
        <v>2024</v>
      </c>
      <c r="D40" s="158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2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72</v>
      </c>
      <c r="B1" s="17" t="s">
        <v>73</v>
      </c>
      <c r="C1" s="17" t="s">
        <v>74</v>
      </c>
      <c r="D1" s="32"/>
      <c r="H1" s="194" t="s">
        <v>75</v>
      </c>
      <c r="I1" s="194"/>
      <c r="J1" s="194"/>
      <c r="K1" s="194"/>
      <c r="L1" s="194"/>
      <c r="M1" s="194"/>
      <c r="N1" s="194"/>
      <c r="O1" s="194"/>
      <c r="Q1" s="32" t="s">
        <v>76</v>
      </c>
    </row>
    <row r="2" spans="1:17">
      <c r="A2" s="33" t="s">
        <v>77</v>
      </c>
      <c r="B2" s="34" t="s">
        <v>78</v>
      </c>
      <c r="C2" s="34" t="s">
        <v>79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39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40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80</v>
      </c>
      <c r="F5" s="19"/>
      <c r="G5" t="s">
        <v>81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42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43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44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45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46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47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48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49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50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72</v>
      </c>
      <c r="B1" s="17" t="s">
        <v>73</v>
      </c>
      <c r="C1" s="17" t="s">
        <v>74</v>
      </c>
      <c r="G1" t="s">
        <v>82</v>
      </c>
      <c r="P1" t="s">
        <v>83</v>
      </c>
    </row>
    <row r="2" spans="1:16">
      <c r="A2" s="16" t="s">
        <v>77</v>
      </c>
      <c r="B2" s="18" t="s">
        <v>78</v>
      </c>
      <c r="C2" s="18" t="s">
        <v>79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39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40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81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42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43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44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45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46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47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84</v>
      </c>
      <c r="F12" s="26" t="s">
        <v>48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49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50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72</v>
      </c>
      <c r="B1" s="17" t="s">
        <v>73</v>
      </c>
      <c r="C1" s="17" t="s">
        <v>74</v>
      </c>
      <c r="G1" s="194" t="s">
        <v>85</v>
      </c>
      <c r="H1" s="194"/>
      <c r="I1" s="194"/>
      <c r="J1" s="194"/>
      <c r="K1" s="194"/>
      <c r="L1" s="194"/>
      <c r="M1" s="194"/>
      <c r="N1" s="194"/>
      <c r="P1" s="32" t="s">
        <v>86</v>
      </c>
    </row>
    <row r="2" spans="1:16">
      <c r="A2" s="16" t="s">
        <v>77</v>
      </c>
      <c r="B2" s="18" t="s">
        <v>78</v>
      </c>
      <c r="C2" s="18" t="s">
        <v>79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39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40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81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42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43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44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45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46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87</v>
      </c>
      <c r="E11" s="26"/>
      <c r="F11" t="s">
        <v>47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48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49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50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72</v>
      </c>
      <c r="B1" s="17" t="s">
        <v>73</v>
      </c>
      <c r="C1" s="17" t="s">
        <v>74</v>
      </c>
      <c r="G1" s="194" t="s">
        <v>88</v>
      </c>
      <c r="H1" s="194"/>
      <c r="I1" s="194"/>
      <c r="J1" s="194"/>
      <c r="K1" s="194"/>
      <c r="L1" s="194"/>
      <c r="M1" s="194"/>
      <c r="N1" s="194"/>
      <c r="P1" s="32" t="s">
        <v>89</v>
      </c>
    </row>
    <row r="2" spans="1:16">
      <c r="A2" s="16" t="s">
        <v>77</v>
      </c>
      <c r="B2" s="18" t="s">
        <v>78</v>
      </c>
      <c r="C2" s="18" t="s">
        <v>79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39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40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81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42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43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44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45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46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90</v>
      </c>
      <c r="E11" s="26"/>
      <c r="F11" t="s">
        <v>47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48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49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50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25757AC-F572-4FD6-8D98-A3A4BF832404}"/>
</file>

<file path=customXml/itemProps2.xml><?xml version="1.0" encoding="utf-8"?>
<ds:datastoreItem xmlns:ds="http://schemas.openxmlformats.org/officeDocument/2006/customXml" ds:itemID="{457C4860-6CD1-4A9E-BBE8-79BAFE1C7776}"/>
</file>

<file path=customXml/itemProps3.xml><?xml version="1.0" encoding="utf-8"?>
<ds:datastoreItem xmlns:ds="http://schemas.openxmlformats.org/officeDocument/2006/customXml" ds:itemID="{AE4FB608-2C95-4CB3-B789-2A06D4831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Harper, Amanda</cp:lastModifiedBy>
  <cp:revision/>
  <dcterms:created xsi:type="dcterms:W3CDTF">2013-05-02T09:51:31Z</dcterms:created>
  <dcterms:modified xsi:type="dcterms:W3CDTF">2024-03-14T16:32:57Z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