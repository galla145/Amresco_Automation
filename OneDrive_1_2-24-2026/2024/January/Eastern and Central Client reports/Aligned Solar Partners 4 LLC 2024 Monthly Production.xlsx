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35" documentId="13_ncr:1_{740526D7-6B11-4C53-AE6E-7F338863CEB0}" xr6:coauthVersionLast="47" xr6:coauthVersionMax="47" xr10:uidLastSave="{52087A88-E0DC-4023-8380-60E1D218C2DB}"/>
  <bookViews>
    <workbookView xWindow="-28920" yWindow="7725" windowWidth="29040" windowHeight="15720" tabRatio="866" firstSheet="16" activeTab="21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Conway -US 302 and Stirch Road" sheetId="5" r:id="rId19"/>
    <sheet name="Loudon - 7046 Pleasant Street" sheetId="69" r:id="rId20"/>
    <sheet name="Nashua - Pennichuck Water  East" sheetId="79" r:id="rId21"/>
    <sheet name="Nashua - Pennichuck Water West" sheetId="78" r:id="rId22"/>
    <sheet name="Monmouth Junction - Pro Skate" sheetId="77" r:id="rId23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'01-2024'!$C$3:$C$7</definedName>
    <definedName name="JanActual2">'01-2024'!#REF!</definedName>
    <definedName name="JanExpected">'01-2024'!$D$3:$D$7</definedName>
    <definedName name="JanExpectedDelta">'01-2024'!$E$3:$E$7</definedName>
    <definedName name="JanExpectedPercent">'01-2024'!$F$3:$F$7</definedName>
    <definedName name="JanExpPercent">'01-2024'!$F$3:$F$7</definedName>
    <definedName name="JanForecasted">'01-2024'!$G$3:$G$7</definedName>
    <definedName name="JanForecastedDelta">'01-2024'!$H$3:$H$7</definedName>
    <definedName name="JanForecastedPercent">'01-2024'!$I$3:$I$7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H15" i="5" s="1"/>
  <c r="G16" i="5"/>
  <c r="H16" i="5" s="1"/>
  <c r="D15" i="5"/>
  <c r="E15" i="5" s="1"/>
  <c r="D16" i="5"/>
  <c r="E16" i="5" s="1"/>
  <c r="G14" i="5"/>
  <c r="H14" i="5" s="1"/>
  <c r="D14" i="5"/>
  <c r="E14" i="5" s="1"/>
  <c r="G13" i="78"/>
  <c r="H13" i="78" s="1"/>
  <c r="G14" i="78"/>
  <c r="H14" i="78" s="1"/>
  <c r="G15" i="78"/>
  <c r="H15" i="78" s="1"/>
  <c r="G16" i="78"/>
  <c r="H16" i="78" s="1"/>
  <c r="D13" i="78"/>
  <c r="E13" i="78" s="1"/>
  <c r="D14" i="78"/>
  <c r="E14" i="78"/>
  <c r="D15" i="78"/>
  <c r="E15" i="78" s="1"/>
  <c r="D16" i="78"/>
  <c r="E16" i="78" s="1"/>
  <c r="G13" i="79"/>
  <c r="H13" i="79" s="1"/>
  <c r="G14" i="79"/>
  <c r="H14" i="79" s="1"/>
  <c r="G15" i="79"/>
  <c r="H15" i="79" s="1"/>
  <c r="G16" i="79"/>
  <c r="H16" i="79" s="1"/>
  <c r="D13" i="79"/>
  <c r="E13" i="79" s="1"/>
  <c r="D14" i="79"/>
  <c r="E14" i="79" s="1"/>
  <c r="D15" i="79"/>
  <c r="E15" i="79" s="1"/>
  <c r="D16" i="79"/>
  <c r="E16" i="79" s="1"/>
  <c r="G13" i="69"/>
  <c r="H13" i="69" s="1"/>
  <c r="G14" i="69"/>
  <c r="H14" i="69" s="1"/>
  <c r="G15" i="69"/>
  <c r="H15" i="69" s="1"/>
  <c r="G16" i="69"/>
  <c r="H16" i="69" s="1"/>
  <c r="D13" i="69"/>
  <c r="E13" i="69" s="1"/>
  <c r="D14" i="69"/>
  <c r="E14" i="69" s="1"/>
  <c r="D15" i="69"/>
  <c r="E15" i="69"/>
  <c r="D16" i="69"/>
  <c r="E16" i="69" s="1"/>
  <c r="G13" i="5"/>
  <c r="H13" i="5" s="1"/>
  <c r="D13" i="5"/>
  <c r="E13" i="5"/>
  <c r="G12" i="78"/>
  <c r="H12" i="78" s="1"/>
  <c r="D12" i="78"/>
  <c r="E12" i="78" s="1"/>
  <c r="G12" i="79"/>
  <c r="H12" i="79" s="1"/>
  <c r="D12" i="79"/>
  <c r="E12" i="79" s="1"/>
  <c r="G12" i="69"/>
  <c r="H12" i="69" s="1"/>
  <c r="D12" i="69"/>
  <c r="E12" i="69" s="1"/>
  <c r="D12" i="5"/>
  <c r="E12" i="5" s="1"/>
  <c r="G12" i="5"/>
  <c r="H12" i="5" s="1"/>
  <c r="G11" i="78"/>
  <c r="H11" i="78" s="1"/>
  <c r="D11" i="78"/>
  <c r="E11" i="78" s="1"/>
  <c r="G11" i="79"/>
  <c r="H11" i="79" s="1"/>
  <c r="D11" i="79"/>
  <c r="E11" i="79" s="1"/>
  <c r="G11" i="69"/>
  <c r="H11" i="69" s="1"/>
  <c r="D11" i="69"/>
  <c r="E11" i="69" s="1"/>
  <c r="G11" i="5"/>
  <c r="H11" i="5" s="1"/>
  <c r="D11" i="5"/>
  <c r="E11" i="5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79"/>
  <c r="C17" i="79"/>
  <c r="B17" i="79"/>
  <c r="G10" i="79"/>
  <c r="H10" i="79" s="1"/>
  <c r="D10" i="79"/>
  <c r="E10" i="79" s="1"/>
  <c r="G9" i="79"/>
  <c r="H9" i="79" s="1"/>
  <c r="D9" i="79"/>
  <c r="E9" i="79" s="1"/>
  <c r="G8" i="79"/>
  <c r="H8" i="79" s="1"/>
  <c r="D8" i="79"/>
  <c r="E8" i="79" s="1"/>
  <c r="G7" i="79"/>
  <c r="H7" i="79" s="1"/>
  <c r="D7" i="79"/>
  <c r="E7" i="79" s="1"/>
  <c r="G6" i="79"/>
  <c r="H6" i="79" s="1"/>
  <c r="D6" i="79"/>
  <c r="E6" i="79" s="1"/>
  <c r="G5" i="79"/>
  <c r="H5" i="79" s="1"/>
  <c r="D5" i="79"/>
  <c r="E5" i="79" s="1"/>
  <c r="F17" i="78"/>
  <c r="C17" i="78"/>
  <c r="B17" i="78"/>
  <c r="G10" i="78"/>
  <c r="H10" i="78" s="1"/>
  <c r="D10" i="78"/>
  <c r="E10" i="78" s="1"/>
  <c r="G9" i="78"/>
  <c r="H9" i="78" s="1"/>
  <c r="D9" i="78"/>
  <c r="E9" i="78" s="1"/>
  <c r="G8" i="78"/>
  <c r="H8" i="78" s="1"/>
  <c r="D8" i="78"/>
  <c r="E8" i="78" s="1"/>
  <c r="G7" i="78"/>
  <c r="H7" i="78" s="1"/>
  <c r="D7" i="78"/>
  <c r="E7" i="78" s="1"/>
  <c r="G6" i="78"/>
  <c r="H6" i="78" s="1"/>
  <c r="D6" i="78"/>
  <c r="E6" i="78" s="1"/>
  <c r="G5" i="78"/>
  <c r="H5" i="78" s="1"/>
  <c r="D5" i="78"/>
  <c r="E5" i="78" s="1"/>
  <c r="F17" i="77"/>
  <c r="C17" i="77"/>
  <c r="B17" i="77"/>
  <c r="F17" i="69"/>
  <c r="C17" i="69"/>
  <c r="B17" i="69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E7" i="69" s="1"/>
  <c r="G6" i="69"/>
  <c r="H6" i="69" s="1"/>
  <c r="D6" i="69"/>
  <c r="E6" i="69" s="1"/>
  <c r="G5" i="69"/>
  <c r="H5" i="69" s="1"/>
  <c r="D5" i="69"/>
  <c r="E5" i="69" s="1"/>
  <c r="F17" i="5"/>
  <c r="C17" i="5"/>
  <c r="B17" i="5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A3" i="2" a="1"/>
  <c r="C6" i="28" a="1"/>
  <c r="C7" i="26" a="1"/>
  <c r="C6" i="26" a="1"/>
  <c r="C7" i="21" a="1"/>
  <c r="C7" i="27" a="1"/>
  <c r="C7" i="31" a="1"/>
  <c r="C6" i="19" a="1"/>
  <c r="C5" i="19" a="1"/>
  <c r="C6" i="33" a="1"/>
  <c r="C5" i="20" a="1"/>
  <c r="C4" i="27" a="1"/>
  <c r="C5" i="33" a="1"/>
  <c r="C5" i="2" a="1"/>
  <c r="C7" i="32" a="1"/>
  <c r="C6" i="20" a="1"/>
  <c r="C5" i="32" a="1"/>
  <c r="C7" i="4" a="1"/>
  <c r="C4" i="32" a="1"/>
  <c r="C4" i="4" a="1"/>
  <c r="C7" i="28" a="1"/>
  <c r="C5" i="4" a="1"/>
  <c r="C7" i="3" a="1"/>
  <c r="C6" i="21" a="1"/>
  <c r="C6" i="3" a="1"/>
  <c r="C6" i="2" a="1"/>
  <c r="C5" i="31" a="1"/>
  <c r="C7" i="2" a="1"/>
  <c r="C6" i="32" a="1"/>
  <c r="C5" i="21" a="1"/>
  <c r="C4" i="3" a="1"/>
  <c r="C4" i="26" a="1"/>
  <c r="C6" i="31" a="1"/>
  <c r="C7" i="33" a="1"/>
  <c r="C6" i="27" a="1"/>
  <c r="C4" i="20" a="1"/>
  <c r="C4" i="31" a="1"/>
  <c r="C4" i="33" a="1"/>
  <c r="C4" i="28" a="1"/>
  <c r="C7" i="19" a="1"/>
  <c r="C5" i="3" a="1"/>
  <c r="C4" i="19" a="1"/>
  <c r="C5" i="28" a="1"/>
  <c r="C5" i="26" a="1"/>
  <c r="C5" i="27" a="1"/>
  <c r="C7" i="20" a="1"/>
  <c r="C4" i="2" a="1"/>
  <c r="C4" i="21" a="1"/>
  <c r="C6" i="4" a="1"/>
  <c r="C4" i="2" l="1"/>
  <c r="C4" i="32"/>
  <c r="C4" i="28"/>
  <c r="C4" i="26"/>
  <c r="C4" i="19"/>
  <c r="C4" i="21"/>
  <c r="C4" i="4"/>
  <c r="C7" i="2"/>
  <c r="C7" i="33"/>
  <c r="C7" i="32"/>
  <c r="C7" i="31"/>
  <c r="C7" i="28"/>
  <c r="C7" i="27"/>
  <c r="C7" i="26"/>
  <c r="C7" i="19"/>
  <c r="C7" i="20"/>
  <c r="C7" i="21"/>
  <c r="C7" i="4"/>
  <c r="C7" i="3"/>
  <c r="C6" i="33"/>
  <c r="C6" i="28"/>
  <c r="C6" i="3"/>
  <c r="C4" i="33"/>
  <c r="C6" i="2"/>
  <c r="C6" i="32"/>
  <c r="C6" i="31"/>
  <c r="C6" i="27"/>
  <c r="C6" i="26"/>
  <c r="C6" i="19"/>
  <c r="C6" i="20"/>
  <c r="C6" i="21"/>
  <c r="C6" i="4"/>
  <c r="C5" i="2"/>
  <c r="C5" i="33"/>
  <c r="C5" i="32"/>
  <c r="C5" i="31"/>
  <c r="C5" i="28"/>
  <c r="C5" i="27"/>
  <c r="C5" i="26"/>
  <c r="C5" i="19"/>
  <c r="C5" i="20"/>
  <c r="C5" i="21"/>
  <c r="C5" i="4"/>
  <c r="C5" i="3"/>
  <c r="C4" i="31"/>
  <c r="C4" i="27"/>
  <c r="C4" i="20"/>
  <c r="C4" i="3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69"/>
  <c r="H17" i="69" s="1"/>
  <c r="D17" i="69"/>
  <c r="E17" i="69" s="1"/>
  <c r="G17" i="5"/>
  <c r="H17" i="5" s="1"/>
  <c r="D17" i="5"/>
  <c r="E17" i="5" s="1"/>
  <c r="B3" i="2" a="1"/>
  <c r="B3" i="2" s="1"/>
  <c r="C3" i="33" a="1"/>
  <c r="C3" i="2" a="1"/>
  <c r="C3" i="31" a="1"/>
  <c r="C3" i="20" a="1"/>
  <c r="C3" i="26" a="1"/>
  <c r="C3" i="4" a="1"/>
  <c r="C3" i="19" a="1"/>
  <c r="C3" i="28" a="1"/>
  <c r="C3" i="3" a="1"/>
  <c r="C3" i="32" a="1"/>
  <c r="C3" i="27" a="1"/>
  <c r="C3" i="21" a="1"/>
  <c r="C3" i="2" l="1"/>
  <c r="C3" i="28"/>
  <c r="C3" i="31"/>
  <c r="C3" i="4"/>
  <c r="C3" i="32"/>
  <c r="C3" i="21"/>
  <c r="C3" i="33"/>
  <c r="C3" i="20"/>
  <c r="C3" i="19"/>
  <c r="C3" i="26"/>
  <c r="C3" i="27"/>
  <c r="D3" i="18"/>
  <c r="G3" i="18"/>
  <c r="D4" i="18"/>
  <c r="G4" i="18"/>
  <c r="D5" i="18"/>
  <c r="G5" i="18"/>
  <c r="D6" i="18"/>
  <c r="G6" i="18"/>
  <c r="D7" i="18"/>
  <c r="G7" i="18"/>
  <c r="D3" i="29"/>
  <c r="G3" i="29"/>
  <c r="D4" i="29"/>
  <c r="G4" i="29"/>
  <c r="D5" i="29"/>
  <c r="G5" i="29"/>
  <c r="D6" i="29"/>
  <c r="G6" i="29"/>
  <c r="D7" i="29"/>
  <c r="G7" i="29"/>
  <c r="D3" i="30"/>
  <c r="G3" i="30"/>
  <c r="D4" i="30"/>
  <c r="G4" i="30"/>
  <c r="D5" i="30"/>
  <c r="G5" i="30"/>
  <c r="D6" i="30"/>
  <c r="G6" i="30"/>
  <c r="D7" i="30"/>
  <c r="G7" i="30"/>
  <c r="G3" i="1"/>
  <c r="D7" i="1"/>
  <c r="G7" i="1"/>
  <c r="D6" i="1"/>
  <c r="G6" i="1"/>
  <c r="D5" i="1"/>
  <c r="G5" i="1"/>
  <c r="D4" i="1"/>
  <c r="G4" i="1"/>
  <c r="D3" i="1"/>
  <c r="G8" i="33"/>
  <c r="D8" i="33"/>
  <c r="G8" i="32"/>
  <c r="D8" i="32"/>
  <c r="G8" i="31"/>
  <c r="D8" i="31"/>
  <c r="G8" i="28"/>
  <c r="D8" i="28"/>
  <c r="G8" i="27"/>
  <c r="D8" i="27"/>
  <c r="G8" i="26"/>
  <c r="D8" i="26"/>
  <c r="G8" i="19"/>
  <c r="D8" i="19"/>
  <c r="G8" i="20"/>
  <c r="D8" i="20"/>
  <c r="G8" i="21"/>
  <c r="D8" i="21"/>
  <c r="G8" i="4"/>
  <c r="D8" i="4"/>
  <c r="G8" i="3"/>
  <c r="D8" i="3"/>
  <c r="C3" i="3"/>
  <c r="G8" i="18" l="1"/>
  <c r="D8" i="18"/>
  <c r="C7" i="18"/>
  <c r="C4" i="18"/>
  <c r="C6" i="30"/>
  <c r="E6" i="30" s="1"/>
  <c r="F6" i="30" s="1"/>
  <c r="H6" i="30" s="1"/>
  <c r="I6" i="30" s="1"/>
  <c r="D7" i="34"/>
  <c r="C7" i="29"/>
  <c r="E7" i="29" s="1"/>
  <c r="F7" i="29" s="1"/>
  <c r="H7" i="29" s="1"/>
  <c r="I7" i="29" s="1"/>
  <c r="C6" i="29"/>
  <c r="E6" i="29" s="1"/>
  <c r="F6" i="29" s="1"/>
  <c r="H6" i="29" s="1"/>
  <c r="I6" i="29" s="1"/>
  <c r="C5" i="18"/>
  <c r="C5" i="30"/>
  <c r="C4" i="29"/>
  <c r="D3" i="34"/>
  <c r="G8" i="1"/>
  <c r="G8" i="29"/>
  <c r="D8" i="30"/>
  <c r="D8" i="29"/>
  <c r="G8" i="30"/>
  <c r="C5" i="29"/>
  <c r="C8" i="27"/>
  <c r="H8" i="27" s="1"/>
  <c r="I8" i="27" s="1"/>
  <c r="C4" i="30"/>
  <c r="D6" i="34"/>
  <c r="C8" i="28"/>
  <c r="H8" i="28" s="1"/>
  <c r="I8" i="28" s="1"/>
  <c r="G4" i="34"/>
  <c r="G6" i="34"/>
  <c r="C3" i="18"/>
  <c r="H3" i="18" s="1"/>
  <c r="I3" i="18" s="1"/>
  <c r="C8" i="33"/>
  <c r="E8" i="33" s="1"/>
  <c r="F8" i="33" s="1"/>
  <c r="D4" i="34"/>
  <c r="G7" i="34"/>
  <c r="C8" i="4"/>
  <c r="H8" i="4" s="1"/>
  <c r="I8" i="4" s="1"/>
  <c r="C8" i="32"/>
  <c r="H8" i="32" s="1"/>
  <c r="I8" i="32" s="1"/>
  <c r="C8" i="19"/>
  <c r="H8" i="19" s="1"/>
  <c r="I8" i="19" s="1"/>
  <c r="C3" i="29"/>
  <c r="C3" i="30"/>
  <c r="G5" i="34"/>
  <c r="C7" i="30"/>
  <c r="E7" i="30" s="1"/>
  <c r="F7" i="30" s="1"/>
  <c r="H7" i="30" s="1"/>
  <c r="I7" i="30" s="1"/>
  <c r="C8" i="20"/>
  <c r="H8" i="20" s="1"/>
  <c r="I8" i="20" s="1"/>
  <c r="D8" i="1"/>
  <c r="D5" i="34"/>
  <c r="G3" i="34"/>
  <c r="C6" i="18"/>
  <c r="C8" i="31"/>
  <c r="H8" i="31" s="1"/>
  <c r="I8" i="31" s="1"/>
  <c r="C8" i="26"/>
  <c r="H8" i="26" s="1"/>
  <c r="I8" i="26" s="1"/>
  <c r="C8" i="21"/>
  <c r="H8" i="21" s="1"/>
  <c r="I8" i="21" s="1"/>
  <c r="C4" i="1"/>
  <c r="H4" i="1" s="1"/>
  <c r="I4" i="1" s="1"/>
  <c r="C5" i="1"/>
  <c r="C6" i="1"/>
  <c r="H6" i="1" s="1"/>
  <c r="I6" i="1" s="1"/>
  <c r="C7" i="1"/>
  <c r="H7" i="1" s="1"/>
  <c r="I7" i="1" s="1"/>
  <c r="C8" i="3"/>
  <c r="H8" i="3" s="1"/>
  <c r="I8" i="3" s="1"/>
  <c r="C3" i="1"/>
  <c r="H3" i="1" s="1"/>
  <c r="I3" i="1" s="1"/>
  <c r="E5" i="29" l="1"/>
  <c r="F5" i="29" s="1"/>
  <c r="H5" i="29"/>
  <c r="E4" i="29"/>
  <c r="F4" i="29" s="1"/>
  <c r="H4" i="29"/>
  <c r="E5" i="30"/>
  <c r="F5" i="30" s="1"/>
  <c r="H5" i="30"/>
  <c r="E4" i="30"/>
  <c r="F4" i="30" s="1"/>
  <c r="H4" i="30"/>
  <c r="E6" i="18"/>
  <c r="F6" i="18" s="1"/>
  <c r="H6" i="18"/>
  <c r="I6" i="18" s="1"/>
  <c r="E5" i="18"/>
  <c r="F5" i="18" s="1"/>
  <c r="H5" i="18"/>
  <c r="I5" i="18" s="1"/>
  <c r="E4" i="18"/>
  <c r="F4" i="18" s="1"/>
  <c r="H4" i="18"/>
  <c r="I4" i="18" s="1"/>
  <c r="E7" i="18"/>
  <c r="F7" i="18" s="1"/>
  <c r="H7" i="18"/>
  <c r="I7" i="18" s="1"/>
  <c r="E5" i="1"/>
  <c r="F5" i="1" s="1"/>
  <c r="H5" i="1"/>
  <c r="I5" i="1" s="1"/>
  <c r="C8" i="18"/>
  <c r="C6" i="34"/>
  <c r="C7" i="34"/>
  <c r="E8" i="21"/>
  <c r="F8" i="21" s="1"/>
  <c r="E8" i="27"/>
  <c r="F8" i="27" s="1"/>
  <c r="C4" i="34"/>
  <c r="E8" i="20"/>
  <c r="F8" i="20" s="1"/>
  <c r="E4" i="1"/>
  <c r="E8" i="28"/>
  <c r="F8" i="28" s="1"/>
  <c r="E8" i="3"/>
  <c r="F8" i="3" s="1"/>
  <c r="G8" i="34"/>
  <c r="E8" i="32"/>
  <c r="F8" i="32" s="1"/>
  <c r="D8" i="34"/>
  <c r="C3" i="34"/>
  <c r="H3" i="34" s="1"/>
  <c r="I3" i="34" s="1"/>
  <c r="E8" i="26"/>
  <c r="F8" i="26" s="1"/>
  <c r="E8" i="4"/>
  <c r="F8" i="4" s="1"/>
  <c r="C5" i="34"/>
  <c r="H8" i="33"/>
  <c r="I8" i="33" s="1"/>
  <c r="E8" i="19"/>
  <c r="F8" i="19" s="1"/>
  <c r="E8" i="31"/>
  <c r="F8" i="31" s="1"/>
  <c r="E7" i="1"/>
  <c r="E6" i="1"/>
  <c r="C8" i="30"/>
  <c r="E3" i="30"/>
  <c r="F3" i="30" s="1"/>
  <c r="H3" i="30" s="1"/>
  <c r="I3" i="30" s="1"/>
  <c r="C8" i="29"/>
  <c r="E3" i="29"/>
  <c r="F3" i="29" s="1"/>
  <c r="H3" i="29" s="1"/>
  <c r="I3" i="29" s="1"/>
  <c r="E3" i="18"/>
  <c r="C8" i="1"/>
  <c r="E3" i="1"/>
  <c r="I5" i="29" l="1"/>
  <c r="I4" i="29"/>
  <c r="I5" i="30"/>
  <c r="I4" i="30"/>
  <c r="F3" i="18"/>
  <c r="F6" i="1"/>
  <c r="F7" i="1"/>
  <c r="F4" i="1"/>
  <c r="F3" i="1"/>
  <c r="E5" i="34"/>
  <c r="F5" i="34" s="1"/>
  <c r="H5" i="34"/>
  <c r="I5" i="34" s="1"/>
  <c r="E4" i="34"/>
  <c r="F4" i="34" s="1"/>
  <c r="H4" i="34"/>
  <c r="I4" i="34" s="1"/>
  <c r="E7" i="34"/>
  <c r="F7" i="34" s="1"/>
  <c r="H7" i="34"/>
  <c r="I7" i="34" s="1"/>
  <c r="E6" i="34"/>
  <c r="F6" i="34" s="1"/>
  <c r="H6" i="34"/>
  <c r="I6" i="34" s="1"/>
  <c r="H8" i="18"/>
  <c r="I8" i="18" s="1"/>
  <c r="E8" i="18"/>
  <c r="F8" i="18" s="1"/>
  <c r="C8" i="34"/>
  <c r="H8" i="34" s="1"/>
  <c r="I8" i="34" s="1"/>
  <c r="E3" i="34"/>
  <c r="H8" i="30"/>
  <c r="I8" i="30" s="1"/>
  <c r="E8" i="30"/>
  <c r="F8" i="30" s="1"/>
  <c r="H8" i="29"/>
  <c r="I8" i="29" s="1"/>
  <c r="E8" i="29"/>
  <c r="F8" i="29" s="1"/>
  <c r="H8" i="1"/>
  <c r="I8" i="1" s="1"/>
  <c r="E8" i="1"/>
  <c r="F8" i="1" s="1"/>
  <c r="G8" i="2"/>
  <c r="D8" i="2"/>
  <c r="F3" i="34" l="1"/>
  <c r="E8" i="34"/>
  <c r="F8" i="34" s="1"/>
  <c r="C8" i="2"/>
  <c r="H8" i="2" l="1"/>
  <c r="I8" i="2" s="1"/>
  <c r="E8" i="2"/>
  <c r="F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<sst xmlns="http://schemas.openxmlformats.org/spreadsheetml/2006/main" count="443" uniqueCount="90">
  <si>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</si>
  <si>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</si>
  <si>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</si>
  <si>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</si>
  <si>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</si>
  <si>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</si>
  <si>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</si>
  <si>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</si>
  <si>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</si>
  <si>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</si>
  <si>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</si>
  <si>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</si>
  <si>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</si>
  <si>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</si>
  <si>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</si>
  <si>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</si>
  <si>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</si>
  <si>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</si>
  <si>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</si>
  <si>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</si>
  <si>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</si>
  <si>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</si>
  <si>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</si>
  <si>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</si>
  <si>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</si>
  <si>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</si>
  <si>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</si>
  <si>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</si>
  <si>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</si>
  <si>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</si>
  <si>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</si>
  <si>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</si>
  <si>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</si>
  <si>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</si>
  <si>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</si>
  <si>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</si>
  <si>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</si>
  <si>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</si>
  <si>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</si>
  <si>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</si>
  <si>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</si>
  <si>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</si>
  <si>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</si>
  <si>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</si>
  <si>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</si>
  <si>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</si>
  <si>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</si>
  <si>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ALIGNED</t>
  </si>
  <si>
    <t>Site DAS Name</t>
  </si>
  <si>
    <t>Column1</t>
  </si>
  <si>
    <t>Conway - Lake</t>
  </si>
  <si>
    <t>Conway -US 302 and Stirch Road</t>
  </si>
  <si>
    <t>NH</t>
  </si>
  <si>
    <t>AEF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</si>
  <si>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</si>
  <si>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</si>
  <si>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</si>
  <si>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</si>
  <si>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</si>
  <si>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</si>
  <si>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Pro skate</t>
  </si>
  <si>
    <t>Monmouth Junction - Pro Skate</t>
  </si>
  <si>
    <t>NJ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</si>
  <si>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</si>
  <si>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</si>
  <si>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</si>
  <si>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</si>
  <si>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</si>
  <si>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</si>
  <si>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</si>
  <si>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</si>
  <si>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</si>
  <si>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</si>
  <si>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</si>
  <si>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</si>
  <si>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</si>
  <si>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</si>
  <si>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</si>
  <si>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</si>
  <si>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</si>
  <si>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</si>
  <si>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</si>
  <si>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</si>
  <si>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</si>
  <si>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</si>
  <si>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1.Site tripped offline on 01/16/2024 at 11:00 &amp; back online at 01/17/2024 at 17:30</t>
  </si>
  <si>
    <t>1.SR080260</t>
  </si>
  <si>
    <t xml:space="preserve"> </t>
  </si>
  <si>
    <t>1. SR080070
2. SR079989</t>
  </si>
  <si>
    <t>1.Inverter 1-3 tripped offline at 14:45 on 01/08/2024 &amp; back online 01/30/2024 at 12:30. 
2. Site was in battery mode from 01/05/2024 at 16:00 &amp; back online on 01/06/2024 at 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</si>
</sst>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4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25" fillId="0" borderId="14" xfId="43" applyFont="1" applyBorder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0" fillId="0" borderId="14" xfId="0" applyBorder="1"/>
    <xf numFmtId="0" fontId="0" fillId="0" borderId="29" xfId="0" applyBorder="1"/>
    <xf numFmtId="0" fontId="8" fillId="0" borderId="35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43" borderId="2" xfId="2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6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6" xfId="2" applyFont="1" applyFill="1" applyBorder="1" applyAlignment="1">
      <alignment horizontal="left" vertical="center"/>
    </xf>
    <xf numFmtId="9" fontId="31" fillId="43" borderId="37" xfId="2" applyFont="1" applyFill="1" applyBorder="1" applyAlignment="1">
      <alignment horizontal="center" vertical="center"/>
    </xf>
    <xf numFmtId="9" fontId="31" fillId="43" borderId="38" xfId="2" applyFont="1" applyFill="1" applyBorder="1" applyAlignment="1">
      <alignment horizontal="center" vertical="center"/>
    </xf>
    <xf numFmtId="0" fontId="29" fillId="45" borderId="40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40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5" fillId="0" borderId="2" xfId="43" applyFont="1" applyBorder="1"/>
    <xf numFmtId="0" fontId="25" fillId="0" borderId="1" xfId="43" applyFont="1" applyBorder="1"/>
    <xf numFmtId="0" fontId="37" fillId="0" borderId="1" xfId="0" applyFont="1" applyBorder="1" applyAlignment="1">
      <alignment horizontal="left"/>
    </xf>
    <xf numFmtId="3" fontId="38" fillId="3" borderId="2" xfId="0" applyNumberFormat="1" applyFont="1" applyFill="1" applyBorder="1" applyAlignment="1">
      <alignment horizontal="right"/>
    </xf>
    <xf numFmtId="9" fontId="38" fillId="3" borderId="2" xfId="2" applyFont="1" applyFill="1" applyBorder="1" applyAlignment="1">
      <alignment horizontal="center"/>
    </xf>
    <xf numFmtId="3" fontId="38" fillId="4" borderId="2" xfId="1" applyNumberFormat="1" applyFont="1" applyFill="1" applyBorder="1"/>
    <xf numFmtId="9" fontId="38" fillId="4" borderId="2" xfId="2" applyFont="1" applyFill="1" applyBorder="1" applyAlignment="1">
      <alignment horizontal="center"/>
    </xf>
    <xf numFmtId="9" fontId="38" fillId="3" borderId="1" xfId="2" applyFont="1" applyFill="1" applyBorder="1" applyAlignment="1">
      <alignment horizontal="center"/>
    </xf>
    <xf numFmtId="3" fontId="38" fillId="4" borderId="13" xfId="1" applyNumberFormat="1" applyFont="1" applyFill="1" applyBorder="1"/>
    <xf numFmtId="3" fontId="38" fillId="4" borderId="2" xfId="1" applyNumberFormat="1" applyFont="1" applyFill="1" applyBorder="1" applyAlignment="1">
      <alignment vertical="center"/>
    </xf>
    <xf numFmtId="9" fontId="38" fillId="43" borderId="2" xfId="2" applyFont="1" applyFill="1" applyBorder="1" applyAlignment="1">
      <alignment horizontal="left" vertical="top" wrapText="1"/>
    </xf>
    <xf numFmtId="9" fontId="38" fillId="43" borderId="2" xfId="2" applyFont="1" applyFill="1" applyBorder="1" applyAlignment="1">
      <alignment horizontal="left" vertical="top"/>
    </xf>
    <xf numFmtId="3" fontId="38" fillId="38" borderId="14" xfId="0" applyNumberFormat="1" applyFont="1" applyFill="1" applyBorder="1"/>
    <xf numFmtId="3" fontId="38" fillId="39" borderId="14" xfId="0" applyNumberFormat="1" applyFont="1" applyFill="1" applyBorder="1"/>
    <xf numFmtId="3" fontId="38" fillId="3" borderId="28" xfId="0" applyNumberFormat="1" applyFont="1" applyFill="1" applyBorder="1" applyAlignment="1">
      <alignment horizontal="right"/>
    </xf>
    <xf numFmtId="9" fontId="38" fillId="3" borderId="3" xfId="2" applyFont="1" applyFill="1" applyBorder="1" applyAlignment="1">
      <alignment horizontal="center"/>
    </xf>
    <xf numFmtId="3" fontId="38" fillId="4" borderId="39" xfId="1" applyNumberFormat="1" applyFont="1" applyFill="1" applyBorder="1"/>
    <xf numFmtId="3" fontId="38" fillId="4" borderId="28" xfId="1" applyNumberFormat="1" applyFont="1" applyFill="1" applyBorder="1"/>
    <xf numFmtId="9" fontId="38" fillId="4" borderId="28" xfId="2" applyFont="1" applyFill="1" applyBorder="1" applyAlignment="1">
      <alignment horizontal="center"/>
    </xf>
    <xf numFmtId="49" fontId="38" fillId="43" borderId="2" xfId="2" applyNumberFormat="1" applyFont="1" applyFill="1" applyBorder="1" applyAlignment="1">
      <alignment horizontal="left" vertical="top" wrapText="1"/>
    </xf>
    <xf numFmtId="3" fontId="38" fillId="38" borderId="16" xfId="0" applyNumberFormat="1" applyFont="1" applyFill="1" applyBorder="1"/>
    <xf numFmtId="0" fontId="38" fillId="38" borderId="16" xfId="0" applyFont="1" applyFill="1" applyBorder="1"/>
    <xf numFmtId="3" fontId="38" fillId="39" borderId="16" xfId="0" applyNumberFormat="1" applyFont="1" applyFill="1" applyBorder="1"/>
    <xf numFmtId="3" fontId="38" fillId="4" borderId="2" xfId="1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3" fillId="4" borderId="15" xfId="0" applyFont="1" applyFill="1" applyBorder="1" applyAlignment="1">
      <alignment horizontal="left" wrapText="1"/>
    </xf>
    <xf numFmtId="0" fontId="36" fillId="45" borderId="40" xfId="0" applyFont="1" applyFill="1" applyBorder="1" applyAlignment="1">
      <alignment horizontal="center" wrapText="1"/>
    </xf>
    <xf numFmtId="0" fontId="29" fillId="45" borderId="40" xfId="0" applyFont="1" applyFill="1" applyBorder="1" applyAlignment="1">
      <alignment horizontal="center" wrapText="1"/>
    </xf>
    <xf numFmtId="3" fontId="33" fillId="3" borderId="16" xfId="0" applyNumberFormat="1" applyFont="1" applyFill="1" applyBorder="1" applyAlignment="1">
      <alignment horizontal="right" wrapText="1"/>
    </xf>
    <xf numFmtId="9" fontId="33" fillId="3" borderId="16" xfId="2" applyFont="1" applyFill="1" applyBorder="1" applyAlignment="1">
      <alignment horizontal="center" wrapText="1"/>
    </xf>
    <xf numFmtId="3" fontId="33" fillId="4" borderId="16" xfId="1" applyNumberFormat="1" applyFont="1" applyFill="1" applyBorder="1" applyAlignment="1">
      <alignment wrapText="1"/>
    </xf>
    <xf numFmtId="9" fontId="33" fillId="40" borderId="16" xfId="2" applyFont="1" applyFill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36" fillId="45" borderId="1" xfId="0" applyFont="1" applyFill="1" applyBorder="1" applyAlignment="1">
      <alignment horizontal="center" wrapText="1"/>
    </xf>
    <xf numFmtId="0" fontId="29" fillId="45" borderId="1" xfId="0" applyFont="1" applyFill="1" applyBorder="1" applyAlignment="1">
      <alignment horizontal="center" wrapText="1"/>
    </xf>
    <xf numFmtId="3" fontId="33" fillId="37" borderId="18" xfId="0" applyNumberFormat="1" applyFont="1" applyFill="1" applyBorder="1" applyAlignment="1">
      <alignment horizontal="center" vertical="center" wrapText="1"/>
    </xf>
    <xf numFmtId="9" fontId="33" fillId="37" borderId="18" xfId="0" applyNumberFormat="1" applyFont="1" applyFill="1" applyBorder="1" applyAlignment="1">
      <alignment horizontal="center" vertical="center" wrapText="1"/>
    </xf>
    <xf numFmtId="3" fontId="33" fillId="37" borderId="18" xfId="1" applyNumberFormat="1" applyFont="1" applyFill="1" applyBorder="1" applyAlignment="1">
      <alignment horizontal="center" vertical="center" wrapText="1"/>
    </xf>
    <xf numFmtId="9" fontId="33" fillId="37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9" fontId="5" fillId="0" borderId="0" xfId="2" applyFont="1" applyAlignment="1">
      <alignment horizontal="center" wrapText="1"/>
    </xf>
    <xf numFmtId="9" fontId="30" fillId="43" borderId="2" xfId="2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top"/>
    </xf>
    <xf numFmtId="9" fontId="39" fillId="43" borderId="2" xfId="2" applyFont="1" applyFill="1" applyBorder="1" applyAlignment="1">
      <alignment horizontal="left" vertical="top" wrapText="1"/>
    </xf>
    <xf numFmtId="9" fontId="38" fillId="43" borderId="28" xfId="2" applyFont="1" applyFill="1" applyBorder="1" applyAlignment="1">
      <alignment horizontal="left" vertical="top"/>
    </xf>
    <xf numFmtId="9" fontId="30" fillId="43" borderId="2" xfId="2" applyFont="1" applyFill="1" applyBorder="1" applyAlignment="1">
      <alignment horizontal="left" wrapText="1"/>
    </xf>
    <xf numFmtId="9" fontId="30" fillId="43" borderId="2" xfId="2" applyFont="1" applyFill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/>
    </xf>
    <xf numFmtId="3" fontId="38" fillId="3" borderId="2" xfId="0" applyNumberFormat="1" applyFont="1" applyFill="1" applyBorder="1" applyAlignment="1">
      <alignment horizontal="right" vertical="center"/>
    </xf>
    <xf numFmtId="9" fontId="38" fillId="3" borderId="2" xfId="2" applyFont="1" applyFill="1" applyBorder="1" applyAlignment="1">
      <alignment horizontal="center" vertical="center"/>
    </xf>
    <xf numFmtId="9" fontId="38" fillId="4" borderId="2" xfId="2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9" fontId="38" fillId="3" borderId="1" xfId="2" applyFont="1" applyFill="1" applyBorder="1" applyAlignment="1">
      <alignment horizontal="center" vertical="center"/>
    </xf>
    <xf numFmtId="3" fontId="38" fillId="4" borderId="13" xfId="1" applyNumberFormat="1" applyFont="1" applyFill="1" applyBorder="1" applyAlignment="1">
      <alignment vertical="center"/>
    </xf>
    <xf numFmtId="3" fontId="38" fillId="38" borderId="14" xfId="0" applyNumberFormat="1" applyFont="1" applyFill="1" applyBorder="1" applyAlignment="1">
      <alignment vertical="center"/>
    </xf>
    <xf numFmtId="3" fontId="38" fillId="39" borderId="14" xfId="0" applyNumberFormat="1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3" fontId="38" fillId="3" borderId="28" xfId="0" applyNumberFormat="1" applyFont="1" applyFill="1" applyBorder="1" applyAlignment="1">
      <alignment horizontal="right" vertical="center"/>
    </xf>
    <xf numFmtId="3" fontId="38" fillId="4" borderId="39" xfId="1" applyNumberFormat="1" applyFont="1" applyFill="1" applyBorder="1" applyAlignment="1">
      <alignment vertical="center"/>
    </xf>
    <xf numFmtId="3" fontId="38" fillId="4" borderId="13" xfId="1" applyNumberFormat="1" applyFont="1" applyFill="1" applyBorder="1" applyAlignment="1">
      <alignment horizontal="right" vertical="center"/>
    </xf>
    <xf numFmtId="3" fontId="38" fillId="38" borderId="16" xfId="0" applyNumberFormat="1" applyFont="1" applyFill="1" applyBorder="1" applyAlignment="1">
      <alignment vertical="center"/>
    </xf>
    <xf numFmtId="0" fontId="38" fillId="38" borderId="16" xfId="0" applyFont="1" applyFill="1" applyBorder="1" applyAlignment="1">
      <alignment vertical="center"/>
    </xf>
    <xf numFmtId="3" fontId="38" fillId="39" borderId="16" xfId="0" applyNumberFormat="1" applyFont="1" applyFill="1" applyBorder="1" applyAlignment="1">
      <alignment vertical="center"/>
    </xf>
    <xf numFmtId="9" fontId="38" fillId="43" borderId="28" xfId="2" applyFont="1" applyFill="1" applyBorder="1" applyAlignment="1">
      <alignment horizontal="left" vertical="top" wrapText="1"/>
    </xf>
    <xf numFmtId="0" fontId="7" fillId="5" borderId="3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32" fillId="44" borderId="23" xfId="0" applyFont="1" applyFill="1" applyBorder="1" applyAlignment="1">
      <alignment horizontal="center" vertical="center" wrapText="1"/>
    </xf>
    <xf numFmtId="0" fontId="32" fillId="44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19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7" totalsRowShown="0" headerRowBorderDxfId="118">
  <autoFilter ref="A2:D7" xr:uid="{66A40F5E-D45A-46FE-9183-4A31296D93F1}"/>
  <sortState xmlns:xlrd2="http://schemas.microsoft.com/office/spreadsheetml/2017/richdata2" ref="A3:D7">
    <sortCondition ref="C2:C7"/>
  </sortState>
  <tableColumns count="4">
    <tableColumn id="3" xr3:uid="{BFC0214A-8820-4A19-81D0-852548EDA4BC}" name="Site DAS Name" dataDxfId="117" dataCellStyle="Normal 2"/>
    <tableColumn id="1" xr3:uid="{2ECEDF7A-47C1-4159-BC3D-6E76D6492D27}" name="Site" dataDxfId="116" dataCellStyle="Normal 2"/>
    <tableColumn id="2" xr3:uid="{2C9662E7-9933-4E8D-97A6-DB7E03BCDC09}" name="State" dataDxfId="115" dataCellStyle="Normal 2"/>
    <tableColumn id="5" xr3:uid="{F1D3BF47-C530-4653-922C-CDF1211AB5F9}" name="Column1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113" dataDxfId="111" headerRowBorderDxfId="112" tableBorderDxfId="110">
  <autoFilter ref="A4:J16" xr:uid="{59A959C2-52B2-422A-A87A-BC08BBF40681}"/>
  <tableColumns count="10">
    <tableColumn id="1" xr3:uid="{5546520C-DCC9-49E9-9FB3-CE316D4944DA}" name="Month" dataDxfId="109"/>
    <tableColumn id="2" xr3:uid="{DDF452E8-4CE6-4DD7-83F1-6C18FAC64F53}" name="Actual" dataDxfId="108"/>
    <tableColumn id="3" xr3:uid="{854FA685-1E8D-434A-A191-70ED326137F6}" name="Expected" dataDxfId="107"/>
    <tableColumn id="4" xr3:uid="{5C3F4DED-9A03-4256-AB35-C17DABA79D2D}" name="Delta Expected" dataDxfId="106">
      <calculatedColumnFormula>B5-C5</calculatedColumnFormula>
    </tableColumn>
    <tableColumn id="5" xr3:uid="{41D24EBB-4EC4-4943-84C6-B4913606DB53}" name="% Expected" dataDxfId="105">
      <calculatedColumnFormula>IFERROR(D5/C5, 0)</calculatedColumnFormula>
    </tableColumn>
    <tableColumn id="6" xr3:uid="{BD395EF8-0433-4B53-BE3C-227C7BC36415}" name="Forecasted" dataDxfId="104"/>
    <tableColumn id="7" xr3:uid="{72B64D61-E6FB-4C48-8CEB-D343DF097E3E}" name="Delta Forecasted" dataDxfId="103" dataCellStyle="Comma">
      <calculatedColumnFormula>B5-F5</calculatedColumnFormula>
    </tableColumn>
    <tableColumn id="8" xr3:uid="{27F4C8CA-7E0A-46AD-8278-F15F669646B7}" name="% Forecasted" dataDxfId="102">
      <calculatedColumnFormula>IFERROR(G5/F5, 0)</calculatedColumnFormula>
    </tableColumn>
    <tableColumn id="9" xr3:uid="{623D8263-ADF2-4E83-A133-77A77ECF5573}" name="Notes" dataDxfId="101"/>
    <tableColumn id="10" xr3:uid="{D21843AC-EB45-41B5-BBF8-600127984792}" name="Service Request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99" dataDxfId="97" headerRowBorderDxfId="98" tableBorderDxfId="96">
  <autoFilter ref="A4:J16" xr:uid="{59A959C2-52B2-422A-A87A-BC08BBF40681}"/>
  <tableColumns count="10">
    <tableColumn id="1" xr3:uid="{300F2B93-3E43-4029-9602-E5303206602D}" name="Month" dataDxfId="95"/>
    <tableColumn id="2" xr3:uid="{37FF0282-4483-4A16-B4CD-FA5C5D2AAB66}" name="Actual" dataDxfId="94"/>
    <tableColumn id="3" xr3:uid="{4B1572C6-48CA-4285-A895-59F55B5B6A3F}" name="Expected" dataDxfId="93"/>
    <tableColumn id="4" xr3:uid="{05CC6563-3045-40DE-A32C-A03045F46221}" name="Delta Expected" dataDxfId="92">
      <calculatedColumnFormula>B5-C5</calculatedColumnFormula>
    </tableColumn>
    <tableColumn id="5" xr3:uid="{0112F9D3-7673-407D-B2C0-617699B4EADA}" name="% Expected" dataDxfId="91">
      <calculatedColumnFormula>IFERROR(D5/C5, 0)</calculatedColumnFormula>
    </tableColumn>
    <tableColumn id="6" xr3:uid="{66AF3356-8A8A-4469-9904-982EE44943E2}" name="Forecasted" dataDxfId="90"/>
    <tableColumn id="7" xr3:uid="{C6527BC9-FA83-465E-9209-CCE13ABEDC9D}" name="Delta Forecasted" dataDxfId="89" dataCellStyle="Comma">
      <calculatedColumnFormula>B5-F5</calculatedColumnFormula>
    </tableColumn>
    <tableColumn id="8" xr3:uid="{FA6C6671-F650-4018-910D-2FFB550B3762}" name="% Forecasted" dataDxfId="88">
      <calculatedColumnFormula>IFERROR(G5/F5, 0)</calculatedColumnFormula>
    </tableColumn>
    <tableColumn id="9" xr3:uid="{2783C74E-2CBC-4809-B11D-46D4F8FBBA31}" name="Notes" dataDxfId="87"/>
    <tableColumn id="10" xr3:uid="{0D13FC05-4475-4C0F-ACFE-D5CA9083D091}" name="Service Request" dataDxfId="8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85" dataDxfId="83" headerRowBorderDxfId="84" tableBorderDxfId="82">
  <autoFilter ref="A4:J16" xr:uid="{59A959C2-52B2-422A-A87A-BC08BBF40681}"/>
  <tableColumns count="10">
    <tableColumn id="1" xr3:uid="{0C8C5D2C-22CD-4B1A-AA89-7DF9CC077053}" name="Month" dataDxfId="81"/>
    <tableColumn id="2" xr3:uid="{1504A410-2AFF-45D8-B05D-3003630C6253}" name="Actual" dataDxfId="80"/>
    <tableColumn id="3" xr3:uid="{E4620953-7DAB-4FED-A94B-5ED1A18BA51C}" name="Expected" dataDxfId="79"/>
    <tableColumn id="4" xr3:uid="{0E2D487F-5D52-4EF3-93FA-9263831DB0A2}" name="Delta Expected" dataDxfId="78">
      <calculatedColumnFormula>B5-C5</calculatedColumnFormula>
    </tableColumn>
    <tableColumn id="5" xr3:uid="{4E7B4ABC-A69B-400D-B5B2-832C6832F796}" name="% Expected" dataDxfId="77">
      <calculatedColumnFormula>IFERROR(D5/C5, 0)</calculatedColumnFormula>
    </tableColumn>
    <tableColumn id="6" xr3:uid="{01863DDF-3CCB-4609-8F75-0B0C278BB83F}" name="Forecasted" dataDxfId="76"/>
    <tableColumn id="7" xr3:uid="{8D07CC50-2E6D-421F-97CE-C028BAC10737}" name="Delta Forecasted" dataDxfId="75" dataCellStyle="Comma">
      <calculatedColumnFormula>B5-F5</calculatedColumnFormula>
    </tableColumn>
    <tableColumn id="8" xr3:uid="{4AC223A0-5E24-439A-AE0C-C81A96EC683F}" name="% Forecasted" dataDxfId="74">
      <calculatedColumnFormula>IFERROR(G5/F5, 0)</calculatedColumnFormula>
    </tableColumn>
    <tableColumn id="9" xr3:uid="{B21D21F1-1D16-4710-8885-CDF7B8E73B1F}" name="Notes" dataDxfId="73"/>
    <tableColumn id="10" xr3:uid="{7153195E-F3DA-438B-8DCB-CED54F61277D}" name="Service Request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71" dataDxfId="69" headerRowBorderDxfId="70" tableBorderDxfId="68">
  <autoFilter ref="A4:J16" xr:uid="{59A959C2-52B2-422A-A87A-BC08BBF40681}"/>
  <tableColumns count="10">
    <tableColumn id="1" xr3:uid="{838083B7-0287-4C21-9A6F-17E6A9A57D22}" name="Month" dataDxfId="67"/>
    <tableColumn id="2" xr3:uid="{247316F2-665B-4CB8-AE98-B160EDC17CD1}" name="Actual" dataDxfId="66"/>
    <tableColumn id="3" xr3:uid="{28F7712E-DE86-4EF2-A5CF-1CC2167EC41E}" name="Expected" dataDxfId="65"/>
    <tableColumn id="4" xr3:uid="{D3B59548-44B6-4CD4-9C83-00A146E8357F}" name="Delta Expected" dataDxfId="64">
      <calculatedColumnFormula>B5-C5</calculatedColumnFormula>
    </tableColumn>
    <tableColumn id="5" xr3:uid="{0F77CB24-DF7E-44EB-8F7A-EF266ED592AE}" name="% Expected" dataDxfId="63">
      <calculatedColumnFormula>IFERROR(D5/C5, 0)</calculatedColumnFormula>
    </tableColumn>
    <tableColumn id="6" xr3:uid="{8C639BB8-17D1-4724-86F9-E040B1E62A03}" name="Forecasted" dataDxfId="62"/>
    <tableColumn id="7" xr3:uid="{44F5CABC-A9BD-4E7B-9A00-6B48C98165F9}" name="Delta Forecasted" dataDxfId="61" dataCellStyle="Comma">
      <calculatedColumnFormula>B5-F5</calculatedColumnFormula>
    </tableColumn>
    <tableColumn id="8" xr3:uid="{2C2956C7-5C1E-43AF-BBA2-759C09FFD0D8}" name="% Forecasted" dataDxfId="60">
      <calculatedColumnFormula>IFERROR(G5/F5, 0)</calculatedColumnFormula>
    </tableColumn>
    <tableColumn id="9" xr3:uid="{482A0B3D-F68B-4980-A8D8-A77870F1CACE}" name="Notes" dataDxfId="59"/>
    <tableColumn id="10" xr3:uid="{8EDA506D-EE14-4152-8B4C-D3AEABA8ED99}" name="Service Request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57" dataDxfId="55" headerRowBorderDxfId="56" tableBorderDxfId="54">
  <autoFilter ref="A4:J16" xr:uid="{59A959C2-52B2-422A-A87A-BC08BBF40681}"/>
  <tableColumns count="10">
    <tableColumn id="1" xr3:uid="{118AA2FE-E7D2-4206-B16A-6CCC68775996}" name="Month" dataDxfId="53"/>
    <tableColumn id="2" xr3:uid="{8A368234-EDD7-4E42-B9AD-515668818627}" name="Actual" dataDxfId="52"/>
    <tableColumn id="3" xr3:uid="{73D95621-FBC9-4CA1-AC2E-D1C96DE36B70}" name="Expected" dataDxfId="51"/>
    <tableColumn id="4" xr3:uid="{48DCF5B7-C57B-4CF9-A49C-382C49997254}" name="Delta Expected" dataDxfId="50">
      <calculatedColumnFormula>B5-C5</calculatedColumnFormula>
    </tableColumn>
    <tableColumn id="5" xr3:uid="{5063409C-2F70-4B9F-84DC-2C5F3812BB27}" name="% Expected" dataDxfId="49">
      <calculatedColumnFormula>IFERROR(D5/C5, 0)</calculatedColumnFormula>
    </tableColumn>
    <tableColumn id="6" xr3:uid="{81C000AC-8AC1-4109-A3D9-07363868E241}" name="Forecasted" dataDxfId="48"/>
    <tableColumn id="7" xr3:uid="{FE7AC5F1-C3C2-4907-9BD3-BF7CE8EFF4D8}" name="Delta Forecasted" dataDxfId="47" dataCellStyle="Comma">
      <calculatedColumnFormula>B5-F5</calculatedColumnFormula>
    </tableColumn>
    <tableColumn id="8" xr3:uid="{504FC4D5-CE5F-4A3D-8704-2F10443078A7}" name="% Forecasted" dataDxfId="46">
      <calculatedColumnFormula>IFERROR(G5/F5, 0)</calculatedColumnFormula>
    </tableColumn>
    <tableColumn id="9" xr3:uid="{FBC18841-E5E5-4300-A44D-DAAA6A23EC2A}" name="Notes" dataDxfId="45"/>
    <tableColumn id="10" xr3:uid="{9FDCDDFC-003E-4741-A2BA-7A020C5F93E1}" name="Service Request" data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4"/>
  <sheetViews>
    <sheetView workbookViewId="0">
      <pane ySplit="2" topLeftCell="A3" activePane="bottomLeft" state="frozen"/>
      <selection pane="bottomLeft" activeCell="G19" sqref="G19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0</v>
      </c>
      <c r="D1" s="125"/>
      <c r="E1" s="125"/>
      <c r="F1" s="126"/>
      <c r="G1" s="127" t="s">
        <v>1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>
        <f ca="1">SUM('1st Quarter 2024'!C3, '2nd Quarter 2024'!C3, '3rd Quarter 2024'!C3, '4th Quarter 2024'!C3)</f>
        <v>51558.180000000197</v>
      </c>
      <c r="D3" s="36">
        <f ca="1">SUM('1st Quarter 2024'!D3, '2nd Quarter 2024'!D3, '3rd Quarter 2024'!D3, '4th Quarter 2024'!D3)</f>
        <v>56747.74</v>
      </c>
      <c r="E3" s="36">
        <f ca="1">C3-D3</f>
        <v>-5189.5599999998012</v>
      </c>
      <c r="F3" s="37">
        <f ca="1">IFERROR(E3/D3, 0)</f>
        <v>-9.1449633060273441E-2</v>
      </c>
      <c r="G3" s="38">
        <f ca="1">SUM('1st Quarter 2024'!G3, '2nd Quarter 2024'!G3, '3rd Quarter 2024'!G3, '4th Quarter 2024'!G3)</f>
        <v>0</v>
      </c>
      <c r="H3" s="38">
        <f ca="1">C3-G3</f>
        <v>51558.180000000197</v>
      </c>
      <c r="I3" s="39">
        <f ca="1">IFERROR(H3/G3, 0)</f>
        <v>0</v>
      </c>
      <c r="J3" s="18"/>
      <c r="K3" s="18"/>
    </row>
    <row r="4" spans="1:11" ht="15.75" x14ac:dyDescent="0.5">
      <c r="A4" s="47" t="str">
        <v>Loudon - 7046 Pleasant Street</v>
      </c>
      <c r="B4" s="19" t="str">
        <v>NH</v>
      </c>
      <c r="C4" s="36">
        <f ca="1">SUM('1st Quarter 2024'!C4, '2nd Quarter 2024'!C4, '3rd Quarter 2024'!C4, '4th Quarter 2024'!C4)</f>
        <v>67770.851250000793</v>
      </c>
      <c r="D4" s="36">
        <f ca="1">SUM('1st Quarter 2024'!D4, '2nd Quarter 2024'!D4, '3rd Quarter 2024'!D4, '4th Quarter 2024'!D4)</f>
        <v>82178.83</v>
      </c>
      <c r="E4" s="36">
        <f t="shared" ref="E4:E7" ca="1" si="0">C4-D4</f>
        <v>-14407.978749999209</v>
      </c>
      <c r="F4" s="37">
        <f t="shared" ref="F4:F7" ca="1" si="1">IFERROR(E4/D4, 0)</f>
        <v>-0.17532470041249321</v>
      </c>
      <c r="G4" s="38">
        <f ca="1">SUM('1st Quarter 2024'!G4, '2nd Quarter 2024'!G4, '3rd Quarter 2024'!G4, '4th Quarter 2024'!G4)</f>
        <v>122968.3</v>
      </c>
      <c r="H4" s="38">
        <f t="shared" ref="H4:H7" ca="1" si="2">C4-G4</f>
        <v>-55197.44874999921</v>
      </c>
      <c r="I4" s="39">
        <f t="shared" ref="I4:I7" ca="1" si="3">IFERROR(H4/G4, 0)</f>
        <v>-0.44887543171694827</v>
      </c>
      <c r="J4" s="18"/>
      <c r="K4" s="18"/>
    </row>
    <row r="5" spans="1:11" ht="15.75" x14ac:dyDescent="0.5">
      <c r="A5" s="48" t="str">
        <v>Nashua - Pennichuck Water  East</v>
      </c>
      <c r="B5" s="35" t="str">
        <v>NH</v>
      </c>
      <c r="C5" s="36">
        <f ca="1">SUM('1st Quarter 2024'!C5, '2nd Quarter 2024'!C5, '3rd Quarter 2024'!C5, '4th Quarter 2024'!C5)</f>
        <v>67621.655000000304</v>
      </c>
      <c r="D5" s="36">
        <f ca="1">SUM('1st Quarter 2024'!D5, '2nd Quarter 2024'!D5, '3rd Quarter 2024'!D5, '4th Quarter 2024'!D5)</f>
        <v>53199.54</v>
      </c>
      <c r="E5" s="36">
        <f t="shared" ca="1" si="0"/>
        <v>14422.115000000304</v>
      </c>
      <c r="F5" s="37">
        <f t="shared" ca="1" si="1"/>
        <v>0.27109473127023848</v>
      </c>
      <c r="G5" s="38">
        <f ca="1">SUM('1st Quarter 2024'!G5, '2nd Quarter 2024'!G5, '3rd Quarter 2024'!G5, '4th Quarter 2024'!G5)</f>
        <v>72464</v>
      </c>
      <c r="H5" s="38">
        <f t="shared" ca="1" si="2"/>
        <v>-4842.3449999996956</v>
      </c>
      <c r="I5" s="39">
        <f t="shared" ca="1" si="3"/>
        <v>-6.6824147162724876E-2</v>
      </c>
      <c r="J5" s="18"/>
      <c r="K5" s="18"/>
    </row>
    <row r="6" spans="1:11" ht="15.75" x14ac:dyDescent="0.5">
      <c r="A6" s="47" t="str">
        <v>Nashua - Pennichuck Water West</v>
      </c>
      <c r="B6" s="19" t="str">
        <v>NH</v>
      </c>
      <c r="C6" s="36">
        <f ca="1">SUM('1st Quarter 2024'!C6, '2nd Quarter 2024'!C6, '3rd Quarter 2024'!C6, '4th Quarter 2024'!C6)</f>
        <v>51645.283622449002</v>
      </c>
      <c r="D6" s="36">
        <f ca="1">SUM('1st Quarter 2024'!D6, '2nd Quarter 2024'!D6, '3rd Quarter 2024'!D6, '4th Quarter 2024'!D6)</f>
        <v>55970.19</v>
      </c>
      <c r="E6" s="36">
        <f t="shared" ca="1" si="0"/>
        <v>-4324.9063775510003</v>
      </c>
      <c r="F6" s="37">
        <f t="shared" ca="1" si="1"/>
        <v>-7.7271604358516557E-2</v>
      </c>
      <c r="G6" s="38">
        <f ca="1">SUM('1st Quarter 2024'!G6, '2nd Quarter 2024'!G6, '3rd Quarter 2024'!G6, '4th Quarter 2024'!G6)</f>
        <v>0</v>
      </c>
      <c r="H6" s="38">
        <f t="shared" ca="1" si="2"/>
        <v>51645.283622449002</v>
      </c>
      <c r="I6" s="39">
        <f t="shared" ca="1" si="3"/>
        <v>0</v>
      </c>
      <c r="J6" s="18"/>
      <c r="K6" s="18"/>
    </row>
    <row r="7" spans="1:11" ht="15.75" x14ac:dyDescent="0.5">
      <c r="A7" s="48" t="str">
        <v>Monmouth Junction - Pro Skate</v>
      </c>
      <c r="B7" s="35" t="str">
        <v>NJ</v>
      </c>
      <c r="C7" s="36">
        <f ca="1">SUM('1st Quarter 2024'!C7, '2nd Quarter 2024'!C7, '3rd Quarter 2024'!C7, '4th Quarter 2024'!C7)</f>
        <v>0</v>
      </c>
      <c r="D7" s="36">
        <f ca="1">SUM('1st Quarter 2024'!D7, '2nd Quarter 2024'!D7, '3rd Quarter 2024'!D7, '4th Quarter 2024'!D7)</f>
        <v>0</v>
      </c>
      <c r="E7" s="36">
        <f t="shared" ca="1" si="0"/>
        <v>0</v>
      </c>
      <c r="F7" s="37">
        <f t="shared" ca="1" si="1"/>
        <v>0</v>
      </c>
      <c r="G7" s="38">
        <f ca="1">SUM('1st Quarter 2024'!G7, '2nd Quarter 2024'!G7, '3rd Quarter 2024'!G7, '4th Quarter 2024'!G7)</f>
        <v>0</v>
      </c>
      <c r="H7" s="38">
        <f t="shared" ca="1" si="2"/>
        <v>0</v>
      </c>
      <c r="I7" s="39">
        <f t="shared" ca="1" si="3"/>
        <v>0</v>
      </c>
      <c r="J7" s="20"/>
      <c r="K7" s="20"/>
    </row>
    <row r="8" spans="1:11" ht="24.75" customHeight="1" x14ac:dyDescent="0.35">
      <c r="A8" s="118" t="s">
        <v>11</v>
      </c>
      <c r="B8" s="119"/>
      <c r="C8" s="49">
        <f ca="1">SUM(C3:C7)</f>
        <v>238595.96987245031</v>
      </c>
      <c r="D8" s="49">
        <f ca="1">SUM(D3:D7)</f>
        <v>248096.30000000002</v>
      </c>
      <c r="E8" s="49">
        <f ca="1">C8-D8</f>
        <v>-9500.330127549707</v>
      </c>
      <c r="F8" s="40">
        <f ca="1">IFERROR(E8/D8, 0)</f>
        <v>-3.8292913387058598E-2</v>
      </c>
      <c r="G8" s="49">
        <f ca="1">SUM(G3:G7)</f>
        <v>195432.3</v>
      </c>
      <c r="H8" s="50">
        <f ca="1">C8-G8</f>
        <v>43163.669872450322</v>
      </c>
      <c r="I8" s="41">
        <f ca="1">IFERROR(H8/G8, 0)</f>
        <v>0.22086251797911771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D5C25034-9971-4A61-864F-C938F31EB1B8}"/>
  <mergeCells count="8">
    <mergeCell ref="K1:K2"/>
    <mergeCell ref="A8:B8"/>
    <mergeCell ref="A10:A11"/>
    <mergeCell ref="A12:A13"/>
    <mergeCell ref="A1:B1"/>
    <mergeCell ref="C1:F1"/>
    <mergeCell ref="G1:I1"/>
    <mergeCell ref="J1:J2"/>
  </mergeCells>
  <conditionalFormatting sqref="F3:F8 I3:I8">
    <cfRule type="cellIs" dxfId="43" priority="1" operator="lessThanOrEqual">
      <formula>-0.1</formula>
    </cfRule>
    <cfRule type="cellIs" dxfId="42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4"/>
  <sheetViews>
    <sheetView workbookViewId="0">
      <pane ySplit="2" topLeftCell="A3" activePane="bottomLeft" state="frozen"/>
      <selection pane="bottomLeft" activeCell="D28" sqref="D28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14</v>
      </c>
      <c r="D1" s="125"/>
      <c r="E1" s="125"/>
      <c r="F1" s="126"/>
      <c r="G1" s="127" t="s">
        <v>15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>
        <f ca="1">SUM('01-2024'!C3, '02-2024'!C3, '03-2024'!C3)</f>
        <v>51558.180000000197</v>
      </c>
      <c r="D3" s="36">
        <f ca="1">SUM('01-2024'!D3, '02-2024'!D3, '03-2024'!D3)</f>
        <v>56747.74</v>
      </c>
      <c r="E3" s="36">
        <f ca="1">C3-D3</f>
        <v>-5189.5599999998012</v>
      </c>
      <c r="F3" s="37">
        <f ca="1">IFERROR(E3/D3, 0)</f>
        <v>-9.1449633060273441E-2</v>
      </c>
      <c r="G3" s="38">
        <f ca="1">SUM('01-2024'!G3, '02-2024'!G3, '03-2024'!G3)</f>
        <v>0</v>
      </c>
      <c r="H3" s="38">
        <f ca="1">C3-G3</f>
        <v>51558.180000000197</v>
      </c>
      <c r="I3" s="39">
        <f ca="1">IFERROR(H3/G3, 0)</f>
        <v>0</v>
      </c>
      <c r="J3" s="18"/>
      <c r="K3" s="18"/>
    </row>
    <row r="4" spans="1:11" ht="15.75" x14ac:dyDescent="0.5">
      <c r="A4" s="47" t="str">
        <v>Loudon - 7046 Pleasant Street</v>
      </c>
      <c r="B4" s="19" t="str">
        <v>NH</v>
      </c>
      <c r="C4" s="36">
        <f ca="1">SUM('01-2024'!C4, '02-2024'!C4, '03-2024'!C4)</f>
        <v>67770.851250000793</v>
      </c>
      <c r="D4" s="36">
        <f ca="1">SUM('01-2024'!D4, '02-2024'!D4, '03-2024'!D4)</f>
        <v>82178.83</v>
      </c>
      <c r="E4" s="36">
        <f t="shared" ref="E4:E7" ca="1" si="0">C4-D4</f>
        <v>-14407.978749999209</v>
      </c>
      <c r="F4" s="37">
        <f t="shared" ref="F4:F7" ca="1" si="1">IFERROR(E4/D4, 0)</f>
        <v>-0.17532470041249321</v>
      </c>
      <c r="G4" s="38">
        <f ca="1">SUM('01-2024'!G4, '02-2024'!G4, '03-2024'!G4)</f>
        <v>122968.3</v>
      </c>
      <c r="H4" s="38">
        <f t="shared" ref="H4:H7" ca="1" si="2">C4-G4</f>
        <v>-55197.44874999921</v>
      </c>
      <c r="I4" s="39">
        <f t="shared" ref="I4:I7" ca="1" si="3">IFERROR(H4/G4, 0)</f>
        <v>-0.44887543171694827</v>
      </c>
      <c r="J4" s="18"/>
      <c r="K4" s="18"/>
    </row>
    <row r="5" spans="1:11" ht="15.75" x14ac:dyDescent="0.5">
      <c r="A5" s="48" t="str">
        <v>Nashua - Pennichuck Water  East</v>
      </c>
      <c r="B5" s="35" t="str">
        <v>NH</v>
      </c>
      <c r="C5" s="36">
        <f ca="1">SUM('01-2024'!C5, '02-2024'!C5, '03-2024'!C5)</f>
        <v>67621.655000000304</v>
      </c>
      <c r="D5" s="36">
        <f ca="1">SUM('01-2024'!D5, '02-2024'!D5, '03-2024'!D5)</f>
        <v>53199.54</v>
      </c>
      <c r="E5" s="36">
        <f t="shared" ca="1" si="0"/>
        <v>14422.115000000304</v>
      </c>
      <c r="F5" s="37">
        <f t="shared" ca="1" si="1"/>
        <v>0.27109473127023848</v>
      </c>
      <c r="G5" s="38">
        <f ca="1">SUM('01-2024'!G5, '02-2024'!G5, '03-2024'!G5)</f>
        <v>72464</v>
      </c>
      <c r="H5" s="38">
        <f t="shared" ca="1" si="2"/>
        <v>-4842.3449999996956</v>
      </c>
      <c r="I5" s="39">
        <f t="shared" ca="1" si="3"/>
        <v>-6.6824147162724876E-2</v>
      </c>
      <c r="J5" s="18"/>
      <c r="K5" s="18"/>
    </row>
    <row r="6" spans="1:11" ht="15.75" x14ac:dyDescent="0.5">
      <c r="A6" s="47" t="str">
        <v>Nashua - Pennichuck Water West</v>
      </c>
      <c r="B6" s="19" t="str">
        <v>NH</v>
      </c>
      <c r="C6" s="36">
        <f ca="1">SUM('01-2024'!C6, '02-2024'!C6, '03-2024'!C6)</f>
        <v>51645.283622449002</v>
      </c>
      <c r="D6" s="36">
        <f ca="1">SUM('01-2024'!D6, '02-2024'!D6, '03-2024'!D6)</f>
        <v>55970.19</v>
      </c>
      <c r="E6" s="36">
        <f t="shared" ca="1" si="0"/>
        <v>-4324.9063775510003</v>
      </c>
      <c r="F6" s="37">
        <f t="shared" ca="1" si="1"/>
        <v>-7.7271604358516557E-2</v>
      </c>
      <c r="G6" s="38">
        <f ca="1">SUM('01-2024'!G6, '02-2024'!G6, '03-2024'!G6)</f>
        <v>0</v>
      </c>
      <c r="H6" s="38">
        <f t="shared" ca="1" si="2"/>
        <v>51645.283622449002</v>
      </c>
      <c r="I6" s="39">
        <f t="shared" ca="1" si="3"/>
        <v>0</v>
      </c>
      <c r="J6" s="18"/>
      <c r="K6" s="18"/>
    </row>
    <row r="7" spans="1:11" ht="15.75" x14ac:dyDescent="0.5">
      <c r="A7" s="48" t="str">
        <v>Monmouth Junction - Pro Skate</v>
      </c>
      <c r="B7" s="35" t="str">
        <v>NJ</v>
      </c>
      <c r="C7" s="36">
        <f ca="1">SUM('01-2024'!C7, '02-2024'!C7, '03-2024'!C7)</f>
        <v>0</v>
      </c>
      <c r="D7" s="36">
        <f ca="1">SUM('01-2024'!D7, '02-2024'!D7, '03-2024'!D7)</f>
        <v>0</v>
      </c>
      <c r="E7" s="36">
        <f t="shared" ca="1" si="0"/>
        <v>0</v>
      </c>
      <c r="F7" s="37">
        <f t="shared" ca="1" si="1"/>
        <v>0</v>
      </c>
      <c r="G7" s="38">
        <f ca="1">SUM('01-2024'!G7, '02-2024'!G7, '03-2024'!G7)</f>
        <v>0</v>
      </c>
      <c r="H7" s="38">
        <f t="shared" ca="1" si="2"/>
        <v>0</v>
      </c>
      <c r="I7" s="39">
        <f t="shared" ca="1" si="3"/>
        <v>0</v>
      </c>
      <c r="J7" s="20"/>
      <c r="K7" s="20"/>
    </row>
    <row r="8" spans="1:11" ht="24.75" customHeight="1" x14ac:dyDescent="0.35">
      <c r="A8" s="118" t="s">
        <v>11</v>
      </c>
      <c r="B8" s="119"/>
      <c r="C8" s="49">
        <f ca="1">SUM(C3:C7)</f>
        <v>238595.96987245031</v>
      </c>
      <c r="D8" s="49">
        <f ca="1">SUM(D3:D7)</f>
        <v>248096.30000000002</v>
      </c>
      <c r="E8" s="49">
        <f ca="1">C8-D8</f>
        <v>-9500.330127549707</v>
      </c>
      <c r="F8" s="40">
        <f ca="1">IFERROR(E8/D8, 0)</f>
        <v>-3.8292913387058598E-2</v>
      </c>
      <c r="G8" s="49">
        <f ca="1">SUM(G3:G7)</f>
        <v>195432.3</v>
      </c>
      <c r="H8" s="50">
        <f ca="1">C8-G8</f>
        <v>43163.669872450322</v>
      </c>
      <c r="I8" s="41">
        <f ca="1">IFERROR(H8/G8, 0)</f>
        <v>0.22086251797911771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8:B8"/>
    <mergeCell ref="A10:A11"/>
    <mergeCell ref="A12:A13"/>
    <mergeCell ref="A1:B1"/>
    <mergeCell ref="C1:F1"/>
    <mergeCell ref="G1:I1"/>
    <mergeCell ref="J1:J2"/>
  </mergeCells>
  <conditionalFormatting sqref="F3:F8 I3:I8">
    <cfRule type="cellIs" dxfId="41" priority="1" operator="lessThanOrEqual">
      <formula>-0.1</formula>
    </cfRule>
    <cfRule type="cellIs" dxfId="40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16</v>
      </c>
      <c r="D1" s="125"/>
      <c r="E1" s="125"/>
      <c r="F1" s="126"/>
      <c r="G1" s="127" t="s">
        <v>17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>
        <f ca="1">SUM('04-2024'!C3, '05-2024'!C3, '06-2024'!C3)</f>
        <v>0</v>
      </c>
      <c r="D3" s="36">
        <f ca="1">SUM('04-2024'!D3, '05-2024'!D3, '06-2024'!D3)</f>
        <v>0</v>
      </c>
      <c r="E3" s="36">
        <f ca="1">C3-D3</f>
        <v>0</v>
      </c>
      <c r="F3" s="37">
        <f ca="1">IFERROR(E3/D3, 0)</f>
        <v>0</v>
      </c>
      <c r="G3" s="38">
        <f ca="1">SUM('04-2024'!G3, '05-2024'!G3, '06-2024'!G3)</f>
        <v>0</v>
      </c>
      <c r="H3" s="38">
        <f ca="1">C3-G3</f>
        <v>0</v>
      </c>
      <c r="I3" s="39">
        <f ca="1">IFERROR(H3/G3, 0)</f>
        <v>0</v>
      </c>
      <c r="J3" s="18"/>
      <c r="K3" s="18"/>
    </row>
    <row r="4" spans="1:11" ht="15.75" x14ac:dyDescent="0.5">
      <c r="A4" s="47" t="str">
        <v>Loudon - 7046 Pleasant Street</v>
      </c>
      <c r="B4" s="19" t="str">
        <v>NH</v>
      </c>
      <c r="C4" s="36">
        <f ca="1">SUM('04-2024'!C4, '05-2024'!C4, '06-2024'!C4)</f>
        <v>0</v>
      </c>
      <c r="D4" s="36">
        <f ca="1">SUM('04-2024'!D4, '05-2024'!D4, '06-2024'!D4)</f>
        <v>0</v>
      </c>
      <c r="E4" s="36">
        <f t="shared" ref="E4:E7" ca="1" si="0">C4-D4</f>
        <v>0</v>
      </c>
      <c r="F4" s="37">
        <f t="shared" ref="F4:F7" ca="1" si="1">IFERROR(E4/D4, 0)</f>
        <v>0</v>
      </c>
      <c r="G4" s="38">
        <f ca="1">SUM('04-2024'!G4, '05-2024'!G4, '06-2024'!G4)</f>
        <v>0</v>
      </c>
      <c r="H4" s="38">
        <f t="shared" ref="H4:H7" ca="1" si="2">C4-G4</f>
        <v>0</v>
      </c>
      <c r="I4" s="39">
        <f t="shared" ref="I4:I7" ca="1" si="3">IFERROR(H4/G4, 0)</f>
        <v>0</v>
      </c>
      <c r="J4" s="18"/>
      <c r="K4" s="18"/>
    </row>
    <row r="5" spans="1:11" ht="15.75" x14ac:dyDescent="0.5">
      <c r="A5" s="48" t="str">
        <v>Nashua - Pennichuck Water  East</v>
      </c>
      <c r="B5" s="35" t="str">
        <v>NH</v>
      </c>
      <c r="C5" s="36">
        <f ca="1">SUM('04-2024'!C5, '05-2024'!C5, '06-2024'!C5)</f>
        <v>0</v>
      </c>
      <c r="D5" s="36">
        <f ca="1">SUM('04-2024'!D5, '05-2024'!D5, '06-2024'!D5)</f>
        <v>0</v>
      </c>
      <c r="E5" s="36">
        <f t="shared" ca="1" si="0"/>
        <v>0</v>
      </c>
      <c r="F5" s="37">
        <f t="shared" ca="1" si="1"/>
        <v>0</v>
      </c>
      <c r="G5" s="38">
        <f ca="1">SUM('04-2024'!G5, '05-2024'!G5, '06-2024'!G5)</f>
        <v>0</v>
      </c>
      <c r="H5" s="38">
        <f t="shared" ca="1" si="2"/>
        <v>0</v>
      </c>
      <c r="I5" s="39">
        <f t="shared" ca="1" si="3"/>
        <v>0</v>
      </c>
      <c r="J5" s="18"/>
      <c r="K5" s="18"/>
    </row>
    <row r="6" spans="1:11" ht="15.75" x14ac:dyDescent="0.5">
      <c r="A6" s="47" t="str">
        <v>Nashua - Pennichuck Water West</v>
      </c>
      <c r="B6" s="19" t="str">
        <v>NH</v>
      </c>
      <c r="C6" s="36">
        <f ca="1">SUM('04-2024'!C6, '05-2024'!C6, '06-2024'!C6)</f>
        <v>0</v>
      </c>
      <c r="D6" s="36">
        <f ca="1">SUM('04-2024'!D6, '05-2024'!D6, '06-2024'!D6)</f>
        <v>0</v>
      </c>
      <c r="E6" s="36">
        <f t="shared" ca="1" si="0"/>
        <v>0</v>
      </c>
      <c r="F6" s="37">
        <f t="shared" ca="1" si="1"/>
        <v>0</v>
      </c>
      <c r="G6" s="38">
        <f ca="1">SUM('04-2024'!G6, '05-2024'!G6, '06-2024'!G6)</f>
        <v>0</v>
      </c>
      <c r="H6" s="38">
        <f t="shared" ca="1" si="2"/>
        <v>0</v>
      </c>
      <c r="I6" s="39">
        <f t="shared" ca="1" si="3"/>
        <v>0</v>
      </c>
      <c r="J6" s="18"/>
      <c r="K6" s="18"/>
    </row>
    <row r="7" spans="1:11" ht="16.149999999999999" thickBot="1" x14ac:dyDescent="0.55000000000000004">
      <c r="A7" s="48" t="str">
        <v>Monmouth Junction - Pro Skate</v>
      </c>
      <c r="B7" s="35" t="str">
        <v>NJ</v>
      </c>
      <c r="C7" s="36">
        <f ca="1">SUM('04-2024'!C7, '05-2024'!C7, '06-2024'!C7)</f>
        <v>0</v>
      </c>
      <c r="D7" s="36">
        <f ca="1">SUM('04-2024'!D7, '05-2024'!D7, '06-2024'!D7)</f>
        <v>0</v>
      </c>
      <c r="E7" s="36">
        <f t="shared" ca="1" si="0"/>
        <v>0</v>
      </c>
      <c r="F7" s="37">
        <f t="shared" ca="1" si="1"/>
        <v>0</v>
      </c>
      <c r="G7" s="38">
        <f ca="1">SUM('04-2024'!G7, '05-2024'!G7, '06-2024'!G7)</f>
        <v>0</v>
      </c>
      <c r="H7" s="38">
        <f t="shared" ca="1" si="2"/>
        <v>0</v>
      </c>
      <c r="I7" s="39">
        <f t="shared" ca="1" si="3"/>
        <v>0</v>
      </c>
      <c r="J7" s="20"/>
      <c r="K7" s="20"/>
    </row>
    <row r="8" spans="1:11" ht="24.75" customHeight="1" thickBot="1" x14ac:dyDescent="0.4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8:B8"/>
    <mergeCell ref="A10:A11"/>
    <mergeCell ref="A12:A13"/>
    <mergeCell ref="A1:B1"/>
    <mergeCell ref="C1:F1"/>
    <mergeCell ref="G1:I1"/>
    <mergeCell ref="J1:J2"/>
  </mergeCells>
  <conditionalFormatting sqref="F3:F8 I3:I8">
    <cfRule type="cellIs" dxfId="39" priority="1" operator="lessThanOrEqual">
      <formula>-0.1</formula>
    </cfRule>
    <cfRule type="cellIs" dxfId="3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3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13.59765625" style="1" bestFit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18</v>
      </c>
      <c r="D1" s="125"/>
      <c r="E1" s="125"/>
      <c r="F1" s="126"/>
      <c r="G1" s="127" t="s">
        <v>19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>
        <f ca="1">SUM('07-2024'!C3, '08-2024'!C3, '09-2024'!C3)</f>
        <v>0</v>
      </c>
      <c r="D3" s="36">
        <f ca="1">SUM('07-2024'!D3, '08-2024'!D3, '09-2024'!D3)</f>
        <v>0</v>
      </c>
      <c r="E3" s="36">
        <f ca="1">C3-D3</f>
        <v>0</v>
      </c>
      <c r="F3" s="37">
        <f ca="1">IFERROR(E3/C3, 0)</f>
        <v>0</v>
      </c>
      <c r="G3" s="38">
        <f ca="1">SUM('07-2024'!G3, '08-2024'!G3, '09-2024'!G3)</f>
        <v>0</v>
      </c>
      <c r="H3" s="38">
        <f ca="1">F3-G3</f>
        <v>0</v>
      </c>
      <c r="I3" s="39">
        <f t="shared" ref="I3:I8" ca="1" si="0">IFERROR(H3/G3, 0)</f>
        <v>0</v>
      </c>
      <c r="J3" s="18"/>
      <c r="K3" s="18"/>
    </row>
    <row r="4" spans="1:11" ht="15.75" x14ac:dyDescent="0.5">
      <c r="A4" s="47" t="str">
        <v>Loudon - 7046 Pleasant Street</v>
      </c>
      <c r="B4" s="19" t="str">
        <v>NH</v>
      </c>
      <c r="C4" s="36">
        <f ca="1">SUM('07-2024'!C4, '08-2024'!C4, '09-2024'!C4)</f>
        <v>0</v>
      </c>
      <c r="D4" s="36">
        <f ca="1">SUM('07-2024'!D4, '08-2024'!D4, '09-2024'!D4)</f>
        <v>0</v>
      </c>
      <c r="E4" s="36">
        <f t="shared" ref="E4:E7" ca="1" si="1">C4-D4</f>
        <v>0</v>
      </c>
      <c r="F4" s="37">
        <f t="shared" ref="F4:F7" ca="1" si="2">IFERROR(E4/C4, 0)</f>
        <v>0</v>
      </c>
      <c r="G4" s="38">
        <f ca="1">SUM('07-2024'!G4, '08-2024'!G4, '09-2024'!G4)</f>
        <v>0</v>
      </c>
      <c r="H4" s="38">
        <f ca="1">C4-G4</f>
        <v>0</v>
      </c>
      <c r="I4" s="39">
        <f t="shared" ca="1" si="0"/>
        <v>0</v>
      </c>
      <c r="J4" s="18"/>
      <c r="K4" s="18"/>
    </row>
    <row r="5" spans="1:11" ht="15.75" x14ac:dyDescent="0.5">
      <c r="A5" s="48" t="str">
        <v>Nashua - Pennichuck Water  East</v>
      </c>
      <c r="B5" s="35" t="str">
        <v>NH</v>
      </c>
      <c r="C5" s="36">
        <f ca="1">SUM('07-2024'!C5, '08-2024'!C5, '09-2024'!C5)</f>
        <v>0</v>
      </c>
      <c r="D5" s="36">
        <f ca="1">SUM('07-2024'!D5, '08-2024'!D5, '09-2024'!D5)</f>
        <v>0</v>
      </c>
      <c r="E5" s="36">
        <f t="shared" ca="1" si="1"/>
        <v>0</v>
      </c>
      <c r="F5" s="37">
        <f t="shared" ca="1" si="2"/>
        <v>0</v>
      </c>
      <c r="G5" s="38">
        <f ca="1">SUM('07-2024'!G5, '08-2024'!G5, '09-2024'!G5)</f>
        <v>0</v>
      </c>
      <c r="H5" s="38">
        <f ca="1">C5-G5</f>
        <v>0</v>
      </c>
      <c r="I5" s="39">
        <f t="shared" ca="1" si="0"/>
        <v>0</v>
      </c>
      <c r="J5" s="18"/>
      <c r="K5" s="18"/>
    </row>
    <row r="6" spans="1:11" ht="15.75" x14ac:dyDescent="0.5">
      <c r="A6" s="47" t="str">
        <v>Nashua - Pennichuck Water West</v>
      </c>
      <c r="B6" s="19" t="str">
        <v>NH</v>
      </c>
      <c r="C6" s="36">
        <f ca="1">SUM('07-2024'!C6, '08-2024'!C6, '09-2024'!C6)</f>
        <v>0</v>
      </c>
      <c r="D6" s="36">
        <f ca="1">SUM('07-2024'!D6, '08-2024'!D6, '09-2024'!D6)</f>
        <v>0</v>
      </c>
      <c r="E6" s="36">
        <f t="shared" ca="1" si="1"/>
        <v>0</v>
      </c>
      <c r="F6" s="37">
        <f t="shared" ca="1" si="2"/>
        <v>0</v>
      </c>
      <c r="G6" s="38">
        <f ca="1">SUM('07-2024'!G6, '08-2024'!G6, '09-2024'!G6)</f>
        <v>0</v>
      </c>
      <c r="H6" s="38">
        <f t="shared" ref="H6:H7" ca="1" si="3">F6-G6</f>
        <v>0</v>
      </c>
      <c r="I6" s="39">
        <f t="shared" ca="1" si="0"/>
        <v>0</v>
      </c>
      <c r="J6" s="18"/>
      <c r="K6" s="18"/>
    </row>
    <row r="7" spans="1:11" ht="15.75" x14ac:dyDescent="0.5">
      <c r="A7" s="48" t="str">
        <v>Monmouth Junction - Pro Skate</v>
      </c>
      <c r="B7" s="35" t="str">
        <v>NJ</v>
      </c>
      <c r="C7" s="36">
        <f ca="1">SUM('07-2024'!C7, '08-2024'!C7, '09-2024'!C7)</f>
        <v>0</v>
      </c>
      <c r="D7" s="36">
        <f ca="1">SUM('07-2024'!D7, '08-2024'!D7, '09-2024'!D7)</f>
        <v>0</v>
      </c>
      <c r="E7" s="36">
        <f t="shared" ca="1" si="1"/>
        <v>0</v>
      </c>
      <c r="F7" s="37">
        <f t="shared" ca="1" si="2"/>
        <v>0</v>
      </c>
      <c r="G7" s="38">
        <f ca="1">SUM('07-2024'!G7, '08-2024'!G7, '09-2024'!G7)</f>
        <v>0</v>
      </c>
      <c r="H7" s="38">
        <f t="shared" ca="1" si="3"/>
        <v>0</v>
      </c>
      <c r="I7" s="39">
        <f t="shared" ca="1" si="0"/>
        <v>0</v>
      </c>
      <c r="J7" s="20"/>
      <c r="K7" s="20"/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t="shared" ca="1" si="0"/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ht="12.75" customHeight="1" x14ac:dyDescent="0.35">
      <c r="A12" s="121" t="s">
        <v>13</v>
      </c>
      <c r="J12" s="9"/>
    </row>
    <row r="13" spans="1:11" x14ac:dyDescent="0.35">
      <c r="A13" s="121"/>
      <c r="J13" s="9"/>
    </row>
  </sheetData>
  <autoFilter ref="A2:I2" xr:uid="{CACFAF7D-C0A7-49C0-9FFC-8D8BC8F00BC8}"/>
  <mergeCells count="8">
    <mergeCell ref="K1:K2"/>
    <mergeCell ref="A8:B8"/>
    <mergeCell ref="A10:A11"/>
    <mergeCell ref="A12:A13"/>
    <mergeCell ref="A1:B1"/>
    <mergeCell ref="C1:F1"/>
    <mergeCell ref="G1:I1"/>
    <mergeCell ref="J1:J2"/>
  </mergeCells>
  <conditionalFormatting sqref="F3:F8 I3:I8">
    <cfRule type="cellIs" dxfId="37" priority="1" operator="lessThanOrEqual">
      <formula>-0.1</formula>
    </cfRule>
    <cfRule type="cellIs" dxfId="3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41.73046875" bestFit="1" customWidth="1"/>
    <col min="2" max="2" width="8" bestFit="1" customWidth="1"/>
    <col min="3" max="3" width="9.73046875" bestFit="1" customWidth="1"/>
    <col min="4" max="4" width="9.86328125" bestFit="1" customWidth="1"/>
    <col min="5" max="5" width="9.1328125" bestFit="1" customWidth="1"/>
    <col min="6" max="6" width="6.59765625" style="1" bestFit="1" customWidth="1"/>
    <col min="7" max="7" width="11.3984375" bestFit="1" customWidth="1"/>
    <col min="8" max="8" width="9.1328125" bestFit="1" customWidth="1"/>
    <col min="9" max="9" width="13" style="1" bestFit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20</v>
      </c>
      <c r="D1" s="125"/>
      <c r="E1" s="125"/>
      <c r="F1" s="126"/>
      <c r="G1" s="127" t="s">
        <v>21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>
        <f ca="1">SUM('10-2024'!C3, '11-2024'!C3, '12-2024'!C3)</f>
        <v>0</v>
      </c>
      <c r="D3" s="36">
        <f ca="1">SUM('10-2024'!D3, '11-2024'!D3, '12-2024'!D3)</f>
        <v>0</v>
      </c>
      <c r="E3" s="36">
        <f ca="1">C3-D3</f>
        <v>0</v>
      </c>
      <c r="F3" s="37">
        <f ca="1">IFERROR(E3/C3, 0)</f>
        <v>0</v>
      </c>
      <c r="G3" s="38">
        <f ca="1">SUM('10-2024'!G3, '11-2024'!G3, '12-2024'!G3)</f>
        <v>0</v>
      </c>
      <c r="H3" s="38">
        <f ca="1">F3-G3</f>
        <v>0</v>
      </c>
      <c r="I3" s="39">
        <f ca="1">IFERROR(H3/G3, 0)</f>
        <v>0</v>
      </c>
      <c r="J3" s="18"/>
      <c r="K3" s="18"/>
    </row>
    <row r="4" spans="1:11" ht="15.75" x14ac:dyDescent="0.5">
      <c r="A4" s="47" t="str">
        <v>Loudon - 7046 Pleasant Street</v>
      </c>
      <c r="B4" s="19" t="str">
        <v>NH</v>
      </c>
      <c r="C4" s="36">
        <f ca="1">SUM('10-2024'!C4, '11-2024'!C4, '12-2024'!C4)</f>
        <v>0</v>
      </c>
      <c r="D4" s="36">
        <f ca="1">SUM('10-2024'!D4, '11-2024'!D4, '12-2024'!D4)</f>
        <v>0</v>
      </c>
      <c r="E4" s="36">
        <f t="shared" ref="E4:E7" ca="1" si="0">C4-D4</f>
        <v>0</v>
      </c>
      <c r="F4" s="37">
        <f t="shared" ref="F4:F7" ca="1" si="1">IFERROR(E4/C4, 0)</f>
        <v>0</v>
      </c>
      <c r="G4" s="38">
        <f ca="1">SUM('10-2024'!G4, '11-2024'!G4, '12-2024'!G4)</f>
        <v>0</v>
      </c>
      <c r="H4" s="38">
        <f ca="1">C4-G4</f>
        <v>0</v>
      </c>
      <c r="I4" s="39">
        <f t="shared" ref="I4:I7" ca="1" si="2">IFERROR(H4/G4, 0)</f>
        <v>0</v>
      </c>
      <c r="J4" s="18"/>
      <c r="K4" s="18"/>
    </row>
    <row r="5" spans="1:11" ht="15.75" x14ac:dyDescent="0.5">
      <c r="A5" s="48" t="str">
        <v>Nashua - Pennichuck Water  East</v>
      </c>
      <c r="B5" s="35" t="str">
        <v>NH</v>
      </c>
      <c r="C5" s="36">
        <f ca="1">SUM('10-2024'!C5, '11-2024'!C5, '12-2024'!C5)</f>
        <v>0</v>
      </c>
      <c r="D5" s="36">
        <f ca="1">SUM('10-2024'!D5, '11-2024'!D5, '12-2024'!D5)</f>
        <v>0</v>
      </c>
      <c r="E5" s="36">
        <f t="shared" ca="1" si="0"/>
        <v>0</v>
      </c>
      <c r="F5" s="37">
        <f t="shared" ca="1" si="1"/>
        <v>0</v>
      </c>
      <c r="G5" s="38">
        <f ca="1">SUM('10-2024'!G5, '11-2024'!G5, '12-2024'!G5)</f>
        <v>0</v>
      </c>
      <c r="H5" s="38">
        <f ca="1">C5-G5</f>
        <v>0</v>
      </c>
      <c r="I5" s="39">
        <f t="shared" ca="1" si="2"/>
        <v>0</v>
      </c>
      <c r="J5" s="18"/>
      <c r="K5" s="18"/>
    </row>
    <row r="6" spans="1:11" ht="15.75" x14ac:dyDescent="0.5">
      <c r="A6" s="47" t="str">
        <v>Nashua - Pennichuck Water West</v>
      </c>
      <c r="B6" s="19" t="str">
        <v>NH</v>
      </c>
      <c r="C6" s="36">
        <f ca="1">SUM('10-2024'!C6, '11-2024'!C6, '12-2024'!C6)</f>
        <v>0</v>
      </c>
      <c r="D6" s="36">
        <f ca="1">SUM('10-2024'!D6, '11-2024'!D6, '12-2024'!D6)</f>
        <v>0</v>
      </c>
      <c r="E6" s="36">
        <f t="shared" ca="1" si="0"/>
        <v>0</v>
      </c>
      <c r="F6" s="37">
        <f t="shared" ca="1" si="1"/>
        <v>0</v>
      </c>
      <c r="G6" s="38">
        <f ca="1">SUM('10-2024'!G6, '11-2024'!G6, '12-2024'!G6)</f>
        <v>0</v>
      </c>
      <c r="H6" s="38">
        <f t="shared" ref="H6:H7" ca="1" si="3">F6-G6</f>
        <v>0</v>
      </c>
      <c r="I6" s="39">
        <f t="shared" ca="1" si="2"/>
        <v>0</v>
      </c>
      <c r="J6" s="18"/>
      <c r="K6" s="18"/>
    </row>
    <row r="7" spans="1:11" ht="15.75" x14ac:dyDescent="0.5">
      <c r="A7" s="48" t="str">
        <v>Monmouth Junction - Pro Skate</v>
      </c>
      <c r="B7" s="35" t="str">
        <v>NJ</v>
      </c>
      <c r="C7" s="36">
        <f ca="1">SUM('10-2024'!C7, '11-2024'!C7, '12-2024'!C7)</f>
        <v>0</v>
      </c>
      <c r="D7" s="36">
        <f ca="1">SUM('10-2024'!D7, '11-2024'!D7, '12-2024'!D7)</f>
        <v>0</v>
      </c>
      <c r="E7" s="36">
        <f t="shared" ca="1" si="0"/>
        <v>0</v>
      </c>
      <c r="F7" s="37">
        <f t="shared" ca="1" si="1"/>
        <v>0</v>
      </c>
      <c r="G7" s="38">
        <f ca="1">SUM('10-2024'!G7, '11-2024'!G7, '12-2024'!G7)</f>
        <v>0</v>
      </c>
      <c r="H7" s="38">
        <f t="shared" ca="1" si="3"/>
        <v>0</v>
      </c>
      <c r="I7" s="39">
        <f t="shared" ca="1" si="2"/>
        <v>0</v>
      </c>
      <c r="J7" s="20"/>
      <c r="K7" s="20"/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CE62352A-0CAA-4862-87B6-A6A1C7531211}"/>
  <mergeCells count="8">
    <mergeCell ref="K1:K2"/>
    <mergeCell ref="A8:B8"/>
    <mergeCell ref="A10:A11"/>
    <mergeCell ref="A12:A13"/>
    <mergeCell ref="A1:B1"/>
    <mergeCell ref="C1:F1"/>
    <mergeCell ref="G1:I1"/>
    <mergeCell ref="J1:J2"/>
  </mergeCells>
  <conditionalFormatting sqref="F3:F8 I3:I8">
    <cfRule type="cellIs" dxfId="35" priority="1" operator="lessThanOrEqual">
      <formula>-0.1</formula>
    </cfRule>
    <cfRule type="cellIs" dxfId="3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4"/>
  <sheetViews>
    <sheetView workbookViewId="0">
      <pane ySplit="2" topLeftCell="A3" activePane="bottomLeft" state="frozen"/>
      <selection activeCell="A8" sqref="A8:XFD15"/>
      <selection pane="bottomLeft" activeCell="K13" sqref="K13"/>
    </sheetView>
  </sheetViews>
  <sheetFormatPr defaultRowHeight="12.75" customHeight="1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22</v>
      </c>
      <c r="D1" s="125"/>
      <c r="E1" s="125"/>
      <c r="F1" s="126"/>
      <c r="G1" s="127" t="s">
        <v>23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57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cm="1">
        <f t="array" aca="1" ref="C3:K3" ca="1">IF(INDIRECT("'" &amp; $A3 &amp; "'!B5:J5")="", "", INDIRECT("'" &amp; $A3 &amp; "'!B5:J5"))</f>
        <v>51558.180000000197</v>
      </c>
      <c r="D3" s="36">
        <f ca="1"/>
        <v>56747.74</v>
      </c>
      <c r="E3" s="36">
        <f ca="1"/>
        <v>-5189.5599999998012</v>
      </c>
      <c r="F3" s="37">
        <f ca="1"/>
        <v>-9.1449633060273441E-2</v>
      </c>
      <c r="G3" s="38">
        <f ca="1"/>
        <v>0</v>
      </c>
      <c r="H3" s="38">
        <f ca="1"/>
        <v>51558.180000000197</v>
      </c>
      <c r="I3" s="39">
        <f ca="1"/>
        <v>0</v>
      </c>
      <c r="J3" s="93" t="str">
        <f ca="1"/>
        <v>1.Inverter 1-3 tripped offline at 14:45 on 01/08/2024 &amp; back online 01/30/2024 at 12:30. 
2. Site was in battery mode from 01/05/2024 at 16:00 &amp; back online on 01/06/2024 at 9:00</v>
      </c>
      <c r="K3" s="93" t="str">
        <f ca="1"/>
        <v>1. SR080070
2. SR079989</v>
      </c>
    </row>
    <row r="4" spans="1:11" ht="15.75" x14ac:dyDescent="0.5">
      <c r="A4" s="47" t="str">
        <v>Loudon - 7046 Pleasant Street</v>
      </c>
      <c r="B4" s="19" t="str">
        <v>NH</v>
      </c>
      <c r="C4" s="36" cm="1">
        <f t="array" aca="1" ref="C4:K4" ca="1">IF(INDIRECT("'" &amp; $A4 &amp; "'!B5:J5")="", "", INDIRECT("'" &amp; $A4 &amp; "'!B5:J5"))</f>
        <v>67770.851250000793</v>
      </c>
      <c r="D4" s="36">
        <f ca="1"/>
        <v>82178.83</v>
      </c>
      <c r="E4" s="36">
        <f ca="1"/>
        <v>-14407.978749999209</v>
      </c>
      <c r="F4" s="37">
        <f ca="1"/>
        <v>-0.17532470041249321</v>
      </c>
      <c r="G4" s="38">
        <f ca="1"/>
        <v>122968.3</v>
      </c>
      <c r="H4" s="38">
        <f ca="1"/>
        <v>-55197.44874999921</v>
      </c>
      <c r="I4" s="39">
        <f ca="1"/>
        <v>-0.44887543171694827</v>
      </c>
      <c r="J4" s="94" t="str">
        <f ca="1"/>
        <v>1.Site tripped offline on 01/16/2024 at 11:00 &amp; back online at 01/17/2024 at 17:30</v>
      </c>
      <c r="K4" s="94" t="str">
        <f ca="1"/>
        <v>1.SR080260</v>
      </c>
    </row>
    <row r="5" spans="1:11" ht="15.75" x14ac:dyDescent="0.5">
      <c r="A5" s="48" t="str">
        <v>Nashua - Pennichuck Water  East</v>
      </c>
      <c r="B5" s="35" t="str">
        <v>NH</v>
      </c>
      <c r="C5" s="36" cm="1">
        <f t="array" aca="1" ref="C5:K5" ca="1">IF(INDIRECT("'" &amp; $A5 &amp; "'!B5:J5")="", "", INDIRECT("'" &amp; $A5 &amp; "'!B5:J5"))</f>
        <v>67621.655000000304</v>
      </c>
      <c r="D5" s="36">
        <f ca="1"/>
        <v>53199.54</v>
      </c>
      <c r="E5" s="36">
        <f ca="1"/>
        <v>14422.115000000304</v>
      </c>
      <c r="F5" s="37">
        <f ca="1"/>
        <v>0.27109473127023848</v>
      </c>
      <c r="G5" s="38">
        <f ca="1"/>
        <v>72464</v>
      </c>
      <c r="H5" s="38">
        <f ca="1"/>
        <v>-4842.3449999996956</v>
      </c>
      <c r="I5" s="39">
        <f ca="1"/>
        <v>-6.6824147162724876E-2</v>
      </c>
      <c r="J5" s="94" t="str">
        <f ca="1"/>
        <v/>
      </c>
      <c r="K5" s="94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cm="1">
        <f t="array" aca="1" ref="C6:K6" ca="1">IF(INDIRECT("'" &amp; $A6 &amp; "'!B5:J5")="", "", INDIRECT("'" &amp; $A6 &amp; "'!B5:J5"))</f>
        <v>51645.283622449002</v>
      </c>
      <c r="D6" s="36">
        <f ca="1"/>
        <v>55970.19</v>
      </c>
      <c r="E6" s="36">
        <f ca="1"/>
        <v>-4324.9063775510003</v>
      </c>
      <c r="F6" s="37">
        <f ca="1"/>
        <v>-7.7271604358516557E-2</v>
      </c>
      <c r="G6" s="38">
        <f ca="1"/>
        <v>0</v>
      </c>
      <c r="H6" s="38">
        <f ca="1"/>
        <v>51645.283622449002</v>
      </c>
      <c r="I6" s="39">
        <f ca="1"/>
        <v>0</v>
      </c>
      <c r="J6" s="94" t="str">
        <f ca="1"/>
        <v/>
      </c>
      <c r="K6" s="94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"'!B5:J5")="", "", INDIRECT("'" &amp; $A7 &amp; "'!B5:J5"))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 xml:space="preserve"> </v>
      </c>
    </row>
    <row r="8" spans="1:11" ht="24.75" customHeight="1" x14ac:dyDescent="0.35">
      <c r="A8" s="118" t="s">
        <v>11</v>
      </c>
      <c r="B8" s="119"/>
      <c r="C8" s="49">
        <f ca="1">SUM(C3:C7)</f>
        <v>238595.96987245031</v>
      </c>
      <c r="D8" s="49">
        <f ca="1">SUM(D3:D7)</f>
        <v>248096.30000000002</v>
      </c>
      <c r="E8" s="49">
        <f ca="1">C8-D8</f>
        <v>-9500.330127549707</v>
      </c>
      <c r="F8" s="40">
        <f ca="1">IFERROR(E8/D8, 0)</f>
        <v>-3.8292913387058598E-2</v>
      </c>
      <c r="G8" s="49">
        <f ca="1">SUM(G3:G7)</f>
        <v>195432.3</v>
      </c>
      <c r="H8" s="50">
        <f ca="1">C8-G8</f>
        <v>43163.669872450322</v>
      </c>
      <c r="I8" s="41">
        <f ca="1">IFERROR(H8/G8, 0)</f>
        <v>0.22086251797911771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B0362DDA-D4B4-4F79-9A5D-D43AD85A6C79}"/>
  <mergeCells count="8">
    <mergeCell ref="A10:A11"/>
    <mergeCell ref="A12:A13"/>
    <mergeCell ref="A8:B8"/>
    <mergeCell ref="K1:K2"/>
    <mergeCell ref="C1:F1"/>
    <mergeCell ref="G1:I1"/>
    <mergeCell ref="A1:B1"/>
    <mergeCell ref="J1:J2"/>
  </mergeCells>
  <conditionalFormatting sqref="F3:F8 I3:I8">
    <cfRule type="cellIs" dxfId="33" priority="4" operator="lessThanOrEqual">
      <formula>-0.1</formula>
    </cfRule>
    <cfRule type="cellIs" dxfId="32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24</v>
      </c>
      <c r="D1" s="125"/>
      <c r="E1" s="125"/>
      <c r="F1" s="126"/>
      <c r="G1" s="127" t="s">
        <v>25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"'!B6:J6")="", "", INDIRECT("'" &amp; $A3 &amp; "'!B6:J6"))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4" t="str">
        <f ca="1"/>
        <v/>
      </c>
      <c r="K3" s="94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"'!B6:J6")="", "", INDIRECT("'" &amp; $A4 &amp; "'!B6:J6"))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4" t="str">
        <f ca="1"/>
        <v/>
      </c>
      <c r="K4" s="94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"'!B6:J6")="", "", INDIRECT("'" &amp; $A5 &amp; "'!B6:J6"))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4" t="str">
        <f ca="1"/>
        <v/>
      </c>
      <c r="K5" s="94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"'!B6:J6")="", "", INDIRECT("'" &amp; $A6 &amp; "'!B6:J6"))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4" t="str">
        <f ca="1"/>
        <v/>
      </c>
      <c r="K6" s="94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"'!B6:J6")="", "", INDIRECT("'" &amp; $A7 &amp; "'!B6:J6"))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 xml:space="preserve"> </v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CAF24030-967D-40AB-9B78-5C3C0C46A55D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26</v>
      </c>
      <c r="D1" s="125"/>
      <c r="E1" s="125"/>
      <c r="F1" s="126"/>
      <c r="G1" s="127" t="s">
        <v>27</v>
      </c>
      <c r="H1" s="127"/>
      <c r="I1" s="128"/>
      <c r="J1" s="116" t="s">
        <v>2</v>
      </c>
      <c r="K1" s="116" t="s">
        <v>3</v>
      </c>
    </row>
    <row r="2" spans="1:11" ht="14.25" customHeight="1" thickBot="1" x14ac:dyDescent="0.4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"'!B7:J7")="", "", INDIRECT("'" &amp; $A3 &amp; "'!B7:J7"))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3" t="str">
        <f ca="1"/>
        <v/>
      </c>
      <c r="K3" s="93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"'!B7:J7")="", "", INDIRECT("'" &amp; $A4 &amp; "'!B7:J7"))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"'!B7:J7")="", "", INDIRECT("'" &amp; $A5 &amp; "'!B7:J7"))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4" t="str">
        <f ca="1"/>
        <v/>
      </c>
      <c r="K5" s="94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"'!B7:J7")="", "", INDIRECT("'" &amp; $A6 &amp; "'!B7:J7"))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4" t="str">
        <f ca="1"/>
        <v/>
      </c>
      <c r="K6" s="94" t="str">
        <f ca="1"/>
        <v/>
      </c>
    </row>
    <row r="7" spans="1:11" ht="16.149999999999999" thickBot="1" x14ac:dyDescent="0.55000000000000004">
      <c r="A7" s="48" t="str">
        <v>Monmouth Junction - Pro Skate</v>
      </c>
      <c r="B7" s="35" t="str">
        <v>NJ</v>
      </c>
      <c r="C7" s="36" t="str" cm="1">
        <f t="array" aca="1" ref="C7:K7" ca="1">IF(INDIRECT("'" &amp; $A7 &amp; "'!B7:J7")="", "", INDIRECT("'" &amp; $A7 &amp; "'!B7:J7"))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/>
      </c>
    </row>
    <row r="8" spans="1:11" ht="24.75" customHeight="1" thickBot="1" x14ac:dyDescent="0.4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E69961AB-A757-4049-8AB9-40F3BCB812B3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29" priority="1" operator="lessThanOrEqual">
      <formula>-0.1</formula>
    </cfRule>
    <cfRule type="cellIs" dxfId="2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ColWidth="9.1328125" defaultRowHeight="12.75" x14ac:dyDescent="0.35"/>
  <cols>
    <col min="1" max="1" width="35.86328125" style="75" bestFit="1" customWidth="1"/>
    <col min="2" max="2" width="8.3984375" style="75" customWidth="1"/>
    <col min="3" max="5" width="11.86328125" style="75" customWidth="1"/>
    <col min="6" max="6" width="9.86328125" style="92" customWidth="1"/>
    <col min="7" max="8" width="11.86328125" style="75" customWidth="1"/>
    <col min="9" max="9" width="9.86328125" style="92" customWidth="1"/>
    <col min="10" max="10" width="71.59765625" style="75" customWidth="1"/>
    <col min="11" max="11" width="19.3984375" style="75" customWidth="1"/>
    <col min="12" max="16384" width="9.1328125" style="75"/>
  </cols>
  <sheetData>
    <row r="1" spans="1:11" ht="19.5" customHeight="1" x14ac:dyDescent="0.35">
      <c r="A1" s="122" t="str" cm="1">
        <f t="array" ref="A1">portfolio</f>
        <v>ALIGNED</v>
      </c>
      <c r="B1" s="123"/>
      <c r="C1" s="135" t="s">
        <v>28</v>
      </c>
      <c r="D1" s="136"/>
      <c r="E1" s="136"/>
      <c r="F1" s="137"/>
      <c r="G1" s="129" t="s">
        <v>29</v>
      </c>
      <c r="H1" s="129"/>
      <c r="I1" s="130"/>
      <c r="J1" s="131" t="s">
        <v>2</v>
      </c>
      <c r="K1" s="131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76" t="s">
        <v>10</v>
      </c>
      <c r="H2" s="8" t="s">
        <v>8</v>
      </c>
      <c r="I2" s="10" t="s">
        <v>9</v>
      </c>
      <c r="J2" s="132"/>
      <c r="K2" s="132"/>
    </row>
    <row r="3" spans="1:11" ht="15.75" x14ac:dyDescent="0.5">
      <c r="A3" s="77" t="str" cm="1">
        <f t="array" ref="A3:A7">Sites[Site]</f>
        <v>Conway -US 302 and Stirch Road</v>
      </c>
      <c r="B3" s="78" t="str" cm="1">
        <f t="array" ref="B3:B7">Sites[State]</f>
        <v>NH</v>
      </c>
      <c r="C3" s="79" t="str" cm="1">
        <f t="array" aca="1" ref="C3:K3" ca="1">IF(INDIRECT("'" &amp; $A3 &amp; "'!B8:J8")="", "", INDIRECT("'" &amp; $A3 &amp; "'!B8:J8"))</f>
        <v/>
      </c>
      <c r="D3" s="79" t="str">
        <f ca="1"/>
        <v/>
      </c>
      <c r="E3" s="79">
        <f ca="1"/>
        <v>0</v>
      </c>
      <c r="F3" s="80">
        <f ca="1"/>
        <v>0</v>
      </c>
      <c r="G3" s="81" t="str">
        <f ca="1"/>
        <v/>
      </c>
      <c r="H3" s="81">
        <f ca="1"/>
        <v>0</v>
      </c>
      <c r="I3" s="82">
        <f ca="1"/>
        <v>0</v>
      </c>
      <c r="J3" s="93" t="str">
        <f ca="1"/>
        <v/>
      </c>
      <c r="K3" s="93" t="str">
        <f ca="1"/>
        <v/>
      </c>
    </row>
    <row r="4" spans="1:11" ht="15.75" x14ac:dyDescent="0.5">
      <c r="A4" s="83" t="str">
        <v>Loudon - 7046 Pleasant Street</v>
      </c>
      <c r="B4" s="84" t="str">
        <v>NH</v>
      </c>
      <c r="C4" s="79" t="str" cm="1">
        <f t="array" aca="1" ref="C4:K4" ca="1">IF(INDIRECT("'" &amp; $A4 &amp; "'!B8:J8")="", "", INDIRECT("'" &amp; $A4 &amp; "'!B8:J8"))</f>
        <v/>
      </c>
      <c r="D4" s="79" t="str">
        <f ca="1"/>
        <v/>
      </c>
      <c r="E4" s="79">
        <f ca="1"/>
        <v>0</v>
      </c>
      <c r="F4" s="80">
        <f ca="1"/>
        <v>0</v>
      </c>
      <c r="G4" s="81" t="str">
        <f ca="1"/>
        <v/>
      </c>
      <c r="H4" s="81">
        <f ca="1"/>
        <v>0</v>
      </c>
      <c r="I4" s="82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85" t="str">
        <v>Nashua - Pennichuck Water  East</v>
      </c>
      <c r="B5" s="86" t="str">
        <v>NH</v>
      </c>
      <c r="C5" s="79" t="str" cm="1">
        <f t="array" aca="1" ref="C5:K5" ca="1">IF(INDIRECT("'" &amp; $A5 &amp; "'!B8:J8")="", "", INDIRECT("'" &amp; $A5 &amp; "'!B8:J8"))</f>
        <v/>
      </c>
      <c r="D5" s="79" t="str">
        <f ca="1"/>
        <v/>
      </c>
      <c r="E5" s="79">
        <f ca="1"/>
        <v>0</v>
      </c>
      <c r="F5" s="80">
        <f ca="1"/>
        <v>0</v>
      </c>
      <c r="G5" s="81" t="str">
        <f ca="1"/>
        <v/>
      </c>
      <c r="H5" s="81">
        <f ca="1"/>
        <v>0</v>
      </c>
      <c r="I5" s="82">
        <f ca="1"/>
        <v>0</v>
      </c>
      <c r="J5" s="93" t="str">
        <f ca="1"/>
        <v/>
      </c>
      <c r="K5" s="93" t="str">
        <f ca="1"/>
        <v/>
      </c>
    </row>
    <row r="6" spans="1:11" ht="15.75" x14ac:dyDescent="0.5">
      <c r="A6" s="83" t="str">
        <v>Nashua - Pennichuck Water West</v>
      </c>
      <c r="B6" s="84" t="str">
        <v>NH</v>
      </c>
      <c r="C6" s="79" t="str" cm="1">
        <f t="array" aca="1" ref="C6:K6" ca="1">IF(INDIRECT("'" &amp; $A6 &amp; "'!B8:J8")="", "", INDIRECT("'" &amp; $A6 &amp; "'!B8:J8"))</f>
        <v/>
      </c>
      <c r="D6" s="79" t="str">
        <f ca="1"/>
        <v/>
      </c>
      <c r="E6" s="79">
        <f ca="1"/>
        <v>0</v>
      </c>
      <c r="F6" s="80">
        <f ca="1"/>
        <v>0</v>
      </c>
      <c r="G6" s="81" t="str">
        <f ca="1"/>
        <v/>
      </c>
      <c r="H6" s="81">
        <f ca="1"/>
        <v>0</v>
      </c>
      <c r="I6" s="82">
        <f ca="1"/>
        <v>0</v>
      </c>
      <c r="J6" s="93" t="str">
        <f ca="1"/>
        <v/>
      </c>
      <c r="K6" s="93" t="str">
        <f ca="1"/>
        <v/>
      </c>
    </row>
    <row r="7" spans="1:11" ht="15.75" x14ac:dyDescent="0.5">
      <c r="A7" s="85" t="str">
        <v>Monmouth Junction - Pro Skate</v>
      </c>
      <c r="B7" s="86" t="str">
        <v>NJ</v>
      </c>
      <c r="C7" s="79" t="str" cm="1">
        <f t="array" aca="1" ref="C7:K7" ca="1">IF(INDIRECT("'" &amp; $A7 &amp; "'!B8:J8")="", "", INDIRECT("'" &amp; $A7 &amp; "'!B8:J8"))</f>
        <v/>
      </c>
      <c r="D7" s="79" t="str">
        <f ca="1"/>
        <v/>
      </c>
      <c r="E7" s="79" t="str">
        <f ca="1"/>
        <v/>
      </c>
      <c r="F7" s="80" t="str">
        <f ca="1"/>
        <v/>
      </c>
      <c r="G7" s="81" t="str">
        <f ca="1"/>
        <v/>
      </c>
      <c r="H7" s="81" t="str">
        <f ca="1"/>
        <v/>
      </c>
      <c r="I7" s="82" t="str">
        <f ca="1"/>
        <v/>
      </c>
      <c r="J7" s="93" t="str">
        <f ca="1"/>
        <v/>
      </c>
      <c r="K7" s="93" t="str">
        <f ca="1"/>
        <v/>
      </c>
    </row>
    <row r="8" spans="1:11" ht="24.75" customHeight="1" x14ac:dyDescent="0.35">
      <c r="A8" s="133" t="s">
        <v>11</v>
      </c>
      <c r="B8" s="134"/>
      <c r="C8" s="87">
        <f ca="1">SUM(C3:C7)</f>
        <v>0</v>
      </c>
      <c r="D8" s="87">
        <f ca="1">SUM(D3:D7)</f>
        <v>0</v>
      </c>
      <c r="E8" s="87">
        <f ca="1">C8-D8</f>
        <v>0</v>
      </c>
      <c r="F8" s="88">
        <f ca="1">IFERROR(E8/D8, 0)</f>
        <v>0</v>
      </c>
      <c r="G8" s="87">
        <f ca="1">SUM(G3:G7)</f>
        <v>0</v>
      </c>
      <c r="H8" s="89">
        <f ca="1">C8-G8</f>
        <v>0</v>
      </c>
      <c r="I8" s="90">
        <f ca="1">IFERROR(H8/G8, 0)</f>
        <v>0</v>
      </c>
      <c r="J8" s="91"/>
    </row>
    <row r="9" spans="1:11" x14ac:dyDescent="0.35">
      <c r="J9" s="91"/>
    </row>
    <row r="10" spans="1:11" ht="12.75" customHeight="1" x14ac:dyDescent="0.35">
      <c r="A10" s="120" t="s">
        <v>12</v>
      </c>
      <c r="J10" s="91"/>
    </row>
    <row r="11" spans="1:11" x14ac:dyDescent="0.35">
      <c r="A11" s="120"/>
      <c r="J11" s="91"/>
    </row>
    <row r="12" spans="1:11" x14ac:dyDescent="0.35">
      <c r="A12" s="121" t="s">
        <v>13</v>
      </c>
      <c r="J12" s="91"/>
    </row>
    <row r="13" spans="1:11" ht="12.75" customHeight="1" x14ac:dyDescent="0.35">
      <c r="A13" s="121"/>
      <c r="J13" s="91"/>
    </row>
    <row r="14" spans="1:11" x14ac:dyDescent="0.35">
      <c r="J14" s="91"/>
    </row>
  </sheetData>
  <autoFilter ref="A2:I2" xr:uid="{9CEFA865-F03F-435F-98CB-83683B1083B8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27" priority="1" operator="lessThanOrEqual">
      <formula>-0.1</formula>
    </cfRule>
    <cfRule type="cellIs" dxfId="2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ColWidth="9.1328125" defaultRowHeight="12.75" x14ac:dyDescent="0.35"/>
  <cols>
    <col min="1" max="1" width="35.86328125" style="75" bestFit="1" customWidth="1"/>
    <col min="2" max="2" width="8.3984375" style="75" customWidth="1"/>
    <col min="3" max="5" width="11.86328125" style="75" customWidth="1"/>
    <col min="6" max="6" width="9.86328125" style="92" customWidth="1"/>
    <col min="7" max="8" width="11.86328125" style="75" customWidth="1"/>
    <col min="9" max="9" width="9.86328125" style="92" customWidth="1"/>
    <col min="10" max="10" width="71.59765625" style="75" customWidth="1"/>
    <col min="11" max="11" width="19.3984375" style="75" customWidth="1"/>
    <col min="12" max="16384" width="9.1328125" style="75"/>
  </cols>
  <sheetData>
    <row r="1" spans="1:11" ht="19.5" customHeight="1" x14ac:dyDescent="0.35">
      <c r="A1" s="122" t="str" cm="1">
        <f t="array" ref="A1">portfolio</f>
        <v>ALIGNED</v>
      </c>
      <c r="B1" s="123"/>
      <c r="C1" s="135" t="s">
        <v>30</v>
      </c>
      <c r="D1" s="136"/>
      <c r="E1" s="136"/>
      <c r="F1" s="137"/>
      <c r="G1" s="129" t="s">
        <v>31</v>
      </c>
      <c r="H1" s="129"/>
      <c r="I1" s="130"/>
      <c r="J1" s="131" t="s">
        <v>2</v>
      </c>
      <c r="K1" s="131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76" t="s">
        <v>10</v>
      </c>
      <c r="H2" s="8" t="s">
        <v>8</v>
      </c>
      <c r="I2" s="10" t="s">
        <v>9</v>
      </c>
      <c r="J2" s="132"/>
      <c r="K2" s="132"/>
    </row>
    <row r="3" spans="1:11" ht="15.75" x14ac:dyDescent="0.5">
      <c r="A3" s="77" t="str" cm="1">
        <f t="array" ref="A3:A7">Sites[Site]</f>
        <v>Conway -US 302 and Stirch Road</v>
      </c>
      <c r="B3" s="78" t="str" cm="1">
        <f t="array" ref="B3:B7">Sites[State]</f>
        <v>NH</v>
      </c>
      <c r="C3" s="79" t="str" cm="1">
        <f t="array" aca="1" ref="C3:K3" ca="1">IF(INDIRECT("'" &amp; $A3 &amp; "'!B9:J9")="", "", INDIRECT("'" &amp; $A3 &amp; "'!B9:J9"))</f>
        <v/>
      </c>
      <c r="D3" s="79" t="str">
        <f ca="1"/>
        <v/>
      </c>
      <c r="E3" s="79">
        <f ca="1"/>
        <v>0</v>
      </c>
      <c r="F3" s="80">
        <f ca="1"/>
        <v>0</v>
      </c>
      <c r="G3" s="81" t="str">
        <f ca="1"/>
        <v/>
      </c>
      <c r="H3" s="81">
        <f ca="1"/>
        <v>0</v>
      </c>
      <c r="I3" s="82">
        <f ca="1"/>
        <v>0</v>
      </c>
      <c r="J3" s="93" t="str">
        <f ca="1"/>
        <v/>
      </c>
      <c r="K3" s="93" t="str">
        <f ca="1"/>
        <v/>
      </c>
    </row>
    <row r="4" spans="1:11" ht="15.75" x14ac:dyDescent="0.5">
      <c r="A4" s="83" t="str">
        <v>Loudon - 7046 Pleasant Street</v>
      </c>
      <c r="B4" s="84" t="str">
        <v>NH</v>
      </c>
      <c r="C4" s="79" t="str" cm="1">
        <f t="array" aca="1" ref="C4:K4" ca="1">IF(INDIRECT("'" &amp; $A4 &amp; "'!B9:J9")="", "", INDIRECT("'" &amp; $A4 &amp; "'!B9:J9"))</f>
        <v/>
      </c>
      <c r="D4" s="79" t="str">
        <f ca="1"/>
        <v/>
      </c>
      <c r="E4" s="79">
        <f ca="1"/>
        <v>0</v>
      </c>
      <c r="F4" s="80">
        <f ca="1"/>
        <v>0</v>
      </c>
      <c r="G4" s="81" t="str">
        <f ca="1"/>
        <v/>
      </c>
      <c r="H4" s="81">
        <f ca="1"/>
        <v>0</v>
      </c>
      <c r="I4" s="82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85" t="str">
        <v>Nashua - Pennichuck Water  East</v>
      </c>
      <c r="B5" s="86" t="str">
        <v>NH</v>
      </c>
      <c r="C5" s="79" t="str" cm="1">
        <f t="array" aca="1" ref="C5:K5" ca="1">IF(INDIRECT("'" &amp; $A5 &amp; "'!B9:J9")="", "", INDIRECT("'" &amp; $A5 &amp; "'!B9:J9"))</f>
        <v/>
      </c>
      <c r="D5" s="79" t="str">
        <f ca="1"/>
        <v/>
      </c>
      <c r="E5" s="79">
        <f ca="1"/>
        <v>0</v>
      </c>
      <c r="F5" s="80">
        <f ca="1"/>
        <v>0</v>
      </c>
      <c r="G5" s="81" t="str">
        <f ca="1"/>
        <v/>
      </c>
      <c r="H5" s="81">
        <f ca="1"/>
        <v>0</v>
      </c>
      <c r="I5" s="82">
        <f ca="1"/>
        <v>0</v>
      </c>
      <c r="J5" s="93" t="str">
        <f ca="1"/>
        <v/>
      </c>
      <c r="K5" s="93" t="str">
        <f ca="1"/>
        <v/>
      </c>
    </row>
    <row r="6" spans="1:11" ht="15.75" x14ac:dyDescent="0.5">
      <c r="A6" s="83" t="str">
        <v>Nashua - Pennichuck Water West</v>
      </c>
      <c r="B6" s="84" t="str">
        <v>NH</v>
      </c>
      <c r="C6" s="79" t="str" cm="1">
        <f t="array" aca="1" ref="C6:K6" ca="1">IF(INDIRECT("'" &amp; $A6 &amp; "'!B9:J9")="", "", INDIRECT("'" &amp; $A6 &amp; "'!B9:J9"))</f>
        <v/>
      </c>
      <c r="D6" s="79" t="str">
        <f ca="1"/>
        <v/>
      </c>
      <c r="E6" s="79">
        <f ca="1"/>
        <v>0</v>
      </c>
      <c r="F6" s="80">
        <f ca="1"/>
        <v>0</v>
      </c>
      <c r="G6" s="81" t="str">
        <f ca="1"/>
        <v/>
      </c>
      <c r="H6" s="81">
        <f ca="1"/>
        <v>0</v>
      </c>
      <c r="I6" s="82">
        <f ca="1"/>
        <v>0</v>
      </c>
      <c r="J6" s="93" t="str">
        <f ca="1"/>
        <v/>
      </c>
      <c r="K6" s="93" t="str">
        <f ca="1"/>
        <v/>
      </c>
    </row>
    <row r="7" spans="1:11" ht="15.75" x14ac:dyDescent="0.5">
      <c r="A7" s="85" t="str">
        <v>Monmouth Junction - Pro Skate</v>
      </c>
      <c r="B7" s="86" t="str">
        <v>NJ</v>
      </c>
      <c r="C7" s="79" t="str" cm="1">
        <f t="array" aca="1" ref="C7:K7" ca="1">IF(INDIRECT("'" &amp; $A7 &amp; "'!B9:J9")="", "", INDIRECT("'" &amp; $A7 &amp; "'!B9:J9"))</f>
        <v/>
      </c>
      <c r="D7" s="79" t="str">
        <f ca="1"/>
        <v/>
      </c>
      <c r="E7" s="79" t="str">
        <f ca="1"/>
        <v/>
      </c>
      <c r="F7" s="80" t="str">
        <f ca="1"/>
        <v/>
      </c>
      <c r="G7" s="81" t="str">
        <f ca="1"/>
        <v/>
      </c>
      <c r="H7" s="81" t="str">
        <f ca="1"/>
        <v/>
      </c>
      <c r="I7" s="82" t="str">
        <f ca="1"/>
        <v/>
      </c>
      <c r="J7" s="93" t="str">
        <f ca="1"/>
        <v/>
      </c>
      <c r="K7" s="93" t="str">
        <f ca="1"/>
        <v/>
      </c>
    </row>
    <row r="8" spans="1:11" ht="24.75" customHeight="1" x14ac:dyDescent="0.35">
      <c r="A8" s="133" t="s">
        <v>11</v>
      </c>
      <c r="B8" s="134"/>
      <c r="C8" s="87">
        <f ca="1">SUM(C3:C7)</f>
        <v>0</v>
      </c>
      <c r="D8" s="87">
        <f ca="1">SUM(D3:D7)</f>
        <v>0</v>
      </c>
      <c r="E8" s="87">
        <f ca="1">C8-D8</f>
        <v>0</v>
      </c>
      <c r="F8" s="88">
        <f ca="1">IFERROR(E8/D8, 0)</f>
        <v>0</v>
      </c>
      <c r="G8" s="87">
        <f ca="1">SUM(G3:G7)</f>
        <v>0</v>
      </c>
      <c r="H8" s="89">
        <f ca="1">C8-G8</f>
        <v>0</v>
      </c>
      <c r="I8" s="90">
        <f ca="1">IFERROR(H8/G8, 0)</f>
        <v>0</v>
      </c>
      <c r="J8" s="91"/>
    </row>
    <row r="9" spans="1:11" x14ac:dyDescent="0.35">
      <c r="J9" s="91"/>
    </row>
    <row r="10" spans="1:11" ht="12.75" customHeight="1" x14ac:dyDescent="0.35">
      <c r="A10" s="120" t="s">
        <v>12</v>
      </c>
      <c r="J10" s="91"/>
    </row>
    <row r="11" spans="1:11" x14ac:dyDescent="0.35">
      <c r="A11" s="120"/>
      <c r="J11" s="91"/>
    </row>
    <row r="12" spans="1:11" x14ac:dyDescent="0.35">
      <c r="A12" s="121" t="s">
        <v>13</v>
      </c>
      <c r="J12" s="91"/>
    </row>
    <row r="13" spans="1:11" ht="12.75" customHeight="1" x14ac:dyDescent="0.35">
      <c r="A13" s="121"/>
      <c r="J13" s="91"/>
    </row>
    <row r="14" spans="1:11" x14ac:dyDescent="0.35">
      <c r="J14" s="91"/>
    </row>
  </sheetData>
  <autoFilter ref="A2:I2" xr:uid="{BC8A3C74-EDA3-4B8F-8C65-FD4243AE8FF6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25" priority="1" operator="lessThanOrEqual">
      <formula>-0.1</formula>
    </cfRule>
    <cfRule type="cellIs" dxfId="2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51.863281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32</v>
      </c>
      <c r="D1" s="125"/>
      <c r="E1" s="125"/>
      <c r="F1" s="126"/>
      <c r="G1" s="127" t="s">
        <v>33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"'!B10:J10")="", "", INDIRECT("'" &amp; $A3 &amp; "'!B10:J10"))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4" t="str">
        <f ca="1"/>
        <v/>
      </c>
      <c r="K3" s="94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"'!B10:J10")="", "", INDIRECT("'" &amp; $A4 &amp; "'!B10:J10"))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"'!B10:J10")="", "", INDIRECT("'" &amp; $A5 &amp; "'!B10:J10"))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3" t="str">
        <f ca="1"/>
        <v/>
      </c>
      <c r="K5" s="93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"'!B10:J10")="", "", INDIRECT("'" &amp; $A6 &amp; "'!B10:J10"))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3" t="str">
        <f ca="1"/>
        <v/>
      </c>
      <c r="K6" s="93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"'!B10:J10")="", "", INDIRECT("'" &amp; $A7 &amp; "'!B10:J10"))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 xml:space="preserve"> </v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6C08AFFB-6AF8-48AC-9706-52E390C2AC4B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23" priority="1" operator="lessThanOrEqual">
      <formula>-0.1</formula>
    </cfRule>
    <cfRule type="cellIs" dxfId="2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4"/>
  <sheetViews>
    <sheetView topLeftCell="B1"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34</v>
      </c>
      <c r="D1" s="125"/>
      <c r="E1" s="125"/>
      <c r="F1" s="126"/>
      <c r="G1" s="127" t="s">
        <v>35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"'!B11:J11")="", "", INDIRECT("'" &amp; $A3 &amp; "'!B11:J11"))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4" t="str">
        <f ca="1"/>
        <v/>
      </c>
      <c r="K3" s="94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"'!B11:J11")="", "", INDIRECT("'" &amp; $A4 &amp; "'!B11:J11"))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"'!B11:J11")="", "", INDIRECT("'" &amp; $A5 &amp; "'!B11:J11"))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4" t="str">
        <f ca="1"/>
        <v/>
      </c>
      <c r="K5" s="94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"'!B11:J11")="", "", INDIRECT("'" &amp; $A6 &amp; "'!B11:J11"))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4" t="str">
        <f ca="1"/>
        <v/>
      </c>
      <c r="K6" s="94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"'!B11:J11")="", "", INDIRECT("'" &amp; $A7 &amp; "'!B11:J11"))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 xml:space="preserve"> </v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957CD936-B73F-469A-B0B5-B8EA155C9C51}"/>
  <sortState xmlns:xlrd2="http://schemas.microsoft.com/office/spreadsheetml/2017/richdata2" ref="A3:K7">
    <sortCondition ref="A3:A7"/>
  </sortState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21" priority="1" operator="lessThanOrEqual">
      <formula>-0.1</formula>
    </cfRule>
    <cfRule type="cellIs" dxfId="2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36</v>
      </c>
      <c r="D1" s="125"/>
      <c r="E1" s="125"/>
      <c r="F1" s="126"/>
      <c r="G1" s="127" t="s">
        <v>37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"'!B12:J12")="", "", INDIRECT("'" &amp; $A3 &amp; "'!B12:J12"))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3" t="str">
        <f ca="1"/>
        <v/>
      </c>
      <c r="K3" s="93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"'!B12:J12")="", "", INDIRECT("'" &amp; $A4 &amp; "'!B12:J12"))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"'!B12:J12")="", "", INDIRECT("'" &amp; $A5 &amp; "'!B12:J12"))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18" t="str">
        <f ca="1"/>
        <v/>
      </c>
      <c r="K5" s="18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"'!B12:J12")="", "", INDIRECT("'" &amp; $A6 &amp; "'!B12:J12"))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18" t="str">
        <f ca="1"/>
        <v/>
      </c>
      <c r="K6" s="18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"'!B12:J12")="", "", INDIRECT("'" &amp; $A7 &amp; "'!B12:J12"))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20" t="str">
        <f ca="1"/>
        <v/>
      </c>
      <c r="K7" s="20" t="str">
        <f ca="1"/>
        <v/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48D80AE8-42BF-4DAC-863F-113F77A3E00F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9" priority="1" operator="lessThanOrEqual">
      <formula>-0.1</formula>
    </cfRule>
    <cfRule type="cellIs" dxfId="1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4"/>
  <sheetViews>
    <sheetView topLeftCell="F1"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67.73046875" customWidth="1"/>
    <col min="11" max="11" width="15.26562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38</v>
      </c>
      <c r="D1" s="125"/>
      <c r="E1" s="125"/>
      <c r="F1" s="126"/>
      <c r="G1" s="127" t="s">
        <v>39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"'!B13:J13")="", "", INDIRECT("'" &amp; $A3 &amp; "'!B13:J13"))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7" t="str">
        <f ca="1"/>
        <v/>
      </c>
      <c r="K3" s="93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"'!B13:J13")="", "", INDIRECT("'" &amp; $A4 &amp; "'!B13:J13"))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7" t="str">
        <f ca="1"/>
        <v/>
      </c>
      <c r="K4" s="93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"'!B13:J13")="", "", INDIRECT("'" &amp; $A5 &amp; "'!B13:J13"))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7" t="str">
        <f ca="1"/>
        <v/>
      </c>
      <c r="K5" s="93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"'!B13:J13")="", "", INDIRECT("'" &amp; $A6 &amp; "'!B13:J13"))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7" t="str">
        <f ca="1"/>
        <v/>
      </c>
      <c r="K6" s="93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"'!B13:J13")="", "", INDIRECT("'" &amp; $A7 &amp; "'!B13:J13"))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8" t="str">
        <f ca="1"/>
        <v/>
      </c>
      <c r="K7" s="93" t="str">
        <f ca="1"/>
        <v/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534CA70E-2643-48AC-AA44-E3F75A2814BF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7" priority="1" operator="lessThanOrEqual">
      <formula>-0.1</formula>
    </cfRule>
    <cfRule type="cellIs" dxfId="1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41.73046875" bestFit="1" customWidth="1"/>
    <col min="2" max="2" width="8" bestFit="1" customWidth="1"/>
    <col min="3" max="3" width="9.73046875" bestFit="1" customWidth="1"/>
    <col min="4" max="4" width="9.86328125" bestFit="1" customWidth="1"/>
    <col min="5" max="5" width="9.1328125" bestFit="1" customWidth="1"/>
    <col min="6" max="6" width="6.59765625" style="1" bestFit="1" customWidth="1"/>
    <col min="7" max="7" width="11.3984375" bestFit="1" customWidth="1"/>
    <col min="8" max="8" width="9.1328125" bestFit="1" customWidth="1"/>
    <col min="9" max="9" width="6.59765625" style="1" bestFit="1" customWidth="1"/>
    <col min="10" max="10" width="42.265625" bestFit="1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40</v>
      </c>
      <c r="D1" s="125"/>
      <c r="E1" s="125"/>
      <c r="F1" s="126"/>
      <c r="G1" s="127" t="s">
        <v>41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"'!B14:J14")="", "", INDIRECT("'" &amp; $A3 &amp; "'!B14:J14"))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4" t="str">
        <f ca="1"/>
        <v/>
      </c>
      <c r="K3" s="94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"'!B14:J14")="", "", INDIRECT("'" &amp; $A4 &amp; "'!B14:J14"))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4" t="str">
        <f ca="1"/>
        <v/>
      </c>
      <c r="K4" s="94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"'!B14:J14")="", "", INDIRECT("'" &amp; $A5 &amp; "'!B14:J14"))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4" t="str">
        <f ca="1"/>
        <v/>
      </c>
      <c r="K5" s="94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"'!B14:J14")="", "", INDIRECT("'" &amp; $A6 &amp; "'!B14:J14"))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4" t="str">
        <f ca="1"/>
        <v/>
      </c>
      <c r="K6" s="94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"'!B14:J14")="", "", INDIRECT("'" &amp; $A7 &amp; "'!B14:J14"))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/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B87DE706-15D9-4E58-ADBD-0129509DEFD6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42</v>
      </c>
      <c r="D1" s="125"/>
      <c r="E1" s="125"/>
      <c r="F1" s="126"/>
      <c r="G1" s="127" t="s">
        <v>43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"'!B15:J15")="", "", INDIRECT("'" &amp; $A3 &amp; "'!B15:J15"))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4" t="str">
        <f ca="1"/>
        <v/>
      </c>
      <c r="K3" s="94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"'!B15:J15")="", "", INDIRECT("'" &amp; $A4 &amp; "'!B15:J15"))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4" t="str">
        <f ca="1"/>
        <v/>
      </c>
      <c r="K4" s="94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"'!B15:J15")="", "", INDIRECT("'" &amp; $A5 &amp; "'!B15:J15"))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4" t="str">
        <f ca="1"/>
        <v/>
      </c>
      <c r="K5" s="94" t="str">
        <f ca="1"/>
        <v/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"'!B15:J15")="", "", INDIRECT("'" &amp; $A6 &amp; "'!B15:J15"))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4" t="str">
        <f ca="1"/>
        <v/>
      </c>
      <c r="K6" s="94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"'!B15:J15")="", "", INDIRECT("'" &amp; $A7 &amp; "'!B15:J15"))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4" t="str">
        <f ca="1"/>
        <v/>
      </c>
      <c r="K7" s="94" t="str">
        <f ca="1"/>
        <v xml:space="preserve"> </v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7397A98F-A32F-42EE-8114-2658DE422011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3" priority="1" operator="lessThanOrEqual">
      <formula>-0.1</formula>
    </cfRule>
    <cfRule type="cellIs" dxfId="12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4"/>
  <sheetViews>
    <sheetView workbookViewId="0">
      <pane ySplit="2" topLeftCell="A3" activePane="bottomLeft" state="frozen"/>
      <selection activeCell="C1" sqref="C1:I1"/>
      <selection pane="bottomLeft" activeCell="G22" sqref="G22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86328125" customWidth="1"/>
    <col min="6" max="6" width="9.86328125" style="1" customWidth="1"/>
    <col min="7" max="8" width="11.86328125" customWidth="1"/>
    <col min="9" max="9" width="9.8632812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22" t="str" cm="1">
        <f t="array" ref="A1">portfolio</f>
        <v>ALIGNED</v>
      </c>
      <c r="B1" s="123"/>
      <c r="C1" s="124" t="s">
        <v>44</v>
      </c>
      <c r="D1" s="125"/>
      <c r="E1" s="125"/>
      <c r="F1" s="126"/>
      <c r="G1" s="127" t="s">
        <v>45</v>
      </c>
      <c r="H1" s="127"/>
      <c r="I1" s="128"/>
      <c r="J1" s="116" t="s">
        <v>2</v>
      </c>
      <c r="K1" s="116" t="s">
        <v>3</v>
      </c>
    </row>
    <row r="2" spans="1:11" ht="14.25" customHeight="1" x14ac:dyDescent="0.35">
      <c r="A2" s="44" t="s">
        <v>4</v>
      </c>
      <c r="B2" s="45" t="s">
        <v>5</v>
      </c>
      <c r="C2" s="6" t="s">
        <v>6</v>
      </c>
      <c r="D2" s="42" t="s">
        <v>7</v>
      </c>
      <c r="E2" s="6" t="s">
        <v>8</v>
      </c>
      <c r="F2" s="7" t="s">
        <v>9</v>
      </c>
      <c r="G2" s="43" t="s">
        <v>10</v>
      </c>
      <c r="H2" s="8" t="s">
        <v>8</v>
      </c>
      <c r="I2" s="10" t="s">
        <v>9</v>
      </c>
      <c r="J2" s="117"/>
      <c r="K2" s="117"/>
    </row>
    <row r="3" spans="1:11" ht="15.75" x14ac:dyDescent="0.5">
      <c r="A3" s="46" t="str" cm="1">
        <f t="array" ref="A3:A7">Sites[Site]</f>
        <v>Conway -US 302 and Stirch Road</v>
      </c>
      <c r="B3" s="34" t="str" cm="1">
        <f t="array" ref="B3:B7">Sites[State]</f>
        <v>NH</v>
      </c>
      <c r="C3" s="36" t="str" cm="1">
        <f t="array" aca="1" ref="C3:K3" ca="1">IF(INDIRECT("'" &amp; $A3 &amp; "'!B16:J16")="", "", INDIRECT("'" &amp; $A3 &amp; "'!B16:J16"))</f>
        <v/>
      </c>
      <c r="D3" s="36" t="str">
        <f ca="1"/>
        <v/>
      </c>
      <c r="E3" s="36">
        <f ca="1"/>
        <v>0</v>
      </c>
      <c r="F3" s="37">
        <f ca="1"/>
        <v>0</v>
      </c>
      <c r="G3" s="38" t="str">
        <f ca="1"/>
        <v/>
      </c>
      <c r="H3" s="38">
        <f ca="1"/>
        <v>0</v>
      </c>
      <c r="I3" s="39">
        <f ca="1"/>
        <v>0</v>
      </c>
      <c r="J3" s="93" t="str">
        <f ca="1"/>
        <v/>
      </c>
      <c r="K3" s="93" t="str">
        <f ca="1"/>
        <v/>
      </c>
    </row>
    <row r="4" spans="1:11" ht="15.75" x14ac:dyDescent="0.5">
      <c r="A4" s="47" t="str">
        <v>Loudon - 7046 Pleasant Street</v>
      </c>
      <c r="B4" s="19" t="str">
        <v>NH</v>
      </c>
      <c r="C4" s="36" t="str" cm="1">
        <f t="array" aca="1" ref="C4:K4" ca="1">IF(INDIRECT("'" &amp; $A4 &amp; "'!B16:J16")="", "", INDIRECT("'" &amp; $A4 &amp; "'!B16:J16"))</f>
        <v/>
      </c>
      <c r="D4" s="36" t="str">
        <f ca="1"/>
        <v/>
      </c>
      <c r="E4" s="36">
        <f ca="1"/>
        <v>0</v>
      </c>
      <c r="F4" s="37">
        <f ca="1"/>
        <v>0</v>
      </c>
      <c r="G4" s="38" t="str">
        <f ca="1"/>
        <v/>
      </c>
      <c r="H4" s="38">
        <f ca="1"/>
        <v>0</v>
      </c>
      <c r="I4" s="39">
        <f ca="1"/>
        <v>0</v>
      </c>
      <c r="J4" s="93" t="str">
        <f ca="1"/>
        <v/>
      </c>
      <c r="K4" s="93" t="str">
        <f ca="1"/>
        <v/>
      </c>
    </row>
    <row r="5" spans="1:11" ht="15.75" x14ac:dyDescent="0.5">
      <c r="A5" s="48" t="str">
        <v>Nashua - Pennichuck Water  East</v>
      </c>
      <c r="B5" s="35" t="str">
        <v>NH</v>
      </c>
      <c r="C5" s="36" t="str" cm="1">
        <f t="array" aca="1" ref="C5:K5" ca="1">IF(INDIRECT("'" &amp; $A5 &amp; "'!B16:J16")="", "", INDIRECT("'" &amp; $A5 &amp; "'!B16:J16"))</f>
        <v/>
      </c>
      <c r="D5" s="36" t="str">
        <f ca="1"/>
        <v/>
      </c>
      <c r="E5" s="36">
        <f ca="1"/>
        <v>0</v>
      </c>
      <c r="F5" s="37">
        <f ca="1"/>
        <v>0</v>
      </c>
      <c r="G5" s="38" t="str">
        <f ca="1"/>
        <v/>
      </c>
      <c r="H5" s="38">
        <f ca="1"/>
        <v>0</v>
      </c>
      <c r="I5" s="39">
        <f ca="1"/>
        <v>0</v>
      </c>
      <c r="J5" s="93" t="str">
        <f ca="1"/>
        <v/>
      </c>
      <c r="K5" s="93" t="str">
        <f ca="1"/>
        <v xml:space="preserve"> </v>
      </c>
    </row>
    <row r="6" spans="1:11" ht="15.75" x14ac:dyDescent="0.5">
      <c r="A6" s="47" t="str">
        <v>Nashua - Pennichuck Water West</v>
      </c>
      <c r="B6" s="19" t="str">
        <v>NH</v>
      </c>
      <c r="C6" s="36" t="str" cm="1">
        <f t="array" aca="1" ref="C6:K6" ca="1">IF(INDIRECT("'" &amp; $A6 &amp; "'!B16:J16")="", "", INDIRECT("'" &amp; $A6 &amp; "'!B16:J16"))</f>
        <v/>
      </c>
      <c r="D6" s="36" t="str">
        <f ca="1"/>
        <v/>
      </c>
      <c r="E6" s="36">
        <f ca="1"/>
        <v>0</v>
      </c>
      <c r="F6" s="37">
        <f ca="1"/>
        <v>0</v>
      </c>
      <c r="G6" s="38" t="str">
        <f ca="1"/>
        <v/>
      </c>
      <c r="H6" s="38">
        <f ca="1"/>
        <v>0</v>
      </c>
      <c r="I6" s="39">
        <f ca="1"/>
        <v>0</v>
      </c>
      <c r="J6" s="93" t="str">
        <f ca="1"/>
        <v/>
      </c>
      <c r="K6" s="93" t="str">
        <f ca="1"/>
        <v/>
      </c>
    </row>
    <row r="7" spans="1:11" ht="15.75" x14ac:dyDescent="0.5">
      <c r="A7" s="48" t="str">
        <v>Monmouth Junction - Pro Skate</v>
      </c>
      <c r="B7" s="35" t="str">
        <v>NJ</v>
      </c>
      <c r="C7" s="36" t="str" cm="1">
        <f t="array" aca="1" ref="C7:K7" ca="1">IF(INDIRECT("'" &amp; $A7 &amp; "'!B16:J16")="", "", INDIRECT("'" &amp; $A7 &amp; "'!B16:J16"))</f>
        <v/>
      </c>
      <c r="D7" s="36" t="str">
        <f ca="1"/>
        <v/>
      </c>
      <c r="E7" s="36" t="str">
        <f ca="1"/>
        <v/>
      </c>
      <c r="F7" s="37" t="str">
        <f ca="1"/>
        <v/>
      </c>
      <c r="G7" s="38" t="str">
        <f ca="1"/>
        <v/>
      </c>
      <c r="H7" s="38" t="str">
        <f ca="1"/>
        <v/>
      </c>
      <c r="I7" s="39" t="str">
        <f ca="1"/>
        <v/>
      </c>
      <c r="J7" s="93" t="str">
        <f ca="1"/>
        <v/>
      </c>
      <c r="K7" s="93" t="str">
        <f ca="1"/>
        <v xml:space="preserve"> </v>
      </c>
    </row>
    <row r="8" spans="1:11" ht="24.75" customHeight="1" x14ac:dyDescent="0.35">
      <c r="A8" s="118" t="s">
        <v>11</v>
      </c>
      <c r="B8" s="119"/>
      <c r="C8" s="49">
        <f ca="1">SUM(C3:C7)</f>
        <v>0</v>
      </c>
      <c r="D8" s="49">
        <f ca="1">SUM(D3:D7)</f>
        <v>0</v>
      </c>
      <c r="E8" s="49">
        <f ca="1">C8-D8</f>
        <v>0</v>
      </c>
      <c r="F8" s="40">
        <f ca="1">IFERROR(E8/D8, 0)</f>
        <v>0</v>
      </c>
      <c r="G8" s="49">
        <f ca="1">SUM(G3:G7)</f>
        <v>0</v>
      </c>
      <c r="H8" s="50">
        <f ca="1">C8-G8</f>
        <v>0</v>
      </c>
      <c r="I8" s="41">
        <f ca="1">IFERROR(H8/G8, 0)</f>
        <v>0</v>
      </c>
      <c r="J8" s="9"/>
    </row>
    <row r="9" spans="1:11" x14ac:dyDescent="0.35">
      <c r="J9" s="9"/>
    </row>
    <row r="10" spans="1:11" ht="12.75" customHeight="1" x14ac:dyDescent="0.35">
      <c r="A10" s="120" t="s">
        <v>12</v>
      </c>
      <c r="J10" s="9"/>
    </row>
    <row r="11" spans="1:11" x14ac:dyDescent="0.35">
      <c r="A11" s="120"/>
      <c r="J11" s="9"/>
    </row>
    <row r="12" spans="1:11" x14ac:dyDescent="0.35">
      <c r="A12" s="121" t="s">
        <v>13</v>
      </c>
      <c r="J12" s="9"/>
    </row>
    <row r="13" spans="1:11" ht="12.75" customHeight="1" x14ac:dyDescent="0.35">
      <c r="A13" s="121"/>
      <c r="J13" s="9"/>
    </row>
    <row r="14" spans="1:11" x14ac:dyDescent="0.35">
      <c r="J14" s="9"/>
    </row>
  </sheetData>
  <autoFilter ref="A2:I2" xr:uid="{7BFACBC8-3831-4E2B-BAD7-988F02FCC664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1" priority="1" operator="lessThanOrEqual">
      <formula>-0.1</formula>
    </cfRule>
    <cfRule type="cellIs" dxfId="1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2" topLeftCell="A3" activePane="bottomLeft" state="frozen"/>
      <selection pane="bottomLeft" activeCell="B18" sqref="B18"/>
    </sheetView>
  </sheetViews>
  <sheetFormatPr defaultRowHeight="12.75" customHeight="1" x14ac:dyDescent="0.35"/>
  <cols>
    <col min="1" max="2" width="41.86328125" customWidth="1"/>
    <col min="4" max="14" width="9.1328125" customWidth="1"/>
  </cols>
  <sheetData>
    <row r="1" spans="1:7" ht="12.75" customHeight="1" x14ac:dyDescent="0.35">
      <c r="A1" t="s">
        <v>46</v>
      </c>
      <c r="B1" t="s">
        <v>47</v>
      </c>
    </row>
    <row r="2" spans="1:7" x14ac:dyDescent="0.35">
      <c r="A2" t="s">
        <v>48</v>
      </c>
      <c r="B2" s="15" t="s">
        <v>4</v>
      </c>
      <c r="C2" s="15" t="s">
        <v>5</v>
      </c>
      <c r="D2" t="s">
        <v>49</v>
      </c>
    </row>
    <row r="3" spans="1:7" ht="14.25" x14ac:dyDescent="0.45">
      <c r="A3" s="51" t="s">
        <v>50</v>
      </c>
      <c r="B3" s="51" t="s">
        <v>51</v>
      </c>
      <c r="C3" s="51" t="s">
        <v>52</v>
      </c>
      <c r="D3" s="14" t="s">
        <v>53</v>
      </c>
      <c r="G3" s="13"/>
    </row>
    <row r="4" spans="1:7" ht="14.25" x14ac:dyDescent="0.45">
      <c r="A4" s="4" t="s">
        <v>54</v>
      </c>
      <c r="B4" s="52" t="s">
        <v>55</v>
      </c>
      <c r="C4" s="51" t="s">
        <v>52</v>
      </c>
      <c r="D4" s="14" t="s">
        <v>53</v>
      </c>
      <c r="G4" s="13"/>
    </row>
    <row r="5" spans="1:7" ht="14.25" x14ac:dyDescent="0.45">
      <c r="A5" s="52" t="s">
        <v>56</v>
      </c>
      <c r="B5" s="52" t="s">
        <v>57</v>
      </c>
      <c r="C5" s="51" t="s">
        <v>52</v>
      </c>
      <c r="D5" s="14" t="s">
        <v>53</v>
      </c>
      <c r="G5" s="13"/>
    </row>
    <row r="6" spans="1:7" ht="14.25" x14ac:dyDescent="0.45">
      <c r="A6" s="52" t="s">
        <v>58</v>
      </c>
      <c r="B6" s="52" t="s">
        <v>59</v>
      </c>
      <c r="C6" s="51" t="s">
        <v>52</v>
      </c>
      <c r="D6" s="14" t="s">
        <v>53</v>
      </c>
      <c r="G6" s="13"/>
    </row>
    <row r="7" spans="1:7" ht="14.1" customHeight="1" x14ac:dyDescent="0.45">
      <c r="A7" s="53" t="s">
        <v>60</v>
      </c>
      <c r="B7" s="52" t="s">
        <v>61</v>
      </c>
      <c r="C7" s="51" t="s">
        <v>62</v>
      </c>
      <c r="D7" s="14"/>
      <c r="G7" s="1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29" sqref="I29:I30"/>
    </sheetView>
  </sheetViews>
  <sheetFormatPr defaultRowHeight="12.75" x14ac:dyDescent="0.35"/>
  <cols>
    <col min="1" max="1" width="8" bestFit="1" customWidth="1"/>
    <col min="2" max="2" width="9.86328125" style="2" bestFit="1" customWidth="1"/>
    <col min="3" max="3" width="10.3984375" bestFit="1" customWidth="1"/>
    <col min="4" max="4" width="15.1328125" bestFit="1" customWidth="1"/>
    <col min="5" max="5" width="12.1328125" bestFit="1" customWidth="1"/>
    <col min="6" max="6" width="11.86328125" bestFit="1" customWidth="1"/>
    <col min="7" max="7" width="16.59765625" bestFit="1" customWidth="1"/>
    <col min="8" max="8" width="13.86328125" bestFit="1" customWidth="1"/>
    <col min="9" max="9" width="80.53125" customWidth="1"/>
    <col min="10" max="10" width="18.59765625" bestFit="1" customWidth="1"/>
  </cols>
  <sheetData>
    <row r="1" spans="1:15" ht="25.15" x14ac:dyDescent="0.7">
      <c r="A1" s="146" t="s">
        <v>51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5" ht="25.15" x14ac:dyDescent="0.7">
      <c r="A2" s="11"/>
      <c r="B2" s="11"/>
      <c r="C2" s="11"/>
      <c r="D2" s="11"/>
      <c r="E2" s="11"/>
    </row>
    <row r="3" spans="1:15" ht="15" x14ac:dyDescent="0.4">
      <c r="A3" s="138" t="s">
        <v>63</v>
      </c>
      <c r="B3" s="139"/>
      <c r="C3" s="139"/>
      <c r="D3" s="139"/>
      <c r="E3" s="140"/>
      <c r="F3" s="141" t="s">
        <v>64</v>
      </c>
      <c r="G3" s="142"/>
      <c r="H3" s="143"/>
      <c r="I3" s="144" t="s">
        <v>65</v>
      </c>
      <c r="J3" s="145"/>
    </row>
    <row r="4" spans="1:15" x14ac:dyDescent="0.35">
      <c r="A4" s="16" t="s">
        <v>66</v>
      </c>
      <c r="B4" s="27" t="s">
        <v>6</v>
      </c>
      <c r="C4" s="27" t="s">
        <v>7</v>
      </c>
      <c r="D4" s="27" t="s">
        <v>67</v>
      </c>
      <c r="E4" s="28" t="s">
        <v>68</v>
      </c>
      <c r="F4" s="29" t="s">
        <v>10</v>
      </c>
      <c r="G4" s="30" t="s">
        <v>69</v>
      </c>
      <c r="H4" s="31" t="s">
        <v>70</v>
      </c>
      <c r="I4" s="32" t="s">
        <v>65</v>
      </c>
      <c r="J4" s="33" t="s">
        <v>71</v>
      </c>
    </row>
    <row r="5" spans="1:15" ht="28.5" x14ac:dyDescent="0.35">
      <c r="A5" s="99" t="s">
        <v>72</v>
      </c>
      <c r="B5" s="100">
        <v>51558.180000000197</v>
      </c>
      <c r="C5" s="100">
        <v>56747.74</v>
      </c>
      <c r="D5" s="100">
        <f>B5-C5</f>
        <v>-5189.5599999998012</v>
      </c>
      <c r="E5" s="101">
        <f t="shared" ref="E5:E10" si="0">IFERROR(D5/C5, 0)</f>
        <v>-9.1449633060273441E-2</v>
      </c>
      <c r="F5" s="60">
        <v>0</v>
      </c>
      <c r="G5" s="60">
        <f>B5-F5</f>
        <v>51558.180000000197</v>
      </c>
      <c r="H5" s="102">
        <f t="shared" ref="H5:H10" si="1">IFERROR(G5/F5, 0)</f>
        <v>0</v>
      </c>
      <c r="I5" s="61" t="s">
        <v>89</v>
      </c>
      <c r="J5" s="61" t="s">
        <v>88</v>
      </c>
      <c r="O5" s="5"/>
    </row>
    <row r="6" spans="1:15" ht="14.25" x14ac:dyDescent="0.35">
      <c r="A6" s="103" t="s">
        <v>73</v>
      </c>
      <c r="B6" s="100"/>
      <c r="C6" s="100"/>
      <c r="D6" s="100">
        <f t="shared" ref="D6:D10" si="2">B6-C6</f>
        <v>0</v>
      </c>
      <c r="E6" s="104">
        <f t="shared" si="0"/>
        <v>0</v>
      </c>
      <c r="F6" s="105"/>
      <c r="G6" s="60">
        <f t="shared" ref="G6:G10" si="3">B6-F6</f>
        <v>0</v>
      </c>
      <c r="H6" s="102">
        <f t="shared" si="1"/>
        <v>0</v>
      </c>
      <c r="I6" s="62"/>
      <c r="J6" s="62"/>
    </row>
    <row r="7" spans="1:15" ht="14.25" x14ac:dyDescent="0.35">
      <c r="A7" s="103" t="s">
        <v>74</v>
      </c>
      <c r="B7" s="100"/>
      <c r="C7" s="100"/>
      <c r="D7" s="100">
        <f t="shared" si="2"/>
        <v>0</v>
      </c>
      <c r="E7" s="104">
        <f t="shared" si="0"/>
        <v>0</v>
      </c>
      <c r="F7" s="74"/>
      <c r="G7" s="60">
        <f t="shared" si="3"/>
        <v>0</v>
      </c>
      <c r="H7" s="102">
        <f t="shared" si="1"/>
        <v>0</v>
      </c>
      <c r="I7" s="61"/>
      <c r="J7" s="61"/>
    </row>
    <row r="8" spans="1:15" ht="14.25" x14ac:dyDescent="0.35">
      <c r="A8" s="103" t="s">
        <v>75</v>
      </c>
      <c r="B8" s="100"/>
      <c r="C8" s="100"/>
      <c r="D8" s="100">
        <f t="shared" si="2"/>
        <v>0</v>
      </c>
      <c r="E8" s="104">
        <f t="shared" si="0"/>
        <v>0</v>
      </c>
      <c r="F8" s="60"/>
      <c r="G8" s="60">
        <f t="shared" si="3"/>
        <v>0</v>
      </c>
      <c r="H8" s="102">
        <f t="shared" si="1"/>
        <v>0</v>
      </c>
      <c r="I8" s="70"/>
      <c r="J8" s="70"/>
    </row>
    <row r="9" spans="1:15" ht="14.25" x14ac:dyDescent="0.35">
      <c r="A9" s="103" t="s">
        <v>76</v>
      </c>
      <c r="B9" s="100"/>
      <c r="C9" s="100"/>
      <c r="D9" s="100">
        <f t="shared" si="2"/>
        <v>0</v>
      </c>
      <c r="E9" s="104">
        <f t="shared" si="0"/>
        <v>0</v>
      </c>
      <c r="F9" s="60"/>
      <c r="G9" s="60">
        <f t="shared" si="3"/>
        <v>0</v>
      </c>
      <c r="H9" s="102">
        <f t="shared" si="1"/>
        <v>0</v>
      </c>
      <c r="I9" s="70"/>
      <c r="J9" s="70"/>
    </row>
    <row r="10" spans="1:15" ht="14.25" x14ac:dyDescent="0.35">
      <c r="A10" s="103" t="s">
        <v>77</v>
      </c>
      <c r="B10" s="100"/>
      <c r="C10" s="100"/>
      <c r="D10" s="100">
        <f t="shared" si="2"/>
        <v>0</v>
      </c>
      <c r="E10" s="104">
        <f t="shared" si="0"/>
        <v>0</v>
      </c>
      <c r="F10" s="60"/>
      <c r="G10" s="60">
        <f t="shared" si="3"/>
        <v>0</v>
      </c>
      <c r="H10" s="102">
        <f t="shared" si="1"/>
        <v>0</v>
      </c>
      <c r="I10" s="62"/>
      <c r="J10" s="62"/>
    </row>
    <row r="11" spans="1:15" ht="14.25" x14ac:dyDescent="0.35">
      <c r="A11" s="103" t="s">
        <v>78</v>
      </c>
      <c r="B11" s="100"/>
      <c r="C11" s="100"/>
      <c r="D11" s="100">
        <f t="shared" ref="D11" si="4">B11-C11</f>
        <v>0</v>
      </c>
      <c r="E11" s="104">
        <f t="shared" ref="E11" si="5">IFERROR(D11/C11, 0)</f>
        <v>0</v>
      </c>
      <c r="F11" s="105"/>
      <c r="G11" s="60">
        <f t="shared" ref="G11" si="6">B11-F11</f>
        <v>0</v>
      </c>
      <c r="H11" s="102">
        <f t="shared" ref="H11" si="7">IFERROR(G11/F11, 0)</f>
        <v>0</v>
      </c>
      <c r="I11" s="62"/>
      <c r="J11" s="62"/>
    </row>
    <row r="12" spans="1:15" ht="14.25" x14ac:dyDescent="0.35">
      <c r="A12" s="103" t="s">
        <v>79</v>
      </c>
      <c r="B12" s="100"/>
      <c r="C12" s="100"/>
      <c r="D12" s="100">
        <f t="shared" ref="D12" si="8">B12-C12</f>
        <v>0</v>
      </c>
      <c r="E12" s="104">
        <f t="shared" ref="E12" si="9">IFERROR(D12/C12, 0)</f>
        <v>0</v>
      </c>
      <c r="F12" s="105"/>
      <c r="G12" s="60">
        <f t="shared" ref="G12" si="10">B12-F12</f>
        <v>0</v>
      </c>
      <c r="H12" s="102">
        <f t="shared" ref="H12" si="11">IFERROR(G12/F12, 0)</f>
        <v>0</v>
      </c>
      <c r="I12" s="61"/>
      <c r="J12" s="61"/>
    </row>
    <row r="13" spans="1:15" ht="14.25" x14ac:dyDescent="0.35">
      <c r="A13" s="103" t="s">
        <v>80</v>
      </c>
      <c r="B13" s="100"/>
      <c r="C13" s="100"/>
      <c r="D13" s="100">
        <f t="shared" ref="D13:D16" si="12">B13-C13</f>
        <v>0</v>
      </c>
      <c r="E13" s="104">
        <f t="shared" ref="E13:E16" si="13">IFERROR(D13/C13, 0)</f>
        <v>0</v>
      </c>
      <c r="F13" s="60"/>
      <c r="G13" s="60">
        <f t="shared" ref="G13:G16" si="14">B13-F13</f>
        <v>0</v>
      </c>
      <c r="H13" s="102">
        <f t="shared" ref="H13:H16" si="15">IFERROR(G13/F13, 0)</f>
        <v>0</v>
      </c>
      <c r="I13" s="61"/>
      <c r="J13" s="61"/>
    </row>
    <row r="14" spans="1:15" ht="14.25" x14ac:dyDescent="0.35">
      <c r="A14" s="103" t="s">
        <v>81</v>
      </c>
      <c r="B14" s="100"/>
      <c r="C14" s="100"/>
      <c r="D14" s="100">
        <f t="shared" si="12"/>
        <v>0</v>
      </c>
      <c r="E14" s="104">
        <f t="shared" si="13"/>
        <v>0</v>
      </c>
      <c r="F14" s="60"/>
      <c r="G14" s="60">
        <f t="shared" si="14"/>
        <v>0</v>
      </c>
      <c r="H14" s="102">
        <f t="shared" si="15"/>
        <v>0</v>
      </c>
      <c r="I14" s="61"/>
      <c r="J14" s="62"/>
    </row>
    <row r="15" spans="1:15" ht="14.25" x14ac:dyDescent="0.35">
      <c r="A15" s="103" t="s">
        <v>82</v>
      </c>
      <c r="B15" s="106"/>
      <c r="C15" s="106"/>
      <c r="D15" s="100">
        <f t="shared" si="12"/>
        <v>0</v>
      </c>
      <c r="E15" s="104">
        <f t="shared" si="13"/>
        <v>0</v>
      </c>
      <c r="F15" s="107"/>
      <c r="G15" s="60">
        <f t="shared" si="14"/>
        <v>0</v>
      </c>
      <c r="H15" s="102">
        <f t="shared" si="15"/>
        <v>0</v>
      </c>
      <c r="I15" s="61"/>
      <c r="J15" s="62"/>
    </row>
    <row r="16" spans="1:15" ht="14.25" x14ac:dyDescent="0.35">
      <c r="A16" s="108" t="s">
        <v>83</v>
      </c>
      <c r="B16" s="109"/>
      <c r="C16" s="109"/>
      <c r="D16" s="100">
        <f t="shared" si="12"/>
        <v>0</v>
      </c>
      <c r="E16" s="104">
        <f t="shared" si="13"/>
        <v>0</v>
      </c>
      <c r="F16" s="110"/>
      <c r="G16" s="60">
        <f t="shared" si="14"/>
        <v>0</v>
      </c>
      <c r="H16" s="102">
        <f t="shared" si="15"/>
        <v>0</v>
      </c>
      <c r="I16" s="115"/>
      <c r="J16" s="115"/>
    </row>
    <row r="17" spans="1:15" ht="14.25" x14ac:dyDescent="0.45">
      <c r="A17" s="22" t="s">
        <v>84</v>
      </c>
      <c r="B17" s="23">
        <f>SUM(B5:B16)</f>
        <v>51558.180000000197</v>
      </c>
      <c r="C17" s="23">
        <f t="shared" ref="C17:F17" si="16">SUM(C5:C16)</f>
        <v>56747.74</v>
      </c>
      <c r="D17" s="23">
        <f>B17-C17</f>
        <v>-5189.5599999998012</v>
      </c>
      <c r="E17" s="24">
        <f>IFERROR(D17/C17, 0)</f>
        <v>-9.1449633060273441E-2</v>
      </c>
      <c r="F17" s="23">
        <f t="shared" si="16"/>
        <v>0</v>
      </c>
      <c r="G17" s="23">
        <f>B17-F17</f>
        <v>51558.180000000197</v>
      </c>
      <c r="H17" s="25">
        <f>IFERROR(G17/F17, 0)</f>
        <v>0</v>
      </c>
      <c r="I17" s="26"/>
      <c r="J17" s="26"/>
    </row>
    <row r="18" spans="1:15" x14ac:dyDescent="0.35">
      <c r="F18" s="12"/>
    </row>
    <row r="20" spans="1:15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9" priority="1" operator="lessThanOrEqual">
      <formula>-0.1</formula>
    </cfRule>
    <cfRule type="cellIs" dxfId="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L4" sqref="L4"/>
    </sheetView>
  </sheetViews>
  <sheetFormatPr defaultRowHeight="12.75" x14ac:dyDescent="0.35"/>
  <cols>
    <col min="1" max="1" width="8.59765625" bestFit="1" customWidth="1"/>
    <col min="2" max="2" width="9.1328125" style="2" bestFit="1" customWidth="1"/>
    <col min="3" max="3" width="10.86328125" bestFit="1" customWidth="1"/>
    <col min="4" max="4" width="15.265625" bestFit="1" customWidth="1"/>
    <col min="5" max="6" width="12.59765625" bestFit="1" customWidth="1"/>
    <col min="7" max="7" width="17.265625" bestFit="1" customWidth="1"/>
    <col min="8" max="8" width="14.3984375" bestFit="1" customWidth="1"/>
    <col min="9" max="9" width="68.6640625" customWidth="1"/>
    <col min="10" max="10" width="18.59765625" bestFit="1" customWidth="1"/>
  </cols>
  <sheetData>
    <row r="1" spans="1:15" ht="25.15" x14ac:dyDescent="0.7">
      <c r="A1" s="146" t="s">
        <v>55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5" ht="25.15" x14ac:dyDescent="0.7">
      <c r="A2" s="11"/>
      <c r="B2" s="11"/>
      <c r="C2" s="11"/>
      <c r="D2" s="11"/>
      <c r="E2" s="11"/>
    </row>
    <row r="3" spans="1:15" ht="15" x14ac:dyDescent="0.4">
      <c r="A3" s="138" t="s">
        <v>63</v>
      </c>
      <c r="B3" s="139"/>
      <c r="C3" s="139"/>
      <c r="D3" s="139"/>
      <c r="E3" s="140"/>
      <c r="F3" s="141" t="s">
        <v>64</v>
      </c>
      <c r="G3" s="142"/>
      <c r="H3" s="143"/>
      <c r="I3" s="144" t="s">
        <v>65</v>
      </c>
      <c r="J3" s="145"/>
    </row>
    <row r="4" spans="1:15" x14ac:dyDescent="0.35">
      <c r="A4" s="16" t="s">
        <v>66</v>
      </c>
      <c r="B4" s="27" t="s">
        <v>6</v>
      </c>
      <c r="C4" s="27" t="s">
        <v>7</v>
      </c>
      <c r="D4" s="27" t="s">
        <v>67</v>
      </c>
      <c r="E4" s="28" t="s">
        <v>68</v>
      </c>
      <c r="F4" s="29" t="s">
        <v>10</v>
      </c>
      <c r="G4" s="30" t="s">
        <v>69</v>
      </c>
      <c r="H4" s="31" t="s">
        <v>70</v>
      </c>
      <c r="I4" s="32" t="s">
        <v>65</v>
      </c>
      <c r="J4" s="33" t="s">
        <v>71</v>
      </c>
    </row>
    <row r="5" spans="1:15" ht="28.5" x14ac:dyDescent="0.35">
      <c r="A5" s="99" t="s">
        <v>72</v>
      </c>
      <c r="B5" s="100">
        <v>67770.851250000793</v>
      </c>
      <c r="C5" s="100">
        <v>82178.83</v>
      </c>
      <c r="D5" s="100">
        <f>B5-C5</f>
        <v>-14407.978749999209</v>
      </c>
      <c r="E5" s="101">
        <f t="shared" ref="E5:E10" si="0">IFERROR(D5/C5, 0)</f>
        <v>-0.17532470041249321</v>
      </c>
      <c r="F5" s="74">
        <v>122968.3</v>
      </c>
      <c r="G5" s="60">
        <f>B5-F5</f>
        <v>-55197.44874999921</v>
      </c>
      <c r="H5" s="102">
        <f t="shared" ref="H5:H10" si="1">IFERROR(G5/F5, 0)</f>
        <v>-0.44887543171694827</v>
      </c>
      <c r="I5" s="61" t="s">
        <v>85</v>
      </c>
      <c r="J5" s="62" t="s">
        <v>86</v>
      </c>
      <c r="O5" s="5"/>
    </row>
    <row r="6" spans="1:15" ht="14.25" x14ac:dyDescent="0.35">
      <c r="A6" s="103" t="s">
        <v>73</v>
      </c>
      <c r="B6" s="100"/>
      <c r="C6" s="100"/>
      <c r="D6" s="100">
        <f t="shared" ref="D6:D10" si="2">B6-C6</f>
        <v>0</v>
      </c>
      <c r="E6" s="104">
        <f t="shared" si="0"/>
        <v>0</v>
      </c>
      <c r="F6" s="111"/>
      <c r="G6" s="60">
        <f t="shared" ref="G6:G10" si="3">B6-F6</f>
        <v>0</v>
      </c>
      <c r="H6" s="102">
        <f t="shared" si="1"/>
        <v>0</v>
      </c>
      <c r="I6" s="62"/>
      <c r="J6" s="62"/>
    </row>
    <row r="7" spans="1:15" ht="14.25" x14ac:dyDescent="0.35">
      <c r="A7" s="103" t="s">
        <v>74</v>
      </c>
      <c r="B7" s="100"/>
      <c r="C7" s="100"/>
      <c r="D7" s="100">
        <f t="shared" si="2"/>
        <v>0</v>
      </c>
      <c r="E7" s="104">
        <f t="shared" si="0"/>
        <v>0</v>
      </c>
      <c r="F7" s="74"/>
      <c r="G7" s="60">
        <f t="shared" si="3"/>
        <v>0</v>
      </c>
      <c r="H7" s="102">
        <f t="shared" si="1"/>
        <v>0</v>
      </c>
      <c r="I7" s="61"/>
      <c r="J7" s="61"/>
    </row>
    <row r="8" spans="1:15" ht="14.25" x14ac:dyDescent="0.35">
      <c r="A8" s="103" t="s">
        <v>75</v>
      </c>
      <c r="B8" s="100"/>
      <c r="C8" s="100"/>
      <c r="D8" s="100">
        <f t="shared" si="2"/>
        <v>0</v>
      </c>
      <c r="E8" s="104">
        <f t="shared" si="0"/>
        <v>0</v>
      </c>
      <c r="F8" s="74"/>
      <c r="G8" s="60">
        <f t="shared" si="3"/>
        <v>0</v>
      </c>
      <c r="H8" s="102">
        <f t="shared" si="1"/>
        <v>0</v>
      </c>
      <c r="I8" s="62"/>
      <c r="J8" s="62"/>
    </row>
    <row r="9" spans="1:15" ht="14.25" x14ac:dyDescent="0.35">
      <c r="A9" s="103" t="s">
        <v>76</v>
      </c>
      <c r="B9" s="100"/>
      <c r="C9" s="100"/>
      <c r="D9" s="100">
        <f t="shared" si="2"/>
        <v>0</v>
      </c>
      <c r="E9" s="104">
        <f t="shared" si="0"/>
        <v>0</v>
      </c>
      <c r="F9" s="74"/>
      <c r="G9" s="60">
        <f t="shared" si="3"/>
        <v>0</v>
      </c>
      <c r="H9" s="102">
        <f t="shared" si="1"/>
        <v>0</v>
      </c>
      <c r="I9" s="61"/>
      <c r="J9" s="61"/>
    </row>
    <row r="10" spans="1:15" ht="14.25" x14ac:dyDescent="0.35">
      <c r="A10" s="103" t="s">
        <v>77</v>
      </c>
      <c r="B10" s="100"/>
      <c r="C10" s="100"/>
      <c r="D10" s="100">
        <f t="shared" si="2"/>
        <v>0</v>
      </c>
      <c r="E10" s="104">
        <f t="shared" si="0"/>
        <v>0</v>
      </c>
      <c r="F10" s="74"/>
      <c r="G10" s="60">
        <f t="shared" si="3"/>
        <v>0</v>
      </c>
      <c r="H10" s="102">
        <f t="shared" si="1"/>
        <v>0</v>
      </c>
      <c r="I10" s="95"/>
      <c r="J10" s="62"/>
    </row>
    <row r="11" spans="1:15" ht="14.25" x14ac:dyDescent="0.35">
      <c r="A11" s="103" t="s">
        <v>78</v>
      </c>
      <c r="B11" s="100"/>
      <c r="C11" s="100"/>
      <c r="D11" s="100">
        <f t="shared" ref="D11" si="4">B11-C11</f>
        <v>0</v>
      </c>
      <c r="E11" s="104">
        <f t="shared" ref="E11" si="5">IFERROR(D11/C11, 0)</f>
        <v>0</v>
      </c>
      <c r="F11" s="111"/>
      <c r="G11" s="60">
        <f t="shared" ref="G11" si="6">B11-F11</f>
        <v>0</v>
      </c>
      <c r="H11" s="102">
        <f t="shared" ref="H11" si="7">IFERROR(G11/F11, 0)</f>
        <v>0</v>
      </c>
      <c r="I11" s="61"/>
      <c r="J11" s="61"/>
    </row>
    <row r="12" spans="1:15" ht="14.25" x14ac:dyDescent="0.35">
      <c r="A12" s="103" t="s">
        <v>79</v>
      </c>
      <c r="B12" s="100"/>
      <c r="C12" s="100"/>
      <c r="D12" s="100">
        <f t="shared" ref="D12" si="8">B12-C12</f>
        <v>0</v>
      </c>
      <c r="E12" s="104">
        <f t="shared" ref="E12" si="9">IFERROR(D12/C12, 0)</f>
        <v>0</v>
      </c>
      <c r="F12" s="74"/>
      <c r="G12" s="60">
        <f t="shared" ref="G12" si="10">B12-F12</f>
        <v>0</v>
      </c>
      <c r="H12" s="102">
        <f t="shared" ref="H12" si="11">IFERROR(G12/F12, 0)</f>
        <v>0</v>
      </c>
      <c r="I12" s="61"/>
      <c r="J12" s="62"/>
    </row>
    <row r="13" spans="1:15" ht="14.25" x14ac:dyDescent="0.35">
      <c r="A13" s="103" t="s">
        <v>80</v>
      </c>
      <c r="B13" s="100"/>
      <c r="C13" s="100"/>
      <c r="D13" s="100">
        <f t="shared" ref="D13:D16" si="12">B13-C13</f>
        <v>0</v>
      </c>
      <c r="E13" s="104">
        <f t="shared" ref="E13:E16" si="13">IFERROR(D13/C13, 0)</f>
        <v>0</v>
      </c>
      <c r="F13" s="60"/>
      <c r="G13" s="60">
        <f t="shared" ref="G13:G16" si="14">B13-F13</f>
        <v>0</v>
      </c>
      <c r="H13" s="102">
        <f t="shared" ref="H13:H16" si="15">IFERROR(G13/F13, 0)</f>
        <v>0</v>
      </c>
      <c r="I13" s="61"/>
      <c r="J13" s="61"/>
    </row>
    <row r="14" spans="1:15" ht="14.25" x14ac:dyDescent="0.35">
      <c r="A14" s="103" t="s">
        <v>81</v>
      </c>
      <c r="B14" s="100"/>
      <c r="C14" s="100"/>
      <c r="D14" s="100">
        <f t="shared" si="12"/>
        <v>0</v>
      </c>
      <c r="E14" s="104">
        <f t="shared" si="13"/>
        <v>0</v>
      </c>
      <c r="F14" s="60"/>
      <c r="G14" s="60">
        <f t="shared" si="14"/>
        <v>0</v>
      </c>
      <c r="H14" s="102">
        <f t="shared" si="15"/>
        <v>0</v>
      </c>
      <c r="I14" s="61"/>
      <c r="J14" s="62"/>
    </row>
    <row r="15" spans="1:15" ht="14.25" x14ac:dyDescent="0.35">
      <c r="A15" s="103" t="s">
        <v>82</v>
      </c>
      <c r="B15" s="106"/>
      <c r="C15" s="106"/>
      <c r="D15" s="100">
        <f t="shared" si="12"/>
        <v>0</v>
      </c>
      <c r="E15" s="104">
        <f t="shared" si="13"/>
        <v>0</v>
      </c>
      <c r="F15" s="107"/>
      <c r="G15" s="60">
        <f t="shared" si="14"/>
        <v>0</v>
      </c>
      <c r="H15" s="102">
        <f t="shared" si="15"/>
        <v>0</v>
      </c>
      <c r="I15" s="61"/>
      <c r="J15" s="62"/>
    </row>
    <row r="16" spans="1:15" ht="14.25" x14ac:dyDescent="0.35">
      <c r="A16" s="108" t="s">
        <v>83</v>
      </c>
      <c r="B16" s="109"/>
      <c r="C16" s="109"/>
      <c r="D16" s="100">
        <f t="shared" si="12"/>
        <v>0</v>
      </c>
      <c r="E16" s="104">
        <f t="shared" si="13"/>
        <v>0</v>
      </c>
      <c r="F16" s="110"/>
      <c r="G16" s="60">
        <f t="shared" si="14"/>
        <v>0</v>
      </c>
      <c r="H16" s="102">
        <f t="shared" si="15"/>
        <v>0</v>
      </c>
      <c r="I16" s="96"/>
      <c r="J16" s="96"/>
    </row>
    <row r="17" spans="1:15" ht="14.25" x14ac:dyDescent="0.45">
      <c r="A17" s="22" t="s">
        <v>84</v>
      </c>
      <c r="B17" s="23">
        <f>SUM(B5:B16)</f>
        <v>67770.851250000793</v>
      </c>
      <c r="C17" s="23">
        <f t="shared" ref="C17:F17" si="16">SUM(C5:C16)</f>
        <v>82178.83</v>
      </c>
      <c r="D17" s="23">
        <f>B17-C17</f>
        <v>-14407.978749999209</v>
      </c>
      <c r="E17" s="24">
        <f>IFERROR(D17/C17, 0)</f>
        <v>-0.17532470041249321</v>
      </c>
      <c r="F17" s="23">
        <f t="shared" si="16"/>
        <v>122968.3</v>
      </c>
      <c r="G17" s="23">
        <f>B17-F17</f>
        <v>-55197.44874999921</v>
      </c>
      <c r="H17" s="25">
        <f>IFERROR(G17/F17, 0)</f>
        <v>-0.44887543171694827</v>
      </c>
      <c r="I17" s="26"/>
      <c r="J17" s="26"/>
    </row>
    <row r="18" spans="1:15" x14ac:dyDescent="0.35">
      <c r="F18" s="12"/>
    </row>
    <row r="20" spans="1:15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7" priority="1" operator="lessThanOrEqual">
      <formula>-0.1</formula>
    </cfRule>
    <cfRule type="cellIs" dxfId="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workbookViewId="0">
      <selection activeCell="F30" sqref="F30"/>
    </sheetView>
  </sheetViews>
  <sheetFormatPr defaultRowHeight="12.75" x14ac:dyDescent="0.35"/>
  <cols>
    <col min="1" max="1" width="8" bestFit="1" customWidth="1"/>
    <col min="2" max="2" width="8.86328125" style="2" bestFit="1" customWidth="1"/>
    <col min="3" max="3" width="10.3984375" bestFit="1" customWidth="1"/>
    <col min="4" max="4" width="15.1328125" bestFit="1" customWidth="1"/>
    <col min="5" max="5" width="12.1328125" bestFit="1" customWidth="1"/>
    <col min="6" max="6" width="11.86328125" bestFit="1" customWidth="1"/>
    <col min="7" max="7" width="16.59765625" bestFit="1" customWidth="1"/>
    <col min="8" max="8" width="13.86328125" bestFit="1" customWidth="1"/>
    <col min="9" max="9" width="43.73046875" customWidth="1"/>
    <col min="10" max="10" width="18.59765625" bestFit="1" customWidth="1"/>
  </cols>
  <sheetData>
    <row r="1" spans="1:15" ht="25.15" x14ac:dyDescent="0.7">
      <c r="A1" s="146" t="s">
        <v>57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5" ht="25.15" x14ac:dyDescent="0.7">
      <c r="A2" s="11"/>
      <c r="B2" s="11"/>
      <c r="C2" s="11"/>
      <c r="D2" s="11"/>
      <c r="E2" s="11"/>
    </row>
    <row r="3" spans="1:15" ht="15" x14ac:dyDescent="0.4">
      <c r="A3" s="138" t="s">
        <v>63</v>
      </c>
      <c r="B3" s="139"/>
      <c r="C3" s="139"/>
      <c r="D3" s="139"/>
      <c r="E3" s="140"/>
      <c r="F3" s="141" t="s">
        <v>64</v>
      </c>
      <c r="G3" s="142"/>
      <c r="H3" s="143"/>
      <c r="I3" s="144" t="s">
        <v>65</v>
      </c>
      <c r="J3" s="145"/>
    </row>
    <row r="4" spans="1:15" x14ac:dyDescent="0.35">
      <c r="A4" s="16" t="s">
        <v>66</v>
      </c>
      <c r="B4" s="27" t="s">
        <v>6</v>
      </c>
      <c r="C4" s="27" t="s">
        <v>7</v>
      </c>
      <c r="D4" s="27" t="s">
        <v>67</v>
      </c>
      <c r="E4" s="28" t="s">
        <v>68</v>
      </c>
      <c r="F4" s="29" t="s">
        <v>10</v>
      </c>
      <c r="G4" s="30" t="s">
        <v>69</v>
      </c>
      <c r="H4" s="31" t="s">
        <v>70</v>
      </c>
      <c r="I4" s="32" t="s">
        <v>65</v>
      </c>
      <c r="J4" s="33" t="s">
        <v>71</v>
      </c>
    </row>
    <row r="5" spans="1:15" ht="14.25" x14ac:dyDescent="0.35">
      <c r="A5" s="99" t="s">
        <v>72</v>
      </c>
      <c r="B5" s="112">
        <v>67621.655000000304</v>
      </c>
      <c r="C5" s="113">
        <v>53199.54</v>
      </c>
      <c r="D5" s="100">
        <f>B5-C5</f>
        <v>14422.115000000304</v>
      </c>
      <c r="E5" s="101">
        <f t="shared" ref="E5:E10" si="0">IFERROR(D5/C5, 0)</f>
        <v>0.27109473127023848</v>
      </c>
      <c r="F5" s="114">
        <v>72464</v>
      </c>
      <c r="G5" s="60">
        <f>B5-F5</f>
        <v>-4842.3449999996956</v>
      </c>
      <c r="H5" s="102">
        <f t="shared" ref="H5:H10" si="1">IFERROR(G5/F5, 0)</f>
        <v>-6.6824147162724876E-2</v>
      </c>
      <c r="I5" s="62"/>
      <c r="J5" s="62"/>
      <c r="O5" s="5"/>
    </row>
    <row r="6" spans="1:15" ht="14.25" x14ac:dyDescent="0.35">
      <c r="A6" s="103" t="s">
        <v>73</v>
      </c>
      <c r="B6" s="100"/>
      <c r="C6" s="100"/>
      <c r="D6" s="100">
        <f t="shared" ref="D6:D10" si="2">B6-C6</f>
        <v>0</v>
      </c>
      <c r="E6" s="104">
        <f t="shared" si="0"/>
        <v>0</v>
      </c>
      <c r="F6" s="105"/>
      <c r="G6" s="60">
        <f t="shared" ref="G6:G10" si="3">B6-F6</f>
        <v>0</v>
      </c>
      <c r="H6" s="102">
        <f t="shared" si="1"/>
        <v>0</v>
      </c>
      <c r="I6" s="62"/>
      <c r="J6" s="62"/>
    </row>
    <row r="7" spans="1:15" ht="14.25" x14ac:dyDescent="0.35">
      <c r="A7" s="103" t="s">
        <v>74</v>
      </c>
      <c r="B7" s="100"/>
      <c r="C7" s="100"/>
      <c r="D7" s="100">
        <f t="shared" si="2"/>
        <v>0</v>
      </c>
      <c r="E7" s="104">
        <f t="shared" si="0"/>
        <v>0</v>
      </c>
      <c r="F7" s="60"/>
      <c r="G7" s="60">
        <f t="shared" si="3"/>
        <v>0</v>
      </c>
      <c r="H7" s="102">
        <f t="shared" si="1"/>
        <v>0</v>
      </c>
      <c r="I7" s="62"/>
      <c r="J7" s="62"/>
    </row>
    <row r="8" spans="1:15" ht="14.25" x14ac:dyDescent="0.35">
      <c r="A8" s="103" t="s">
        <v>75</v>
      </c>
      <c r="B8" s="100"/>
      <c r="C8" s="100"/>
      <c r="D8" s="100">
        <f t="shared" si="2"/>
        <v>0</v>
      </c>
      <c r="E8" s="104">
        <f t="shared" si="0"/>
        <v>0</v>
      </c>
      <c r="F8" s="60"/>
      <c r="G8" s="60">
        <f t="shared" si="3"/>
        <v>0</v>
      </c>
      <c r="H8" s="102">
        <f t="shared" si="1"/>
        <v>0</v>
      </c>
      <c r="I8" s="62"/>
      <c r="J8" s="62"/>
    </row>
    <row r="9" spans="1:15" ht="14.25" x14ac:dyDescent="0.35">
      <c r="A9" s="103" t="s">
        <v>76</v>
      </c>
      <c r="B9" s="100"/>
      <c r="C9" s="100"/>
      <c r="D9" s="100">
        <f t="shared" si="2"/>
        <v>0</v>
      </c>
      <c r="E9" s="104">
        <f t="shared" si="0"/>
        <v>0</v>
      </c>
      <c r="F9" s="60"/>
      <c r="G9" s="60">
        <f t="shared" si="3"/>
        <v>0</v>
      </c>
      <c r="H9" s="102">
        <f t="shared" si="1"/>
        <v>0</v>
      </c>
      <c r="I9" s="61"/>
      <c r="J9" s="61"/>
    </row>
    <row r="10" spans="1:15" ht="14.25" x14ac:dyDescent="0.35">
      <c r="A10" s="103" t="s">
        <v>77</v>
      </c>
      <c r="B10" s="100"/>
      <c r="C10" s="100"/>
      <c r="D10" s="100">
        <f t="shared" si="2"/>
        <v>0</v>
      </c>
      <c r="E10" s="104">
        <f t="shared" si="0"/>
        <v>0</v>
      </c>
      <c r="F10" s="60"/>
      <c r="G10" s="60">
        <f t="shared" si="3"/>
        <v>0</v>
      </c>
      <c r="H10" s="102">
        <f t="shared" si="1"/>
        <v>0</v>
      </c>
      <c r="I10" s="62"/>
      <c r="J10" s="62"/>
    </row>
    <row r="11" spans="1:15" ht="14.25" x14ac:dyDescent="0.35">
      <c r="A11" s="103" t="s">
        <v>78</v>
      </c>
      <c r="B11" s="100"/>
      <c r="C11" s="100"/>
      <c r="D11" s="100">
        <f t="shared" ref="D11" si="4">B11-C11</f>
        <v>0</v>
      </c>
      <c r="E11" s="104">
        <f t="shared" ref="E11" si="5">IFERROR(D11/C11, 0)</f>
        <v>0</v>
      </c>
      <c r="F11" s="105"/>
      <c r="G11" s="60">
        <f t="shared" ref="G11" si="6">B11-F11</f>
        <v>0</v>
      </c>
      <c r="H11" s="102">
        <f t="shared" ref="H11" si="7">IFERROR(G11/F11, 0)</f>
        <v>0</v>
      </c>
      <c r="I11" s="62"/>
      <c r="J11" s="62"/>
    </row>
    <row r="12" spans="1:15" ht="14.25" x14ac:dyDescent="0.35">
      <c r="A12" s="103" t="s">
        <v>79</v>
      </c>
      <c r="B12" s="100"/>
      <c r="C12" s="100"/>
      <c r="D12" s="100">
        <f t="shared" ref="D12" si="8">B12-C12</f>
        <v>0</v>
      </c>
      <c r="E12" s="104">
        <f t="shared" ref="E12" si="9">IFERROR(D12/C12, 0)</f>
        <v>0</v>
      </c>
      <c r="F12" s="60"/>
      <c r="G12" s="60">
        <f t="shared" ref="G12" si="10">B12-F12</f>
        <v>0</v>
      </c>
      <c r="H12" s="102">
        <f t="shared" ref="H12" si="11">IFERROR(G12/F12, 0)</f>
        <v>0</v>
      </c>
      <c r="I12" s="62"/>
      <c r="J12" s="62"/>
    </row>
    <row r="13" spans="1:15" ht="14.25" x14ac:dyDescent="0.35">
      <c r="A13" s="103" t="s">
        <v>80</v>
      </c>
      <c r="B13" s="100"/>
      <c r="C13" s="100"/>
      <c r="D13" s="100">
        <f t="shared" ref="D13:D16" si="12">B13-C13</f>
        <v>0</v>
      </c>
      <c r="E13" s="104">
        <f t="shared" ref="E13:E16" si="13">IFERROR(D13/C13, 0)</f>
        <v>0</v>
      </c>
      <c r="F13" s="60"/>
      <c r="G13" s="60">
        <f t="shared" ref="G13:G16" si="14">B13-F13</f>
        <v>0</v>
      </c>
      <c r="H13" s="102">
        <f t="shared" ref="H13:H16" si="15">IFERROR(G13/F13, 0)</f>
        <v>0</v>
      </c>
      <c r="I13" s="62"/>
      <c r="J13" s="62"/>
    </row>
    <row r="14" spans="1:15" ht="14.25" x14ac:dyDescent="0.35">
      <c r="A14" s="103" t="s">
        <v>81</v>
      </c>
      <c r="B14" s="100"/>
      <c r="C14" s="100"/>
      <c r="D14" s="100">
        <f t="shared" si="12"/>
        <v>0</v>
      </c>
      <c r="E14" s="104">
        <f t="shared" si="13"/>
        <v>0</v>
      </c>
      <c r="F14" s="60"/>
      <c r="G14" s="60">
        <f t="shared" si="14"/>
        <v>0</v>
      </c>
      <c r="H14" s="102">
        <f t="shared" si="15"/>
        <v>0</v>
      </c>
      <c r="I14" s="61"/>
      <c r="J14" s="62"/>
    </row>
    <row r="15" spans="1:15" ht="14.25" x14ac:dyDescent="0.35">
      <c r="A15" s="103" t="s">
        <v>82</v>
      </c>
      <c r="B15" s="106"/>
      <c r="C15" s="106"/>
      <c r="D15" s="100">
        <f t="shared" si="12"/>
        <v>0</v>
      </c>
      <c r="E15" s="104">
        <f t="shared" si="13"/>
        <v>0</v>
      </c>
      <c r="F15" s="107"/>
      <c r="G15" s="60">
        <f t="shared" si="14"/>
        <v>0</v>
      </c>
      <c r="H15" s="102">
        <f t="shared" si="15"/>
        <v>0</v>
      </c>
      <c r="I15" s="62"/>
      <c r="J15" s="62"/>
    </row>
    <row r="16" spans="1:15" ht="14.25" x14ac:dyDescent="0.35">
      <c r="A16" s="108" t="s">
        <v>83</v>
      </c>
      <c r="B16" s="109"/>
      <c r="C16" s="109"/>
      <c r="D16" s="100">
        <f t="shared" si="12"/>
        <v>0</v>
      </c>
      <c r="E16" s="104">
        <f t="shared" si="13"/>
        <v>0</v>
      </c>
      <c r="F16" s="110"/>
      <c r="G16" s="60">
        <f t="shared" si="14"/>
        <v>0</v>
      </c>
      <c r="H16" s="102">
        <f t="shared" si="15"/>
        <v>0</v>
      </c>
      <c r="I16" s="96"/>
      <c r="J16" s="96" t="s">
        <v>87</v>
      </c>
    </row>
    <row r="17" spans="1:15" ht="14.25" x14ac:dyDescent="0.45">
      <c r="A17" s="22" t="s">
        <v>84</v>
      </c>
      <c r="B17" s="23">
        <f>SUM(B5:B16)</f>
        <v>67621.655000000304</v>
      </c>
      <c r="C17" s="23">
        <f t="shared" ref="C17:F17" si="16">SUM(C5:C16)</f>
        <v>53199.54</v>
      </c>
      <c r="D17" s="23">
        <f>B17-C17</f>
        <v>14422.115000000304</v>
      </c>
      <c r="E17" s="24">
        <f>IFERROR(D17/C17, 0)</f>
        <v>0.27109473127023848</v>
      </c>
      <c r="F17" s="23">
        <f t="shared" si="16"/>
        <v>72464</v>
      </c>
      <c r="G17" s="23">
        <f>B17-F17</f>
        <v>-4842.3449999996956</v>
      </c>
      <c r="H17" s="25">
        <f>IFERROR(G17/F17, 0)</f>
        <v>-6.6824147162724876E-2</v>
      </c>
      <c r="I17" s="26"/>
      <c r="J17" s="26"/>
    </row>
    <row r="18" spans="1:15" x14ac:dyDescent="0.35">
      <c r="F18" s="12"/>
    </row>
    <row r="20" spans="1:15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5" priority="1" operator="lessThanOrEqual">
      <formula>-0.1</formula>
    </cfRule>
    <cfRule type="cellIs" dxfId="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tabSelected="1" workbookViewId="0">
      <selection activeCell="H27" sqref="H27"/>
    </sheetView>
  </sheetViews>
  <sheetFormatPr defaultRowHeight="12.75" x14ac:dyDescent="0.35"/>
  <cols>
    <col min="1" max="1" width="8" bestFit="1" customWidth="1"/>
    <col min="2" max="2" width="7.86328125" style="2" bestFit="1" customWidth="1"/>
    <col min="3" max="3" width="10.3984375" bestFit="1" customWidth="1"/>
    <col min="4" max="4" width="15.1328125" bestFit="1" customWidth="1"/>
    <col min="5" max="5" width="12.1328125" bestFit="1" customWidth="1"/>
    <col min="6" max="6" width="11.86328125" bestFit="1" customWidth="1"/>
    <col min="7" max="7" width="16.59765625" bestFit="1" customWidth="1"/>
    <col min="8" max="8" width="13.86328125" bestFit="1" customWidth="1"/>
    <col min="9" max="9" width="43.1328125" customWidth="1"/>
    <col min="10" max="10" width="18.59765625" bestFit="1" customWidth="1"/>
  </cols>
  <sheetData>
    <row r="1" spans="1:15" ht="25.15" x14ac:dyDescent="0.7">
      <c r="A1" s="146" t="s">
        <v>59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5" ht="25.15" x14ac:dyDescent="0.7">
      <c r="A2" s="11"/>
      <c r="B2" s="11"/>
      <c r="C2" s="11"/>
      <c r="D2" s="11"/>
      <c r="E2" s="11"/>
    </row>
    <row r="3" spans="1:15" ht="15" x14ac:dyDescent="0.4">
      <c r="A3" s="138" t="s">
        <v>63</v>
      </c>
      <c r="B3" s="139"/>
      <c r="C3" s="139"/>
      <c r="D3" s="139"/>
      <c r="E3" s="140"/>
      <c r="F3" s="141" t="s">
        <v>64</v>
      </c>
      <c r="G3" s="142"/>
      <c r="H3" s="143"/>
      <c r="I3" s="144" t="s">
        <v>65</v>
      </c>
      <c r="J3" s="145"/>
    </row>
    <row r="4" spans="1:15" x14ac:dyDescent="0.35">
      <c r="A4" s="16" t="s">
        <v>66</v>
      </c>
      <c r="B4" s="27" t="s">
        <v>6</v>
      </c>
      <c r="C4" s="27" t="s">
        <v>7</v>
      </c>
      <c r="D4" s="27" t="s">
        <v>67</v>
      </c>
      <c r="E4" s="28" t="s">
        <v>68</v>
      </c>
      <c r="F4" s="29" t="s">
        <v>10</v>
      </c>
      <c r="G4" s="30" t="s">
        <v>69</v>
      </c>
      <c r="H4" s="31" t="s">
        <v>70</v>
      </c>
      <c r="I4" s="32" t="s">
        <v>65</v>
      </c>
      <c r="J4" s="33" t="s">
        <v>71</v>
      </c>
    </row>
    <row r="5" spans="1:15" ht="14.25" x14ac:dyDescent="0.35">
      <c r="A5" s="99" t="s">
        <v>72</v>
      </c>
      <c r="B5" s="100">
        <v>51645.283622449002</v>
      </c>
      <c r="C5" s="100">
        <v>55970.19</v>
      </c>
      <c r="D5" s="100">
        <f>B5-C5</f>
        <v>-4324.9063775510003</v>
      </c>
      <c r="E5" s="101">
        <f t="shared" ref="E5:E10" si="0">IFERROR(D5/C5, 0)</f>
        <v>-7.7271604358516557E-2</v>
      </c>
      <c r="F5" s="60">
        <v>0</v>
      </c>
      <c r="G5" s="60">
        <f>B5-F5</f>
        <v>51645.283622449002</v>
      </c>
      <c r="H5" s="102">
        <f t="shared" ref="H5:H10" si="1">IFERROR(G5/F5, 0)</f>
        <v>0</v>
      </c>
      <c r="I5" s="62"/>
      <c r="J5" s="62"/>
      <c r="O5" s="5"/>
    </row>
    <row r="6" spans="1:15" ht="14.25" x14ac:dyDescent="0.35">
      <c r="A6" s="103" t="s">
        <v>73</v>
      </c>
      <c r="B6" s="100"/>
      <c r="C6" s="100"/>
      <c r="D6" s="100">
        <f t="shared" ref="D6:D10" si="2">B6-C6</f>
        <v>0</v>
      </c>
      <c r="E6" s="104">
        <f t="shared" si="0"/>
        <v>0</v>
      </c>
      <c r="F6" s="105"/>
      <c r="G6" s="60">
        <f t="shared" ref="G6:G10" si="3">B6-F6</f>
        <v>0</v>
      </c>
      <c r="H6" s="102">
        <f t="shared" si="1"/>
        <v>0</v>
      </c>
      <c r="I6" s="62"/>
      <c r="J6" s="62"/>
    </row>
    <row r="7" spans="1:15" ht="14.25" x14ac:dyDescent="0.35">
      <c r="A7" s="103" t="s">
        <v>74</v>
      </c>
      <c r="B7" s="100"/>
      <c r="C7" s="100"/>
      <c r="D7" s="100">
        <f t="shared" si="2"/>
        <v>0</v>
      </c>
      <c r="E7" s="104">
        <f t="shared" si="0"/>
        <v>0</v>
      </c>
      <c r="F7" s="60"/>
      <c r="G7" s="60">
        <f t="shared" si="3"/>
        <v>0</v>
      </c>
      <c r="H7" s="102">
        <f t="shared" si="1"/>
        <v>0</v>
      </c>
      <c r="I7" s="62"/>
      <c r="J7" s="62"/>
    </row>
    <row r="8" spans="1:15" ht="14.25" x14ac:dyDescent="0.35">
      <c r="A8" s="103" t="s">
        <v>75</v>
      </c>
      <c r="B8" s="100"/>
      <c r="C8" s="100"/>
      <c r="D8" s="100">
        <f t="shared" si="2"/>
        <v>0</v>
      </c>
      <c r="E8" s="104">
        <f t="shared" si="0"/>
        <v>0</v>
      </c>
      <c r="F8" s="60"/>
      <c r="G8" s="60">
        <f t="shared" si="3"/>
        <v>0</v>
      </c>
      <c r="H8" s="102">
        <f t="shared" si="1"/>
        <v>0</v>
      </c>
      <c r="I8" s="62"/>
      <c r="J8" s="62"/>
    </row>
    <row r="9" spans="1:15" ht="14.25" x14ac:dyDescent="0.35">
      <c r="A9" s="103" t="s">
        <v>76</v>
      </c>
      <c r="B9" s="100"/>
      <c r="C9" s="100"/>
      <c r="D9" s="100">
        <f t="shared" si="2"/>
        <v>0</v>
      </c>
      <c r="E9" s="104">
        <f t="shared" si="0"/>
        <v>0</v>
      </c>
      <c r="F9" s="60"/>
      <c r="G9" s="60">
        <f t="shared" si="3"/>
        <v>0</v>
      </c>
      <c r="H9" s="102">
        <f t="shared" si="1"/>
        <v>0</v>
      </c>
      <c r="I9" s="61"/>
      <c r="J9" s="61"/>
    </row>
    <row r="10" spans="1:15" ht="14.25" x14ac:dyDescent="0.35">
      <c r="A10" s="103" t="s">
        <v>77</v>
      </c>
      <c r="B10" s="100"/>
      <c r="C10" s="100"/>
      <c r="D10" s="100">
        <f t="shared" si="2"/>
        <v>0</v>
      </c>
      <c r="E10" s="104">
        <f t="shared" si="0"/>
        <v>0</v>
      </c>
      <c r="F10" s="60"/>
      <c r="G10" s="60">
        <f t="shared" si="3"/>
        <v>0</v>
      </c>
      <c r="H10" s="102">
        <f t="shared" si="1"/>
        <v>0</v>
      </c>
      <c r="I10" s="61"/>
      <c r="J10" s="61"/>
    </row>
    <row r="11" spans="1:15" ht="14.25" x14ac:dyDescent="0.35">
      <c r="A11" s="103" t="s">
        <v>78</v>
      </c>
      <c r="B11" s="100"/>
      <c r="C11" s="100"/>
      <c r="D11" s="100">
        <f t="shared" ref="D11" si="4">B11-C11</f>
        <v>0</v>
      </c>
      <c r="E11" s="104">
        <f t="shared" ref="E11" si="5">IFERROR(D11/C11, 0)</f>
        <v>0</v>
      </c>
      <c r="F11" s="105"/>
      <c r="G11" s="60">
        <f t="shared" ref="G11" si="6">B11-F11</f>
        <v>0</v>
      </c>
      <c r="H11" s="102">
        <f t="shared" ref="H11" si="7">IFERROR(G11/F11, 0)</f>
        <v>0</v>
      </c>
      <c r="I11" s="62"/>
      <c r="J11" s="62"/>
    </row>
    <row r="12" spans="1:15" ht="14.25" x14ac:dyDescent="0.35">
      <c r="A12" s="103" t="s">
        <v>79</v>
      </c>
      <c r="B12" s="100"/>
      <c r="C12" s="100"/>
      <c r="D12" s="100">
        <f t="shared" ref="D12" si="8">B12-C12</f>
        <v>0</v>
      </c>
      <c r="E12" s="104">
        <f t="shared" ref="E12" si="9">IFERROR(D12/C12, 0)</f>
        <v>0</v>
      </c>
      <c r="F12" s="60"/>
      <c r="G12" s="60">
        <f t="shared" ref="G12" si="10">B12-F12</f>
        <v>0</v>
      </c>
      <c r="H12" s="102">
        <f t="shared" ref="H12" si="11">IFERROR(G12/F12, 0)</f>
        <v>0</v>
      </c>
      <c r="I12" s="62"/>
      <c r="J12" s="62"/>
    </row>
    <row r="13" spans="1:15" ht="14.25" x14ac:dyDescent="0.35">
      <c r="A13" s="103" t="s">
        <v>80</v>
      </c>
      <c r="B13" s="100"/>
      <c r="C13" s="100"/>
      <c r="D13" s="100">
        <f t="shared" ref="D13:D16" si="12">B13-C13</f>
        <v>0</v>
      </c>
      <c r="E13" s="104">
        <f t="shared" ref="E13:E16" si="13">IFERROR(D13/C13, 0)</f>
        <v>0</v>
      </c>
      <c r="F13" s="60"/>
      <c r="G13" s="60">
        <f t="shared" ref="G13:G16" si="14">B13-F13</f>
        <v>0</v>
      </c>
      <c r="H13" s="102">
        <f t="shared" ref="H13:H16" si="15">IFERROR(G13/F13, 0)</f>
        <v>0</v>
      </c>
      <c r="I13" s="62"/>
      <c r="J13" s="62"/>
    </row>
    <row r="14" spans="1:15" ht="14.25" x14ac:dyDescent="0.35">
      <c r="A14" s="103" t="s">
        <v>81</v>
      </c>
      <c r="B14" s="100"/>
      <c r="C14" s="100"/>
      <c r="D14" s="100">
        <f t="shared" si="12"/>
        <v>0</v>
      </c>
      <c r="E14" s="104">
        <f t="shared" si="13"/>
        <v>0</v>
      </c>
      <c r="F14" s="60"/>
      <c r="G14" s="60">
        <f t="shared" si="14"/>
        <v>0</v>
      </c>
      <c r="H14" s="102">
        <f t="shared" si="15"/>
        <v>0</v>
      </c>
      <c r="I14" s="61"/>
      <c r="J14" s="62"/>
    </row>
    <row r="15" spans="1:15" ht="14.25" x14ac:dyDescent="0.35">
      <c r="A15" s="103" t="s">
        <v>82</v>
      </c>
      <c r="B15" s="106"/>
      <c r="C15" s="106"/>
      <c r="D15" s="100">
        <f t="shared" si="12"/>
        <v>0</v>
      </c>
      <c r="E15" s="104">
        <f t="shared" si="13"/>
        <v>0</v>
      </c>
      <c r="F15" s="107"/>
      <c r="G15" s="60">
        <f t="shared" si="14"/>
        <v>0</v>
      </c>
      <c r="H15" s="102">
        <f t="shared" si="15"/>
        <v>0</v>
      </c>
      <c r="I15" s="62"/>
      <c r="J15" s="62"/>
    </row>
    <row r="16" spans="1:15" ht="14.25" x14ac:dyDescent="0.35">
      <c r="A16" s="108" t="s">
        <v>83</v>
      </c>
      <c r="B16" s="109"/>
      <c r="C16" s="109"/>
      <c r="D16" s="100">
        <f t="shared" si="12"/>
        <v>0</v>
      </c>
      <c r="E16" s="104">
        <f t="shared" si="13"/>
        <v>0</v>
      </c>
      <c r="F16" s="110"/>
      <c r="G16" s="60">
        <f t="shared" si="14"/>
        <v>0</v>
      </c>
      <c r="H16" s="102">
        <f t="shared" si="15"/>
        <v>0</v>
      </c>
      <c r="I16" s="115"/>
      <c r="J16" s="96"/>
    </row>
    <row r="17" spans="1:15" ht="14.25" x14ac:dyDescent="0.45">
      <c r="A17" s="22" t="s">
        <v>84</v>
      </c>
      <c r="B17" s="23">
        <f>SUM(B5:B16)</f>
        <v>51645.283622449002</v>
      </c>
      <c r="C17" s="23">
        <f t="shared" ref="C17:F17" si="16">SUM(C5:C16)</f>
        <v>55970.19</v>
      </c>
      <c r="D17" s="23">
        <f>B17-C17</f>
        <v>-4324.9063775510003</v>
      </c>
      <c r="E17" s="24">
        <f>IFERROR(D17/C17, 0)</f>
        <v>-7.7271604358516557E-2</v>
      </c>
      <c r="F17" s="23">
        <f t="shared" si="16"/>
        <v>0</v>
      </c>
      <c r="G17" s="23">
        <f>B17-F17</f>
        <v>51645.283622449002</v>
      </c>
      <c r="H17" s="25">
        <f>IFERROR(G17/F17, 0)</f>
        <v>0</v>
      </c>
      <c r="I17" s="26"/>
      <c r="J17" s="26"/>
    </row>
    <row r="18" spans="1:15" x14ac:dyDescent="0.35">
      <c r="F18" s="12"/>
    </row>
    <row r="20" spans="1:15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" priority="1" operator="lessThanOrEqual">
      <formula>-0.1</formula>
    </cfRule>
    <cfRule type="cellIs" dxfId="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workbookViewId="0">
      <selection sqref="A1:J1"/>
    </sheetView>
  </sheetViews>
  <sheetFormatPr defaultRowHeight="12.75" x14ac:dyDescent="0.35"/>
  <cols>
    <col min="1" max="1" width="8" bestFit="1" customWidth="1"/>
    <col min="2" max="2" width="7.86328125" style="2" bestFit="1" customWidth="1"/>
    <col min="3" max="3" width="10.3984375" bestFit="1" customWidth="1"/>
    <col min="4" max="4" width="15.1328125" bestFit="1" customWidth="1"/>
    <col min="5" max="5" width="12.1328125" bestFit="1" customWidth="1"/>
    <col min="6" max="6" width="11.86328125" bestFit="1" customWidth="1"/>
    <col min="7" max="7" width="16.59765625" bestFit="1" customWidth="1"/>
    <col min="8" max="8" width="13.86328125" bestFit="1" customWidth="1"/>
    <col min="9" max="9" width="33.86328125" customWidth="1"/>
    <col min="10" max="10" width="18.59765625" bestFit="1" customWidth="1"/>
  </cols>
  <sheetData>
    <row r="1" spans="1:15" ht="25.15" x14ac:dyDescent="0.7">
      <c r="A1" s="146" t="s">
        <v>61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5" ht="25.15" x14ac:dyDescent="0.7">
      <c r="A2" s="11"/>
      <c r="B2" s="11"/>
      <c r="C2" s="11"/>
      <c r="D2" s="11"/>
      <c r="E2" s="11"/>
    </row>
    <row r="3" spans="1:15" ht="15" x14ac:dyDescent="0.4">
      <c r="A3" s="138" t="s">
        <v>63</v>
      </c>
      <c r="B3" s="139"/>
      <c r="C3" s="139"/>
      <c r="D3" s="139"/>
      <c r="E3" s="140"/>
      <c r="F3" s="141" t="s">
        <v>64</v>
      </c>
      <c r="G3" s="142"/>
      <c r="H3" s="143"/>
      <c r="I3" s="144" t="s">
        <v>65</v>
      </c>
      <c r="J3" s="145"/>
    </row>
    <row r="4" spans="1:15" x14ac:dyDescent="0.35">
      <c r="A4" s="16" t="s">
        <v>66</v>
      </c>
      <c r="B4" s="27" t="s">
        <v>6</v>
      </c>
      <c r="C4" s="27" t="s">
        <v>7</v>
      </c>
      <c r="D4" s="27" t="s">
        <v>67</v>
      </c>
      <c r="E4" s="28" t="s">
        <v>68</v>
      </c>
      <c r="F4" s="29" t="s">
        <v>10</v>
      </c>
      <c r="G4" s="30" t="s">
        <v>69</v>
      </c>
      <c r="H4" s="31" t="s">
        <v>70</v>
      </c>
      <c r="I4" s="32" t="s">
        <v>65</v>
      </c>
      <c r="J4" s="33" t="s">
        <v>71</v>
      </c>
    </row>
    <row r="5" spans="1:15" ht="14.25" x14ac:dyDescent="0.45">
      <c r="A5" s="17" t="s">
        <v>72</v>
      </c>
      <c r="B5" s="71"/>
      <c r="C5" s="72"/>
      <c r="D5" s="54"/>
      <c r="E5" s="55"/>
      <c r="F5" s="73"/>
      <c r="G5" s="56"/>
      <c r="H5" s="57"/>
      <c r="I5" s="62"/>
      <c r="J5" s="62" t="s">
        <v>87</v>
      </c>
      <c r="O5" s="5"/>
    </row>
    <row r="6" spans="1:15" ht="14.25" x14ac:dyDescent="0.45">
      <c r="A6" s="19" t="s">
        <v>73</v>
      </c>
      <c r="B6" s="54"/>
      <c r="C6" s="54"/>
      <c r="D6" s="54"/>
      <c r="E6" s="58"/>
      <c r="F6" s="59"/>
      <c r="G6" s="56"/>
      <c r="H6" s="57"/>
      <c r="I6" s="62"/>
      <c r="J6" s="62" t="s">
        <v>87</v>
      </c>
    </row>
    <row r="7" spans="1:15" ht="14.25" x14ac:dyDescent="0.45">
      <c r="A7" s="19" t="s">
        <v>74</v>
      </c>
      <c r="B7" s="54"/>
      <c r="C7" s="54"/>
      <c r="D7" s="54"/>
      <c r="E7" s="58"/>
      <c r="F7" s="60"/>
      <c r="G7" s="56"/>
      <c r="H7" s="57"/>
      <c r="I7" s="62"/>
      <c r="J7" s="62"/>
    </row>
    <row r="8" spans="1:15" ht="14.25" x14ac:dyDescent="0.45">
      <c r="A8" s="19" t="s">
        <v>75</v>
      </c>
      <c r="B8" s="54"/>
      <c r="C8" s="54"/>
      <c r="D8" s="54"/>
      <c r="E8" s="58"/>
      <c r="F8" s="56"/>
      <c r="G8" s="56"/>
      <c r="H8" s="57"/>
      <c r="I8" s="62"/>
      <c r="J8" s="62"/>
    </row>
    <row r="9" spans="1:15" ht="14.25" x14ac:dyDescent="0.45">
      <c r="A9" s="19" t="s">
        <v>76</v>
      </c>
      <c r="B9" s="54"/>
      <c r="C9" s="54"/>
      <c r="D9" s="54"/>
      <c r="E9" s="58"/>
      <c r="F9" s="56"/>
      <c r="G9" s="56"/>
      <c r="H9" s="57"/>
      <c r="I9" s="61"/>
      <c r="J9" s="62"/>
    </row>
    <row r="10" spans="1:15" ht="14.25" x14ac:dyDescent="0.45">
      <c r="A10" s="19" t="s">
        <v>77</v>
      </c>
      <c r="B10" s="63"/>
      <c r="C10" s="63"/>
      <c r="D10" s="54"/>
      <c r="E10" s="58"/>
      <c r="F10" s="64"/>
      <c r="G10" s="56"/>
      <c r="H10" s="57"/>
      <c r="I10" s="62"/>
      <c r="J10" s="62" t="s">
        <v>87</v>
      </c>
    </row>
    <row r="11" spans="1:15" ht="14.25" x14ac:dyDescent="0.45">
      <c r="A11" s="19" t="s">
        <v>78</v>
      </c>
      <c r="B11" s="54"/>
      <c r="C11" s="54"/>
      <c r="D11" s="54"/>
      <c r="E11" s="58"/>
      <c r="F11" s="59"/>
      <c r="G11" s="56"/>
      <c r="H11" s="57"/>
      <c r="I11" s="62"/>
      <c r="J11" s="62" t="s">
        <v>87</v>
      </c>
    </row>
    <row r="12" spans="1:15" ht="14.25" x14ac:dyDescent="0.45">
      <c r="A12" s="19" t="s">
        <v>79</v>
      </c>
      <c r="B12" s="54"/>
      <c r="C12" s="54"/>
      <c r="D12" s="54"/>
      <c r="E12" s="58"/>
      <c r="F12" s="60"/>
      <c r="G12" s="56"/>
      <c r="H12" s="57"/>
      <c r="I12" s="62"/>
      <c r="J12" s="62"/>
    </row>
    <row r="13" spans="1:15" ht="14.25" x14ac:dyDescent="0.45">
      <c r="A13" s="19" t="s">
        <v>80</v>
      </c>
      <c r="B13" s="54"/>
      <c r="C13" s="54"/>
      <c r="D13" s="54"/>
      <c r="E13" s="58"/>
      <c r="F13" s="56"/>
      <c r="G13" s="56"/>
      <c r="H13" s="57"/>
      <c r="I13" s="62"/>
      <c r="J13" s="62"/>
    </row>
    <row r="14" spans="1:15" ht="14.25" x14ac:dyDescent="0.45">
      <c r="A14" s="19" t="s">
        <v>81</v>
      </c>
      <c r="B14" s="54"/>
      <c r="C14" s="54"/>
      <c r="D14" s="54"/>
      <c r="E14" s="58"/>
      <c r="F14" s="56"/>
      <c r="G14" s="56"/>
      <c r="H14" s="57"/>
      <c r="I14" s="61"/>
      <c r="J14" s="62"/>
    </row>
    <row r="15" spans="1:15" ht="14.25" x14ac:dyDescent="0.45">
      <c r="A15" s="19" t="s">
        <v>82</v>
      </c>
      <c r="B15" s="63"/>
      <c r="C15" s="63"/>
      <c r="D15" s="54"/>
      <c r="E15" s="58"/>
      <c r="F15" s="64"/>
      <c r="G15" s="56"/>
      <c r="H15" s="57"/>
      <c r="I15" s="62"/>
      <c r="J15" s="62" t="s">
        <v>87</v>
      </c>
    </row>
    <row r="16" spans="1:15" ht="14.25" x14ac:dyDescent="0.45">
      <c r="A16" s="21" t="s">
        <v>83</v>
      </c>
      <c r="B16" s="65"/>
      <c r="C16" s="65"/>
      <c r="D16" s="65"/>
      <c r="E16" s="66"/>
      <c r="F16" s="67"/>
      <c r="G16" s="68"/>
      <c r="H16" s="69"/>
      <c r="I16" s="96"/>
      <c r="J16" s="96" t="s">
        <v>87</v>
      </c>
    </row>
    <row r="17" spans="1:15" ht="14.25" x14ac:dyDescent="0.45">
      <c r="A17" s="22" t="s">
        <v>84</v>
      </c>
      <c r="B17" s="23">
        <f>SUM(B5:B16)</f>
        <v>0</v>
      </c>
      <c r="C17" s="23">
        <f t="shared" ref="C17:F17" si="0">SUM(C5:C16)</f>
        <v>0</v>
      </c>
      <c r="D17" s="23">
        <f>B17-C17</f>
        <v>0</v>
      </c>
      <c r="E17" s="24">
        <f>IFERROR(D17/C17, 0)</f>
        <v>0</v>
      </c>
      <c r="F17" s="23">
        <f t="shared" si="0"/>
        <v>0</v>
      </c>
      <c r="G17" s="23">
        <f>B17-F17</f>
        <v>0</v>
      </c>
      <c r="H17" s="25">
        <f>IFERROR(G17/F17, 0)</f>
        <v>0</v>
      </c>
      <c r="I17" s="26"/>
      <c r="J17" s="26"/>
    </row>
    <row r="18" spans="1:15" x14ac:dyDescent="0.35">
      <c r="F18" s="12"/>
    </row>
    <row r="20" spans="1:15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E57BC-5952-4CD3-A676-78F5C3561C37}"/>
</file>

<file path=customXml/itemProps2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9</vt:i4>
      </vt:variant>
    </vt:vector>
  </HeadingPairs>
  <TitlesOfParts>
    <vt:vector size="32" baseType="lpstr">
      <vt:lpstr>YTD Total 2024</vt:lpstr>
      <vt:lpstr>1st Quarter 2024</vt:lpstr>
      <vt:lpstr>2nd Quarter 2024</vt:lpstr>
      <vt:lpstr>3rd Quarter 2024</vt:lpstr>
      <vt:lpstr>4th Quarter 2024</vt:lpstr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  <vt:lpstr>Sites</vt:lpstr>
      <vt:lpstr>Conway -US 302 and Stirch Road</vt:lpstr>
      <vt:lpstr>Loudon - 7046 Pleasant Street</vt:lpstr>
      <vt:lpstr>Nashua - Pennichuck Water  East</vt:lpstr>
      <vt:lpstr>Nashua - Pennichuck Water West</vt:lpstr>
      <vt:lpstr>Monmouth Junction - Pro Skate</vt:lpstr>
      <vt:lpstr>JanActual</vt:lpstr>
      <vt:lpstr>JanExpected</vt:lpstr>
      <vt:lpstr>JanExpectedDelta</vt:lpstr>
      <vt:lpstr>JanExpectedPercent</vt:lpstr>
      <vt:lpstr>JanExpPercent</vt:lpstr>
      <vt:lpstr>JanForecasted</vt:lpstr>
      <vt:lpstr>JanForecastedDelta</vt:lpstr>
      <vt:lpstr>JanForecastedPercent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2024-02-10T22:22:36Z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