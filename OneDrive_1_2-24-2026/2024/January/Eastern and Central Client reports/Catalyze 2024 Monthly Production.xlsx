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77" documentId="13_ncr:1_{1079FA88-843D-4F97-9735-D11FC8C05EA3}" xr6:coauthVersionLast="47" xr6:coauthVersionMax="47" xr10:uidLastSave="{F6B0C8C2-9640-4C6D-9051-6E222C20C114}"/>
  <bookViews>
    <workbookView xWindow="-28920" yWindow="7725" windowWidth="29040" windowHeight="15720" tabRatio="866" firstSheet="5" activeTab="5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Fresno - 3150 Shaw Ave" sheetId="5" r:id="rId19"/>
    <sheet name="Adelanto - 1 Sheep Creek Road" sheetId="80" r:id="rId20"/>
    <sheet name="Blackstone - 83 Federal Street" sheetId="69" r:id="rId21"/>
    <sheet name="Charlton - 299 Worcester Road" sheetId="79" r:id="rId22"/>
    <sheet name="Wareham - 8 Thatcher Drive" sheetId="78" r:id="rId23"/>
    <sheet name="West Yarmouth - 42 Mid Tech" sheetId="77" r:id="rId24"/>
    <sheet name="Harrison - 130 Union Street" sheetId="76" r:id="rId25"/>
    <sheet name="Staten Island - Ellis Storage" sheetId="75" r:id="rId26"/>
    <sheet name="Amherst - 595 Scholles Road" sheetId="81" r:id="rId27"/>
    <sheet name="Lancaster 1 - Gunnville Road" sheetId="82" r:id="rId28"/>
    <sheet name="Lancaster 2 - Shisler Road" sheetId="83" r:id="rId29"/>
    <sheet name="Fullerton - 200 W Orangethorpe" sheetId="84" r:id="rId30"/>
    <sheet name="El Paso - 10500 Railroad Drive" sheetId="74" r:id="rId31"/>
    <sheet name="Friona - 900 Millard Ave" sheetId="73" r:id="rId32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Jan!$C$3:$C$16</definedName>
    <definedName name="JanActual2">Jan!#REF!</definedName>
    <definedName name="JanExpected">Jan!$D$3:$D$16</definedName>
    <definedName name="JanExpectedDelta">Jan!$E$3:$E$16</definedName>
    <definedName name="JanExpectedPercent">Jan!$F$3:$F$16</definedName>
    <definedName name="JanExpPercent">Jan!$F$3:$F$16</definedName>
    <definedName name="JanForecasted">Jan!$G$3:$G$16</definedName>
    <definedName name="JanForecastedDelta">Jan!$H$3:$H$16</definedName>
    <definedName name="JanForecastedPercent">Jan!$I$3:$I$16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84" l="1"/>
  <c r="D5" i="84"/>
  <c r="G5" i="84"/>
  <c r="H5" i="84" s="1"/>
  <c r="D6" i="84"/>
  <c r="E6" i="84" s="1"/>
  <c r="G6" i="84"/>
  <c r="H6" i="84" s="1"/>
  <c r="D7" i="84"/>
  <c r="E7" i="84" s="1"/>
  <c r="G7" i="84"/>
  <c r="H7" i="84"/>
  <c r="D8" i="84"/>
  <c r="E8" i="84" s="1"/>
  <c r="G8" i="84"/>
  <c r="H8" i="84" s="1"/>
  <c r="D9" i="84"/>
  <c r="E9" i="84" s="1"/>
  <c r="G9" i="84"/>
  <c r="H9" i="84"/>
  <c r="D10" i="84"/>
  <c r="E10" i="84" s="1"/>
  <c r="G10" i="84"/>
  <c r="H10" i="84" s="1"/>
  <c r="D11" i="84"/>
  <c r="E11" i="84" s="1"/>
  <c r="G11" i="84"/>
  <c r="H11" i="84"/>
  <c r="D12" i="84"/>
  <c r="E12" i="84" s="1"/>
  <c r="G12" i="84"/>
  <c r="H12" i="84" s="1"/>
  <c r="D13" i="84"/>
  <c r="E13" i="84" s="1"/>
  <c r="H13" i="84"/>
  <c r="D14" i="84"/>
  <c r="E14" i="84" s="1"/>
  <c r="G14" i="84"/>
  <c r="H14" i="84" s="1"/>
  <c r="D15" i="84"/>
  <c r="E15" i="84" s="1"/>
  <c r="G15" i="84"/>
  <c r="H15" i="84" s="1"/>
  <c r="D16" i="84"/>
  <c r="E16" i="84" s="1"/>
  <c r="G16" i="84"/>
  <c r="H16" i="84" s="1"/>
  <c r="B17" i="84"/>
  <c r="C17" i="84"/>
  <c r="F17" i="84"/>
  <c r="G13" i="81"/>
  <c r="C17" i="81"/>
  <c r="B3" i="33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F17" i="83"/>
  <c r="C17" i="83"/>
  <c r="B17" i="83"/>
  <c r="G16" i="83"/>
  <c r="H16" i="83" s="1"/>
  <c r="D16" i="83"/>
  <c r="E16" i="83" s="1"/>
  <c r="G15" i="83"/>
  <c r="H15" i="83" s="1"/>
  <c r="D15" i="83"/>
  <c r="E15" i="83" s="1"/>
  <c r="G14" i="83"/>
  <c r="H14" i="83" s="1"/>
  <c r="D14" i="83"/>
  <c r="E14" i="83" s="1"/>
  <c r="G13" i="83"/>
  <c r="H13" i="83" s="1"/>
  <c r="D13" i="83"/>
  <c r="E13" i="83" s="1"/>
  <c r="G12" i="83"/>
  <c r="H12" i="83" s="1"/>
  <c r="D12" i="83"/>
  <c r="E12" i="83" s="1"/>
  <c r="G11" i="83"/>
  <c r="H11" i="83" s="1"/>
  <c r="D11" i="83"/>
  <c r="E11" i="83" s="1"/>
  <c r="G10" i="83"/>
  <c r="H10" i="83" s="1"/>
  <c r="D10" i="83"/>
  <c r="E10" i="83" s="1"/>
  <c r="G9" i="83"/>
  <c r="H9" i="83" s="1"/>
  <c r="D9" i="83"/>
  <c r="E9" i="83" s="1"/>
  <c r="G8" i="83"/>
  <c r="H8" i="83" s="1"/>
  <c r="D8" i="83"/>
  <c r="E8" i="83" s="1"/>
  <c r="G7" i="83"/>
  <c r="H7" i="83" s="1"/>
  <c r="D7" i="83"/>
  <c r="E7" i="83" s="1"/>
  <c r="G6" i="83"/>
  <c r="H6" i="83" s="1"/>
  <c r="D6" i="83"/>
  <c r="E6" i="83" s="1"/>
  <c r="G5" i="83"/>
  <c r="H5" i="83" s="1"/>
  <c r="D5" i="83"/>
  <c r="E5" i="83" s="1"/>
  <c r="F17" i="82"/>
  <c r="C17" i="82"/>
  <c r="B17" i="82"/>
  <c r="G16" i="82"/>
  <c r="H16" i="82" s="1"/>
  <c r="D16" i="82"/>
  <c r="E16" i="82" s="1"/>
  <c r="G15" i="82"/>
  <c r="H15" i="82" s="1"/>
  <c r="D15" i="82"/>
  <c r="E15" i="82" s="1"/>
  <c r="G14" i="82"/>
  <c r="H14" i="82" s="1"/>
  <c r="D14" i="82"/>
  <c r="E14" i="82" s="1"/>
  <c r="G13" i="82"/>
  <c r="H13" i="82" s="1"/>
  <c r="D13" i="82"/>
  <c r="E13" i="82" s="1"/>
  <c r="G12" i="82"/>
  <c r="H12" i="82" s="1"/>
  <c r="D12" i="82"/>
  <c r="E12" i="82" s="1"/>
  <c r="G11" i="82"/>
  <c r="H11" i="82" s="1"/>
  <c r="D11" i="82"/>
  <c r="E11" i="82" s="1"/>
  <c r="G10" i="82"/>
  <c r="H10" i="82" s="1"/>
  <c r="D10" i="82"/>
  <c r="E10" i="82" s="1"/>
  <c r="G9" i="82"/>
  <c r="H9" i="82" s="1"/>
  <c r="D9" i="82"/>
  <c r="E9" i="82" s="1"/>
  <c r="G8" i="82"/>
  <c r="H8" i="82" s="1"/>
  <c r="D8" i="82"/>
  <c r="E8" i="82" s="1"/>
  <c r="G7" i="82"/>
  <c r="H7" i="82" s="1"/>
  <c r="D7" i="82"/>
  <c r="E7" i="82" s="1"/>
  <c r="G6" i="82"/>
  <c r="H6" i="82" s="1"/>
  <c r="D6" i="82"/>
  <c r="E6" i="82" s="1"/>
  <c r="G5" i="82"/>
  <c r="H5" i="82" s="1"/>
  <c r="D5" i="82"/>
  <c r="E5" i="82" s="1"/>
  <c r="F17" i="81"/>
  <c r="B17" i="81"/>
  <c r="G16" i="81"/>
  <c r="H16" i="81" s="1"/>
  <c r="D16" i="81"/>
  <c r="E16" i="81" s="1"/>
  <c r="G15" i="81"/>
  <c r="H15" i="81" s="1"/>
  <c r="D15" i="81"/>
  <c r="E15" i="81" s="1"/>
  <c r="G14" i="81"/>
  <c r="H14" i="81" s="1"/>
  <c r="D14" i="81"/>
  <c r="E14" i="81" s="1"/>
  <c r="H13" i="81"/>
  <c r="D13" i="81"/>
  <c r="E13" i="81" s="1"/>
  <c r="G12" i="81"/>
  <c r="H12" i="81" s="1"/>
  <c r="D12" i="81"/>
  <c r="E12" i="81" s="1"/>
  <c r="G11" i="81"/>
  <c r="H11" i="81" s="1"/>
  <c r="D11" i="81"/>
  <c r="E11" i="81" s="1"/>
  <c r="G10" i="81"/>
  <c r="H10" i="81" s="1"/>
  <c r="D10" i="81"/>
  <c r="E10" i="81" s="1"/>
  <c r="G9" i="81"/>
  <c r="H9" i="81" s="1"/>
  <c r="D9" i="81"/>
  <c r="E9" i="81" s="1"/>
  <c r="G8" i="81"/>
  <c r="H8" i="81" s="1"/>
  <c r="G7" i="81"/>
  <c r="H7" i="81" s="1"/>
  <c r="D7" i="81"/>
  <c r="E7" i="81" s="1"/>
  <c r="G6" i="81"/>
  <c r="H6" i="81" s="1"/>
  <c r="D6" i="81"/>
  <c r="E6" i="81" s="1"/>
  <c r="G5" i="81"/>
  <c r="H5" i="81" s="1"/>
  <c r="D5" i="81"/>
  <c r="G16" i="80"/>
  <c r="H16" i="80" s="1"/>
  <c r="D16" i="80"/>
  <c r="E16" i="80" s="1"/>
  <c r="G15" i="80"/>
  <c r="H15" i="80" s="1"/>
  <c r="D15" i="80"/>
  <c r="E15" i="80" s="1"/>
  <c r="G14" i="80"/>
  <c r="H14" i="80" s="1"/>
  <c r="D14" i="80"/>
  <c r="E14" i="80" s="1"/>
  <c r="G13" i="80"/>
  <c r="H13" i="80" s="1"/>
  <c r="D13" i="80"/>
  <c r="E13" i="80" s="1"/>
  <c r="G12" i="80"/>
  <c r="H12" i="80" s="1"/>
  <c r="D12" i="80"/>
  <c r="E12" i="80" s="1"/>
  <c r="G11" i="80"/>
  <c r="H11" i="80" s="1"/>
  <c r="D11" i="80"/>
  <c r="E11" i="80" s="1"/>
  <c r="G10" i="80"/>
  <c r="H10" i="80" s="1"/>
  <c r="D10" i="80"/>
  <c r="E10" i="80" s="1"/>
  <c r="G9" i="80"/>
  <c r="H9" i="80" s="1"/>
  <c r="D9" i="80"/>
  <c r="E9" i="80" s="1"/>
  <c r="G8" i="80"/>
  <c r="H8" i="80" s="1"/>
  <c r="D8" i="80"/>
  <c r="E8" i="80" s="1"/>
  <c r="G7" i="80"/>
  <c r="H7" i="80" s="1"/>
  <c r="D7" i="80"/>
  <c r="E7" i="80" s="1"/>
  <c r="G6" i="80"/>
  <c r="H6" i="80" s="1"/>
  <c r="D6" i="80"/>
  <c r="E6" i="80" s="1"/>
  <c r="G5" i="80"/>
  <c r="H5" i="80" s="1"/>
  <c r="D5" i="80"/>
  <c r="F17" i="80"/>
  <c r="C17" i="80"/>
  <c r="B17" i="80"/>
  <c r="A3" i="3" a="1"/>
  <c r="A3" i="3" s="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A1" i="33" a="1"/>
  <c r="A1" i="33" s="1"/>
  <c r="A1" i="32" a="1"/>
  <c r="A1" i="32" s="1"/>
  <c r="A1" i="31" a="1"/>
  <c r="A1" i="31" s="1"/>
  <c r="A1" i="28" a="1"/>
  <c r="A1" i="28" s="1"/>
  <c r="A1" i="27" a="1"/>
  <c r="A1" i="27" s="1"/>
  <c r="A1" i="26" a="1"/>
  <c r="A1" i="26" s="1"/>
  <c r="A1" i="19" a="1"/>
  <c r="A1" i="19" s="1"/>
  <c r="A1" i="20" a="1"/>
  <c r="A1" i="20" s="1"/>
  <c r="A1" i="21" a="1"/>
  <c r="A1" i="21" s="1"/>
  <c r="A1" i="4" a="1"/>
  <c r="A1" i="4" s="1"/>
  <c r="B3" i="3" a="1"/>
  <c r="B3" i="3" s="1"/>
  <c r="A1" i="3" a="1"/>
  <c r="A1" i="3" s="1"/>
  <c r="A1" i="2" a="1"/>
  <c r="A1" i="2" s="1"/>
  <c r="F17" i="79"/>
  <c r="C17" i="79"/>
  <c r="B17" i="79"/>
  <c r="G16" i="79"/>
  <c r="H16" i="79" s="1"/>
  <c r="D16" i="79"/>
  <c r="E16" i="79" s="1"/>
  <c r="G15" i="79"/>
  <c r="H15" i="79" s="1"/>
  <c r="D15" i="79"/>
  <c r="E15" i="79" s="1"/>
  <c r="G14" i="79"/>
  <c r="H14" i="79" s="1"/>
  <c r="D14" i="79"/>
  <c r="E14" i="79" s="1"/>
  <c r="G13" i="79"/>
  <c r="H13" i="79" s="1"/>
  <c r="D13" i="79"/>
  <c r="E13" i="79" s="1"/>
  <c r="G12" i="79"/>
  <c r="H12" i="79" s="1"/>
  <c r="D12" i="79"/>
  <c r="E12" i="79" s="1"/>
  <c r="G11" i="79"/>
  <c r="H11" i="79" s="1"/>
  <c r="D11" i="79"/>
  <c r="E11" i="79" s="1"/>
  <c r="G10" i="79"/>
  <c r="H10" i="79" s="1"/>
  <c r="D10" i="79"/>
  <c r="E10" i="79" s="1"/>
  <c r="G9" i="79"/>
  <c r="H9" i="79" s="1"/>
  <c r="D9" i="79"/>
  <c r="E9" i="79" s="1"/>
  <c r="G8" i="79"/>
  <c r="H8" i="79" s="1"/>
  <c r="D8" i="79"/>
  <c r="E8" i="79" s="1"/>
  <c r="G7" i="79"/>
  <c r="H7" i="79" s="1"/>
  <c r="D7" i="79"/>
  <c r="E7" i="79" s="1"/>
  <c r="G6" i="79"/>
  <c r="H6" i="79" s="1"/>
  <c r="D6" i="79"/>
  <c r="E6" i="79" s="1"/>
  <c r="G5" i="79"/>
  <c r="H5" i="79" s="1"/>
  <c r="D5" i="79"/>
  <c r="E5" i="79" s="1"/>
  <c r="F17" i="78"/>
  <c r="C17" i="78"/>
  <c r="B17" i="78"/>
  <c r="G16" i="78"/>
  <c r="H16" i="78" s="1"/>
  <c r="D16" i="78"/>
  <c r="E16" i="78" s="1"/>
  <c r="G15" i="78"/>
  <c r="H15" i="78" s="1"/>
  <c r="D15" i="78"/>
  <c r="E15" i="78" s="1"/>
  <c r="G14" i="78"/>
  <c r="H14" i="78" s="1"/>
  <c r="D14" i="78"/>
  <c r="E14" i="78" s="1"/>
  <c r="G13" i="78"/>
  <c r="H13" i="78" s="1"/>
  <c r="D13" i="78"/>
  <c r="E13" i="78" s="1"/>
  <c r="G12" i="78"/>
  <c r="H12" i="78" s="1"/>
  <c r="D12" i="78"/>
  <c r="E12" i="78" s="1"/>
  <c r="G11" i="78"/>
  <c r="H11" i="78" s="1"/>
  <c r="D11" i="78"/>
  <c r="E11" i="78" s="1"/>
  <c r="G10" i="78"/>
  <c r="H10" i="78" s="1"/>
  <c r="D10" i="78"/>
  <c r="E10" i="78" s="1"/>
  <c r="G9" i="78"/>
  <c r="H9" i="78" s="1"/>
  <c r="D9" i="78"/>
  <c r="E9" i="78" s="1"/>
  <c r="G8" i="78"/>
  <c r="H8" i="78" s="1"/>
  <c r="D8" i="78"/>
  <c r="E8" i="78" s="1"/>
  <c r="G7" i="78"/>
  <c r="H7" i="78" s="1"/>
  <c r="D7" i="78"/>
  <c r="E7" i="78" s="1"/>
  <c r="G6" i="78"/>
  <c r="H6" i="78" s="1"/>
  <c r="D6" i="78"/>
  <c r="E6" i="78" s="1"/>
  <c r="G5" i="78"/>
  <c r="H5" i="78" s="1"/>
  <c r="D5" i="78"/>
  <c r="E5" i="78" s="1"/>
  <c r="F17" i="77"/>
  <c r="C17" i="77"/>
  <c r="B17" i="77"/>
  <c r="G16" i="77"/>
  <c r="H16" i="77" s="1"/>
  <c r="D16" i="77"/>
  <c r="E16" i="77" s="1"/>
  <c r="G15" i="77"/>
  <c r="H15" i="77" s="1"/>
  <c r="D15" i="77"/>
  <c r="E15" i="77" s="1"/>
  <c r="G14" i="77"/>
  <c r="H14" i="77" s="1"/>
  <c r="D14" i="77"/>
  <c r="E14" i="77" s="1"/>
  <c r="G13" i="77"/>
  <c r="H13" i="77" s="1"/>
  <c r="D13" i="77"/>
  <c r="E13" i="77" s="1"/>
  <c r="G12" i="77"/>
  <c r="H12" i="77" s="1"/>
  <c r="D12" i="77"/>
  <c r="E12" i="77" s="1"/>
  <c r="G11" i="77"/>
  <c r="H11" i="77" s="1"/>
  <c r="D11" i="77"/>
  <c r="E11" i="77" s="1"/>
  <c r="G10" i="77"/>
  <c r="H10" i="77" s="1"/>
  <c r="D10" i="77"/>
  <c r="E10" i="77" s="1"/>
  <c r="G9" i="77"/>
  <c r="H9" i="77" s="1"/>
  <c r="D9" i="77"/>
  <c r="E9" i="77" s="1"/>
  <c r="G8" i="77"/>
  <c r="H8" i="77" s="1"/>
  <c r="D8" i="77"/>
  <c r="E8" i="77" s="1"/>
  <c r="G7" i="77"/>
  <c r="H7" i="77" s="1"/>
  <c r="D7" i="77"/>
  <c r="E7" i="77" s="1"/>
  <c r="G6" i="77"/>
  <c r="H6" i="77" s="1"/>
  <c r="D6" i="77"/>
  <c r="E6" i="77" s="1"/>
  <c r="G5" i="77"/>
  <c r="H5" i="77" s="1"/>
  <c r="D5" i="77"/>
  <c r="E5" i="77" s="1"/>
  <c r="F17" i="76"/>
  <c r="C17" i="76"/>
  <c r="B17" i="76"/>
  <c r="G16" i="76"/>
  <c r="H16" i="76" s="1"/>
  <c r="D16" i="76"/>
  <c r="E16" i="76" s="1"/>
  <c r="G15" i="76"/>
  <c r="H15" i="76" s="1"/>
  <c r="D15" i="76"/>
  <c r="E15" i="76" s="1"/>
  <c r="G14" i="76"/>
  <c r="H14" i="76" s="1"/>
  <c r="D14" i="76"/>
  <c r="E14" i="76" s="1"/>
  <c r="G13" i="76"/>
  <c r="H13" i="76" s="1"/>
  <c r="D13" i="76"/>
  <c r="E13" i="76" s="1"/>
  <c r="G12" i="76"/>
  <c r="H12" i="76" s="1"/>
  <c r="D12" i="76"/>
  <c r="E12" i="76" s="1"/>
  <c r="G11" i="76"/>
  <c r="H11" i="76" s="1"/>
  <c r="D11" i="76"/>
  <c r="E11" i="76" s="1"/>
  <c r="G10" i="76"/>
  <c r="H10" i="76" s="1"/>
  <c r="D10" i="76"/>
  <c r="E10" i="76" s="1"/>
  <c r="G9" i="76"/>
  <c r="H9" i="76" s="1"/>
  <c r="D9" i="76"/>
  <c r="E9" i="76" s="1"/>
  <c r="G8" i="76"/>
  <c r="H8" i="76" s="1"/>
  <c r="D8" i="76"/>
  <c r="E8" i="76" s="1"/>
  <c r="G7" i="76"/>
  <c r="H7" i="76" s="1"/>
  <c r="D7" i="76"/>
  <c r="E7" i="76" s="1"/>
  <c r="G6" i="76"/>
  <c r="H6" i="76" s="1"/>
  <c r="D6" i="76"/>
  <c r="E6" i="76" s="1"/>
  <c r="G5" i="76"/>
  <c r="H5" i="76" s="1"/>
  <c r="D5" i="76"/>
  <c r="E5" i="76" s="1"/>
  <c r="F17" i="75"/>
  <c r="C17" i="75"/>
  <c r="B17" i="75"/>
  <c r="G16" i="75"/>
  <c r="H16" i="75" s="1"/>
  <c r="D16" i="75"/>
  <c r="E16" i="75" s="1"/>
  <c r="G15" i="75"/>
  <c r="H15" i="75" s="1"/>
  <c r="D15" i="75"/>
  <c r="E15" i="75" s="1"/>
  <c r="G14" i="75"/>
  <c r="H14" i="75" s="1"/>
  <c r="D14" i="75"/>
  <c r="E14" i="75" s="1"/>
  <c r="G13" i="75"/>
  <c r="H13" i="75" s="1"/>
  <c r="D13" i="75"/>
  <c r="E13" i="75" s="1"/>
  <c r="G12" i="75"/>
  <c r="H12" i="75" s="1"/>
  <c r="D12" i="75"/>
  <c r="E12" i="75" s="1"/>
  <c r="G11" i="75"/>
  <c r="H11" i="75" s="1"/>
  <c r="D11" i="75"/>
  <c r="E11" i="75" s="1"/>
  <c r="G10" i="75"/>
  <c r="H10" i="75" s="1"/>
  <c r="D10" i="75"/>
  <c r="E10" i="75" s="1"/>
  <c r="G9" i="75"/>
  <c r="H9" i="75" s="1"/>
  <c r="D9" i="75"/>
  <c r="E9" i="75" s="1"/>
  <c r="G8" i="75"/>
  <c r="H8" i="75" s="1"/>
  <c r="D8" i="75"/>
  <c r="E8" i="75" s="1"/>
  <c r="G7" i="75"/>
  <c r="H7" i="75" s="1"/>
  <c r="D7" i="75"/>
  <c r="E7" i="75" s="1"/>
  <c r="G6" i="75"/>
  <c r="H6" i="75" s="1"/>
  <c r="D6" i="75"/>
  <c r="E6" i="75" s="1"/>
  <c r="G5" i="75"/>
  <c r="H5" i="75" s="1"/>
  <c r="D5" i="75"/>
  <c r="E5" i="75" s="1"/>
  <c r="F17" i="74"/>
  <c r="C17" i="74"/>
  <c r="B17" i="74"/>
  <c r="G16" i="74"/>
  <c r="H16" i="74" s="1"/>
  <c r="D16" i="74"/>
  <c r="E16" i="74" s="1"/>
  <c r="G15" i="74"/>
  <c r="H15" i="74" s="1"/>
  <c r="D15" i="74"/>
  <c r="E15" i="74" s="1"/>
  <c r="G14" i="74"/>
  <c r="H14" i="74" s="1"/>
  <c r="D14" i="74"/>
  <c r="E14" i="74" s="1"/>
  <c r="G13" i="74"/>
  <c r="H13" i="74" s="1"/>
  <c r="D13" i="74"/>
  <c r="E13" i="74" s="1"/>
  <c r="G12" i="74"/>
  <c r="H12" i="74" s="1"/>
  <c r="D12" i="74"/>
  <c r="E12" i="74" s="1"/>
  <c r="G11" i="74"/>
  <c r="H11" i="74" s="1"/>
  <c r="D11" i="74"/>
  <c r="E11" i="74" s="1"/>
  <c r="G10" i="74"/>
  <c r="H10" i="74" s="1"/>
  <c r="D10" i="74"/>
  <c r="E10" i="74" s="1"/>
  <c r="G9" i="74"/>
  <c r="H9" i="74" s="1"/>
  <c r="D9" i="74"/>
  <c r="E9" i="74" s="1"/>
  <c r="G8" i="74"/>
  <c r="H8" i="74" s="1"/>
  <c r="D8" i="74"/>
  <c r="E8" i="74" s="1"/>
  <c r="G7" i="74"/>
  <c r="H7" i="74" s="1"/>
  <c r="D7" i="74"/>
  <c r="E7" i="74" s="1"/>
  <c r="G6" i="74"/>
  <c r="H6" i="74" s="1"/>
  <c r="D6" i="74"/>
  <c r="E6" i="74" s="1"/>
  <c r="G5" i="74"/>
  <c r="H5" i="74" s="1"/>
  <c r="D5" i="74"/>
  <c r="E5" i="74" s="1"/>
  <c r="F17" i="73"/>
  <c r="C17" i="73"/>
  <c r="B17" i="73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E8" i="73" s="1"/>
  <c r="G7" i="73"/>
  <c r="H7" i="73" s="1"/>
  <c r="D7" i="73"/>
  <c r="E7" i="73" s="1"/>
  <c r="G6" i="73"/>
  <c r="H6" i="73" s="1"/>
  <c r="D6" i="73"/>
  <c r="E6" i="73" s="1"/>
  <c r="G5" i="73"/>
  <c r="H5" i="73" s="1"/>
  <c r="D5" i="73"/>
  <c r="E5" i="73" s="1"/>
  <c r="F17" i="69"/>
  <c r="C17" i="69"/>
  <c r="B17" i="69"/>
  <c r="G16" i="69"/>
  <c r="H16" i="69" s="1"/>
  <c r="D16" i="69"/>
  <c r="E16" i="69" s="1"/>
  <c r="G15" i="69"/>
  <c r="H15" i="69" s="1"/>
  <c r="D15" i="69"/>
  <c r="E15" i="69" s="1"/>
  <c r="G14" i="69"/>
  <c r="H14" i="69" s="1"/>
  <c r="D14" i="69"/>
  <c r="E14" i="69" s="1"/>
  <c r="G13" i="69"/>
  <c r="H13" i="69" s="1"/>
  <c r="D13" i="69"/>
  <c r="E13" i="69" s="1"/>
  <c r="G12" i="69"/>
  <c r="H12" i="69" s="1"/>
  <c r="D12" i="69"/>
  <c r="E12" i="69" s="1"/>
  <c r="G11" i="69"/>
  <c r="H11" i="69" s="1"/>
  <c r="D11" i="69"/>
  <c r="E11" i="69" s="1"/>
  <c r="G10" i="69"/>
  <c r="H10" i="69" s="1"/>
  <c r="D10" i="69"/>
  <c r="E10" i="69" s="1"/>
  <c r="G9" i="69"/>
  <c r="H9" i="69" s="1"/>
  <c r="D9" i="69"/>
  <c r="E9" i="69" s="1"/>
  <c r="G8" i="69"/>
  <c r="H8" i="69" s="1"/>
  <c r="D8" i="69"/>
  <c r="E8" i="69" s="1"/>
  <c r="G7" i="69"/>
  <c r="H7" i="69" s="1"/>
  <c r="D7" i="69"/>
  <c r="E7" i="69" s="1"/>
  <c r="G6" i="69"/>
  <c r="H6" i="69" s="1"/>
  <c r="D6" i="69"/>
  <c r="E6" i="69" s="1"/>
  <c r="G5" i="69"/>
  <c r="H5" i="69" s="1"/>
  <c r="D5" i="69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A3" i="2" a="1"/>
  <c r="C6" i="2" a="1"/>
  <c r="C12" i="2" a="1"/>
  <c r="C7" i="2" a="1"/>
  <c r="C13" i="2" a="1"/>
  <c r="C8" i="2" a="1"/>
  <c r="C9" i="2" a="1"/>
  <c r="C15" i="2" a="1"/>
  <c r="C10" i="2" a="1"/>
  <c r="C16" i="2" a="1"/>
  <c r="C7" i="26" a="1"/>
  <c r="C10" i="32" a="1"/>
  <c r="C10" i="3" a="1"/>
  <c r="C8" i="3" a="1"/>
  <c r="C15" i="32" a="1"/>
  <c r="C10" i="28" a="1"/>
  <c r="C7" i="33" a="1"/>
  <c r="C9" i="28" a="1"/>
  <c r="C8" i="27" a="1"/>
  <c r="C8" i="19" a="1"/>
  <c r="C14" i="32" a="1"/>
  <c r="C6" i="4" a="1"/>
  <c r="C13" i="3" a="1"/>
  <c r="C11" i="26" a="1"/>
  <c r="C14" i="27" a="1"/>
  <c r="C13" i="33" a="1"/>
  <c r="C10" i="33" a="1"/>
  <c r="C15" i="26" a="1"/>
  <c r="C12" i="21" a="1"/>
  <c r="C4" i="33" a="1"/>
  <c r="C11" i="3" a="1"/>
  <c r="C13" i="20" a="1"/>
  <c r="C7" i="4" a="1"/>
  <c r="C9" i="4" a="1"/>
  <c r="C8" i="20" a="1"/>
  <c r="C14" i="31" a="1"/>
  <c r="C15" i="31" a="1"/>
  <c r="C10" i="31" a="1"/>
  <c r="C4" i="20" a="1"/>
  <c r="C6" i="20" a="1"/>
  <c r="C14" i="33" a="1"/>
  <c r="C5" i="26" a="1"/>
  <c r="C8" i="32" a="1"/>
  <c r="C15" i="4" a="1"/>
  <c r="C5" i="31" a="1"/>
  <c r="C6" i="21" a="1"/>
  <c r="C16" i="4" a="1"/>
  <c r="C5" i="28" a="1"/>
  <c r="C4" i="21" a="1"/>
  <c r="C13" i="31" a="1"/>
  <c r="C15" i="27" a="1"/>
  <c r="C16" i="32" a="1"/>
  <c r="C9" i="33" a="1"/>
  <c r="C13" i="19" a="1"/>
  <c r="C11" i="19" a="1"/>
  <c r="C7" i="31" a="1"/>
  <c r="C5" i="21" a="1"/>
  <c r="C5" i="4" a="1"/>
  <c r="C11" i="33" a="1"/>
  <c r="C13" i="4" a="1"/>
  <c r="C14" i="21" a="1"/>
  <c r="C12" i="33" a="1"/>
  <c r="C16" i="33" a="1"/>
  <c r="C12" i="19" a="1"/>
  <c r="C6" i="26" a="1"/>
  <c r="C14" i="20" a="1"/>
  <c r="C5" i="33" a="1"/>
  <c r="C7" i="32" a="1"/>
  <c r="C9" i="27" a="1"/>
  <c r="C4" i="27" a="1"/>
  <c r="C14" i="4" a="1"/>
  <c r="C9" i="19" a="1"/>
  <c r="C16" i="31" a="1"/>
  <c r="C5" i="20" a="1"/>
  <c r="C16" i="27" a="1"/>
  <c r="C11" i="31" a="1"/>
  <c r="C5" i="27" a="1"/>
  <c r="C5" i="19" a="1"/>
  <c r="C9" i="21" a="1"/>
  <c r="C5" i="32" a="1"/>
  <c r="C15" i="21" a="1"/>
  <c r="C4" i="28" a="1"/>
  <c r="C10" i="20" a="1"/>
  <c r="C10" i="26" a="1"/>
  <c r="C10" i="27" a="1"/>
  <c r="C7" i="19" a="1"/>
  <c r="C16" i="20" a="1"/>
  <c r="C8" i="28" a="1"/>
  <c r="C8" i="4" a="1"/>
  <c r="C12" i="28" a="1"/>
  <c r="C6" i="27" a="1"/>
  <c r="C4" i="26" a="1"/>
  <c r="C7" i="28" a="1"/>
  <c r="C14" i="28" a="1"/>
  <c r="C9" i="26" a="1"/>
  <c r="C11" i="20" a="1"/>
  <c r="C11" i="4" a="1"/>
  <c r="C15" i="19" a="1"/>
  <c r="C14" i="26" a="1"/>
  <c r="C15" i="20" a="1"/>
  <c r="C7" i="21" a="1"/>
  <c r="C4" i="4" a="1"/>
  <c r="C16" i="19" a="1"/>
  <c r="C16" i="21" a="1"/>
  <c r="C13" i="28" a="1"/>
  <c r="C9" i="20" a="1"/>
  <c r="C12" i="27" a="1"/>
  <c r="C12" i="4" a="1"/>
  <c r="C10" i="4" a="1"/>
  <c r="C6" i="31" a="1"/>
  <c r="C10" i="21" a="1"/>
  <c r="C6" i="19" a="1"/>
  <c r="C11" i="27" a="1"/>
  <c r="C13" i="21" a="1"/>
  <c r="C8" i="33" a="1"/>
  <c r="C15" i="28" a="1"/>
  <c r="C12" i="26" a="1"/>
  <c r="C15" i="33" a="1"/>
  <c r="C16" i="26" a="1"/>
  <c r="C7" i="20" a="1"/>
  <c r="C4" i="32" a="1"/>
  <c r="C8" i="21" a="1"/>
  <c r="C11" i="28" a="1"/>
  <c r="C13" i="26" a="1"/>
  <c r="C10" i="19" a="1"/>
  <c r="C8" i="26" a="1"/>
  <c r="C6" i="32" a="1"/>
  <c r="C8" i="31" a="1"/>
  <c r="C9" i="3" a="1"/>
  <c r="C12" i="31" a="1"/>
  <c r="C12" i="32" a="1"/>
  <c r="C13" i="27" a="1"/>
  <c r="C16" i="28" a="1"/>
  <c r="C11" i="32" a="1"/>
  <c r="C9" i="31" a="1"/>
  <c r="C4" i="31" a="1"/>
  <c r="C4" i="19" a="1"/>
  <c r="C13" i="32" a="1"/>
  <c r="C7" i="27" a="1"/>
  <c r="C9" i="32" a="1"/>
  <c r="C12" i="20" a="1"/>
  <c r="C6" i="33" a="1"/>
  <c r="C14" i="19" a="1"/>
  <c r="C16" i="2" l="1"/>
  <c r="C10" i="2"/>
  <c r="C15" i="2"/>
  <c r="C9" i="2"/>
  <c r="C8" i="2"/>
  <c r="C13" i="2"/>
  <c r="C7" i="2"/>
  <c r="C12" i="2"/>
  <c r="C6" i="2"/>
  <c r="E5" i="80"/>
  <c r="E5" i="81"/>
  <c r="E5" i="69"/>
  <c r="E5" i="84"/>
  <c r="C8" i="31"/>
  <c r="C12" i="33"/>
  <c r="C13" i="33"/>
  <c r="C11" i="32"/>
  <c r="D14" i="29"/>
  <c r="G14" i="29"/>
  <c r="G13" i="30"/>
  <c r="D13" i="30"/>
  <c r="G14" i="30"/>
  <c r="D14" i="30"/>
  <c r="D14" i="18"/>
  <c r="G14" i="18"/>
  <c r="D13" i="1"/>
  <c r="G13" i="1"/>
  <c r="D13" i="18"/>
  <c r="G13" i="18"/>
  <c r="G13" i="29"/>
  <c r="D13" i="29"/>
  <c r="G8" i="30"/>
  <c r="D8" i="30"/>
  <c r="D6" i="30"/>
  <c r="G6" i="30"/>
  <c r="D11" i="30"/>
  <c r="G11" i="30"/>
  <c r="D5" i="30"/>
  <c r="G5" i="30"/>
  <c r="G7" i="30"/>
  <c r="D7" i="30"/>
  <c r="D4" i="30"/>
  <c r="G4" i="30"/>
  <c r="D9" i="30"/>
  <c r="G9" i="30"/>
  <c r="D10" i="30"/>
  <c r="G10" i="30"/>
  <c r="D12" i="30"/>
  <c r="G12" i="30"/>
  <c r="G6" i="29"/>
  <c r="D6" i="29"/>
  <c r="G16" i="29"/>
  <c r="D16" i="29"/>
  <c r="D9" i="29"/>
  <c r="G9" i="29"/>
  <c r="G8" i="29"/>
  <c r="D8" i="29"/>
  <c r="D5" i="29"/>
  <c r="G5" i="29"/>
  <c r="G12" i="29"/>
  <c r="D12" i="29"/>
  <c r="D7" i="29"/>
  <c r="G7" i="29"/>
  <c r="D4" i="29"/>
  <c r="G4" i="29"/>
  <c r="G11" i="29"/>
  <c r="D11" i="29"/>
  <c r="G15" i="29"/>
  <c r="D15" i="29"/>
  <c r="D10" i="29"/>
  <c r="G10" i="29"/>
  <c r="C13" i="21"/>
  <c r="C13" i="20"/>
  <c r="C13" i="26"/>
  <c r="C13" i="27"/>
  <c r="C13" i="19"/>
  <c r="G7" i="18"/>
  <c r="D7" i="18"/>
  <c r="D9" i="18"/>
  <c r="G9" i="18"/>
  <c r="D10" i="18"/>
  <c r="G10" i="18"/>
  <c r="D5" i="18"/>
  <c r="G5" i="18"/>
  <c r="G4" i="18"/>
  <c r="D4" i="18"/>
  <c r="G6" i="18"/>
  <c r="D6" i="18"/>
  <c r="G12" i="18"/>
  <c r="D12" i="18"/>
  <c r="G8" i="18"/>
  <c r="D8" i="18"/>
  <c r="C13" i="4"/>
  <c r="D10" i="1"/>
  <c r="G10" i="1"/>
  <c r="G9" i="1"/>
  <c r="D9" i="1"/>
  <c r="G8" i="1"/>
  <c r="D8" i="1"/>
  <c r="C13" i="3"/>
  <c r="C14" i="27"/>
  <c r="C12" i="27"/>
  <c r="D17" i="84"/>
  <c r="E17" i="84" s="1"/>
  <c r="G17" i="84"/>
  <c r="H17" i="84" s="1"/>
  <c r="C14" i="33"/>
  <c r="C9" i="33"/>
  <c r="C5" i="33"/>
  <c r="C8" i="33"/>
  <c r="C4" i="33"/>
  <c r="C11" i="33"/>
  <c r="C7" i="33"/>
  <c r="C16" i="33"/>
  <c r="C10" i="33"/>
  <c r="C6" i="33"/>
  <c r="C15" i="33"/>
  <c r="D8" i="81"/>
  <c r="C11" i="3"/>
  <c r="C12" i="4"/>
  <c r="C8" i="4"/>
  <c r="C15" i="21"/>
  <c r="C10" i="21"/>
  <c r="C6" i="21"/>
  <c r="C16" i="20"/>
  <c r="C11" i="20"/>
  <c r="C7" i="20"/>
  <c r="C12" i="19"/>
  <c r="C8" i="19"/>
  <c r="C4" i="19"/>
  <c r="C14" i="26"/>
  <c r="C9" i="26"/>
  <c r="C5" i="26"/>
  <c r="C15" i="27"/>
  <c r="C10" i="27"/>
  <c r="C6" i="27"/>
  <c r="C16" i="28"/>
  <c r="C12" i="28"/>
  <c r="C8" i="28"/>
  <c r="C13" i="31"/>
  <c r="C9" i="31"/>
  <c r="C4" i="31"/>
  <c r="C14" i="32"/>
  <c r="C9" i="32"/>
  <c r="C5" i="32"/>
  <c r="C10" i="3"/>
  <c r="C16" i="4"/>
  <c r="C7" i="4"/>
  <c r="C14" i="21"/>
  <c r="C9" i="21"/>
  <c r="C5" i="21"/>
  <c r="C15" i="20"/>
  <c r="C10" i="20"/>
  <c r="C6" i="20"/>
  <c r="C16" i="19"/>
  <c r="C11" i="19"/>
  <c r="C7" i="19"/>
  <c r="C12" i="26"/>
  <c r="C8" i="26"/>
  <c r="C4" i="26"/>
  <c r="C9" i="27"/>
  <c r="C5" i="27"/>
  <c r="C15" i="28"/>
  <c r="C11" i="28"/>
  <c r="C7" i="28"/>
  <c r="C16" i="31"/>
  <c r="C12" i="31"/>
  <c r="C7" i="31"/>
  <c r="C13" i="32"/>
  <c r="C8" i="32"/>
  <c r="C4" i="32"/>
  <c r="C11" i="4"/>
  <c r="C9" i="3"/>
  <c r="C15" i="4"/>
  <c r="C10" i="4"/>
  <c r="C6" i="4"/>
  <c r="C12" i="21"/>
  <c r="C8" i="21"/>
  <c r="C4" i="21"/>
  <c r="C14" i="20"/>
  <c r="C9" i="20"/>
  <c r="C5" i="20"/>
  <c r="C15" i="19"/>
  <c r="C10" i="19"/>
  <c r="C6" i="19"/>
  <c r="C16" i="26"/>
  <c r="C11" i="26"/>
  <c r="C7" i="26"/>
  <c r="C8" i="27"/>
  <c r="C4" i="27"/>
  <c r="C14" i="28"/>
  <c r="C10" i="28"/>
  <c r="C5" i="28"/>
  <c r="C15" i="31"/>
  <c r="C11" i="31"/>
  <c r="C6" i="31"/>
  <c r="C16" i="32"/>
  <c r="C12" i="32"/>
  <c r="C7" i="32"/>
  <c r="C5" i="4"/>
  <c r="C8" i="3"/>
  <c r="C4" i="4"/>
  <c r="C14" i="4"/>
  <c r="C9" i="4"/>
  <c r="C16" i="21"/>
  <c r="C7" i="21"/>
  <c r="C12" i="20"/>
  <c r="C8" i="20"/>
  <c r="C4" i="20"/>
  <c r="C14" i="19"/>
  <c r="C9" i="19"/>
  <c r="C5" i="19"/>
  <c r="C15" i="26"/>
  <c r="C10" i="26"/>
  <c r="C6" i="26"/>
  <c r="C16" i="27"/>
  <c r="C11" i="27"/>
  <c r="C7" i="27"/>
  <c r="C13" i="28"/>
  <c r="C9" i="28"/>
  <c r="C4" i="28"/>
  <c r="C14" i="31"/>
  <c r="C10" i="31"/>
  <c r="C5" i="31"/>
  <c r="C15" i="32"/>
  <c r="C10" i="32"/>
  <c r="C6" i="32"/>
  <c r="D16" i="30"/>
  <c r="G16" i="30"/>
  <c r="D15" i="30"/>
  <c r="G15" i="30"/>
  <c r="D16" i="18"/>
  <c r="G16" i="18"/>
  <c r="D15" i="18"/>
  <c r="G15" i="18"/>
  <c r="A3" i="33"/>
  <c r="A3" i="32"/>
  <c r="A3" i="31"/>
  <c r="A3" i="28"/>
  <c r="A3" i="27"/>
  <c r="A3" i="26"/>
  <c r="A3" i="19"/>
  <c r="A3" i="20"/>
  <c r="A3" i="21"/>
  <c r="A3" i="4"/>
  <c r="G17" i="83"/>
  <c r="H17" i="83" s="1"/>
  <c r="D17" i="83"/>
  <c r="E17" i="83" s="1"/>
  <c r="G17" i="82"/>
  <c r="H17" i="82" s="1"/>
  <c r="D17" i="82"/>
  <c r="E17" i="82" s="1"/>
  <c r="G17" i="81"/>
  <c r="H17" i="81" s="1"/>
  <c r="D17" i="81"/>
  <c r="E17" i="81" s="1"/>
  <c r="G17" i="80"/>
  <c r="H17" i="80" s="1"/>
  <c r="D17" i="80"/>
  <c r="E17" i="80" s="1"/>
  <c r="A3" i="1"/>
  <c r="A3" i="2"/>
  <c r="G17" i="79"/>
  <c r="H17" i="79" s="1"/>
  <c r="D17" i="79"/>
  <c r="E17" i="79" s="1"/>
  <c r="G17" i="78"/>
  <c r="H17" i="78" s="1"/>
  <c r="D17" i="78"/>
  <c r="E17" i="78" s="1"/>
  <c r="G17" i="77"/>
  <c r="H17" i="77" s="1"/>
  <c r="D17" i="77"/>
  <c r="E17" i="77" s="1"/>
  <c r="G17" i="76"/>
  <c r="H17" i="76" s="1"/>
  <c r="D17" i="76"/>
  <c r="E17" i="76" s="1"/>
  <c r="G17" i="75"/>
  <c r="H17" i="75" s="1"/>
  <c r="D17" i="75"/>
  <c r="E17" i="75" s="1"/>
  <c r="G17" i="74"/>
  <c r="H17" i="74" s="1"/>
  <c r="D17" i="74"/>
  <c r="E17" i="74" s="1"/>
  <c r="G17" i="73"/>
  <c r="H17" i="73" s="1"/>
  <c r="D17" i="73"/>
  <c r="E17" i="73" s="1"/>
  <c r="G17" i="69"/>
  <c r="H17" i="69" s="1"/>
  <c r="D17" i="69"/>
  <c r="E17" i="69" s="1"/>
  <c r="G17" i="5"/>
  <c r="H17" i="5" s="1"/>
  <c r="D17" i="5"/>
  <c r="E17" i="5" s="1"/>
  <c r="B3" i="2" a="1"/>
  <c r="B3" i="2" s="1"/>
  <c r="C4" i="2" a="1"/>
  <c r="C4" i="3" a="1"/>
  <c r="C7" i="3" a="1"/>
  <c r="C5" i="2" a="1"/>
  <c r="C3" i="21" a="1"/>
  <c r="C3" i="2" a="1"/>
  <c r="C3" i="19" a="1"/>
  <c r="C11" i="2" a="1"/>
  <c r="C12" i="3" a="1"/>
  <c r="C3" i="32" a="1"/>
  <c r="C3" i="4" a="1"/>
  <c r="C6" i="3" a="1"/>
  <c r="C14" i="2" a="1"/>
  <c r="C3" i="33" a="1"/>
  <c r="C3" i="3" a="1"/>
  <c r="C5" i="3" a="1"/>
  <c r="C14" i="3" a="1"/>
  <c r="C15" i="3" a="1"/>
  <c r="C3" i="20" a="1"/>
  <c r="C3" i="26" a="1"/>
  <c r="C16" i="3" a="1"/>
  <c r="C3" i="31" a="1"/>
  <c r="C3" i="27" a="1"/>
  <c r="C3" i="28" a="1"/>
  <c r="C4" i="2" l="1"/>
  <c r="C11" i="2"/>
  <c r="C11" i="1" s="1"/>
  <c r="D11" i="1"/>
  <c r="G11" i="1"/>
  <c r="C5" i="2"/>
  <c r="C14" i="2"/>
  <c r="C3" i="2"/>
  <c r="C14" i="29"/>
  <c r="E14" i="29" s="1"/>
  <c r="F14" i="29" s="1"/>
  <c r="C13" i="30"/>
  <c r="H13" i="30" s="1"/>
  <c r="I13" i="30" s="1"/>
  <c r="C10" i="30"/>
  <c r="E10" i="30" s="1"/>
  <c r="F10" i="30" s="1"/>
  <c r="C5" i="30"/>
  <c r="H5" i="30" s="1"/>
  <c r="I5" i="30" s="1"/>
  <c r="C14" i="30"/>
  <c r="H14" i="30" s="1"/>
  <c r="I14" i="30" s="1"/>
  <c r="D14" i="1"/>
  <c r="D14" i="34" s="1"/>
  <c r="G14" i="1"/>
  <c r="G14" i="34" s="1"/>
  <c r="C13" i="1"/>
  <c r="C7" i="30"/>
  <c r="H7" i="30" s="1"/>
  <c r="I7" i="30" s="1"/>
  <c r="D13" i="34"/>
  <c r="C6" i="30"/>
  <c r="H6" i="30" s="1"/>
  <c r="I6" i="30" s="1"/>
  <c r="C4" i="30"/>
  <c r="H4" i="30" s="1"/>
  <c r="I4" i="30" s="1"/>
  <c r="G13" i="34"/>
  <c r="C13" i="29"/>
  <c r="C11" i="30"/>
  <c r="H11" i="30" s="1"/>
  <c r="I11" i="30" s="1"/>
  <c r="C14" i="18"/>
  <c r="C13" i="18"/>
  <c r="C9" i="30"/>
  <c r="C6" i="29"/>
  <c r="H6" i="29" s="1"/>
  <c r="I6" i="29" s="1"/>
  <c r="C8" i="30"/>
  <c r="C12" i="30"/>
  <c r="C16" i="29"/>
  <c r="E16" i="29" s="1"/>
  <c r="F16" i="29" s="1"/>
  <c r="C9" i="29"/>
  <c r="H9" i="29" s="1"/>
  <c r="I9" i="29" s="1"/>
  <c r="C7" i="29"/>
  <c r="H7" i="29" s="1"/>
  <c r="I7" i="29" s="1"/>
  <c r="C10" i="29"/>
  <c r="C15" i="29"/>
  <c r="C8" i="29"/>
  <c r="C12" i="29"/>
  <c r="C4" i="29"/>
  <c r="C11" i="29"/>
  <c r="C5" i="29"/>
  <c r="C7" i="18"/>
  <c r="E7" i="18" s="1"/>
  <c r="F7" i="18" s="1"/>
  <c r="C12" i="18"/>
  <c r="E12" i="18" s="1"/>
  <c r="F12" i="18" s="1"/>
  <c r="C10" i="18"/>
  <c r="E10" i="18" s="1"/>
  <c r="F10" i="18" s="1"/>
  <c r="C5" i="18"/>
  <c r="C9" i="18"/>
  <c r="C4" i="18"/>
  <c r="C8" i="18"/>
  <c r="C6" i="18"/>
  <c r="C8" i="1"/>
  <c r="H8" i="1" s="1"/>
  <c r="I8" i="1" s="1"/>
  <c r="G12" i="1"/>
  <c r="G12" i="34" s="1"/>
  <c r="D12" i="1"/>
  <c r="D12" i="34" s="1"/>
  <c r="D5" i="1"/>
  <c r="G5" i="1"/>
  <c r="G4" i="1"/>
  <c r="D4" i="1"/>
  <c r="D6" i="1"/>
  <c r="G6" i="1"/>
  <c r="G7" i="1"/>
  <c r="D7" i="1"/>
  <c r="C9" i="1"/>
  <c r="C10" i="1"/>
  <c r="D10" i="34"/>
  <c r="E8" i="81"/>
  <c r="C3" i="27"/>
  <c r="C17" i="27" s="1"/>
  <c r="C3" i="20"/>
  <c r="C17" i="20" s="1"/>
  <c r="C3" i="26"/>
  <c r="C17" i="26" s="1"/>
  <c r="C3" i="28"/>
  <c r="C17" i="28" s="1"/>
  <c r="C3" i="31"/>
  <c r="C17" i="31" s="1"/>
  <c r="C3" i="4"/>
  <c r="C17" i="4" s="1"/>
  <c r="C3" i="32"/>
  <c r="C17" i="32" s="1"/>
  <c r="C3" i="21"/>
  <c r="C3" i="33"/>
  <c r="C17" i="33" s="1"/>
  <c r="C3" i="19"/>
  <c r="C17" i="19" s="1"/>
  <c r="C16" i="18"/>
  <c r="E16" i="18" s="1"/>
  <c r="F16" i="18" s="1"/>
  <c r="C15" i="30"/>
  <c r="E15" i="30" s="1"/>
  <c r="F15" i="30" s="1"/>
  <c r="C15" i="18"/>
  <c r="E15" i="18" s="1"/>
  <c r="F15" i="18" s="1"/>
  <c r="C16" i="30"/>
  <c r="E16" i="30" s="1"/>
  <c r="F16" i="30" s="1"/>
  <c r="G8" i="34"/>
  <c r="D8" i="34"/>
  <c r="G9" i="34"/>
  <c r="D9" i="34"/>
  <c r="G10" i="34"/>
  <c r="D15" i="1"/>
  <c r="D15" i="34" s="1"/>
  <c r="G15" i="1"/>
  <c r="G15" i="34" s="1"/>
  <c r="D16" i="1"/>
  <c r="D16" i="34" s="1"/>
  <c r="G16" i="1"/>
  <c r="G16" i="34" s="1"/>
  <c r="G17" i="33"/>
  <c r="D17" i="33"/>
  <c r="G17" i="32"/>
  <c r="D17" i="32"/>
  <c r="G17" i="31"/>
  <c r="D17" i="31"/>
  <c r="G17" i="28"/>
  <c r="D17" i="28"/>
  <c r="G17" i="27"/>
  <c r="D17" i="27"/>
  <c r="G17" i="26"/>
  <c r="D17" i="26"/>
  <c r="G17" i="19"/>
  <c r="D17" i="19"/>
  <c r="G17" i="20"/>
  <c r="D17" i="20"/>
  <c r="G17" i="4"/>
  <c r="D17" i="4"/>
  <c r="C4" i="3"/>
  <c r="C5" i="3"/>
  <c r="C7" i="3"/>
  <c r="C7" i="1" s="1"/>
  <c r="C6" i="3"/>
  <c r="C6" i="1" s="1"/>
  <c r="C12" i="3"/>
  <c r="C12" i="1" s="1"/>
  <c r="C16" i="3"/>
  <c r="C16" i="1" s="1"/>
  <c r="C14" i="3"/>
  <c r="C15" i="3"/>
  <c r="C15" i="1" s="1"/>
  <c r="D3" i="18"/>
  <c r="G3" i="18"/>
  <c r="D3" i="29"/>
  <c r="G3" i="29"/>
  <c r="D3" i="30"/>
  <c r="G3" i="30"/>
  <c r="G3" i="1"/>
  <c r="D3" i="1"/>
  <c r="G17" i="3"/>
  <c r="D17" i="3"/>
  <c r="C3" i="3"/>
  <c r="C11" i="21" a="1"/>
  <c r="C5" i="1" l="1"/>
  <c r="E5" i="1" s="1"/>
  <c r="F5" i="1" s="1"/>
  <c r="C4" i="1"/>
  <c r="H4" i="1" s="1"/>
  <c r="I4" i="1" s="1"/>
  <c r="C14" i="1"/>
  <c r="E14" i="1" s="1"/>
  <c r="F14" i="1" s="1"/>
  <c r="E13" i="30"/>
  <c r="F13" i="30" s="1"/>
  <c r="H14" i="29"/>
  <c r="I14" i="29" s="1"/>
  <c r="E14" i="30"/>
  <c r="F14" i="30" s="1"/>
  <c r="H10" i="30"/>
  <c r="I10" i="30" s="1"/>
  <c r="E5" i="30"/>
  <c r="F5" i="30" s="1"/>
  <c r="E4" i="30"/>
  <c r="F4" i="30" s="1"/>
  <c r="E9" i="29"/>
  <c r="F9" i="29" s="1"/>
  <c r="E6" i="29"/>
  <c r="F6" i="29" s="1"/>
  <c r="H16" i="29"/>
  <c r="I16" i="29" s="1"/>
  <c r="E11" i="30"/>
  <c r="F11" i="30" s="1"/>
  <c r="E7" i="30"/>
  <c r="F7" i="30" s="1"/>
  <c r="E7" i="29"/>
  <c r="F7" i="29" s="1"/>
  <c r="E13" i="18"/>
  <c r="F13" i="18" s="1"/>
  <c r="H13" i="18"/>
  <c r="I13" i="18" s="1"/>
  <c r="H14" i="18"/>
  <c r="I14" i="18" s="1"/>
  <c r="E14" i="18"/>
  <c r="F14" i="18" s="1"/>
  <c r="H13" i="29"/>
  <c r="I13" i="29" s="1"/>
  <c r="E13" i="29"/>
  <c r="F13" i="29" s="1"/>
  <c r="E6" i="30"/>
  <c r="F6" i="30" s="1"/>
  <c r="C13" i="34"/>
  <c r="E13" i="1"/>
  <c r="F13" i="1" s="1"/>
  <c r="H13" i="1"/>
  <c r="I13" i="1" s="1"/>
  <c r="E12" i="30"/>
  <c r="F12" i="30" s="1"/>
  <c r="H12" i="30"/>
  <c r="I12" i="30" s="1"/>
  <c r="H8" i="30"/>
  <c r="I8" i="30" s="1"/>
  <c r="E8" i="30"/>
  <c r="F8" i="30" s="1"/>
  <c r="H9" i="30"/>
  <c r="I9" i="30" s="1"/>
  <c r="E9" i="30"/>
  <c r="F9" i="30" s="1"/>
  <c r="H7" i="18"/>
  <c r="I7" i="18" s="1"/>
  <c r="H15" i="29"/>
  <c r="I15" i="29" s="1"/>
  <c r="E15" i="29"/>
  <c r="F15" i="29" s="1"/>
  <c r="H12" i="18"/>
  <c r="I12" i="18" s="1"/>
  <c r="H12" i="29"/>
  <c r="I12" i="29" s="1"/>
  <c r="E12" i="29"/>
  <c r="F12" i="29" s="1"/>
  <c r="H5" i="29"/>
  <c r="I5" i="29" s="1"/>
  <c r="E5" i="29"/>
  <c r="F5" i="29" s="1"/>
  <c r="H4" i="29"/>
  <c r="I4" i="29" s="1"/>
  <c r="E4" i="29"/>
  <c r="F4" i="29" s="1"/>
  <c r="H10" i="29"/>
  <c r="I10" i="29" s="1"/>
  <c r="E10" i="29"/>
  <c r="F10" i="29" s="1"/>
  <c r="E11" i="29"/>
  <c r="F11" i="29" s="1"/>
  <c r="H11" i="29"/>
  <c r="I11" i="29" s="1"/>
  <c r="H8" i="29"/>
  <c r="I8" i="29" s="1"/>
  <c r="E8" i="29"/>
  <c r="F8" i="29" s="1"/>
  <c r="H10" i="18"/>
  <c r="I10" i="18" s="1"/>
  <c r="D11" i="18"/>
  <c r="D11" i="34" s="1"/>
  <c r="G11" i="18"/>
  <c r="G11" i="34" s="1"/>
  <c r="E4" i="18"/>
  <c r="F4" i="18" s="1"/>
  <c r="H4" i="18"/>
  <c r="I4" i="18" s="1"/>
  <c r="E6" i="18"/>
  <c r="F6" i="18" s="1"/>
  <c r="H6" i="18"/>
  <c r="I6" i="18" s="1"/>
  <c r="E8" i="1"/>
  <c r="F8" i="1" s="1"/>
  <c r="E8" i="18"/>
  <c r="F8" i="18" s="1"/>
  <c r="H8" i="18"/>
  <c r="I8" i="18" s="1"/>
  <c r="H9" i="18"/>
  <c r="I9" i="18" s="1"/>
  <c r="E9" i="18"/>
  <c r="F9" i="18" s="1"/>
  <c r="E5" i="18"/>
  <c r="F5" i="18" s="1"/>
  <c r="H5" i="18"/>
  <c r="I5" i="18" s="1"/>
  <c r="C12" i="34"/>
  <c r="E12" i="1"/>
  <c r="F12" i="1" s="1"/>
  <c r="H12" i="1"/>
  <c r="I12" i="1" s="1"/>
  <c r="E6" i="1"/>
  <c r="F6" i="1" s="1"/>
  <c r="H6" i="1"/>
  <c r="I6" i="1" s="1"/>
  <c r="E4" i="1"/>
  <c r="F4" i="1" s="1"/>
  <c r="H10" i="1"/>
  <c r="I10" i="1" s="1"/>
  <c r="E10" i="1"/>
  <c r="F10" i="1" s="1"/>
  <c r="H11" i="1"/>
  <c r="I11" i="1" s="1"/>
  <c r="E11" i="1"/>
  <c r="F11" i="1" s="1"/>
  <c r="H5" i="1"/>
  <c r="I5" i="1" s="1"/>
  <c r="H9" i="1"/>
  <c r="I9" i="1" s="1"/>
  <c r="E9" i="1"/>
  <c r="F9" i="1" s="1"/>
  <c r="H7" i="1"/>
  <c r="I7" i="1" s="1"/>
  <c r="E7" i="1"/>
  <c r="F7" i="1" s="1"/>
  <c r="C11" i="21"/>
  <c r="D17" i="21"/>
  <c r="G17" i="21"/>
  <c r="C10" i="34"/>
  <c r="E10" i="34" s="1"/>
  <c r="F10" i="34" s="1"/>
  <c r="C16" i="34"/>
  <c r="E16" i="34" s="1"/>
  <c r="F16" i="34" s="1"/>
  <c r="C15" i="34"/>
  <c r="E15" i="34" s="1"/>
  <c r="F15" i="34" s="1"/>
  <c r="H15" i="18"/>
  <c r="I15" i="18" s="1"/>
  <c r="H16" i="18"/>
  <c r="I16" i="18" s="1"/>
  <c r="H15" i="30"/>
  <c r="I15" i="30" s="1"/>
  <c r="C8" i="34"/>
  <c r="E8" i="34" s="1"/>
  <c r="F8" i="34" s="1"/>
  <c r="C9" i="34"/>
  <c r="H9" i="34" s="1"/>
  <c r="I9" i="34" s="1"/>
  <c r="H16" i="30"/>
  <c r="I16" i="30" s="1"/>
  <c r="E15" i="1"/>
  <c r="F15" i="1" s="1"/>
  <c r="H15" i="1"/>
  <c r="I15" i="1" s="1"/>
  <c r="E16" i="1"/>
  <c r="F16" i="1" s="1"/>
  <c r="H16" i="1"/>
  <c r="I16" i="1" s="1"/>
  <c r="H17" i="33"/>
  <c r="I17" i="33" s="1"/>
  <c r="E17" i="33"/>
  <c r="F17" i="33" s="1"/>
  <c r="H17" i="32"/>
  <c r="I17" i="32" s="1"/>
  <c r="E17" i="32"/>
  <c r="F17" i="32" s="1"/>
  <c r="H17" i="31"/>
  <c r="I17" i="31" s="1"/>
  <c r="E17" i="31"/>
  <c r="F17" i="31" s="1"/>
  <c r="H17" i="28"/>
  <c r="I17" i="28" s="1"/>
  <c r="E17" i="28"/>
  <c r="F17" i="28" s="1"/>
  <c r="H17" i="27"/>
  <c r="I17" i="27" s="1"/>
  <c r="E17" i="27"/>
  <c r="F17" i="27" s="1"/>
  <c r="H17" i="26"/>
  <c r="I17" i="26" s="1"/>
  <c r="E17" i="26"/>
  <c r="F17" i="26" s="1"/>
  <c r="H17" i="19"/>
  <c r="I17" i="19" s="1"/>
  <c r="E17" i="19"/>
  <c r="F17" i="19" s="1"/>
  <c r="H17" i="20"/>
  <c r="I17" i="20" s="1"/>
  <c r="E17" i="20"/>
  <c r="F17" i="20" s="1"/>
  <c r="H17" i="4"/>
  <c r="I17" i="4" s="1"/>
  <c r="E17" i="4"/>
  <c r="F17" i="4" s="1"/>
  <c r="D7" i="34"/>
  <c r="D3" i="34"/>
  <c r="D4" i="34"/>
  <c r="D17" i="30"/>
  <c r="D5" i="34"/>
  <c r="D17" i="29"/>
  <c r="D6" i="34"/>
  <c r="G17" i="1"/>
  <c r="C3" i="30"/>
  <c r="H3" i="30" s="1"/>
  <c r="I3" i="30" s="1"/>
  <c r="G17" i="30"/>
  <c r="G17" i="29"/>
  <c r="G6" i="34"/>
  <c r="G4" i="34"/>
  <c r="C3" i="18"/>
  <c r="H3" i="18" s="1"/>
  <c r="G7" i="34"/>
  <c r="C3" i="29"/>
  <c r="H3" i="29" s="1"/>
  <c r="I3" i="29" s="1"/>
  <c r="G5" i="34"/>
  <c r="D17" i="1"/>
  <c r="G3" i="34"/>
  <c r="C17" i="3"/>
  <c r="H17" i="3" s="1"/>
  <c r="I17" i="3" s="1"/>
  <c r="C3" i="1"/>
  <c r="H3" i="1" s="1"/>
  <c r="I3" i="1" s="1"/>
  <c r="H14" i="1" l="1"/>
  <c r="I14" i="1" s="1"/>
  <c r="C14" i="34"/>
  <c r="H14" i="34" s="1"/>
  <c r="I14" i="34" s="1"/>
  <c r="E13" i="34"/>
  <c r="F13" i="34" s="1"/>
  <c r="H13" i="34"/>
  <c r="I13" i="34" s="1"/>
  <c r="C11" i="18"/>
  <c r="C17" i="18" s="1"/>
  <c r="E12" i="34"/>
  <c r="F12" i="34" s="1"/>
  <c r="H12" i="34"/>
  <c r="I12" i="34" s="1"/>
  <c r="D17" i="18"/>
  <c r="G17" i="18"/>
  <c r="H16" i="34"/>
  <c r="I16" i="34" s="1"/>
  <c r="C17" i="21"/>
  <c r="H17" i="21" s="1"/>
  <c r="I17" i="21" s="1"/>
  <c r="H15" i="34"/>
  <c r="I15" i="34" s="1"/>
  <c r="H10" i="34"/>
  <c r="I10" i="34" s="1"/>
  <c r="H8" i="34"/>
  <c r="I8" i="34" s="1"/>
  <c r="E9" i="34"/>
  <c r="F9" i="34" s="1"/>
  <c r="C5" i="34"/>
  <c r="D17" i="34"/>
  <c r="C3" i="34"/>
  <c r="C7" i="34"/>
  <c r="G17" i="34"/>
  <c r="C6" i="34"/>
  <c r="C4" i="34"/>
  <c r="E17" i="3"/>
  <c r="F17" i="3" s="1"/>
  <c r="C17" i="30"/>
  <c r="E3" i="30"/>
  <c r="C17" i="29"/>
  <c r="E3" i="29"/>
  <c r="E3" i="18"/>
  <c r="C17" i="1"/>
  <c r="E3" i="1"/>
  <c r="E14" i="34" l="1"/>
  <c r="F14" i="34" s="1"/>
  <c r="H11" i="18"/>
  <c r="I11" i="18" s="1"/>
  <c r="E11" i="18"/>
  <c r="F11" i="18" s="1"/>
  <c r="C11" i="34"/>
  <c r="C17" i="34" s="1"/>
  <c r="H17" i="34" s="1"/>
  <c r="I17" i="34" s="1"/>
  <c r="H17" i="18"/>
  <c r="I17" i="18" s="1"/>
  <c r="E17" i="21"/>
  <c r="F17" i="21" s="1"/>
  <c r="F3" i="30"/>
  <c r="F3" i="29"/>
  <c r="I3" i="18"/>
  <c r="F3" i="18"/>
  <c r="F3" i="1"/>
  <c r="E4" i="34"/>
  <c r="F4" i="34" s="1"/>
  <c r="H4" i="34"/>
  <c r="I4" i="34" s="1"/>
  <c r="E6" i="34"/>
  <c r="F6" i="34" s="1"/>
  <c r="H6" i="34"/>
  <c r="I6" i="34" s="1"/>
  <c r="E7" i="34"/>
  <c r="F7" i="34" s="1"/>
  <c r="H7" i="34"/>
  <c r="I7" i="34" s="1"/>
  <c r="E5" i="34"/>
  <c r="F5" i="34" s="1"/>
  <c r="H5" i="34"/>
  <c r="I5" i="34" s="1"/>
  <c r="E3" i="34"/>
  <c r="F3" i="34" s="1"/>
  <c r="H3" i="34"/>
  <c r="I3" i="34" s="1"/>
  <c r="H17" i="30"/>
  <c r="I17" i="30" s="1"/>
  <c r="E17" i="30"/>
  <c r="F17" i="30" s="1"/>
  <c r="H17" i="29"/>
  <c r="I17" i="29" s="1"/>
  <c r="E17" i="29"/>
  <c r="F17" i="29" s="1"/>
  <c r="E17" i="18"/>
  <c r="F17" i="18" s="1"/>
  <c r="H17" i="1"/>
  <c r="I17" i="1" s="1"/>
  <c r="E17" i="1"/>
  <c r="F17" i="1" s="1"/>
  <c r="G17" i="2"/>
  <c r="D17" i="2"/>
  <c r="H11" i="34" l="1"/>
  <c r="I11" i="34" s="1"/>
  <c r="E11" i="34"/>
  <c r="F11" i="34" s="1"/>
  <c r="E17" i="34"/>
  <c r="F17" i="34" s="1"/>
  <c r="C17" i="2"/>
  <c r="H17" i="2" l="1"/>
  <c r="I17" i="2" s="1"/>
  <c r="E17" i="2"/>
  <c r="F1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<sst xmlns="http://schemas.openxmlformats.org/spreadsheetml/2006/main" count="769" uniqueCount="121">
  <si>
    <t>Year to Date 2024 Actual v. Expected</t>
  </si>
  <si>
    <t xml:space="preserve"> Year to Date 2024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</si>
  <si>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</si>
  <si>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</si>
  <si>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</si>
  <si>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</si>
  <si>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</si>
  <si>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</si>
  <si>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</si>
  <si>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</si>
  <si>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</si>
  <si>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</si>
  <si>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</si>
  <si>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</si>
  <si>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</si>
  <si>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</si>
  <si>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</si>
  <si>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</si>
  <si>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</si>
  <si>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</si>
  <si>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January Actual v. Expected</t>
  </si>
  <si>
    <t>January Actual v. Forecasted</t>
  </si>
  <si>
    <t>NOTES</t>
  </si>
  <si>
    <t>SR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</si>
  <si>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</si>
  <si>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</si>
  <si>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</si>
  <si>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</si>
  <si>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</si>
  <si>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</si>
  <si>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</si>
  <si>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</si>
  <si>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</si>
  <si>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</si>
  <si>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</si>
  <si>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</si>
  <si>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</si>
  <si>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</si>
  <si>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</si>
  <si>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</si>
  <si>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</si>
  <si>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</si>
  <si>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</si>
  <si>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</si>
  <si>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</si>
  <si>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</si>
  <si>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</si>
  <si>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</si>
  <si>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</si>
  <si>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</si>
  <si>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</si>
  <si>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</si>
  <si>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</si>
  <si>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</si>
  <si>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</si>
  <si>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</si>
  <si>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</si>
  <si>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</si>
  <si>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</si>
  <si>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</si>
  <si>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</si>
  <si>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</si>
  <si>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</si>
  <si>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Column1</t>
  </si>
  <si>
    <t>DAS</t>
  </si>
  <si>
    <t>CA Fresno - 3150 Shaw Ave - 19600</t>
  </si>
  <si>
    <t>Fresno - 3150 Shaw Ave</t>
  </si>
  <si>
    <t>CA</t>
  </si>
  <si>
    <t>AEF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</si>
  <si>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</si>
  <si>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</si>
  <si>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</si>
  <si>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</si>
  <si>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</si>
  <si>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</si>
  <si>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</si>
  <si>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AF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</si>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</sst>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rgb="FF31373D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4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8" fillId="0" borderId="34" xfId="0" applyFont="1" applyBorder="1" applyAlignment="1">
      <alignment horizontal="left" vertical="center"/>
    </xf>
    <xf numFmtId="0" fontId="29" fillId="0" borderId="2" xfId="0" applyFont="1" applyBorder="1" applyAlignment="1">
      <alignment horizontal="center"/>
    </xf>
    <xf numFmtId="3" fontId="30" fillId="38" borderId="16" xfId="0" applyNumberFormat="1" applyFont="1" applyFill="1" applyBorder="1"/>
    <xf numFmtId="3" fontId="30" fillId="3" borderId="2" xfId="0" applyNumberFormat="1" applyFont="1" applyFill="1" applyBorder="1" applyAlignment="1">
      <alignment horizontal="right"/>
    </xf>
    <xf numFmtId="9" fontId="30" fillId="3" borderId="2" xfId="2" applyFont="1" applyFill="1" applyBorder="1" applyAlignment="1">
      <alignment horizontal="center"/>
    </xf>
    <xf numFmtId="3" fontId="30" fillId="39" borderId="16" xfId="0" applyNumberFormat="1" applyFont="1" applyFill="1" applyBorder="1"/>
    <xf numFmtId="3" fontId="30" fillId="4" borderId="2" xfId="1" applyNumberFormat="1" applyFont="1" applyFill="1" applyBorder="1"/>
    <xf numFmtId="9" fontId="30" fillId="4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3" borderId="1" xfId="2" applyFont="1" applyFill="1" applyBorder="1" applyAlignment="1">
      <alignment horizontal="center"/>
    </xf>
    <xf numFmtId="3" fontId="30" fillId="4" borderId="13" xfId="1" applyNumberFormat="1" applyFont="1" applyFill="1" applyBorder="1"/>
    <xf numFmtId="3" fontId="30" fillId="4" borderId="2" xfId="1" applyNumberFormat="1" applyFont="1" applyFill="1" applyBorder="1" applyAlignment="1">
      <alignment vertical="center"/>
    </xf>
    <xf numFmtId="9" fontId="30" fillId="43" borderId="2" xfId="2" applyFont="1" applyFill="1" applyBorder="1" applyAlignment="1">
      <alignment horizontal="left" vertical="top" wrapText="1"/>
    </xf>
    <xf numFmtId="9" fontId="30" fillId="43" borderId="2" xfId="2" applyFont="1" applyFill="1" applyBorder="1" applyAlignment="1">
      <alignment horizontal="left" vertical="top"/>
    </xf>
    <xf numFmtId="3" fontId="30" fillId="38" borderId="14" xfId="0" applyNumberFormat="1" applyFont="1" applyFill="1" applyBorder="1"/>
    <xf numFmtId="3" fontId="30" fillId="39" borderId="14" xfId="0" applyNumberFormat="1" applyFont="1" applyFill="1" applyBorder="1"/>
    <xf numFmtId="0" fontId="29" fillId="0" borderId="3" xfId="0" applyFont="1" applyBorder="1" applyAlignment="1">
      <alignment horizontal="center"/>
    </xf>
    <xf numFmtId="3" fontId="30" fillId="3" borderId="28" xfId="0" applyNumberFormat="1" applyFont="1" applyFill="1" applyBorder="1" applyAlignment="1">
      <alignment horizontal="right"/>
    </xf>
    <xf numFmtId="9" fontId="30" fillId="3" borderId="3" xfId="2" applyFont="1" applyFill="1" applyBorder="1" applyAlignment="1">
      <alignment horizontal="center"/>
    </xf>
    <xf numFmtId="3" fontId="30" fillId="4" borderId="38" xfId="1" applyNumberFormat="1" applyFont="1" applyFill="1" applyBorder="1"/>
    <xf numFmtId="3" fontId="30" fillId="4" borderId="28" xfId="1" applyNumberFormat="1" applyFont="1" applyFill="1" applyBorder="1"/>
    <xf numFmtId="9" fontId="30" fillId="4" borderId="28" xfId="2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5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5" xfId="2" applyFont="1" applyFill="1" applyBorder="1" applyAlignment="1">
      <alignment horizontal="left" vertical="center"/>
    </xf>
    <xf numFmtId="9" fontId="31" fillId="43" borderId="36" xfId="2" applyFont="1" applyFill="1" applyBorder="1" applyAlignment="1">
      <alignment horizontal="center" vertical="center"/>
    </xf>
    <xf numFmtId="9" fontId="31" fillId="43" borderId="37" xfId="2" applyFont="1" applyFill="1" applyBorder="1" applyAlignment="1">
      <alignment horizontal="center" vertical="center"/>
    </xf>
    <xf numFmtId="0" fontId="29" fillId="45" borderId="40" xfId="0" applyFont="1" applyFill="1" applyBorder="1" applyAlignment="1">
      <alignment horizontal="center"/>
    </xf>
    <xf numFmtId="0" fontId="29" fillId="45" borderId="1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" borderId="14" xfId="2" applyFont="1" applyFill="1" applyBorder="1" applyAlignment="1">
      <alignment horizontal="center"/>
    </xf>
    <xf numFmtId="9" fontId="33" fillId="40" borderId="14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40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30" fillId="38" borderId="16" xfId="0" applyFont="1" applyFill="1" applyBorder="1"/>
    <xf numFmtId="9" fontId="30" fillId="43" borderId="28" xfId="2" applyFont="1" applyFill="1" applyBorder="1" applyAlignment="1">
      <alignment horizontal="left" vertical="top"/>
    </xf>
    <xf numFmtId="49" fontId="30" fillId="43" borderId="2" xfId="2" applyNumberFormat="1" applyFont="1" applyFill="1" applyBorder="1" applyAlignment="1">
      <alignment horizontal="left" vertical="top" wrapText="1"/>
    </xf>
    <xf numFmtId="0" fontId="28" fillId="43" borderId="1" xfId="0" applyFont="1" applyFill="1" applyBorder="1" applyAlignment="1">
      <alignment horizontal="left" vertical="top" wrapText="1"/>
    </xf>
    <xf numFmtId="0" fontId="28" fillId="43" borderId="41" xfId="0" applyFont="1" applyFill="1" applyBorder="1" applyAlignment="1">
      <alignment horizontal="left" vertical="top" wrapText="1"/>
    </xf>
    <xf numFmtId="0" fontId="28" fillId="43" borderId="43" xfId="0" applyFont="1" applyFill="1" applyBorder="1" applyAlignment="1">
      <alignment horizontal="left" vertical="top" wrapText="1"/>
    </xf>
    <xf numFmtId="0" fontId="28" fillId="43" borderId="39" xfId="0" applyFont="1" applyFill="1" applyBorder="1" applyAlignment="1">
      <alignment horizontal="left" vertical="top" wrapText="1"/>
    </xf>
    <xf numFmtId="0" fontId="30" fillId="43" borderId="43" xfId="0" applyFont="1" applyFill="1" applyBorder="1" applyAlignment="1">
      <alignment horizontal="left" vertical="top" wrapText="1"/>
    </xf>
    <xf numFmtId="0" fontId="30" fillId="43" borderId="39" xfId="0" applyFont="1" applyFill="1" applyBorder="1" applyAlignment="1">
      <alignment horizontal="left" vertical="top" wrapText="1"/>
    </xf>
    <xf numFmtId="0" fontId="30" fillId="43" borderId="0" xfId="0" applyFont="1" applyFill="1" applyAlignment="1">
      <alignment horizontal="left" vertical="top" wrapText="1"/>
    </xf>
    <xf numFmtId="0" fontId="30" fillId="43" borderId="44" xfId="0" applyFont="1" applyFill="1" applyBorder="1" applyAlignment="1">
      <alignment horizontal="left" vertical="top" wrapText="1"/>
    </xf>
    <xf numFmtId="0" fontId="30" fillId="43" borderId="14" xfId="0" applyFont="1" applyFill="1" applyBorder="1" applyAlignment="1">
      <alignment horizontal="left" vertical="top" wrapText="1"/>
    </xf>
    <xf numFmtId="0" fontId="28" fillId="43" borderId="42" xfId="0" applyFont="1" applyFill="1" applyBorder="1" applyAlignment="1">
      <alignment horizontal="left" vertical="top" wrapText="1"/>
    </xf>
    <xf numFmtId="0" fontId="28" fillId="43" borderId="14" xfId="0" applyFont="1" applyFill="1" applyBorder="1" applyAlignment="1">
      <alignment horizontal="left" vertical="top" wrapText="1"/>
    </xf>
    <xf numFmtId="0" fontId="37" fillId="43" borderId="14" xfId="0" applyFont="1" applyFill="1" applyBorder="1" applyAlignment="1">
      <alignment horizontal="left" vertical="top" wrapText="1"/>
    </xf>
    <xf numFmtId="4" fontId="30" fillId="38" borderId="16" xfId="0" applyNumberFormat="1" applyFont="1" applyFill="1" applyBorder="1"/>
    <xf numFmtId="3" fontId="30" fillId="4" borderId="2" xfId="1" applyNumberFormat="1" applyFont="1" applyFill="1" applyBorder="1" applyAlignment="1"/>
    <xf numFmtId="3" fontId="30" fillId="4" borderId="13" xfId="1" applyNumberFormat="1" applyFont="1" applyFill="1" applyBorder="1" applyAlignment="1"/>
    <xf numFmtId="3" fontId="30" fillId="4" borderId="2" xfId="1" applyNumberFormat="1" applyFont="1" applyFill="1" applyBorder="1" applyAlignment="1">
      <alignment horizontal="right"/>
    </xf>
    <xf numFmtId="3" fontId="30" fillId="4" borderId="13" xfId="1" applyNumberFormat="1" applyFont="1" applyFill="1" applyBorder="1" applyAlignment="1">
      <alignment horizontal="right"/>
    </xf>
    <xf numFmtId="3" fontId="30" fillId="39" borderId="16" xfId="0" applyNumberFormat="1" applyFont="1" applyFill="1" applyBorder="1" applyAlignment="1">
      <alignment horizontal="right"/>
    </xf>
    <xf numFmtId="0" fontId="25" fillId="0" borderId="0" xfId="43" applyFont="1"/>
    <xf numFmtId="0" fontId="30" fillId="0" borderId="0" xfId="0" applyFont="1" applyAlignment="1">
      <alignment horizontal="left" vertical="top" wrapText="1"/>
    </xf>
    <xf numFmtId="9" fontId="30" fillId="43" borderId="28" xfId="2" applyFont="1" applyFill="1" applyBorder="1" applyAlignment="1">
      <alignment horizontal="left" vertical="top" wrapText="1"/>
    </xf>
    <xf numFmtId="9" fontId="33" fillId="40" borderId="48" xfId="2" applyFont="1" applyFill="1" applyBorder="1" applyAlignment="1">
      <alignment horizontal="center"/>
    </xf>
    <xf numFmtId="0" fontId="36" fillId="45" borderId="3" xfId="0" applyFont="1" applyFill="1" applyBorder="1" applyAlignment="1">
      <alignment horizontal="center"/>
    </xf>
    <xf numFmtId="0" fontId="29" fillId="45" borderId="3" xfId="0" applyFont="1" applyFill="1" applyBorder="1" applyAlignment="1">
      <alignment horizontal="center"/>
    </xf>
    <xf numFmtId="0" fontId="26" fillId="42" borderId="0" xfId="0" applyFont="1" applyFill="1" applyAlignment="1">
      <alignment horizontal="center" wrapText="1"/>
    </xf>
    <xf numFmtId="3" fontId="29" fillId="38" borderId="45" xfId="0" applyNumberFormat="1" applyFont="1" applyFill="1" applyBorder="1"/>
    <xf numFmtId="3" fontId="29" fillId="3" borderId="40" xfId="0" applyNumberFormat="1" applyFont="1" applyFill="1" applyBorder="1" applyAlignment="1">
      <alignment horizontal="right"/>
    </xf>
    <xf numFmtId="9" fontId="29" fillId="3" borderId="40" xfId="2" applyFont="1" applyFill="1" applyBorder="1" applyAlignment="1">
      <alignment horizontal="center"/>
    </xf>
    <xf numFmtId="3" fontId="29" fillId="39" borderId="45" xfId="0" applyNumberFormat="1" applyFont="1" applyFill="1" applyBorder="1"/>
    <xf numFmtId="3" fontId="29" fillId="4" borderId="40" xfId="1" applyNumberFormat="1" applyFont="1" applyFill="1" applyBorder="1"/>
    <xf numFmtId="9" fontId="29" fillId="4" borderId="40" xfId="2" applyFont="1" applyFill="1" applyBorder="1" applyAlignment="1">
      <alignment horizontal="center"/>
    </xf>
    <xf numFmtId="49" fontId="30" fillId="43" borderId="2" xfId="2" applyNumberFormat="1" applyFont="1" applyFill="1" applyBorder="1" applyAlignment="1">
      <alignment horizontal="center" wrapText="1"/>
    </xf>
    <xf numFmtId="9" fontId="29" fillId="3" borderId="1" xfId="2" applyFont="1" applyFill="1" applyBorder="1" applyAlignment="1">
      <alignment horizontal="center"/>
    </xf>
    <xf numFmtId="3" fontId="29" fillId="4" borderId="46" xfId="1" applyNumberFormat="1" applyFont="1" applyFill="1" applyBorder="1"/>
    <xf numFmtId="3" fontId="29" fillId="4" borderId="40" xfId="1" applyNumberFormat="1" applyFont="1" applyFill="1" applyBorder="1" applyAlignment="1">
      <alignment vertical="center"/>
    </xf>
    <xf numFmtId="49" fontId="30" fillId="43" borderId="2" xfId="2" applyNumberFormat="1" applyFont="1" applyFill="1" applyBorder="1" applyAlignment="1">
      <alignment horizontal="center" vertical="center" wrapText="1"/>
    </xf>
    <xf numFmtId="3" fontId="29" fillId="39" borderId="14" xfId="0" applyNumberFormat="1" applyFont="1" applyFill="1" applyBorder="1"/>
    <xf numFmtId="49" fontId="30" fillId="43" borderId="2" xfId="2" applyNumberFormat="1" applyFont="1" applyFill="1" applyBorder="1" applyAlignment="1">
      <alignment horizontal="left" wrapText="1"/>
    </xf>
    <xf numFmtId="3" fontId="29" fillId="38" borderId="47" xfId="0" applyNumberFormat="1" applyFont="1" applyFill="1" applyBorder="1"/>
    <xf numFmtId="0" fontId="36" fillId="45" borderId="40" xfId="0" applyFont="1" applyFill="1" applyBorder="1" applyAlignment="1">
      <alignment horizontal="center" vertical="center"/>
    </xf>
    <xf numFmtId="0" fontId="29" fillId="45" borderId="40" xfId="0" applyFont="1" applyFill="1" applyBorder="1" applyAlignment="1">
      <alignment horizontal="center" vertical="center"/>
    </xf>
    <xf numFmtId="3" fontId="33" fillId="3" borderId="16" xfId="0" applyNumberFormat="1" applyFont="1" applyFill="1" applyBorder="1" applyAlignment="1">
      <alignment horizontal="right" vertical="center"/>
    </xf>
    <xf numFmtId="9" fontId="33" fillId="3" borderId="16" xfId="2" applyFont="1" applyFill="1" applyBorder="1" applyAlignment="1">
      <alignment horizontal="center" vertical="center"/>
    </xf>
    <xf numFmtId="3" fontId="33" fillId="4" borderId="16" xfId="1" applyNumberFormat="1" applyFont="1" applyFill="1" applyBorder="1" applyAlignment="1">
      <alignment vertical="center"/>
    </xf>
    <xf numFmtId="9" fontId="33" fillId="40" borderId="16" xfId="2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9" fontId="33" fillId="3" borderId="14" xfId="2" applyFont="1" applyFill="1" applyBorder="1" applyAlignment="1">
      <alignment horizontal="center" vertical="center"/>
    </xf>
    <xf numFmtId="9" fontId="33" fillId="40" borderId="14" xfId="2" applyFont="1" applyFill="1" applyBorder="1" applyAlignment="1">
      <alignment horizontal="center" vertical="center"/>
    </xf>
    <xf numFmtId="0" fontId="36" fillId="45" borderId="1" xfId="0" applyFont="1" applyFill="1" applyBorder="1" applyAlignment="1">
      <alignment horizontal="center" vertical="center"/>
    </xf>
    <xf numFmtId="0" fontId="29" fillId="45" borderId="1" xfId="0" applyFont="1" applyFill="1" applyBorder="1" applyAlignment="1">
      <alignment horizontal="center" vertical="center"/>
    </xf>
    <xf numFmtId="164" fontId="30" fillId="38" borderId="16" xfId="1" applyNumberFormat="1" applyFont="1" applyFill="1" applyBorder="1"/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2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solid">
          <fgColor rgb="FF000000"/>
          <bgColor rgb="FFE2EFDA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solid">
          <fgColor rgb="FF000000"/>
          <bgColor rgb="FFE2EFDA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rgb="FF000000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left/>
        <right/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E16" totalsRowShown="0" tableBorderDxfId="232">
  <autoFilter ref="A2:E16" xr:uid="{66A40F5E-D45A-46FE-9183-4A31296D93F1}"/>
  <sortState xmlns:xlrd2="http://schemas.microsoft.com/office/spreadsheetml/2017/richdata2" ref="A3:E16">
    <sortCondition ref="C2:C16"/>
  </sortState>
  <tableColumns count="5">
    <tableColumn id="3" xr3:uid="{BFC0214A-8820-4A19-81D0-852548EDA4BC}" name="Site DAS Name" dataDxfId="231" dataCellStyle="Normal 2"/>
    <tableColumn id="1" xr3:uid="{2ECEDF7A-47C1-4159-BC3D-6E76D6492D27}" name="Site" dataDxfId="230" dataCellStyle="Normal 2"/>
    <tableColumn id="2" xr3:uid="{2C9662E7-9933-4E8D-97A6-DB7E03BCDC09}" name="State" dataDxfId="229" dataCellStyle="Normal 2"/>
    <tableColumn id="5" xr3:uid="{F1D3BF47-C530-4653-922C-CDF1211AB5F9}" name="Column1"/>
    <tableColumn id="4" xr3:uid="{59AA9326-8F8C-4082-ADFA-B1F505660F74}" name="DAS" dataDxfId="228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225" dataDxfId="224" headerRowBorderDxfId="222" tableBorderDxfId="223">
  <autoFilter ref="A4:J16" xr:uid="{59A959C2-52B2-422A-A87A-BC08BBF40681}"/>
  <tableColumns count="10">
    <tableColumn id="1" xr3:uid="{5546520C-DCC9-49E9-9FB3-CE316D4944DA}" name="Month" dataDxfId="221"/>
    <tableColumn id="2" xr3:uid="{DDF452E8-4CE6-4DD7-83F1-6C18FAC64F53}" name="Actual" dataDxfId="220"/>
    <tableColumn id="3" xr3:uid="{854FA685-1E8D-434A-A191-70ED326137F6}" name="Expected" dataDxfId="219"/>
    <tableColumn id="4" xr3:uid="{5C3F4DED-9A03-4256-AB35-C17DABA79D2D}" name="Delta Expected" dataDxfId="218">
      <calculatedColumnFormula>B5-C5</calculatedColumnFormula>
    </tableColumn>
    <tableColumn id="5" xr3:uid="{41D24EBB-4EC4-4943-84C6-B4913606DB53}" name="% Expected" dataDxfId="217">
      <calculatedColumnFormula>IFERROR(D5/C5, 0)</calculatedColumnFormula>
    </tableColumn>
    <tableColumn id="6" xr3:uid="{BD395EF8-0433-4B53-BE3C-227C7BC36415}" name="Forecasted" dataDxfId="216"/>
    <tableColumn id="7" xr3:uid="{72B64D61-E6FB-4C48-8CEB-D343DF097E3E}" name="Delta Forecasted" dataDxfId="215" dataCellStyle="Comma">
      <calculatedColumnFormula>B5-F5</calculatedColumnFormula>
    </tableColumn>
    <tableColumn id="8" xr3:uid="{27F4C8CA-7E0A-46AD-8278-F15F669646B7}" name="% Forecasted" dataDxfId="214">
      <calculatedColumnFormula>IFERROR(G5/F5, 0)</calculatedColumnFormula>
    </tableColumn>
    <tableColumn id="9" xr3:uid="{623D8263-ADF2-4E83-A133-77A77ECF5573}" name="Notes" dataDxfId="213"/>
    <tableColumn id="10" xr3:uid="{D21843AC-EB45-41B5-BBF8-600127984792}" name="Service Request" dataDxfId="2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319523-E3DA-4512-8986-006EECE1FC12}" name="Data26" displayName="Data26" ref="A4:J16" totalsRowShown="0" headerRowDxfId="207" dataDxfId="206" headerRowBorderDxfId="204" tableBorderDxfId="205" dataCellStyle="Percent">
  <autoFilter ref="A4:J16" xr:uid="{1E319523-E3DA-4512-8986-006EECE1FC12}"/>
  <tableColumns count="10">
    <tableColumn id="1" xr3:uid="{08A8D906-44DC-4A32-82DC-14BD0E859A85}" name="Month" dataDxfId="203"/>
    <tableColumn id="2" xr3:uid="{D6AD8B6C-401E-46D5-9564-9433BBCD2F6B}" name="Actual" dataDxfId="202"/>
    <tableColumn id="3" xr3:uid="{4185E920-B61C-4F54-BDE7-738AD5F33885}" name="Expected" dataDxfId="201"/>
    <tableColumn id="4" xr3:uid="{2BE4B80D-ADFE-4223-A03F-AC6A61FF37A5}" name="Delta Expected" dataDxfId="200">
      <calculatedColumnFormula>B5-C5</calculatedColumnFormula>
    </tableColumn>
    <tableColumn id="5" xr3:uid="{A514118B-FBD8-4FC1-86AA-96A95AC88715}" name="% Expected" dataDxfId="199" dataCellStyle="Percent">
      <calculatedColumnFormula>IFERROR(D5/C5, 0)</calculatedColumnFormula>
    </tableColumn>
    <tableColumn id="6" xr3:uid="{75228FB9-2FF7-4479-8702-69FFD385D5F3}" name="Forecasted" dataDxfId="198"/>
    <tableColumn id="7" xr3:uid="{97D1236D-DF8B-461A-9595-08382CC2DDFB}" name="Delta Forecasted" dataDxfId="197" dataCellStyle="Comma">
      <calculatedColumnFormula>B5-F5</calculatedColumnFormula>
    </tableColumn>
    <tableColumn id="8" xr3:uid="{42B09A05-ADBA-40C8-87BE-A1F5D33FFC3B}" name="% Forecasted" dataDxfId="196" dataCellStyle="Percent">
      <calculatedColumnFormula>IFERROR(G5/F5, 0)</calculatedColumnFormula>
    </tableColumn>
    <tableColumn id="9" xr3:uid="{B1231C7D-E536-4FDA-8330-48520D305EFE}" name="Notes" dataDxfId="195" dataCellStyle="Percent"/>
    <tableColumn id="10" xr3:uid="{F8AB4FFF-C414-4214-82FF-404814695543}" name="Service Request" dataDxfId="19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190" dataDxfId="189" headerRowBorderDxfId="187" tableBorderDxfId="188">
  <autoFilter ref="A4:J16" xr:uid="{59A959C2-52B2-422A-A87A-BC08BBF40681}"/>
  <tableColumns count="10">
    <tableColumn id="1" xr3:uid="{300F2B93-3E43-4029-9602-E5303206602D}" name="Month" dataDxfId="186"/>
    <tableColumn id="2" xr3:uid="{37FF0282-4483-4A16-B4CD-FA5C5D2AAB66}" name="Actual" dataDxfId="185"/>
    <tableColumn id="3" xr3:uid="{4B1572C6-48CA-4285-A895-59F55B5B6A3F}" name="Expected" dataDxfId="184"/>
    <tableColumn id="4" xr3:uid="{05CC6563-3045-40DE-A32C-A03045F46221}" name="Delta Expected" dataDxfId="183">
      <calculatedColumnFormula>B5-C5</calculatedColumnFormula>
    </tableColumn>
    <tableColumn id="5" xr3:uid="{0112F9D3-7673-407D-B2C0-617699B4EADA}" name="% Expected" dataDxfId="182">
      <calculatedColumnFormula>IFERROR(D5/C5, 0)</calculatedColumnFormula>
    </tableColumn>
    <tableColumn id="6" xr3:uid="{66AF3356-8A8A-4469-9904-982EE44943E2}" name="Forecasted" dataDxfId="181"/>
    <tableColumn id="7" xr3:uid="{C6527BC9-FA83-465E-9209-CCE13ABEDC9D}" name="Delta Forecasted" dataDxfId="180" dataCellStyle="Comma">
      <calculatedColumnFormula>B5-F5</calculatedColumnFormula>
    </tableColumn>
    <tableColumn id="8" xr3:uid="{FA6C6671-F650-4018-910D-2FFB550B3762}" name="% Forecasted" dataDxfId="179">
      <calculatedColumnFormula>IFERROR(G5/F5, 0)</calculatedColumnFormula>
    </tableColumn>
    <tableColumn id="9" xr3:uid="{2783C74E-2CBC-4809-B11D-46D4F8FBBA31}" name="Notes" dataDxfId="178"/>
    <tableColumn id="10" xr3:uid="{0D13FC05-4475-4C0F-ACFE-D5CA9083D091}" name="Service Request" dataDxfId="1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173" dataDxfId="172" headerRowBorderDxfId="170" tableBorderDxfId="171">
  <autoFilter ref="A4:J16" xr:uid="{59A959C2-52B2-422A-A87A-BC08BBF40681}"/>
  <tableColumns count="10">
    <tableColumn id="1" xr3:uid="{0C8C5D2C-22CD-4B1A-AA89-7DF9CC077053}" name="Month" dataDxfId="169"/>
    <tableColumn id="2" xr3:uid="{1504A410-2AFF-45D8-B05D-3003630C6253}" name="Actual" dataDxfId="168"/>
    <tableColumn id="3" xr3:uid="{E4620953-7DAB-4FED-A94B-5ED1A18BA51C}" name="Expected" dataDxfId="167"/>
    <tableColumn id="4" xr3:uid="{0E2D487F-5D52-4EF3-93FA-9263831DB0A2}" name="Delta Expected" dataDxfId="166">
      <calculatedColumnFormula>B5-C5</calculatedColumnFormula>
    </tableColumn>
    <tableColumn id="5" xr3:uid="{4E7B4ABC-A69B-400D-B5B2-832C6832F796}" name="% Expected" dataDxfId="165">
      <calculatedColumnFormula>IFERROR(D5/C5, 0)</calculatedColumnFormula>
    </tableColumn>
    <tableColumn id="6" xr3:uid="{01863DDF-3CCB-4609-8F75-0B0C278BB83F}" name="Forecasted" dataDxfId="164"/>
    <tableColumn id="7" xr3:uid="{8D07CC50-2E6D-421F-97CE-C028BAC10737}" name="Delta Forecasted" dataDxfId="163" dataCellStyle="Comma">
      <calculatedColumnFormula>B5-F5</calculatedColumnFormula>
    </tableColumn>
    <tableColumn id="8" xr3:uid="{4AC223A0-5E24-439A-AE0C-C81A96EC683F}" name="% Forecasted" dataDxfId="162">
      <calculatedColumnFormula>IFERROR(G5/F5, 0)</calculatedColumnFormula>
    </tableColumn>
    <tableColumn id="9" xr3:uid="{B21D21F1-1D16-4710-8885-CDF7B8E73B1F}" name="Notes" dataDxfId="161"/>
    <tableColumn id="10" xr3:uid="{7153195E-F3DA-438B-8DCB-CED54F61277D}" name="Service Request" dataDxfId="1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C07257C-BFB6-4805-8596-0866AA78AA5C}" name="Data18192021222324252627" displayName="Data18192021222324252627" ref="A4:J16" totalsRowShown="0" headerRowDxfId="157" dataDxfId="156" headerRowBorderDxfId="154" tableBorderDxfId="155">
  <autoFilter ref="A4:J16" xr:uid="{59A959C2-52B2-422A-A87A-BC08BBF40681}"/>
  <tableColumns count="10">
    <tableColumn id="1" xr3:uid="{838083B7-0287-4C21-9A6F-17E6A9A57D22}" name="Month" dataDxfId="153"/>
    <tableColumn id="2" xr3:uid="{247316F2-665B-4CB8-AE98-B160EDC17CD1}" name="Actual" dataDxfId="152"/>
    <tableColumn id="3" xr3:uid="{28F7712E-DE86-4EF2-A5CF-1CC2167EC41E}" name="Expected" dataDxfId="151"/>
    <tableColumn id="4" xr3:uid="{D3B59548-44B6-4CD4-9C83-00A146E8357F}" name="Delta Expected" dataDxfId="150">
      <calculatedColumnFormula>B5-C5</calculatedColumnFormula>
    </tableColumn>
    <tableColumn id="5" xr3:uid="{0F77CB24-DF7E-44EB-8F7A-EF266ED592AE}" name="% Expected" dataDxfId="149">
      <calculatedColumnFormula>IFERROR(D5/C5, 0)</calculatedColumnFormula>
    </tableColumn>
    <tableColumn id="6" xr3:uid="{8C639BB8-17D1-4724-86F9-E040B1E62A03}" name="Forecasted" dataDxfId="148"/>
    <tableColumn id="7" xr3:uid="{44F5CABC-A9BD-4E7B-9A00-6B48C98165F9}" name="Delta Forecasted" dataDxfId="147" dataCellStyle="Comma">
      <calculatedColumnFormula>B5-F5</calculatedColumnFormula>
    </tableColumn>
    <tableColumn id="8" xr3:uid="{2C2956C7-5C1E-43AF-BBA2-759C09FFD0D8}" name="% Forecasted" dataDxfId="146">
      <calculatedColumnFormula>IFERROR(G5/F5, 0)</calculatedColumnFormula>
    </tableColumn>
    <tableColumn id="9" xr3:uid="{482A0B3D-F68B-4980-A8D8-A77870F1CACE}" name="Notes" dataDxfId="145"/>
    <tableColumn id="10" xr3:uid="{8EDA506D-EE14-4152-8B4C-D3AEABA8ED99}" name="Service Request" dataDxfId="1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7F7EA7-3DE4-4425-ADD4-2BDD7BFD814D}" name="Data181920212223242526" displayName="Data181920212223242526" ref="A4:J16" totalsRowShown="0" headerRowDxfId="141" dataDxfId="140" headerRowBorderDxfId="138" tableBorderDxfId="139">
  <autoFilter ref="A4:J16" xr:uid="{59A959C2-52B2-422A-A87A-BC08BBF40681}"/>
  <tableColumns count="10">
    <tableColumn id="1" xr3:uid="{118AA2FE-E7D2-4206-B16A-6CCC68775996}" name="Month" dataDxfId="137"/>
    <tableColumn id="2" xr3:uid="{8A368234-EDD7-4E42-B9AD-515668818627}" name="Actual" dataDxfId="136"/>
    <tableColumn id="3" xr3:uid="{73D95621-FBC9-4CA1-AC2E-D1C96DE36B70}" name="Expected" dataDxfId="135"/>
    <tableColumn id="4" xr3:uid="{48DCF5B7-C57B-4CF9-A49C-382C49997254}" name="Delta Expected" dataDxfId="134">
      <calculatedColumnFormula>B5-C5</calculatedColumnFormula>
    </tableColumn>
    <tableColumn id="5" xr3:uid="{5063409C-2F70-4B9F-84DC-2C5F3812BB27}" name="% Expected" dataDxfId="133">
      <calculatedColumnFormula>IFERROR(D5/C5, 0)</calculatedColumnFormula>
    </tableColumn>
    <tableColumn id="6" xr3:uid="{81C000AC-8AC1-4109-A3D9-07363868E241}" name="Forecasted" dataDxfId="132"/>
    <tableColumn id="7" xr3:uid="{FE7AC5F1-C3C2-4907-9BD3-BF7CE8EFF4D8}" name="Delta Forecasted" dataDxfId="131" dataCellStyle="Comma">
      <calculatedColumnFormula>B5-F5</calculatedColumnFormula>
    </tableColumn>
    <tableColumn id="8" xr3:uid="{504FC4D5-CE5F-4A3D-8704-2F10443078A7}" name="% Forecasted" dataDxfId="130">
      <calculatedColumnFormula>IFERROR(G5/F5, 0)</calculatedColumnFormula>
    </tableColumn>
    <tableColumn id="9" xr3:uid="{FBC18841-E5E5-4300-A44D-DAAA6A23EC2A}" name="Notes" dataDxfId="129"/>
    <tableColumn id="10" xr3:uid="{9FDCDDFC-003E-4741-A2BA-7A020C5F93E1}" name="Service Request" dataDxfId="1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A9A3C44-577B-4C40-8F57-7207CDD719E6}" name="Data1819202122232425" displayName="Data1819202122232425" ref="A4:J16" totalsRowShown="0" headerRowDxfId="125" dataDxfId="124" headerRowBorderDxfId="122" tableBorderDxfId="123">
  <autoFilter ref="A4:J16" xr:uid="{59A959C2-52B2-422A-A87A-BC08BBF40681}"/>
  <tableColumns count="10">
    <tableColumn id="1" xr3:uid="{3A3EEF0D-D014-4E53-901F-CA7C928A30A1}" name="Month" dataDxfId="121"/>
    <tableColumn id="2" xr3:uid="{ACE88E48-6015-4F1C-B2B4-901B0FB7A72E}" name="Actual" dataDxfId="120"/>
    <tableColumn id="3" xr3:uid="{C450CF17-55EB-41DF-86BF-0F90B2B17116}" name="Expected" dataDxfId="119"/>
    <tableColumn id="4" xr3:uid="{D328879F-AF67-4769-A8A0-1C5A45E099F0}" name="Delta Expected" dataDxfId="118">
      <calculatedColumnFormula>B5-C5</calculatedColumnFormula>
    </tableColumn>
    <tableColumn id="5" xr3:uid="{5A328FC1-E240-4800-9AF2-110C4A4ECC65}" name="% Expected" dataDxfId="117">
      <calculatedColumnFormula>IFERROR(D5/C5, 0)</calculatedColumnFormula>
    </tableColumn>
    <tableColumn id="6" xr3:uid="{7C79FD01-0775-4035-A0D4-C688561910F6}" name="Forecasted" dataDxfId="116"/>
    <tableColumn id="7" xr3:uid="{9B11E4B3-2FEA-48ED-B46E-5AD64770E9EF}" name="Delta Forecasted" dataDxfId="115" dataCellStyle="Comma">
      <calculatedColumnFormula>B5-F5</calculatedColumnFormula>
    </tableColumn>
    <tableColumn id="8" xr3:uid="{E2E6FD63-076A-4431-AAB9-BC1A2E2B8105}" name="% Forecasted" dataDxfId="114">
      <calculatedColumnFormula>IFERROR(G5/F5, 0)</calculatedColumnFormula>
    </tableColumn>
    <tableColumn id="9" xr3:uid="{CCA03326-3B22-4649-B671-18B331CFCFC9}" name="Notes" dataDxfId="113"/>
    <tableColumn id="10" xr3:uid="{6C921FF4-9FBC-47A9-B98A-CB58C94F10C5}" name="Service Request" dataDxfId="1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40BF71-B37D-403C-8ED2-970FEFC4E1F8}" name="Data18192021222324" displayName="Data18192021222324" ref="A4:J16" totalsRowShown="0" headerRowDxfId="109" dataDxfId="108" headerRowBorderDxfId="106" tableBorderDxfId="107">
  <autoFilter ref="A4:J16" xr:uid="{59A959C2-52B2-422A-A87A-BC08BBF40681}"/>
  <tableColumns count="10">
    <tableColumn id="1" xr3:uid="{F9004329-C93B-4933-AB9F-534ED42FFD10}" name="Month" dataDxfId="105"/>
    <tableColumn id="2" xr3:uid="{432C2987-91D2-4E70-8181-8CD8A6D67978}" name="Actual" dataDxfId="104"/>
    <tableColumn id="3" xr3:uid="{BF6EC749-C28A-4B1B-9CA2-88C8EED0F545}" name="Expected" dataDxfId="103"/>
    <tableColumn id="4" xr3:uid="{8666E9BF-D657-45F6-BA3D-1E281BF0D8A2}" name="Delta Expected" dataDxfId="102">
      <calculatedColumnFormula>B5-C5</calculatedColumnFormula>
    </tableColumn>
    <tableColumn id="5" xr3:uid="{690EED91-B2CC-423E-A46D-0467A03087EB}" name="% Expected" dataDxfId="101">
      <calculatedColumnFormula>IFERROR(D5/C5, 0)</calculatedColumnFormula>
    </tableColumn>
    <tableColumn id="6" xr3:uid="{985AE196-ED6A-49D0-9CF5-38363D80BF1C}" name="Forecasted" dataDxfId="100"/>
    <tableColumn id="7" xr3:uid="{B3189039-676E-4B7F-B804-B61300C3AC2B}" name="Delta Forecasted" dataDxfId="99" dataCellStyle="Comma">
      <calculatedColumnFormula>B5-F5</calculatedColumnFormula>
    </tableColumn>
    <tableColumn id="8" xr3:uid="{3C865CF1-C516-404B-BD49-7AF88A316696}" name="% Forecasted" dataDxfId="98">
      <calculatedColumnFormula>IFERROR(G5/F5, 0)</calculatedColumnFormula>
    </tableColumn>
    <tableColumn id="9" xr3:uid="{A8E110DC-2AD0-4532-BAB3-F25A93C8FA14}" name="Notes" dataDxfId="97"/>
    <tableColumn id="10" xr3:uid="{6B03DC8E-AFEA-4605-83B2-335A63A6E612}" name="Service Request" dataDxfId="9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E61EF7-1681-43AC-8BFC-828B03742EC6}" name="Data181920212223247" displayName="Data181920212223247" ref="A4:J16" totalsRowShown="0" headerRowDxfId="93" dataDxfId="92" headerRowBorderDxfId="90" tableBorderDxfId="91">
  <autoFilter ref="A4:J16" xr:uid="{59A959C2-52B2-422A-A87A-BC08BBF40681}"/>
  <tableColumns count="10">
    <tableColumn id="1" xr3:uid="{42F6121E-D16B-4F46-B04A-0B9DFB35FE01}" name="Month" dataDxfId="89"/>
    <tableColumn id="2" xr3:uid="{21875F0A-74F5-49DF-8896-7EFF5F13DCEB}" name="Actual" dataDxfId="88"/>
    <tableColumn id="3" xr3:uid="{465BD653-D05D-4152-887B-E9A954BA1DD6}" name="Expected" dataDxfId="87"/>
    <tableColumn id="4" xr3:uid="{63AF4AD6-2733-4350-972C-780DEFABD059}" name="Delta Expected" dataDxfId="86">
      <calculatedColumnFormula>B5-C5</calculatedColumnFormula>
    </tableColumn>
    <tableColumn id="5" xr3:uid="{80D39497-435C-46B6-92A4-EAAEAE82B5B3}" name="% Expected" dataDxfId="85">
      <calculatedColumnFormula>IFERROR(D5/C5, 0)</calculatedColumnFormula>
    </tableColumn>
    <tableColumn id="6" xr3:uid="{73AC00CC-BF64-43EC-BDD0-8A921FABA702}" name="Forecasted" dataDxfId="84"/>
    <tableColumn id="7" xr3:uid="{4667533B-45EB-4D1A-BC53-0221BB24818B}" name="Delta Forecasted" dataDxfId="83" dataCellStyle="Comma">
      <calculatedColumnFormula>B5-F5</calculatedColumnFormula>
    </tableColumn>
    <tableColumn id="8" xr3:uid="{4B9B6F47-DB26-4A61-A135-CF0C2B442F4C}" name="% Forecasted" dataDxfId="82">
      <calculatedColumnFormula>IFERROR(G5/F5, 0)</calculatedColumnFormula>
    </tableColumn>
    <tableColumn id="9" xr3:uid="{CC3580ED-268D-4C57-917B-DF77B3D6C735}" name="Notes" dataDxfId="81"/>
    <tableColumn id="10" xr3:uid="{D1EAF371-7591-4EE5-8F57-261C12F1DE53}" name="Service Request" dataDxfId="8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F41B6C-F18E-4610-9DDA-FE502616A870}" name="Data1819202122232479" displayName="Data1819202122232479" ref="A4:J16" totalsRowShown="0" headerRowDxfId="77" dataDxfId="76" headerRowBorderDxfId="74" tableBorderDxfId="75">
  <autoFilter ref="A4:J16" xr:uid="{59A959C2-52B2-422A-A87A-BC08BBF40681}"/>
  <tableColumns count="10">
    <tableColumn id="1" xr3:uid="{0C90795B-56CB-445F-9792-1B4BC6FD5133}" name="Month" dataDxfId="73"/>
    <tableColumn id="2" xr3:uid="{01DBED8E-D0AC-4649-9CAD-AD8A0611881F}" name="Actual" dataDxfId="72"/>
    <tableColumn id="3" xr3:uid="{AD991CD4-C614-4C30-81E8-E4246E938F85}" name="Expected" dataDxfId="71"/>
    <tableColumn id="4" xr3:uid="{AD8C8912-4CE5-4C3F-A7A1-210665A2A8FF}" name="Delta Expected" dataDxfId="70">
      <calculatedColumnFormula>B5-C5</calculatedColumnFormula>
    </tableColumn>
    <tableColumn id="5" xr3:uid="{EAE5FCF7-D46A-4D76-9734-DC687BDC9D88}" name="% Expected" dataDxfId="69">
      <calculatedColumnFormula>IFERROR(D5/C5, 0)</calculatedColumnFormula>
    </tableColumn>
    <tableColumn id="6" xr3:uid="{E0976D44-E35E-40F9-8E6F-B624744B7E36}" name="Forecasted" dataDxfId="68"/>
    <tableColumn id="7" xr3:uid="{199BDC5D-5A15-4119-9EBB-6CB3F12906AE}" name="Delta Forecasted" dataDxfId="67" dataCellStyle="Comma">
      <calculatedColumnFormula>B5-F5</calculatedColumnFormula>
    </tableColumn>
    <tableColumn id="8" xr3:uid="{C1ABA492-2E33-42F2-8625-F0EA8E7A7E11}" name="% Forecasted" dataDxfId="66">
      <calculatedColumnFormula>IFERROR(G5/F5, 0)</calculatedColumnFormula>
    </tableColumn>
    <tableColumn id="9" xr3:uid="{D62FAAFE-BC7C-452F-83E6-6F047744D878}" name="Notes" dataDxfId="65"/>
    <tableColumn id="10" xr3:uid="{580A9D08-01FB-48A8-A97D-08327040A3FD}" name="Service Request" dataDxfId="6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7F13DA-B28B-4592-90CF-68841EC7EB71}" name="Data181920212223247910" displayName="Data181920212223247910" ref="A4:J16" totalsRowShown="0" headerRowDxfId="61" dataDxfId="60" headerRowBorderDxfId="58" tableBorderDxfId="59">
  <autoFilter ref="A4:J16" xr:uid="{59A959C2-52B2-422A-A87A-BC08BBF40681}"/>
  <tableColumns count="10">
    <tableColumn id="1" xr3:uid="{FBD34861-AB78-4C02-8CCD-A465EC2306F2}" name="Month" dataDxfId="57"/>
    <tableColumn id="2" xr3:uid="{8EFE33EF-C63B-4BC4-98C3-E45B3206853B}" name="Actual" dataDxfId="56"/>
    <tableColumn id="3" xr3:uid="{B45A549F-CC92-4220-8C9B-F1F67829B485}" name="Expected" dataDxfId="55"/>
    <tableColumn id="4" xr3:uid="{2E394035-828D-406D-B380-4B45B4A586EA}" name="Delta Expected" dataDxfId="54">
      <calculatedColumnFormula>B5-C5</calculatedColumnFormula>
    </tableColumn>
    <tableColumn id="5" xr3:uid="{5C5D80A5-C77B-4895-BFE8-584AB2FBCE12}" name="% Expected" dataDxfId="53">
      <calculatedColumnFormula>IFERROR(D5/C5, 0)</calculatedColumnFormula>
    </tableColumn>
    <tableColumn id="6" xr3:uid="{E048BD4D-859A-48FF-ABA0-9DA8F3A9BBB6}" name="Forecasted" dataDxfId="52"/>
    <tableColumn id="7" xr3:uid="{0CFBDFBF-2B3B-488E-B8B9-AEC72C09F890}" name="Delta Forecasted" dataDxfId="51" dataCellStyle="Comma">
      <calculatedColumnFormula>B5-F5</calculatedColumnFormula>
    </tableColumn>
    <tableColumn id="8" xr3:uid="{4829591E-D6B5-44B8-B143-967169A718FE}" name="% Forecasted" dataDxfId="50">
      <calculatedColumnFormula>IFERROR(G5/F5, 0)</calculatedColumnFormula>
    </tableColumn>
    <tableColumn id="9" xr3:uid="{7C2EA89B-DD3A-4B86-B9C8-E8921F48502C}" name="Notes" dataDxfId="49"/>
    <tableColumn id="10" xr3:uid="{DB34B972-91FD-4B0D-B557-6D96E32E0156}" name="Service Request" dataDxfId="4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DD3451-A03E-4335-AE3C-C0C35F7C84A4}" name="Data1819202122232479104" displayName="Data1819202122232479104" ref="A4:J16" totalsRowShown="0" headerRowDxfId="45" dataDxfId="44" headerRowBorderDxfId="42" tableBorderDxfId="43">
  <autoFilter ref="A4:J16" xr:uid="{AADD3451-A03E-4335-AE3C-C0C35F7C84A4}"/>
  <tableColumns count="10">
    <tableColumn id="1" xr3:uid="{134A6779-5B92-477E-9356-38353CE4169B}" name="Month" dataDxfId="41"/>
    <tableColumn id="2" xr3:uid="{CAF8AA74-EF2B-4EE3-8585-DF82D6CBB3AD}" name="Actual" dataDxfId="40"/>
    <tableColumn id="3" xr3:uid="{93DF9759-5230-4895-9FA6-60A86448BE96}" name="Expected" dataDxfId="39"/>
    <tableColumn id="4" xr3:uid="{11F9D13D-42C6-4FF8-AB6B-AEDC600ADCAA}" name="Delta Expected" dataDxfId="38">
      <calculatedColumnFormula>B5-C5</calculatedColumnFormula>
    </tableColumn>
    <tableColumn id="5" xr3:uid="{A4A70F08-FD91-4C71-8592-78357D2F2107}" name="% Expected" dataDxfId="37">
      <calculatedColumnFormula>IFERROR(D5/C5, 0)</calculatedColumnFormula>
    </tableColumn>
    <tableColumn id="6" xr3:uid="{5338DF8F-C7CA-4563-8D2F-1DD998909575}" name="Forecasted" dataDxfId="36"/>
    <tableColumn id="7" xr3:uid="{D278C56A-46E6-4F8A-9878-F54DAB2AA322}" name="Delta Forecasted" dataDxfId="35" dataCellStyle="Comma">
      <calculatedColumnFormula>B5-F5</calculatedColumnFormula>
    </tableColumn>
    <tableColumn id="8" xr3:uid="{541A2380-E42B-480A-B876-4BDE8967930D}" name="% Forecasted" dataDxfId="34">
      <calculatedColumnFormula>IFERROR(G5/F5, 0)</calculatedColumnFormula>
    </tableColumn>
    <tableColumn id="9" xr3:uid="{FAF9E1C5-5F4B-46E9-85BC-3676B001CA77}" name="Notes" dataDxfId="33"/>
    <tableColumn id="10" xr3:uid="{49B89675-85E1-421B-A328-4C96AE0372FE}" name="Service Request" dataDxfId="3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BA82670-369B-4C3A-82B7-2FD5C4776195}" name="Data181920212223" displayName="Data181920212223" ref="A4:J16" totalsRowShown="0" headerRowDxfId="29" dataDxfId="28" headerRowBorderDxfId="26" tableBorderDxfId="27">
  <autoFilter ref="A4:J16" xr:uid="{59A959C2-52B2-422A-A87A-BC08BBF40681}"/>
  <tableColumns count="10">
    <tableColumn id="1" xr3:uid="{8D8CAC86-1F92-428A-978A-419573E60EDA}" name="Month" dataDxfId="25"/>
    <tableColumn id="2" xr3:uid="{223FDFFC-2B96-4B49-A3DA-3CE9110E23BA}" name="Actual" dataDxfId="24"/>
    <tableColumn id="3" xr3:uid="{697166FB-0846-4476-A3B9-F5E3CD1A5484}" name="Expected" dataDxfId="23"/>
    <tableColumn id="4" xr3:uid="{19183987-F433-4DF0-B9DB-E51E150F6A35}" name="Delta Expected" dataDxfId="22">
      <calculatedColumnFormula>B5-C5</calculatedColumnFormula>
    </tableColumn>
    <tableColumn id="5" xr3:uid="{E16DBE60-5B92-446F-8AB1-18813170F80A}" name="% Expected" dataDxfId="21">
      <calculatedColumnFormula>IFERROR(D5/C5, 0)</calculatedColumnFormula>
    </tableColumn>
    <tableColumn id="6" xr3:uid="{9C65936D-3A2D-49C0-A20F-C0BCB81436F3}" name="Forecasted" dataDxfId="20"/>
    <tableColumn id="7" xr3:uid="{CCF7E1D2-D7A4-481E-A184-00FF7C45982A}" name="Delta Forecasted" dataDxfId="19" dataCellStyle="Comma">
      <calculatedColumnFormula>B5-F5</calculatedColumnFormula>
    </tableColumn>
    <tableColumn id="8" xr3:uid="{00CEF032-E306-4FD4-BF8E-2BA66ADCE3C9}" name="% Forecasted" dataDxfId="18">
      <calculatedColumnFormula>IFERROR(G5/F5, 0)</calculatedColumnFormula>
    </tableColumn>
    <tableColumn id="9" xr3:uid="{317641D1-0E53-4EE1-8813-736213A5B2A2}" name="Notes" dataDxfId="17"/>
    <tableColumn id="10" xr3:uid="{23757325-21CC-4B19-856B-0A394E6508D4}" name="Service Request" dataDxfId="1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D6B4A-9416-4379-8BD6-AD0B1630A41D}" name="Data1819202122" displayName="Data1819202122" ref="A4:J16" totalsRowShown="0" headerRowDxfId="13" dataDxfId="12" headerRowBorderDxfId="10" tableBorderDxfId="11">
  <autoFilter ref="A4:J16" xr:uid="{59A959C2-52B2-422A-A87A-BC08BBF40681}"/>
  <tableColumns count="10">
    <tableColumn id="1" xr3:uid="{347C7D3C-FD82-46F9-BEBD-8735F2193CE9}" name="Month" dataDxfId="9"/>
    <tableColumn id="2" xr3:uid="{199C91A5-15D1-40E0-8621-51A592031F8A}" name="Actual" dataDxfId="8"/>
    <tableColumn id="3" xr3:uid="{7A6FD5D4-0F5A-4349-BB04-3685AC1C21F9}" name="Expected" dataDxfId="7"/>
    <tableColumn id="4" xr3:uid="{37A4EBAC-FCA0-45AD-A30B-96A8319A8E0C}" name="Delta Expected" dataDxfId="6">
      <calculatedColumnFormula>B5-C5</calculatedColumnFormula>
    </tableColumn>
    <tableColumn id="5" xr3:uid="{49F0FD00-E5C0-4904-AFDC-2209D8270C83}" name="% Expected" dataDxfId="5">
      <calculatedColumnFormula>IFERROR(D5/C5, 0)</calculatedColumnFormula>
    </tableColumn>
    <tableColumn id="6" xr3:uid="{435BBA7F-11D8-4DB8-88B6-3C87B3349883}" name="Forecasted" dataDxfId="4"/>
    <tableColumn id="7" xr3:uid="{57D2837A-D5C4-4D5B-A637-2DBB8F89E7B7}" name="Delta Forecasted" dataDxfId="3" dataCellStyle="Comma">
      <calculatedColumnFormula>B5-F5</calculatedColumnFormula>
    </tableColumn>
    <tableColumn id="8" xr3:uid="{D5D39AF6-24F2-48A2-B19B-F5FADCA2161A}" name="% Forecasted" dataDxfId="2">
      <calculatedColumnFormula>IFERROR(G5/F5, 0)</calculatedColumnFormula>
    </tableColumn>
    <tableColumn id="9" xr3:uid="{BDCD9932-214E-402F-BB90-9556552F7689}" name="Notes" dataDxfId="1"/>
    <tableColumn id="10" xr3:uid="{6961543E-6754-46C0-ABF0-4377D20747FD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22"/>
  <sheetViews>
    <sheetView workbookViewId="0">
      <pane ySplit="2" topLeftCell="A3" activePane="bottomLeft" state="frozen"/>
      <selection pane="bottomLeft" activeCell="G23" sqref="G23"/>
      <selection activeCell="K16" sqref="K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27" t="str" cm="1">
        <f t="array" ref="A1">portfolio</f>
        <v>Catalyze</v>
      </c>
      <c r="B1" s="128"/>
      <c r="C1" s="129" t="s">
        <v>0</v>
      </c>
      <c r="D1" s="130"/>
      <c r="E1" s="130"/>
      <c r="F1" s="131"/>
      <c r="G1" s="121" t="s">
        <v>1</v>
      </c>
      <c r="H1" s="121"/>
      <c r="I1" s="122"/>
    </row>
    <row r="2" spans="1:9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>
        <f ca="1">SUM('1st Qtr'!C3, '2nd Qtr'!C3, '3rd Qtr'!C3, '4th Qtr'!C3)</f>
        <v>40368.4375</v>
      </c>
      <c r="D3" s="49">
        <f ca="1">SUM('1st Qtr'!D3, '2nd Qtr'!D3, '3rd Qtr'!D3, '4th Qtr'!D3)</f>
        <v>39837.75</v>
      </c>
      <c r="E3" s="49">
        <f ca="1">C3-D3</f>
        <v>530.6875</v>
      </c>
      <c r="F3" s="50">
        <f ca="1">IFERROR(E3/D3, 0)</f>
        <v>1.3321221705543109E-2</v>
      </c>
      <c r="G3" s="51">
        <f ca="1">SUM('1st Qtr'!G3, '2nd Qtr'!G3, '3rd Qtr'!G3, '4th Qtr'!G3)</f>
        <v>48161.71</v>
      </c>
      <c r="H3" s="51">
        <f ca="1">C3-G3</f>
        <v>-7793.2724999999991</v>
      </c>
      <c r="I3" s="52">
        <f ca="1">IFERROR(H3/G3, 0)</f>
        <v>-0.16181469677883115</v>
      </c>
    </row>
    <row r="4" spans="1:9" ht="15.75">
      <c r="A4" s="62" t="str">
        <v>Adelanto - 1 Sheep Creek Road</v>
      </c>
      <c r="B4" s="21" t="str">
        <v>CA</v>
      </c>
      <c r="C4" s="49">
        <f ca="1">SUM('1st Qtr'!C4, '2nd Qtr'!C4, '3rd Qtr'!C4, '4th Qtr'!C4)</f>
        <v>80417</v>
      </c>
      <c r="D4" s="49">
        <f ca="1">SUM('1st Qtr'!D4, '2nd Qtr'!D4, '3rd Qtr'!D4, '4th Qtr'!D4)</f>
        <v>352340</v>
      </c>
      <c r="E4" s="49">
        <f t="shared" ref="E4:E7" ca="1" si="0">C4-D4</f>
        <v>-271923</v>
      </c>
      <c r="F4" s="50">
        <f t="shared" ref="F4:F7" ca="1" si="1">IFERROR(E4/D4, 0)</f>
        <v>-0.77176306976216158</v>
      </c>
      <c r="G4" s="51">
        <f ca="1">SUM('1st Qtr'!G4, '2nd Qtr'!G4, '3rd Qtr'!G4, '4th Qtr'!G4)</f>
        <v>479912</v>
      </c>
      <c r="H4" s="51">
        <f t="shared" ref="H4:H7" ca="1" si="2">C4-G4</f>
        <v>-399495</v>
      </c>
      <c r="I4" s="52">
        <f t="shared" ref="I4:I7" ca="1" si="3">IFERROR(H4/G4, 0)</f>
        <v>-0.83243386287486043</v>
      </c>
    </row>
    <row r="5" spans="1:9" ht="15.75">
      <c r="A5" s="63" t="str">
        <v>Blackstone - 83 Federal Street</v>
      </c>
      <c r="B5" s="48" t="str">
        <v>MA</v>
      </c>
      <c r="C5" s="49">
        <f ca="1">SUM('1st Qtr'!C5, '2nd Qtr'!C5, '3rd Qtr'!C5, '4th Qtr'!C5)</f>
        <v>106968</v>
      </c>
      <c r="D5" s="49">
        <f ca="1">SUM('1st Qtr'!D5, '2nd Qtr'!D5, '3rd Qtr'!D5, '4th Qtr'!D5)</f>
        <v>0</v>
      </c>
      <c r="E5" s="49">
        <f t="shared" ca="1" si="0"/>
        <v>106968</v>
      </c>
      <c r="F5" s="50">
        <f t="shared" ca="1" si="1"/>
        <v>0</v>
      </c>
      <c r="G5" s="51">
        <f ca="1">SUM('1st Qtr'!G5, '2nd Qtr'!G5, '3rd Qtr'!G5, '4th Qtr'!G5)</f>
        <v>352931.5</v>
      </c>
      <c r="H5" s="51">
        <f t="shared" ca="1" si="2"/>
        <v>-245963.5</v>
      </c>
      <c r="I5" s="52">
        <f t="shared" ca="1" si="3"/>
        <v>-0.69691569043851287</v>
      </c>
    </row>
    <row r="6" spans="1:9" ht="15.75">
      <c r="A6" s="62" t="str">
        <v>Charlton - 299 Worcester Road</v>
      </c>
      <c r="B6" s="21" t="str">
        <v>MA</v>
      </c>
      <c r="C6" s="49">
        <f ca="1">SUM('1st Qtr'!C6, '2nd Qtr'!C6, '3rd Qtr'!C6, '4th Qtr'!C6)</f>
        <v>11889</v>
      </c>
      <c r="D6" s="49">
        <f ca="1">SUM('1st Qtr'!D6, '2nd Qtr'!D6, '3rd Qtr'!D6, '4th Qtr'!D6)</f>
        <v>21739.23</v>
      </c>
      <c r="E6" s="49">
        <f t="shared" ca="1" si="0"/>
        <v>-9850.23</v>
      </c>
      <c r="F6" s="50">
        <f t="shared" ca="1" si="1"/>
        <v>-0.45310850476304815</v>
      </c>
      <c r="G6" s="51">
        <f ca="1">SUM('1st Qtr'!G6, '2nd Qtr'!G6, '3rd Qtr'!G6, '4th Qtr'!G6)</f>
        <v>32151.25</v>
      </c>
      <c r="H6" s="51">
        <f t="shared" ca="1" si="2"/>
        <v>-20262.25</v>
      </c>
      <c r="I6" s="52">
        <f t="shared" ca="1" si="3"/>
        <v>-0.63021655456630765</v>
      </c>
    </row>
    <row r="7" spans="1:9" ht="15.75">
      <c r="A7" s="63" t="str">
        <v>Wareham - 8 Thatcher Drive</v>
      </c>
      <c r="B7" s="48" t="str">
        <v>MA</v>
      </c>
      <c r="C7" s="49">
        <f ca="1">SUM('1st Qtr'!C7, '2nd Qtr'!C7, '3rd Qtr'!C7, '4th Qtr'!C7)</f>
        <v>5780.1686557785097</v>
      </c>
      <c r="D7" s="49">
        <f ca="1">SUM('1st Qtr'!D7, '2nd Qtr'!D7, '3rd Qtr'!D7, '4th Qtr'!D7)</f>
        <v>7080.0609999999997</v>
      </c>
      <c r="E7" s="49">
        <f t="shared" ca="1" si="0"/>
        <v>-1299.89234422149</v>
      </c>
      <c r="F7" s="50">
        <f t="shared" ca="1" si="1"/>
        <v>-0.18359903173454156</v>
      </c>
      <c r="G7" s="51">
        <f ca="1">SUM('1st Qtr'!G7, '2nd Qtr'!G7, '3rd Qtr'!G7, '4th Qtr'!G7)</f>
        <v>8785.3289999999997</v>
      </c>
      <c r="H7" s="51">
        <f t="shared" ca="1" si="2"/>
        <v>-3005.16034422149</v>
      </c>
      <c r="I7" s="52">
        <f t="shared" ca="1" si="3"/>
        <v>-0.34206577172254904</v>
      </c>
    </row>
    <row r="8" spans="1:9" ht="15.75">
      <c r="A8" s="62" t="str">
        <v>West Yarmouth - 42 Mid Tech</v>
      </c>
      <c r="B8" s="21" t="str">
        <v>MA</v>
      </c>
      <c r="C8" s="49">
        <f ca="1">SUM('1st Qtr'!C8, '2nd Qtr'!C8, '3rd Qtr'!C8, '4th Qtr'!C8)</f>
        <v>4426.7571265835404</v>
      </c>
      <c r="D8" s="49">
        <f ca="1">SUM('1st Qtr'!D8, '2nd Qtr'!D8, '3rd Qtr'!D8, '4th Qtr'!D8)</f>
        <v>5459.4780000000001</v>
      </c>
      <c r="E8" s="49">
        <f t="shared" ref="E8:E16" ca="1" si="4">C8-D8</f>
        <v>-1032.7208734164597</v>
      </c>
      <c r="F8" s="50">
        <f t="shared" ref="F8:F16" ca="1" si="5">IFERROR(E8/D8, 0)</f>
        <v>-0.18916110174204559</v>
      </c>
      <c r="G8" s="51">
        <f ca="1">SUM('1st Qtr'!G8, '2nd Qtr'!G8, '3rd Qtr'!G8, '4th Qtr'!G8)</f>
        <v>6769.56</v>
      </c>
      <c r="H8" s="51">
        <f t="shared" ref="H8:H16" ca="1" si="6">C8-G8</f>
        <v>-2342.80287341646</v>
      </c>
      <c r="I8" s="52">
        <f t="shared" ref="I8:I16" ca="1" si="7">IFERROR(H8/G8, 0)</f>
        <v>-0.34607904700105468</v>
      </c>
    </row>
    <row r="9" spans="1:9" ht="15.75">
      <c r="A9" s="63" t="str">
        <v>Harrison - 130 Union Street</v>
      </c>
      <c r="B9" s="48" t="str">
        <v>NY</v>
      </c>
      <c r="C9" s="49">
        <f ca="1">SUM('1st Qtr'!C9, '2nd Qtr'!C9, '3rd Qtr'!C9, '4th Qtr'!C9)</f>
        <v>5693.0625</v>
      </c>
      <c r="D9" s="49">
        <f ca="1">SUM('1st Qtr'!D9, '2nd Qtr'!D9, '3rd Qtr'!D9, '4th Qtr'!D9)</f>
        <v>9025.6859999999997</v>
      </c>
      <c r="E9" s="49">
        <f t="shared" ca="1" si="4"/>
        <v>-3332.6234999999997</v>
      </c>
      <c r="F9" s="50">
        <f t="shared" ca="1" si="5"/>
        <v>-0.36923769561670988</v>
      </c>
      <c r="G9" s="51">
        <f ca="1">SUM('1st Qtr'!G9, '2nd Qtr'!G9, '3rd Qtr'!G9, '4th Qtr'!G9)</f>
        <v>10708.14</v>
      </c>
      <c r="H9" s="51">
        <f t="shared" ca="1" si="6"/>
        <v>-5015.0774999999994</v>
      </c>
      <c r="I9" s="52">
        <f t="shared" ca="1" si="7"/>
        <v>-0.46834254128167913</v>
      </c>
    </row>
    <row r="10" spans="1:9" ht="15.75">
      <c r="A10" s="62" t="str">
        <v>Staten Island - Ellis Storage</v>
      </c>
      <c r="B10" s="21" t="str">
        <v>NY</v>
      </c>
      <c r="C10" s="49">
        <f ca="1">SUM('1st Qtr'!C10, '2nd Qtr'!C10, '3rd Qtr'!C10, '4th Qtr'!C10)</f>
        <v>12897.375</v>
      </c>
      <c r="D10" s="49">
        <f ca="1">SUM('1st Qtr'!D10, '2nd Qtr'!D10, '3rd Qtr'!D10, '4th Qtr'!D10)</f>
        <v>21330.59</v>
      </c>
      <c r="E10" s="49">
        <f t="shared" ca="1" si="4"/>
        <v>-8433.2150000000001</v>
      </c>
      <c r="F10" s="50">
        <f ca="1">IFERROR(E10/D10, 0)</f>
        <v>-0.39535779366627927</v>
      </c>
      <c r="G10" s="51">
        <f ca="1">SUM('1st Qtr'!G10, '2nd Qtr'!G10, '3rd Qtr'!G10, '4th Qtr'!G10)</f>
        <v>23412.400000000001</v>
      </c>
      <c r="H10" s="51">
        <f t="shared" ca="1" si="6"/>
        <v>-10515.025000000001</v>
      </c>
      <c r="I10" s="52">
        <f t="shared" ca="1" si="7"/>
        <v>-0.44912204643693088</v>
      </c>
    </row>
    <row r="11" spans="1:9" ht="15.75">
      <c r="A11" s="63" t="str">
        <v>Amherst - 595 Scholles Road</v>
      </c>
      <c r="B11" s="48" t="str">
        <v>NY</v>
      </c>
      <c r="C11" s="49">
        <f ca="1">SUM('1st Qtr'!C11, '2nd Qtr'!C11, '3rd Qtr'!C11, '4th Qtr'!C11)</f>
        <v>99935</v>
      </c>
      <c r="D11" s="49">
        <f ca="1">SUM('1st Qtr'!D11, '2nd Qtr'!D11, '3rd Qtr'!D11, '4th Qtr'!D11)</f>
        <v>131383.59999999998</v>
      </c>
      <c r="E11" s="49">
        <f ca="1">C11-D11</f>
        <v>-31448.599999999977</v>
      </c>
      <c r="F11" s="50">
        <f ca="1">IFERROR(E11/D11, 0)</f>
        <v>-0.23936473045342024</v>
      </c>
      <c r="G11" s="51">
        <f ca="1">SUM('1st Qtr'!G11, '2nd Qtr'!G11, '3rd Qtr'!G11, '4th Qtr'!G11)</f>
        <v>286492</v>
      </c>
      <c r="H11" s="51">
        <f ca="1">C11-G11</f>
        <v>-186557</v>
      </c>
      <c r="I11" s="52">
        <f ca="1">IFERROR(H11/G11, 0)</f>
        <v>-0.65117699621629921</v>
      </c>
    </row>
    <row r="12" spans="1:9" ht="15.75">
      <c r="A12" s="63" t="str">
        <v>Lancaster 1 - Gunnville Road</v>
      </c>
      <c r="B12" s="48" t="str">
        <v>NY</v>
      </c>
      <c r="C12" s="49">
        <f ca="1">SUM('1st Qtr'!C12, '2nd Qtr'!C12, '3rd Qtr'!C12, '4th Qtr'!C12)</f>
        <v>0</v>
      </c>
      <c r="D12" s="49">
        <f ca="1">SUM('1st Qtr'!D12, '2nd Qtr'!D12, '3rd Qtr'!D12, '4th Qtr'!D12)</f>
        <v>0</v>
      </c>
      <c r="E12" s="49">
        <f ca="1">C12-D12</f>
        <v>0</v>
      </c>
      <c r="F12" s="50">
        <f ca="1">IFERROR(E12/D12, 0)</f>
        <v>0</v>
      </c>
      <c r="G12" s="51">
        <f ca="1">SUM('1st Qtr'!G12, '2nd Qtr'!G12, '3rd Qtr'!G12, '4th Qtr'!G12)</f>
        <v>0</v>
      </c>
      <c r="H12" s="51">
        <f ca="1">C12-G12</f>
        <v>0</v>
      </c>
      <c r="I12" s="52">
        <f ca="1">IFERROR(H12/G12, 0)</f>
        <v>0</v>
      </c>
    </row>
    <row r="13" spans="1:9" ht="15.75">
      <c r="A13" s="62" t="str">
        <v>Lancaster 2 - Shisler Road</v>
      </c>
      <c r="B13" s="21" t="str">
        <v>NY</v>
      </c>
      <c r="C13" s="49">
        <f ca="1">SUM('1st Qtr'!C13, '2nd Qtr'!C13, '3rd Qtr'!C13, '4th Qtr'!C13)</f>
        <v>0</v>
      </c>
      <c r="D13" s="49">
        <f ca="1">SUM('1st Qtr'!D13, '2nd Qtr'!D13, '3rd Qtr'!D13, '4th Qtr'!D13)</f>
        <v>0</v>
      </c>
      <c r="E13" s="49">
        <f ca="1">C13-D13</f>
        <v>0</v>
      </c>
      <c r="F13" s="50">
        <f ca="1">IFERROR(E13/D13, 0)</f>
        <v>0</v>
      </c>
      <c r="G13" s="51">
        <f ca="1">SUM('1st Qtr'!G13, '2nd Qtr'!G13, '3rd Qtr'!G13, '4th Qtr'!G13)</f>
        <v>0</v>
      </c>
      <c r="H13" s="51">
        <f ca="1">C13-G13</f>
        <v>0</v>
      </c>
      <c r="I13" s="52">
        <f ca="1">IFERROR(H13/G13, 0)</f>
        <v>0</v>
      </c>
    </row>
    <row r="14" spans="1:9" ht="15.75">
      <c r="A14" s="63" t="str">
        <v>Fullerton - 200 W Orangethorpe</v>
      </c>
      <c r="B14" s="48" t="str">
        <v>CA</v>
      </c>
      <c r="C14" s="49">
        <f ca="1">SUM('1st Qtr'!C14, '2nd Qtr'!C14, '3rd Qtr'!C14, '4th Qtr'!C14)</f>
        <v>66219.87890625</v>
      </c>
      <c r="D14" s="49">
        <f ca="1">SUM('1st Qtr'!D14, '2nd Qtr'!D14, '3rd Qtr'!D14, '4th Qtr'!D14)</f>
        <v>65950.86</v>
      </c>
      <c r="E14" s="49">
        <f ca="1">C14-D14</f>
        <v>269.01890624999942</v>
      </c>
      <c r="F14" s="50">
        <f ca="1">IFERROR(E14/D14, 0)</f>
        <v>4.0790810953791872E-3</v>
      </c>
      <c r="G14" s="51">
        <f ca="1">SUM('1st Qtr'!G14, '2nd Qtr'!G14, '3rd Qtr'!G14, '4th Qtr'!G14)</f>
        <v>75151.27</v>
      </c>
      <c r="H14" s="51">
        <f ca="1">C14-G14</f>
        <v>-8931.3910937500041</v>
      </c>
      <c r="I14" s="52">
        <f ca="1">IFERROR(H14/G14, 0)</f>
        <v>-0.11884551111045766</v>
      </c>
    </row>
    <row r="15" spans="1:9" ht="15.75">
      <c r="A15" s="62" t="str">
        <v>El Paso - 10500 Railroad Drive</v>
      </c>
      <c r="B15" s="21" t="str">
        <v>TX</v>
      </c>
      <c r="C15" s="49">
        <f ca="1">SUM('1st Qtr'!C15, '2nd Qtr'!C15, '3rd Qtr'!C15, '4th Qtr'!C15)</f>
        <v>94436.375</v>
      </c>
      <c r="D15" s="49">
        <f ca="1">SUM('1st Qtr'!D15, '2nd Qtr'!D15, '3rd Qtr'!D15, '4th Qtr'!D15)</f>
        <v>110748.9</v>
      </c>
      <c r="E15" s="49">
        <f t="shared" ca="1" si="4"/>
        <v>-16312.524999999994</v>
      </c>
      <c r="F15" s="50">
        <f t="shared" ca="1" si="5"/>
        <v>-0.14729288507605939</v>
      </c>
      <c r="G15" s="51">
        <f ca="1">SUM('1st Qtr'!G15, '2nd Qtr'!G15, '3rd Qtr'!G15, '4th Qtr'!G15)</f>
        <v>95880.07</v>
      </c>
      <c r="H15" s="51">
        <f t="shared" ca="1" si="6"/>
        <v>-1443.695000000007</v>
      </c>
      <c r="I15" s="52">
        <f t="shared" ca="1" si="7"/>
        <v>-1.5057300229338662E-2</v>
      </c>
    </row>
    <row r="16" spans="1:9" ht="15.75">
      <c r="A16" s="63" t="str">
        <v>Friona - 900 Millard Ave</v>
      </c>
      <c r="B16" s="48" t="str">
        <v>TX</v>
      </c>
      <c r="C16" s="49">
        <f ca="1">SUM('1st Qtr'!C16, '2nd Qtr'!C16, '3rd Qtr'!C16, '4th Qtr'!C16)</f>
        <v>63501.4375</v>
      </c>
      <c r="D16" s="49">
        <f ca="1">SUM('1st Qtr'!D16, '2nd Qtr'!D16, '3rd Qtr'!D16, '4th Qtr'!D16)</f>
        <v>68753.48</v>
      </c>
      <c r="E16" s="49">
        <f t="shared" ca="1" si="4"/>
        <v>-5252.0424999999959</v>
      </c>
      <c r="F16" s="50">
        <f t="shared" ca="1" si="5"/>
        <v>-7.6389478758020629E-2</v>
      </c>
      <c r="G16" s="51">
        <f ca="1">SUM('1st Qtr'!G16, '2nd Qtr'!G16, '3rd Qtr'!G16, '4th Qtr'!G16)</f>
        <v>72881.62</v>
      </c>
      <c r="H16" s="51">
        <f t="shared" ca="1" si="6"/>
        <v>-9380.1824999999953</v>
      </c>
      <c r="I16" s="52">
        <f t="shared" ca="1" si="7"/>
        <v>-0.12870436332233004</v>
      </c>
    </row>
    <row r="17" spans="1:9" ht="24.75" customHeight="1">
      <c r="A17" s="123" t="s">
        <v>9</v>
      </c>
      <c r="B17" s="124"/>
      <c r="C17" s="64">
        <f ca="1">SUM(C3:C16)</f>
        <v>592532.492188612</v>
      </c>
      <c r="D17" s="64">
        <f ca="1">SUM(D3:D16)</f>
        <v>833649.63500000001</v>
      </c>
      <c r="E17" s="64">
        <f ca="1">C17-D17</f>
        <v>-241117.14281138801</v>
      </c>
      <c r="F17" s="55">
        <f ca="1">IFERROR(E17/D17, 0)</f>
        <v>-0.28923079035641636</v>
      </c>
      <c r="G17" s="64">
        <f ca="1">SUM(G3:G16)</f>
        <v>1493236.8489999999</v>
      </c>
      <c r="H17" s="65">
        <f ca="1">C17-G17</f>
        <v>-900704.35681138793</v>
      </c>
      <c r="I17" s="56">
        <f ca="1">IFERROR(H17/G17, 0)</f>
        <v>-0.60318921101804923</v>
      </c>
    </row>
    <row r="19" spans="1:9" ht="12.75" customHeight="1">
      <c r="A19" s="125" t="s">
        <v>10</v>
      </c>
    </row>
    <row r="20" spans="1:9">
      <c r="A20" s="125"/>
    </row>
    <row r="21" spans="1:9">
      <c r="A21" s="126" t="s">
        <v>11</v>
      </c>
    </row>
    <row r="22" spans="1:9" ht="12.75" customHeight="1">
      <c r="A22" s="126"/>
    </row>
  </sheetData>
  <autoFilter ref="A2:I2" xr:uid="{D5C25034-9971-4A61-864F-C938F31EB1B8}"/>
  <mergeCells count="6">
    <mergeCell ref="G1:I1"/>
    <mergeCell ref="A17:B17"/>
    <mergeCell ref="A19:A20"/>
    <mergeCell ref="A21:A22"/>
    <mergeCell ref="A1:B1"/>
    <mergeCell ref="C1:F1"/>
  </mergeCells>
  <conditionalFormatting sqref="F3:F17 I3:I17">
    <cfRule type="cellIs" dxfId="266" priority="1" operator="lessThanOrEqual">
      <formula>-0.1</formula>
    </cfRule>
    <cfRule type="cellIs" dxfId="265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2"/>
  <sheetViews>
    <sheetView workbookViewId="0">
      <pane ySplit="2" topLeftCell="A3" activePane="bottomLeft" state="frozen"/>
      <selection pane="bottomLeft" activeCell="C1" sqref="C1:I1"/>
      <selection activeCell="K16" sqref="K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27" t="str" cm="1">
        <f t="array" ref="A1">portfolio</f>
        <v>Catalyze</v>
      </c>
      <c r="B1" s="128"/>
      <c r="C1" s="129" t="s">
        <v>12</v>
      </c>
      <c r="D1" s="130"/>
      <c r="E1" s="130"/>
      <c r="F1" s="131"/>
      <c r="G1" s="121" t="s">
        <v>13</v>
      </c>
      <c r="H1" s="121"/>
      <c r="I1" s="122"/>
    </row>
    <row r="2" spans="1:9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>
        <f ca="1">SUM(Jan!C3, Feb!C3, Mar!C3)</f>
        <v>40368.4375</v>
      </c>
      <c r="D3" s="49">
        <f ca="1">SUM(Jan!D3, Feb!D3, Mar!D3)</f>
        <v>39837.75</v>
      </c>
      <c r="E3" s="49">
        <f t="shared" ref="E3:E14" ca="1" si="0">C3-D3</f>
        <v>530.6875</v>
      </c>
      <c r="F3" s="50">
        <f t="shared" ref="F3:F14" ca="1" si="1">IFERROR(E3/D3, 0)</f>
        <v>1.3321221705543109E-2</v>
      </c>
      <c r="G3" s="51">
        <f ca="1">SUM(Jan!G3, Feb!G3, Mar!G3)</f>
        <v>48161.71</v>
      </c>
      <c r="H3" s="51">
        <f t="shared" ref="H3:H14" ca="1" si="2">C3-G3</f>
        <v>-7793.2724999999991</v>
      </c>
      <c r="I3" s="52">
        <f t="shared" ref="I3:I14" ca="1" si="3">IFERROR(H3/G3, 0)</f>
        <v>-0.16181469677883115</v>
      </c>
    </row>
    <row r="4" spans="1:9" ht="15.75">
      <c r="A4" s="62" t="str">
        <v>Adelanto - 1 Sheep Creek Road</v>
      </c>
      <c r="B4" s="21" t="str">
        <v>CA</v>
      </c>
      <c r="C4" s="49">
        <f ca="1">SUM(Jan!C4, Feb!C4, Mar!C4)</f>
        <v>80417</v>
      </c>
      <c r="D4" s="49">
        <f ca="1">SUM(Jan!D4, Feb!D4, Mar!D4)</f>
        <v>352340</v>
      </c>
      <c r="E4" s="49">
        <f t="shared" ca="1" si="0"/>
        <v>-271923</v>
      </c>
      <c r="F4" s="50">
        <f t="shared" ca="1" si="1"/>
        <v>-0.77176306976216158</v>
      </c>
      <c r="G4" s="51">
        <f ca="1">SUM(Jan!G4, Feb!G4, Mar!G4)</f>
        <v>479912</v>
      </c>
      <c r="H4" s="51">
        <f t="shared" ca="1" si="2"/>
        <v>-399495</v>
      </c>
      <c r="I4" s="52">
        <f t="shared" ca="1" si="3"/>
        <v>-0.83243386287486043</v>
      </c>
    </row>
    <row r="5" spans="1:9" ht="15.75">
      <c r="A5" s="63" t="str">
        <v>Blackstone - 83 Federal Street</v>
      </c>
      <c r="B5" s="48" t="str">
        <v>MA</v>
      </c>
      <c r="C5" s="49">
        <f ca="1">SUM(Jan!C5, Feb!C5, Mar!C5)</f>
        <v>106968</v>
      </c>
      <c r="D5" s="49">
        <f ca="1">SUM(Jan!D5, Feb!D5, Mar!D5)</f>
        <v>0</v>
      </c>
      <c r="E5" s="49">
        <f t="shared" ca="1" si="0"/>
        <v>106968</v>
      </c>
      <c r="F5" s="50">
        <f t="shared" ca="1" si="1"/>
        <v>0</v>
      </c>
      <c r="G5" s="51">
        <f ca="1">SUM(Jan!G5, Feb!G5, Mar!G5)</f>
        <v>352931.5</v>
      </c>
      <c r="H5" s="51">
        <f t="shared" ca="1" si="2"/>
        <v>-245963.5</v>
      </c>
      <c r="I5" s="52">
        <f t="shared" ca="1" si="3"/>
        <v>-0.69691569043851287</v>
      </c>
    </row>
    <row r="6" spans="1:9" ht="15.75">
      <c r="A6" s="62" t="str">
        <v>Charlton - 299 Worcester Road</v>
      </c>
      <c r="B6" s="21" t="str">
        <v>MA</v>
      </c>
      <c r="C6" s="49">
        <f ca="1">SUM(Jan!C6, Feb!C6, Mar!C6)</f>
        <v>11889</v>
      </c>
      <c r="D6" s="49">
        <f ca="1">SUM(Jan!D6, Feb!D6, Mar!D6)</f>
        <v>21739.23</v>
      </c>
      <c r="E6" s="49">
        <f t="shared" ca="1" si="0"/>
        <v>-9850.23</v>
      </c>
      <c r="F6" s="50">
        <f t="shared" ca="1" si="1"/>
        <v>-0.45310850476304815</v>
      </c>
      <c r="G6" s="51">
        <f ca="1">SUM(Jan!G6, Feb!G6, Mar!G6)</f>
        <v>32151.25</v>
      </c>
      <c r="H6" s="51">
        <f t="shared" ca="1" si="2"/>
        <v>-20262.25</v>
      </c>
      <c r="I6" s="52">
        <f t="shared" ca="1" si="3"/>
        <v>-0.63021655456630765</v>
      </c>
    </row>
    <row r="7" spans="1:9" ht="15.75">
      <c r="A7" s="63" t="str">
        <v>Wareham - 8 Thatcher Drive</v>
      </c>
      <c r="B7" s="48" t="str">
        <v>MA</v>
      </c>
      <c r="C7" s="49">
        <f ca="1">SUM(Jan!C7, Feb!C7, Mar!C7)</f>
        <v>5780.1686557785097</v>
      </c>
      <c r="D7" s="49">
        <f ca="1">SUM(Jan!D7, Feb!D7, Mar!D7)</f>
        <v>7080.0609999999997</v>
      </c>
      <c r="E7" s="49">
        <f t="shared" ca="1" si="0"/>
        <v>-1299.89234422149</v>
      </c>
      <c r="F7" s="50">
        <f t="shared" ca="1" si="1"/>
        <v>-0.18359903173454156</v>
      </c>
      <c r="G7" s="51">
        <f ca="1">SUM(Jan!G7, Feb!G7, Mar!G7)</f>
        <v>8785.3289999999997</v>
      </c>
      <c r="H7" s="51">
        <f t="shared" ca="1" si="2"/>
        <v>-3005.16034422149</v>
      </c>
      <c r="I7" s="52">
        <f t="shared" ca="1" si="3"/>
        <v>-0.34206577172254904</v>
      </c>
    </row>
    <row r="8" spans="1:9" ht="15.75">
      <c r="A8" s="62" t="str">
        <v>West Yarmouth - 42 Mid Tech</v>
      </c>
      <c r="B8" s="21" t="str">
        <v>MA</v>
      </c>
      <c r="C8" s="49">
        <f ca="1">SUM(Jan!C8, Feb!C8, Mar!C8)</f>
        <v>4426.7571265835404</v>
      </c>
      <c r="D8" s="49">
        <f ca="1">SUM(Jan!D8, Feb!D8, Mar!D8)</f>
        <v>5459.4780000000001</v>
      </c>
      <c r="E8" s="49">
        <f t="shared" ca="1" si="0"/>
        <v>-1032.7208734164597</v>
      </c>
      <c r="F8" s="50">
        <f t="shared" ca="1" si="1"/>
        <v>-0.18916110174204559</v>
      </c>
      <c r="G8" s="51">
        <f ca="1">SUM(Jan!G8, Feb!G8, Mar!G8)</f>
        <v>6769.56</v>
      </c>
      <c r="H8" s="51">
        <f t="shared" ca="1" si="2"/>
        <v>-2342.80287341646</v>
      </c>
      <c r="I8" s="52">
        <f t="shared" ca="1" si="3"/>
        <v>-0.34607904700105468</v>
      </c>
    </row>
    <row r="9" spans="1:9" ht="15.75">
      <c r="A9" s="63" t="str">
        <v>Harrison - 130 Union Street</v>
      </c>
      <c r="B9" s="48" t="str">
        <v>NY</v>
      </c>
      <c r="C9" s="49">
        <f ca="1">SUM(Jan!C9, Feb!C9, Mar!C9)</f>
        <v>5693.0625</v>
      </c>
      <c r="D9" s="49">
        <f ca="1">SUM(Jan!D9, Feb!D9, Mar!D9)</f>
        <v>9025.6859999999997</v>
      </c>
      <c r="E9" s="49">
        <f t="shared" ca="1" si="0"/>
        <v>-3332.6234999999997</v>
      </c>
      <c r="F9" s="50">
        <f t="shared" ca="1" si="1"/>
        <v>-0.36923769561670988</v>
      </c>
      <c r="G9" s="51">
        <f ca="1">SUM(Jan!G9, Feb!G9, Mar!G9)</f>
        <v>10708.14</v>
      </c>
      <c r="H9" s="51">
        <f t="shared" ca="1" si="2"/>
        <v>-5015.0774999999994</v>
      </c>
      <c r="I9" s="52">
        <f t="shared" ca="1" si="3"/>
        <v>-0.46834254128167913</v>
      </c>
    </row>
    <row r="10" spans="1:9" ht="15.75">
      <c r="A10" s="62" t="str">
        <v>Staten Island - Ellis Storage</v>
      </c>
      <c r="B10" s="21" t="str">
        <v>NY</v>
      </c>
      <c r="C10" s="49">
        <f ca="1">SUM(Jan!C10, Feb!C10, Mar!C10)</f>
        <v>12897.375</v>
      </c>
      <c r="D10" s="49">
        <f ca="1">SUM(Jan!D10, Feb!D10, Mar!D10)</f>
        <v>21330.59</v>
      </c>
      <c r="E10" s="49">
        <f t="shared" ca="1" si="0"/>
        <v>-8433.2150000000001</v>
      </c>
      <c r="F10" s="50">
        <f t="shared" ca="1" si="1"/>
        <v>-0.39535779366627927</v>
      </c>
      <c r="G10" s="51">
        <f ca="1">SUM(Jan!G10, Feb!G10, Mar!G10)</f>
        <v>23412.400000000001</v>
      </c>
      <c r="H10" s="51">
        <f t="shared" ca="1" si="2"/>
        <v>-10515.025000000001</v>
      </c>
      <c r="I10" s="52">
        <f t="shared" ca="1" si="3"/>
        <v>-0.44912204643693088</v>
      </c>
    </row>
    <row r="11" spans="1:9" ht="15.75">
      <c r="A11" s="63" t="str">
        <v>Amherst - 595 Scholles Road</v>
      </c>
      <c r="B11" s="48" t="str">
        <v>NY</v>
      </c>
      <c r="C11" s="49">
        <f ca="1">SUM(Jan!C11, Feb!C11, Mar!C11)</f>
        <v>99935</v>
      </c>
      <c r="D11" s="49">
        <f ca="1">SUM(Jan!D11, Feb!D11, Mar!D11)</f>
        <v>131383.59999999998</v>
      </c>
      <c r="E11" s="49">
        <f t="shared" ca="1" si="0"/>
        <v>-31448.599999999977</v>
      </c>
      <c r="F11" s="50">
        <f t="shared" ca="1" si="1"/>
        <v>-0.23936473045342024</v>
      </c>
      <c r="G11" s="51">
        <f ca="1">SUM(Jan!G11, Feb!G11, Mar!G11)</f>
        <v>286492</v>
      </c>
      <c r="H11" s="51">
        <f t="shared" ca="1" si="2"/>
        <v>-186557</v>
      </c>
      <c r="I11" s="52">
        <f t="shared" ca="1" si="3"/>
        <v>-0.65117699621629921</v>
      </c>
    </row>
    <row r="12" spans="1:9" ht="15.75">
      <c r="A12" s="63" t="str">
        <v>Lancaster 1 - Gunnville Road</v>
      </c>
      <c r="B12" s="48" t="str">
        <v>NY</v>
      </c>
      <c r="C12" s="49">
        <f ca="1">SUM(Jan!C12, Feb!C12, Mar!C12)</f>
        <v>0</v>
      </c>
      <c r="D12" s="49">
        <f ca="1">SUM(Jan!D12, Feb!D12, Mar!D12)</f>
        <v>0</v>
      </c>
      <c r="E12" s="49">
        <f t="shared" ca="1" si="0"/>
        <v>0</v>
      </c>
      <c r="F12" s="50">
        <f t="shared" ca="1" si="1"/>
        <v>0</v>
      </c>
      <c r="G12" s="51">
        <f ca="1">SUM(Jan!G12, Feb!G12, Mar!G12)</f>
        <v>0</v>
      </c>
      <c r="H12" s="51">
        <f t="shared" ca="1" si="2"/>
        <v>0</v>
      </c>
      <c r="I12" s="52">
        <f t="shared" ca="1" si="3"/>
        <v>0</v>
      </c>
    </row>
    <row r="13" spans="1:9" ht="15.75">
      <c r="A13" s="62" t="str">
        <v>Lancaster 2 - Shisler Road</v>
      </c>
      <c r="B13" s="21" t="str">
        <v>NY</v>
      </c>
      <c r="C13" s="49">
        <f ca="1">SUM(Jan!C13, Feb!C13, Mar!C13)</f>
        <v>0</v>
      </c>
      <c r="D13" s="49">
        <f ca="1">SUM(Jan!D13, Feb!D13, Mar!D13)</f>
        <v>0</v>
      </c>
      <c r="E13" s="49">
        <f t="shared" ca="1" si="0"/>
        <v>0</v>
      </c>
      <c r="F13" s="50">
        <f t="shared" ca="1" si="1"/>
        <v>0</v>
      </c>
      <c r="G13" s="51">
        <f ca="1">SUM(Jan!G13, Feb!G13, Mar!G13)</f>
        <v>0</v>
      </c>
      <c r="H13" s="51">
        <f t="shared" ca="1" si="2"/>
        <v>0</v>
      </c>
      <c r="I13" s="52">
        <f t="shared" ca="1" si="3"/>
        <v>0</v>
      </c>
    </row>
    <row r="14" spans="1:9" ht="15.75">
      <c r="A14" s="63" t="str">
        <v>Fullerton - 200 W Orangethorpe</v>
      </c>
      <c r="B14" s="48" t="str">
        <v>CA</v>
      </c>
      <c r="C14" s="49">
        <f ca="1">SUM(Jan!C14, Feb!C14, Mar!C14)</f>
        <v>66219.87890625</v>
      </c>
      <c r="D14" s="49">
        <f ca="1">SUM(Jan!D14, Feb!D14, Mar!D14)</f>
        <v>65950.86</v>
      </c>
      <c r="E14" s="49">
        <f t="shared" ca="1" si="0"/>
        <v>269.01890624999942</v>
      </c>
      <c r="F14" s="50">
        <f t="shared" ca="1" si="1"/>
        <v>4.0790810953791872E-3</v>
      </c>
      <c r="G14" s="51">
        <f ca="1">SUM(Jan!G14, Feb!G14, Mar!G14)</f>
        <v>75151.27</v>
      </c>
      <c r="H14" s="51">
        <f t="shared" ca="1" si="2"/>
        <v>-8931.3910937500041</v>
      </c>
      <c r="I14" s="52">
        <f t="shared" ca="1" si="3"/>
        <v>-0.11884551111045766</v>
      </c>
    </row>
    <row r="15" spans="1:9" ht="15.75">
      <c r="A15" s="62" t="str">
        <v>El Paso - 10500 Railroad Drive</v>
      </c>
      <c r="B15" s="21" t="str">
        <v>TX</v>
      </c>
      <c r="C15" s="49">
        <f ca="1">SUM(Jan!C15, Feb!C15, Mar!C15)</f>
        <v>94436.375</v>
      </c>
      <c r="D15" s="49">
        <f ca="1">SUM(Jan!D15, Feb!D15, Mar!D15)</f>
        <v>110748.9</v>
      </c>
      <c r="E15" s="49">
        <f t="shared" ref="E15:E16" ca="1" si="4">C15-D15</f>
        <v>-16312.524999999994</v>
      </c>
      <c r="F15" s="50">
        <f t="shared" ref="F15:F16" ca="1" si="5">IFERROR(E15/D15, 0)</f>
        <v>-0.14729288507605939</v>
      </c>
      <c r="G15" s="51">
        <f ca="1">SUM(Jan!G15, Feb!G15, Mar!G15)</f>
        <v>95880.07</v>
      </c>
      <c r="H15" s="51">
        <f t="shared" ref="H15:H16" ca="1" si="6">C15-G15</f>
        <v>-1443.695000000007</v>
      </c>
      <c r="I15" s="52">
        <f t="shared" ref="I15:I16" ca="1" si="7">IFERROR(H15/G15, 0)</f>
        <v>-1.5057300229338662E-2</v>
      </c>
    </row>
    <row r="16" spans="1:9" ht="15.75">
      <c r="A16" s="63" t="str">
        <v>Friona - 900 Millard Ave</v>
      </c>
      <c r="B16" s="48" t="str">
        <v>TX</v>
      </c>
      <c r="C16" s="49">
        <f ca="1">SUM(Jan!C16, Feb!C16, Mar!C16)</f>
        <v>63501.4375</v>
      </c>
      <c r="D16" s="49">
        <f ca="1">SUM(Jan!D16, Feb!D16, Mar!D16)</f>
        <v>68753.48</v>
      </c>
      <c r="E16" s="49">
        <f t="shared" ca="1" si="4"/>
        <v>-5252.0424999999959</v>
      </c>
      <c r="F16" s="50">
        <f t="shared" ca="1" si="5"/>
        <v>-7.6389478758020629E-2</v>
      </c>
      <c r="G16" s="51">
        <f ca="1">SUM(Jan!G16, Feb!G16, Mar!G16)</f>
        <v>72881.62</v>
      </c>
      <c r="H16" s="51">
        <f t="shared" ca="1" si="6"/>
        <v>-9380.1824999999953</v>
      </c>
      <c r="I16" s="52">
        <f t="shared" ca="1" si="7"/>
        <v>-0.12870436332233004</v>
      </c>
    </row>
    <row r="17" spans="1:9" ht="24.75" customHeight="1">
      <c r="A17" s="123" t="s">
        <v>9</v>
      </c>
      <c r="B17" s="124"/>
      <c r="C17" s="64">
        <f ca="1">SUM(C3:C16)</f>
        <v>592532.492188612</v>
      </c>
      <c r="D17" s="64">
        <f ca="1">SUM(D3:D16)</f>
        <v>833649.63500000001</v>
      </c>
      <c r="E17" s="64">
        <f ca="1">C17-D17</f>
        <v>-241117.14281138801</v>
      </c>
      <c r="F17" s="55">
        <f ca="1">IFERROR(E17/D17, 0)</f>
        <v>-0.28923079035641636</v>
      </c>
      <c r="G17" s="64">
        <f ca="1">SUM(G3:G16)</f>
        <v>1493236.8489999999</v>
      </c>
      <c r="H17" s="65">
        <f ca="1">C17-G17</f>
        <v>-900704.35681138793</v>
      </c>
      <c r="I17" s="56">
        <f ca="1">IFERROR(H17/G17, 0)</f>
        <v>-0.60318921101804923</v>
      </c>
    </row>
    <row r="19" spans="1:9" ht="12.75" customHeight="1">
      <c r="A19" s="125" t="s">
        <v>10</v>
      </c>
    </row>
    <row r="20" spans="1:9">
      <c r="A20" s="125"/>
    </row>
    <row r="21" spans="1:9">
      <c r="A21" s="126" t="s">
        <v>11</v>
      </c>
    </row>
    <row r="22" spans="1:9" ht="12.75" customHeight="1">
      <c r="A22" s="126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17:B17"/>
    <mergeCell ref="A19:A20"/>
    <mergeCell ref="A21:A22"/>
    <mergeCell ref="A1:B1"/>
    <mergeCell ref="C1:F1"/>
  </mergeCells>
  <conditionalFormatting sqref="F3:F17 I3:I17">
    <cfRule type="cellIs" dxfId="264" priority="1" operator="lessThanOrEqual">
      <formula>-0.1</formula>
    </cfRule>
    <cfRule type="cellIs" dxfId="263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2"/>
  <sheetViews>
    <sheetView workbookViewId="0">
      <pane ySplit="2" topLeftCell="A3" activePane="bottomLeft" state="frozen"/>
      <selection pane="bottomLeft" activeCell="C1" sqref="C1:I1"/>
      <selection activeCell="K16" sqref="K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27" t="str" cm="1">
        <f t="array" ref="A1">portfolio</f>
        <v>Catalyze</v>
      </c>
      <c r="B1" s="128"/>
      <c r="C1" s="129" t="s">
        <v>14</v>
      </c>
      <c r="D1" s="130"/>
      <c r="E1" s="130"/>
      <c r="F1" s="131"/>
      <c r="G1" s="121" t="s">
        <v>15</v>
      </c>
      <c r="H1" s="121"/>
      <c r="I1" s="122"/>
    </row>
    <row r="2" spans="1:9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>
        <f ca="1">SUM(Apr!C3, May!C3, Jun!C3)</f>
        <v>0</v>
      </c>
      <c r="D3" s="49">
        <f ca="1">SUM(Apr!D3, May!D3, Jun!D3)</f>
        <v>0</v>
      </c>
      <c r="E3" s="49">
        <f t="shared" ref="E3:E14" ca="1" si="0">C3-D3</f>
        <v>0</v>
      </c>
      <c r="F3" s="50">
        <f t="shared" ref="F3:F14" ca="1" si="1">IFERROR(E3/D3, 0)</f>
        <v>0</v>
      </c>
      <c r="G3" s="51">
        <f ca="1">SUM(Apr!G3, May!G3, Jun!G3)</f>
        <v>0</v>
      </c>
      <c r="H3" s="51">
        <f t="shared" ref="H3:H14" ca="1" si="2">C3-G3</f>
        <v>0</v>
      </c>
      <c r="I3" s="52">
        <f t="shared" ref="I3:I14" ca="1" si="3">IFERROR(H3/G3, 0)</f>
        <v>0</v>
      </c>
    </row>
    <row r="4" spans="1:9" ht="15.75">
      <c r="A4" s="62" t="str">
        <v>Adelanto - 1 Sheep Creek Road</v>
      </c>
      <c r="B4" s="21" t="str">
        <v>CA</v>
      </c>
      <c r="C4" s="49">
        <f ca="1">SUM(Apr!C4, May!C4, Jun!C4)</f>
        <v>0</v>
      </c>
      <c r="D4" s="49">
        <f ca="1">SUM(Apr!D4, May!D4, Jun!D4)</f>
        <v>0</v>
      </c>
      <c r="E4" s="49">
        <f t="shared" ca="1" si="0"/>
        <v>0</v>
      </c>
      <c r="F4" s="50">
        <f t="shared" ca="1" si="1"/>
        <v>0</v>
      </c>
      <c r="G4" s="51">
        <f ca="1">SUM(Apr!G4, May!G4, Jun!G4)</f>
        <v>0</v>
      </c>
      <c r="H4" s="51">
        <f t="shared" ca="1" si="2"/>
        <v>0</v>
      </c>
      <c r="I4" s="52">
        <f t="shared" ca="1" si="3"/>
        <v>0</v>
      </c>
    </row>
    <row r="5" spans="1:9" ht="15.75">
      <c r="A5" s="63" t="str">
        <v>Blackstone - 83 Federal Street</v>
      </c>
      <c r="B5" s="48" t="str">
        <v>MA</v>
      </c>
      <c r="C5" s="49">
        <f ca="1">SUM(Apr!C5, May!C5, Jun!C5)</f>
        <v>0</v>
      </c>
      <c r="D5" s="49">
        <f ca="1">SUM(Apr!D5, May!D5, Jun!D5)</f>
        <v>0</v>
      </c>
      <c r="E5" s="49">
        <f t="shared" ca="1" si="0"/>
        <v>0</v>
      </c>
      <c r="F5" s="50">
        <f t="shared" ca="1" si="1"/>
        <v>0</v>
      </c>
      <c r="G5" s="51">
        <f ca="1">SUM(Apr!G5, May!G5, Jun!G5)</f>
        <v>0</v>
      </c>
      <c r="H5" s="51">
        <f t="shared" ca="1" si="2"/>
        <v>0</v>
      </c>
      <c r="I5" s="52">
        <f t="shared" ca="1" si="3"/>
        <v>0</v>
      </c>
    </row>
    <row r="6" spans="1:9" ht="15.75">
      <c r="A6" s="62" t="str">
        <v>Charlton - 299 Worcester Road</v>
      </c>
      <c r="B6" s="21" t="str">
        <v>MA</v>
      </c>
      <c r="C6" s="49">
        <f ca="1">SUM(Apr!C6, May!C6, Jun!C6)</f>
        <v>0</v>
      </c>
      <c r="D6" s="49">
        <f ca="1">SUM(Apr!D6, May!D6, Jun!D6)</f>
        <v>0</v>
      </c>
      <c r="E6" s="49">
        <f t="shared" ca="1" si="0"/>
        <v>0</v>
      </c>
      <c r="F6" s="50">
        <f t="shared" ca="1" si="1"/>
        <v>0</v>
      </c>
      <c r="G6" s="51">
        <f ca="1">SUM(Apr!G6, May!G6, Jun!G6)</f>
        <v>0</v>
      </c>
      <c r="H6" s="51">
        <f t="shared" ca="1" si="2"/>
        <v>0</v>
      </c>
      <c r="I6" s="52">
        <f t="shared" ca="1" si="3"/>
        <v>0</v>
      </c>
    </row>
    <row r="7" spans="1:9" ht="15.75">
      <c r="A7" s="63" t="str">
        <v>Wareham - 8 Thatcher Drive</v>
      </c>
      <c r="B7" s="48" t="str">
        <v>MA</v>
      </c>
      <c r="C7" s="49">
        <f ca="1">SUM(Apr!C7, May!C7, Jun!C7)</f>
        <v>0</v>
      </c>
      <c r="D7" s="49">
        <f ca="1">SUM(Apr!D7, May!D7, Jun!D7)</f>
        <v>0</v>
      </c>
      <c r="E7" s="49">
        <f t="shared" ca="1" si="0"/>
        <v>0</v>
      </c>
      <c r="F7" s="50">
        <f t="shared" ca="1" si="1"/>
        <v>0</v>
      </c>
      <c r="G7" s="51">
        <f ca="1">SUM(Apr!G7, May!G7, Jun!G7)</f>
        <v>0</v>
      </c>
      <c r="H7" s="51">
        <f t="shared" ca="1" si="2"/>
        <v>0</v>
      </c>
      <c r="I7" s="52">
        <f t="shared" ca="1" si="3"/>
        <v>0</v>
      </c>
    </row>
    <row r="8" spans="1:9" ht="15.75">
      <c r="A8" s="62" t="str">
        <v>West Yarmouth - 42 Mid Tech</v>
      </c>
      <c r="B8" s="21" t="str">
        <v>MA</v>
      </c>
      <c r="C8" s="49">
        <f ca="1">SUM(Apr!C8, May!C8, Jun!C8)</f>
        <v>0</v>
      </c>
      <c r="D8" s="49">
        <f ca="1">SUM(Apr!D8, May!D8, Jun!D8)</f>
        <v>0</v>
      </c>
      <c r="E8" s="49">
        <f t="shared" ca="1" si="0"/>
        <v>0</v>
      </c>
      <c r="F8" s="50">
        <f t="shared" ca="1" si="1"/>
        <v>0</v>
      </c>
      <c r="G8" s="51">
        <f ca="1">SUM(Apr!G8, May!G8, Jun!G8)</f>
        <v>0</v>
      </c>
      <c r="H8" s="51">
        <f t="shared" ca="1" si="2"/>
        <v>0</v>
      </c>
      <c r="I8" s="52">
        <f t="shared" ca="1" si="3"/>
        <v>0</v>
      </c>
    </row>
    <row r="9" spans="1:9" ht="15.75">
      <c r="A9" s="63" t="str">
        <v>Harrison - 130 Union Street</v>
      </c>
      <c r="B9" s="48" t="str">
        <v>NY</v>
      </c>
      <c r="C9" s="49">
        <f ca="1">SUM(Apr!C9, May!C9, Jun!C9)</f>
        <v>0</v>
      </c>
      <c r="D9" s="49">
        <f ca="1">SUM(Apr!D9, May!D9, Jun!D9)</f>
        <v>0</v>
      </c>
      <c r="E9" s="49">
        <f t="shared" ca="1" si="0"/>
        <v>0</v>
      </c>
      <c r="F9" s="50">
        <f t="shared" ca="1" si="1"/>
        <v>0</v>
      </c>
      <c r="G9" s="51">
        <f ca="1">SUM(Apr!G9, May!G9, Jun!G9)</f>
        <v>0</v>
      </c>
      <c r="H9" s="51">
        <f t="shared" ca="1" si="2"/>
        <v>0</v>
      </c>
      <c r="I9" s="52">
        <f t="shared" ca="1" si="3"/>
        <v>0</v>
      </c>
    </row>
    <row r="10" spans="1:9" ht="15.75">
      <c r="A10" s="62" t="str">
        <v>Staten Island - Ellis Storage</v>
      </c>
      <c r="B10" s="21" t="str">
        <v>NY</v>
      </c>
      <c r="C10" s="49">
        <f ca="1">SUM(Apr!C10, May!C10, Jun!C10)</f>
        <v>0</v>
      </c>
      <c r="D10" s="49">
        <f ca="1">SUM(Apr!D10, May!D10, Jun!D10)</f>
        <v>0</v>
      </c>
      <c r="E10" s="49">
        <f t="shared" ca="1" si="0"/>
        <v>0</v>
      </c>
      <c r="F10" s="50">
        <f t="shared" ca="1" si="1"/>
        <v>0</v>
      </c>
      <c r="G10" s="51">
        <f ca="1">SUM(Apr!G10, May!G10, Jun!G10)</f>
        <v>0</v>
      </c>
      <c r="H10" s="51">
        <f t="shared" ca="1" si="2"/>
        <v>0</v>
      </c>
      <c r="I10" s="52">
        <f t="shared" ca="1" si="3"/>
        <v>0</v>
      </c>
    </row>
    <row r="11" spans="1:9" ht="15.75">
      <c r="A11" s="63" t="str">
        <v>Amherst - 595 Scholles Road</v>
      </c>
      <c r="B11" s="48" t="str">
        <v>NY</v>
      </c>
      <c r="C11" s="49">
        <f ca="1">SUM(Apr!C11, May!C11, Jun!C11)</f>
        <v>0</v>
      </c>
      <c r="D11" s="49">
        <f ca="1">SUM(Apr!D11, May!D11, Jun!D11)</f>
        <v>0</v>
      </c>
      <c r="E11" s="49">
        <f t="shared" ca="1" si="0"/>
        <v>0</v>
      </c>
      <c r="F11" s="50">
        <f t="shared" ca="1" si="1"/>
        <v>0</v>
      </c>
      <c r="G11" s="51">
        <f ca="1">SUM(Apr!G11, May!G11, Jun!G11)</f>
        <v>0</v>
      </c>
      <c r="H11" s="51">
        <f t="shared" ca="1" si="2"/>
        <v>0</v>
      </c>
      <c r="I11" s="52">
        <f t="shared" ca="1" si="3"/>
        <v>0</v>
      </c>
    </row>
    <row r="12" spans="1:9" ht="15.75">
      <c r="A12" s="63" t="str">
        <v>Lancaster 1 - Gunnville Road</v>
      </c>
      <c r="B12" s="48" t="str">
        <v>NY</v>
      </c>
      <c r="C12" s="49">
        <f ca="1">SUM(Apr!C12, May!C12, Jun!C12)</f>
        <v>0</v>
      </c>
      <c r="D12" s="49">
        <f ca="1">SUM(Apr!D12, May!D12, Jun!D12)</f>
        <v>0</v>
      </c>
      <c r="E12" s="49">
        <f t="shared" ca="1" si="0"/>
        <v>0</v>
      </c>
      <c r="F12" s="50">
        <f t="shared" ca="1" si="1"/>
        <v>0</v>
      </c>
      <c r="G12" s="51">
        <f ca="1">SUM(Apr!G12, May!G12, Jun!G12)</f>
        <v>0</v>
      </c>
      <c r="H12" s="51">
        <f t="shared" ca="1" si="2"/>
        <v>0</v>
      </c>
      <c r="I12" s="52">
        <f t="shared" ca="1" si="3"/>
        <v>0</v>
      </c>
    </row>
    <row r="13" spans="1:9" ht="15.75">
      <c r="A13" s="62" t="str">
        <v>Lancaster 2 - Shisler Road</v>
      </c>
      <c r="B13" s="21" t="str">
        <v>NY</v>
      </c>
      <c r="C13" s="49">
        <f ca="1">SUM(Apr!C13, May!C13, Jun!C13)</f>
        <v>0</v>
      </c>
      <c r="D13" s="49">
        <f ca="1">SUM(Apr!D13, May!D13, Jun!D13)</f>
        <v>0</v>
      </c>
      <c r="E13" s="49">
        <f t="shared" ca="1" si="0"/>
        <v>0</v>
      </c>
      <c r="F13" s="50">
        <f t="shared" ca="1" si="1"/>
        <v>0</v>
      </c>
      <c r="G13" s="51">
        <f ca="1">SUM(Apr!G13, May!G13, Jun!G13)</f>
        <v>0</v>
      </c>
      <c r="H13" s="51">
        <f t="shared" ca="1" si="2"/>
        <v>0</v>
      </c>
      <c r="I13" s="52">
        <f t="shared" ca="1" si="3"/>
        <v>0</v>
      </c>
    </row>
    <row r="14" spans="1:9" ht="15.75">
      <c r="A14" s="63" t="str">
        <v>Fullerton - 200 W Orangethorpe</v>
      </c>
      <c r="B14" s="48" t="str">
        <v>CA</v>
      </c>
      <c r="C14" s="49">
        <f ca="1">SUM(Apr!C14, May!C14, Jun!C14)</f>
        <v>0</v>
      </c>
      <c r="D14" s="49">
        <f ca="1">SUM(Apr!D14, May!D14, Jun!D14)</f>
        <v>0</v>
      </c>
      <c r="E14" s="49">
        <f t="shared" ca="1" si="0"/>
        <v>0</v>
      </c>
      <c r="F14" s="50">
        <f t="shared" ca="1" si="1"/>
        <v>0</v>
      </c>
      <c r="G14" s="51">
        <f ca="1">SUM(Apr!G14, May!G14, Jun!G14)</f>
        <v>0</v>
      </c>
      <c r="H14" s="51">
        <f t="shared" ca="1" si="2"/>
        <v>0</v>
      </c>
      <c r="I14" s="52">
        <f t="shared" ca="1" si="3"/>
        <v>0</v>
      </c>
    </row>
    <row r="15" spans="1:9" ht="15.75">
      <c r="A15" s="62" t="str">
        <v>El Paso - 10500 Railroad Drive</v>
      </c>
      <c r="B15" s="21" t="str">
        <v>TX</v>
      </c>
      <c r="C15" s="49">
        <f ca="1">SUM(Apr!C15, May!C15, Jun!C15)</f>
        <v>0</v>
      </c>
      <c r="D15" s="49">
        <f ca="1">SUM(Apr!D15, May!D15, Jun!D15)</f>
        <v>0</v>
      </c>
      <c r="E15" s="49">
        <f t="shared" ref="E15:E16" ca="1" si="4">C15-D15</f>
        <v>0</v>
      </c>
      <c r="F15" s="50">
        <f t="shared" ref="F15:F16" ca="1" si="5">IFERROR(E15/D15, 0)</f>
        <v>0</v>
      </c>
      <c r="G15" s="51">
        <f ca="1">SUM(Apr!G15, May!G15, Jun!G15)</f>
        <v>0</v>
      </c>
      <c r="H15" s="51">
        <f t="shared" ref="H15:H16" ca="1" si="6">C15-G15</f>
        <v>0</v>
      </c>
      <c r="I15" s="52">
        <f t="shared" ref="I15:I16" ca="1" si="7">IFERROR(H15/G15, 0)</f>
        <v>0</v>
      </c>
    </row>
    <row r="16" spans="1:9" ht="15.75">
      <c r="A16" s="63" t="str">
        <v>Friona - 900 Millard Ave</v>
      </c>
      <c r="B16" s="48" t="str">
        <v>TX</v>
      </c>
      <c r="C16" s="49">
        <f ca="1">SUM(Apr!C16, May!C16, Jun!C16)</f>
        <v>0</v>
      </c>
      <c r="D16" s="49">
        <f ca="1">SUM(Apr!D16, May!D16, Jun!D16)</f>
        <v>0</v>
      </c>
      <c r="E16" s="49">
        <f t="shared" ca="1" si="4"/>
        <v>0</v>
      </c>
      <c r="F16" s="50">
        <f t="shared" ca="1" si="5"/>
        <v>0</v>
      </c>
      <c r="G16" s="51">
        <f ca="1">SUM(Apr!G16, May!G16, Jun!G16)</f>
        <v>0</v>
      </c>
      <c r="H16" s="51">
        <f t="shared" ca="1" si="6"/>
        <v>0</v>
      </c>
      <c r="I16" s="52">
        <f t="shared" ca="1" si="7"/>
        <v>0</v>
      </c>
    </row>
    <row r="17" spans="1:9" ht="24.75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</row>
    <row r="19" spans="1:9" ht="12.75" customHeight="1">
      <c r="A19" s="125" t="s">
        <v>10</v>
      </c>
    </row>
    <row r="20" spans="1:9">
      <c r="A20" s="125"/>
    </row>
    <row r="21" spans="1:9">
      <c r="A21" s="126" t="s">
        <v>11</v>
      </c>
    </row>
    <row r="22" spans="1:9" ht="12.75" customHeight="1">
      <c r="A22" s="126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17:B17"/>
    <mergeCell ref="A19:A20"/>
    <mergeCell ref="A21:A22"/>
    <mergeCell ref="A1:B1"/>
    <mergeCell ref="C1:F1"/>
  </mergeCells>
  <conditionalFormatting sqref="F3:F17 I3:I17">
    <cfRule type="cellIs" dxfId="262" priority="1" operator="lessThanOrEqual">
      <formula>-0.1</formula>
    </cfRule>
    <cfRule type="cellIs" dxfId="26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2"/>
  <sheetViews>
    <sheetView workbookViewId="0">
      <pane ySplit="2" topLeftCell="A3" activePane="bottomLeft" state="frozen"/>
      <selection pane="bottomLeft" activeCell="C1" sqref="C1:I1"/>
      <selection activeCell="K16" sqref="K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27" t="str" cm="1">
        <f t="array" ref="A1">portfolio</f>
        <v>Catalyze</v>
      </c>
      <c r="B1" s="128"/>
      <c r="C1" s="129" t="s">
        <v>16</v>
      </c>
      <c r="D1" s="130"/>
      <c r="E1" s="130"/>
      <c r="F1" s="131"/>
      <c r="G1" s="121" t="s">
        <v>17</v>
      </c>
      <c r="H1" s="121"/>
      <c r="I1" s="122"/>
    </row>
    <row r="2" spans="1:9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>
        <f ca="1">SUM(Jul!C3, Aug!C3, Sep!C3)</f>
        <v>0</v>
      </c>
      <c r="D3" s="49">
        <f ca="1">SUM(Jul!D3, Aug!D3, Sep!D3)</f>
        <v>0</v>
      </c>
      <c r="E3" s="49">
        <f t="shared" ref="E3:E17" ca="1" si="0">C3-D3</f>
        <v>0</v>
      </c>
      <c r="F3" s="50">
        <f t="shared" ref="F3:F17" ca="1" si="1">IFERROR(E3/D3, 0)</f>
        <v>0</v>
      </c>
      <c r="G3" s="51">
        <f ca="1">SUM(Jul!G3, Aug!G3, Sep!G3)</f>
        <v>0</v>
      </c>
      <c r="H3" s="51">
        <f t="shared" ref="H3:H17" ca="1" si="2">C3-G3</f>
        <v>0</v>
      </c>
      <c r="I3" s="52">
        <f t="shared" ref="I3:I16" ca="1" si="3">IFERROR(H3/G3, 0)</f>
        <v>0</v>
      </c>
    </row>
    <row r="4" spans="1:9" ht="15.75">
      <c r="A4" s="62" t="str">
        <v>Adelanto - 1 Sheep Creek Road</v>
      </c>
      <c r="B4" s="21" t="str">
        <v>CA</v>
      </c>
      <c r="C4" s="49">
        <f ca="1">SUM(Jul!C4, Aug!C4, Sep!C4)</f>
        <v>0</v>
      </c>
      <c r="D4" s="49">
        <f ca="1">SUM(Jul!D4, Aug!D4, Sep!D4)</f>
        <v>0</v>
      </c>
      <c r="E4" s="49">
        <f t="shared" ca="1" si="0"/>
        <v>0</v>
      </c>
      <c r="F4" s="50">
        <f t="shared" ca="1" si="1"/>
        <v>0</v>
      </c>
      <c r="G4" s="51">
        <f ca="1">SUM(Jul!G4, Aug!G4, Sep!G4)</f>
        <v>0</v>
      </c>
      <c r="H4" s="51">
        <f t="shared" ca="1" si="2"/>
        <v>0</v>
      </c>
      <c r="I4" s="52">
        <f t="shared" ca="1" si="3"/>
        <v>0</v>
      </c>
    </row>
    <row r="5" spans="1:9" ht="15.75">
      <c r="A5" s="63" t="str">
        <v>Blackstone - 83 Federal Street</v>
      </c>
      <c r="B5" s="48" t="str">
        <v>MA</v>
      </c>
      <c r="C5" s="49">
        <f ca="1">SUM(Jul!C5, Aug!C5, Sep!C5)</f>
        <v>0</v>
      </c>
      <c r="D5" s="49">
        <f ca="1">SUM(Jul!D5, Aug!D5, Sep!D5)</f>
        <v>0</v>
      </c>
      <c r="E5" s="49">
        <f t="shared" ca="1" si="0"/>
        <v>0</v>
      </c>
      <c r="F5" s="50">
        <f t="shared" ca="1" si="1"/>
        <v>0</v>
      </c>
      <c r="G5" s="51">
        <f ca="1">SUM(Jul!G5, Aug!G5, Sep!G5)</f>
        <v>0</v>
      </c>
      <c r="H5" s="51">
        <f t="shared" ca="1" si="2"/>
        <v>0</v>
      </c>
      <c r="I5" s="52">
        <f t="shared" ca="1" si="3"/>
        <v>0</v>
      </c>
    </row>
    <row r="6" spans="1:9" ht="15.75">
      <c r="A6" s="62" t="str">
        <v>Charlton - 299 Worcester Road</v>
      </c>
      <c r="B6" s="21" t="str">
        <v>MA</v>
      </c>
      <c r="C6" s="49">
        <f ca="1">SUM(Jul!C6, Aug!C6, Sep!C6)</f>
        <v>0</v>
      </c>
      <c r="D6" s="49">
        <f ca="1">SUM(Jul!D6, Aug!D6, Sep!D6)</f>
        <v>0</v>
      </c>
      <c r="E6" s="49">
        <f t="shared" ca="1" si="0"/>
        <v>0</v>
      </c>
      <c r="F6" s="50">
        <f t="shared" ca="1" si="1"/>
        <v>0</v>
      </c>
      <c r="G6" s="51">
        <f ca="1">SUM(Jul!G6, Aug!G6, Sep!G6)</f>
        <v>0</v>
      </c>
      <c r="H6" s="51">
        <f t="shared" ca="1" si="2"/>
        <v>0</v>
      </c>
      <c r="I6" s="52">
        <f t="shared" ca="1" si="3"/>
        <v>0</v>
      </c>
    </row>
    <row r="7" spans="1:9" ht="15.75">
      <c r="A7" s="63" t="str">
        <v>Wareham - 8 Thatcher Drive</v>
      </c>
      <c r="B7" s="48" t="str">
        <v>MA</v>
      </c>
      <c r="C7" s="49">
        <f ca="1">SUM(Jul!C7, Aug!C7, Sep!C7)</f>
        <v>0</v>
      </c>
      <c r="D7" s="49">
        <f ca="1">SUM(Jul!D7, Aug!D7, Sep!D7)</f>
        <v>0</v>
      </c>
      <c r="E7" s="49">
        <f t="shared" ca="1" si="0"/>
        <v>0</v>
      </c>
      <c r="F7" s="50">
        <f t="shared" ca="1" si="1"/>
        <v>0</v>
      </c>
      <c r="G7" s="51">
        <f ca="1">SUM(Jul!G7, Aug!G7, Sep!G7)</f>
        <v>0</v>
      </c>
      <c r="H7" s="51">
        <f t="shared" ca="1" si="2"/>
        <v>0</v>
      </c>
      <c r="I7" s="52">
        <f t="shared" ca="1" si="3"/>
        <v>0</v>
      </c>
    </row>
    <row r="8" spans="1:9" ht="15.75">
      <c r="A8" s="62" t="str">
        <v>West Yarmouth - 42 Mid Tech</v>
      </c>
      <c r="B8" s="21" t="str">
        <v>MA</v>
      </c>
      <c r="C8" s="49">
        <f ca="1">SUM(Jul!C8, Aug!C8, Sep!C8)</f>
        <v>0</v>
      </c>
      <c r="D8" s="49">
        <f ca="1">SUM(Jul!D8, Aug!D8, Sep!D8)</f>
        <v>0</v>
      </c>
      <c r="E8" s="49">
        <f t="shared" ca="1" si="0"/>
        <v>0</v>
      </c>
      <c r="F8" s="50">
        <f t="shared" ca="1" si="1"/>
        <v>0</v>
      </c>
      <c r="G8" s="51">
        <f ca="1">SUM(Jul!G8, Aug!G8, Sep!G8)</f>
        <v>0</v>
      </c>
      <c r="H8" s="51">
        <f t="shared" ca="1" si="2"/>
        <v>0</v>
      </c>
      <c r="I8" s="52">
        <f t="shared" ca="1" si="3"/>
        <v>0</v>
      </c>
    </row>
    <row r="9" spans="1:9" ht="15.75">
      <c r="A9" s="63" t="str">
        <v>Harrison - 130 Union Street</v>
      </c>
      <c r="B9" s="48" t="str">
        <v>NY</v>
      </c>
      <c r="C9" s="49">
        <f ca="1">SUM(Jul!C9, Aug!C9, Sep!C9)</f>
        <v>0</v>
      </c>
      <c r="D9" s="49">
        <f ca="1">SUM(Jul!D9, Aug!D9, Sep!D9)</f>
        <v>0</v>
      </c>
      <c r="E9" s="49">
        <f t="shared" ca="1" si="0"/>
        <v>0</v>
      </c>
      <c r="F9" s="50">
        <f t="shared" ca="1" si="1"/>
        <v>0</v>
      </c>
      <c r="G9" s="51">
        <f ca="1">SUM(Jul!G9, Aug!G9, Sep!G9)</f>
        <v>0</v>
      </c>
      <c r="H9" s="51">
        <f t="shared" ca="1" si="2"/>
        <v>0</v>
      </c>
      <c r="I9" s="52">
        <f t="shared" ca="1" si="3"/>
        <v>0</v>
      </c>
    </row>
    <row r="10" spans="1:9" ht="15.75">
      <c r="A10" s="62" t="str">
        <v>Staten Island - Ellis Storage</v>
      </c>
      <c r="B10" s="21" t="str">
        <v>NY</v>
      </c>
      <c r="C10" s="49">
        <f ca="1">SUM(Jul!C10, Aug!C10, Sep!C10)</f>
        <v>0</v>
      </c>
      <c r="D10" s="49">
        <f ca="1">SUM(Jul!D10, Aug!D10, Sep!D10)</f>
        <v>0</v>
      </c>
      <c r="E10" s="49">
        <f t="shared" ca="1" si="0"/>
        <v>0</v>
      </c>
      <c r="F10" s="50">
        <f t="shared" ca="1" si="1"/>
        <v>0</v>
      </c>
      <c r="G10" s="51">
        <f ca="1">SUM(Jul!G10, Aug!G10, Sep!G10)</f>
        <v>0</v>
      </c>
      <c r="H10" s="51">
        <f t="shared" ca="1" si="2"/>
        <v>0</v>
      </c>
      <c r="I10" s="52">
        <f t="shared" ca="1" si="3"/>
        <v>0</v>
      </c>
    </row>
    <row r="11" spans="1:9" ht="15.75">
      <c r="A11" s="63" t="str">
        <v>Amherst - 595 Scholles Road</v>
      </c>
      <c r="B11" s="48" t="str">
        <v>NY</v>
      </c>
      <c r="C11" s="49">
        <f ca="1">SUM(Jul!C11, Aug!C11, Sep!C11)</f>
        <v>0</v>
      </c>
      <c r="D11" s="49">
        <f ca="1">SUM(Jul!D11, Aug!D11, Sep!D11)</f>
        <v>0</v>
      </c>
      <c r="E11" s="49">
        <f t="shared" ca="1" si="0"/>
        <v>0</v>
      </c>
      <c r="F11" s="50">
        <f t="shared" ca="1" si="1"/>
        <v>0</v>
      </c>
      <c r="G11" s="51">
        <f ca="1">SUM(Jul!G11, Aug!G11, Sep!G11)</f>
        <v>0</v>
      </c>
      <c r="H11" s="51">
        <f t="shared" ca="1" si="2"/>
        <v>0</v>
      </c>
      <c r="I11" s="52">
        <f t="shared" ca="1" si="3"/>
        <v>0</v>
      </c>
    </row>
    <row r="12" spans="1:9" ht="15.75">
      <c r="A12" s="63" t="str">
        <v>Lancaster 1 - Gunnville Road</v>
      </c>
      <c r="B12" s="48" t="str">
        <v>NY</v>
      </c>
      <c r="C12" s="49">
        <f ca="1">SUM(Jul!C12, Aug!C12, Sep!C12)</f>
        <v>0</v>
      </c>
      <c r="D12" s="49">
        <f ca="1">SUM(Jul!D12, Aug!D12, Sep!D12)</f>
        <v>0</v>
      </c>
      <c r="E12" s="49">
        <f t="shared" ca="1" si="0"/>
        <v>0</v>
      </c>
      <c r="F12" s="50">
        <f t="shared" ca="1" si="1"/>
        <v>0</v>
      </c>
      <c r="G12" s="51">
        <f ca="1">SUM(Jul!G12, Aug!G12, Sep!G12)</f>
        <v>0</v>
      </c>
      <c r="H12" s="51">
        <f t="shared" ca="1" si="2"/>
        <v>0</v>
      </c>
      <c r="I12" s="52">
        <f t="shared" ca="1" si="3"/>
        <v>0</v>
      </c>
    </row>
    <row r="13" spans="1:9" ht="15.75">
      <c r="A13" s="62" t="str">
        <v>Lancaster 2 - Shisler Road</v>
      </c>
      <c r="B13" s="21" t="str">
        <v>NY</v>
      </c>
      <c r="C13" s="49">
        <f ca="1">SUM(Jul!C13, Aug!C13, Sep!C13)</f>
        <v>0</v>
      </c>
      <c r="D13" s="49">
        <f ca="1">SUM(Jul!D13, Aug!D13, Sep!D13)</f>
        <v>0</v>
      </c>
      <c r="E13" s="49">
        <f t="shared" ca="1" si="0"/>
        <v>0</v>
      </c>
      <c r="F13" s="50">
        <f t="shared" ca="1" si="1"/>
        <v>0</v>
      </c>
      <c r="G13" s="51">
        <f ca="1">SUM(Jul!G13, Aug!G13, Sep!G13)</f>
        <v>0</v>
      </c>
      <c r="H13" s="51">
        <f t="shared" ca="1" si="2"/>
        <v>0</v>
      </c>
      <c r="I13" s="52">
        <f t="shared" ca="1" si="3"/>
        <v>0</v>
      </c>
    </row>
    <row r="14" spans="1:9" ht="15.75">
      <c r="A14" s="63" t="str">
        <v>Fullerton - 200 W Orangethorpe</v>
      </c>
      <c r="B14" s="48" t="str">
        <v>CA</v>
      </c>
      <c r="C14" s="49">
        <f ca="1">SUM(Jul!C14, Aug!C14, Sep!C14)</f>
        <v>0</v>
      </c>
      <c r="D14" s="49">
        <f ca="1">SUM(Jul!D14, Aug!D14, Sep!D14)</f>
        <v>0</v>
      </c>
      <c r="E14" s="49">
        <f t="shared" ca="1" si="0"/>
        <v>0</v>
      </c>
      <c r="F14" s="50">
        <f t="shared" ca="1" si="1"/>
        <v>0</v>
      </c>
      <c r="G14" s="51">
        <f ca="1">SUM(Jul!G14, Aug!G14, Sep!G14)</f>
        <v>0</v>
      </c>
      <c r="H14" s="51">
        <f t="shared" ca="1" si="2"/>
        <v>0</v>
      </c>
      <c r="I14" s="52">
        <f t="shared" ca="1" si="3"/>
        <v>0</v>
      </c>
    </row>
    <row r="15" spans="1:9" ht="15.75">
      <c r="A15" s="62" t="str">
        <v>El Paso - 10500 Railroad Drive</v>
      </c>
      <c r="B15" s="21" t="str">
        <v>TX</v>
      </c>
      <c r="C15" s="49">
        <f ca="1">SUM(Jul!C15, Aug!C15, Sep!C15)</f>
        <v>0</v>
      </c>
      <c r="D15" s="49">
        <f ca="1">SUM(Jul!D15, Aug!D15, Sep!D15)</f>
        <v>0</v>
      </c>
      <c r="E15" s="49">
        <f t="shared" ca="1" si="0"/>
        <v>0</v>
      </c>
      <c r="F15" s="50">
        <f t="shared" ca="1" si="1"/>
        <v>0</v>
      </c>
      <c r="G15" s="51">
        <f ca="1">SUM(Jul!G15, Aug!G15, Sep!G15)</f>
        <v>0</v>
      </c>
      <c r="H15" s="51">
        <f t="shared" ca="1" si="2"/>
        <v>0</v>
      </c>
      <c r="I15" s="52">
        <f t="shared" ca="1" si="3"/>
        <v>0</v>
      </c>
    </row>
    <row r="16" spans="1:9" ht="15.75">
      <c r="A16" s="91" t="str">
        <v>Friona - 900 Millard Ave</v>
      </c>
      <c r="B16" s="92" t="str">
        <v>TX</v>
      </c>
      <c r="C16" s="49">
        <f ca="1">SUM(Jul!C16, Aug!C16, Sep!C16)</f>
        <v>0</v>
      </c>
      <c r="D16" s="49">
        <f ca="1">SUM(Jul!D16, Aug!D16, Sep!D16)</f>
        <v>0</v>
      </c>
      <c r="E16" s="49">
        <f t="shared" ca="1" si="0"/>
        <v>0</v>
      </c>
      <c r="F16" s="50">
        <f t="shared" ca="1" si="1"/>
        <v>0</v>
      </c>
      <c r="G16" s="51">
        <f ca="1">SUM(Jul!G16, Aug!G16, Sep!G16)</f>
        <v>0</v>
      </c>
      <c r="H16" s="51">
        <f t="shared" ca="1" si="2"/>
        <v>0</v>
      </c>
      <c r="I16" s="52">
        <f t="shared" ca="1" si="3"/>
        <v>0</v>
      </c>
    </row>
    <row r="17" spans="1:9" ht="24.75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t="shared" ca="1" si="0"/>
        <v>0</v>
      </c>
      <c r="F17" s="55">
        <f t="shared" ca="1" si="1"/>
        <v>0</v>
      </c>
      <c r="G17" s="64">
        <f ca="1">SUM(G3:G16)</f>
        <v>0</v>
      </c>
      <c r="H17" s="65">
        <f t="shared" ca="1" si="2"/>
        <v>0</v>
      </c>
      <c r="I17" s="90">
        <f t="shared" ref="I17" ca="1" si="4">IFERROR(H17/G17, 0)</f>
        <v>0</v>
      </c>
    </row>
    <row r="19" spans="1:9" ht="12.75" customHeight="1">
      <c r="A19" s="125" t="s">
        <v>10</v>
      </c>
    </row>
    <row r="20" spans="1:9">
      <c r="A20" s="125"/>
    </row>
    <row r="21" spans="1:9" ht="12.75" customHeight="1">
      <c r="A21" s="126" t="s">
        <v>11</v>
      </c>
    </row>
    <row r="22" spans="1:9">
      <c r="A22" s="126"/>
    </row>
  </sheetData>
  <autoFilter ref="A2:I2" xr:uid="{CACFAF7D-C0A7-49C0-9FFC-8D8BC8F00BC8}"/>
  <mergeCells count="6">
    <mergeCell ref="G1:I1"/>
    <mergeCell ref="A17:B17"/>
    <mergeCell ref="A19:A20"/>
    <mergeCell ref="A21:A22"/>
    <mergeCell ref="A1:B1"/>
    <mergeCell ref="C1:F1"/>
  </mergeCells>
  <conditionalFormatting sqref="F3:F17 I3:I17">
    <cfRule type="cellIs" dxfId="260" priority="1" operator="lessThanOrEqual">
      <formula>-0.1</formula>
    </cfRule>
    <cfRule type="cellIs" dxfId="25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2"/>
  <sheetViews>
    <sheetView workbookViewId="0">
      <pane ySplit="2" topLeftCell="A3" activePane="bottomLeft" state="frozen"/>
      <selection pane="bottomLeft" activeCell="C1" sqref="C1:I1"/>
      <selection activeCell="K16" sqref="K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27" t="str" cm="1">
        <f t="array" ref="A1">portfolio</f>
        <v>Catalyze</v>
      </c>
      <c r="B1" s="128"/>
      <c r="C1" s="129" t="s">
        <v>18</v>
      </c>
      <c r="D1" s="130"/>
      <c r="E1" s="130"/>
      <c r="F1" s="131"/>
      <c r="G1" s="121" t="s">
        <v>19</v>
      </c>
      <c r="H1" s="121"/>
      <c r="I1" s="122"/>
    </row>
    <row r="2" spans="1:9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>
        <f ca="1">SUM(Oct!C3, Nov!C3, Dec!C3)</f>
        <v>0</v>
      </c>
      <c r="D3" s="49">
        <f ca="1">SUM(Oct!D3, Nov!D3, Dec!D3)</f>
        <v>0</v>
      </c>
      <c r="E3" s="49">
        <f t="shared" ref="E3:E14" ca="1" si="0">C3-D3</f>
        <v>0</v>
      </c>
      <c r="F3" s="50">
        <f t="shared" ref="F3:F14" ca="1" si="1">IFERROR(E3/D3, 0)</f>
        <v>0</v>
      </c>
      <c r="G3" s="51">
        <f ca="1">SUM(Oct!G3, Nov!G3, Dec!G3)</f>
        <v>0</v>
      </c>
      <c r="H3" s="51">
        <f t="shared" ref="H3:H14" ca="1" si="2">C3-G3</f>
        <v>0</v>
      </c>
      <c r="I3" s="52">
        <f t="shared" ref="I3:I14" ca="1" si="3">IFERROR(H3/G3, 0)</f>
        <v>0</v>
      </c>
    </row>
    <row r="4" spans="1:9" ht="15.75">
      <c r="A4" s="62" t="str">
        <v>Adelanto - 1 Sheep Creek Road</v>
      </c>
      <c r="B4" s="21" t="str">
        <v>CA</v>
      </c>
      <c r="C4" s="49">
        <f ca="1">SUM(Oct!C4, Nov!C4, Dec!C4)</f>
        <v>0</v>
      </c>
      <c r="D4" s="49">
        <f ca="1">SUM(Oct!D4, Nov!D4, Dec!D4)</f>
        <v>0</v>
      </c>
      <c r="E4" s="49">
        <f t="shared" ca="1" si="0"/>
        <v>0</v>
      </c>
      <c r="F4" s="50">
        <f t="shared" ca="1" si="1"/>
        <v>0</v>
      </c>
      <c r="G4" s="51">
        <f ca="1">SUM(Oct!G4, Nov!G4, Dec!G4)</f>
        <v>0</v>
      </c>
      <c r="H4" s="51">
        <f t="shared" ca="1" si="2"/>
        <v>0</v>
      </c>
      <c r="I4" s="52">
        <f t="shared" ca="1" si="3"/>
        <v>0</v>
      </c>
    </row>
    <row r="5" spans="1:9" ht="15.75">
      <c r="A5" s="63" t="str">
        <v>Blackstone - 83 Federal Street</v>
      </c>
      <c r="B5" s="48" t="str">
        <v>MA</v>
      </c>
      <c r="C5" s="49">
        <f ca="1">SUM(Oct!C5, Nov!C5, Dec!C5)</f>
        <v>0</v>
      </c>
      <c r="D5" s="49">
        <f ca="1">SUM(Oct!D5, Nov!D5, Dec!D5)</f>
        <v>0</v>
      </c>
      <c r="E5" s="49">
        <f t="shared" ca="1" si="0"/>
        <v>0</v>
      </c>
      <c r="F5" s="50">
        <f t="shared" ca="1" si="1"/>
        <v>0</v>
      </c>
      <c r="G5" s="51">
        <f ca="1">SUM(Oct!G5, Nov!G5, Dec!G5)</f>
        <v>0</v>
      </c>
      <c r="H5" s="51">
        <f t="shared" ca="1" si="2"/>
        <v>0</v>
      </c>
      <c r="I5" s="52">
        <f t="shared" ca="1" si="3"/>
        <v>0</v>
      </c>
    </row>
    <row r="6" spans="1:9" ht="15.75">
      <c r="A6" s="62" t="str">
        <v>Charlton - 299 Worcester Road</v>
      </c>
      <c r="B6" s="21" t="str">
        <v>MA</v>
      </c>
      <c r="C6" s="49">
        <f ca="1">SUM(Oct!C6, Nov!C6, Dec!C6)</f>
        <v>0</v>
      </c>
      <c r="D6" s="49">
        <f ca="1">SUM(Oct!D6, Nov!D6, Dec!D6)</f>
        <v>0</v>
      </c>
      <c r="E6" s="49">
        <f t="shared" ca="1" si="0"/>
        <v>0</v>
      </c>
      <c r="F6" s="50">
        <f t="shared" ca="1" si="1"/>
        <v>0</v>
      </c>
      <c r="G6" s="51">
        <f ca="1">SUM(Oct!G6, Nov!G6, Dec!G6)</f>
        <v>0</v>
      </c>
      <c r="H6" s="51">
        <f t="shared" ca="1" si="2"/>
        <v>0</v>
      </c>
      <c r="I6" s="52">
        <f t="shared" ca="1" si="3"/>
        <v>0</v>
      </c>
    </row>
    <row r="7" spans="1:9" ht="15.75">
      <c r="A7" s="63" t="str">
        <v>Wareham - 8 Thatcher Drive</v>
      </c>
      <c r="B7" s="48" t="str">
        <v>MA</v>
      </c>
      <c r="C7" s="49">
        <f ca="1">SUM(Oct!C7, Nov!C7, Dec!C7)</f>
        <v>0</v>
      </c>
      <c r="D7" s="49">
        <f ca="1">SUM(Oct!D7, Nov!D7, Dec!D7)</f>
        <v>0</v>
      </c>
      <c r="E7" s="49">
        <f t="shared" ca="1" si="0"/>
        <v>0</v>
      </c>
      <c r="F7" s="50">
        <f t="shared" ca="1" si="1"/>
        <v>0</v>
      </c>
      <c r="G7" s="51">
        <f ca="1">SUM(Oct!G7, Nov!G7, Dec!G7)</f>
        <v>0</v>
      </c>
      <c r="H7" s="51">
        <f t="shared" ca="1" si="2"/>
        <v>0</v>
      </c>
      <c r="I7" s="52">
        <f t="shared" ca="1" si="3"/>
        <v>0</v>
      </c>
    </row>
    <row r="8" spans="1:9" ht="15.75">
      <c r="A8" s="62" t="str">
        <v>West Yarmouth - 42 Mid Tech</v>
      </c>
      <c r="B8" s="21" t="str">
        <v>MA</v>
      </c>
      <c r="C8" s="49">
        <f ca="1">SUM(Oct!C8, Nov!C8, Dec!C8)</f>
        <v>0</v>
      </c>
      <c r="D8" s="49">
        <f ca="1">SUM(Oct!D8, Nov!D8, Dec!D8)</f>
        <v>0</v>
      </c>
      <c r="E8" s="49">
        <f t="shared" ca="1" si="0"/>
        <v>0</v>
      </c>
      <c r="F8" s="50">
        <f t="shared" ca="1" si="1"/>
        <v>0</v>
      </c>
      <c r="G8" s="51">
        <f ca="1">SUM(Oct!G8, Nov!G8, Dec!G8)</f>
        <v>0</v>
      </c>
      <c r="H8" s="51">
        <f t="shared" ca="1" si="2"/>
        <v>0</v>
      </c>
      <c r="I8" s="52">
        <f t="shared" ca="1" si="3"/>
        <v>0</v>
      </c>
    </row>
    <row r="9" spans="1:9" ht="15.75">
      <c r="A9" s="63" t="str">
        <v>Harrison - 130 Union Street</v>
      </c>
      <c r="B9" s="48" t="str">
        <v>NY</v>
      </c>
      <c r="C9" s="49">
        <f ca="1">SUM(Oct!C9, Nov!C9, Dec!C9)</f>
        <v>0</v>
      </c>
      <c r="D9" s="49">
        <f ca="1">SUM(Oct!D9, Nov!D9, Dec!D9)</f>
        <v>0</v>
      </c>
      <c r="E9" s="49">
        <f t="shared" ca="1" si="0"/>
        <v>0</v>
      </c>
      <c r="F9" s="50">
        <f t="shared" ca="1" si="1"/>
        <v>0</v>
      </c>
      <c r="G9" s="51">
        <f ca="1">SUM(Oct!G9, Nov!G9, Dec!G9)</f>
        <v>0</v>
      </c>
      <c r="H9" s="51">
        <f t="shared" ca="1" si="2"/>
        <v>0</v>
      </c>
      <c r="I9" s="52">
        <f t="shared" ca="1" si="3"/>
        <v>0</v>
      </c>
    </row>
    <row r="10" spans="1:9" ht="15.75">
      <c r="A10" s="62" t="str">
        <v>Staten Island - Ellis Storage</v>
      </c>
      <c r="B10" s="21" t="str">
        <v>NY</v>
      </c>
      <c r="C10" s="49">
        <f ca="1">SUM(Oct!C10, Nov!C10, Dec!C10)</f>
        <v>0</v>
      </c>
      <c r="D10" s="49">
        <f ca="1">SUM(Oct!D10, Nov!D10, Dec!D10)</f>
        <v>0</v>
      </c>
      <c r="E10" s="49">
        <f t="shared" ca="1" si="0"/>
        <v>0</v>
      </c>
      <c r="F10" s="50">
        <f t="shared" ca="1" si="1"/>
        <v>0</v>
      </c>
      <c r="G10" s="51">
        <f ca="1">SUM(Oct!G10, Nov!G10, Dec!G10)</f>
        <v>0</v>
      </c>
      <c r="H10" s="51">
        <f t="shared" ca="1" si="2"/>
        <v>0</v>
      </c>
      <c r="I10" s="52">
        <f t="shared" ca="1" si="3"/>
        <v>0</v>
      </c>
    </row>
    <row r="11" spans="1:9" ht="15.75">
      <c r="A11" s="63" t="str">
        <v>Amherst - 595 Scholles Road</v>
      </c>
      <c r="B11" s="48" t="str">
        <v>NY</v>
      </c>
      <c r="C11" s="49">
        <f ca="1">SUM(Oct!C11, Nov!C11, Dec!C11)</f>
        <v>0</v>
      </c>
      <c r="D11" s="49">
        <f ca="1">SUM(Oct!D11, Nov!D11, Dec!D11)</f>
        <v>0</v>
      </c>
      <c r="E11" s="49">
        <f t="shared" ca="1" si="0"/>
        <v>0</v>
      </c>
      <c r="F11" s="50">
        <f t="shared" ca="1" si="1"/>
        <v>0</v>
      </c>
      <c r="G11" s="51">
        <f ca="1">SUM(Oct!G11, Nov!G11, Dec!G11)</f>
        <v>0</v>
      </c>
      <c r="H11" s="51">
        <f t="shared" ca="1" si="2"/>
        <v>0</v>
      </c>
      <c r="I11" s="52">
        <f t="shared" ca="1" si="3"/>
        <v>0</v>
      </c>
    </row>
    <row r="12" spans="1:9" ht="15.75">
      <c r="A12" s="63" t="str">
        <v>Lancaster 1 - Gunnville Road</v>
      </c>
      <c r="B12" s="48" t="str">
        <v>NY</v>
      </c>
      <c r="C12" s="49">
        <f ca="1">SUM(Oct!C12, Nov!C12, Dec!C12)</f>
        <v>0</v>
      </c>
      <c r="D12" s="49">
        <f ca="1">SUM(Oct!D12, Nov!D12, Dec!D12)</f>
        <v>0</v>
      </c>
      <c r="E12" s="49">
        <f t="shared" ca="1" si="0"/>
        <v>0</v>
      </c>
      <c r="F12" s="50">
        <f t="shared" ca="1" si="1"/>
        <v>0</v>
      </c>
      <c r="G12" s="51">
        <f ca="1">SUM(Oct!G12, Nov!G12, Dec!G12)</f>
        <v>0</v>
      </c>
      <c r="H12" s="51">
        <f t="shared" ca="1" si="2"/>
        <v>0</v>
      </c>
      <c r="I12" s="52">
        <f t="shared" ca="1" si="3"/>
        <v>0</v>
      </c>
    </row>
    <row r="13" spans="1:9" ht="15.75">
      <c r="A13" s="62" t="str">
        <v>Lancaster 2 - Shisler Road</v>
      </c>
      <c r="B13" s="21" t="str">
        <v>NY</v>
      </c>
      <c r="C13" s="49">
        <f ca="1">SUM(Oct!C13, Nov!C13, Dec!C13)</f>
        <v>0</v>
      </c>
      <c r="D13" s="49">
        <f ca="1">SUM(Oct!D13, Nov!D13, Dec!D13)</f>
        <v>0</v>
      </c>
      <c r="E13" s="49">
        <f t="shared" ca="1" si="0"/>
        <v>0</v>
      </c>
      <c r="F13" s="50">
        <f t="shared" ca="1" si="1"/>
        <v>0</v>
      </c>
      <c r="G13" s="51">
        <f ca="1">SUM(Oct!G13, Nov!G13, Dec!G13)</f>
        <v>0</v>
      </c>
      <c r="H13" s="51">
        <f t="shared" ca="1" si="2"/>
        <v>0</v>
      </c>
      <c r="I13" s="52">
        <f t="shared" ca="1" si="3"/>
        <v>0</v>
      </c>
    </row>
    <row r="14" spans="1:9" ht="15.75">
      <c r="A14" s="63" t="str">
        <v>Fullerton - 200 W Orangethorpe</v>
      </c>
      <c r="B14" s="48" t="str">
        <v>CA</v>
      </c>
      <c r="C14" s="49">
        <f ca="1">SUM(Oct!C14, Nov!C14, Dec!C14)</f>
        <v>0</v>
      </c>
      <c r="D14" s="49">
        <f ca="1">SUM(Oct!D14, Nov!D14, Dec!D14)</f>
        <v>0</v>
      </c>
      <c r="E14" s="49">
        <f t="shared" ca="1" si="0"/>
        <v>0</v>
      </c>
      <c r="F14" s="50">
        <f t="shared" ca="1" si="1"/>
        <v>0</v>
      </c>
      <c r="G14" s="51">
        <f ca="1">SUM(Oct!G14, Nov!G14, Dec!G14)</f>
        <v>0</v>
      </c>
      <c r="H14" s="51">
        <f t="shared" ca="1" si="2"/>
        <v>0</v>
      </c>
      <c r="I14" s="52">
        <f t="shared" ca="1" si="3"/>
        <v>0</v>
      </c>
    </row>
    <row r="15" spans="1:9" ht="15.75">
      <c r="A15" s="62" t="str">
        <v>El Paso - 10500 Railroad Drive</v>
      </c>
      <c r="B15" s="21" t="str">
        <v>TX</v>
      </c>
      <c r="C15" s="49">
        <f ca="1">SUM(Oct!C15, Nov!C15, Dec!C15)</f>
        <v>0</v>
      </c>
      <c r="D15" s="49">
        <f ca="1">SUM(Oct!D15, Nov!D15, Dec!D15)</f>
        <v>0</v>
      </c>
      <c r="E15" s="49">
        <f t="shared" ref="E15:E16" ca="1" si="4">C15-D15</f>
        <v>0</v>
      </c>
      <c r="F15" s="50">
        <f t="shared" ref="F15:F16" ca="1" si="5">IFERROR(E15/D15, 0)</f>
        <v>0</v>
      </c>
      <c r="G15" s="51">
        <f ca="1">SUM(Oct!G15, Nov!G15, Dec!G15)</f>
        <v>0</v>
      </c>
      <c r="H15" s="51">
        <f t="shared" ref="H15:H16" ca="1" si="6">C15-G15</f>
        <v>0</v>
      </c>
      <c r="I15" s="52">
        <f t="shared" ref="I15:I16" ca="1" si="7">IFERROR(H15/G15, 0)</f>
        <v>0</v>
      </c>
    </row>
    <row r="16" spans="1:9" ht="15.75">
      <c r="A16" s="63" t="str">
        <v>Friona - 900 Millard Ave</v>
      </c>
      <c r="B16" s="48" t="str">
        <v>TX</v>
      </c>
      <c r="C16" s="49">
        <f ca="1">SUM(Oct!C16, Nov!C16, Dec!C16)</f>
        <v>0</v>
      </c>
      <c r="D16" s="49">
        <f ca="1">SUM(Oct!D16, Nov!D16, Dec!D16)</f>
        <v>0</v>
      </c>
      <c r="E16" s="49">
        <f t="shared" ca="1" si="4"/>
        <v>0</v>
      </c>
      <c r="F16" s="50">
        <f t="shared" ca="1" si="5"/>
        <v>0</v>
      </c>
      <c r="G16" s="51">
        <f ca="1">SUM(Oct!G16, Nov!G16, Dec!G16)</f>
        <v>0</v>
      </c>
      <c r="H16" s="51">
        <f t="shared" ca="1" si="6"/>
        <v>0</v>
      </c>
      <c r="I16" s="52">
        <f t="shared" ca="1" si="7"/>
        <v>0</v>
      </c>
    </row>
    <row r="17" spans="1:9" ht="24.75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</row>
    <row r="19" spans="1:9" ht="12.75" customHeight="1">
      <c r="A19" s="125" t="s">
        <v>10</v>
      </c>
    </row>
    <row r="20" spans="1:9">
      <c r="A20" s="125"/>
    </row>
    <row r="21" spans="1:9">
      <c r="A21" s="126" t="s">
        <v>11</v>
      </c>
    </row>
    <row r="22" spans="1:9" ht="12.75" customHeight="1">
      <c r="A22" s="126"/>
    </row>
  </sheetData>
  <autoFilter ref="A2:I2" xr:uid="{CE62352A-0CAA-4862-87B6-A6A1C7531211}"/>
  <mergeCells count="6">
    <mergeCell ref="G1:I1"/>
    <mergeCell ref="A17:B17"/>
    <mergeCell ref="A19:A20"/>
    <mergeCell ref="A21:A22"/>
    <mergeCell ref="A1:B1"/>
    <mergeCell ref="C1:F1"/>
  </mergeCells>
  <conditionalFormatting sqref="F3:F17 I3:I17">
    <cfRule type="cellIs" dxfId="258" priority="1" operator="lessThanOrEqual">
      <formula>-0.1</formula>
    </cfRule>
    <cfRule type="cellIs" dxfId="25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36"/>
  <sheetViews>
    <sheetView tabSelected="1" workbookViewId="0">
      <pane ySplit="2" topLeftCell="A3" activePane="bottomLeft" state="frozen"/>
      <selection pane="bottomLeft" activeCell="J23" sqref="J23:K36"/>
      <selection activeCell="D23" sqref="D23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27" t="str" cm="1">
        <f t="array" ref="A1">portfolio</f>
        <v>Catalyze</v>
      </c>
      <c r="B1" s="128"/>
      <c r="C1" s="129" t="s">
        <v>20</v>
      </c>
      <c r="D1" s="130"/>
      <c r="E1" s="130"/>
      <c r="F1" s="131"/>
      <c r="G1" s="121" t="s">
        <v>21</v>
      </c>
      <c r="H1" s="121"/>
      <c r="I1" s="122"/>
      <c r="J1" s="132" t="s">
        <v>22</v>
      </c>
      <c r="K1" s="132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cm="1">
        <f t="array" aca="1" ref="C3:K3" ca="1">IF(INDIRECT("'" &amp; $A3 &amp; "'!B5:J5")="", "", INDIRECT("'" &amp; $A3 &amp; "'!B5:J5"))</f>
        <v>40368.4375</v>
      </c>
      <c r="D3" s="49">
        <f ca="1"/>
        <v>39837.75</v>
      </c>
      <c r="E3" s="49">
        <f ca="1"/>
        <v>530.6875</v>
      </c>
      <c r="F3" s="50">
        <f ca="1"/>
        <v>1.3321221705543109E-2</v>
      </c>
      <c r="G3" s="51">
        <f ca="1"/>
        <v>48161.71</v>
      </c>
      <c r="H3" s="51">
        <f ca="1"/>
        <v>-7793.2724999999991</v>
      </c>
      <c r="I3" s="52">
        <f ca="1"/>
        <v>-0.16181469677883115</v>
      </c>
      <c r="J3" s="26" t="str">
        <f ca="1"/>
        <v xml:space="preserve">1.Inverter 5 tripped offline on 01/19/2024 at 12:30 &amp; back online at 14:00. </v>
      </c>
      <c r="K3" s="26" t="str">
        <f ca="1"/>
        <v>1.SR080353</v>
      </c>
    </row>
    <row r="4" spans="1:11" ht="15.75">
      <c r="A4" s="62" t="str">
        <v>Adelanto - 1 Sheep Creek Road</v>
      </c>
      <c r="B4" s="21" t="str">
        <v>CA</v>
      </c>
      <c r="C4" s="49" cm="1">
        <f t="array" aca="1" ref="C4:K4" ca="1">IF(INDIRECT("'" &amp; $A4 &amp; "'!B5:J5")="", "", INDIRECT("'" &amp; $A4 &amp; "'!B5:J5"))</f>
        <v>80417</v>
      </c>
      <c r="D4" s="49">
        <f ca="1"/>
        <v>352340</v>
      </c>
      <c r="E4" s="49">
        <f ca="1"/>
        <v>-271923</v>
      </c>
      <c r="F4" s="50">
        <f ca="1"/>
        <v>-0.77176306976216158</v>
      </c>
      <c r="G4" s="51">
        <f ca="1"/>
        <v>479912</v>
      </c>
      <c r="H4" s="51">
        <f ca="1"/>
        <v>-399495</v>
      </c>
      <c r="I4" s="52">
        <f ca="1"/>
        <v>-0.83243386287486043</v>
      </c>
      <c r="J4" s="26" t="str">
        <f ca="1"/>
        <v>1. Site frequently experiencing outages due to its ongoing curtailment by CAISO</v>
      </c>
      <c r="K4" s="26" t="str">
        <f ca="1"/>
        <v xml:space="preserve">1. SR077480, SR079342 </v>
      </c>
    </row>
    <row r="5" spans="1:11" ht="15.75">
      <c r="A5" s="63" t="str">
        <v>Blackstone - 83 Federal Street</v>
      </c>
      <c r="B5" s="48" t="str">
        <v>MA</v>
      </c>
      <c r="C5" s="49" cm="1">
        <f t="array" aca="1" ref="C5:K5" ca="1">IF(INDIRECT("'" &amp; $A5 &amp; "'!B5:J5")="", "", INDIRECT("'" &amp; $A5 &amp; "'!B5:J5"))</f>
        <v>106968</v>
      </c>
      <c r="D5" s="49">
        <f ca="1"/>
        <v>0</v>
      </c>
      <c r="E5" s="49">
        <f ca="1"/>
        <v>106968</v>
      </c>
      <c r="F5" s="50">
        <f ca="1"/>
        <v>0</v>
      </c>
      <c r="G5" s="51">
        <f ca="1"/>
        <v>352931.5</v>
      </c>
      <c r="H5" s="51">
        <f ca="1"/>
        <v>-245963.5</v>
      </c>
      <c r="I5" s="52">
        <f ca="1"/>
        <v>-0.69691569043851287</v>
      </c>
      <c r="J5" s="26" t="str">
        <f ca="1"/>
        <v xml:space="preserve">1. SIte was offline from 01/15/2024 - 01/17/2024. </v>
      </c>
      <c r="K5" s="26" t="str">
        <f ca="1"/>
        <v>1. SR080251</v>
      </c>
    </row>
    <row r="6" spans="1:11" ht="15.75">
      <c r="A6" s="62" t="str">
        <v>Charlton - 299 Worcester Road</v>
      </c>
      <c r="B6" s="21" t="str">
        <v>MA</v>
      </c>
      <c r="C6" s="49" cm="1">
        <f t="array" aca="1" ref="C6:K6" ca="1">IF(INDIRECT("'" &amp; $A6 &amp; "'!B5:J5")="", "", INDIRECT("'" &amp; $A6 &amp; "'!B5:J5"))</f>
        <v>11889</v>
      </c>
      <c r="D6" s="49">
        <f ca="1"/>
        <v>21739.23</v>
      </c>
      <c r="E6" s="49">
        <f ca="1"/>
        <v>-9850.23</v>
      </c>
      <c r="F6" s="50">
        <f ca="1"/>
        <v>-0.45310850476304815</v>
      </c>
      <c r="G6" s="51">
        <f ca="1"/>
        <v>32151.25</v>
      </c>
      <c r="H6" s="51">
        <f ca="1"/>
        <v>-20262.25</v>
      </c>
      <c r="I6" s="52">
        <f ca="1"/>
        <v>-0.63021655456630765</v>
      </c>
      <c r="J6" s="26" t="str">
        <f ca="1"/>
        <v xml:space="preserve">1. Site was offline on 01/27/2024 &amp; back online on 01/29/2024. </v>
      </c>
      <c r="K6" s="26" t="str">
        <f ca="1"/>
        <v>1. SR080523</v>
      </c>
    </row>
    <row r="7" spans="1:11" ht="15.75">
      <c r="A7" s="63" t="str">
        <v>Wareham - 8 Thatcher Drive</v>
      </c>
      <c r="B7" s="48" t="str">
        <v>MA</v>
      </c>
      <c r="C7" s="49" cm="1">
        <f t="array" aca="1" ref="C7:K7" ca="1">IF(INDIRECT("'" &amp; $A7 &amp; "'!B5:J5")="", "", INDIRECT("'" &amp; $A7 &amp; "'!B5:J5"))</f>
        <v>5780.1686557785097</v>
      </c>
      <c r="D7" s="49">
        <f ca="1"/>
        <v>7080.0609999999997</v>
      </c>
      <c r="E7" s="49">
        <f ca="1"/>
        <v>-1299.89234422149</v>
      </c>
      <c r="F7" s="50">
        <f ca="1"/>
        <v>-0.18359903173454156</v>
      </c>
      <c r="G7" s="51">
        <f ca="1"/>
        <v>8785.3289999999997</v>
      </c>
      <c r="H7" s="51">
        <f ca="1"/>
        <v>-3005.16034422149</v>
      </c>
      <c r="I7" s="52">
        <f ca="1"/>
        <v>-0.34206577172254904</v>
      </c>
      <c r="J7" s="26" t="str">
        <f ca="1"/>
        <v/>
      </c>
      <c r="K7" s="26" t="str">
        <f ca="1"/>
        <v/>
      </c>
    </row>
    <row r="8" spans="1:11" ht="15.75">
      <c r="A8" s="62" t="str">
        <v>West Yarmouth - 42 Mid Tech</v>
      </c>
      <c r="B8" s="21" t="str">
        <v>MA</v>
      </c>
      <c r="C8" s="49" cm="1">
        <f t="array" aca="1" ref="C8:K8" ca="1">IF(INDIRECT("'" &amp; $A8 &amp; "'!B5:J5")="", "", INDIRECT("'" &amp; $A8 &amp; "'!B5:J5"))</f>
        <v>4426.7571265835404</v>
      </c>
      <c r="D8" s="49">
        <f ca="1"/>
        <v>5459.4780000000001</v>
      </c>
      <c r="E8" s="49">
        <f ca="1"/>
        <v>-1032.7208734164597</v>
      </c>
      <c r="F8" s="50">
        <f ca="1"/>
        <v>-0.18916110174204559</v>
      </c>
      <c r="G8" s="51">
        <f ca="1"/>
        <v>6769.56</v>
      </c>
      <c r="H8" s="51">
        <f ca="1"/>
        <v>-2342.80287341646</v>
      </c>
      <c r="I8" s="52">
        <f ca="1"/>
        <v>-0.34607904700105468</v>
      </c>
      <c r="J8" s="26" t="str">
        <f ca="1"/>
        <v/>
      </c>
      <c r="K8" s="26" t="str">
        <f ca="1"/>
        <v/>
      </c>
    </row>
    <row r="9" spans="1:11" ht="15.75">
      <c r="A9" s="63" t="str">
        <v>Harrison - 130 Union Street</v>
      </c>
      <c r="B9" s="48" t="str">
        <v>NY</v>
      </c>
      <c r="C9" s="49" cm="1">
        <f t="array" aca="1" ref="C9:K9" ca="1">IF(INDIRECT("'" &amp; $A9 &amp; "'!B5:J5")="", "", INDIRECT("'" &amp; $A9 &amp; "'!B5:J5"))</f>
        <v>5693.0625</v>
      </c>
      <c r="D9" s="49">
        <f ca="1"/>
        <v>9025.6859999999997</v>
      </c>
      <c r="E9" s="49">
        <f ca="1"/>
        <v>-3332.6234999999997</v>
      </c>
      <c r="F9" s="50">
        <f ca="1"/>
        <v>-0.36923769561670988</v>
      </c>
      <c r="G9" s="51">
        <f ca="1"/>
        <v>10708.14</v>
      </c>
      <c r="H9" s="51">
        <f ca="1"/>
        <v>-5015.0774999999994</v>
      </c>
      <c r="I9" s="52">
        <f ca="1"/>
        <v>-0.46834254128167913</v>
      </c>
      <c r="J9" s="25" t="str">
        <f ca="1"/>
        <v/>
      </c>
      <c r="K9" s="26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cm="1">
        <f t="array" aca="1" ref="C10:K10" ca="1">IF(INDIRECT("'" &amp; $A10 &amp; "'!B5:J5")="", "", INDIRECT("'" &amp; $A10 &amp; "'!B5:J5"))</f>
        <v>12897.375</v>
      </c>
      <c r="D10" s="49">
        <f ca="1"/>
        <v>21330.59</v>
      </c>
      <c r="E10" s="49">
        <f ca="1"/>
        <v>-8433.2150000000001</v>
      </c>
      <c r="F10" s="50">
        <f ca="1"/>
        <v>-0.39535779366627927</v>
      </c>
      <c r="G10" s="51">
        <f ca="1"/>
        <v>23412.400000000001</v>
      </c>
      <c r="H10" s="51">
        <f ca="1"/>
        <v>-10515.025000000001</v>
      </c>
      <c r="I10" s="52">
        <f ca="1"/>
        <v>-0.44912204643693088</v>
      </c>
      <c r="J10" s="26" t="str">
        <f ca="1"/>
        <v/>
      </c>
      <c r="K10" s="26" t="str">
        <f ca="1"/>
        <v/>
      </c>
    </row>
    <row r="11" spans="1:11" ht="28.5">
      <c r="A11" s="63" t="str">
        <v>Amherst - 595 Scholles Road</v>
      </c>
      <c r="B11" s="48" t="str">
        <v>NY</v>
      </c>
      <c r="C11" s="49" cm="1">
        <f t="array" aca="1" ref="C11:K11" ca="1">IF(INDIRECT("'" &amp; $A11 &amp; "'!B5:J5")="", "", INDIRECT("'" &amp; $A11 &amp; "'!B5:J5"))</f>
        <v>99935</v>
      </c>
      <c r="D11" s="49">
        <f ca="1"/>
        <v>131383.59999999998</v>
      </c>
      <c r="E11" s="49">
        <f ca="1"/>
        <v>-31448.599999999977</v>
      </c>
      <c r="F11" s="50">
        <f ca="1"/>
        <v>-0.23936473045342024</v>
      </c>
      <c r="G11" s="51">
        <f ca="1"/>
        <v>286492</v>
      </c>
      <c r="H11" s="51">
        <f ca="1"/>
        <v>-186557</v>
      </c>
      <c r="I11" s="52">
        <f ca="1"/>
        <v>-0.65117699621629921</v>
      </c>
      <c r="J11" s="25" t="str">
        <f ca="1"/>
        <v xml:space="preserve">1. Site tripped offlline at 01/31/2024 at 09:30 &amp; back online at 11:41. 
2. Inverter 1 was offline on 01/10/2024 &amp; back online at 01/11/2024 at 16:30. </v>
      </c>
      <c r="K11" s="25" t="str">
        <f ca="1"/>
        <v>1.SR080616
2. SR080129</v>
      </c>
    </row>
    <row r="12" spans="1:11" ht="15.75">
      <c r="A12" s="62" t="str">
        <v>Lancaster 1 - Gunnville Road</v>
      </c>
      <c r="B12" s="21" t="str">
        <v>NY</v>
      </c>
      <c r="C12" s="49" t="str" cm="1">
        <f t="array" aca="1" ref="C12:K12" ca="1">IF(INDIRECT("'" &amp; $A12 &amp; "'!B5:J5")="", "", INDIRECT("'" &amp; $A12 &amp; "'!B5:J5"))</f>
        <v/>
      </c>
      <c r="D12" s="49" t="str">
        <f ca="1"/>
        <v/>
      </c>
      <c r="E12" s="49">
        <f ca="1"/>
        <v>0</v>
      </c>
      <c r="F12" s="50">
        <f ca="1"/>
        <v>0</v>
      </c>
      <c r="G12" s="51" t="str">
        <f ca="1"/>
        <v/>
      </c>
      <c r="H12" s="51">
        <f ca="1"/>
        <v>0</v>
      </c>
      <c r="I12" s="52">
        <f ca="1"/>
        <v>0</v>
      </c>
      <c r="J12" s="26" t="str">
        <f ca="1"/>
        <v/>
      </c>
      <c r="K12" s="26" t="str">
        <f ca="1"/>
        <v/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"'!B5:J5")="", "", INDIRECT("'" &amp; $A13 &amp; "'!B5:J5"))</f>
        <v/>
      </c>
      <c r="D13" s="49" t="str">
        <f ca="1"/>
        <v/>
      </c>
      <c r="E13" s="49">
        <f ca="1"/>
        <v>0</v>
      </c>
      <c r="F13" s="50">
        <f ca="1"/>
        <v>0</v>
      </c>
      <c r="G13" s="51" t="str">
        <f ca="1"/>
        <v/>
      </c>
      <c r="H13" s="51">
        <f ca="1"/>
        <v>0</v>
      </c>
      <c r="I13" s="52">
        <f ca="1"/>
        <v>0</v>
      </c>
      <c r="J13" s="26" t="str">
        <f ca="1"/>
        <v/>
      </c>
      <c r="K13" s="26" t="str">
        <f ca="1"/>
        <v/>
      </c>
    </row>
    <row r="14" spans="1:11" ht="15.75">
      <c r="A14" s="63" t="str">
        <v>Fullerton - 200 W Orangethorpe</v>
      </c>
      <c r="B14" s="48" t="str">
        <v>CA</v>
      </c>
      <c r="C14" s="49" cm="1">
        <f t="array" aca="1" ref="C14:K14" ca="1">IF(INDIRECT("'" &amp; $A14 &amp; "'!B5:J5")="", "", INDIRECT("'" &amp; $A14 &amp; "'!B5:J5"))</f>
        <v>66219.87890625</v>
      </c>
      <c r="D14" s="49">
        <f ca="1"/>
        <v>65950.86</v>
      </c>
      <c r="E14" s="49">
        <f ca="1"/>
        <v>269.01890624999942</v>
      </c>
      <c r="F14" s="50">
        <f ca="1"/>
        <v>4.0790810953791872E-3</v>
      </c>
      <c r="G14" s="51">
        <f ca="1"/>
        <v>75151.27</v>
      </c>
      <c r="H14" s="51">
        <f ca="1"/>
        <v>-8931.3910937500041</v>
      </c>
      <c r="I14" s="52">
        <f ca="1"/>
        <v>-0.11884551111045766</v>
      </c>
      <c r="J14" s="25" t="str">
        <f ca="1"/>
        <v/>
      </c>
      <c r="K14" s="26" t="str">
        <f ca="1"/>
        <v/>
      </c>
    </row>
    <row r="15" spans="1:11" ht="15.75">
      <c r="A15" s="62" t="str">
        <v>El Paso - 10500 Railroad Drive</v>
      </c>
      <c r="B15" s="21" t="str">
        <v>TX</v>
      </c>
      <c r="C15" s="49" cm="1">
        <f t="array" aca="1" ref="C15:K15" ca="1">IF(INDIRECT("'" &amp; $A15 &amp; "'!B5:J5")="", "", INDIRECT("'" &amp; $A15 &amp; "'!B5:J5"))</f>
        <v>94436.375</v>
      </c>
      <c r="D15" s="49">
        <f ca="1"/>
        <v>110748.9</v>
      </c>
      <c r="E15" s="49">
        <f ca="1"/>
        <v>-16312.524999999994</v>
      </c>
      <c r="F15" s="53">
        <f ca="1"/>
        <v>-0.14729288507605939</v>
      </c>
      <c r="G15" s="51">
        <f ca="1"/>
        <v>95880.07</v>
      </c>
      <c r="H15" s="51">
        <f ca="1"/>
        <v>-1443.695000000007</v>
      </c>
      <c r="I15" s="54">
        <f ca="1"/>
        <v>-1.5057300229338662E-2</v>
      </c>
      <c r="J15" s="26" t="str">
        <f ca="1"/>
        <v/>
      </c>
      <c r="K15" s="26" t="str">
        <f ca="1"/>
        <v xml:space="preserve"> </v>
      </c>
    </row>
    <row r="16" spans="1:11" ht="28.5">
      <c r="A16" s="63" t="str">
        <v>Friona - 900 Millard Ave</v>
      </c>
      <c r="B16" s="48" t="str">
        <v>TX</v>
      </c>
      <c r="C16" s="49" cm="1">
        <f t="array" aca="1" ref="C16:K16" ca="1">IF(INDIRECT("'" &amp; $A16 &amp; "'!B5:J5")="", "", INDIRECT("'" &amp; $A16 &amp; "'!B5:J5"))</f>
        <v>63501.4375</v>
      </c>
      <c r="D16" s="49">
        <f ca="1"/>
        <v>68753.48</v>
      </c>
      <c r="E16" s="49">
        <f ca="1"/>
        <v>-5252.0424999999959</v>
      </c>
      <c r="F16" s="53">
        <f ca="1"/>
        <v>-7.6389478758020629E-2</v>
      </c>
      <c r="G16" s="51">
        <f ca="1"/>
        <v>72881.62</v>
      </c>
      <c r="H16" s="51">
        <f ca="1"/>
        <v>-9380.1824999999953</v>
      </c>
      <c r="I16" s="54">
        <f ca="1"/>
        <v>-0.12870436332233004</v>
      </c>
      <c r="J16" s="25" t="str">
        <f ca="1"/>
        <v xml:space="preserve">1. Inverter 6 tripping on &amp; off throught out the month. 
2. Inverter 7 has tripping event on 01/12,1/14,1/16,1/19. </v>
      </c>
      <c r="K16" s="25" t="str">
        <f ca="1"/>
        <v>1. SR074295
2. SR079995</v>
      </c>
    </row>
    <row r="17" spans="1:11" ht="13.5">
      <c r="A17" s="123" t="s">
        <v>9</v>
      </c>
      <c r="B17" s="124"/>
      <c r="C17" s="64">
        <f ca="1">SUM(C3:C16)</f>
        <v>592532.492188612</v>
      </c>
      <c r="D17" s="64">
        <f ca="1">SUM(D3:D16)</f>
        <v>833649.63500000001</v>
      </c>
      <c r="E17" s="64">
        <f ca="1">C17-D17</f>
        <v>-241117.14281138801</v>
      </c>
      <c r="F17" s="55">
        <f ca="1">IFERROR(E17/D17, 0)</f>
        <v>-0.28923079035641636</v>
      </c>
      <c r="G17" s="64">
        <f ca="1">SUM(G3:G16)</f>
        <v>1493236.8489999999</v>
      </c>
      <c r="H17" s="65">
        <f ca="1">C17-G17</f>
        <v>-900704.35681138793</v>
      </c>
      <c r="I17" s="56">
        <f ca="1">IFERROR(H17/G17, 0)</f>
        <v>-0.60318921101804923</v>
      </c>
      <c r="J17" s="8"/>
    </row>
    <row r="18" spans="1:11">
      <c r="J18" s="8"/>
    </row>
    <row r="19" spans="1:11">
      <c r="A19" s="125" t="s">
        <v>10</v>
      </c>
      <c r="J19" s="8"/>
    </row>
    <row r="20" spans="1:11">
      <c r="A20" s="125"/>
      <c r="J20" s="8"/>
    </row>
    <row r="21" spans="1:11">
      <c r="A21" s="126" t="s">
        <v>11</v>
      </c>
      <c r="J21" s="8"/>
    </row>
    <row r="22" spans="1:11">
      <c r="A22" s="126"/>
      <c r="J22" s="8"/>
    </row>
    <row r="23" spans="1:11">
      <c r="G23">
        <v>48161.71</v>
      </c>
      <c r="J23" s="8" t="s">
        <v>24</v>
      </c>
      <c r="K23" t="s">
        <v>25</v>
      </c>
    </row>
    <row r="24" spans="1:11">
      <c r="G24">
        <v>479912</v>
      </c>
      <c r="J24" t="s">
        <v>26</v>
      </c>
      <c r="K24" t="s">
        <v>27</v>
      </c>
    </row>
    <row r="25" spans="1:11">
      <c r="G25">
        <v>352931.5</v>
      </c>
      <c r="J25" t="s">
        <v>28</v>
      </c>
      <c r="K25" t="s">
        <v>29</v>
      </c>
    </row>
    <row r="26" spans="1:11">
      <c r="G26">
        <v>32151.25</v>
      </c>
      <c r="J26" t="s">
        <v>30</v>
      </c>
      <c r="K26" t="s">
        <v>31</v>
      </c>
    </row>
    <row r="27" spans="1:11">
      <c r="G27">
        <v>8785.3289999999997</v>
      </c>
      <c r="J27" t="s">
        <v>32</v>
      </c>
      <c r="K27" t="s">
        <v>32</v>
      </c>
    </row>
    <row r="28" spans="1:11">
      <c r="G28">
        <v>6769.56</v>
      </c>
      <c r="J28" t="s">
        <v>32</v>
      </c>
      <c r="K28" t="s">
        <v>32</v>
      </c>
    </row>
    <row r="29" spans="1:11">
      <c r="G29">
        <v>10708.14</v>
      </c>
      <c r="J29" t="s">
        <v>32</v>
      </c>
      <c r="K29" t="s">
        <v>32</v>
      </c>
    </row>
    <row r="30" spans="1:11">
      <c r="G30">
        <v>23412.400000000001</v>
      </c>
      <c r="J30" t="s">
        <v>32</v>
      </c>
      <c r="K30" t="s">
        <v>32</v>
      </c>
    </row>
    <row r="31" spans="1:11">
      <c r="G31">
        <v>286492</v>
      </c>
      <c r="J31" t="s">
        <v>33</v>
      </c>
      <c r="K31" t="s">
        <v>34</v>
      </c>
    </row>
    <row r="32" spans="1:11">
      <c r="G32" t="s">
        <v>32</v>
      </c>
      <c r="J32" t="s">
        <v>32</v>
      </c>
      <c r="K32" t="s">
        <v>32</v>
      </c>
    </row>
    <row r="33" spans="7:11">
      <c r="G33" t="s">
        <v>32</v>
      </c>
      <c r="J33" t="s">
        <v>32</v>
      </c>
      <c r="K33" t="s">
        <v>32</v>
      </c>
    </row>
    <row r="34" spans="7:11">
      <c r="G34">
        <v>75151.27</v>
      </c>
      <c r="J34" t="s">
        <v>32</v>
      </c>
      <c r="K34" t="s">
        <v>32</v>
      </c>
    </row>
    <row r="35" spans="7:11">
      <c r="G35">
        <v>95880.07</v>
      </c>
      <c r="J35" t="s">
        <v>32</v>
      </c>
      <c r="K35" t="s">
        <v>35</v>
      </c>
    </row>
    <row r="36" spans="7:11">
      <c r="G36">
        <v>72881.62</v>
      </c>
      <c r="J36" t="s">
        <v>36</v>
      </c>
      <c r="K36" t="s">
        <v>37</v>
      </c>
    </row>
  </sheetData>
  <autoFilter ref="A2:I2" xr:uid="{B0362DDA-D4B4-4F79-9A5D-D43AD85A6C79}"/>
  <mergeCells count="8">
    <mergeCell ref="A19:A20"/>
    <mergeCell ref="A21:A22"/>
    <mergeCell ref="A17:B17"/>
    <mergeCell ref="K1:K2"/>
    <mergeCell ref="C1:F1"/>
    <mergeCell ref="G1:I1"/>
    <mergeCell ref="A1:B1"/>
    <mergeCell ref="J1:J2"/>
  </mergeCells>
  <conditionalFormatting sqref="F3:F17 I3:I17">
    <cfRule type="cellIs" dxfId="256" priority="4" operator="lessThanOrEqual">
      <formula>-0.1</formula>
    </cfRule>
    <cfRule type="cellIs" dxfId="255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3"/>
  <sheetViews>
    <sheetView workbookViewId="0">
      <pane ySplit="2" topLeftCell="A3" activePane="bottomLeft" state="frozen"/>
      <selection pane="bottomLeft" activeCell="D27" sqref="D27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38</v>
      </c>
      <c r="D1" s="130"/>
      <c r="E1" s="130"/>
      <c r="F1" s="131"/>
      <c r="G1" s="121" t="s">
        <v>39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"'!B6:J6")="", "", INDIRECT("'" &amp; $A3 &amp; "'!B6:J6"))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5" t="str">
        <f ca="1"/>
        <v/>
      </c>
      <c r="K3" s="25" t="str">
        <f ca="1"/>
        <v/>
      </c>
    </row>
    <row r="4" spans="1:11" ht="15.75">
      <c r="A4" s="62" t="str">
        <v>Adelanto - 1 Sheep Creek Road</v>
      </c>
      <c r="B4" s="21" t="str">
        <v>CA</v>
      </c>
      <c r="C4" s="49" t="str" cm="1">
        <f t="array" aca="1" ref="C4:K4" ca="1">IF(INDIRECT("'" &amp; $A4 &amp; "'!B6:J6")="", "", INDIRECT("'" &amp; $A4 &amp; "'!B6:J6"))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5" t="str">
        <f ca="1"/>
        <v/>
      </c>
      <c r="K4" s="25" t="str">
        <f ca="1"/>
        <v xml:space="preserve"> </v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"'!B6:J6")="", "", INDIRECT("'" &amp; $A5 &amp; "'!B6:J6"))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5" t="str">
        <f ca="1"/>
        <v/>
      </c>
      <c r="K5" s="25" t="str">
        <f ca="1"/>
        <v/>
      </c>
    </row>
    <row r="6" spans="1:11" ht="15.75">
      <c r="A6" s="62" t="str">
        <v>Charlton - 299 Worcester Road</v>
      </c>
      <c r="B6" s="21" t="str">
        <v>MA</v>
      </c>
      <c r="C6" s="49" t="str" cm="1">
        <f t="array" aca="1" ref="C6:K6" ca="1">IF(INDIRECT("'" &amp; $A6 &amp; "'!B6:J6")="", "", INDIRECT("'" &amp; $A6 &amp; "'!B6:J6"))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5" t="str">
        <f ca="1"/>
        <v/>
      </c>
      <c r="K6" s="25" t="str">
        <f ca="1"/>
        <v/>
      </c>
    </row>
    <row r="7" spans="1:11" ht="15.75">
      <c r="A7" s="63" t="str">
        <v>Wareham - 8 Thatcher Drive</v>
      </c>
      <c r="B7" s="48" t="str">
        <v>MA</v>
      </c>
      <c r="C7" s="49" t="str" cm="1">
        <f t="array" aca="1" ref="C7:K7" ca="1">IF(INDIRECT("'" &amp; $A7 &amp; "'!B6:J6")="", "", INDIRECT("'" &amp; $A7 &amp; "'!B6:J6"))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5" t="str">
        <f ca="1"/>
        <v/>
      </c>
      <c r="K7" s="25" t="str">
        <f ca="1"/>
        <v/>
      </c>
    </row>
    <row r="8" spans="1:11" ht="15.75">
      <c r="A8" s="62" t="str">
        <v>West Yarmouth - 42 Mid Tech</v>
      </c>
      <c r="B8" s="21" t="str">
        <v>MA</v>
      </c>
      <c r="C8" s="49" t="str" cm="1">
        <f t="array" aca="1" ref="C8:K8" ca="1">IF(INDIRECT("'" &amp; $A8 &amp; "'!B6:J6")="", "", INDIRECT("'" &amp; $A8 &amp; "'!B6:J6"))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5" t="str">
        <f ca="1"/>
        <v/>
      </c>
      <c r="K8" s="25" t="str">
        <f ca="1"/>
        <v/>
      </c>
    </row>
    <row r="9" spans="1:11" ht="15.75">
      <c r="A9" s="63" t="str">
        <v>Harrison - 130 Union Street</v>
      </c>
      <c r="B9" s="48" t="str">
        <v>NY</v>
      </c>
      <c r="C9" s="49" t="str" cm="1">
        <f t="array" aca="1" ref="C9:K9" ca="1">IF(INDIRECT("'" &amp; $A9 &amp; "'!B6:J6")="", "", INDIRECT("'" &amp; $A9 &amp; "'!B6:J6"))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5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t="str" cm="1">
        <f t="array" aca="1" ref="C10:K10" ca="1">IF(INDIRECT("'" &amp; $A10 &amp; "'!B6:J6")="", "", INDIRECT("'" &amp; $A10 &amp; "'!B6:J6"))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5" t="str">
        <f ca="1"/>
        <v/>
      </c>
      <c r="K10" s="25" t="str">
        <f ca="1"/>
        <v/>
      </c>
    </row>
    <row r="11" spans="1:11" ht="15.75">
      <c r="A11" s="63" t="str">
        <v>Amherst - 595 Scholles Road</v>
      </c>
      <c r="B11" s="48" t="str">
        <v>NY</v>
      </c>
      <c r="C11" s="49" t="str" cm="1">
        <f t="array" aca="1" ref="C11:K11" ca="1">IF(INDIRECT("'" &amp; $A11 &amp; "'!B6:J6")="", "", INDIRECT("'" &amp; $A11 &amp; "'!B6:J6"))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5" t="str">
        <f ca="1"/>
        <v/>
      </c>
      <c r="K11" s="25" t="str">
        <f ca="1"/>
        <v/>
      </c>
    </row>
    <row r="12" spans="1:11" ht="15.75">
      <c r="A12" s="62" t="str">
        <v>Lancaster 1 - Gunnville Road</v>
      </c>
      <c r="B12" s="21" t="str">
        <v>NY</v>
      </c>
      <c r="C12" s="49" t="str" cm="1">
        <f t="array" aca="1" ref="C12:K12" ca="1">IF(INDIRECT("'" &amp; $A12 &amp; "'!B6:J6")="", "", INDIRECT("'" &amp; $A12 &amp; "'!B6:J6"))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5" t="str">
        <f ca="1"/>
        <v/>
      </c>
      <c r="K12" s="25" t="str">
        <f ca="1"/>
        <v/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"'!B6:J6")="", "", INDIRECT("'" &amp; $A13 &amp; "'!B6:J6"))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5" t="str">
        <f ca="1"/>
        <v/>
      </c>
      <c r="K13" s="25" t="str">
        <f ca="1"/>
        <v/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"'!B6:J6")="", "", INDIRECT("'" &amp; $A14 &amp; "'!B6:J6"))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5" t="str">
        <f ca="1"/>
        <v/>
      </c>
    </row>
    <row r="15" spans="1:11" ht="15.75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"'!B6:J6")="", "", INDIRECT("'" &amp; $A15 &amp; "'!B6:J6"))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5" t="str">
        <f ca="1"/>
        <v/>
      </c>
      <c r="K15" s="25" t="str">
        <f ca="1"/>
        <v xml:space="preserve"> </v>
      </c>
    </row>
    <row r="16" spans="1:11" ht="15.75">
      <c r="A16" s="63" t="str">
        <v>Friona - 900 Millard Ave</v>
      </c>
      <c r="B16" s="48" t="str">
        <v>TX</v>
      </c>
      <c r="C16" s="49" t="str" cm="1">
        <f t="array" aca="1" ref="C16:K16" ca="1">IF(INDIRECT("'" &amp; $A16 &amp; "'!B6:J6")="", "", INDIRECT("'" &amp; $A16 &amp; "'!B6:J6"))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5" t="str">
        <f ca="1"/>
        <v/>
      </c>
      <c r="K16" s="25" t="str">
        <f ca="1"/>
        <v xml:space="preserve"> </v>
      </c>
    </row>
    <row r="17" spans="1:10" ht="24.75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>
      <c r="J18" s="8"/>
    </row>
    <row r="19" spans="1:10" ht="12.75" customHeight="1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 ht="12.75" customHeight="1">
      <c r="A22" s="126"/>
      <c r="J22" s="8"/>
    </row>
    <row r="23" spans="1:10">
      <c r="J23" s="8"/>
    </row>
  </sheetData>
  <autoFilter ref="A2:I2" xr:uid="{CAF24030-967D-40AB-9B78-5C3C0C46A55D}"/>
  <mergeCells count="8">
    <mergeCell ref="G1:I1"/>
    <mergeCell ref="J1:J2"/>
    <mergeCell ref="K1:K2"/>
    <mergeCell ref="A19:A20"/>
    <mergeCell ref="A21:A22"/>
    <mergeCell ref="A17:B17"/>
    <mergeCell ref="C1:F1"/>
    <mergeCell ref="A1:B1"/>
  </mergeCells>
  <conditionalFormatting sqref="F3:F17 I3:I17">
    <cfRule type="cellIs" dxfId="254" priority="1" operator="lessThanOrEqual">
      <formula>-0.1</formula>
    </cfRule>
    <cfRule type="cellIs" dxfId="25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3"/>
  <sheetViews>
    <sheetView workbookViewId="0">
      <pane ySplit="2" topLeftCell="A3" activePane="bottomLeft" state="frozen"/>
      <selection pane="bottomLeft" activeCell="H22" sqref="H22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40</v>
      </c>
      <c r="D1" s="130"/>
      <c r="E1" s="130"/>
      <c r="F1" s="131"/>
      <c r="G1" s="121" t="s">
        <v>41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"'!B7:J7")="", "", INDIRECT("'" &amp; $A3 &amp; "'!B7:J7"))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5" t="str">
        <f ca="1"/>
        <v/>
      </c>
      <c r="K3" s="25" t="str">
        <f ca="1"/>
        <v/>
      </c>
    </row>
    <row r="4" spans="1:11" ht="15.75">
      <c r="A4" s="62" t="str">
        <v>Adelanto - 1 Sheep Creek Road</v>
      </c>
      <c r="B4" s="21" t="str">
        <v>CA</v>
      </c>
      <c r="C4" s="49" t="str" cm="1">
        <f t="array" aca="1" ref="C4:K4" ca="1">IF(INDIRECT("'" &amp; $A4 &amp; "'!B7:J7")="", "", INDIRECT("'" &amp; $A4 &amp; "'!B7:J7"))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5" t="str">
        <f ca="1"/>
        <v/>
      </c>
      <c r="K4" s="25" t="str">
        <f ca="1"/>
        <v/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"'!B7:J7")="", "", INDIRECT("'" &amp; $A5 &amp; "'!B7:J7"))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5" t="str">
        <f ca="1"/>
        <v/>
      </c>
      <c r="K5" s="25" t="str">
        <f ca="1"/>
        <v/>
      </c>
    </row>
    <row r="6" spans="1:11" ht="15.75">
      <c r="A6" s="62" t="str">
        <v>Charlton - 299 Worcester Road</v>
      </c>
      <c r="B6" s="21" t="str">
        <v>MA</v>
      </c>
      <c r="C6" s="49" t="str" cm="1">
        <f t="array" aca="1" ref="C6:K6" ca="1">IF(INDIRECT("'" &amp; $A6 &amp; "'!B7:J7")="", "", INDIRECT("'" &amp; $A6 &amp; "'!B7:J7"))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5" t="str">
        <f ca="1"/>
        <v/>
      </c>
      <c r="K6" s="25" t="str">
        <f ca="1"/>
        <v/>
      </c>
    </row>
    <row r="7" spans="1:11" ht="15.75">
      <c r="A7" s="63" t="str">
        <v>Wareham - 8 Thatcher Drive</v>
      </c>
      <c r="B7" s="48" t="str">
        <v>MA</v>
      </c>
      <c r="C7" s="49" t="str" cm="1">
        <f t="array" aca="1" ref="C7:K7" ca="1">IF(INDIRECT("'" &amp; $A7 &amp; "'!B7:J7")="", "", INDIRECT("'" &amp; $A7 &amp; "'!B7:J7"))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5" t="str">
        <f ca="1"/>
        <v/>
      </c>
      <c r="K7" s="25" t="str">
        <f ca="1"/>
        <v/>
      </c>
    </row>
    <row r="8" spans="1:11" ht="15.75">
      <c r="A8" s="62" t="str">
        <v>West Yarmouth - 42 Mid Tech</v>
      </c>
      <c r="B8" s="21" t="str">
        <v>MA</v>
      </c>
      <c r="C8" s="49" t="str" cm="1">
        <f t="array" aca="1" ref="C8:K8" ca="1">IF(INDIRECT("'" &amp; $A8 &amp; "'!B7:J7")="", "", INDIRECT("'" &amp; $A8 &amp; "'!B7:J7"))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5" t="str">
        <f ca="1"/>
        <v/>
      </c>
      <c r="K8" s="25" t="str">
        <f ca="1"/>
        <v/>
      </c>
    </row>
    <row r="9" spans="1:11" ht="15.75">
      <c r="A9" s="63" t="str">
        <v>Harrison - 130 Union Street</v>
      </c>
      <c r="B9" s="48" t="str">
        <v>NY</v>
      </c>
      <c r="C9" s="49" t="str" cm="1">
        <f t="array" aca="1" ref="C9:K9" ca="1">IF(INDIRECT("'" &amp; $A9 &amp; "'!B7:J7")="", "", INDIRECT("'" &amp; $A9 &amp; "'!B7:J7"))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5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t="str" cm="1">
        <f t="array" aca="1" ref="C10:K10" ca="1">IF(INDIRECT("'" &amp; $A10 &amp; "'!B7:J7")="", "", INDIRECT("'" &amp; $A10 &amp; "'!B7:J7"))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5" t="str">
        <f ca="1"/>
        <v/>
      </c>
      <c r="K10" s="25" t="str">
        <f ca="1"/>
        <v/>
      </c>
    </row>
    <row r="11" spans="1:11" ht="15.75">
      <c r="A11" s="63" t="str">
        <v>Amherst - 595 Scholles Road</v>
      </c>
      <c r="B11" s="48" t="str">
        <v>NY</v>
      </c>
      <c r="C11" s="49" t="str" cm="1">
        <f t="array" aca="1" ref="C11:K11" ca="1">IF(INDIRECT("'" &amp; $A11 &amp; "'!B7:J7")="", "", INDIRECT("'" &amp; $A11 &amp; "'!B7:J7"))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5" t="str">
        <f ca="1"/>
        <v/>
      </c>
      <c r="K11" s="25" t="str">
        <f ca="1"/>
        <v/>
      </c>
    </row>
    <row r="12" spans="1:11" ht="15.75">
      <c r="A12" s="62" t="str">
        <v>Lancaster 1 - Gunnville Road</v>
      </c>
      <c r="B12" s="21" t="str">
        <v>NY</v>
      </c>
      <c r="C12" s="49" t="str" cm="1">
        <f t="array" aca="1" ref="C12:K12" ca="1">IF(INDIRECT("'" &amp; $A12 &amp; "'!B7:J7")="", "", INDIRECT("'" &amp; $A12 &amp; "'!B7:J7"))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5" t="str">
        <f ca="1"/>
        <v/>
      </c>
      <c r="K12" s="25" t="str">
        <f ca="1"/>
        <v/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"'!B7:J7")="", "", INDIRECT("'" &amp; $A13 &amp; "'!B7:J7"))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5" t="str">
        <f ca="1"/>
        <v/>
      </c>
      <c r="K13" s="25" t="str">
        <f ca="1"/>
        <v/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"'!B7:J7")="", "", INDIRECT("'" &amp; $A14 &amp; "'!B7:J7"))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5" t="str">
        <f ca="1"/>
        <v/>
      </c>
    </row>
    <row r="15" spans="1:11" ht="12.75" customHeight="1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"'!B7:J7")="", "", INDIRECT("'" &amp; $A15 &amp; "'!B7:J7"))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5" t="str">
        <f ca="1"/>
        <v/>
      </c>
      <c r="K15" s="25" t="str">
        <f ca="1"/>
        <v/>
      </c>
    </row>
    <row r="16" spans="1:11" ht="15.75">
      <c r="A16" s="63" t="str">
        <v>Friona - 900 Millard Ave</v>
      </c>
      <c r="B16" s="48" t="str">
        <v>TX</v>
      </c>
      <c r="C16" s="49" t="str" cm="1">
        <f t="array" aca="1" ref="C16:K16" ca="1">IF(INDIRECT("'" &amp; $A16 &amp; "'!B7:J7")="", "", INDIRECT("'" &amp; $A16 &amp; "'!B7:J7"))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5" t="str">
        <f ca="1"/>
        <v/>
      </c>
      <c r="K16" s="25" t="str">
        <f ca="1"/>
        <v/>
      </c>
    </row>
    <row r="17" spans="1:10" ht="12.75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>
      <c r="A22" s="126"/>
      <c r="J22" s="8"/>
    </row>
    <row r="23" spans="1:10">
      <c r="J23" s="8"/>
    </row>
  </sheetData>
  <autoFilter ref="A2:I2" xr:uid="{E69961AB-A757-4049-8AB9-40F3BCB812B3}"/>
  <mergeCells count="8">
    <mergeCell ref="A19:A20"/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52" priority="1" operator="lessThanOrEqual">
      <formula>-0.1</formula>
    </cfRule>
    <cfRule type="cellIs" dxfId="2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3"/>
  <sheetViews>
    <sheetView workbookViewId="0">
      <pane ySplit="2" topLeftCell="A3" activePane="bottomLeft" state="frozen"/>
      <selection pane="bottomLeft" activeCell="D13" sqref="D13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42</v>
      </c>
      <c r="D1" s="130"/>
      <c r="E1" s="130"/>
      <c r="F1" s="131"/>
      <c r="G1" s="121" t="s">
        <v>43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"'!B8:J8")="", "", INDIRECT("'" &amp; $A3 &amp; "'!B8:J8"))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5" t="str">
        <f ca="1"/>
        <v/>
      </c>
      <c r="K3" s="25" t="str">
        <f ca="1"/>
        <v/>
      </c>
    </row>
    <row r="4" spans="1:11" ht="15.75">
      <c r="A4" s="62" t="str">
        <v>Adelanto - 1 Sheep Creek Road</v>
      </c>
      <c r="B4" s="21" t="str">
        <v>CA</v>
      </c>
      <c r="C4" s="49" t="str" cm="1">
        <f t="array" aca="1" ref="C4:K4" ca="1">IF(INDIRECT("'" &amp; $A4 &amp; "'!B8:J8")="", "", INDIRECT("'" &amp; $A4 &amp; "'!B8:J8"))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5" t="str">
        <f ca="1"/>
        <v/>
      </c>
      <c r="K4" s="25" t="str">
        <f ca="1"/>
        <v/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"'!B8:J8")="", "", INDIRECT("'" &amp; $A5 &amp; "'!B8:J8"))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5" t="str">
        <f ca="1"/>
        <v/>
      </c>
      <c r="K5" s="25" t="str">
        <f ca="1"/>
        <v/>
      </c>
    </row>
    <row r="6" spans="1:11" ht="15.75">
      <c r="A6" s="62" t="str">
        <v>Charlton - 299 Worcester Road</v>
      </c>
      <c r="B6" s="21" t="str">
        <v>MA</v>
      </c>
      <c r="C6" s="49" t="str" cm="1">
        <f t="array" aca="1" ref="C6:K6" ca="1">IF(INDIRECT("'" &amp; $A6 &amp; "'!B8:J8")="", "", INDIRECT("'" &amp; $A6 &amp; "'!B8:J8"))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5" t="str">
        <f ca="1"/>
        <v/>
      </c>
      <c r="K6" s="25" t="str">
        <f ca="1"/>
        <v/>
      </c>
    </row>
    <row r="7" spans="1:11" ht="15.75">
      <c r="A7" s="63" t="str">
        <v>Wareham - 8 Thatcher Drive</v>
      </c>
      <c r="B7" s="48" t="str">
        <v>MA</v>
      </c>
      <c r="C7" s="49" t="str" cm="1">
        <f t="array" aca="1" ref="C7:K7" ca="1">IF(INDIRECT("'" &amp; $A7 &amp; "'!B8:J8")="", "", INDIRECT("'" &amp; $A7 &amp; "'!B8:J8"))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5" t="str">
        <f ca="1"/>
        <v/>
      </c>
      <c r="K7" s="25" t="str">
        <f ca="1"/>
        <v/>
      </c>
    </row>
    <row r="8" spans="1:11" ht="15.75">
      <c r="A8" s="62" t="str">
        <v>West Yarmouth - 42 Mid Tech</v>
      </c>
      <c r="B8" s="21" t="str">
        <v>MA</v>
      </c>
      <c r="C8" s="49" t="str" cm="1">
        <f t="array" aca="1" ref="C8:K8" ca="1">IF(INDIRECT("'" &amp; $A8 &amp; "'!B8:J8")="", "", INDIRECT("'" &amp; $A8 &amp; "'!B8:J8"))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5" t="str">
        <f ca="1"/>
        <v/>
      </c>
      <c r="K8" s="25" t="str">
        <f ca="1"/>
        <v/>
      </c>
    </row>
    <row r="9" spans="1:11" ht="15.75">
      <c r="A9" s="63" t="str">
        <v>Harrison - 130 Union Street</v>
      </c>
      <c r="B9" s="48" t="str">
        <v>NY</v>
      </c>
      <c r="C9" s="49" t="str" cm="1">
        <f t="array" aca="1" ref="C9:K9" ca="1">IF(INDIRECT("'" &amp; $A9 &amp; "'!B8:J8")="", "", INDIRECT("'" &amp; $A9 &amp; "'!B8:J8"))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5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t="str" cm="1">
        <f t="array" aca="1" ref="C10:K10" ca="1">IF(INDIRECT("'" &amp; $A10 &amp; "'!B8:J8")="", "", INDIRECT("'" &amp; $A10 &amp; "'!B8:J8"))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5" t="str">
        <f ca="1"/>
        <v/>
      </c>
      <c r="K10" s="25" t="str">
        <f ca="1"/>
        <v/>
      </c>
    </row>
    <row r="11" spans="1:11" ht="15.75">
      <c r="A11" s="63" t="str">
        <v>Amherst - 595 Scholles Road</v>
      </c>
      <c r="B11" s="48" t="str">
        <v>NY</v>
      </c>
      <c r="C11" s="49" t="str" cm="1">
        <f t="array" aca="1" ref="C11:K11" ca="1">IF(INDIRECT("'" &amp; $A11 &amp; "'!B8:J8")="", "", INDIRECT("'" &amp; $A11 &amp; "'!B8:J8"))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5" t="str">
        <f ca="1"/>
        <v/>
      </c>
      <c r="K11" s="25" t="str">
        <f ca="1"/>
        <v/>
      </c>
    </row>
    <row r="12" spans="1:11" ht="15.75">
      <c r="A12" s="62" t="str">
        <v>Lancaster 1 - Gunnville Road</v>
      </c>
      <c r="B12" s="21" t="str">
        <v>NY</v>
      </c>
      <c r="C12" s="49" t="str" cm="1">
        <f t="array" aca="1" ref="C12:K12" ca="1">IF(INDIRECT("'" &amp; $A12 &amp; "'!B8:J8")="", "", INDIRECT("'" &amp; $A12 &amp; "'!B8:J8"))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5" t="str">
        <f ca="1"/>
        <v/>
      </c>
      <c r="K12" s="25" t="str">
        <f ca="1"/>
        <v/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"'!B8:J8")="", "", INDIRECT("'" &amp; $A13 &amp; "'!B8:J8"))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5" t="str">
        <f ca="1"/>
        <v/>
      </c>
      <c r="K13" s="25" t="str">
        <f ca="1"/>
        <v/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"'!B8:J8")="", "", INDIRECT("'" &amp; $A14 &amp; "'!B8:J8"))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5" t="str">
        <f ca="1"/>
        <v/>
      </c>
    </row>
    <row r="15" spans="1:11" ht="12.75" customHeight="1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"'!B8:J8")="", "", INDIRECT("'" &amp; $A15 &amp; "'!B8:J8"))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5" t="str">
        <f ca="1"/>
        <v/>
      </c>
      <c r="K15" s="25" t="str">
        <f ca="1"/>
        <v/>
      </c>
    </row>
    <row r="16" spans="1:11" ht="15.75">
      <c r="A16" s="63" t="str">
        <v>Friona - 900 Millard Ave</v>
      </c>
      <c r="B16" s="48" t="str">
        <v>TX</v>
      </c>
      <c r="C16" s="49" t="str" cm="1">
        <f t="array" aca="1" ref="C16:K16" ca="1">IF(INDIRECT("'" &amp; $A16 &amp; "'!B8:J8")="", "", INDIRECT("'" &amp; $A16 &amp; "'!B8:J8"))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5" t="str">
        <f ca="1"/>
        <v/>
      </c>
      <c r="K16" s="25" t="str">
        <f ca="1"/>
        <v/>
      </c>
    </row>
    <row r="17" spans="1:10" ht="12.75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>
      <c r="A22" s="126"/>
      <c r="J22" s="8"/>
    </row>
    <row r="23" spans="1:10">
      <c r="J23" s="8"/>
    </row>
  </sheetData>
  <autoFilter ref="A2:I2" xr:uid="{9CEFA865-F03F-435F-98CB-83683B1083B8}"/>
  <mergeCells count="8">
    <mergeCell ref="A19:A20"/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50" priority="1" operator="lessThanOrEqual">
      <formula>-0.1</formula>
    </cfRule>
    <cfRule type="cellIs" dxfId="24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3"/>
  <sheetViews>
    <sheetView workbookViewId="0">
      <pane ySplit="2" topLeftCell="A3" activePane="bottomLeft" state="frozen"/>
      <selection pane="bottomLeft" activeCell="H22" sqref="H22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44</v>
      </c>
      <c r="D1" s="130"/>
      <c r="E1" s="130"/>
      <c r="F1" s="131"/>
      <c r="G1" s="121" t="s">
        <v>45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"'!B9:J9")="", "", INDIRECT("'" &amp; $A3 &amp; "'!B9:J9"))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6" t="str">
        <f ca="1"/>
        <v/>
      </c>
      <c r="K3" s="26" t="str">
        <f ca="1"/>
        <v/>
      </c>
    </row>
    <row r="4" spans="1:11" ht="15.75">
      <c r="A4" s="62" t="str">
        <v>Adelanto - 1 Sheep Creek Road</v>
      </c>
      <c r="B4" s="21" t="str">
        <v>CA</v>
      </c>
      <c r="C4" s="49" t="str" cm="1">
        <f t="array" aca="1" ref="C4:K4" ca="1">IF(INDIRECT("'" &amp; $A4 &amp; "'!B9:J9")="", "", INDIRECT("'" &amp; $A4 &amp; "'!B9:J9"))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6" t="str">
        <f ca="1"/>
        <v/>
      </c>
      <c r="K4" s="26" t="str">
        <f ca="1"/>
        <v/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"'!B9:J9")="", "", INDIRECT("'" &amp; $A5 &amp; "'!B9:J9"))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6" t="str">
        <f ca="1"/>
        <v/>
      </c>
      <c r="K5" s="26" t="str">
        <f ca="1"/>
        <v/>
      </c>
    </row>
    <row r="6" spans="1:11" ht="15.75">
      <c r="A6" s="62" t="str">
        <v>Charlton - 299 Worcester Road</v>
      </c>
      <c r="B6" s="21" t="str">
        <v>MA</v>
      </c>
      <c r="C6" s="49" t="str" cm="1">
        <f t="array" aca="1" ref="C6:K6" ca="1">IF(INDIRECT("'" &amp; $A6 &amp; "'!B9:J9")="", "", INDIRECT("'" &amp; $A6 &amp; "'!B9:J9"))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6" t="str">
        <f ca="1"/>
        <v/>
      </c>
      <c r="K6" s="26" t="str">
        <f ca="1"/>
        <v/>
      </c>
    </row>
    <row r="7" spans="1:11" ht="15.75">
      <c r="A7" s="63" t="str">
        <v>Wareham - 8 Thatcher Drive</v>
      </c>
      <c r="B7" s="48" t="str">
        <v>MA</v>
      </c>
      <c r="C7" s="49" t="str" cm="1">
        <f t="array" aca="1" ref="C7:K7" ca="1">IF(INDIRECT("'" &amp; $A7 &amp; "'!B9:J9")="", "", INDIRECT("'" &amp; $A7 &amp; "'!B9:J9"))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/>
      </c>
    </row>
    <row r="8" spans="1:11" ht="15.75">
      <c r="A8" s="62" t="str">
        <v>West Yarmouth - 42 Mid Tech</v>
      </c>
      <c r="B8" s="21" t="str">
        <v>MA</v>
      </c>
      <c r="C8" s="49" t="str" cm="1">
        <f t="array" aca="1" ref="C8:K8" ca="1">IF(INDIRECT("'" &amp; $A8 &amp; "'!B9:J9")="", "", INDIRECT("'" &amp; $A8 &amp; "'!B9:J9"))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6" t="str">
        <f ca="1"/>
        <v/>
      </c>
      <c r="K8" s="26" t="str">
        <f ca="1"/>
        <v/>
      </c>
    </row>
    <row r="9" spans="1:11" ht="15.75">
      <c r="A9" s="63" t="str">
        <v>Harrison - 130 Union Street</v>
      </c>
      <c r="B9" s="48" t="str">
        <v>NY</v>
      </c>
      <c r="C9" s="49" t="str" cm="1">
        <f t="array" aca="1" ref="C9:K9" ca="1">IF(INDIRECT("'" &amp; $A9 &amp; "'!B9:J9")="", "", INDIRECT("'" &amp; $A9 &amp; "'!B9:J9"))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6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t="str" cm="1">
        <f t="array" aca="1" ref="C10:K10" ca="1">IF(INDIRECT("'" &amp; $A10 &amp; "'!B9:J9")="", "", INDIRECT("'" &amp; $A10 &amp; "'!B9:J9"))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6" t="str">
        <f ca="1"/>
        <v/>
      </c>
      <c r="K10" s="26" t="str">
        <f ca="1"/>
        <v/>
      </c>
    </row>
    <row r="11" spans="1:11" ht="15.75">
      <c r="A11" s="63" t="str">
        <v>Amherst - 595 Scholles Road</v>
      </c>
      <c r="B11" s="48" t="str">
        <v>NY</v>
      </c>
      <c r="C11" s="49" t="str" cm="1">
        <f t="array" aca="1" ref="C11:K11" ca="1">IF(INDIRECT("'" &amp; $A11 &amp; "'!B9:J9")="", "", INDIRECT("'" &amp; $A11 &amp; "'!B9:J9"))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6" t="str">
        <f ca="1"/>
        <v/>
      </c>
      <c r="K11" s="26" t="str">
        <f ca="1"/>
        <v/>
      </c>
    </row>
    <row r="12" spans="1:11" ht="24.75" customHeight="1">
      <c r="A12" s="62" t="str">
        <v>Lancaster 1 - Gunnville Road</v>
      </c>
      <c r="B12" s="21" t="str">
        <v>NY</v>
      </c>
      <c r="C12" s="49" t="str" cm="1">
        <f t="array" aca="1" ref="C12:K12" ca="1">IF(INDIRECT("'" &amp; $A12 &amp; "'!B9:J9")="", "", INDIRECT("'" &amp; $A12 &amp; "'!B9:J9"))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6" t="str">
        <f ca="1"/>
        <v/>
      </c>
      <c r="K12" s="26" t="str">
        <f ca="1"/>
        <v/>
      </c>
    </row>
    <row r="13" spans="1:11" ht="24.75" customHeight="1">
      <c r="A13" s="62" t="str">
        <v>Lancaster 2 - Shisler Road</v>
      </c>
      <c r="B13" s="21" t="str">
        <v>NY</v>
      </c>
      <c r="C13" s="49" t="str" cm="1">
        <f t="array" aca="1" ref="C13:K13" ca="1">IF(INDIRECT("'" &amp; $A13 &amp; "'!B9:J9")="", "", INDIRECT("'" &amp; $A13 &amp; "'!B9:J9"))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6" t="str">
        <f ca="1"/>
        <v/>
      </c>
      <c r="K13" s="26" t="str">
        <f ca="1"/>
        <v/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"'!B9:J9")="", "", INDIRECT("'" &amp; $A14 &amp; "'!B9:J9"))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6" t="str">
        <f ca="1"/>
        <v/>
      </c>
    </row>
    <row r="15" spans="1:11" ht="15.75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"'!B9:J9")="", "", INDIRECT("'" &amp; $A15 &amp; "'!B9:J9"))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6" t="str">
        <f ca="1"/>
        <v/>
      </c>
      <c r="K15" s="26" t="str">
        <f ca="1"/>
        <v/>
      </c>
    </row>
    <row r="16" spans="1:11" ht="15.75">
      <c r="A16" s="63" t="str">
        <v>Friona - 900 Millard Ave</v>
      </c>
      <c r="B16" s="48" t="str">
        <v>TX</v>
      </c>
      <c r="C16" s="49" t="str" cm="1">
        <f t="array" aca="1" ref="C16:K16" ca="1">IF(INDIRECT("'" &amp; $A16 &amp; "'!B9:J9")="", "", INDIRECT("'" &amp; $A16 &amp; "'!B9:J9"))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6" t="str">
        <f ca="1"/>
        <v/>
      </c>
      <c r="K16" s="26" t="str">
        <f ca="1"/>
        <v/>
      </c>
    </row>
    <row r="17" spans="1:10" ht="13.5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>
      <c r="A22" s="126"/>
      <c r="J22" s="8"/>
    </row>
    <row r="23" spans="1:10">
      <c r="J23" s="8"/>
    </row>
  </sheetData>
  <autoFilter ref="A2:I2" xr:uid="{BC8A3C74-EDA3-4B8F-8C65-FD4243AE8FF6}"/>
  <mergeCells count="8">
    <mergeCell ref="A19:A20"/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48" priority="1" operator="lessThanOrEqual">
      <formula>-0.1</formula>
    </cfRule>
    <cfRule type="cellIs" dxfId="24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3"/>
  <sheetViews>
    <sheetView workbookViewId="0">
      <pane ySplit="2" topLeftCell="A3" activePane="bottomLeft" state="frozen"/>
      <selection pane="bottomLeft" activeCell="H22" sqref="H22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46</v>
      </c>
      <c r="D1" s="130"/>
      <c r="E1" s="130"/>
      <c r="F1" s="131"/>
      <c r="G1" s="121" t="s">
        <v>47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"'!B10:J10")="", "", INDIRECT("'" &amp; $A3 &amp; "'!B10:J10"))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5" t="str">
        <f ca="1"/>
        <v/>
      </c>
      <c r="K3" s="25" t="str">
        <f ca="1"/>
        <v/>
      </c>
    </row>
    <row r="4" spans="1:11" ht="15.75">
      <c r="A4" s="62" t="str">
        <v>Adelanto - 1 Sheep Creek Road</v>
      </c>
      <c r="B4" s="21" t="str">
        <v>CA</v>
      </c>
      <c r="C4" s="49" t="str" cm="1">
        <f t="array" aca="1" ref="C4:K4" ca="1">IF(INDIRECT("'" &amp; $A4 &amp; "'!B10:J10")="", "", INDIRECT("'" &amp; $A4 &amp; "'!B10:J10"))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5" t="str">
        <f ca="1"/>
        <v/>
      </c>
      <c r="K4" s="25" t="str">
        <f ca="1"/>
        <v/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"'!B10:J10")="", "", INDIRECT("'" &amp; $A5 &amp; "'!B10:J10"))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5" t="str">
        <f ca="1"/>
        <v/>
      </c>
      <c r="K5" s="25" t="str">
        <f ca="1"/>
        <v/>
      </c>
    </row>
    <row r="6" spans="1:11" ht="15.75">
      <c r="A6" s="62" t="str">
        <v>Charlton - 299 Worcester Road</v>
      </c>
      <c r="B6" s="21" t="str">
        <v>MA</v>
      </c>
      <c r="C6" s="49" t="str" cm="1">
        <f t="array" aca="1" ref="C6:K6" ca="1">IF(INDIRECT("'" &amp; $A6 &amp; "'!B10:J10")="", "", INDIRECT("'" &amp; $A6 &amp; "'!B10:J10"))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5" t="str">
        <f ca="1"/>
        <v/>
      </c>
      <c r="K6" s="25" t="str">
        <f ca="1"/>
        <v/>
      </c>
    </row>
    <row r="7" spans="1:11" ht="15.75">
      <c r="A7" s="63" t="str">
        <v>Wareham - 8 Thatcher Drive</v>
      </c>
      <c r="B7" s="48" t="str">
        <v>MA</v>
      </c>
      <c r="C7" s="49" t="str" cm="1">
        <f t="array" aca="1" ref="C7:K7" ca="1">IF(INDIRECT("'" &amp; $A7 &amp; "'!B10:J10")="", "", INDIRECT("'" &amp; $A7 &amp; "'!B10:J10"))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5" t="str">
        <f ca="1"/>
        <v/>
      </c>
      <c r="K7" s="25" t="str">
        <f ca="1"/>
        <v/>
      </c>
    </row>
    <row r="8" spans="1:11" ht="15.75">
      <c r="A8" s="62" t="str">
        <v>West Yarmouth - 42 Mid Tech</v>
      </c>
      <c r="B8" s="21" t="str">
        <v>MA</v>
      </c>
      <c r="C8" s="49" t="str" cm="1">
        <f t="array" aca="1" ref="C8:K8" ca="1">IF(INDIRECT("'" &amp; $A8 &amp; "'!B10:J10")="", "", INDIRECT("'" &amp; $A8 &amp; "'!B10:J10"))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5" t="str">
        <f ca="1"/>
        <v/>
      </c>
      <c r="K8" s="25" t="str">
        <f ca="1"/>
        <v/>
      </c>
    </row>
    <row r="9" spans="1:11" ht="15.75">
      <c r="A9" s="63" t="str">
        <v>Harrison - 130 Union Street</v>
      </c>
      <c r="B9" s="48" t="str">
        <v>NY</v>
      </c>
      <c r="C9" s="49" t="str" cm="1">
        <f t="array" aca="1" ref="C9:K9" ca="1">IF(INDIRECT("'" &amp; $A9 &amp; "'!B10:J10")="", "", INDIRECT("'" &amp; $A9 &amp; "'!B10:J10"))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5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t="str" cm="1">
        <f t="array" aca="1" ref="C10:K10" ca="1">IF(INDIRECT("'" &amp; $A10 &amp; "'!B10:J10")="", "", INDIRECT("'" &amp; $A10 &amp; "'!B10:J10"))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5" t="str">
        <f ca="1"/>
        <v/>
      </c>
      <c r="K10" s="25" t="str">
        <f ca="1"/>
        <v/>
      </c>
    </row>
    <row r="11" spans="1:11" ht="15.75">
      <c r="A11" s="63" t="str">
        <v>Amherst - 595 Scholles Road</v>
      </c>
      <c r="B11" s="48" t="str">
        <v>NY</v>
      </c>
      <c r="C11" s="49" t="str" cm="1">
        <f t="array" aca="1" ref="C11:K11" ca="1">IF(INDIRECT("'" &amp; $A11 &amp; "'!B10:J10")="", "", INDIRECT("'" &amp; $A11 &amp; "'!B10:J10"))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5" t="str">
        <f ca="1"/>
        <v/>
      </c>
      <c r="K11" s="25" t="str">
        <f ca="1"/>
        <v/>
      </c>
    </row>
    <row r="12" spans="1:11" ht="15.75">
      <c r="A12" s="62" t="str">
        <v>Lancaster 1 - Gunnville Road</v>
      </c>
      <c r="B12" s="21" t="str">
        <v>NY</v>
      </c>
      <c r="C12" s="49" t="str" cm="1">
        <f t="array" aca="1" ref="C12:K12" ca="1">IF(INDIRECT("'" &amp; $A12 &amp; "'!B10:J10")="", "", INDIRECT("'" &amp; $A12 &amp; "'!B10:J10"))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5" t="str">
        <f ca="1"/>
        <v/>
      </c>
      <c r="K12" s="25" t="str">
        <f ca="1"/>
        <v xml:space="preserve"> </v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"'!B10:J10")="", "", INDIRECT("'" &amp; $A13 &amp; "'!B10:J10"))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5" t="str">
        <f ca="1"/>
        <v/>
      </c>
      <c r="K13" s="25" t="str">
        <f ca="1"/>
        <v xml:space="preserve"> </v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"'!B10:J10")="", "", INDIRECT("'" &amp; $A14 &amp; "'!B10:J10"))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5" t="str">
        <f ca="1"/>
        <v xml:space="preserve"> </v>
      </c>
    </row>
    <row r="15" spans="1:11" ht="15.75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"'!B10:J10")="", "", INDIRECT("'" &amp; $A15 &amp; "'!B10:J10"))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5" t="str">
        <f ca="1"/>
        <v/>
      </c>
      <c r="K15" s="25" t="str">
        <f ca="1"/>
        <v/>
      </c>
    </row>
    <row r="16" spans="1:11" ht="15.75">
      <c r="A16" s="63" t="str">
        <v>Friona - 900 Millard Ave</v>
      </c>
      <c r="B16" s="48" t="str">
        <v>TX</v>
      </c>
      <c r="C16" s="49" t="str" cm="1">
        <f t="array" aca="1" ref="C16:K16" ca="1">IF(INDIRECT("'" &amp; $A16 &amp; "'!B10:J10")="", "", INDIRECT("'" &amp; $A16 &amp; "'!B10:J10"))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5" t="str">
        <f ca="1"/>
        <v/>
      </c>
      <c r="K16" s="25" t="str">
        <f ca="1"/>
        <v/>
      </c>
    </row>
    <row r="17" spans="1:10" ht="18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>
      <c r="A22" s="126"/>
      <c r="J22" s="8"/>
    </row>
    <row r="23" spans="1:10">
      <c r="J23" s="8"/>
    </row>
  </sheetData>
  <autoFilter ref="A2:I2" xr:uid="{6C08AFFB-6AF8-48AC-9706-52E390C2AC4B}"/>
  <mergeCells count="8">
    <mergeCell ref="A19:A20"/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46" priority="1" operator="lessThanOrEqual">
      <formula>-0.1</formula>
    </cfRule>
    <cfRule type="cellIs" dxfId="24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3"/>
  <sheetViews>
    <sheetView workbookViewId="0">
      <pane ySplit="2" topLeftCell="A3" activePane="bottomLeft" state="frozen"/>
      <selection pane="bottomLeft" activeCell="H22" sqref="H22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48</v>
      </c>
      <c r="D1" s="130"/>
      <c r="E1" s="130"/>
      <c r="F1" s="131"/>
      <c r="G1" s="121" t="s">
        <v>49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28.7" customHeight="1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"'!B11:J11")="", "", INDIRECT("'" &amp; $A3 &amp; "'!B11:J11"))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5" t="str">
        <f ca="1"/>
        <v/>
      </c>
      <c r="K3" s="25" t="str">
        <f ca="1"/>
        <v/>
      </c>
    </row>
    <row r="4" spans="1:11" ht="15.75">
      <c r="A4" s="62" t="str">
        <v>Adelanto - 1 Sheep Creek Road</v>
      </c>
      <c r="B4" s="21" t="str">
        <v>CA</v>
      </c>
      <c r="C4" s="49" t="str" cm="1">
        <f t="array" aca="1" ref="C4:K4" ca="1">IF(INDIRECT("'" &amp; $A4 &amp; "'!B11:J11")="", "", INDIRECT("'" &amp; $A4 &amp; "'!B11:J11"))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5" t="str">
        <f ca="1"/>
        <v/>
      </c>
      <c r="K4" s="25" t="str">
        <f ca="1"/>
        <v/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"'!B11:J11")="", "", INDIRECT("'" &amp; $A5 &amp; "'!B11:J11"))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5" t="str">
        <f ca="1"/>
        <v/>
      </c>
      <c r="K5" s="25" t="str">
        <f ca="1"/>
        <v/>
      </c>
    </row>
    <row r="6" spans="1:11" ht="15.75">
      <c r="A6" s="62" t="str">
        <v>Charlton - 299 Worcester Road</v>
      </c>
      <c r="B6" s="21" t="str">
        <v>MA</v>
      </c>
      <c r="C6" s="49" t="str" cm="1">
        <f t="array" aca="1" ref="C6:K6" ca="1">IF(INDIRECT("'" &amp; $A6 &amp; "'!B11:J11")="", "", INDIRECT("'" &amp; $A6 &amp; "'!B11:J11"))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5" t="str">
        <f ca="1"/>
        <v/>
      </c>
      <c r="K6" s="25" t="str">
        <f ca="1"/>
        <v/>
      </c>
    </row>
    <row r="7" spans="1:11" ht="15.75">
      <c r="A7" s="63" t="str">
        <v>Wareham - 8 Thatcher Drive</v>
      </c>
      <c r="B7" s="48" t="str">
        <v>MA</v>
      </c>
      <c r="C7" s="49" t="str" cm="1">
        <f t="array" aca="1" ref="C7:K7" ca="1">IF(INDIRECT("'" &amp; $A7 &amp; "'!B11:J11")="", "", INDIRECT("'" &amp; $A7 &amp; "'!B11:J11"))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5" t="str">
        <f ca="1"/>
        <v/>
      </c>
      <c r="K7" s="25" t="str">
        <f ca="1"/>
        <v/>
      </c>
    </row>
    <row r="8" spans="1:11" ht="15.75">
      <c r="A8" s="62" t="str">
        <v>West Yarmouth - 42 Mid Tech</v>
      </c>
      <c r="B8" s="21" t="str">
        <v>MA</v>
      </c>
      <c r="C8" s="49" t="str" cm="1">
        <f t="array" aca="1" ref="C8:K8" ca="1">IF(INDIRECT("'" &amp; $A8 &amp; "'!B11:J11")="", "", INDIRECT("'" &amp; $A8 &amp; "'!B11:J11"))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5" t="str">
        <f ca="1"/>
        <v/>
      </c>
      <c r="K8" s="25" t="str">
        <f ca="1"/>
        <v/>
      </c>
    </row>
    <row r="9" spans="1:11" ht="15.75">
      <c r="A9" s="63" t="str">
        <v>Harrison - 130 Union Street</v>
      </c>
      <c r="B9" s="48" t="str">
        <v>NY</v>
      </c>
      <c r="C9" s="49" t="str" cm="1">
        <f t="array" aca="1" ref="C9:K9" ca="1">IF(INDIRECT("'" &amp; $A9 &amp; "'!B11:J11")="", "", INDIRECT("'" &amp; $A9 &amp; "'!B11:J11"))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5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t="str" cm="1">
        <f t="array" aca="1" ref="C10:K10" ca="1">IF(INDIRECT("'" &amp; $A10 &amp; "'!B11:J11")="", "", INDIRECT("'" &amp; $A10 &amp; "'!B11:J11"))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5" t="str">
        <f ca="1"/>
        <v/>
      </c>
      <c r="K10" s="25" t="str">
        <f ca="1"/>
        <v/>
      </c>
    </row>
    <row r="11" spans="1:11" ht="15.75">
      <c r="A11" s="63" t="str">
        <v>Amherst - 595 Scholles Road</v>
      </c>
      <c r="B11" s="48" t="str">
        <v>NY</v>
      </c>
      <c r="C11" s="49" t="str" cm="1">
        <f t="array" aca="1" ref="C11:K11" ca="1">IF(INDIRECT("'" &amp; $A11 &amp; "'!B11:J11")="", "", INDIRECT("'" &amp; $A11 &amp; "'!B11:J11"))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5" t="str">
        <f ca="1"/>
        <v/>
      </c>
      <c r="K11" s="25" t="str">
        <f ca="1"/>
        <v/>
      </c>
    </row>
    <row r="12" spans="1:11" ht="15.75">
      <c r="A12" s="62" t="str">
        <v>Lancaster 1 - Gunnville Road</v>
      </c>
      <c r="B12" s="21" t="str">
        <v>NY</v>
      </c>
      <c r="C12" s="49" t="str" cm="1">
        <f t="array" aca="1" ref="C12:K12" ca="1">IF(INDIRECT("'" &amp; $A12 &amp; "'!B11:J11")="", "", INDIRECT("'" &amp; $A12 &amp; "'!B11:J11"))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5" t="str">
        <f ca="1"/>
        <v/>
      </c>
      <c r="K12" s="25" t="str">
        <f ca="1"/>
        <v xml:space="preserve"> </v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"'!B11:J11")="", "", INDIRECT("'" &amp; $A13 &amp; "'!B11:J11"))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5" t="str">
        <f ca="1"/>
        <v/>
      </c>
      <c r="K13" s="25" t="str">
        <f ca="1"/>
        <v xml:space="preserve"> </v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"'!B11:J11")="", "", INDIRECT("'" &amp; $A14 &amp; "'!B11:J11"))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5" t="str">
        <f ca="1"/>
        <v xml:space="preserve"> </v>
      </c>
    </row>
    <row r="15" spans="1:11" ht="15.75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"'!B11:J11")="", "", INDIRECT("'" &amp; $A15 &amp; "'!B11:J11"))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5" t="str">
        <f ca="1"/>
        <v/>
      </c>
      <c r="K15" s="25" t="str">
        <f ca="1"/>
        <v/>
      </c>
    </row>
    <row r="16" spans="1:11" ht="15.75">
      <c r="A16" s="63" t="str">
        <v>Friona - 900 Millard Ave</v>
      </c>
      <c r="B16" s="48" t="str">
        <v>TX</v>
      </c>
      <c r="C16" s="49" t="str" cm="1">
        <f t="array" aca="1" ref="C16:K16" ca="1">IF(INDIRECT("'" &amp; $A16 &amp; "'!B11:J11")="", "", INDIRECT("'" &amp; $A16 &amp; "'!B11:J11"))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5" t="str">
        <f ca="1"/>
        <v/>
      </c>
      <c r="K16" s="25" t="str">
        <f ca="1"/>
        <v/>
      </c>
    </row>
    <row r="17" spans="1:10" ht="12.75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>
      <c r="A22" s="126"/>
      <c r="J22" s="8"/>
    </row>
    <row r="23" spans="1:10">
      <c r="J23" s="8"/>
    </row>
  </sheetData>
  <autoFilter ref="A2:I2" xr:uid="{957CD936-B73F-469A-B0B5-B8EA155C9C51}"/>
  <sortState xmlns:xlrd2="http://schemas.microsoft.com/office/spreadsheetml/2017/richdata2" ref="A3:K11">
    <sortCondition ref="A3:A11"/>
  </sortState>
  <mergeCells count="8">
    <mergeCell ref="A19:A20"/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44" priority="1" operator="lessThanOrEqual">
      <formula>-0.1</formula>
    </cfRule>
    <cfRule type="cellIs" dxfId="24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3"/>
  <sheetViews>
    <sheetView workbookViewId="0">
      <pane ySplit="2" topLeftCell="A3" activePane="bottomLeft" state="frozen"/>
      <selection pane="bottomLeft" activeCell="H22" sqref="H22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50</v>
      </c>
      <c r="D1" s="130"/>
      <c r="E1" s="130"/>
      <c r="F1" s="131"/>
      <c r="G1" s="121" t="s">
        <v>51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"'!B12:J12")="", "", INDIRECT("'" &amp; $A3 &amp; "'!B12:J12"))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5" t="str">
        <f ca="1"/>
        <v/>
      </c>
      <c r="K3" s="25" t="str">
        <f ca="1"/>
        <v/>
      </c>
    </row>
    <row r="4" spans="1:11" ht="15.75">
      <c r="A4" s="62" t="str">
        <v>Adelanto - 1 Sheep Creek Road</v>
      </c>
      <c r="B4" s="21" t="str">
        <v>CA</v>
      </c>
      <c r="C4" s="49" t="str" cm="1">
        <f t="array" aca="1" ref="C4:K4" ca="1">IF(INDIRECT("'" &amp; $A4 &amp; "'!B12:J12")="", "", INDIRECT("'" &amp; $A4 &amp; "'!B12:J12"))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5" t="str">
        <f ca="1"/>
        <v/>
      </c>
      <c r="K4" s="25" t="str">
        <f ca="1"/>
        <v/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"'!B12:J12")="", "", INDIRECT("'" &amp; $A5 &amp; "'!B12:J12"))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5" t="str">
        <f ca="1"/>
        <v/>
      </c>
      <c r="K5" s="25" t="str">
        <f ca="1"/>
        <v/>
      </c>
    </row>
    <row r="6" spans="1:11" ht="15.75">
      <c r="A6" s="62" t="str">
        <v>Charlton - 299 Worcester Road</v>
      </c>
      <c r="B6" s="21" t="str">
        <v>MA</v>
      </c>
      <c r="C6" s="49" t="str" cm="1">
        <f t="array" aca="1" ref="C6:K6" ca="1">IF(INDIRECT("'" &amp; $A6 &amp; "'!B12:J12")="", "", INDIRECT("'" &amp; $A6 &amp; "'!B12:J12"))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5" t="str">
        <f ca="1"/>
        <v/>
      </c>
      <c r="K6" s="25" t="str">
        <f ca="1"/>
        <v/>
      </c>
    </row>
    <row r="7" spans="1:11" ht="15.75">
      <c r="A7" s="63" t="str">
        <v>Wareham - 8 Thatcher Drive</v>
      </c>
      <c r="B7" s="48" t="str">
        <v>MA</v>
      </c>
      <c r="C7" s="49" t="str" cm="1">
        <f t="array" aca="1" ref="C7:K7" ca="1">IF(INDIRECT("'" &amp; $A7 &amp; "'!B12:J12")="", "", INDIRECT("'" &amp; $A7 &amp; "'!B12:J12"))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5" t="str">
        <f ca="1"/>
        <v/>
      </c>
      <c r="K7" s="25" t="str">
        <f ca="1"/>
        <v/>
      </c>
    </row>
    <row r="8" spans="1:11" ht="15.75">
      <c r="A8" s="62" t="str">
        <v>West Yarmouth - 42 Mid Tech</v>
      </c>
      <c r="B8" s="21" t="str">
        <v>MA</v>
      </c>
      <c r="C8" s="49" t="str" cm="1">
        <f t="array" aca="1" ref="C8:K8" ca="1">IF(INDIRECT("'" &amp; $A8 &amp; "'!B12:J12")="", "", INDIRECT("'" &amp; $A8 &amp; "'!B12:J12"))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5" t="str">
        <f ca="1"/>
        <v/>
      </c>
      <c r="K8" s="25" t="str">
        <f ca="1"/>
        <v/>
      </c>
    </row>
    <row r="9" spans="1:11" ht="15.75">
      <c r="A9" s="63" t="str">
        <v>Harrison - 130 Union Street</v>
      </c>
      <c r="B9" s="48" t="str">
        <v>NY</v>
      </c>
      <c r="C9" s="49" t="str" cm="1">
        <f t="array" aca="1" ref="C9:K9" ca="1">IF(INDIRECT("'" &amp; $A9 &amp; "'!B12:J12")="", "", INDIRECT("'" &amp; $A9 &amp; "'!B12:J12"))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5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t="str" cm="1">
        <f t="array" aca="1" ref="C10:K10" ca="1">IF(INDIRECT("'" &amp; $A10 &amp; "'!B12:J12")="", "", INDIRECT("'" &amp; $A10 &amp; "'!B12:J12"))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5" t="str">
        <f ca="1"/>
        <v/>
      </c>
      <c r="K10" s="25" t="str">
        <f ca="1"/>
        <v/>
      </c>
    </row>
    <row r="11" spans="1:11" ht="15.75">
      <c r="A11" s="63" t="str">
        <v>Amherst - 595 Scholles Road</v>
      </c>
      <c r="B11" s="48" t="str">
        <v>NY</v>
      </c>
      <c r="C11" s="49" t="str" cm="1">
        <f t="array" aca="1" ref="C11:K11" ca="1">IF(INDIRECT("'" &amp; $A11 &amp; "'!B12:J12")="", "", INDIRECT("'" &amp; $A11 &amp; "'!B12:J12"))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5" t="str">
        <f ca="1"/>
        <v/>
      </c>
      <c r="K11" s="25" t="str">
        <f ca="1"/>
        <v/>
      </c>
    </row>
    <row r="12" spans="1:11" ht="15.75">
      <c r="A12" s="62" t="str">
        <v>Lancaster 1 - Gunnville Road</v>
      </c>
      <c r="B12" s="21" t="str">
        <v>NY</v>
      </c>
      <c r="C12" s="49" t="str" cm="1">
        <f t="array" aca="1" ref="C12:K12" ca="1">IF(INDIRECT("'" &amp; $A12 &amp; "'!B12:J12")="", "", INDIRECT("'" &amp; $A12 &amp; "'!B12:J12"))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5" t="str">
        <f ca="1"/>
        <v/>
      </c>
      <c r="K12" s="25" t="str">
        <f ca="1"/>
        <v/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"'!B12:J12")="", "", INDIRECT("'" &amp; $A13 &amp; "'!B12:J12"))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5" t="str">
        <f ca="1"/>
        <v/>
      </c>
      <c r="K13" s="25" t="str">
        <f ca="1"/>
        <v/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"'!B12:J12")="", "", INDIRECT("'" &amp; $A14 &amp; "'!B12:J12"))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5" t="str">
        <f ca="1"/>
        <v/>
      </c>
    </row>
    <row r="15" spans="1:11" ht="15.75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"'!B12:J12")="", "", INDIRECT("'" &amp; $A15 &amp; "'!B12:J12"))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5" t="str">
        <f ca="1"/>
        <v/>
      </c>
      <c r="K15" s="25" t="str">
        <f ca="1"/>
        <v/>
      </c>
    </row>
    <row r="16" spans="1:11" ht="15.75">
      <c r="A16" s="63" t="str">
        <v>Friona - 900 Millard Ave</v>
      </c>
      <c r="B16" s="48" t="str">
        <v>TX</v>
      </c>
      <c r="C16" s="49" t="str" cm="1">
        <f t="array" aca="1" ref="C16:K16" ca="1">IF(INDIRECT("'" &amp; $A16 &amp; "'!B12:J12")="", "", INDIRECT("'" &amp; $A16 &amp; "'!B12:J12"))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5" t="str">
        <f ca="1"/>
        <v/>
      </c>
      <c r="K16" s="25" t="str">
        <f ca="1"/>
        <v/>
      </c>
    </row>
    <row r="17" spans="1:10" ht="12.75" customHeigh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>
      <c r="A22" s="126"/>
      <c r="J22" s="8"/>
    </row>
    <row r="23" spans="1:10">
      <c r="J23" s="8"/>
    </row>
  </sheetData>
  <autoFilter ref="A2:I2" xr:uid="{48D80AE8-42BF-4DAC-863F-113F77A3E00F}"/>
  <mergeCells count="8">
    <mergeCell ref="A19:A20"/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42" priority="1" operator="lessThanOrEqual">
      <formula>-0.1</formula>
    </cfRule>
    <cfRule type="cellIs" dxfId="24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4"/>
  <sheetViews>
    <sheetView workbookViewId="0">
      <pane ySplit="2" topLeftCell="A3" activePane="bottomLeft" state="frozen"/>
      <selection pane="bottomLeft" activeCell="H22" sqref="H22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118.140625" customWidth="1"/>
    <col min="11" max="11" width="23.140625" bestFit="1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52</v>
      </c>
      <c r="D1" s="130"/>
      <c r="E1" s="130"/>
      <c r="F1" s="131"/>
      <c r="G1" s="121" t="s">
        <v>53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"'!B13:J13")="", "", INDIRECT("'" &amp; $A3 &amp; "'!B13:J13"))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5" t="str">
        <f ca="1"/>
        <v/>
      </c>
      <c r="K3" s="25" t="str">
        <f ca="1"/>
        <v/>
      </c>
    </row>
    <row r="4" spans="1:11" ht="15.75">
      <c r="A4" s="62" t="str">
        <v>Adelanto - 1 Sheep Creek Road</v>
      </c>
      <c r="B4" s="21" t="str">
        <v>CA</v>
      </c>
      <c r="C4" s="49" t="str" cm="1">
        <f t="array" aca="1" ref="C4:K4" ca="1">IF(INDIRECT("'" &amp; $A4 &amp; "'!B13:J13")="", "", INDIRECT("'" &amp; $A4 &amp; "'!B13:J13"))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5" t="str">
        <f ca="1"/>
        <v/>
      </c>
      <c r="K4" s="25" t="str">
        <f ca="1"/>
        <v/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"'!B13:J13")="", "", INDIRECT("'" &amp; $A5 &amp; "'!B13:J13"))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5" t="str">
        <f ca="1"/>
        <v/>
      </c>
      <c r="K5" s="25" t="str">
        <f ca="1"/>
        <v/>
      </c>
    </row>
    <row r="6" spans="1:11" ht="15.75">
      <c r="A6" s="63" t="str">
        <v>Charlton - 299 Worcester Road</v>
      </c>
      <c r="B6" s="48" t="str">
        <v>MA</v>
      </c>
      <c r="C6" s="49"/>
      <c r="D6" s="49"/>
      <c r="E6" s="49"/>
      <c r="F6" s="53"/>
      <c r="G6" s="51"/>
      <c r="H6" s="51"/>
      <c r="I6" s="54"/>
      <c r="J6" s="25"/>
      <c r="K6" s="25"/>
    </row>
    <row r="7" spans="1:11" ht="15.75">
      <c r="A7" s="62" t="str">
        <v>Wareham - 8 Thatcher Drive</v>
      </c>
      <c r="B7" s="21" t="str">
        <v>MA</v>
      </c>
      <c r="C7" s="49" t="str" cm="1">
        <f t="array" aca="1" ref="C7:K7" ca="1">IF(INDIRECT("'" &amp; $A7 &amp; "'!B13:J13")="", "", INDIRECT("'" &amp; $A7 &amp; "'!B13:J13"))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5" t="str">
        <f ca="1"/>
        <v/>
      </c>
      <c r="K7" s="25" t="str">
        <f ca="1"/>
        <v/>
      </c>
    </row>
    <row r="8" spans="1:11" ht="15.75">
      <c r="A8" s="63" t="str">
        <v>West Yarmouth - 42 Mid Tech</v>
      </c>
      <c r="B8" s="48" t="str">
        <v>MA</v>
      </c>
      <c r="C8" s="49" t="str" cm="1">
        <f t="array" aca="1" ref="C8:K8" ca="1">IF(INDIRECT("'" &amp; $A8 &amp; "'!B13:J13")="", "", INDIRECT("'" &amp; $A8 &amp; "'!B13:J13"))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5" t="str">
        <f ca="1"/>
        <v/>
      </c>
      <c r="K8" s="25" t="str">
        <f ca="1"/>
        <v/>
      </c>
    </row>
    <row r="9" spans="1:11" ht="15.75">
      <c r="A9" s="62" t="str">
        <v>Harrison - 130 Union Street</v>
      </c>
      <c r="B9" s="21" t="str">
        <v>NY</v>
      </c>
      <c r="C9" s="49" t="str" cm="1">
        <f t="array" aca="1" ref="C9:K9" ca="1">IF(INDIRECT("'" &amp; $A9 &amp; "'!B13:J13")="", "", INDIRECT("'" &amp; $A9 &amp; "'!B13:J13"))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5" t="str">
        <f ca="1"/>
        <v/>
      </c>
    </row>
    <row r="10" spans="1:11" ht="15.75">
      <c r="A10" s="63" t="str">
        <v>Staten Island - Ellis Storage</v>
      </c>
      <c r="B10" s="48" t="str">
        <v>NY</v>
      </c>
      <c r="C10" s="49" t="str" cm="1">
        <f t="array" aca="1" ref="C10:K10" ca="1">IF(INDIRECT("'" &amp; $A10 &amp; "'!B13:J13")="", "", INDIRECT("'" &amp; $A10 &amp; "'!B13:J13"))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5" t="str">
        <f ca="1"/>
        <v/>
      </c>
      <c r="K10" s="25" t="str">
        <f ca="1"/>
        <v/>
      </c>
    </row>
    <row r="11" spans="1:11" ht="15.75">
      <c r="A11" s="62" t="str">
        <v>Amherst - 595 Scholles Road</v>
      </c>
      <c r="B11" s="21" t="str">
        <v>NY</v>
      </c>
      <c r="C11" s="49" t="str" cm="1">
        <f t="array" aca="1" ref="C11:K11" ca="1">IF(INDIRECT("'" &amp; $A11 &amp; "'!B13:J13")="", "", INDIRECT("'" &amp; $A11 &amp; "'!B13:J13"))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5" t="str">
        <f ca="1"/>
        <v/>
      </c>
      <c r="K11" s="25" t="str">
        <f ca="1"/>
        <v/>
      </c>
    </row>
    <row r="12" spans="1:11" ht="15.75">
      <c r="A12" s="63" t="str">
        <v>Lancaster 1 - Gunnville Road</v>
      </c>
      <c r="B12" s="48" t="str">
        <v>NY</v>
      </c>
      <c r="C12" s="49" t="str" cm="1">
        <f t="array" aca="1" ref="C12:K12" ca="1">IF(INDIRECT("'" &amp; $A12 &amp; "'!B13:J13")="", "", INDIRECT("'" &amp; $A12 &amp; "'!B13:J13"))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5" t="str">
        <f ca="1"/>
        <v/>
      </c>
      <c r="K12" s="25" t="str">
        <f ca="1"/>
        <v/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"'!B13:J13")="", "", INDIRECT("'" &amp; $A13 &amp; "'!B13:J13"))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5" t="str">
        <f ca="1"/>
        <v/>
      </c>
      <c r="K13" s="25" t="str">
        <f ca="1"/>
        <v/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"'!B13:J13")="", "", INDIRECT("'" &amp; $A14 &amp; "'!B13:J13"))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5" t="str">
        <f ca="1"/>
        <v/>
      </c>
    </row>
    <row r="15" spans="1:11" ht="15.75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"'!B13:J13")="", "", INDIRECT("'" &amp; $A15 &amp; "'!B13:J13"))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5" t="str">
        <f ca="1"/>
        <v/>
      </c>
      <c r="K15" s="25" t="str">
        <f ca="1"/>
        <v/>
      </c>
    </row>
    <row r="16" spans="1:11" ht="16.149999999999999" thickBot="1">
      <c r="A16" s="63" t="str">
        <v>Friona - 900 Millard Ave</v>
      </c>
      <c r="B16" s="48" t="str">
        <v>TX</v>
      </c>
      <c r="C16" s="49" t="str" cm="1">
        <f t="array" aca="1" ref="C16:K16" ca="1">IF(INDIRECT("'" &amp; $A16 &amp; "'!B13:J13")="", "", INDIRECT("'" &amp; $A16 &amp; "'!B13:J13"))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5" t="str">
        <f ca="1"/>
        <v/>
      </c>
      <c r="K16" s="25" t="str">
        <f ca="1"/>
        <v/>
      </c>
    </row>
    <row r="17" spans="1:10" ht="13.9" thickBot="1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J19" s="8"/>
    </row>
    <row r="20" spans="1:10">
      <c r="J20" s="8"/>
    </row>
    <row r="21" spans="1:10">
      <c r="A21" s="125" t="s">
        <v>10</v>
      </c>
      <c r="J21" s="8"/>
    </row>
    <row r="22" spans="1:10">
      <c r="A22" s="125"/>
      <c r="J22" s="8"/>
    </row>
    <row r="23" spans="1:10" ht="21">
      <c r="A23" s="93" t="s">
        <v>11</v>
      </c>
      <c r="J23" s="8"/>
    </row>
    <row r="24" spans="1:10">
      <c r="A24" s="93"/>
    </row>
  </sheetData>
  <autoFilter ref="A2:I2" xr:uid="{534CA70E-2643-48AC-AA44-E3F75A2814BF}"/>
  <mergeCells count="7"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40" priority="1" operator="lessThanOrEqual">
      <formula>-0.1</formula>
    </cfRule>
    <cfRule type="cellIs" dxfId="23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3"/>
  <sheetViews>
    <sheetView workbookViewId="0">
      <pane ySplit="2" topLeftCell="A3" activePane="bottomLeft" state="frozen"/>
      <selection pane="bottomLeft" activeCell="E22" sqref="E22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54</v>
      </c>
      <c r="D1" s="130"/>
      <c r="E1" s="130"/>
      <c r="F1" s="131"/>
      <c r="G1" s="121" t="s">
        <v>55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108" t="str" cm="1">
        <f t="array" ref="A3:A16">Sites[Site]</f>
        <v>Fresno - 3150 Shaw Ave</v>
      </c>
      <c r="B3" s="109" t="str" cm="1">
        <f t="array" ref="B3:B16">Sites[State]</f>
        <v>CA</v>
      </c>
      <c r="C3" s="110" t="str" cm="1">
        <f t="array" aca="1" ref="C3:K3" ca="1">IF(INDIRECT("'" &amp; $A3 &amp; "'!B14:J14")="", "", INDIRECT("'" &amp; $A3 &amp; "'!B14:J14"))</f>
        <v/>
      </c>
      <c r="D3" s="110" t="str">
        <f ca="1"/>
        <v/>
      </c>
      <c r="E3" s="110">
        <f ca="1"/>
        <v>0</v>
      </c>
      <c r="F3" s="111">
        <f ca="1"/>
        <v>0</v>
      </c>
      <c r="G3" s="112" t="str">
        <f ca="1"/>
        <v/>
      </c>
      <c r="H3" s="112">
        <f ca="1"/>
        <v>0</v>
      </c>
      <c r="I3" s="113">
        <f ca="1"/>
        <v>0</v>
      </c>
      <c r="J3" s="25" t="str">
        <f ca="1"/>
        <v/>
      </c>
      <c r="K3" s="25" t="str">
        <f ca="1"/>
        <v/>
      </c>
    </row>
    <row r="4" spans="1:11" ht="15.75">
      <c r="A4" s="114" t="str">
        <v>Adelanto - 1 Sheep Creek Road</v>
      </c>
      <c r="B4" s="115" t="str">
        <v>CA</v>
      </c>
      <c r="C4" s="110" t="str" cm="1">
        <f t="array" aca="1" ref="C4:K4" ca="1">IF(INDIRECT("'" &amp; $A4 &amp; "'!B14:J14")="", "", INDIRECT("'" &amp; $A4 &amp; "'!B14:J14"))</f>
        <v/>
      </c>
      <c r="D4" s="110" t="str">
        <f ca="1"/>
        <v/>
      </c>
      <c r="E4" s="110">
        <f ca="1"/>
        <v>0</v>
      </c>
      <c r="F4" s="116">
        <f ca="1"/>
        <v>0</v>
      </c>
      <c r="G4" s="112" t="str">
        <f ca="1"/>
        <v/>
      </c>
      <c r="H4" s="112">
        <f ca="1"/>
        <v>0</v>
      </c>
      <c r="I4" s="117">
        <f ca="1"/>
        <v>0</v>
      </c>
      <c r="J4" s="25" t="str">
        <f ca="1"/>
        <v/>
      </c>
      <c r="K4" s="25" t="str">
        <f ca="1"/>
        <v/>
      </c>
    </row>
    <row r="5" spans="1:11" ht="18.600000000000001" customHeight="1">
      <c r="A5" s="118" t="str">
        <v>Blackstone - 83 Federal Street</v>
      </c>
      <c r="B5" s="119" t="str">
        <v>MA</v>
      </c>
      <c r="C5" s="110" t="str" cm="1">
        <f t="array" aca="1" ref="C5:K5" ca="1">IF(INDIRECT("'" &amp; $A5 &amp; "'!B14:J14")="", "", INDIRECT("'" &amp; $A5 &amp; "'!B14:J14"))</f>
        <v/>
      </c>
      <c r="D5" s="110" t="str">
        <f ca="1"/>
        <v/>
      </c>
      <c r="E5" s="110">
        <f ca="1"/>
        <v>0</v>
      </c>
      <c r="F5" s="116">
        <f ca="1"/>
        <v>0</v>
      </c>
      <c r="G5" s="112" t="str">
        <f ca="1"/>
        <v/>
      </c>
      <c r="H5" s="112">
        <f ca="1"/>
        <v>0</v>
      </c>
      <c r="I5" s="117">
        <f ca="1"/>
        <v>0</v>
      </c>
      <c r="J5" s="25" t="str">
        <f ca="1"/>
        <v/>
      </c>
      <c r="K5" s="25" t="str">
        <f ca="1"/>
        <v/>
      </c>
    </row>
    <row r="6" spans="1:11" ht="15.75">
      <c r="A6" s="114" t="str">
        <v>Charlton - 299 Worcester Road</v>
      </c>
      <c r="B6" s="115" t="str">
        <v>MA</v>
      </c>
      <c r="C6" s="110" t="str" cm="1">
        <f t="array" aca="1" ref="C6:K6" ca="1">IF(INDIRECT("'" &amp; $A6 &amp; "'!B14:J14")="", "", INDIRECT("'" &amp; $A6 &amp; "'!B14:J14"))</f>
        <v/>
      </c>
      <c r="D6" s="110" t="str">
        <f ca="1"/>
        <v/>
      </c>
      <c r="E6" s="110">
        <f ca="1"/>
        <v>0</v>
      </c>
      <c r="F6" s="116">
        <f ca="1"/>
        <v>0</v>
      </c>
      <c r="G6" s="112" t="str">
        <f ca="1"/>
        <v/>
      </c>
      <c r="H6" s="112">
        <f ca="1"/>
        <v>0</v>
      </c>
      <c r="I6" s="117">
        <f ca="1"/>
        <v>0</v>
      </c>
      <c r="J6" s="25" t="str">
        <f ca="1"/>
        <v/>
      </c>
      <c r="K6" s="25" t="str">
        <f ca="1"/>
        <v/>
      </c>
    </row>
    <row r="7" spans="1:11" ht="15.75">
      <c r="A7" s="118" t="str">
        <v>Wareham - 8 Thatcher Drive</v>
      </c>
      <c r="B7" s="119" t="str">
        <v>MA</v>
      </c>
      <c r="C7" s="110" t="str" cm="1">
        <f t="array" aca="1" ref="C7:K7" ca="1">IF(INDIRECT("'" &amp; $A7 &amp; "'!B14:J14")="", "", INDIRECT("'" &amp; $A7 &amp; "'!B14:J14"))</f>
        <v/>
      </c>
      <c r="D7" s="110" t="str">
        <f ca="1"/>
        <v/>
      </c>
      <c r="E7" s="110">
        <f ca="1"/>
        <v>0</v>
      </c>
      <c r="F7" s="116">
        <f ca="1"/>
        <v>0</v>
      </c>
      <c r="G7" s="112" t="str">
        <f ca="1"/>
        <v/>
      </c>
      <c r="H7" s="112">
        <f ca="1"/>
        <v>0</v>
      </c>
      <c r="I7" s="117">
        <f ca="1"/>
        <v>0</v>
      </c>
      <c r="J7" s="25" t="str">
        <f ca="1"/>
        <v/>
      </c>
      <c r="K7" s="25" t="str">
        <f ca="1"/>
        <v/>
      </c>
    </row>
    <row r="8" spans="1:11" ht="15.75">
      <c r="A8" s="118" t="str">
        <v>West Yarmouth - 42 Mid Tech</v>
      </c>
      <c r="B8" s="119" t="str">
        <v>MA</v>
      </c>
      <c r="C8" s="110" t="str" cm="1">
        <f t="array" aca="1" ref="C8:K8" ca="1">IF(INDIRECT("'" &amp; $A8 &amp; "'!B14:J14")="", "", INDIRECT("'" &amp; $A8 &amp; "'!B14:J14"))</f>
        <v/>
      </c>
      <c r="D8" s="110" t="str">
        <f ca="1"/>
        <v/>
      </c>
      <c r="E8" s="110">
        <f ca="1"/>
        <v>0</v>
      </c>
      <c r="F8" s="116">
        <f ca="1"/>
        <v>0</v>
      </c>
      <c r="G8" s="112" t="str">
        <f ca="1"/>
        <v/>
      </c>
      <c r="H8" s="112">
        <f ca="1"/>
        <v>0</v>
      </c>
      <c r="I8" s="117">
        <f ca="1"/>
        <v>0</v>
      </c>
      <c r="J8" s="25" t="str">
        <f ca="1"/>
        <v/>
      </c>
      <c r="K8" s="25" t="str">
        <f ca="1"/>
        <v/>
      </c>
    </row>
    <row r="9" spans="1:11" ht="15.75">
      <c r="A9" s="114" t="str">
        <v>Harrison - 130 Union Street</v>
      </c>
      <c r="B9" s="115" t="str">
        <v>NY</v>
      </c>
      <c r="C9" s="110" t="str" cm="1">
        <f t="array" aca="1" ref="C9:K9" ca="1">IF(INDIRECT("'" &amp; $A9 &amp; "'!B14:J14")="", "", INDIRECT("'" &amp; $A9 &amp; "'!B14:J14"))</f>
        <v/>
      </c>
      <c r="D9" s="110" t="str">
        <f ca="1"/>
        <v/>
      </c>
      <c r="E9" s="110">
        <f ca="1"/>
        <v>0</v>
      </c>
      <c r="F9" s="116">
        <f ca="1"/>
        <v>0</v>
      </c>
      <c r="G9" s="112" t="str">
        <f ca="1"/>
        <v/>
      </c>
      <c r="H9" s="112">
        <f ca="1"/>
        <v>0</v>
      </c>
      <c r="I9" s="117">
        <f ca="1"/>
        <v>0</v>
      </c>
      <c r="J9" s="25" t="str">
        <f ca="1"/>
        <v/>
      </c>
      <c r="K9" s="25" t="str">
        <f ca="1"/>
        <v/>
      </c>
    </row>
    <row r="10" spans="1:11" ht="15.75">
      <c r="A10" s="118" t="str">
        <v>Staten Island - Ellis Storage</v>
      </c>
      <c r="B10" s="119" t="str">
        <v>NY</v>
      </c>
      <c r="C10" s="110" t="str" cm="1">
        <f t="array" aca="1" ref="C10:K10" ca="1">IF(INDIRECT("'" &amp; $A10 &amp; "'!B14:J14")="", "", INDIRECT("'" &amp; $A10 &amp; "'!B14:J14"))</f>
        <v/>
      </c>
      <c r="D10" s="110" t="str">
        <f ca="1"/>
        <v/>
      </c>
      <c r="E10" s="110">
        <f ca="1"/>
        <v>0</v>
      </c>
      <c r="F10" s="116">
        <f ca="1"/>
        <v>0</v>
      </c>
      <c r="G10" s="112" t="str">
        <f ca="1"/>
        <v/>
      </c>
      <c r="H10" s="112">
        <f ca="1"/>
        <v>0</v>
      </c>
      <c r="I10" s="117">
        <f ca="1"/>
        <v>0</v>
      </c>
      <c r="J10" s="25" t="str">
        <f ca="1"/>
        <v/>
      </c>
      <c r="K10" s="25" t="str">
        <f ca="1"/>
        <v/>
      </c>
    </row>
    <row r="11" spans="1:11" ht="15.75">
      <c r="A11" s="114" t="str">
        <v>Amherst - 595 Scholles Road</v>
      </c>
      <c r="B11" s="115" t="str">
        <v>NY</v>
      </c>
      <c r="C11" s="110" t="str" cm="1">
        <f t="array" aca="1" ref="C11:K11" ca="1">IF(INDIRECT("'" &amp; $A11 &amp; "'!B14:J14")="", "", INDIRECT("'" &amp; $A11 &amp; "'!B14:J14"))</f>
        <v/>
      </c>
      <c r="D11" s="110" t="str">
        <f ca="1"/>
        <v/>
      </c>
      <c r="E11" s="110">
        <f ca="1"/>
        <v>0</v>
      </c>
      <c r="F11" s="116">
        <f ca="1"/>
        <v>0</v>
      </c>
      <c r="G11" s="112" t="str">
        <f ca="1"/>
        <v/>
      </c>
      <c r="H11" s="112">
        <f ca="1"/>
        <v>0</v>
      </c>
      <c r="I11" s="117">
        <f ca="1"/>
        <v>0</v>
      </c>
      <c r="J11" s="25" t="str">
        <f ca="1"/>
        <v/>
      </c>
      <c r="K11" s="25" t="str">
        <f ca="1"/>
        <v/>
      </c>
    </row>
    <row r="12" spans="1:11" ht="15.75">
      <c r="A12" s="118" t="str">
        <v>Lancaster 1 - Gunnville Road</v>
      </c>
      <c r="B12" s="119" t="str">
        <v>NY</v>
      </c>
      <c r="C12" s="110" t="str" cm="1">
        <f t="array" aca="1" ref="C12:K12" ca="1">IF(INDIRECT("'" &amp; $A12 &amp; "'!B14:J14")="", "", INDIRECT("'" &amp; $A12 &amp; "'!B14:J14"))</f>
        <v/>
      </c>
      <c r="D12" s="110" t="str">
        <f ca="1"/>
        <v/>
      </c>
      <c r="E12" s="110">
        <f ca="1"/>
        <v>0</v>
      </c>
      <c r="F12" s="116">
        <f ca="1"/>
        <v>0</v>
      </c>
      <c r="G12" s="112" t="str">
        <f ca="1"/>
        <v/>
      </c>
      <c r="H12" s="112">
        <f ca="1"/>
        <v>0</v>
      </c>
      <c r="I12" s="117">
        <f ca="1"/>
        <v>0</v>
      </c>
      <c r="J12" s="25" t="str">
        <f ca="1"/>
        <v/>
      </c>
      <c r="K12" s="25" t="str">
        <f ca="1"/>
        <v/>
      </c>
    </row>
    <row r="13" spans="1:11" ht="15.75">
      <c r="A13" s="114" t="str">
        <v>Lancaster 2 - Shisler Road</v>
      </c>
      <c r="B13" s="115" t="str">
        <v>NY</v>
      </c>
      <c r="C13" s="110" t="str" cm="1">
        <f t="array" aca="1" ref="C13:K13" ca="1">IF(INDIRECT("'" &amp; $A13 &amp; "'!B14:J14")="", "", INDIRECT("'" &amp; $A13 &amp; "'!B14:J14"))</f>
        <v/>
      </c>
      <c r="D13" s="110" t="str">
        <f ca="1"/>
        <v/>
      </c>
      <c r="E13" s="110">
        <f ca="1"/>
        <v>0</v>
      </c>
      <c r="F13" s="116">
        <f ca="1"/>
        <v>0</v>
      </c>
      <c r="G13" s="112" t="str">
        <f ca="1"/>
        <v/>
      </c>
      <c r="H13" s="112">
        <f ca="1"/>
        <v>0</v>
      </c>
      <c r="I13" s="117">
        <f ca="1"/>
        <v>0</v>
      </c>
      <c r="J13" s="25" t="str">
        <f ca="1"/>
        <v/>
      </c>
      <c r="K13" s="25" t="str">
        <f ca="1"/>
        <v/>
      </c>
    </row>
    <row r="14" spans="1:11" ht="15.75">
      <c r="A14" s="118" t="str">
        <v>Fullerton - 200 W Orangethorpe</v>
      </c>
      <c r="B14" s="119" t="str">
        <v>CA</v>
      </c>
      <c r="C14" s="110" t="str" cm="1">
        <f t="array" aca="1" ref="C14:K14" ca="1">IF(INDIRECT("'" &amp; $A14 &amp; "'!B14:J14")="", "", INDIRECT("'" &amp; $A14 &amp; "'!B14:J14"))</f>
        <v/>
      </c>
      <c r="D14" s="110" t="str">
        <f ca="1"/>
        <v/>
      </c>
      <c r="E14" s="110">
        <f ca="1"/>
        <v>0</v>
      </c>
      <c r="F14" s="116">
        <f ca="1"/>
        <v>0</v>
      </c>
      <c r="G14" s="112" t="str">
        <f ca="1"/>
        <v/>
      </c>
      <c r="H14" s="112">
        <f ca="1"/>
        <v>0</v>
      </c>
      <c r="I14" s="117">
        <f ca="1"/>
        <v>0</v>
      </c>
      <c r="J14" s="25" t="str">
        <f ca="1"/>
        <v/>
      </c>
      <c r="K14" s="25" t="str">
        <f ca="1"/>
        <v/>
      </c>
    </row>
    <row r="15" spans="1:11" ht="15.75">
      <c r="A15" s="114" t="str">
        <v>El Paso - 10500 Railroad Drive</v>
      </c>
      <c r="B15" s="115" t="str">
        <v>TX</v>
      </c>
      <c r="C15" s="110" t="str" cm="1">
        <f t="array" aca="1" ref="C15:K15" ca="1">IF(INDIRECT("'" &amp; $A15 &amp; "'!B14:J14")="", "", INDIRECT("'" &amp; $A15 &amp; "'!B14:J14"))</f>
        <v/>
      </c>
      <c r="D15" s="110" t="str">
        <f ca="1"/>
        <v/>
      </c>
      <c r="E15" s="110">
        <f ca="1"/>
        <v>0</v>
      </c>
      <c r="F15" s="116">
        <f ca="1"/>
        <v>0</v>
      </c>
      <c r="G15" s="112" t="str">
        <f ca="1"/>
        <v/>
      </c>
      <c r="H15" s="112">
        <f ca="1"/>
        <v>0</v>
      </c>
      <c r="I15" s="117">
        <f ca="1"/>
        <v>0</v>
      </c>
      <c r="J15" s="25" t="str">
        <f ca="1"/>
        <v/>
      </c>
      <c r="K15" s="25" t="str">
        <f ca="1"/>
        <v/>
      </c>
    </row>
    <row r="16" spans="1:11" ht="15.75">
      <c r="A16" s="118" t="str">
        <v>Friona - 900 Millard Ave</v>
      </c>
      <c r="B16" s="119" t="str">
        <v>TX</v>
      </c>
      <c r="C16" s="110" t="str" cm="1">
        <f t="array" aca="1" ref="C16:K16" ca="1">IF(INDIRECT("'" &amp; $A16 &amp; "'!B14:J14")="", "", INDIRECT("'" &amp; $A16 &amp; "'!B14:J14"))</f>
        <v/>
      </c>
      <c r="D16" s="110" t="str">
        <f ca="1"/>
        <v/>
      </c>
      <c r="E16" s="110">
        <f ca="1"/>
        <v>0</v>
      </c>
      <c r="F16" s="116">
        <f ca="1"/>
        <v>0</v>
      </c>
      <c r="G16" s="112" t="str">
        <f ca="1"/>
        <v/>
      </c>
      <c r="H16" s="112">
        <f ca="1"/>
        <v>0</v>
      </c>
      <c r="I16" s="117">
        <f ca="1"/>
        <v>0</v>
      </c>
      <c r="J16" s="25" t="str">
        <f ca="1"/>
        <v/>
      </c>
      <c r="K16" s="25" t="str">
        <f ca="1"/>
        <v/>
      </c>
    </row>
    <row r="17" spans="1:10" ht="13.5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>
      <c r="A22" s="126"/>
      <c r="J22" s="8"/>
    </row>
    <row r="23" spans="1:10">
      <c r="J23" s="8"/>
    </row>
  </sheetData>
  <autoFilter ref="A2:I2" xr:uid="{B87DE706-15D9-4E58-ADBD-0129509DEFD6}"/>
  <mergeCells count="8">
    <mergeCell ref="A19:A20"/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38" priority="1" operator="lessThanOrEqual">
      <formula>-0.1</formula>
    </cfRule>
    <cfRule type="cellIs" dxfId="23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3"/>
  <sheetViews>
    <sheetView workbookViewId="0">
      <pane ySplit="2" topLeftCell="A3" activePane="bottomLeft" state="frozen"/>
      <selection pane="bottomLeft" activeCell="D16" sqref="D16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56</v>
      </c>
      <c r="D1" s="130"/>
      <c r="E1" s="130"/>
      <c r="F1" s="131"/>
      <c r="G1" s="121" t="s">
        <v>57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108" t="str" cm="1">
        <f t="array" ref="A3:A16">Sites[Site]</f>
        <v>Fresno - 3150 Shaw Ave</v>
      </c>
      <c r="B3" s="47" t="str" cm="1">
        <f t="array" ref="B3:B16">Sites[State]</f>
        <v>CA</v>
      </c>
      <c r="C3" s="110" t="str" cm="1">
        <f t="array" aca="1" ref="C3:K3" ca="1">IF(INDIRECT("'" &amp; $A3 &amp; "'!B15:J15")="", "", INDIRECT("'" &amp; $A3 &amp; "'!B15:J15"))</f>
        <v/>
      </c>
      <c r="D3" s="110" t="str">
        <f ca="1"/>
        <v/>
      </c>
      <c r="E3" s="110">
        <f ca="1"/>
        <v>0</v>
      </c>
      <c r="F3" s="111">
        <f ca="1"/>
        <v>0</v>
      </c>
      <c r="G3" s="112" t="str">
        <f ca="1"/>
        <v/>
      </c>
      <c r="H3" s="112">
        <f ca="1"/>
        <v>0</v>
      </c>
      <c r="I3" s="113">
        <f ca="1"/>
        <v>0</v>
      </c>
      <c r="J3" s="26" t="str">
        <f ca="1"/>
        <v/>
      </c>
      <c r="K3" s="26" t="str">
        <f ca="1"/>
        <v/>
      </c>
    </row>
    <row r="4" spans="1:11" ht="15.75">
      <c r="A4" s="114" t="str">
        <v>Adelanto - 1 Sheep Creek Road</v>
      </c>
      <c r="B4" s="21" t="str">
        <v>CA</v>
      </c>
      <c r="C4" s="110" t="str" cm="1">
        <f t="array" aca="1" ref="C4:K4" ca="1">IF(INDIRECT("'" &amp; $A4 &amp; "'!B15:J15")="", "", INDIRECT("'" &amp; $A4 &amp; "'!B15:J15"))</f>
        <v/>
      </c>
      <c r="D4" s="110" t="str">
        <f ca="1"/>
        <v/>
      </c>
      <c r="E4" s="110">
        <f ca="1"/>
        <v>0</v>
      </c>
      <c r="F4" s="116">
        <f ca="1"/>
        <v>0</v>
      </c>
      <c r="G4" s="112" t="str">
        <f ca="1"/>
        <v/>
      </c>
      <c r="H4" s="112">
        <f ca="1"/>
        <v>0</v>
      </c>
      <c r="I4" s="117">
        <f ca="1"/>
        <v>0</v>
      </c>
      <c r="J4" s="25" t="str">
        <f ca="1"/>
        <v/>
      </c>
      <c r="K4" s="25" t="str">
        <f ca="1"/>
        <v/>
      </c>
    </row>
    <row r="5" spans="1:11" ht="15.75">
      <c r="A5" s="118" t="str">
        <v>Blackstone - 83 Federal Street</v>
      </c>
      <c r="B5" s="48" t="str">
        <v>MA</v>
      </c>
      <c r="C5" s="110" t="str" cm="1">
        <f t="array" aca="1" ref="C5:K5" ca="1">IF(INDIRECT("'" &amp; $A5 &amp; "'!B15:J15")="", "", INDIRECT("'" &amp; $A5 &amp; "'!B15:J15"))</f>
        <v/>
      </c>
      <c r="D5" s="110" t="str">
        <f ca="1"/>
        <v/>
      </c>
      <c r="E5" s="110">
        <f ca="1"/>
        <v>0</v>
      </c>
      <c r="F5" s="116">
        <f ca="1"/>
        <v>0</v>
      </c>
      <c r="G5" s="112" t="str">
        <f ca="1"/>
        <v/>
      </c>
      <c r="H5" s="112">
        <f ca="1"/>
        <v>0</v>
      </c>
      <c r="I5" s="117">
        <f ca="1"/>
        <v>0</v>
      </c>
      <c r="J5" s="25" t="str">
        <f ca="1"/>
        <v/>
      </c>
      <c r="K5" s="25" t="str">
        <f ca="1"/>
        <v/>
      </c>
    </row>
    <row r="6" spans="1:11" ht="15.75">
      <c r="A6" s="114" t="str">
        <v>Charlton - 299 Worcester Road</v>
      </c>
      <c r="B6" s="21" t="str">
        <v>MA</v>
      </c>
      <c r="C6" s="110" t="str" cm="1">
        <f t="array" aca="1" ref="C6:K6" ca="1">IF(INDIRECT("'" &amp; $A6 &amp; "'!B15:J15")="", "", INDIRECT("'" &amp; $A6 &amp; "'!B15:J15"))</f>
        <v/>
      </c>
      <c r="D6" s="110" t="str">
        <f ca="1"/>
        <v/>
      </c>
      <c r="E6" s="110">
        <f ca="1"/>
        <v>0</v>
      </c>
      <c r="F6" s="116">
        <f ca="1"/>
        <v>0</v>
      </c>
      <c r="G6" s="112" t="str">
        <f ca="1"/>
        <v/>
      </c>
      <c r="H6" s="112">
        <f ca="1"/>
        <v>0</v>
      </c>
      <c r="I6" s="117">
        <f ca="1"/>
        <v>0</v>
      </c>
      <c r="J6" s="25" t="str">
        <f ca="1"/>
        <v/>
      </c>
      <c r="K6" s="25" t="str">
        <f ca="1"/>
        <v/>
      </c>
    </row>
    <row r="7" spans="1:11" ht="15.75">
      <c r="A7" s="118" t="str">
        <v>Wareham - 8 Thatcher Drive</v>
      </c>
      <c r="B7" s="48" t="str">
        <v>MA</v>
      </c>
      <c r="C7" s="110" t="str" cm="1">
        <f t="array" aca="1" ref="C7:K7" ca="1">IF(INDIRECT("'" &amp; $A7 &amp; "'!B15:J15")="", "", INDIRECT("'" &amp; $A7 &amp; "'!B15:J15"))</f>
        <v/>
      </c>
      <c r="D7" s="110" t="str">
        <f ca="1"/>
        <v/>
      </c>
      <c r="E7" s="110">
        <f ca="1"/>
        <v>0</v>
      </c>
      <c r="F7" s="116">
        <f ca="1"/>
        <v>0</v>
      </c>
      <c r="G7" s="112" t="str">
        <f ca="1"/>
        <v/>
      </c>
      <c r="H7" s="112">
        <f ca="1"/>
        <v>0</v>
      </c>
      <c r="I7" s="117">
        <f ca="1"/>
        <v>0</v>
      </c>
      <c r="J7" s="25" t="str">
        <f ca="1"/>
        <v/>
      </c>
      <c r="K7" s="25" t="str">
        <f ca="1"/>
        <v/>
      </c>
    </row>
    <row r="8" spans="1:11" ht="15.75">
      <c r="A8" s="114" t="str">
        <v>West Yarmouth - 42 Mid Tech</v>
      </c>
      <c r="B8" s="21" t="str">
        <v>MA</v>
      </c>
      <c r="C8" s="110" t="str" cm="1">
        <f t="array" aca="1" ref="C8:K8" ca="1">IF(INDIRECT("'" &amp; $A8 &amp; "'!B15:J15")="", "", INDIRECT("'" &amp; $A8 &amp; "'!B15:J15"))</f>
        <v/>
      </c>
      <c r="D8" s="110" t="str">
        <f ca="1"/>
        <v/>
      </c>
      <c r="E8" s="110">
        <f ca="1"/>
        <v>0</v>
      </c>
      <c r="F8" s="116">
        <f ca="1"/>
        <v>0</v>
      </c>
      <c r="G8" s="112" t="str">
        <f ca="1"/>
        <v/>
      </c>
      <c r="H8" s="112">
        <f ca="1"/>
        <v>0</v>
      </c>
      <c r="I8" s="117">
        <f ca="1"/>
        <v>0</v>
      </c>
      <c r="J8" s="25" t="str">
        <f ca="1"/>
        <v/>
      </c>
      <c r="K8" s="25" t="str">
        <f ca="1"/>
        <v/>
      </c>
    </row>
    <row r="9" spans="1:11" ht="15.75">
      <c r="A9" s="118" t="str">
        <v>Harrison - 130 Union Street</v>
      </c>
      <c r="B9" s="119" t="str">
        <v>NY</v>
      </c>
      <c r="C9" s="110" t="str" cm="1">
        <f t="array" aca="1" ref="C9:K9" ca="1">IF(INDIRECT("'" &amp; $A9 &amp; "'!B15:J15")="", "", INDIRECT("'" &amp; $A9 &amp; "'!B15:J15"))</f>
        <v/>
      </c>
      <c r="D9" s="110" t="str">
        <f ca="1"/>
        <v/>
      </c>
      <c r="E9" s="110">
        <f ca="1"/>
        <v>0</v>
      </c>
      <c r="F9" s="116">
        <f ca="1"/>
        <v>0</v>
      </c>
      <c r="G9" s="112" t="str">
        <f ca="1"/>
        <v/>
      </c>
      <c r="H9" s="112">
        <f ca="1"/>
        <v>0</v>
      </c>
      <c r="I9" s="117">
        <f ca="1"/>
        <v>0</v>
      </c>
      <c r="J9" s="25" t="str">
        <f ca="1"/>
        <v/>
      </c>
      <c r="K9" s="25" t="str">
        <f ca="1"/>
        <v/>
      </c>
    </row>
    <row r="10" spans="1:11" ht="15.75">
      <c r="A10" s="114" t="str">
        <v>Staten Island - Ellis Storage</v>
      </c>
      <c r="B10" s="115" t="str">
        <v>NY</v>
      </c>
      <c r="C10" s="110" t="str" cm="1">
        <f t="array" aca="1" ref="C10:K10" ca="1">IF(INDIRECT("'" &amp; $A10 &amp; "'!B15:J15")="", "", INDIRECT("'" &amp; $A10 &amp; "'!B15:J15"))</f>
        <v/>
      </c>
      <c r="D10" s="110" t="str">
        <f ca="1"/>
        <v/>
      </c>
      <c r="E10" s="110">
        <f ca="1"/>
        <v>0</v>
      </c>
      <c r="F10" s="116">
        <f ca="1"/>
        <v>0</v>
      </c>
      <c r="G10" s="112" t="str">
        <f ca="1"/>
        <v/>
      </c>
      <c r="H10" s="112">
        <f ca="1"/>
        <v>0</v>
      </c>
      <c r="I10" s="117">
        <f ca="1"/>
        <v>0</v>
      </c>
      <c r="J10" s="25" t="str">
        <f ca="1"/>
        <v/>
      </c>
      <c r="K10" s="25" t="str">
        <f ca="1"/>
        <v/>
      </c>
    </row>
    <row r="11" spans="1:11" ht="15.75">
      <c r="A11" s="114" t="str">
        <v>Amherst - 595 Scholles Road</v>
      </c>
      <c r="B11" s="115" t="str">
        <v>NY</v>
      </c>
      <c r="C11" s="110" t="str" cm="1">
        <f t="array" aca="1" ref="C11:K11" ca="1">IF(INDIRECT("'" &amp; $A11 &amp; "'!B15:J15")="", "", INDIRECT("'" &amp; $A11 &amp; "'!B15:J15"))</f>
        <v/>
      </c>
      <c r="D11" s="110" t="str">
        <f ca="1"/>
        <v/>
      </c>
      <c r="E11" s="110">
        <f ca="1"/>
        <v>0</v>
      </c>
      <c r="F11" s="116">
        <f ca="1"/>
        <v>0</v>
      </c>
      <c r="G11" s="112" t="str">
        <f ca="1"/>
        <v/>
      </c>
      <c r="H11" s="112">
        <f ca="1"/>
        <v>0</v>
      </c>
      <c r="I11" s="117">
        <f ca="1"/>
        <v>0</v>
      </c>
      <c r="J11" s="25" t="str">
        <f ca="1"/>
        <v/>
      </c>
      <c r="K11" s="25" t="str">
        <f ca="1"/>
        <v/>
      </c>
    </row>
    <row r="12" spans="1:11" ht="15.75">
      <c r="A12" s="118" t="str">
        <v>Lancaster 1 - Gunnville Road</v>
      </c>
      <c r="B12" s="119" t="str">
        <v>NY</v>
      </c>
      <c r="C12" s="110" t="str" cm="1">
        <f t="array" aca="1" ref="C12:K12" ca="1">IF(INDIRECT("'" &amp; $A12 &amp; "'!B15:J15")="", "", INDIRECT("'" &amp; $A12 &amp; "'!B15:J15"))</f>
        <v/>
      </c>
      <c r="D12" s="110" t="str">
        <f ca="1"/>
        <v/>
      </c>
      <c r="E12" s="110">
        <f ca="1"/>
        <v>0</v>
      </c>
      <c r="F12" s="116">
        <f ca="1"/>
        <v>0</v>
      </c>
      <c r="G12" s="112" t="str">
        <f ca="1"/>
        <v/>
      </c>
      <c r="H12" s="112">
        <f ca="1"/>
        <v>0</v>
      </c>
      <c r="I12" s="117">
        <f ca="1"/>
        <v>0</v>
      </c>
      <c r="J12" s="25" t="str">
        <f ca="1"/>
        <v/>
      </c>
      <c r="K12" s="25" t="str">
        <f ca="1"/>
        <v xml:space="preserve"> </v>
      </c>
    </row>
    <row r="13" spans="1:11" ht="15.75">
      <c r="A13" s="114" t="str">
        <v>Lancaster 2 - Shisler Road</v>
      </c>
      <c r="B13" s="115" t="str">
        <v>NY</v>
      </c>
      <c r="C13" s="110" t="str" cm="1">
        <f t="array" aca="1" ref="C13:K13" ca="1">IF(INDIRECT("'" &amp; $A13 &amp; "'!B15:J15")="", "", INDIRECT("'" &amp; $A13 &amp; "'!B15:J15"))</f>
        <v/>
      </c>
      <c r="D13" s="110" t="str">
        <f ca="1"/>
        <v/>
      </c>
      <c r="E13" s="110">
        <f ca="1"/>
        <v>0</v>
      </c>
      <c r="F13" s="116">
        <f ca="1"/>
        <v>0</v>
      </c>
      <c r="G13" s="112" t="str">
        <f ca="1"/>
        <v/>
      </c>
      <c r="H13" s="112">
        <f ca="1"/>
        <v>0</v>
      </c>
      <c r="I13" s="117">
        <f ca="1"/>
        <v>0</v>
      </c>
      <c r="J13" s="25" t="str">
        <f ca="1"/>
        <v/>
      </c>
      <c r="K13" s="25" t="str">
        <f ca="1"/>
        <v xml:space="preserve"> </v>
      </c>
    </row>
    <row r="14" spans="1:11" ht="15.75">
      <c r="A14" s="118" t="str">
        <v>Fullerton - 200 W Orangethorpe</v>
      </c>
      <c r="B14" s="119" t="str">
        <v>CA</v>
      </c>
      <c r="C14" s="110" t="str" cm="1">
        <f t="array" aca="1" ref="C14:K14" ca="1">IF(INDIRECT("'" &amp; $A14 &amp; "'!B15:J15")="", "", INDIRECT("'" &amp; $A14 &amp; "'!B15:J15"))</f>
        <v/>
      </c>
      <c r="D14" s="110" t="str">
        <f ca="1"/>
        <v/>
      </c>
      <c r="E14" s="110">
        <f ca="1"/>
        <v>0</v>
      </c>
      <c r="F14" s="116">
        <f ca="1"/>
        <v>0</v>
      </c>
      <c r="G14" s="112" t="str">
        <f ca="1"/>
        <v/>
      </c>
      <c r="H14" s="112">
        <f ca="1"/>
        <v>0</v>
      </c>
      <c r="I14" s="117">
        <f ca="1"/>
        <v>0</v>
      </c>
      <c r="J14" s="25" t="str">
        <f ca="1"/>
        <v/>
      </c>
      <c r="K14" s="25" t="str">
        <f ca="1"/>
        <v/>
      </c>
    </row>
    <row r="15" spans="1:11" ht="15.75">
      <c r="A15" s="114" t="str">
        <v>El Paso - 10500 Railroad Drive</v>
      </c>
      <c r="B15" s="115" t="str">
        <v>TX</v>
      </c>
      <c r="C15" s="110" t="str" cm="1">
        <f t="array" aca="1" ref="C15:K15" ca="1">IF(INDIRECT("'" &amp; $A15 &amp; "'!B15:J15")="", "", INDIRECT("'" &amp; $A15 &amp; "'!B15:J15"))</f>
        <v/>
      </c>
      <c r="D15" s="110" t="str">
        <f ca="1"/>
        <v/>
      </c>
      <c r="E15" s="110">
        <f ca="1"/>
        <v>0</v>
      </c>
      <c r="F15" s="116">
        <f ca="1"/>
        <v>0</v>
      </c>
      <c r="G15" s="112" t="str">
        <f ca="1"/>
        <v/>
      </c>
      <c r="H15" s="112">
        <f ca="1"/>
        <v>0</v>
      </c>
      <c r="I15" s="117">
        <f ca="1"/>
        <v>0</v>
      </c>
      <c r="J15" s="25" t="str">
        <f ca="1"/>
        <v/>
      </c>
      <c r="K15" s="25" t="str">
        <f ca="1"/>
        <v/>
      </c>
    </row>
    <row r="16" spans="1:11" ht="15.75">
      <c r="A16" s="118" t="str">
        <v>Friona - 900 Millard Ave</v>
      </c>
      <c r="B16" s="119" t="str">
        <v>TX</v>
      </c>
      <c r="C16" s="110" t="str" cm="1">
        <f t="array" aca="1" ref="C16:K16" ca="1">IF(INDIRECT("'" &amp; $A16 &amp; "'!B15:J15")="", "", INDIRECT("'" &amp; $A16 &amp; "'!B15:J15"))</f>
        <v/>
      </c>
      <c r="D16" s="110" t="str">
        <f ca="1"/>
        <v/>
      </c>
      <c r="E16" s="110">
        <f ca="1"/>
        <v>0</v>
      </c>
      <c r="F16" s="116">
        <f ca="1"/>
        <v>0</v>
      </c>
      <c r="G16" s="112" t="str">
        <f ca="1"/>
        <v/>
      </c>
      <c r="H16" s="112">
        <f ca="1"/>
        <v>0</v>
      </c>
      <c r="I16" s="117">
        <f ca="1"/>
        <v>0</v>
      </c>
      <c r="J16" s="25" t="str">
        <f ca="1"/>
        <v/>
      </c>
      <c r="K16" s="25" t="str">
        <f ca="1"/>
        <v/>
      </c>
    </row>
    <row r="17" spans="1:10" ht="13.5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A19" s="125" t="s">
        <v>10</v>
      </c>
      <c r="J19" s="8"/>
    </row>
    <row r="20" spans="1:10">
      <c r="A20" s="125"/>
      <c r="J20" s="8"/>
    </row>
    <row r="21" spans="1:10">
      <c r="A21" s="126" t="s">
        <v>11</v>
      </c>
      <c r="J21" s="8"/>
    </row>
    <row r="22" spans="1:10">
      <c r="A22" s="126"/>
      <c r="J22" s="8"/>
    </row>
    <row r="23" spans="1:10">
      <c r="J23" s="8"/>
    </row>
  </sheetData>
  <autoFilter ref="A2:I2" xr:uid="{7397A98F-A32F-42EE-8114-2658DE422011}"/>
  <mergeCells count="8">
    <mergeCell ref="A19:A20"/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36" priority="1" operator="lessThanOrEqual">
      <formula>-0.1</formula>
    </cfRule>
    <cfRule type="cellIs" dxfId="235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4"/>
  <sheetViews>
    <sheetView workbookViewId="0">
      <pane ySplit="2" topLeftCell="A3" activePane="bottomLeft" state="frozen"/>
      <selection pane="bottomLeft" activeCell="G16" sqref="G16"/>
      <selection activeCell="H22" sqref="H2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21.140625" customWidth="1"/>
  </cols>
  <sheetData>
    <row r="1" spans="1:11" ht="19.5" customHeight="1">
      <c r="A1" s="127" t="str" cm="1">
        <f t="array" ref="A1">portfolio</f>
        <v>Catalyze</v>
      </c>
      <c r="B1" s="128"/>
      <c r="C1" s="129" t="s">
        <v>58</v>
      </c>
      <c r="D1" s="130"/>
      <c r="E1" s="130"/>
      <c r="F1" s="131"/>
      <c r="G1" s="121" t="s">
        <v>59</v>
      </c>
      <c r="H1" s="121"/>
      <c r="I1" s="122"/>
      <c r="J1" s="132" t="s">
        <v>22</v>
      </c>
      <c r="K1" s="132" t="s">
        <v>23</v>
      </c>
    </row>
    <row r="2" spans="1:11" ht="14.25" customHeight="1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33"/>
      <c r="K2" s="133"/>
    </row>
    <row r="3" spans="1:11" ht="15.75">
      <c r="A3" s="61" t="str" cm="1">
        <f t="array" ref="A3:A16">Sites[Site]</f>
        <v>Fresno - 3150 Shaw Ave</v>
      </c>
      <c r="B3" s="47" t="str" cm="1">
        <f t="array" ref="B3:B16">Sites[State]</f>
        <v>CA</v>
      </c>
      <c r="C3" s="49" t="str" cm="1">
        <f t="array" aca="1" ref="C3:K3" ca="1">IF(INDIRECT("'" &amp; $A3 &amp; "'!B16:J16")="", "", INDIRECT("'" &amp; $A3 &amp; "'!B16:J16"))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6" t="str">
        <f ca="1"/>
        <v/>
      </c>
      <c r="K3" s="26" t="str">
        <f ca="1"/>
        <v/>
      </c>
    </row>
    <row r="4" spans="1:11" ht="48.75" customHeight="1">
      <c r="A4" s="62" t="str">
        <v>Adelanto - 1 Sheep Creek Road</v>
      </c>
      <c r="B4" s="21" t="str">
        <v>CA</v>
      </c>
      <c r="C4" s="49" t="str" cm="1">
        <f t="array" aca="1" ref="C4:K4" ca="1">IF(INDIRECT("'" &amp; $A4 &amp; "'!B16:J16")="", "", INDIRECT("'" &amp; $A4 &amp; "'!B16:J16"))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5" t="str">
        <f ca="1"/>
        <v/>
      </c>
      <c r="K4" s="25" t="str">
        <f ca="1"/>
        <v/>
      </c>
    </row>
    <row r="5" spans="1:11" ht="15.75">
      <c r="A5" s="63" t="str">
        <v>Blackstone - 83 Federal Street</v>
      </c>
      <c r="B5" s="48" t="str">
        <v>MA</v>
      </c>
      <c r="C5" s="49" t="str" cm="1">
        <f t="array" aca="1" ref="C5:K5" ca="1">IF(INDIRECT("'" &amp; $A5 &amp; "'!B16:J16")="", "", INDIRECT("'" &amp; $A5 &amp; "'!B16:J16"))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5" t="str">
        <f ca="1"/>
        <v/>
      </c>
      <c r="K5" s="25" t="str">
        <f ca="1"/>
        <v/>
      </c>
    </row>
    <row r="6" spans="1:11" ht="15.75">
      <c r="A6" s="62" t="str">
        <v>Charlton - 299 Worcester Road</v>
      </c>
      <c r="B6" s="21" t="str">
        <v>MA</v>
      </c>
      <c r="C6" s="49" t="str" cm="1">
        <f t="array" aca="1" ref="C6:K6" ca="1">IF(INDIRECT("'" &amp; $A6 &amp; "'!B16:J16")="", "", INDIRECT("'" &amp; $A6 &amp; "'!B16:J16"))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5" t="str">
        <f ca="1"/>
        <v/>
      </c>
      <c r="K6" s="25" t="str">
        <f ca="1"/>
        <v/>
      </c>
    </row>
    <row r="7" spans="1:11" ht="15.75">
      <c r="A7" s="63" t="str">
        <v>Wareham - 8 Thatcher Drive</v>
      </c>
      <c r="B7" s="48" t="str">
        <v>MA</v>
      </c>
      <c r="C7" s="49" t="str" cm="1">
        <f t="array" aca="1" ref="C7:K7" ca="1">IF(INDIRECT("'" &amp; $A7 &amp; "'!B16:J16")="", "", INDIRECT("'" &amp; $A7 &amp; "'!B16:J16"))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5" t="str">
        <f ca="1"/>
        <v/>
      </c>
      <c r="K7" s="25" t="str">
        <f ca="1"/>
        <v/>
      </c>
    </row>
    <row r="8" spans="1:11" ht="15.75">
      <c r="A8" s="62" t="str">
        <v>West Yarmouth - 42 Mid Tech</v>
      </c>
      <c r="B8" s="21" t="str">
        <v>MA</v>
      </c>
      <c r="C8" s="49" t="str" cm="1">
        <f t="array" aca="1" ref="C8:K8" ca="1">IF(INDIRECT("'" &amp; $A8 &amp; "'!B16:J16")="", "", INDIRECT("'" &amp; $A8 &amp; "'!B16:J16"))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5" t="str">
        <f ca="1"/>
        <v/>
      </c>
      <c r="K8" s="25" t="str">
        <f ca="1"/>
        <v/>
      </c>
    </row>
    <row r="9" spans="1:11" ht="15.75">
      <c r="A9" s="63" t="str">
        <v>Harrison - 130 Union Street</v>
      </c>
      <c r="B9" s="48" t="str">
        <v>NY</v>
      </c>
      <c r="C9" s="49" t="str" cm="1">
        <f t="array" aca="1" ref="C9:K9" ca="1">IF(INDIRECT("'" &amp; $A9 &amp; "'!B16:J16")="", "", INDIRECT("'" &amp; $A9 &amp; "'!B16:J16"))</f>
        <v/>
      </c>
      <c r="D9" s="49" t="str">
        <f ca="1"/>
        <v/>
      </c>
      <c r="E9" s="49">
        <f ca="1"/>
        <v>0</v>
      </c>
      <c r="F9" s="53">
        <f ca="1"/>
        <v>0</v>
      </c>
      <c r="G9" s="51" t="str">
        <f ca="1"/>
        <v/>
      </c>
      <c r="H9" s="51">
        <f ca="1"/>
        <v>0</v>
      </c>
      <c r="I9" s="54">
        <f ca="1"/>
        <v>0</v>
      </c>
      <c r="J9" s="25" t="str">
        <f ca="1"/>
        <v/>
      </c>
      <c r="K9" s="25" t="str">
        <f ca="1"/>
        <v/>
      </c>
    </row>
    <row r="10" spans="1:11" ht="15.75">
      <c r="A10" s="62" t="str">
        <v>Staten Island - Ellis Storage</v>
      </c>
      <c r="B10" s="21" t="str">
        <v>NY</v>
      </c>
      <c r="C10" s="49" t="str" cm="1">
        <f t="array" aca="1" ref="C10:K10" ca="1">IF(INDIRECT("'" &amp; $A10 &amp; "'!B16:J16")="", "", INDIRECT("'" &amp; $A10 &amp; "'!B16:J16"))</f>
        <v/>
      </c>
      <c r="D10" s="49" t="str">
        <f ca="1"/>
        <v/>
      </c>
      <c r="E10" s="49">
        <f ca="1"/>
        <v>0</v>
      </c>
      <c r="F10" s="53">
        <f ca="1"/>
        <v>0</v>
      </c>
      <c r="G10" s="51" t="str">
        <f ca="1"/>
        <v/>
      </c>
      <c r="H10" s="51">
        <f ca="1"/>
        <v>0</v>
      </c>
      <c r="I10" s="54">
        <f ca="1"/>
        <v>0</v>
      </c>
      <c r="J10" s="25" t="str">
        <f ca="1"/>
        <v/>
      </c>
      <c r="K10" s="25" t="str">
        <f ca="1"/>
        <v xml:space="preserve"> </v>
      </c>
    </row>
    <row r="11" spans="1:11" ht="15.75">
      <c r="A11" s="63" t="str">
        <v>Amherst - 595 Scholles Road</v>
      </c>
      <c r="B11" s="48" t="str">
        <v>NY</v>
      </c>
      <c r="C11" s="49" t="str" cm="1">
        <f t="array" aca="1" ref="C11:K11" ca="1">IF(INDIRECT("'" &amp; $A11 &amp; "'!B16:J16")="", "", INDIRECT("'" &amp; $A11 &amp; "'!B16:J16"))</f>
        <v/>
      </c>
      <c r="D11" s="49" t="str">
        <f ca="1"/>
        <v/>
      </c>
      <c r="E11" s="49">
        <f ca="1"/>
        <v>0</v>
      </c>
      <c r="F11" s="53">
        <f ca="1"/>
        <v>0</v>
      </c>
      <c r="G11" s="51" t="str">
        <f ca="1"/>
        <v/>
      </c>
      <c r="H11" s="51">
        <f ca="1"/>
        <v>0</v>
      </c>
      <c r="I11" s="54">
        <f ca="1"/>
        <v>0</v>
      </c>
      <c r="J11" s="25" t="str">
        <f ca="1"/>
        <v/>
      </c>
      <c r="K11" s="25" t="str">
        <f ca="1"/>
        <v/>
      </c>
    </row>
    <row r="12" spans="1:11" ht="15.75">
      <c r="A12" s="63" t="str">
        <v>Lancaster 1 - Gunnville Road</v>
      </c>
      <c r="B12" s="48" t="str">
        <v>NY</v>
      </c>
      <c r="C12" s="49" t="str" cm="1">
        <f t="array" aca="1" ref="C12:K12" ca="1">IF(INDIRECT("'" &amp; $A12 &amp; "'!B16:J16")="", "", INDIRECT("'" &amp; $A12 &amp; "'!B16:J16"))</f>
        <v/>
      </c>
      <c r="D12" s="49" t="str">
        <f ca="1"/>
        <v/>
      </c>
      <c r="E12" s="49">
        <f ca="1"/>
        <v>0</v>
      </c>
      <c r="F12" s="53">
        <f ca="1"/>
        <v>0</v>
      </c>
      <c r="G12" s="51" t="str">
        <f ca="1"/>
        <v/>
      </c>
      <c r="H12" s="51">
        <f ca="1"/>
        <v>0</v>
      </c>
      <c r="I12" s="54">
        <f ca="1"/>
        <v>0</v>
      </c>
      <c r="J12" s="25" t="str">
        <f ca="1"/>
        <v/>
      </c>
      <c r="K12" s="25" t="str">
        <f ca="1"/>
        <v xml:space="preserve"> </v>
      </c>
    </row>
    <row r="13" spans="1:11" ht="15.75">
      <c r="A13" s="62" t="str">
        <v>Lancaster 2 - Shisler Road</v>
      </c>
      <c r="B13" s="21" t="str">
        <v>NY</v>
      </c>
      <c r="C13" s="49" t="str" cm="1">
        <f t="array" aca="1" ref="C13:K13" ca="1">IF(INDIRECT("'" &amp; $A13 &amp; "'!B16:J16")="", "", INDIRECT("'" &amp; $A13 &amp; "'!B16:J16"))</f>
        <v/>
      </c>
      <c r="D13" s="49" t="str">
        <f ca="1"/>
        <v/>
      </c>
      <c r="E13" s="49">
        <f ca="1"/>
        <v>0</v>
      </c>
      <c r="F13" s="53">
        <f ca="1"/>
        <v>0</v>
      </c>
      <c r="G13" s="51" t="str">
        <f ca="1"/>
        <v/>
      </c>
      <c r="H13" s="51">
        <f ca="1"/>
        <v>0</v>
      </c>
      <c r="I13" s="54">
        <f ca="1"/>
        <v>0</v>
      </c>
      <c r="J13" s="25" t="str">
        <f ca="1"/>
        <v/>
      </c>
      <c r="K13" s="25" t="str">
        <f ca="1"/>
        <v xml:space="preserve"> </v>
      </c>
    </row>
    <row r="14" spans="1:11" ht="15.75">
      <c r="A14" s="63" t="str">
        <v>Fullerton - 200 W Orangethorpe</v>
      </c>
      <c r="B14" s="48" t="str">
        <v>CA</v>
      </c>
      <c r="C14" s="49" t="str" cm="1">
        <f t="array" aca="1" ref="C14:K14" ca="1">IF(INDIRECT("'" &amp; $A14 &amp; "'!B16:J16")="", "", INDIRECT("'" &amp; $A14 &amp; "'!B16:J16"))</f>
        <v/>
      </c>
      <c r="D14" s="49" t="str">
        <f ca="1"/>
        <v/>
      </c>
      <c r="E14" s="49">
        <f ca="1"/>
        <v>0</v>
      </c>
      <c r="F14" s="53">
        <f ca="1"/>
        <v>0</v>
      </c>
      <c r="G14" s="51" t="str">
        <f ca="1"/>
        <v/>
      </c>
      <c r="H14" s="51">
        <f ca="1"/>
        <v>0</v>
      </c>
      <c r="I14" s="54">
        <f ca="1"/>
        <v>0</v>
      </c>
      <c r="J14" s="25" t="str">
        <f ca="1"/>
        <v/>
      </c>
      <c r="K14" s="25" t="str">
        <f ca="1"/>
        <v/>
      </c>
    </row>
    <row r="15" spans="1:11" ht="15.75">
      <c r="A15" s="62" t="str">
        <v>El Paso - 10500 Railroad Drive</v>
      </c>
      <c r="B15" s="21" t="str">
        <v>TX</v>
      </c>
      <c r="C15" s="49" t="str" cm="1">
        <f t="array" aca="1" ref="C15:K15" ca="1">IF(INDIRECT("'" &amp; $A15 &amp; "'!B16:J16")="", "", INDIRECT("'" &amp; $A15 &amp; "'!B16:J16"))</f>
        <v/>
      </c>
      <c r="D15" s="49" t="str">
        <f ca="1"/>
        <v/>
      </c>
      <c r="E15" s="49">
        <f ca="1"/>
        <v>0</v>
      </c>
      <c r="F15" s="53">
        <f ca="1"/>
        <v>0</v>
      </c>
      <c r="G15" s="51" t="str">
        <f ca="1"/>
        <v/>
      </c>
      <c r="H15" s="51">
        <f ca="1"/>
        <v>0</v>
      </c>
      <c r="I15" s="54">
        <f ca="1"/>
        <v>0</v>
      </c>
      <c r="J15" s="25" t="str">
        <f ca="1"/>
        <v/>
      </c>
      <c r="K15" s="25" t="str">
        <f ca="1"/>
        <v/>
      </c>
    </row>
    <row r="16" spans="1:11" ht="15.75">
      <c r="A16" s="63" t="str">
        <v>Friona - 900 Millard Ave</v>
      </c>
      <c r="B16" s="48" t="str">
        <v>TX</v>
      </c>
      <c r="C16" s="49" t="str" cm="1">
        <f t="array" aca="1" ref="C16:K16" ca="1">IF(INDIRECT("'" &amp; $A16 &amp; "'!B16:J16")="", "", INDIRECT("'" &amp; $A16 &amp; "'!B16:J16"))</f>
        <v/>
      </c>
      <c r="D16" s="49" t="str">
        <f ca="1"/>
        <v/>
      </c>
      <c r="E16" s="49">
        <f ca="1"/>
        <v>0</v>
      </c>
      <c r="F16" s="53">
        <f ca="1"/>
        <v>0</v>
      </c>
      <c r="G16" s="51" t="str">
        <f ca="1"/>
        <v/>
      </c>
      <c r="H16" s="51">
        <f ca="1"/>
        <v>0</v>
      </c>
      <c r="I16" s="54">
        <f ca="1"/>
        <v>0</v>
      </c>
      <c r="J16" s="25" t="str">
        <f ca="1"/>
        <v/>
      </c>
      <c r="K16" s="25" t="str">
        <f ca="1"/>
        <v/>
      </c>
    </row>
    <row r="17" spans="1:10" ht="13.5">
      <c r="A17" s="123" t="s">
        <v>9</v>
      </c>
      <c r="B17" s="124"/>
      <c r="C17" s="64">
        <f ca="1">SUM(C3:C16)</f>
        <v>0</v>
      </c>
      <c r="D17" s="64">
        <f ca="1">SUM(D3:D16)</f>
        <v>0</v>
      </c>
      <c r="E17" s="64">
        <f ca="1">C17-D17</f>
        <v>0</v>
      </c>
      <c r="F17" s="55">
        <f ca="1">IFERROR(E17/D17, 0)</f>
        <v>0</v>
      </c>
      <c r="G17" s="64">
        <f ca="1">SUM(G3:G16)</f>
        <v>0</v>
      </c>
      <c r="H17" s="65">
        <f ca="1">C17-G17</f>
        <v>0</v>
      </c>
      <c r="I17" s="56">
        <f ca="1">IFERROR(H17/G17, 0)</f>
        <v>0</v>
      </c>
      <c r="J17" s="8"/>
    </row>
    <row r="18" spans="1:10" ht="12.75" customHeight="1">
      <c r="J18" s="8"/>
    </row>
    <row r="19" spans="1:10">
      <c r="J19" s="8"/>
    </row>
    <row r="20" spans="1:10">
      <c r="J20" s="8"/>
    </row>
    <row r="21" spans="1:10" ht="13.35" customHeight="1">
      <c r="A21" s="125" t="s">
        <v>10</v>
      </c>
      <c r="J21" s="8"/>
    </row>
    <row r="22" spans="1:10" ht="13.35" customHeight="1">
      <c r="A22" s="125"/>
      <c r="J22" s="8"/>
    </row>
    <row r="23" spans="1:10" ht="13.35" customHeight="1">
      <c r="A23" s="93" t="s">
        <v>11</v>
      </c>
      <c r="J23" s="8"/>
    </row>
    <row r="24" spans="1:10" ht="13.35" customHeight="1">
      <c r="A24" s="93"/>
    </row>
  </sheetData>
  <autoFilter ref="A2:I2" xr:uid="{7BFACBC8-3831-4E2B-BAD7-988F02FCC664}"/>
  <mergeCells count="7">
    <mergeCell ref="A21:A22"/>
    <mergeCell ref="G1:I1"/>
    <mergeCell ref="J1:J2"/>
    <mergeCell ref="K1:K2"/>
    <mergeCell ref="C1:F1"/>
    <mergeCell ref="A1:B1"/>
    <mergeCell ref="A17:B17"/>
  </mergeCells>
  <conditionalFormatting sqref="F3:F17 I3:I17">
    <cfRule type="cellIs" dxfId="234" priority="1" operator="lessThanOrEqual">
      <formula>-0.1</formula>
    </cfRule>
    <cfRule type="cellIs" dxfId="23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6"/>
  <sheetViews>
    <sheetView workbookViewId="0">
      <pane ySplit="2" topLeftCell="A3" activePane="bottomLeft" state="frozen"/>
      <selection pane="bottomLeft" activeCell="A3" sqref="A3:E16"/>
    </sheetView>
  </sheetViews>
  <sheetFormatPr defaultRowHeight="12.75" customHeight="1"/>
  <cols>
    <col min="1" max="2" width="41.85546875" customWidth="1"/>
    <col min="4" max="4" width="9.140625" customWidth="1"/>
    <col min="5" max="5" width="18.42578125" customWidth="1"/>
    <col min="6" max="14" width="9.140625" customWidth="1"/>
  </cols>
  <sheetData>
    <row r="1" spans="1:7" ht="12.75" customHeight="1">
      <c r="A1" t="s">
        <v>60</v>
      </c>
      <c r="B1" t="s">
        <v>61</v>
      </c>
    </row>
    <row r="2" spans="1:7">
      <c r="A2" t="s">
        <v>62</v>
      </c>
      <c r="B2" t="s">
        <v>2</v>
      </c>
      <c r="C2" t="s">
        <v>3</v>
      </c>
      <c r="D2" t="s">
        <v>63</v>
      </c>
      <c r="E2" t="s">
        <v>64</v>
      </c>
    </row>
    <row r="3" spans="1:7" ht="14.25">
      <c r="A3" s="87" t="s">
        <v>65</v>
      </c>
      <c r="B3" s="87" t="s">
        <v>66</v>
      </c>
      <c r="C3" s="87" t="s">
        <v>67</v>
      </c>
      <c r="D3" t="s">
        <v>68</v>
      </c>
      <c r="E3" s="87" t="s">
        <v>69</v>
      </c>
      <c r="G3" s="12"/>
    </row>
    <row r="4" spans="1:7" ht="14.25">
      <c r="A4" s="87" t="s">
        <v>70</v>
      </c>
      <c r="B4" s="87" t="s">
        <v>71</v>
      </c>
      <c r="C4" s="87" t="s">
        <v>67</v>
      </c>
      <c r="E4" s="87" t="s">
        <v>72</v>
      </c>
      <c r="G4" s="12"/>
    </row>
    <row r="5" spans="1:7" ht="14.25">
      <c r="A5" s="87" t="s">
        <v>73</v>
      </c>
      <c r="B5" s="87" t="s">
        <v>74</v>
      </c>
      <c r="C5" s="87" t="s">
        <v>75</v>
      </c>
      <c r="D5" t="s">
        <v>76</v>
      </c>
      <c r="E5" s="87" t="s">
        <v>69</v>
      </c>
      <c r="G5" s="12"/>
    </row>
    <row r="6" spans="1:7" ht="14.25">
      <c r="A6" s="87" t="s">
        <v>77</v>
      </c>
      <c r="B6" s="87" t="s">
        <v>78</v>
      </c>
      <c r="C6" s="87" t="s">
        <v>75</v>
      </c>
      <c r="D6" t="s">
        <v>68</v>
      </c>
      <c r="E6" s="87" t="s">
        <v>69</v>
      </c>
      <c r="G6" s="12"/>
    </row>
    <row r="7" spans="1:7" ht="14.25">
      <c r="A7" s="87" t="s">
        <v>79</v>
      </c>
      <c r="B7" s="87" t="s">
        <v>80</v>
      </c>
      <c r="C7" s="87" t="s">
        <v>75</v>
      </c>
      <c r="D7" t="s">
        <v>68</v>
      </c>
      <c r="E7" s="87" t="s">
        <v>69</v>
      </c>
      <c r="G7" s="12"/>
    </row>
    <row r="8" spans="1:7" ht="14.25">
      <c r="A8" s="87" t="s">
        <v>81</v>
      </c>
      <c r="B8" s="87" t="s">
        <v>82</v>
      </c>
      <c r="C8" s="87" t="s">
        <v>75</v>
      </c>
      <c r="D8" t="s">
        <v>68</v>
      </c>
      <c r="E8" s="87" t="s">
        <v>69</v>
      </c>
      <c r="G8" s="12"/>
    </row>
    <row r="9" spans="1:7" ht="14.25">
      <c r="A9" s="87" t="s">
        <v>83</v>
      </c>
      <c r="B9" s="87" t="s">
        <v>84</v>
      </c>
      <c r="C9" s="87" t="s">
        <v>85</v>
      </c>
      <c r="D9" t="s">
        <v>68</v>
      </c>
      <c r="E9" s="87" t="s">
        <v>69</v>
      </c>
      <c r="G9" s="12"/>
    </row>
    <row r="10" spans="1:7" ht="14.25">
      <c r="A10" s="87" t="s">
        <v>86</v>
      </c>
      <c r="B10" s="87" t="s">
        <v>87</v>
      </c>
      <c r="C10" s="87" t="s">
        <v>85</v>
      </c>
      <c r="D10" t="s">
        <v>68</v>
      </c>
      <c r="E10" s="87" t="s">
        <v>69</v>
      </c>
      <c r="G10" s="12"/>
    </row>
    <row r="11" spans="1:7" ht="14.25">
      <c r="A11" s="87" t="s">
        <v>88</v>
      </c>
      <c r="B11" s="87" t="s">
        <v>89</v>
      </c>
      <c r="C11" s="87" t="s">
        <v>85</v>
      </c>
      <c r="E11" s="87" t="s">
        <v>72</v>
      </c>
      <c r="G11" s="12"/>
    </row>
    <row r="12" spans="1:7" ht="12.75" customHeight="1">
      <c r="A12" s="87" t="s">
        <v>90</v>
      </c>
      <c r="B12" s="87" t="s">
        <v>90</v>
      </c>
      <c r="C12" s="87" t="s">
        <v>85</v>
      </c>
      <c r="E12" s="87" t="s">
        <v>69</v>
      </c>
    </row>
    <row r="13" spans="1:7" ht="12.75" customHeight="1">
      <c r="A13" s="87" t="s">
        <v>91</v>
      </c>
      <c r="B13" s="87" t="s">
        <v>91</v>
      </c>
      <c r="C13" s="87" t="s">
        <v>85</v>
      </c>
      <c r="E13" s="87" t="s">
        <v>69</v>
      </c>
    </row>
    <row r="14" spans="1:7" ht="12.75" customHeight="1">
      <c r="A14" t="s">
        <v>92</v>
      </c>
      <c r="B14" t="s">
        <v>93</v>
      </c>
      <c r="C14" s="87" t="s">
        <v>67</v>
      </c>
      <c r="E14" s="87" t="s">
        <v>69</v>
      </c>
    </row>
    <row r="15" spans="1:7" ht="12.75" customHeight="1">
      <c r="A15" s="87" t="s">
        <v>94</v>
      </c>
      <c r="B15" s="87" t="s">
        <v>95</v>
      </c>
      <c r="C15" s="87" t="s">
        <v>96</v>
      </c>
      <c r="D15" t="s">
        <v>68</v>
      </c>
      <c r="E15" s="87" t="s">
        <v>69</v>
      </c>
    </row>
    <row r="16" spans="1:7" ht="12.75" customHeight="1">
      <c r="A16" s="87" t="s">
        <v>97</v>
      </c>
      <c r="B16" s="87" t="s">
        <v>98</v>
      </c>
      <c r="C16" s="87" t="s">
        <v>96</v>
      </c>
      <c r="D16" t="s">
        <v>68</v>
      </c>
      <c r="E16" s="87" t="s">
        <v>69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theme="7" tint="0.39997558519241921"/>
  </sheetPr>
  <dimension ref="A1:O20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5.85546875" customWidth="1"/>
    <col min="10" max="10" width="18.5703125" bestFit="1" customWidth="1"/>
  </cols>
  <sheetData>
    <row r="1" spans="1:15" ht="25.15">
      <c r="A1" s="142" t="s">
        <v>66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 ht="13.15" thickBot="1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28.5">
      <c r="A5" s="14" t="s">
        <v>108</v>
      </c>
      <c r="B5" s="15">
        <v>40368.4375</v>
      </c>
      <c r="C5" s="15">
        <v>39837.75</v>
      </c>
      <c r="D5" s="16">
        <f>B5-C5</f>
        <v>530.6875</v>
      </c>
      <c r="E5" s="17">
        <f t="shared" ref="E5:E16" si="0">IFERROR(D5/C5, 0)</f>
        <v>1.3321221705543109E-2</v>
      </c>
      <c r="F5" s="18">
        <v>48161.71</v>
      </c>
      <c r="G5" s="19">
        <f>B5-F5</f>
        <v>-7793.2724999999991</v>
      </c>
      <c r="H5" s="20">
        <f t="shared" ref="H5:H16" si="1">IFERROR(G5/F5, 0)</f>
        <v>-0.16181469677883115</v>
      </c>
      <c r="I5" s="25" t="s">
        <v>24</v>
      </c>
      <c r="J5" s="25" t="s">
        <v>25</v>
      </c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25"/>
      <c r="J8" s="25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27"/>
      <c r="C10" s="27"/>
      <c r="D10" s="16">
        <f t="shared" si="2"/>
        <v>0</v>
      </c>
      <c r="E10" s="22">
        <f t="shared" si="0"/>
        <v>0</v>
      </c>
      <c r="F10" s="28"/>
      <c r="G10" s="19">
        <f t="shared" si="3"/>
        <v>0</v>
      </c>
      <c r="H10" s="20">
        <f t="shared" si="1"/>
        <v>0</v>
      </c>
      <c r="I10" s="25"/>
      <c r="J10" s="25"/>
    </row>
    <row r="11" spans="1:15" ht="34.5" customHeight="1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6"/>
      <c r="J15" s="26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7"/>
      <c r="J16" s="67"/>
    </row>
    <row r="17" spans="1:15" ht="14.25">
      <c r="A17" s="35" t="s">
        <v>120</v>
      </c>
      <c r="B17" s="36">
        <f>SUM(B5:B16)</f>
        <v>40368.4375</v>
      </c>
      <c r="C17" s="36">
        <f t="shared" ref="C17:F17" si="4">SUM(C5:C16)</f>
        <v>39837.75</v>
      </c>
      <c r="D17" s="36">
        <f>B17-C17</f>
        <v>530.6875</v>
      </c>
      <c r="E17" s="37">
        <f>IFERROR(D17/C17, 0)</f>
        <v>1.3321221705543109E-2</v>
      </c>
      <c r="F17" s="36">
        <f t="shared" si="4"/>
        <v>48161.71</v>
      </c>
      <c r="G17" s="36">
        <f>B17-F17</f>
        <v>-7793.2724999999991</v>
      </c>
      <c r="H17" s="38">
        <f>IFERROR(G17/F17, 0)</f>
        <v>-0.16181469677883115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27" priority="1" operator="lessThanOrEqual">
      <formula>-0.1</formula>
    </cfRule>
    <cfRule type="cellIs" dxfId="22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534A-0387-4B37-ACA9-0336F0350B4E}">
  <sheetPr codeName="Sheet28">
    <tabColor theme="7" tint="0.39997558519241921"/>
  </sheetPr>
  <dimension ref="A1:O20"/>
  <sheetViews>
    <sheetView zoomScale="90" zoomScaleNormal="90" workbookViewId="0">
      <selection activeCell="I28" sqref="I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6.25" customHeight="1">
      <c r="A1" s="142" t="s">
        <v>71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.75" customHeight="1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 ht="12.75" customHeight="1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94">
        <v>80417</v>
      </c>
      <c r="C5" s="94">
        <v>352340</v>
      </c>
      <c r="D5" s="95">
        <f>B5-C5</f>
        <v>-271923</v>
      </c>
      <c r="E5" s="96">
        <f t="shared" ref="E5:E16" si="0">IFERROR(D5/C5, 0)</f>
        <v>-0.77176306976216158</v>
      </c>
      <c r="F5" s="97">
        <v>479912</v>
      </c>
      <c r="G5" s="98">
        <f>B5-F5</f>
        <v>-399495</v>
      </c>
      <c r="H5" s="99">
        <f t="shared" ref="H5:H16" si="1">IFERROR(G5/F5, 0)</f>
        <v>-0.83243386287486043</v>
      </c>
      <c r="I5" s="106" t="s">
        <v>26</v>
      </c>
      <c r="J5" s="106" t="s">
        <v>27</v>
      </c>
      <c r="O5" s="4"/>
    </row>
    <row r="6" spans="1:15" ht="14.25">
      <c r="A6" s="21" t="s">
        <v>109</v>
      </c>
      <c r="B6" s="94"/>
      <c r="C6" s="94"/>
      <c r="D6" s="95">
        <f t="shared" ref="D6:D16" si="2">B6-C6</f>
        <v>0</v>
      </c>
      <c r="E6" s="101">
        <f t="shared" si="0"/>
        <v>0</v>
      </c>
      <c r="F6" s="102"/>
      <c r="G6" s="98">
        <f t="shared" ref="G6:G16" si="3">B6-F6</f>
        <v>0</v>
      </c>
      <c r="H6" s="99">
        <f t="shared" si="1"/>
        <v>0</v>
      </c>
      <c r="I6" s="100"/>
      <c r="J6" s="100" t="s">
        <v>35</v>
      </c>
    </row>
    <row r="7" spans="1:15" ht="14.25">
      <c r="A7" s="21" t="s">
        <v>110</v>
      </c>
      <c r="B7" s="94"/>
      <c r="C7" s="94"/>
      <c r="D7" s="95">
        <f t="shared" si="2"/>
        <v>0</v>
      </c>
      <c r="E7" s="101">
        <f t="shared" si="0"/>
        <v>0</v>
      </c>
      <c r="F7" s="103"/>
      <c r="G7" s="98">
        <f t="shared" si="3"/>
        <v>0</v>
      </c>
      <c r="H7" s="99">
        <f t="shared" si="1"/>
        <v>0</v>
      </c>
      <c r="I7" s="104"/>
      <c r="J7" s="104"/>
    </row>
    <row r="8" spans="1:15" ht="14.25">
      <c r="A8" s="21" t="s">
        <v>111</v>
      </c>
      <c r="B8" s="94"/>
      <c r="C8" s="94"/>
      <c r="D8" s="95">
        <f t="shared" si="2"/>
        <v>0</v>
      </c>
      <c r="E8" s="101">
        <f t="shared" si="0"/>
        <v>0</v>
      </c>
      <c r="F8" s="98"/>
      <c r="G8" s="98">
        <f t="shared" si="3"/>
        <v>0</v>
      </c>
      <c r="H8" s="99">
        <f t="shared" si="1"/>
        <v>0</v>
      </c>
      <c r="I8" s="100"/>
      <c r="J8" s="100"/>
    </row>
    <row r="9" spans="1:15" ht="14.25">
      <c r="A9" s="21" t="s">
        <v>112</v>
      </c>
      <c r="B9" s="94"/>
      <c r="C9" s="94"/>
      <c r="D9" s="95">
        <f t="shared" si="2"/>
        <v>0</v>
      </c>
      <c r="E9" s="101">
        <f t="shared" si="0"/>
        <v>0</v>
      </c>
      <c r="F9" s="98"/>
      <c r="G9" s="98">
        <f t="shared" si="3"/>
        <v>0</v>
      </c>
      <c r="H9" s="99">
        <f t="shared" si="1"/>
        <v>0</v>
      </c>
      <c r="I9" s="68"/>
      <c r="J9" s="68"/>
    </row>
    <row r="10" spans="1:15" ht="14.25">
      <c r="A10" s="21" t="s">
        <v>113</v>
      </c>
      <c r="B10" s="94"/>
      <c r="C10" s="94"/>
      <c r="D10" s="95">
        <f t="shared" si="2"/>
        <v>0</v>
      </c>
      <c r="E10" s="101">
        <f t="shared" si="0"/>
        <v>0</v>
      </c>
      <c r="F10" s="105"/>
      <c r="G10" s="98">
        <f t="shared" si="3"/>
        <v>0</v>
      </c>
      <c r="H10" s="99">
        <f t="shared" si="1"/>
        <v>0</v>
      </c>
      <c r="I10" s="100"/>
      <c r="J10" s="100"/>
    </row>
    <row r="11" spans="1:15" ht="14.25">
      <c r="A11" s="21" t="s">
        <v>114</v>
      </c>
      <c r="B11" s="94"/>
      <c r="C11" s="94"/>
      <c r="D11" s="95">
        <f t="shared" si="2"/>
        <v>0</v>
      </c>
      <c r="E11" s="101">
        <f t="shared" si="0"/>
        <v>0</v>
      </c>
      <c r="F11" s="102"/>
      <c r="G11" s="98">
        <f t="shared" si="3"/>
        <v>0</v>
      </c>
      <c r="H11" s="99">
        <f t="shared" si="1"/>
        <v>0</v>
      </c>
      <c r="I11" s="100"/>
      <c r="J11" s="100"/>
    </row>
    <row r="12" spans="1:15" ht="14.25">
      <c r="A12" s="21" t="s">
        <v>115</v>
      </c>
      <c r="B12" s="94"/>
      <c r="C12" s="94"/>
      <c r="D12" s="95">
        <f t="shared" si="2"/>
        <v>0</v>
      </c>
      <c r="E12" s="101">
        <f t="shared" si="0"/>
        <v>0</v>
      </c>
      <c r="F12" s="103"/>
      <c r="G12" s="98">
        <f t="shared" si="3"/>
        <v>0</v>
      </c>
      <c r="H12" s="99">
        <f t="shared" si="1"/>
        <v>0</v>
      </c>
      <c r="I12" s="106"/>
      <c r="J12" s="104"/>
    </row>
    <row r="13" spans="1:15" ht="14.25">
      <c r="A13" s="21" t="s">
        <v>116</v>
      </c>
      <c r="B13" s="94"/>
      <c r="C13" s="94"/>
      <c r="D13" s="95">
        <f t="shared" si="2"/>
        <v>0</v>
      </c>
      <c r="E13" s="101">
        <f t="shared" si="0"/>
        <v>0</v>
      </c>
      <c r="F13" s="98"/>
      <c r="G13" s="98">
        <f t="shared" si="3"/>
        <v>0</v>
      </c>
      <c r="H13" s="99">
        <f t="shared" si="1"/>
        <v>0</v>
      </c>
      <c r="I13" s="106"/>
      <c r="J13" s="100"/>
    </row>
    <row r="14" spans="1:15" ht="14.25">
      <c r="A14" s="21" t="s">
        <v>117</v>
      </c>
      <c r="B14" s="94"/>
      <c r="C14" s="94"/>
      <c r="D14" s="95">
        <f t="shared" si="2"/>
        <v>0</v>
      </c>
      <c r="E14" s="101">
        <f t="shared" si="0"/>
        <v>0</v>
      </c>
      <c r="F14" s="98"/>
      <c r="G14" s="98">
        <f t="shared" si="3"/>
        <v>0</v>
      </c>
      <c r="H14" s="99">
        <f t="shared" si="1"/>
        <v>0</v>
      </c>
      <c r="I14" s="68"/>
      <c r="J14" s="68"/>
    </row>
    <row r="15" spans="1:15" ht="14.25">
      <c r="A15" s="21" t="s">
        <v>118</v>
      </c>
      <c r="B15" s="94"/>
      <c r="C15" s="94"/>
      <c r="D15" s="95">
        <f t="shared" si="2"/>
        <v>0</v>
      </c>
      <c r="E15" s="101">
        <f t="shared" si="0"/>
        <v>0</v>
      </c>
      <c r="F15" s="105"/>
      <c r="G15" s="98">
        <f t="shared" si="3"/>
        <v>0</v>
      </c>
      <c r="H15" s="99">
        <f t="shared" si="1"/>
        <v>0</v>
      </c>
      <c r="I15" s="68"/>
      <c r="J15" s="68"/>
    </row>
    <row r="16" spans="1:15" ht="14.25">
      <c r="A16" s="29" t="s">
        <v>119</v>
      </c>
      <c r="B16" s="107"/>
      <c r="C16" s="107"/>
      <c r="D16" s="95">
        <f t="shared" si="2"/>
        <v>0</v>
      </c>
      <c r="E16" s="101">
        <f t="shared" si="0"/>
        <v>0</v>
      </c>
      <c r="F16" s="102"/>
      <c r="G16" s="98">
        <f t="shared" si="3"/>
        <v>0</v>
      </c>
      <c r="H16" s="99">
        <f t="shared" si="1"/>
        <v>0</v>
      </c>
      <c r="I16" s="68"/>
      <c r="J16" s="68"/>
    </row>
    <row r="17" spans="1:15" ht="15" customHeight="1">
      <c r="A17" s="35" t="s">
        <v>120</v>
      </c>
      <c r="B17" s="36">
        <f>SUM(B5:B16)</f>
        <v>80417</v>
      </c>
      <c r="C17" s="36">
        <f t="shared" ref="C17:F17" si="4">SUM(C5:C16)</f>
        <v>352340</v>
      </c>
      <c r="D17" s="36">
        <f>B17-C17</f>
        <v>-271923</v>
      </c>
      <c r="E17" s="37">
        <f>IFERROR(D17/C17, 0)</f>
        <v>-0.77176306976216158</v>
      </c>
      <c r="F17" s="36">
        <f t="shared" si="4"/>
        <v>479912</v>
      </c>
      <c r="G17" s="36">
        <f>B17-F17</f>
        <v>-399495</v>
      </c>
      <c r="H17" s="38">
        <f>IFERROR(G17/F17, 0)</f>
        <v>-0.83243386287486043</v>
      </c>
      <c r="I17" s="39"/>
      <c r="J17" s="39"/>
    </row>
    <row r="18" spans="1:15">
      <c r="F18" s="11"/>
    </row>
    <row r="20" spans="1:15" ht="12.7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6 H5:H16">
    <cfRule type="cellIs" dxfId="211" priority="1" operator="lessThanOrEqual">
      <formula>-0.1</formula>
    </cfRule>
    <cfRule type="cellIs" dxfId="210" priority="2" operator="greaterThanOrEqual">
      <formula>0.1</formula>
    </cfRule>
  </conditionalFormatting>
  <conditionalFormatting sqref="E17 H17">
    <cfRule type="cellIs" dxfId="209" priority="3" operator="lessThanOrEqual">
      <formula>-0.1</formula>
    </cfRule>
    <cfRule type="cellIs" dxfId="208" priority="4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zoomScale="90" zoomScaleNormal="90" workbookViewId="0">
      <selection activeCell="I35" sqref="I3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8.28515625" bestFit="1" customWidth="1"/>
    <col min="10" max="10" width="18.5703125" bestFit="1" customWidth="1"/>
  </cols>
  <sheetData>
    <row r="1" spans="1:15" ht="25.15">
      <c r="A1" s="142" t="s">
        <v>74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6">
        <v>106968</v>
      </c>
      <c r="C5" s="15">
        <v>0</v>
      </c>
      <c r="D5" s="16">
        <f>B5-C5</f>
        <v>106968</v>
      </c>
      <c r="E5" s="17">
        <f t="shared" ref="E5:E16" si="0">IFERROR(D5/C5, 0)</f>
        <v>0</v>
      </c>
      <c r="F5" s="82">
        <v>352931.5</v>
      </c>
      <c r="G5" s="19">
        <f>B5-F5</f>
        <v>-245963.5</v>
      </c>
      <c r="H5" s="20">
        <f t="shared" ref="H5:H16" si="1">IFERROR(G5/F5, 0)</f>
        <v>-0.69691569043851287</v>
      </c>
      <c r="I5" s="78" t="s">
        <v>28</v>
      </c>
      <c r="J5" s="80" t="s">
        <v>29</v>
      </c>
      <c r="O5" s="4"/>
    </row>
    <row r="6" spans="1:15" ht="14.25">
      <c r="A6" s="21" t="s">
        <v>109</v>
      </c>
      <c r="B6" s="16"/>
      <c r="C6" s="15"/>
      <c r="D6" s="16">
        <f t="shared" ref="D6:D16" si="2">B6-C6</f>
        <v>0</v>
      </c>
      <c r="E6" s="22">
        <f t="shared" si="0"/>
        <v>0</v>
      </c>
      <c r="F6" s="83"/>
      <c r="G6" s="19">
        <f t="shared" ref="G6:G16" si="3">B6-F6</f>
        <v>0</v>
      </c>
      <c r="H6" s="20">
        <f t="shared" si="1"/>
        <v>0</v>
      </c>
      <c r="I6" s="71"/>
      <c r="J6" s="72"/>
    </row>
    <row r="7" spans="1:15" ht="14.25">
      <c r="A7" s="21" t="s">
        <v>110</v>
      </c>
      <c r="B7" s="16"/>
      <c r="C7" s="15"/>
      <c r="D7" s="16">
        <f t="shared" si="2"/>
        <v>0</v>
      </c>
      <c r="E7" s="22">
        <f t="shared" si="0"/>
        <v>0</v>
      </c>
      <c r="F7" s="84"/>
      <c r="G7" s="19">
        <f t="shared" si="3"/>
        <v>0</v>
      </c>
      <c r="H7" s="20">
        <f t="shared" si="1"/>
        <v>0</v>
      </c>
      <c r="I7" s="73"/>
      <c r="J7" s="74"/>
    </row>
    <row r="8" spans="1:15" ht="14.25">
      <c r="A8" s="21" t="s">
        <v>111</v>
      </c>
      <c r="B8" s="16"/>
      <c r="C8" s="15"/>
      <c r="D8" s="16">
        <f t="shared" si="2"/>
        <v>0</v>
      </c>
      <c r="E8" s="22">
        <f t="shared" si="0"/>
        <v>0</v>
      </c>
      <c r="F8" s="82"/>
      <c r="G8" s="19">
        <f t="shared" si="3"/>
        <v>0</v>
      </c>
      <c r="H8" s="20">
        <f t="shared" si="1"/>
        <v>0</v>
      </c>
      <c r="I8" s="70"/>
      <c r="J8" s="79"/>
    </row>
    <row r="9" spans="1:15" ht="14.25">
      <c r="A9" s="21" t="s">
        <v>112</v>
      </c>
      <c r="B9" s="16"/>
      <c r="C9" s="15"/>
      <c r="D9" s="16">
        <f t="shared" si="2"/>
        <v>0</v>
      </c>
      <c r="E9" s="22">
        <f t="shared" si="0"/>
        <v>0</v>
      </c>
      <c r="F9" s="82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5"/>
      <c r="D10" s="16">
        <f t="shared" si="2"/>
        <v>0</v>
      </c>
      <c r="E10" s="22">
        <f t="shared" si="0"/>
        <v>0</v>
      </c>
      <c r="F10" s="82"/>
      <c r="G10" s="19">
        <f t="shared" si="3"/>
        <v>0</v>
      </c>
      <c r="H10" s="20">
        <f t="shared" si="1"/>
        <v>0</v>
      </c>
      <c r="I10" s="68"/>
      <c r="J10" s="68"/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83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82"/>
      <c r="G12" s="19">
        <f t="shared" si="3"/>
        <v>0</v>
      </c>
      <c r="H12" s="20">
        <f t="shared" si="1"/>
        <v>0</v>
      </c>
      <c r="I12" s="25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16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6"/>
      <c r="J15" s="26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89"/>
      <c r="J16" s="89"/>
    </row>
    <row r="17" spans="1:15" ht="14.25">
      <c r="A17" s="35" t="s">
        <v>120</v>
      </c>
      <c r="B17" s="36">
        <f>SUM(B5:B16)</f>
        <v>106968</v>
      </c>
      <c r="C17" s="36">
        <f t="shared" ref="C17:F17" si="4">SUM(C5:C16)</f>
        <v>0</v>
      </c>
      <c r="D17" s="36">
        <f>B17-C17</f>
        <v>106968</v>
      </c>
      <c r="E17" s="37">
        <f>IFERROR(D17/C17, 0)</f>
        <v>0</v>
      </c>
      <c r="F17" s="36">
        <f t="shared" si="4"/>
        <v>352931.5</v>
      </c>
      <c r="G17" s="36">
        <f>B17-F17</f>
        <v>-245963.5</v>
      </c>
      <c r="H17" s="38">
        <f>IFERROR(G17/F17, 0)</f>
        <v>-0.69691569043851287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93" priority="2" operator="lessThanOrEqual">
      <formula>-0.1</formula>
    </cfRule>
    <cfRule type="cellIs" dxfId="192" priority="3" operator="greaterThan">
      <formula>0.1</formula>
    </cfRule>
  </conditionalFormatting>
  <conditionalFormatting sqref="I7:J7">
    <cfRule type="cellIs" dxfId="191" priority="1" operator="lessThan">
      <formula>0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0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3.140625" bestFit="1" customWidth="1"/>
    <col min="10" max="10" width="18.5703125" bestFit="1" customWidth="1"/>
  </cols>
  <sheetData>
    <row r="1" spans="1:15" ht="25.15">
      <c r="A1" s="142" t="s">
        <v>78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 ht="13.15" thickBot="1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6">
        <v>11889</v>
      </c>
      <c r="C5" s="16">
        <v>21739.23</v>
      </c>
      <c r="D5" s="16">
        <f>B5-C5</f>
        <v>-9850.23</v>
      </c>
      <c r="E5" s="17">
        <f t="shared" ref="E5:E16" si="0">IFERROR(D5/C5, 0)</f>
        <v>-0.45310850476304815</v>
      </c>
      <c r="F5" s="84">
        <v>32151.25</v>
      </c>
      <c r="G5" s="19">
        <f>B5-F5</f>
        <v>-20262.25</v>
      </c>
      <c r="H5" s="20">
        <f t="shared" ref="H5:H16" si="1">IFERROR(G5/F5, 0)</f>
        <v>-0.63021655456630765</v>
      </c>
      <c r="I5" s="25" t="s">
        <v>30</v>
      </c>
      <c r="J5" s="25" t="s">
        <v>31</v>
      </c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85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84"/>
      <c r="G7" s="19">
        <f t="shared" si="3"/>
        <v>0</v>
      </c>
      <c r="H7" s="20">
        <f t="shared" si="1"/>
        <v>0</v>
      </c>
      <c r="I7" s="76"/>
      <c r="J7" s="77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84"/>
      <c r="G8" s="19">
        <f t="shared" si="3"/>
        <v>0</v>
      </c>
      <c r="H8" s="20">
        <f t="shared" si="1"/>
        <v>0</v>
      </c>
      <c r="I8" s="25"/>
      <c r="J8" s="25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84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84"/>
      <c r="G10" s="19">
        <f t="shared" si="3"/>
        <v>0</v>
      </c>
      <c r="H10" s="20">
        <f t="shared" si="1"/>
        <v>0</v>
      </c>
      <c r="I10" s="25"/>
      <c r="J10" s="25"/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85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84"/>
      <c r="G12" s="19">
        <f t="shared" si="3"/>
        <v>0</v>
      </c>
      <c r="H12" s="20">
        <f t="shared" si="1"/>
        <v>0</v>
      </c>
      <c r="I12" s="25"/>
      <c r="J12" s="25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5"/>
      <c r="J13" s="25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5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5"/>
      <c r="J15" s="25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25"/>
      <c r="J16" s="25"/>
    </row>
    <row r="17" spans="1:15" ht="14.25">
      <c r="A17" s="35" t="s">
        <v>120</v>
      </c>
      <c r="B17" s="36">
        <f>SUM(B5:B16)</f>
        <v>11889</v>
      </c>
      <c r="C17" s="36">
        <f t="shared" ref="C17:F17" si="4">SUM(C5:C16)</f>
        <v>21739.23</v>
      </c>
      <c r="D17" s="36">
        <f>B17-C17</f>
        <v>-9850.23</v>
      </c>
      <c r="E17" s="37">
        <f>IFERROR(D17/C17, 0)</f>
        <v>-0.45310850476304815</v>
      </c>
      <c r="F17" s="36">
        <f t="shared" si="4"/>
        <v>32151.25</v>
      </c>
      <c r="G17" s="36">
        <f>B17-F17</f>
        <v>-20262.25</v>
      </c>
      <c r="H17" s="38">
        <f>IFERROR(G17/F17, 0)</f>
        <v>-0.63021655456630765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76" priority="2" operator="lessThanOrEqual">
      <formula>-0.1</formula>
    </cfRule>
    <cfRule type="cellIs" dxfId="175" priority="3" operator="greaterThan">
      <formula>0.1</formula>
    </cfRule>
  </conditionalFormatting>
  <conditionalFormatting sqref="I7:J7">
    <cfRule type="cellIs" dxfId="174" priority="1" operator="lessThan">
      <formula>0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E75-1EC8-4BDA-8175-FAF2B4D842B8}">
  <sheetPr codeName="Sheet22">
    <tabColor rgb="FFFFFF00"/>
  </sheetPr>
  <dimension ref="A1:O20"/>
  <sheetViews>
    <sheetView workbookViewId="0">
      <selection activeCell="E32" sqref="E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4" customWidth="1"/>
    <col min="10" max="10" width="18.5703125" bestFit="1" customWidth="1"/>
  </cols>
  <sheetData>
    <row r="1" spans="1:15" ht="25.15">
      <c r="A1" s="142" t="s">
        <v>80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6">
        <v>5780.1686557785097</v>
      </c>
      <c r="C5" s="16">
        <v>7080.0609999999997</v>
      </c>
      <c r="D5" s="16">
        <f>B5-C5</f>
        <v>-1299.89234422149</v>
      </c>
      <c r="E5" s="17">
        <f t="shared" ref="E5:E16" si="0">IFERROR(D5/C5, 0)</f>
        <v>-0.18359903173454156</v>
      </c>
      <c r="F5" s="19">
        <v>8785.3289999999997</v>
      </c>
      <c r="G5" s="19">
        <f>B5-F5</f>
        <v>-3005.16034422149</v>
      </c>
      <c r="H5" s="20">
        <f t="shared" ref="H5:H16" si="1">IFERROR(G5/F5, 0)</f>
        <v>-0.34206577172254904</v>
      </c>
      <c r="I5" s="25"/>
      <c r="J5" s="25"/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25"/>
      <c r="J8" s="25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19"/>
      <c r="G10" s="19">
        <f t="shared" si="3"/>
        <v>0</v>
      </c>
      <c r="H10" s="20">
        <f t="shared" si="1"/>
        <v>0</v>
      </c>
      <c r="I10" s="25"/>
      <c r="J10" s="25"/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5"/>
      <c r="J15" s="26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7"/>
      <c r="J16" s="26"/>
    </row>
    <row r="17" spans="1:15" ht="14.25">
      <c r="A17" s="35" t="s">
        <v>120</v>
      </c>
      <c r="B17" s="36">
        <f>SUM(B5:B16)</f>
        <v>5780.1686557785097</v>
      </c>
      <c r="C17" s="36">
        <f t="shared" ref="C17:F17" si="4">SUM(C5:C16)</f>
        <v>7080.0609999999997</v>
      </c>
      <c r="D17" s="36">
        <f>B17-C17</f>
        <v>-1299.89234422149</v>
      </c>
      <c r="E17" s="37">
        <f>IFERROR(D17/C17, 0)</f>
        <v>-0.18359903173454156</v>
      </c>
      <c r="F17" s="36">
        <f t="shared" si="4"/>
        <v>8785.3289999999997</v>
      </c>
      <c r="G17" s="36">
        <f>B17-F17</f>
        <v>-3005.16034422149</v>
      </c>
      <c r="H17" s="38">
        <f>IFERROR(G17/F17, 0)</f>
        <v>-0.34206577172254904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59" priority="1" operator="lessThanOrEqual">
      <formula>-0.1</formula>
    </cfRule>
    <cfRule type="cellIs" dxfId="15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948-5DBB-4934-87C3-6A89FE70D843}">
  <sheetPr codeName="Sheet23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9.140625" customWidth="1"/>
    <col min="10" max="10" width="18.7109375" customWidth="1"/>
  </cols>
  <sheetData>
    <row r="1" spans="1:15" ht="25.15">
      <c r="A1" s="142" t="s">
        <v>82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 ht="13.15" thickBot="1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5">
        <v>4426.7571265835404</v>
      </c>
      <c r="C5" s="66">
        <v>5459.4780000000001</v>
      </c>
      <c r="D5" s="16">
        <f>B5-C5</f>
        <v>-1032.7208734164597</v>
      </c>
      <c r="E5" s="17">
        <f t="shared" ref="E5:E16" si="0">IFERROR(D5/C5, 0)</f>
        <v>-0.18916110174204559</v>
      </c>
      <c r="F5" s="18">
        <v>6769.56</v>
      </c>
      <c r="G5" s="19">
        <f>B5-F5</f>
        <v>-2342.80287341646</v>
      </c>
      <c r="H5" s="20">
        <f t="shared" ref="H5:H16" si="1">IFERROR(G5/F5, 0)</f>
        <v>-0.34607904700105468</v>
      </c>
      <c r="I5" s="25"/>
      <c r="J5" s="25"/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25"/>
      <c r="J8" s="25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19"/>
      <c r="G10" s="19">
        <f t="shared" si="3"/>
        <v>0</v>
      </c>
      <c r="H10" s="20">
        <f t="shared" si="1"/>
        <v>0</v>
      </c>
      <c r="I10" s="25"/>
      <c r="J10" s="25"/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6"/>
      <c r="J15" s="26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7"/>
      <c r="J16" s="67"/>
    </row>
    <row r="17" spans="1:15" ht="14.25">
      <c r="A17" s="35" t="s">
        <v>120</v>
      </c>
      <c r="B17" s="36">
        <f>SUM(B5:B16)</f>
        <v>4426.7571265835404</v>
      </c>
      <c r="C17" s="36">
        <f t="shared" ref="C17:F17" si="4">SUM(C5:C16)</f>
        <v>5459.4780000000001</v>
      </c>
      <c r="D17" s="36">
        <f>B17-C17</f>
        <v>-1032.7208734164597</v>
      </c>
      <c r="E17" s="37">
        <f>IFERROR(D17/C17, 0)</f>
        <v>-0.18916110174204559</v>
      </c>
      <c r="F17" s="36">
        <f t="shared" si="4"/>
        <v>6769.56</v>
      </c>
      <c r="G17" s="36">
        <f>B17-F17</f>
        <v>-2342.80287341646</v>
      </c>
      <c r="H17" s="38">
        <f>IFERROR(G17/F17, 0)</f>
        <v>-0.34607904700105468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43" priority="1" operator="lessThanOrEqual">
      <formula>-0.1</formula>
    </cfRule>
    <cfRule type="cellIs" dxfId="14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91FA-534A-4F59-A9AE-A70764A2D848}">
  <sheetPr codeName="Sheet24">
    <tabColor theme="4" tint="0.39997558519241921"/>
  </sheetPr>
  <dimension ref="A1:O20"/>
  <sheetViews>
    <sheetView workbookViewId="0">
      <selection activeCell="I25" sqref="I2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2.85546875" bestFit="1" customWidth="1"/>
    <col min="10" max="10" width="18.5703125" bestFit="1" customWidth="1"/>
  </cols>
  <sheetData>
    <row r="1" spans="1:15" ht="25.15">
      <c r="A1" s="142" t="s">
        <v>84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5">
        <v>5693.0625</v>
      </c>
      <c r="C5" s="81">
        <v>9025.6859999999997</v>
      </c>
      <c r="D5" s="16">
        <f>B5-C5</f>
        <v>-3332.6234999999997</v>
      </c>
      <c r="E5" s="17">
        <f t="shared" ref="E5:E16" si="0">IFERROR(D5/C5, 0)</f>
        <v>-0.36923769561670988</v>
      </c>
      <c r="F5" s="18">
        <v>10708.14</v>
      </c>
      <c r="G5" s="19">
        <f>B5-F5</f>
        <v>-5015.0774999999994</v>
      </c>
      <c r="H5" s="20">
        <f t="shared" ref="H5:H16" si="1">IFERROR(G5/F5, 0)</f>
        <v>-0.46834254128167913</v>
      </c>
      <c r="I5" s="25"/>
      <c r="J5" s="25"/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25"/>
      <c r="J8" s="25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19"/>
      <c r="G10" s="19">
        <f t="shared" si="3"/>
        <v>0</v>
      </c>
      <c r="H10" s="20">
        <f t="shared" si="1"/>
        <v>0</v>
      </c>
      <c r="I10" s="25"/>
      <c r="J10" s="25"/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6"/>
      <c r="J15" s="26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7"/>
      <c r="J16" s="67"/>
    </row>
    <row r="17" spans="1:15" ht="14.25">
      <c r="A17" s="35" t="s">
        <v>120</v>
      </c>
      <c r="B17" s="36">
        <f>SUM(B5:B16)</f>
        <v>5693.0625</v>
      </c>
      <c r="C17" s="36">
        <f t="shared" ref="C17:F17" si="4">SUM(C5:C16)</f>
        <v>9025.6859999999997</v>
      </c>
      <c r="D17" s="36">
        <f>B17-C17</f>
        <v>-3332.6234999999997</v>
      </c>
      <c r="E17" s="37">
        <f>IFERROR(D17/C17, 0)</f>
        <v>-0.36923769561670988</v>
      </c>
      <c r="F17" s="36">
        <f t="shared" si="4"/>
        <v>10708.14</v>
      </c>
      <c r="G17" s="36">
        <f>B17-F17</f>
        <v>-5015.0774999999994</v>
      </c>
      <c r="H17" s="38">
        <f>IFERROR(G17/F17, 0)</f>
        <v>-0.46834254128167913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27" priority="1" operator="lessThanOrEqual">
      <formula>-0.1</formula>
    </cfRule>
    <cfRule type="cellIs" dxfId="12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A71-5E79-4031-8921-6A4F1831EF88}">
  <sheetPr codeName="Sheet25">
    <tabColor theme="4" tint="0.39997558519241921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35.7109375" customWidth="1"/>
    <col min="10" max="10" width="29.28515625" customWidth="1"/>
  </cols>
  <sheetData>
    <row r="1" spans="1:15" ht="25.15">
      <c r="A1" s="142" t="s">
        <v>87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5">
        <v>12897.375</v>
      </c>
      <c r="C5" s="66">
        <v>21330.59</v>
      </c>
      <c r="D5" s="16">
        <f>B5-C5</f>
        <v>-8433.2150000000001</v>
      </c>
      <c r="E5" s="17">
        <f t="shared" ref="E5:E16" si="0">IFERROR(D5/C5, 0)</f>
        <v>-0.39535779366627927</v>
      </c>
      <c r="F5" s="18">
        <v>23412.400000000001</v>
      </c>
      <c r="G5" s="19">
        <f>B5-F5</f>
        <v>-10515.025000000001</v>
      </c>
      <c r="H5" s="20">
        <f t="shared" ref="H5:H16" si="1">IFERROR(G5/F5, 0)</f>
        <v>-0.44912204643693088</v>
      </c>
      <c r="I5" s="25"/>
      <c r="J5" s="25"/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25"/>
      <c r="J7" s="25"/>
    </row>
    <row r="8" spans="1:15" ht="222" customHeight="1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9"/>
      <c r="J8" s="69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19"/>
      <c r="G10" s="19">
        <f t="shared" si="3"/>
        <v>0</v>
      </c>
      <c r="H10" s="20">
        <f t="shared" si="1"/>
        <v>0</v>
      </c>
      <c r="I10" s="25"/>
      <c r="J10" s="25"/>
      <c r="N10" s="75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6"/>
      <c r="J15" s="26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7"/>
      <c r="J16" s="67" t="s">
        <v>35</v>
      </c>
    </row>
    <row r="17" spans="1:15" ht="14.25">
      <c r="A17" s="35" t="s">
        <v>120</v>
      </c>
      <c r="B17" s="36">
        <f>SUM(B5:B16)</f>
        <v>12897.375</v>
      </c>
      <c r="C17" s="36">
        <f t="shared" ref="C17:F17" si="4">SUM(C5:C16)</f>
        <v>21330.59</v>
      </c>
      <c r="D17" s="36">
        <f>B17-C17</f>
        <v>-8433.2150000000001</v>
      </c>
      <c r="E17" s="37">
        <f>IFERROR(D17/C17, 0)</f>
        <v>-0.39535779366627927</v>
      </c>
      <c r="F17" s="36">
        <f t="shared" si="4"/>
        <v>23412.400000000001</v>
      </c>
      <c r="G17" s="36">
        <f>B17-F17</f>
        <v>-10515.025000000001</v>
      </c>
      <c r="H17" s="38">
        <f>IFERROR(G17/F17, 0)</f>
        <v>-0.44912204643693088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11" priority="1" operator="lessThanOrEqual">
      <formula>-0.1</formula>
    </cfRule>
    <cfRule type="cellIs" dxfId="11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41E8-48BC-476B-9EAE-DF1671B7B7EB}">
  <sheetPr codeName="Sheet29">
    <tabColor theme="4" tint="0.39997558519241921"/>
  </sheetPr>
  <dimension ref="A1:O20"/>
  <sheetViews>
    <sheetView workbookViewId="0">
      <selection activeCell="I12" sqref="I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2.85546875" customWidth="1"/>
    <col min="10" max="10" width="37.5703125" customWidth="1"/>
  </cols>
  <sheetData>
    <row r="1" spans="1:15" ht="25.15">
      <c r="A1" s="142" t="s">
        <v>89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42.75">
      <c r="A5" s="14" t="s">
        <v>108</v>
      </c>
      <c r="B5" s="15">
        <v>99935</v>
      </c>
      <c r="C5" s="66">
        <v>131383.59999999998</v>
      </c>
      <c r="D5" s="16">
        <f>B5-C5</f>
        <v>-31448.599999999977</v>
      </c>
      <c r="E5" s="17">
        <f t="shared" ref="E5:E16" si="0">IFERROR(D5/C5, 0)</f>
        <v>-0.23936473045342024</v>
      </c>
      <c r="F5" s="18">
        <v>286492</v>
      </c>
      <c r="G5" s="19">
        <f>B5-F5</f>
        <v>-186557</v>
      </c>
      <c r="H5" s="20">
        <f t="shared" ref="H5:H16" si="1">IFERROR(G5/F5, 0)</f>
        <v>-0.65117699621629921</v>
      </c>
      <c r="I5" s="25" t="s">
        <v>33</v>
      </c>
      <c r="J5" s="25" t="s">
        <v>34</v>
      </c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9"/>
      <c r="J8" s="69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19"/>
      <c r="G10" s="19">
        <f t="shared" si="3"/>
        <v>0</v>
      </c>
      <c r="H10" s="20">
        <f t="shared" si="1"/>
        <v>0</v>
      </c>
      <c r="I10" s="25"/>
      <c r="J10" s="25"/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5"/>
      <c r="J15" s="25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89"/>
      <c r="J16" s="89"/>
    </row>
    <row r="17" spans="1:15" ht="14.25">
      <c r="A17" s="35" t="s">
        <v>120</v>
      </c>
      <c r="B17" s="36">
        <f>SUM(B5:B16)</f>
        <v>99935</v>
      </c>
      <c r="C17" s="36">
        <f t="shared" ref="C17:F17" si="4">SUM(C5:C16)</f>
        <v>131383.59999999998</v>
      </c>
      <c r="D17" s="36">
        <f>B17-C17</f>
        <v>-31448.599999999977</v>
      </c>
      <c r="E17" s="37">
        <f>IFERROR(D17/C17, 0)</f>
        <v>-0.23936473045342024</v>
      </c>
      <c r="F17" s="36">
        <f t="shared" si="4"/>
        <v>286492</v>
      </c>
      <c r="G17" s="36">
        <f>B17-F17</f>
        <v>-186557</v>
      </c>
      <c r="H17" s="38">
        <f>IFERROR(G17/F17, 0)</f>
        <v>-0.65117699621629921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95" priority="1" operator="lessThanOrEqual">
      <formula>-0.1</formula>
    </cfRule>
    <cfRule type="cellIs" dxfId="9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3C2A-F9D9-4C81-804A-90B06B496C4A}">
  <sheetPr codeName="Sheet30">
    <tabColor theme="4" tint="0.39997558519241921"/>
  </sheetPr>
  <dimension ref="A1:O20"/>
  <sheetViews>
    <sheetView workbookViewId="0">
      <selection activeCell="J22" sqref="J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10" width="29.28515625" customWidth="1"/>
  </cols>
  <sheetData>
    <row r="1" spans="1:15" ht="25.15">
      <c r="A1" s="142" t="s">
        <v>90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5"/>
      <c r="C5" s="66"/>
      <c r="D5" s="16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25"/>
      <c r="J5" s="25"/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9"/>
      <c r="J8" s="69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19"/>
      <c r="G10" s="19">
        <f t="shared" si="3"/>
        <v>0</v>
      </c>
      <c r="H10" s="20">
        <f t="shared" si="1"/>
        <v>0</v>
      </c>
      <c r="I10" s="25"/>
      <c r="J10" s="25" t="s">
        <v>35</v>
      </c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25"/>
      <c r="J11" s="25" t="s">
        <v>35</v>
      </c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6"/>
      <c r="J15" s="26" t="s">
        <v>35</v>
      </c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7"/>
      <c r="J16" s="67" t="s">
        <v>35</v>
      </c>
    </row>
    <row r="17" spans="1:15" ht="14.25">
      <c r="A17" s="35" t="s">
        <v>120</v>
      </c>
      <c r="B17" s="36">
        <f>SUM(B5:B16)</f>
        <v>0</v>
      </c>
      <c r="C17" s="36">
        <f t="shared" ref="C17:F17" si="4">SUM(C5:C16)</f>
        <v>0</v>
      </c>
      <c r="D17" s="36">
        <f>B17-C17</f>
        <v>0</v>
      </c>
      <c r="E17" s="37">
        <f>IFERROR(D17/C17, 0)</f>
        <v>0</v>
      </c>
      <c r="F17" s="36">
        <f t="shared" si="4"/>
        <v>0</v>
      </c>
      <c r="G17" s="36">
        <f>B17-F17</f>
        <v>0</v>
      </c>
      <c r="H17" s="38">
        <f>IFERROR(G17/F17, 0)</f>
        <v>0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79" priority="1" operator="lessThanOrEqual">
      <formula>-0.1</formula>
    </cfRule>
    <cfRule type="cellIs" dxfId="7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136A-EBAF-452B-860F-659A830879D3}">
  <sheetPr codeName="Sheet31">
    <tabColor theme="4" tint="0.39997558519241921"/>
  </sheetPr>
  <dimension ref="A1:O20"/>
  <sheetViews>
    <sheetView workbookViewId="0">
      <selection activeCell="S19" sqref="S1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10" width="29.28515625" customWidth="1"/>
  </cols>
  <sheetData>
    <row r="1" spans="1:15" ht="25.15">
      <c r="A1" s="142" t="s">
        <v>91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5"/>
      <c r="C5" s="66"/>
      <c r="D5" s="16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25"/>
      <c r="J5" s="25"/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9"/>
      <c r="J8" s="69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19"/>
      <c r="G10" s="19">
        <f t="shared" si="3"/>
        <v>0</v>
      </c>
      <c r="H10" s="20">
        <f t="shared" si="1"/>
        <v>0</v>
      </c>
      <c r="I10" s="25"/>
      <c r="J10" s="25" t="s">
        <v>35</v>
      </c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25"/>
      <c r="J11" s="25" t="s">
        <v>35</v>
      </c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6"/>
      <c r="J13" s="26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6"/>
      <c r="J15" s="26" t="s">
        <v>35</v>
      </c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7"/>
      <c r="J16" s="67" t="s">
        <v>35</v>
      </c>
    </row>
    <row r="17" spans="1:15" ht="14.25">
      <c r="A17" s="35" t="s">
        <v>120</v>
      </c>
      <c r="B17" s="36">
        <f>SUM(B5:B16)</f>
        <v>0</v>
      </c>
      <c r="C17" s="36">
        <f t="shared" ref="C17:F17" si="4">SUM(C5:C16)</f>
        <v>0</v>
      </c>
      <c r="D17" s="36">
        <f>B17-C17</f>
        <v>0</v>
      </c>
      <c r="E17" s="37">
        <f>IFERROR(D17/C17, 0)</f>
        <v>0</v>
      </c>
      <c r="F17" s="36">
        <f t="shared" si="4"/>
        <v>0</v>
      </c>
      <c r="G17" s="36">
        <f>B17-F17</f>
        <v>0</v>
      </c>
      <c r="H17" s="38">
        <f>IFERROR(G17/F17, 0)</f>
        <v>0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63" priority="1" operator="lessThanOrEqual">
      <formula>-0.1</formula>
    </cfRule>
    <cfRule type="cellIs" dxfId="6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34CD-5738-4722-81F7-9198A1E3465D}">
  <sheetPr codeName="Sheet32">
    <tabColor rgb="FFFFC000"/>
  </sheetPr>
  <dimension ref="A1:O20"/>
  <sheetViews>
    <sheetView workbookViewId="0">
      <selection activeCell="C5" sqref="C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4.85546875" customWidth="1"/>
    <col min="10" max="10" width="29.28515625" customWidth="1"/>
  </cols>
  <sheetData>
    <row r="1" spans="1:15" ht="25.15">
      <c r="A1" s="142" t="s">
        <v>93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5" thickBot="1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 ht="13.15" thickBot="1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5">
        <v>66219.87890625</v>
      </c>
      <c r="C5" s="120">
        <v>65950.86</v>
      </c>
      <c r="D5" s="16">
        <f t="shared" ref="D5:D17" si="0">B5-C5</f>
        <v>269.01890624999942</v>
      </c>
      <c r="E5" s="17">
        <f t="shared" ref="E5:E17" si="1">IFERROR(D5/C5, 0)</f>
        <v>4.0790810953791872E-3</v>
      </c>
      <c r="F5" s="18">
        <v>75151.27</v>
      </c>
      <c r="G5" s="19">
        <f t="shared" ref="G5:G17" si="2">B5-F5</f>
        <v>-8931.3910937500041</v>
      </c>
      <c r="H5" s="20">
        <f t="shared" ref="H5:H17" si="3">IFERROR(G5/F5, 0)</f>
        <v>-0.11884551111045766</v>
      </c>
      <c r="I5" s="25"/>
      <c r="J5" s="25"/>
      <c r="O5" s="4"/>
    </row>
    <row r="6" spans="1:15" ht="14.25">
      <c r="A6" s="21" t="s">
        <v>109</v>
      </c>
      <c r="B6" s="16"/>
      <c r="C6" s="16"/>
      <c r="D6" s="16">
        <f t="shared" si="0"/>
        <v>0</v>
      </c>
      <c r="E6" s="22">
        <f t="shared" si="1"/>
        <v>0</v>
      </c>
      <c r="F6" s="23"/>
      <c r="G6" s="19">
        <f t="shared" si="2"/>
        <v>0</v>
      </c>
      <c r="H6" s="20">
        <f t="shared" si="3"/>
        <v>0</v>
      </c>
      <c r="I6" s="25"/>
      <c r="J6" s="25"/>
    </row>
    <row r="7" spans="1:15" ht="14.25">
      <c r="A7" s="21" t="s">
        <v>110</v>
      </c>
      <c r="B7" s="16"/>
      <c r="C7" s="16"/>
      <c r="D7" s="16">
        <f t="shared" si="0"/>
        <v>0</v>
      </c>
      <c r="E7" s="22">
        <f t="shared" si="1"/>
        <v>0</v>
      </c>
      <c r="F7" s="24"/>
      <c r="G7" s="19">
        <f t="shared" si="2"/>
        <v>0</v>
      </c>
      <c r="H7" s="20">
        <f t="shared" si="3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0"/>
        <v>0</v>
      </c>
      <c r="E8" s="22">
        <f t="shared" si="1"/>
        <v>0</v>
      </c>
      <c r="F8" s="19"/>
      <c r="G8" s="19">
        <f t="shared" si="2"/>
        <v>0</v>
      </c>
      <c r="H8" s="20">
        <f t="shared" si="3"/>
        <v>0</v>
      </c>
      <c r="I8" s="69"/>
      <c r="J8" s="69"/>
    </row>
    <row r="9" spans="1:15" ht="14.25">
      <c r="A9" s="21" t="s">
        <v>112</v>
      </c>
      <c r="B9" s="16"/>
      <c r="C9" s="16"/>
      <c r="D9" s="16">
        <f t="shared" si="0"/>
        <v>0</v>
      </c>
      <c r="E9" s="22">
        <f t="shared" si="1"/>
        <v>0</v>
      </c>
      <c r="F9" s="19"/>
      <c r="G9" s="19">
        <f t="shared" si="2"/>
        <v>0</v>
      </c>
      <c r="H9" s="20">
        <f t="shared" si="3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0"/>
        <v>0</v>
      </c>
      <c r="E10" s="22">
        <f t="shared" si="1"/>
        <v>0</v>
      </c>
      <c r="F10" s="19"/>
      <c r="G10" s="19">
        <f t="shared" si="2"/>
        <v>0</v>
      </c>
      <c r="H10" s="20">
        <f t="shared" si="3"/>
        <v>0</v>
      </c>
      <c r="I10" s="25"/>
      <c r="J10" s="25" t="s">
        <v>35</v>
      </c>
      <c r="N10" s="88"/>
    </row>
    <row r="11" spans="1:15" ht="14.25">
      <c r="A11" s="21" t="s">
        <v>114</v>
      </c>
      <c r="B11" s="16"/>
      <c r="C11" s="16"/>
      <c r="D11" s="16">
        <f t="shared" si="0"/>
        <v>0</v>
      </c>
      <c r="E11" s="22">
        <f t="shared" si="1"/>
        <v>0</v>
      </c>
      <c r="F11" s="23"/>
      <c r="G11" s="19">
        <f t="shared" si="2"/>
        <v>0</v>
      </c>
      <c r="H11" s="20">
        <f t="shared" si="3"/>
        <v>0</v>
      </c>
      <c r="I11" s="25"/>
      <c r="J11" s="25" t="s">
        <v>35</v>
      </c>
    </row>
    <row r="12" spans="1:15" ht="14.25">
      <c r="A12" s="21" t="s">
        <v>115</v>
      </c>
      <c r="B12" s="16"/>
      <c r="C12" s="16"/>
      <c r="D12" s="16">
        <f t="shared" si="0"/>
        <v>0</v>
      </c>
      <c r="E12" s="22">
        <f t="shared" si="1"/>
        <v>0</v>
      </c>
      <c r="F12" s="24"/>
      <c r="G12" s="19">
        <f t="shared" si="2"/>
        <v>0</v>
      </c>
      <c r="H12" s="20">
        <f t="shared" si="3"/>
        <v>0</v>
      </c>
      <c r="I12" s="26"/>
      <c r="J12" s="26"/>
    </row>
    <row r="13" spans="1:15" ht="14.25">
      <c r="A13" s="21" t="s">
        <v>116</v>
      </c>
      <c r="B13" s="16"/>
      <c r="C13" s="16"/>
      <c r="D13" s="16">
        <f t="shared" si="0"/>
        <v>0</v>
      </c>
      <c r="E13" s="22">
        <f t="shared" si="1"/>
        <v>0</v>
      </c>
      <c r="F13" s="19"/>
      <c r="G13" s="19">
        <f t="shared" si="2"/>
        <v>0</v>
      </c>
      <c r="H13" s="20">
        <f t="shared" si="3"/>
        <v>0</v>
      </c>
      <c r="I13" s="25"/>
      <c r="J13" s="25"/>
    </row>
    <row r="14" spans="1:15" ht="14.25">
      <c r="A14" s="21" t="s">
        <v>117</v>
      </c>
      <c r="B14" s="16"/>
      <c r="C14" s="16"/>
      <c r="D14" s="16">
        <f t="shared" si="0"/>
        <v>0</v>
      </c>
      <c r="E14" s="22">
        <f t="shared" si="1"/>
        <v>0</v>
      </c>
      <c r="F14" s="19"/>
      <c r="G14" s="19">
        <f t="shared" si="2"/>
        <v>0</v>
      </c>
      <c r="H14" s="20">
        <f t="shared" si="3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0"/>
        <v>0</v>
      </c>
      <c r="E15" s="22">
        <f t="shared" si="1"/>
        <v>0</v>
      </c>
      <c r="F15" s="28"/>
      <c r="G15" s="19">
        <f t="shared" si="2"/>
        <v>0</v>
      </c>
      <c r="H15" s="20">
        <f t="shared" si="3"/>
        <v>0</v>
      </c>
      <c r="I15" s="25"/>
      <c r="J15" s="26"/>
    </row>
    <row r="16" spans="1:15" ht="14.25">
      <c r="A16" s="29" t="s">
        <v>119</v>
      </c>
      <c r="B16" s="30"/>
      <c r="C16" s="30"/>
      <c r="D16" s="30">
        <f t="shared" si="0"/>
        <v>0</v>
      </c>
      <c r="E16" s="31">
        <f t="shared" si="1"/>
        <v>0</v>
      </c>
      <c r="F16" s="32"/>
      <c r="G16" s="33">
        <f t="shared" si="2"/>
        <v>0</v>
      </c>
      <c r="H16" s="34">
        <f t="shared" si="3"/>
        <v>0</v>
      </c>
      <c r="I16" s="67"/>
      <c r="J16" s="67"/>
    </row>
    <row r="17" spans="1:15" ht="14.25">
      <c r="A17" s="35" t="s">
        <v>120</v>
      </c>
      <c r="B17" s="36">
        <f>SUM(B5:B16)</f>
        <v>66219.87890625</v>
      </c>
      <c r="C17" s="36">
        <f>SUM(C5:C16)</f>
        <v>65950.86</v>
      </c>
      <c r="D17" s="36">
        <f t="shared" si="0"/>
        <v>269.01890624999942</v>
      </c>
      <c r="E17" s="37">
        <f t="shared" si="1"/>
        <v>4.0790810953791872E-3</v>
      </c>
      <c r="F17" s="36">
        <f>SUM(F5:F16)</f>
        <v>75151.27</v>
      </c>
      <c r="G17" s="36">
        <f t="shared" si="2"/>
        <v>-8931.3910937500041</v>
      </c>
      <c r="H17" s="38">
        <f t="shared" si="3"/>
        <v>-0.11884551111045766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47" priority="1" operator="lessThanOrEqual">
      <formula>-0.1</formula>
    </cfRule>
    <cfRule type="cellIs" dxfId="46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0CF4-28D7-4AC1-88AA-26AD70AD233C}">
  <sheetPr codeName="Sheet26">
    <tabColor theme="5" tint="-0.249977111117893"/>
  </sheetPr>
  <dimension ref="A1:O20"/>
  <sheetViews>
    <sheetView workbookViewId="0">
      <selection activeCell="I29" sqref="I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2.140625" customWidth="1"/>
    <col min="10" max="10" width="18.5703125" bestFit="1" customWidth="1"/>
  </cols>
  <sheetData>
    <row r="1" spans="1:15" ht="25.15">
      <c r="A1" s="142" t="s">
        <v>95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14.25">
      <c r="A5" s="14" t="s">
        <v>108</v>
      </c>
      <c r="B5" s="15">
        <v>94436.375</v>
      </c>
      <c r="C5" s="66">
        <v>110748.9</v>
      </c>
      <c r="D5" s="16">
        <f>B5-C5</f>
        <v>-16312.524999999994</v>
      </c>
      <c r="E5" s="17">
        <f t="shared" ref="E5:E16" si="0">IFERROR(D5/C5, 0)</f>
        <v>-0.14729288507605939</v>
      </c>
      <c r="F5" s="86">
        <v>95880.07</v>
      </c>
      <c r="G5" s="19">
        <f>B5-F5</f>
        <v>-1443.695000000007</v>
      </c>
      <c r="H5" s="20">
        <f t="shared" ref="H5:H16" si="1">IFERROR(G5/F5, 0)</f>
        <v>-1.5057300229338662E-2</v>
      </c>
      <c r="I5" s="25"/>
      <c r="J5" s="25" t="s">
        <v>35</v>
      </c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85"/>
      <c r="G6" s="19">
        <f t="shared" ref="G6:G16" si="3">B6-F6</f>
        <v>0</v>
      </c>
      <c r="H6" s="20">
        <f t="shared" si="1"/>
        <v>0</v>
      </c>
      <c r="I6" s="25"/>
      <c r="J6" s="25" t="s">
        <v>35</v>
      </c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84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84"/>
      <c r="G8" s="19">
        <f t="shared" si="3"/>
        <v>0</v>
      </c>
      <c r="H8" s="20">
        <f t="shared" si="1"/>
        <v>0</v>
      </c>
      <c r="I8" s="25"/>
      <c r="J8" s="25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84"/>
      <c r="G9" s="19">
        <f t="shared" si="3"/>
        <v>0</v>
      </c>
      <c r="H9" s="20">
        <f t="shared" si="1"/>
        <v>0</v>
      </c>
      <c r="I9" s="25"/>
      <c r="J9" s="25"/>
    </row>
    <row r="10" spans="1:15" ht="14.25">
      <c r="A10" s="21" t="s">
        <v>113</v>
      </c>
      <c r="B10" s="16"/>
      <c r="C10" s="16"/>
      <c r="D10" s="16">
        <f t="shared" si="2"/>
        <v>0</v>
      </c>
      <c r="E10" s="22">
        <f t="shared" si="0"/>
        <v>0</v>
      </c>
      <c r="F10" s="84"/>
      <c r="G10" s="19">
        <f t="shared" si="3"/>
        <v>0</v>
      </c>
      <c r="H10" s="20">
        <f t="shared" si="1"/>
        <v>0</v>
      </c>
      <c r="I10" s="25"/>
      <c r="J10" s="25"/>
      <c r="N10" s="88"/>
    </row>
    <row r="11" spans="1:15" ht="14.25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85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84"/>
      <c r="G12" s="19">
        <f t="shared" si="3"/>
        <v>0</v>
      </c>
      <c r="H12" s="20">
        <f t="shared" si="1"/>
        <v>0</v>
      </c>
      <c r="I12" s="25"/>
      <c r="J12" s="25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5"/>
      <c r="J13" s="25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6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5"/>
      <c r="J15" s="26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25"/>
      <c r="J16" s="26"/>
    </row>
    <row r="17" spans="1:15" ht="14.25">
      <c r="A17" s="35" t="s">
        <v>120</v>
      </c>
      <c r="B17" s="36">
        <f>SUM(B5:B16)</f>
        <v>94436.375</v>
      </c>
      <c r="C17" s="36">
        <f t="shared" ref="C17:F17" si="4">SUM(C5:C16)</f>
        <v>110748.9</v>
      </c>
      <c r="D17" s="36">
        <f>B17-C17</f>
        <v>-16312.524999999994</v>
      </c>
      <c r="E17" s="37">
        <f>IFERROR(D17/C17, 0)</f>
        <v>-0.14729288507605939</v>
      </c>
      <c r="F17" s="36">
        <f t="shared" si="4"/>
        <v>95880.07</v>
      </c>
      <c r="G17" s="36">
        <f>B17-F17</f>
        <v>-1443.695000000007</v>
      </c>
      <c r="H17" s="38">
        <f>IFERROR(G17/F17, 0)</f>
        <v>-1.5057300229338662E-2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EF1-12CA-4F2E-B504-1435118765CA}">
  <sheetPr codeName="Sheet27">
    <tabColor theme="5" tint="-0.249977111117893"/>
  </sheetPr>
  <dimension ref="A1:O20"/>
  <sheetViews>
    <sheetView workbookViewId="0">
      <selection activeCell="I18" sqref="I1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5.7109375" bestFit="1" customWidth="1"/>
    <col min="10" max="10" width="18.5703125" bestFit="1" customWidth="1"/>
  </cols>
  <sheetData>
    <row r="1" spans="1:15" ht="25.15">
      <c r="A1" s="142" t="s">
        <v>98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5" ht="25.15">
      <c r="A2" s="10"/>
      <c r="B2" s="10"/>
      <c r="C2" s="10"/>
      <c r="D2" s="10"/>
      <c r="E2" s="10"/>
    </row>
    <row r="3" spans="1:15" ht="15">
      <c r="A3" s="134" t="s">
        <v>99</v>
      </c>
      <c r="B3" s="135"/>
      <c r="C3" s="135"/>
      <c r="D3" s="135"/>
      <c r="E3" s="136"/>
      <c r="F3" s="137" t="s">
        <v>100</v>
      </c>
      <c r="G3" s="138"/>
      <c r="H3" s="139"/>
      <c r="I3" s="140" t="s">
        <v>101</v>
      </c>
      <c r="J3" s="141"/>
    </row>
    <row r="4" spans="1:15">
      <c r="A4" s="13" t="s">
        <v>102</v>
      </c>
      <c r="B4" s="40" t="s">
        <v>4</v>
      </c>
      <c r="C4" s="40" t="s">
        <v>5</v>
      </c>
      <c r="D4" s="40" t="s">
        <v>103</v>
      </c>
      <c r="E4" s="41" t="s">
        <v>104</v>
      </c>
      <c r="F4" s="42" t="s">
        <v>8</v>
      </c>
      <c r="G4" s="43" t="s">
        <v>105</v>
      </c>
      <c r="H4" s="44" t="s">
        <v>106</v>
      </c>
      <c r="I4" s="45" t="s">
        <v>101</v>
      </c>
      <c r="J4" s="46" t="s">
        <v>107</v>
      </c>
    </row>
    <row r="5" spans="1:15" ht="28.5">
      <c r="A5" s="14" t="s">
        <v>108</v>
      </c>
      <c r="B5" s="15">
        <v>63501.4375</v>
      </c>
      <c r="C5" s="15">
        <v>68753.48</v>
      </c>
      <c r="D5" s="16">
        <f>B5-C5</f>
        <v>-5252.0424999999959</v>
      </c>
      <c r="E5" s="17">
        <f t="shared" ref="E5:E16" si="0">IFERROR(D5/C5, 0)</f>
        <v>-7.6389478758020629E-2</v>
      </c>
      <c r="F5" s="18">
        <v>72881.62</v>
      </c>
      <c r="G5" s="19">
        <f>B5-F5</f>
        <v>-9380.1824999999953</v>
      </c>
      <c r="H5" s="20">
        <f t="shared" ref="H5:H16" si="1">IFERROR(G5/F5, 0)</f>
        <v>-0.12870436332233004</v>
      </c>
      <c r="I5" s="25" t="s">
        <v>36</v>
      </c>
      <c r="J5" s="25" t="s">
        <v>37</v>
      </c>
      <c r="O5" s="4"/>
    </row>
    <row r="6" spans="1:15" ht="14.25">
      <c r="A6" s="21" t="s">
        <v>109</v>
      </c>
      <c r="B6" s="16"/>
      <c r="C6" s="16"/>
      <c r="D6" s="16">
        <f t="shared" ref="D6:D16" si="2">B6-C6</f>
        <v>0</v>
      </c>
      <c r="E6" s="22">
        <f t="shared" si="0"/>
        <v>0</v>
      </c>
      <c r="F6" s="83"/>
      <c r="G6" s="19">
        <f t="shared" ref="G6:G16" si="3">B6-F6</f>
        <v>0</v>
      </c>
      <c r="H6" s="20">
        <f t="shared" si="1"/>
        <v>0</v>
      </c>
      <c r="I6" s="25"/>
      <c r="J6" s="25" t="s">
        <v>35</v>
      </c>
    </row>
    <row r="7" spans="1:15" ht="14.25">
      <c r="A7" s="21" t="s">
        <v>110</v>
      </c>
      <c r="B7" s="16"/>
      <c r="C7" s="16"/>
      <c r="D7" s="16">
        <f t="shared" si="2"/>
        <v>0</v>
      </c>
      <c r="E7" s="22">
        <f t="shared" si="0"/>
        <v>0</v>
      </c>
      <c r="F7" s="82"/>
      <c r="G7" s="19">
        <f t="shared" si="3"/>
        <v>0</v>
      </c>
      <c r="H7" s="20">
        <f t="shared" si="1"/>
        <v>0</v>
      </c>
      <c r="I7" s="25"/>
      <c r="J7" s="25"/>
    </row>
    <row r="8" spans="1:15" ht="14.25">
      <c r="A8" s="21" t="s">
        <v>111</v>
      </c>
      <c r="B8" s="16"/>
      <c r="C8" s="16"/>
      <c r="D8" s="16">
        <f t="shared" si="2"/>
        <v>0</v>
      </c>
      <c r="E8" s="22">
        <f t="shared" si="0"/>
        <v>0</v>
      </c>
      <c r="F8" s="82"/>
      <c r="G8" s="19">
        <f t="shared" si="3"/>
        <v>0</v>
      </c>
      <c r="H8" s="20">
        <f t="shared" si="1"/>
        <v>0</v>
      </c>
      <c r="I8" s="25"/>
      <c r="J8" s="25"/>
    </row>
    <row r="9" spans="1:15" ht="14.25">
      <c r="A9" s="21" t="s">
        <v>112</v>
      </c>
      <c r="B9" s="16"/>
      <c r="C9" s="16"/>
      <c r="D9" s="16">
        <f t="shared" si="2"/>
        <v>0</v>
      </c>
      <c r="E9" s="22">
        <f t="shared" si="0"/>
        <v>0</v>
      </c>
      <c r="F9" s="82"/>
      <c r="G9" s="19">
        <f t="shared" si="3"/>
        <v>0</v>
      </c>
      <c r="H9" s="20">
        <f t="shared" si="1"/>
        <v>0</v>
      </c>
      <c r="I9" s="25"/>
      <c r="J9" s="25"/>
    </row>
    <row r="10" spans="1:15" ht="31.9" customHeight="1">
      <c r="A10" s="21" t="s">
        <v>113</v>
      </c>
      <c r="B10" s="27"/>
      <c r="C10" s="27"/>
      <c r="D10" s="16">
        <f t="shared" si="2"/>
        <v>0</v>
      </c>
      <c r="E10" s="22">
        <f t="shared" si="0"/>
        <v>0</v>
      </c>
      <c r="F10" s="28"/>
      <c r="G10" s="19">
        <f t="shared" si="3"/>
        <v>0</v>
      </c>
      <c r="H10" s="20">
        <f t="shared" si="1"/>
        <v>0</v>
      </c>
      <c r="I10" s="25"/>
      <c r="J10" s="25"/>
      <c r="N10" s="88"/>
    </row>
    <row r="11" spans="1:15" ht="13.9" customHeight="1">
      <c r="A11" s="21" t="s">
        <v>114</v>
      </c>
      <c r="B11" s="16"/>
      <c r="C11" s="16"/>
      <c r="D11" s="16">
        <f t="shared" si="2"/>
        <v>0</v>
      </c>
      <c r="E11" s="22">
        <f t="shared" si="0"/>
        <v>0</v>
      </c>
      <c r="F11" s="83"/>
      <c r="G11" s="19">
        <f t="shared" si="3"/>
        <v>0</v>
      </c>
      <c r="H11" s="20">
        <f t="shared" si="1"/>
        <v>0</v>
      </c>
      <c r="I11" s="25"/>
      <c r="J11" s="25"/>
    </row>
    <row r="12" spans="1:15" ht="14.25">
      <c r="A12" s="21" t="s">
        <v>115</v>
      </c>
      <c r="B12" s="16"/>
      <c r="C12" s="16"/>
      <c r="D12" s="16">
        <f t="shared" si="2"/>
        <v>0</v>
      </c>
      <c r="E12" s="22">
        <f t="shared" si="0"/>
        <v>0</v>
      </c>
      <c r="F12" s="82"/>
      <c r="G12" s="19">
        <f t="shared" si="3"/>
        <v>0</v>
      </c>
      <c r="H12" s="20">
        <f t="shared" si="1"/>
        <v>0</v>
      </c>
      <c r="I12" s="25"/>
      <c r="J12" s="25"/>
    </row>
    <row r="13" spans="1:15" ht="14.25">
      <c r="A13" s="21" t="s">
        <v>116</v>
      </c>
      <c r="B13" s="16"/>
      <c r="C13" s="16"/>
      <c r="D13" s="1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25"/>
      <c r="J13" s="25"/>
    </row>
    <row r="14" spans="1:15" ht="14.25">
      <c r="A14" s="21" t="s">
        <v>117</v>
      </c>
      <c r="B14" s="16"/>
      <c r="C14" s="16"/>
      <c r="D14" s="1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25"/>
      <c r="J14" s="25"/>
    </row>
    <row r="15" spans="1:15" ht="14.25">
      <c r="A15" s="21" t="s">
        <v>118</v>
      </c>
      <c r="B15" s="27"/>
      <c r="C15" s="27"/>
      <c r="D15" s="16">
        <f t="shared" si="2"/>
        <v>0</v>
      </c>
      <c r="E15" s="22">
        <f t="shared" si="0"/>
        <v>0</v>
      </c>
      <c r="F15" s="28"/>
      <c r="G15" s="19">
        <f t="shared" si="3"/>
        <v>0</v>
      </c>
      <c r="H15" s="20">
        <f t="shared" si="1"/>
        <v>0</v>
      </c>
      <c r="I15" s="25"/>
      <c r="J15" s="25"/>
    </row>
    <row r="16" spans="1:15" ht="14.25">
      <c r="A16" s="29" t="s">
        <v>119</v>
      </c>
      <c r="B16" s="30"/>
      <c r="C16" s="30"/>
      <c r="D16" s="3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25"/>
      <c r="J16" s="25"/>
    </row>
    <row r="17" spans="1:15" ht="14.25">
      <c r="A17" s="35" t="s">
        <v>120</v>
      </c>
      <c r="B17" s="36">
        <f>SUM(B5:B16)</f>
        <v>63501.4375</v>
      </c>
      <c r="C17" s="36">
        <f t="shared" ref="C17:F17" si="4">SUM(C5:C16)</f>
        <v>68753.48</v>
      </c>
      <c r="D17" s="36">
        <f>B17-C17</f>
        <v>-5252.0424999999959</v>
      </c>
      <c r="E17" s="37">
        <f>IFERROR(D17/C17, 0)</f>
        <v>-7.6389478758020629E-2</v>
      </c>
      <c r="F17" s="36">
        <f t="shared" si="4"/>
        <v>72881.62</v>
      </c>
      <c r="G17" s="36">
        <f>B17-F17</f>
        <v>-9380.1824999999953</v>
      </c>
      <c r="H17" s="38">
        <f>IFERROR(G17/F17, 0)</f>
        <v>-0.12870436332233004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26660508-863C-41A1-B196-0DC5EAE07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2024-02-16T03:52:13Z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