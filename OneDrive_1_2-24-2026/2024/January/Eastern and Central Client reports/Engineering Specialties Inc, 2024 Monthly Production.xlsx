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8CCF26C7-82DA-4402-94C4-D88B76A0BBAA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G6" i="2" s="1"/>
  <c r="H6" i="2" s="1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D6" i="2"/>
  <c r="E6" i="2" s="1"/>
  <c r="G8" i="2"/>
  <c r="H8" i="2" s="1"/>
  <c r="F9" i="2"/>
  <c r="D8" i="2"/>
  <c r="E8" i="2" s="1"/>
  <c r="C9" i="2"/>
  <c r="G7" i="2"/>
  <c r="H7" i="2" s="1"/>
  <c r="B9" i="2"/>
  <c r="D7" i="2"/>
  <c r="E7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<sst xmlns="http://schemas.openxmlformats.org/spreadsheetml/2006/main" count="49" uniqueCount="33">
  <si>
    <t>ESI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</si>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</sst>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3" fontId="6" fillId="5" borderId="1" xfId="1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7" xfId="0" applyFont="1" applyBorder="1" applyAlignment="1">
      <alignment horizontal="center"/>
    </xf>
    <xf numFmtId="3" fontId="6" fillId="3" borderId="18" xfId="0" applyNumberFormat="1" applyFont="1" applyFill="1" applyBorder="1" applyAlignment="1">
      <alignment horizontal="right"/>
    </xf>
    <xf numFmtId="9" fontId="6" fillId="3" borderId="17" xfId="2" applyFont="1" applyFill="1" applyBorder="1" applyAlignment="1">
      <alignment horizontal="center"/>
    </xf>
    <xf numFmtId="3" fontId="6" fillId="5" borderId="19" xfId="1" applyNumberFormat="1" applyFont="1" applyFill="1" applyBorder="1"/>
    <xf numFmtId="3" fontId="6" fillId="5" borderId="18" xfId="1" applyNumberFormat="1" applyFont="1" applyFill="1" applyBorder="1"/>
    <xf numFmtId="9" fontId="6" fillId="5" borderId="18" xfId="2" applyFont="1" applyFill="1" applyBorder="1" applyAlignment="1">
      <alignment horizontal="center"/>
    </xf>
    <xf numFmtId="9" fontId="6" fillId="7" borderId="18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 applyAlignment="1">
      <alignment horizontal="right" vertical="center"/>
    </xf>
    <xf numFmtId="3" fontId="10" fillId="6" borderId="2" xfId="0" applyNumberFormat="1" applyFont="1" applyFill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 wrapText="1"/>
    </xf>
    <xf numFmtId="9" fontId="4" fillId="5" borderId="24" xfId="2" applyFont="1" applyFill="1" applyBorder="1" applyAlignment="1">
      <alignment horizontal="left" vertical="center"/>
    </xf>
    <xf numFmtId="9" fontId="4" fillId="7" borderId="25" xfId="2" applyFont="1" applyFill="1" applyBorder="1" applyAlignment="1">
      <alignment horizontal="center" vertical="center"/>
    </xf>
    <xf numFmtId="9" fontId="4" fillId="7" borderId="26" xfId="2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right"/>
    </xf>
    <xf numFmtId="3" fontId="6" fillId="3" borderId="13" xfId="0" applyNumberFormat="1" applyFont="1" applyFill="1" applyBorder="1" applyAlignment="1">
      <alignment horizontal="right"/>
    </xf>
    <xf numFmtId="9" fontId="6" fillId="3" borderId="13" xfId="2" applyFont="1" applyFill="1" applyBorder="1" applyAlignment="1">
      <alignment horizontal="center"/>
    </xf>
    <xf numFmtId="3" fontId="10" fillId="6" borderId="27" xfId="0" applyNumberFormat="1" applyFont="1" applyFill="1" applyBorder="1"/>
    <xf numFmtId="3" fontId="11" fillId="5" borderId="28" xfId="1" applyNumberFormat="1" applyFont="1" applyFill="1" applyBorder="1"/>
    <xf numFmtId="3" fontId="12" fillId="8" borderId="29" xfId="0" applyNumberFormat="1" applyFont="1" applyFill="1" applyBorder="1" applyAlignment="1">
      <alignment readingOrder="1"/>
    </xf>
    <xf numFmtId="3" fontId="13" fillId="8" borderId="29" xfId="0" applyNumberFormat="1" applyFont="1" applyFill="1" applyBorder="1" applyAlignment="1">
      <alignment readingOrder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tabSelected="1" workbookViewId="0">
      <selection activeCell="B29" sqref="B29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 x14ac:dyDescent="0.45">
      <c r="A1" s="70" t="s">
        <v>0</v>
      </c>
      <c r="B1" s="70"/>
      <c r="C1" s="70"/>
      <c r="D1" s="70"/>
      <c r="E1" s="70"/>
      <c r="F1" s="70"/>
      <c r="G1" s="70"/>
      <c r="H1" s="70"/>
    </row>
    <row r="3" spans="1:8" ht="15.4" x14ac:dyDescent="0.45">
      <c r="A3" s="71" t="s">
        <v>1</v>
      </c>
      <c r="B3" s="72"/>
      <c r="C3" s="72"/>
      <c r="D3" s="72"/>
      <c r="E3" s="73"/>
      <c r="F3" s="74" t="s">
        <v>2</v>
      </c>
      <c r="G3" s="75"/>
      <c r="H3" s="76"/>
    </row>
    <row r="4" spans="1:8" x14ac:dyDescent="0.45">
      <c r="A4" s="27" t="s">
        <v>3</v>
      </c>
      <c r="B4" s="43" t="s">
        <v>4</v>
      </c>
      <c r="C4" s="43" t="s">
        <v>5</v>
      </c>
      <c r="D4" s="43" t="s">
        <v>6</v>
      </c>
      <c r="E4" s="44" t="s">
        <v>7</v>
      </c>
      <c r="F4" s="45" t="s">
        <v>8</v>
      </c>
      <c r="G4" s="46" t="s">
        <v>9</v>
      </c>
      <c r="H4" s="47" t="s">
        <v>10</v>
      </c>
    </row>
    <row r="5" spans="1:8" x14ac:dyDescent="0.45">
      <c r="A5" s="28" t="s">
        <v>11</v>
      </c>
      <c r="B5" s="29">
        <f>SUM(Monthly!B5:B7)</f>
        <v>5671</v>
      </c>
      <c r="C5" s="29">
        <f>SUM(Monthly!C5:C7)</f>
        <v>0</v>
      </c>
      <c r="D5" s="30">
        <f>B5-C5</f>
        <v>5671</v>
      </c>
      <c r="E5" s="31">
        <f t="shared" ref="E5:E8" si="0">IFERROR(D5/C5, 0)</f>
        <v>0</v>
      </c>
      <c r="F5" s="32">
        <f>SUM(Monthly!F5:F7)</f>
        <v>7695</v>
      </c>
      <c r="G5" s="33">
        <f>B5-F5</f>
        <v>-2024</v>
      </c>
      <c r="H5" s="34">
        <f t="shared" ref="H5:H8" si="1">IFERROR(G5/F5, 0)</f>
        <v>-0.26302794022092268</v>
      </c>
    </row>
    <row r="6" spans="1:8" x14ac:dyDescent="0.45">
      <c r="A6" s="35" t="s">
        <v>12</v>
      </c>
      <c r="B6" s="29">
        <f>SUM(Monthly!B8:B10)</f>
        <v>0</v>
      </c>
      <c r="C6" s="29">
        <f>SUM(Monthly!C8:C10)</f>
        <v>0</v>
      </c>
      <c r="D6" s="30">
        <f t="shared" ref="D6:D8" si="2">B6-C6</f>
        <v>0</v>
      </c>
      <c r="E6" s="36">
        <f t="shared" si="0"/>
        <v>0</v>
      </c>
      <c r="F6" s="37">
        <f>SUM(Monthly!F8:F10)</f>
        <v>0</v>
      </c>
      <c r="G6" s="33">
        <f t="shared" ref="G6:G8" si="3">B6-F6</f>
        <v>0</v>
      </c>
      <c r="H6" s="34">
        <f t="shared" si="1"/>
        <v>0</v>
      </c>
    </row>
    <row r="7" spans="1:8" x14ac:dyDescent="0.45">
      <c r="A7" s="35" t="s">
        <v>13</v>
      </c>
      <c r="B7" s="30">
        <f>SUM(Monthly!B11:B13)</f>
        <v>0</v>
      </c>
      <c r="C7" s="30">
        <f>SUM(Monthly!C11:C13)</f>
        <v>0</v>
      </c>
      <c r="D7" s="30">
        <f t="shared" si="2"/>
        <v>0</v>
      </c>
      <c r="E7" s="36">
        <f t="shared" si="0"/>
        <v>0</v>
      </c>
      <c r="F7" s="38">
        <f>SUM(Monthly!F11:F13)</f>
        <v>0</v>
      </c>
      <c r="G7" s="33">
        <f t="shared" si="3"/>
        <v>0</v>
      </c>
      <c r="H7" s="34">
        <f t="shared" si="1"/>
        <v>0</v>
      </c>
    </row>
    <row r="8" spans="1:8" x14ac:dyDescent="0.45">
      <c r="A8" s="35" t="s">
        <v>14</v>
      </c>
      <c r="B8" s="30">
        <f>SUM(Monthly!B14:B16)</f>
        <v>0</v>
      </c>
      <c r="C8" s="30">
        <f>SUM(Monthly!C14:C16)</f>
        <v>0</v>
      </c>
      <c r="D8" s="30">
        <f t="shared" si="2"/>
        <v>0</v>
      </c>
      <c r="E8" s="36">
        <f t="shared" si="0"/>
        <v>0</v>
      </c>
      <c r="F8" s="33">
        <f>SUM(Monthly!F14:F16)</f>
        <v>0</v>
      </c>
      <c r="G8" s="33">
        <f t="shared" si="3"/>
        <v>0</v>
      </c>
      <c r="H8" s="34">
        <f t="shared" si="1"/>
        <v>0</v>
      </c>
    </row>
    <row r="9" spans="1:8" x14ac:dyDescent="0.45">
      <c r="A9" s="39" t="s">
        <v>15</v>
      </c>
      <c r="B9" s="40">
        <f>SUM(B5:B8)</f>
        <v>5671</v>
      </c>
      <c r="C9" s="40">
        <f>SUM(C5:C8)</f>
        <v>0</v>
      </c>
      <c r="D9" s="40">
        <f>B9-C9</f>
        <v>5671</v>
      </c>
      <c r="E9" s="41">
        <f>IFERROR(D9/C9, 0)</f>
        <v>0</v>
      </c>
      <c r="F9" s="40">
        <f>SUM(F5:F8)</f>
        <v>7695</v>
      </c>
      <c r="G9" s="40">
        <f>B9-F9</f>
        <v>-2024</v>
      </c>
      <c r="H9" s="42">
        <f>IFERROR(G9/F9, 0)</f>
        <v>-0.26302794022092268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G5" sqref="G5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 x14ac:dyDescent="0.4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3" spans="1:10" ht="15.4" x14ac:dyDescent="0.45">
      <c r="A3" s="71" t="s">
        <v>1</v>
      </c>
      <c r="B3" s="72"/>
      <c r="C3" s="72"/>
      <c r="D3" s="72"/>
      <c r="E3" s="73"/>
      <c r="F3" s="74" t="s">
        <v>2</v>
      </c>
      <c r="G3" s="75"/>
      <c r="H3" s="76"/>
      <c r="I3" s="77" t="s">
        <v>16</v>
      </c>
      <c r="J3" s="78"/>
    </row>
    <row r="4" spans="1:10" x14ac:dyDescent="0.45">
      <c r="A4" s="55" t="s">
        <v>17</v>
      </c>
      <c r="B4" s="56" t="s">
        <v>4</v>
      </c>
      <c r="C4" s="56" t="s">
        <v>5</v>
      </c>
      <c r="D4" s="56" t="s">
        <v>6</v>
      </c>
      <c r="E4" s="57" t="s">
        <v>7</v>
      </c>
      <c r="F4" s="58" t="s">
        <v>8</v>
      </c>
      <c r="G4" s="59" t="s">
        <v>9</v>
      </c>
      <c r="H4" s="60" t="s">
        <v>10</v>
      </c>
      <c r="I4" s="61" t="s">
        <v>16</v>
      </c>
      <c r="J4" s="62" t="s">
        <v>18</v>
      </c>
    </row>
    <row r="5" spans="1:10" x14ac:dyDescent="0.45">
      <c r="A5" s="53" t="s">
        <v>19</v>
      </c>
      <c r="B5" s="68">
        <v>5671</v>
      </c>
      <c r="C5" s="63">
        <v>0</v>
      </c>
      <c r="D5" s="64">
        <f>B5-C5</f>
        <v>5671</v>
      </c>
      <c r="E5" s="65">
        <f t="shared" ref="E5:E16" si="0">IFERROR(D5/C5, 0)</f>
        <v>0</v>
      </c>
      <c r="F5" s="66">
        <v>7695</v>
      </c>
      <c r="G5" s="8">
        <f>B5-F5</f>
        <v>-2024</v>
      </c>
      <c r="H5" s="4">
        <f t="shared" ref="H5:H16" si="1">IFERROR(G5/F5, 0)</f>
        <v>-0.26302794022092268</v>
      </c>
      <c r="I5" s="5"/>
      <c r="J5" s="5" t="s">
        <v>20</v>
      </c>
    </row>
    <row r="6" spans="1:10" x14ac:dyDescent="0.45">
      <c r="A6" s="54" t="s">
        <v>21</v>
      </c>
      <c r="B6" s="68"/>
      <c r="C6" s="48"/>
      <c r="D6" s="49">
        <f t="shared" ref="D6:D10" si="2">B6-C6</f>
        <v>0</v>
      </c>
      <c r="E6" s="50">
        <f t="shared" si="0"/>
        <v>0</v>
      </c>
      <c r="F6" s="52"/>
      <c r="G6" s="8">
        <f t="shared" ref="G6:G16" si="3">B6-F6</f>
        <v>0</v>
      </c>
      <c r="H6" s="4">
        <f t="shared" si="1"/>
        <v>0</v>
      </c>
      <c r="I6" s="5"/>
      <c r="J6" s="5" t="s">
        <v>20</v>
      </c>
    </row>
    <row r="7" spans="1:10" x14ac:dyDescent="0.45">
      <c r="A7" s="54" t="s">
        <v>22</v>
      </c>
      <c r="B7" s="68"/>
      <c r="C7" s="48"/>
      <c r="D7" s="49">
        <f t="shared" si="2"/>
        <v>0</v>
      </c>
      <c r="E7" s="50">
        <f t="shared" si="0"/>
        <v>0</v>
      </c>
      <c r="F7" s="51"/>
      <c r="G7" s="8">
        <f t="shared" si="3"/>
        <v>0</v>
      </c>
      <c r="H7" s="4">
        <f t="shared" si="1"/>
        <v>0</v>
      </c>
      <c r="I7" s="10"/>
      <c r="J7" s="10"/>
    </row>
    <row r="8" spans="1:10" x14ac:dyDescent="0.45">
      <c r="A8" s="54" t="s">
        <v>23</v>
      </c>
      <c r="B8" s="68"/>
      <c r="C8" s="48"/>
      <c r="D8" s="49">
        <f t="shared" si="2"/>
        <v>0</v>
      </c>
      <c r="E8" s="50">
        <f t="shared" si="0"/>
        <v>0</v>
      </c>
      <c r="F8" s="52"/>
      <c r="G8" s="8">
        <f t="shared" si="3"/>
        <v>0</v>
      </c>
      <c r="H8" s="4">
        <f t="shared" si="1"/>
        <v>0</v>
      </c>
      <c r="I8" s="5"/>
      <c r="J8" s="5"/>
    </row>
    <row r="9" spans="1:10" x14ac:dyDescent="0.45">
      <c r="A9" s="54" t="s">
        <v>24</v>
      </c>
      <c r="B9" s="68"/>
      <c r="C9" s="48"/>
      <c r="D9" s="49">
        <f t="shared" si="2"/>
        <v>0</v>
      </c>
      <c r="E9" s="50">
        <f t="shared" si="0"/>
        <v>0</v>
      </c>
      <c r="F9" s="52"/>
      <c r="G9" s="8">
        <f t="shared" si="3"/>
        <v>0</v>
      </c>
      <c r="H9" s="4">
        <f t="shared" si="1"/>
        <v>0</v>
      </c>
      <c r="I9" s="11"/>
      <c r="J9" s="12"/>
    </row>
    <row r="10" spans="1:10" x14ac:dyDescent="0.45">
      <c r="A10" s="54" t="s">
        <v>25</v>
      </c>
      <c r="B10" s="68"/>
      <c r="C10" s="48"/>
      <c r="D10" s="49">
        <f t="shared" si="2"/>
        <v>0</v>
      </c>
      <c r="E10" s="50">
        <f t="shared" si="0"/>
        <v>0</v>
      </c>
      <c r="F10" s="52"/>
      <c r="G10" s="8">
        <f t="shared" si="3"/>
        <v>0</v>
      </c>
      <c r="H10" s="4">
        <f t="shared" si="1"/>
        <v>0</v>
      </c>
      <c r="I10" s="5"/>
      <c r="J10" s="5" t="s">
        <v>20</v>
      </c>
    </row>
    <row r="11" spans="1:10" x14ac:dyDescent="0.45">
      <c r="A11" s="6" t="s">
        <v>26</v>
      </c>
      <c r="B11" s="69"/>
      <c r="C11" s="1"/>
      <c r="D11" s="1">
        <f t="shared" ref="D11:D16" si="4">B11-C11</f>
        <v>0</v>
      </c>
      <c r="E11" s="2">
        <f t="shared" si="0"/>
        <v>0</v>
      </c>
      <c r="F11" s="67"/>
      <c r="G11" s="3">
        <f t="shared" si="3"/>
        <v>0</v>
      </c>
      <c r="H11" s="4">
        <f t="shared" si="1"/>
        <v>0</v>
      </c>
      <c r="I11" s="5"/>
      <c r="J11" s="5" t="s">
        <v>20</v>
      </c>
    </row>
    <row r="12" spans="1:10" x14ac:dyDescent="0.45">
      <c r="A12" s="6" t="s">
        <v>27</v>
      </c>
      <c r="B12" s="1"/>
      <c r="C12" s="1"/>
      <c r="D12" s="1">
        <f t="shared" si="4"/>
        <v>0</v>
      </c>
      <c r="E12" s="7">
        <f t="shared" si="0"/>
        <v>0</v>
      </c>
      <c r="F12" s="9"/>
      <c r="G12" s="3">
        <f t="shared" si="3"/>
        <v>0</v>
      </c>
      <c r="H12" s="4">
        <f t="shared" si="1"/>
        <v>0</v>
      </c>
      <c r="I12" s="10"/>
      <c r="J12" s="10"/>
    </row>
    <row r="13" spans="1:10" x14ac:dyDescent="0.45">
      <c r="A13" s="6" t="s">
        <v>28</v>
      </c>
      <c r="B13" s="1"/>
      <c r="C13" s="1"/>
      <c r="D13" s="1">
        <f t="shared" si="4"/>
        <v>0</v>
      </c>
      <c r="E13" s="7">
        <f t="shared" si="0"/>
        <v>0</v>
      </c>
      <c r="F13" s="3"/>
      <c r="G13" s="3">
        <f t="shared" si="3"/>
        <v>0</v>
      </c>
      <c r="H13" s="4">
        <f t="shared" si="1"/>
        <v>0</v>
      </c>
      <c r="I13" s="5"/>
      <c r="J13" s="5"/>
    </row>
    <row r="14" spans="1:10" x14ac:dyDescent="0.45">
      <c r="A14" s="6" t="s">
        <v>29</v>
      </c>
      <c r="B14" s="1"/>
      <c r="C14" s="1"/>
      <c r="D14" s="1">
        <f t="shared" si="4"/>
        <v>0</v>
      </c>
      <c r="E14" s="7">
        <f t="shared" si="0"/>
        <v>0</v>
      </c>
      <c r="F14" s="3"/>
      <c r="G14" s="3">
        <f t="shared" si="3"/>
        <v>0</v>
      </c>
      <c r="H14" s="4">
        <f t="shared" si="1"/>
        <v>0</v>
      </c>
      <c r="I14" s="11"/>
      <c r="J14" s="12"/>
    </row>
    <row r="15" spans="1:10" x14ac:dyDescent="0.45">
      <c r="A15" s="6" t="s">
        <v>30</v>
      </c>
      <c r="B15" s="13"/>
      <c r="C15" s="13"/>
      <c r="D15" s="1">
        <f t="shared" si="4"/>
        <v>0</v>
      </c>
      <c r="E15" s="7">
        <f t="shared" si="0"/>
        <v>0</v>
      </c>
      <c r="F15" s="14"/>
      <c r="G15" s="3">
        <f t="shared" si="3"/>
        <v>0</v>
      </c>
      <c r="H15" s="4">
        <f t="shared" si="1"/>
        <v>0</v>
      </c>
      <c r="I15" s="5"/>
      <c r="J15" s="5" t="s">
        <v>20</v>
      </c>
    </row>
    <row r="16" spans="1:10" x14ac:dyDescent="0.45">
      <c r="A16" s="15" t="s">
        <v>31</v>
      </c>
      <c r="B16" s="16"/>
      <c r="C16" s="16"/>
      <c r="D16" s="16">
        <f t="shared" si="4"/>
        <v>0</v>
      </c>
      <c r="E16" s="17">
        <f t="shared" si="0"/>
        <v>0</v>
      </c>
      <c r="F16" s="18"/>
      <c r="G16" s="19">
        <f t="shared" si="3"/>
        <v>0</v>
      </c>
      <c r="H16" s="20">
        <f t="shared" si="1"/>
        <v>0</v>
      </c>
      <c r="I16" s="21"/>
      <c r="J16" s="21" t="s">
        <v>20</v>
      </c>
    </row>
    <row r="17" spans="1:10" x14ac:dyDescent="0.45">
      <c r="A17" s="22" t="s">
        <v>32</v>
      </c>
      <c r="B17" s="23">
        <f>SUM(B5:B16)</f>
        <v>5671</v>
      </c>
      <c r="C17" s="23">
        <f t="shared" ref="C17:F17" si="5">SUM(C5:C16)</f>
        <v>0</v>
      </c>
      <c r="D17" s="23">
        <f>B17-C17</f>
        <v>5671</v>
      </c>
      <c r="E17" s="24">
        <f>IFERROR(D17/C17, 0)</f>
        <v>0</v>
      </c>
      <c r="F17" s="23">
        <f t="shared" si="5"/>
        <v>7695</v>
      </c>
      <c r="G17" s="23">
        <f>B17-F17</f>
        <v>-2024</v>
      </c>
      <c r="H17" s="25">
        <f>IFERROR(G17/F17, 0)</f>
        <v>-0.26302794022092268</v>
      </c>
      <c r="I17" s="26"/>
      <c r="J17" s="26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F3011F7-D27A-41AA-A095-0BA7DA819DED}"/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2024-02-05T06:21:37Z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