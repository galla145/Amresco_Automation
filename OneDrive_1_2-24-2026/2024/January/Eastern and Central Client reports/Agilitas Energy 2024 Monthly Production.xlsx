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5" documentId="8_{ADEA6470-AABF-4055-A4B3-C2DDCE310AD8}" xr6:coauthVersionLast="47" xr6:coauthVersionMax="47" xr10:uidLastSave="{20E96267-3242-40D5-95F3-A9D30925B8D3}"/>
  <bookViews>
    <workbookView xWindow="-28920" yWindow="7725" windowWidth="29040" windowHeight="15720" tabRatio="866" firstSheet="17" activeTab="17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Rowley - Central Street Solar" sheetId="5" r:id="rId19"/>
    <sheet name="Auburn - Leicester Street Solar" sheetId="69" r:id="rId20"/>
    <sheet name="Rochester - Old Middleboro" sheetId="79" r:id="rId21"/>
    <sheet name="Dover - Littleworth Road" sheetId="80" r:id="rId22"/>
    <sheet name="Milton - Landfill" sheetId="81" r:id="rId23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Jan!$C$3:$C$7</definedName>
    <definedName name="JanActual2">Jan!#REF!</definedName>
    <definedName name="JanExpected">Jan!$D$3:$D$7</definedName>
    <definedName name="JanExpectedDelta">Jan!$E$3:$E$7</definedName>
    <definedName name="JanExpectedPercent">Jan!$F$3:$F$7</definedName>
    <definedName name="JanExpPercent">Jan!$F$3:$F$7</definedName>
    <definedName name="JanForecasted">Jan!$G$3:$G$7</definedName>
    <definedName name="JanForecastedDelta">Jan!$H$3:$H$7</definedName>
    <definedName name="JanForecastedPercent">Jan!$I$3:$I$7</definedName>
    <definedName name="portfolio">Sites!$B$1:$B$1</definedName>
    <definedName name="Year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9" l="1"/>
  <c r="H16" i="79" s="1"/>
  <c r="D16" i="79"/>
  <c r="E16" i="79" s="1"/>
  <c r="G16" i="69"/>
  <c r="H16" i="69" s="1"/>
  <c r="D16" i="69"/>
  <c r="E16" i="69" s="1"/>
  <c r="H16" i="5"/>
  <c r="G16" i="5"/>
  <c r="E16" i="5"/>
  <c r="D16" i="5"/>
  <c r="B17" i="69"/>
  <c r="G15" i="79"/>
  <c r="H15" i="79" s="1"/>
  <c r="D15" i="79"/>
  <c r="E15" i="79" s="1"/>
  <c r="G15" i="69"/>
  <c r="H15" i="69" s="1"/>
  <c r="D15" i="69"/>
  <c r="E15" i="69" s="1"/>
  <c r="G15" i="5"/>
  <c r="H15" i="5" s="1"/>
  <c r="D15" i="5"/>
  <c r="E15" i="5" s="1"/>
  <c r="G14" i="79"/>
  <c r="H14" i="79" s="1"/>
  <c r="D14" i="79"/>
  <c r="E14" i="79" s="1"/>
  <c r="G14" i="69"/>
  <c r="H14" i="69" s="1"/>
  <c r="D14" i="69"/>
  <c r="E14" i="69" s="1"/>
  <c r="D14" i="5"/>
  <c r="E14" i="5" s="1"/>
  <c r="H14" i="5"/>
  <c r="G14" i="5"/>
  <c r="F17" i="81"/>
  <c r="C17" i="81"/>
  <c r="B17" i="81"/>
  <c r="G16" i="81"/>
  <c r="H16" i="81" s="1"/>
  <c r="D16" i="81"/>
  <c r="E16" i="81" s="1"/>
  <c r="G15" i="81"/>
  <c r="H15" i="81" s="1"/>
  <c r="D15" i="81"/>
  <c r="E15" i="81" s="1"/>
  <c r="G14" i="81"/>
  <c r="H14" i="81" s="1"/>
  <c r="D14" i="81"/>
  <c r="E14" i="81" s="1"/>
  <c r="G13" i="81"/>
  <c r="H13" i="81" s="1"/>
  <c r="D13" i="81"/>
  <c r="E13" i="81" s="1"/>
  <c r="G12" i="81"/>
  <c r="H12" i="81" s="1"/>
  <c r="D12" i="81"/>
  <c r="E12" i="81" s="1"/>
  <c r="G11" i="81"/>
  <c r="H11" i="81" s="1"/>
  <c r="D11" i="81"/>
  <c r="E11" i="81" s="1"/>
  <c r="G10" i="81"/>
  <c r="H10" i="81" s="1"/>
  <c r="D10" i="81"/>
  <c r="E10" i="81" s="1"/>
  <c r="G9" i="81"/>
  <c r="H9" i="81" s="1"/>
  <c r="D9" i="81"/>
  <c r="E9" i="81" s="1"/>
  <c r="G8" i="81"/>
  <c r="H8" i="81" s="1"/>
  <c r="D8" i="81"/>
  <c r="E8" i="81" s="1"/>
  <c r="G7" i="81"/>
  <c r="H7" i="81" s="1"/>
  <c r="D7" i="81"/>
  <c r="E7" i="81" s="1"/>
  <c r="G6" i="81"/>
  <c r="H6" i="81" s="1"/>
  <c r="D6" i="81"/>
  <c r="E6" i="81" s="1"/>
  <c r="G5" i="81"/>
  <c r="H5" i="81" s="1"/>
  <c r="D5" i="81"/>
  <c r="E5" i="81" s="1"/>
  <c r="D14" i="80"/>
  <c r="E14" i="80" s="1"/>
  <c r="G14" i="80"/>
  <c r="H14" i="80" s="1"/>
  <c r="D15" i="80"/>
  <c r="E15" i="80" s="1"/>
  <c r="G15" i="80"/>
  <c r="H15" i="80" s="1"/>
  <c r="D16" i="80"/>
  <c r="E16" i="80" s="1"/>
  <c r="G16" i="80"/>
  <c r="H16" i="80" s="1"/>
  <c r="F17" i="80"/>
  <c r="C17" i="80"/>
  <c r="B17" i="80"/>
  <c r="G13" i="80"/>
  <c r="H13" i="80" s="1"/>
  <c r="D13" i="80"/>
  <c r="E13" i="80" s="1"/>
  <c r="G12" i="80"/>
  <c r="H12" i="80" s="1"/>
  <c r="D12" i="80"/>
  <c r="E12" i="80" s="1"/>
  <c r="G11" i="80"/>
  <c r="H11" i="80" s="1"/>
  <c r="D11" i="80"/>
  <c r="E11" i="80" s="1"/>
  <c r="G10" i="80"/>
  <c r="H10" i="80" s="1"/>
  <c r="D10" i="80"/>
  <c r="E10" i="80" s="1"/>
  <c r="G9" i="80"/>
  <c r="H9" i="80" s="1"/>
  <c r="D9" i="80"/>
  <c r="E9" i="80" s="1"/>
  <c r="G8" i="80"/>
  <c r="H8" i="80" s="1"/>
  <c r="D8" i="80"/>
  <c r="E8" i="80" s="1"/>
  <c r="G7" i="80"/>
  <c r="H7" i="80" s="1"/>
  <c r="D7" i="80"/>
  <c r="E7" i="80" s="1"/>
  <c r="G6" i="80"/>
  <c r="H6" i="80" s="1"/>
  <c r="D6" i="80"/>
  <c r="E6" i="80" s="1"/>
  <c r="G5" i="80"/>
  <c r="H5" i="80" s="1"/>
  <c r="D5" i="80"/>
  <c r="E5" i="80" s="1"/>
  <c r="G13" i="79"/>
  <c r="H13" i="79" s="1"/>
  <c r="D13" i="79"/>
  <c r="E13" i="79"/>
  <c r="G13" i="69"/>
  <c r="H13" i="69" s="1"/>
  <c r="D13" i="69"/>
  <c r="E13" i="69" s="1"/>
  <c r="G13" i="5"/>
  <c r="H13" i="5"/>
  <c r="D13" i="5"/>
  <c r="E13" i="5" s="1"/>
  <c r="G12" i="79"/>
  <c r="H12" i="79" s="1"/>
  <c r="D12" i="79"/>
  <c r="E12" i="79" s="1"/>
  <c r="G12" i="69"/>
  <c r="H12" i="69" s="1"/>
  <c r="D12" i="69"/>
  <c r="E12" i="69" s="1"/>
  <c r="G12" i="5"/>
  <c r="H12" i="5" s="1"/>
  <c r="D12" i="5"/>
  <c r="E12" i="5"/>
  <c r="G11" i="79"/>
  <c r="H11" i="79" s="1"/>
  <c r="D11" i="79"/>
  <c r="E11" i="79" s="1"/>
  <c r="G11" i="69"/>
  <c r="H11" i="69" s="1"/>
  <c r="D11" i="69"/>
  <c r="E11" i="69" s="1"/>
  <c r="G11" i="5"/>
  <c r="H11" i="5" s="1"/>
  <c r="D11" i="5"/>
  <c r="E11" i="5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79"/>
  <c r="C17" i="79"/>
  <c r="B17" i="79"/>
  <c r="G10" i="79"/>
  <c r="H10" i="79" s="1"/>
  <c r="D10" i="79"/>
  <c r="E10" i="79" s="1"/>
  <c r="G9" i="79"/>
  <c r="H9" i="79" s="1"/>
  <c r="D9" i="79"/>
  <c r="E9" i="79" s="1"/>
  <c r="G8" i="79"/>
  <c r="H8" i="79" s="1"/>
  <c r="D8" i="79"/>
  <c r="E8" i="79" s="1"/>
  <c r="G7" i="79"/>
  <c r="H7" i="79" s="1"/>
  <c r="D7" i="79"/>
  <c r="G6" i="79"/>
  <c r="H6" i="79" s="1"/>
  <c r="D6" i="79"/>
  <c r="E6" i="79" s="1"/>
  <c r="G5" i="79"/>
  <c r="H5" i="79" s="1"/>
  <c r="D5" i="79"/>
  <c r="F17" i="69"/>
  <c r="C17" i="69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G6" i="69"/>
  <c r="H6" i="69" s="1"/>
  <c r="D6" i="69"/>
  <c r="E6" i="69" s="1"/>
  <c r="G5" i="69"/>
  <c r="H5" i="69" s="1"/>
  <c r="D5" i="69"/>
  <c r="F17" i="5"/>
  <c r="C17" i="5"/>
  <c r="B17" i="5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A3" i="2" a="1"/>
  <c r="C6" i="21" a="1"/>
  <c r="C7" i="26" a="1"/>
  <c r="C7" i="33" a="1"/>
  <c r="C7" i="27" a="1"/>
  <c r="C6" i="27" a="1"/>
  <c r="C6" i="33" a="1"/>
  <c r="C6" i="28" a="1"/>
  <c r="C6" i="31" a="1"/>
  <c r="C7" i="21" a="1"/>
  <c r="C7" i="28" a="1"/>
  <c r="C6" i="32" a="1"/>
  <c r="C6" i="26" a="1"/>
  <c r="C7" i="32" a="1"/>
  <c r="C7" i="31" a="1"/>
  <c r="G17" i="81" l="1"/>
  <c r="H17" i="81" s="1"/>
  <c r="D17" i="81"/>
  <c r="E17" i="81" s="1"/>
  <c r="G17" i="80"/>
  <c r="H17" i="80" s="1"/>
  <c r="D17" i="80"/>
  <c r="E17" i="80" s="1"/>
  <c r="C6" i="27"/>
  <c r="C6" i="33"/>
  <c r="C7" i="26"/>
  <c r="C6" i="32"/>
  <c r="C7" i="31"/>
  <c r="C7" i="21"/>
  <c r="C6" i="26"/>
  <c r="C7" i="28"/>
  <c r="C6" i="31"/>
  <c r="C6" i="21"/>
  <c r="C7" i="27"/>
  <c r="C6" i="28"/>
  <c r="C7" i="33"/>
  <c r="C7" i="32"/>
  <c r="E5" i="79"/>
  <c r="E7" i="79"/>
  <c r="E5" i="69"/>
  <c r="E7" i="69"/>
  <c r="E5" i="5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79"/>
  <c r="H17" i="79" s="1"/>
  <c r="D17" i="79"/>
  <c r="E17" i="79" s="1"/>
  <c r="G17" i="69"/>
  <c r="H17" i="69" s="1"/>
  <c r="D17" i="69"/>
  <c r="E17" i="69" s="1"/>
  <c r="G17" i="5"/>
  <c r="H17" i="5" s="1"/>
  <c r="D17" i="5"/>
  <c r="E17" i="5" s="1"/>
  <c r="B3" i="2" a="1"/>
  <c r="B3" i="2" s="1"/>
  <c r="C3" i="3" a="1"/>
  <c r="C5" i="27" a="1"/>
  <c r="C3" i="27" a="1"/>
  <c r="C3" i="26" a="1"/>
  <c r="C4" i="19" a="1"/>
  <c r="C3" i="21" a="1"/>
  <c r="C5" i="19" a="1"/>
  <c r="C4" i="2" a="1"/>
  <c r="C6" i="20" a="1"/>
  <c r="C4" i="3" a="1"/>
  <c r="C7" i="4" a="1"/>
  <c r="C3" i="4" a="1"/>
  <c r="C5" i="31" a="1"/>
  <c r="C4" i="28" a="1"/>
  <c r="C3" i="19" a="1"/>
  <c r="C5" i="4" a="1"/>
  <c r="C4" i="31" a="1"/>
  <c r="C5" i="28" a="1"/>
  <c r="C3" i="33" a="1"/>
  <c r="C3" i="2" a="1"/>
  <c r="C3" i="20" a="1"/>
  <c r="C5" i="32" a="1"/>
  <c r="C5" i="21" a="1"/>
  <c r="C4" i="33" a="1"/>
  <c r="C3" i="32" a="1"/>
  <c r="C3" i="28" a="1"/>
  <c r="C7" i="19" a="1"/>
  <c r="C3" i="31" a="1"/>
  <c r="C4" i="21" a="1"/>
  <c r="C5" i="33" a="1"/>
  <c r="C7" i="3" a="1"/>
  <c r="C4" i="20" a="1"/>
  <c r="C5" i="3" a="1"/>
  <c r="C6" i="19" a="1"/>
  <c r="C6" i="4" a="1"/>
  <c r="C4" i="26" a="1"/>
  <c r="C4" i="4" a="1"/>
  <c r="C5" i="26" a="1"/>
  <c r="C4" i="27" a="1"/>
  <c r="C7" i="20" a="1"/>
  <c r="C5" i="20" a="1"/>
  <c r="C7" i="2" a="1"/>
  <c r="C5" i="2" a="1"/>
  <c r="C6" i="2" a="1"/>
  <c r="C6" i="3" a="1"/>
  <c r="C4" i="32" a="1"/>
  <c r="C5" i="27" l="1"/>
  <c r="C5" i="20"/>
  <c r="C5" i="33"/>
  <c r="C3" i="21"/>
  <c r="C3" i="33"/>
  <c r="C4" i="33"/>
  <c r="C4" i="27"/>
  <c r="C4" i="20"/>
  <c r="C3" i="20"/>
  <c r="C5" i="32"/>
  <c r="C5" i="26"/>
  <c r="D5" i="29"/>
  <c r="G5" i="29"/>
  <c r="C5" i="21"/>
  <c r="G5" i="18"/>
  <c r="D5" i="18"/>
  <c r="C3" i="32"/>
  <c r="C4" i="32"/>
  <c r="C4" i="26"/>
  <c r="D4" i="29"/>
  <c r="G4" i="29"/>
  <c r="C4" i="21"/>
  <c r="D4" i="18"/>
  <c r="G4" i="18"/>
  <c r="C3" i="4"/>
  <c r="C3" i="26"/>
  <c r="C5" i="31"/>
  <c r="D5" i="30"/>
  <c r="G5" i="30"/>
  <c r="C5" i="19"/>
  <c r="C5" i="4"/>
  <c r="C3" i="31"/>
  <c r="C3" i="27"/>
  <c r="C4" i="31"/>
  <c r="D4" i="30"/>
  <c r="G4" i="30"/>
  <c r="C4" i="19"/>
  <c r="C4" i="4"/>
  <c r="C3" i="2"/>
  <c r="C3" i="28"/>
  <c r="C5" i="28"/>
  <c r="C7" i="20"/>
  <c r="C5" i="3"/>
  <c r="C4" i="28"/>
  <c r="C6" i="20"/>
  <c r="C4" i="3"/>
  <c r="C5" i="2"/>
  <c r="D5" i="1"/>
  <c r="G5" i="1"/>
  <c r="C4" i="2"/>
  <c r="D4" i="1"/>
  <c r="G4" i="1"/>
  <c r="C7" i="4"/>
  <c r="C3" i="19"/>
  <c r="C6" i="19"/>
  <c r="C6" i="2"/>
  <c r="C7" i="19"/>
  <c r="C7" i="2"/>
  <c r="C6" i="4"/>
  <c r="C7" i="3"/>
  <c r="C6" i="3"/>
  <c r="D3" i="18"/>
  <c r="G3" i="18"/>
  <c r="D6" i="18"/>
  <c r="G6" i="18"/>
  <c r="D7" i="18"/>
  <c r="G7" i="18"/>
  <c r="D3" i="29"/>
  <c r="G3" i="29"/>
  <c r="D6" i="29"/>
  <c r="G6" i="29"/>
  <c r="D7" i="29"/>
  <c r="G7" i="29"/>
  <c r="D3" i="30"/>
  <c r="G3" i="30"/>
  <c r="D6" i="30"/>
  <c r="G6" i="30"/>
  <c r="D7" i="30"/>
  <c r="G7" i="30"/>
  <c r="G3" i="1"/>
  <c r="D7" i="1"/>
  <c r="G7" i="1"/>
  <c r="D6" i="1"/>
  <c r="G6" i="1"/>
  <c r="D3" i="1"/>
  <c r="G8" i="33"/>
  <c r="D8" i="33"/>
  <c r="G8" i="32"/>
  <c r="D8" i="32"/>
  <c r="G8" i="31"/>
  <c r="D8" i="31"/>
  <c r="G8" i="28"/>
  <c r="D8" i="28"/>
  <c r="G8" i="27"/>
  <c r="D8" i="27"/>
  <c r="G8" i="26"/>
  <c r="D8" i="26"/>
  <c r="G8" i="19"/>
  <c r="D8" i="19"/>
  <c r="G8" i="20"/>
  <c r="D8" i="20"/>
  <c r="G8" i="21"/>
  <c r="D8" i="21"/>
  <c r="G8" i="4"/>
  <c r="D8" i="4"/>
  <c r="G8" i="3"/>
  <c r="D8" i="3"/>
  <c r="C3" i="3"/>
  <c r="C4" i="18" l="1"/>
  <c r="E4" i="18" s="1"/>
  <c r="F4" i="18" s="1"/>
  <c r="C5" i="30"/>
  <c r="H5" i="30" s="1"/>
  <c r="I5" i="30" s="1"/>
  <c r="C5" i="29"/>
  <c r="H5" i="29" s="1"/>
  <c r="I5" i="29" s="1"/>
  <c r="C4" i="29"/>
  <c r="H4" i="29" s="1"/>
  <c r="I4" i="29" s="1"/>
  <c r="G5" i="34"/>
  <c r="C4" i="30"/>
  <c r="H4" i="30" s="1"/>
  <c r="I4" i="30" s="1"/>
  <c r="C5" i="18"/>
  <c r="E5" i="18" s="1"/>
  <c r="F5" i="18" s="1"/>
  <c r="G4" i="34"/>
  <c r="D5" i="34"/>
  <c r="C4" i="1"/>
  <c r="C5" i="1"/>
  <c r="D4" i="34"/>
  <c r="C7" i="18"/>
  <c r="D7" i="34"/>
  <c r="C6" i="18"/>
  <c r="C8" i="27"/>
  <c r="H8" i="27" s="1"/>
  <c r="I8" i="27" s="1"/>
  <c r="D8" i="18"/>
  <c r="G8" i="18"/>
  <c r="D8" i="30"/>
  <c r="D8" i="29"/>
  <c r="G8" i="1"/>
  <c r="C7" i="30"/>
  <c r="C6" i="30"/>
  <c r="G8" i="30"/>
  <c r="D3" i="34"/>
  <c r="C7" i="29"/>
  <c r="C8" i="32"/>
  <c r="E8" i="32" s="1"/>
  <c r="F8" i="32" s="1"/>
  <c r="C6" i="29"/>
  <c r="G8" i="29"/>
  <c r="D6" i="34"/>
  <c r="C8" i="4"/>
  <c r="H8" i="4" s="1"/>
  <c r="I8" i="4" s="1"/>
  <c r="C8" i="28"/>
  <c r="H8" i="28" s="1"/>
  <c r="I8" i="28" s="1"/>
  <c r="G6" i="34"/>
  <c r="C8" i="19"/>
  <c r="H8" i="19" s="1"/>
  <c r="I8" i="19" s="1"/>
  <c r="C3" i="18"/>
  <c r="H3" i="18" s="1"/>
  <c r="I3" i="18" s="1"/>
  <c r="C8" i="33"/>
  <c r="H8" i="33" s="1"/>
  <c r="I8" i="33" s="1"/>
  <c r="C3" i="29"/>
  <c r="H3" i="29" s="1"/>
  <c r="I3" i="29" s="1"/>
  <c r="C3" i="30"/>
  <c r="H3" i="30" s="1"/>
  <c r="I3" i="30" s="1"/>
  <c r="G7" i="34"/>
  <c r="C8" i="20"/>
  <c r="E8" i="20" s="1"/>
  <c r="F8" i="20" s="1"/>
  <c r="D8" i="1"/>
  <c r="G3" i="34"/>
  <c r="C8" i="31"/>
  <c r="E8" i="31" s="1"/>
  <c r="F8" i="31" s="1"/>
  <c r="C8" i="26"/>
  <c r="H8" i="26" s="1"/>
  <c r="I8" i="26" s="1"/>
  <c r="C8" i="21"/>
  <c r="E8" i="21" s="1"/>
  <c r="F8" i="21" s="1"/>
  <c r="C6" i="1"/>
  <c r="C7" i="1"/>
  <c r="H7" i="1" s="1"/>
  <c r="I7" i="1" s="1"/>
  <c r="C8" i="3"/>
  <c r="E8" i="3" s="1"/>
  <c r="F8" i="3" s="1"/>
  <c r="C3" i="1"/>
  <c r="H4" i="18" l="1"/>
  <c r="I4" i="18" s="1"/>
  <c r="E5" i="30"/>
  <c r="F5" i="30" s="1"/>
  <c r="E4" i="29"/>
  <c r="F4" i="29" s="1"/>
  <c r="E5" i="29"/>
  <c r="F5" i="29" s="1"/>
  <c r="E4" i="30"/>
  <c r="F4" i="30" s="1"/>
  <c r="C4" i="34"/>
  <c r="E4" i="34" s="1"/>
  <c r="F4" i="34" s="1"/>
  <c r="H5" i="18"/>
  <c r="I5" i="18" s="1"/>
  <c r="E4" i="1"/>
  <c r="F4" i="1" s="1"/>
  <c r="C5" i="34"/>
  <c r="H5" i="34" s="1"/>
  <c r="I5" i="34" s="1"/>
  <c r="E5" i="1"/>
  <c r="F5" i="1" s="1"/>
  <c r="H4" i="1"/>
  <c r="I4" i="1" s="1"/>
  <c r="H5" i="1"/>
  <c r="I5" i="1" s="1"/>
  <c r="E6" i="30"/>
  <c r="F6" i="30" s="1"/>
  <c r="H6" i="30"/>
  <c r="I6" i="30" s="1"/>
  <c r="E7" i="30"/>
  <c r="F7" i="30" s="1"/>
  <c r="H7" i="30"/>
  <c r="I7" i="30" s="1"/>
  <c r="E6" i="29"/>
  <c r="F6" i="29" s="1"/>
  <c r="H6" i="29"/>
  <c r="I6" i="29" s="1"/>
  <c r="E7" i="29"/>
  <c r="F7" i="29" s="1"/>
  <c r="H7" i="29"/>
  <c r="I7" i="29" s="1"/>
  <c r="E6" i="18"/>
  <c r="F6" i="18" s="1"/>
  <c r="H6" i="18"/>
  <c r="I6" i="18" s="1"/>
  <c r="E7" i="18"/>
  <c r="F7" i="18" s="1"/>
  <c r="H7" i="18"/>
  <c r="I7" i="18" s="1"/>
  <c r="E6" i="1"/>
  <c r="F6" i="1" s="1"/>
  <c r="H6" i="1"/>
  <c r="I6" i="1" s="1"/>
  <c r="E7" i="1"/>
  <c r="E3" i="1"/>
  <c r="F3" i="1" s="1"/>
  <c r="H3" i="1"/>
  <c r="I3" i="1" s="1"/>
  <c r="E8" i="27"/>
  <c r="F8" i="27" s="1"/>
  <c r="H8" i="32"/>
  <c r="I8" i="32" s="1"/>
  <c r="E8" i="19"/>
  <c r="F8" i="19" s="1"/>
  <c r="E8" i="4"/>
  <c r="F8" i="4" s="1"/>
  <c r="H8" i="20"/>
  <c r="I8" i="20" s="1"/>
  <c r="C6" i="34"/>
  <c r="H8" i="3"/>
  <c r="I8" i="3" s="1"/>
  <c r="E8" i="33"/>
  <c r="F8" i="33" s="1"/>
  <c r="D8" i="34"/>
  <c r="E8" i="28"/>
  <c r="F8" i="28" s="1"/>
  <c r="G8" i="34"/>
  <c r="C3" i="34"/>
  <c r="H8" i="21"/>
  <c r="I8" i="21" s="1"/>
  <c r="H8" i="31"/>
  <c r="I8" i="31" s="1"/>
  <c r="C7" i="34"/>
  <c r="E8" i="26"/>
  <c r="F8" i="26" s="1"/>
  <c r="C8" i="30"/>
  <c r="E3" i="30"/>
  <c r="C8" i="29"/>
  <c r="E3" i="29"/>
  <c r="C8" i="18"/>
  <c r="E3" i="18"/>
  <c r="C8" i="1"/>
  <c r="H4" i="34" l="1"/>
  <c r="I4" i="34" s="1"/>
  <c r="E5" i="34"/>
  <c r="F5" i="34" s="1"/>
  <c r="E7" i="34"/>
  <c r="F7" i="34" s="1"/>
  <c r="H7" i="34"/>
  <c r="I7" i="34" s="1"/>
  <c r="E6" i="34"/>
  <c r="F6" i="34" s="1"/>
  <c r="H6" i="34"/>
  <c r="I6" i="34" s="1"/>
  <c r="E3" i="34"/>
  <c r="F3" i="34" s="1"/>
  <c r="H3" i="34"/>
  <c r="I3" i="34" s="1"/>
  <c r="F3" i="30"/>
  <c r="F3" i="29"/>
  <c r="F3" i="18"/>
  <c r="F7" i="1"/>
  <c r="C8" i="34"/>
  <c r="H8" i="34" s="1"/>
  <c r="I8" i="34" s="1"/>
  <c r="H8" i="30"/>
  <c r="I8" i="30" s="1"/>
  <c r="E8" i="30"/>
  <c r="F8" i="30" s="1"/>
  <c r="H8" i="29"/>
  <c r="I8" i="29" s="1"/>
  <c r="E8" i="29"/>
  <c r="F8" i="29" s="1"/>
  <c r="H8" i="18"/>
  <c r="I8" i="18" s="1"/>
  <c r="E8" i="18"/>
  <c r="F8" i="18" s="1"/>
  <c r="H8" i="1"/>
  <c r="I8" i="1" s="1"/>
  <c r="E8" i="1"/>
  <c r="F8" i="1" s="1"/>
  <c r="G8" i="2"/>
  <c r="D8" i="2"/>
  <c r="E8" i="34" l="1"/>
  <c r="F8" i="34" s="1"/>
  <c r="C8" i="2"/>
  <c r="H8" i="2" l="1"/>
  <c r="I8" i="2" s="1"/>
  <c r="E8" i="2"/>
  <c r="F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<sst xmlns="http://schemas.openxmlformats.org/spreadsheetml/2006/main" count="431" uniqueCount="92">
  <si>
    <t>Year to Date 2024 Actual v. Expected</t>
  </si>
  <si>
    <t xml:space="preserve"> 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</si>
  <si>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</si>
  <si>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</si>
  <si>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</si>
  <si>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</si>
  <si>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</si>
  <si>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</si>
  <si>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</si>
  <si>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</si>
  <si>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</si>
  <si>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</si>
  <si>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</si>
  <si>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</si>
  <si>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</si>
  <si>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</si>
  <si>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</si>
  <si>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</si>
  <si>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</si>
  <si>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</si>
  <si>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</si>
  <si>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</si>
  <si>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</si>
  <si>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</si>
  <si>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</si>
  <si>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</si>
  <si>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</si>
  <si>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</si>
  <si>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</si>
  <si>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</si>
  <si>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</si>
  <si>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</si>
  <si>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</si>
  <si>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</si>
  <si>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</si>
  <si>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</si>
  <si>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</si>
  <si>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</si>
  <si>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</si>
  <si>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</si>
  <si>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</si>
  <si>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</si>
  <si>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</si>
  <si>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</si>
  <si>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</si>
  <si>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</si>
  <si>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</si>
  <si>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</si>
  <si>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</si>
  <si>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Column1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</si>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</sst>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11" applyNumberFormat="0" applyFont="0" applyAlignment="0" applyProtection="0"/>
  </cellStyleXfs>
  <cellXfs count="156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4" fillId="3" borderId="15" xfId="0" applyFont="1" applyFill="1" applyBorder="1" applyAlignment="1">
      <alignment horizontal="center" vertical="center" wrapText="1"/>
    </xf>
    <xf numFmtId="9" fontId="6" fillId="3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6" fillId="40" borderId="15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9" fillId="0" borderId="34" xfId="0" applyFont="1" applyBorder="1" applyAlignment="1">
      <alignment horizontal="left" vertical="center"/>
    </xf>
    <xf numFmtId="0" fontId="30" fillId="0" borderId="2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3" fontId="30" fillId="5" borderId="1" xfId="0" applyNumberFormat="1" applyFont="1" applyFill="1" applyBorder="1" applyAlignment="1">
      <alignment horizontal="center"/>
    </xf>
    <xf numFmtId="9" fontId="30" fillId="5" borderId="1" xfId="2" applyFont="1" applyFill="1" applyBorder="1" applyAlignment="1">
      <alignment horizontal="center"/>
    </xf>
    <xf numFmtId="9" fontId="30" fillId="5" borderId="1" xfId="0" applyNumberFormat="1" applyFont="1" applyFill="1" applyBorder="1" applyAlignment="1">
      <alignment horizontal="center"/>
    </xf>
    <xf numFmtId="0" fontId="30" fillId="0" borderId="0" xfId="0" applyFont="1"/>
    <xf numFmtId="0" fontId="32" fillId="3" borderId="17" xfId="0" applyFont="1" applyFill="1" applyBorder="1" applyAlignment="1">
      <alignment horizontal="left" vertical="center" wrapText="1"/>
    </xf>
    <xf numFmtId="9" fontId="32" fillId="3" borderId="35" xfId="2" applyFont="1" applyFill="1" applyBorder="1" applyAlignment="1">
      <alignment horizontal="left" vertical="center" wrapText="1"/>
    </xf>
    <xf numFmtId="0" fontId="32" fillId="4" borderId="17" xfId="0" applyFont="1" applyFill="1" applyBorder="1" applyAlignment="1">
      <alignment horizontal="left" vertical="center"/>
    </xf>
    <xf numFmtId="0" fontId="32" fillId="4" borderId="17" xfId="0" applyFont="1" applyFill="1" applyBorder="1" applyAlignment="1">
      <alignment horizontal="left" vertical="center" wrapText="1"/>
    </xf>
    <xf numFmtId="9" fontId="32" fillId="4" borderId="35" xfId="2" applyFont="1" applyFill="1" applyBorder="1" applyAlignment="1">
      <alignment horizontal="left" vertical="center"/>
    </xf>
    <xf numFmtId="9" fontId="32" fillId="43" borderId="36" xfId="2" applyFont="1" applyFill="1" applyBorder="1" applyAlignment="1">
      <alignment horizontal="center" vertical="center"/>
    </xf>
    <xf numFmtId="9" fontId="32" fillId="43" borderId="37" xfId="2" applyFont="1" applyFill="1" applyBorder="1" applyAlignment="1">
      <alignment horizontal="center" vertical="center"/>
    </xf>
    <xf numFmtId="0" fontId="30" fillId="45" borderId="39" xfId="0" applyFont="1" applyFill="1" applyBorder="1" applyAlignment="1">
      <alignment horizontal="center"/>
    </xf>
    <xf numFmtId="0" fontId="30" fillId="45" borderId="1" xfId="0" applyFont="1" applyFill="1" applyBorder="1" applyAlignment="1">
      <alignment horizontal="center"/>
    </xf>
    <xf numFmtId="3" fontId="34" fillId="3" borderId="16" xfId="0" applyNumberFormat="1" applyFont="1" applyFill="1" applyBorder="1" applyAlignment="1">
      <alignment horizontal="right"/>
    </xf>
    <xf numFmtId="9" fontId="34" fillId="3" borderId="16" xfId="2" applyFont="1" applyFill="1" applyBorder="1" applyAlignment="1">
      <alignment horizontal="center"/>
    </xf>
    <xf numFmtId="3" fontId="34" fillId="4" borderId="16" xfId="1" applyNumberFormat="1" applyFont="1" applyFill="1" applyBorder="1"/>
    <xf numFmtId="9" fontId="34" fillId="40" borderId="16" xfId="2" applyFont="1" applyFill="1" applyBorder="1" applyAlignment="1">
      <alignment horizontal="center"/>
    </xf>
    <xf numFmtId="9" fontId="34" fillId="3" borderId="14" xfId="2" applyFont="1" applyFill="1" applyBorder="1" applyAlignment="1">
      <alignment horizontal="center"/>
    </xf>
    <xf numFmtId="9" fontId="34" fillId="40" borderId="14" xfId="2" applyFont="1" applyFill="1" applyBorder="1" applyAlignment="1">
      <alignment horizontal="center"/>
    </xf>
    <xf numFmtId="9" fontId="34" fillId="37" borderId="18" xfId="0" applyNumberFormat="1" applyFont="1" applyFill="1" applyBorder="1" applyAlignment="1">
      <alignment horizontal="center" vertical="center"/>
    </xf>
    <xf numFmtId="9" fontId="34" fillId="37" borderId="22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/>
    </xf>
    <xf numFmtId="0" fontId="35" fillId="2" borderId="15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left" vertical="center" wrapText="1"/>
    </xf>
    <xf numFmtId="0" fontId="37" fillId="45" borderId="39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45" borderId="1" xfId="0" applyFont="1" applyFill="1" applyBorder="1" applyAlignment="1">
      <alignment horizontal="center"/>
    </xf>
    <xf numFmtId="3" fontId="34" fillId="37" borderId="18" xfId="0" applyNumberFormat="1" applyFont="1" applyFill="1" applyBorder="1" applyAlignment="1">
      <alignment horizontal="center" vertical="center"/>
    </xf>
    <xf numFmtId="3" fontId="34" fillId="37" borderId="18" xfId="1" applyNumberFormat="1" applyFont="1" applyFill="1" applyBorder="1" applyAlignment="1">
      <alignment horizontal="center" vertical="center"/>
    </xf>
    <xf numFmtId="3" fontId="38" fillId="3" borderId="2" xfId="0" applyNumberFormat="1" applyFont="1" applyFill="1" applyBorder="1" applyAlignment="1">
      <alignment horizontal="right"/>
    </xf>
    <xf numFmtId="9" fontId="38" fillId="3" borderId="2" xfId="2" applyFont="1" applyFill="1" applyBorder="1" applyAlignment="1">
      <alignment horizontal="center"/>
    </xf>
    <xf numFmtId="3" fontId="38" fillId="4" borderId="2" xfId="1" applyNumberFormat="1" applyFont="1" applyFill="1" applyBorder="1"/>
    <xf numFmtId="9" fontId="38" fillId="4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 vertical="top"/>
    </xf>
    <xf numFmtId="9" fontId="38" fillId="3" borderId="1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 vertical="top" wrapText="1"/>
    </xf>
    <xf numFmtId="3" fontId="38" fillId="38" borderId="14" xfId="0" applyNumberFormat="1" applyFont="1" applyFill="1" applyBorder="1"/>
    <xf numFmtId="3" fontId="38" fillId="4" borderId="2" xfId="1" applyNumberFormat="1" applyFont="1" applyFill="1" applyBorder="1" applyAlignment="1">
      <alignment vertical="center"/>
    </xf>
    <xf numFmtId="3" fontId="38" fillId="39" borderId="14" xfId="0" applyNumberFormat="1" applyFont="1" applyFill="1" applyBorder="1"/>
    <xf numFmtId="3" fontId="38" fillId="3" borderId="28" xfId="0" applyNumberFormat="1" applyFont="1" applyFill="1" applyBorder="1" applyAlignment="1">
      <alignment horizontal="right"/>
    </xf>
    <xf numFmtId="3" fontId="38" fillId="4" borderId="38" xfId="1" applyNumberFormat="1" applyFont="1" applyFill="1" applyBorder="1"/>
    <xf numFmtId="9" fontId="38" fillId="43" borderId="28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center" vertical="center"/>
    </xf>
    <xf numFmtId="9" fontId="38" fillId="43" borderId="28" xfId="2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3" fontId="38" fillId="3" borderId="16" xfId="0" applyNumberFormat="1" applyFont="1" applyFill="1" applyBorder="1" applyAlignment="1">
      <alignment horizontal="right"/>
    </xf>
    <xf numFmtId="9" fontId="38" fillId="3" borderId="16" xfId="2" applyFont="1" applyFill="1" applyBorder="1" applyAlignment="1">
      <alignment horizontal="center"/>
    </xf>
    <xf numFmtId="3" fontId="38" fillId="4" borderId="16" xfId="1" applyNumberFormat="1" applyFont="1" applyFill="1" applyBorder="1"/>
    <xf numFmtId="9" fontId="38" fillId="40" borderId="16" xfId="2" applyFont="1" applyFill="1" applyBorder="1" applyAlignment="1">
      <alignment horizontal="center"/>
    </xf>
    <xf numFmtId="3" fontId="38" fillId="4" borderId="2" xfId="1" applyNumberFormat="1" applyFont="1" applyFill="1" applyBorder="1" applyAlignment="1">
      <alignment horizontal="right" vertical="center"/>
    </xf>
    <xf numFmtId="49" fontId="38" fillId="0" borderId="0" xfId="0" applyNumberFormat="1" applyFont="1"/>
    <xf numFmtId="0" fontId="38" fillId="0" borderId="0" xfId="0" applyFont="1"/>
    <xf numFmtId="9" fontId="38" fillId="0" borderId="0" xfId="2" applyFont="1" applyAlignment="1">
      <alignment horizontal="center"/>
    </xf>
    <xf numFmtId="0" fontId="0" fillId="0" borderId="0" xfId="0" applyAlignment="1">
      <alignment wrapText="1"/>
    </xf>
    <xf numFmtId="0" fontId="4" fillId="4" borderId="15" xfId="0" applyFont="1" applyFill="1" applyBorder="1" applyAlignment="1">
      <alignment horizontal="left" wrapText="1"/>
    </xf>
    <xf numFmtId="3" fontId="34" fillId="37" borderId="18" xfId="0" applyNumberFormat="1" applyFont="1" applyFill="1" applyBorder="1" applyAlignment="1">
      <alignment horizontal="center" vertical="center" wrapText="1"/>
    </xf>
    <xf numFmtId="9" fontId="34" fillId="37" borderId="18" xfId="0" applyNumberFormat="1" applyFont="1" applyFill="1" applyBorder="1" applyAlignment="1">
      <alignment horizontal="center" vertical="center" wrapText="1"/>
    </xf>
    <xf numFmtId="3" fontId="34" fillId="37" borderId="18" xfId="1" applyNumberFormat="1" applyFont="1" applyFill="1" applyBorder="1" applyAlignment="1">
      <alignment horizontal="center" vertical="center" wrapText="1"/>
    </xf>
    <xf numFmtId="9" fontId="34" fillId="37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9" fontId="6" fillId="0" borderId="0" xfId="2" applyFont="1" applyAlignment="1">
      <alignment horizontal="center" wrapText="1"/>
    </xf>
    <xf numFmtId="9" fontId="31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 vertical="top"/>
    </xf>
    <xf numFmtId="0" fontId="30" fillId="0" borderId="1" xfId="0" applyFont="1" applyBorder="1" applyAlignment="1">
      <alignment horizontal="center" vertical="center"/>
    </xf>
    <xf numFmtId="3" fontId="38" fillId="3" borderId="2" xfId="0" applyNumberFormat="1" applyFont="1" applyFill="1" applyBorder="1"/>
    <xf numFmtId="3" fontId="38" fillId="4" borderId="2" xfId="1" applyNumberFormat="1" applyFont="1" applyFill="1" applyBorder="1" applyAlignment="1"/>
    <xf numFmtId="3" fontId="38" fillId="4" borderId="2" xfId="1" applyNumberFormat="1" applyFont="1" applyFill="1" applyBorder="1" applyAlignment="1">
      <alignment horizontal="right"/>
    </xf>
    <xf numFmtId="9" fontId="38" fillId="43" borderId="2" xfId="2" applyFont="1" applyFill="1" applyBorder="1" applyAlignment="1">
      <alignment horizontal="left"/>
    </xf>
    <xf numFmtId="0" fontId="26" fillId="0" borderId="0" xfId="43" applyFont="1"/>
    <xf numFmtId="0" fontId="37" fillId="45" borderId="2" xfId="0" applyFont="1" applyFill="1" applyBorder="1" applyAlignment="1">
      <alignment horizontal="center"/>
    </xf>
    <xf numFmtId="0" fontId="30" fillId="45" borderId="2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3" fontId="34" fillId="3" borderId="16" xfId="0" applyNumberFormat="1" applyFont="1" applyFill="1" applyBorder="1" applyAlignment="1">
      <alignment horizontal="right" vertical="center"/>
    </xf>
    <xf numFmtId="9" fontId="34" fillId="3" borderId="16" xfId="2" applyFont="1" applyFill="1" applyBorder="1" applyAlignment="1">
      <alignment horizontal="center" vertical="center"/>
    </xf>
    <xf numFmtId="3" fontId="34" fillId="4" borderId="16" xfId="1" applyNumberFormat="1" applyFont="1" applyFill="1" applyBorder="1" applyAlignment="1">
      <alignment vertical="center"/>
    </xf>
    <xf numFmtId="9" fontId="34" fillId="40" borderId="16" xfId="2" applyFont="1" applyFill="1" applyBorder="1" applyAlignment="1">
      <alignment horizontal="center" vertical="center"/>
    </xf>
    <xf numFmtId="0" fontId="37" fillId="45" borderId="39" xfId="0" applyFont="1" applyFill="1" applyBorder="1" applyAlignment="1">
      <alignment horizontal="center" vertical="center" wrapText="1"/>
    </xf>
    <xf numFmtId="0" fontId="30" fillId="45" borderId="39" xfId="0" applyFont="1" applyFill="1" applyBorder="1" applyAlignment="1">
      <alignment horizontal="center" vertical="center" wrapText="1"/>
    </xf>
    <xf numFmtId="3" fontId="34" fillId="3" borderId="16" xfId="0" applyNumberFormat="1" applyFont="1" applyFill="1" applyBorder="1" applyAlignment="1">
      <alignment horizontal="right" vertical="center" wrapText="1"/>
    </xf>
    <xf numFmtId="9" fontId="34" fillId="3" borderId="16" xfId="2" applyFont="1" applyFill="1" applyBorder="1" applyAlignment="1">
      <alignment horizontal="center" vertical="center" wrapText="1"/>
    </xf>
    <xf numFmtId="3" fontId="34" fillId="4" borderId="16" xfId="1" applyNumberFormat="1" applyFont="1" applyFill="1" applyBorder="1" applyAlignment="1">
      <alignment vertical="center" wrapText="1"/>
    </xf>
    <xf numFmtId="9" fontId="34" fillId="40" borderId="16" xfId="2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9" fontId="34" fillId="3" borderId="14" xfId="2" applyFont="1" applyFill="1" applyBorder="1" applyAlignment="1">
      <alignment horizontal="center" vertical="center" wrapText="1"/>
    </xf>
    <xf numFmtId="9" fontId="34" fillId="40" borderId="14" xfId="2" applyFont="1" applyFill="1" applyBorder="1" applyAlignment="1">
      <alignment horizontal="center" vertical="center" wrapText="1"/>
    </xf>
    <xf numFmtId="0" fontId="37" fillId="45" borderId="1" xfId="0" applyFont="1" applyFill="1" applyBorder="1" applyAlignment="1">
      <alignment horizontal="center" vertical="center" wrapText="1"/>
    </xf>
    <xf numFmtId="0" fontId="30" fillId="45" borderId="1" xfId="0" applyFont="1" applyFill="1" applyBorder="1" applyAlignment="1">
      <alignment horizontal="center" vertical="center" wrapText="1"/>
    </xf>
    <xf numFmtId="0" fontId="37" fillId="45" borderId="39" xfId="0" applyFont="1" applyFill="1" applyBorder="1" applyAlignment="1">
      <alignment horizontal="center" vertical="center"/>
    </xf>
    <xf numFmtId="0" fontId="30" fillId="45" borderId="39" xfId="0" applyFont="1" applyFill="1" applyBorder="1" applyAlignment="1">
      <alignment horizontal="center" vertical="center"/>
    </xf>
    <xf numFmtId="0" fontId="37" fillId="45" borderId="1" xfId="0" applyFont="1" applyFill="1" applyBorder="1" applyAlignment="1">
      <alignment horizontal="center" vertical="center"/>
    </xf>
    <xf numFmtId="0" fontId="30" fillId="45" borderId="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3" fontId="38" fillId="3" borderId="2" xfId="0" applyNumberFormat="1" applyFont="1" applyFill="1" applyBorder="1" applyAlignment="1">
      <alignment horizontal="right" vertical="center"/>
    </xf>
    <xf numFmtId="9" fontId="38" fillId="3" borderId="2" xfId="2" applyFont="1" applyFill="1" applyBorder="1" applyAlignment="1">
      <alignment horizontal="center" vertical="center"/>
    </xf>
    <xf numFmtId="3" fontId="38" fillId="39" borderId="16" xfId="0" applyNumberFormat="1" applyFont="1" applyFill="1" applyBorder="1" applyAlignment="1">
      <alignment horizontal="right" vertical="center"/>
    </xf>
    <xf numFmtId="9" fontId="38" fillId="4" borderId="2" xfId="2" applyFont="1" applyFill="1" applyBorder="1" applyAlignment="1">
      <alignment horizontal="center" vertical="center"/>
    </xf>
    <xf numFmtId="9" fontId="38" fillId="3" borderId="1" xfId="2" applyFont="1" applyFill="1" applyBorder="1" applyAlignment="1">
      <alignment horizontal="center" vertical="center"/>
    </xf>
    <xf numFmtId="3" fontId="38" fillId="4" borderId="13" xfId="1" applyNumberFormat="1" applyFont="1" applyFill="1" applyBorder="1" applyAlignment="1">
      <alignment horizontal="right" vertical="center"/>
    </xf>
    <xf numFmtId="3" fontId="38" fillId="38" borderId="14" xfId="0" applyNumberFormat="1" applyFont="1" applyFill="1" applyBorder="1" applyAlignment="1">
      <alignment vertical="center"/>
    </xf>
    <xf numFmtId="3" fontId="38" fillId="39" borderId="14" xfId="0" applyNumberFormat="1" applyFont="1" applyFill="1" applyBorder="1" applyAlignment="1">
      <alignment vertical="center"/>
    </xf>
    <xf numFmtId="0" fontId="30" fillId="0" borderId="3" xfId="0" applyFont="1" applyBorder="1" applyAlignment="1">
      <alignment horizontal="center" vertical="center"/>
    </xf>
    <xf numFmtId="3" fontId="38" fillId="3" borderId="28" xfId="0" applyNumberFormat="1" applyFont="1" applyFill="1" applyBorder="1" applyAlignment="1">
      <alignment horizontal="right" vertical="center"/>
    </xf>
    <xf numFmtId="3" fontId="38" fillId="4" borderId="38" xfId="1" applyNumberFormat="1" applyFont="1" applyFill="1" applyBorder="1" applyAlignment="1">
      <alignment vertical="center"/>
    </xf>
    <xf numFmtId="3" fontId="38" fillId="4" borderId="13" xfId="1" applyNumberFormat="1" applyFont="1" applyFill="1" applyBorder="1" applyAlignment="1">
      <alignment vertical="center"/>
    </xf>
    <xf numFmtId="3" fontId="38" fillId="3" borderId="2" xfId="0" applyNumberFormat="1" applyFont="1" applyFill="1" applyBorder="1" applyAlignment="1">
      <alignment vertical="center"/>
    </xf>
    <xf numFmtId="49" fontId="34" fillId="0" borderId="0" xfId="0" applyNumberFormat="1" applyFont="1"/>
    <xf numFmtId="9" fontId="38" fillId="43" borderId="28" xfId="2" applyFont="1" applyFill="1" applyBorder="1" applyAlignment="1">
      <alignment horizontal="left" vertical="top" wrapText="1"/>
    </xf>
    <xf numFmtId="0" fontId="5" fillId="4" borderId="2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3" fillId="44" borderId="23" xfId="0" applyFont="1" applyFill="1" applyBorder="1" applyAlignment="1">
      <alignment horizontal="center" vertical="center"/>
    </xf>
    <xf numFmtId="0" fontId="33" fillId="44" borderId="24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wrapText="1"/>
    </xf>
    <xf numFmtId="0" fontId="27" fillId="42" borderId="0" xfId="0" applyFont="1" applyFill="1" applyAlignment="1">
      <alignment horizontal="center" wrapText="1"/>
    </xf>
    <xf numFmtId="0" fontId="36" fillId="2" borderId="25" xfId="0" applyFont="1" applyFill="1" applyBorder="1" applyAlignment="1">
      <alignment horizontal="center" vertical="center" wrapText="1"/>
    </xf>
    <xf numFmtId="0" fontId="36" fillId="2" borderId="2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9" fillId="44" borderId="24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33" fillId="44" borderId="23" xfId="0" applyFont="1" applyFill="1" applyBorder="1" applyAlignment="1">
      <alignment horizontal="center" vertical="center" wrapText="1"/>
    </xf>
    <xf numFmtId="0" fontId="33" fillId="44" borderId="2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E7" totalsRowShown="0">
  <autoFilter ref="A2:E7" xr:uid="{66A40F5E-D45A-46FE-9183-4A31296D93F1}"/>
  <sortState xmlns:xlrd2="http://schemas.microsoft.com/office/spreadsheetml/2017/richdata2" ref="A3:D5">
    <sortCondition ref="C2:C5"/>
  </sortState>
  <tableColumns count="5">
    <tableColumn id="3" xr3:uid="{BFC0214A-8820-4A19-81D0-852548EDA4BC}" name="Site DAS Name" dataDxfId="82" dataCellStyle="Normal 2"/>
    <tableColumn id="1" xr3:uid="{2ECEDF7A-47C1-4159-BC3D-6E76D6492D27}" name="Site" dataDxfId="81" dataCellStyle="Normal 2"/>
    <tableColumn id="2" xr3:uid="{2C9662E7-9933-4E8D-97A6-DB7E03BCDC09}" name="State" dataDxfId="80" dataCellStyle="Normal 2"/>
    <tableColumn id="5" xr3:uid="{F1D3BF47-C530-4653-922C-CDF1211AB5F9}" name="Column1"/>
    <tableColumn id="4" xr3:uid="{1EBC6440-3746-43EF-B3DC-4884E39D408F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77" dataDxfId="76" headerRowBorderDxfId="74" tableBorderDxfId="75">
  <autoFilter ref="A4:J16" xr:uid="{59A959C2-52B2-422A-A87A-BC08BBF40681}"/>
  <tableColumns count="10">
    <tableColumn id="1" xr3:uid="{5546520C-DCC9-49E9-9FB3-CE316D4944DA}" name="Month" dataDxfId="73"/>
    <tableColumn id="2" xr3:uid="{DDF452E8-4CE6-4DD7-83F1-6C18FAC64F53}" name="Actual" dataDxfId="72"/>
    <tableColumn id="3" xr3:uid="{854FA685-1E8D-434A-A191-70ED326137F6}" name="Expected" dataDxfId="71"/>
    <tableColumn id="4" xr3:uid="{5C3F4DED-9A03-4256-AB35-C17DABA79D2D}" name="Delta Expected" dataDxfId="70">
      <calculatedColumnFormula>B5-C5</calculatedColumnFormula>
    </tableColumn>
    <tableColumn id="5" xr3:uid="{41D24EBB-4EC4-4943-84C6-B4913606DB53}" name="% Expected" dataDxfId="69">
      <calculatedColumnFormula>IFERROR(D5/C5, 0)</calculatedColumnFormula>
    </tableColumn>
    <tableColumn id="6" xr3:uid="{BD395EF8-0433-4B53-BE3C-227C7BC36415}" name="Forecasted" dataDxfId="68"/>
    <tableColumn id="7" xr3:uid="{72B64D61-E6FB-4C48-8CEB-D343DF097E3E}" name="Delta Forecasted" dataDxfId="67" dataCellStyle="Comma">
      <calculatedColumnFormula>B5-F5</calculatedColumnFormula>
    </tableColumn>
    <tableColumn id="8" xr3:uid="{27F4C8CA-7E0A-46AD-8278-F15F669646B7}" name="% Forecasted" dataDxfId="66">
      <calculatedColumnFormula>IFERROR(G5/F5, 0)</calculatedColumnFormula>
    </tableColumn>
    <tableColumn id="9" xr3:uid="{623D8263-ADF2-4E83-A133-77A77ECF5573}" name="Notes" dataDxfId="65"/>
    <tableColumn id="10" xr3:uid="{D21843AC-EB45-41B5-BBF8-600127984792}" name="Service Request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61" dataDxfId="60" headerRowBorderDxfId="58" tableBorderDxfId="59">
  <autoFilter ref="A4:J16" xr:uid="{59A959C2-52B2-422A-A87A-BC08BBF40681}"/>
  <tableColumns count="10">
    <tableColumn id="1" xr3:uid="{300F2B93-3E43-4029-9602-E5303206602D}" name="Month" dataDxfId="57"/>
    <tableColumn id="2" xr3:uid="{37FF0282-4483-4A16-B4CD-FA5C5D2AAB66}" name="Actual" dataDxfId="56"/>
    <tableColumn id="3" xr3:uid="{4B1572C6-48CA-4285-A895-59F55B5B6A3F}" name="Expected" dataDxfId="55"/>
    <tableColumn id="4" xr3:uid="{05CC6563-3045-40DE-A32C-A03045F46221}" name="Delta Expected" dataDxfId="54">
      <calculatedColumnFormula>B5-C5</calculatedColumnFormula>
    </tableColumn>
    <tableColumn id="5" xr3:uid="{0112F9D3-7673-407D-B2C0-617699B4EADA}" name="% Expected" dataDxfId="53">
      <calculatedColumnFormula>IFERROR(D5/C5, 0)</calculatedColumnFormula>
    </tableColumn>
    <tableColumn id="6" xr3:uid="{66AF3356-8A8A-4469-9904-982EE44943E2}" name="Forecasted" dataDxfId="52"/>
    <tableColumn id="7" xr3:uid="{C6527BC9-FA83-465E-9209-CCE13ABEDC9D}" name="Delta Forecasted" dataDxfId="51" dataCellStyle="Comma">
      <calculatedColumnFormula>B5-F5</calculatedColumnFormula>
    </tableColumn>
    <tableColumn id="8" xr3:uid="{FA6C6671-F650-4018-910D-2FFB550B3762}" name="% Forecasted" dataDxfId="50">
      <calculatedColumnFormula>IFERROR(G5/F5, 0)</calculatedColumnFormula>
    </tableColumn>
    <tableColumn id="9" xr3:uid="{2783C74E-2CBC-4809-B11D-46D4F8FBBA31}" name="Notes" dataDxfId="49"/>
    <tableColumn id="10" xr3:uid="{0D13FC05-4475-4C0F-ACFE-D5CA9083D091}" name="Service Request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45" dataDxfId="44" headerRowBorderDxfId="42" tableBorderDxfId="43">
  <autoFilter ref="A4:J16" xr:uid="{59A959C2-52B2-422A-A87A-BC08BBF40681}"/>
  <tableColumns count="10">
    <tableColumn id="1" xr3:uid="{0C8C5D2C-22CD-4B1A-AA89-7DF9CC077053}" name="Month" dataDxfId="41"/>
    <tableColumn id="2" xr3:uid="{1504A410-2AFF-45D8-B05D-3003630C6253}" name="Actual" dataDxfId="40"/>
    <tableColumn id="3" xr3:uid="{E4620953-7DAB-4FED-A94B-5ED1A18BA51C}" name="Expected" dataDxfId="39"/>
    <tableColumn id="4" xr3:uid="{0E2D487F-5D52-4EF3-93FA-9263831DB0A2}" name="Delta Expected" dataDxfId="38">
      <calculatedColumnFormula>B5-C5</calculatedColumnFormula>
    </tableColumn>
    <tableColumn id="5" xr3:uid="{4E7B4ABC-A69B-400D-B5B2-832C6832F796}" name="% Expected" dataDxfId="37">
      <calculatedColumnFormula>IFERROR(D5/C5, 0)</calculatedColumnFormula>
    </tableColumn>
    <tableColumn id="6" xr3:uid="{01863DDF-3CCB-4609-8F75-0B0C278BB83F}" name="Forecasted" dataDxfId="36"/>
    <tableColumn id="7" xr3:uid="{8D07CC50-2E6D-421F-97CE-C028BAC10737}" name="Delta Forecasted" dataDxfId="35" dataCellStyle="Comma">
      <calculatedColumnFormula>B5-F5</calculatedColumnFormula>
    </tableColumn>
    <tableColumn id="8" xr3:uid="{4AC223A0-5E24-439A-AE0C-C81A96EC683F}" name="% Forecasted" dataDxfId="34">
      <calculatedColumnFormula>IFERROR(G5/F5, 0)</calculatedColumnFormula>
    </tableColumn>
    <tableColumn id="9" xr3:uid="{B21D21F1-1D16-4710-8885-CDF7B8E73B1F}" name="Notes" dataDxfId="33"/>
    <tableColumn id="10" xr3:uid="{7153195E-F3DA-438B-8DCB-CED54F61277D}" name="Service Request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2BEA6-7174-4F64-BE38-FB7F7ECF2B19}" name="Data18192021222324252627284" displayName="Data18192021222324252627284" ref="A4:J16" totalsRowShown="0" headerRowDxfId="29" dataDxfId="28" headerRowBorderDxfId="26" tableBorderDxfId="27">
  <autoFilter ref="A4:J16" xr:uid="{59A959C2-52B2-422A-A87A-BC08BBF40681}"/>
  <tableColumns count="10">
    <tableColumn id="1" xr3:uid="{DC8FE1B1-0EDC-45C9-81F6-08A285711F85}" name="Month" dataDxfId="25"/>
    <tableColumn id="2" xr3:uid="{52BFA7E3-D101-435E-9EC0-F816B6525070}" name="Actual" dataDxfId="24"/>
    <tableColumn id="3" xr3:uid="{FFE24DF1-53F5-4F0D-85A8-821AD0DD5D21}" name="Expected" dataDxfId="23"/>
    <tableColumn id="4" xr3:uid="{F17739FC-EDD6-4C24-9BC4-00D831A214DB}" name="Delta Expected" dataDxfId="22">
      <calculatedColumnFormula>B5-C5</calculatedColumnFormula>
    </tableColumn>
    <tableColumn id="5" xr3:uid="{9922D290-29B1-4649-A0B7-736FFAAD751F}" name="% Expected" dataDxfId="21">
      <calculatedColumnFormula>IFERROR(D5/C5, 0)</calculatedColumnFormula>
    </tableColumn>
    <tableColumn id="6" xr3:uid="{E0F20D67-CF64-4DB5-9891-43DAE7870A57}" name="Forecasted" dataDxfId="20"/>
    <tableColumn id="7" xr3:uid="{B7506C2A-CF60-48F0-9CBE-C399EA28CADD}" name="Delta Forecasted" dataDxfId="19" dataCellStyle="Comma">
      <calculatedColumnFormula>B5-F5</calculatedColumnFormula>
    </tableColumn>
    <tableColumn id="8" xr3:uid="{EF7BC091-BA3E-4351-9BC4-2886D1A83550}" name="% Forecasted" dataDxfId="18">
      <calculatedColumnFormula>IFERROR(G5/F5, 0)</calculatedColumnFormula>
    </tableColumn>
    <tableColumn id="9" xr3:uid="{75C3E152-E127-462B-9819-6CA59D69B362}" name="Notes" dataDxfId="17"/>
    <tableColumn id="10" xr3:uid="{38913920-C5B7-4363-9C7C-6E532777676A}" name="Service Request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978945-6A4B-465A-8797-3FBE915C1B5D}" name="Data181920212223242526272845" displayName="Data181920212223242526272845" ref="A4:J16" totalsRowShown="0" headerRowDxfId="13" dataDxfId="12" headerRowBorderDxfId="10" tableBorderDxfId="11">
  <autoFilter ref="A4:J16" xr:uid="{59A959C2-52B2-422A-A87A-BC08BBF40681}"/>
  <tableColumns count="10">
    <tableColumn id="1" xr3:uid="{7A2E6CEF-31D3-4EC2-B91B-7DF6EC41DEC8}" name="Month" dataDxfId="9"/>
    <tableColumn id="2" xr3:uid="{0972AAF2-BC78-473B-8A5B-EF23AE289276}" name="Actual" dataDxfId="8"/>
    <tableColumn id="3" xr3:uid="{D9E27D5F-8737-4153-89B0-FF3484FFB7A5}" name="Expected" dataDxfId="7"/>
    <tableColumn id="4" xr3:uid="{3022AFA1-2946-49E9-8F67-BF8589C90BF9}" name="Delta Expected" dataDxfId="6">
      <calculatedColumnFormula>B5-C5</calculatedColumnFormula>
    </tableColumn>
    <tableColumn id="5" xr3:uid="{4C93CA42-9C30-4F21-9BAA-2270828CF8DF}" name="% Expected" dataDxfId="5">
      <calculatedColumnFormula>IFERROR(D5/C5, 0)</calculatedColumnFormula>
    </tableColumn>
    <tableColumn id="6" xr3:uid="{887BEA18-B800-483F-95CA-228E0E130ABD}" name="Forecasted" dataDxfId="4"/>
    <tableColumn id="7" xr3:uid="{6E44AE0B-EC18-407F-A3AE-C37BF77EC9B1}" name="Delta Forecasted" dataDxfId="3" dataCellStyle="Comma">
      <calculatedColumnFormula>B5-F5</calculatedColumnFormula>
    </tableColumn>
    <tableColumn id="8" xr3:uid="{C51DD358-817A-4B0D-BEB9-541ED34C0A1F}" name="% Forecasted" dataDxfId="2">
      <calculatedColumnFormula>IFERROR(G5/F5, 0)</calculatedColumnFormula>
    </tableColumn>
    <tableColumn id="9" xr3:uid="{A5F25853-836D-4C01-9F6D-FA5193C2A422}" name="Notes" dataDxfId="1"/>
    <tableColumn id="10" xr3:uid="{352A05B8-BB09-4DB4-8A1F-6BE2C83D45DD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3"/>
  <sheetViews>
    <sheetView workbookViewId="0">
      <pane ySplit="2" topLeftCell="A3" activePane="bottomLeft" state="frozen"/>
      <selection pane="bottomLeft" activeCell="D16" sqref="D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35" t="str" cm="1">
        <f t="array" ref="A1">portfolio</f>
        <v>Agilitas Energy</v>
      </c>
      <c r="B1" s="136"/>
      <c r="C1" s="137" t="s">
        <v>0</v>
      </c>
      <c r="D1" s="138"/>
      <c r="E1" s="138"/>
      <c r="F1" s="139"/>
      <c r="G1" s="128" t="s">
        <v>1</v>
      </c>
      <c r="H1" s="129"/>
      <c r="I1" s="130"/>
    </row>
    <row r="2" spans="1:9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</row>
    <row r="3" spans="1:9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>
        <f ca="1">SUM('1st Qtr'!C3, '2nd Qtr'!C3, '3rd Qtr'!C3, '4th Qtr'!C3)</f>
        <v>23660.310023359001</v>
      </c>
      <c r="D3" s="31">
        <f ca="1">SUM('1st Qtr'!D3, '2nd Qtr'!D3, '3rd Qtr'!D3, '4th Qtr'!D3)</f>
        <v>29500.5</v>
      </c>
      <c r="E3" s="31">
        <f ca="1">C3-D3</f>
        <v>-5840.1899766409988</v>
      </c>
      <c r="F3" s="32">
        <f ca="1">IFERROR(E3/D3, 0)</f>
        <v>-0.1979691861711157</v>
      </c>
      <c r="G3" s="33">
        <f ca="1">SUM('1st Qtr'!G3, '2nd Qtr'!G3, '3rd Qtr'!G3, '4th Qtr'!G3)</f>
        <v>37551.17</v>
      </c>
      <c r="H3" s="33">
        <f ca="1">C3-G3</f>
        <v>-13890.859976640997</v>
      </c>
      <c r="I3" s="34">
        <f ca="1">IFERROR(H3/G3, 0)</f>
        <v>-0.36991816704089375</v>
      </c>
    </row>
    <row r="4" spans="1:9" ht="15.75">
      <c r="A4" s="44" t="str">
        <v>Auburn - Leicester Street Solar</v>
      </c>
      <c r="B4" s="15" t="str">
        <v>MA</v>
      </c>
      <c r="C4" s="31">
        <f ca="1">SUM('1st Qtr'!C4, '2nd Qtr'!C4, '3rd Qtr'!C4, '4th Qtr'!C4)</f>
        <v>172284.33333333401</v>
      </c>
      <c r="D4" s="31">
        <f ca="1">SUM('1st Qtr'!D4, '2nd Qtr'!D4, '3rd Qtr'!D4, '4th Qtr'!D4)</f>
        <v>0</v>
      </c>
      <c r="E4" s="31">
        <f t="shared" ref="E4:E5" ca="1" si="0">C4-D4</f>
        <v>172284.33333333401</v>
      </c>
      <c r="F4" s="32">
        <f t="shared" ref="F4:F5" ca="1" si="1">IFERROR(E4/D4, 0)</f>
        <v>0</v>
      </c>
      <c r="G4" s="33">
        <f ca="1">SUM('1st Qtr'!G4, '2nd Qtr'!G4, '3rd Qtr'!G4, '4th Qtr'!G4)</f>
        <v>0</v>
      </c>
      <c r="H4" s="33">
        <f t="shared" ref="H4:H5" ca="1" si="2">C4-G4</f>
        <v>172284.33333333401</v>
      </c>
      <c r="I4" s="34">
        <f t="shared" ref="I4:I5" ca="1" si="3">IFERROR(H4/G4, 0)</f>
        <v>0</v>
      </c>
    </row>
    <row r="5" spans="1:9" ht="15.75">
      <c r="A5" s="45" t="str">
        <v>Rochester - Old Middleboro</v>
      </c>
      <c r="B5" s="30" t="str">
        <v>MA</v>
      </c>
      <c r="C5" s="31">
        <f ca="1">SUM('1st Qtr'!C5, '2nd Qtr'!C5, '3rd Qtr'!C5, '4th Qtr'!C5)</f>
        <v>406951</v>
      </c>
      <c r="D5" s="31">
        <f ca="1">SUM('1st Qtr'!D5, '2nd Qtr'!D5, '3rd Qtr'!D5, '4th Qtr'!D5)</f>
        <v>473358</v>
      </c>
      <c r="E5" s="31">
        <f t="shared" ca="1" si="0"/>
        <v>-66407</v>
      </c>
      <c r="F5" s="32">
        <f t="shared" ca="1" si="1"/>
        <v>-0.14028916802927172</v>
      </c>
      <c r="G5" s="33">
        <f ca="1">SUM('1st Qtr'!G5, '2nd Qtr'!G5, '3rd Qtr'!G5, '4th Qtr'!G5)</f>
        <v>421672</v>
      </c>
      <c r="H5" s="33">
        <f t="shared" ca="1" si="2"/>
        <v>-14721</v>
      </c>
      <c r="I5" s="34">
        <f t="shared" ca="1" si="3"/>
        <v>-3.4911020888273352E-2</v>
      </c>
    </row>
    <row r="6" spans="1:9" ht="15.75">
      <c r="A6" s="44" t="str">
        <v>Dover - Littleworth Road</v>
      </c>
      <c r="B6" s="15" t="str">
        <v>NH</v>
      </c>
      <c r="C6" s="31">
        <f ca="1">SUM('1st Qtr'!C6, '2nd Qtr'!C6, '3rd Qtr'!C6, '4th Qtr'!C6)</f>
        <v>10197</v>
      </c>
      <c r="D6" s="31">
        <f ca="1">SUM('1st Qtr'!D6, '2nd Qtr'!D6, '3rd Qtr'!D6, '4th Qtr'!D6)</f>
        <v>0</v>
      </c>
      <c r="E6" s="31">
        <f t="shared" ref="E6:E7" ca="1" si="4">C6-D6</f>
        <v>10197</v>
      </c>
      <c r="F6" s="32">
        <f t="shared" ref="F6:F7" ca="1" si="5">IFERROR(E6/D6, 0)</f>
        <v>0</v>
      </c>
      <c r="G6" s="33">
        <f ca="1">SUM('1st Qtr'!G6, '2nd Qtr'!G6, '3rd Qtr'!G6, '4th Qtr'!G6)</f>
        <v>0</v>
      </c>
      <c r="H6" s="33">
        <f t="shared" ref="H6:H7" ca="1" si="6">C6-G6</f>
        <v>10197</v>
      </c>
      <c r="I6" s="34">
        <f t="shared" ref="I6:I7" ca="1" si="7">IFERROR(H6/G6, 0)</f>
        <v>0</v>
      </c>
    </row>
    <row r="7" spans="1:9" ht="15.75">
      <c r="A7" s="45" t="str">
        <v>Milton - Landfill</v>
      </c>
      <c r="B7" s="30" t="str">
        <v>NH</v>
      </c>
      <c r="C7" s="31">
        <f ca="1">SUM('1st Qtr'!C7, '2nd Qtr'!C7, '3rd Qtr'!C7, '4th Qtr'!C7)</f>
        <v>30705</v>
      </c>
      <c r="D7" s="31">
        <f ca="1">SUM('1st Qtr'!D7, '2nd Qtr'!D7, '3rd Qtr'!D7, '4th Qtr'!D7)</f>
        <v>0</v>
      </c>
      <c r="E7" s="31">
        <f t="shared" ca="1" si="4"/>
        <v>30705</v>
      </c>
      <c r="F7" s="32">
        <f t="shared" ca="1" si="5"/>
        <v>0</v>
      </c>
      <c r="G7" s="33">
        <f ca="1">SUM('1st Qtr'!G7, '2nd Qtr'!G7, '3rd Qtr'!G7, '4th Qtr'!G7)</f>
        <v>0</v>
      </c>
      <c r="H7" s="33">
        <f t="shared" ca="1" si="6"/>
        <v>30705</v>
      </c>
      <c r="I7" s="34">
        <f t="shared" ca="1" si="7"/>
        <v>0</v>
      </c>
    </row>
    <row r="8" spans="1:9" ht="24.75" customHeight="1">
      <c r="A8" s="131" t="s">
        <v>9</v>
      </c>
      <c r="B8" s="132"/>
      <c r="C8" s="46">
        <f ca="1">SUM(C3:C7)</f>
        <v>643797.64335669298</v>
      </c>
      <c r="D8" s="46">
        <f ca="1">SUM(D3:D7)</f>
        <v>502858.5</v>
      </c>
      <c r="E8" s="46">
        <f ca="1">C8-D8</f>
        <v>140939.14335669298</v>
      </c>
      <c r="F8" s="37">
        <f ca="1">IFERROR(E8/D8, 0)</f>
        <v>0.28027594911231085</v>
      </c>
      <c r="G8" s="46">
        <f ca="1">SUM(G3:G7)</f>
        <v>459223.17</v>
      </c>
      <c r="H8" s="47">
        <f ca="1">C8-G8</f>
        <v>184574.47335669299</v>
      </c>
      <c r="I8" s="38">
        <f ca="1">IFERROR(H8/G8, 0)</f>
        <v>0.40192761475143557</v>
      </c>
    </row>
    <row r="10" spans="1:9" ht="12.75" customHeight="1">
      <c r="A10" s="133" t="s">
        <v>10</v>
      </c>
    </row>
    <row r="11" spans="1:9">
      <c r="A11" s="133"/>
    </row>
    <row r="12" spans="1:9">
      <c r="A12" s="134" t="s">
        <v>11</v>
      </c>
    </row>
    <row r="13" spans="1:9" ht="12.75" customHeight="1">
      <c r="A13" s="134"/>
    </row>
  </sheetData>
  <autoFilter ref="A2:I2" xr:uid="{D5C25034-9971-4A61-864F-C938F31EB1B8}"/>
  <mergeCells count="6">
    <mergeCell ref="G1:I1"/>
    <mergeCell ref="A8:B8"/>
    <mergeCell ref="A10:A11"/>
    <mergeCell ref="A12:A13"/>
    <mergeCell ref="A1:B1"/>
    <mergeCell ref="C1:F1"/>
  </mergeCells>
  <conditionalFormatting sqref="F3:F8 I3:I8">
    <cfRule type="cellIs" dxfId="116" priority="1" operator="lessThanOrEqual">
      <formula>-0.1</formula>
    </cfRule>
    <cfRule type="cellIs" dxfId="11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35" t="str" cm="1">
        <f t="array" ref="A1">portfolio</f>
        <v>Agilitas Energy</v>
      </c>
      <c r="B1" s="136"/>
      <c r="C1" s="137" t="s">
        <v>12</v>
      </c>
      <c r="D1" s="138"/>
      <c r="E1" s="138"/>
      <c r="F1" s="139"/>
      <c r="G1" s="129" t="s">
        <v>13</v>
      </c>
      <c r="H1" s="129"/>
      <c r="I1" s="130"/>
    </row>
    <row r="2" spans="1:9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</row>
    <row r="3" spans="1:9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>
        <f ca="1">SUM(Jan!C3, Feb!C3, Mar!C3)</f>
        <v>23660.310023359001</v>
      </c>
      <c r="D3" s="31">
        <f ca="1">SUM(Jan!D3, Feb!D3, Mar!D3)</f>
        <v>29500.5</v>
      </c>
      <c r="E3" s="31">
        <f ca="1">C3-D3</f>
        <v>-5840.1899766409988</v>
      </c>
      <c r="F3" s="32">
        <f ca="1">IFERROR(E3/D3, 0)</f>
        <v>-0.1979691861711157</v>
      </c>
      <c r="G3" s="33">
        <f ca="1">SUM(Jan!G3, Feb!G3, Mar!G3)</f>
        <v>37551.17</v>
      </c>
      <c r="H3" s="33">
        <f ca="1">C3-G3</f>
        <v>-13890.859976640997</v>
      </c>
      <c r="I3" s="34">
        <f ca="1">IFERROR(H3/G3, 0)</f>
        <v>-0.36991816704089375</v>
      </c>
    </row>
    <row r="4" spans="1:9" ht="15.75">
      <c r="A4" s="44" t="str">
        <v>Auburn - Leicester Street Solar</v>
      </c>
      <c r="B4" s="15" t="str">
        <v>MA</v>
      </c>
      <c r="C4" s="31">
        <f ca="1">SUM(Jan!C4, Feb!C4, Mar!C4)</f>
        <v>172284.33333333401</v>
      </c>
      <c r="D4" s="31">
        <f ca="1">SUM(Jan!D4, Feb!D4, Mar!D4)</f>
        <v>0</v>
      </c>
      <c r="E4" s="31">
        <f t="shared" ref="E4:E5" ca="1" si="0">C4-D4</f>
        <v>172284.33333333401</v>
      </c>
      <c r="F4" s="32">
        <f t="shared" ref="F4:F5" ca="1" si="1">IFERROR(E4/D4, 0)</f>
        <v>0</v>
      </c>
      <c r="G4" s="33">
        <f ca="1">SUM(Jan!G4, Feb!G4, Mar!G4)</f>
        <v>0</v>
      </c>
      <c r="H4" s="33">
        <f t="shared" ref="H4:H5" ca="1" si="2">C4-G4</f>
        <v>172284.33333333401</v>
      </c>
      <c r="I4" s="34">
        <f t="shared" ref="I4:I5" ca="1" si="3">IFERROR(H4/G4, 0)</f>
        <v>0</v>
      </c>
    </row>
    <row r="5" spans="1:9" ht="15.75">
      <c r="A5" s="45" t="str">
        <v>Rochester - Old Middleboro</v>
      </c>
      <c r="B5" s="30" t="str">
        <v>MA</v>
      </c>
      <c r="C5" s="31">
        <f ca="1">SUM(Jan!C5, Feb!C5, Mar!C5)</f>
        <v>406951</v>
      </c>
      <c r="D5" s="31">
        <f ca="1">SUM(Jan!D5, Feb!D5, Mar!D5)</f>
        <v>473358</v>
      </c>
      <c r="E5" s="31">
        <f t="shared" ca="1" si="0"/>
        <v>-66407</v>
      </c>
      <c r="F5" s="32">
        <f t="shared" ca="1" si="1"/>
        <v>-0.14028916802927172</v>
      </c>
      <c r="G5" s="33">
        <f ca="1">SUM(Jan!G5, Feb!G5, Mar!G5)</f>
        <v>421672</v>
      </c>
      <c r="H5" s="33">
        <f t="shared" ca="1" si="2"/>
        <v>-14721</v>
      </c>
      <c r="I5" s="34">
        <f t="shared" ca="1" si="3"/>
        <v>-3.4911020888273352E-2</v>
      </c>
    </row>
    <row r="6" spans="1:9" ht="15.75">
      <c r="A6" s="44" t="str">
        <v>Dover - Littleworth Road</v>
      </c>
      <c r="B6" s="15" t="str">
        <v>NH</v>
      </c>
      <c r="C6" s="31">
        <f ca="1">SUM(Jan!C6, Feb!C6, Mar!C6)</f>
        <v>10197</v>
      </c>
      <c r="D6" s="31">
        <f ca="1">SUM(Jan!D6, Feb!D6, Mar!D6)</f>
        <v>0</v>
      </c>
      <c r="E6" s="31">
        <f t="shared" ref="E6:E7" ca="1" si="4">C6-D6</f>
        <v>10197</v>
      </c>
      <c r="F6" s="32">
        <f t="shared" ref="F6:F7" ca="1" si="5">IFERROR(E6/D6, 0)</f>
        <v>0</v>
      </c>
      <c r="G6" s="33">
        <f ca="1">SUM(Jan!G6, Feb!G6, Mar!G6)</f>
        <v>0</v>
      </c>
      <c r="H6" s="33">
        <f t="shared" ref="H6:H7" ca="1" si="6">C6-G6</f>
        <v>10197</v>
      </c>
      <c r="I6" s="34">
        <f t="shared" ref="I6:I7" ca="1" si="7">IFERROR(H6/G6, 0)</f>
        <v>0</v>
      </c>
    </row>
    <row r="7" spans="1:9" ht="15.75">
      <c r="A7" s="45" t="str">
        <v>Milton - Landfill</v>
      </c>
      <c r="B7" s="30" t="str">
        <v>NH</v>
      </c>
      <c r="C7" s="31">
        <f ca="1">SUM(Jan!C7, Feb!C7, Mar!C7)</f>
        <v>30705</v>
      </c>
      <c r="D7" s="31">
        <f ca="1">SUM(Jan!D7, Feb!D7, Mar!D7)</f>
        <v>0</v>
      </c>
      <c r="E7" s="31">
        <f t="shared" ca="1" si="4"/>
        <v>30705</v>
      </c>
      <c r="F7" s="32">
        <f t="shared" ca="1" si="5"/>
        <v>0</v>
      </c>
      <c r="G7" s="33">
        <f ca="1">SUM(Jan!G7, Feb!G7, Mar!G7)</f>
        <v>0</v>
      </c>
      <c r="H7" s="33">
        <f t="shared" ca="1" si="6"/>
        <v>30705</v>
      </c>
      <c r="I7" s="34">
        <f t="shared" ca="1" si="7"/>
        <v>0</v>
      </c>
    </row>
    <row r="8" spans="1:9" ht="24.75" customHeight="1">
      <c r="A8" s="131" t="s">
        <v>9</v>
      </c>
      <c r="B8" s="132"/>
      <c r="C8" s="46">
        <f ca="1">SUM(C3:C7)</f>
        <v>643797.64335669298</v>
      </c>
      <c r="D8" s="46">
        <f ca="1">SUM(D3:D7)</f>
        <v>502858.5</v>
      </c>
      <c r="E8" s="46">
        <f ca="1">C8-D8</f>
        <v>140939.14335669298</v>
      </c>
      <c r="F8" s="37">
        <f ca="1">IFERROR(E8/D8, 0)</f>
        <v>0.28027594911231085</v>
      </c>
      <c r="G8" s="46">
        <f ca="1">SUM(G3:G7)</f>
        <v>459223.17</v>
      </c>
      <c r="H8" s="47">
        <f ca="1">C8-G8</f>
        <v>184574.47335669299</v>
      </c>
      <c r="I8" s="38">
        <f ca="1">IFERROR(H8/G8, 0)</f>
        <v>0.40192761475143557</v>
      </c>
    </row>
    <row r="10" spans="1:9" ht="12.75" customHeight="1">
      <c r="A10" s="133" t="s">
        <v>10</v>
      </c>
    </row>
    <row r="11" spans="1:9">
      <c r="A11" s="133"/>
    </row>
    <row r="12" spans="1:9">
      <c r="A12" s="134" t="s">
        <v>11</v>
      </c>
    </row>
    <row r="13" spans="1:9" ht="12.75" customHeight="1">
      <c r="A13" s="134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8:B8"/>
    <mergeCell ref="A10:A11"/>
    <mergeCell ref="A12:A13"/>
    <mergeCell ref="A1:B1"/>
    <mergeCell ref="C1:F1"/>
  </mergeCells>
  <conditionalFormatting sqref="F3:F8 I3:I8">
    <cfRule type="cellIs" dxfId="114" priority="1" operator="lessThanOrEqual">
      <formula>-0.1</formula>
    </cfRule>
    <cfRule type="cellIs" dxfId="113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35" t="str" cm="1">
        <f t="array" ref="A1">portfolio</f>
        <v>Agilitas Energy</v>
      </c>
      <c r="B1" s="136"/>
      <c r="C1" s="137" t="s">
        <v>14</v>
      </c>
      <c r="D1" s="138"/>
      <c r="E1" s="138"/>
      <c r="F1" s="139"/>
      <c r="G1" s="129" t="s">
        <v>15</v>
      </c>
      <c r="H1" s="129"/>
      <c r="I1" s="130"/>
    </row>
    <row r="2" spans="1:9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</row>
    <row r="3" spans="1:9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>
        <f ca="1">SUM(Apr!C3, May!C3, Jun!C3)</f>
        <v>0</v>
      </c>
      <c r="D3" s="31">
        <f ca="1">SUM(Apr!D3, May!D3, Jun!D3)</f>
        <v>0</v>
      </c>
      <c r="E3" s="31">
        <f ca="1">C3-D3</f>
        <v>0</v>
      </c>
      <c r="F3" s="32">
        <f ca="1">IFERROR(E3/D3, 0)</f>
        <v>0</v>
      </c>
      <c r="G3" s="33">
        <f ca="1">SUM(Apr!G3, May!G3, Jun!G3)</f>
        <v>0</v>
      </c>
      <c r="H3" s="33">
        <f ca="1">C3-G3</f>
        <v>0</v>
      </c>
      <c r="I3" s="34">
        <f ca="1">IFERROR(H3/G3, 0)</f>
        <v>0</v>
      </c>
    </row>
    <row r="4" spans="1:9" ht="15.75">
      <c r="A4" s="44" t="str">
        <v>Auburn - Leicester Street Solar</v>
      </c>
      <c r="B4" s="15" t="str">
        <v>MA</v>
      </c>
      <c r="C4" s="31">
        <f ca="1">SUM(Apr!C4, May!C4, Jun!C4)</f>
        <v>0</v>
      </c>
      <c r="D4" s="31">
        <f ca="1">SUM(Apr!D4, May!D4, Jun!D4)</f>
        <v>0</v>
      </c>
      <c r="E4" s="31">
        <f t="shared" ref="E4:E5" ca="1" si="0">C4-D4</f>
        <v>0</v>
      </c>
      <c r="F4" s="32">
        <f t="shared" ref="F4:F5" ca="1" si="1">IFERROR(E4/D4, 0)</f>
        <v>0</v>
      </c>
      <c r="G4" s="33">
        <f ca="1">SUM(Apr!G4, May!G4, Jun!G4)</f>
        <v>0</v>
      </c>
      <c r="H4" s="33">
        <f t="shared" ref="H4:H5" ca="1" si="2">C4-G4</f>
        <v>0</v>
      </c>
      <c r="I4" s="34">
        <f t="shared" ref="I4:I5" ca="1" si="3">IFERROR(H4/G4, 0)</f>
        <v>0</v>
      </c>
    </row>
    <row r="5" spans="1:9" ht="15.75">
      <c r="A5" s="45" t="str">
        <v>Rochester - Old Middleboro</v>
      </c>
      <c r="B5" s="30" t="str">
        <v>MA</v>
      </c>
      <c r="C5" s="31">
        <f ca="1">SUM(Apr!C5, May!C5, Jun!C5)</f>
        <v>0</v>
      </c>
      <c r="D5" s="31">
        <f ca="1">SUM(Apr!D5, May!D5, Jun!D5)</f>
        <v>0</v>
      </c>
      <c r="E5" s="31">
        <f t="shared" ca="1" si="0"/>
        <v>0</v>
      </c>
      <c r="F5" s="32">
        <f t="shared" ca="1" si="1"/>
        <v>0</v>
      </c>
      <c r="G5" s="33">
        <f ca="1">SUM(Apr!G5, May!G5, Jun!G5)</f>
        <v>0</v>
      </c>
      <c r="H5" s="33">
        <f t="shared" ca="1" si="2"/>
        <v>0</v>
      </c>
      <c r="I5" s="34">
        <f t="shared" ca="1" si="3"/>
        <v>0</v>
      </c>
    </row>
    <row r="6" spans="1:9" ht="15.75">
      <c r="A6" s="44" t="str">
        <v>Dover - Littleworth Road</v>
      </c>
      <c r="B6" s="15" t="str">
        <v>NH</v>
      </c>
      <c r="C6" s="31">
        <f ca="1">SUM(Apr!C6, May!C6, Jun!C6)</f>
        <v>0</v>
      </c>
      <c r="D6" s="31">
        <f ca="1">SUM(Apr!D6, May!D6, Jun!D6)</f>
        <v>0</v>
      </c>
      <c r="E6" s="31">
        <f t="shared" ref="E6:E7" ca="1" si="4">C6-D6</f>
        <v>0</v>
      </c>
      <c r="F6" s="32">
        <f t="shared" ref="F6:F7" ca="1" si="5">IFERROR(E6/D6, 0)</f>
        <v>0</v>
      </c>
      <c r="G6" s="33">
        <f ca="1">SUM(Apr!G6, May!G6, Jun!G6)</f>
        <v>0</v>
      </c>
      <c r="H6" s="33">
        <f t="shared" ref="H6:H7" ca="1" si="6">C6-G6</f>
        <v>0</v>
      </c>
      <c r="I6" s="34">
        <f t="shared" ref="I6:I7" ca="1" si="7">IFERROR(H6/G6, 0)</f>
        <v>0</v>
      </c>
    </row>
    <row r="7" spans="1:9" ht="15.75">
      <c r="A7" s="45" t="str">
        <v>Milton - Landfill</v>
      </c>
      <c r="B7" s="30" t="str">
        <v>NH</v>
      </c>
      <c r="C7" s="31">
        <f ca="1">SUM(Apr!C7, May!C7, Jun!C7)</f>
        <v>0</v>
      </c>
      <c r="D7" s="31">
        <f ca="1">SUM(Apr!D7, May!D7, Jun!D7)</f>
        <v>0</v>
      </c>
      <c r="E7" s="31">
        <f t="shared" ca="1" si="4"/>
        <v>0</v>
      </c>
      <c r="F7" s="32">
        <f t="shared" ca="1" si="5"/>
        <v>0</v>
      </c>
      <c r="G7" s="33">
        <f ca="1">SUM(Apr!G7, May!G7, Jun!G7)</f>
        <v>0</v>
      </c>
      <c r="H7" s="33">
        <f t="shared" ca="1" si="6"/>
        <v>0</v>
      </c>
      <c r="I7" s="34">
        <f t="shared" ca="1" si="7"/>
        <v>0</v>
      </c>
    </row>
    <row r="8" spans="1:9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</row>
    <row r="10" spans="1:9" ht="12.75" customHeight="1">
      <c r="A10" s="133" t="s">
        <v>10</v>
      </c>
    </row>
    <row r="11" spans="1:9">
      <c r="A11" s="133"/>
    </row>
    <row r="12" spans="1:9">
      <c r="A12" s="134" t="s">
        <v>11</v>
      </c>
    </row>
    <row r="13" spans="1:9" ht="12.75" customHeight="1">
      <c r="A13" s="134"/>
    </row>
  </sheetData>
  <autoFilter ref="A2:I2" xr:uid="{38E74E64-E3A4-43F8-9B1A-78F26543F23E}"/>
  <sortState xmlns:xlrd2="http://schemas.microsoft.com/office/spreadsheetml/2017/richdata2" ref="A3:I6">
    <sortCondition ref="A3:A6"/>
  </sortState>
  <mergeCells count="6">
    <mergeCell ref="G1:I1"/>
    <mergeCell ref="A8:B8"/>
    <mergeCell ref="A10:A11"/>
    <mergeCell ref="A12:A13"/>
    <mergeCell ref="A1:B1"/>
    <mergeCell ref="C1:F1"/>
  </mergeCells>
  <conditionalFormatting sqref="F3:F8 I3:I8">
    <cfRule type="cellIs" dxfId="112" priority="1" operator="lessThanOrEqual">
      <formula>-0.1</formula>
    </cfRule>
    <cfRule type="cellIs" dxfId="11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35" t="str" cm="1">
        <f t="array" ref="A1">portfolio</f>
        <v>Agilitas Energy</v>
      </c>
      <c r="B1" s="136"/>
      <c r="C1" s="137" t="s">
        <v>16</v>
      </c>
      <c r="D1" s="138"/>
      <c r="E1" s="138"/>
      <c r="F1" s="139"/>
      <c r="G1" s="129" t="s">
        <v>17</v>
      </c>
      <c r="H1" s="129"/>
      <c r="I1" s="130"/>
    </row>
    <row r="2" spans="1:9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</row>
    <row r="3" spans="1:9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>
        <f ca="1">SUM(Jul!C3, Aug!C3, Sep!C3)</f>
        <v>0</v>
      </c>
      <c r="D3" s="31">
        <f ca="1">SUM(Jul!D3, Aug!D3, Sep!D3)</f>
        <v>0</v>
      </c>
      <c r="E3" s="31">
        <f ca="1">C3-D3</f>
        <v>0</v>
      </c>
      <c r="F3" s="32">
        <f ca="1">IFERROR(E3/D3, 0)</f>
        <v>0</v>
      </c>
      <c r="G3" s="33">
        <f ca="1">SUM(Jul!G3, Aug!G3, Sep!G3)</f>
        <v>0</v>
      </c>
      <c r="H3" s="33">
        <f ca="1">C3-G3</f>
        <v>0</v>
      </c>
      <c r="I3" s="34">
        <f ca="1">IFERROR(H3/G3, 0)</f>
        <v>0</v>
      </c>
    </row>
    <row r="4" spans="1:9" ht="15.75">
      <c r="A4" s="44" t="str">
        <v>Auburn - Leicester Street Solar</v>
      </c>
      <c r="B4" s="15" t="str">
        <v>MA</v>
      </c>
      <c r="C4" s="31">
        <f ca="1">SUM(Jul!C4, Aug!C4, Sep!C4)</f>
        <v>0</v>
      </c>
      <c r="D4" s="31">
        <f ca="1">SUM(Jul!D4, Aug!D4, Sep!D4)</f>
        <v>0</v>
      </c>
      <c r="E4" s="31">
        <f t="shared" ref="E4:E5" ca="1" si="0">C4-D4</f>
        <v>0</v>
      </c>
      <c r="F4" s="32">
        <f t="shared" ref="F4:F5" ca="1" si="1">IFERROR(E4/D4, 0)</f>
        <v>0</v>
      </c>
      <c r="G4" s="33">
        <f ca="1">SUM(Jul!G4, Aug!G4, Sep!G4)</f>
        <v>0</v>
      </c>
      <c r="H4" s="33">
        <f t="shared" ref="H4:H5" ca="1" si="2">C4-G4</f>
        <v>0</v>
      </c>
      <c r="I4" s="34">
        <f t="shared" ref="I4:I5" ca="1" si="3">IFERROR(H4/G4, 0)</f>
        <v>0</v>
      </c>
    </row>
    <row r="5" spans="1:9" ht="15.75">
      <c r="A5" s="45" t="str">
        <v>Rochester - Old Middleboro</v>
      </c>
      <c r="B5" s="30" t="str">
        <v>MA</v>
      </c>
      <c r="C5" s="31">
        <f ca="1">SUM(Jul!C5, Aug!C5, Sep!C5)</f>
        <v>0</v>
      </c>
      <c r="D5" s="31">
        <f ca="1">SUM(Jul!D5, Aug!D5, Sep!D5)</f>
        <v>0</v>
      </c>
      <c r="E5" s="31">
        <f t="shared" ca="1" si="0"/>
        <v>0</v>
      </c>
      <c r="F5" s="32">
        <f t="shared" ca="1" si="1"/>
        <v>0</v>
      </c>
      <c r="G5" s="33">
        <f ca="1">SUM(Jul!G5, Aug!G5, Sep!G5)</f>
        <v>0</v>
      </c>
      <c r="H5" s="33">
        <f t="shared" ca="1" si="2"/>
        <v>0</v>
      </c>
      <c r="I5" s="34">
        <f t="shared" ca="1" si="3"/>
        <v>0</v>
      </c>
    </row>
    <row r="6" spans="1:9" ht="15.75">
      <c r="A6" s="44" t="str">
        <v>Dover - Littleworth Road</v>
      </c>
      <c r="B6" s="15" t="str">
        <v>NH</v>
      </c>
      <c r="C6" s="31">
        <f ca="1">SUM(Jul!C6, Aug!C6, Sep!C6)</f>
        <v>0</v>
      </c>
      <c r="D6" s="31">
        <f ca="1">SUM(Jul!D6, Aug!D6, Sep!D6)</f>
        <v>0</v>
      </c>
      <c r="E6" s="31">
        <f t="shared" ref="E6:E7" ca="1" si="4">C6-D6</f>
        <v>0</v>
      </c>
      <c r="F6" s="32">
        <f t="shared" ref="F6:F7" ca="1" si="5">IFERROR(E6/D6, 0)</f>
        <v>0</v>
      </c>
      <c r="G6" s="33">
        <f ca="1">SUM(Jul!G6, Aug!G6, Sep!G6)</f>
        <v>0</v>
      </c>
      <c r="H6" s="33">
        <f t="shared" ref="H6:H7" ca="1" si="6">C6-G6</f>
        <v>0</v>
      </c>
      <c r="I6" s="34">
        <f t="shared" ref="I6:I7" ca="1" si="7">IFERROR(H6/G6, 0)</f>
        <v>0</v>
      </c>
    </row>
    <row r="7" spans="1:9" ht="15.75">
      <c r="A7" s="45" t="str">
        <v>Milton - Landfill</v>
      </c>
      <c r="B7" s="30" t="str">
        <v>NH</v>
      </c>
      <c r="C7" s="31">
        <f ca="1">SUM(Jul!C7, Aug!C7, Sep!C7)</f>
        <v>0</v>
      </c>
      <c r="D7" s="31">
        <f ca="1">SUM(Jul!D7, Aug!D7, Sep!D7)</f>
        <v>0</v>
      </c>
      <c r="E7" s="31">
        <f t="shared" ca="1" si="4"/>
        <v>0</v>
      </c>
      <c r="F7" s="32">
        <f t="shared" ca="1" si="5"/>
        <v>0</v>
      </c>
      <c r="G7" s="33">
        <f ca="1">SUM(Jul!G7, Aug!G7, Sep!G7)</f>
        <v>0</v>
      </c>
      <c r="H7" s="33">
        <f t="shared" ca="1" si="6"/>
        <v>0</v>
      </c>
      <c r="I7" s="34">
        <f t="shared" ca="1" si="7"/>
        <v>0</v>
      </c>
    </row>
    <row r="8" spans="1:9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</row>
    <row r="10" spans="1:9" ht="12.75" customHeight="1">
      <c r="A10" s="133" t="s">
        <v>10</v>
      </c>
    </row>
    <row r="11" spans="1:9">
      <c r="A11" s="133"/>
    </row>
    <row r="12" spans="1:9" ht="12.75" customHeight="1">
      <c r="A12" s="134" t="s">
        <v>11</v>
      </c>
    </row>
    <row r="13" spans="1:9">
      <c r="A13" s="134"/>
    </row>
  </sheetData>
  <autoFilter ref="A2:I2" xr:uid="{CACFAF7D-C0A7-49C0-9FFC-8D8BC8F00BC8}"/>
  <mergeCells count="6">
    <mergeCell ref="G1:I1"/>
    <mergeCell ref="A8:B8"/>
    <mergeCell ref="A10:A11"/>
    <mergeCell ref="A12:A13"/>
    <mergeCell ref="A1:B1"/>
    <mergeCell ref="C1:F1"/>
  </mergeCells>
  <conditionalFormatting sqref="F3:F8 I3:I8">
    <cfRule type="cellIs" dxfId="110" priority="1" operator="lessThanOrEqual">
      <formula>-0.1</formula>
    </cfRule>
    <cfRule type="cellIs" dxfId="10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3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135" t="str" cm="1">
        <f t="array" ref="A1">portfolio</f>
        <v>Agilitas Energy</v>
      </c>
      <c r="B1" s="136"/>
      <c r="C1" s="137" t="s">
        <v>18</v>
      </c>
      <c r="D1" s="138"/>
      <c r="E1" s="138"/>
      <c r="F1" s="139"/>
      <c r="G1" s="129" t="s">
        <v>19</v>
      </c>
      <c r="H1" s="129"/>
      <c r="I1" s="130"/>
    </row>
    <row r="2" spans="1:9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</row>
    <row r="3" spans="1:9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>
        <f ca="1">SUM(Oct!C3, Nov!C3, Dec!C3)</f>
        <v>0</v>
      </c>
      <c r="D3" s="31">
        <f ca="1">SUM(Oct!D3, Nov!D3, Dec!D3)</f>
        <v>0</v>
      </c>
      <c r="E3" s="31">
        <f ca="1">C3-D3</f>
        <v>0</v>
      </c>
      <c r="F3" s="32">
        <f ca="1">IFERROR(E3/D3, 0)</f>
        <v>0</v>
      </c>
      <c r="G3" s="33">
        <f ca="1">SUM(Oct!G3, Nov!G3, Dec!G3)</f>
        <v>0</v>
      </c>
      <c r="H3" s="33">
        <f ca="1">C3-G3</f>
        <v>0</v>
      </c>
      <c r="I3" s="34">
        <f ca="1">IFERROR(H3/G3, 0)</f>
        <v>0</v>
      </c>
    </row>
    <row r="4" spans="1:9" ht="15.75">
      <c r="A4" s="44" t="str">
        <v>Auburn - Leicester Street Solar</v>
      </c>
      <c r="B4" s="15" t="str">
        <v>MA</v>
      </c>
      <c r="C4" s="31">
        <f ca="1">SUM(Oct!C4, Nov!C4, Dec!C4)</f>
        <v>0</v>
      </c>
      <c r="D4" s="31">
        <f ca="1">SUM(Oct!D4, Nov!D4, Dec!D4)</f>
        <v>0</v>
      </c>
      <c r="E4" s="31">
        <f t="shared" ref="E4:E5" ca="1" si="0">C4-D4</f>
        <v>0</v>
      </c>
      <c r="F4" s="32">
        <f t="shared" ref="F4:F5" ca="1" si="1">IFERROR(E4/D4, 0)</f>
        <v>0</v>
      </c>
      <c r="G4" s="33">
        <f ca="1">SUM(Oct!G4, Nov!G4, Dec!G4)</f>
        <v>0</v>
      </c>
      <c r="H4" s="33">
        <f t="shared" ref="H4:H5" ca="1" si="2">C4-G4</f>
        <v>0</v>
      </c>
      <c r="I4" s="34">
        <f t="shared" ref="I4:I5" ca="1" si="3">IFERROR(H4/G4, 0)</f>
        <v>0</v>
      </c>
    </row>
    <row r="5" spans="1:9" ht="15.75">
      <c r="A5" s="45" t="str">
        <v>Rochester - Old Middleboro</v>
      </c>
      <c r="B5" s="30" t="str">
        <v>MA</v>
      </c>
      <c r="C5" s="31">
        <f ca="1">SUM(Oct!C5, Nov!C5, Dec!C5)</f>
        <v>0</v>
      </c>
      <c r="D5" s="31">
        <f ca="1">SUM(Oct!D5, Nov!D5, Dec!D5)</f>
        <v>0</v>
      </c>
      <c r="E5" s="31">
        <f t="shared" ca="1" si="0"/>
        <v>0</v>
      </c>
      <c r="F5" s="32">
        <f t="shared" ca="1" si="1"/>
        <v>0</v>
      </c>
      <c r="G5" s="33">
        <f ca="1">SUM(Oct!G5, Nov!G5, Dec!G5)</f>
        <v>0</v>
      </c>
      <c r="H5" s="33">
        <f t="shared" ca="1" si="2"/>
        <v>0</v>
      </c>
      <c r="I5" s="34">
        <f t="shared" ca="1" si="3"/>
        <v>0</v>
      </c>
    </row>
    <row r="6" spans="1:9" ht="15.75">
      <c r="A6" s="44" t="str">
        <v>Dover - Littleworth Road</v>
      </c>
      <c r="B6" s="15" t="str">
        <v>NH</v>
      </c>
      <c r="C6" s="31">
        <f ca="1">SUM(Oct!C6, Nov!C6, Dec!C6)</f>
        <v>0</v>
      </c>
      <c r="D6" s="31">
        <f ca="1">SUM(Oct!D6, Nov!D6, Dec!D6)</f>
        <v>0</v>
      </c>
      <c r="E6" s="31">
        <f t="shared" ref="E6:E7" ca="1" si="4">C6-D6</f>
        <v>0</v>
      </c>
      <c r="F6" s="32">
        <f t="shared" ref="F6:F7" ca="1" si="5">IFERROR(E6/D6, 0)</f>
        <v>0</v>
      </c>
      <c r="G6" s="33">
        <f ca="1">SUM(Oct!G6, Nov!G6, Dec!G6)</f>
        <v>0</v>
      </c>
      <c r="H6" s="33">
        <f t="shared" ref="H6:H7" ca="1" si="6">C6-G6</f>
        <v>0</v>
      </c>
      <c r="I6" s="34">
        <f t="shared" ref="I6:I7" ca="1" si="7">IFERROR(H6/G6, 0)</f>
        <v>0</v>
      </c>
    </row>
    <row r="7" spans="1:9" ht="15.75">
      <c r="A7" s="45" t="str">
        <v>Milton - Landfill</v>
      </c>
      <c r="B7" s="30" t="str">
        <v>NH</v>
      </c>
      <c r="C7" s="31">
        <f ca="1">SUM(Oct!C7, Nov!C7, Dec!C7)</f>
        <v>0</v>
      </c>
      <c r="D7" s="31">
        <f ca="1">SUM(Oct!D7, Nov!D7, Dec!D7)</f>
        <v>0</v>
      </c>
      <c r="E7" s="31">
        <f t="shared" ca="1" si="4"/>
        <v>0</v>
      </c>
      <c r="F7" s="32">
        <f t="shared" ca="1" si="5"/>
        <v>0</v>
      </c>
      <c r="G7" s="33">
        <f ca="1">SUM(Oct!G7, Nov!G7, Dec!G7)</f>
        <v>0</v>
      </c>
      <c r="H7" s="33">
        <f t="shared" ca="1" si="6"/>
        <v>0</v>
      </c>
      <c r="I7" s="34">
        <f t="shared" ca="1" si="7"/>
        <v>0</v>
      </c>
    </row>
    <row r="8" spans="1:9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</row>
    <row r="10" spans="1:9" ht="12.75" customHeight="1">
      <c r="A10" s="133" t="s">
        <v>10</v>
      </c>
    </row>
    <row r="11" spans="1:9">
      <c r="A11" s="133"/>
    </row>
    <row r="12" spans="1:9">
      <c r="A12" s="134" t="s">
        <v>11</v>
      </c>
    </row>
    <row r="13" spans="1:9" ht="12.75" customHeight="1">
      <c r="A13" s="134"/>
    </row>
  </sheetData>
  <autoFilter ref="A2:I2" xr:uid="{CE62352A-0CAA-4862-87B6-A6A1C7531211}"/>
  <mergeCells count="6">
    <mergeCell ref="G1:I1"/>
    <mergeCell ref="A8:B8"/>
    <mergeCell ref="A10:A11"/>
    <mergeCell ref="A12:A13"/>
    <mergeCell ref="A1:B1"/>
    <mergeCell ref="C1:F1"/>
  </mergeCells>
  <conditionalFormatting sqref="F3:F8 I3:I8">
    <cfRule type="cellIs" dxfId="108" priority="1" operator="lessThanOrEqual">
      <formula>-0.1</formula>
    </cfRule>
    <cfRule type="cellIs" dxfId="10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4"/>
  <sheetViews>
    <sheetView workbookViewId="0">
      <pane ySplit="2" topLeftCell="A3" activePane="bottomLeft" state="frozen"/>
      <selection pane="bottomLeft" activeCell="W5" sqref="W5:X5"/>
      <selection activeCell="J16" sqref="J16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40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20</v>
      </c>
      <c r="D1" s="138"/>
      <c r="E1" s="138"/>
      <c r="F1" s="139"/>
      <c r="G1" s="129" t="s">
        <v>21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cm="1">
        <f t="array" aca="1" ref="C3:K3" ca="1">IF(INDIRECT("'" &amp; $A3 &amp; "'!B5:J5")="", "", INDIRECT("'" &amp; $A3 &amp; "'!B5:J5"))</f>
        <v>23660.310023359001</v>
      </c>
      <c r="D3" s="31">
        <f ca="1"/>
        <v>29500.5</v>
      </c>
      <c r="E3" s="31">
        <f ca="1"/>
        <v>-5840.1899766409988</v>
      </c>
      <c r="F3" s="32">
        <f ca="1"/>
        <v>-0.1979691861711157</v>
      </c>
      <c r="G3" s="33">
        <f ca="1"/>
        <v>37551.17</v>
      </c>
      <c r="H3" s="33">
        <f ca="1"/>
        <v>-13890.859976640997</v>
      </c>
      <c r="I3" s="34">
        <f ca="1"/>
        <v>-0.36991816704089375</v>
      </c>
      <c r="J3" s="82" t="str">
        <f ca="1"/>
        <v/>
      </c>
      <c r="K3" s="82" t="str">
        <f ca="1"/>
        <v/>
      </c>
    </row>
    <row r="4" spans="1:11" ht="101.25" customHeight="1">
      <c r="A4" s="91" t="str">
        <v>Auburn - Leicester Street Solar</v>
      </c>
      <c r="B4" s="83" t="str">
        <v>MA</v>
      </c>
      <c r="C4" s="92" cm="1">
        <f t="array" aca="1" ref="C4:K4" ca="1">IF(INDIRECT("'" &amp; $A4 &amp; "'!B5:J5")="", "", INDIRECT("'" &amp; $A4 &amp; "'!B5:J5"))</f>
        <v>172284.33333333401</v>
      </c>
      <c r="D4" s="92">
        <f ca="1"/>
        <v>0</v>
      </c>
      <c r="E4" s="92">
        <f ca="1"/>
        <v>172284.33333333401</v>
      </c>
      <c r="F4" s="93">
        <f ca="1"/>
        <v>0</v>
      </c>
      <c r="G4" s="94">
        <f ca="1"/>
        <v>0</v>
      </c>
      <c r="H4" s="94">
        <f ca="1"/>
        <v>172284.33333333401</v>
      </c>
      <c r="I4" s="95">
        <f ca="1"/>
        <v>0</v>
      </c>
      <c r="J4" s="81" t="str">
        <f ca="1"/>
        <v>1. Site was offline on 01/07 at 10:00AM and later back online on 01/08 at 15:30.
2. Site tripped offline on 01/22 at 10:15AM and later back online on 01/25 at 15:45.
3. Inverters 28, 29 &amp; 39 are offline from 01/26 and later back online on 01/31 at 14:45.</v>
      </c>
      <c r="K4" s="81" t="str">
        <f ca="1"/>
        <v>1. SR080001
2. SR080133
3. SR080577</v>
      </c>
    </row>
    <row r="5" spans="1:11" ht="15.75">
      <c r="A5" s="89" t="str">
        <v>Rochester - Old Middleboro</v>
      </c>
      <c r="B5" s="90" t="str">
        <v>MA</v>
      </c>
      <c r="C5" s="31" cm="1">
        <f t="array" aca="1" ref="C5:K5" ca="1">IF(INDIRECT("'" &amp; $A5 &amp; "'!B5:J5")="", "", INDIRECT("'" &amp; $A5 &amp; "'!B5:J5"))</f>
        <v>406951</v>
      </c>
      <c r="D5" s="31">
        <f ca="1"/>
        <v>473358</v>
      </c>
      <c r="E5" s="31">
        <f ca="1"/>
        <v>-66407</v>
      </c>
      <c r="F5" s="32">
        <f ca="1"/>
        <v>-0.14028916802927172</v>
      </c>
      <c r="G5" s="33">
        <f ca="1"/>
        <v>421672</v>
      </c>
      <c r="H5" s="33">
        <f ca="1"/>
        <v>-14721</v>
      </c>
      <c r="I5" s="34">
        <f ca="1"/>
        <v>-3.4911020888273352E-2</v>
      </c>
      <c r="J5" s="82" t="str">
        <f ca="1"/>
        <v>1. Site was offline on 01/13 from 06:15 to 11:30 .
2. Site was offline from 01/14  at 11:00 to 01/15 at 15:00.</v>
      </c>
      <c r="K5" s="82" t="str">
        <f ca="1"/>
        <v>1. SR080191
2. SR080222</v>
      </c>
    </row>
    <row r="6" spans="1:11" ht="15.75">
      <c r="A6" s="44" t="str">
        <v>Dover - Littleworth Road</v>
      </c>
      <c r="B6" s="15" t="str">
        <v>NH</v>
      </c>
      <c r="C6" s="31" cm="1">
        <f t="array" aca="1" ref="C6:K6" ca="1">IF(INDIRECT("'" &amp; $A6 &amp; "'!B5:J5")="", "", INDIRECT("'" &amp; $A6 &amp; "'!B5:J5"))</f>
        <v>10197</v>
      </c>
      <c r="D6" s="31">
        <f ca="1"/>
        <v>0</v>
      </c>
      <c r="E6" s="31">
        <f ca="1"/>
        <v>10197</v>
      </c>
      <c r="F6" s="35">
        <f ca="1"/>
        <v>0</v>
      </c>
      <c r="G6" s="33">
        <f ca="1"/>
        <v>0</v>
      </c>
      <c r="H6" s="33">
        <f ca="1"/>
        <v>10197</v>
      </c>
      <c r="I6" s="36">
        <f ca="1"/>
        <v>0</v>
      </c>
      <c r="J6" s="81" t="str">
        <f ca="1"/>
        <v/>
      </c>
      <c r="K6" s="81" t="str">
        <f ca="1"/>
        <v/>
      </c>
    </row>
    <row r="7" spans="1:11" ht="15.75">
      <c r="A7" s="45" t="str">
        <v>Milton - Landfill</v>
      </c>
      <c r="B7" s="30" t="str">
        <v>NH</v>
      </c>
      <c r="C7" s="31" cm="1">
        <f t="array" aca="1" ref="C7:K7" ca="1">IF(INDIRECT("'" &amp; $A7 &amp; "'!B5:J5")="", "", INDIRECT("'" &amp; $A7 &amp; "'!B5:J5"))</f>
        <v>30705</v>
      </c>
      <c r="D7" s="31">
        <f ca="1"/>
        <v>0</v>
      </c>
      <c r="E7" s="31">
        <f ca="1"/>
        <v>30705</v>
      </c>
      <c r="F7" s="35">
        <f ca="1"/>
        <v>0</v>
      </c>
      <c r="G7" s="33">
        <f ca="1"/>
        <v>0</v>
      </c>
      <c r="H7" s="33">
        <f ca="1"/>
        <v>30705</v>
      </c>
      <c r="I7" s="36">
        <f ca="1"/>
        <v>0</v>
      </c>
      <c r="J7" s="82" t="str">
        <f ca="1"/>
        <v/>
      </c>
      <c r="K7" s="82" t="str">
        <f ca="1"/>
        <v/>
      </c>
    </row>
    <row r="8" spans="1:11" ht="24.75" customHeight="1">
      <c r="A8" s="131" t="s">
        <v>9</v>
      </c>
      <c r="B8" s="132"/>
      <c r="C8" s="46">
        <f ca="1">SUM(C3:C7)</f>
        <v>643797.64335669298</v>
      </c>
      <c r="D8" s="46">
        <f ca="1">SUM(D3:D7)</f>
        <v>502858.5</v>
      </c>
      <c r="E8" s="46">
        <f ca="1">C8-D8</f>
        <v>140939.14335669298</v>
      </c>
      <c r="F8" s="37">
        <f ca="1">IFERROR(E8/D8, 0)</f>
        <v>0.28027594911231085</v>
      </c>
      <c r="G8" s="46">
        <f ca="1">SUM(G3:G7)</f>
        <v>459223.17</v>
      </c>
      <c r="H8" s="47">
        <f ca="1">C8-G8</f>
        <v>184574.47335669299</v>
      </c>
      <c r="I8" s="38">
        <f ca="1">IFERROR(H8/G8, 0)</f>
        <v>0.40192761475143557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B0362DDA-D4B4-4F79-9A5D-D43AD85A6C79}"/>
  <mergeCells count="8">
    <mergeCell ref="A10:A11"/>
    <mergeCell ref="A12:A13"/>
    <mergeCell ref="A8:B8"/>
    <mergeCell ref="K1:K2"/>
    <mergeCell ref="C1:F1"/>
    <mergeCell ref="G1:I1"/>
    <mergeCell ref="A1:B1"/>
    <mergeCell ref="J1:J2"/>
  </mergeCells>
  <conditionalFormatting sqref="F3:F8 I3:I8">
    <cfRule type="cellIs" dxfId="106" priority="4" operator="lessThanOrEqual">
      <formula>-0.1</formula>
    </cfRule>
    <cfRule type="cellIs" dxfId="105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4"/>
  <sheetViews>
    <sheetView workbookViewId="0">
      <pane ySplit="2" topLeftCell="A3" activePane="bottomLeft" state="frozen"/>
      <selection pane="bottomLeft" activeCell="J3" sqref="J3:K7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24</v>
      </c>
      <c r="D1" s="138"/>
      <c r="E1" s="138"/>
      <c r="F1" s="139"/>
      <c r="G1" s="129" t="s">
        <v>25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"'!B6:J6")="", "", INDIRECT("'" &amp; $A3 &amp; "'!B6:J6"))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2" t="str">
        <f ca="1"/>
        <v/>
      </c>
      <c r="K3" s="82" t="str">
        <f ca="1"/>
        <v/>
      </c>
    </row>
    <row r="4" spans="1:11" ht="15.75">
      <c r="A4" s="91" t="str">
        <v>Auburn - Leicester Street Solar</v>
      </c>
      <c r="B4" s="83" t="str">
        <v>MA</v>
      </c>
      <c r="C4" s="92" t="str" cm="1">
        <f t="array" aca="1" ref="C4:K4" ca="1">IF(INDIRECT("'" &amp; $A4 &amp; "'!B6:J6")="", "", INDIRECT("'" &amp; $A4 &amp; "'!B6:J6"))</f>
        <v/>
      </c>
      <c r="D4" s="92" t="str">
        <f ca="1"/>
        <v/>
      </c>
      <c r="E4" s="92">
        <f ca="1"/>
        <v>0</v>
      </c>
      <c r="F4" s="93">
        <f ca="1"/>
        <v>0</v>
      </c>
      <c r="G4" s="94" t="str">
        <f ca="1"/>
        <v/>
      </c>
      <c r="H4" s="94">
        <f ca="1"/>
        <v>0</v>
      </c>
      <c r="I4" s="95">
        <f ca="1"/>
        <v>0</v>
      </c>
      <c r="J4" s="81" t="str">
        <f ca="1"/>
        <v/>
      </c>
      <c r="K4" s="82" t="str">
        <f ca="1"/>
        <v/>
      </c>
    </row>
    <row r="5" spans="1:11" ht="15.75">
      <c r="A5" s="89" t="str">
        <v>Rochester - Old Middleboro</v>
      </c>
      <c r="B5" s="90" t="str">
        <v>MA</v>
      </c>
      <c r="C5" s="31" t="str" cm="1">
        <f t="array" aca="1" ref="C5:K5" ca="1">IF(INDIRECT("'" &amp; $A5 &amp; "'!B6:J6")="", "", INDIRECT("'" &amp; $A5 &amp; "'!B6:J6"))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2" t="str">
        <f ca="1"/>
        <v/>
      </c>
      <c r="K5" s="82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"'!B6:J6")="", "", INDIRECT("'" &amp; $A6 &amp; "'!B6:J6"))</f>
        <v/>
      </c>
      <c r="D6" s="31" t="str">
        <f ca="1"/>
        <v/>
      </c>
      <c r="E6" s="31">
        <f ca="1"/>
        <v>0</v>
      </c>
      <c r="F6" s="35">
        <f ca="1"/>
        <v>0</v>
      </c>
      <c r="G6" s="33" t="str">
        <f ca="1"/>
        <v/>
      </c>
      <c r="H6" s="33">
        <f ca="1"/>
        <v>0</v>
      </c>
      <c r="I6" s="36">
        <f ca="1"/>
        <v>0</v>
      </c>
      <c r="J6" s="81" t="str">
        <f ca="1"/>
        <v/>
      </c>
      <c r="K6" s="82" t="str">
        <f ca="1"/>
        <v/>
      </c>
    </row>
    <row r="7" spans="1:11" ht="15.75">
      <c r="A7" s="45" t="str">
        <v>Milton - Landfill</v>
      </c>
      <c r="B7" s="30" t="str">
        <v>NH</v>
      </c>
      <c r="C7" s="31" t="str" cm="1">
        <f t="array" aca="1" ref="C7:K7" ca="1">IF(INDIRECT("'" &amp; $A7 &amp; "'!B6:J6")="", "", INDIRECT("'" &amp; $A7 &amp; "'!B6:J6"))</f>
        <v/>
      </c>
      <c r="D7" s="31" t="str">
        <f ca="1"/>
        <v/>
      </c>
      <c r="E7" s="31">
        <f ca="1"/>
        <v>0</v>
      </c>
      <c r="F7" s="35">
        <f ca="1"/>
        <v>0</v>
      </c>
      <c r="G7" s="33" t="str">
        <f ca="1"/>
        <v/>
      </c>
      <c r="H7" s="33">
        <f ca="1"/>
        <v>0</v>
      </c>
      <c r="I7" s="36">
        <f ca="1"/>
        <v>0</v>
      </c>
      <c r="J7" s="82" t="str">
        <f ca="1"/>
        <v/>
      </c>
      <c r="K7" s="82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CAF24030-967D-40AB-9B78-5C3C0C46A55D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04" priority="1" operator="lessThanOrEqual">
      <formula>-0.1</formula>
    </cfRule>
    <cfRule type="cellIs" dxfId="10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4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26</v>
      </c>
      <c r="D1" s="138"/>
      <c r="E1" s="138"/>
      <c r="F1" s="139"/>
      <c r="G1" s="129" t="s">
        <v>27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"'!B7:J7")="", "", INDIRECT("'" &amp; $A3 &amp; "'!B7:J7"))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2" t="str">
        <f ca="1"/>
        <v/>
      </c>
      <c r="K3" s="82" t="str">
        <f ca="1"/>
        <v/>
      </c>
    </row>
    <row r="4" spans="1:11" ht="15.75">
      <c r="A4" s="44" t="str">
        <v>Auburn - Leicester Street Solar</v>
      </c>
      <c r="B4" s="15" t="str">
        <v>MA</v>
      </c>
      <c r="C4" s="31" t="str" cm="1">
        <f t="array" aca="1" ref="C4:K4" ca="1">IF(INDIRECT("'" &amp; $A4 &amp; "'!B7:J7")="", "", INDIRECT("'" &amp; $A4 &amp; "'!B7:J7"))</f>
        <v/>
      </c>
      <c r="D4" s="31" t="str">
        <f ca="1"/>
        <v/>
      </c>
      <c r="E4" s="31">
        <f ca="1"/>
        <v>0</v>
      </c>
      <c r="F4" s="32">
        <f ca="1"/>
        <v>0</v>
      </c>
      <c r="G4" s="33" t="str">
        <f ca="1"/>
        <v/>
      </c>
      <c r="H4" s="33">
        <f ca="1"/>
        <v>0</v>
      </c>
      <c r="I4" s="34">
        <f ca="1"/>
        <v>0</v>
      </c>
      <c r="J4" s="82" t="str">
        <f ca="1"/>
        <v/>
      </c>
      <c r="K4" s="82" t="str">
        <f ca="1"/>
        <v/>
      </c>
    </row>
    <row r="5" spans="1:11" ht="15.75">
      <c r="A5" s="89" t="str">
        <v>Rochester - Old Middleboro</v>
      </c>
      <c r="B5" s="90" t="str">
        <v>MA</v>
      </c>
      <c r="C5" s="31" t="str" cm="1">
        <f t="array" aca="1" ref="C5:K5" ca="1">IF(INDIRECT("'" &amp; $A5 &amp; "'!B7:J7")="", "", INDIRECT("'" &amp; $A5 &amp; "'!B7:J7"))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2" t="str">
        <f ca="1"/>
        <v/>
      </c>
      <c r="K5" s="82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"'!B7:J7")="", "", INDIRECT("'" &amp; $A6 &amp; "'!B7:J7"))</f>
        <v/>
      </c>
      <c r="D6" s="31" t="str">
        <f ca="1"/>
        <v/>
      </c>
      <c r="E6" s="31">
        <f ca="1"/>
        <v>0</v>
      </c>
      <c r="F6" s="32">
        <f ca="1"/>
        <v>0</v>
      </c>
      <c r="G6" s="33" t="str">
        <f ca="1"/>
        <v/>
      </c>
      <c r="H6" s="33">
        <f ca="1"/>
        <v>0</v>
      </c>
      <c r="I6" s="34">
        <f ca="1"/>
        <v>0</v>
      </c>
      <c r="J6" s="82" t="str">
        <f ca="1"/>
        <v/>
      </c>
      <c r="K6" s="82" t="str">
        <f ca="1"/>
        <v/>
      </c>
    </row>
    <row r="7" spans="1:11" ht="15.75">
      <c r="A7" s="45" t="str">
        <v>Milton - Landfill</v>
      </c>
      <c r="B7" s="30" t="str">
        <v>NH</v>
      </c>
      <c r="C7" s="31" t="str" cm="1">
        <f t="array" aca="1" ref="C7:K7" ca="1">IF(INDIRECT("'" &amp; $A7 &amp; "'!B7:J7")="", "", INDIRECT("'" &amp; $A7 &amp; "'!B7:J7"))</f>
        <v/>
      </c>
      <c r="D7" s="31" t="str">
        <f ca="1"/>
        <v/>
      </c>
      <c r="E7" s="31">
        <f ca="1"/>
        <v>0</v>
      </c>
      <c r="F7" s="32">
        <f ca="1"/>
        <v>0</v>
      </c>
      <c r="G7" s="33" t="str">
        <f ca="1"/>
        <v/>
      </c>
      <c r="H7" s="33">
        <f ca="1"/>
        <v>0</v>
      </c>
      <c r="I7" s="34">
        <f ca="1"/>
        <v>0</v>
      </c>
      <c r="J7" s="82" t="str">
        <f ca="1"/>
        <v/>
      </c>
      <c r="K7" s="82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E69961AB-A757-4049-8AB9-40F3BCB812B3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02" priority="1" operator="lessThanOrEqual">
      <formula>-0.1</formula>
    </cfRule>
    <cfRule type="cellIs" dxfId="10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4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28</v>
      </c>
      <c r="D1" s="138"/>
      <c r="E1" s="138"/>
      <c r="F1" s="139"/>
      <c r="G1" s="129" t="s">
        <v>29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"'!B8:J8")="", "", INDIRECT("'" &amp; $A3 &amp; "'!B8:J8"))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2" t="str">
        <f ca="1"/>
        <v/>
      </c>
      <c r="K3" s="82" t="str">
        <f ca="1"/>
        <v/>
      </c>
    </row>
    <row r="4" spans="1:11" ht="15.75">
      <c r="A4" s="91" t="str">
        <v>Auburn - Leicester Street Solar</v>
      </c>
      <c r="B4" s="83" t="str">
        <v>MA</v>
      </c>
      <c r="C4" s="92" t="str" cm="1">
        <f t="array" aca="1" ref="C4:K4" ca="1">IF(INDIRECT("'" &amp; $A4 &amp; "'!B8:J8")="", "", INDIRECT("'" &amp; $A4 &amp; "'!B8:J8"))</f>
        <v/>
      </c>
      <c r="D4" s="92" t="str">
        <f ca="1"/>
        <v/>
      </c>
      <c r="E4" s="92">
        <f ca="1"/>
        <v>0</v>
      </c>
      <c r="F4" s="93">
        <f ca="1"/>
        <v>0</v>
      </c>
      <c r="G4" s="94" t="str">
        <f ca="1"/>
        <v/>
      </c>
      <c r="H4" s="94">
        <f ca="1"/>
        <v>0</v>
      </c>
      <c r="I4" s="95">
        <f ca="1"/>
        <v>0</v>
      </c>
      <c r="J4" s="81" t="str">
        <f ca="1"/>
        <v/>
      </c>
      <c r="K4" s="82" t="str">
        <f ca="1"/>
        <v/>
      </c>
    </row>
    <row r="5" spans="1:11" ht="15.75">
      <c r="A5" s="45" t="str">
        <v>Rochester - Old Middleboro</v>
      </c>
      <c r="B5" s="30" t="str">
        <v>MA</v>
      </c>
      <c r="C5" s="31" t="str" cm="1">
        <f t="array" aca="1" ref="C5:K5" ca="1">IF(INDIRECT("'" &amp; $A5 &amp; "'!B8:J8")="", "", INDIRECT("'" &amp; $A5 &amp; "'!B8:J8"))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2" t="str">
        <f ca="1"/>
        <v/>
      </c>
      <c r="K5" s="82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"'!B8:J8")="", "", INDIRECT("'" &amp; $A6 &amp; "'!B8:J8"))</f>
        <v/>
      </c>
      <c r="D6" s="31" t="str">
        <f ca="1"/>
        <v/>
      </c>
      <c r="E6" s="31">
        <f ca="1"/>
        <v>0</v>
      </c>
      <c r="F6" s="32">
        <f ca="1"/>
        <v>0</v>
      </c>
      <c r="G6" s="33" t="str">
        <f ca="1"/>
        <v/>
      </c>
      <c r="H6" s="33">
        <f ca="1"/>
        <v>0</v>
      </c>
      <c r="I6" s="34">
        <f ca="1"/>
        <v>0</v>
      </c>
      <c r="J6" s="81" t="str">
        <f ca="1"/>
        <v/>
      </c>
      <c r="K6" s="82" t="str">
        <f ca="1"/>
        <v/>
      </c>
    </row>
    <row r="7" spans="1:11" ht="15.75">
      <c r="A7" s="45" t="str">
        <v>Milton - Landfill</v>
      </c>
      <c r="B7" s="30" t="str">
        <v>NH</v>
      </c>
      <c r="C7" s="31" t="str" cm="1">
        <f t="array" aca="1" ref="C7:K7" ca="1">IF(INDIRECT("'" &amp; $A7 &amp; "'!B8:J8")="", "", INDIRECT("'" &amp; $A7 &amp; "'!B8:J8"))</f>
        <v/>
      </c>
      <c r="D7" s="31" t="str">
        <f ca="1"/>
        <v/>
      </c>
      <c r="E7" s="31">
        <f ca="1"/>
        <v>0</v>
      </c>
      <c r="F7" s="32">
        <f ca="1"/>
        <v>0</v>
      </c>
      <c r="G7" s="33" t="str">
        <f ca="1"/>
        <v/>
      </c>
      <c r="H7" s="33">
        <f ca="1"/>
        <v>0</v>
      </c>
      <c r="I7" s="34">
        <f ca="1"/>
        <v>0</v>
      </c>
      <c r="J7" s="82" t="str">
        <f ca="1"/>
        <v/>
      </c>
      <c r="K7" s="82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9CEFA865-F03F-435F-98CB-83683B1083B8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100" priority="1" operator="lessThanOrEqual">
      <formula>-0.1</formula>
    </cfRule>
    <cfRule type="cellIs" dxfId="9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8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30</v>
      </c>
      <c r="D1" s="138"/>
      <c r="E1" s="138"/>
      <c r="F1" s="139"/>
      <c r="G1" s="129" t="s">
        <v>31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"'!B9:J9")="", "", INDIRECT("'" &amp; $A3 &amp; "'!B9:J9"))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2" t="str">
        <f ca="1"/>
        <v/>
      </c>
      <c r="K3" s="82" t="str">
        <f ca="1"/>
        <v/>
      </c>
    </row>
    <row r="4" spans="1:11" ht="15.75">
      <c r="A4" s="44" t="str">
        <v>Auburn - Leicester Street Solar</v>
      </c>
      <c r="B4" s="15" t="str">
        <v>MA</v>
      </c>
      <c r="C4" s="31" t="str" cm="1">
        <f t="array" aca="1" ref="C4:K4" ca="1">IF(INDIRECT("'" &amp; $A4 &amp; "'!B9:J9")="", "", INDIRECT("'" &amp; $A4 &amp; "'!B9:J9"))</f>
        <v/>
      </c>
      <c r="D4" s="31" t="str">
        <f ca="1"/>
        <v/>
      </c>
      <c r="E4" s="31">
        <f ca="1"/>
        <v>0</v>
      </c>
      <c r="F4" s="32">
        <f ca="1"/>
        <v>0</v>
      </c>
      <c r="G4" s="33" t="str">
        <f ca="1"/>
        <v/>
      </c>
      <c r="H4" s="33">
        <f ca="1"/>
        <v>0</v>
      </c>
      <c r="I4" s="34">
        <f ca="1"/>
        <v>0</v>
      </c>
      <c r="J4" s="82" t="str">
        <f ca="1"/>
        <v/>
      </c>
      <c r="K4" s="82" t="str">
        <f ca="1"/>
        <v/>
      </c>
    </row>
    <row r="5" spans="1:11" ht="15.75">
      <c r="A5" s="45" t="str">
        <v>Rochester - Old Middleboro</v>
      </c>
      <c r="B5" s="64" t="str">
        <v>MA</v>
      </c>
      <c r="C5" s="31" t="str" cm="1">
        <f t="array" aca="1" ref="C5:K5" ca="1">IF(INDIRECT("'" &amp; $A5 &amp; "'!B9:J9")="", "", INDIRECT("'" &amp; $A5 &amp; "'!B9:J9"))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2" t="str">
        <f ca="1"/>
        <v/>
      </c>
      <c r="K5" s="82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"'!B9:J9")="", "", INDIRECT("'" &amp; $A6 &amp; "'!B9:J9"))</f>
        <v/>
      </c>
      <c r="D6" s="31" t="str">
        <f ca="1"/>
        <v/>
      </c>
      <c r="E6" s="31">
        <f ca="1"/>
        <v>0</v>
      </c>
      <c r="F6" s="32">
        <f ca="1"/>
        <v>0</v>
      </c>
      <c r="G6" s="33" t="str">
        <f ca="1"/>
        <v/>
      </c>
      <c r="H6" s="33">
        <f ca="1"/>
        <v>0</v>
      </c>
      <c r="I6" s="34">
        <f ca="1"/>
        <v>0</v>
      </c>
      <c r="J6" s="82" t="str">
        <f ca="1"/>
        <v/>
      </c>
      <c r="K6" s="82" t="str">
        <f ca="1"/>
        <v/>
      </c>
    </row>
    <row r="7" spans="1:11" ht="15.75">
      <c r="A7" s="45" t="str">
        <v>Milton - Landfill</v>
      </c>
      <c r="B7" s="64" t="str">
        <v>NH</v>
      </c>
      <c r="C7" s="31" t="str" cm="1">
        <f t="array" aca="1" ref="C7:K7" ca="1">IF(INDIRECT("'" &amp; $A7 &amp; "'!B9:J9")="", "", INDIRECT("'" &amp; $A7 &amp; "'!B9:J9"))</f>
        <v/>
      </c>
      <c r="D7" s="65" t="str">
        <f ca="1"/>
        <v/>
      </c>
      <c r="E7" s="65">
        <f ca="1"/>
        <v>0</v>
      </c>
      <c r="F7" s="66">
        <f ca="1"/>
        <v>0</v>
      </c>
      <c r="G7" s="67" t="str">
        <f ca="1"/>
        <v/>
      </c>
      <c r="H7" s="67">
        <f ca="1"/>
        <v>0</v>
      </c>
      <c r="I7" s="68">
        <f ca="1"/>
        <v>0</v>
      </c>
      <c r="J7" s="52" t="str">
        <f ca="1"/>
        <v/>
      </c>
      <c r="K7" s="82" t="str">
        <f ca="1"/>
        <v/>
      </c>
    </row>
    <row r="8" spans="1:11" ht="24.75" customHeight="1">
      <c r="A8" s="131" t="s">
        <v>9</v>
      </c>
      <c r="B8" s="14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126"/>
    </row>
    <row r="9" spans="1:11" ht="14.25">
      <c r="B9" s="71"/>
      <c r="C9" s="71"/>
      <c r="D9" s="71"/>
      <c r="E9" s="71"/>
      <c r="F9" s="72"/>
      <c r="G9" s="71"/>
      <c r="H9" s="71"/>
      <c r="I9" s="72"/>
      <c r="J9" s="70"/>
    </row>
    <row r="10" spans="1:11" ht="12.75" customHeight="1">
      <c r="A10" s="133" t="s">
        <v>10</v>
      </c>
      <c r="B10" s="71"/>
      <c r="C10" s="71"/>
      <c r="D10" s="71"/>
      <c r="E10" s="71"/>
      <c r="F10" s="72"/>
      <c r="G10" s="71"/>
      <c r="H10" s="71"/>
      <c r="I10" s="72"/>
      <c r="J10" s="70"/>
    </row>
    <row r="11" spans="1:11" ht="14.25">
      <c r="A11" s="133"/>
      <c r="B11" s="71"/>
      <c r="C11" s="71"/>
      <c r="D11" s="71"/>
      <c r="E11" s="71"/>
      <c r="F11" s="72"/>
      <c r="G11" s="71"/>
      <c r="H11" s="71"/>
      <c r="I11" s="72"/>
      <c r="J11" s="70"/>
    </row>
    <row r="12" spans="1:11" ht="14.25">
      <c r="A12" s="134" t="s">
        <v>11</v>
      </c>
      <c r="B12" s="71"/>
      <c r="C12" s="71"/>
      <c r="D12" s="71"/>
      <c r="E12" s="71"/>
      <c r="F12" s="72"/>
      <c r="G12" s="71"/>
      <c r="H12" s="71"/>
      <c r="I12" s="72"/>
      <c r="J12" s="70"/>
    </row>
    <row r="13" spans="1:11" ht="12.75" customHeight="1">
      <c r="A13" s="134"/>
      <c r="B13" s="71"/>
      <c r="C13" s="71"/>
      <c r="D13" s="71"/>
      <c r="E13" s="71"/>
      <c r="F13" s="72"/>
      <c r="G13" s="71"/>
      <c r="H13" s="71"/>
      <c r="I13" s="72"/>
      <c r="J13" s="70"/>
    </row>
    <row r="14" spans="1:11" ht="14.25">
      <c r="B14" s="71"/>
      <c r="C14" s="71"/>
      <c r="D14" s="71"/>
      <c r="E14" s="71"/>
      <c r="F14" s="72"/>
      <c r="G14" s="71"/>
      <c r="H14" s="71"/>
      <c r="I14" s="72"/>
      <c r="J14" s="70"/>
    </row>
    <row r="15" spans="1:11" ht="14.25">
      <c r="B15" s="71"/>
      <c r="C15" s="71"/>
      <c r="D15" s="71"/>
      <c r="E15" s="71"/>
      <c r="F15" s="72"/>
      <c r="G15" s="71"/>
      <c r="H15" s="71"/>
      <c r="I15" s="72"/>
      <c r="J15" s="71"/>
    </row>
    <row r="16" spans="1:11" ht="14.25">
      <c r="B16" s="71"/>
      <c r="C16" s="71"/>
      <c r="D16" s="71"/>
      <c r="E16" s="71"/>
      <c r="F16" s="72"/>
      <c r="G16" s="71"/>
      <c r="H16" s="71"/>
      <c r="I16" s="72"/>
      <c r="J16" s="71"/>
    </row>
    <row r="17" spans="2:10" ht="14.25">
      <c r="B17" s="71"/>
      <c r="C17" s="71"/>
      <c r="D17" s="71"/>
      <c r="E17" s="71"/>
      <c r="F17" s="72"/>
      <c r="G17" s="71"/>
      <c r="H17" s="71"/>
      <c r="I17" s="72"/>
      <c r="J17" s="71"/>
    </row>
    <row r="18" spans="2:10" ht="14.25">
      <c r="B18" s="71"/>
      <c r="C18" s="71"/>
      <c r="D18" s="71"/>
      <c r="E18" s="71"/>
      <c r="F18" s="72"/>
      <c r="G18" s="71"/>
      <c r="H18" s="71"/>
      <c r="I18" s="72"/>
      <c r="J18" s="71"/>
    </row>
  </sheetData>
  <autoFilter ref="A2:I2" xr:uid="{BC8A3C74-EDA3-4B8F-8C65-FD4243AE8FF6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98" priority="1" operator="lessThanOrEqual">
      <formula>-0.1</formula>
    </cfRule>
    <cfRule type="cellIs" dxfId="9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4"/>
  <sheetViews>
    <sheetView workbookViewId="0">
      <pane ySplit="2" topLeftCell="A3" activePane="bottomLeft" state="frozen"/>
      <selection pane="bottomLeft" activeCell="J5" sqref="J5"/>
      <selection activeCell="J16" sqref="J16"/>
    </sheetView>
  </sheetViews>
  <sheetFormatPr defaultColWidth="9.140625" defaultRowHeight="12.75"/>
  <cols>
    <col min="1" max="1" width="35.85546875" style="73" bestFit="1" customWidth="1"/>
    <col min="2" max="2" width="8.42578125" style="73" customWidth="1"/>
    <col min="3" max="5" width="11.7109375" style="73" customWidth="1"/>
    <col min="6" max="6" width="9.7109375" style="80" customWidth="1"/>
    <col min="7" max="8" width="11.7109375" style="73" customWidth="1"/>
    <col min="9" max="9" width="9.7109375" style="80" customWidth="1"/>
    <col min="10" max="10" width="71.5703125" style="73" customWidth="1"/>
    <col min="11" max="11" width="19.42578125" style="73" customWidth="1"/>
    <col min="12" max="16384" width="9.140625" style="73"/>
  </cols>
  <sheetData>
    <row r="1" spans="1:11" ht="19.5" customHeight="1">
      <c r="A1" s="135" t="str" cm="1">
        <f t="array" ref="A1">portfolio</f>
        <v>Agilitas Energy</v>
      </c>
      <c r="B1" s="136"/>
      <c r="C1" s="137" t="s">
        <v>32</v>
      </c>
      <c r="D1" s="138"/>
      <c r="E1" s="138"/>
      <c r="F1" s="139"/>
      <c r="G1" s="129" t="s">
        <v>33</v>
      </c>
      <c r="H1" s="129"/>
      <c r="I1" s="130"/>
      <c r="J1" s="143" t="s">
        <v>22</v>
      </c>
      <c r="K1" s="143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74" t="s">
        <v>8</v>
      </c>
      <c r="H2" s="7" t="s">
        <v>6</v>
      </c>
      <c r="I2" s="9" t="s">
        <v>7</v>
      </c>
      <c r="J2" s="144"/>
      <c r="K2" s="144"/>
    </row>
    <row r="3" spans="1:11" ht="15.75">
      <c r="A3" s="96" t="str" cm="1">
        <f t="array" ref="A3:A7">Sites[Site]</f>
        <v>Rowley - Central Street Solar</v>
      </c>
      <c r="B3" s="97" t="str" cm="1">
        <f t="array" ref="B3:B7">Sites[State]</f>
        <v>MA</v>
      </c>
      <c r="C3" s="98" t="str" cm="1">
        <f t="array" aca="1" ref="C3:K3" ca="1">IF(INDIRECT("'" &amp; $A3 &amp; "'!B10:J10")="", "", INDIRECT("'" &amp; $A3 &amp; "'!B10:J10"))</f>
        <v/>
      </c>
      <c r="D3" s="98" t="str">
        <f ca="1"/>
        <v/>
      </c>
      <c r="E3" s="98">
        <f ca="1"/>
        <v>0</v>
      </c>
      <c r="F3" s="99">
        <f ca="1"/>
        <v>0</v>
      </c>
      <c r="G3" s="100" t="str">
        <f ca="1"/>
        <v/>
      </c>
      <c r="H3" s="100">
        <f ca="1"/>
        <v>0</v>
      </c>
      <c r="I3" s="101">
        <f ca="1"/>
        <v>0</v>
      </c>
      <c r="J3" s="81" t="str">
        <f ca="1"/>
        <v/>
      </c>
      <c r="K3" s="81" t="str">
        <f ca="1"/>
        <v/>
      </c>
    </row>
    <row r="4" spans="1:11" ht="15.75">
      <c r="A4" s="102" t="str">
        <v>Auburn - Leicester Street Solar</v>
      </c>
      <c r="B4" s="103" t="str">
        <v>MA</v>
      </c>
      <c r="C4" s="98" t="str" cm="1">
        <f t="array" aca="1" ref="C4:K4" ca="1">IF(INDIRECT("'" &amp; $A4 &amp; "'!B10:J10")="", "", INDIRECT("'" &amp; $A4 &amp; "'!B10:J10"))</f>
        <v/>
      </c>
      <c r="D4" s="98" t="str">
        <f ca="1"/>
        <v/>
      </c>
      <c r="E4" s="98">
        <f ca="1"/>
        <v>0</v>
      </c>
      <c r="F4" s="104">
        <f ca="1"/>
        <v>0</v>
      </c>
      <c r="G4" s="100" t="str">
        <f ca="1"/>
        <v/>
      </c>
      <c r="H4" s="100">
        <f ca="1"/>
        <v>0</v>
      </c>
      <c r="I4" s="105">
        <f ca="1"/>
        <v>0</v>
      </c>
      <c r="J4" s="81" t="str">
        <f ca="1"/>
        <v/>
      </c>
      <c r="K4" s="81" t="str">
        <f ca="1"/>
        <v/>
      </c>
    </row>
    <row r="5" spans="1:11" ht="15.75">
      <c r="A5" s="106" t="str">
        <v>Rochester - Old Middleboro</v>
      </c>
      <c r="B5" s="107" t="str">
        <v>MA</v>
      </c>
      <c r="C5" s="98" t="str" cm="1">
        <f t="array" aca="1" ref="C5:K5" ca="1">IF(INDIRECT("'" &amp; $A5 &amp; "'!B10:J10")="", "", INDIRECT("'" &amp; $A5 &amp; "'!B10:J10"))</f>
        <v/>
      </c>
      <c r="D5" s="98" t="str">
        <f ca="1"/>
        <v/>
      </c>
      <c r="E5" s="98">
        <f ca="1"/>
        <v>0</v>
      </c>
      <c r="F5" s="104">
        <f ca="1"/>
        <v>0</v>
      </c>
      <c r="G5" s="100" t="str">
        <f ca="1"/>
        <v/>
      </c>
      <c r="H5" s="100">
        <f ca="1"/>
        <v>0</v>
      </c>
      <c r="I5" s="105">
        <f ca="1"/>
        <v>0</v>
      </c>
      <c r="J5" s="81" t="str">
        <f ca="1"/>
        <v/>
      </c>
      <c r="K5" s="81" t="str">
        <f ca="1"/>
        <v/>
      </c>
    </row>
    <row r="6" spans="1:11" ht="15.75">
      <c r="A6" s="102" t="str">
        <v>Dover - Littleworth Road</v>
      </c>
      <c r="B6" s="103" t="str">
        <v>NH</v>
      </c>
      <c r="C6" s="98" t="str" cm="1">
        <f t="array" aca="1" ref="C6:K6" ca="1">IF(INDIRECT("'" &amp; $A6 &amp; "'!B10:J10")="", "", INDIRECT("'" &amp; $A6 &amp; "'!B10:J10"))</f>
        <v/>
      </c>
      <c r="D6" s="98" t="str">
        <f ca="1"/>
        <v/>
      </c>
      <c r="E6" s="98">
        <f ca="1"/>
        <v>0</v>
      </c>
      <c r="F6" s="104">
        <f ca="1"/>
        <v>0</v>
      </c>
      <c r="G6" s="100" t="str">
        <f ca="1"/>
        <v/>
      </c>
      <c r="H6" s="100">
        <f ca="1"/>
        <v>0</v>
      </c>
      <c r="I6" s="105">
        <f ca="1"/>
        <v>0</v>
      </c>
      <c r="J6" s="81" t="str">
        <f ca="1"/>
        <v/>
      </c>
      <c r="K6" s="81" t="str">
        <f ca="1"/>
        <v/>
      </c>
    </row>
    <row r="7" spans="1:11" ht="15.75">
      <c r="A7" s="106" t="str">
        <v>Milton - Landfill</v>
      </c>
      <c r="B7" s="107" t="str">
        <v>NH</v>
      </c>
      <c r="C7" s="98" t="str" cm="1">
        <f t="array" aca="1" ref="C7:K7" ca="1">IF(INDIRECT("'" &amp; $A7 &amp; "'!B10:J10")="", "", INDIRECT("'" &amp; $A7 &amp; "'!B10:J10"))</f>
        <v/>
      </c>
      <c r="D7" s="98" t="str">
        <f ca="1"/>
        <v/>
      </c>
      <c r="E7" s="98">
        <f ca="1"/>
        <v>0</v>
      </c>
      <c r="F7" s="104">
        <f ca="1"/>
        <v>0</v>
      </c>
      <c r="G7" s="100" t="str">
        <f ca="1"/>
        <v/>
      </c>
      <c r="H7" s="100">
        <f ca="1"/>
        <v>0</v>
      </c>
      <c r="I7" s="105">
        <f ca="1"/>
        <v>0</v>
      </c>
      <c r="J7" s="81" t="str">
        <f ca="1"/>
        <v/>
      </c>
      <c r="K7" s="81" t="str">
        <f ca="1"/>
        <v/>
      </c>
    </row>
    <row r="8" spans="1:11" ht="24.75" customHeight="1">
      <c r="A8" s="145" t="s">
        <v>9</v>
      </c>
      <c r="B8" s="146"/>
      <c r="C8" s="75">
        <f ca="1">SUM(C3:C7)</f>
        <v>0</v>
      </c>
      <c r="D8" s="75">
        <f ca="1">SUM(D3:D7)</f>
        <v>0</v>
      </c>
      <c r="E8" s="75">
        <f ca="1">C8-D8</f>
        <v>0</v>
      </c>
      <c r="F8" s="76">
        <f ca="1">IFERROR(E8/D8, 0)</f>
        <v>0</v>
      </c>
      <c r="G8" s="75">
        <f ca="1">SUM(G3:G7)</f>
        <v>0</v>
      </c>
      <c r="H8" s="77">
        <f ca="1">C8-G8</f>
        <v>0</v>
      </c>
      <c r="I8" s="78">
        <f ca="1">IFERROR(H8/G8, 0)</f>
        <v>0</v>
      </c>
      <c r="J8" s="79"/>
    </row>
    <row r="9" spans="1:11">
      <c r="J9" s="79"/>
    </row>
    <row r="10" spans="1:11" ht="12.75" customHeight="1">
      <c r="A10" s="133" t="s">
        <v>10</v>
      </c>
      <c r="J10" s="79"/>
    </row>
    <row r="11" spans="1:11">
      <c r="A11" s="133"/>
      <c r="J11" s="79"/>
    </row>
    <row r="12" spans="1:11">
      <c r="A12" s="134" t="s">
        <v>11</v>
      </c>
      <c r="J12" s="79"/>
    </row>
    <row r="13" spans="1:11" ht="12.75" customHeight="1">
      <c r="A13" s="134"/>
      <c r="J13" s="79"/>
    </row>
    <row r="14" spans="1:11">
      <c r="J14" s="79"/>
    </row>
  </sheetData>
  <autoFilter ref="A2:I2" xr:uid="{6C08AFFB-6AF8-48AC-9706-52E390C2AC4B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96" priority="1" operator="lessThanOrEqual">
      <formula>-0.1</formula>
    </cfRule>
    <cfRule type="cellIs" dxfId="9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4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34</v>
      </c>
      <c r="D1" s="138"/>
      <c r="E1" s="138"/>
      <c r="F1" s="139"/>
      <c r="G1" s="129" t="s">
        <v>35</v>
      </c>
      <c r="H1" s="129"/>
      <c r="I1" s="130"/>
      <c r="J1" s="140" t="s">
        <v>22</v>
      </c>
      <c r="K1" s="140" t="s">
        <v>23</v>
      </c>
    </row>
    <row r="2" spans="1:11" ht="14.25" customHeight="1" thickBo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108" t="str" cm="1">
        <f t="array" ref="A3:A7">Sites[Site]</f>
        <v>Rowley - Central Street Solar</v>
      </c>
      <c r="B3" s="109" t="str" cm="1">
        <f t="array" ref="B3:B7">Sites[State]</f>
        <v>MA</v>
      </c>
      <c r="C3" s="92" t="str" cm="1">
        <f t="array" aca="1" ref="C3:K3" ca="1">IF(INDIRECT("'" &amp; $A3 &amp; "'!B11:J11")="", "", INDIRECT("'" &amp; $A3 &amp; "'!B11:J11"))</f>
        <v/>
      </c>
      <c r="D3" s="92" t="str">
        <f ca="1"/>
        <v/>
      </c>
      <c r="E3" s="92">
        <f ca="1"/>
        <v>0</v>
      </c>
      <c r="F3" s="93">
        <f ca="1"/>
        <v>0</v>
      </c>
      <c r="G3" s="94" t="str">
        <f ca="1"/>
        <v/>
      </c>
      <c r="H3" s="94">
        <f ca="1"/>
        <v>0</v>
      </c>
      <c r="I3" s="95">
        <f ca="1"/>
        <v>0</v>
      </c>
      <c r="J3" s="81" t="str">
        <f ca="1"/>
        <v/>
      </c>
      <c r="K3" s="81" t="str">
        <f ca="1"/>
        <v/>
      </c>
    </row>
    <row r="4" spans="1:11" ht="15.75">
      <c r="A4" s="91" t="str">
        <v>Auburn - Leicester Street Solar</v>
      </c>
      <c r="B4" s="83" t="str">
        <v>MA</v>
      </c>
      <c r="C4" s="92" t="str" cm="1">
        <f t="array" aca="1" ref="C4:K4" ca="1">IF(INDIRECT("'" &amp; $A4 &amp; "'!B11:J11")="", "", INDIRECT("'" &amp; $A4 &amp; "'!B11:J11"))</f>
        <v/>
      </c>
      <c r="D4" s="92" t="str">
        <f ca="1"/>
        <v/>
      </c>
      <c r="E4" s="92">
        <f ca="1"/>
        <v>0</v>
      </c>
      <c r="F4" s="93">
        <f ca="1"/>
        <v>0</v>
      </c>
      <c r="G4" s="94" t="str">
        <f ca="1"/>
        <v/>
      </c>
      <c r="H4" s="94">
        <f ca="1"/>
        <v>0</v>
      </c>
      <c r="I4" s="95">
        <f ca="1"/>
        <v>0</v>
      </c>
      <c r="J4" s="81" t="str">
        <f ca="1"/>
        <v/>
      </c>
      <c r="K4" s="81" t="str">
        <f ca="1"/>
        <v/>
      </c>
    </row>
    <row r="5" spans="1:11" ht="15.75">
      <c r="A5" s="110" t="str">
        <v>Rochester - Old Middleboro</v>
      </c>
      <c r="B5" s="111" t="str">
        <v>MA</v>
      </c>
      <c r="C5" s="92" t="str" cm="1">
        <f t="array" aca="1" ref="C5:K5" ca="1">IF(INDIRECT("'" &amp; $A5 &amp; "'!B11:J11")="", "", INDIRECT("'" &amp; $A5 &amp; "'!B11:J11"))</f>
        <v/>
      </c>
      <c r="D5" s="92" t="str">
        <f ca="1"/>
        <v/>
      </c>
      <c r="E5" s="92">
        <f ca="1"/>
        <v>0</v>
      </c>
      <c r="F5" s="93">
        <f ca="1"/>
        <v>0</v>
      </c>
      <c r="G5" s="94" t="str">
        <f ca="1"/>
        <v/>
      </c>
      <c r="H5" s="94">
        <f ca="1"/>
        <v>0</v>
      </c>
      <c r="I5" s="95">
        <f ca="1"/>
        <v>0</v>
      </c>
      <c r="J5" s="81" t="str">
        <f ca="1"/>
        <v/>
      </c>
      <c r="K5" s="81" t="str">
        <f ca="1"/>
        <v/>
      </c>
    </row>
    <row r="6" spans="1:11" ht="15.75">
      <c r="A6" s="91" t="str">
        <v>Dover - Littleworth Road</v>
      </c>
      <c r="B6" s="83" t="str">
        <v>NH</v>
      </c>
      <c r="C6" s="92" t="str" cm="1">
        <f t="array" aca="1" ref="C6:K6" ca="1">IF(INDIRECT("'" &amp; $A6 &amp; "'!B11:J11")="", "", INDIRECT("'" &amp; $A6 &amp; "'!B11:J11"))</f>
        <v/>
      </c>
      <c r="D6" s="92" t="str">
        <f ca="1"/>
        <v/>
      </c>
      <c r="E6" s="92">
        <f ca="1"/>
        <v>0</v>
      </c>
      <c r="F6" s="93">
        <f ca="1"/>
        <v>0</v>
      </c>
      <c r="G6" s="94" t="str">
        <f ca="1"/>
        <v/>
      </c>
      <c r="H6" s="94">
        <f ca="1"/>
        <v>0</v>
      </c>
      <c r="I6" s="95">
        <f ca="1"/>
        <v>0</v>
      </c>
      <c r="J6" s="81" t="str">
        <f ca="1"/>
        <v/>
      </c>
      <c r="K6" s="81" t="str">
        <f ca="1"/>
        <v/>
      </c>
    </row>
    <row r="7" spans="1:11" ht="16.149999999999999" thickBot="1">
      <c r="A7" s="110" t="str">
        <v>Milton - Landfill</v>
      </c>
      <c r="B7" s="111" t="str">
        <v>NH</v>
      </c>
      <c r="C7" s="92" t="str" cm="1">
        <f t="array" aca="1" ref="C7:K7" ca="1">IF(INDIRECT("'" &amp; $A7 &amp; "'!B11:J11")="", "", INDIRECT("'" &amp; $A7 &amp; "'!B11:J11"))</f>
        <v/>
      </c>
      <c r="D7" s="92" t="str">
        <f ca="1"/>
        <v/>
      </c>
      <c r="E7" s="92">
        <f ca="1"/>
        <v>0</v>
      </c>
      <c r="F7" s="93">
        <f ca="1"/>
        <v>0</v>
      </c>
      <c r="G7" s="94" t="str">
        <f ca="1"/>
        <v/>
      </c>
      <c r="H7" s="94">
        <f ca="1"/>
        <v>0</v>
      </c>
      <c r="I7" s="95">
        <f ca="1"/>
        <v>0</v>
      </c>
      <c r="J7" s="81" t="str">
        <f ca="1"/>
        <v/>
      </c>
      <c r="K7" s="81" t="str">
        <f ca="1"/>
        <v/>
      </c>
    </row>
    <row r="8" spans="1:11" ht="24.75" customHeight="1" thickBo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957CD936-B73F-469A-B0B5-B8EA155C9C51}"/>
  <sortState xmlns:xlrd2="http://schemas.microsoft.com/office/spreadsheetml/2017/richdata2" ref="A3:K7">
    <sortCondition ref="A3:A7"/>
  </sortState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94" priority="1" operator="lessThanOrEqual">
      <formula>-0.1</formula>
    </cfRule>
    <cfRule type="cellIs" dxfId="9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4"/>
  <sheetViews>
    <sheetView workbookViewId="0">
      <pane ySplit="2" topLeftCell="A3" activePane="bottomLeft" state="frozen"/>
      <selection pane="bottomLeft" activeCell="J5" sqref="J5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3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36</v>
      </c>
      <c r="D1" s="138"/>
      <c r="E1" s="138"/>
      <c r="F1" s="139"/>
      <c r="G1" s="129" t="s">
        <v>37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108" t="str" cm="1">
        <f t="array" ref="A3:A7">Sites[Site]</f>
        <v>Rowley - Central Street Solar</v>
      </c>
      <c r="B3" s="109" t="str" cm="1">
        <f t="array" ref="B3:B7">Sites[State]</f>
        <v>MA</v>
      </c>
      <c r="C3" s="92" t="str" cm="1">
        <f t="array" aca="1" ref="C3:K3" ca="1">IF(INDIRECT("'" &amp; $A3 &amp; "'!B12:J12")="", "", INDIRECT("'" &amp; $A3 &amp; "'!B12:J12"))</f>
        <v/>
      </c>
      <c r="D3" s="92" t="str">
        <f ca="1"/>
        <v/>
      </c>
      <c r="E3" s="92">
        <f ca="1"/>
        <v>0</v>
      </c>
      <c r="F3" s="93">
        <f ca="1"/>
        <v>0</v>
      </c>
      <c r="G3" s="94" t="str">
        <f ca="1"/>
        <v/>
      </c>
      <c r="H3" s="94">
        <f ca="1"/>
        <v>0</v>
      </c>
      <c r="I3" s="95">
        <f ca="1"/>
        <v>0</v>
      </c>
      <c r="J3" s="81" t="str">
        <f ca="1"/>
        <v/>
      </c>
      <c r="K3" s="81" t="str">
        <f ca="1"/>
        <v/>
      </c>
    </row>
    <row r="4" spans="1:11" ht="15.75">
      <c r="A4" s="91" t="str">
        <v>Auburn - Leicester Street Solar</v>
      </c>
      <c r="B4" s="83" t="str">
        <v>MA</v>
      </c>
      <c r="C4" s="92" t="str" cm="1">
        <f t="array" aca="1" ref="C4:K4" ca="1">IF(INDIRECT("'" &amp; $A4 &amp; "'!B12:J12")="", "", INDIRECT("'" &amp; $A4 &amp; "'!B12:J12"))</f>
        <v/>
      </c>
      <c r="D4" s="92" t="str">
        <f ca="1"/>
        <v/>
      </c>
      <c r="E4" s="92">
        <f ca="1"/>
        <v>0</v>
      </c>
      <c r="F4" s="93">
        <f ca="1"/>
        <v>0</v>
      </c>
      <c r="G4" s="94" t="str">
        <f ca="1"/>
        <v/>
      </c>
      <c r="H4" s="94">
        <f ca="1"/>
        <v>0</v>
      </c>
      <c r="I4" s="95">
        <f ca="1"/>
        <v>0</v>
      </c>
      <c r="J4" s="81" t="str">
        <f ca="1"/>
        <v/>
      </c>
      <c r="K4" s="81" t="str">
        <f ca="1"/>
        <v/>
      </c>
    </row>
    <row r="5" spans="1:11" ht="35.450000000000003" customHeight="1">
      <c r="A5" s="110" t="str">
        <v>Rochester - Old Middleboro</v>
      </c>
      <c r="B5" s="111" t="str">
        <v>MA</v>
      </c>
      <c r="C5" s="92" t="str" cm="1">
        <f t="array" aca="1" ref="C5:K5" ca="1">IF(INDIRECT("'" &amp; $A5 &amp; "'!B12:J12")="", "", INDIRECT("'" &amp; $A5 &amp; "'!B12:J12"))</f>
        <v/>
      </c>
      <c r="D5" s="92" t="str">
        <f ca="1"/>
        <v/>
      </c>
      <c r="E5" s="92">
        <f ca="1"/>
        <v>0</v>
      </c>
      <c r="F5" s="93">
        <f ca="1"/>
        <v>0</v>
      </c>
      <c r="G5" s="94" t="str">
        <f ca="1"/>
        <v/>
      </c>
      <c r="H5" s="94">
        <f ca="1"/>
        <v>0</v>
      </c>
      <c r="I5" s="95">
        <f ca="1"/>
        <v>0</v>
      </c>
      <c r="J5" s="81" t="str">
        <f ca="1"/>
        <v/>
      </c>
      <c r="K5" s="81" t="str">
        <f ca="1"/>
        <v/>
      </c>
    </row>
    <row r="6" spans="1:11" ht="15.75">
      <c r="A6" s="91" t="str">
        <v>Dover - Littleworth Road</v>
      </c>
      <c r="B6" s="83" t="str">
        <v>NH</v>
      </c>
      <c r="C6" s="92" t="str" cm="1">
        <f t="array" aca="1" ref="C6:K6" ca="1">IF(INDIRECT("'" &amp; $A6 &amp; "'!B12:J12")="", "", INDIRECT("'" &amp; $A6 &amp; "'!B12:J12"))</f>
        <v/>
      </c>
      <c r="D6" s="92" t="str">
        <f ca="1"/>
        <v/>
      </c>
      <c r="E6" s="92">
        <f ca="1"/>
        <v>0</v>
      </c>
      <c r="F6" s="93">
        <f ca="1"/>
        <v>0</v>
      </c>
      <c r="G6" s="94" t="str">
        <f ca="1"/>
        <v/>
      </c>
      <c r="H6" s="94">
        <f ca="1"/>
        <v>0</v>
      </c>
      <c r="I6" s="95">
        <f ca="1"/>
        <v>0</v>
      </c>
      <c r="J6" s="81" t="str">
        <f ca="1"/>
        <v/>
      </c>
      <c r="K6" s="81" t="str">
        <f ca="1"/>
        <v/>
      </c>
    </row>
    <row r="7" spans="1:11" ht="15.75">
      <c r="A7" s="110" t="str">
        <v>Milton - Landfill</v>
      </c>
      <c r="B7" s="111" t="str">
        <v>NH</v>
      </c>
      <c r="C7" s="92" t="str" cm="1">
        <f t="array" aca="1" ref="C7:K7" ca="1">IF(INDIRECT("'" &amp; $A7 &amp; "'!B12:J12")="", "", INDIRECT("'" &amp; $A7 &amp; "'!B12:J12"))</f>
        <v/>
      </c>
      <c r="D7" s="92" t="str">
        <f ca="1"/>
        <v/>
      </c>
      <c r="E7" s="92">
        <f ca="1"/>
        <v>0</v>
      </c>
      <c r="F7" s="93">
        <f ca="1"/>
        <v>0</v>
      </c>
      <c r="G7" s="94" t="str">
        <f ca="1"/>
        <v/>
      </c>
      <c r="H7" s="94">
        <f ca="1"/>
        <v>0</v>
      </c>
      <c r="I7" s="95">
        <f ca="1"/>
        <v>0</v>
      </c>
      <c r="J7" s="81" t="str">
        <f ca="1"/>
        <v/>
      </c>
      <c r="K7" s="81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48D80AE8-42BF-4DAC-863F-113F77A3E00F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92" priority="1" operator="lessThanOrEqual">
      <formula>-0.1</formula>
    </cfRule>
    <cfRule type="cellIs" dxfId="9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4"/>
  <sheetViews>
    <sheetView workbookViewId="0">
      <pane ySplit="2" topLeftCell="A3" activePane="bottomLeft" state="frozen"/>
      <selection pane="bottomLeft" activeCell="J13" sqref="J13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38</v>
      </c>
      <c r="D1" s="138"/>
      <c r="E1" s="138"/>
      <c r="F1" s="139"/>
      <c r="G1" s="129" t="s">
        <v>39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"'!B13:J13")="", "", INDIRECT("'" &amp; $A3 &amp; "'!B13:J13"))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1" t="str">
        <f ca="1"/>
        <v/>
      </c>
      <c r="K3" s="81" t="str">
        <f ca="1"/>
        <v/>
      </c>
    </row>
    <row r="4" spans="1:11" ht="15.75">
      <c r="A4" s="44" t="str">
        <v>Auburn - Leicester Street Solar</v>
      </c>
      <c r="B4" s="15" t="str">
        <v>MA</v>
      </c>
      <c r="C4" s="31" t="str" cm="1">
        <f t="array" aca="1" ref="C4:K4" ca="1">IF(INDIRECT("'" &amp; $A4 &amp; "'!B13:J13")="", "", INDIRECT("'" &amp; $A4 &amp; "'!B13:J13"))</f>
        <v/>
      </c>
      <c r="D4" s="31" t="str">
        <f ca="1"/>
        <v/>
      </c>
      <c r="E4" s="31">
        <f ca="1"/>
        <v>0</v>
      </c>
      <c r="F4" s="32">
        <f ca="1"/>
        <v>0</v>
      </c>
      <c r="G4" s="33" t="str">
        <f ca="1"/>
        <v/>
      </c>
      <c r="H4" s="33">
        <f ca="1"/>
        <v>0</v>
      </c>
      <c r="I4" s="34">
        <f ca="1"/>
        <v>0</v>
      </c>
      <c r="J4" s="81" t="str">
        <f ca="1"/>
        <v/>
      </c>
      <c r="K4" s="81" t="str">
        <f ca="1"/>
        <v/>
      </c>
    </row>
    <row r="5" spans="1:11" ht="15.75">
      <c r="A5" s="45" t="str">
        <v>Rochester - Old Middleboro</v>
      </c>
      <c r="B5" s="30" t="str">
        <v>MA</v>
      </c>
      <c r="C5" s="31" t="str" cm="1">
        <f t="array" aca="1" ref="C5:K5" ca="1">IF(INDIRECT("'" &amp; $A5 &amp; "'!B13:J13")="", "", INDIRECT("'" &amp; $A5 &amp; "'!B13:J13"))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1" t="str">
        <f ca="1"/>
        <v/>
      </c>
      <c r="K5" s="81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"'!B13:J13")="", "", INDIRECT("'" &amp; $A6 &amp; "'!B13:J13"))</f>
        <v/>
      </c>
      <c r="D6" s="31" t="str">
        <f ca="1"/>
        <v/>
      </c>
      <c r="E6" s="31">
        <f ca="1"/>
        <v>0</v>
      </c>
      <c r="F6" s="32">
        <f ca="1"/>
        <v>0</v>
      </c>
      <c r="G6" s="33" t="str">
        <f ca="1"/>
        <v/>
      </c>
      <c r="H6" s="33">
        <f ca="1"/>
        <v>0</v>
      </c>
      <c r="I6" s="34">
        <f ca="1"/>
        <v>0</v>
      </c>
      <c r="J6" s="81" t="str">
        <f ca="1"/>
        <v/>
      </c>
      <c r="K6" s="81" t="str">
        <f ca="1"/>
        <v/>
      </c>
    </row>
    <row r="7" spans="1:11" ht="15.75">
      <c r="A7" s="45" t="str">
        <v>Milton - Landfill</v>
      </c>
      <c r="B7" s="30" t="str">
        <v>NH</v>
      </c>
      <c r="C7" s="31" t="str" cm="1">
        <f t="array" aca="1" ref="C7:K7" ca="1">IF(INDIRECT("'" &amp; $A7 &amp; "'!B13:J13")="", "", INDIRECT("'" &amp; $A7 &amp; "'!B13:J13"))</f>
        <v/>
      </c>
      <c r="D7" s="31" t="str">
        <f ca="1"/>
        <v/>
      </c>
      <c r="E7" s="31">
        <f ca="1"/>
        <v>0</v>
      </c>
      <c r="F7" s="32">
        <f ca="1"/>
        <v>0</v>
      </c>
      <c r="G7" s="33" t="str">
        <f ca="1"/>
        <v/>
      </c>
      <c r="H7" s="33">
        <f ca="1"/>
        <v>0</v>
      </c>
      <c r="I7" s="34">
        <f ca="1"/>
        <v>0</v>
      </c>
      <c r="J7" s="81" t="str">
        <f ca="1"/>
        <v/>
      </c>
      <c r="K7" s="81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534CA70E-2643-48AC-AA44-E3F75A2814BF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90" priority="1" operator="lessThanOrEqual">
      <formula>-0.1</formula>
    </cfRule>
    <cfRule type="cellIs" dxfId="8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4"/>
  <sheetViews>
    <sheetView workbookViewId="0">
      <pane ySplit="2" topLeftCell="A3" activePane="bottomLeft" state="frozen"/>
      <selection pane="bottomLeft" activeCell="J11" sqref="J11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4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40</v>
      </c>
      <c r="D1" s="138"/>
      <c r="E1" s="138"/>
      <c r="F1" s="139"/>
      <c r="G1" s="129" t="s">
        <v>41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108" t="str" cm="1">
        <f t="array" ref="A3:A7">Sites[Site]</f>
        <v>Rowley - Central Street Solar</v>
      </c>
      <c r="B3" s="109" t="str" cm="1">
        <f t="array" ref="B3:B7">Sites[State]</f>
        <v>MA</v>
      </c>
      <c r="C3" s="92" t="str" cm="1">
        <f t="array" aca="1" ref="C3:K3" ca="1">IF(INDIRECT("'" &amp; $A3 &amp; "'!B14:J14")="", "", INDIRECT("'" &amp; $A3 &amp; "'!B14:J14"))</f>
        <v/>
      </c>
      <c r="D3" s="92" t="str">
        <f ca="1"/>
        <v/>
      </c>
      <c r="E3" s="92">
        <f ca="1"/>
        <v>0</v>
      </c>
      <c r="F3" s="93">
        <f ca="1"/>
        <v>0</v>
      </c>
      <c r="G3" s="94" t="str">
        <f ca="1"/>
        <v/>
      </c>
      <c r="H3" s="94">
        <f ca="1"/>
        <v>0</v>
      </c>
      <c r="I3" s="95">
        <f ca="1"/>
        <v>0</v>
      </c>
      <c r="J3" s="81" t="str">
        <f ca="1"/>
        <v/>
      </c>
      <c r="K3" s="82" t="str">
        <f ca="1"/>
        <v/>
      </c>
    </row>
    <row r="4" spans="1:11" ht="15.75">
      <c r="A4" s="91" t="str">
        <v>Auburn - Leicester Street Solar</v>
      </c>
      <c r="B4" s="83" t="str">
        <v>MA</v>
      </c>
      <c r="C4" s="92" t="str" cm="1">
        <f t="array" aca="1" ref="C4:K4" ca="1">IF(INDIRECT("'" &amp; $A4 &amp; "'!B14:J14")="", "", INDIRECT("'" &amp; $A4 &amp; "'!B14:J14"))</f>
        <v/>
      </c>
      <c r="D4" s="92" t="str">
        <f ca="1"/>
        <v/>
      </c>
      <c r="E4" s="92">
        <f ca="1"/>
        <v>0</v>
      </c>
      <c r="F4" s="93">
        <f ca="1"/>
        <v>0</v>
      </c>
      <c r="G4" s="94" t="str">
        <f ca="1"/>
        <v/>
      </c>
      <c r="H4" s="94">
        <f ca="1"/>
        <v>0</v>
      </c>
      <c r="I4" s="95">
        <f ca="1"/>
        <v>0</v>
      </c>
      <c r="J4" s="81" t="str">
        <f ca="1"/>
        <v/>
      </c>
      <c r="K4" s="82" t="str">
        <f ca="1"/>
        <v/>
      </c>
    </row>
    <row r="5" spans="1:11" ht="15.75">
      <c r="A5" s="110" t="str">
        <v>Rochester - Old Middleboro</v>
      </c>
      <c r="B5" s="111" t="str">
        <v>MA</v>
      </c>
      <c r="C5" s="92" t="str" cm="1">
        <f t="array" aca="1" ref="C5:K5" ca="1">IF(INDIRECT("'" &amp; $A5 &amp; "'!B14:J14")="", "", INDIRECT("'" &amp; $A5 &amp; "'!B14:J14"))</f>
        <v/>
      </c>
      <c r="D5" s="92" t="str">
        <f ca="1"/>
        <v/>
      </c>
      <c r="E5" s="92">
        <f ca="1"/>
        <v>0</v>
      </c>
      <c r="F5" s="93">
        <f ca="1"/>
        <v>0</v>
      </c>
      <c r="G5" s="94" t="str">
        <f ca="1"/>
        <v/>
      </c>
      <c r="H5" s="94">
        <f ca="1"/>
        <v>0</v>
      </c>
      <c r="I5" s="95">
        <f ca="1"/>
        <v>0</v>
      </c>
      <c r="J5" s="81" t="str">
        <f ca="1"/>
        <v/>
      </c>
      <c r="K5" s="82" t="str">
        <f ca="1"/>
        <v/>
      </c>
    </row>
    <row r="6" spans="1:11" ht="15.75">
      <c r="A6" s="91" t="str">
        <v>Dover - Littleworth Road</v>
      </c>
      <c r="B6" s="83" t="str">
        <v>NH</v>
      </c>
      <c r="C6" s="92" t="str" cm="1">
        <f t="array" aca="1" ref="C6:K6" ca="1">IF(INDIRECT("'" &amp; $A6 &amp; "'!B14:J14")="", "", INDIRECT("'" &amp; $A6 &amp; "'!B14:J14"))</f>
        <v/>
      </c>
      <c r="D6" s="92" t="str">
        <f ca="1"/>
        <v/>
      </c>
      <c r="E6" s="92">
        <f ca="1"/>
        <v>0</v>
      </c>
      <c r="F6" s="93">
        <f ca="1"/>
        <v>0</v>
      </c>
      <c r="G6" s="94" t="str">
        <f ca="1"/>
        <v/>
      </c>
      <c r="H6" s="94">
        <f ca="1"/>
        <v>0</v>
      </c>
      <c r="I6" s="95">
        <f ca="1"/>
        <v>0</v>
      </c>
      <c r="J6" s="81" t="str">
        <f ca="1"/>
        <v/>
      </c>
      <c r="K6" s="82" t="str">
        <f ca="1"/>
        <v/>
      </c>
    </row>
    <row r="7" spans="1:11" ht="15.75">
      <c r="A7" s="110" t="str">
        <v>Milton - Landfill</v>
      </c>
      <c r="B7" s="111" t="str">
        <v>NH</v>
      </c>
      <c r="C7" s="92" t="str" cm="1">
        <f t="array" aca="1" ref="C7:K7" ca="1">IF(INDIRECT("'" &amp; $A7 &amp; "'!B14:J14")="", "", INDIRECT("'" &amp; $A7 &amp; "'!B14:J14"))</f>
        <v/>
      </c>
      <c r="D7" s="92" t="str">
        <f ca="1"/>
        <v/>
      </c>
      <c r="E7" s="92">
        <f ca="1"/>
        <v>0</v>
      </c>
      <c r="F7" s="93">
        <f ca="1"/>
        <v>0</v>
      </c>
      <c r="G7" s="94" t="str">
        <f ca="1"/>
        <v/>
      </c>
      <c r="H7" s="94">
        <f ca="1"/>
        <v>0</v>
      </c>
      <c r="I7" s="95">
        <f ca="1"/>
        <v>0</v>
      </c>
      <c r="J7" s="81" t="str">
        <f ca="1"/>
        <v/>
      </c>
      <c r="K7" s="82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B87DE706-15D9-4E58-ADBD-0129509DEFD6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88" priority="1" operator="lessThanOrEqual">
      <formula>-0.1</formula>
    </cfRule>
    <cfRule type="cellIs" dxfId="8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4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42</v>
      </c>
      <c r="D1" s="138"/>
      <c r="E1" s="138"/>
      <c r="F1" s="139"/>
      <c r="G1" s="129" t="s">
        <v>43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"'!B15:J15")="", "", INDIRECT("'" &amp; $A3 &amp; "'!B15:J15"))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1" t="str">
        <f ca="1"/>
        <v/>
      </c>
      <c r="K3" s="81" t="str">
        <f ca="1"/>
        <v/>
      </c>
    </row>
    <row r="4" spans="1:11" ht="15.75">
      <c r="A4" s="44" t="str">
        <v>Auburn - Leicester Street Solar</v>
      </c>
      <c r="B4" s="15" t="str">
        <v>MA</v>
      </c>
      <c r="C4" s="31" t="str" cm="1">
        <f t="array" aca="1" ref="C4:K4" ca="1">IF(INDIRECT("'" &amp; $A4 &amp; "'!B15:J15")="", "", INDIRECT("'" &amp; $A4 &amp; "'!B15:J15"))</f>
        <v/>
      </c>
      <c r="D4" s="31" t="str">
        <f ca="1"/>
        <v/>
      </c>
      <c r="E4" s="31">
        <f ca="1"/>
        <v>0</v>
      </c>
      <c r="F4" s="32">
        <f ca="1"/>
        <v>0</v>
      </c>
      <c r="G4" s="33" t="str">
        <f ca="1"/>
        <v/>
      </c>
      <c r="H4" s="33">
        <f ca="1"/>
        <v>0</v>
      </c>
      <c r="I4" s="34">
        <f ca="1"/>
        <v>0</v>
      </c>
      <c r="J4" s="81" t="str">
        <f ca="1"/>
        <v/>
      </c>
      <c r="K4" s="81" t="str">
        <f ca="1"/>
        <v/>
      </c>
    </row>
    <row r="5" spans="1:11" ht="15.75">
      <c r="A5" s="45" t="str">
        <v>Rochester - Old Middleboro</v>
      </c>
      <c r="B5" s="30" t="str">
        <v>MA</v>
      </c>
      <c r="C5" s="31" t="str" cm="1">
        <f t="array" aca="1" ref="C5:K5" ca="1">IF(INDIRECT("'" &amp; $A5 &amp; "'!B15:J15")="", "", INDIRECT("'" &amp; $A5 &amp; "'!B15:J15"))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1" t="str">
        <f ca="1"/>
        <v/>
      </c>
      <c r="K5" s="81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"'!B15:J15")="", "", INDIRECT("'" &amp; $A6 &amp; "'!B15:J15"))</f>
        <v/>
      </c>
      <c r="D6" s="31" t="str">
        <f ca="1"/>
        <v/>
      </c>
      <c r="E6" s="31">
        <f ca="1"/>
        <v>0</v>
      </c>
      <c r="F6" s="32">
        <f ca="1"/>
        <v>0</v>
      </c>
      <c r="G6" s="33" t="str">
        <f ca="1"/>
        <v/>
      </c>
      <c r="H6" s="33">
        <f ca="1"/>
        <v>0</v>
      </c>
      <c r="I6" s="34">
        <f ca="1"/>
        <v>0</v>
      </c>
      <c r="J6" s="81" t="str">
        <f ca="1"/>
        <v/>
      </c>
      <c r="K6" s="81" t="str">
        <f ca="1"/>
        <v/>
      </c>
    </row>
    <row r="7" spans="1:11" ht="15.75">
      <c r="A7" s="45" t="str">
        <v>Milton - Landfill</v>
      </c>
      <c r="B7" s="30" t="str">
        <v>NH</v>
      </c>
      <c r="C7" s="31" t="str" cm="1">
        <f t="array" aca="1" ref="C7:K7" ca="1">IF(INDIRECT("'" &amp; $A7 &amp; "'!B15:J15")="", "", INDIRECT("'" &amp; $A7 &amp; "'!B15:J15"))</f>
        <v/>
      </c>
      <c r="D7" s="31" t="str">
        <f ca="1"/>
        <v/>
      </c>
      <c r="E7" s="31">
        <f ca="1"/>
        <v>0</v>
      </c>
      <c r="F7" s="32">
        <f ca="1"/>
        <v>0</v>
      </c>
      <c r="G7" s="33" t="str">
        <f ca="1"/>
        <v/>
      </c>
      <c r="H7" s="33">
        <f ca="1"/>
        <v>0</v>
      </c>
      <c r="I7" s="34">
        <f ca="1"/>
        <v>0</v>
      </c>
      <c r="J7" s="81" t="str">
        <f ca="1"/>
        <v/>
      </c>
      <c r="K7" s="81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7397A98F-A32F-42EE-8114-2658DE422011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86" priority="1" operator="lessThanOrEqual">
      <formula>-0.1</formula>
    </cfRule>
    <cfRule type="cellIs" dxfId="8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4"/>
  <sheetViews>
    <sheetView workbookViewId="0">
      <pane ySplit="2" topLeftCell="A3" activePane="bottomLeft" state="frozen"/>
      <selection pane="bottomLeft" activeCell="G22" sqref="G22"/>
      <selection activeCell="J16" sqref="J16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5.7109375" customWidth="1"/>
    <col min="11" max="11" width="19.42578125" customWidth="1"/>
  </cols>
  <sheetData>
    <row r="1" spans="1:11" ht="19.5" customHeight="1">
      <c r="A1" s="135" t="str" cm="1">
        <f t="array" ref="A1">portfolio</f>
        <v>Agilitas Energy</v>
      </c>
      <c r="B1" s="136"/>
      <c r="C1" s="137" t="s">
        <v>44</v>
      </c>
      <c r="D1" s="138"/>
      <c r="E1" s="138"/>
      <c r="F1" s="139"/>
      <c r="G1" s="129" t="s">
        <v>45</v>
      </c>
      <c r="H1" s="129"/>
      <c r="I1" s="130"/>
      <c r="J1" s="140" t="s">
        <v>22</v>
      </c>
      <c r="K1" s="140" t="s">
        <v>23</v>
      </c>
    </row>
    <row r="2" spans="1:11" ht="14.25" customHeight="1">
      <c r="A2" s="41" t="s">
        <v>2</v>
      </c>
      <c r="B2" s="42" t="s">
        <v>3</v>
      </c>
      <c r="C2" s="5" t="s">
        <v>4</v>
      </c>
      <c r="D2" s="39" t="s">
        <v>5</v>
      </c>
      <c r="E2" s="5" t="s">
        <v>6</v>
      </c>
      <c r="F2" s="6" t="s">
        <v>7</v>
      </c>
      <c r="G2" s="40" t="s">
        <v>8</v>
      </c>
      <c r="H2" s="7" t="s">
        <v>6</v>
      </c>
      <c r="I2" s="9" t="s">
        <v>7</v>
      </c>
      <c r="J2" s="141"/>
      <c r="K2" s="141"/>
    </row>
    <row r="3" spans="1:11" ht="15.75">
      <c r="A3" s="43" t="str" cm="1">
        <f t="array" ref="A3:A7">Sites[Site]</f>
        <v>Rowley - Central Street Solar</v>
      </c>
      <c r="B3" s="29" t="str" cm="1">
        <f t="array" ref="B3:B7">Sites[State]</f>
        <v>MA</v>
      </c>
      <c r="C3" s="31" t="str" cm="1">
        <f t="array" aca="1" ref="C3:K3" ca="1">IF(INDIRECT("'" &amp; $A3 &amp; "'!B16:J16")="", "", INDIRECT("'" &amp; $A3 &amp; "'!B16:J16"))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81" t="str">
        <f ca="1"/>
        <v/>
      </c>
      <c r="K3" s="81" t="str">
        <f ca="1"/>
        <v/>
      </c>
    </row>
    <row r="4" spans="1:11" ht="15.75">
      <c r="A4" s="44" t="str">
        <v>Auburn - Leicester Street Solar</v>
      </c>
      <c r="B4" s="15" t="str">
        <v>MA</v>
      </c>
      <c r="C4" s="31" t="str" cm="1">
        <f t="array" aca="1" ref="C4:K4" ca="1">IF(INDIRECT("'" &amp; $A4 &amp; "'!B16:J16")="", "", INDIRECT("'" &amp; $A4 &amp; "'!B16:J16"))</f>
        <v/>
      </c>
      <c r="D4" s="31" t="str">
        <f ca="1"/>
        <v/>
      </c>
      <c r="E4" s="31">
        <f ca="1"/>
        <v>0</v>
      </c>
      <c r="F4" s="32">
        <f ca="1"/>
        <v>0</v>
      </c>
      <c r="G4" s="33" t="str">
        <f ca="1"/>
        <v/>
      </c>
      <c r="H4" s="33">
        <f ca="1"/>
        <v>0</v>
      </c>
      <c r="I4" s="34">
        <f ca="1"/>
        <v>0</v>
      </c>
      <c r="J4" s="81" t="str">
        <f ca="1"/>
        <v/>
      </c>
      <c r="K4" s="81" t="str">
        <f ca="1"/>
        <v/>
      </c>
    </row>
    <row r="5" spans="1:11" ht="15.75">
      <c r="A5" s="45" t="str">
        <v>Rochester - Old Middleboro</v>
      </c>
      <c r="B5" s="30" t="str">
        <v>MA</v>
      </c>
      <c r="C5" s="31" t="str" cm="1">
        <f t="array" aca="1" ref="C5:K5" ca="1">IF(INDIRECT("'" &amp; $A5 &amp; "'!B16:J16")="", "", INDIRECT("'" &amp; $A5 &amp; "'!B16:J16"))</f>
        <v/>
      </c>
      <c r="D5" s="31" t="str">
        <f ca="1"/>
        <v/>
      </c>
      <c r="E5" s="31">
        <f ca="1"/>
        <v>0</v>
      </c>
      <c r="F5" s="32">
        <f ca="1"/>
        <v>0</v>
      </c>
      <c r="G5" s="33" t="str">
        <f ca="1"/>
        <v/>
      </c>
      <c r="H5" s="33">
        <f ca="1"/>
        <v>0</v>
      </c>
      <c r="I5" s="34">
        <f ca="1"/>
        <v>0</v>
      </c>
      <c r="J5" s="81" t="str">
        <f ca="1"/>
        <v/>
      </c>
      <c r="K5" s="81" t="str">
        <f ca="1"/>
        <v/>
      </c>
    </row>
    <row r="6" spans="1:11" ht="15.75">
      <c r="A6" s="44" t="str">
        <v>Dover - Littleworth Road</v>
      </c>
      <c r="B6" s="15" t="str">
        <v>NH</v>
      </c>
      <c r="C6" s="31" t="str" cm="1">
        <f t="array" aca="1" ref="C6:K6" ca="1">IF(INDIRECT("'" &amp; $A6 &amp; "'!B16:J16")="", "", INDIRECT("'" &amp; $A6 &amp; "'!B16:J16"))</f>
        <v/>
      </c>
      <c r="D6" s="31" t="str">
        <f ca="1"/>
        <v/>
      </c>
      <c r="E6" s="31">
        <f ca="1"/>
        <v>0</v>
      </c>
      <c r="F6" s="32">
        <f ca="1"/>
        <v>0</v>
      </c>
      <c r="G6" s="33" t="str">
        <f ca="1"/>
        <v/>
      </c>
      <c r="H6" s="33">
        <f ca="1"/>
        <v>0</v>
      </c>
      <c r="I6" s="34">
        <f ca="1"/>
        <v>0</v>
      </c>
      <c r="J6" s="81" t="str">
        <f ca="1"/>
        <v/>
      </c>
      <c r="K6" s="81" t="str">
        <f ca="1"/>
        <v/>
      </c>
    </row>
    <row r="7" spans="1:11" ht="15.75">
      <c r="A7" s="45" t="str">
        <v>Milton - Landfill</v>
      </c>
      <c r="B7" s="30" t="str">
        <v>NH</v>
      </c>
      <c r="C7" s="31" t="str" cm="1">
        <f t="array" aca="1" ref="C7:K7" ca="1">IF(INDIRECT("'" &amp; $A7 &amp; "'!B16:J16")="", "", INDIRECT("'" &amp; $A7 &amp; "'!B16:J16"))</f>
        <v/>
      </c>
      <c r="D7" s="31" t="str">
        <f ca="1"/>
        <v/>
      </c>
      <c r="E7" s="31">
        <f ca="1"/>
        <v>0</v>
      </c>
      <c r="F7" s="32">
        <f ca="1"/>
        <v>0</v>
      </c>
      <c r="G7" s="33" t="str">
        <f ca="1"/>
        <v/>
      </c>
      <c r="H7" s="33">
        <f ca="1"/>
        <v>0</v>
      </c>
      <c r="I7" s="34">
        <f ca="1"/>
        <v>0</v>
      </c>
      <c r="J7" s="81" t="str">
        <f ca="1"/>
        <v/>
      </c>
      <c r="K7" s="81" t="str">
        <f ca="1"/>
        <v/>
      </c>
    </row>
    <row r="8" spans="1:11" ht="24.75" customHeight="1">
      <c r="A8" s="131" t="s">
        <v>9</v>
      </c>
      <c r="B8" s="132"/>
      <c r="C8" s="46">
        <f ca="1">SUM(C3:C7)</f>
        <v>0</v>
      </c>
      <c r="D8" s="46">
        <f ca="1">SUM(D3:D7)</f>
        <v>0</v>
      </c>
      <c r="E8" s="46">
        <f ca="1">C8-D8</f>
        <v>0</v>
      </c>
      <c r="F8" s="37">
        <f ca="1">IFERROR(E8/D8, 0)</f>
        <v>0</v>
      </c>
      <c r="G8" s="46">
        <f ca="1">SUM(G3:G7)</f>
        <v>0</v>
      </c>
      <c r="H8" s="47">
        <f ca="1">C8-G8</f>
        <v>0</v>
      </c>
      <c r="I8" s="38">
        <f ca="1">IFERROR(H8/G8, 0)</f>
        <v>0</v>
      </c>
      <c r="J8" s="8"/>
    </row>
    <row r="9" spans="1:11">
      <c r="J9" s="8"/>
    </row>
    <row r="10" spans="1:11" ht="12.75" customHeight="1">
      <c r="A10" s="133" t="s">
        <v>10</v>
      </c>
      <c r="J10" s="8"/>
    </row>
    <row r="11" spans="1:11">
      <c r="A11" s="133"/>
      <c r="J11" s="8"/>
    </row>
    <row r="12" spans="1:11">
      <c r="A12" s="134" t="s">
        <v>11</v>
      </c>
      <c r="J12" s="8"/>
    </row>
    <row r="13" spans="1:11" ht="12.75" customHeight="1">
      <c r="A13" s="134"/>
      <c r="J13" s="8"/>
    </row>
    <row r="14" spans="1:11">
      <c r="J14" s="8"/>
    </row>
  </sheetData>
  <autoFilter ref="A2:I2" xr:uid="{7BFACBC8-3831-4E2B-BAD7-988F02FCC664}"/>
  <mergeCells count="8">
    <mergeCell ref="G1:I1"/>
    <mergeCell ref="J1:J2"/>
    <mergeCell ref="K1:K2"/>
    <mergeCell ref="A10:A11"/>
    <mergeCell ref="A12:A13"/>
    <mergeCell ref="A8:B8"/>
    <mergeCell ref="C1:F1"/>
    <mergeCell ref="A1:B1"/>
  </mergeCells>
  <conditionalFormatting sqref="F3:F8 I3:I8">
    <cfRule type="cellIs" dxfId="84" priority="1" operator="lessThanOrEqual">
      <formula>-0.1</formula>
    </cfRule>
    <cfRule type="cellIs" dxfId="8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2.75" customHeight="1"/>
  <cols>
    <col min="1" max="2" width="41.85546875" customWidth="1"/>
    <col min="4" max="4" width="9.140625" customWidth="1"/>
    <col min="5" max="5" width="11" bestFit="1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t="s">
        <v>2</v>
      </c>
      <c r="C2" t="s">
        <v>3</v>
      </c>
      <c r="D2" t="s">
        <v>49</v>
      </c>
      <c r="E2" t="s">
        <v>50</v>
      </c>
    </row>
    <row r="3" spans="1:7" ht="14.25">
      <c r="A3" s="88" t="s">
        <v>51</v>
      </c>
      <c r="B3" s="88" t="s">
        <v>52</v>
      </c>
      <c r="C3" s="88" t="s">
        <v>53</v>
      </c>
      <c r="D3" t="s">
        <v>54</v>
      </c>
      <c r="E3" t="s">
        <v>55</v>
      </c>
      <c r="G3" s="12"/>
    </row>
    <row r="4" spans="1:7" ht="14.25">
      <c r="A4" s="88" t="s">
        <v>56</v>
      </c>
      <c r="B4" s="88" t="s">
        <v>57</v>
      </c>
      <c r="C4" s="88" t="s">
        <v>53</v>
      </c>
      <c r="D4" t="s">
        <v>54</v>
      </c>
      <c r="E4" t="s">
        <v>55</v>
      </c>
      <c r="G4" s="12"/>
    </row>
    <row r="5" spans="1:7" ht="14.25">
      <c r="A5" s="88" t="s">
        <v>58</v>
      </c>
      <c r="B5" s="88" t="s">
        <v>59</v>
      </c>
      <c r="C5" s="88" t="s">
        <v>53</v>
      </c>
      <c r="D5" t="s">
        <v>54</v>
      </c>
      <c r="E5" t="s">
        <v>55</v>
      </c>
      <c r="G5" s="12"/>
    </row>
    <row r="6" spans="1:7" ht="12.75" customHeight="1">
      <c r="A6" s="88" t="s">
        <v>60</v>
      </c>
      <c r="B6" s="88" t="s">
        <v>61</v>
      </c>
      <c r="C6" s="88" t="s">
        <v>62</v>
      </c>
      <c r="E6" t="s">
        <v>63</v>
      </c>
    </row>
    <row r="7" spans="1:7" ht="12.75" customHeight="1">
      <c r="A7" s="88" t="s">
        <v>64</v>
      </c>
      <c r="B7" s="88" t="s">
        <v>65</v>
      </c>
      <c r="C7" s="88" t="s">
        <v>62</v>
      </c>
      <c r="E7" t="s">
        <v>63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G28" sqref="G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155" t="s">
        <v>52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5" ht="25.15">
      <c r="A2" s="10"/>
      <c r="B2" s="10"/>
      <c r="C2" s="10"/>
      <c r="D2" s="10"/>
      <c r="E2" s="10"/>
    </row>
    <row r="3" spans="1:15" ht="16.5" customHeight="1">
      <c r="A3" s="147" t="s">
        <v>66</v>
      </c>
      <c r="B3" s="148"/>
      <c r="C3" s="148"/>
      <c r="D3" s="148"/>
      <c r="E3" s="149"/>
      <c r="F3" s="150" t="s">
        <v>67</v>
      </c>
      <c r="G3" s="151"/>
      <c r="H3" s="152"/>
      <c r="I3" s="153" t="s">
        <v>68</v>
      </c>
      <c r="J3" s="154"/>
    </row>
    <row r="4" spans="1:15" ht="13.35" customHeight="1">
      <c r="A4" s="13" t="s">
        <v>69</v>
      </c>
      <c r="B4" s="22" t="s">
        <v>4</v>
      </c>
      <c r="C4" s="22" t="s">
        <v>5</v>
      </c>
      <c r="D4" s="22" t="s">
        <v>70</v>
      </c>
      <c r="E4" s="23" t="s">
        <v>71</v>
      </c>
      <c r="F4" s="24" t="s">
        <v>8</v>
      </c>
      <c r="G4" s="25" t="s">
        <v>72</v>
      </c>
      <c r="H4" s="26" t="s">
        <v>73</v>
      </c>
      <c r="I4" s="27" t="s">
        <v>68</v>
      </c>
      <c r="J4" s="28" t="s">
        <v>74</v>
      </c>
    </row>
    <row r="5" spans="1:15" ht="13.35" customHeight="1">
      <c r="A5" s="112" t="s">
        <v>75</v>
      </c>
      <c r="B5" s="113">
        <v>23660.310023359001</v>
      </c>
      <c r="C5" s="113">
        <v>29500.5</v>
      </c>
      <c r="D5" s="113">
        <f>B5-C5</f>
        <v>-5840.1899766409988</v>
      </c>
      <c r="E5" s="114">
        <f t="shared" ref="E5:E11" si="0">IFERROR(D5/C5, 0)</f>
        <v>-0.1979691861711157</v>
      </c>
      <c r="F5" s="56">
        <v>37551.17</v>
      </c>
      <c r="G5" s="56">
        <f>B5-F5</f>
        <v>-13890.859976640997</v>
      </c>
      <c r="H5" s="116">
        <f t="shared" ref="H5:H11" si="1">IFERROR(G5/F5, 0)</f>
        <v>-0.36991816704089375</v>
      </c>
      <c r="I5" s="52"/>
      <c r="J5" s="52"/>
      <c r="O5" s="4"/>
    </row>
    <row r="6" spans="1:15" ht="13.35" customHeight="1">
      <c r="A6" s="83" t="s">
        <v>76</v>
      </c>
      <c r="B6" s="113"/>
      <c r="C6" s="113"/>
      <c r="D6" s="113">
        <f t="shared" ref="D6:D11" si="2">B6-C6</f>
        <v>0</v>
      </c>
      <c r="E6" s="117">
        <f t="shared" si="0"/>
        <v>0</v>
      </c>
      <c r="F6" s="124"/>
      <c r="G6" s="56">
        <f t="shared" ref="G6:G11" si="3">B6-F6</f>
        <v>0</v>
      </c>
      <c r="H6" s="116">
        <f t="shared" si="1"/>
        <v>0</v>
      </c>
      <c r="I6" s="52"/>
      <c r="J6" s="52"/>
    </row>
    <row r="7" spans="1:15" ht="13.35" customHeight="1">
      <c r="A7" s="83" t="s">
        <v>77</v>
      </c>
      <c r="B7" s="113"/>
      <c r="C7" s="113"/>
      <c r="D7" s="113">
        <f t="shared" si="2"/>
        <v>0</v>
      </c>
      <c r="E7" s="117">
        <f t="shared" si="0"/>
        <v>0</v>
      </c>
      <c r="F7" s="69"/>
      <c r="G7" s="56">
        <f t="shared" si="3"/>
        <v>0</v>
      </c>
      <c r="H7" s="116">
        <f t="shared" si="1"/>
        <v>0</v>
      </c>
      <c r="I7" s="52"/>
      <c r="J7" s="52"/>
    </row>
    <row r="8" spans="1:15" ht="13.35" customHeight="1">
      <c r="A8" s="83" t="s">
        <v>78</v>
      </c>
      <c r="B8" s="113"/>
      <c r="C8" s="113"/>
      <c r="D8" s="113">
        <f t="shared" si="2"/>
        <v>0</v>
      </c>
      <c r="E8" s="117">
        <f t="shared" si="0"/>
        <v>0</v>
      </c>
      <c r="F8" s="56"/>
      <c r="G8" s="56">
        <f t="shared" si="3"/>
        <v>0</v>
      </c>
      <c r="H8" s="116">
        <f t="shared" si="1"/>
        <v>0</v>
      </c>
      <c r="I8" s="52"/>
      <c r="J8" s="52"/>
    </row>
    <row r="9" spans="1:15" ht="13.35" customHeight="1">
      <c r="A9" s="83" t="s">
        <v>79</v>
      </c>
      <c r="B9" s="113"/>
      <c r="C9" s="113"/>
      <c r="D9" s="113">
        <f t="shared" si="2"/>
        <v>0</v>
      </c>
      <c r="E9" s="117">
        <f t="shared" si="0"/>
        <v>0</v>
      </c>
      <c r="F9" s="56"/>
      <c r="G9" s="56">
        <f t="shared" si="3"/>
        <v>0</v>
      </c>
      <c r="H9" s="116">
        <f t="shared" si="1"/>
        <v>0</v>
      </c>
      <c r="I9" s="54"/>
      <c r="J9" s="52"/>
    </row>
    <row r="10" spans="1:15" ht="13.35" customHeight="1">
      <c r="A10" s="83" t="s">
        <v>80</v>
      </c>
      <c r="B10" s="119"/>
      <c r="C10" s="119"/>
      <c r="D10" s="113">
        <f t="shared" si="2"/>
        <v>0</v>
      </c>
      <c r="E10" s="117">
        <f t="shared" si="0"/>
        <v>0</v>
      </c>
      <c r="F10" s="56"/>
      <c r="G10" s="56">
        <f t="shared" si="3"/>
        <v>0</v>
      </c>
      <c r="H10" s="116">
        <f t="shared" si="1"/>
        <v>0</v>
      </c>
      <c r="I10" s="52"/>
      <c r="J10" s="52"/>
    </row>
    <row r="11" spans="1:15" ht="13.35" customHeight="1">
      <c r="A11" s="83" t="s">
        <v>81</v>
      </c>
      <c r="B11" s="113"/>
      <c r="C11" s="113"/>
      <c r="D11" s="113">
        <f t="shared" si="2"/>
        <v>0</v>
      </c>
      <c r="E11" s="117">
        <f t="shared" si="0"/>
        <v>0</v>
      </c>
      <c r="F11" s="124"/>
      <c r="G11" s="56">
        <f t="shared" si="3"/>
        <v>0</v>
      </c>
      <c r="H11" s="116">
        <f t="shared" si="1"/>
        <v>0</v>
      </c>
      <c r="I11" s="52"/>
      <c r="J11" s="52"/>
    </row>
    <row r="12" spans="1:15" ht="13.35" customHeight="1">
      <c r="A12" s="83" t="s">
        <v>82</v>
      </c>
      <c r="B12" s="113"/>
      <c r="C12" s="113"/>
      <c r="D12" s="113">
        <f t="shared" ref="D12" si="4">B12-C12</f>
        <v>0</v>
      </c>
      <c r="E12" s="117">
        <f t="shared" ref="E12" si="5">IFERROR(D12/C12, 0)</f>
        <v>0</v>
      </c>
      <c r="F12" s="56"/>
      <c r="G12" s="56">
        <f t="shared" ref="G12" si="6">B12-F12</f>
        <v>0</v>
      </c>
      <c r="H12" s="116">
        <f t="shared" ref="H12" si="7">IFERROR(G12/F12, 0)</f>
        <v>0</v>
      </c>
      <c r="I12" s="52"/>
      <c r="J12" s="52"/>
    </row>
    <row r="13" spans="1:15" ht="13.35" customHeight="1">
      <c r="A13" s="83" t="s">
        <v>83</v>
      </c>
      <c r="B13" s="113"/>
      <c r="C13" s="113"/>
      <c r="D13" s="113">
        <f t="shared" ref="D13:D16" si="8">B13-C13</f>
        <v>0</v>
      </c>
      <c r="E13" s="117">
        <f t="shared" ref="E13:E16" si="9">IFERROR(D13/C13, 0)</f>
        <v>0</v>
      </c>
      <c r="F13" s="56"/>
      <c r="G13" s="56">
        <f t="shared" ref="G13:G16" si="10">B13-F13</f>
        <v>0</v>
      </c>
      <c r="H13" s="116">
        <f t="shared" ref="H13:H16" si="11">IFERROR(G13/F13, 0)</f>
        <v>0</v>
      </c>
      <c r="I13" s="52"/>
      <c r="J13" s="52"/>
    </row>
    <row r="14" spans="1:15" ht="14.25">
      <c r="A14" s="83" t="s">
        <v>84</v>
      </c>
      <c r="B14" s="113"/>
      <c r="C14" s="113"/>
      <c r="D14" s="113">
        <f t="shared" si="8"/>
        <v>0</v>
      </c>
      <c r="E14" s="117">
        <f t="shared" si="9"/>
        <v>0</v>
      </c>
      <c r="F14" s="56"/>
      <c r="G14" s="56">
        <f t="shared" si="10"/>
        <v>0</v>
      </c>
      <c r="H14" s="116">
        <f t="shared" si="11"/>
        <v>0</v>
      </c>
      <c r="I14" s="54"/>
      <c r="J14" s="52"/>
    </row>
    <row r="15" spans="1:15" ht="13.35" customHeight="1">
      <c r="A15" s="15" t="s">
        <v>85</v>
      </c>
      <c r="B15" s="55"/>
      <c r="C15" s="55"/>
      <c r="D15" s="113">
        <f t="shared" si="8"/>
        <v>0</v>
      </c>
      <c r="E15" s="117">
        <f t="shared" si="9"/>
        <v>0</v>
      </c>
      <c r="F15" s="57"/>
      <c r="G15" s="56">
        <f t="shared" si="10"/>
        <v>0</v>
      </c>
      <c r="H15" s="116">
        <f t="shared" si="11"/>
        <v>0</v>
      </c>
      <c r="I15" s="52"/>
      <c r="J15" s="52"/>
    </row>
    <row r="16" spans="1:15" ht="13.35" customHeight="1">
      <c r="A16" s="16" t="s">
        <v>86</v>
      </c>
      <c r="B16" s="58"/>
      <c r="C16" s="55"/>
      <c r="D16" s="113">
        <f t="shared" si="8"/>
        <v>0</v>
      </c>
      <c r="E16" s="117">
        <f t="shared" si="9"/>
        <v>0</v>
      </c>
      <c r="F16" s="59"/>
      <c r="G16" s="56">
        <f t="shared" si="10"/>
        <v>0</v>
      </c>
      <c r="H16" s="116">
        <f t="shared" si="11"/>
        <v>0</v>
      </c>
      <c r="I16" s="52"/>
      <c r="J16" s="60"/>
    </row>
    <row r="17" spans="1:15" ht="13.35" customHeight="1">
      <c r="A17" s="17" t="s">
        <v>87</v>
      </c>
      <c r="B17" s="18">
        <f>SUM(B5:B16)</f>
        <v>23660.310023359001</v>
      </c>
      <c r="C17" s="18">
        <f t="shared" ref="C17:F17" si="12">SUM(C5:C16)</f>
        <v>29500.5</v>
      </c>
      <c r="D17" s="18">
        <f>B17-C17</f>
        <v>-5840.1899766409988</v>
      </c>
      <c r="E17" s="19">
        <f>IFERROR(D17/C17, 0)</f>
        <v>-0.1979691861711157</v>
      </c>
      <c r="F17" s="18">
        <f t="shared" si="12"/>
        <v>37551.17</v>
      </c>
      <c r="G17" s="18">
        <f>B17-F17</f>
        <v>-13890.859976640997</v>
      </c>
      <c r="H17" s="20">
        <f>IFERROR(G17/F17, 0)</f>
        <v>-0.36991816704089375</v>
      </c>
      <c r="I17" s="21"/>
      <c r="J17" s="21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79" priority="1" operator="lessThanOrEqual">
      <formula>-0.1</formula>
    </cfRule>
    <cfRule type="cellIs" dxfId="78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I22" sqref="I2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8.28515625" bestFit="1" customWidth="1"/>
    <col min="10" max="10" width="21.42578125" customWidth="1"/>
  </cols>
  <sheetData>
    <row r="1" spans="1:15" ht="25.15">
      <c r="A1" s="155" t="s">
        <v>57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5" ht="25.15">
      <c r="A2" s="10"/>
      <c r="B2" s="10"/>
      <c r="C2" s="10"/>
      <c r="D2" s="10"/>
      <c r="E2" s="10"/>
    </row>
    <row r="3" spans="1:15" ht="15">
      <c r="A3" s="147" t="s">
        <v>66</v>
      </c>
      <c r="B3" s="148"/>
      <c r="C3" s="148"/>
      <c r="D3" s="148"/>
      <c r="E3" s="149"/>
      <c r="F3" s="150" t="s">
        <v>67</v>
      </c>
      <c r="G3" s="151"/>
      <c r="H3" s="152"/>
      <c r="I3" s="153" t="s">
        <v>68</v>
      </c>
      <c r="J3" s="154"/>
    </row>
    <row r="4" spans="1:15">
      <c r="A4" s="13" t="s">
        <v>69</v>
      </c>
      <c r="B4" s="22" t="s">
        <v>4</v>
      </c>
      <c r="C4" s="22" t="s">
        <v>5</v>
      </c>
      <c r="D4" s="22" t="s">
        <v>70</v>
      </c>
      <c r="E4" s="23" t="s">
        <v>71</v>
      </c>
      <c r="F4" s="24" t="s">
        <v>8</v>
      </c>
      <c r="G4" s="25" t="s">
        <v>72</v>
      </c>
      <c r="H4" s="26" t="s">
        <v>73</v>
      </c>
      <c r="I4" s="27" t="s">
        <v>68</v>
      </c>
      <c r="J4" s="28" t="s">
        <v>74</v>
      </c>
    </row>
    <row r="5" spans="1:15" ht="42.75">
      <c r="A5" s="112" t="s">
        <v>75</v>
      </c>
      <c r="B5" s="113">
        <v>172284.33333333401</v>
      </c>
      <c r="C5" s="113">
        <v>0</v>
      </c>
      <c r="D5" s="113">
        <f>B5-C5</f>
        <v>172284.33333333401</v>
      </c>
      <c r="E5" s="114">
        <f t="shared" ref="E5:E10" si="0">IFERROR(D5/C5, 0)</f>
        <v>0</v>
      </c>
      <c r="F5" s="115">
        <v>0</v>
      </c>
      <c r="G5" s="69">
        <f>B5-F5</f>
        <v>172284.33333333401</v>
      </c>
      <c r="H5" s="116">
        <f t="shared" ref="H5:H10" si="1">IFERROR(G5/F5, 0)</f>
        <v>0</v>
      </c>
      <c r="I5" s="54" t="s">
        <v>88</v>
      </c>
      <c r="J5" s="54" t="s">
        <v>89</v>
      </c>
      <c r="O5" s="4"/>
    </row>
    <row r="6" spans="1:15" ht="14.25">
      <c r="A6" s="83" t="s">
        <v>76</v>
      </c>
      <c r="B6" s="113"/>
      <c r="C6" s="113"/>
      <c r="D6" s="113">
        <f t="shared" ref="D6:D10" si="2">B6-C6</f>
        <v>0</v>
      </c>
      <c r="E6" s="117">
        <f t="shared" si="0"/>
        <v>0</v>
      </c>
      <c r="F6" s="115"/>
      <c r="G6" s="69">
        <f t="shared" ref="G6:G10" si="3">B6-F6</f>
        <v>0</v>
      </c>
      <c r="H6" s="116">
        <f t="shared" si="1"/>
        <v>0</v>
      </c>
      <c r="I6" s="52"/>
      <c r="J6" s="87"/>
    </row>
    <row r="7" spans="1:15" ht="14.25">
      <c r="A7" s="83" t="s">
        <v>77</v>
      </c>
      <c r="B7" s="113"/>
      <c r="C7" s="113"/>
      <c r="D7" s="113">
        <f t="shared" si="2"/>
        <v>0</v>
      </c>
      <c r="E7" s="117">
        <f t="shared" si="0"/>
        <v>0</v>
      </c>
      <c r="F7" s="115"/>
      <c r="G7" s="69">
        <f t="shared" si="3"/>
        <v>0</v>
      </c>
      <c r="H7" s="116">
        <f t="shared" si="1"/>
        <v>0</v>
      </c>
      <c r="I7" s="52"/>
      <c r="J7" s="52"/>
    </row>
    <row r="8" spans="1:15" ht="14.25">
      <c r="A8" s="83" t="s">
        <v>78</v>
      </c>
      <c r="B8" s="113"/>
      <c r="C8" s="113"/>
      <c r="D8" s="113">
        <f t="shared" si="2"/>
        <v>0</v>
      </c>
      <c r="E8" s="117">
        <f t="shared" si="0"/>
        <v>0</v>
      </c>
      <c r="F8" s="115"/>
      <c r="G8" s="69">
        <f t="shared" si="3"/>
        <v>0</v>
      </c>
      <c r="H8" s="116">
        <f t="shared" si="1"/>
        <v>0</v>
      </c>
      <c r="I8" s="54"/>
      <c r="J8" s="87"/>
    </row>
    <row r="9" spans="1:15" ht="14.25">
      <c r="A9" s="83" t="s">
        <v>79</v>
      </c>
      <c r="B9" s="113"/>
      <c r="C9" s="113"/>
      <c r="D9" s="113">
        <f t="shared" si="2"/>
        <v>0</v>
      </c>
      <c r="E9" s="117">
        <f t="shared" si="0"/>
        <v>0</v>
      </c>
      <c r="F9" s="115"/>
      <c r="G9" s="69">
        <f t="shared" si="3"/>
        <v>0</v>
      </c>
      <c r="H9" s="116">
        <f t="shared" si="1"/>
        <v>0</v>
      </c>
      <c r="I9" s="54"/>
      <c r="J9" s="52"/>
    </row>
    <row r="10" spans="1:15" ht="14.25">
      <c r="A10" s="83" t="s">
        <v>80</v>
      </c>
      <c r="B10" s="113"/>
      <c r="C10" s="113"/>
      <c r="D10" s="113">
        <f t="shared" si="2"/>
        <v>0</v>
      </c>
      <c r="E10" s="117">
        <f t="shared" si="0"/>
        <v>0</v>
      </c>
      <c r="F10" s="115"/>
      <c r="G10" s="69">
        <f t="shared" si="3"/>
        <v>0</v>
      </c>
      <c r="H10" s="116">
        <f t="shared" si="1"/>
        <v>0</v>
      </c>
      <c r="I10" s="87"/>
      <c r="J10" s="87"/>
    </row>
    <row r="11" spans="1:15" ht="14.25">
      <c r="A11" s="83" t="s">
        <v>81</v>
      </c>
      <c r="B11" s="113"/>
      <c r="C11" s="113"/>
      <c r="D11" s="113">
        <f t="shared" ref="D11" si="4">B11-C11</f>
        <v>0</v>
      </c>
      <c r="E11" s="117">
        <f t="shared" ref="E11" si="5">IFERROR(D11/C11, 0)</f>
        <v>0</v>
      </c>
      <c r="F11" s="118"/>
      <c r="G11" s="69">
        <f t="shared" ref="G11" si="6">B11-F11</f>
        <v>0</v>
      </c>
      <c r="H11" s="116">
        <f t="shared" ref="H11" si="7">IFERROR(G11/F11, 0)</f>
        <v>0</v>
      </c>
      <c r="I11" s="87"/>
      <c r="J11" s="87"/>
    </row>
    <row r="12" spans="1:15" ht="14.25">
      <c r="A12" s="83" t="s">
        <v>82</v>
      </c>
      <c r="B12" s="113"/>
      <c r="C12" s="113"/>
      <c r="D12" s="113">
        <f t="shared" ref="D12" si="8">B12-C12</f>
        <v>0</v>
      </c>
      <c r="E12" s="117">
        <f t="shared" ref="E12" si="9">IFERROR(D12/C12, 0)</f>
        <v>0</v>
      </c>
      <c r="F12" s="69"/>
      <c r="G12" s="69">
        <f t="shared" ref="G12" si="10">B12-F12</f>
        <v>0</v>
      </c>
      <c r="H12" s="116">
        <f t="shared" ref="H12" si="11">IFERROR(G12/F12, 0)</f>
        <v>0</v>
      </c>
      <c r="I12" s="54"/>
      <c r="J12" s="54"/>
    </row>
    <row r="13" spans="1:15" ht="14.25">
      <c r="A13" s="83" t="s">
        <v>83</v>
      </c>
      <c r="B13" s="113"/>
      <c r="C13" s="113"/>
      <c r="D13" s="113">
        <f t="shared" ref="D13:D16" si="12">B13-C13</f>
        <v>0</v>
      </c>
      <c r="E13" s="117">
        <f t="shared" ref="E13:E16" si="13">IFERROR(D13/C13, 0)</f>
        <v>0</v>
      </c>
      <c r="F13" s="56"/>
      <c r="G13" s="69">
        <f t="shared" ref="G13:G16" si="14">B13-F13</f>
        <v>0</v>
      </c>
      <c r="H13" s="116">
        <f t="shared" ref="H13:H16" si="15">IFERROR(G13/F13, 0)</f>
        <v>0</v>
      </c>
      <c r="I13" s="52"/>
      <c r="J13" s="52"/>
    </row>
    <row r="14" spans="1:15" ht="14.25">
      <c r="A14" s="83" t="s">
        <v>84</v>
      </c>
      <c r="B14" s="113"/>
      <c r="C14" s="113"/>
      <c r="D14" s="113">
        <f t="shared" si="12"/>
        <v>0</v>
      </c>
      <c r="E14" s="117">
        <f t="shared" si="13"/>
        <v>0</v>
      </c>
      <c r="F14" s="56"/>
      <c r="G14" s="69">
        <f t="shared" si="14"/>
        <v>0</v>
      </c>
      <c r="H14" s="116">
        <f t="shared" si="15"/>
        <v>0</v>
      </c>
      <c r="I14" s="54"/>
      <c r="J14" s="52"/>
    </row>
    <row r="15" spans="1:15" ht="14.25">
      <c r="A15" s="83" t="s">
        <v>85</v>
      </c>
      <c r="B15" s="119"/>
      <c r="C15" s="119"/>
      <c r="D15" s="113">
        <f t="shared" si="12"/>
        <v>0</v>
      </c>
      <c r="E15" s="117">
        <f t="shared" si="13"/>
        <v>0</v>
      </c>
      <c r="F15" s="120"/>
      <c r="G15" s="69">
        <f t="shared" si="14"/>
        <v>0</v>
      </c>
      <c r="H15" s="116">
        <f t="shared" si="15"/>
        <v>0</v>
      </c>
      <c r="I15" s="54"/>
      <c r="J15" s="54"/>
    </row>
    <row r="16" spans="1:15" ht="14.25">
      <c r="A16" s="121" t="s">
        <v>86</v>
      </c>
      <c r="B16" s="119"/>
      <c r="C16" s="122"/>
      <c r="D16" s="113">
        <f t="shared" si="12"/>
        <v>0</v>
      </c>
      <c r="E16" s="117">
        <f t="shared" si="13"/>
        <v>0</v>
      </c>
      <c r="F16" s="123"/>
      <c r="G16" s="69">
        <f t="shared" si="14"/>
        <v>0</v>
      </c>
      <c r="H16" s="116">
        <f t="shared" si="15"/>
        <v>0</v>
      </c>
      <c r="I16" s="127"/>
      <c r="J16" s="127"/>
    </row>
    <row r="17" spans="1:15" ht="14.25">
      <c r="A17" s="17" t="s">
        <v>87</v>
      </c>
      <c r="B17" s="18">
        <f>SUM(B5:B16)</f>
        <v>172284.33333333401</v>
      </c>
      <c r="C17" s="18">
        <f t="shared" ref="C17:F17" si="16">SUM(C5:C16)</f>
        <v>0</v>
      </c>
      <c r="D17" s="18">
        <f>B17-C17</f>
        <v>172284.33333333401</v>
      </c>
      <c r="E17" s="19">
        <f>IFERROR(D17/C17, 0)</f>
        <v>0</v>
      </c>
      <c r="F17" s="18">
        <f t="shared" si="16"/>
        <v>0</v>
      </c>
      <c r="G17" s="18">
        <f>B17-F17</f>
        <v>172284.33333333401</v>
      </c>
      <c r="H17" s="20">
        <f>IFERROR(G17/F17, 0)</f>
        <v>0</v>
      </c>
      <c r="I17" s="21"/>
      <c r="J17" s="21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63" priority="1" operator="lessThanOrEqual">
      <formula>-0.1</formula>
    </cfRule>
    <cfRule type="cellIs" dxfId="6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55" t="s">
        <v>59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5" ht="25.15">
      <c r="A2" s="10"/>
      <c r="B2" s="10"/>
      <c r="C2" s="10"/>
      <c r="D2" s="10"/>
      <c r="E2" s="10"/>
    </row>
    <row r="3" spans="1:15" ht="15">
      <c r="A3" s="147" t="s">
        <v>66</v>
      </c>
      <c r="B3" s="148"/>
      <c r="C3" s="148"/>
      <c r="D3" s="148"/>
      <c r="E3" s="149"/>
      <c r="F3" s="150" t="s">
        <v>67</v>
      </c>
      <c r="G3" s="151"/>
      <c r="H3" s="152"/>
      <c r="I3" s="153" t="s">
        <v>68</v>
      </c>
      <c r="J3" s="154"/>
    </row>
    <row r="4" spans="1:15">
      <c r="A4" s="13" t="s">
        <v>69</v>
      </c>
      <c r="B4" s="22" t="s">
        <v>4</v>
      </c>
      <c r="C4" s="22" t="s">
        <v>5</v>
      </c>
      <c r="D4" s="22" t="s">
        <v>70</v>
      </c>
      <c r="E4" s="23" t="s">
        <v>71</v>
      </c>
      <c r="F4" s="24" t="s">
        <v>8</v>
      </c>
      <c r="G4" s="25" t="s">
        <v>72</v>
      </c>
      <c r="H4" s="26" t="s">
        <v>73</v>
      </c>
      <c r="I4" s="27" t="s">
        <v>68</v>
      </c>
      <c r="J4" s="28" t="s">
        <v>74</v>
      </c>
    </row>
    <row r="5" spans="1:15" ht="28.5">
      <c r="A5" s="112" t="s">
        <v>75</v>
      </c>
      <c r="B5" s="125">
        <v>406951</v>
      </c>
      <c r="C5" s="125">
        <v>473358</v>
      </c>
      <c r="D5" s="125">
        <f>B5-C5</f>
        <v>-66407</v>
      </c>
      <c r="E5" s="114">
        <f t="shared" ref="E5:E10" si="0">IFERROR(D5/C5, 0)</f>
        <v>-0.14028916802927172</v>
      </c>
      <c r="F5" s="69">
        <v>421672</v>
      </c>
      <c r="G5" s="56">
        <f>B5-F5</f>
        <v>-14721</v>
      </c>
      <c r="H5" s="116">
        <f t="shared" ref="H5:H10" si="1">IFERROR(G5/F5, 0)</f>
        <v>-3.4911020888273352E-2</v>
      </c>
      <c r="I5" s="54" t="s">
        <v>90</v>
      </c>
      <c r="J5" s="54" t="s">
        <v>91</v>
      </c>
      <c r="O5" s="4"/>
    </row>
    <row r="6" spans="1:15" ht="14.25">
      <c r="A6" s="83" t="s">
        <v>76</v>
      </c>
      <c r="B6" s="125"/>
      <c r="C6" s="125"/>
      <c r="D6" s="125">
        <f t="shared" ref="D6:D10" si="2">B6-C6</f>
        <v>0</v>
      </c>
      <c r="E6" s="117">
        <f t="shared" si="0"/>
        <v>0</v>
      </c>
      <c r="F6" s="118"/>
      <c r="G6" s="56">
        <f t="shared" ref="G6:G10" si="3">B6-F6</f>
        <v>0</v>
      </c>
      <c r="H6" s="116">
        <f t="shared" si="1"/>
        <v>0</v>
      </c>
      <c r="I6" s="61"/>
      <c r="J6" s="61"/>
    </row>
    <row r="7" spans="1:15" ht="14.25">
      <c r="A7" s="83" t="s">
        <v>77</v>
      </c>
      <c r="B7" s="125"/>
      <c r="C7" s="125"/>
      <c r="D7" s="125">
        <f t="shared" si="2"/>
        <v>0</v>
      </c>
      <c r="E7" s="117">
        <f t="shared" si="0"/>
        <v>0</v>
      </c>
      <c r="F7" s="69"/>
      <c r="G7" s="56">
        <f t="shared" si="3"/>
        <v>0</v>
      </c>
      <c r="H7" s="116">
        <f t="shared" si="1"/>
        <v>0</v>
      </c>
      <c r="I7" s="62"/>
      <c r="J7" s="62"/>
    </row>
    <row r="8" spans="1:15" ht="14.25">
      <c r="A8" s="83" t="s">
        <v>78</v>
      </c>
      <c r="B8" s="125"/>
      <c r="C8" s="125"/>
      <c r="D8" s="125">
        <f t="shared" si="2"/>
        <v>0</v>
      </c>
      <c r="E8" s="117">
        <f t="shared" si="0"/>
        <v>0</v>
      </c>
      <c r="F8" s="69"/>
      <c r="G8" s="56">
        <f t="shared" si="3"/>
        <v>0</v>
      </c>
      <c r="H8" s="116">
        <f t="shared" si="1"/>
        <v>0</v>
      </c>
      <c r="I8" s="61"/>
      <c r="J8" s="61"/>
    </row>
    <row r="9" spans="1:15" ht="14.25">
      <c r="A9" s="83" t="s">
        <v>79</v>
      </c>
      <c r="B9" s="125"/>
      <c r="C9" s="125"/>
      <c r="D9" s="125">
        <f t="shared" si="2"/>
        <v>0</v>
      </c>
      <c r="E9" s="117">
        <f t="shared" si="0"/>
        <v>0</v>
      </c>
      <c r="F9" s="69"/>
      <c r="G9" s="56">
        <f t="shared" si="3"/>
        <v>0</v>
      </c>
      <c r="H9" s="116">
        <f t="shared" si="1"/>
        <v>0</v>
      </c>
      <c r="I9" s="54"/>
      <c r="J9" s="52"/>
    </row>
    <row r="10" spans="1:15" ht="14.25">
      <c r="A10" s="83" t="s">
        <v>80</v>
      </c>
      <c r="B10" s="125"/>
      <c r="C10" s="125"/>
      <c r="D10" s="125">
        <f t="shared" si="2"/>
        <v>0</v>
      </c>
      <c r="E10" s="117">
        <f t="shared" si="0"/>
        <v>0</v>
      </c>
      <c r="F10" s="69"/>
      <c r="G10" s="56">
        <f t="shared" si="3"/>
        <v>0</v>
      </c>
      <c r="H10" s="116">
        <f t="shared" si="1"/>
        <v>0</v>
      </c>
      <c r="I10" s="54"/>
      <c r="J10" s="52"/>
    </row>
    <row r="11" spans="1:15" ht="14.25">
      <c r="A11" s="83" t="s">
        <v>81</v>
      </c>
      <c r="B11" s="125"/>
      <c r="C11" s="125"/>
      <c r="D11" s="125">
        <f t="shared" ref="D11" si="4">B11-C11</f>
        <v>0</v>
      </c>
      <c r="E11" s="117">
        <f t="shared" ref="E11" si="5">IFERROR(D11/C11, 0)</f>
        <v>0</v>
      </c>
      <c r="F11" s="118"/>
      <c r="G11" s="56">
        <f t="shared" ref="G11" si="6">B11-F11</f>
        <v>0</v>
      </c>
      <c r="H11" s="116">
        <f t="shared" ref="H11" si="7">IFERROR(G11/F11, 0)</f>
        <v>0</v>
      </c>
      <c r="I11" s="61"/>
      <c r="J11" s="61"/>
    </row>
    <row r="12" spans="1:15" ht="14.25">
      <c r="A12" s="83" t="s">
        <v>82</v>
      </c>
      <c r="B12" s="125"/>
      <c r="C12" s="125"/>
      <c r="D12" s="125">
        <f t="shared" ref="D12" si="8">B12-C12</f>
        <v>0</v>
      </c>
      <c r="E12" s="117">
        <f t="shared" ref="E12" si="9">IFERROR(D12/C12, 0)</f>
        <v>0</v>
      </c>
      <c r="F12" s="69"/>
      <c r="G12" s="56">
        <f t="shared" ref="G12" si="10">B12-F12</f>
        <v>0</v>
      </c>
      <c r="H12" s="116">
        <f t="shared" ref="H12" si="11">IFERROR(G12/F12, 0)</f>
        <v>0</v>
      </c>
      <c r="I12" s="54"/>
      <c r="J12" s="54"/>
    </row>
    <row r="13" spans="1:15" ht="14.25">
      <c r="A13" s="83" t="s">
        <v>83</v>
      </c>
      <c r="B13" s="113"/>
      <c r="C13" s="113"/>
      <c r="D13" s="125">
        <f t="shared" ref="D13:D16" si="12">B13-C13</f>
        <v>0</v>
      </c>
      <c r="E13" s="117">
        <f t="shared" ref="E13:E16" si="13">IFERROR(D13/C13, 0)</f>
        <v>0</v>
      </c>
      <c r="F13" s="56"/>
      <c r="G13" s="56">
        <f t="shared" ref="G13:G16" si="14">B13-F13</f>
        <v>0</v>
      </c>
      <c r="H13" s="116">
        <f t="shared" ref="H13:H16" si="15">IFERROR(G13/F13, 0)</f>
        <v>0</v>
      </c>
      <c r="I13" s="54"/>
      <c r="J13" s="54"/>
    </row>
    <row r="14" spans="1:15" ht="14.25">
      <c r="A14" s="83" t="s">
        <v>84</v>
      </c>
      <c r="B14" s="113"/>
      <c r="C14" s="113"/>
      <c r="D14" s="125">
        <f t="shared" si="12"/>
        <v>0</v>
      </c>
      <c r="E14" s="117">
        <f t="shared" si="13"/>
        <v>0</v>
      </c>
      <c r="F14" s="56"/>
      <c r="G14" s="56">
        <f t="shared" si="14"/>
        <v>0</v>
      </c>
      <c r="H14" s="116">
        <f t="shared" si="15"/>
        <v>0</v>
      </c>
      <c r="I14" s="54"/>
      <c r="J14" s="52"/>
    </row>
    <row r="15" spans="1:15" ht="14.25">
      <c r="A15" s="83" t="s">
        <v>85</v>
      </c>
      <c r="B15" s="119"/>
      <c r="C15" s="119"/>
      <c r="D15" s="125">
        <f t="shared" si="12"/>
        <v>0</v>
      </c>
      <c r="E15" s="117">
        <f t="shared" si="13"/>
        <v>0</v>
      </c>
      <c r="F15" s="120"/>
      <c r="G15" s="56">
        <f t="shared" si="14"/>
        <v>0</v>
      </c>
      <c r="H15" s="116">
        <f t="shared" si="15"/>
        <v>0</v>
      </c>
      <c r="I15" s="54"/>
      <c r="J15" s="54"/>
    </row>
    <row r="16" spans="1:15" ht="14.25">
      <c r="A16" s="121" t="s">
        <v>86</v>
      </c>
      <c r="B16" s="122"/>
      <c r="C16" s="122"/>
      <c r="D16" s="125">
        <f t="shared" si="12"/>
        <v>0</v>
      </c>
      <c r="E16" s="117">
        <f t="shared" si="13"/>
        <v>0</v>
      </c>
      <c r="F16" s="123"/>
      <c r="G16" s="56">
        <f t="shared" si="14"/>
        <v>0</v>
      </c>
      <c r="H16" s="116">
        <f t="shared" si="15"/>
        <v>0</v>
      </c>
      <c r="I16" s="60"/>
      <c r="J16" s="60"/>
    </row>
    <row r="17" spans="1:15" ht="14.25">
      <c r="A17" s="17" t="s">
        <v>87</v>
      </c>
      <c r="B17" s="18">
        <f>SUM(B5:B16)</f>
        <v>406951</v>
      </c>
      <c r="C17" s="18">
        <f t="shared" ref="C17:F17" si="16">SUM(C5:C16)</f>
        <v>473358</v>
      </c>
      <c r="D17" s="18">
        <f>B17-C17</f>
        <v>-66407</v>
      </c>
      <c r="E17" s="19">
        <f>IFERROR(D17/C17, 0)</f>
        <v>-0.14028916802927172</v>
      </c>
      <c r="F17" s="18">
        <f t="shared" si="16"/>
        <v>421672</v>
      </c>
      <c r="G17" s="18">
        <f>B17-F17</f>
        <v>-14721</v>
      </c>
      <c r="H17" s="20">
        <f>IFERROR(G17/F17, 0)</f>
        <v>-3.4911020888273352E-2</v>
      </c>
      <c r="I17" s="21"/>
      <c r="J17" s="21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47" priority="1" operator="lessThanOrEqual">
      <formula>-0.1</formula>
    </cfRule>
    <cfRule type="cellIs" dxfId="4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D2B6-78E4-41E4-91D3-BBBA31A23162}">
  <sheetPr codeName="Sheet22">
    <tabColor rgb="FF92D050"/>
  </sheetPr>
  <dimension ref="A1:O20"/>
  <sheetViews>
    <sheetView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55" t="s">
        <v>61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5" ht="25.15">
      <c r="A2" s="10"/>
      <c r="B2" s="10"/>
      <c r="C2" s="10"/>
      <c r="D2" s="10"/>
      <c r="E2" s="10"/>
    </row>
    <row r="3" spans="1:15" ht="16.5" customHeight="1">
      <c r="A3" s="147" t="s">
        <v>66</v>
      </c>
      <c r="B3" s="148"/>
      <c r="C3" s="148"/>
      <c r="D3" s="148"/>
      <c r="E3" s="149"/>
      <c r="F3" s="150" t="s">
        <v>67</v>
      </c>
      <c r="G3" s="151"/>
      <c r="H3" s="152"/>
      <c r="I3" s="153" t="s">
        <v>68</v>
      </c>
      <c r="J3" s="154"/>
    </row>
    <row r="4" spans="1:15" ht="13.35" customHeight="1">
      <c r="A4" s="13" t="s">
        <v>69</v>
      </c>
      <c r="B4" s="22" t="s">
        <v>4</v>
      </c>
      <c r="C4" s="22" t="s">
        <v>5</v>
      </c>
      <c r="D4" s="22" t="s">
        <v>70</v>
      </c>
      <c r="E4" s="23" t="s">
        <v>71</v>
      </c>
      <c r="F4" s="24" t="s">
        <v>8</v>
      </c>
      <c r="G4" s="25" t="s">
        <v>72</v>
      </c>
      <c r="H4" s="26" t="s">
        <v>73</v>
      </c>
      <c r="I4" s="27" t="s">
        <v>68</v>
      </c>
      <c r="J4" s="28" t="s">
        <v>74</v>
      </c>
    </row>
    <row r="5" spans="1:15" ht="13.35" customHeight="1">
      <c r="A5" s="14" t="s">
        <v>75</v>
      </c>
      <c r="B5" s="84">
        <v>10197</v>
      </c>
      <c r="C5" s="84">
        <v>0</v>
      </c>
      <c r="D5" s="84">
        <f>B5-C5</f>
        <v>10197</v>
      </c>
      <c r="E5" s="49">
        <f t="shared" ref="E5:E13" si="0">IFERROR(D5/C5, 0)</f>
        <v>0</v>
      </c>
      <c r="F5" s="86">
        <v>0</v>
      </c>
      <c r="G5" s="85">
        <f>B5-F5</f>
        <v>10197</v>
      </c>
      <c r="H5" s="51">
        <f t="shared" ref="H5:H13" si="1">IFERROR(G5/F5, 0)</f>
        <v>0</v>
      </c>
      <c r="I5" s="61"/>
      <c r="J5" s="61"/>
      <c r="O5" s="4"/>
    </row>
    <row r="6" spans="1:15" ht="13.35" customHeight="1">
      <c r="A6" s="15" t="s">
        <v>76</v>
      </c>
      <c r="B6" s="84"/>
      <c r="C6" s="84"/>
      <c r="D6" s="84">
        <f t="shared" ref="D6:D13" si="2">B6-C6</f>
        <v>0</v>
      </c>
      <c r="E6" s="53">
        <f t="shared" si="0"/>
        <v>0</v>
      </c>
      <c r="F6" s="86"/>
      <c r="G6" s="85">
        <f t="shared" ref="G6:G13" si="3">B6-F6</f>
        <v>0</v>
      </c>
      <c r="H6" s="51">
        <f t="shared" si="1"/>
        <v>0</v>
      </c>
      <c r="I6" s="61"/>
      <c r="J6" s="61"/>
    </row>
    <row r="7" spans="1:15" ht="13.35" customHeight="1">
      <c r="A7" s="15" t="s">
        <v>77</v>
      </c>
      <c r="B7" s="84"/>
      <c r="C7" s="84"/>
      <c r="D7" s="84">
        <f t="shared" si="2"/>
        <v>0</v>
      </c>
      <c r="E7" s="53">
        <f t="shared" si="0"/>
        <v>0</v>
      </c>
      <c r="F7" s="86"/>
      <c r="G7" s="85">
        <f t="shared" si="3"/>
        <v>0</v>
      </c>
      <c r="H7" s="51">
        <f t="shared" si="1"/>
        <v>0</v>
      </c>
      <c r="I7" s="62"/>
      <c r="J7" s="62"/>
    </row>
    <row r="8" spans="1:15" ht="13.35" customHeight="1">
      <c r="A8" s="15" t="s">
        <v>78</v>
      </c>
      <c r="B8" s="84"/>
      <c r="C8" s="84"/>
      <c r="D8" s="84">
        <f t="shared" si="2"/>
        <v>0</v>
      </c>
      <c r="E8" s="53">
        <f t="shared" si="0"/>
        <v>0</v>
      </c>
      <c r="F8" s="86"/>
      <c r="G8" s="85">
        <f t="shared" si="3"/>
        <v>0</v>
      </c>
      <c r="H8" s="51">
        <f t="shared" si="1"/>
        <v>0</v>
      </c>
      <c r="I8" s="61"/>
      <c r="J8" s="61"/>
    </row>
    <row r="9" spans="1:15" ht="13.35" customHeight="1">
      <c r="A9" s="15" t="s">
        <v>79</v>
      </c>
      <c r="B9" s="84"/>
      <c r="C9" s="84"/>
      <c r="D9" s="84">
        <f t="shared" si="2"/>
        <v>0</v>
      </c>
      <c r="E9" s="53">
        <f t="shared" si="0"/>
        <v>0</v>
      </c>
      <c r="F9" s="86"/>
      <c r="G9" s="85">
        <f t="shared" si="3"/>
        <v>0</v>
      </c>
      <c r="H9" s="51">
        <f t="shared" si="1"/>
        <v>0</v>
      </c>
      <c r="I9" s="54"/>
      <c r="J9" s="52"/>
    </row>
    <row r="10" spans="1:15" ht="14.25">
      <c r="A10" s="83" t="s">
        <v>80</v>
      </c>
      <c r="B10" s="84"/>
      <c r="C10" s="84"/>
      <c r="D10" s="84">
        <f t="shared" si="2"/>
        <v>0</v>
      </c>
      <c r="E10" s="53">
        <f t="shared" si="0"/>
        <v>0</v>
      </c>
      <c r="F10" s="86"/>
      <c r="G10" s="85">
        <f t="shared" si="3"/>
        <v>0</v>
      </c>
      <c r="H10" s="51">
        <f t="shared" si="1"/>
        <v>0</v>
      </c>
      <c r="I10" s="54"/>
      <c r="J10" s="52"/>
    </row>
    <row r="11" spans="1:15" ht="13.35" customHeight="1">
      <c r="A11" s="15" t="s">
        <v>81</v>
      </c>
      <c r="B11" s="84"/>
      <c r="C11" s="84"/>
      <c r="D11" s="84">
        <f t="shared" si="2"/>
        <v>0</v>
      </c>
      <c r="E11" s="53">
        <f t="shared" si="0"/>
        <v>0</v>
      </c>
      <c r="F11" s="86"/>
      <c r="G11" s="85">
        <f t="shared" si="3"/>
        <v>0</v>
      </c>
      <c r="H11" s="51">
        <f t="shared" si="1"/>
        <v>0</v>
      </c>
      <c r="I11" s="61"/>
      <c r="J11" s="61"/>
    </row>
    <row r="12" spans="1:15" ht="14.25">
      <c r="A12" s="83" t="s">
        <v>82</v>
      </c>
      <c r="B12" s="84"/>
      <c r="C12" s="84"/>
      <c r="D12" s="84">
        <f t="shared" si="2"/>
        <v>0</v>
      </c>
      <c r="E12" s="53">
        <f t="shared" si="0"/>
        <v>0</v>
      </c>
      <c r="F12" s="86"/>
      <c r="G12" s="85">
        <f t="shared" si="3"/>
        <v>0</v>
      </c>
      <c r="H12" s="51">
        <f t="shared" si="1"/>
        <v>0</v>
      </c>
      <c r="I12" s="54"/>
      <c r="J12" s="54"/>
    </row>
    <row r="13" spans="1:15" ht="14.25">
      <c r="A13" s="15" t="s">
        <v>83</v>
      </c>
      <c r="B13" s="48"/>
      <c r="C13" s="84"/>
      <c r="D13" s="84">
        <f t="shared" si="2"/>
        <v>0</v>
      </c>
      <c r="E13" s="53">
        <f t="shared" si="0"/>
        <v>0</v>
      </c>
      <c r="F13" s="86"/>
      <c r="G13" s="85">
        <f t="shared" si="3"/>
        <v>0</v>
      </c>
      <c r="H13" s="51">
        <f t="shared" si="1"/>
        <v>0</v>
      </c>
      <c r="I13" s="54"/>
      <c r="J13" s="54"/>
    </row>
    <row r="14" spans="1:15" ht="13.35" customHeight="1">
      <c r="A14" s="15" t="s">
        <v>84</v>
      </c>
      <c r="B14" s="48"/>
      <c r="C14" s="84"/>
      <c r="D14" s="84">
        <f t="shared" ref="D14:D16" si="4">B14-C14</f>
        <v>0</v>
      </c>
      <c r="E14" s="53">
        <f t="shared" ref="E14:E16" si="5">IFERROR(D14/C14, 0)</f>
        <v>0</v>
      </c>
      <c r="F14" s="86"/>
      <c r="G14" s="85">
        <f t="shared" ref="G14:G16" si="6">B14-F14</f>
        <v>0</v>
      </c>
      <c r="H14" s="51">
        <f t="shared" ref="H14:H16" si="7">IFERROR(G14/F14, 0)</f>
        <v>0</v>
      </c>
      <c r="I14" s="54"/>
      <c r="J14" s="52"/>
    </row>
    <row r="15" spans="1:15" ht="13.35" customHeight="1">
      <c r="A15" s="15" t="s">
        <v>85</v>
      </c>
      <c r="B15" s="55"/>
      <c r="C15" s="55"/>
      <c r="D15" s="84">
        <f t="shared" si="4"/>
        <v>0</v>
      </c>
      <c r="E15" s="53">
        <f t="shared" si="5"/>
        <v>0</v>
      </c>
      <c r="F15" s="50"/>
      <c r="G15" s="85">
        <f t="shared" si="6"/>
        <v>0</v>
      </c>
      <c r="H15" s="51">
        <f t="shared" si="7"/>
        <v>0</v>
      </c>
      <c r="I15" s="87"/>
      <c r="J15" s="87"/>
    </row>
    <row r="16" spans="1:15" ht="13.35" customHeight="1">
      <c r="A16" s="16" t="s">
        <v>86</v>
      </c>
      <c r="B16" s="58"/>
      <c r="C16" s="55"/>
      <c r="D16" s="84">
        <f t="shared" si="4"/>
        <v>0</v>
      </c>
      <c r="E16" s="53">
        <f t="shared" si="5"/>
        <v>0</v>
      </c>
      <c r="F16" s="50"/>
      <c r="G16" s="85">
        <f t="shared" si="6"/>
        <v>0</v>
      </c>
      <c r="H16" s="51">
        <f t="shared" si="7"/>
        <v>0</v>
      </c>
      <c r="I16" s="63"/>
      <c r="J16" s="63"/>
    </row>
    <row r="17" spans="1:15" ht="13.35" customHeight="1">
      <c r="A17" s="17" t="s">
        <v>87</v>
      </c>
      <c r="B17" s="18">
        <f>SUM(B5:B16)</f>
        <v>10197</v>
      </c>
      <c r="C17" s="18">
        <f t="shared" ref="C17:F17" si="8">SUM(C5:C16)</f>
        <v>0</v>
      </c>
      <c r="D17" s="18">
        <f>B17-C17</f>
        <v>10197</v>
      </c>
      <c r="E17" s="19">
        <f>IFERROR(D17/C17, 0)</f>
        <v>0</v>
      </c>
      <c r="F17" s="18">
        <f t="shared" si="8"/>
        <v>0</v>
      </c>
      <c r="G17" s="18">
        <f>B17-F17</f>
        <v>10197</v>
      </c>
      <c r="H17" s="20">
        <f>IFERROR(G17/F17, 0)</f>
        <v>0</v>
      </c>
      <c r="I17" s="21"/>
      <c r="J17" s="21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78D0-BB44-45F6-9CD0-7894FB93E8ED}">
  <sheetPr codeName="Sheet23">
    <tabColor rgb="FF92D050"/>
  </sheetPr>
  <dimension ref="A1:O20"/>
  <sheetViews>
    <sheetView workbookViewId="0">
      <selection activeCell="I24" sqref="I2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55" t="s">
        <v>65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5" ht="25.15">
      <c r="A2" s="10"/>
      <c r="B2" s="10"/>
      <c r="C2" s="10"/>
      <c r="D2" s="10"/>
      <c r="E2" s="10"/>
    </row>
    <row r="3" spans="1:15" ht="16.5" customHeight="1">
      <c r="A3" s="147" t="s">
        <v>66</v>
      </c>
      <c r="B3" s="148"/>
      <c r="C3" s="148"/>
      <c r="D3" s="148"/>
      <c r="E3" s="149"/>
      <c r="F3" s="150" t="s">
        <v>67</v>
      </c>
      <c r="G3" s="151"/>
      <c r="H3" s="152"/>
      <c r="I3" s="153" t="s">
        <v>68</v>
      </c>
      <c r="J3" s="154"/>
    </row>
    <row r="4" spans="1:15" ht="13.35" customHeight="1">
      <c r="A4" s="13" t="s">
        <v>69</v>
      </c>
      <c r="B4" s="22" t="s">
        <v>4</v>
      </c>
      <c r="C4" s="22" t="s">
        <v>5</v>
      </c>
      <c r="D4" s="22" t="s">
        <v>70</v>
      </c>
      <c r="E4" s="23" t="s">
        <v>71</v>
      </c>
      <c r="F4" s="24" t="s">
        <v>8</v>
      </c>
      <c r="G4" s="25" t="s">
        <v>72</v>
      </c>
      <c r="H4" s="26" t="s">
        <v>73</v>
      </c>
      <c r="I4" s="27" t="s">
        <v>68</v>
      </c>
      <c r="J4" s="28" t="s">
        <v>74</v>
      </c>
    </row>
    <row r="5" spans="1:15" ht="13.35" customHeight="1">
      <c r="A5" s="14" t="s">
        <v>75</v>
      </c>
      <c r="B5" s="84">
        <v>30705</v>
      </c>
      <c r="C5" s="84">
        <v>0</v>
      </c>
      <c r="D5" s="84">
        <f>B5-C5</f>
        <v>30705</v>
      </c>
      <c r="E5" s="49">
        <f t="shared" ref="E5:E16" si="0">IFERROR(D5/C5, 0)</f>
        <v>0</v>
      </c>
      <c r="F5" s="86">
        <v>0</v>
      </c>
      <c r="G5" s="85">
        <f>B5-F5</f>
        <v>30705</v>
      </c>
      <c r="H5" s="51">
        <f t="shared" ref="H5:H16" si="1">IFERROR(G5/F5, 0)</f>
        <v>0</v>
      </c>
      <c r="I5" s="52"/>
      <c r="J5" s="52"/>
      <c r="O5" s="4"/>
    </row>
    <row r="6" spans="1:15" ht="13.35" customHeight="1">
      <c r="A6" s="15" t="s">
        <v>76</v>
      </c>
      <c r="B6" s="84"/>
      <c r="C6" s="84"/>
      <c r="D6" s="84">
        <f t="shared" ref="D6:D16" si="2">B6-C6</f>
        <v>0</v>
      </c>
      <c r="E6" s="53">
        <f t="shared" si="0"/>
        <v>0</v>
      </c>
      <c r="F6" s="86"/>
      <c r="G6" s="85">
        <f t="shared" ref="G6:G16" si="3">B6-F6</f>
        <v>0</v>
      </c>
      <c r="H6" s="51">
        <f t="shared" si="1"/>
        <v>0</v>
      </c>
      <c r="I6" s="61"/>
      <c r="J6" s="61"/>
    </row>
    <row r="7" spans="1:15" ht="13.35" customHeight="1">
      <c r="A7" s="15" t="s">
        <v>77</v>
      </c>
      <c r="B7" s="84"/>
      <c r="C7" s="84"/>
      <c r="D7" s="84">
        <f t="shared" si="2"/>
        <v>0</v>
      </c>
      <c r="E7" s="53">
        <f t="shared" si="0"/>
        <v>0</v>
      </c>
      <c r="F7" s="86"/>
      <c r="G7" s="85">
        <f t="shared" si="3"/>
        <v>0</v>
      </c>
      <c r="H7" s="51">
        <f t="shared" si="1"/>
        <v>0</v>
      </c>
      <c r="I7" s="62"/>
      <c r="J7" s="62"/>
    </row>
    <row r="8" spans="1:15" ht="13.35" customHeight="1">
      <c r="A8" s="15" t="s">
        <v>78</v>
      </c>
      <c r="B8" s="84"/>
      <c r="C8" s="84"/>
      <c r="D8" s="84">
        <f t="shared" si="2"/>
        <v>0</v>
      </c>
      <c r="E8" s="53">
        <f t="shared" si="0"/>
        <v>0</v>
      </c>
      <c r="F8" s="86"/>
      <c r="G8" s="85">
        <f t="shared" si="3"/>
        <v>0</v>
      </c>
      <c r="H8" s="51">
        <f t="shared" si="1"/>
        <v>0</v>
      </c>
      <c r="I8" s="61"/>
      <c r="J8" s="61"/>
    </row>
    <row r="9" spans="1:15" ht="13.35" customHeight="1">
      <c r="A9" s="15" t="s">
        <v>79</v>
      </c>
      <c r="B9" s="84"/>
      <c r="C9" s="84"/>
      <c r="D9" s="84">
        <f t="shared" si="2"/>
        <v>0</v>
      </c>
      <c r="E9" s="53">
        <f t="shared" si="0"/>
        <v>0</v>
      </c>
      <c r="F9" s="86"/>
      <c r="G9" s="85">
        <f t="shared" si="3"/>
        <v>0</v>
      </c>
      <c r="H9" s="51">
        <f t="shared" si="1"/>
        <v>0</v>
      </c>
      <c r="I9" s="54"/>
      <c r="J9" s="52"/>
    </row>
    <row r="10" spans="1:15" ht="14.25">
      <c r="A10" s="83" t="s">
        <v>80</v>
      </c>
      <c r="B10" s="84"/>
      <c r="C10" s="84"/>
      <c r="D10" s="84">
        <f t="shared" si="2"/>
        <v>0</v>
      </c>
      <c r="E10" s="53">
        <f t="shared" si="0"/>
        <v>0</v>
      </c>
      <c r="F10" s="86"/>
      <c r="G10" s="85">
        <f t="shared" si="3"/>
        <v>0</v>
      </c>
      <c r="H10" s="51">
        <f t="shared" si="1"/>
        <v>0</v>
      </c>
      <c r="I10" s="54"/>
      <c r="J10" s="52"/>
    </row>
    <row r="11" spans="1:15" ht="13.35" customHeight="1">
      <c r="A11" s="15" t="s">
        <v>81</v>
      </c>
      <c r="B11" s="84"/>
      <c r="C11" s="84"/>
      <c r="D11" s="84">
        <f t="shared" si="2"/>
        <v>0</v>
      </c>
      <c r="E11" s="53">
        <f t="shared" si="0"/>
        <v>0</v>
      </c>
      <c r="F11" s="86"/>
      <c r="G11" s="85">
        <f t="shared" si="3"/>
        <v>0</v>
      </c>
      <c r="H11" s="51">
        <f t="shared" si="1"/>
        <v>0</v>
      </c>
      <c r="I11" s="61"/>
      <c r="J11" s="61"/>
    </row>
    <row r="12" spans="1:15" ht="14.25">
      <c r="A12" s="83" t="s">
        <v>82</v>
      </c>
      <c r="B12" s="84"/>
      <c r="C12" s="84"/>
      <c r="D12" s="84">
        <f t="shared" si="2"/>
        <v>0</v>
      </c>
      <c r="E12" s="53">
        <f t="shared" si="0"/>
        <v>0</v>
      </c>
      <c r="F12" s="86"/>
      <c r="G12" s="85">
        <f t="shared" si="3"/>
        <v>0</v>
      </c>
      <c r="H12" s="51">
        <f t="shared" si="1"/>
        <v>0</v>
      </c>
      <c r="I12" s="54"/>
      <c r="J12" s="54"/>
    </row>
    <row r="13" spans="1:15" ht="14.25">
      <c r="A13" s="15" t="s">
        <v>83</v>
      </c>
      <c r="B13" s="48"/>
      <c r="C13" s="84"/>
      <c r="D13" s="84">
        <f t="shared" si="2"/>
        <v>0</v>
      </c>
      <c r="E13" s="53">
        <f t="shared" si="0"/>
        <v>0</v>
      </c>
      <c r="F13" s="86"/>
      <c r="G13" s="85">
        <f t="shared" si="3"/>
        <v>0</v>
      </c>
      <c r="H13" s="51">
        <f t="shared" si="1"/>
        <v>0</v>
      </c>
      <c r="I13" s="54"/>
      <c r="J13" s="54"/>
    </row>
    <row r="14" spans="1:15" ht="13.35" customHeight="1">
      <c r="A14" s="15" t="s">
        <v>84</v>
      </c>
      <c r="B14" s="48"/>
      <c r="C14" s="84"/>
      <c r="D14" s="84">
        <f t="shared" si="2"/>
        <v>0</v>
      </c>
      <c r="E14" s="53">
        <f t="shared" si="0"/>
        <v>0</v>
      </c>
      <c r="F14" s="86"/>
      <c r="G14" s="85">
        <f t="shared" si="3"/>
        <v>0</v>
      </c>
      <c r="H14" s="51">
        <f t="shared" si="1"/>
        <v>0</v>
      </c>
      <c r="I14" s="54"/>
      <c r="J14" s="52"/>
    </row>
    <row r="15" spans="1:15" ht="13.35" customHeight="1">
      <c r="A15" s="15" t="s">
        <v>85</v>
      </c>
      <c r="B15" s="55"/>
      <c r="C15" s="84"/>
      <c r="D15" s="84">
        <f t="shared" si="2"/>
        <v>0</v>
      </c>
      <c r="E15" s="53">
        <f t="shared" si="0"/>
        <v>0</v>
      </c>
      <c r="F15" s="86"/>
      <c r="G15" s="85">
        <f t="shared" si="3"/>
        <v>0</v>
      </c>
      <c r="H15" s="51">
        <f t="shared" si="1"/>
        <v>0</v>
      </c>
      <c r="I15" s="87"/>
      <c r="J15" s="87"/>
    </row>
    <row r="16" spans="1:15" ht="13.35" customHeight="1">
      <c r="A16" s="16" t="s">
        <v>86</v>
      </c>
      <c r="B16" s="58"/>
      <c r="C16" s="84"/>
      <c r="D16" s="84">
        <f t="shared" si="2"/>
        <v>0</v>
      </c>
      <c r="E16" s="53">
        <f t="shared" si="0"/>
        <v>0</v>
      </c>
      <c r="F16" s="86"/>
      <c r="G16" s="85">
        <f t="shared" si="3"/>
        <v>0</v>
      </c>
      <c r="H16" s="51">
        <f t="shared" si="1"/>
        <v>0</v>
      </c>
      <c r="I16" s="63"/>
      <c r="J16" s="63"/>
    </row>
    <row r="17" spans="1:15" ht="13.35" customHeight="1">
      <c r="A17" s="17" t="s">
        <v>87</v>
      </c>
      <c r="B17" s="18">
        <f>SUM(B5:B16)</f>
        <v>30705</v>
      </c>
      <c r="C17" s="18">
        <f t="shared" ref="C17:F17" si="4">SUM(C5:C16)</f>
        <v>0</v>
      </c>
      <c r="D17" s="18">
        <f>B17-C17</f>
        <v>30705</v>
      </c>
      <c r="E17" s="19">
        <f>IFERROR(D17/C17, 0)</f>
        <v>0</v>
      </c>
      <c r="F17" s="18">
        <f t="shared" si="4"/>
        <v>0</v>
      </c>
      <c r="G17" s="18">
        <f>B17-F17</f>
        <v>30705</v>
      </c>
      <c r="H17" s="20">
        <f>IFERROR(G17/F17, 0)</f>
        <v>0</v>
      </c>
      <c r="I17" s="21"/>
      <c r="J17" s="21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6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10EC1-1554-4967-A745-FD874EAC30A6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2024-04-30T17:56:34Z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