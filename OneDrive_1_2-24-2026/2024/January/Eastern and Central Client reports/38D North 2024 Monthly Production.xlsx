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83" documentId="13_ncr:1_{05859F39-694A-42CC-BF9E-B5EDB9CF9D76}" xr6:coauthVersionLast="47" xr6:coauthVersionMax="47" xr10:uidLastSave="{2B0726CD-25E5-4F2C-AF70-CFEC5D992789}"/>
  <bookViews>
    <workbookView xWindow="-28920" yWindow="7725" windowWidth="29040" windowHeight="15720" tabRatio="866" firstSheet="38" activeTab="38" xr2:uid="{00000000-000D-0000-FFFF-FFFF00000000}"/>
  </bookViews>
  <sheets>
    <sheet name="YTD Total 2023" sheetId="34" r:id="rId1"/>
    <sheet name="1st Quarter 2023" sheetId="1" r:id="rId2"/>
    <sheet name="2nd Quarter 2023" sheetId="18" r:id="rId3"/>
    <sheet name="3rd Quarter 2023" sheetId="29" r:id="rId4"/>
    <sheet name="4th Quarter 2024" sheetId="30" r:id="rId5"/>
    <sheet name="01-2024" sheetId="2" r:id="rId6"/>
    <sheet name="02-2024" sheetId="3" r:id="rId7"/>
    <sheet name="03-2024" sheetId="4" r:id="rId8"/>
    <sheet name="04-2024" sheetId="21" r:id="rId9"/>
    <sheet name="05-2024" sheetId="20" r:id="rId10"/>
    <sheet name="06-2024" sheetId="19" r:id="rId11"/>
    <sheet name="07-2024" sheetId="26" r:id="rId12"/>
    <sheet name="08-2024" sheetId="27" r:id="rId13"/>
    <sheet name="09-2024" sheetId="28" r:id="rId14"/>
    <sheet name="10-2024" sheetId="31" r:id="rId15"/>
    <sheet name="11-2024" sheetId="32" r:id="rId16"/>
    <sheet name="12-2024" sheetId="33" r:id="rId17"/>
    <sheet name="Sites" sheetId="68" r:id="rId18"/>
    <sheet name="6th St." sheetId="5" r:id="rId19"/>
    <sheet name="Barton Acres" sheetId="69" r:id="rId20"/>
    <sheet name="Bowden" sheetId="79" r:id="rId21"/>
    <sheet name="Blair Wire Village" sheetId="78" r:id="rId22"/>
    <sheet name="Boutilier" sheetId="77" r:id="rId23"/>
    <sheet name="Cherry Valley" sheetId="76" r:id="rId24"/>
    <sheet name="Cohasse" sheetId="75" r:id="rId25"/>
    <sheet name="ISM Dighton Solar 2" sheetId="74" r:id="rId26"/>
    <sheet name="Dudley River 1" sheetId="73" r:id="rId27"/>
    <sheet name="Dudley River 2" sheetId="80" r:id="rId28"/>
    <sheet name="Dudley River 3" sheetId="72" r:id="rId29"/>
    <sheet name="Flint Pond" sheetId="71" r:id="rId30"/>
    <sheet name="Incom" sheetId="70" r:id="rId31"/>
    <sheet name="JH" sheetId="82" r:id="rId32"/>
    <sheet name="Ledeaux" sheetId="83" r:id="rId33"/>
    <sheet name="Palombo A" sheetId="84" r:id="rId34"/>
    <sheet name="Palombo B" sheetId="85" r:id="rId35"/>
    <sheet name="St Josephs Church" sheetId="87" r:id="rId36"/>
    <sheet name="Sunset A" sheetId="86" r:id="rId37"/>
    <sheet name="Sunset B" sheetId="88" r:id="rId38"/>
    <sheet name="Woodchuck" sheetId="89" r:id="rId39"/>
  </sheets>
  <definedNames>
    <definedName name="_xlnm._FilterDatabase" localSheetId="5" hidden="1">'01-2024'!$A$2:$I$2</definedName>
    <definedName name="_xlnm._FilterDatabase" localSheetId="6" hidden="1">'02-2024'!$A$2:$I$2</definedName>
    <definedName name="_xlnm._FilterDatabase" localSheetId="7" hidden="1">'03-2024'!$A$2:$I$2</definedName>
    <definedName name="_xlnm._FilterDatabase" localSheetId="8" hidden="1">'04-2024'!$A$2:$I$2</definedName>
    <definedName name="_xlnm._FilterDatabase" localSheetId="9" hidden="1">'05-2024'!$A$2:$I$2</definedName>
    <definedName name="_xlnm._FilterDatabase" localSheetId="10" hidden="1">'06-2024'!$A$2:$I$2</definedName>
    <definedName name="_xlnm._FilterDatabase" localSheetId="11" hidden="1">'07-2024'!$A$2:$I$2</definedName>
    <definedName name="_xlnm._FilterDatabase" localSheetId="12" hidden="1">'08-2024'!$A$2:$I$2</definedName>
    <definedName name="_xlnm._FilterDatabase" localSheetId="13" hidden="1">'09-2024'!$A$2:$I$2</definedName>
    <definedName name="_xlnm._FilterDatabase" localSheetId="14" hidden="1">'10-2024'!$A$2:$I$2</definedName>
    <definedName name="_xlnm._FilterDatabase" localSheetId="15" hidden="1">'11-2024'!$A$2:$I$2</definedName>
    <definedName name="_xlnm._FilterDatabase" localSheetId="16" hidden="1">'12-2024'!$A$2:$I$2</definedName>
    <definedName name="_xlnm._FilterDatabase" localSheetId="1" hidden="1">'1st Quarter 2023'!$A$2:$I$2</definedName>
    <definedName name="_xlnm._FilterDatabase" localSheetId="2" hidden="1">'2nd Quarter 2023'!$A$2:$I$2</definedName>
    <definedName name="_xlnm._FilterDatabase" localSheetId="3" hidden="1">'3rd Quarter 2023'!$A$2:$I$2</definedName>
    <definedName name="_xlnm._FilterDatabase" localSheetId="4" hidden="1">'4th Quarter 2024'!$A$2:$I$2</definedName>
    <definedName name="_xlnm._FilterDatabase" localSheetId="0" hidden="1">'YTD Total 2023'!$A$2:$I$2</definedName>
    <definedName name="JanActual">'01-2024'!$C$3:$C$23</definedName>
    <definedName name="JanActual2">'01-2024'!#REF!</definedName>
    <definedName name="JanExpected">'01-2024'!$D$3:$D$23</definedName>
    <definedName name="JanExpectedDelta">'01-2024'!$E$3:$E$23</definedName>
    <definedName name="JanExpectedPercent">'01-2024'!$F$3:$F$23</definedName>
    <definedName name="JanExpPercent">'01-2024'!$F$3:$F$23</definedName>
    <definedName name="JanForecasted">'01-2024'!$G$3:$G$23</definedName>
    <definedName name="JanForecastedDelta">'01-2024'!$H$3:$H$23</definedName>
    <definedName name="JanForecastedPercent">'01-2024'!$I$3:$I$23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5" l="1"/>
  <c r="G12" i="5"/>
  <c r="G13" i="5"/>
  <c r="G14" i="5"/>
  <c r="G15" i="5"/>
  <c r="G16" i="5"/>
  <c r="D11" i="5"/>
  <c r="E11" i="5" s="1"/>
  <c r="D12" i="5"/>
  <c r="E12" i="5" s="1"/>
  <c r="D13" i="5"/>
  <c r="E13" i="5" s="1"/>
  <c r="D14" i="5"/>
  <c r="E14" i="5" s="1"/>
  <c r="D15" i="5"/>
  <c r="E15" i="5" s="1"/>
  <c r="D16" i="5"/>
  <c r="E16" i="5" s="1"/>
  <c r="G11" i="69"/>
  <c r="H11" i="69" s="1"/>
  <c r="G12" i="69"/>
  <c r="H12" i="69" s="1"/>
  <c r="G13" i="69"/>
  <c r="H13" i="69" s="1"/>
  <c r="G14" i="69"/>
  <c r="H14" i="69" s="1"/>
  <c r="G15" i="69"/>
  <c r="H15" i="69" s="1"/>
  <c r="G16" i="69"/>
  <c r="H16" i="69" s="1"/>
  <c r="D11" i="69"/>
  <c r="E11" i="69" s="1"/>
  <c r="D12" i="69"/>
  <c r="E12" i="69" s="1"/>
  <c r="D13" i="69"/>
  <c r="E13" i="69" s="1"/>
  <c r="D14" i="69"/>
  <c r="E14" i="69" s="1"/>
  <c r="D15" i="69"/>
  <c r="E15" i="69" s="1"/>
  <c r="D16" i="69"/>
  <c r="E16" i="69" s="1"/>
  <c r="C4" i="31" a="1"/>
  <c r="C4" i="27" a="1"/>
  <c r="C4" i="28" a="1"/>
  <c r="C4" i="33" a="1"/>
  <c r="C4" i="32" a="1"/>
  <c r="C4" i="26" a="1"/>
  <c r="G4" i="30" l="1"/>
  <c r="C4" i="28"/>
  <c r="C4" i="26"/>
  <c r="C4" i="32"/>
  <c r="C4" i="31"/>
  <c r="C4" i="27"/>
  <c r="C4" i="33"/>
  <c r="F17" i="89"/>
  <c r="C17" i="89"/>
  <c r="B17" i="89"/>
  <c r="G16" i="89"/>
  <c r="H16" i="89" s="1"/>
  <c r="D16" i="89"/>
  <c r="G15" i="89"/>
  <c r="H15" i="89" s="1"/>
  <c r="D15" i="89"/>
  <c r="G14" i="89"/>
  <c r="H14" i="89" s="1"/>
  <c r="D14" i="89"/>
  <c r="G13" i="89"/>
  <c r="H13" i="89" s="1"/>
  <c r="D13" i="89"/>
  <c r="G12" i="89"/>
  <c r="H12" i="89" s="1"/>
  <c r="D12" i="89"/>
  <c r="G11" i="89"/>
  <c r="H11" i="89" s="1"/>
  <c r="D11" i="89"/>
  <c r="E11" i="89" s="1"/>
  <c r="G10" i="89"/>
  <c r="H10" i="89" s="1"/>
  <c r="D10" i="89"/>
  <c r="E10" i="89" s="1"/>
  <c r="G9" i="89"/>
  <c r="H9" i="89" s="1"/>
  <c r="D9" i="89"/>
  <c r="G8" i="89"/>
  <c r="H8" i="89" s="1"/>
  <c r="D8" i="89"/>
  <c r="G7" i="89"/>
  <c r="H7" i="89" s="1"/>
  <c r="D7" i="89"/>
  <c r="G6" i="89"/>
  <c r="H6" i="89" s="1"/>
  <c r="D6" i="89"/>
  <c r="E6" i="89" s="1"/>
  <c r="G5" i="89"/>
  <c r="H5" i="89" s="1"/>
  <c r="D5" i="89"/>
  <c r="F17" i="88"/>
  <c r="C17" i="88"/>
  <c r="B17" i="88"/>
  <c r="G16" i="88"/>
  <c r="H16" i="88" s="1"/>
  <c r="D16" i="88"/>
  <c r="G15" i="88"/>
  <c r="H15" i="88" s="1"/>
  <c r="D15" i="88"/>
  <c r="G14" i="88"/>
  <c r="H14" i="88" s="1"/>
  <c r="D14" i="88"/>
  <c r="G13" i="88"/>
  <c r="H13" i="88" s="1"/>
  <c r="D13" i="88"/>
  <c r="G12" i="88"/>
  <c r="H12" i="88" s="1"/>
  <c r="D12" i="88"/>
  <c r="G11" i="88"/>
  <c r="H11" i="88" s="1"/>
  <c r="D11" i="88"/>
  <c r="G10" i="88"/>
  <c r="H10" i="88" s="1"/>
  <c r="D10" i="88"/>
  <c r="E10" i="88" s="1"/>
  <c r="G9" i="88"/>
  <c r="H9" i="88" s="1"/>
  <c r="D9" i="88"/>
  <c r="G8" i="88"/>
  <c r="H8" i="88" s="1"/>
  <c r="D8" i="88"/>
  <c r="G7" i="88"/>
  <c r="H7" i="88" s="1"/>
  <c r="D7" i="88"/>
  <c r="G6" i="88"/>
  <c r="H6" i="88" s="1"/>
  <c r="D6" i="88"/>
  <c r="E6" i="88" s="1"/>
  <c r="G5" i="88"/>
  <c r="H5" i="88" s="1"/>
  <c r="D5" i="88"/>
  <c r="F17" i="87"/>
  <c r="C17" i="87"/>
  <c r="B17" i="87"/>
  <c r="G16" i="87"/>
  <c r="H16" i="87" s="1"/>
  <c r="D16" i="87"/>
  <c r="G15" i="87"/>
  <c r="H15" i="87" s="1"/>
  <c r="D15" i="87"/>
  <c r="G14" i="87"/>
  <c r="H14" i="87" s="1"/>
  <c r="D14" i="87"/>
  <c r="G13" i="87"/>
  <c r="H13" i="87" s="1"/>
  <c r="D13" i="87"/>
  <c r="G12" i="87"/>
  <c r="H12" i="87" s="1"/>
  <c r="D12" i="87"/>
  <c r="G11" i="87"/>
  <c r="H11" i="87" s="1"/>
  <c r="D11" i="87"/>
  <c r="G10" i="87"/>
  <c r="H10" i="87" s="1"/>
  <c r="D10" i="87"/>
  <c r="E10" i="87" s="1"/>
  <c r="G9" i="87"/>
  <c r="H9" i="87" s="1"/>
  <c r="D9" i="87"/>
  <c r="G8" i="87"/>
  <c r="H8" i="87" s="1"/>
  <c r="D8" i="87"/>
  <c r="G7" i="87"/>
  <c r="H7" i="87" s="1"/>
  <c r="D7" i="87"/>
  <c r="G6" i="87"/>
  <c r="H6" i="87" s="1"/>
  <c r="D6" i="87"/>
  <c r="E6" i="87" s="1"/>
  <c r="G5" i="87"/>
  <c r="H5" i="87" s="1"/>
  <c r="D5" i="87"/>
  <c r="F17" i="86"/>
  <c r="C17" i="86"/>
  <c r="B17" i="86"/>
  <c r="G16" i="86"/>
  <c r="H16" i="86" s="1"/>
  <c r="D16" i="86"/>
  <c r="G15" i="86"/>
  <c r="H15" i="86" s="1"/>
  <c r="D15" i="86"/>
  <c r="G14" i="86"/>
  <c r="H14" i="86" s="1"/>
  <c r="D14" i="86"/>
  <c r="G13" i="86"/>
  <c r="H13" i="86" s="1"/>
  <c r="D13" i="86"/>
  <c r="G12" i="86"/>
  <c r="H12" i="86" s="1"/>
  <c r="D12" i="86"/>
  <c r="G11" i="86"/>
  <c r="H11" i="86" s="1"/>
  <c r="D11" i="86"/>
  <c r="G10" i="86"/>
  <c r="H10" i="86" s="1"/>
  <c r="D10" i="86"/>
  <c r="E10" i="86" s="1"/>
  <c r="G9" i="86"/>
  <c r="H9" i="86" s="1"/>
  <c r="D9" i="86"/>
  <c r="G8" i="86"/>
  <c r="H8" i="86" s="1"/>
  <c r="D8" i="86"/>
  <c r="G7" i="86"/>
  <c r="H7" i="86" s="1"/>
  <c r="D7" i="86"/>
  <c r="G6" i="86"/>
  <c r="H6" i="86" s="1"/>
  <c r="D6" i="86"/>
  <c r="E6" i="86" s="1"/>
  <c r="G5" i="86"/>
  <c r="H5" i="86" s="1"/>
  <c r="D5" i="86"/>
  <c r="F17" i="85"/>
  <c r="C17" i="85"/>
  <c r="B17" i="85"/>
  <c r="G16" i="85"/>
  <c r="H16" i="85" s="1"/>
  <c r="D16" i="85"/>
  <c r="G15" i="85"/>
  <c r="H15" i="85" s="1"/>
  <c r="D15" i="85"/>
  <c r="G14" i="85"/>
  <c r="H14" i="85" s="1"/>
  <c r="D14" i="85"/>
  <c r="G13" i="85"/>
  <c r="H13" i="85" s="1"/>
  <c r="D13" i="85"/>
  <c r="G12" i="85"/>
  <c r="H12" i="85" s="1"/>
  <c r="D12" i="85"/>
  <c r="G11" i="85"/>
  <c r="H11" i="85" s="1"/>
  <c r="D11" i="85"/>
  <c r="G10" i="85"/>
  <c r="H10" i="85" s="1"/>
  <c r="D10" i="85"/>
  <c r="E10" i="85" s="1"/>
  <c r="G9" i="85"/>
  <c r="H9" i="85" s="1"/>
  <c r="D9" i="85"/>
  <c r="G8" i="85"/>
  <c r="H8" i="85" s="1"/>
  <c r="D8" i="85"/>
  <c r="G7" i="85"/>
  <c r="H7" i="85" s="1"/>
  <c r="D7" i="85"/>
  <c r="G6" i="85"/>
  <c r="H6" i="85" s="1"/>
  <c r="D6" i="85"/>
  <c r="E6" i="85" s="1"/>
  <c r="G5" i="85"/>
  <c r="H5" i="85" s="1"/>
  <c r="D5" i="85"/>
  <c r="F17" i="84"/>
  <c r="C17" i="84"/>
  <c r="B17" i="84"/>
  <c r="G16" i="84"/>
  <c r="H16" i="84" s="1"/>
  <c r="D16" i="84"/>
  <c r="G15" i="84"/>
  <c r="H15" i="84" s="1"/>
  <c r="D15" i="84"/>
  <c r="G14" i="84"/>
  <c r="H14" i="84" s="1"/>
  <c r="D14" i="84"/>
  <c r="G13" i="84"/>
  <c r="H13" i="84" s="1"/>
  <c r="D13" i="84"/>
  <c r="G12" i="84"/>
  <c r="H12" i="84" s="1"/>
  <c r="D12" i="84"/>
  <c r="G11" i="84"/>
  <c r="H11" i="84" s="1"/>
  <c r="D11" i="84"/>
  <c r="G10" i="84"/>
  <c r="H10" i="84" s="1"/>
  <c r="D10" i="84"/>
  <c r="E10" i="84" s="1"/>
  <c r="G9" i="84"/>
  <c r="H9" i="84" s="1"/>
  <c r="D9" i="84"/>
  <c r="G8" i="84"/>
  <c r="H8" i="84" s="1"/>
  <c r="D8" i="84"/>
  <c r="G7" i="84"/>
  <c r="H7" i="84" s="1"/>
  <c r="D7" i="84"/>
  <c r="G6" i="84"/>
  <c r="H6" i="84" s="1"/>
  <c r="D6" i="84"/>
  <c r="E6" i="84" s="1"/>
  <c r="G5" i="84"/>
  <c r="H5" i="84" s="1"/>
  <c r="D5" i="84"/>
  <c r="F17" i="83"/>
  <c r="C17" i="83"/>
  <c r="B17" i="83"/>
  <c r="G16" i="83"/>
  <c r="H16" i="83" s="1"/>
  <c r="D16" i="83"/>
  <c r="G15" i="83"/>
  <c r="H15" i="83" s="1"/>
  <c r="D15" i="83"/>
  <c r="G14" i="83"/>
  <c r="H14" i="83" s="1"/>
  <c r="D14" i="83"/>
  <c r="G13" i="83"/>
  <c r="H13" i="83" s="1"/>
  <c r="D13" i="83"/>
  <c r="G12" i="83"/>
  <c r="H12" i="83" s="1"/>
  <c r="D12" i="83"/>
  <c r="G11" i="83"/>
  <c r="H11" i="83" s="1"/>
  <c r="D11" i="83"/>
  <c r="E11" i="83" s="1"/>
  <c r="G10" i="83"/>
  <c r="H10" i="83" s="1"/>
  <c r="D10" i="83"/>
  <c r="E10" i="83" s="1"/>
  <c r="G9" i="83"/>
  <c r="H9" i="83" s="1"/>
  <c r="D9" i="83"/>
  <c r="G8" i="83"/>
  <c r="H8" i="83" s="1"/>
  <c r="D8" i="83"/>
  <c r="G7" i="83"/>
  <c r="H7" i="83" s="1"/>
  <c r="D7" i="83"/>
  <c r="G6" i="83"/>
  <c r="H6" i="83" s="1"/>
  <c r="D6" i="83"/>
  <c r="E6" i="83" s="1"/>
  <c r="G5" i="83"/>
  <c r="H5" i="83" s="1"/>
  <c r="D5" i="83"/>
  <c r="F17" i="82"/>
  <c r="C17" i="82"/>
  <c r="B17" i="82"/>
  <c r="G16" i="82"/>
  <c r="H16" i="82" s="1"/>
  <c r="D16" i="82"/>
  <c r="G15" i="82"/>
  <c r="H15" i="82" s="1"/>
  <c r="D15" i="82"/>
  <c r="G14" i="82"/>
  <c r="H14" i="82" s="1"/>
  <c r="D14" i="82"/>
  <c r="G13" i="82"/>
  <c r="H13" i="82" s="1"/>
  <c r="D13" i="82"/>
  <c r="E13" i="82" s="1"/>
  <c r="G12" i="82"/>
  <c r="H12" i="82" s="1"/>
  <c r="D12" i="82"/>
  <c r="G11" i="82"/>
  <c r="H11" i="82" s="1"/>
  <c r="D11" i="82"/>
  <c r="G10" i="82"/>
  <c r="H10" i="82" s="1"/>
  <c r="D10" i="82"/>
  <c r="E10" i="82" s="1"/>
  <c r="G9" i="82"/>
  <c r="H9" i="82" s="1"/>
  <c r="D9" i="82"/>
  <c r="G8" i="82"/>
  <c r="H8" i="82" s="1"/>
  <c r="D8" i="82"/>
  <c r="G7" i="82"/>
  <c r="H7" i="82" s="1"/>
  <c r="D7" i="82"/>
  <c r="G6" i="82"/>
  <c r="H6" i="82" s="1"/>
  <c r="D6" i="82"/>
  <c r="E6" i="82" s="1"/>
  <c r="G5" i="82"/>
  <c r="H5" i="82" s="1"/>
  <c r="D5" i="82"/>
  <c r="A1" i="1" a="1"/>
  <c r="A1" i="1" s="1"/>
  <c r="C23" i="26" a="1"/>
  <c r="C16" i="28" a="1"/>
  <c r="C17" i="26" a="1"/>
  <c r="E5" i="88" l="1"/>
  <c r="E5" i="86"/>
  <c r="E5" i="85"/>
  <c r="E5" i="84"/>
  <c r="E5" i="83"/>
  <c r="E5" i="82"/>
  <c r="E16" i="88"/>
  <c r="E16" i="86"/>
  <c r="E16" i="85"/>
  <c r="E16" i="84"/>
  <c r="E16" i="83"/>
  <c r="E16" i="82"/>
  <c r="E15" i="88"/>
  <c r="E15" i="86"/>
  <c r="E15" i="85"/>
  <c r="E15" i="84"/>
  <c r="E15" i="83"/>
  <c r="E15" i="82"/>
  <c r="G17" i="88"/>
  <c r="H17" i="88" s="1"/>
  <c r="E14" i="88"/>
  <c r="E14" i="86"/>
  <c r="E14" i="85"/>
  <c r="E14" i="84"/>
  <c r="E14" i="83"/>
  <c r="E14" i="82"/>
  <c r="E13" i="88"/>
  <c r="E13" i="86"/>
  <c r="G17" i="85"/>
  <c r="H17" i="85" s="1"/>
  <c r="E13" i="85"/>
  <c r="E13" i="84"/>
  <c r="G17" i="83"/>
  <c r="H17" i="83" s="1"/>
  <c r="E13" i="83"/>
  <c r="C16" i="28"/>
  <c r="E12" i="88"/>
  <c r="E12" i="86"/>
  <c r="E12" i="85"/>
  <c r="E12" i="84"/>
  <c r="E12" i="83"/>
  <c r="E12" i="82"/>
  <c r="E5" i="87"/>
  <c r="E12" i="87"/>
  <c r="E13" i="87"/>
  <c r="E14" i="87"/>
  <c r="E15" i="87"/>
  <c r="E16" i="87"/>
  <c r="E5" i="89"/>
  <c r="E12" i="89"/>
  <c r="E13" i="89"/>
  <c r="E14" i="89"/>
  <c r="E15" i="89"/>
  <c r="E16" i="89"/>
  <c r="G17" i="87"/>
  <c r="H17" i="87" s="1"/>
  <c r="C23" i="26"/>
  <c r="E11" i="88"/>
  <c r="E11" i="86"/>
  <c r="E11" i="87"/>
  <c r="E11" i="85"/>
  <c r="G17" i="84"/>
  <c r="H17" i="84" s="1"/>
  <c r="E11" i="84"/>
  <c r="C17" i="26"/>
  <c r="G17" i="82"/>
  <c r="H17" i="82" s="1"/>
  <c r="E11" i="82"/>
  <c r="E7" i="89"/>
  <c r="E8" i="89"/>
  <c r="E9" i="89"/>
  <c r="E7" i="88"/>
  <c r="E8" i="88"/>
  <c r="E9" i="88"/>
  <c r="E7" i="86"/>
  <c r="E8" i="86"/>
  <c r="E9" i="86"/>
  <c r="E7" i="87"/>
  <c r="E8" i="87"/>
  <c r="E9" i="87"/>
  <c r="E7" i="85"/>
  <c r="E8" i="85"/>
  <c r="E9" i="85"/>
  <c r="E7" i="84"/>
  <c r="E8" i="84"/>
  <c r="E9" i="84"/>
  <c r="E7" i="83"/>
  <c r="E8" i="83"/>
  <c r="E9" i="83"/>
  <c r="E7" i="82"/>
  <c r="E8" i="82"/>
  <c r="E9" i="82"/>
  <c r="G17" i="89"/>
  <c r="H17" i="89" s="1"/>
  <c r="D17" i="89"/>
  <c r="E17" i="89" s="1"/>
  <c r="G17" i="86"/>
  <c r="H17" i="86" s="1"/>
  <c r="D17" i="88"/>
  <c r="E17" i="88" s="1"/>
  <c r="D17" i="87"/>
  <c r="E17" i="87" s="1"/>
  <c r="D17" i="86"/>
  <c r="E17" i="86" s="1"/>
  <c r="D17" i="85"/>
  <c r="E17" i="85" s="1"/>
  <c r="D17" i="84"/>
  <c r="E17" i="84" s="1"/>
  <c r="D17" i="83"/>
  <c r="E17" i="83" s="1"/>
  <c r="D17" i="82"/>
  <c r="E17" i="82" s="1"/>
  <c r="C22" i="2" a="1"/>
  <c r="C18" i="28" a="1"/>
  <c r="C16" i="2" a="1"/>
  <c r="C22" i="21" a="1"/>
  <c r="C23" i="28" a="1"/>
  <c r="C21" i="2" a="1"/>
  <c r="C21" i="27" a="1"/>
  <c r="C22" i="26" a="1"/>
  <c r="C16" i="21" a="1"/>
  <c r="C21" i="20" a="1"/>
  <c r="C19" i="32" a="1"/>
  <c r="C22" i="32" a="1"/>
  <c r="C20" i="28" a="1"/>
  <c r="C18" i="33" a="1"/>
  <c r="C17" i="4" a="1"/>
  <c r="C21" i="26" a="1"/>
  <c r="C20" i="33" a="1"/>
  <c r="C21" i="31" a="1"/>
  <c r="C21" i="32" a="1"/>
  <c r="C18" i="4" a="1"/>
  <c r="C16" i="33" a="1"/>
  <c r="C21" i="4" a="1"/>
  <c r="C23" i="2" a="1"/>
  <c r="C16" i="32" a="1"/>
  <c r="C22" i="27" a="1"/>
  <c r="C17" i="28" a="1"/>
  <c r="C22" i="31" a="1"/>
  <c r="C19" i="20" a="1"/>
  <c r="C20" i="32" a="1"/>
  <c r="C19" i="27" a="1"/>
  <c r="C20" i="21" a="1"/>
  <c r="C17" i="20" a="1"/>
  <c r="C20" i="26" a="1"/>
  <c r="C20" i="4" a="1"/>
  <c r="C19" i="28" a="1"/>
  <c r="C22" i="20" a="1"/>
  <c r="C23" i="32" a="1"/>
  <c r="C18" i="31" a="1"/>
  <c r="C19" i="4" a="1"/>
  <c r="C22" i="28" a="1"/>
  <c r="C18" i="21" a="1"/>
  <c r="C23" i="21" a="1"/>
  <c r="C18" i="20" a="1"/>
  <c r="C18" i="27" a="1"/>
  <c r="C21" i="21" a="1"/>
  <c r="C17" i="27" a="1"/>
  <c r="C19" i="31" a="1"/>
  <c r="C23" i="31" a="1"/>
  <c r="C17" i="2" a="1"/>
  <c r="C20" i="2" a="1"/>
  <c r="C19" i="2" a="1"/>
  <c r="C22" i="33" a="1"/>
  <c r="C19" i="26" a="1"/>
  <c r="C17" i="21" a="1"/>
  <c r="C18" i="26" a="1"/>
  <c r="C16" i="26" a="1"/>
  <c r="C16" i="27" a="1"/>
  <c r="C16" i="20" a="1"/>
  <c r="C16" i="31" a="1"/>
  <c r="C23" i="20" a="1"/>
  <c r="C18" i="2" a="1"/>
  <c r="C22" i="4" a="1"/>
  <c r="C17" i="33" a="1"/>
  <c r="C23" i="4" a="1"/>
  <c r="C20" i="27" a="1"/>
  <c r="C20" i="20" a="1"/>
  <c r="C23" i="27" a="1"/>
  <c r="C21" i="28" a="1"/>
  <c r="C19" i="33" a="1"/>
  <c r="C18" i="32" a="1"/>
  <c r="C17" i="31" a="1"/>
  <c r="C23" i="33" a="1"/>
  <c r="C16" i="4" a="1"/>
  <c r="C19" i="21" a="1"/>
  <c r="C17" i="32" a="1"/>
  <c r="C21" i="33" a="1"/>
  <c r="C20" i="31" a="1"/>
  <c r="C22" i="2" l="1"/>
  <c r="C21" i="2"/>
  <c r="C19" i="2"/>
  <c r="C18" i="2"/>
  <c r="C17" i="2"/>
  <c r="C16" i="2"/>
  <c r="C22" i="33"/>
  <c r="C21" i="33"/>
  <c r="C19" i="33"/>
  <c r="C18" i="33"/>
  <c r="C17" i="33"/>
  <c r="C16" i="33"/>
  <c r="C22" i="32"/>
  <c r="C21" i="32"/>
  <c r="C19" i="32"/>
  <c r="C18" i="32"/>
  <c r="C17" i="32"/>
  <c r="C16" i="32"/>
  <c r="G16" i="30"/>
  <c r="G18" i="30"/>
  <c r="G21" i="30"/>
  <c r="G17" i="30"/>
  <c r="G23" i="30"/>
  <c r="G20" i="30"/>
  <c r="G22" i="30"/>
  <c r="G19" i="30"/>
  <c r="C22" i="31"/>
  <c r="C21" i="31"/>
  <c r="C19" i="31"/>
  <c r="C18" i="31"/>
  <c r="C17" i="31"/>
  <c r="C16" i="31"/>
  <c r="C22" i="28"/>
  <c r="C21" i="28"/>
  <c r="C19" i="28"/>
  <c r="C18" i="28"/>
  <c r="C17" i="28"/>
  <c r="C22" i="27"/>
  <c r="C21" i="27"/>
  <c r="C19" i="27"/>
  <c r="C18" i="27"/>
  <c r="C17" i="27"/>
  <c r="C16" i="27"/>
  <c r="C20" i="31"/>
  <c r="C20" i="28"/>
  <c r="C20" i="33"/>
  <c r="C20" i="27"/>
  <c r="C20" i="32"/>
  <c r="C20" i="2"/>
  <c r="C23" i="32"/>
  <c r="C23" i="31"/>
  <c r="C23" i="28"/>
  <c r="C23" i="27"/>
  <c r="C23" i="33"/>
  <c r="C23" i="2"/>
  <c r="C22" i="26"/>
  <c r="C21" i="26"/>
  <c r="C20" i="26"/>
  <c r="C19" i="26"/>
  <c r="C18" i="26"/>
  <c r="C16" i="26"/>
  <c r="C21" i="20"/>
  <c r="C17" i="20"/>
  <c r="C20" i="20"/>
  <c r="C17" i="21"/>
  <c r="C19" i="20"/>
  <c r="C20" i="21"/>
  <c r="C21" i="4"/>
  <c r="C23" i="20"/>
  <c r="C16" i="4"/>
  <c r="C22" i="4"/>
  <c r="C17" i="4"/>
  <c r="C23" i="21"/>
  <c r="C19" i="4"/>
  <c r="C18" i="4"/>
  <c r="C16" i="20"/>
  <c r="C18" i="20"/>
  <c r="C19" i="21"/>
  <c r="C20" i="4"/>
  <c r="C22" i="20"/>
  <c r="C18" i="21"/>
  <c r="C22" i="21"/>
  <c r="C21" i="21"/>
  <c r="C16" i="21"/>
  <c r="C23" i="4"/>
  <c r="B3" i="34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B3" i="26" a="1"/>
  <c r="B3" i="26" s="1"/>
  <c r="A3" i="26" a="1"/>
  <c r="A1" i="26" a="1"/>
  <c r="A1" i="26" s="1"/>
  <c r="B3" i="19" a="1"/>
  <c r="B3" i="19" s="1"/>
  <c r="A3" i="19" a="1"/>
  <c r="A1" i="19" a="1"/>
  <c r="A1" i="19" s="1"/>
  <c r="B3" i="20" a="1"/>
  <c r="B3" i="20" s="1"/>
  <c r="A3" i="20" a="1"/>
  <c r="A1" i="20" a="1"/>
  <c r="A1" i="20" s="1"/>
  <c r="B3" i="21" a="1"/>
  <c r="B3" i="21" s="1"/>
  <c r="A3" i="21" a="1"/>
  <c r="A1" i="21" a="1"/>
  <c r="A1" i="21" s="1"/>
  <c r="B3" i="4" a="1"/>
  <c r="B3" i="4" s="1"/>
  <c r="A3" i="4" a="1"/>
  <c r="A1" i="4" a="1"/>
  <c r="A1" i="4" s="1"/>
  <c r="B3" i="3" a="1"/>
  <c r="B3" i="3" s="1"/>
  <c r="A3" i="3" a="1"/>
  <c r="A1" i="3" a="1"/>
  <c r="A1" i="3" s="1"/>
  <c r="A1" i="2" a="1"/>
  <c r="A1" i="2" s="1"/>
  <c r="F17" i="80"/>
  <c r="C17" i="80"/>
  <c r="B17" i="80"/>
  <c r="G16" i="80"/>
  <c r="H16" i="80" s="1"/>
  <c r="D16" i="80"/>
  <c r="G15" i="80"/>
  <c r="H15" i="80" s="1"/>
  <c r="D15" i="80"/>
  <c r="G14" i="80"/>
  <c r="H14" i="80" s="1"/>
  <c r="D14" i="80"/>
  <c r="G13" i="80"/>
  <c r="H13" i="80" s="1"/>
  <c r="D13" i="80"/>
  <c r="G12" i="80"/>
  <c r="H12" i="80" s="1"/>
  <c r="D12" i="80"/>
  <c r="G11" i="80"/>
  <c r="H11" i="80" s="1"/>
  <c r="D11" i="80"/>
  <c r="G10" i="80"/>
  <c r="H10" i="80" s="1"/>
  <c r="D10" i="80"/>
  <c r="E10" i="80" s="1"/>
  <c r="G9" i="80"/>
  <c r="H9" i="80" s="1"/>
  <c r="D9" i="80"/>
  <c r="G8" i="80"/>
  <c r="H8" i="80" s="1"/>
  <c r="D8" i="80"/>
  <c r="G7" i="80"/>
  <c r="H7" i="80" s="1"/>
  <c r="D7" i="80"/>
  <c r="G6" i="80"/>
  <c r="H6" i="80" s="1"/>
  <c r="D6" i="80"/>
  <c r="E6" i="80" s="1"/>
  <c r="G5" i="80"/>
  <c r="H5" i="80" s="1"/>
  <c r="D5" i="80"/>
  <c r="F17" i="79"/>
  <c r="C17" i="79"/>
  <c r="B17" i="79"/>
  <c r="G16" i="79"/>
  <c r="H16" i="79" s="1"/>
  <c r="D16" i="79"/>
  <c r="G15" i="79"/>
  <c r="H15" i="79" s="1"/>
  <c r="D15" i="79"/>
  <c r="G14" i="79"/>
  <c r="H14" i="79" s="1"/>
  <c r="D14" i="79"/>
  <c r="G13" i="79"/>
  <c r="H13" i="79" s="1"/>
  <c r="D13" i="79"/>
  <c r="G12" i="79"/>
  <c r="H12" i="79" s="1"/>
  <c r="D12" i="79"/>
  <c r="G11" i="79"/>
  <c r="H11" i="79" s="1"/>
  <c r="D11" i="79"/>
  <c r="G10" i="79"/>
  <c r="H10" i="79" s="1"/>
  <c r="D10" i="79"/>
  <c r="E10" i="79" s="1"/>
  <c r="G9" i="79"/>
  <c r="H9" i="79" s="1"/>
  <c r="D9" i="79"/>
  <c r="G8" i="79"/>
  <c r="H8" i="79" s="1"/>
  <c r="D8" i="79"/>
  <c r="G7" i="79"/>
  <c r="H7" i="79" s="1"/>
  <c r="D7" i="79"/>
  <c r="G6" i="79"/>
  <c r="H6" i="79" s="1"/>
  <c r="D6" i="79"/>
  <c r="E6" i="79" s="1"/>
  <c r="G5" i="79"/>
  <c r="D5" i="79"/>
  <c r="E5" i="79" s="1"/>
  <c r="F17" i="78"/>
  <c r="C17" i="78"/>
  <c r="B17" i="78"/>
  <c r="G16" i="78"/>
  <c r="H16" i="78" s="1"/>
  <c r="D16" i="78"/>
  <c r="G15" i="78"/>
  <c r="H15" i="78" s="1"/>
  <c r="D15" i="78"/>
  <c r="G14" i="78"/>
  <c r="H14" i="78" s="1"/>
  <c r="D14" i="78"/>
  <c r="G13" i="78"/>
  <c r="H13" i="78" s="1"/>
  <c r="D13" i="78"/>
  <c r="G12" i="78"/>
  <c r="H12" i="78" s="1"/>
  <c r="D12" i="78"/>
  <c r="G11" i="78"/>
  <c r="H11" i="78" s="1"/>
  <c r="D11" i="78"/>
  <c r="G10" i="78"/>
  <c r="H10" i="78" s="1"/>
  <c r="D10" i="78"/>
  <c r="E10" i="78" s="1"/>
  <c r="G9" i="78"/>
  <c r="H9" i="78" s="1"/>
  <c r="D9" i="78"/>
  <c r="G8" i="78"/>
  <c r="H8" i="78" s="1"/>
  <c r="D8" i="78"/>
  <c r="G7" i="78"/>
  <c r="H7" i="78" s="1"/>
  <c r="D7" i="78"/>
  <c r="G6" i="78"/>
  <c r="H6" i="78" s="1"/>
  <c r="D6" i="78"/>
  <c r="E6" i="78" s="1"/>
  <c r="G5" i="78"/>
  <c r="H5" i="78" s="1"/>
  <c r="D5" i="78"/>
  <c r="F17" i="77"/>
  <c r="C17" i="77"/>
  <c r="B17" i="77"/>
  <c r="G16" i="77"/>
  <c r="H16" i="77" s="1"/>
  <c r="D16" i="77"/>
  <c r="G15" i="77"/>
  <c r="H15" i="77" s="1"/>
  <c r="D15" i="77"/>
  <c r="G14" i="77"/>
  <c r="H14" i="77" s="1"/>
  <c r="D14" i="77"/>
  <c r="G13" i="77"/>
  <c r="H13" i="77" s="1"/>
  <c r="D13" i="77"/>
  <c r="G12" i="77"/>
  <c r="H12" i="77" s="1"/>
  <c r="D12" i="77"/>
  <c r="G11" i="77"/>
  <c r="H11" i="77" s="1"/>
  <c r="D11" i="77"/>
  <c r="G10" i="77"/>
  <c r="H10" i="77" s="1"/>
  <c r="D10" i="77"/>
  <c r="E10" i="77" s="1"/>
  <c r="G9" i="77"/>
  <c r="H9" i="77" s="1"/>
  <c r="D9" i="77"/>
  <c r="G8" i="77"/>
  <c r="H8" i="77" s="1"/>
  <c r="D8" i="77"/>
  <c r="G7" i="77"/>
  <c r="H7" i="77" s="1"/>
  <c r="D7" i="77"/>
  <c r="G6" i="77"/>
  <c r="H6" i="77" s="1"/>
  <c r="D6" i="77"/>
  <c r="E6" i="77" s="1"/>
  <c r="G5" i="77"/>
  <c r="H5" i="77" s="1"/>
  <c r="D5" i="77"/>
  <c r="F17" i="76"/>
  <c r="C17" i="76"/>
  <c r="B17" i="76"/>
  <c r="G16" i="76"/>
  <c r="H16" i="76" s="1"/>
  <c r="D16" i="76"/>
  <c r="G15" i="76"/>
  <c r="H15" i="76" s="1"/>
  <c r="D15" i="76"/>
  <c r="G14" i="76"/>
  <c r="H14" i="76" s="1"/>
  <c r="D14" i="76"/>
  <c r="G13" i="76"/>
  <c r="H13" i="76" s="1"/>
  <c r="D13" i="76"/>
  <c r="G12" i="76"/>
  <c r="H12" i="76" s="1"/>
  <c r="D12" i="76"/>
  <c r="G11" i="76"/>
  <c r="H11" i="76" s="1"/>
  <c r="D11" i="76"/>
  <c r="G10" i="76"/>
  <c r="H10" i="76" s="1"/>
  <c r="D10" i="76"/>
  <c r="E10" i="76" s="1"/>
  <c r="G9" i="76"/>
  <c r="H9" i="76" s="1"/>
  <c r="D9" i="76"/>
  <c r="G8" i="76"/>
  <c r="H8" i="76" s="1"/>
  <c r="D8" i="76"/>
  <c r="G7" i="76"/>
  <c r="H7" i="76" s="1"/>
  <c r="D7" i="76"/>
  <c r="G6" i="76"/>
  <c r="H6" i="76" s="1"/>
  <c r="D6" i="76"/>
  <c r="E6" i="76" s="1"/>
  <c r="G5" i="76"/>
  <c r="H5" i="76" s="1"/>
  <c r="D5" i="76"/>
  <c r="F17" i="75"/>
  <c r="C17" i="75"/>
  <c r="B17" i="75"/>
  <c r="G16" i="75"/>
  <c r="H16" i="75" s="1"/>
  <c r="D16" i="75"/>
  <c r="G15" i="75"/>
  <c r="H15" i="75" s="1"/>
  <c r="D15" i="75"/>
  <c r="G14" i="75"/>
  <c r="H14" i="75" s="1"/>
  <c r="D14" i="75"/>
  <c r="G13" i="75"/>
  <c r="H13" i="75" s="1"/>
  <c r="D13" i="75"/>
  <c r="G12" i="75"/>
  <c r="H12" i="75" s="1"/>
  <c r="D12" i="75"/>
  <c r="G11" i="75"/>
  <c r="H11" i="75" s="1"/>
  <c r="D11" i="75"/>
  <c r="G10" i="75"/>
  <c r="H10" i="75" s="1"/>
  <c r="D10" i="75"/>
  <c r="E10" i="75" s="1"/>
  <c r="G9" i="75"/>
  <c r="H9" i="75" s="1"/>
  <c r="D9" i="75"/>
  <c r="G8" i="75"/>
  <c r="H8" i="75" s="1"/>
  <c r="D8" i="75"/>
  <c r="G7" i="75"/>
  <c r="H7" i="75" s="1"/>
  <c r="D7" i="75"/>
  <c r="G6" i="75"/>
  <c r="H6" i="75" s="1"/>
  <c r="D6" i="75"/>
  <c r="E6" i="75" s="1"/>
  <c r="G5" i="75"/>
  <c r="H5" i="75" s="1"/>
  <c r="D5" i="75"/>
  <c r="F17" i="74"/>
  <c r="C17" i="74"/>
  <c r="B17" i="74"/>
  <c r="G16" i="74"/>
  <c r="H16" i="74" s="1"/>
  <c r="D16" i="74"/>
  <c r="G15" i="74"/>
  <c r="H15" i="74" s="1"/>
  <c r="D15" i="74"/>
  <c r="G14" i="74"/>
  <c r="H14" i="74" s="1"/>
  <c r="D14" i="74"/>
  <c r="G13" i="74"/>
  <c r="H13" i="74" s="1"/>
  <c r="D13" i="74"/>
  <c r="G12" i="74"/>
  <c r="H12" i="74" s="1"/>
  <c r="D12" i="74"/>
  <c r="G11" i="74"/>
  <c r="H11" i="74" s="1"/>
  <c r="D11" i="74"/>
  <c r="G10" i="74"/>
  <c r="H10" i="74" s="1"/>
  <c r="D10" i="74"/>
  <c r="E10" i="74" s="1"/>
  <c r="G9" i="74"/>
  <c r="H9" i="74" s="1"/>
  <c r="D9" i="74"/>
  <c r="G8" i="74"/>
  <c r="H8" i="74" s="1"/>
  <c r="D8" i="74"/>
  <c r="G7" i="74"/>
  <c r="H7" i="74" s="1"/>
  <c r="D7" i="74"/>
  <c r="G6" i="74"/>
  <c r="H6" i="74" s="1"/>
  <c r="D6" i="74"/>
  <c r="E6" i="74" s="1"/>
  <c r="G5" i="74"/>
  <c r="H5" i="74" s="1"/>
  <c r="D5" i="74"/>
  <c r="F17" i="73"/>
  <c r="C17" i="73"/>
  <c r="B17" i="73"/>
  <c r="G16" i="73"/>
  <c r="H16" i="73" s="1"/>
  <c r="D16" i="73"/>
  <c r="E16" i="73" s="1"/>
  <c r="G15" i="73"/>
  <c r="H15" i="73" s="1"/>
  <c r="D15" i="73"/>
  <c r="E15" i="73" s="1"/>
  <c r="G14" i="73"/>
  <c r="H14" i="73" s="1"/>
  <c r="D14" i="73"/>
  <c r="E14" i="73" s="1"/>
  <c r="G13" i="73"/>
  <c r="H13" i="73" s="1"/>
  <c r="D13" i="73"/>
  <c r="E13" i="73" s="1"/>
  <c r="G12" i="73"/>
  <c r="H12" i="73" s="1"/>
  <c r="D12" i="73"/>
  <c r="E12" i="73" s="1"/>
  <c r="G11" i="73"/>
  <c r="H11" i="73" s="1"/>
  <c r="D11" i="73"/>
  <c r="E11" i="73" s="1"/>
  <c r="G10" i="73"/>
  <c r="H10" i="73" s="1"/>
  <c r="D10" i="73"/>
  <c r="E10" i="73" s="1"/>
  <c r="G9" i="73"/>
  <c r="H9" i="73" s="1"/>
  <c r="D9" i="73"/>
  <c r="E9" i="73" s="1"/>
  <c r="G8" i="73"/>
  <c r="H8" i="73" s="1"/>
  <c r="D8" i="73"/>
  <c r="E8" i="73" s="1"/>
  <c r="G7" i="73"/>
  <c r="H7" i="73" s="1"/>
  <c r="D7" i="73"/>
  <c r="E7" i="73" s="1"/>
  <c r="G6" i="73"/>
  <c r="H6" i="73" s="1"/>
  <c r="D6" i="73"/>
  <c r="E6" i="73" s="1"/>
  <c r="G5" i="73"/>
  <c r="H5" i="73" s="1"/>
  <c r="D5" i="73"/>
  <c r="E5" i="73" s="1"/>
  <c r="F17" i="72"/>
  <c r="C17" i="72"/>
  <c r="B17" i="72"/>
  <c r="G16" i="72"/>
  <c r="H16" i="72" s="1"/>
  <c r="D16" i="72"/>
  <c r="G15" i="72"/>
  <c r="H15" i="72" s="1"/>
  <c r="D15" i="72"/>
  <c r="G14" i="72"/>
  <c r="H14" i="72" s="1"/>
  <c r="D14" i="72"/>
  <c r="G13" i="72"/>
  <c r="H13" i="72" s="1"/>
  <c r="D13" i="72"/>
  <c r="G12" i="72"/>
  <c r="H12" i="72" s="1"/>
  <c r="D12" i="72"/>
  <c r="G11" i="72"/>
  <c r="H11" i="72" s="1"/>
  <c r="D11" i="72"/>
  <c r="G10" i="72"/>
  <c r="H10" i="72" s="1"/>
  <c r="D10" i="72"/>
  <c r="E10" i="72" s="1"/>
  <c r="G9" i="72"/>
  <c r="H9" i="72" s="1"/>
  <c r="D9" i="72"/>
  <c r="G8" i="72"/>
  <c r="H8" i="72" s="1"/>
  <c r="D8" i="72"/>
  <c r="G7" i="72"/>
  <c r="H7" i="72" s="1"/>
  <c r="D7" i="72"/>
  <c r="G6" i="72"/>
  <c r="H6" i="72" s="1"/>
  <c r="D6" i="72"/>
  <c r="E6" i="72" s="1"/>
  <c r="G5" i="72"/>
  <c r="H5" i="72" s="1"/>
  <c r="D5" i="72"/>
  <c r="F17" i="71"/>
  <c r="C17" i="71"/>
  <c r="B17" i="71"/>
  <c r="G16" i="71"/>
  <c r="H16" i="71" s="1"/>
  <c r="D16" i="71"/>
  <c r="G15" i="71"/>
  <c r="H15" i="71" s="1"/>
  <c r="D15" i="71"/>
  <c r="G14" i="71"/>
  <c r="H14" i="71" s="1"/>
  <c r="D14" i="71"/>
  <c r="G13" i="71"/>
  <c r="H13" i="71" s="1"/>
  <c r="D13" i="71"/>
  <c r="G12" i="71"/>
  <c r="H12" i="71" s="1"/>
  <c r="D12" i="71"/>
  <c r="G11" i="71"/>
  <c r="H11" i="71" s="1"/>
  <c r="D11" i="71"/>
  <c r="G10" i="71"/>
  <c r="H10" i="71" s="1"/>
  <c r="D10" i="71"/>
  <c r="E10" i="71" s="1"/>
  <c r="G9" i="71"/>
  <c r="H9" i="71" s="1"/>
  <c r="D9" i="71"/>
  <c r="G8" i="71"/>
  <c r="H8" i="71" s="1"/>
  <c r="D8" i="71"/>
  <c r="G7" i="71"/>
  <c r="H7" i="71" s="1"/>
  <c r="D7" i="71"/>
  <c r="G6" i="71"/>
  <c r="H6" i="71" s="1"/>
  <c r="D6" i="71"/>
  <c r="E6" i="71" s="1"/>
  <c r="G5" i="71"/>
  <c r="H5" i="71" s="1"/>
  <c r="D5" i="71"/>
  <c r="F17" i="70"/>
  <c r="C17" i="70"/>
  <c r="B17" i="70"/>
  <c r="G16" i="70"/>
  <c r="H16" i="70" s="1"/>
  <c r="D16" i="70"/>
  <c r="G15" i="70"/>
  <c r="H15" i="70" s="1"/>
  <c r="D15" i="70"/>
  <c r="G14" i="70"/>
  <c r="H14" i="70" s="1"/>
  <c r="D14" i="70"/>
  <c r="G13" i="70"/>
  <c r="H13" i="70" s="1"/>
  <c r="D13" i="70"/>
  <c r="G12" i="70"/>
  <c r="H12" i="70" s="1"/>
  <c r="D12" i="70"/>
  <c r="G11" i="70"/>
  <c r="H11" i="70" s="1"/>
  <c r="D11" i="70"/>
  <c r="G10" i="70"/>
  <c r="H10" i="70" s="1"/>
  <c r="D10" i="70"/>
  <c r="E10" i="70" s="1"/>
  <c r="G9" i="70"/>
  <c r="H9" i="70" s="1"/>
  <c r="D9" i="70"/>
  <c r="G8" i="70"/>
  <c r="H8" i="70" s="1"/>
  <c r="D8" i="70"/>
  <c r="G7" i="70"/>
  <c r="H7" i="70" s="1"/>
  <c r="D7" i="70"/>
  <c r="G6" i="70"/>
  <c r="H6" i="70" s="1"/>
  <c r="D6" i="70"/>
  <c r="E6" i="70" s="1"/>
  <c r="G5" i="70"/>
  <c r="H5" i="70" s="1"/>
  <c r="D5" i="70"/>
  <c r="F17" i="69"/>
  <c r="C17" i="69"/>
  <c r="B17" i="69"/>
  <c r="G10" i="69"/>
  <c r="H10" i="69" s="1"/>
  <c r="D10" i="69"/>
  <c r="E10" i="69" s="1"/>
  <c r="G9" i="69"/>
  <c r="H9" i="69" s="1"/>
  <c r="D9" i="69"/>
  <c r="G8" i="69"/>
  <c r="H8" i="69" s="1"/>
  <c r="D8" i="69"/>
  <c r="G7" i="69"/>
  <c r="H7" i="69" s="1"/>
  <c r="D7" i="69"/>
  <c r="G6" i="69"/>
  <c r="H6" i="69" s="1"/>
  <c r="D6" i="69"/>
  <c r="E6" i="69" s="1"/>
  <c r="G5" i="69"/>
  <c r="H5" i="69" s="1"/>
  <c r="D5" i="69"/>
  <c r="F17" i="5"/>
  <c r="C17" i="5"/>
  <c r="B17" i="5"/>
  <c r="H16" i="5"/>
  <c r="H15" i="5"/>
  <c r="H14" i="5"/>
  <c r="H13" i="5"/>
  <c r="H12" i="5"/>
  <c r="H11" i="5"/>
  <c r="G10" i="5"/>
  <c r="H10" i="5" s="1"/>
  <c r="D10" i="5"/>
  <c r="E10" i="5" s="1"/>
  <c r="G9" i="5"/>
  <c r="H9" i="5" s="1"/>
  <c r="D9" i="5"/>
  <c r="G8" i="5"/>
  <c r="H8" i="5" s="1"/>
  <c r="D8" i="5"/>
  <c r="G7" i="5"/>
  <c r="H7" i="5" s="1"/>
  <c r="D7" i="5"/>
  <c r="G6" i="5"/>
  <c r="H6" i="5" s="1"/>
  <c r="D6" i="5"/>
  <c r="E6" i="5" s="1"/>
  <c r="G5" i="5"/>
  <c r="D5" i="5"/>
  <c r="E5" i="5" s="1"/>
  <c r="A3" i="2" a="1"/>
  <c r="C11" i="2" a="1"/>
  <c r="C3" i="26" a="1"/>
  <c r="C18" i="3" a="1"/>
  <c r="C22" i="3" a="1"/>
  <c r="C3" i="33" a="1"/>
  <c r="C23" i="3" a="1"/>
  <c r="C3" i="28" a="1"/>
  <c r="C3" i="27" a="1"/>
  <c r="C19" i="3" a="1"/>
  <c r="C16" i="3" a="1"/>
  <c r="C21" i="3" a="1"/>
  <c r="C3" i="32" a="1"/>
  <c r="C15" i="3" a="1"/>
  <c r="C14" i="3" a="1"/>
  <c r="C3" i="31" a="1"/>
  <c r="C20" i="3" a="1"/>
  <c r="C17" i="3" a="1"/>
  <c r="C13" i="3" a="1"/>
  <c r="E5" i="71" l="1"/>
  <c r="E5" i="80"/>
  <c r="C11" i="2"/>
  <c r="E5" i="74"/>
  <c r="E5" i="75"/>
  <c r="E5" i="76"/>
  <c r="E5" i="77"/>
  <c r="E16" i="74"/>
  <c r="E16" i="70"/>
  <c r="E16" i="71"/>
  <c r="E16" i="72"/>
  <c r="E16" i="80"/>
  <c r="E16" i="75"/>
  <c r="E16" i="76"/>
  <c r="E16" i="79"/>
  <c r="E16" i="77"/>
  <c r="E16" i="78"/>
  <c r="E15" i="74"/>
  <c r="E15" i="70"/>
  <c r="E15" i="71"/>
  <c r="E15" i="72"/>
  <c r="E15" i="80"/>
  <c r="E15" i="75"/>
  <c r="E15" i="76"/>
  <c r="E15" i="79"/>
  <c r="E15" i="77"/>
  <c r="E15" i="78"/>
  <c r="E14" i="74"/>
  <c r="E14" i="70"/>
  <c r="E14" i="71"/>
  <c r="E14" i="72"/>
  <c r="E14" i="80"/>
  <c r="E14" i="75"/>
  <c r="E14" i="76"/>
  <c r="E14" i="79"/>
  <c r="E14" i="77"/>
  <c r="E14" i="78"/>
  <c r="C3" i="31"/>
  <c r="C3" i="32"/>
  <c r="C3" i="33"/>
  <c r="E13" i="74"/>
  <c r="E13" i="70"/>
  <c r="E13" i="71"/>
  <c r="E13" i="72"/>
  <c r="E13" i="80"/>
  <c r="E13" i="75"/>
  <c r="E13" i="76"/>
  <c r="E13" i="79"/>
  <c r="E13" i="77"/>
  <c r="E13" i="78"/>
  <c r="C3" i="28"/>
  <c r="E12" i="74"/>
  <c r="E12" i="70"/>
  <c r="E12" i="71"/>
  <c r="E12" i="72"/>
  <c r="E12" i="80"/>
  <c r="E12" i="75"/>
  <c r="E12" i="76"/>
  <c r="E12" i="79"/>
  <c r="E12" i="77"/>
  <c r="E12" i="78"/>
  <c r="C3" i="27"/>
  <c r="H5" i="79"/>
  <c r="E5" i="70"/>
  <c r="E5" i="72"/>
  <c r="E5" i="78"/>
  <c r="E5" i="69"/>
  <c r="E11" i="74"/>
  <c r="E11" i="70"/>
  <c r="E11" i="71"/>
  <c r="E11" i="72"/>
  <c r="E11" i="80"/>
  <c r="E11" i="75"/>
  <c r="E11" i="76"/>
  <c r="E11" i="79"/>
  <c r="E11" i="77"/>
  <c r="E11" i="78"/>
  <c r="C3" i="26"/>
  <c r="E7" i="70"/>
  <c r="E8" i="70"/>
  <c r="E9" i="70"/>
  <c r="E7" i="71"/>
  <c r="E8" i="71"/>
  <c r="E9" i="71"/>
  <c r="E7" i="72"/>
  <c r="E8" i="72"/>
  <c r="E9" i="72"/>
  <c r="E7" i="80"/>
  <c r="E8" i="80"/>
  <c r="E9" i="80"/>
  <c r="E7" i="74"/>
  <c r="E8" i="74"/>
  <c r="E9" i="74"/>
  <c r="E7" i="75"/>
  <c r="E8" i="75"/>
  <c r="E9" i="75"/>
  <c r="E7" i="76"/>
  <c r="E8" i="76"/>
  <c r="E9" i="76"/>
  <c r="E7" i="77"/>
  <c r="E8" i="77"/>
  <c r="E9" i="77"/>
  <c r="E7" i="78"/>
  <c r="E8" i="78"/>
  <c r="E9" i="78"/>
  <c r="E7" i="79"/>
  <c r="E8" i="79"/>
  <c r="E9" i="79"/>
  <c r="E7" i="69"/>
  <c r="E8" i="69"/>
  <c r="E9" i="69"/>
  <c r="H5" i="5"/>
  <c r="E7" i="5"/>
  <c r="E8" i="5"/>
  <c r="E9" i="5"/>
  <c r="G17" i="29"/>
  <c r="D17" i="29"/>
  <c r="D16" i="29"/>
  <c r="G16" i="29"/>
  <c r="D20" i="29"/>
  <c r="G20" i="29"/>
  <c r="G19" i="29"/>
  <c r="D19" i="29"/>
  <c r="G21" i="29"/>
  <c r="D21" i="29"/>
  <c r="D18" i="29"/>
  <c r="G18" i="29"/>
  <c r="G23" i="29"/>
  <c r="D23" i="29"/>
  <c r="D22" i="29"/>
  <c r="G22" i="29"/>
  <c r="C18" i="3"/>
  <c r="C13" i="3"/>
  <c r="C14" i="3"/>
  <c r="C22" i="3"/>
  <c r="C23" i="3"/>
  <c r="C17" i="3"/>
  <c r="C20" i="3"/>
  <c r="C15" i="3"/>
  <c r="C16" i="3"/>
  <c r="C19" i="3"/>
  <c r="C21" i="3"/>
  <c r="G17" i="1"/>
  <c r="G17" i="34" s="1"/>
  <c r="D17" i="1"/>
  <c r="D17" i="34" s="1"/>
  <c r="G16" i="1"/>
  <c r="D16" i="1"/>
  <c r="D22" i="1"/>
  <c r="D22" i="34" s="1"/>
  <c r="G22" i="1"/>
  <c r="G22" i="34" s="1"/>
  <c r="G21" i="1"/>
  <c r="G21" i="34" s="1"/>
  <c r="D21" i="1"/>
  <c r="D21" i="34" s="1"/>
  <c r="D20" i="1"/>
  <c r="D20" i="34" s="1"/>
  <c r="G20" i="1"/>
  <c r="G20" i="34" s="1"/>
  <c r="D23" i="1"/>
  <c r="D23" i="34" s="1"/>
  <c r="G23" i="1"/>
  <c r="G23" i="34" s="1"/>
  <c r="D18" i="1"/>
  <c r="D18" i="34" s="1"/>
  <c r="G18" i="1"/>
  <c r="G18" i="34" s="1"/>
  <c r="D19" i="1"/>
  <c r="D19" i="34" s="1"/>
  <c r="G19" i="1"/>
  <c r="G19" i="34" s="1"/>
  <c r="D23" i="30"/>
  <c r="D19" i="30"/>
  <c r="D20" i="30"/>
  <c r="D16" i="30"/>
  <c r="D21" i="30"/>
  <c r="D17" i="30"/>
  <c r="D22" i="30"/>
  <c r="D18" i="30"/>
  <c r="A3" i="1"/>
  <c r="A3" i="33"/>
  <c r="A3" i="32"/>
  <c r="A3" i="31"/>
  <c r="A3" i="28"/>
  <c r="A3" i="27"/>
  <c r="A3" i="26"/>
  <c r="A3" i="19"/>
  <c r="A3" i="20"/>
  <c r="A3" i="21"/>
  <c r="A3" i="4"/>
  <c r="A3" i="3"/>
  <c r="A3" i="2"/>
  <c r="G17" i="80"/>
  <c r="H17" i="80" s="1"/>
  <c r="D17" i="80"/>
  <c r="E17" i="80" s="1"/>
  <c r="G17" i="79"/>
  <c r="H17" i="79" s="1"/>
  <c r="D17" i="79"/>
  <c r="E17" i="79" s="1"/>
  <c r="G17" i="78"/>
  <c r="H17" i="78" s="1"/>
  <c r="D17" i="78"/>
  <c r="E17" i="78" s="1"/>
  <c r="G17" i="77"/>
  <c r="H17" i="77" s="1"/>
  <c r="D17" i="77"/>
  <c r="E17" i="77" s="1"/>
  <c r="G17" i="76"/>
  <c r="H17" i="76" s="1"/>
  <c r="D17" i="76"/>
  <c r="E17" i="76" s="1"/>
  <c r="G17" i="75"/>
  <c r="H17" i="75" s="1"/>
  <c r="D17" i="75"/>
  <c r="E17" i="75" s="1"/>
  <c r="G17" i="74"/>
  <c r="H17" i="74" s="1"/>
  <c r="D17" i="74"/>
  <c r="E17" i="74" s="1"/>
  <c r="G17" i="73"/>
  <c r="H17" i="73" s="1"/>
  <c r="D17" i="73"/>
  <c r="E17" i="73" s="1"/>
  <c r="G17" i="72"/>
  <c r="H17" i="72" s="1"/>
  <c r="D17" i="72"/>
  <c r="E17" i="72" s="1"/>
  <c r="G17" i="71"/>
  <c r="H17" i="71" s="1"/>
  <c r="D17" i="71"/>
  <c r="E17" i="71" s="1"/>
  <c r="G17" i="70"/>
  <c r="H17" i="70" s="1"/>
  <c r="D17" i="70"/>
  <c r="E17" i="70" s="1"/>
  <c r="G17" i="69"/>
  <c r="H17" i="69" s="1"/>
  <c r="D17" i="69"/>
  <c r="E17" i="69" s="1"/>
  <c r="G17" i="5"/>
  <c r="H17" i="5" s="1"/>
  <c r="D17" i="5"/>
  <c r="E17" i="5" s="1"/>
  <c r="B3" i="2" a="1"/>
  <c r="B3" i="2" s="1"/>
  <c r="C12" i="20" a="1"/>
  <c r="C9" i="32" a="1"/>
  <c r="C5" i="27" a="1"/>
  <c r="C3" i="19" a="1"/>
  <c r="C11" i="21" a="1"/>
  <c r="C6" i="26" a="1"/>
  <c r="C5" i="31" a="1"/>
  <c r="C15" i="4" a="1"/>
  <c r="C12" i="27" a="1"/>
  <c r="C11" i="31" a="1"/>
  <c r="C6" i="2" a="1"/>
  <c r="C7" i="32" a="1"/>
  <c r="C11" i="28" a="1"/>
  <c r="C15" i="31" a="1"/>
  <c r="C11" i="32" a="1"/>
  <c r="C10" i="2" a="1"/>
  <c r="C20" i="19" a="1"/>
  <c r="C5" i="32" a="1"/>
  <c r="C19" i="19" a="1"/>
  <c r="C14" i="33" a="1"/>
  <c r="C3" i="4" a="1"/>
  <c r="C11" i="27" a="1"/>
  <c r="C10" i="3" a="1"/>
  <c r="C3" i="20" a="1"/>
  <c r="C12" i="21" a="1"/>
  <c r="C15" i="33" a="1"/>
  <c r="C13" i="21" a="1"/>
  <c r="C12" i="19" a="1"/>
  <c r="C8" i="4" a="1"/>
  <c r="C12" i="31" a="1"/>
  <c r="C5" i="2" a="1"/>
  <c r="C10" i="19" a="1"/>
  <c r="C7" i="21" a="1"/>
  <c r="C11" i="4" a="1"/>
  <c r="C9" i="28" a="1"/>
  <c r="C10" i="20" a="1"/>
  <c r="C7" i="3" a="1"/>
  <c r="C4" i="4" a="1"/>
  <c r="C7" i="20" a="1"/>
  <c r="C7" i="26" a="1"/>
  <c r="C5" i="21" a="1"/>
  <c r="C9" i="31" a="1"/>
  <c r="C15" i="26" a="1"/>
  <c r="C23" i="19" a="1"/>
  <c r="C6" i="21" a="1"/>
  <c r="C15" i="28" a="1"/>
  <c r="C9" i="33" a="1"/>
  <c r="C12" i="2" a="1"/>
  <c r="C13" i="2" a="1"/>
  <c r="C8" i="32" a="1"/>
  <c r="C4" i="19" a="1"/>
  <c r="C7" i="33" a="1"/>
  <c r="C8" i="27" a="1"/>
  <c r="C7" i="2" a="1"/>
  <c r="C14" i="28" a="1"/>
  <c r="C12" i="26" a="1"/>
  <c r="C15" i="32" a="1"/>
  <c r="C11" i="19" a="1"/>
  <c r="C12" i="28" a="1"/>
  <c r="C5" i="19" a="1"/>
  <c r="C14" i="31" a="1"/>
  <c r="C6" i="20" a="1"/>
  <c r="C6" i="28" a="1"/>
  <c r="C17" i="19" a="1"/>
  <c r="C7" i="19" a="1"/>
  <c r="C6" i="33" a="1"/>
  <c r="C9" i="20" a="1"/>
  <c r="C7" i="4" a="1"/>
  <c r="C10" i="28" a="1"/>
  <c r="C7" i="31" a="1"/>
  <c r="C6" i="4" a="1"/>
  <c r="C8" i="19" a="1"/>
  <c r="C5" i="26" a="1"/>
  <c r="C8" i="28" a="1"/>
  <c r="C18" i="19" a="1"/>
  <c r="C13" i="31" a="1"/>
  <c r="C7" i="28" a="1"/>
  <c r="C6" i="32" a="1"/>
  <c r="C22" i="19" a="1"/>
  <c r="C3" i="3" a="1"/>
  <c r="C8" i="33" a="1"/>
  <c r="C6" i="31" a="1"/>
  <c r="C14" i="2" a="1"/>
  <c r="C8" i="31" a="1"/>
  <c r="C9" i="4" a="1"/>
  <c r="C5" i="20" a="1"/>
  <c r="C14" i="21" a="1"/>
  <c r="C11" i="3" a="1"/>
  <c r="C4" i="20" a="1"/>
  <c r="C21" i="19" a="1"/>
  <c r="C4" i="3" a="1"/>
  <c r="C10" i="4" a="1"/>
  <c r="C14" i="27" a="1"/>
  <c r="C4" i="2" a="1"/>
  <c r="C14" i="20" a="1"/>
  <c r="C8" i="21" a="1"/>
  <c r="C12" i="32" a="1"/>
  <c r="C6" i="19" a="1"/>
  <c r="C10" i="33" a="1"/>
  <c r="C12" i="33" a="1"/>
  <c r="C9" i="19" a="1"/>
  <c r="C15" i="21" a="1"/>
  <c r="C7" i="27" a="1"/>
  <c r="C12" i="4" a="1"/>
  <c r="C9" i="3" a="1"/>
  <c r="C9" i="27" a="1"/>
  <c r="C15" i="2" a="1"/>
  <c r="C16" i="19" a="1"/>
  <c r="C4" i="21" a="1"/>
  <c r="C10" i="26" a="1"/>
  <c r="C3" i="2" a="1"/>
  <c r="C5" i="3" a="1"/>
  <c r="C11" i="26" a="1"/>
  <c r="C11" i="33" a="1"/>
  <c r="C13" i="28" a="1"/>
  <c r="C5" i="28" a="1"/>
  <c r="C14" i="4" a="1"/>
  <c r="C8" i="2" a="1"/>
  <c r="C13" i="4" a="1"/>
  <c r="C8" i="26" a="1"/>
  <c r="C13" i="27" a="1"/>
  <c r="C6" i="27" a="1"/>
  <c r="C8" i="3" a="1"/>
  <c r="C10" i="31" a="1"/>
  <c r="C14" i="19" a="1"/>
  <c r="C13" i="32" a="1"/>
  <c r="C3" i="21" a="1"/>
  <c r="C5" i="4" a="1"/>
  <c r="C9" i="21" a="1"/>
  <c r="C5" i="33" a="1"/>
  <c r="C11" i="20" a="1"/>
  <c r="C15" i="20" a="1"/>
  <c r="C13" i="26" a="1"/>
  <c r="C9" i="26" a="1"/>
  <c r="C10" i="21" a="1"/>
  <c r="C15" i="19" a="1"/>
  <c r="C10" i="27" a="1"/>
  <c r="C14" i="26" a="1"/>
  <c r="C15" i="27" a="1"/>
  <c r="C6" i="3" a="1"/>
  <c r="C12" i="3" a="1"/>
  <c r="C14" i="32" a="1"/>
  <c r="C13" i="19" a="1"/>
  <c r="C10" i="32" a="1"/>
  <c r="C13" i="33" a="1"/>
  <c r="C9" i="2" a="1"/>
  <c r="C8" i="20" a="1"/>
  <c r="C13" i="20" a="1"/>
  <c r="C3" i="29" l="1"/>
  <c r="C3" i="30"/>
  <c r="C14" i="2"/>
  <c r="C12" i="2"/>
  <c r="C10" i="2"/>
  <c r="C9" i="2"/>
  <c r="C8" i="2"/>
  <c r="C7" i="2"/>
  <c r="C10" i="33"/>
  <c r="C15" i="33"/>
  <c r="C14" i="33"/>
  <c r="C13" i="33"/>
  <c r="C12" i="33"/>
  <c r="C11" i="33"/>
  <c r="C9" i="33"/>
  <c r="C8" i="33"/>
  <c r="C5" i="33"/>
  <c r="C7" i="33"/>
  <c r="C6" i="33"/>
  <c r="C10" i="32"/>
  <c r="C15" i="32"/>
  <c r="C14" i="32"/>
  <c r="C13" i="32"/>
  <c r="C12" i="32"/>
  <c r="C11" i="32"/>
  <c r="C9" i="32"/>
  <c r="C8" i="32"/>
  <c r="C5" i="32"/>
  <c r="C7" i="32"/>
  <c r="C6" i="32"/>
  <c r="G5" i="30"/>
  <c r="G8" i="30"/>
  <c r="G15" i="30"/>
  <c r="G7" i="30"/>
  <c r="G11" i="30"/>
  <c r="G9" i="30"/>
  <c r="G10" i="30"/>
  <c r="G14" i="30"/>
  <c r="G13" i="30"/>
  <c r="G12" i="30"/>
  <c r="G6" i="30"/>
  <c r="C10" i="31"/>
  <c r="C15" i="31"/>
  <c r="D15" i="30"/>
  <c r="C14" i="31"/>
  <c r="C13" i="31"/>
  <c r="C12" i="31"/>
  <c r="C11" i="31"/>
  <c r="C9" i="31"/>
  <c r="C8" i="31"/>
  <c r="C5" i="31"/>
  <c r="C7" i="31"/>
  <c r="C6" i="31"/>
  <c r="C10" i="28"/>
  <c r="C15" i="28"/>
  <c r="C14" i="28"/>
  <c r="C13" i="28"/>
  <c r="C12" i="28"/>
  <c r="C11" i="28"/>
  <c r="C9" i="28"/>
  <c r="C8" i="28"/>
  <c r="C5" i="28"/>
  <c r="C7" i="28"/>
  <c r="C6" i="28"/>
  <c r="C10" i="27"/>
  <c r="C15" i="27"/>
  <c r="C14" i="27"/>
  <c r="C13" i="27"/>
  <c r="C12" i="27"/>
  <c r="C11" i="27"/>
  <c r="C9" i="27"/>
  <c r="C8" i="27"/>
  <c r="C5" i="27"/>
  <c r="C7" i="27"/>
  <c r="C6" i="27"/>
  <c r="C6" i="2"/>
  <c r="C13" i="2"/>
  <c r="C15" i="2"/>
  <c r="C4" i="2"/>
  <c r="C5" i="2"/>
  <c r="C10" i="26"/>
  <c r="C15" i="26"/>
  <c r="D15" i="29"/>
  <c r="G15" i="29"/>
  <c r="C14" i="26"/>
  <c r="D14" i="29"/>
  <c r="G14" i="29"/>
  <c r="C13" i="26"/>
  <c r="C12" i="26"/>
  <c r="C11" i="26"/>
  <c r="C9" i="26"/>
  <c r="C8" i="26"/>
  <c r="C5" i="26"/>
  <c r="C7" i="26"/>
  <c r="C6" i="26"/>
  <c r="C3" i="19"/>
  <c r="C6" i="19"/>
  <c r="C17" i="19"/>
  <c r="C17" i="18" s="1"/>
  <c r="G17" i="18"/>
  <c r="D17" i="18"/>
  <c r="C11" i="19"/>
  <c r="C9" i="19"/>
  <c r="C3" i="21"/>
  <c r="C4" i="21"/>
  <c r="C5" i="4"/>
  <c r="C7" i="20"/>
  <c r="C8" i="21"/>
  <c r="C9" i="4"/>
  <c r="C11" i="20"/>
  <c r="C12" i="21"/>
  <c r="C13" i="4"/>
  <c r="D13" i="1"/>
  <c r="G13" i="1"/>
  <c r="C15" i="20"/>
  <c r="C10" i="19"/>
  <c r="C20" i="19"/>
  <c r="C20" i="18" s="1"/>
  <c r="D20" i="18"/>
  <c r="G20" i="18"/>
  <c r="C7" i="19"/>
  <c r="C23" i="19"/>
  <c r="C23" i="18" s="1"/>
  <c r="G23" i="18"/>
  <c r="D23" i="18"/>
  <c r="C16" i="19"/>
  <c r="C16" i="18" s="1"/>
  <c r="G16" i="18"/>
  <c r="D16" i="18"/>
  <c r="C3" i="4"/>
  <c r="C4" i="4"/>
  <c r="C6" i="20"/>
  <c r="C7" i="21"/>
  <c r="C8" i="4"/>
  <c r="C10" i="20"/>
  <c r="C11" i="21"/>
  <c r="C12" i="4"/>
  <c r="C14" i="20"/>
  <c r="C15" i="21"/>
  <c r="G15" i="18"/>
  <c r="D15" i="18"/>
  <c r="C19" i="19"/>
  <c r="C19" i="18" s="1"/>
  <c r="G19" i="18"/>
  <c r="D19" i="18"/>
  <c r="C21" i="19"/>
  <c r="C21" i="18" s="1"/>
  <c r="G21" i="18"/>
  <c r="D21" i="18"/>
  <c r="C12" i="19"/>
  <c r="C22" i="19"/>
  <c r="C22" i="18" s="1"/>
  <c r="D22" i="18"/>
  <c r="G22" i="18"/>
  <c r="C13" i="19"/>
  <c r="C8" i="19"/>
  <c r="C3" i="2"/>
  <c r="C5" i="20"/>
  <c r="C6" i="21"/>
  <c r="C7" i="4"/>
  <c r="C9" i="20"/>
  <c r="C10" i="21"/>
  <c r="C11" i="4"/>
  <c r="C13" i="20"/>
  <c r="C14" i="21"/>
  <c r="D14" i="18"/>
  <c r="G14" i="18"/>
  <c r="C15" i="4"/>
  <c r="D15" i="1"/>
  <c r="G15" i="1"/>
  <c r="C18" i="19"/>
  <c r="C18" i="18" s="1"/>
  <c r="G18" i="18"/>
  <c r="D18" i="18"/>
  <c r="C5" i="19"/>
  <c r="C4" i="19"/>
  <c r="C14" i="19"/>
  <c r="C15" i="19"/>
  <c r="C3" i="20"/>
  <c r="C4" i="20"/>
  <c r="C5" i="21"/>
  <c r="C6" i="4"/>
  <c r="C8" i="20"/>
  <c r="C9" i="21"/>
  <c r="C10" i="4"/>
  <c r="C12" i="20"/>
  <c r="C13" i="21"/>
  <c r="C14" i="4"/>
  <c r="D14" i="1"/>
  <c r="G14" i="1"/>
  <c r="C23" i="1"/>
  <c r="C23" i="29"/>
  <c r="C22" i="29"/>
  <c r="C22" i="1"/>
  <c r="C21" i="1"/>
  <c r="C21" i="29"/>
  <c r="C20" i="29"/>
  <c r="C20" i="1"/>
  <c r="C19" i="1"/>
  <c r="C19" i="29"/>
  <c r="C18" i="29"/>
  <c r="C18" i="1"/>
  <c r="C17" i="1"/>
  <c r="C17" i="29"/>
  <c r="C16" i="29"/>
  <c r="C16" i="1"/>
  <c r="C18" i="30"/>
  <c r="C21" i="30"/>
  <c r="C17" i="30"/>
  <c r="C22" i="30"/>
  <c r="C20" i="30"/>
  <c r="C16" i="30"/>
  <c r="C19" i="30"/>
  <c r="C23" i="30"/>
  <c r="D11" i="30"/>
  <c r="D12" i="30"/>
  <c r="D13" i="30"/>
  <c r="D14" i="30"/>
  <c r="D13" i="29"/>
  <c r="G13" i="29"/>
  <c r="G11" i="29"/>
  <c r="D11" i="29"/>
  <c r="D10" i="29"/>
  <c r="G10" i="29"/>
  <c r="D9" i="29"/>
  <c r="G9" i="29"/>
  <c r="D12" i="29"/>
  <c r="G12" i="29"/>
  <c r="G10" i="18"/>
  <c r="D10" i="18"/>
  <c r="D9" i="18"/>
  <c r="G9" i="18"/>
  <c r="G11" i="18"/>
  <c r="D11" i="18"/>
  <c r="G12" i="18"/>
  <c r="D12" i="18"/>
  <c r="D13" i="18"/>
  <c r="G13" i="18"/>
  <c r="D8" i="18"/>
  <c r="G8" i="18"/>
  <c r="D12" i="1"/>
  <c r="G12" i="1"/>
  <c r="C11" i="3"/>
  <c r="C4" i="3"/>
  <c r="C12" i="3"/>
  <c r="C5" i="3"/>
  <c r="C6" i="3"/>
  <c r="C7" i="3"/>
  <c r="C8" i="3"/>
  <c r="C9" i="3"/>
  <c r="C10" i="3"/>
  <c r="D3" i="18"/>
  <c r="G3" i="18"/>
  <c r="D4" i="18"/>
  <c r="G4" i="18"/>
  <c r="D5" i="18"/>
  <c r="G5" i="18"/>
  <c r="D6" i="18"/>
  <c r="G6" i="18"/>
  <c r="D7" i="18"/>
  <c r="G7" i="18"/>
  <c r="D3" i="29"/>
  <c r="G3" i="29"/>
  <c r="D4" i="29"/>
  <c r="G4" i="29"/>
  <c r="D5" i="29"/>
  <c r="G5" i="29"/>
  <c r="D6" i="29"/>
  <c r="G6" i="29"/>
  <c r="D7" i="29"/>
  <c r="G7" i="29"/>
  <c r="D8" i="29"/>
  <c r="G8" i="29"/>
  <c r="D3" i="30"/>
  <c r="G3" i="30"/>
  <c r="D4" i="30"/>
  <c r="D5" i="30"/>
  <c r="D6" i="30"/>
  <c r="D7" i="30"/>
  <c r="D8" i="30"/>
  <c r="D9" i="30"/>
  <c r="D10" i="30"/>
  <c r="G3" i="1"/>
  <c r="D11" i="1"/>
  <c r="G11" i="1"/>
  <c r="D10" i="1"/>
  <c r="G10" i="1"/>
  <c r="D9" i="1"/>
  <c r="G9" i="1"/>
  <c r="D8" i="1"/>
  <c r="G8" i="1"/>
  <c r="D7" i="1"/>
  <c r="G7" i="1"/>
  <c r="D6" i="1"/>
  <c r="G6" i="1"/>
  <c r="D5" i="1"/>
  <c r="G5" i="1"/>
  <c r="D4" i="1"/>
  <c r="G4" i="1"/>
  <c r="D3" i="1"/>
  <c r="G24" i="33"/>
  <c r="D24" i="33"/>
  <c r="G24" i="32"/>
  <c r="D24" i="32"/>
  <c r="G24" i="31"/>
  <c r="D24" i="31"/>
  <c r="G24" i="28"/>
  <c r="D24" i="28"/>
  <c r="G24" i="27"/>
  <c r="D24" i="27"/>
  <c r="G24" i="26"/>
  <c r="D24" i="26"/>
  <c r="G24" i="19"/>
  <c r="D24" i="19"/>
  <c r="G24" i="20"/>
  <c r="D24" i="20"/>
  <c r="G24" i="21"/>
  <c r="D24" i="21"/>
  <c r="G24" i="4"/>
  <c r="D24" i="4"/>
  <c r="G24" i="3"/>
  <c r="D24" i="3"/>
  <c r="C3" i="3"/>
  <c r="D3" i="34" l="1"/>
  <c r="G3" i="34"/>
  <c r="D4" i="34"/>
  <c r="G4" i="34"/>
  <c r="D5" i="34"/>
  <c r="G5" i="34"/>
  <c r="D6" i="34"/>
  <c r="G6" i="34"/>
  <c r="D7" i="34"/>
  <c r="G7" i="34"/>
  <c r="D8" i="34"/>
  <c r="G8" i="34"/>
  <c r="D9" i="34"/>
  <c r="C14" i="1"/>
  <c r="E14" i="1" s="1"/>
  <c r="F14" i="1" s="1"/>
  <c r="C15" i="30"/>
  <c r="H15" i="30" s="1"/>
  <c r="C14" i="30"/>
  <c r="H14" i="30" s="1"/>
  <c r="E19" i="30"/>
  <c r="F19" i="30" s="1"/>
  <c r="H19" i="30"/>
  <c r="E20" i="30"/>
  <c r="F20" i="30" s="1"/>
  <c r="H20" i="30"/>
  <c r="E22" i="30"/>
  <c r="F22" i="30" s="1"/>
  <c r="H22" i="30"/>
  <c r="E17" i="30"/>
  <c r="F17" i="30" s="1"/>
  <c r="H17" i="30"/>
  <c r="E21" i="30"/>
  <c r="F21" i="30" s="1"/>
  <c r="H21" i="30"/>
  <c r="E23" i="30"/>
  <c r="F23" i="30" s="1"/>
  <c r="H23" i="30"/>
  <c r="E16" i="30"/>
  <c r="F16" i="30" s="1"/>
  <c r="H16" i="30"/>
  <c r="E18" i="30"/>
  <c r="F18" i="30" s="1"/>
  <c r="H18" i="30"/>
  <c r="C15" i="29"/>
  <c r="H15" i="29" s="1"/>
  <c r="I15" i="29" s="1"/>
  <c r="C14" i="29"/>
  <c r="E14" i="29" s="1"/>
  <c r="F14" i="29" s="1"/>
  <c r="C15" i="1"/>
  <c r="E15" i="1" s="1"/>
  <c r="F15" i="1" s="1"/>
  <c r="C13" i="1"/>
  <c r="E13" i="1" s="1"/>
  <c r="F13" i="1" s="1"/>
  <c r="D15" i="34"/>
  <c r="D14" i="34"/>
  <c r="G14" i="34"/>
  <c r="D13" i="34"/>
  <c r="C15" i="18"/>
  <c r="E15" i="18" s="1"/>
  <c r="F15" i="18" s="1"/>
  <c r="C14" i="18"/>
  <c r="H14" i="18" s="1"/>
  <c r="I14" i="18" s="1"/>
  <c r="G15" i="34"/>
  <c r="G12" i="34"/>
  <c r="G13" i="34"/>
  <c r="C13" i="18"/>
  <c r="H13" i="18" s="1"/>
  <c r="I13" i="18" s="1"/>
  <c r="D12" i="34"/>
  <c r="E16" i="29"/>
  <c r="F16" i="29" s="1"/>
  <c r="H16" i="29"/>
  <c r="I16" i="29" s="1"/>
  <c r="E17" i="29"/>
  <c r="F17" i="29" s="1"/>
  <c r="H17" i="29"/>
  <c r="I17" i="29" s="1"/>
  <c r="E18" i="29"/>
  <c r="F18" i="29" s="1"/>
  <c r="H18" i="29"/>
  <c r="I18" i="29" s="1"/>
  <c r="E19" i="29"/>
  <c r="F19" i="29" s="1"/>
  <c r="H19" i="29"/>
  <c r="I19" i="29" s="1"/>
  <c r="E20" i="29"/>
  <c r="F20" i="29" s="1"/>
  <c r="H20" i="29"/>
  <c r="I20" i="29" s="1"/>
  <c r="E21" i="29"/>
  <c r="F21" i="29" s="1"/>
  <c r="H21" i="29"/>
  <c r="I21" i="29" s="1"/>
  <c r="E22" i="29"/>
  <c r="F22" i="29" s="1"/>
  <c r="H22" i="29"/>
  <c r="I22" i="29" s="1"/>
  <c r="E23" i="29"/>
  <c r="F23" i="29" s="1"/>
  <c r="H23" i="29"/>
  <c r="I23" i="29" s="1"/>
  <c r="E16" i="18"/>
  <c r="F16" i="18" s="1"/>
  <c r="H16" i="18"/>
  <c r="I16" i="18" s="1"/>
  <c r="E17" i="18"/>
  <c r="F17" i="18" s="1"/>
  <c r="H17" i="18"/>
  <c r="I17" i="18" s="1"/>
  <c r="E18" i="18"/>
  <c r="F18" i="18" s="1"/>
  <c r="H18" i="18"/>
  <c r="I18" i="18" s="1"/>
  <c r="E19" i="18"/>
  <c r="F19" i="18" s="1"/>
  <c r="H19" i="18"/>
  <c r="I19" i="18" s="1"/>
  <c r="E20" i="18"/>
  <c r="F20" i="18" s="1"/>
  <c r="H20" i="18"/>
  <c r="I20" i="18" s="1"/>
  <c r="E21" i="18"/>
  <c r="F21" i="18" s="1"/>
  <c r="H21" i="18"/>
  <c r="I21" i="18" s="1"/>
  <c r="E22" i="18"/>
  <c r="F22" i="18" s="1"/>
  <c r="H22" i="18"/>
  <c r="I22" i="18" s="1"/>
  <c r="E23" i="18"/>
  <c r="F23" i="18" s="1"/>
  <c r="H23" i="18"/>
  <c r="I23" i="18" s="1"/>
  <c r="E16" i="1"/>
  <c r="F16" i="1" s="1"/>
  <c r="H16" i="1"/>
  <c r="I16" i="1" s="1"/>
  <c r="E17" i="1"/>
  <c r="F17" i="1" s="1"/>
  <c r="H17" i="1"/>
  <c r="I17" i="1" s="1"/>
  <c r="C18" i="34"/>
  <c r="H18" i="34" s="1"/>
  <c r="I18" i="34" s="1"/>
  <c r="H18" i="1"/>
  <c r="I18" i="1" s="1"/>
  <c r="C19" i="34"/>
  <c r="H19" i="34" s="1"/>
  <c r="I19" i="34" s="1"/>
  <c r="H19" i="1"/>
  <c r="I19" i="1" s="1"/>
  <c r="C20" i="34"/>
  <c r="H20" i="34" s="1"/>
  <c r="I20" i="34" s="1"/>
  <c r="H20" i="1"/>
  <c r="I20" i="1" s="1"/>
  <c r="E21" i="1"/>
  <c r="F21" i="1" s="1"/>
  <c r="H21" i="1"/>
  <c r="I21" i="1" s="1"/>
  <c r="E22" i="1"/>
  <c r="F22" i="1" s="1"/>
  <c r="H22" i="1"/>
  <c r="I22" i="1" s="1"/>
  <c r="E23" i="1"/>
  <c r="F23" i="1" s="1"/>
  <c r="H23" i="1"/>
  <c r="I23" i="1" s="1"/>
  <c r="C23" i="34"/>
  <c r="H23" i="34" s="1"/>
  <c r="I23" i="34" s="1"/>
  <c r="E19" i="1"/>
  <c r="E20" i="1"/>
  <c r="C22" i="34"/>
  <c r="H22" i="34" s="1"/>
  <c r="I22" i="34" s="1"/>
  <c r="E18" i="1"/>
  <c r="C21" i="34"/>
  <c r="H21" i="34" s="1"/>
  <c r="I21" i="34" s="1"/>
  <c r="C17" i="34"/>
  <c r="H17" i="34" s="1"/>
  <c r="I17" i="34" s="1"/>
  <c r="C12" i="30"/>
  <c r="C11" i="30"/>
  <c r="C11" i="29"/>
  <c r="C13" i="30"/>
  <c r="C10" i="29"/>
  <c r="C12" i="29"/>
  <c r="C9" i="29"/>
  <c r="C13" i="29"/>
  <c r="C8" i="18"/>
  <c r="C12" i="18"/>
  <c r="C11" i="18"/>
  <c r="C10" i="18"/>
  <c r="C9" i="18"/>
  <c r="C12" i="1"/>
  <c r="H12" i="1" s="1"/>
  <c r="I12" i="1" s="1"/>
  <c r="C5" i="30"/>
  <c r="C4" i="29"/>
  <c r="C5" i="29"/>
  <c r="C9" i="30"/>
  <c r="C24" i="32"/>
  <c r="H24" i="32" s="1"/>
  <c r="I24" i="32" s="1"/>
  <c r="D24" i="30"/>
  <c r="D24" i="29"/>
  <c r="D11" i="34"/>
  <c r="D24" i="18"/>
  <c r="C6" i="30"/>
  <c r="C5" i="18"/>
  <c r="D10" i="34"/>
  <c r="C4" i="30"/>
  <c r="C7" i="29"/>
  <c r="G11" i="34"/>
  <c r="C6" i="29"/>
  <c r="C10" i="30"/>
  <c r="C7" i="18"/>
  <c r="C7" i="30"/>
  <c r="G24" i="18"/>
  <c r="G24" i="29"/>
  <c r="H3" i="29"/>
  <c r="I3" i="29" s="1"/>
  <c r="H3" i="30"/>
  <c r="C4" i="18"/>
  <c r="C8" i="29"/>
  <c r="G24" i="30"/>
  <c r="C24" i="20"/>
  <c r="E24" i="20" s="1"/>
  <c r="F24" i="20" s="1"/>
  <c r="C24" i="27"/>
  <c r="H24" i="27" s="1"/>
  <c r="I24" i="27" s="1"/>
  <c r="G9" i="34"/>
  <c r="C24" i="4"/>
  <c r="H24" i="4" s="1"/>
  <c r="I24" i="4" s="1"/>
  <c r="C24" i="19"/>
  <c r="H24" i="19" s="1"/>
  <c r="I24" i="19" s="1"/>
  <c r="C8" i="30"/>
  <c r="C24" i="28"/>
  <c r="E24" i="28" s="1"/>
  <c r="F24" i="28" s="1"/>
  <c r="G10" i="34"/>
  <c r="C24" i="33"/>
  <c r="H24" i="33" s="1"/>
  <c r="I24" i="33" s="1"/>
  <c r="C6" i="18"/>
  <c r="G24" i="1"/>
  <c r="D24" i="1"/>
  <c r="C3" i="18"/>
  <c r="H3" i="18" s="1"/>
  <c r="I3" i="18" s="1"/>
  <c r="C24" i="31"/>
  <c r="H24" i="31" s="1"/>
  <c r="I24" i="31" s="1"/>
  <c r="C24" i="26"/>
  <c r="H24" i="26" s="1"/>
  <c r="I24" i="26" s="1"/>
  <c r="C24" i="21"/>
  <c r="H24" i="21" s="1"/>
  <c r="I24" i="21" s="1"/>
  <c r="C4" i="1"/>
  <c r="C5" i="1"/>
  <c r="C6" i="1"/>
  <c r="C7" i="1"/>
  <c r="C8" i="1"/>
  <c r="C9" i="1"/>
  <c r="C10" i="1"/>
  <c r="H10" i="1" s="1"/>
  <c r="I10" i="1" s="1"/>
  <c r="C11" i="1"/>
  <c r="C24" i="3"/>
  <c r="H24" i="3" s="1"/>
  <c r="I24" i="3" s="1"/>
  <c r="C3" i="1"/>
  <c r="H3" i="1" l="1"/>
  <c r="I3" i="1" s="1"/>
  <c r="C3" i="34"/>
  <c r="H3" i="34" s="1"/>
  <c r="I3" i="34" s="1"/>
  <c r="H4" i="1"/>
  <c r="I4" i="1" s="1"/>
  <c r="C4" i="34"/>
  <c r="H4" i="34" s="1"/>
  <c r="I4" i="34" s="1"/>
  <c r="H5" i="1"/>
  <c r="I5" i="1" s="1"/>
  <c r="C5" i="34"/>
  <c r="H5" i="34" s="1"/>
  <c r="I5" i="34" s="1"/>
  <c r="H6" i="1"/>
  <c r="I6" i="1" s="1"/>
  <c r="C6" i="34"/>
  <c r="H6" i="34" s="1"/>
  <c r="I6" i="34" s="1"/>
  <c r="C8" i="34"/>
  <c r="H8" i="34" s="1"/>
  <c r="I8" i="34" s="1"/>
  <c r="H7" i="1"/>
  <c r="I7" i="1" s="1"/>
  <c r="C7" i="34"/>
  <c r="H7" i="34" s="1"/>
  <c r="I7" i="34" s="1"/>
  <c r="H9" i="1"/>
  <c r="I9" i="1" s="1"/>
  <c r="C9" i="34"/>
  <c r="H9" i="34" s="1"/>
  <c r="I9" i="34" s="1"/>
  <c r="C14" i="34"/>
  <c r="E14" i="34" s="1"/>
  <c r="F14" i="34" s="1"/>
  <c r="H14" i="1"/>
  <c r="I14" i="1" s="1"/>
  <c r="E14" i="30"/>
  <c r="F14" i="30" s="1"/>
  <c r="I14" i="30" s="1"/>
  <c r="E15" i="30"/>
  <c r="F15" i="30" s="1"/>
  <c r="I19" i="30"/>
  <c r="I15" i="30"/>
  <c r="I21" i="30"/>
  <c r="I20" i="30"/>
  <c r="I22" i="30"/>
  <c r="I23" i="30"/>
  <c r="I18" i="30"/>
  <c r="I16" i="30"/>
  <c r="I17" i="30"/>
  <c r="E6" i="30"/>
  <c r="F6" i="30" s="1"/>
  <c r="H6" i="30"/>
  <c r="E8" i="30"/>
  <c r="F8" i="30" s="1"/>
  <c r="H8" i="30"/>
  <c r="E10" i="30"/>
  <c r="F10" i="30" s="1"/>
  <c r="H10" i="30"/>
  <c r="E13" i="30"/>
  <c r="F13" i="30" s="1"/>
  <c r="H13" i="30"/>
  <c r="E12" i="30"/>
  <c r="F12" i="30" s="1"/>
  <c r="H12" i="30"/>
  <c r="E9" i="30"/>
  <c r="F9" i="30" s="1"/>
  <c r="H9" i="30"/>
  <c r="E7" i="30"/>
  <c r="F7" i="30" s="1"/>
  <c r="H7" i="30"/>
  <c r="E5" i="30"/>
  <c r="F5" i="30" s="1"/>
  <c r="H5" i="30"/>
  <c r="E4" i="30"/>
  <c r="F4" i="30" s="1"/>
  <c r="H4" i="30"/>
  <c r="E11" i="30"/>
  <c r="F11" i="30" s="1"/>
  <c r="H11" i="30"/>
  <c r="H14" i="29"/>
  <c r="I14" i="29" s="1"/>
  <c r="E15" i="29"/>
  <c r="F15" i="29" s="1"/>
  <c r="C15" i="34"/>
  <c r="E15" i="34" s="1"/>
  <c r="F15" i="34" s="1"/>
  <c r="H15" i="1"/>
  <c r="I15" i="1" s="1"/>
  <c r="C13" i="34"/>
  <c r="E13" i="34" s="1"/>
  <c r="F13" i="34" s="1"/>
  <c r="H13" i="1"/>
  <c r="I13" i="1" s="1"/>
  <c r="H15" i="18"/>
  <c r="I15" i="18" s="1"/>
  <c r="E14" i="18"/>
  <c r="F14" i="18" s="1"/>
  <c r="E13" i="18"/>
  <c r="F13" i="18" s="1"/>
  <c r="E19" i="34"/>
  <c r="F19" i="34" s="1"/>
  <c r="E20" i="34"/>
  <c r="F20" i="34" s="1"/>
  <c r="E18" i="34"/>
  <c r="F18" i="34" s="1"/>
  <c r="E8" i="29"/>
  <c r="F8" i="29" s="1"/>
  <c r="H8" i="29"/>
  <c r="I8" i="29" s="1"/>
  <c r="E6" i="29"/>
  <c r="F6" i="29" s="1"/>
  <c r="H6" i="29"/>
  <c r="I6" i="29" s="1"/>
  <c r="E7" i="29"/>
  <c r="F7" i="29" s="1"/>
  <c r="H7" i="29"/>
  <c r="I7" i="29" s="1"/>
  <c r="E5" i="29"/>
  <c r="F5" i="29" s="1"/>
  <c r="H5" i="29"/>
  <c r="I5" i="29" s="1"/>
  <c r="E4" i="29"/>
  <c r="F4" i="29" s="1"/>
  <c r="H4" i="29"/>
  <c r="I4" i="29" s="1"/>
  <c r="E13" i="29"/>
  <c r="F13" i="29" s="1"/>
  <c r="H13" i="29"/>
  <c r="I13" i="29" s="1"/>
  <c r="E9" i="29"/>
  <c r="F9" i="29" s="1"/>
  <c r="H9" i="29"/>
  <c r="I9" i="29" s="1"/>
  <c r="E12" i="29"/>
  <c r="F12" i="29" s="1"/>
  <c r="H12" i="29"/>
  <c r="I12" i="29" s="1"/>
  <c r="E10" i="29"/>
  <c r="F10" i="29" s="1"/>
  <c r="H10" i="29"/>
  <c r="I10" i="29" s="1"/>
  <c r="E11" i="29"/>
  <c r="F11" i="29" s="1"/>
  <c r="H11" i="29"/>
  <c r="I11" i="29" s="1"/>
  <c r="E6" i="18"/>
  <c r="F6" i="18" s="1"/>
  <c r="H6" i="18"/>
  <c r="I6" i="18" s="1"/>
  <c r="E4" i="18"/>
  <c r="F4" i="18" s="1"/>
  <c r="H4" i="18"/>
  <c r="I4" i="18" s="1"/>
  <c r="E7" i="18"/>
  <c r="F7" i="18" s="1"/>
  <c r="H7" i="18"/>
  <c r="I7" i="18" s="1"/>
  <c r="E5" i="18"/>
  <c r="F5" i="18" s="1"/>
  <c r="H5" i="18"/>
  <c r="I5" i="18" s="1"/>
  <c r="E9" i="18"/>
  <c r="F9" i="18" s="1"/>
  <c r="H9" i="18"/>
  <c r="I9" i="18" s="1"/>
  <c r="E10" i="18"/>
  <c r="F10" i="18" s="1"/>
  <c r="H10" i="18"/>
  <c r="I10" i="18" s="1"/>
  <c r="E11" i="18"/>
  <c r="F11" i="18" s="1"/>
  <c r="H11" i="18"/>
  <c r="I11" i="18" s="1"/>
  <c r="E12" i="18"/>
  <c r="F12" i="18" s="1"/>
  <c r="H12" i="18"/>
  <c r="I12" i="18" s="1"/>
  <c r="E8" i="18"/>
  <c r="F8" i="18" s="1"/>
  <c r="H8" i="18"/>
  <c r="I8" i="18" s="1"/>
  <c r="E11" i="1"/>
  <c r="F11" i="1" s="1"/>
  <c r="H11" i="1"/>
  <c r="I11" i="1" s="1"/>
  <c r="E8" i="1"/>
  <c r="F8" i="1" s="1"/>
  <c r="H8" i="1"/>
  <c r="I8" i="1" s="1"/>
  <c r="F18" i="1"/>
  <c r="F20" i="1"/>
  <c r="F19" i="1"/>
  <c r="E17" i="34"/>
  <c r="F17" i="34" s="1"/>
  <c r="E21" i="34"/>
  <c r="F21" i="34" s="1"/>
  <c r="E22" i="34"/>
  <c r="F22" i="34" s="1"/>
  <c r="E23" i="34"/>
  <c r="F23" i="34" s="1"/>
  <c r="G16" i="34"/>
  <c r="G24" i="34" s="1"/>
  <c r="D16" i="34"/>
  <c r="D24" i="34" s="1"/>
  <c r="E12" i="1"/>
  <c r="C12" i="34"/>
  <c r="H12" i="34" s="1"/>
  <c r="I12" i="34" s="1"/>
  <c r="E24" i="32"/>
  <c r="F24" i="32" s="1"/>
  <c r="C10" i="34"/>
  <c r="H10" i="34" s="1"/>
  <c r="I10" i="34" s="1"/>
  <c r="E24" i="27"/>
  <c r="F24" i="27" s="1"/>
  <c r="H24" i="28"/>
  <c r="I24" i="28" s="1"/>
  <c r="H24" i="20"/>
  <c r="I24" i="20" s="1"/>
  <c r="E24" i="31"/>
  <c r="F24" i="31" s="1"/>
  <c r="E24" i="4"/>
  <c r="F24" i="4" s="1"/>
  <c r="E9" i="1"/>
  <c r="E10" i="1"/>
  <c r="E24" i="33"/>
  <c r="F24" i="33" s="1"/>
  <c r="E24" i="19"/>
  <c r="F24" i="19" s="1"/>
  <c r="E24" i="26"/>
  <c r="F24" i="26" s="1"/>
  <c r="E24" i="3"/>
  <c r="F24" i="3" s="1"/>
  <c r="E7" i="1"/>
  <c r="E6" i="1"/>
  <c r="E24" i="21"/>
  <c r="F24" i="21" s="1"/>
  <c r="C11" i="34"/>
  <c r="H11" i="34" s="1"/>
  <c r="I11" i="34" s="1"/>
  <c r="E4" i="1"/>
  <c r="E5" i="1"/>
  <c r="C24" i="30"/>
  <c r="E3" i="30"/>
  <c r="C24" i="29"/>
  <c r="E3" i="29"/>
  <c r="C24" i="18"/>
  <c r="E3" i="18"/>
  <c r="C24" i="1"/>
  <c r="E3" i="1"/>
  <c r="H14" i="34" l="1"/>
  <c r="I14" i="34" s="1"/>
  <c r="I9" i="30"/>
  <c r="I8" i="30"/>
  <c r="I4" i="30"/>
  <c r="I12" i="30"/>
  <c r="I6" i="30"/>
  <c r="I5" i="30"/>
  <c r="I10" i="30"/>
  <c r="I7" i="30"/>
  <c r="I11" i="30"/>
  <c r="I13" i="30"/>
  <c r="H15" i="34"/>
  <c r="I15" i="34" s="1"/>
  <c r="H13" i="34"/>
  <c r="I13" i="34" s="1"/>
  <c r="F3" i="30"/>
  <c r="I3" i="30" s="1"/>
  <c r="F3" i="29"/>
  <c r="F3" i="18"/>
  <c r="F5" i="1"/>
  <c r="F4" i="1"/>
  <c r="F6" i="1"/>
  <c r="F7" i="1"/>
  <c r="F10" i="1"/>
  <c r="F9" i="1"/>
  <c r="F12" i="1"/>
  <c r="F3" i="1"/>
  <c r="E11" i="34"/>
  <c r="F11" i="34" s="1"/>
  <c r="E8" i="34"/>
  <c r="F8" i="34" s="1"/>
  <c r="E6" i="34"/>
  <c r="F6" i="34" s="1"/>
  <c r="E4" i="34"/>
  <c r="F4" i="34" s="1"/>
  <c r="E7" i="34"/>
  <c r="F7" i="34" s="1"/>
  <c r="E5" i="34"/>
  <c r="F5" i="34" s="1"/>
  <c r="E9" i="34"/>
  <c r="F9" i="34" s="1"/>
  <c r="E10" i="34"/>
  <c r="F10" i="34" s="1"/>
  <c r="E12" i="34"/>
  <c r="F12" i="34" s="1"/>
  <c r="E3" i="34"/>
  <c r="F3" i="34" s="1"/>
  <c r="C16" i="34"/>
  <c r="H16" i="34" s="1"/>
  <c r="I16" i="34" s="1"/>
  <c r="H24" i="30"/>
  <c r="I24" i="30" s="1"/>
  <c r="E24" i="30"/>
  <c r="F24" i="30" s="1"/>
  <c r="H24" i="29"/>
  <c r="I24" i="29" s="1"/>
  <c r="E24" i="29"/>
  <c r="F24" i="29" s="1"/>
  <c r="H24" i="18"/>
  <c r="I24" i="18" s="1"/>
  <c r="E24" i="18"/>
  <c r="F24" i="18" s="1"/>
  <c r="H24" i="1"/>
  <c r="I24" i="1" s="1"/>
  <c r="E24" i="1"/>
  <c r="F24" i="1" s="1"/>
  <c r="G24" i="2"/>
  <c r="D24" i="2"/>
  <c r="E16" i="34" l="1"/>
  <c r="F16" i="34" s="1"/>
  <c r="C24" i="34"/>
  <c r="H24" i="34" s="1"/>
  <c r="I24" i="34" s="1"/>
  <c r="C24" i="2"/>
  <c r="E24" i="34" l="1"/>
  <c r="F24" i="34" s="1"/>
  <c r="H24" i="2"/>
  <c r="I24" i="2" s="1"/>
  <c r="E24" i="2"/>
  <c r="F2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<sst xmlns="http://schemas.openxmlformats.org/spreadsheetml/2006/main" count="954" uniqueCount="114">
  <si>
    <t>Year to Date 2024 Actual v. Expected</t>
  </si>
  <si>
    <t xml:space="preserve"> Year to Date 2024 Forecasted</t>
  </si>
  <si>
    <t>NOTES</t>
  </si>
  <si>
    <t>SR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</si>
  <si>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</si>
  <si>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</si>
  <si>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</si>
  <si>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</si>
  <si>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</si>
  <si>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</si>
  <si>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</si>
  <si>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</si>
  <si>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</si>
  <si>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</si>
  <si>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</si>
  <si>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</si>
  <si>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</si>
  <si>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</si>
  <si>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</si>
  <si>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</si>
  <si>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</si>
  <si>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</si>
  <si>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01-2024 Actual v. Expected</t>
  </si>
  <si>
    <t>01-2024 Actual v. Forecasted</t>
  </si>
  <si>
    <t>02-2024 Actual v. Expected</t>
  </si>
  <si>
    <t>02-2024 Actual v. Forecasted</t>
  </si>
  <si>
    <t>03-2024 Actual v. Expected</t>
  </si>
  <si>
    <t>03-2024 Actual v. Forecasted</t>
  </si>
  <si>
    <t>04-2023 Actual v. Expected</t>
  </si>
  <si>
    <t>04-2023 Actual v. Forecasted</t>
  </si>
  <si>
    <t>05-2024 Actual v. Expected</t>
  </si>
  <si>
    <t>05-2024 Actual v. Forecasted</t>
  </si>
  <si>
    <t>06-2024 Actual v. Expected</t>
  </si>
  <si>
    <t>06-2024 Actual v. Forecasted</t>
  </si>
  <si>
    <t>07-2024 Actual v. Expected</t>
  </si>
  <si>
    <t>07-2024 Actual v. Forecasted</t>
  </si>
  <si>
    <t xml:space="preserve"> </t>
  </si>
  <si>
    <t>08-2024 Actual v. Expected</t>
  </si>
  <si>
    <t>08-2024 Actual v. Forecasted</t>
  </si>
  <si>
    <t>09-2024 Actual v. Expected</t>
  </si>
  <si>
    <t>09-2024 Actual v. Forecasted</t>
  </si>
  <si>
    <t>10-2024 Actual v. Expected</t>
  </si>
  <si>
    <t>10-2024 Actual v. Forecasted</t>
  </si>
  <si>
    <t>11-2024 Actual v. Expected</t>
  </si>
  <si>
    <t>11-2024 Actual v. Forecasted</t>
  </si>
  <si>
    <t>12-2024 Actual v. Expected</t>
  </si>
  <si>
    <t>12-2024 Actual v. Forecasted</t>
  </si>
  <si>
    <t>Portfolio:</t>
  </si>
  <si>
    <t>38 DN</t>
  </si>
  <si>
    <t>Site DAS Name</t>
  </si>
  <si>
    <t>Column1</t>
  </si>
  <si>
    <t>6th St.</t>
  </si>
  <si>
    <t>CA</t>
  </si>
  <si>
    <t>AEF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</si>
  <si>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</si>
  <si>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</si>
  <si>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</si>
  <si>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</si>
  <si>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</si>
  <si>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</si>
  <si>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</si>
  <si>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</si>
  <si>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</si>
  <si>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</si>
  <si>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</si>
  <si>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</si>
  <si>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</si>
  <si>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</si>
  <si>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</si>
  <si>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</si>
  <si>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</si>
  <si>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</si>
  <si>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</si>
  <si>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</si>
  <si>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</si>
  <si>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</si>
  <si>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</si>
  <si>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</si>
  <si>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</si>
  <si>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</si>
  <si>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</si>
  <si>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</si>
  <si>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</si>
  <si>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</si>
  <si>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</si>
  <si>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1. Inverter 28 was offline from 12/14 and back online on 01/25</t>
  </si>
  <si>
    <t>1. 	SR079280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</si>
  <si>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</si>
  <si>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</si>
  <si>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</si>
  <si>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</si>
  <si>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</si>
  <si>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</si>
  <si>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</si>
  <si>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</si>
  <si>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</si>
  <si>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</si>
  <si>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</si>
  <si>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</si>
  <si>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Relay tripped and site is experiencing an outage on 01/07  at 09:47 and reclosed at 18:30</t>
  </si>
  <si>
    <t>1.  SR079999</t>
  </si>
  <si>
    <t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t>
  </si>
  <si>
    <t>1. SR080405
2. SR080529
3. SR080002</t>
  </si>
  <si>
    <t>1. site tripped offline at 21:00 on 01/09 and back online at 8:30 on 01/10.</t>
  </si>
  <si>
    <t>1. SR080109</t>
  </si>
  <si>
    <t>1.  SEL Relay 2 tripped offline at 23:00 on 01/30 and reclosed at 10:45 on 01/31
2. Planned outage on 01/25 at 9:00 and site reclosed at 17:00 on same day.</t>
  </si>
  <si>
    <t>1. SR080611
2. SR080054</t>
  </si>
  <si>
    <t>1. site offline on 01/07 at 05:00 and resolved at 07:15</t>
  </si>
  <si>
    <t>1. SR079998</t>
  </si>
  <si>
    <t>1. Site was offline on 01/25 at 04:45 and reclosed at 16:00</t>
  </si>
  <si>
    <t>1. 	SR080455</t>
  </si>
  <si>
    <t>1. Relay tripped at 3:50 Am on 01/30 and auto reclosed in minutes</t>
  </si>
  <si>
    <t>1. SR080186</t>
  </si>
  <si>
    <t>1. SR080187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</si>
</sst>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1373D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7" applyNumberFormat="0" applyAlignment="0" applyProtection="0"/>
    <xf numFmtId="0" fontId="18" fillId="10" borderId="8" applyNumberFormat="0" applyAlignment="0" applyProtection="0"/>
    <xf numFmtId="0" fontId="19" fillId="10" borderId="7" applyNumberFormat="0" applyAlignment="0" applyProtection="0"/>
    <xf numFmtId="0" fontId="20" fillId="0" borderId="9" applyNumberFormat="0" applyFill="0" applyAlignment="0" applyProtection="0"/>
    <xf numFmtId="0" fontId="21" fillId="11" borderId="10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5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2" borderId="11" applyNumberFormat="0" applyFont="0" applyAlignment="0" applyProtection="0"/>
  </cellStyleXfs>
  <cellXfs count="182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26" fillId="0" borderId="14" xfId="43" applyFont="1" applyBorder="1"/>
    <xf numFmtId="9" fontId="0" fillId="0" borderId="0" xfId="0" applyNumberFormat="1"/>
    <xf numFmtId="0" fontId="4" fillId="3" borderId="15" xfId="0" applyFont="1" applyFill="1" applyBorder="1" applyAlignment="1">
      <alignment horizontal="center" vertical="center" wrapText="1"/>
    </xf>
    <xf numFmtId="9" fontId="6" fillId="3" borderId="15" xfId="2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6" fillId="40" borderId="15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9" fillId="0" borderId="0" xfId="0" applyFont="1" applyAlignment="1">
      <alignment horizontal="left"/>
    </xf>
    <xf numFmtId="0" fontId="0" fillId="0" borderId="29" xfId="0" applyBorder="1"/>
    <xf numFmtId="0" fontId="9" fillId="0" borderId="35" xfId="0" applyFont="1" applyBorder="1" applyAlignment="1">
      <alignment horizontal="left" vertical="center"/>
    </xf>
    <xf numFmtId="0" fontId="30" fillId="0" borderId="2" xfId="0" applyFont="1" applyBorder="1" applyAlignment="1">
      <alignment horizontal="center"/>
    </xf>
    <xf numFmtId="9" fontId="31" fillId="43" borderId="2" xfId="2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9" fontId="31" fillId="43" borderId="2" xfId="2" applyFont="1" applyFill="1" applyBorder="1" applyAlignment="1">
      <alignment horizontal="center" vertical="center"/>
    </xf>
    <xf numFmtId="9" fontId="31" fillId="43" borderId="2" xfId="2" applyFont="1" applyFill="1" applyBorder="1" applyAlignment="1">
      <alignment horizontal="left" vertical="top" wrapText="1"/>
    </xf>
    <xf numFmtId="9" fontId="31" fillId="43" borderId="2" xfId="2" applyFont="1" applyFill="1" applyBorder="1" applyAlignment="1">
      <alignment horizontal="left" vertical="top"/>
    </xf>
    <xf numFmtId="0" fontId="30" fillId="0" borderId="3" xfId="0" applyFont="1" applyBorder="1" applyAlignment="1">
      <alignment horizontal="center"/>
    </xf>
    <xf numFmtId="9" fontId="31" fillId="43" borderId="28" xfId="2" applyFont="1" applyFill="1" applyBorder="1" applyAlignment="1">
      <alignment horizontal="center"/>
    </xf>
    <xf numFmtId="0" fontId="30" fillId="5" borderId="1" xfId="0" applyFont="1" applyFill="1" applyBorder="1" applyAlignment="1">
      <alignment horizontal="center"/>
    </xf>
    <xf numFmtId="3" fontId="30" fillId="5" borderId="1" xfId="0" applyNumberFormat="1" applyFont="1" applyFill="1" applyBorder="1" applyAlignment="1">
      <alignment horizontal="center"/>
    </xf>
    <xf numFmtId="9" fontId="30" fillId="5" borderId="1" xfId="2" applyFont="1" applyFill="1" applyBorder="1" applyAlignment="1">
      <alignment horizontal="center"/>
    </xf>
    <xf numFmtId="9" fontId="30" fillId="5" borderId="1" xfId="0" applyNumberFormat="1" applyFont="1" applyFill="1" applyBorder="1" applyAlignment="1">
      <alignment horizontal="center"/>
    </xf>
    <xf numFmtId="0" fontId="30" fillId="0" borderId="0" xfId="0" applyFont="1"/>
    <xf numFmtId="0" fontId="32" fillId="3" borderId="17" xfId="0" applyFont="1" applyFill="1" applyBorder="1" applyAlignment="1">
      <alignment horizontal="left" vertical="center" wrapText="1"/>
    </xf>
    <xf numFmtId="9" fontId="32" fillId="3" borderId="36" xfId="2" applyFont="1" applyFill="1" applyBorder="1" applyAlignment="1">
      <alignment horizontal="left" vertical="center" wrapText="1"/>
    </xf>
    <xf numFmtId="0" fontId="32" fillId="4" borderId="17" xfId="0" applyFont="1" applyFill="1" applyBorder="1" applyAlignment="1">
      <alignment horizontal="left" vertical="center"/>
    </xf>
    <xf numFmtId="0" fontId="32" fillId="4" borderId="17" xfId="0" applyFont="1" applyFill="1" applyBorder="1" applyAlignment="1">
      <alignment horizontal="left" vertical="center" wrapText="1"/>
    </xf>
    <xf numFmtId="9" fontId="32" fillId="4" borderId="36" xfId="2" applyFont="1" applyFill="1" applyBorder="1" applyAlignment="1">
      <alignment horizontal="left" vertical="center"/>
    </xf>
    <xf numFmtId="9" fontId="32" fillId="43" borderId="37" xfId="2" applyFont="1" applyFill="1" applyBorder="1" applyAlignment="1">
      <alignment horizontal="center" vertical="center"/>
    </xf>
    <xf numFmtId="9" fontId="32" fillId="43" borderId="38" xfId="2" applyFont="1" applyFill="1" applyBorder="1" applyAlignment="1">
      <alignment horizontal="center" vertical="center"/>
    </xf>
    <xf numFmtId="0" fontId="30" fillId="45" borderId="42" xfId="0" applyFont="1" applyFill="1" applyBorder="1" applyAlignment="1">
      <alignment horizontal="center"/>
    </xf>
    <xf numFmtId="0" fontId="30" fillId="45" borderId="1" xfId="0" applyFont="1" applyFill="1" applyBorder="1" applyAlignment="1">
      <alignment horizontal="center"/>
    </xf>
    <xf numFmtId="3" fontId="34" fillId="3" borderId="16" xfId="0" applyNumberFormat="1" applyFont="1" applyFill="1" applyBorder="1" applyAlignment="1">
      <alignment horizontal="right"/>
    </xf>
    <xf numFmtId="9" fontId="34" fillId="3" borderId="16" xfId="2" applyFont="1" applyFill="1" applyBorder="1" applyAlignment="1">
      <alignment horizontal="center"/>
    </xf>
    <xf numFmtId="3" fontId="34" fillId="4" borderId="16" xfId="1" applyNumberFormat="1" applyFont="1" applyFill="1" applyBorder="1"/>
    <xf numFmtId="9" fontId="34" fillId="40" borderId="16" xfId="2" applyFont="1" applyFill="1" applyBorder="1" applyAlignment="1">
      <alignment horizontal="center"/>
    </xf>
    <xf numFmtId="9" fontId="34" fillId="3" borderId="14" xfId="2" applyFont="1" applyFill="1" applyBorder="1" applyAlignment="1">
      <alignment horizontal="center"/>
    </xf>
    <xf numFmtId="9" fontId="34" fillId="40" borderId="14" xfId="2" applyFont="1" applyFill="1" applyBorder="1" applyAlignment="1">
      <alignment horizontal="center"/>
    </xf>
    <xf numFmtId="3" fontId="34" fillId="3" borderId="41" xfId="0" applyNumberFormat="1" applyFont="1" applyFill="1" applyBorder="1" applyAlignment="1">
      <alignment horizontal="right"/>
    </xf>
    <xf numFmtId="9" fontId="34" fillId="3" borderId="40" xfId="2" applyFont="1" applyFill="1" applyBorder="1" applyAlignment="1">
      <alignment horizontal="center"/>
    </xf>
    <xf numFmtId="3" fontId="34" fillId="4" borderId="41" xfId="1" applyNumberFormat="1" applyFont="1" applyFill="1" applyBorder="1"/>
    <xf numFmtId="9" fontId="34" fillId="40" borderId="40" xfId="2" applyFont="1" applyFill="1" applyBorder="1" applyAlignment="1">
      <alignment horizontal="center"/>
    </xf>
    <xf numFmtId="9" fontId="34" fillId="37" borderId="18" xfId="0" applyNumberFormat="1" applyFont="1" applyFill="1" applyBorder="1" applyAlignment="1">
      <alignment horizontal="center" vertical="center"/>
    </xf>
    <xf numFmtId="9" fontId="34" fillId="37" borderId="22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/>
    </xf>
    <xf numFmtId="0" fontId="35" fillId="2" borderId="15" xfId="0" applyFont="1" applyFill="1" applyBorder="1" applyAlignment="1">
      <alignment horizontal="center" vertical="center" wrapText="1"/>
    </xf>
    <xf numFmtId="0" fontId="35" fillId="2" borderId="15" xfId="0" applyFont="1" applyFill="1" applyBorder="1" applyAlignment="1">
      <alignment horizontal="left" vertical="center" wrapText="1"/>
    </xf>
    <xf numFmtId="3" fontId="34" fillId="37" borderId="18" xfId="0" applyNumberFormat="1" applyFont="1" applyFill="1" applyBorder="1" applyAlignment="1">
      <alignment horizontal="center" vertical="center"/>
    </xf>
    <xf numFmtId="3" fontId="34" fillId="37" borderId="18" xfId="1" applyNumberFormat="1" applyFont="1" applyFill="1" applyBorder="1" applyAlignment="1">
      <alignment horizontal="center" vertical="center"/>
    </xf>
    <xf numFmtId="0" fontId="3" fillId="0" borderId="0" xfId="0" applyFont="1"/>
    <xf numFmtId="0" fontId="26" fillId="0" borderId="2" xfId="43" applyFont="1" applyBorder="1"/>
    <xf numFmtId="0" fontId="0" fillId="0" borderId="43" xfId="0" applyBorder="1"/>
    <xf numFmtId="3" fontId="34" fillId="37" borderId="17" xfId="0" applyNumberFormat="1" applyFont="1" applyFill="1" applyBorder="1" applyAlignment="1">
      <alignment horizontal="center" vertical="center"/>
    </xf>
    <xf numFmtId="9" fontId="34" fillId="37" borderId="17" xfId="0" applyNumberFormat="1" applyFont="1" applyFill="1" applyBorder="1" applyAlignment="1">
      <alignment horizontal="center" vertical="center"/>
    </xf>
    <xf numFmtId="3" fontId="34" fillId="37" borderId="17" xfId="1" applyNumberFormat="1" applyFont="1" applyFill="1" applyBorder="1" applyAlignment="1">
      <alignment horizontal="center" vertical="center"/>
    </xf>
    <xf numFmtId="9" fontId="34" fillId="37" borderId="44" xfId="0" applyNumberFormat="1" applyFont="1" applyFill="1" applyBorder="1" applyAlignment="1">
      <alignment horizontal="center" vertical="center"/>
    </xf>
    <xf numFmtId="3" fontId="34" fillId="3" borderId="1" xfId="0" applyNumberFormat="1" applyFont="1" applyFill="1" applyBorder="1" applyAlignment="1">
      <alignment horizontal="right"/>
    </xf>
    <xf numFmtId="9" fontId="34" fillId="3" borderId="1" xfId="2" applyFont="1" applyFill="1" applyBorder="1" applyAlignment="1">
      <alignment horizontal="center"/>
    </xf>
    <xf numFmtId="3" fontId="34" fillId="4" borderId="1" xfId="1" applyNumberFormat="1" applyFont="1" applyFill="1" applyBorder="1"/>
    <xf numFmtId="9" fontId="34" fillId="40" borderId="1" xfId="2" applyFont="1" applyFill="1" applyBorder="1" applyAlignment="1">
      <alignment horizontal="center"/>
    </xf>
    <xf numFmtId="3" fontId="34" fillId="3" borderId="45" xfId="0" applyNumberFormat="1" applyFont="1" applyFill="1" applyBorder="1" applyAlignment="1">
      <alignment horizontal="right"/>
    </xf>
    <xf numFmtId="3" fontId="34" fillId="3" borderId="46" xfId="0" applyNumberFormat="1" applyFont="1" applyFill="1" applyBorder="1" applyAlignment="1">
      <alignment horizontal="right"/>
    </xf>
    <xf numFmtId="0" fontId="26" fillId="0" borderId="16" xfId="43" applyFont="1" applyBorder="1"/>
    <xf numFmtId="0" fontId="0" fillId="0" borderId="14" xfId="0" applyBorder="1"/>
    <xf numFmtId="0" fontId="37" fillId="45" borderId="42" xfId="0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7" fillId="45" borderId="1" xfId="0" applyFont="1" applyFill="1" applyBorder="1" applyAlignment="1">
      <alignment horizontal="left"/>
    </xf>
    <xf numFmtId="3" fontId="38" fillId="3" borderId="2" xfId="0" applyNumberFormat="1" applyFont="1" applyFill="1" applyBorder="1" applyAlignment="1">
      <alignment horizontal="right"/>
    </xf>
    <xf numFmtId="3" fontId="38" fillId="39" borderId="14" xfId="0" applyNumberFormat="1" applyFont="1" applyFill="1" applyBorder="1"/>
    <xf numFmtId="3" fontId="38" fillId="4" borderId="13" xfId="1" applyNumberFormat="1" applyFont="1" applyFill="1" applyBorder="1" applyAlignment="1"/>
    <xf numFmtId="3" fontId="38" fillId="4" borderId="2" xfId="1" applyNumberFormat="1" applyFont="1" applyFill="1" applyBorder="1" applyAlignment="1">
      <alignment vertical="center"/>
    </xf>
    <xf numFmtId="3" fontId="38" fillId="4" borderId="2" xfId="1" applyNumberFormat="1" applyFont="1" applyFill="1" applyBorder="1" applyAlignment="1"/>
    <xf numFmtId="0" fontId="38" fillId="38" borderId="14" xfId="0" applyFont="1" applyFill="1" applyBorder="1"/>
    <xf numFmtId="9" fontId="4" fillId="43" borderId="2" xfId="2" applyFont="1" applyFill="1" applyBorder="1" applyAlignment="1">
      <alignment horizontal="left" vertical="top"/>
    </xf>
    <xf numFmtId="9" fontId="4" fillId="43" borderId="2" xfId="2" applyFont="1" applyFill="1" applyBorder="1" applyAlignment="1">
      <alignment horizontal="left" vertical="top" wrapText="1"/>
    </xf>
    <xf numFmtId="9" fontId="31" fillId="43" borderId="2" xfId="2" applyFont="1" applyFill="1" applyBorder="1" applyAlignment="1">
      <alignment horizontal="left"/>
    </xf>
    <xf numFmtId="9" fontId="38" fillId="3" borderId="2" xfId="2" applyFont="1" applyFill="1" applyBorder="1" applyAlignment="1">
      <alignment horizontal="center"/>
    </xf>
    <xf numFmtId="3" fontId="38" fillId="4" borderId="2" xfId="1" applyNumberFormat="1" applyFont="1" applyFill="1" applyBorder="1"/>
    <xf numFmtId="9" fontId="38" fillId="3" borderId="1" xfId="2" applyFont="1" applyFill="1" applyBorder="1" applyAlignment="1">
      <alignment horizontal="center"/>
    </xf>
    <xf numFmtId="3" fontId="38" fillId="4" borderId="13" xfId="1" applyNumberFormat="1" applyFont="1" applyFill="1" applyBorder="1"/>
    <xf numFmtId="3" fontId="38" fillId="38" borderId="14" xfId="0" applyNumberFormat="1" applyFont="1" applyFill="1" applyBorder="1"/>
    <xf numFmtId="9" fontId="38" fillId="43" borderId="2" xfId="2" applyFont="1" applyFill="1" applyBorder="1" applyAlignment="1">
      <alignment horizontal="left" vertical="top"/>
    </xf>
    <xf numFmtId="9" fontId="38" fillId="43" borderId="2" xfId="2" applyFont="1" applyFill="1" applyBorder="1" applyAlignment="1">
      <alignment horizontal="left" vertical="top" wrapText="1"/>
    </xf>
    <xf numFmtId="9" fontId="31" fillId="43" borderId="2" xfId="2" applyFont="1" applyFill="1" applyBorder="1" applyAlignment="1">
      <alignment horizontal="left" vertical="center"/>
    </xf>
    <xf numFmtId="49" fontId="0" fillId="0" borderId="0" xfId="0" applyNumberFormat="1" applyAlignment="1">
      <alignment horizontal="left"/>
    </xf>
    <xf numFmtId="9" fontId="31" fillId="43" borderId="2" xfId="2" applyFont="1" applyFill="1" applyBorder="1" applyAlignment="1">
      <alignment horizontal="left" wrapText="1"/>
    </xf>
    <xf numFmtId="9" fontId="31" fillId="43" borderId="2" xfId="2" applyFont="1" applyFill="1" applyBorder="1" applyAlignment="1">
      <alignment horizontal="left" vertical="center" wrapText="1"/>
    </xf>
    <xf numFmtId="9" fontId="34" fillId="44" borderId="18" xfId="0" applyNumberFormat="1" applyFont="1" applyFill="1" applyBorder="1" applyAlignment="1">
      <alignment horizontal="center" vertical="center"/>
    </xf>
    <xf numFmtId="49" fontId="31" fillId="0" borderId="0" xfId="0" applyNumberFormat="1" applyFont="1"/>
    <xf numFmtId="0" fontId="38" fillId="43" borderId="47" xfId="0" applyFont="1" applyFill="1" applyBorder="1" applyAlignment="1">
      <alignment horizontal="left" vertical="top" wrapText="1"/>
    </xf>
    <xf numFmtId="9" fontId="32" fillId="43" borderId="37" xfId="2" applyFont="1" applyFill="1" applyBorder="1" applyAlignment="1">
      <alignment horizontal="left" vertical="top"/>
    </xf>
    <xf numFmtId="9" fontId="32" fillId="43" borderId="38" xfId="2" applyFont="1" applyFill="1" applyBorder="1" applyAlignment="1">
      <alignment horizontal="left" vertical="top"/>
    </xf>
    <xf numFmtId="9" fontId="31" fillId="43" borderId="28" xfId="2" applyFont="1" applyFill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9" fontId="38" fillId="43" borderId="2" xfId="2" applyFont="1" applyFill="1" applyBorder="1" applyAlignment="1">
      <alignment horizontal="center" vertical="center"/>
    </xf>
    <xf numFmtId="0" fontId="39" fillId="43" borderId="48" xfId="0" applyFont="1" applyFill="1" applyBorder="1" applyAlignment="1">
      <alignment horizontal="left" vertical="top" wrapText="1"/>
    </xf>
    <xf numFmtId="0" fontId="39" fillId="43" borderId="47" xfId="0" applyFont="1" applyFill="1" applyBorder="1" applyAlignment="1">
      <alignment horizontal="left" vertical="top" wrapText="1"/>
    </xf>
    <xf numFmtId="0" fontId="38" fillId="43" borderId="14" xfId="0" applyFont="1" applyFill="1" applyBorder="1" applyAlignment="1">
      <alignment horizontal="left" vertical="top" wrapText="1"/>
    </xf>
    <xf numFmtId="0" fontId="39" fillId="43" borderId="14" xfId="0" applyFont="1" applyFill="1" applyBorder="1" applyAlignment="1">
      <alignment horizontal="left" vertical="top" wrapText="1"/>
    </xf>
    <xf numFmtId="9" fontId="38" fillId="43" borderId="2" xfId="2" applyFont="1" applyFill="1" applyBorder="1" applyAlignment="1">
      <alignment vertical="top"/>
    </xf>
    <xf numFmtId="9" fontId="38" fillId="43" borderId="2" xfId="2" applyFont="1" applyFill="1" applyBorder="1" applyAlignment="1">
      <alignment vertical="top" wrapText="1"/>
    </xf>
    <xf numFmtId="0" fontId="39" fillId="43" borderId="49" xfId="0" applyFont="1" applyFill="1" applyBorder="1" applyAlignment="1">
      <alignment horizontal="left" vertical="top"/>
    </xf>
    <xf numFmtId="0" fontId="39" fillId="43" borderId="14" xfId="0" applyFont="1" applyFill="1" applyBorder="1" applyAlignment="1">
      <alignment horizontal="left" vertical="top"/>
    </xf>
    <xf numFmtId="0" fontId="38" fillId="43" borderId="14" xfId="0" applyFont="1" applyFill="1" applyBorder="1" applyAlignment="1">
      <alignment horizontal="left" vertical="top"/>
    </xf>
    <xf numFmtId="0" fontId="39" fillId="43" borderId="46" xfId="0" applyFont="1" applyFill="1" applyBorder="1" applyAlignment="1">
      <alignment horizontal="left" vertical="top" wrapText="1"/>
    </xf>
    <xf numFmtId="0" fontId="39" fillId="43" borderId="49" xfId="0" applyFont="1" applyFill="1" applyBorder="1" applyAlignment="1">
      <alignment horizontal="left" vertical="top" wrapText="1"/>
    </xf>
    <xf numFmtId="0" fontId="39" fillId="43" borderId="1" xfId="0" applyFont="1" applyFill="1" applyBorder="1" applyAlignment="1">
      <alignment horizontal="left" vertical="top" wrapText="1"/>
    </xf>
    <xf numFmtId="0" fontId="39" fillId="43" borderId="40" xfId="0" applyFont="1" applyFill="1" applyBorder="1" applyAlignment="1">
      <alignment horizontal="left" vertical="top"/>
    </xf>
    <xf numFmtId="0" fontId="40" fillId="43" borderId="14" xfId="0" applyFont="1" applyFill="1" applyBorder="1" applyAlignment="1">
      <alignment horizontal="left" vertical="top"/>
    </xf>
    <xf numFmtId="9" fontId="38" fillId="4" borderId="2" xfId="2" applyFont="1" applyFill="1" applyBorder="1" applyAlignment="1">
      <alignment horizontal="center"/>
    </xf>
    <xf numFmtId="3" fontId="38" fillId="3" borderId="28" xfId="0" applyNumberFormat="1" applyFont="1" applyFill="1" applyBorder="1" applyAlignment="1">
      <alignment horizontal="right"/>
    </xf>
    <xf numFmtId="9" fontId="38" fillId="3" borderId="3" xfId="2" applyFont="1" applyFill="1" applyBorder="1" applyAlignment="1">
      <alignment horizontal="center"/>
    </xf>
    <xf numFmtId="3" fontId="38" fillId="4" borderId="39" xfId="1" applyNumberFormat="1" applyFont="1" applyFill="1" applyBorder="1"/>
    <xf numFmtId="9" fontId="38" fillId="4" borderId="28" xfId="2" applyFont="1" applyFill="1" applyBorder="1" applyAlignment="1">
      <alignment horizontal="center"/>
    </xf>
    <xf numFmtId="3" fontId="38" fillId="4" borderId="28" xfId="1" applyNumberFormat="1" applyFont="1" applyFill="1" applyBorder="1"/>
    <xf numFmtId="3" fontId="38" fillId="4" borderId="2" xfId="1" applyNumberFormat="1" applyFont="1" applyFill="1" applyBorder="1" applyAlignment="1">
      <alignment horizontal="right" vertical="center"/>
    </xf>
    <xf numFmtId="9" fontId="31" fillId="43" borderId="2" xfId="2" applyFont="1" applyFill="1" applyBorder="1" applyAlignment="1">
      <alignment horizontal="center" wrapText="1"/>
    </xf>
    <xf numFmtId="0" fontId="37" fillId="45" borderId="42" xfId="0" applyFont="1" applyFill="1" applyBorder="1" applyAlignment="1">
      <alignment horizontal="left" vertical="center"/>
    </xf>
    <xf numFmtId="0" fontId="30" fillId="45" borderId="42" xfId="0" applyFont="1" applyFill="1" applyBorder="1" applyAlignment="1">
      <alignment horizontal="center" vertical="center"/>
    </xf>
    <xf numFmtId="3" fontId="34" fillId="3" borderId="16" xfId="0" applyNumberFormat="1" applyFont="1" applyFill="1" applyBorder="1" applyAlignment="1">
      <alignment horizontal="right" vertical="center"/>
    </xf>
    <xf numFmtId="9" fontId="34" fillId="3" borderId="16" xfId="2" applyFont="1" applyFill="1" applyBorder="1" applyAlignment="1">
      <alignment horizontal="center" vertical="center"/>
    </xf>
    <xf numFmtId="3" fontId="34" fillId="4" borderId="16" xfId="1" applyNumberFormat="1" applyFont="1" applyFill="1" applyBorder="1" applyAlignment="1">
      <alignment vertical="center"/>
    </xf>
    <xf numFmtId="9" fontId="34" fillId="40" borderId="16" xfId="2" applyFont="1" applyFill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9" fontId="34" fillId="3" borderId="14" xfId="2" applyFont="1" applyFill="1" applyBorder="1" applyAlignment="1">
      <alignment horizontal="center" vertical="center"/>
    </xf>
    <xf numFmtId="9" fontId="34" fillId="40" borderId="14" xfId="2" applyFont="1" applyFill="1" applyBorder="1" applyAlignment="1">
      <alignment horizontal="center" vertical="center"/>
    </xf>
    <xf numFmtId="0" fontId="37" fillId="45" borderId="1" xfId="0" applyFont="1" applyFill="1" applyBorder="1" applyAlignment="1">
      <alignment horizontal="left" vertical="center"/>
    </xf>
    <xf numFmtId="0" fontId="30" fillId="45" borderId="1" xfId="0" applyFont="1" applyFill="1" applyBorder="1" applyAlignment="1">
      <alignment horizontal="center" vertical="center"/>
    </xf>
    <xf numFmtId="3" fontId="38" fillId="38" borderId="16" xfId="0" applyNumberFormat="1" applyFont="1" applyFill="1" applyBorder="1"/>
    <xf numFmtId="164" fontId="38" fillId="38" borderId="14" xfId="0" applyNumberFormat="1" applyFont="1" applyFill="1" applyBorder="1"/>
    <xf numFmtId="9" fontId="1" fillId="43" borderId="42" xfId="2" applyFont="1" applyFill="1" applyBorder="1" applyAlignment="1">
      <alignment horizontal="left" vertical="top" wrapText="1"/>
    </xf>
    <xf numFmtId="3" fontId="1" fillId="5" borderId="1" xfId="0" applyNumberFormat="1" applyFont="1" applyFill="1" applyBorder="1" applyAlignment="1">
      <alignment horizontal="center"/>
    </xf>
    <xf numFmtId="9" fontId="1" fillId="5" borderId="1" xfId="2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3" fontId="38" fillId="3" borderId="2" xfId="0" applyNumberFormat="1" applyFont="1" applyFill="1" applyBorder="1" applyAlignment="1">
      <alignment horizontal="right" vertical="center"/>
    </xf>
    <xf numFmtId="9" fontId="38" fillId="3" borderId="1" xfId="2" applyFont="1" applyFill="1" applyBorder="1" applyAlignment="1">
      <alignment horizontal="center" vertical="center"/>
    </xf>
    <xf numFmtId="9" fontId="38" fillId="4" borderId="2" xfId="2" applyFont="1" applyFill="1" applyBorder="1" applyAlignment="1">
      <alignment horizontal="center" vertical="center"/>
    </xf>
    <xf numFmtId="1" fontId="38" fillId="39" borderId="14" xfId="0" applyNumberFormat="1" applyFont="1" applyFill="1" applyBorder="1"/>
    <xf numFmtId="1" fontId="38" fillId="4" borderId="13" xfId="1" applyNumberFormat="1" applyFont="1" applyFill="1" applyBorder="1" applyAlignment="1"/>
    <xf numFmtId="1" fontId="38" fillId="4" borderId="2" xfId="1" applyNumberFormat="1" applyFont="1" applyFill="1" applyBorder="1" applyAlignment="1"/>
    <xf numFmtId="164" fontId="38" fillId="38" borderId="14" xfId="0" applyNumberFormat="1" applyFont="1" applyFill="1" applyBorder="1" applyAlignment="1">
      <alignment horizontal="right"/>
    </xf>
    <xf numFmtId="9" fontId="31" fillId="43" borderId="2" xfId="2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9" fontId="31" fillId="43" borderId="28" xfId="2" applyFont="1" applyFill="1" applyBorder="1" applyAlignment="1">
      <alignment horizontal="left" vertical="top" wrapText="1"/>
    </xf>
    <xf numFmtId="9" fontId="31" fillId="43" borderId="28" xfId="2" applyFont="1" applyFill="1" applyBorder="1" applyAlignment="1">
      <alignment horizontal="left" wrapText="1"/>
    </xf>
    <xf numFmtId="0" fontId="0" fillId="0" borderId="0" xfId="0" applyAlignment="1">
      <alignment horizontal="left" vertical="top"/>
    </xf>
    <xf numFmtId="9" fontId="38" fillId="43" borderId="28" xfId="2" applyFont="1" applyFill="1" applyBorder="1" applyAlignment="1">
      <alignment horizontal="left" vertical="top" wrapText="1"/>
    </xf>
    <xf numFmtId="9" fontId="38" fillId="43" borderId="2" xfId="2" applyFont="1" applyFill="1" applyBorder="1" applyAlignment="1">
      <alignment horizontal="left" vertical="center"/>
    </xf>
    <xf numFmtId="9" fontId="39" fillId="43" borderId="2" xfId="2" applyFont="1" applyFill="1" applyBorder="1" applyAlignment="1">
      <alignment horizontal="left" vertical="top" wrapText="1"/>
    </xf>
    <xf numFmtId="0" fontId="8" fillId="5" borderId="31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33" fillId="44" borderId="23" xfId="0" applyFont="1" applyFill="1" applyBorder="1" applyAlignment="1">
      <alignment horizontal="center" vertical="center"/>
    </xf>
    <xf numFmtId="0" fontId="33" fillId="44" borderId="24" xfId="0" applyFont="1" applyFill="1" applyBorder="1" applyAlignment="1">
      <alignment horizontal="center" vertical="center"/>
    </xf>
    <xf numFmtId="0" fontId="28" fillId="41" borderId="0" xfId="0" applyFont="1" applyFill="1" applyAlignment="1">
      <alignment horizontal="center" wrapText="1"/>
    </xf>
    <xf numFmtId="0" fontId="27" fillId="42" borderId="0" xfId="0" applyFont="1" applyFill="1" applyAlignment="1">
      <alignment horizontal="center" wrapText="1"/>
    </xf>
    <xf numFmtId="0" fontId="36" fillId="2" borderId="25" xfId="0" applyFont="1" applyFill="1" applyBorder="1" applyAlignment="1">
      <alignment horizontal="center" vertical="center" wrapText="1"/>
    </xf>
    <xf numFmtId="0" fontId="36" fillId="2" borderId="26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left" vertical="top" wrapText="1"/>
    </xf>
    <xf numFmtId="0" fontId="8" fillId="5" borderId="17" xfId="0" applyFont="1" applyFill="1" applyBorder="1" applyAlignment="1">
      <alignment horizontal="left" vertical="top" wrapText="1"/>
    </xf>
    <xf numFmtId="0" fontId="8" fillId="5" borderId="30" xfId="0" applyFont="1" applyFill="1" applyBorder="1" applyAlignment="1">
      <alignment horizontal="center"/>
    </xf>
    <xf numFmtId="0" fontId="8" fillId="5" borderId="31" xfId="0" applyFont="1" applyFill="1" applyBorder="1" applyAlignment="1">
      <alignment horizontal="center"/>
    </xf>
    <xf numFmtId="0" fontId="8" fillId="5" borderId="32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5" borderId="34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solid">
          <fgColor rgb="FF000000"/>
          <bgColor rgb="FFE2EFDA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solid">
          <fgColor rgb="FF000000"/>
          <bgColor rgb="FFE2EFDA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bottom style="medium">
          <color rgb="FF000000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D23" totalsRowShown="0" headerRowBorderDxfId="345">
  <autoFilter ref="A2:D23" xr:uid="{66A40F5E-D45A-46FE-9183-4A31296D93F1}"/>
  <sortState xmlns:xlrd2="http://schemas.microsoft.com/office/spreadsheetml/2017/richdata2" ref="A3:C15">
    <sortCondition ref="C2:C15"/>
  </sortState>
  <tableColumns count="4">
    <tableColumn id="3" xr3:uid="{BFC0214A-8820-4A19-81D0-852548EDA4BC}" name="Site DAS Name" dataDxfId="344" dataCellStyle="Normal 2"/>
    <tableColumn id="1" xr3:uid="{2ECEDF7A-47C1-4159-BC3D-6E76D6492D27}" name="Site" dataDxfId="343" dataCellStyle="Normal 2"/>
    <tableColumn id="2" xr3:uid="{2C9662E7-9933-4E8D-97A6-DB7E03BCDC09}" name="State" dataDxfId="342" dataCellStyle="Normal 2"/>
    <tableColumn id="4" xr3:uid="{90835A1D-CF48-49CE-BCC5-9B3B88C5647D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337" dataDxfId="336" headerRowBorderDxfId="334" tableBorderDxfId="335" dataCellStyle="Percent">
  <autoFilter ref="A4:J16" xr:uid="{59A959C2-52B2-422A-A87A-BC08BBF40681}"/>
  <tableColumns count="10">
    <tableColumn id="1" xr3:uid="{5546520C-DCC9-49E9-9FB3-CE316D4944DA}" name="Month" dataDxfId="333"/>
    <tableColumn id="2" xr3:uid="{DDF452E8-4CE6-4DD7-83F1-6C18FAC64F53}" name="Actual" dataDxfId="332"/>
    <tableColumn id="3" xr3:uid="{854FA685-1E8D-434A-A191-70ED326137F6}" name="Expected" dataDxfId="331"/>
    <tableColumn id="4" xr3:uid="{5C3F4DED-9A03-4256-AB35-C17DABA79D2D}" name="Delta Expected" dataDxfId="330">
      <calculatedColumnFormula>B5-C5</calculatedColumnFormula>
    </tableColumn>
    <tableColumn id="5" xr3:uid="{41D24EBB-4EC4-4943-84C6-B4913606DB53}" name="% Expected" dataDxfId="329" dataCellStyle="Percent">
      <calculatedColumnFormula>IFERROR(D5/C5, 0)</calculatedColumnFormula>
    </tableColumn>
    <tableColumn id="6" xr3:uid="{BD395EF8-0433-4B53-BE3C-227C7BC36415}" name="Forecasted" dataDxfId="328"/>
    <tableColumn id="7" xr3:uid="{72B64D61-E6FB-4C48-8CEB-D343DF097E3E}" name="Delta Forecasted" dataDxfId="327" dataCellStyle="Comma">
      <calculatedColumnFormula>B5-F5</calculatedColumnFormula>
    </tableColumn>
    <tableColumn id="8" xr3:uid="{27F4C8CA-7E0A-46AD-8278-F15F669646B7}" name="% Forecasted" dataDxfId="326" dataCellStyle="Percent">
      <calculatedColumnFormula>IFERROR(G5/F5, 0)</calculatedColumnFormula>
    </tableColumn>
    <tableColumn id="9" xr3:uid="{623D8263-ADF2-4E83-A133-77A77ECF5573}" name="Notes" dataDxfId="325" dataCellStyle="Percent"/>
    <tableColumn id="10" xr3:uid="{D21843AC-EB45-41B5-BBF8-600127984792}" name="Service Request" dataDxfId="324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321" dataDxfId="320" headerRowBorderDxfId="318" tableBorderDxfId="319" dataCellStyle="Percent">
  <autoFilter ref="A4:J16" xr:uid="{59A959C2-52B2-422A-A87A-BC08BBF40681}"/>
  <tableColumns count="10">
    <tableColumn id="1" xr3:uid="{300F2B93-3E43-4029-9602-E5303206602D}" name="Month" dataDxfId="317"/>
    <tableColumn id="2" xr3:uid="{37FF0282-4483-4A16-B4CD-FA5C5D2AAB66}" name="Actual" dataDxfId="316"/>
    <tableColumn id="3" xr3:uid="{4B1572C6-48CA-4285-A895-59F55B5B6A3F}" name="Expected" dataDxfId="315"/>
    <tableColumn id="4" xr3:uid="{05CC6563-3045-40DE-A32C-A03045F46221}" name="Delta Expected" dataDxfId="314">
      <calculatedColumnFormula>B5-C5</calculatedColumnFormula>
    </tableColumn>
    <tableColumn id="5" xr3:uid="{0112F9D3-7673-407D-B2C0-617699B4EADA}" name="% Expected" dataDxfId="313" dataCellStyle="Percent">
      <calculatedColumnFormula>IFERROR(D5/C5, 0)</calculatedColumnFormula>
    </tableColumn>
    <tableColumn id="6" xr3:uid="{66AF3356-8A8A-4469-9904-982EE44943E2}" name="Forecasted" dataDxfId="312"/>
    <tableColumn id="7" xr3:uid="{C6527BC9-FA83-465E-9209-CCE13ABEDC9D}" name="Delta Forecasted" dataDxfId="311" dataCellStyle="Comma">
      <calculatedColumnFormula>B5-F5</calculatedColumnFormula>
    </tableColumn>
    <tableColumn id="8" xr3:uid="{FA6C6671-F650-4018-910D-2FFB550B3762}" name="% Forecasted" dataDxfId="310" dataCellStyle="Percent">
      <calculatedColumnFormula>IFERROR(G5/F5, 0)</calculatedColumnFormula>
    </tableColumn>
    <tableColumn id="9" xr3:uid="{2783C74E-2CBC-4809-B11D-46D4F8FBBA31}" name="Notes" dataDxfId="309" dataCellStyle="Percent"/>
    <tableColumn id="10" xr3:uid="{0D13FC05-4475-4C0F-ACFE-D5CA9083D091}" name="Service Request" dataDxfId="308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46876FA-EAED-4A4C-ACC8-1B2053B2BE30}" name="Data1819202122232425262728" displayName="Data1819202122232425262728" ref="A4:J16" totalsRowShown="0" headerRowDxfId="305" dataDxfId="304" headerRowBorderDxfId="302" tableBorderDxfId="303" dataCellStyle="Percent">
  <autoFilter ref="A4:J16" xr:uid="{59A959C2-52B2-422A-A87A-BC08BBF40681}"/>
  <tableColumns count="10">
    <tableColumn id="1" xr3:uid="{0C8C5D2C-22CD-4B1A-AA89-7DF9CC077053}" name="Month" dataDxfId="301"/>
    <tableColumn id="2" xr3:uid="{1504A410-2AFF-45D8-B05D-3003630C6253}" name="Actual" dataDxfId="300"/>
    <tableColumn id="3" xr3:uid="{E4620953-7DAB-4FED-A94B-5ED1A18BA51C}" name="Expected" dataDxfId="299"/>
    <tableColumn id="4" xr3:uid="{0E2D487F-5D52-4EF3-93FA-9263831DB0A2}" name="Delta Expected" dataDxfId="298">
      <calculatedColumnFormula>B5-C5</calculatedColumnFormula>
    </tableColumn>
    <tableColumn id="5" xr3:uid="{4E7B4ABC-A69B-400D-B5B2-832C6832F796}" name="% Expected" dataDxfId="297" dataCellStyle="Percent">
      <calculatedColumnFormula>IFERROR(D5/C5, 0)</calculatedColumnFormula>
    </tableColumn>
    <tableColumn id="6" xr3:uid="{01863DDF-3CCB-4609-8F75-0B0C278BB83F}" name="Forecasted" dataDxfId="296"/>
    <tableColumn id="7" xr3:uid="{8D07CC50-2E6D-421F-97CE-C028BAC10737}" name="Delta Forecasted" dataDxfId="295" dataCellStyle="Comma">
      <calculatedColumnFormula>B5-F5</calculatedColumnFormula>
    </tableColumn>
    <tableColumn id="8" xr3:uid="{4AC223A0-5E24-439A-AE0C-C81A96EC683F}" name="% Forecasted" dataDxfId="294" dataCellStyle="Percent">
      <calculatedColumnFormula>IFERROR(G5/F5, 0)</calculatedColumnFormula>
    </tableColumn>
    <tableColumn id="9" xr3:uid="{B21D21F1-1D16-4710-8885-CDF7B8E73B1F}" name="Notes" dataDxfId="293" dataCellStyle="Percent"/>
    <tableColumn id="10" xr3:uid="{7153195E-F3DA-438B-8DCB-CED54F61277D}" name="Service Request" dataDxfId="292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C07257C-BFB6-4805-8596-0866AA78AA5C}" name="Data18192021222324252627" displayName="Data18192021222324252627" ref="A4:J16" totalsRowShown="0" headerRowDxfId="289" dataDxfId="288" headerRowBorderDxfId="286" tableBorderDxfId="287" dataCellStyle="Percent">
  <autoFilter ref="A4:J16" xr:uid="{59A959C2-52B2-422A-A87A-BC08BBF40681}"/>
  <tableColumns count="10">
    <tableColumn id="1" xr3:uid="{838083B7-0287-4C21-9A6F-17E6A9A57D22}" name="Month" dataDxfId="285"/>
    <tableColumn id="2" xr3:uid="{247316F2-665B-4CB8-AE98-B160EDC17CD1}" name="Actual" dataDxfId="284"/>
    <tableColumn id="3" xr3:uid="{28F7712E-DE86-4EF2-A5CF-1CC2167EC41E}" name="Expected" dataDxfId="283"/>
    <tableColumn id="4" xr3:uid="{D3B59548-44B6-4CD4-9C83-00A146E8357F}" name="Delta Expected" dataDxfId="282">
      <calculatedColumnFormula>B5-C5</calculatedColumnFormula>
    </tableColumn>
    <tableColumn id="5" xr3:uid="{0F77CB24-DF7E-44EB-8F7A-EF266ED592AE}" name="% Expected" dataDxfId="281" dataCellStyle="Percent">
      <calculatedColumnFormula>IFERROR(D5/C5, 0)</calculatedColumnFormula>
    </tableColumn>
    <tableColumn id="6" xr3:uid="{8C639BB8-17D1-4724-86F9-E040B1E62A03}" name="Forecasted" dataDxfId="280"/>
    <tableColumn id="7" xr3:uid="{44F5CABC-A9BD-4E7B-9A00-6B48C98165F9}" name="Delta Forecasted" dataDxfId="279" dataCellStyle="Comma">
      <calculatedColumnFormula>B5-F5</calculatedColumnFormula>
    </tableColumn>
    <tableColumn id="8" xr3:uid="{2C2956C7-5C1E-43AF-BBA2-759C09FFD0D8}" name="% Forecasted" dataDxfId="278" dataCellStyle="Percent">
      <calculatedColumnFormula>IFERROR(G5/F5, 0)</calculatedColumnFormula>
    </tableColumn>
    <tableColumn id="9" xr3:uid="{482A0B3D-F68B-4980-A8D8-A77870F1CACE}" name="Notes" dataDxfId="277" dataCellStyle="Percent"/>
    <tableColumn id="10" xr3:uid="{8EDA506D-EE14-4152-8B4C-D3AEABA8ED99}" name="Service Request" dataDxfId="276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7F7EA7-3DE4-4425-ADD4-2BDD7BFD814D}" name="Data181920212223242526" displayName="Data181920212223242526" ref="A4:J16" totalsRowShown="0" headerRowDxfId="273" dataDxfId="272" headerRowBorderDxfId="270" tableBorderDxfId="271" dataCellStyle="Percent">
  <autoFilter ref="A4:J16" xr:uid="{59A959C2-52B2-422A-A87A-BC08BBF40681}"/>
  <tableColumns count="10">
    <tableColumn id="1" xr3:uid="{118AA2FE-E7D2-4206-B16A-6CCC68775996}" name="Month" dataDxfId="269"/>
    <tableColumn id="2" xr3:uid="{8A368234-EDD7-4E42-B9AD-515668818627}" name="Actual" dataDxfId="268"/>
    <tableColumn id="3" xr3:uid="{73D95621-FBC9-4CA1-AC2E-D1C96DE36B70}" name="Expected" dataDxfId="267"/>
    <tableColumn id="4" xr3:uid="{48DCF5B7-C57B-4CF9-A49C-382C49997254}" name="Delta Expected" dataDxfId="266">
      <calculatedColumnFormula>B5-C5</calculatedColumnFormula>
    </tableColumn>
    <tableColumn id="5" xr3:uid="{5063409C-2F70-4B9F-84DC-2C5F3812BB27}" name="% Expected" dataDxfId="265" dataCellStyle="Percent">
      <calculatedColumnFormula>IFERROR(D5/C5, 0)</calculatedColumnFormula>
    </tableColumn>
    <tableColumn id="6" xr3:uid="{81C000AC-8AC1-4109-A3D9-07363868E241}" name="Forecasted" dataDxfId="264"/>
    <tableColumn id="7" xr3:uid="{FE7AC5F1-C3C2-4907-9BD3-BF7CE8EFF4D8}" name="Delta Forecasted" dataDxfId="263" dataCellStyle="Comma">
      <calculatedColumnFormula>B5-F5</calculatedColumnFormula>
    </tableColumn>
    <tableColumn id="8" xr3:uid="{504FC4D5-CE5F-4A3D-8704-2F10443078A7}" name="% Forecasted" dataDxfId="262" dataCellStyle="Percent">
      <calculatedColumnFormula>IFERROR(G5/F5, 0)</calculatedColumnFormula>
    </tableColumn>
    <tableColumn id="9" xr3:uid="{FBC18841-E5E5-4300-A44D-DAAA6A23EC2A}" name="Notes" dataDxfId="261" dataCellStyle="Percent"/>
    <tableColumn id="10" xr3:uid="{9FDCDDFC-003E-4741-A2BA-7A020C5F93E1}" name="Service Request" dataDxfId="260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A9A3C44-577B-4C40-8F57-7207CDD719E6}" name="Data1819202122232425" displayName="Data1819202122232425" ref="A4:J16" totalsRowShown="0" headerRowDxfId="256" dataDxfId="255" headerRowBorderDxfId="253" tableBorderDxfId="254" dataCellStyle="Percent">
  <autoFilter ref="A4:J16" xr:uid="{59A959C2-52B2-422A-A87A-BC08BBF40681}"/>
  <tableColumns count="10">
    <tableColumn id="1" xr3:uid="{3A3EEF0D-D014-4E53-901F-CA7C928A30A1}" name="Month" dataDxfId="252"/>
    <tableColumn id="2" xr3:uid="{ACE88E48-6015-4F1C-B2B4-901B0FB7A72E}" name="Actual" dataDxfId="251"/>
    <tableColumn id="3" xr3:uid="{C450CF17-55EB-41DF-86BF-0F90B2B17116}" name="Expected" dataDxfId="250"/>
    <tableColumn id="4" xr3:uid="{D328879F-AF67-4769-A8A0-1C5A45E099F0}" name="Delta Expected" dataDxfId="249">
      <calculatedColumnFormula>B5-C5</calculatedColumnFormula>
    </tableColumn>
    <tableColumn id="5" xr3:uid="{5A328FC1-E240-4800-9AF2-110C4A4ECC65}" name="% Expected" dataDxfId="248" dataCellStyle="Percent">
      <calculatedColumnFormula>IFERROR(D5/C5, 0)</calculatedColumnFormula>
    </tableColumn>
    <tableColumn id="6" xr3:uid="{7C79FD01-0775-4035-A0D4-C688561910F6}" name="Forecasted" dataDxfId="247"/>
    <tableColumn id="7" xr3:uid="{9B11E4B3-2FEA-48ED-B46E-5AD64770E9EF}" name="Delta Forecasted" dataDxfId="246" dataCellStyle="Comma">
      <calculatedColumnFormula>B5-F5</calculatedColumnFormula>
    </tableColumn>
    <tableColumn id="8" xr3:uid="{E2E6FD63-076A-4431-AAB9-BC1A2E2B8105}" name="% Forecasted" dataDxfId="245" dataCellStyle="Percent">
      <calculatedColumnFormula>IFERROR(G5/F5, 0)</calculatedColumnFormula>
    </tableColumn>
    <tableColumn id="9" xr3:uid="{CCA03326-3B22-4649-B671-18B331CFCFC9}" name="Notes" dataDxfId="244" dataCellStyle="Percent"/>
    <tableColumn id="10" xr3:uid="{6C921FF4-9FBC-47A9-B98A-CB58C94F10C5}" name="Service Request" dataDxfId="243" dataCellStyle="Per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C40BF71-B37D-403C-8ED2-970FEFC4E1F8}" name="Data18192021222324" displayName="Data18192021222324" ref="A4:J16" totalsRowShown="0" headerRowDxfId="240" dataDxfId="239" headerRowBorderDxfId="237" tableBorderDxfId="238" dataCellStyle="Percent">
  <autoFilter ref="A4:J16" xr:uid="{59A959C2-52B2-422A-A87A-BC08BBF40681}"/>
  <tableColumns count="10">
    <tableColumn id="1" xr3:uid="{F9004329-C93B-4933-AB9F-534ED42FFD10}" name="Month" dataDxfId="236"/>
    <tableColumn id="2" xr3:uid="{432C2987-91D2-4E70-8181-8CD8A6D67978}" name="Actual" dataDxfId="235"/>
    <tableColumn id="3" xr3:uid="{BF6EC749-C28A-4B1B-9CA2-88C8EED0F545}" name="Expected" dataDxfId="234"/>
    <tableColumn id="4" xr3:uid="{8666E9BF-D657-45F6-BA3D-1E281BF0D8A2}" name="Delta Expected" dataDxfId="233">
      <calculatedColumnFormula>B5-C5</calculatedColumnFormula>
    </tableColumn>
    <tableColumn id="5" xr3:uid="{690EED91-B2CC-423E-A46D-0467A03087EB}" name="% Expected" dataDxfId="232" dataCellStyle="Percent">
      <calculatedColumnFormula>IFERROR(D5/C5, 0)</calculatedColumnFormula>
    </tableColumn>
    <tableColumn id="6" xr3:uid="{985AE196-ED6A-49D0-9CF5-38363D80BF1C}" name="Forecasted" dataDxfId="231"/>
    <tableColumn id="7" xr3:uid="{B3189039-676E-4B7F-B804-B61300C3AC2B}" name="Delta Forecasted" dataDxfId="230" dataCellStyle="Comma">
      <calculatedColumnFormula>B5-F5</calculatedColumnFormula>
    </tableColumn>
    <tableColumn id="8" xr3:uid="{3C865CF1-C516-404B-BD49-7AF88A316696}" name="% Forecasted" dataDxfId="229" dataCellStyle="Percent">
      <calculatedColumnFormula>IFERROR(G5/F5, 0)</calculatedColumnFormula>
    </tableColumn>
    <tableColumn id="9" xr3:uid="{A8E110DC-2AD0-4532-BAB3-F25A93C8FA14}" name="Notes" dataDxfId="228" dataCellStyle="Percent"/>
    <tableColumn id="10" xr3:uid="{6B03DC8E-AFEA-4605-83B2-335A63A6E612}" name="Service Request" dataDxfId="227" dataCellStyle="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BA82670-369B-4C3A-82B7-2FD5C4776195}" name="Data181920212223" displayName="Data181920212223" ref="A4:J16" totalsRowShown="0" headerRowDxfId="224" dataDxfId="223" headerRowBorderDxfId="221" tableBorderDxfId="222" dataCellStyle="Percent">
  <autoFilter ref="A4:J16" xr:uid="{59A959C2-52B2-422A-A87A-BC08BBF40681}"/>
  <tableColumns count="10">
    <tableColumn id="1" xr3:uid="{8D8CAC86-1F92-428A-978A-419573E60EDA}" name="Month" dataDxfId="220"/>
    <tableColumn id="2" xr3:uid="{223FDFFC-2B96-4B49-A3DA-3CE9110E23BA}" name="Actual" dataDxfId="219"/>
    <tableColumn id="3" xr3:uid="{697166FB-0846-4476-A3B9-F5E3CD1A5484}" name="Expected" dataDxfId="218"/>
    <tableColumn id="4" xr3:uid="{19183987-F433-4DF0-B9DB-E51E150F6A35}" name="Delta Expected" dataDxfId="217">
      <calculatedColumnFormula>B5-C5</calculatedColumnFormula>
    </tableColumn>
    <tableColumn id="5" xr3:uid="{E16DBE60-5B92-446F-8AB1-18813170F80A}" name="% Expected" dataDxfId="216" dataCellStyle="Percent">
      <calculatedColumnFormula>IFERROR(D5/C5, 0)</calculatedColumnFormula>
    </tableColumn>
    <tableColumn id="6" xr3:uid="{9C65936D-3A2D-49C0-A20F-C0BCB81436F3}" name="Forecasted" dataDxfId="215"/>
    <tableColumn id="7" xr3:uid="{CCF7E1D2-D7A4-481E-A184-00FF7C45982A}" name="Delta Forecasted" dataDxfId="214" dataCellStyle="Comma">
      <calculatedColumnFormula>B5-F5</calculatedColumnFormula>
    </tableColumn>
    <tableColumn id="8" xr3:uid="{00CEF032-E306-4FD4-BF8E-2BA66ADCE3C9}" name="% Forecasted" dataDxfId="213" dataCellStyle="Percent">
      <calculatedColumnFormula>IFERROR(G5/F5, 0)</calculatedColumnFormula>
    </tableColumn>
    <tableColumn id="9" xr3:uid="{317641D1-0E53-4EE1-8813-736213A5B2A2}" name="Notes" dataDxfId="212" dataCellStyle="Percent"/>
    <tableColumn id="10" xr3:uid="{23757325-21CC-4B19-856B-0A394E6508D4}" name="Service Request" dataDxfId="211" dataCellStyle="Perce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83D6B4A-9416-4379-8BD6-AD0B1630A41D}" name="Data1819202122" displayName="Data1819202122" ref="A4:J16" totalsRowShown="0" headerRowDxfId="208" dataDxfId="207" headerRowBorderDxfId="205" tableBorderDxfId="206" dataCellStyle="Percent">
  <autoFilter ref="A4:J16" xr:uid="{59A959C2-52B2-422A-A87A-BC08BBF40681}"/>
  <tableColumns count="10">
    <tableColumn id="1" xr3:uid="{347C7D3C-FD82-46F9-BEBD-8735F2193CE9}" name="Month" dataDxfId="204"/>
    <tableColumn id="2" xr3:uid="{199C91A5-15D1-40E0-8621-51A592031F8A}" name="Actual" dataDxfId="203"/>
    <tableColumn id="3" xr3:uid="{7A6FD5D4-0F5A-4349-BB04-3685AC1C21F9}" name="Expected" dataDxfId="202"/>
    <tableColumn id="4" xr3:uid="{37A4EBAC-FCA0-45AD-A30B-96A8319A8E0C}" name="Delta Expected" dataDxfId="201">
      <calculatedColumnFormula>B5-C5</calculatedColumnFormula>
    </tableColumn>
    <tableColumn id="5" xr3:uid="{49F0FD00-E5C0-4904-AFDC-2209D8270C83}" name="% Expected" dataDxfId="200" dataCellStyle="Percent">
      <calculatedColumnFormula>IFERROR(D5/C5, 0)</calculatedColumnFormula>
    </tableColumn>
    <tableColumn id="6" xr3:uid="{435BBA7F-11D8-4DB8-88B6-3C87B3349883}" name="Forecasted" dataDxfId="199"/>
    <tableColumn id="7" xr3:uid="{57D2837A-D5C4-4D5B-A637-2DBB8F89E7B7}" name="Delta Forecasted" dataDxfId="198" dataCellStyle="Comma">
      <calculatedColumnFormula>B5-F5</calculatedColumnFormula>
    </tableColumn>
    <tableColumn id="8" xr3:uid="{D5D39AF6-24F2-48A2-B19B-F5FADCA2161A}" name="% Forecasted" dataDxfId="197" dataCellStyle="Percent">
      <calculatedColumnFormula>IFERROR(G5/F5, 0)</calculatedColumnFormula>
    </tableColumn>
    <tableColumn id="9" xr3:uid="{BDCD9932-214E-402F-BB90-9556552F7689}" name="Notes" dataDxfId="196" dataCellStyle="Percent"/>
    <tableColumn id="10" xr3:uid="{6961543E-6754-46C0-ABF0-4377D20747FD}" name="Service Request" dataDxfId="195" dataCellStyle="Perc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5F8F4CC-F9DF-4064-A109-D677019A6B4A}" name="Data1819202129" displayName="Data1819202129" ref="A4:J16" totalsRowShown="0" headerRowDxfId="192" dataDxfId="191" headerRowBorderDxfId="189" tableBorderDxfId="190" dataCellStyle="Percent">
  <autoFilter ref="A4:J16" xr:uid="{59A959C2-52B2-422A-A87A-BC08BBF40681}"/>
  <tableColumns count="10">
    <tableColumn id="1" xr3:uid="{5E6E1DF3-291C-4317-8B90-B38224AE85B4}" name="Month" dataDxfId="188"/>
    <tableColumn id="2" xr3:uid="{FD726984-5758-4C54-9CD2-641DEE206A55}" name="Actual" dataDxfId="187"/>
    <tableColumn id="3" xr3:uid="{0BF58DCD-6379-4A26-8254-BBFE2FFDB990}" name="Expected" dataDxfId="186"/>
    <tableColumn id="4" xr3:uid="{E6BD6D5A-EA9D-401B-8AA1-9430D80C0943}" name="Delta Expected" dataDxfId="185">
      <calculatedColumnFormula>B5-C5</calculatedColumnFormula>
    </tableColumn>
    <tableColumn id="5" xr3:uid="{CE84C08A-509D-448F-82D3-3F5FFB720A54}" name="% Expected" dataDxfId="184" dataCellStyle="Percent">
      <calculatedColumnFormula>IFERROR(D5/C5, 0)</calculatedColumnFormula>
    </tableColumn>
    <tableColumn id="6" xr3:uid="{5551BF92-6B60-4C37-A1AF-34332FF7E18F}" name="Forecasted" dataDxfId="183"/>
    <tableColumn id="7" xr3:uid="{090BB86A-DFAA-4458-8739-3FECCC845861}" name="Delta Forecasted" dataDxfId="182" dataCellStyle="Comma">
      <calculatedColumnFormula>B5-F5</calculatedColumnFormula>
    </tableColumn>
    <tableColumn id="8" xr3:uid="{A0F704B9-D9BC-4C25-9B01-EEF4CDBB244D}" name="% Forecasted" dataDxfId="181" dataCellStyle="Percent">
      <calculatedColumnFormula>IFERROR(G5/F5, 0)</calculatedColumnFormula>
    </tableColumn>
    <tableColumn id="9" xr3:uid="{013B8AF9-6C0E-4448-A9BE-F72AA4D66478}" name="Notes" dataDxfId="180" dataCellStyle="Percent"/>
    <tableColumn id="10" xr3:uid="{AF00D379-93D4-49A0-AA91-86B8B0653CB5}" name="Service Request" dataDxfId="179" dataCellStyle="Perce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2B0B743-DC6E-44E5-8EAA-B173BB52D67E}" name="Data18192021" displayName="Data18192021" ref="A4:J16" totalsRowShown="0" headerRowDxfId="176" dataDxfId="175" headerRowBorderDxfId="173" tableBorderDxfId="174" dataCellStyle="Percent">
  <autoFilter ref="A4:J16" xr:uid="{59A959C2-52B2-422A-A87A-BC08BBF40681}"/>
  <tableColumns count="10">
    <tableColumn id="1" xr3:uid="{02CBB29B-8FA5-4F92-8AF1-3ACF6DE0405A}" name="Month" dataDxfId="172"/>
    <tableColumn id="2" xr3:uid="{9F3DD7A4-1E93-48C9-865C-6884066E1FF6}" name="Actual" dataDxfId="171"/>
    <tableColumn id="3" xr3:uid="{19F29B76-B230-4627-9560-E871FAA1F939}" name="Expected" dataDxfId="170"/>
    <tableColumn id="4" xr3:uid="{816FC8AC-921F-4501-A77B-C19037E643D9}" name="Delta Expected" dataDxfId="169">
      <calculatedColumnFormula>B5-C5</calculatedColumnFormula>
    </tableColumn>
    <tableColumn id="5" xr3:uid="{D36857E3-4341-4AFF-A150-8993BE8FDE37}" name="% Expected" dataDxfId="168" dataCellStyle="Percent">
      <calculatedColumnFormula>IFERROR(D5/C5, 0)</calculatedColumnFormula>
    </tableColumn>
    <tableColumn id="6" xr3:uid="{AE4608B8-75F0-4E4F-91A6-C0556D119D4E}" name="Forecasted" dataDxfId="167"/>
    <tableColumn id="7" xr3:uid="{333D3E1E-F642-46CC-9C6B-93D4AA6809B4}" name="Delta Forecasted" dataDxfId="166" dataCellStyle="Comma">
      <calculatedColumnFormula>B5-F5</calculatedColumnFormula>
    </tableColumn>
    <tableColumn id="8" xr3:uid="{8761E2DE-58C9-41CE-A033-5FE829C1BA70}" name="% Forecasted" dataDxfId="165" dataCellStyle="Percent">
      <calculatedColumnFormula>IFERROR(G5/F5, 0)</calculatedColumnFormula>
    </tableColumn>
    <tableColumn id="9" xr3:uid="{DA86E462-D5CA-47CC-BB6F-E306D0C644A1}" name="Notes" dataDxfId="164" dataCellStyle="Percent"/>
    <tableColumn id="10" xr3:uid="{A116F92D-16FB-49E5-A53A-E4A92439DF62}" name="Service Request" dataDxfId="163" dataCellStyle="Perc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4CD59E-9089-431D-9329-7C988049D2AF}" name="Data181920" displayName="Data181920" ref="A4:J16" totalsRowShown="0" headerRowDxfId="160" dataDxfId="159" headerRowBorderDxfId="157" tableBorderDxfId="158" dataCellStyle="Percent">
  <autoFilter ref="A4:J16" xr:uid="{59A959C2-52B2-422A-A87A-BC08BBF40681}"/>
  <tableColumns count="10">
    <tableColumn id="1" xr3:uid="{D53E7D57-D771-4FAF-BC06-C05F5D88D9D4}" name="Month" dataDxfId="156"/>
    <tableColumn id="2" xr3:uid="{5E323DE3-0FEC-4C47-AA50-FB5FE8C8C25A}" name="Actual" dataDxfId="155"/>
    <tableColumn id="3" xr3:uid="{5B1E3641-7C82-4E82-974B-559132EE9A5F}" name="Expected" dataDxfId="154"/>
    <tableColumn id="4" xr3:uid="{281D7FFF-2047-475F-9DC6-60F0A760A82D}" name="Delta Expected" dataDxfId="153">
      <calculatedColumnFormula>B5-C5</calculatedColumnFormula>
    </tableColumn>
    <tableColumn id="5" xr3:uid="{0D02AC61-E298-4329-95FE-FB778AE1B7E4}" name="% Expected" dataDxfId="152" dataCellStyle="Percent">
      <calculatedColumnFormula>IFERROR(D5/C5, 0)</calculatedColumnFormula>
    </tableColumn>
    <tableColumn id="6" xr3:uid="{D737330F-7883-4D93-A5BD-961AE8C37A29}" name="Forecasted" dataDxfId="151"/>
    <tableColumn id="7" xr3:uid="{0D60582B-2476-4C79-8EA5-5AF64BA55860}" name="Delta Forecasted" dataDxfId="150" dataCellStyle="Comma">
      <calculatedColumnFormula>B5-F5</calculatedColumnFormula>
    </tableColumn>
    <tableColumn id="8" xr3:uid="{905D0CB4-F479-4BE7-AB1C-C4EFE56D101C}" name="% Forecasted" dataDxfId="149" dataCellStyle="Percent">
      <calculatedColumnFormula>IFERROR(G5/F5, 0)</calculatedColumnFormula>
    </tableColumn>
    <tableColumn id="9" xr3:uid="{93950D5B-A4A4-4E97-BCFD-C55D117C244E}" name="Notes" dataDxfId="148" dataCellStyle="Percent"/>
    <tableColumn id="10" xr3:uid="{1722AA17-AA2C-45F0-AB0A-AA19B15E174C}" name="Service Request" dataDxfId="147" dataCellStyle="Perc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227315E-3D45-4F14-8850-6D6F6067DADF}" name="Data1819" displayName="Data1819" ref="A4:J16" totalsRowShown="0" headerRowDxfId="144" dataDxfId="143" headerRowBorderDxfId="141" tableBorderDxfId="142" dataCellStyle="Percent">
  <autoFilter ref="A4:J16" xr:uid="{59A959C2-52B2-422A-A87A-BC08BBF40681}"/>
  <tableColumns count="10">
    <tableColumn id="1" xr3:uid="{77E6FAAF-0999-49E3-99CA-07D98C9A302A}" name="Month" dataDxfId="140"/>
    <tableColumn id="2" xr3:uid="{59B2FACE-FD04-4B01-9769-1826A4BFD80D}" name="Actual" dataDxfId="139"/>
    <tableColumn id="3" xr3:uid="{DD87B9A3-2D37-45A6-9CDD-6537DF23AD7E}" name="Expected" dataDxfId="138"/>
    <tableColumn id="4" xr3:uid="{39BA3CEA-CBCA-4E6F-A0CA-4FA3B466A116}" name="Delta Expected" dataDxfId="137">
      <calculatedColumnFormula>B5-C5</calculatedColumnFormula>
    </tableColumn>
    <tableColumn id="5" xr3:uid="{DB5ACD05-6D0B-47C1-9519-E2B6FF709AD5}" name="% Expected" dataDxfId="136" dataCellStyle="Percent">
      <calculatedColumnFormula>IFERROR(D5/C5, 0)</calculatedColumnFormula>
    </tableColumn>
    <tableColumn id="6" xr3:uid="{B193E813-1C65-4930-8970-A32E7C27509E}" name="Forecasted" dataDxfId="135"/>
    <tableColumn id="7" xr3:uid="{C6C06131-4F24-45CB-BB1F-B32FA41C796F}" name="Delta Forecasted" dataDxfId="134" dataCellStyle="Comma">
      <calculatedColumnFormula>B5-F5</calculatedColumnFormula>
    </tableColumn>
    <tableColumn id="8" xr3:uid="{6E033078-CE54-4928-B0CD-8B04664AB929}" name="% Forecasted" dataDxfId="133" dataCellStyle="Percent">
      <calculatedColumnFormula>IFERROR(G5/F5, 0)</calculatedColumnFormula>
    </tableColumn>
    <tableColumn id="9" xr3:uid="{0859B2AD-AA89-4C25-A003-2FC4E3A6AFF9}" name="Notes" dataDxfId="132" dataCellStyle="Percent"/>
    <tableColumn id="10" xr3:uid="{F24B3FC5-F17E-42AE-B8E7-5C6B1CD32D85}" name="Service Request" dataDxfId="131" dataCellStyle="Perc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CD5874-DAB5-4B1F-8F86-B91175B4CA6D}" name="Data18194" displayName="Data18194" ref="A4:J16" totalsRowShown="0" headerRowDxfId="126" dataDxfId="125" headerRowBorderDxfId="123" tableBorderDxfId="124" dataCellStyle="Percent">
  <autoFilter ref="A4:J16" xr:uid="{59A959C2-52B2-422A-A87A-BC08BBF40681}"/>
  <tableColumns count="10">
    <tableColumn id="1" xr3:uid="{0726BD8D-5F76-445E-A9B8-D14B24742738}" name="Month" dataDxfId="122"/>
    <tableColumn id="2" xr3:uid="{E21FE4FF-AEA0-4C4B-87EC-FBEEFDC8744A}" name="Actual" dataDxfId="121"/>
    <tableColumn id="3" xr3:uid="{945FEE39-7187-4128-89D0-D5A158EBF128}" name="Expected" dataDxfId="120"/>
    <tableColumn id="4" xr3:uid="{3F1EBE2D-E9CC-4229-9F5B-C4408786D16B}" name="Delta Expected" dataDxfId="119">
      <calculatedColumnFormula>B5-C5</calculatedColumnFormula>
    </tableColumn>
    <tableColumn id="5" xr3:uid="{BB51BF98-1618-4A65-B19D-0DC2940112DC}" name="% Expected" dataDxfId="118" dataCellStyle="Percent">
      <calculatedColumnFormula>IFERROR(D5/C5, 0)</calculatedColumnFormula>
    </tableColumn>
    <tableColumn id="6" xr3:uid="{94B4C132-D695-49A5-8FFB-D6869E6B07F4}" name="Forecasted" dataDxfId="117"/>
    <tableColumn id="7" xr3:uid="{8AC1ED40-0D2B-49A5-BA99-5866F7A9069E}" name="Delta Forecasted" dataDxfId="116" dataCellStyle="Comma">
      <calculatedColumnFormula>B5-F5</calculatedColumnFormula>
    </tableColumn>
    <tableColumn id="8" xr3:uid="{FBF27E6E-A7CE-449E-8D8D-881A6F0ADB1B}" name="% Forecasted" dataDxfId="115" dataCellStyle="Percent">
      <calculatedColumnFormula>IFERROR(G5/F5, 0)</calculatedColumnFormula>
    </tableColumn>
    <tableColumn id="9" xr3:uid="{860C116C-F860-45BF-B6FD-EDC56C841F38}" name="Notes" dataDxfId="114" dataCellStyle="Percent"/>
    <tableColumn id="10" xr3:uid="{4091F2BC-BF9C-41DF-BDA0-4932865C8FB8}" name="Service Request" dataDxfId="113" dataCellStyle="Percen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1F8037-9034-47F5-8251-3AC63E8B2F9B}" name="Data181945" displayName="Data181945" ref="A4:J16" totalsRowShown="0" headerRowDxfId="110" dataDxfId="109" headerRowBorderDxfId="107" tableBorderDxfId="108" dataCellStyle="Percent">
  <autoFilter ref="A4:J16" xr:uid="{59A959C2-52B2-422A-A87A-BC08BBF40681}"/>
  <tableColumns count="10">
    <tableColumn id="1" xr3:uid="{8312B39A-2764-4FC7-8ED0-4897CFD5C368}" name="Month" dataDxfId="106"/>
    <tableColumn id="2" xr3:uid="{DAC29F8B-E7E0-4909-A75E-BFEC1737F59F}" name="Actual" dataDxfId="105"/>
    <tableColumn id="3" xr3:uid="{58B23442-9425-42F9-A075-36E517A38A6F}" name="Expected" dataDxfId="104"/>
    <tableColumn id="4" xr3:uid="{B1D726EA-320D-441C-B163-D2BE572BD86D}" name="Delta Expected" dataDxfId="103">
      <calculatedColumnFormula>B5-C5</calculatedColumnFormula>
    </tableColumn>
    <tableColumn id="5" xr3:uid="{CF38E277-18BD-4059-BE68-8916E77F7BCB}" name="% Expected" dataDxfId="102" dataCellStyle="Percent">
      <calculatedColumnFormula>IFERROR(D5/C5, 0)</calculatedColumnFormula>
    </tableColumn>
    <tableColumn id="6" xr3:uid="{01EF16BD-5791-4556-99BA-41E9244D1E8A}" name="Forecasted" dataDxfId="101"/>
    <tableColumn id="7" xr3:uid="{F10BF13A-DAA3-43F1-8AC1-7559012953AB}" name="Delta Forecasted" dataDxfId="100" dataCellStyle="Comma">
      <calculatedColumnFormula>B5-F5</calculatedColumnFormula>
    </tableColumn>
    <tableColumn id="8" xr3:uid="{518C1001-34F8-44D8-9E34-86E797663CA3}" name="% Forecasted" dataDxfId="99" dataCellStyle="Percent">
      <calculatedColumnFormula>IFERROR(G5/F5, 0)</calculatedColumnFormula>
    </tableColumn>
    <tableColumn id="9" xr3:uid="{E7D6E3BE-7CF4-4F97-BAFB-AF43EBE284CA}" name="Notes" dataDxfId="98" dataCellStyle="Percent"/>
    <tableColumn id="10" xr3:uid="{C4E55017-AF0E-4546-B9F8-6502F01E9BAC}" name="Service Request" dataDxfId="97" dataCellStyle="Perce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90D28C-A6C0-426B-AEE0-6BE5ECB4481D}" name="Data1819456" displayName="Data1819456" ref="A4:J16" totalsRowShown="0" headerRowDxfId="94" dataDxfId="93" headerRowBorderDxfId="91" tableBorderDxfId="92" dataCellStyle="Percent">
  <autoFilter ref="A4:J16" xr:uid="{59A959C2-52B2-422A-A87A-BC08BBF40681}"/>
  <tableColumns count="10">
    <tableColumn id="1" xr3:uid="{377A3203-E998-45CC-813E-90B2552A336B}" name="Month" dataDxfId="90"/>
    <tableColumn id="2" xr3:uid="{9A959F7D-D992-4D1F-AA27-B35581375560}" name="Actual" dataDxfId="89"/>
    <tableColumn id="3" xr3:uid="{53977CBB-688D-42DA-B38A-4EE650A6A159}" name="Expected" dataDxfId="88"/>
    <tableColumn id="4" xr3:uid="{4CEB3A2B-BE58-4BCF-8067-764B177AB0EB}" name="Delta Expected" dataDxfId="87">
      <calculatedColumnFormula>B5-C5</calculatedColumnFormula>
    </tableColumn>
    <tableColumn id="5" xr3:uid="{E73C6B2B-98A7-4A28-98D5-11049E069848}" name="% Expected" dataDxfId="86" dataCellStyle="Percent">
      <calculatedColumnFormula>IFERROR(D5/C5, 0)</calculatedColumnFormula>
    </tableColumn>
    <tableColumn id="6" xr3:uid="{49D2CD94-6A01-4B23-A714-D820372DD623}" name="Forecasted" dataDxfId="85"/>
    <tableColumn id="7" xr3:uid="{47A9E5AB-D835-4A65-92DB-DE1B8A56709A}" name="Delta Forecasted" dataDxfId="84" dataCellStyle="Comma">
      <calculatedColumnFormula>B5-F5</calculatedColumnFormula>
    </tableColumn>
    <tableColumn id="8" xr3:uid="{B07EF404-CE90-4262-97C2-EAB32574E27E}" name="% Forecasted" dataDxfId="83" dataCellStyle="Percent">
      <calculatedColumnFormula>IFERROR(G5/F5, 0)</calculatedColumnFormula>
    </tableColumn>
    <tableColumn id="9" xr3:uid="{55432DB6-11AA-4E78-A0A9-DCED5F2170BA}" name="Notes" dataDxfId="82" dataCellStyle="Percent"/>
    <tableColumn id="10" xr3:uid="{C2C18C11-8E2D-4012-98BF-881ECC39AB36}" name="Service Request" dataDxfId="81" dataCellStyle="Percen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2A7CAA-2BF4-4A10-A6EB-E7C7C59D8B9B}" name="Data18194567" displayName="Data18194567" ref="A4:J16" totalsRowShown="0" headerRowDxfId="78" dataDxfId="77" headerRowBorderDxfId="75" tableBorderDxfId="76" dataCellStyle="Percent">
  <autoFilter ref="A4:J16" xr:uid="{59A959C2-52B2-422A-A87A-BC08BBF40681}"/>
  <tableColumns count="10">
    <tableColumn id="1" xr3:uid="{FEAE95F0-2622-4E4A-B778-B5EE4E6B1CC5}" name="Month" dataDxfId="74"/>
    <tableColumn id="2" xr3:uid="{44C1C4BF-AF09-40B5-B080-5165F5696779}" name="Actual" dataDxfId="73"/>
    <tableColumn id="3" xr3:uid="{38383048-8CCD-4585-81FB-360DF7490176}" name="Expected" dataDxfId="72"/>
    <tableColumn id="4" xr3:uid="{0317B9CB-F995-4307-8035-6B080CA0ECF1}" name="Delta Expected" dataDxfId="71">
      <calculatedColumnFormula>B5-C5</calculatedColumnFormula>
    </tableColumn>
    <tableColumn id="5" xr3:uid="{937907F6-C7F9-41A7-8098-9AEF95D88C08}" name="% Expected" dataDxfId="70" dataCellStyle="Percent">
      <calculatedColumnFormula>IFERROR(D5/C5, 0)</calculatedColumnFormula>
    </tableColumn>
    <tableColumn id="6" xr3:uid="{93F092A1-06BF-41CA-AE40-F42F0F0F9245}" name="Forecasted" dataDxfId="69"/>
    <tableColumn id="7" xr3:uid="{1898FFE8-84BC-4764-9E34-D613652A2F1F}" name="Delta Forecasted" dataDxfId="68" dataCellStyle="Comma">
      <calculatedColumnFormula>B5-F5</calculatedColumnFormula>
    </tableColumn>
    <tableColumn id="8" xr3:uid="{68CB3B9D-395E-411E-9014-D0E309FDCEF1}" name="% Forecasted" dataDxfId="67" dataCellStyle="Percent">
      <calculatedColumnFormula>IFERROR(G5/F5, 0)</calculatedColumnFormula>
    </tableColumn>
    <tableColumn id="9" xr3:uid="{493E32E3-9367-4D90-9E6F-C86EFF7745A5}" name="Notes" dataDxfId="66" dataCellStyle="Percent"/>
    <tableColumn id="10" xr3:uid="{AC1D3543-1D3B-4C22-A6CA-6A6A0DF867CE}" name="Service Request" dataDxfId="65" dataCellStyle="Percen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AEB6A8-3196-479E-A95F-163009BB5661}" name="Data1819456789" displayName="Data1819456789" ref="A4:J16" totalsRowShown="0" headerRowDxfId="62" dataDxfId="61" headerRowBorderDxfId="59" tableBorderDxfId="60" dataCellStyle="Percent">
  <autoFilter ref="A4:J16" xr:uid="{59A959C2-52B2-422A-A87A-BC08BBF40681}"/>
  <tableColumns count="10">
    <tableColumn id="1" xr3:uid="{D1A72A5F-C5C7-48B5-9BBE-2094A2F6E066}" name="Month" dataDxfId="58"/>
    <tableColumn id="2" xr3:uid="{697D82AB-77CD-4629-9359-9D2D3A94B237}" name="Actual" dataDxfId="57"/>
    <tableColumn id="3" xr3:uid="{FFFDCE4C-5B92-48EA-8CD8-FDDF94410FCA}" name="Expected" dataDxfId="56"/>
    <tableColumn id="4" xr3:uid="{B0674359-805C-45E6-AE21-2B1ACFB8346D}" name="Delta Expected" dataDxfId="55">
      <calculatedColumnFormula>B5-C5</calculatedColumnFormula>
    </tableColumn>
    <tableColumn id="5" xr3:uid="{FDCB9308-CDEA-466B-AF73-4B45B4AF1ED5}" name="% Expected" dataDxfId="54" dataCellStyle="Percent">
      <calculatedColumnFormula>IFERROR(D5/C5, 0)</calculatedColumnFormula>
    </tableColumn>
    <tableColumn id="6" xr3:uid="{E7810126-BC82-4CC6-943A-221452F64FAF}" name="Forecasted" dataDxfId="53"/>
    <tableColumn id="7" xr3:uid="{8BE9A763-527C-4371-B0E4-BEC0D11873FE}" name="Delta Forecasted" dataDxfId="52" dataCellStyle="Comma">
      <calculatedColumnFormula>B5-F5</calculatedColumnFormula>
    </tableColumn>
    <tableColumn id="8" xr3:uid="{7CD84A92-AC6D-43B3-BC6C-132FA77FB649}" name="% Forecasted" dataDxfId="51" dataCellStyle="Percent">
      <calculatedColumnFormula>IFERROR(G5/F5, 0)</calculatedColumnFormula>
    </tableColumn>
    <tableColumn id="9" xr3:uid="{56A5BD83-9D65-46FD-9620-0545CE91FBEA}" name="Notes" dataDxfId="50" dataCellStyle="Percent"/>
    <tableColumn id="10" xr3:uid="{20EA2B73-9EBA-4FD4-8BF2-665A57300317}" name="Service Request" dataDxfId="49" dataCellStyle="Percen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0144F7-C0B3-4F73-A1F4-691A1BA2AB74}" name="Data181945678" displayName="Data181945678" ref="A4:J16" totalsRowShown="0" headerRowDxfId="45" dataDxfId="44" headerRowBorderDxfId="42" tableBorderDxfId="43" dataCellStyle="Percent">
  <autoFilter ref="A4:J16" xr:uid="{59A959C2-52B2-422A-A87A-BC08BBF40681}"/>
  <tableColumns count="10">
    <tableColumn id="1" xr3:uid="{E99F96D3-846C-46F6-BB5B-B407B9BB4B3D}" name="Month" dataDxfId="41"/>
    <tableColumn id="2" xr3:uid="{4EBFC1C4-4BBB-4E59-A4BF-8FA78F8BFC04}" name="Actual" dataDxfId="40"/>
    <tableColumn id="3" xr3:uid="{814D82B3-6732-4453-BE42-E3DED5761DF8}" name="Expected" dataDxfId="39"/>
    <tableColumn id="4" xr3:uid="{ECEC5C3C-CBE4-41EF-8DE8-803315568508}" name="Delta Expected" dataDxfId="38">
      <calculatedColumnFormula>B5-C5</calculatedColumnFormula>
    </tableColumn>
    <tableColumn id="5" xr3:uid="{A0E2E8A8-94B3-4A52-9C70-29D55BCDDB73}" name="% Expected" dataDxfId="37" dataCellStyle="Percent">
      <calculatedColumnFormula>IFERROR(D5/C5, 0)</calculatedColumnFormula>
    </tableColumn>
    <tableColumn id="6" xr3:uid="{7F0171F8-C380-460C-B709-94ADE0A6A84D}" name="Forecasted" dataDxfId="36"/>
    <tableColumn id="7" xr3:uid="{BA3F35AA-2945-469D-9235-AB8E5F8E5D31}" name="Delta Forecasted" dataDxfId="35" dataCellStyle="Comma">
      <calculatedColumnFormula>B5-F5</calculatedColumnFormula>
    </tableColumn>
    <tableColumn id="8" xr3:uid="{3032C86A-CF18-46AF-8437-97C858F0D609}" name="% Forecasted" dataDxfId="34" dataCellStyle="Percent">
      <calculatedColumnFormula>IFERROR(G5/F5, 0)</calculatedColumnFormula>
    </tableColumn>
    <tableColumn id="9" xr3:uid="{11B4BF0A-B741-4F93-9A26-823D18D3F954}" name="Notes" dataDxfId="33" dataCellStyle="Percent"/>
    <tableColumn id="10" xr3:uid="{EAE9B4C6-AE6B-463B-BCF3-D34C93DB9E7C}" name="Service Request" dataDxfId="32" dataCellStyle="Percen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954D7E5-CFF3-475C-A6FE-D42E185B13F7}" name="Data181945678910" displayName="Data181945678910" ref="A4:J16" totalsRowShown="0" headerRowDxfId="29" dataDxfId="28" headerRowBorderDxfId="26" tableBorderDxfId="27" dataCellStyle="Percent">
  <autoFilter ref="A4:J16" xr:uid="{59A959C2-52B2-422A-A87A-BC08BBF40681}"/>
  <tableColumns count="10">
    <tableColumn id="1" xr3:uid="{F77B3045-B0CB-4BB3-B8A3-451935FFB002}" name="Month" dataDxfId="25"/>
    <tableColumn id="2" xr3:uid="{1888C827-310D-4468-B38B-03C0BC445520}" name="Actual" dataDxfId="24"/>
    <tableColumn id="3" xr3:uid="{3FC5404C-35B2-4013-89EB-B3C634A64558}" name="Expected" dataDxfId="23"/>
    <tableColumn id="4" xr3:uid="{A08DF020-FE41-488E-9452-98FD599E25B5}" name="Delta Expected" dataDxfId="22">
      <calculatedColumnFormula>B5-C5</calculatedColumnFormula>
    </tableColumn>
    <tableColumn id="5" xr3:uid="{452CED36-757C-43F7-81FF-C1F13469CC7E}" name="% Expected" dataDxfId="21" dataCellStyle="Percent">
      <calculatedColumnFormula>IFERROR(D5/C5, 0)</calculatedColumnFormula>
    </tableColumn>
    <tableColumn id="6" xr3:uid="{80E24364-2E8B-4956-913D-5B1B84EB1A2A}" name="Forecasted" dataDxfId="20"/>
    <tableColumn id="7" xr3:uid="{5C3DC6C4-2932-4CC5-BFD7-4696421E7863}" name="Delta Forecasted" dataDxfId="19" dataCellStyle="Comma">
      <calculatedColumnFormula>B5-F5</calculatedColumnFormula>
    </tableColumn>
    <tableColumn id="8" xr3:uid="{867249A3-CAF5-4448-96D6-6FBA1CB76D56}" name="% Forecasted" dataDxfId="18" dataCellStyle="Percent">
      <calculatedColumnFormula>IFERROR(G5/F5, 0)</calculatedColumnFormula>
    </tableColumn>
    <tableColumn id="9" xr3:uid="{326AA964-6871-4869-8CBE-E38A969BBE3F}" name="Notes" dataDxfId="17" dataCellStyle="Percent"/>
    <tableColumn id="10" xr3:uid="{D3FF5B14-6FAB-45CD-AF7B-CA887BDC626D}" name="Service Request" dataDxfId="16" dataCellStyle="Percen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00ED81F-3F79-44A1-8E6F-5C3F696D9220}" name="Data18194567891011" displayName="Data18194567891011" ref="A4:J16" totalsRowShown="0" headerRowDxfId="13" dataDxfId="12" headerRowBorderDxfId="10" tableBorderDxfId="11" dataCellStyle="Percent">
  <autoFilter ref="A4:J16" xr:uid="{59A959C2-52B2-422A-A87A-BC08BBF40681}"/>
  <tableColumns count="10">
    <tableColumn id="1" xr3:uid="{8C9C2CB2-228B-4D82-8F02-090B3FB8058F}" name="Month" dataDxfId="9"/>
    <tableColumn id="2" xr3:uid="{BBB5B258-9D40-40CE-8314-BA50C4641E70}" name="Actual" dataDxfId="8"/>
    <tableColumn id="3" xr3:uid="{DF8C8117-BF6D-4B65-864A-885BA9A4E3F0}" name="Expected" dataDxfId="7"/>
    <tableColumn id="4" xr3:uid="{7578A5F1-FF8C-4414-905D-391CE3277BB0}" name="Delta Expected" dataDxfId="6">
      <calculatedColumnFormula>B5-C5</calculatedColumnFormula>
    </tableColumn>
    <tableColumn id="5" xr3:uid="{92E1DAB6-28B5-4045-976C-9FCFE3502F8A}" name="% Expected" dataDxfId="5" dataCellStyle="Percent">
      <calculatedColumnFormula>IFERROR(D5/C5, 0)</calculatedColumnFormula>
    </tableColumn>
    <tableColumn id="6" xr3:uid="{20B7EAC1-6566-4894-831E-0C67B150A7EB}" name="Forecasted" dataDxfId="4"/>
    <tableColumn id="7" xr3:uid="{AE874C42-3D84-4BB3-9E24-D2E3123CC14E}" name="Delta Forecasted" dataDxfId="3" dataCellStyle="Comma">
      <calculatedColumnFormula>B5-F5</calculatedColumnFormula>
    </tableColumn>
    <tableColumn id="8" xr3:uid="{DA1FBE74-2829-480D-8E6E-60DE93E79D49}" name="% Forecasted" dataDxfId="2" dataCellStyle="Percent">
      <calculatedColumnFormula>IFERROR(G5/F5, 0)</calculatedColumnFormula>
    </tableColumn>
    <tableColumn id="9" xr3:uid="{CD6E5D0A-5192-401F-B8C8-506E6FC2DC3F}" name="Notes" dataDxfId="1" dataCellStyle="Percent"/>
    <tableColumn id="10" xr3:uid="{7D0F2FCC-91A1-43EB-9779-F514273D6652}" name="Service Request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K30"/>
  <sheetViews>
    <sheetView view="pageBreakPreview" zoomScale="60" zoomScaleNormal="100" workbookViewId="0">
      <pane ySplit="2" topLeftCell="A3" activePane="bottomLeft" state="frozen"/>
      <selection pane="bottomLeft" activeCell="C29" sqref="C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0</v>
      </c>
      <c r="D1" s="167"/>
      <c r="E1" s="167"/>
      <c r="F1" s="168"/>
      <c r="G1" s="169" t="s">
        <v>1</v>
      </c>
      <c r="H1" s="169"/>
      <c r="I1" s="170"/>
      <c r="J1" s="158" t="s">
        <v>2</v>
      </c>
      <c r="K1" s="158" t="s">
        <v>3</v>
      </c>
    </row>
    <row r="2" spans="1:11" ht="14.2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>
        <f ca="1">SUM('1st Quarter 2023'!C3, '2nd Quarter 2023'!C3, '3rd Quarter 2023'!C3, '4th Quarter 2024'!C3)</f>
        <v>124703.5</v>
      </c>
      <c r="D3" s="38">
        <f ca="1">SUM('1st Quarter 2023'!D3, '2nd Quarter 2023'!D3, '3rd Quarter 2023'!D3, '4th Quarter 2024'!D3)</f>
        <v>103355.9</v>
      </c>
      <c r="E3" s="38">
        <f ca="1">C3-D3</f>
        <v>21347.600000000006</v>
      </c>
      <c r="F3" s="39">
        <f ca="1">IFERROR(E3/D3, 0)</f>
        <v>0.20654457075019431</v>
      </c>
      <c r="G3" s="40">
        <f ca="1">SUM('1st Quarter 2023'!G3, '2nd Quarter 2023'!G3, '3rd Quarter 2023'!G3, '4th Quarter 2024'!G3)</f>
        <v>146126.1</v>
      </c>
      <c r="H3" s="40">
        <f ca="1">C3-G3</f>
        <v>-21422.600000000006</v>
      </c>
      <c r="I3" s="41">
        <f ca="1">IFERROR(H3/G3, 0)</f>
        <v>-0.14660351573059163</v>
      </c>
      <c r="J3" s="17"/>
      <c r="K3" s="17"/>
    </row>
    <row r="4" spans="1:11" ht="15.75">
      <c r="A4" s="72" t="str">
        <v>Barton Acres</v>
      </c>
      <c r="B4" s="18" t="str">
        <v>MA</v>
      </c>
      <c r="C4" s="38">
        <f ca="1">SUM('1st Quarter 2023'!C4, '2nd Quarter 2023'!C4, '3rd Quarter 2023'!C4, '4th Quarter 2024'!C4)</f>
        <v>31509</v>
      </c>
      <c r="D4" s="38">
        <f ca="1">SUM('1st Quarter 2023'!D4, '2nd Quarter 2023'!D4, '3rd Quarter 2023'!D4, '4th Quarter 2024'!D4)</f>
        <v>84215.44</v>
      </c>
      <c r="E4" s="38">
        <f t="shared" ref="E4:E11" ca="1" si="0">C4-D4</f>
        <v>-52706.44</v>
      </c>
      <c r="F4" s="39">
        <f t="shared" ref="F4:F23" ca="1" si="1">IFERROR(E4/D4, 0)</f>
        <v>-0.62585245650916266</v>
      </c>
      <c r="G4" s="40">
        <f ca="1">SUM('1st Quarter 2023'!G4, '2nd Quarter 2023'!G4, '3rd Quarter 2023'!G4, '4th Quarter 2024'!G4)</f>
        <v>69453.119999999995</v>
      </c>
      <c r="H4" s="40">
        <f t="shared" ref="H4:H23" ca="1" si="2">C4-G4</f>
        <v>-37944.119999999995</v>
      </c>
      <c r="I4" s="41">
        <f t="shared" ref="I4:I23" ca="1" si="3">IFERROR(H4/G4, 0)</f>
        <v>-0.5463270764509931</v>
      </c>
      <c r="J4" s="17"/>
      <c r="K4" s="17"/>
    </row>
    <row r="5" spans="1:11" ht="15.75">
      <c r="A5" s="73" t="str">
        <v>Bowden</v>
      </c>
      <c r="B5" s="37" t="str">
        <v>MA</v>
      </c>
      <c r="C5" s="38">
        <f ca="1">SUM('1st Quarter 2023'!C5, '2nd Quarter 2023'!C5, '3rd Quarter 2023'!C5, '4th Quarter 2024'!C5)</f>
        <v>69313</v>
      </c>
      <c r="D5" s="38">
        <f ca="1">SUM('1st Quarter 2023'!D5, '2nd Quarter 2023'!D5, '3rd Quarter 2023'!D5, '4th Quarter 2024'!D5)</f>
        <v>124922.7</v>
      </c>
      <c r="E5" s="38">
        <f t="shared" ca="1" si="0"/>
        <v>-55609.7</v>
      </c>
      <c r="F5" s="39">
        <f t="shared" ca="1" si="1"/>
        <v>-0.4451528825425643</v>
      </c>
      <c r="G5" s="40">
        <f ca="1">SUM('1st Quarter 2023'!G5, '2nd Quarter 2023'!G5, '3rd Quarter 2023'!G5, '4th Quarter 2024'!G5)</f>
        <v>167677.4</v>
      </c>
      <c r="H5" s="40">
        <f t="shared" ca="1" si="2"/>
        <v>-98364.4</v>
      </c>
      <c r="I5" s="41">
        <f t="shared" ca="1" si="3"/>
        <v>-0.58662884801410331</v>
      </c>
      <c r="J5" s="17"/>
      <c r="K5" s="17"/>
    </row>
    <row r="6" spans="1:11" ht="15.75">
      <c r="A6" s="72" t="str">
        <v>Blair Wire Village</v>
      </c>
      <c r="B6" s="18" t="str">
        <v>MA</v>
      </c>
      <c r="C6" s="38">
        <f ca="1">SUM('1st Quarter 2023'!C6, '2nd Quarter 2023'!C6, '3rd Quarter 2023'!C6, '4th Quarter 2024'!C6)</f>
        <v>38474</v>
      </c>
      <c r="D6" s="38">
        <f ca="1">SUM('1st Quarter 2023'!D6, '2nd Quarter 2023'!D6, '3rd Quarter 2023'!D6, '4th Quarter 2024'!D6)</f>
        <v>97645.68</v>
      </c>
      <c r="E6" s="38">
        <f t="shared" ca="1" si="0"/>
        <v>-59171.679999999993</v>
      </c>
      <c r="F6" s="39">
        <f t="shared" ca="1" si="1"/>
        <v>-0.60598359292495063</v>
      </c>
      <c r="G6" s="40">
        <f ca="1">SUM('1st Quarter 2023'!G6, '2nd Quarter 2023'!G6, '3rd Quarter 2023'!G6, '4th Quarter 2024'!G6)</f>
        <v>83112.14</v>
      </c>
      <c r="H6" s="40">
        <f t="shared" ca="1" si="2"/>
        <v>-44638.14</v>
      </c>
      <c r="I6" s="41">
        <f t="shared" ca="1" si="3"/>
        <v>-0.53708327086752905</v>
      </c>
      <c r="J6" s="17"/>
      <c r="K6" s="17"/>
    </row>
    <row r="7" spans="1:11" ht="15.75">
      <c r="A7" s="73" t="str">
        <v>Boutilier</v>
      </c>
      <c r="B7" s="37" t="str">
        <v>MA</v>
      </c>
      <c r="C7" s="38">
        <f ca="1">SUM('1st Quarter 2023'!C7, '2nd Quarter 2023'!C7, '3rd Quarter 2023'!C7, '4th Quarter 2024'!C7)</f>
        <v>104475</v>
      </c>
      <c r="D7" s="38">
        <f ca="1">SUM('1st Quarter 2023'!D7, '2nd Quarter 2023'!D7, '3rd Quarter 2023'!D7, '4th Quarter 2024'!D7)</f>
        <v>117645.2</v>
      </c>
      <c r="E7" s="38">
        <f t="shared" ca="1" si="0"/>
        <v>-13170.199999999997</v>
      </c>
      <c r="F7" s="39">
        <f t="shared" ca="1" si="1"/>
        <v>-0.11194846878580679</v>
      </c>
      <c r="G7" s="40">
        <f ca="1">SUM('1st Quarter 2023'!G7, '2nd Quarter 2023'!G7, '3rd Quarter 2023'!G7, '4th Quarter 2024'!G7)</f>
        <v>190658.8</v>
      </c>
      <c r="H7" s="40">
        <f t="shared" ca="1" si="2"/>
        <v>-86183.799999999988</v>
      </c>
      <c r="I7" s="41">
        <f t="shared" ca="1" si="3"/>
        <v>-0.45203158731723891</v>
      </c>
      <c r="J7" s="19"/>
      <c r="K7" s="19"/>
    </row>
    <row r="8" spans="1:11" ht="15.75">
      <c r="A8" s="72" t="str">
        <v>Cherry Valley</v>
      </c>
      <c r="B8" s="18" t="str">
        <v>MA</v>
      </c>
      <c r="C8" s="38">
        <f ca="1">SUM('1st Quarter 2023'!C8, '2nd Quarter 2023'!C16, '3rd Quarter 2023'!C8, '4th Quarter 2024'!C8)</f>
        <v>33861</v>
      </c>
      <c r="D8" s="38">
        <f ca="1">SUM('1st Quarter 2023'!D8, '2nd Quarter 2023'!D16, '3rd Quarter 2023'!D8, '4th Quarter 2024'!D8)</f>
        <v>93717.02</v>
      </c>
      <c r="E8" s="38">
        <f t="shared" ca="1" si="0"/>
        <v>-59856.020000000004</v>
      </c>
      <c r="F8" s="39">
        <f t="shared" ca="1" si="1"/>
        <v>-0.63868889557094322</v>
      </c>
      <c r="G8" s="40">
        <f ca="1">SUM('1st Quarter 2023'!G8, '2nd Quarter 2023'!G16, '3rd Quarter 2023'!G8, '4th Quarter 2024'!G8)</f>
        <v>77483</v>
      </c>
      <c r="H8" s="40">
        <f t="shared" ca="1" si="2"/>
        <v>-43622</v>
      </c>
      <c r="I8" s="41">
        <f t="shared" ca="1" si="3"/>
        <v>-0.56298801027322121</v>
      </c>
      <c r="J8" s="17"/>
      <c r="K8" s="17"/>
    </row>
    <row r="9" spans="1:11" ht="15.75">
      <c r="A9" s="73" t="str">
        <v>Cohasse</v>
      </c>
      <c r="B9" s="37" t="str">
        <v>MA</v>
      </c>
      <c r="C9" s="38">
        <f ca="1">SUM('1st Quarter 2023'!C9, '2nd Quarter 2023'!C17, '3rd Quarter 2023'!C17, '4th Quarter 2024'!C9)</f>
        <v>37057</v>
      </c>
      <c r="D9" s="38">
        <f ca="1">SUM('1st Quarter 2023'!D9, '2nd Quarter 2023'!D17, '3rd Quarter 2023'!D17, '4th Quarter 2024'!D9)</f>
        <v>86836.54</v>
      </c>
      <c r="E9" s="38">
        <f t="shared" ca="1" si="0"/>
        <v>-49779.539999999994</v>
      </c>
      <c r="F9" s="39">
        <f t="shared" ca="1" si="1"/>
        <v>-0.57325568245809888</v>
      </c>
      <c r="G9" s="40">
        <f ca="1">SUM('1st Quarter 2023'!G9, '2nd Quarter 2023'!G17, '3rd Quarter 2023'!G17, '4th Quarter 2024'!G9)</f>
        <v>114180.6</v>
      </c>
      <c r="H9" s="40">
        <f t="shared" ca="1" si="2"/>
        <v>-77123.600000000006</v>
      </c>
      <c r="I9" s="41">
        <f t="shared" ca="1" si="3"/>
        <v>-0.67545274766466457</v>
      </c>
      <c r="J9" s="20"/>
      <c r="K9" s="21"/>
    </row>
    <row r="10" spans="1:11" ht="15.75">
      <c r="A10" s="72" t="str">
        <v>ISM Dighton Solar 2</v>
      </c>
      <c r="B10" s="18" t="str">
        <v>MA</v>
      </c>
      <c r="C10" s="38">
        <f ca="1">SUM('1st Quarter 2023'!C10, '2nd Quarter 2023'!C18, '3rd Quarter 2023'!C18, '4th Quarter 2024'!C10)</f>
        <v>123864</v>
      </c>
      <c r="D10" s="38">
        <f ca="1">SUM('1st Quarter 2023'!D10, '2nd Quarter 2023'!D18, '3rd Quarter 2023'!D18, '4th Quarter 2024'!D10)</f>
        <v>178054.9</v>
      </c>
      <c r="E10" s="38">
        <f t="shared" ca="1" si="0"/>
        <v>-54190.899999999994</v>
      </c>
      <c r="F10" s="39">
        <f t="shared" ca="1" si="1"/>
        <v>-0.30434938886826479</v>
      </c>
      <c r="G10" s="40">
        <f ca="1">SUM('1st Quarter 2023'!G10, '2nd Quarter 2023'!G18, '3rd Quarter 2023'!G18, '4th Quarter 2024'!G10)</f>
        <v>195853.9</v>
      </c>
      <c r="H10" s="40">
        <f t="shared" ca="1" si="2"/>
        <v>-71989.899999999994</v>
      </c>
      <c r="I10" s="41">
        <f t="shared" ca="1" si="3"/>
        <v>-0.36756939739264827</v>
      </c>
      <c r="J10" s="17"/>
      <c r="K10" s="17"/>
    </row>
    <row r="11" spans="1:11" ht="15.75">
      <c r="A11" s="73" t="str">
        <v>Dudley River 1</v>
      </c>
      <c r="B11" s="37" t="str">
        <v>MA</v>
      </c>
      <c r="C11" s="38">
        <f ca="1">SUM('1st Quarter 2023'!C11, '2nd Quarter 2023'!C19, '3rd Quarter 2023'!C19, '4th Quarter 2024'!C19)</f>
        <v>43519</v>
      </c>
      <c r="D11" s="38">
        <f ca="1">SUM('1st Quarter 2023'!D11, '2nd Quarter 2023'!D19, '3rd Quarter 2023'!D19, '4th Quarter 2024'!D19)</f>
        <v>68762.899999999994</v>
      </c>
      <c r="E11" s="38">
        <f t="shared" ca="1" si="0"/>
        <v>-25243.899999999994</v>
      </c>
      <c r="F11" s="39">
        <f t="shared" ca="1" si="1"/>
        <v>-0.36711511585462503</v>
      </c>
      <c r="G11" s="40">
        <f ca="1">SUM('1st Quarter 2023'!G11, '2nd Quarter 2023'!G19, '3rd Quarter 2023'!G19, '4th Quarter 2024'!G19)</f>
        <v>83762.23</v>
      </c>
      <c r="H11" s="40">
        <f t="shared" ca="1" si="2"/>
        <v>-40243.229999999996</v>
      </c>
      <c r="I11" s="41">
        <f t="shared" ca="1" si="3"/>
        <v>-0.48044601964393735</v>
      </c>
      <c r="J11" s="17"/>
      <c r="K11" s="17"/>
    </row>
    <row r="12" spans="1:11" ht="15.75">
      <c r="A12" s="72" t="str">
        <v>Dudley River 2</v>
      </c>
      <c r="B12" s="18" t="str">
        <v>MA</v>
      </c>
      <c r="C12" s="38">
        <f ca="1">SUM('1st Quarter 2023'!C12, '2nd Quarter 2023'!C20, '3rd Quarter 2023'!C20, '4th Quarter 2024'!C20)</f>
        <v>44123</v>
      </c>
      <c r="D12" s="38">
        <f ca="1">SUM('1st Quarter 2023'!D12, '2nd Quarter 2023'!D20, '3rd Quarter 2023'!D20, '4th Quarter 2024'!D20)</f>
        <v>70139.570000000007</v>
      </c>
      <c r="E12" s="38">
        <f t="shared" ref="E12:E23" ca="1" si="4">C12-D12</f>
        <v>-26016.570000000007</v>
      </c>
      <c r="F12" s="39">
        <f t="shared" ca="1" si="1"/>
        <v>-0.37092571283228576</v>
      </c>
      <c r="G12" s="40">
        <f ca="1">SUM('1st Quarter 2023'!G12, '2nd Quarter 2023'!G20, '3rd Quarter 2023'!G20, '4th Quarter 2024'!G20)</f>
        <v>81919.429999999993</v>
      </c>
      <c r="H12" s="40">
        <f t="shared" ca="1" si="2"/>
        <v>-37796.429999999993</v>
      </c>
      <c r="I12" s="41">
        <f t="shared" ca="1" si="3"/>
        <v>-0.46138541247174203</v>
      </c>
      <c r="J12" s="17"/>
      <c r="K12" s="17"/>
    </row>
    <row r="13" spans="1:11" ht="15.75">
      <c r="A13" s="73" t="str">
        <v>Dudley River 3</v>
      </c>
      <c r="B13" s="37" t="str">
        <v>MA</v>
      </c>
      <c r="C13" s="38">
        <f ca="1">SUM('1st Quarter 2023'!C13, '2nd Quarter 2023'!C21, '3rd Quarter 2023'!C21, '4th Quarter 2024'!C21)</f>
        <v>47297</v>
      </c>
      <c r="D13" s="38">
        <f ca="1">SUM('1st Quarter 2023'!D13, '2nd Quarter 2023'!D21, '3rd Quarter 2023'!D21, '4th Quarter 2024'!D21)</f>
        <v>71573.83</v>
      </c>
      <c r="E13" s="38">
        <f t="shared" ca="1" si="4"/>
        <v>-24276.83</v>
      </c>
      <c r="F13" s="39">
        <f t="shared" ca="1" si="1"/>
        <v>-0.33918584488213083</v>
      </c>
      <c r="G13" s="40">
        <f ca="1">SUM('1st Quarter 2023'!G13, '2nd Quarter 2023'!G21, '3rd Quarter 2023'!G21, '4th Quarter 2024'!G21)</f>
        <v>84149.19</v>
      </c>
      <c r="H13" s="40">
        <f t="shared" ca="1" si="2"/>
        <v>-36852.19</v>
      </c>
      <c r="I13" s="41">
        <f t="shared" ca="1" si="3"/>
        <v>-0.43793873714054765</v>
      </c>
      <c r="J13" s="17"/>
      <c r="K13" s="17"/>
    </row>
    <row r="14" spans="1:11" ht="15.75">
      <c r="A14" s="72" t="str">
        <v>Flint Pond</v>
      </c>
      <c r="B14" s="18" t="str">
        <v>MA</v>
      </c>
      <c r="C14" s="38">
        <f ca="1">SUM('1st Quarter 2023'!C14, '2nd Quarter 2023'!C22, '3rd Quarter 2023'!C22, '4th Quarter 2024'!C22)</f>
        <v>16497.5</v>
      </c>
      <c r="D14" s="38">
        <f ca="1">SUM('1st Quarter 2023'!D14, '2nd Quarter 2023'!D22, '3rd Quarter 2023'!D22, '4th Quarter 2024'!D22)</f>
        <v>40276</v>
      </c>
      <c r="E14" s="38">
        <f t="shared" ca="1" si="4"/>
        <v>-23778.5</v>
      </c>
      <c r="F14" s="39">
        <f t="shared" ca="1" si="1"/>
        <v>-0.59038881716158509</v>
      </c>
      <c r="G14" s="40">
        <f ca="1">SUM('1st Quarter 2023'!G14, '2nd Quarter 2023'!G22, '3rd Quarter 2023'!G22, '4th Quarter 2024'!G22)</f>
        <v>33543.68</v>
      </c>
      <c r="H14" s="40">
        <f t="shared" ca="1" si="2"/>
        <v>-17046.18</v>
      </c>
      <c r="I14" s="41">
        <f t="shared" ca="1" si="3"/>
        <v>-0.50817858982675723</v>
      </c>
      <c r="J14" s="17"/>
      <c r="K14" s="17"/>
    </row>
    <row r="15" spans="1:11" ht="15.75">
      <c r="A15" s="73" t="str">
        <v>Incom</v>
      </c>
      <c r="B15" s="37" t="str">
        <v>MA</v>
      </c>
      <c r="C15" s="38">
        <f ca="1">SUM('1st Quarter 2023'!C15, '2nd Quarter 2023'!C23, '3rd Quarter 2023'!C23, '4th Quarter 2024'!C23)</f>
        <v>83086</v>
      </c>
      <c r="D15" s="38">
        <f ca="1">SUM('1st Quarter 2023'!D15, '2nd Quarter 2023'!D23, '3rd Quarter 2023'!D23, '4th Quarter 2024'!D23)</f>
        <v>159872.4</v>
      </c>
      <c r="E15" s="38">
        <f t="shared" ca="1" si="4"/>
        <v>-76786.399999999994</v>
      </c>
      <c r="F15" s="39">
        <f t="shared" ca="1" si="1"/>
        <v>-0.4802980376850538</v>
      </c>
      <c r="G15" s="40">
        <f ca="1">SUM('1st Quarter 2023'!G15, '2nd Quarter 2023'!G23, '3rd Quarter 2023'!G23, '4th Quarter 2024'!G23)</f>
        <v>220156.9</v>
      </c>
      <c r="H15" s="40">
        <f t="shared" ca="1" si="2"/>
        <v>-137070.9</v>
      </c>
      <c r="I15" s="41">
        <f t="shared" ca="1" si="3"/>
        <v>-0.62260551452168889</v>
      </c>
      <c r="J15" s="17"/>
      <c r="K15" s="17"/>
    </row>
    <row r="16" spans="1:11" ht="15.75">
      <c r="A16" s="72" t="str">
        <v>JH</v>
      </c>
      <c r="B16" s="18" t="str">
        <v>MA</v>
      </c>
      <c r="C16" s="38">
        <f ca="1">SUM('1st Quarter 2023'!C16, '2nd Quarter 2023'!C24, '3rd Quarter 2023'!C24, '4th Quarter 2024'!C24)</f>
        <v>32274</v>
      </c>
      <c r="D16" s="38">
        <f ca="1">SUM('1st Quarter 2023'!D16, '2nd Quarter 2023'!D24, '3rd Quarter 2023'!D24, '4th Quarter 2024'!D24)</f>
        <v>86355.93</v>
      </c>
      <c r="E16" s="38">
        <f t="shared" ca="1" si="4"/>
        <v>-54081.929999999993</v>
      </c>
      <c r="F16" s="39">
        <f t="shared" ca="1" si="1"/>
        <v>-0.62626770390869502</v>
      </c>
      <c r="G16" s="40">
        <f ca="1">SUM('1st Quarter 2023'!G16, '2nd Quarter 2023'!G24, '3rd Quarter 2023'!G24, '4th Quarter 2024'!G24)</f>
        <v>106218.7</v>
      </c>
      <c r="H16" s="40">
        <f t="shared" ca="1" si="2"/>
        <v>-73944.7</v>
      </c>
      <c r="I16" s="41">
        <f t="shared" ca="1" si="3"/>
        <v>-0.69615519677796844</v>
      </c>
      <c r="J16" s="17"/>
      <c r="K16" s="17"/>
    </row>
    <row r="17" spans="1:11" ht="15.75">
      <c r="A17" s="73" t="str">
        <v>Ledeaux</v>
      </c>
      <c r="B17" s="37" t="str">
        <v>MA</v>
      </c>
      <c r="C17" s="38">
        <f ca="1">SUM('1st Quarter 2023'!C17, '2nd Quarter 2023'!C25, '3rd Quarter 2023'!C25, '4th Quarter 2024'!C25)</f>
        <v>28537</v>
      </c>
      <c r="D17" s="38">
        <f ca="1">SUM('1st Quarter 2023'!D17, '2nd Quarter 2023'!D25, '3rd Quarter 2023'!D25, '4th Quarter 2024'!D25)</f>
        <v>58671.27</v>
      </c>
      <c r="E17" s="38">
        <f t="shared" ca="1" si="4"/>
        <v>-30134.269999999997</v>
      </c>
      <c r="F17" s="39">
        <f t="shared" ca="1" si="1"/>
        <v>-0.51361202851071741</v>
      </c>
      <c r="G17" s="40">
        <f ca="1">SUM('1st Quarter 2023'!G17, '2nd Quarter 2023'!G25, '3rd Quarter 2023'!G25, '4th Quarter 2024'!G25)</f>
        <v>98769.99</v>
      </c>
      <c r="H17" s="40">
        <f t="shared" ca="1" si="2"/>
        <v>-70232.990000000005</v>
      </c>
      <c r="I17" s="41">
        <f t="shared" ca="1" si="3"/>
        <v>-0.71107620847182429</v>
      </c>
      <c r="J17" s="17"/>
      <c r="K17" s="17"/>
    </row>
    <row r="18" spans="1:11" ht="15.75">
      <c r="A18" s="72" t="str">
        <v>Palombo A</v>
      </c>
      <c r="B18" s="18" t="str">
        <v>MA</v>
      </c>
      <c r="C18" s="38">
        <f ca="1">SUM('1st Quarter 2023'!C18, '2nd Quarter 2023'!C26, '3rd Quarter 2023'!C26, '4th Quarter 2024'!C26)</f>
        <v>79689.003333337605</v>
      </c>
      <c r="D18" s="38">
        <f ca="1">SUM('1st Quarter 2023'!D18, '2nd Quarter 2023'!D26, '3rd Quarter 2023'!D26, '4th Quarter 2024'!D26)</f>
        <v>187942.8</v>
      </c>
      <c r="E18" s="38">
        <f t="shared" ca="1" si="4"/>
        <v>-108253.79666666238</v>
      </c>
      <c r="F18" s="39">
        <f t="shared" ca="1" si="1"/>
        <v>-0.57599331640617457</v>
      </c>
      <c r="G18" s="40">
        <f ca="1">SUM('1st Quarter 2023'!G18, '2nd Quarter 2023'!G26, '3rd Quarter 2023'!G26, '4th Quarter 2024'!G26)</f>
        <v>250093</v>
      </c>
      <c r="H18" s="40">
        <f t="shared" ca="1" si="2"/>
        <v>-170403.9966666624</v>
      </c>
      <c r="I18" s="41">
        <f t="shared" ca="1" si="3"/>
        <v>-0.68136251980928053</v>
      </c>
      <c r="J18" s="17"/>
      <c r="K18" s="17"/>
    </row>
    <row r="19" spans="1:11" ht="15.75">
      <c r="A19" s="73" t="str">
        <v>Palombo B</v>
      </c>
      <c r="B19" s="37" t="str">
        <v>MA</v>
      </c>
      <c r="C19" s="38">
        <f ca="1">SUM('1st Quarter 2023'!C19, '2nd Quarter 2023'!C27, '3rd Quarter 2023'!C27, '4th Quarter 2024'!C27)</f>
        <v>32703</v>
      </c>
      <c r="D19" s="38">
        <f ca="1">SUM('1st Quarter 2023'!D19, '2nd Quarter 2023'!D27, '3rd Quarter 2023'!D27, '4th Quarter 2024'!D27)</f>
        <v>91961.55</v>
      </c>
      <c r="E19" s="38">
        <f t="shared" ca="1" si="4"/>
        <v>-59258.55</v>
      </c>
      <c r="F19" s="39">
        <f t="shared" ca="1" si="1"/>
        <v>-0.64438398439347755</v>
      </c>
      <c r="G19" s="40">
        <f ca="1">SUM('1st Quarter 2023'!G19, '2nd Quarter 2023'!G27, '3rd Quarter 2023'!G27, '4th Quarter 2024'!G27)</f>
        <v>71768.39</v>
      </c>
      <c r="H19" s="40">
        <f t="shared" ca="1" si="2"/>
        <v>-39065.39</v>
      </c>
      <c r="I19" s="41">
        <f t="shared" ca="1" si="3"/>
        <v>-0.54432585153435931</v>
      </c>
      <c r="J19" s="17"/>
      <c r="K19" s="17"/>
    </row>
    <row r="20" spans="1:11" ht="15.75">
      <c r="A20" s="72" t="str">
        <v>St Josephs Church</v>
      </c>
      <c r="B20" s="18" t="str">
        <v>MA</v>
      </c>
      <c r="C20" s="38">
        <f ca="1">SUM('1st Quarter 2023'!C20, '2nd Quarter 2023'!C28, '3rd Quarter 2023'!C28, '4th Quarter 2024'!C28)</f>
        <v>37183</v>
      </c>
      <c r="D20" s="38">
        <f ca="1">SUM('1st Quarter 2023'!D20, '2nd Quarter 2023'!D28, '3rd Quarter 2023'!D28, '4th Quarter 2024'!D28)</f>
        <v>87772.32</v>
      </c>
      <c r="E20" s="38">
        <f t="shared" ca="1" si="4"/>
        <v>-50589.320000000007</v>
      </c>
      <c r="F20" s="39">
        <f t="shared" ca="1" si="1"/>
        <v>-0.57636986238941845</v>
      </c>
      <c r="G20" s="40">
        <f ca="1">SUM('1st Quarter 2023'!G20, '2nd Quarter 2023'!G28, '3rd Quarter 2023'!G28, '4th Quarter 2024'!G28)</f>
        <v>91531.02</v>
      </c>
      <c r="H20" s="40">
        <f t="shared" ca="1" si="2"/>
        <v>-54348.020000000004</v>
      </c>
      <c r="I20" s="41">
        <f t="shared" ca="1" si="3"/>
        <v>-0.59376613524027155</v>
      </c>
      <c r="J20" s="17"/>
      <c r="K20" s="17"/>
    </row>
    <row r="21" spans="1:11" ht="15.75">
      <c r="A21" s="73" t="str">
        <v>Sunset A</v>
      </c>
      <c r="B21" s="37" t="str">
        <v>MA</v>
      </c>
      <c r="C21" s="38">
        <f ca="1">SUM('1st Quarter 2023'!C21, '2nd Quarter 2023'!C29, '3rd Quarter 2023'!C29, '4th Quarter 2024'!C29)</f>
        <v>16708.5</v>
      </c>
      <c r="D21" s="38">
        <f ca="1">SUM('1st Quarter 2023'!D21, '2nd Quarter 2023'!D29, '3rd Quarter 2023'!D29, '4th Quarter 2024'!D29)</f>
        <v>42789.35</v>
      </c>
      <c r="E21" s="38">
        <f t="shared" ca="1" si="4"/>
        <v>-26080.85</v>
      </c>
      <c r="F21" s="39">
        <f t="shared" ca="1" si="1"/>
        <v>-0.60951732148303261</v>
      </c>
      <c r="G21" s="40">
        <f ca="1">SUM('1st Quarter 2023'!G21, '2nd Quarter 2023'!G29, '3rd Quarter 2023'!G29, '4th Quarter 2024'!G29)</f>
        <v>32696.87</v>
      </c>
      <c r="H21" s="40">
        <f t="shared" ca="1" si="2"/>
        <v>-15988.369999999999</v>
      </c>
      <c r="I21" s="41">
        <f t="shared" ca="1" si="3"/>
        <v>-0.48898778384597669</v>
      </c>
      <c r="J21" s="17"/>
      <c r="K21" s="17"/>
    </row>
    <row r="22" spans="1:11" ht="15.75">
      <c r="A22" s="72" t="str">
        <v>Sunset B</v>
      </c>
      <c r="B22" s="18" t="str">
        <v>MA</v>
      </c>
      <c r="C22" s="38">
        <f ca="1">SUM('1st Quarter 2023'!C22, '2nd Quarter 2023'!C30, '3rd Quarter 2023'!C30, '4th Quarter 2024'!C30)</f>
        <v>16074.25</v>
      </c>
      <c r="D22" s="38">
        <f ca="1">SUM('1st Quarter 2023'!D22, '2nd Quarter 2023'!D30, '3rd Quarter 2023'!D30, '4th Quarter 2024'!D30)</f>
        <v>29669.200000000001</v>
      </c>
      <c r="E22" s="38">
        <f t="shared" ca="1" si="4"/>
        <v>-13594.95</v>
      </c>
      <c r="F22" s="39">
        <f t="shared" ca="1" si="1"/>
        <v>-0.45821761287800145</v>
      </c>
      <c r="G22" s="40">
        <f ca="1">SUM('1st Quarter 2023'!G22, '2nd Quarter 2023'!G30, '3rd Quarter 2023'!G30, '4th Quarter 2024'!G30)</f>
        <v>32307.32</v>
      </c>
      <c r="H22" s="40">
        <f t="shared" ca="1" si="2"/>
        <v>-16233.07</v>
      </c>
      <c r="I22" s="41">
        <f t="shared" ca="1" si="3"/>
        <v>-0.50245795689645567</v>
      </c>
      <c r="J22" s="17"/>
      <c r="K22" s="17"/>
    </row>
    <row r="23" spans="1:11" ht="15.75">
      <c r="A23" s="73" t="str">
        <v>Woodchuck</v>
      </c>
      <c r="B23" s="37" t="str">
        <v>MA</v>
      </c>
      <c r="C23" s="38">
        <f ca="1">SUM('1st Quarter 2023'!C23, '2nd Quarter 2023'!C31, '3rd Quarter 2023'!C31, '4th Quarter 2024'!C31)</f>
        <v>33788</v>
      </c>
      <c r="D23" s="38">
        <f ca="1">SUM('1st Quarter 2023'!D23, '2nd Quarter 2023'!D31, '3rd Quarter 2023'!D31, '4th Quarter 2024'!D31)</f>
        <v>71556.679999999993</v>
      </c>
      <c r="E23" s="38">
        <f t="shared" ca="1" si="4"/>
        <v>-37768.679999999993</v>
      </c>
      <c r="F23" s="39">
        <f t="shared" ca="1" si="1"/>
        <v>-0.52781487346813738</v>
      </c>
      <c r="G23" s="40">
        <f ca="1">SUM('1st Quarter 2023'!G23, '2nd Quarter 2023'!G31, '3rd Quarter 2023'!G31, '4th Quarter 2024'!G31)</f>
        <v>96097.7</v>
      </c>
      <c r="H23" s="40">
        <f t="shared" ca="1" si="2"/>
        <v>-62309.7</v>
      </c>
      <c r="I23" s="41">
        <f t="shared" ca="1" si="3"/>
        <v>-0.64839949343220493</v>
      </c>
      <c r="J23" s="17"/>
      <c r="K23" s="17"/>
    </row>
    <row r="24" spans="1:11" ht="24.75" customHeight="1">
      <c r="A24" s="160" t="s">
        <v>11</v>
      </c>
      <c r="B24" s="161"/>
      <c r="C24" s="54">
        <f ca="1">SUM(C3:C23)</f>
        <v>1074735.7533333376</v>
      </c>
      <c r="D24" s="54">
        <f ca="1">SUM(D3:D23)</f>
        <v>1953737.1800000002</v>
      </c>
      <c r="E24" s="54">
        <f ca="1">C24-D24</f>
        <v>-879001.42666666256</v>
      </c>
      <c r="F24" s="94">
        <f ca="1">IFERROR(E24/D24, 0)</f>
        <v>-0.44990771310738042</v>
      </c>
      <c r="G24" s="54">
        <f ca="1">SUM(G3:G23)</f>
        <v>2327559.4799999995</v>
      </c>
      <c r="H24" s="55">
        <f ca="1">C24-G24</f>
        <v>-1252823.7266666619</v>
      </c>
      <c r="I24" s="49">
        <f ca="1">IFERROR(H24/G24, 0)</f>
        <v>-0.5382563742975377</v>
      </c>
      <c r="J24" s="9"/>
    </row>
    <row r="25" spans="1:11">
      <c r="J25" s="9"/>
    </row>
    <row r="26" spans="1:11" ht="12.75" customHeight="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 ht="12.75" customHeight="1">
      <c r="A29" s="163"/>
      <c r="J29" s="9"/>
    </row>
    <row r="30" spans="1:11">
      <c r="J30" s="9"/>
    </row>
  </sheetData>
  <autoFilter ref="A2:I2" xr:uid="{D5C25034-9971-4A61-864F-C938F31EB1B8}"/>
  <mergeCells count="8">
    <mergeCell ref="K1:K2"/>
    <mergeCell ref="A24:B24"/>
    <mergeCell ref="A26:A27"/>
    <mergeCell ref="A28:A29"/>
    <mergeCell ref="A1:B1"/>
    <mergeCell ref="C1:F1"/>
    <mergeCell ref="G1:I1"/>
    <mergeCell ref="J1:J2"/>
  </mergeCells>
  <conditionalFormatting sqref="F3:F24 I3:I24">
    <cfRule type="cellIs" dxfId="379" priority="1" operator="lessThanOrEqual">
      <formula>-0.1</formula>
    </cfRule>
    <cfRule type="cellIs" dxfId="378" priority="2" operator="greaterThanOrEqual">
      <formula>0.1</formula>
    </cfRule>
  </conditionalFormatting>
  <pageMargins left="0.4" right="0.7" top="0.25" bottom="0.25" header="0.3" footer="0.3"/>
  <pageSetup scale="60"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0"/>
  <sheetViews>
    <sheetView workbookViewId="0">
      <pane ySplit="2" topLeftCell="A3" activePane="bottomLeft" state="frozen"/>
      <selection pane="bottomLeft" activeCell="C26" sqref="C26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14</v>
      </c>
      <c r="D1" s="167"/>
      <c r="E1" s="167"/>
      <c r="F1" s="168"/>
      <c r="G1" s="169" t="s">
        <v>15</v>
      </c>
      <c r="H1" s="169"/>
      <c r="I1" s="170"/>
      <c r="J1" s="158" t="s">
        <v>2</v>
      </c>
      <c r="K1" s="158" t="s">
        <v>3</v>
      </c>
    </row>
    <row r="2" spans="1:11" ht="14.2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>
        <f ca="1">SUM('01-2024'!C3, '02-2024'!C3, '03-2024'!C3)</f>
        <v>124703.5</v>
      </c>
      <c r="D3" s="38">
        <f ca="1">SUM('01-2024'!D3, '02-2024'!D3, '03-2024'!D3)</f>
        <v>103355.9</v>
      </c>
      <c r="E3" s="38">
        <f ca="1">C3-D3</f>
        <v>21347.600000000006</v>
      </c>
      <c r="F3" s="39">
        <f ca="1">IFERROR(E3/D3, 0)</f>
        <v>0.20654457075019431</v>
      </c>
      <c r="G3" s="40">
        <f ca="1">SUM('01-2024'!G3, '02-2024'!G3, '03-2024'!G3)</f>
        <v>146126.1</v>
      </c>
      <c r="H3" s="40">
        <f ca="1">C3-G3</f>
        <v>-21422.600000000006</v>
      </c>
      <c r="I3" s="41">
        <f ca="1">IFERROR(H3/G3, 0)</f>
        <v>-0.14660351573059163</v>
      </c>
      <c r="J3" s="17"/>
      <c r="K3" s="17"/>
    </row>
    <row r="4" spans="1:11" ht="15.75">
      <c r="A4" s="72" t="str">
        <v>Barton Acres</v>
      </c>
      <c r="B4" s="18" t="str">
        <v>MA</v>
      </c>
      <c r="C4" s="38">
        <f ca="1">SUM('01-2024'!C4, '02-2024'!C4, '03-2024'!C4)</f>
        <v>31509</v>
      </c>
      <c r="D4" s="38">
        <f ca="1">SUM('01-2024'!D4, '02-2024'!D4, '03-2024'!D4)</f>
        <v>84215.44</v>
      </c>
      <c r="E4" s="38">
        <f t="shared" ref="E4:E11" ca="1" si="0">C4-D4</f>
        <v>-52706.44</v>
      </c>
      <c r="F4" s="39">
        <f t="shared" ref="F4:F23" ca="1" si="1">IFERROR(E4/D4, 0)</f>
        <v>-0.62585245650916266</v>
      </c>
      <c r="G4" s="40">
        <f ca="1">SUM('01-2024'!G4, '02-2024'!G4, '03-2024'!G4)</f>
        <v>69453.119999999995</v>
      </c>
      <c r="H4" s="40">
        <f t="shared" ref="H4:H23" ca="1" si="2">C4-G4</f>
        <v>-37944.119999999995</v>
      </c>
      <c r="I4" s="41">
        <f t="shared" ref="I4:I23" ca="1" si="3">IFERROR(H4/G4, 0)</f>
        <v>-0.5463270764509931</v>
      </c>
      <c r="J4" s="17"/>
      <c r="K4" s="17"/>
    </row>
    <row r="5" spans="1:11" ht="15.75">
      <c r="A5" s="73" t="str">
        <v>Bowden</v>
      </c>
      <c r="B5" s="37" t="str">
        <v>MA</v>
      </c>
      <c r="C5" s="38">
        <f ca="1">SUM('01-2024'!C5, '02-2024'!C5, '03-2024'!C5)</f>
        <v>69313</v>
      </c>
      <c r="D5" s="38">
        <f ca="1">SUM('01-2024'!D5, '02-2024'!D5, '03-2024'!D5)</f>
        <v>124922.7</v>
      </c>
      <c r="E5" s="38">
        <f t="shared" ca="1" si="0"/>
        <v>-55609.7</v>
      </c>
      <c r="F5" s="39">
        <f t="shared" ca="1" si="1"/>
        <v>-0.4451528825425643</v>
      </c>
      <c r="G5" s="40">
        <f ca="1">SUM('01-2024'!G5, '02-2024'!G5, '03-2024'!G5)</f>
        <v>167677.4</v>
      </c>
      <c r="H5" s="40">
        <f t="shared" ca="1" si="2"/>
        <v>-98364.4</v>
      </c>
      <c r="I5" s="41">
        <f t="shared" ca="1" si="3"/>
        <v>-0.58662884801410331</v>
      </c>
      <c r="J5" s="17"/>
      <c r="K5" s="17"/>
    </row>
    <row r="6" spans="1:11" ht="15.75">
      <c r="A6" s="72" t="str">
        <v>Blair Wire Village</v>
      </c>
      <c r="B6" s="18" t="str">
        <v>MA</v>
      </c>
      <c r="C6" s="38">
        <f ca="1">SUM('01-2024'!C6, '02-2024'!C6, '03-2024'!C6)</f>
        <v>38474</v>
      </c>
      <c r="D6" s="38">
        <f ca="1">SUM('01-2024'!D6, '02-2024'!D6, '03-2024'!D6)</f>
        <v>97645.68</v>
      </c>
      <c r="E6" s="38">
        <f t="shared" ca="1" si="0"/>
        <v>-59171.679999999993</v>
      </c>
      <c r="F6" s="39">
        <f t="shared" ca="1" si="1"/>
        <v>-0.60598359292495063</v>
      </c>
      <c r="G6" s="40">
        <f ca="1">SUM('01-2024'!G6, '02-2024'!G6, '03-2024'!G6)</f>
        <v>83112.14</v>
      </c>
      <c r="H6" s="40">
        <f t="shared" ca="1" si="2"/>
        <v>-44638.14</v>
      </c>
      <c r="I6" s="41">
        <f t="shared" ca="1" si="3"/>
        <v>-0.53708327086752905</v>
      </c>
      <c r="J6" s="17"/>
      <c r="K6" s="17"/>
    </row>
    <row r="7" spans="1:11" ht="15.75">
      <c r="A7" s="73" t="str">
        <v>Boutilier</v>
      </c>
      <c r="B7" s="37" t="str">
        <v>MA</v>
      </c>
      <c r="C7" s="38">
        <f ca="1">SUM('01-2024'!C7, '02-2024'!C7, '03-2024'!C7)</f>
        <v>104475</v>
      </c>
      <c r="D7" s="38">
        <f ca="1">SUM('01-2024'!D7, '02-2024'!D7, '03-2024'!D7)</f>
        <v>117645.2</v>
      </c>
      <c r="E7" s="38">
        <f t="shared" ca="1" si="0"/>
        <v>-13170.199999999997</v>
      </c>
      <c r="F7" s="39">
        <f t="shared" ca="1" si="1"/>
        <v>-0.11194846878580679</v>
      </c>
      <c r="G7" s="40">
        <f ca="1">SUM('01-2024'!G7, '02-2024'!G7, '03-2024'!G7)</f>
        <v>190658.8</v>
      </c>
      <c r="H7" s="40">
        <f t="shared" ca="1" si="2"/>
        <v>-86183.799999999988</v>
      </c>
      <c r="I7" s="41">
        <f t="shared" ca="1" si="3"/>
        <v>-0.45203158731723891</v>
      </c>
      <c r="J7" s="19"/>
      <c r="K7" s="19"/>
    </row>
    <row r="8" spans="1:11" ht="15.75">
      <c r="A8" s="72" t="str">
        <v>Cherry Valley</v>
      </c>
      <c r="B8" s="18" t="str">
        <v>MA</v>
      </c>
      <c r="C8" s="38">
        <f ca="1">SUM('01-2024'!C8, '02-2024'!C8, '03-2024'!C8)</f>
        <v>33861</v>
      </c>
      <c r="D8" s="38">
        <f ca="1">SUM('01-2024'!D8, '02-2024'!D8, '03-2024'!D8)</f>
        <v>93717.02</v>
      </c>
      <c r="E8" s="38">
        <f t="shared" ca="1" si="0"/>
        <v>-59856.020000000004</v>
      </c>
      <c r="F8" s="39">
        <f t="shared" ca="1" si="1"/>
        <v>-0.63868889557094322</v>
      </c>
      <c r="G8" s="40">
        <f ca="1">SUM('01-2024'!G8, '02-2024'!G8, '03-2024'!G8)</f>
        <v>77483</v>
      </c>
      <c r="H8" s="40">
        <f t="shared" ca="1" si="2"/>
        <v>-43622</v>
      </c>
      <c r="I8" s="41">
        <f t="shared" ca="1" si="3"/>
        <v>-0.56298801027322121</v>
      </c>
      <c r="J8" s="17"/>
      <c r="K8" s="17"/>
    </row>
    <row r="9" spans="1:11" ht="15.75">
      <c r="A9" s="73" t="str">
        <v>Cohasse</v>
      </c>
      <c r="B9" s="37" t="str">
        <v>MA</v>
      </c>
      <c r="C9" s="38">
        <f ca="1">SUM('01-2024'!C9, '02-2024'!C9, '03-2024'!C9)</f>
        <v>37057</v>
      </c>
      <c r="D9" s="38">
        <f ca="1">SUM('01-2024'!D9, '02-2024'!D9, '03-2024'!D9)</f>
        <v>86836.54</v>
      </c>
      <c r="E9" s="38">
        <f t="shared" ca="1" si="0"/>
        <v>-49779.539999999994</v>
      </c>
      <c r="F9" s="39">
        <f t="shared" ca="1" si="1"/>
        <v>-0.57325568245809888</v>
      </c>
      <c r="G9" s="40">
        <f ca="1">SUM('01-2024'!G9, '02-2024'!G9, '03-2024'!G9)</f>
        <v>114180.6</v>
      </c>
      <c r="H9" s="40">
        <f t="shared" ca="1" si="2"/>
        <v>-77123.600000000006</v>
      </c>
      <c r="I9" s="41">
        <f t="shared" ca="1" si="3"/>
        <v>-0.67545274766466457</v>
      </c>
      <c r="J9" s="20"/>
      <c r="K9" s="21"/>
    </row>
    <row r="10" spans="1:11" ht="15.75">
      <c r="A10" s="72" t="str">
        <v>ISM Dighton Solar 2</v>
      </c>
      <c r="B10" s="18" t="str">
        <v>MA</v>
      </c>
      <c r="C10" s="38">
        <f ca="1">SUM('01-2024'!C10, '02-2024'!C10, '03-2024'!C10)</f>
        <v>123864</v>
      </c>
      <c r="D10" s="38">
        <f ca="1">SUM('01-2024'!D10, '02-2024'!D10, '03-2024'!D10)</f>
        <v>178054.9</v>
      </c>
      <c r="E10" s="38">
        <f t="shared" ca="1" si="0"/>
        <v>-54190.899999999994</v>
      </c>
      <c r="F10" s="39">
        <f t="shared" ca="1" si="1"/>
        <v>-0.30434938886826479</v>
      </c>
      <c r="G10" s="40">
        <f ca="1">SUM('01-2024'!G10, '02-2024'!G10, '03-2024'!G10)</f>
        <v>195853.9</v>
      </c>
      <c r="H10" s="40">
        <f t="shared" ca="1" si="2"/>
        <v>-71989.899999999994</v>
      </c>
      <c r="I10" s="41">
        <f t="shared" ca="1" si="3"/>
        <v>-0.36756939739264827</v>
      </c>
      <c r="J10" s="17"/>
      <c r="K10" s="17"/>
    </row>
    <row r="11" spans="1:11" ht="15.75">
      <c r="A11" s="73" t="str">
        <v>Dudley River 1</v>
      </c>
      <c r="B11" s="37" t="str">
        <v>MA</v>
      </c>
      <c r="C11" s="38">
        <f ca="1">SUM('01-2024'!C11, '02-2024'!C11, '03-2024'!C11)</f>
        <v>43519</v>
      </c>
      <c r="D11" s="38">
        <f ca="1">SUM('01-2024'!D11, '02-2024'!D11, '03-2024'!D11)</f>
        <v>68762.899999999994</v>
      </c>
      <c r="E11" s="38">
        <f t="shared" ca="1" si="0"/>
        <v>-25243.899999999994</v>
      </c>
      <c r="F11" s="39">
        <f t="shared" ca="1" si="1"/>
        <v>-0.36711511585462503</v>
      </c>
      <c r="G11" s="40">
        <f ca="1">SUM('01-2024'!G11, '02-2024'!G11, '03-2024'!G11)</f>
        <v>83762.23</v>
      </c>
      <c r="H11" s="40">
        <f t="shared" ca="1" si="2"/>
        <v>-40243.229999999996</v>
      </c>
      <c r="I11" s="41">
        <f t="shared" ca="1" si="3"/>
        <v>-0.48044601964393735</v>
      </c>
      <c r="J11" s="17"/>
      <c r="K11" s="17"/>
    </row>
    <row r="12" spans="1:11" ht="15.75">
      <c r="A12" s="72" t="str">
        <v>Dudley River 2</v>
      </c>
      <c r="B12" s="18" t="str">
        <v>MA</v>
      </c>
      <c r="C12" s="38">
        <f ca="1">SUM('01-2024'!C12, '02-2024'!C12, '03-2024'!C12)</f>
        <v>44123</v>
      </c>
      <c r="D12" s="38">
        <f ca="1">SUM('01-2024'!D12, '02-2024'!D12, '03-2024'!D12)</f>
        <v>70139.570000000007</v>
      </c>
      <c r="E12" s="38">
        <f t="shared" ref="E12:E23" ca="1" si="4">C12-D12</f>
        <v>-26016.570000000007</v>
      </c>
      <c r="F12" s="39">
        <f t="shared" ca="1" si="1"/>
        <v>-0.37092571283228576</v>
      </c>
      <c r="G12" s="40">
        <f ca="1">SUM('01-2024'!G12, '02-2024'!G12, '03-2024'!G12)</f>
        <v>81919.429999999993</v>
      </c>
      <c r="H12" s="40">
        <f t="shared" ca="1" si="2"/>
        <v>-37796.429999999993</v>
      </c>
      <c r="I12" s="41">
        <f t="shared" ca="1" si="3"/>
        <v>-0.46138541247174203</v>
      </c>
      <c r="J12" s="17"/>
      <c r="K12" s="17"/>
    </row>
    <row r="13" spans="1:11" ht="15.75">
      <c r="A13" s="73" t="str">
        <v>Dudley River 3</v>
      </c>
      <c r="B13" s="37" t="str">
        <v>MA</v>
      </c>
      <c r="C13" s="38">
        <f ca="1">SUM('01-2024'!C13, '02-2024'!C13, '03-2024'!C13)</f>
        <v>47297</v>
      </c>
      <c r="D13" s="38">
        <f ca="1">SUM('01-2024'!D13, '02-2024'!D13, '03-2024'!D13)</f>
        <v>71573.83</v>
      </c>
      <c r="E13" s="38">
        <f t="shared" ca="1" si="4"/>
        <v>-24276.83</v>
      </c>
      <c r="F13" s="39">
        <f t="shared" ca="1" si="1"/>
        <v>-0.33918584488213083</v>
      </c>
      <c r="G13" s="40">
        <f ca="1">SUM('01-2024'!G13, '02-2024'!G13, '03-2024'!G13)</f>
        <v>84149.19</v>
      </c>
      <c r="H13" s="40">
        <f t="shared" ca="1" si="2"/>
        <v>-36852.19</v>
      </c>
      <c r="I13" s="41">
        <f t="shared" ca="1" si="3"/>
        <v>-0.43793873714054765</v>
      </c>
      <c r="J13" s="17"/>
      <c r="K13" s="17"/>
    </row>
    <row r="14" spans="1:11" ht="15.75">
      <c r="A14" s="72" t="str">
        <v>Flint Pond</v>
      </c>
      <c r="B14" s="18" t="str">
        <v>MA</v>
      </c>
      <c r="C14" s="38">
        <f ca="1">SUM('01-2024'!C14, '02-2024'!C14, '03-2024'!C14)</f>
        <v>16497.5</v>
      </c>
      <c r="D14" s="38">
        <f ca="1">SUM('01-2024'!D14, '02-2024'!D14, '03-2024'!D14)</f>
        <v>40276</v>
      </c>
      <c r="E14" s="38">
        <f t="shared" ca="1" si="4"/>
        <v>-23778.5</v>
      </c>
      <c r="F14" s="39">
        <f t="shared" ca="1" si="1"/>
        <v>-0.59038881716158509</v>
      </c>
      <c r="G14" s="40">
        <f ca="1">SUM('01-2024'!G14, '02-2024'!G14, '03-2024'!G14)</f>
        <v>33543.68</v>
      </c>
      <c r="H14" s="40">
        <f t="shared" ca="1" si="2"/>
        <v>-17046.18</v>
      </c>
      <c r="I14" s="41">
        <f t="shared" ca="1" si="3"/>
        <v>-0.50817858982675723</v>
      </c>
      <c r="J14" s="17"/>
      <c r="K14" s="17"/>
    </row>
    <row r="15" spans="1:11" ht="15.75">
      <c r="A15" s="73" t="str">
        <v>Incom</v>
      </c>
      <c r="B15" s="37" t="str">
        <v>MA</v>
      </c>
      <c r="C15" s="38">
        <f ca="1">SUM('01-2024'!C15, '02-2024'!C15, '03-2024'!C15)</f>
        <v>83086</v>
      </c>
      <c r="D15" s="38">
        <f ca="1">SUM('01-2024'!D15, '02-2024'!D15, '03-2024'!D15)</f>
        <v>159872.4</v>
      </c>
      <c r="E15" s="38">
        <f t="shared" ca="1" si="4"/>
        <v>-76786.399999999994</v>
      </c>
      <c r="F15" s="39">
        <f t="shared" ca="1" si="1"/>
        <v>-0.4802980376850538</v>
      </c>
      <c r="G15" s="40">
        <f ca="1">SUM('01-2024'!G15, '02-2024'!G15, '03-2024'!G15)</f>
        <v>220156.9</v>
      </c>
      <c r="H15" s="40">
        <f t="shared" ca="1" si="2"/>
        <v>-137070.9</v>
      </c>
      <c r="I15" s="41">
        <f t="shared" ca="1" si="3"/>
        <v>-0.62260551452168889</v>
      </c>
      <c r="J15" s="17"/>
      <c r="K15" s="17"/>
    </row>
    <row r="16" spans="1:11" ht="15.75">
      <c r="A16" s="72" t="str">
        <v>JH</v>
      </c>
      <c r="B16" s="18" t="str">
        <v>MA</v>
      </c>
      <c r="C16" s="38">
        <f ca="1">SUM('01-2024'!C16, '02-2024'!C16, '03-2024'!C16)</f>
        <v>32274</v>
      </c>
      <c r="D16" s="38">
        <f ca="1">SUM('01-2024'!D16, '02-2024'!D16, '03-2024'!D16)</f>
        <v>86355.93</v>
      </c>
      <c r="E16" s="38">
        <f t="shared" ca="1" si="4"/>
        <v>-54081.929999999993</v>
      </c>
      <c r="F16" s="39">
        <f t="shared" ca="1" si="1"/>
        <v>-0.62626770390869502</v>
      </c>
      <c r="G16" s="40">
        <f ca="1">SUM('01-2024'!G16, '02-2024'!G16, '03-2024'!G16)</f>
        <v>106218.7</v>
      </c>
      <c r="H16" s="40">
        <f t="shared" ca="1" si="2"/>
        <v>-73944.7</v>
      </c>
      <c r="I16" s="41">
        <f t="shared" ca="1" si="3"/>
        <v>-0.69615519677796844</v>
      </c>
      <c r="J16" s="17"/>
      <c r="K16" s="17"/>
    </row>
    <row r="17" spans="1:11" ht="15.75">
      <c r="A17" s="73" t="str">
        <v>Ledeaux</v>
      </c>
      <c r="B17" s="37" t="str">
        <v>MA</v>
      </c>
      <c r="C17" s="38">
        <f ca="1">SUM('01-2024'!C17, '02-2024'!C17, '03-2024'!C17)</f>
        <v>28537</v>
      </c>
      <c r="D17" s="38">
        <f ca="1">SUM('01-2024'!D17, '02-2024'!D17, '03-2024'!D17)</f>
        <v>58671.27</v>
      </c>
      <c r="E17" s="38">
        <f t="shared" ca="1" si="4"/>
        <v>-30134.269999999997</v>
      </c>
      <c r="F17" s="39">
        <f t="shared" ca="1" si="1"/>
        <v>-0.51361202851071741</v>
      </c>
      <c r="G17" s="40">
        <f ca="1">SUM('01-2024'!G17, '02-2024'!G17, '03-2024'!G17)</f>
        <v>98769.99</v>
      </c>
      <c r="H17" s="40">
        <f t="shared" ca="1" si="2"/>
        <v>-70232.990000000005</v>
      </c>
      <c r="I17" s="41">
        <f t="shared" ca="1" si="3"/>
        <v>-0.71107620847182429</v>
      </c>
      <c r="J17" s="17"/>
      <c r="K17" s="17"/>
    </row>
    <row r="18" spans="1:11" ht="15.75">
      <c r="A18" s="72" t="str">
        <v>Palombo A</v>
      </c>
      <c r="B18" s="18" t="str">
        <v>MA</v>
      </c>
      <c r="C18" s="38">
        <f ca="1">SUM('01-2024'!C18, '02-2024'!C18, '03-2024'!C18)</f>
        <v>79689.003333337605</v>
      </c>
      <c r="D18" s="38">
        <f ca="1">SUM('01-2024'!D18, '02-2024'!D18, '03-2024'!D18)</f>
        <v>187942.8</v>
      </c>
      <c r="E18" s="38">
        <f t="shared" ca="1" si="4"/>
        <v>-108253.79666666238</v>
      </c>
      <c r="F18" s="39">
        <f t="shared" ca="1" si="1"/>
        <v>-0.57599331640617457</v>
      </c>
      <c r="G18" s="40">
        <f ca="1">SUM('01-2024'!G18, '02-2024'!G18, '03-2024'!G18)</f>
        <v>250093</v>
      </c>
      <c r="H18" s="40">
        <f t="shared" ca="1" si="2"/>
        <v>-170403.9966666624</v>
      </c>
      <c r="I18" s="41">
        <f t="shared" ca="1" si="3"/>
        <v>-0.68136251980928053</v>
      </c>
      <c r="J18" s="17"/>
      <c r="K18" s="17"/>
    </row>
    <row r="19" spans="1:11" ht="15.75">
      <c r="A19" s="73" t="str">
        <v>Palombo B</v>
      </c>
      <c r="B19" s="37" t="str">
        <v>MA</v>
      </c>
      <c r="C19" s="38">
        <f ca="1">SUM('01-2024'!C19, '02-2024'!C19, '03-2024'!C19)</f>
        <v>32703</v>
      </c>
      <c r="D19" s="38">
        <f ca="1">SUM('01-2024'!D19, '02-2024'!D19, '03-2024'!D19)</f>
        <v>91961.55</v>
      </c>
      <c r="E19" s="38">
        <f t="shared" ca="1" si="4"/>
        <v>-59258.55</v>
      </c>
      <c r="F19" s="39">
        <f t="shared" ca="1" si="1"/>
        <v>-0.64438398439347755</v>
      </c>
      <c r="G19" s="40">
        <f ca="1">SUM('01-2024'!G19, '02-2024'!G19, '03-2024'!G19)</f>
        <v>71768.39</v>
      </c>
      <c r="H19" s="40">
        <f t="shared" ca="1" si="2"/>
        <v>-39065.39</v>
      </c>
      <c r="I19" s="41">
        <f t="shared" ca="1" si="3"/>
        <v>-0.54432585153435931</v>
      </c>
      <c r="J19" s="17"/>
      <c r="K19" s="17"/>
    </row>
    <row r="20" spans="1:11" ht="15.75">
      <c r="A20" s="72" t="str">
        <v>St Josephs Church</v>
      </c>
      <c r="B20" s="18" t="str">
        <v>MA</v>
      </c>
      <c r="C20" s="38">
        <f ca="1">SUM('01-2024'!C20, '02-2024'!C20, '03-2024'!C20)</f>
        <v>37183</v>
      </c>
      <c r="D20" s="38">
        <f ca="1">SUM('01-2024'!D20, '02-2024'!D20, '03-2024'!D20)</f>
        <v>87772.32</v>
      </c>
      <c r="E20" s="38">
        <f t="shared" ca="1" si="4"/>
        <v>-50589.320000000007</v>
      </c>
      <c r="F20" s="39">
        <f t="shared" ca="1" si="1"/>
        <v>-0.57636986238941845</v>
      </c>
      <c r="G20" s="40">
        <f ca="1">SUM('01-2024'!G20, '02-2024'!G20, '03-2024'!G20)</f>
        <v>91531.02</v>
      </c>
      <c r="H20" s="40">
        <f t="shared" ca="1" si="2"/>
        <v>-54348.020000000004</v>
      </c>
      <c r="I20" s="41">
        <f t="shared" ca="1" si="3"/>
        <v>-0.59376613524027155</v>
      </c>
      <c r="J20" s="17"/>
      <c r="K20" s="17"/>
    </row>
    <row r="21" spans="1:11" ht="15.75">
      <c r="A21" s="73" t="str">
        <v>Sunset A</v>
      </c>
      <c r="B21" s="37" t="str">
        <v>MA</v>
      </c>
      <c r="C21" s="38">
        <f ca="1">SUM('01-2024'!C21, '02-2024'!C21, '03-2024'!C21)</f>
        <v>16708.5</v>
      </c>
      <c r="D21" s="38">
        <f ca="1">SUM('01-2024'!D21, '02-2024'!D21, '03-2024'!D21)</f>
        <v>42789.35</v>
      </c>
      <c r="E21" s="38">
        <f t="shared" ca="1" si="4"/>
        <v>-26080.85</v>
      </c>
      <c r="F21" s="39">
        <f t="shared" ca="1" si="1"/>
        <v>-0.60951732148303261</v>
      </c>
      <c r="G21" s="40">
        <f ca="1">SUM('01-2024'!G21, '02-2024'!G21, '03-2024'!G21)</f>
        <v>32696.87</v>
      </c>
      <c r="H21" s="40">
        <f t="shared" ca="1" si="2"/>
        <v>-15988.369999999999</v>
      </c>
      <c r="I21" s="41">
        <f t="shared" ca="1" si="3"/>
        <v>-0.48898778384597669</v>
      </c>
      <c r="J21" s="17"/>
      <c r="K21" s="17"/>
    </row>
    <row r="22" spans="1:11" ht="15.75">
      <c r="A22" s="72" t="str">
        <v>Sunset B</v>
      </c>
      <c r="B22" s="18" t="str">
        <v>MA</v>
      </c>
      <c r="C22" s="38">
        <f ca="1">SUM('01-2024'!C22, '02-2024'!C22, '03-2024'!C22)</f>
        <v>16074.25</v>
      </c>
      <c r="D22" s="38">
        <f ca="1">SUM('01-2024'!D22, '02-2024'!D22, '03-2024'!D22)</f>
        <v>29669.200000000001</v>
      </c>
      <c r="E22" s="38">
        <f t="shared" ca="1" si="4"/>
        <v>-13594.95</v>
      </c>
      <c r="F22" s="39">
        <f t="shared" ca="1" si="1"/>
        <v>-0.45821761287800145</v>
      </c>
      <c r="G22" s="40">
        <f ca="1">SUM('01-2024'!G22, '02-2024'!G22, '03-2024'!G22)</f>
        <v>32307.32</v>
      </c>
      <c r="H22" s="40">
        <f t="shared" ca="1" si="2"/>
        <v>-16233.07</v>
      </c>
      <c r="I22" s="41">
        <f t="shared" ca="1" si="3"/>
        <v>-0.50245795689645567</v>
      </c>
      <c r="J22" s="17"/>
      <c r="K22" s="17"/>
    </row>
    <row r="23" spans="1:11" ht="15.75">
      <c r="A23" s="73" t="str">
        <v>Woodchuck</v>
      </c>
      <c r="B23" s="37" t="str">
        <v>MA</v>
      </c>
      <c r="C23" s="38">
        <f ca="1">SUM('01-2024'!C23, '02-2024'!C23, '03-2024'!C23)</f>
        <v>33788</v>
      </c>
      <c r="D23" s="38">
        <f ca="1">SUM('01-2024'!D23, '02-2024'!D23, '03-2024'!D23)</f>
        <v>71556.679999999993</v>
      </c>
      <c r="E23" s="38">
        <f t="shared" ca="1" si="4"/>
        <v>-37768.679999999993</v>
      </c>
      <c r="F23" s="39">
        <f t="shared" ca="1" si="1"/>
        <v>-0.52781487346813738</v>
      </c>
      <c r="G23" s="40">
        <f ca="1">SUM('01-2024'!G23, '02-2024'!G23, '03-2024'!G23)</f>
        <v>96097.7</v>
      </c>
      <c r="H23" s="40">
        <f t="shared" ca="1" si="2"/>
        <v>-62309.7</v>
      </c>
      <c r="I23" s="41">
        <f t="shared" ca="1" si="3"/>
        <v>-0.64839949343220493</v>
      </c>
      <c r="J23" s="17"/>
      <c r="K23" s="17"/>
    </row>
    <row r="24" spans="1:11" ht="24.75" customHeight="1">
      <c r="A24" s="160" t="s">
        <v>11</v>
      </c>
      <c r="B24" s="161"/>
      <c r="C24" s="54">
        <f ca="1">SUM(C3:C23)</f>
        <v>1074735.7533333376</v>
      </c>
      <c r="D24" s="54">
        <f ca="1">SUM(D3:D23)</f>
        <v>1953737.1800000002</v>
      </c>
      <c r="E24" s="54">
        <f ca="1">C24-D24</f>
        <v>-879001.42666666256</v>
      </c>
      <c r="F24" s="48">
        <f ca="1">IFERROR(E24/D24, 0)</f>
        <v>-0.44990771310738042</v>
      </c>
      <c r="G24" s="54">
        <f ca="1">SUM(G3:G23)</f>
        <v>2327559.4799999995</v>
      </c>
      <c r="H24" s="55">
        <f ca="1">C24-G24</f>
        <v>-1252823.7266666619</v>
      </c>
      <c r="I24" s="49">
        <f ca="1">IFERROR(H24/G24, 0)</f>
        <v>-0.5382563742975377</v>
      </c>
      <c r="J24" s="9"/>
    </row>
    <row r="25" spans="1:11">
      <c r="J25" s="9"/>
    </row>
    <row r="26" spans="1:11" ht="12.75" customHeight="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 ht="12.75" customHeight="1">
      <c r="A29" s="163"/>
      <c r="J29" s="9"/>
    </row>
    <row r="30" spans="1:11">
      <c r="J30" s="9"/>
    </row>
  </sheetData>
  <autoFilter ref="A2:I2" xr:uid="{00000000-0001-0000-0000-000000000000}"/>
  <sortState xmlns:xlrd2="http://schemas.microsoft.com/office/spreadsheetml/2017/richdata2" ref="A3:J3">
    <sortCondition ref="A3"/>
  </sortState>
  <mergeCells count="8">
    <mergeCell ref="K1:K2"/>
    <mergeCell ref="A24:B24"/>
    <mergeCell ref="A26:A27"/>
    <mergeCell ref="A28:A29"/>
    <mergeCell ref="A1:B1"/>
    <mergeCell ref="C1:F1"/>
    <mergeCell ref="G1:I1"/>
    <mergeCell ref="J1:J2"/>
  </mergeCells>
  <conditionalFormatting sqref="F3:F24 I3:I24">
    <cfRule type="cellIs" dxfId="377" priority="1" operator="lessThanOrEqual">
      <formula>-0.1</formula>
    </cfRule>
    <cfRule type="cellIs" dxfId="376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30"/>
  <sheetViews>
    <sheetView workbookViewId="0">
      <pane ySplit="2" topLeftCell="A3" activePane="bottomLeft" state="frozen"/>
      <selection pane="bottomLeft" activeCell="G1" activeCellId="1" sqref="D28 C1:I1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16</v>
      </c>
      <c r="D1" s="167"/>
      <c r="E1" s="167"/>
      <c r="F1" s="168"/>
      <c r="G1" s="169" t="s">
        <v>17</v>
      </c>
      <c r="H1" s="169"/>
      <c r="I1" s="170"/>
      <c r="J1" s="158" t="s">
        <v>2</v>
      </c>
      <c r="K1" s="158" t="s">
        <v>3</v>
      </c>
    </row>
    <row r="2" spans="1:11" ht="14.2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>
        <f ca="1">SUM('04-2024'!C3, '05-2024'!C3, '06-2024'!C3)</f>
        <v>0</v>
      </c>
      <c r="D3" s="38">
        <f ca="1">SUM('04-2024'!D3, '05-2024'!D3, '06-2024'!D3)</f>
        <v>0</v>
      </c>
      <c r="E3" s="38">
        <f ca="1">C3-D3</f>
        <v>0</v>
      </c>
      <c r="F3" s="39">
        <f ca="1">IFERROR(E3/D3, 0)</f>
        <v>0</v>
      </c>
      <c r="G3" s="40">
        <f ca="1">SUM('04-2024'!G3, '05-2024'!G3, '06-2024'!G3)</f>
        <v>0</v>
      </c>
      <c r="H3" s="40">
        <f ca="1">C3-G3</f>
        <v>0</v>
      </c>
      <c r="I3" s="41">
        <f ca="1">IFERROR(H3/G3, 0)</f>
        <v>0</v>
      </c>
      <c r="J3" s="17"/>
      <c r="K3" s="17"/>
    </row>
    <row r="4" spans="1:11" ht="15.75">
      <c r="A4" s="72" t="str">
        <v>Barton Acres</v>
      </c>
      <c r="B4" s="18" t="str">
        <v>MA</v>
      </c>
      <c r="C4" s="38">
        <f ca="1">SUM('04-2024'!C4, '05-2024'!C4, '06-2024'!C4)</f>
        <v>0</v>
      </c>
      <c r="D4" s="38">
        <f ca="1">SUM('04-2024'!D4, '05-2024'!D4, '06-2024'!D4)</f>
        <v>0</v>
      </c>
      <c r="E4" s="38">
        <f t="shared" ref="E4:E7" ca="1" si="0">C4-D4</f>
        <v>0</v>
      </c>
      <c r="F4" s="39">
        <f t="shared" ref="F4:F23" ca="1" si="1">IFERROR(E4/D4, 0)</f>
        <v>0</v>
      </c>
      <c r="G4" s="40">
        <f ca="1">SUM('04-2024'!G4, '05-2024'!G4, '06-2024'!G4)</f>
        <v>0</v>
      </c>
      <c r="H4" s="40">
        <f t="shared" ref="H4:H23" ca="1" si="2">C4-G4</f>
        <v>0</v>
      </c>
      <c r="I4" s="41">
        <f t="shared" ref="I4:I23" ca="1" si="3">IFERROR(H4/G4, 0)</f>
        <v>0</v>
      </c>
      <c r="J4" s="17"/>
      <c r="K4" s="17"/>
    </row>
    <row r="5" spans="1:11" ht="15.75">
      <c r="A5" s="73" t="str">
        <v>Bowden</v>
      </c>
      <c r="B5" s="37" t="str">
        <v>MA</v>
      </c>
      <c r="C5" s="38">
        <f ca="1">SUM('04-2024'!C5, '05-2024'!C5, '06-2024'!C5)</f>
        <v>0</v>
      </c>
      <c r="D5" s="38">
        <f ca="1">SUM('04-2024'!D5, '05-2024'!D5, '06-2024'!D5)</f>
        <v>0</v>
      </c>
      <c r="E5" s="38">
        <f t="shared" ca="1" si="0"/>
        <v>0</v>
      </c>
      <c r="F5" s="39">
        <f t="shared" ca="1" si="1"/>
        <v>0</v>
      </c>
      <c r="G5" s="40">
        <f ca="1">SUM('04-2024'!G5, '05-2024'!G5, '06-2024'!G5)</f>
        <v>0</v>
      </c>
      <c r="H5" s="40">
        <f t="shared" ca="1" si="2"/>
        <v>0</v>
      </c>
      <c r="I5" s="41">
        <f t="shared" ca="1" si="3"/>
        <v>0</v>
      </c>
      <c r="J5" s="17"/>
      <c r="K5" s="17"/>
    </row>
    <row r="6" spans="1:11" ht="15.75">
      <c r="A6" s="72" t="str">
        <v>Blair Wire Village</v>
      </c>
      <c r="B6" s="18" t="str">
        <v>MA</v>
      </c>
      <c r="C6" s="38">
        <f ca="1">SUM('04-2024'!C6, '05-2024'!C6, '06-2024'!C6)</f>
        <v>0</v>
      </c>
      <c r="D6" s="38">
        <f ca="1">SUM('04-2024'!D6, '05-2024'!D6, '06-2024'!D6)</f>
        <v>0</v>
      </c>
      <c r="E6" s="38">
        <f t="shared" ca="1" si="0"/>
        <v>0</v>
      </c>
      <c r="F6" s="39">
        <f t="shared" ca="1" si="1"/>
        <v>0</v>
      </c>
      <c r="G6" s="40">
        <f ca="1">SUM('04-2024'!G6, '05-2024'!G6, '06-2024'!G6)</f>
        <v>0</v>
      </c>
      <c r="H6" s="40">
        <f t="shared" ca="1" si="2"/>
        <v>0</v>
      </c>
      <c r="I6" s="41">
        <f t="shared" ca="1" si="3"/>
        <v>0</v>
      </c>
      <c r="J6" s="17"/>
      <c r="K6" s="17"/>
    </row>
    <row r="7" spans="1:11" ht="15.75">
      <c r="A7" s="73" t="str">
        <v>Boutilier</v>
      </c>
      <c r="B7" s="37" t="str">
        <v>MA</v>
      </c>
      <c r="C7" s="38">
        <f ca="1">SUM('04-2024'!C7, '05-2024'!C7, '06-2024'!C7)</f>
        <v>0</v>
      </c>
      <c r="D7" s="38">
        <f ca="1">SUM('04-2024'!D7, '05-2024'!D7, '06-2024'!D7)</f>
        <v>0</v>
      </c>
      <c r="E7" s="38">
        <f t="shared" ca="1" si="0"/>
        <v>0</v>
      </c>
      <c r="F7" s="39">
        <f t="shared" ca="1" si="1"/>
        <v>0</v>
      </c>
      <c r="G7" s="40">
        <f ca="1">SUM('04-2024'!G7, '05-2024'!G7, '06-2024'!G7)</f>
        <v>0</v>
      </c>
      <c r="H7" s="40">
        <f t="shared" ca="1" si="2"/>
        <v>0</v>
      </c>
      <c r="I7" s="41">
        <f t="shared" ca="1" si="3"/>
        <v>0</v>
      </c>
      <c r="J7" s="19"/>
      <c r="K7" s="19"/>
    </row>
    <row r="8" spans="1:11" ht="15.75">
      <c r="A8" s="72" t="str">
        <v>Cherry Valley</v>
      </c>
      <c r="B8" s="18" t="str">
        <v>MA</v>
      </c>
      <c r="C8" s="38">
        <f ca="1">SUM('04-2024'!C8, '05-2024'!C8, '06-2024'!C8)</f>
        <v>0</v>
      </c>
      <c r="D8" s="38">
        <f ca="1">SUM('04-2024'!D8, '05-2024'!D8, '06-2024'!D8)</f>
        <v>0</v>
      </c>
      <c r="E8" s="38">
        <f t="shared" ref="E8:E23" ca="1" si="4">C8-D8</f>
        <v>0</v>
      </c>
      <c r="F8" s="39">
        <f t="shared" ca="1" si="1"/>
        <v>0</v>
      </c>
      <c r="G8" s="40">
        <f ca="1">SUM('04-2024'!G8, '05-2024'!G8, '06-2024'!G8)</f>
        <v>0</v>
      </c>
      <c r="H8" s="40">
        <f t="shared" ca="1" si="2"/>
        <v>0</v>
      </c>
      <c r="I8" s="41">
        <f t="shared" ca="1" si="3"/>
        <v>0</v>
      </c>
      <c r="J8" s="19"/>
      <c r="K8" s="19"/>
    </row>
    <row r="9" spans="1:11" ht="15.75">
      <c r="A9" s="73" t="str">
        <v>Cohasse</v>
      </c>
      <c r="B9" s="37" t="str">
        <v>MA</v>
      </c>
      <c r="C9" s="38">
        <f ca="1">SUM('04-2024'!C9, '05-2024'!C9, '06-2024'!C9)</f>
        <v>0</v>
      </c>
      <c r="D9" s="38">
        <f ca="1">SUM('04-2024'!D9, '05-2024'!D9, '06-2024'!D9)</f>
        <v>0</v>
      </c>
      <c r="E9" s="38">
        <f t="shared" ca="1" si="4"/>
        <v>0</v>
      </c>
      <c r="F9" s="39">
        <f t="shared" ca="1" si="1"/>
        <v>0</v>
      </c>
      <c r="G9" s="40">
        <f ca="1">SUM('04-2024'!G9, '05-2024'!G9, '06-2024'!G9)</f>
        <v>0</v>
      </c>
      <c r="H9" s="40">
        <f t="shared" ca="1" si="2"/>
        <v>0</v>
      </c>
      <c r="I9" s="41">
        <f t="shared" ca="1" si="3"/>
        <v>0</v>
      </c>
      <c r="J9" s="19"/>
      <c r="K9" s="19"/>
    </row>
    <row r="10" spans="1:11" ht="15.75">
      <c r="A10" s="72" t="str">
        <v>ISM Dighton Solar 2</v>
      </c>
      <c r="B10" s="18" t="str">
        <v>MA</v>
      </c>
      <c r="C10" s="38">
        <f ca="1">SUM('04-2024'!C10, '05-2024'!C10, '06-2024'!C10)</f>
        <v>0</v>
      </c>
      <c r="D10" s="38">
        <f ca="1">SUM('04-2024'!D10, '05-2024'!D10, '06-2024'!D10)</f>
        <v>0</v>
      </c>
      <c r="E10" s="38">
        <f t="shared" ca="1" si="4"/>
        <v>0</v>
      </c>
      <c r="F10" s="39">
        <f t="shared" ca="1" si="1"/>
        <v>0</v>
      </c>
      <c r="G10" s="40">
        <f ca="1">SUM('04-2024'!G10, '05-2024'!G10, '06-2024'!G10)</f>
        <v>0</v>
      </c>
      <c r="H10" s="40">
        <f t="shared" ca="1" si="2"/>
        <v>0</v>
      </c>
      <c r="I10" s="41">
        <f t="shared" ca="1" si="3"/>
        <v>0</v>
      </c>
      <c r="J10" s="19"/>
      <c r="K10" s="19"/>
    </row>
    <row r="11" spans="1:11" ht="15.75">
      <c r="A11" s="73" t="str">
        <v>Dudley River 1</v>
      </c>
      <c r="B11" s="37" t="str">
        <v>MA</v>
      </c>
      <c r="C11" s="38">
        <f ca="1">SUM('04-2024'!C11, '05-2024'!C11, '06-2024'!C11)</f>
        <v>0</v>
      </c>
      <c r="D11" s="38">
        <f ca="1">SUM('04-2024'!D11, '05-2024'!D11, '06-2024'!D11)</f>
        <v>0</v>
      </c>
      <c r="E11" s="38">
        <f t="shared" ca="1" si="4"/>
        <v>0</v>
      </c>
      <c r="F11" s="39">
        <f t="shared" ca="1" si="1"/>
        <v>0</v>
      </c>
      <c r="G11" s="40">
        <f ca="1">SUM('04-2024'!G11, '05-2024'!G11, '06-2024'!G11)</f>
        <v>0</v>
      </c>
      <c r="H11" s="40">
        <f t="shared" ca="1" si="2"/>
        <v>0</v>
      </c>
      <c r="I11" s="41">
        <f t="shared" ca="1" si="3"/>
        <v>0</v>
      </c>
      <c r="J11" s="19"/>
      <c r="K11" s="19"/>
    </row>
    <row r="12" spans="1:11" ht="15.75">
      <c r="A12" s="72" t="str">
        <v>Dudley River 2</v>
      </c>
      <c r="B12" s="18" t="str">
        <v>MA</v>
      </c>
      <c r="C12" s="38">
        <f ca="1">SUM('04-2024'!C12, '05-2024'!C12, '06-2024'!C12)</f>
        <v>0</v>
      </c>
      <c r="D12" s="38">
        <f ca="1">SUM('04-2024'!D12, '05-2024'!D12, '06-2024'!D12)</f>
        <v>0</v>
      </c>
      <c r="E12" s="38">
        <f t="shared" ca="1" si="4"/>
        <v>0</v>
      </c>
      <c r="F12" s="39">
        <f t="shared" ca="1" si="1"/>
        <v>0</v>
      </c>
      <c r="G12" s="40">
        <f ca="1">SUM('04-2024'!G12, '05-2024'!G12, '06-2024'!G12)</f>
        <v>0</v>
      </c>
      <c r="H12" s="40">
        <f t="shared" ca="1" si="2"/>
        <v>0</v>
      </c>
      <c r="I12" s="41">
        <f t="shared" ca="1" si="3"/>
        <v>0</v>
      </c>
      <c r="J12" s="19"/>
      <c r="K12" s="19"/>
    </row>
    <row r="13" spans="1:11" ht="15.75">
      <c r="A13" s="73" t="str">
        <v>Dudley River 3</v>
      </c>
      <c r="B13" s="37" t="str">
        <v>MA</v>
      </c>
      <c r="C13" s="38">
        <f ca="1">SUM('04-2024'!C13, '05-2024'!C13, '06-2024'!C13)</f>
        <v>0</v>
      </c>
      <c r="D13" s="38">
        <f ca="1">SUM('04-2024'!D13, '05-2024'!D13, '06-2024'!D13)</f>
        <v>0</v>
      </c>
      <c r="E13" s="38">
        <f t="shared" ca="1" si="4"/>
        <v>0</v>
      </c>
      <c r="F13" s="39">
        <f t="shared" ca="1" si="1"/>
        <v>0</v>
      </c>
      <c r="G13" s="40">
        <f ca="1">SUM('04-2024'!G13, '05-2024'!G13, '06-2024'!G13)</f>
        <v>0</v>
      </c>
      <c r="H13" s="40">
        <f t="shared" ca="1" si="2"/>
        <v>0</v>
      </c>
      <c r="I13" s="41">
        <f t="shared" ca="1" si="3"/>
        <v>0</v>
      </c>
      <c r="J13" s="19"/>
      <c r="K13" s="19"/>
    </row>
    <row r="14" spans="1:11" ht="15.75">
      <c r="A14" s="72" t="str">
        <v>Flint Pond</v>
      </c>
      <c r="B14" s="18" t="str">
        <v>MA</v>
      </c>
      <c r="C14" s="38">
        <f ca="1">SUM('04-2024'!C14, '05-2024'!C14, '06-2024'!C14)</f>
        <v>0</v>
      </c>
      <c r="D14" s="38">
        <f ca="1">SUM('04-2024'!D14, '05-2024'!D14, '06-2024'!D14)</f>
        <v>0</v>
      </c>
      <c r="E14" s="38">
        <f t="shared" ca="1" si="4"/>
        <v>0</v>
      </c>
      <c r="F14" s="39">
        <f t="shared" ca="1" si="1"/>
        <v>0</v>
      </c>
      <c r="G14" s="40">
        <f ca="1">SUM('04-2024'!G14, '05-2024'!G14, '06-2024'!G14)</f>
        <v>0</v>
      </c>
      <c r="H14" s="40">
        <f t="shared" ca="1" si="2"/>
        <v>0</v>
      </c>
      <c r="I14" s="41">
        <f t="shared" ca="1" si="3"/>
        <v>0</v>
      </c>
      <c r="J14" s="19"/>
      <c r="K14" s="19"/>
    </row>
    <row r="15" spans="1:11" ht="15.75">
      <c r="A15" s="73" t="str">
        <v>Incom</v>
      </c>
      <c r="B15" s="37" t="str">
        <v>MA</v>
      </c>
      <c r="C15" s="38">
        <f ca="1">SUM('04-2024'!C15, '05-2024'!C15, '06-2024'!C15)</f>
        <v>0</v>
      </c>
      <c r="D15" s="38">
        <f ca="1">SUM('04-2024'!D15, '05-2024'!D15, '06-2024'!D15)</f>
        <v>0</v>
      </c>
      <c r="E15" s="38">
        <f t="shared" ca="1" si="4"/>
        <v>0</v>
      </c>
      <c r="F15" s="39">
        <f t="shared" ca="1" si="1"/>
        <v>0</v>
      </c>
      <c r="G15" s="40">
        <f ca="1">SUM('04-2024'!G15, '05-2024'!G15, '06-2024'!G15)</f>
        <v>0</v>
      </c>
      <c r="H15" s="40">
        <f t="shared" ca="1" si="2"/>
        <v>0</v>
      </c>
      <c r="I15" s="41">
        <f t="shared" ca="1" si="3"/>
        <v>0</v>
      </c>
      <c r="J15" s="19"/>
      <c r="K15" s="19"/>
    </row>
    <row r="16" spans="1:11" ht="15.75">
      <c r="A16" s="72" t="str">
        <v>JH</v>
      </c>
      <c r="B16" s="18" t="str">
        <v>MA</v>
      </c>
      <c r="C16" s="38">
        <f ca="1">SUM('04-2024'!C16, '05-2024'!C16, '06-2024'!C16)</f>
        <v>0</v>
      </c>
      <c r="D16" s="38">
        <f ca="1">SUM('04-2024'!D16, '05-2024'!D16, '06-2024'!D16)</f>
        <v>0</v>
      </c>
      <c r="E16" s="38">
        <f t="shared" ca="1" si="4"/>
        <v>0</v>
      </c>
      <c r="F16" s="39">
        <f t="shared" ca="1" si="1"/>
        <v>0</v>
      </c>
      <c r="G16" s="40">
        <f ca="1">SUM('04-2024'!G16, '05-2024'!G16, '06-2024'!G16)</f>
        <v>0</v>
      </c>
      <c r="H16" s="40">
        <f t="shared" ca="1" si="2"/>
        <v>0</v>
      </c>
      <c r="I16" s="41">
        <f t="shared" ca="1" si="3"/>
        <v>0</v>
      </c>
      <c r="J16" s="19"/>
      <c r="K16" s="19"/>
    </row>
    <row r="17" spans="1:11" ht="15.75">
      <c r="A17" s="73" t="str">
        <v>Ledeaux</v>
      </c>
      <c r="B17" s="37" t="str">
        <v>MA</v>
      </c>
      <c r="C17" s="38">
        <f ca="1">SUM('04-2024'!C17, '05-2024'!C17, '06-2024'!C17)</f>
        <v>0</v>
      </c>
      <c r="D17" s="38">
        <f ca="1">SUM('04-2024'!D17, '05-2024'!D17, '06-2024'!D17)</f>
        <v>0</v>
      </c>
      <c r="E17" s="38">
        <f t="shared" ca="1" si="4"/>
        <v>0</v>
      </c>
      <c r="F17" s="39">
        <f t="shared" ca="1" si="1"/>
        <v>0</v>
      </c>
      <c r="G17" s="40">
        <f ca="1">SUM('04-2024'!G17, '05-2024'!G17, '06-2024'!G17)</f>
        <v>0</v>
      </c>
      <c r="H17" s="40">
        <f t="shared" ca="1" si="2"/>
        <v>0</v>
      </c>
      <c r="I17" s="41">
        <f t="shared" ca="1" si="3"/>
        <v>0</v>
      </c>
      <c r="J17" s="19"/>
      <c r="K17" s="19"/>
    </row>
    <row r="18" spans="1:11" ht="15.75">
      <c r="A18" s="72" t="str">
        <v>Palombo A</v>
      </c>
      <c r="B18" s="18" t="str">
        <v>MA</v>
      </c>
      <c r="C18" s="38">
        <f ca="1">SUM('04-2024'!C18, '05-2024'!C18, '06-2024'!C18)</f>
        <v>0</v>
      </c>
      <c r="D18" s="38">
        <f ca="1">SUM('04-2024'!D18, '05-2024'!D18, '06-2024'!D18)</f>
        <v>0</v>
      </c>
      <c r="E18" s="38">
        <f t="shared" ca="1" si="4"/>
        <v>0</v>
      </c>
      <c r="F18" s="39">
        <f t="shared" ca="1" si="1"/>
        <v>0</v>
      </c>
      <c r="G18" s="40">
        <f ca="1">SUM('04-2024'!G18, '05-2024'!G18, '06-2024'!G18)</f>
        <v>0</v>
      </c>
      <c r="H18" s="40">
        <f t="shared" ca="1" si="2"/>
        <v>0</v>
      </c>
      <c r="I18" s="41">
        <f t="shared" ca="1" si="3"/>
        <v>0</v>
      </c>
      <c r="J18" s="19"/>
      <c r="K18" s="19"/>
    </row>
    <row r="19" spans="1:11" ht="15.75">
      <c r="A19" s="73" t="str">
        <v>Palombo B</v>
      </c>
      <c r="B19" s="37" t="str">
        <v>MA</v>
      </c>
      <c r="C19" s="38">
        <f ca="1">SUM('04-2024'!C19, '05-2024'!C19, '06-2024'!C19)</f>
        <v>0</v>
      </c>
      <c r="D19" s="38">
        <f ca="1">SUM('04-2024'!D19, '05-2024'!D19, '06-2024'!D19)</f>
        <v>0</v>
      </c>
      <c r="E19" s="38">
        <f t="shared" ca="1" si="4"/>
        <v>0</v>
      </c>
      <c r="F19" s="39">
        <f t="shared" ca="1" si="1"/>
        <v>0</v>
      </c>
      <c r="G19" s="40">
        <f ca="1">SUM('04-2024'!G19, '05-2024'!G19, '06-2024'!G19)</f>
        <v>0</v>
      </c>
      <c r="H19" s="40">
        <f t="shared" ca="1" si="2"/>
        <v>0</v>
      </c>
      <c r="I19" s="41">
        <f t="shared" ca="1" si="3"/>
        <v>0</v>
      </c>
      <c r="J19" s="19"/>
      <c r="K19" s="19"/>
    </row>
    <row r="20" spans="1:11" ht="15.75">
      <c r="A20" s="72" t="str">
        <v>St Josephs Church</v>
      </c>
      <c r="B20" s="18" t="str">
        <v>MA</v>
      </c>
      <c r="C20" s="38">
        <f ca="1">SUM('04-2024'!C20, '05-2024'!C20, '06-2024'!C20)</f>
        <v>0</v>
      </c>
      <c r="D20" s="38">
        <f ca="1">SUM('04-2024'!D20, '05-2024'!D20, '06-2024'!D20)</f>
        <v>0</v>
      </c>
      <c r="E20" s="38">
        <f t="shared" ca="1" si="4"/>
        <v>0</v>
      </c>
      <c r="F20" s="39">
        <f t="shared" ca="1" si="1"/>
        <v>0</v>
      </c>
      <c r="G20" s="40">
        <f ca="1">SUM('04-2024'!G20, '05-2024'!G20, '06-2024'!G20)</f>
        <v>0</v>
      </c>
      <c r="H20" s="40">
        <f t="shared" ca="1" si="2"/>
        <v>0</v>
      </c>
      <c r="I20" s="41">
        <f t="shared" ca="1" si="3"/>
        <v>0</v>
      </c>
      <c r="J20" s="19"/>
      <c r="K20" s="19"/>
    </row>
    <row r="21" spans="1:11" ht="15.75">
      <c r="A21" s="73" t="str">
        <v>Sunset A</v>
      </c>
      <c r="B21" s="37" t="str">
        <v>MA</v>
      </c>
      <c r="C21" s="38">
        <f ca="1">SUM('04-2024'!C21, '05-2024'!C21, '06-2024'!C21)</f>
        <v>0</v>
      </c>
      <c r="D21" s="38">
        <f ca="1">SUM('04-2024'!D21, '05-2024'!D21, '06-2024'!D21)</f>
        <v>0</v>
      </c>
      <c r="E21" s="38">
        <f t="shared" ca="1" si="4"/>
        <v>0</v>
      </c>
      <c r="F21" s="39">
        <f t="shared" ca="1" si="1"/>
        <v>0</v>
      </c>
      <c r="G21" s="40">
        <f ca="1">SUM('04-2024'!G21, '05-2024'!G21, '06-2024'!G21)</f>
        <v>0</v>
      </c>
      <c r="H21" s="40">
        <f t="shared" ca="1" si="2"/>
        <v>0</v>
      </c>
      <c r="I21" s="41">
        <f t="shared" ca="1" si="3"/>
        <v>0</v>
      </c>
      <c r="J21" s="19"/>
      <c r="K21" s="19"/>
    </row>
    <row r="22" spans="1:11" ht="15.75">
      <c r="A22" s="72" t="str">
        <v>Sunset B</v>
      </c>
      <c r="B22" s="18" t="str">
        <v>MA</v>
      </c>
      <c r="C22" s="38">
        <f ca="1">SUM('04-2024'!C22, '05-2024'!C22, '06-2024'!C22)</f>
        <v>0</v>
      </c>
      <c r="D22" s="38">
        <f ca="1">SUM('04-2024'!D22, '05-2024'!D22, '06-2024'!D22)</f>
        <v>0</v>
      </c>
      <c r="E22" s="38">
        <f t="shared" ca="1" si="4"/>
        <v>0</v>
      </c>
      <c r="F22" s="39">
        <f t="shared" ca="1" si="1"/>
        <v>0</v>
      </c>
      <c r="G22" s="40">
        <f ca="1">SUM('04-2024'!G22, '05-2024'!G22, '06-2024'!G22)</f>
        <v>0</v>
      </c>
      <c r="H22" s="40">
        <f t="shared" ca="1" si="2"/>
        <v>0</v>
      </c>
      <c r="I22" s="41">
        <f t="shared" ca="1" si="3"/>
        <v>0</v>
      </c>
      <c r="J22" s="19"/>
      <c r="K22" s="19"/>
    </row>
    <row r="23" spans="1:11" ht="15.75">
      <c r="A23" s="73" t="str">
        <v>Woodchuck</v>
      </c>
      <c r="B23" s="37" t="str">
        <v>MA</v>
      </c>
      <c r="C23" s="38">
        <f ca="1">SUM('04-2024'!C23, '05-2024'!C23, '06-2024'!C23)</f>
        <v>0</v>
      </c>
      <c r="D23" s="38">
        <f ca="1">SUM('04-2024'!D23, '05-2024'!D23, '06-2024'!D23)</f>
        <v>0</v>
      </c>
      <c r="E23" s="38">
        <f t="shared" ca="1" si="4"/>
        <v>0</v>
      </c>
      <c r="F23" s="39">
        <f t="shared" ca="1" si="1"/>
        <v>0</v>
      </c>
      <c r="G23" s="40">
        <f ca="1">SUM('04-2024'!G23, '05-2024'!G23, '06-2024'!G23)</f>
        <v>0</v>
      </c>
      <c r="H23" s="40">
        <f t="shared" ca="1" si="2"/>
        <v>0</v>
      </c>
      <c r="I23" s="41">
        <f t="shared" ca="1" si="3"/>
        <v>0</v>
      </c>
      <c r="J23" s="19"/>
      <c r="K23" s="19"/>
    </row>
    <row r="24" spans="1:11" ht="24.75" customHeight="1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9"/>
    </row>
    <row r="25" spans="1:11">
      <c r="J25" s="9"/>
    </row>
    <row r="26" spans="1:11" ht="12.75" customHeight="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 ht="12.75" customHeight="1">
      <c r="A29" s="163"/>
      <c r="J29" s="9"/>
    </row>
    <row r="30" spans="1:11">
      <c r="J30" s="9"/>
    </row>
  </sheetData>
  <autoFilter ref="A2:I2" xr:uid="{38E74E64-E3A4-43F8-9B1A-78F26543F23E}"/>
  <sortState xmlns:xlrd2="http://schemas.microsoft.com/office/spreadsheetml/2017/richdata2" ref="A3:J4">
    <sortCondition ref="A3:A4"/>
  </sortState>
  <mergeCells count="8">
    <mergeCell ref="K1:K2"/>
    <mergeCell ref="A24:B24"/>
    <mergeCell ref="A26:A27"/>
    <mergeCell ref="A28:A29"/>
    <mergeCell ref="A1:B1"/>
    <mergeCell ref="C1:F1"/>
    <mergeCell ref="G1:I1"/>
    <mergeCell ref="J1:J2"/>
  </mergeCells>
  <conditionalFormatting sqref="F3:F24 I3:I24">
    <cfRule type="cellIs" dxfId="375" priority="1" operator="lessThanOrEqual">
      <formula>-0.1</formula>
    </cfRule>
    <cfRule type="cellIs" dxfId="37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29"/>
  <sheetViews>
    <sheetView workbookViewId="0">
      <pane ySplit="2" topLeftCell="A4" activePane="bottomLeft" state="frozen"/>
      <selection pane="bottomLeft" activeCell="G1" sqref="C1:I1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18</v>
      </c>
      <c r="D1" s="167"/>
      <c r="E1" s="167"/>
      <c r="F1" s="168"/>
      <c r="G1" s="169" t="s">
        <v>19</v>
      </c>
      <c r="H1" s="169"/>
      <c r="I1" s="170"/>
      <c r="J1" s="158" t="s">
        <v>2</v>
      </c>
      <c r="K1" s="158" t="s">
        <v>3</v>
      </c>
    </row>
    <row r="2" spans="1:11" ht="14.2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>
        <f ca="1">SUM('07-2024'!C3, '08-2024'!C3, '09-2024'!C3)</f>
        <v>0</v>
      </c>
      <c r="D3" s="38">
        <f ca="1">SUM('07-2024'!D3, '08-2024'!D3, '09-2024'!D3)</f>
        <v>0</v>
      </c>
      <c r="E3" s="38">
        <f ca="1">C3-D3</f>
        <v>0</v>
      </c>
      <c r="F3" s="39">
        <f ca="1">IFERROR(E3/D3, 0)</f>
        <v>0</v>
      </c>
      <c r="G3" s="40">
        <f ca="1">SUM('07-2024'!G3, '08-2024'!G3, '09-2024'!G3)</f>
        <v>0</v>
      </c>
      <c r="H3" s="40">
        <f ca="1">C3-G3</f>
        <v>0</v>
      </c>
      <c r="I3" s="41">
        <f ca="1">IFERROR(H3/G3, 0)</f>
        <v>0</v>
      </c>
      <c r="J3" s="17"/>
      <c r="K3" s="17"/>
    </row>
    <row r="4" spans="1:11" ht="15.75">
      <c r="A4" s="72" t="str">
        <v>Barton Acres</v>
      </c>
      <c r="B4" s="18" t="str">
        <v>MA</v>
      </c>
      <c r="C4" s="38">
        <f ca="1">SUM('07-2024'!C4, '08-2024'!C4, '09-2024'!C4)</f>
        <v>0</v>
      </c>
      <c r="D4" s="38">
        <f ca="1">SUM('07-2024'!D4, '08-2024'!D4, '09-2024'!D4)</f>
        <v>0</v>
      </c>
      <c r="E4" s="38">
        <f t="shared" ref="E4:E8" ca="1" si="0">C4-D4</f>
        <v>0</v>
      </c>
      <c r="F4" s="39">
        <f t="shared" ref="F4:F23" ca="1" si="1">IFERROR(E4/D4, 0)</f>
        <v>0</v>
      </c>
      <c r="G4" s="40">
        <f ca="1">SUM('07-2024'!G4, '08-2024'!G4, '09-2024'!G4)</f>
        <v>0</v>
      </c>
      <c r="H4" s="40">
        <f t="shared" ref="H4:H23" ca="1" si="2">C4-G4</f>
        <v>0</v>
      </c>
      <c r="I4" s="41">
        <f t="shared" ref="I4:I23" ca="1" si="3">IFERROR(H4/G4, 0)</f>
        <v>0</v>
      </c>
      <c r="J4" s="17"/>
      <c r="K4" s="17"/>
    </row>
    <row r="5" spans="1:11" ht="15.75">
      <c r="A5" s="73" t="str">
        <v>Bowden</v>
      </c>
      <c r="B5" s="37" t="str">
        <v>MA</v>
      </c>
      <c r="C5" s="38">
        <f ca="1">SUM('07-2024'!C5, '08-2024'!C5, '09-2024'!C5)</f>
        <v>0</v>
      </c>
      <c r="D5" s="38">
        <f ca="1">SUM('07-2024'!D5, '08-2024'!D5, '09-2024'!D5)</f>
        <v>0</v>
      </c>
      <c r="E5" s="38">
        <f t="shared" ca="1" si="0"/>
        <v>0</v>
      </c>
      <c r="F5" s="39">
        <f t="shared" ca="1" si="1"/>
        <v>0</v>
      </c>
      <c r="G5" s="40">
        <f ca="1">SUM('07-2024'!G5, '08-2024'!G5, '09-2024'!G5)</f>
        <v>0</v>
      </c>
      <c r="H5" s="40">
        <f t="shared" ca="1" si="2"/>
        <v>0</v>
      </c>
      <c r="I5" s="41">
        <f t="shared" ca="1" si="3"/>
        <v>0</v>
      </c>
      <c r="J5" s="17"/>
      <c r="K5" s="17"/>
    </row>
    <row r="6" spans="1:11" ht="15.75">
      <c r="A6" s="72" t="str">
        <v>Blair Wire Village</v>
      </c>
      <c r="B6" s="18" t="str">
        <v>MA</v>
      </c>
      <c r="C6" s="38">
        <f ca="1">SUM('07-2024'!C6, '08-2024'!C6, '09-2024'!C6)</f>
        <v>0</v>
      </c>
      <c r="D6" s="38">
        <f ca="1">SUM('07-2024'!D6, '08-2024'!D6, '09-2024'!D6)</f>
        <v>0</v>
      </c>
      <c r="E6" s="38">
        <f t="shared" ca="1" si="0"/>
        <v>0</v>
      </c>
      <c r="F6" s="39">
        <f t="shared" ca="1" si="1"/>
        <v>0</v>
      </c>
      <c r="G6" s="40">
        <f ca="1">SUM('07-2024'!G6, '08-2024'!G6, '09-2024'!G6)</f>
        <v>0</v>
      </c>
      <c r="H6" s="40">
        <f t="shared" ca="1" si="2"/>
        <v>0</v>
      </c>
      <c r="I6" s="41">
        <f t="shared" ca="1" si="3"/>
        <v>0</v>
      </c>
      <c r="J6" s="17"/>
      <c r="K6" s="17"/>
    </row>
    <row r="7" spans="1:11" ht="15.75">
      <c r="A7" s="73" t="str">
        <v>Boutilier</v>
      </c>
      <c r="B7" s="37" t="str">
        <v>MA</v>
      </c>
      <c r="C7" s="38">
        <f ca="1">SUM('07-2024'!C7, '08-2024'!C7, '09-2024'!C7)</f>
        <v>0</v>
      </c>
      <c r="D7" s="38">
        <f ca="1">SUM('07-2024'!D7, '08-2024'!D7, '09-2024'!D7)</f>
        <v>0</v>
      </c>
      <c r="E7" s="38">
        <f t="shared" ca="1" si="0"/>
        <v>0</v>
      </c>
      <c r="F7" s="39">
        <f t="shared" ca="1" si="1"/>
        <v>0</v>
      </c>
      <c r="G7" s="40">
        <f ca="1">SUM('07-2024'!G7, '08-2024'!G7, '09-2024'!G7)</f>
        <v>0</v>
      </c>
      <c r="H7" s="40">
        <f t="shared" ca="1" si="2"/>
        <v>0</v>
      </c>
      <c r="I7" s="41">
        <f t="shared" ca="1" si="3"/>
        <v>0</v>
      </c>
      <c r="J7" s="19"/>
      <c r="K7" s="19"/>
    </row>
    <row r="8" spans="1:11" ht="15.75">
      <c r="A8" s="72" t="str">
        <v>Cherry Valley</v>
      </c>
      <c r="B8" s="18" t="str">
        <v>MA</v>
      </c>
      <c r="C8" s="38">
        <f ca="1">SUM('07-2024'!C8, '08-2024'!C8, '09-2024'!C8)</f>
        <v>0</v>
      </c>
      <c r="D8" s="38">
        <f ca="1">SUM('07-2024'!D8, '08-2024'!D8, '09-2024'!D8)</f>
        <v>0</v>
      </c>
      <c r="E8" s="38">
        <f t="shared" ca="1" si="0"/>
        <v>0</v>
      </c>
      <c r="F8" s="39">
        <f t="shared" ca="1" si="1"/>
        <v>0</v>
      </c>
      <c r="G8" s="40">
        <f ca="1">SUM('07-2024'!G8, '08-2024'!G8, '09-2024'!G8)</f>
        <v>0</v>
      </c>
      <c r="H8" s="40">
        <f t="shared" ca="1" si="2"/>
        <v>0</v>
      </c>
      <c r="I8" s="41">
        <f t="shared" ca="1" si="3"/>
        <v>0</v>
      </c>
      <c r="J8" s="17"/>
      <c r="K8" s="17"/>
    </row>
    <row r="9" spans="1:11" ht="15.75">
      <c r="A9" s="73" t="str">
        <v>Cohasse</v>
      </c>
      <c r="B9" s="37" t="str">
        <v>MA</v>
      </c>
      <c r="C9" s="38">
        <f ca="1">SUM('07-2024'!C9, '08-2024'!C9, '09-2024'!C9)</f>
        <v>0</v>
      </c>
      <c r="D9" s="38">
        <f ca="1">SUM('07-2024'!D9, '08-2024'!D9, '09-2024'!D9)</f>
        <v>0</v>
      </c>
      <c r="E9" s="38">
        <f t="shared" ref="E9:E23" ca="1" si="4">C9-D9</f>
        <v>0</v>
      </c>
      <c r="F9" s="39">
        <f t="shared" ca="1" si="1"/>
        <v>0</v>
      </c>
      <c r="G9" s="40">
        <f ca="1">SUM('07-2024'!G9, '08-2024'!G9, '09-2024'!G9)</f>
        <v>0</v>
      </c>
      <c r="H9" s="40">
        <f t="shared" ca="1" si="2"/>
        <v>0</v>
      </c>
      <c r="I9" s="41">
        <f t="shared" ca="1" si="3"/>
        <v>0</v>
      </c>
      <c r="J9" s="17"/>
      <c r="K9" s="17"/>
    </row>
    <row r="10" spans="1:11" ht="15.75">
      <c r="A10" s="72" t="str">
        <v>ISM Dighton Solar 2</v>
      </c>
      <c r="B10" s="18" t="str">
        <v>MA</v>
      </c>
      <c r="C10" s="38">
        <f ca="1">SUM('07-2024'!C10, '08-2024'!C10, '09-2024'!C10)</f>
        <v>0</v>
      </c>
      <c r="D10" s="38">
        <f ca="1">SUM('07-2024'!D10, '08-2024'!D10, '09-2024'!D10)</f>
        <v>0</v>
      </c>
      <c r="E10" s="38">
        <f t="shared" ca="1" si="4"/>
        <v>0</v>
      </c>
      <c r="F10" s="39">
        <f t="shared" ca="1" si="1"/>
        <v>0</v>
      </c>
      <c r="G10" s="40">
        <f ca="1">SUM('07-2024'!G10, '08-2024'!G10, '09-2024'!G10)</f>
        <v>0</v>
      </c>
      <c r="H10" s="40">
        <f t="shared" ca="1" si="2"/>
        <v>0</v>
      </c>
      <c r="I10" s="41">
        <f t="shared" ca="1" si="3"/>
        <v>0</v>
      </c>
      <c r="J10" s="17"/>
      <c r="K10" s="17"/>
    </row>
    <row r="11" spans="1:11" ht="15.75">
      <c r="A11" s="73" t="str">
        <v>Dudley River 1</v>
      </c>
      <c r="B11" s="37" t="str">
        <v>MA</v>
      </c>
      <c r="C11" s="38">
        <f ca="1">SUM('07-2024'!C11, '08-2024'!C11, '09-2024'!C11)</f>
        <v>0</v>
      </c>
      <c r="D11" s="38">
        <f ca="1">SUM('07-2024'!D11, '08-2024'!D11, '09-2024'!D11)</f>
        <v>0</v>
      </c>
      <c r="E11" s="38">
        <f t="shared" ca="1" si="4"/>
        <v>0</v>
      </c>
      <c r="F11" s="39">
        <f t="shared" ca="1" si="1"/>
        <v>0</v>
      </c>
      <c r="G11" s="40">
        <f ca="1">SUM('07-2024'!G11, '08-2024'!G11, '09-2024'!G11)</f>
        <v>0</v>
      </c>
      <c r="H11" s="40">
        <f t="shared" ca="1" si="2"/>
        <v>0</v>
      </c>
      <c r="I11" s="41">
        <f t="shared" ca="1" si="3"/>
        <v>0</v>
      </c>
      <c r="J11" s="17"/>
      <c r="K11" s="17"/>
    </row>
    <row r="12" spans="1:11" ht="15.75">
      <c r="A12" s="72" t="str">
        <v>Dudley River 2</v>
      </c>
      <c r="B12" s="18" t="str">
        <v>MA</v>
      </c>
      <c r="C12" s="38">
        <f ca="1">SUM('07-2024'!C12, '08-2024'!C12, '09-2024'!C12)</f>
        <v>0</v>
      </c>
      <c r="D12" s="38">
        <f ca="1">SUM('07-2024'!D12, '08-2024'!D12, '09-2024'!D12)</f>
        <v>0</v>
      </c>
      <c r="E12" s="38">
        <f t="shared" ca="1" si="4"/>
        <v>0</v>
      </c>
      <c r="F12" s="39">
        <f t="shared" ca="1" si="1"/>
        <v>0</v>
      </c>
      <c r="G12" s="40">
        <f ca="1">SUM('07-2024'!G12, '08-2024'!G12, '09-2024'!G12)</f>
        <v>0</v>
      </c>
      <c r="H12" s="40">
        <f t="shared" ca="1" si="2"/>
        <v>0</v>
      </c>
      <c r="I12" s="41">
        <f t="shared" ca="1" si="3"/>
        <v>0</v>
      </c>
      <c r="J12" s="17"/>
      <c r="K12" s="17"/>
    </row>
    <row r="13" spans="1:11" ht="15.75">
      <c r="A13" s="73" t="str">
        <v>Dudley River 3</v>
      </c>
      <c r="B13" s="37" t="str">
        <v>MA</v>
      </c>
      <c r="C13" s="38">
        <f ca="1">SUM('07-2024'!C13, '08-2024'!C13, '09-2024'!C13)</f>
        <v>0</v>
      </c>
      <c r="D13" s="38">
        <f ca="1">SUM('07-2024'!D13, '08-2024'!D13, '09-2024'!D13)</f>
        <v>0</v>
      </c>
      <c r="E13" s="38">
        <f t="shared" ca="1" si="4"/>
        <v>0</v>
      </c>
      <c r="F13" s="39">
        <f t="shared" ca="1" si="1"/>
        <v>0</v>
      </c>
      <c r="G13" s="40">
        <f ca="1">SUM('07-2024'!G13, '08-2024'!G13, '09-2024'!G13)</f>
        <v>0</v>
      </c>
      <c r="H13" s="40">
        <f t="shared" ca="1" si="2"/>
        <v>0</v>
      </c>
      <c r="I13" s="41">
        <f t="shared" ca="1" si="3"/>
        <v>0</v>
      </c>
      <c r="J13" s="17"/>
      <c r="K13" s="17"/>
    </row>
    <row r="14" spans="1:11" ht="15.75">
      <c r="A14" s="72" t="str">
        <v>Flint Pond</v>
      </c>
      <c r="B14" s="18" t="str">
        <v>MA</v>
      </c>
      <c r="C14" s="38">
        <f ca="1">SUM('07-2024'!C14, '08-2024'!C14, '09-2024'!C14)</f>
        <v>0</v>
      </c>
      <c r="D14" s="38">
        <f ca="1">SUM('07-2024'!D14, '08-2024'!D14, '09-2024'!D14)</f>
        <v>0</v>
      </c>
      <c r="E14" s="38">
        <f t="shared" ca="1" si="4"/>
        <v>0</v>
      </c>
      <c r="F14" s="39">
        <f t="shared" ca="1" si="1"/>
        <v>0</v>
      </c>
      <c r="G14" s="40">
        <f ca="1">SUM('07-2024'!G14, '08-2024'!G14, '09-2024'!G14)</f>
        <v>0</v>
      </c>
      <c r="H14" s="40">
        <f t="shared" ca="1" si="2"/>
        <v>0</v>
      </c>
      <c r="I14" s="41">
        <f t="shared" ca="1" si="3"/>
        <v>0</v>
      </c>
      <c r="J14" s="17"/>
      <c r="K14" s="17"/>
    </row>
    <row r="15" spans="1:11" ht="15.75">
      <c r="A15" s="73" t="str">
        <v>Incom</v>
      </c>
      <c r="B15" s="37" t="str">
        <v>MA</v>
      </c>
      <c r="C15" s="38">
        <f ca="1">SUM('07-2024'!C15, '08-2024'!C15, '09-2024'!C15)</f>
        <v>0</v>
      </c>
      <c r="D15" s="38">
        <f ca="1">SUM('07-2024'!D15, '08-2024'!D15, '09-2024'!D15)</f>
        <v>0</v>
      </c>
      <c r="E15" s="38">
        <f t="shared" ca="1" si="4"/>
        <v>0</v>
      </c>
      <c r="F15" s="39">
        <f t="shared" ca="1" si="1"/>
        <v>0</v>
      </c>
      <c r="G15" s="40">
        <f ca="1">SUM('07-2024'!G15, '08-2024'!G15, '09-2024'!G15)</f>
        <v>0</v>
      </c>
      <c r="H15" s="40">
        <f t="shared" ca="1" si="2"/>
        <v>0</v>
      </c>
      <c r="I15" s="41">
        <f t="shared" ca="1" si="3"/>
        <v>0</v>
      </c>
      <c r="J15" s="17"/>
      <c r="K15" s="17"/>
    </row>
    <row r="16" spans="1:11" ht="15.75">
      <c r="A16" s="72" t="str">
        <v>JH</v>
      </c>
      <c r="B16" s="18" t="str">
        <v>MA</v>
      </c>
      <c r="C16" s="38">
        <f ca="1">SUM('07-2024'!C16, '08-2024'!C16, '09-2024'!C16)</f>
        <v>0</v>
      </c>
      <c r="D16" s="38">
        <f ca="1">SUM('07-2024'!D16, '08-2024'!D16, '09-2024'!D16)</f>
        <v>0</v>
      </c>
      <c r="E16" s="38">
        <f t="shared" ca="1" si="4"/>
        <v>0</v>
      </c>
      <c r="F16" s="39">
        <f t="shared" ca="1" si="1"/>
        <v>0</v>
      </c>
      <c r="G16" s="40">
        <f ca="1">SUM('07-2024'!G16, '08-2024'!G16, '09-2024'!G16)</f>
        <v>0</v>
      </c>
      <c r="H16" s="40">
        <f t="shared" ca="1" si="2"/>
        <v>0</v>
      </c>
      <c r="I16" s="41">
        <f t="shared" ca="1" si="3"/>
        <v>0</v>
      </c>
      <c r="J16" s="17"/>
      <c r="K16" s="17"/>
    </row>
    <row r="17" spans="1:11" ht="15.75">
      <c r="A17" s="73" t="str">
        <v>Ledeaux</v>
      </c>
      <c r="B17" s="37" t="str">
        <v>MA</v>
      </c>
      <c r="C17" s="38">
        <f ca="1">SUM('07-2024'!C17, '08-2024'!C17, '09-2024'!C17)</f>
        <v>0</v>
      </c>
      <c r="D17" s="38">
        <f ca="1">SUM('07-2024'!D17, '08-2024'!D17, '09-2024'!D17)</f>
        <v>0</v>
      </c>
      <c r="E17" s="38">
        <f t="shared" ca="1" si="4"/>
        <v>0</v>
      </c>
      <c r="F17" s="39">
        <f t="shared" ca="1" si="1"/>
        <v>0</v>
      </c>
      <c r="G17" s="40">
        <f ca="1">SUM('07-2024'!G17, '08-2024'!G17, '09-2024'!G17)</f>
        <v>0</v>
      </c>
      <c r="H17" s="40">
        <f t="shared" ca="1" si="2"/>
        <v>0</v>
      </c>
      <c r="I17" s="41">
        <f t="shared" ca="1" si="3"/>
        <v>0</v>
      </c>
      <c r="J17" s="17"/>
      <c r="K17" s="17"/>
    </row>
    <row r="18" spans="1:11" ht="15.75">
      <c r="A18" s="72" t="str">
        <v>Palombo A</v>
      </c>
      <c r="B18" s="18" t="str">
        <v>MA</v>
      </c>
      <c r="C18" s="38">
        <f ca="1">SUM('07-2024'!C18, '08-2024'!C18, '09-2024'!C18)</f>
        <v>0</v>
      </c>
      <c r="D18" s="38">
        <f ca="1">SUM('07-2024'!D18, '08-2024'!D18, '09-2024'!D18)</f>
        <v>0</v>
      </c>
      <c r="E18" s="38">
        <f t="shared" ca="1" si="4"/>
        <v>0</v>
      </c>
      <c r="F18" s="39">
        <f t="shared" ca="1" si="1"/>
        <v>0</v>
      </c>
      <c r="G18" s="40">
        <f ca="1">SUM('07-2024'!G18, '08-2024'!G18, '09-2024'!G18)</f>
        <v>0</v>
      </c>
      <c r="H18" s="40">
        <f t="shared" ca="1" si="2"/>
        <v>0</v>
      </c>
      <c r="I18" s="41">
        <f t="shared" ca="1" si="3"/>
        <v>0</v>
      </c>
      <c r="J18" s="17"/>
      <c r="K18" s="17"/>
    </row>
    <row r="19" spans="1:11" ht="15.75">
      <c r="A19" s="73" t="str">
        <v>Palombo B</v>
      </c>
      <c r="B19" s="37" t="str">
        <v>MA</v>
      </c>
      <c r="C19" s="38">
        <f ca="1">SUM('07-2024'!C19, '08-2024'!C19, '09-2024'!C19)</f>
        <v>0</v>
      </c>
      <c r="D19" s="38">
        <f ca="1">SUM('07-2024'!D19, '08-2024'!D19, '09-2024'!D19)</f>
        <v>0</v>
      </c>
      <c r="E19" s="38">
        <f t="shared" ca="1" si="4"/>
        <v>0</v>
      </c>
      <c r="F19" s="39">
        <f t="shared" ca="1" si="1"/>
        <v>0</v>
      </c>
      <c r="G19" s="40">
        <f ca="1">SUM('07-2024'!G19, '08-2024'!G19, '09-2024'!G19)</f>
        <v>0</v>
      </c>
      <c r="H19" s="40">
        <f t="shared" ca="1" si="2"/>
        <v>0</v>
      </c>
      <c r="I19" s="41">
        <f t="shared" ca="1" si="3"/>
        <v>0</v>
      </c>
      <c r="J19" s="17"/>
      <c r="K19" s="17"/>
    </row>
    <row r="20" spans="1:11" ht="15.75">
      <c r="A20" s="72" t="str">
        <v>St Josephs Church</v>
      </c>
      <c r="B20" s="18" t="str">
        <v>MA</v>
      </c>
      <c r="C20" s="38">
        <f ca="1">SUM('07-2024'!C20, '08-2024'!C20, '09-2024'!C20)</f>
        <v>0</v>
      </c>
      <c r="D20" s="38">
        <f ca="1">SUM('07-2024'!D20, '08-2024'!D20, '09-2024'!D20)</f>
        <v>0</v>
      </c>
      <c r="E20" s="38">
        <f t="shared" ca="1" si="4"/>
        <v>0</v>
      </c>
      <c r="F20" s="39">
        <f t="shared" ca="1" si="1"/>
        <v>0</v>
      </c>
      <c r="G20" s="40">
        <f ca="1">SUM('07-2024'!G20, '08-2024'!G20, '09-2024'!G20)</f>
        <v>0</v>
      </c>
      <c r="H20" s="40">
        <f t="shared" ca="1" si="2"/>
        <v>0</v>
      </c>
      <c r="I20" s="41">
        <f t="shared" ca="1" si="3"/>
        <v>0</v>
      </c>
      <c r="J20" s="17"/>
      <c r="K20" s="17"/>
    </row>
    <row r="21" spans="1:11" ht="15.75">
      <c r="A21" s="73" t="str">
        <v>Sunset A</v>
      </c>
      <c r="B21" s="37" t="str">
        <v>MA</v>
      </c>
      <c r="C21" s="38">
        <f ca="1">SUM('07-2024'!C21, '08-2024'!C21, '09-2024'!C21)</f>
        <v>0</v>
      </c>
      <c r="D21" s="38">
        <f ca="1">SUM('07-2024'!D21, '08-2024'!D21, '09-2024'!D21)</f>
        <v>0</v>
      </c>
      <c r="E21" s="38">
        <f t="shared" ca="1" si="4"/>
        <v>0</v>
      </c>
      <c r="F21" s="39">
        <f t="shared" ca="1" si="1"/>
        <v>0</v>
      </c>
      <c r="G21" s="40">
        <f ca="1">SUM('07-2024'!G21, '08-2024'!G21, '09-2024'!G21)</f>
        <v>0</v>
      </c>
      <c r="H21" s="40">
        <f t="shared" ca="1" si="2"/>
        <v>0</v>
      </c>
      <c r="I21" s="41">
        <f t="shared" ca="1" si="3"/>
        <v>0</v>
      </c>
      <c r="J21" s="17"/>
      <c r="K21" s="17"/>
    </row>
    <row r="22" spans="1:11" ht="15.75">
      <c r="A22" s="72" t="str">
        <v>Sunset B</v>
      </c>
      <c r="B22" s="18" t="str">
        <v>MA</v>
      </c>
      <c r="C22" s="38">
        <f ca="1">SUM('07-2024'!C22, '08-2024'!C22, '09-2024'!C22)</f>
        <v>0</v>
      </c>
      <c r="D22" s="38">
        <f ca="1">SUM('07-2024'!D22, '08-2024'!D22, '09-2024'!D22)</f>
        <v>0</v>
      </c>
      <c r="E22" s="38">
        <f t="shared" ca="1" si="4"/>
        <v>0</v>
      </c>
      <c r="F22" s="39">
        <f t="shared" ca="1" si="1"/>
        <v>0</v>
      </c>
      <c r="G22" s="40">
        <f ca="1">SUM('07-2024'!G22, '08-2024'!G22, '09-2024'!G22)</f>
        <v>0</v>
      </c>
      <c r="H22" s="40">
        <f t="shared" ca="1" si="2"/>
        <v>0</v>
      </c>
      <c r="I22" s="41">
        <f t="shared" ca="1" si="3"/>
        <v>0</v>
      </c>
      <c r="J22" s="17"/>
      <c r="K22" s="17"/>
    </row>
    <row r="23" spans="1:11" ht="15.75">
      <c r="A23" s="73" t="str">
        <v>Woodchuck</v>
      </c>
      <c r="B23" s="37" t="str">
        <v>MA</v>
      </c>
      <c r="C23" s="38">
        <f ca="1">SUM('07-2024'!C23, '08-2024'!C23, '09-2024'!C23)</f>
        <v>0</v>
      </c>
      <c r="D23" s="38">
        <f ca="1">SUM('07-2024'!D23, '08-2024'!D23, '09-2024'!D23)</f>
        <v>0</v>
      </c>
      <c r="E23" s="38">
        <f t="shared" ca="1" si="4"/>
        <v>0</v>
      </c>
      <c r="F23" s="39">
        <f t="shared" ca="1" si="1"/>
        <v>0</v>
      </c>
      <c r="G23" s="40">
        <f ca="1">SUM('07-2024'!G23, '08-2024'!G23, '09-2024'!G23)</f>
        <v>0</v>
      </c>
      <c r="H23" s="40">
        <f t="shared" ca="1" si="2"/>
        <v>0</v>
      </c>
      <c r="I23" s="41">
        <f t="shared" ca="1" si="3"/>
        <v>0</v>
      </c>
      <c r="J23" s="17"/>
      <c r="K23" s="17"/>
    </row>
    <row r="24" spans="1:11" ht="24.75" customHeight="1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9"/>
    </row>
    <row r="25" spans="1:11">
      <c r="J25" s="9"/>
    </row>
    <row r="26" spans="1:11" ht="12.75" customHeight="1">
      <c r="A26" s="162" t="s">
        <v>12</v>
      </c>
      <c r="J26" s="9"/>
    </row>
    <row r="27" spans="1:11">
      <c r="A27" s="162"/>
      <c r="J27" s="9"/>
    </row>
    <row r="28" spans="1:11" ht="12.75" customHeight="1">
      <c r="A28" s="163" t="s">
        <v>13</v>
      </c>
      <c r="J28" s="9"/>
    </row>
    <row r="29" spans="1:11">
      <c r="A29" s="163"/>
      <c r="J29" s="9"/>
    </row>
  </sheetData>
  <autoFilter ref="A2:I2" xr:uid="{CACFAF7D-C0A7-49C0-9FFC-8D8BC8F00BC8}"/>
  <mergeCells count="8">
    <mergeCell ref="K1:K2"/>
    <mergeCell ref="A24:B24"/>
    <mergeCell ref="A26:A27"/>
    <mergeCell ref="A28:A29"/>
    <mergeCell ref="A1:B1"/>
    <mergeCell ref="C1:F1"/>
    <mergeCell ref="G1:I1"/>
    <mergeCell ref="J1:J2"/>
  </mergeCells>
  <conditionalFormatting sqref="F3:F24 I3:I24">
    <cfRule type="cellIs" dxfId="373" priority="1" operator="lessThanOrEqual">
      <formula>-0.1</formula>
    </cfRule>
    <cfRule type="cellIs" dxfId="37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30"/>
  <sheetViews>
    <sheetView workbookViewId="0">
      <pane ySplit="2" topLeftCell="A3" activePane="bottomLeft" state="frozen"/>
      <selection pane="bottomLeft" activeCell="G26" sqref="G26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13.42578125" style="1" bestFit="1" customWidth="1"/>
    <col min="10" max="10" width="71.5703125" customWidth="1"/>
    <col min="11" max="11" width="19.42578125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20</v>
      </c>
      <c r="D1" s="167"/>
      <c r="E1" s="167"/>
      <c r="F1" s="168"/>
      <c r="G1" s="169" t="s">
        <v>21</v>
      </c>
      <c r="H1" s="169"/>
      <c r="I1" s="170"/>
      <c r="J1" s="158" t="s">
        <v>2</v>
      </c>
      <c r="K1" s="158" t="s">
        <v>3</v>
      </c>
    </row>
    <row r="2" spans="1:11" ht="14.2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>
        <f ca="1">SUM('10-2024'!C3, '11-2024'!C3, '12-2024'!C3)</f>
        <v>0</v>
      </c>
      <c r="D3" s="38">
        <f ca="1">SUM('10-2024'!D3, '11-2024'!D3, '12-2024'!D3)</f>
        <v>0</v>
      </c>
      <c r="E3" s="38">
        <f ca="1">C3-D3</f>
        <v>0</v>
      </c>
      <c r="F3" s="39">
        <f ca="1">IFERROR(E3/D3, 0)</f>
        <v>0</v>
      </c>
      <c r="G3" s="40">
        <f ca="1">SUM('10-2024'!G3, '11-2024'!G3, '12-2024'!G3)</f>
        <v>0</v>
      </c>
      <c r="H3" s="40">
        <f ca="1">C3-G3</f>
        <v>0</v>
      </c>
      <c r="I3" s="41">
        <f ca="1">IFERROR(H3/G3, 0)</f>
        <v>0</v>
      </c>
      <c r="J3" s="17"/>
      <c r="K3" s="17"/>
    </row>
    <row r="4" spans="1:11" ht="15.75">
      <c r="A4" s="72" t="str">
        <v>Barton Acres</v>
      </c>
      <c r="B4" s="18" t="str">
        <v>MA</v>
      </c>
      <c r="C4" s="38">
        <f ca="1">SUM('10-2024'!C4, '11-2024'!C4, '12-2024'!C4)</f>
        <v>0</v>
      </c>
      <c r="D4" s="38">
        <f ca="1">SUM('10-2024'!D4, '11-2024'!D4, '12-2024'!D4)</f>
        <v>0</v>
      </c>
      <c r="E4" s="38">
        <f t="shared" ref="E4:E10" ca="1" si="0">C4-D4</f>
        <v>0</v>
      </c>
      <c r="F4" s="39">
        <f t="shared" ref="F4:F23" ca="1" si="1">IFERROR(E4/D4, 0)</f>
        <v>0</v>
      </c>
      <c r="G4" s="40">
        <f ca="1">SUM('10-2024'!G4, '11-2024'!G4, '12-2024'!G4)</f>
        <v>0</v>
      </c>
      <c r="H4" s="40">
        <f t="shared" ref="H4:H23" ca="1" si="2">C4-G4</f>
        <v>0</v>
      </c>
      <c r="I4" s="41">
        <f t="shared" ref="I4:I23" ca="1" si="3">IFERROR(H4/G4, 0)</f>
        <v>0</v>
      </c>
      <c r="J4" s="17"/>
      <c r="K4" s="17"/>
    </row>
    <row r="5" spans="1:11" ht="15.75">
      <c r="A5" s="73" t="str">
        <v>Bowden</v>
      </c>
      <c r="B5" s="37" t="str">
        <v>MA</v>
      </c>
      <c r="C5" s="38">
        <f ca="1">SUM('10-2024'!C5, '11-2024'!C5, '12-2024'!C5)</f>
        <v>0</v>
      </c>
      <c r="D5" s="38">
        <f ca="1">SUM('10-2024'!D5, '11-2024'!D5, '12-2024'!D5)</f>
        <v>0</v>
      </c>
      <c r="E5" s="38">
        <f t="shared" ca="1" si="0"/>
        <v>0</v>
      </c>
      <c r="F5" s="39">
        <f t="shared" ca="1" si="1"/>
        <v>0</v>
      </c>
      <c r="G5" s="40">
        <f ca="1">SUM('10-2024'!G5, '11-2024'!G5, '12-2024'!G5)</f>
        <v>0</v>
      </c>
      <c r="H5" s="40">
        <f t="shared" ca="1" si="2"/>
        <v>0</v>
      </c>
      <c r="I5" s="41">
        <f t="shared" ca="1" si="3"/>
        <v>0</v>
      </c>
      <c r="J5" s="17"/>
      <c r="K5" s="17"/>
    </row>
    <row r="6" spans="1:11" ht="15.75">
      <c r="A6" s="72" t="str">
        <v>Blair Wire Village</v>
      </c>
      <c r="B6" s="18" t="str">
        <v>MA</v>
      </c>
      <c r="C6" s="38">
        <f ca="1">SUM('10-2024'!C6, '11-2024'!C6, '12-2024'!C6)</f>
        <v>0</v>
      </c>
      <c r="D6" s="38">
        <f ca="1">SUM('10-2024'!D6, '11-2024'!D6, '12-2024'!D6)</f>
        <v>0</v>
      </c>
      <c r="E6" s="38">
        <f t="shared" ca="1" si="0"/>
        <v>0</v>
      </c>
      <c r="F6" s="39">
        <f t="shared" ca="1" si="1"/>
        <v>0</v>
      </c>
      <c r="G6" s="40">
        <f ca="1">SUM('10-2024'!G6, '11-2024'!G6, '12-2024'!G6)</f>
        <v>0</v>
      </c>
      <c r="H6" s="40">
        <f t="shared" ca="1" si="2"/>
        <v>0</v>
      </c>
      <c r="I6" s="41">
        <f t="shared" ca="1" si="3"/>
        <v>0</v>
      </c>
      <c r="J6" s="17"/>
      <c r="K6" s="17"/>
    </row>
    <row r="7" spans="1:11" ht="15.75">
      <c r="A7" s="73" t="str">
        <v>Boutilier</v>
      </c>
      <c r="B7" s="37" t="str">
        <v>MA</v>
      </c>
      <c r="C7" s="38">
        <f ca="1">SUM('10-2024'!C7, '11-2024'!C7, '12-2024'!C7)</f>
        <v>0</v>
      </c>
      <c r="D7" s="38">
        <f ca="1">SUM('10-2024'!D7, '11-2024'!D7, '12-2024'!D7)</f>
        <v>0</v>
      </c>
      <c r="E7" s="38">
        <f t="shared" ca="1" si="0"/>
        <v>0</v>
      </c>
      <c r="F7" s="39">
        <f t="shared" ca="1" si="1"/>
        <v>0</v>
      </c>
      <c r="G7" s="40">
        <f ca="1">SUM('10-2024'!G7, '11-2024'!G7, '12-2024'!G7)</f>
        <v>0</v>
      </c>
      <c r="H7" s="40">
        <f t="shared" ca="1" si="2"/>
        <v>0</v>
      </c>
      <c r="I7" s="41">
        <f t="shared" ca="1" si="3"/>
        <v>0</v>
      </c>
      <c r="J7" s="19"/>
      <c r="K7" s="19"/>
    </row>
    <row r="8" spans="1:11" ht="15.75">
      <c r="A8" s="72" t="str">
        <v>Cherry Valley</v>
      </c>
      <c r="B8" s="18" t="str">
        <v>MA</v>
      </c>
      <c r="C8" s="38">
        <f ca="1">SUM('10-2024'!C8, '11-2024'!C8, '12-2024'!C8)</f>
        <v>0</v>
      </c>
      <c r="D8" s="38">
        <f ca="1">SUM('10-2024'!D8, '11-2024'!D8, '12-2024'!D8)</f>
        <v>0</v>
      </c>
      <c r="E8" s="38">
        <f t="shared" ca="1" si="0"/>
        <v>0</v>
      </c>
      <c r="F8" s="39">
        <f t="shared" ca="1" si="1"/>
        <v>0</v>
      </c>
      <c r="G8" s="40">
        <f ca="1">SUM('10-2024'!G8, '11-2024'!G8, '12-2024'!G8)</f>
        <v>0</v>
      </c>
      <c r="H8" s="40">
        <f t="shared" ca="1" si="2"/>
        <v>0</v>
      </c>
      <c r="I8" s="41">
        <f t="shared" ca="1" si="3"/>
        <v>0</v>
      </c>
      <c r="J8" s="17"/>
      <c r="K8" s="17"/>
    </row>
    <row r="9" spans="1:11" ht="15.75">
      <c r="A9" s="73" t="str">
        <v>Cohasse</v>
      </c>
      <c r="B9" s="37" t="str">
        <v>MA</v>
      </c>
      <c r="C9" s="38">
        <f ca="1">SUM('10-2024'!C9, '11-2024'!C9, '12-2024'!C9)</f>
        <v>0</v>
      </c>
      <c r="D9" s="38">
        <f ca="1">SUM('10-2024'!D9, '11-2024'!D9, '12-2024'!D9)</f>
        <v>0</v>
      </c>
      <c r="E9" s="38">
        <f t="shared" ca="1" si="0"/>
        <v>0</v>
      </c>
      <c r="F9" s="39">
        <f t="shared" ca="1" si="1"/>
        <v>0</v>
      </c>
      <c r="G9" s="40">
        <f ca="1">SUM('10-2024'!G9, '11-2024'!G9, '12-2024'!G9)</f>
        <v>0</v>
      </c>
      <c r="H9" s="40">
        <f t="shared" ca="1" si="2"/>
        <v>0</v>
      </c>
      <c r="I9" s="41">
        <f t="shared" ca="1" si="3"/>
        <v>0</v>
      </c>
      <c r="J9" s="20"/>
      <c r="K9" s="21"/>
    </row>
    <row r="10" spans="1:11" ht="15.75">
      <c r="A10" s="72" t="str">
        <v>ISM Dighton Solar 2</v>
      </c>
      <c r="B10" s="18" t="str">
        <v>MA</v>
      </c>
      <c r="C10" s="38">
        <f ca="1">SUM('10-2024'!C10, '11-2024'!C10, '12-2024'!C10)</f>
        <v>0</v>
      </c>
      <c r="D10" s="38">
        <f ca="1">SUM('10-2024'!D10, '11-2024'!D10, '12-2024'!D10)</f>
        <v>0</v>
      </c>
      <c r="E10" s="38">
        <f t="shared" ca="1" si="0"/>
        <v>0</v>
      </c>
      <c r="F10" s="39">
        <f t="shared" ca="1" si="1"/>
        <v>0</v>
      </c>
      <c r="G10" s="40">
        <f ca="1">SUM('10-2024'!G10, '11-2024'!G10, '12-2024'!G10)</f>
        <v>0</v>
      </c>
      <c r="H10" s="40">
        <f t="shared" ca="1" si="2"/>
        <v>0</v>
      </c>
      <c r="I10" s="41">
        <f t="shared" ca="1" si="3"/>
        <v>0</v>
      </c>
      <c r="J10" s="17"/>
      <c r="K10" s="17"/>
    </row>
    <row r="11" spans="1:11" ht="15.75">
      <c r="A11" s="73" t="str">
        <v>Dudley River 1</v>
      </c>
      <c r="B11" s="37" t="str">
        <v>MA</v>
      </c>
      <c r="C11" s="38">
        <f ca="1">SUM('10-2024'!C11, '11-2024'!C11, '12-2024'!C11)</f>
        <v>0</v>
      </c>
      <c r="D11" s="38">
        <f ca="1">SUM('10-2024'!D11, '11-2024'!D11, '12-2024'!D11)</f>
        <v>0</v>
      </c>
      <c r="E11" s="38">
        <f t="shared" ref="E11:E23" ca="1" si="4">C11-D11</f>
        <v>0</v>
      </c>
      <c r="F11" s="39">
        <f t="shared" ca="1" si="1"/>
        <v>0</v>
      </c>
      <c r="G11" s="40">
        <f ca="1">SUM('10-2024'!G11, '11-2024'!G11, '12-2024'!G11)</f>
        <v>0</v>
      </c>
      <c r="H11" s="40">
        <f t="shared" ca="1" si="2"/>
        <v>0</v>
      </c>
      <c r="I11" s="41">
        <f t="shared" ca="1" si="3"/>
        <v>0</v>
      </c>
      <c r="J11" s="17"/>
      <c r="K11" s="17"/>
    </row>
    <row r="12" spans="1:11" ht="15.75">
      <c r="A12" s="72" t="str">
        <v>Dudley River 2</v>
      </c>
      <c r="B12" s="18" t="str">
        <v>MA</v>
      </c>
      <c r="C12" s="38">
        <f ca="1">SUM('10-2024'!C12, '11-2024'!C12, '12-2024'!C12)</f>
        <v>0</v>
      </c>
      <c r="D12" s="38">
        <f ca="1">SUM('10-2024'!D12, '11-2024'!D12, '12-2024'!D12)</f>
        <v>0</v>
      </c>
      <c r="E12" s="38">
        <f t="shared" ca="1" si="4"/>
        <v>0</v>
      </c>
      <c r="F12" s="39">
        <f t="shared" ca="1" si="1"/>
        <v>0</v>
      </c>
      <c r="G12" s="40">
        <f ca="1">SUM('10-2024'!G12, '11-2024'!G12, '12-2024'!G12)</f>
        <v>0</v>
      </c>
      <c r="H12" s="40">
        <f t="shared" ca="1" si="2"/>
        <v>0</v>
      </c>
      <c r="I12" s="41">
        <f t="shared" ca="1" si="3"/>
        <v>0</v>
      </c>
      <c r="J12" s="17"/>
      <c r="K12" s="17"/>
    </row>
    <row r="13" spans="1:11" ht="15.75">
      <c r="A13" s="73" t="str">
        <v>Dudley River 3</v>
      </c>
      <c r="B13" s="37" t="str">
        <v>MA</v>
      </c>
      <c r="C13" s="38">
        <f ca="1">SUM('10-2024'!C13, '11-2024'!C13, '12-2024'!C13)</f>
        <v>0</v>
      </c>
      <c r="D13" s="38">
        <f ca="1">SUM('10-2024'!D13, '11-2024'!D13, '12-2024'!D13)</f>
        <v>0</v>
      </c>
      <c r="E13" s="38">
        <f t="shared" ca="1" si="4"/>
        <v>0</v>
      </c>
      <c r="F13" s="39">
        <f t="shared" ca="1" si="1"/>
        <v>0</v>
      </c>
      <c r="G13" s="40">
        <f ca="1">SUM('10-2024'!G13, '11-2024'!G13, '12-2024'!G13)</f>
        <v>0</v>
      </c>
      <c r="H13" s="40">
        <f t="shared" ca="1" si="2"/>
        <v>0</v>
      </c>
      <c r="I13" s="41">
        <f t="shared" ca="1" si="3"/>
        <v>0</v>
      </c>
      <c r="J13" s="17"/>
      <c r="K13" s="17"/>
    </row>
    <row r="14" spans="1:11" ht="15.75">
      <c r="A14" s="72" t="str">
        <v>Flint Pond</v>
      </c>
      <c r="B14" s="18" t="str">
        <v>MA</v>
      </c>
      <c r="C14" s="38">
        <f ca="1">SUM('10-2024'!C14, '11-2024'!C14, '12-2024'!C14)</f>
        <v>0</v>
      </c>
      <c r="D14" s="38">
        <f ca="1">SUM('10-2024'!D14, '11-2024'!D14, '12-2024'!D14)</f>
        <v>0</v>
      </c>
      <c r="E14" s="38">
        <f t="shared" ca="1" si="4"/>
        <v>0</v>
      </c>
      <c r="F14" s="39">
        <f t="shared" ca="1" si="1"/>
        <v>0</v>
      </c>
      <c r="G14" s="40">
        <f ca="1">SUM('10-2024'!G14, '11-2024'!G14, '12-2024'!G14)</f>
        <v>0</v>
      </c>
      <c r="H14" s="40">
        <f t="shared" ca="1" si="2"/>
        <v>0</v>
      </c>
      <c r="I14" s="41">
        <f t="shared" ca="1" si="3"/>
        <v>0</v>
      </c>
      <c r="J14" s="17"/>
      <c r="K14" s="17"/>
    </row>
    <row r="15" spans="1:11" ht="15.75">
      <c r="A15" s="73" t="str">
        <v>Incom</v>
      </c>
      <c r="B15" s="37" t="str">
        <v>MA</v>
      </c>
      <c r="C15" s="38">
        <f ca="1">SUM('10-2024'!C15, '11-2024'!C15, '12-2024'!C15)</f>
        <v>0</v>
      </c>
      <c r="D15" s="38">
        <f ca="1">SUM('10-2024'!D15, '11-2024'!D15, '12-2024'!D15)</f>
        <v>0</v>
      </c>
      <c r="E15" s="38">
        <f t="shared" ca="1" si="4"/>
        <v>0</v>
      </c>
      <c r="F15" s="39">
        <f t="shared" ca="1" si="1"/>
        <v>0</v>
      </c>
      <c r="G15" s="40">
        <f ca="1">SUM('10-2024'!G15, '11-2024'!G15, '12-2024'!G15)</f>
        <v>0</v>
      </c>
      <c r="H15" s="40">
        <f t="shared" ca="1" si="2"/>
        <v>0</v>
      </c>
      <c r="I15" s="41">
        <f t="shared" ca="1" si="3"/>
        <v>0</v>
      </c>
      <c r="J15" s="17"/>
      <c r="K15" s="17"/>
    </row>
    <row r="16" spans="1:11" ht="15.75">
      <c r="A16" s="72" t="str">
        <v>JH</v>
      </c>
      <c r="B16" s="18" t="str">
        <v>MA</v>
      </c>
      <c r="C16" s="38">
        <f ca="1">SUM('10-2024'!C16, '11-2024'!C16, '12-2024'!C16)</f>
        <v>0</v>
      </c>
      <c r="D16" s="38">
        <f ca="1">SUM('10-2024'!D16, '11-2024'!D16, '12-2024'!D16)</f>
        <v>0</v>
      </c>
      <c r="E16" s="38">
        <f t="shared" ca="1" si="4"/>
        <v>0</v>
      </c>
      <c r="F16" s="39">
        <f t="shared" ca="1" si="1"/>
        <v>0</v>
      </c>
      <c r="G16" s="40">
        <f ca="1">SUM('10-2024'!G16, '11-2024'!G16, '12-2024'!G16)</f>
        <v>0</v>
      </c>
      <c r="H16" s="40">
        <f t="shared" ca="1" si="2"/>
        <v>0</v>
      </c>
      <c r="I16" s="41">
        <f t="shared" ca="1" si="3"/>
        <v>0</v>
      </c>
      <c r="J16" s="17"/>
      <c r="K16" s="17"/>
    </row>
    <row r="17" spans="1:11" ht="15.75">
      <c r="A17" s="73" t="str">
        <v>Ledeaux</v>
      </c>
      <c r="B17" s="37" t="str">
        <v>MA</v>
      </c>
      <c r="C17" s="38">
        <f ca="1">SUM('10-2024'!C17, '11-2024'!C17, '12-2024'!C17)</f>
        <v>0</v>
      </c>
      <c r="D17" s="38">
        <f ca="1">SUM('10-2024'!D17, '11-2024'!D17, '12-2024'!D17)</f>
        <v>0</v>
      </c>
      <c r="E17" s="38">
        <f t="shared" ca="1" si="4"/>
        <v>0</v>
      </c>
      <c r="F17" s="39">
        <f t="shared" ca="1" si="1"/>
        <v>0</v>
      </c>
      <c r="G17" s="40">
        <f ca="1">SUM('10-2024'!G17, '11-2024'!G17, '12-2024'!G17)</f>
        <v>0</v>
      </c>
      <c r="H17" s="40">
        <f t="shared" ca="1" si="2"/>
        <v>0</v>
      </c>
      <c r="I17" s="41">
        <f t="shared" ca="1" si="3"/>
        <v>0</v>
      </c>
      <c r="J17" s="17"/>
      <c r="K17" s="17"/>
    </row>
    <row r="18" spans="1:11" ht="15.75">
      <c r="A18" s="72" t="str">
        <v>Palombo A</v>
      </c>
      <c r="B18" s="18" t="str">
        <v>MA</v>
      </c>
      <c r="C18" s="38">
        <f ca="1">SUM('10-2024'!C18, '11-2024'!C18, '12-2024'!C18)</f>
        <v>0</v>
      </c>
      <c r="D18" s="38">
        <f ca="1">SUM('10-2024'!D18, '11-2024'!D18, '12-2024'!D18)</f>
        <v>0</v>
      </c>
      <c r="E18" s="38">
        <f t="shared" ca="1" si="4"/>
        <v>0</v>
      </c>
      <c r="F18" s="39">
        <f t="shared" ca="1" si="1"/>
        <v>0</v>
      </c>
      <c r="G18" s="40">
        <f ca="1">SUM('10-2024'!G18, '11-2024'!G18, '12-2024'!G18)</f>
        <v>0</v>
      </c>
      <c r="H18" s="40">
        <f t="shared" ca="1" si="2"/>
        <v>0</v>
      </c>
      <c r="I18" s="41">
        <f t="shared" ca="1" si="3"/>
        <v>0</v>
      </c>
      <c r="J18" s="17"/>
      <c r="K18" s="17"/>
    </row>
    <row r="19" spans="1:11" ht="15.75">
      <c r="A19" s="73" t="str">
        <v>Palombo B</v>
      </c>
      <c r="B19" s="37" t="str">
        <v>MA</v>
      </c>
      <c r="C19" s="38">
        <f ca="1">SUM('10-2024'!C19, '11-2024'!C19, '12-2024'!C19)</f>
        <v>0</v>
      </c>
      <c r="D19" s="38">
        <f ca="1">SUM('10-2024'!D19, '11-2024'!D19, '12-2024'!D19)</f>
        <v>0</v>
      </c>
      <c r="E19" s="38">
        <f t="shared" ca="1" si="4"/>
        <v>0</v>
      </c>
      <c r="F19" s="39">
        <f t="shared" ca="1" si="1"/>
        <v>0</v>
      </c>
      <c r="G19" s="40">
        <f ca="1">SUM('10-2024'!G19, '11-2024'!G19, '12-2024'!G19)</f>
        <v>0</v>
      </c>
      <c r="H19" s="40">
        <f t="shared" ca="1" si="2"/>
        <v>0</v>
      </c>
      <c r="I19" s="41">
        <f t="shared" ca="1" si="3"/>
        <v>0</v>
      </c>
      <c r="J19" s="17"/>
      <c r="K19" s="17"/>
    </row>
    <row r="20" spans="1:11" ht="15.75">
      <c r="A20" s="72" t="str">
        <v>St Josephs Church</v>
      </c>
      <c r="B20" s="18" t="str">
        <v>MA</v>
      </c>
      <c r="C20" s="38">
        <f ca="1">SUM('10-2024'!C20, '11-2024'!C20, '12-2024'!C20)</f>
        <v>0</v>
      </c>
      <c r="D20" s="38">
        <f ca="1">SUM('10-2024'!D20, '11-2024'!D20, '12-2024'!D20)</f>
        <v>0</v>
      </c>
      <c r="E20" s="38">
        <f t="shared" ca="1" si="4"/>
        <v>0</v>
      </c>
      <c r="F20" s="39">
        <f t="shared" ca="1" si="1"/>
        <v>0</v>
      </c>
      <c r="G20" s="40">
        <f ca="1">SUM('10-2024'!G20, '11-2024'!G20, '12-2024'!G20)</f>
        <v>0</v>
      </c>
      <c r="H20" s="40">
        <f t="shared" ca="1" si="2"/>
        <v>0</v>
      </c>
      <c r="I20" s="41">
        <f t="shared" ca="1" si="3"/>
        <v>0</v>
      </c>
      <c r="J20" s="17"/>
      <c r="K20" s="17"/>
    </row>
    <row r="21" spans="1:11" ht="15.75">
      <c r="A21" s="73" t="str">
        <v>Sunset A</v>
      </c>
      <c r="B21" s="37" t="str">
        <v>MA</v>
      </c>
      <c r="C21" s="38">
        <f ca="1">SUM('10-2024'!C21, '11-2024'!C21, '12-2024'!C21)</f>
        <v>0</v>
      </c>
      <c r="D21" s="38">
        <f ca="1">SUM('10-2024'!D21, '11-2024'!D21, '12-2024'!D21)</f>
        <v>0</v>
      </c>
      <c r="E21" s="38">
        <f t="shared" ca="1" si="4"/>
        <v>0</v>
      </c>
      <c r="F21" s="39">
        <f t="shared" ca="1" si="1"/>
        <v>0</v>
      </c>
      <c r="G21" s="40">
        <f ca="1">SUM('10-2024'!G21, '11-2024'!G21, '12-2024'!G21)</f>
        <v>0</v>
      </c>
      <c r="H21" s="40">
        <f t="shared" ca="1" si="2"/>
        <v>0</v>
      </c>
      <c r="I21" s="41">
        <f t="shared" ca="1" si="3"/>
        <v>0</v>
      </c>
      <c r="J21" s="17"/>
      <c r="K21" s="17"/>
    </row>
    <row r="22" spans="1:11" ht="15.75">
      <c r="A22" s="72" t="str">
        <v>Sunset B</v>
      </c>
      <c r="B22" s="18" t="str">
        <v>MA</v>
      </c>
      <c r="C22" s="38">
        <f ca="1">SUM('10-2024'!C22, '11-2024'!C22, '12-2024'!C22)</f>
        <v>0</v>
      </c>
      <c r="D22" s="38">
        <f ca="1">SUM('10-2024'!D22, '11-2024'!D22, '12-2024'!D22)</f>
        <v>0</v>
      </c>
      <c r="E22" s="38">
        <f t="shared" ca="1" si="4"/>
        <v>0</v>
      </c>
      <c r="F22" s="39">
        <f t="shared" ca="1" si="1"/>
        <v>0</v>
      </c>
      <c r="G22" s="40">
        <f ca="1">SUM('10-2024'!G22, '11-2024'!G22, '12-2024'!G22)</f>
        <v>0</v>
      </c>
      <c r="H22" s="40">
        <f t="shared" ca="1" si="2"/>
        <v>0</v>
      </c>
      <c r="I22" s="41">
        <f t="shared" ca="1" si="3"/>
        <v>0</v>
      </c>
      <c r="J22" s="17"/>
      <c r="K22" s="17"/>
    </row>
    <row r="23" spans="1:11" ht="15.75">
      <c r="A23" s="73" t="str">
        <v>Woodchuck</v>
      </c>
      <c r="B23" s="37" t="str">
        <v>MA</v>
      </c>
      <c r="C23" s="38">
        <f ca="1">SUM('10-2024'!C23, '11-2024'!C23, '12-2024'!C23)</f>
        <v>0</v>
      </c>
      <c r="D23" s="38">
        <f ca="1">SUM('10-2024'!D23, '11-2024'!D23, '12-2024'!D23)</f>
        <v>0</v>
      </c>
      <c r="E23" s="38">
        <f t="shared" ca="1" si="4"/>
        <v>0</v>
      </c>
      <c r="F23" s="39">
        <f t="shared" ca="1" si="1"/>
        <v>0</v>
      </c>
      <c r="G23" s="40">
        <f ca="1">SUM('10-2024'!G23, '11-2024'!G23, '12-2024'!G23)</f>
        <v>0</v>
      </c>
      <c r="H23" s="40">
        <f t="shared" ca="1" si="2"/>
        <v>0</v>
      </c>
      <c r="I23" s="41">
        <f t="shared" ca="1" si="3"/>
        <v>0</v>
      </c>
      <c r="J23" s="17"/>
      <c r="K23" s="17"/>
    </row>
    <row r="24" spans="1:11" ht="24.75" customHeight="1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9"/>
    </row>
    <row r="25" spans="1:11">
      <c r="J25" s="9"/>
    </row>
    <row r="26" spans="1:11" ht="12.75" customHeight="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 ht="12.75" customHeight="1">
      <c r="A29" s="163"/>
      <c r="J29" s="9"/>
    </row>
    <row r="30" spans="1:11">
      <c r="J30" s="9"/>
    </row>
  </sheetData>
  <autoFilter ref="A2:I2" xr:uid="{CE62352A-0CAA-4862-87B6-A6A1C7531211}"/>
  <mergeCells count="8">
    <mergeCell ref="K1:K2"/>
    <mergeCell ref="A24:B24"/>
    <mergeCell ref="A26:A27"/>
    <mergeCell ref="A28:A29"/>
    <mergeCell ref="A1:B1"/>
    <mergeCell ref="C1:F1"/>
    <mergeCell ref="G1:I1"/>
    <mergeCell ref="J1:J2"/>
  </mergeCells>
  <conditionalFormatting sqref="F3:F24 I3:I24">
    <cfRule type="cellIs" dxfId="371" priority="1" operator="lessThanOrEqual">
      <formula>-0.1</formula>
    </cfRule>
    <cfRule type="cellIs" dxfId="37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30"/>
  <sheetViews>
    <sheetView workbookViewId="0">
      <pane ySplit="2" topLeftCell="A3" activePane="bottomLeft" state="frozen"/>
      <selection pane="bottomLeft" sqref="A1:XFD1048576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64" t="str" cm="1">
        <f t="array" ref="A1">portfolio</f>
        <v>38 DN</v>
      </c>
      <c r="B1" s="165"/>
      <c r="C1" s="166" t="s">
        <v>22</v>
      </c>
      <c r="D1" s="167"/>
      <c r="E1" s="167"/>
      <c r="F1" s="168"/>
      <c r="G1" s="169" t="s">
        <v>23</v>
      </c>
      <c r="H1" s="169"/>
      <c r="I1" s="170"/>
      <c r="J1" s="158" t="s">
        <v>2</v>
      </c>
      <c r="K1" s="158" t="s">
        <v>3</v>
      </c>
    </row>
    <row r="2" spans="1:11" ht="13.9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 cm="1">
        <f t="array" aca="1" ref="C3:K3" ca="1">IF(INDIRECT("'" &amp; $A3 &amp; "'!B5:J5")="", "", INDIRECT("'" &amp; $A3 &amp; "'!B5:J5"))</f>
        <v>124703.5</v>
      </c>
      <c r="D3" s="38">
        <f ca="1"/>
        <v>103355.9</v>
      </c>
      <c r="E3" s="38">
        <f ca="1"/>
        <v>21347.600000000006</v>
      </c>
      <c r="F3" s="39">
        <f ca="1"/>
        <v>0.20654457075019431</v>
      </c>
      <c r="G3" s="40">
        <f ca="1"/>
        <v>146126.1</v>
      </c>
      <c r="H3" s="40">
        <f ca="1"/>
        <v>-21422.600000000006</v>
      </c>
      <c r="I3" s="41">
        <f ca="1"/>
        <v>-0.14660351573059163</v>
      </c>
      <c r="J3" s="80" t="str">
        <f ca="1"/>
        <v>1. Inverter 28 was offline from 12/14 and back online on 01/25</v>
      </c>
      <c r="K3" s="80" t="str">
        <f ca="1"/>
        <v>1. 	SR079280</v>
      </c>
    </row>
    <row r="4" spans="1:11" ht="15.75">
      <c r="A4" s="72" t="str">
        <v>Barton Acres</v>
      </c>
      <c r="B4" s="18" t="str">
        <v>MA</v>
      </c>
      <c r="C4" s="38" cm="1">
        <f t="array" aca="1" ref="C4:K4" ca="1">IF(INDIRECT("'" &amp; $A4 &amp; "'!B5:J5")="", "", INDIRECT("'" &amp; $A4 &amp; "'!B5:J5"))</f>
        <v>31509</v>
      </c>
      <c r="D4" s="38">
        <f ca="1"/>
        <v>84215.44</v>
      </c>
      <c r="E4" s="38">
        <f ca="1"/>
        <v>-52706.44</v>
      </c>
      <c r="F4" s="42">
        <f ca="1"/>
        <v>-0.62585245650916266</v>
      </c>
      <c r="G4" s="40">
        <f ca="1"/>
        <v>69453.119999999995</v>
      </c>
      <c r="H4" s="40">
        <f ca="1"/>
        <v>-37944.119999999995</v>
      </c>
      <c r="I4" s="43">
        <f ca="1"/>
        <v>-0.5463270764509931</v>
      </c>
      <c r="J4" s="89" t="str">
        <f ca="1"/>
        <v/>
      </c>
      <c r="K4" s="89" t="str">
        <f ca="1"/>
        <v/>
      </c>
    </row>
    <row r="5" spans="1:11" ht="15.75">
      <c r="A5" s="73" t="str">
        <v>Bowden</v>
      </c>
      <c r="B5" s="37" t="str">
        <v>MA</v>
      </c>
      <c r="C5" s="38" cm="1">
        <f t="array" aca="1" ref="C5:K5" ca="1">IF(INDIRECT("'" &amp; $A5 &amp; "'!B5:J5")="", "", INDIRECT("'" &amp; $A5 &amp; "'!B5:J5"))</f>
        <v>69313</v>
      </c>
      <c r="D5" s="38">
        <f ca="1"/>
        <v>124922.7</v>
      </c>
      <c r="E5" s="38">
        <f ca="1"/>
        <v>-55609.7</v>
      </c>
      <c r="F5" s="42">
        <f ca="1"/>
        <v>-0.4451528825425643</v>
      </c>
      <c r="G5" s="40">
        <f ca="1"/>
        <v>167677.4</v>
      </c>
      <c r="H5" s="40">
        <f ca="1"/>
        <v>-98364.4</v>
      </c>
      <c r="I5" s="43">
        <f ca="1"/>
        <v>-0.58662884801410331</v>
      </c>
      <c r="J5" s="89" t="str">
        <f ca="1"/>
        <v/>
      </c>
      <c r="K5" s="89" t="str">
        <f ca="1"/>
        <v/>
      </c>
    </row>
    <row r="6" spans="1:11" ht="28.5">
      <c r="A6" s="72" t="str">
        <v>Blair Wire Village</v>
      </c>
      <c r="B6" s="18" t="str">
        <v>MA</v>
      </c>
      <c r="C6" s="38" cm="1">
        <f t="array" aca="1" ref="C6:K6" ca="1">IF(INDIRECT("'" &amp; $A6 &amp; "'!B5:J5")="", "", INDIRECT("'" &amp; $A6 &amp; "'!B5:J5"))</f>
        <v>38474</v>
      </c>
      <c r="D6" s="38">
        <f ca="1"/>
        <v>97645.68</v>
      </c>
      <c r="E6" s="38">
        <f ca="1"/>
        <v>-59171.679999999993</v>
      </c>
      <c r="F6" s="42">
        <f ca="1"/>
        <v>-0.60598359292495063</v>
      </c>
      <c r="G6" s="40">
        <f ca="1"/>
        <v>83112.14</v>
      </c>
      <c r="H6" s="40">
        <f ca="1"/>
        <v>-44638.14</v>
      </c>
      <c r="I6" s="43">
        <f ca="1"/>
        <v>-0.53708327086752905</v>
      </c>
      <c r="J6" s="89" t="str">
        <f ca="1"/>
        <v>1. Relay tripped and site is experiencing an outage on 01/07  at 09:47 and reclosed at 18:30</v>
      </c>
      <c r="K6" s="89" t="str">
        <f ca="1"/>
        <v>1.  SR079999</v>
      </c>
    </row>
    <row r="7" spans="1:11" ht="15.75">
      <c r="A7" s="73" t="str">
        <v>Boutilier</v>
      </c>
      <c r="B7" s="37" t="str">
        <v>MA</v>
      </c>
      <c r="C7" s="38" cm="1">
        <f t="array" aca="1" ref="C7:K7" ca="1">IF(INDIRECT("'" &amp; $A7 &amp; "'!B5:J5")="", "", INDIRECT("'" &amp; $A7 &amp; "'!B5:J5"))</f>
        <v>104475</v>
      </c>
      <c r="D7" s="38">
        <f ca="1"/>
        <v>117645.2</v>
      </c>
      <c r="E7" s="38">
        <f ca="1"/>
        <v>-13170.199999999997</v>
      </c>
      <c r="F7" s="42">
        <f ca="1"/>
        <v>-0.11194846878580679</v>
      </c>
      <c r="G7" s="40">
        <f ca="1"/>
        <v>190658.8</v>
      </c>
      <c r="H7" s="40">
        <f ca="1"/>
        <v>-86183.799999999988</v>
      </c>
      <c r="I7" s="43">
        <f ca="1"/>
        <v>-0.45203158731723891</v>
      </c>
      <c r="J7" s="89" t="str">
        <f ca="1"/>
        <v/>
      </c>
      <c r="K7" s="89" t="str">
        <f ca="1"/>
        <v/>
      </c>
    </row>
    <row r="8" spans="1:11" ht="71.25">
      <c r="A8" s="72" t="str">
        <v>Cherry Valley</v>
      </c>
      <c r="B8" s="18" t="str">
        <v>MA</v>
      </c>
      <c r="C8" s="38" cm="1">
        <f t="array" aca="1" ref="C8:K8" ca="1">IF(INDIRECT("'" &amp; $A8 &amp; "'!B5:J5")="", "", INDIRECT("'" &amp; $A8 &amp; "'!B5:J5"))</f>
        <v>33861</v>
      </c>
      <c r="D8" s="38">
        <f ca="1"/>
        <v>93717.02</v>
      </c>
      <c r="E8" s="38">
        <f ca="1"/>
        <v>-59856.020000000004</v>
      </c>
      <c r="F8" s="42">
        <f ca="1"/>
        <v>-0.63868889557094322</v>
      </c>
      <c r="G8" s="40">
        <f ca="1"/>
        <v>77483</v>
      </c>
      <c r="H8" s="40">
        <f ca="1"/>
        <v>-43622</v>
      </c>
      <c r="I8" s="43">
        <f ca="1"/>
        <v>-0.56298801027322121</v>
      </c>
      <c r="J8" s="89" t="str">
        <f ca="1"/>
        <v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v>
      </c>
      <c r="K8" s="89" t="str">
        <f ca="1"/>
        <v>1. SR080405
2. SR080529
3. SR080002</v>
      </c>
    </row>
    <row r="9" spans="1:11" ht="28.5">
      <c r="A9" s="73" t="str">
        <v>Cohasse</v>
      </c>
      <c r="B9" s="37" t="str">
        <v>MA</v>
      </c>
      <c r="C9" s="38" cm="1">
        <f t="array" aca="1" ref="C9:K9" ca="1">IF(INDIRECT("'" &amp; $A9 &amp; "'!B5:J5")="", "", INDIRECT("'" &amp; $A9 &amp; "'!B5:J5"))</f>
        <v>37057</v>
      </c>
      <c r="D9" s="38">
        <f ca="1"/>
        <v>86836.54</v>
      </c>
      <c r="E9" s="38">
        <f ca="1"/>
        <v>-49779.539999999994</v>
      </c>
      <c r="F9" s="42">
        <f ca="1"/>
        <v>-0.57325568245809888</v>
      </c>
      <c r="G9" s="40">
        <f ca="1"/>
        <v>114180.6</v>
      </c>
      <c r="H9" s="40">
        <f ca="1"/>
        <v>-77123.600000000006</v>
      </c>
      <c r="I9" s="43">
        <f ca="1"/>
        <v>-0.67545274766466457</v>
      </c>
      <c r="J9" s="89" t="str">
        <f ca="1"/>
        <v>1. site tripped offline at 21:00 on 01/09 and back online at 8:30 on 01/10.</v>
      </c>
      <c r="K9" s="89" t="str">
        <f ca="1"/>
        <v>1. SR080109</v>
      </c>
    </row>
    <row r="10" spans="1:11" ht="42.75">
      <c r="A10" s="72" t="str">
        <v>ISM Dighton Solar 2</v>
      </c>
      <c r="B10" s="18" t="str">
        <v>MA</v>
      </c>
      <c r="C10" s="38" cm="1">
        <f t="array" aca="1" ref="C10:K10" ca="1">IF(INDIRECT("'" &amp; $A10 &amp; "'!B5:J5")="", "", INDIRECT("'" &amp; $A10 &amp; "'!B5:J5"))</f>
        <v>123864</v>
      </c>
      <c r="D10" s="38">
        <f ca="1"/>
        <v>178054.9</v>
      </c>
      <c r="E10" s="38">
        <f ca="1"/>
        <v>-54190.899999999994</v>
      </c>
      <c r="F10" s="42">
        <f ca="1"/>
        <v>-0.30434938886826479</v>
      </c>
      <c r="G10" s="40">
        <f ca="1"/>
        <v>195853.9</v>
      </c>
      <c r="H10" s="40">
        <f ca="1"/>
        <v>-71989.899999999994</v>
      </c>
      <c r="I10" s="43">
        <f ca="1"/>
        <v>-0.36756939739264827</v>
      </c>
      <c r="J10" s="89" t="str">
        <f ca="1"/>
        <v>1.  SEL Relay 2 tripped offline at 23:00 on 01/30 and reclosed at 10:45 on 01/31
2. Planned outage on 01/25 at 9:00 and site reclosed at 17:00 on same day.</v>
      </c>
      <c r="K10" s="89" t="str">
        <f ca="1"/>
        <v>1. SR080611
2. SR080054</v>
      </c>
    </row>
    <row r="11" spans="1:11" ht="15.75">
      <c r="A11" s="73" t="str">
        <v>Dudley River 1</v>
      </c>
      <c r="B11" s="37" t="str">
        <v>MA</v>
      </c>
      <c r="C11" s="38" cm="1">
        <f t="array" aca="1" ref="C11:K11" ca="1">IF(INDIRECT("'" &amp; $A11 &amp; "'!B5:J5")="", "", INDIRECT("'" &amp; $A11 &amp; "'!B5:J5"))</f>
        <v>43519</v>
      </c>
      <c r="D11" s="38">
        <f ca="1"/>
        <v>68762.899999999994</v>
      </c>
      <c r="E11" s="38">
        <f ca="1"/>
        <v>-25243.899999999994</v>
      </c>
      <c r="F11" s="42">
        <f ca="1"/>
        <v>-0.36711511585462503</v>
      </c>
      <c r="G11" s="40">
        <f ca="1"/>
        <v>83762.23</v>
      </c>
      <c r="H11" s="40">
        <f ca="1"/>
        <v>-40243.229999999996</v>
      </c>
      <c r="I11" s="43">
        <f ca="1"/>
        <v>-0.48044601964393735</v>
      </c>
      <c r="J11" s="89" t="str">
        <f ca="1"/>
        <v/>
      </c>
      <c r="K11" s="89" t="str">
        <f ca="1"/>
        <v/>
      </c>
    </row>
    <row r="12" spans="1:11" ht="15.75">
      <c r="A12" s="72" t="str">
        <v>Dudley River 2</v>
      </c>
      <c r="B12" s="18" t="str">
        <v>MA</v>
      </c>
      <c r="C12" s="38" cm="1">
        <f t="array" aca="1" ref="C12:K12" ca="1">IF(INDIRECT("'" &amp; $A12 &amp; "'!B5:J5")="", "", INDIRECT("'" &amp; $A12 &amp; "'!B5:J5"))</f>
        <v>44123</v>
      </c>
      <c r="D12" s="38">
        <f ca="1"/>
        <v>70139.570000000007</v>
      </c>
      <c r="E12" s="38">
        <f ca="1"/>
        <v>-26016.570000000007</v>
      </c>
      <c r="F12" s="42">
        <f ca="1"/>
        <v>-0.37092571283228576</v>
      </c>
      <c r="G12" s="40">
        <f ca="1"/>
        <v>81919.429999999993</v>
      </c>
      <c r="H12" s="40">
        <f ca="1"/>
        <v>-37796.429999999993</v>
      </c>
      <c r="I12" s="43">
        <f ca="1"/>
        <v>-0.46138541247174203</v>
      </c>
      <c r="J12" s="88" t="str">
        <f ca="1"/>
        <v/>
      </c>
      <c r="K12" s="88" t="str">
        <f ca="1"/>
        <v/>
      </c>
    </row>
    <row r="13" spans="1:11" ht="15.75">
      <c r="A13" s="73" t="str">
        <v>Dudley River 3</v>
      </c>
      <c r="B13" s="37" t="str">
        <v>MA</v>
      </c>
      <c r="C13" s="38" cm="1">
        <f t="array" aca="1" ref="C13:K13" ca="1">IF(INDIRECT("'" &amp; $A13 &amp; "'!B5:J5")="", "", INDIRECT("'" &amp; $A13 &amp; "'!B5:J5"))</f>
        <v>47297</v>
      </c>
      <c r="D13" s="38">
        <f ca="1"/>
        <v>71573.83</v>
      </c>
      <c r="E13" s="38">
        <f ca="1"/>
        <v>-24276.83</v>
      </c>
      <c r="F13" s="42">
        <f ca="1"/>
        <v>-0.33918584488213083</v>
      </c>
      <c r="G13" s="40">
        <f ca="1"/>
        <v>84149.19</v>
      </c>
      <c r="H13" s="40">
        <f ca="1"/>
        <v>-36852.19</v>
      </c>
      <c r="I13" s="43">
        <f ca="1"/>
        <v>-0.43793873714054765</v>
      </c>
      <c r="J13" s="88" t="str">
        <f ca="1"/>
        <v/>
      </c>
      <c r="K13" s="88" t="str">
        <f ca="1"/>
        <v/>
      </c>
    </row>
    <row r="14" spans="1:11" ht="15.75">
      <c r="A14" s="72" t="str">
        <v>Flint Pond</v>
      </c>
      <c r="B14" s="18" t="str">
        <v>MA</v>
      </c>
      <c r="C14" s="38" cm="1">
        <f t="array" aca="1" ref="C14:K14" ca="1">IF(INDIRECT("'" &amp; $A14 &amp; "'!B5:J5")="", "", INDIRECT("'" &amp; $A14 &amp; "'!B5:J5"))</f>
        <v>16497.5</v>
      </c>
      <c r="D14" s="38">
        <f ca="1"/>
        <v>40276</v>
      </c>
      <c r="E14" s="38">
        <f ca="1"/>
        <v>-23778.5</v>
      </c>
      <c r="F14" s="42">
        <f ca="1"/>
        <v>-0.59038881716158509</v>
      </c>
      <c r="G14" s="40">
        <f ca="1"/>
        <v>33543.68</v>
      </c>
      <c r="H14" s="40">
        <f ca="1"/>
        <v>-17046.18</v>
      </c>
      <c r="I14" s="43">
        <f ca="1"/>
        <v>-0.50817858982675723</v>
      </c>
      <c r="J14" s="88" t="str">
        <f ca="1"/>
        <v>1. site offline on 01/07 at 05:00 and resolved at 07:15</v>
      </c>
      <c r="K14" s="88" t="str">
        <f ca="1"/>
        <v>1. SR079998</v>
      </c>
    </row>
    <row r="15" spans="1:11" ht="15.75">
      <c r="A15" s="73" t="str">
        <v>Incom</v>
      </c>
      <c r="B15" s="37" t="str">
        <v>MA</v>
      </c>
      <c r="C15" s="38" cm="1">
        <f t="array" aca="1" ref="C15:K15" ca="1">IF(INDIRECT("'" &amp; $A15 &amp; "'!B5:J5")="", "", INDIRECT("'" &amp; $A15 &amp; "'!B5:J5"))</f>
        <v>83086</v>
      </c>
      <c r="D15" s="38">
        <f ca="1"/>
        <v>159872.4</v>
      </c>
      <c r="E15" s="38">
        <f ca="1"/>
        <v>-76786.399999999994</v>
      </c>
      <c r="F15" s="42">
        <f ca="1"/>
        <v>-0.4802980376850538</v>
      </c>
      <c r="G15" s="40">
        <f ca="1"/>
        <v>220156.9</v>
      </c>
      <c r="H15" s="40">
        <f ca="1"/>
        <v>-137070.9</v>
      </c>
      <c r="I15" s="43">
        <f ca="1"/>
        <v>-0.62260551452168889</v>
      </c>
      <c r="J15" s="88" t="str">
        <f ca="1"/>
        <v>1. Site was offline on 01/25 at 04:45 and reclosed at 16:00</v>
      </c>
      <c r="K15" s="88" t="str">
        <f ca="1"/>
        <v>1. 	SR080455</v>
      </c>
    </row>
    <row r="16" spans="1:11" ht="15.75">
      <c r="A16" s="72" t="str">
        <v>JH</v>
      </c>
      <c r="B16" s="18" t="str">
        <v>MA</v>
      </c>
      <c r="C16" s="38" cm="1">
        <f t="array" aca="1" ref="C16:K16" ca="1">IF(INDIRECT("'" &amp; $A16 &amp; "'!B5:J5")="", "", INDIRECT("'" &amp; $A16 &amp; "'!B5:J5"))</f>
        <v>32274</v>
      </c>
      <c r="D16" s="38">
        <f ca="1"/>
        <v>86355.93</v>
      </c>
      <c r="E16" s="38">
        <f ca="1"/>
        <v>-54081.929999999993</v>
      </c>
      <c r="F16" s="42">
        <f ca="1"/>
        <v>-0.62626770390869502</v>
      </c>
      <c r="G16" s="40">
        <f ca="1"/>
        <v>106218.7</v>
      </c>
      <c r="H16" s="40">
        <f ca="1"/>
        <v>-73944.7</v>
      </c>
      <c r="I16" s="43">
        <f ca="1"/>
        <v>-0.69615519677796844</v>
      </c>
      <c r="J16" s="88" t="str">
        <f ca="1"/>
        <v/>
      </c>
      <c r="K16" s="88" t="str">
        <f ca="1"/>
        <v/>
      </c>
    </row>
    <row r="17" spans="1:11" ht="15.75">
      <c r="A17" s="73" t="str">
        <v>Ledeaux</v>
      </c>
      <c r="B17" s="37" t="str">
        <v>MA</v>
      </c>
      <c r="C17" s="38" cm="1">
        <f t="array" aca="1" ref="C17:K17" ca="1">IF(INDIRECT("'" &amp; $A17 &amp; "'!B5:J5")="", "", INDIRECT("'" &amp; $A17 &amp; "'!B5:J5"))</f>
        <v>28537</v>
      </c>
      <c r="D17" s="38">
        <f ca="1"/>
        <v>58671.27</v>
      </c>
      <c r="E17" s="38">
        <f ca="1"/>
        <v>-30134.269999999997</v>
      </c>
      <c r="F17" s="42">
        <f ca="1"/>
        <v>-0.51361202851071741</v>
      </c>
      <c r="G17" s="40">
        <f ca="1"/>
        <v>98769.99</v>
      </c>
      <c r="H17" s="40">
        <f ca="1"/>
        <v>-70232.990000000005</v>
      </c>
      <c r="I17" s="43">
        <f ca="1"/>
        <v>-0.71107620847182429</v>
      </c>
      <c r="J17" s="88" t="str">
        <f ca="1"/>
        <v/>
      </c>
      <c r="K17" s="88" t="str">
        <f ca="1"/>
        <v/>
      </c>
    </row>
    <row r="18" spans="1:11" ht="15.75">
      <c r="A18" s="72" t="str">
        <v>Palombo A</v>
      </c>
      <c r="B18" s="18" t="str">
        <v>MA</v>
      </c>
      <c r="C18" s="38" cm="1">
        <f t="array" aca="1" ref="C18:K18" ca="1">IF(INDIRECT("'" &amp; $A18 &amp; "'!B5:J5")="", "", INDIRECT("'" &amp; $A18 &amp; "'!B5:J5"))</f>
        <v>79689.003333337605</v>
      </c>
      <c r="D18" s="38">
        <f ca="1"/>
        <v>187942.8</v>
      </c>
      <c r="E18" s="38">
        <f ca="1"/>
        <v>-108253.79666666238</v>
      </c>
      <c r="F18" s="42">
        <f ca="1"/>
        <v>-0.57599331640617457</v>
      </c>
      <c r="G18" s="40">
        <f ca="1"/>
        <v>250093</v>
      </c>
      <c r="H18" s="40">
        <f ca="1"/>
        <v>-170403.9966666624</v>
      </c>
      <c r="I18" s="43">
        <f ca="1"/>
        <v>-0.68136251980928053</v>
      </c>
      <c r="J18" s="88" t="str">
        <f ca="1"/>
        <v/>
      </c>
      <c r="K18" s="88" t="str">
        <f ca="1"/>
        <v/>
      </c>
    </row>
    <row r="19" spans="1:11" ht="15.75">
      <c r="A19" s="73" t="str">
        <v>Palombo B</v>
      </c>
      <c r="B19" s="37" t="str">
        <v>MA</v>
      </c>
      <c r="C19" s="38" cm="1">
        <f t="array" aca="1" ref="C19:K19" ca="1">IF(INDIRECT("'" &amp; $A19 &amp; "'!B5:J5")="", "", INDIRECT("'" &amp; $A19 &amp; "'!B5:J5"))</f>
        <v>32703</v>
      </c>
      <c r="D19" s="38">
        <f ca="1"/>
        <v>91961.55</v>
      </c>
      <c r="E19" s="38">
        <f ca="1"/>
        <v>-59258.55</v>
      </c>
      <c r="F19" s="42">
        <f ca="1"/>
        <v>-0.64438398439347755</v>
      </c>
      <c r="G19" s="40">
        <f ca="1"/>
        <v>71768.39</v>
      </c>
      <c r="H19" s="40">
        <f ca="1"/>
        <v>-39065.39</v>
      </c>
      <c r="I19" s="43">
        <f ca="1"/>
        <v>-0.54432585153435931</v>
      </c>
      <c r="J19" s="88" t="str">
        <f ca="1"/>
        <v/>
      </c>
      <c r="K19" s="88" t="str">
        <f ca="1"/>
        <v/>
      </c>
    </row>
    <row r="20" spans="1:11" ht="15.75">
      <c r="A20" s="72" t="str">
        <v>St Josephs Church</v>
      </c>
      <c r="B20" s="18" t="str">
        <v>MA</v>
      </c>
      <c r="C20" s="38" cm="1">
        <f t="array" aca="1" ref="C20:K20" ca="1">IF(INDIRECT("'" &amp; $A20 &amp; "'!B5:J5")="", "", INDIRECT("'" &amp; $A20 &amp; "'!B5:J5"))</f>
        <v>37183</v>
      </c>
      <c r="D20" s="38">
        <f ca="1"/>
        <v>87772.32</v>
      </c>
      <c r="E20" s="38">
        <f ca="1"/>
        <v>-50589.320000000007</v>
      </c>
      <c r="F20" s="42">
        <f ca="1"/>
        <v>-0.57636986238941845</v>
      </c>
      <c r="G20" s="40">
        <f ca="1"/>
        <v>91531.02</v>
      </c>
      <c r="H20" s="40">
        <f ca="1"/>
        <v>-54348.020000000004</v>
      </c>
      <c r="I20" s="43">
        <f ca="1"/>
        <v>-0.59376613524027155</v>
      </c>
      <c r="J20" s="90" t="str">
        <f ca="1"/>
        <v/>
      </c>
      <c r="K20" s="90" t="str">
        <f ca="1"/>
        <v/>
      </c>
    </row>
    <row r="21" spans="1:11" ht="15.75">
      <c r="A21" s="73" t="str">
        <v>Sunset A</v>
      </c>
      <c r="B21" s="37" t="str">
        <v>MA</v>
      </c>
      <c r="C21" s="38" cm="1">
        <f t="array" aca="1" ref="C21:K21" ca="1">IF(INDIRECT("'" &amp; $A21 &amp; "'!B5:J5")="", "", INDIRECT("'" &amp; $A21 &amp; "'!B5:J5"))</f>
        <v>16708.5</v>
      </c>
      <c r="D21" s="38">
        <f ca="1"/>
        <v>42789.35</v>
      </c>
      <c r="E21" s="38">
        <f ca="1"/>
        <v>-26080.85</v>
      </c>
      <c r="F21" s="42">
        <f ca="1"/>
        <v>-0.60951732148303261</v>
      </c>
      <c r="G21" s="40">
        <f ca="1"/>
        <v>32696.87</v>
      </c>
      <c r="H21" s="40">
        <f ca="1"/>
        <v>-15988.369999999999</v>
      </c>
      <c r="I21" s="43">
        <f ca="1"/>
        <v>-0.48898778384597669</v>
      </c>
      <c r="J21" s="90" t="str">
        <f ca="1"/>
        <v>1. Relay tripped at 3:50 Am on 01/30 and auto reclosed in minutes</v>
      </c>
      <c r="K21" s="90" t="str">
        <f ca="1"/>
        <v>1. SR080186</v>
      </c>
    </row>
    <row r="22" spans="1:11" ht="15.75">
      <c r="A22" s="72" t="str">
        <v>Sunset B</v>
      </c>
      <c r="B22" s="18" t="str">
        <v>MA</v>
      </c>
      <c r="C22" s="38" cm="1">
        <f t="array" aca="1" ref="C22:K22" ca="1">IF(INDIRECT("'" &amp; $A22 &amp; "'!B5:J5")="", "", INDIRECT("'" &amp; $A22 &amp; "'!B5:J5"))</f>
        <v>16074.25</v>
      </c>
      <c r="D22" s="38">
        <f ca="1"/>
        <v>29669.200000000001</v>
      </c>
      <c r="E22" s="38">
        <f ca="1"/>
        <v>-13594.95</v>
      </c>
      <c r="F22" s="42">
        <f ca="1"/>
        <v>-0.45821761287800145</v>
      </c>
      <c r="G22" s="40">
        <f ca="1"/>
        <v>32307.32</v>
      </c>
      <c r="H22" s="40">
        <f ca="1"/>
        <v>-16233.07</v>
      </c>
      <c r="I22" s="43">
        <f ca="1"/>
        <v>-0.50245795689645567</v>
      </c>
      <c r="J22" s="90" t="str">
        <f ca="1"/>
        <v>1. Relay tripped at 3:50 Am on 01/30 and auto reclosed in minutes</v>
      </c>
      <c r="K22" s="90" t="str">
        <f ca="1"/>
        <v>1. SR080187</v>
      </c>
    </row>
    <row r="23" spans="1:11" ht="15.75">
      <c r="A23" s="73" t="str">
        <v>Woodchuck</v>
      </c>
      <c r="B23" s="37" t="str">
        <v>MA</v>
      </c>
      <c r="C23" s="38" cm="1">
        <f t="array" aca="1" ref="C23:K23" ca="1">IF(INDIRECT("'" &amp; $A23 &amp; "'!B5:J5")="", "", INDIRECT("'" &amp; $A23 &amp; "'!B5:J5"))</f>
        <v>33788</v>
      </c>
      <c r="D23" s="38">
        <f ca="1"/>
        <v>71556.679999999993</v>
      </c>
      <c r="E23" s="38">
        <f ca="1"/>
        <v>-37768.679999999993</v>
      </c>
      <c r="F23" s="42">
        <f ca="1"/>
        <v>-0.52781487346813738</v>
      </c>
      <c r="G23" s="40">
        <f ca="1"/>
        <v>96097.7</v>
      </c>
      <c r="H23" s="40">
        <f ca="1"/>
        <v>-62309.7</v>
      </c>
      <c r="I23" s="43">
        <f ca="1"/>
        <v>-0.64839949343220493</v>
      </c>
      <c r="J23" s="156" t="str">
        <f ca="1"/>
        <v/>
      </c>
      <c r="K23" s="156" t="str">
        <f ca="1"/>
        <v/>
      </c>
    </row>
    <row r="24" spans="1:11" ht="13.5">
      <c r="A24" s="160" t="s">
        <v>11</v>
      </c>
      <c r="B24" s="161"/>
      <c r="C24" s="54">
        <f ca="1">SUM(C3:C23)</f>
        <v>1074735.7533333376</v>
      </c>
      <c r="D24" s="54">
        <f ca="1">SUM(D3:D23)</f>
        <v>1953737.1800000002</v>
      </c>
      <c r="E24" s="54">
        <f ca="1">C24-D24</f>
        <v>-879001.42666666256</v>
      </c>
      <c r="F24" s="48">
        <f ca="1">IFERROR(E24/D24, 0)</f>
        <v>-0.44990771310738042</v>
      </c>
      <c r="G24" s="54">
        <f ca="1">SUM(G3:G23)</f>
        <v>2327559.4799999995</v>
      </c>
      <c r="H24" s="55">
        <f ca="1">C24-G24</f>
        <v>-1252823.7266666619</v>
      </c>
      <c r="I24" s="49">
        <f ca="1">IFERROR(H24/G24, 0)</f>
        <v>-0.5382563742975377</v>
      </c>
      <c r="J24" s="9"/>
    </row>
    <row r="25" spans="1:11">
      <c r="J25" s="9"/>
    </row>
    <row r="26" spans="1:1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>
      <c r="A29" s="163"/>
      <c r="J29" s="9"/>
    </row>
    <row r="30" spans="1:11">
      <c r="J30" s="9"/>
    </row>
  </sheetData>
  <autoFilter ref="A2:I2" xr:uid="{B0362DDA-D4B4-4F79-9A5D-D43AD85A6C79}"/>
  <mergeCells count="8">
    <mergeCell ref="A26:A27"/>
    <mergeCell ref="A28:A29"/>
    <mergeCell ref="A24:B24"/>
    <mergeCell ref="K1:K2"/>
    <mergeCell ref="C1:F1"/>
    <mergeCell ref="G1:I1"/>
    <mergeCell ref="A1:B1"/>
    <mergeCell ref="J1:J2"/>
  </mergeCells>
  <conditionalFormatting sqref="F3:F24 I3:I24">
    <cfRule type="cellIs" dxfId="369" priority="4" operator="lessThanOrEqual">
      <formula>-0.1</formula>
    </cfRule>
    <cfRule type="cellIs" dxfId="368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"/>
  <sheetViews>
    <sheetView workbookViewId="0">
      <pane ySplit="2" topLeftCell="A3" activePane="bottomLeft" state="frozen"/>
      <selection pane="bottomLeft" activeCell="D28" sqref="D28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24</v>
      </c>
      <c r="D1" s="167"/>
      <c r="E1" s="167"/>
      <c r="F1" s="168"/>
      <c r="G1" s="169" t="s">
        <v>25</v>
      </c>
      <c r="H1" s="169"/>
      <c r="I1" s="170"/>
      <c r="J1" s="158" t="s">
        <v>2</v>
      </c>
      <c r="K1" s="158" t="s">
        <v>3</v>
      </c>
    </row>
    <row r="2" spans="1:11" ht="14.2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 t="str" cm="1">
        <f t="array" aca="1" ref="C3:K3" ca="1">IF(INDIRECT("'" &amp; $A3 &amp; "'!B6:J6")="", "", INDIRECT("'" &amp; $A3 &amp; "'!B6:J6"))</f>
        <v/>
      </c>
      <c r="D3" s="38" t="str">
        <f ca="1"/>
        <v/>
      </c>
      <c r="E3" s="38">
        <f ca="1"/>
        <v>0</v>
      </c>
      <c r="F3" s="39">
        <f ca="1"/>
        <v>0</v>
      </c>
      <c r="G3" s="40" t="str">
        <f ca="1"/>
        <v/>
      </c>
      <c r="H3" s="40">
        <f ca="1"/>
        <v>0</v>
      </c>
      <c r="I3" s="41">
        <f ca="1"/>
        <v>0</v>
      </c>
      <c r="J3" s="80" t="str">
        <f ca="1"/>
        <v/>
      </c>
      <c r="K3" s="80" t="str">
        <f ca="1"/>
        <v/>
      </c>
    </row>
    <row r="4" spans="1:11" ht="15.75">
      <c r="A4" s="72" t="str">
        <v>Barton Acres</v>
      </c>
      <c r="B4" s="18" t="str">
        <v>MA</v>
      </c>
      <c r="C4" s="38" t="str" cm="1">
        <f t="array" aca="1" ref="C4:K4" ca="1">IF(INDIRECT("'" &amp; $A4 &amp; "'!B6:J6")="", "", INDIRECT("'" &amp; $A4 &amp; "'!B6:J6"))</f>
        <v/>
      </c>
      <c r="D4" s="38" t="str">
        <f ca="1"/>
        <v/>
      </c>
      <c r="E4" s="38">
        <f ca="1"/>
        <v>0</v>
      </c>
      <c r="F4" s="42">
        <f ca="1"/>
        <v>0</v>
      </c>
      <c r="G4" s="40" t="str">
        <f ca="1"/>
        <v/>
      </c>
      <c r="H4" s="40">
        <f ca="1"/>
        <v>0</v>
      </c>
      <c r="I4" s="43">
        <f ca="1"/>
        <v>0</v>
      </c>
      <c r="J4" s="106" t="str">
        <f ca="1"/>
        <v/>
      </c>
      <c r="K4" s="106" t="str">
        <f ca="1"/>
        <v/>
      </c>
    </row>
    <row r="5" spans="1:11" ht="15.75">
      <c r="A5" s="73" t="str">
        <v>Bowden</v>
      </c>
      <c r="B5" s="37" t="str">
        <v>MA</v>
      </c>
      <c r="C5" s="38" t="str" cm="1">
        <f t="array" aca="1" ref="C5:K5" ca="1">IF(INDIRECT("'" &amp; $A5 &amp; "'!B6:J6")="", "", INDIRECT("'" &amp; $A5 &amp; "'!B6:J6"))</f>
        <v/>
      </c>
      <c r="D5" s="38" t="str">
        <f ca="1"/>
        <v/>
      </c>
      <c r="E5" s="38">
        <f ca="1"/>
        <v>0</v>
      </c>
      <c r="F5" s="42">
        <f ca="1"/>
        <v>0</v>
      </c>
      <c r="G5" s="40" t="str">
        <f ca="1"/>
        <v/>
      </c>
      <c r="H5" s="40">
        <f ca="1"/>
        <v>0</v>
      </c>
      <c r="I5" s="43">
        <f ca="1"/>
        <v>0</v>
      </c>
      <c r="J5" s="107" t="str">
        <f ca="1"/>
        <v/>
      </c>
      <c r="K5" s="107" t="str">
        <f ca="1"/>
        <v/>
      </c>
    </row>
    <row r="6" spans="1:11" ht="15.75">
      <c r="A6" s="72" t="str">
        <v>Blair Wire Village</v>
      </c>
      <c r="B6" s="18" t="str">
        <v>MA</v>
      </c>
      <c r="C6" s="38" t="str" cm="1">
        <f t="array" aca="1" ref="C6:K6" ca="1">IF(INDIRECT("'" &amp; $A6 &amp; "'!B6:J6")="", "", INDIRECT("'" &amp; $A6 &amp; "'!B6:J6"))</f>
        <v/>
      </c>
      <c r="D6" s="38" t="str">
        <f ca="1"/>
        <v/>
      </c>
      <c r="E6" s="38">
        <f ca="1"/>
        <v>0</v>
      </c>
      <c r="F6" s="42">
        <f ca="1"/>
        <v>0</v>
      </c>
      <c r="G6" s="40" t="str">
        <f ca="1"/>
        <v/>
      </c>
      <c r="H6" s="40">
        <f ca="1"/>
        <v>0</v>
      </c>
      <c r="I6" s="43">
        <f ca="1"/>
        <v>0</v>
      </c>
      <c r="J6" s="107" t="str">
        <f ca="1"/>
        <v/>
      </c>
      <c r="K6" s="107" t="str">
        <f ca="1"/>
        <v/>
      </c>
    </row>
    <row r="7" spans="1:11" ht="15.75">
      <c r="A7" s="73" t="str">
        <v>Boutilier</v>
      </c>
      <c r="B7" s="37" t="str">
        <v>MA</v>
      </c>
      <c r="C7" s="38" t="str" cm="1">
        <f t="array" aca="1" ref="C7:K7" ca="1">IF(INDIRECT("'" &amp; $A7 &amp; "'!B6:J6")="", "", INDIRECT("'" &amp; $A7 &amp; "'!B6:J6"))</f>
        <v/>
      </c>
      <c r="D7" s="38" t="str">
        <f ca="1"/>
        <v/>
      </c>
      <c r="E7" s="38">
        <f ca="1"/>
        <v>0</v>
      </c>
      <c r="F7" s="42">
        <f ca="1"/>
        <v>0</v>
      </c>
      <c r="G7" s="40" t="str">
        <f ca="1"/>
        <v/>
      </c>
      <c r="H7" s="40">
        <f ca="1"/>
        <v>0</v>
      </c>
      <c r="I7" s="43">
        <f ca="1"/>
        <v>0</v>
      </c>
      <c r="J7" s="107" t="str">
        <f ca="1"/>
        <v/>
      </c>
      <c r="K7" s="107" t="str">
        <f ca="1"/>
        <v/>
      </c>
    </row>
    <row r="8" spans="1:11" ht="15.75">
      <c r="A8" s="72" t="str">
        <v>Cherry Valley</v>
      </c>
      <c r="B8" s="18" t="str">
        <v>MA</v>
      </c>
      <c r="C8" s="38" t="str" cm="1">
        <f t="array" aca="1" ref="C8:K8" ca="1">IF(INDIRECT("'" &amp; $A8 &amp; "'!B6:J6")="", "", INDIRECT("'" &amp; $A8 &amp; "'!B6:J6"))</f>
        <v/>
      </c>
      <c r="D8" s="38" t="str">
        <f ca="1"/>
        <v/>
      </c>
      <c r="E8" s="38">
        <f ca="1"/>
        <v>0</v>
      </c>
      <c r="F8" s="42">
        <f ca="1"/>
        <v>0</v>
      </c>
      <c r="G8" s="40" t="str">
        <f ca="1"/>
        <v/>
      </c>
      <c r="H8" s="40">
        <f ca="1"/>
        <v>0</v>
      </c>
      <c r="I8" s="43">
        <f ca="1"/>
        <v>0</v>
      </c>
      <c r="J8" s="107" t="str">
        <f ca="1"/>
        <v/>
      </c>
      <c r="K8" s="107" t="str">
        <f ca="1"/>
        <v/>
      </c>
    </row>
    <row r="9" spans="1:11" ht="15.75">
      <c r="A9" s="73" t="str">
        <v>Cohasse</v>
      </c>
      <c r="B9" s="37" t="str">
        <v>MA</v>
      </c>
      <c r="C9" s="38" t="str" cm="1">
        <f t="array" aca="1" ref="C9:K9" ca="1">IF(INDIRECT("'" &amp; $A9 &amp; "'!B6:J6")="", "", INDIRECT("'" &amp; $A9 &amp; "'!B6:J6"))</f>
        <v/>
      </c>
      <c r="D9" s="38" t="str">
        <f ca="1"/>
        <v/>
      </c>
      <c r="E9" s="38">
        <f ca="1"/>
        <v>0</v>
      </c>
      <c r="F9" s="42">
        <f ca="1"/>
        <v>0</v>
      </c>
      <c r="G9" s="40" t="str">
        <f ca="1"/>
        <v/>
      </c>
      <c r="H9" s="40">
        <f ca="1"/>
        <v>0</v>
      </c>
      <c r="I9" s="43">
        <f ca="1"/>
        <v>0</v>
      </c>
      <c r="J9" s="107" t="str">
        <f ca="1"/>
        <v/>
      </c>
      <c r="K9" s="107" t="str">
        <f ca="1"/>
        <v/>
      </c>
    </row>
    <row r="10" spans="1:11" ht="15.75">
      <c r="A10" s="72" t="str">
        <v>ISM Dighton Solar 2</v>
      </c>
      <c r="B10" s="18" t="str">
        <v>MA</v>
      </c>
      <c r="C10" s="38" t="str" cm="1">
        <f t="array" aca="1" ref="C10:K10" ca="1">IF(INDIRECT("'" &amp; $A10 &amp; "'!B6:J6")="", "", INDIRECT("'" &amp; $A10 &amp; "'!B6:J6"))</f>
        <v/>
      </c>
      <c r="D10" s="38" t="str">
        <f ca="1"/>
        <v/>
      </c>
      <c r="E10" s="38">
        <f ca="1"/>
        <v>0</v>
      </c>
      <c r="F10" s="42">
        <f ca="1"/>
        <v>0</v>
      </c>
      <c r="G10" s="40" t="str">
        <f ca="1"/>
        <v/>
      </c>
      <c r="H10" s="40">
        <f ca="1"/>
        <v>0</v>
      </c>
      <c r="I10" s="43">
        <f ca="1"/>
        <v>0</v>
      </c>
      <c r="J10" s="107" t="str">
        <f ca="1"/>
        <v/>
      </c>
      <c r="K10" s="107" t="str">
        <f ca="1"/>
        <v/>
      </c>
    </row>
    <row r="11" spans="1:11" ht="92.25" customHeight="1">
      <c r="A11" s="73" t="str">
        <v>Dudley River 1</v>
      </c>
      <c r="B11" s="37" t="str">
        <v>MA</v>
      </c>
      <c r="C11" s="38" t="str" cm="1">
        <f t="array" aca="1" ref="C11:K11" ca="1">IF(INDIRECT("'" &amp; $A11 &amp; "'!B6:J6")="", "", INDIRECT("'" &amp; $A11 &amp; "'!B6:J6"))</f>
        <v/>
      </c>
      <c r="D11" s="38" t="str">
        <f ca="1"/>
        <v/>
      </c>
      <c r="E11" s="38">
        <f ca="1"/>
        <v>0</v>
      </c>
      <c r="F11" s="42">
        <f ca="1"/>
        <v>0</v>
      </c>
      <c r="G11" s="40" t="str">
        <f ca="1"/>
        <v/>
      </c>
      <c r="H11" s="40">
        <f ca="1"/>
        <v>0</v>
      </c>
      <c r="I11" s="43">
        <f ca="1"/>
        <v>0</v>
      </c>
      <c r="J11" s="107" t="str">
        <f ca="1"/>
        <v/>
      </c>
      <c r="K11" s="107" t="str">
        <f ca="1"/>
        <v/>
      </c>
    </row>
    <row r="12" spans="1:11" ht="15.75">
      <c r="A12" s="72" t="str">
        <v>Dudley River 2</v>
      </c>
      <c r="B12" s="18" t="str">
        <v>MA</v>
      </c>
      <c r="C12" s="38" t="str" cm="1">
        <f t="array" aca="1" ref="C12:K12" ca="1">IF(INDIRECT("'" &amp; $A12 &amp; "'!B6:J6")="", "", INDIRECT("'" &amp; $A12 &amp; "'!B6:J6"))</f>
        <v/>
      </c>
      <c r="D12" s="38" t="str">
        <f ca="1"/>
        <v/>
      </c>
      <c r="E12" s="38">
        <f ca="1"/>
        <v>0</v>
      </c>
      <c r="F12" s="42">
        <f ca="1"/>
        <v>0</v>
      </c>
      <c r="G12" s="40" t="str">
        <f ca="1"/>
        <v/>
      </c>
      <c r="H12" s="40">
        <f ca="1"/>
        <v>0</v>
      </c>
      <c r="I12" s="43">
        <f ca="1"/>
        <v>0</v>
      </c>
      <c r="J12" s="107" t="str">
        <f ca="1"/>
        <v/>
      </c>
      <c r="K12" s="107" t="str">
        <f ca="1"/>
        <v/>
      </c>
    </row>
    <row r="13" spans="1:11" ht="15.75">
      <c r="A13" s="73" t="str">
        <v>Dudley River 3</v>
      </c>
      <c r="B13" s="37" t="str">
        <v>MA</v>
      </c>
      <c r="C13" s="38" t="str" cm="1">
        <f t="array" aca="1" ref="C13:K13" ca="1">IF(INDIRECT("'" &amp; $A13 &amp; "'!B6:J6")="", "", INDIRECT("'" &amp; $A13 &amp; "'!B6:J6"))</f>
        <v/>
      </c>
      <c r="D13" s="38" t="str">
        <f ca="1"/>
        <v/>
      </c>
      <c r="E13" s="38">
        <f ca="1"/>
        <v>0</v>
      </c>
      <c r="F13" s="42">
        <f ca="1"/>
        <v>0</v>
      </c>
      <c r="G13" s="40" t="str">
        <f ca="1"/>
        <v/>
      </c>
      <c r="H13" s="40">
        <f ca="1"/>
        <v>0</v>
      </c>
      <c r="I13" s="43">
        <f ca="1"/>
        <v>0</v>
      </c>
      <c r="J13" s="107" t="str">
        <f ca="1"/>
        <v/>
      </c>
      <c r="K13" s="107" t="str">
        <f ca="1"/>
        <v/>
      </c>
    </row>
    <row r="14" spans="1:11" ht="15.75">
      <c r="A14" s="72" t="str">
        <v>Flint Pond</v>
      </c>
      <c r="B14" s="18" t="str">
        <v>MA</v>
      </c>
      <c r="C14" s="38" t="str" cm="1">
        <f t="array" aca="1" ref="C14:K14" ca="1">IF(INDIRECT("'" &amp; $A14 &amp; "'!B6:J6")="", "", INDIRECT("'" &amp; $A14 &amp; "'!B6:J6"))</f>
        <v/>
      </c>
      <c r="D14" s="38" t="str">
        <f ca="1"/>
        <v/>
      </c>
      <c r="E14" s="38">
        <f ca="1"/>
        <v>0</v>
      </c>
      <c r="F14" s="42">
        <f ca="1"/>
        <v>0</v>
      </c>
      <c r="G14" s="40" t="str">
        <f ca="1"/>
        <v/>
      </c>
      <c r="H14" s="40">
        <f ca="1"/>
        <v>0</v>
      </c>
      <c r="I14" s="43">
        <f ca="1"/>
        <v>0</v>
      </c>
      <c r="J14" s="107" t="str">
        <f ca="1"/>
        <v/>
      </c>
      <c r="K14" s="107" t="str">
        <f ca="1"/>
        <v/>
      </c>
    </row>
    <row r="15" spans="1:11" ht="15.75">
      <c r="A15" s="73" t="str">
        <v>Incom</v>
      </c>
      <c r="B15" s="37" t="str">
        <v>MA</v>
      </c>
      <c r="C15" s="38" t="str" cm="1">
        <f t="array" aca="1" ref="C15:K15" ca="1">IF(INDIRECT("'" &amp; $A15 &amp; "'!B6:J6")="", "", INDIRECT("'" &amp; $A15 &amp; "'!B6:J6"))</f>
        <v/>
      </c>
      <c r="D15" s="38" t="str">
        <f ca="1"/>
        <v/>
      </c>
      <c r="E15" s="38">
        <f ca="1"/>
        <v>0</v>
      </c>
      <c r="F15" s="42">
        <f ca="1"/>
        <v>0</v>
      </c>
      <c r="G15" s="40" t="str">
        <f ca="1"/>
        <v/>
      </c>
      <c r="H15" s="40">
        <f ca="1"/>
        <v>0</v>
      </c>
      <c r="I15" s="43">
        <f ca="1"/>
        <v>0</v>
      </c>
      <c r="J15" s="107" t="str">
        <f ca="1"/>
        <v/>
      </c>
      <c r="K15" s="107" t="str">
        <f ca="1"/>
        <v/>
      </c>
    </row>
    <row r="16" spans="1:11" ht="15.75">
      <c r="A16" s="72" t="str">
        <v>JH</v>
      </c>
      <c r="B16" s="18" t="str">
        <v>MA</v>
      </c>
      <c r="C16" s="38" t="str" cm="1">
        <f t="array" aca="1" ref="C16:K16" ca="1">IF(INDIRECT("'" &amp; $A16 &amp; "'!B6:J6")="", "", INDIRECT("'" &amp; $A16 &amp; "'!B6:J6"))</f>
        <v/>
      </c>
      <c r="D16" s="38" t="str">
        <f ca="1"/>
        <v/>
      </c>
      <c r="E16" s="38">
        <f ca="1"/>
        <v>0</v>
      </c>
      <c r="F16" s="42">
        <f ca="1"/>
        <v>0</v>
      </c>
      <c r="G16" s="40" t="str">
        <f ca="1"/>
        <v/>
      </c>
      <c r="H16" s="40">
        <f ca="1"/>
        <v>0</v>
      </c>
      <c r="I16" s="43">
        <f ca="1"/>
        <v>0</v>
      </c>
      <c r="J16" s="107" t="str">
        <f ca="1"/>
        <v/>
      </c>
      <c r="K16" s="107" t="str">
        <f ca="1"/>
        <v/>
      </c>
    </row>
    <row r="17" spans="1:11" ht="15.75">
      <c r="A17" s="73" t="str">
        <v>Ledeaux</v>
      </c>
      <c r="B17" s="37" t="str">
        <v>MA</v>
      </c>
      <c r="C17" s="38" t="str" cm="1">
        <f t="array" aca="1" ref="C17:K17" ca="1">IF(INDIRECT("'" &amp; $A17 &amp; "'!B6:J6")="", "", INDIRECT("'" &amp; $A17 &amp; "'!B6:J6"))</f>
        <v/>
      </c>
      <c r="D17" s="38" t="str">
        <f ca="1"/>
        <v/>
      </c>
      <c r="E17" s="38">
        <f ca="1"/>
        <v>0</v>
      </c>
      <c r="F17" s="42">
        <f ca="1"/>
        <v>0</v>
      </c>
      <c r="G17" s="40" t="str">
        <f ca="1"/>
        <v/>
      </c>
      <c r="H17" s="40">
        <f ca="1"/>
        <v>0</v>
      </c>
      <c r="I17" s="43">
        <f ca="1"/>
        <v>0</v>
      </c>
      <c r="J17" s="107" t="str">
        <f ca="1"/>
        <v/>
      </c>
      <c r="K17" s="107" t="str">
        <f ca="1"/>
        <v/>
      </c>
    </row>
    <row r="18" spans="1:11" ht="15.75">
      <c r="A18" s="72" t="str">
        <v>Palombo A</v>
      </c>
      <c r="B18" s="18" t="str">
        <v>MA</v>
      </c>
      <c r="C18" s="38" t="str" cm="1">
        <f t="array" aca="1" ref="C18:K18" ca="1">IF(INDIRECT("'" &amp; $A18 &amp; "'!B6:J6")="", "", INDIRECT("'" &amp; $A18 &amp; "'!B6:J6"))</f>
        <v/>
      </c>
      <c r="D18" s="38" t="str">
        <f ca="1"/>
        <v/>
      </c>
      <c r="E18" s="38">
        <f ca="1"/>
        <v>0</v>
      </c>
      <c r="F18" s="42">
        <f ca="1"/>
        <v>0</v>
      </c>
      <c r="G18" s="40" t="str">
        <f ca="1"/>
        <v/>
      </c>
      <c r="H18" s="40">
        <f ca="1"/>
        <v>0</v>
      </c>
      <c r="I18" s="43">
        <f ca="1"/>
        <v>0</v>
      </c>
      <c r="J18" s="107" t="str">
        <f ca="1"/>
        <v/>
      </c>
      <c r="K18" s="107" t="str">
        <f ca="1"/>
        <v/>
      </c>
    </row>
    <row r="19" spans="1:11" ht="15.75">
      <c r="A19" s="73" t="str">
        <v>Palombo B</v>
      </c>
      <c r="B19" s="37" t="str">
        <v>MA</v>
      </c>
      <c r="C19" s="38" t="str" cm="1">
        <f t="array" aca="1" ref="C19:K19" ca="1">IF(INDIRECT("'" &amp; $A19 &amp; "'!B6:J6")="", "", INDIRECT("'" &amp; $A19 &amp; "'!B6:J6"))</f>
        <v/>
      </c>
      <c r="D19" s="38" t="str">
        <f ca="1"/>
        <v/>
      </c>
      <c r="E19" s="38">
        <f ca="1"/>
        <v>0</v>
      </c>
      <c r="F19" s="42">
        <f ca="1"/>
        <v>0</v>
      </c>
      <c r="G19" s="40" t="str">
        <f ca="1"/>
        <v/>
      </c>
      <c r="H19" s="40">
        <f ca="1"/>
        <v>0</v>
      </c>
      <c r="I19" s="43">
        <f ca="1"/>
        <v>0</v>
      </c>
      <c r="J19" s="107" t="str">
        <f ca="1"/>
        <v/>
      </c>
      <c r="K19" s="107" t="str">
        <f ca="1"/>
        <v/>
      </c>
    </row>
    <row r="20" spans="1:11" ht="15.75">
      <c r="A20" s="72" t="str">
        <v>St Josephs Church</v>
      </c>
      <c r="B20" s="18" t="str">
        <v>MA</v>
      </c>
      <c r="C20" s="38" t="str" cm="1">
        <f t="array" aca="1" ref="C20:K20" ca="1">IF(INDIRECT("'" &amp; $A20 &amp; "'!B6:J6")="", "", INDIRECT("'" &amp; $A20 &amp; "'!B6:J6"))</f>
        <v/>
      </c>
      <c r="D20" s="38" t="str">
        <f ca="1"/>
        <v/>
      </c>
      <c r="E20" s="38">
        <f ca="1"/>
        <v>0</v>
      </c>
      <c r="F20" s="42">
        <f ca="1"/>
        <v>0</v>
      </c>
      <c r="G20" s="40" t="str">
        <f ca="1"/>
        <v/>
      </c>
      <c r="H20" s="40">
        <f ca="1"/>
        <v>0</v>
      </c>
      <c r="I20" s="43">
        <f ca="1"/>
        <v>0</v>
      </c>
      <c r="J20" s="81" t="str">
        <f ca="1"/>
        <v/>
      </c>
      <c r="K20" s="81" t="str">
        <f ca="1"/>
        <v/>
      </c>
    </row>
    <row r="21" spans="1:11" ht="15.75">
      <c r="A21" s="73" t="str">
        <v>Sunset A</v>
      </c>
      <c r="B21" s="37" t="str">
        <v>MA</v>
      </c>
      <c r="C21" s="38" t="str" cm="1">
        <f t="array" aca="1" ref="C21:K21" ca="1">IF(INDIRECT("'" &amp; $A21 &amp; "'!B6:J6")="", "", INDIRECT("'" &amp; $A21 &amp; "'!B6:J6"))</f>
        <v/>
      </c>
      <c r="D21" s="38" t="str">
        <f ca="1"/>
        <v/>
      </c>
      <c r="E21" s="38">
        <f ca="1"/>
        <v>0</v>
      </c>
      <c r="F21" s="42">
        <f ca="1"/>
        <v>0</v>
      </c>
      <c r="G21" s="40" t="str">
        <f ca="1"/>
        <v/>
      </c>
      <c r="H21" s="40">
        <f ca="1"/>
        <v>0</v>
      </c>
      <c r="I21" s="43">
        <f ca="1"/>
        <v>0</v>
      </c>
      <c r="J21" s="81" t="str">
        <f ca="1"/>
        <v/>
      </c>
      <c r="K21" s="81" t="str">
        <f ca="1"/>
        <v/>
      </c>
    </row>
    <row r="22" spans="1:11" ht="15.75">
      <c r="A22" s="72" t="str">
        <v>Sunset B</v>
      </c>
      <c r="B22" s="18" t="str">
        <v>MA</v>
      </c>
      <c r="C22" s="38" t="str" cm="1">
        <f t="array" aca="1" ref="C22:K22" ca="1">IF(INDIRECT("'" &amp; $A22 &amp; "'!B6:J6")="", "", INDIRECT("'" &amp; $A22 &amp; "'!B6:J6"))</f>
        <v/>
      </c>
      <c r="D22" s="38" t="str">
        <f ca="1"/>
        <v/>
      </c>
      <c r="E22" s="38">
        <f ca="1"/>
        <v>0</v>
      </c>
      <c r="F22" s="42">
        <f ca="1"/>
        <v>0</v>
      </c>
      <c r="G22" s="40" t="str">
        <f ca="1"/>
        <v/>
      </c>
      <c r="H22" s="40">
        <f ca="1"/>
        <v>0</v>
      </c>
      <c r="I22" s="43">
        <f ca="1"/>
        <v>0</v>
      </c>
      <c r="J22" s="81" t="str">
        <f ca="1"/>
        <v/>
      </c>
      <c r="K22" s="81" t="str">
        <f ca="1"/>
        <v xml:space="preserve"> </v>
      </c>
    </row>
    <row r="23" spans="1:11" ht="15.75">
      <c r="A23" s="73" t="str">
        <v>Woodchuck</v>
      </c>
      <c r="B23" s="37" t="str">
        <v>MA</v>
      </c>
      <c r="C23" s="38" t="str" cm="1">
        <f t="array" aca="1" ref="C23:K23" ca="1">IF(INDIRECT("'" &amp; $A23 &amp; "'!B6:J6")="", "", INDIRECT("'" &amp; $A23 &amp; "'!B6:J6"))</f>
        <v/>
      </c>
      <c r="D23" s="38" t="str">
        <f ca="1"/>
        <v/>
      </c>
      <c r="E23" s="38">
        <f ca="1"/>
        <v>0</v>
      </c>
      <c r="F23" s="42">
        <f ca="1"/>
        <v>0</v>
      </c>
      <c r="G23" s="46" t="str">
        <f ca="1"/>
        <v/>
      </c>
      <c r="H23" s="46">
        <f ca="1"/>
        <v>0</v>
      </c>
      <c r="I23" s="47">
        <f ca="1"/>
        <v>0</v>
      </c>
      <c r="J23" s="89" t="str">
        <f ca="1"/>
        <v/>
      </c>
      <c r="K23" s="89" t="str">
        <f ca="1"/>
        <v/>
      </c>
    </row>
    <row r="24" spans="1:11" ht="24.75" customHeight="1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9"/>
    </row>
    <row r="25" spans="1:11">
      <c r="J25" s="9"/>
    </row>
    <row r="26" spans="1:11" ht="12.75" customHeight="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 ht="12.75" customHeight="1">
      <c r="A29" s="163"/>
      <c r="J29" s="9"/>
    </row>
    <row r="30" spans="1:11">
      <c r="J30" s="9"/>
    </row>
  </sheetData>
  <autoFilter ref="A2:I2" xr:uid="{CAF24030-967D-40AB-9B78-5C3C0C46A55D}"/>
  <mergeCells count="8">
    <mergeCell ref="G1:I1"/>
    <mergeCell ref="J1:J2"/>
    <mergeCell ref="K1:K2"/>
    <mergeCell ref="A26:A27"/>
    <mergeCell ref="A28:A29"/>
    <mergeCell ref="A24:B24"/>
    <mergeCell ref="C1:F1"/>
    <mergeCell ref="A1:B1"/>
  </mergeCells>
  <conditionalFormatting sqref="F3:F24 I3:I24">
    <cfRule type="cellIs" dxfId="367" priority="1" operator="lessThanOrEqual">
      <formula>-0.1</formula>
    </cfRule>
    <cfRule type="cellIs" dxfId="36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"/>
  <sheetViews>
    <sheetView zoomScale="90" zoomScaleNormal="90" workbookViewId="0">
      <pane ySplit="2" topLeftCell="A3" activePane="bottomLeft" state="frozen"/>
      <selection pane="bottomLeft" activeCell="A8" sqref="A8:XFD8"/>
      <selection activeCell="D28" sqref="D28"/>
    </sheetView>
  </sheetViews>
  <sheetFormatPr defaultRowHeight="16.5" customHeight="1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3.85546875" customWidth="1"/>
    <col min="11" max="11" width="21.42578125" customWidth="1"/>
  </cols>
  <sheetData>
    <row r="1" spans="1:11" ht="16.5" customHeight="1">
      <c r="A1" s="164" t="str" cm="1">
        <f t="array" ref="A1">portfolio</f>
        <v>38 DN</v>
      </c>
      <c r="B1" s="165"/>
      <c r="C1" s="166" t="s">
        <v>26</v>
      </c>
      <c r="D1" s="167"/>
      <c r="E1" s="167"/>
      <c r="F1" s="168"/>
      <c r="G1" s="169" t="s">
        <v>27</v>
      </c>
      <c r="H1" s="169"/>
      <c r="I1" s="170"/>
      <c r="J1" s="158" t="s">
        <v>2</v>
      </c>
      <c r="K1" s="158" t="s">
        <v>3</v>
      </c>
    </row>
    <row r="2" spans="1:11" ht="16.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6.5" customHeight="1">
      <c r="A3" s="71" t="str" cm="1">
        <f t="array" ref="A3:A23">Sites[Site]</f>
        <v>6th St.</v>
      </c>
      <c r="B3" s="36" t="str" cm="1">
        <f t="array" ref="B3:B23">Sites[State]</f>
        <v>CA</v>
      </c>
      <c r="C3" s="38" t="str" cm="1">
        <f t="array" aca="1" ref="C3:K3" ca="1">IF(INDIRECT("'" &amp; $A3 &amp; "'!B7:J7")="", "", INDIRECT("'" &amp; $A3 &amp; "'!B7:J7"))</f>
        <v/>
      </c>
      <c r="D3" s="38" t="str">
        <f ca="1"/>
        <v/>
      </c>
      <c r="E3" s="38">
        <f ca="1"/>
        <v>0</v>
      </c>
      <c r="F3" s="39">
        <f ca="1"/>
        <v>0</v>
      </c>
      <c r="G3" s="40" t="str">
        <f ca="1"/>
        <v/>
      </c>
      <c r="H3" s="40">
        <f ca="1"/>
        <v>0</v>
      </c>
      <c r="I3" s="41">
        <f ca="1"/>
        <v>0</v>
      </c>
      <c r="J3" s="80" t="str">
        <f ca="1"/>
        <v/>
      </c>
      <c r="K3" s="80" t="str">
        <f ca="1"/>
        <v/>
      </c>
    </row>
    <row r="4" spans="1:11" ht="16.5" customHeight="1">
      <c r="A4" s="72" t="str">
        <v>Barton Acres</v>
      </c>
      <c r="B4" s="18" t="str">
        <v>MA</v>
      </c>
      <c r="C4" s="38" t="str" cm="1">
        <f t="array" aca="1" ref="C4:K4" ca="1">IF(INDIRECT("'" &amp; $A4 &amp; "'!B7:J7")="", "", INDIRECT("'" &amp; $A4 &amp; "'!B7:J7"))</f>
        <v/>
      </c>
      <c r="D4" s="38" t="str">
        <f ca="1"/>
        <v/>
      </c>
      <c r="E4" s="38">
        <f ca="1"/>
        <v>0</v>
      </c>
      <c r="F4" s="42">
        <f ca="1"/>
        <v>0</v>
      </c>
      <c r="G4" s="40" t="str">
        <f ca="1"/>
        <v/>
      </c>
      <c r="H4" s="40">
        <f ca="1"/>
        <v>0</v>
      </c>
      <c r="I4" s="43">
        <f ca="1"/>
        <v>0</v>
      </c>
      <c r="J4" s="107" t="str">
        <f ca="1"/>
        <v/>
      </c>
      <c r="K4" s="106" t="str">
        <f ca="1"/>
        <v/>
      </c>
    </row>
    <row r="5" spans="1:11" ht="16.5" customHeight="1">
      <c r="A5" s="73" t="str">
        <v>Bowden</v>
      </c>
      <c r="B5" s="37" t="str">
        <v>MA</v>
      </c>
      <c r="C5" s="38" t="str" cm="1">
        <f t="array" aca="1" ref="C5:K5" ca="1">IF(INDIRECT("'" &amp; $A5 &amp; "'!B7:J7")="", "", INDIRECT("'" &amp; $A5 &amp; "'!B7:J7"))</f>
        <v/>
      </c>
      <c r="D5" s="38" t="str">
        <f ca="1"/>
        <v/>
      </c>
      <c r="E5" s="38">
        <f ca="1"/>
        <v>0</v>
      </c>
      <c r="F5" s="42">
        <f ca="1"/>
        <v>0</v>
      </c>
      <c r="G5" s="40" t="str">
        <f ca="1"/>
        <v/>
      </c>
      <c r="H5" s="40">
        <f ca="1"/>
        <v>0</v>
      </c>
      <c r="I5" s="43">
        <f ca="1"/>
        <v>0</v>
      </c>
      <c r="J5" s="107" t="str">
        <f ca="1"/>
        <v/>
      </c>
      <c r="K5" s="106" t="str">
        <f ca="1"/>
        <v/>
      </c>
    </row>
    <row r="6" spans="1:11" ht="16.5" customHeight="1">
      <c r="A6" s="72" t="str">
        <v>Blair Wire Village</v>
      </c>
      <c r="B6" s="18" t="str">
        <v>MA</v>
      </c>
      <c r="C6" s="38" t="str" cm="1">
        <f t="array" aca="1" ref="C6:K6" ca="1">IF(INDIRECT("'" &amp; $A6 &amp; "'!B7:J7")="", "", INDIRECT("'" &amp; $A6 &amp; "'!B7:J7"))</f>
        <v/>
      </c>
      <c r="D6" s="38" t="str">
        <f ca="1"/>
        <v/>
      </c>
      <c r="E6" s="38">
        <f ca="1"/>
        <v>0</v>
      </c>
      <c r="F6" s="42">
        <f ca="1"/>
        <v>0</v>
      </c>
      <c r="G6" s="40" t="str">
        <f ca="1"/>
        <v/>
      </c>
      <c r="H6" s="40">
        <f ca="1"/>
        <v>0</v>
      </c>
      <c r="I6" s="43">
        <f ca="1"/>
        <v>0</v>
      </c>
      <c r="J6" s="107" t="str">
        <f ca="1"/>
        <v/>
      </c>
      <c r="K6" s="106" t="str">
        <f ca="1"/>
        <v/>
      </c>
    </row>
    <row r="7" spans="1:11" ht="16.5" customHeight="1">
      <c r="A7" s="73" t="str">
        <v>Boutilier</v>
      </c>
      <c r="B7" s="37" t="str">
        <v>MA</v>
      </c>
      <c r="C7" s="38" t="str" cm="1">
        <f t="array" aca="1" ref="C7:K7" ca="1">IF(INDIRECT("'" &amp; $A7 &amp; "'!B7:J7")="", "", INDIRECT("'" &amp; $A7 &amp; "'!B7:J7"))</f>
        <v/>
      </c>
      <c r="D7" s="38" t="str">
        <f ca="1"/>
        <v/>
      </c>
      <c r="E7" s="38">
        <f ca="1"/>
        <v>0</v>
      </c>
      <c r="F7" s="42">
        <f ca="1"/>
        <v>0</v>
      </c>
      <c r="G7" s="40" t="str">
        <f ca="1"/>
        <v/>
      </c>
      <c r="H7" s="40">
        <f ca="1"/>
        <v>0</v>
      </c>
      <c r="I7" s="43">
        <f ca="1"/>
        <v>0</v>
      </c>
      <c r="J7" s="107" t="str">
        <f ca="1"/>
        <v/>
      </c>
      <c r="K7" s="106" t="str">
        <f ca="1"/>
        <v/>
      </c>
    </row>
    <row r="8" spans="1:11" ht="16.5" customHeight="1">
      <c r="A8" s="72" t="str">
        <v>Cherry Valley</v>
      </c>
      <c r="B8" s="18" t="str">
        <v>MA</v>
      </c>
      <c r="C8" s="38" t="str" cm="1">
        <f t="array" aca="1" ref="C8:K8" ca="1">IF(INDIRECT("'" &amp; $A8 &amp; "'!B7:J7")="", "", INDIRECT("'" &amp; $A8 &amp; "'!B7:J7"))</f>
        <v/>
      </c>
      <c r="D8" s="38" t="str">
        <f ca="1"/>
        <v/>
      </c>
      <c r="E8" s="38">
        <f ca="1"/>
        <v>0</v>
      </c>
      <c r="F8" s="42">
        <f ca="1"/>
        <v>0</v>
      </c>
      <c r="G8" s="40" t="str">
        <f ca="1"/>
        <v/>
      </c>
      <c r="H8" s="40">
        <f ca="1"/>
        <v>0</v>
      </c>
      <c r="I8" s="43">
        <f ca="1"/>
        <v>0</v>
      </c>
      <c r="J8" s="107" t="str">
        <f ca="1"/>
        <v/>
      </c>
      <c r="K8" s="106" t="str">
        <f ca="1"/>
        <v/>
      </c>
    </row>
    <row r="9" spans="1:11" ht="16.5" customHeight="1">
      <c r="A9" s="73" t="str">
        <v>Cohasse</v>
      </c>
      <c r="B9" s="37" t="str">
        <v>MA</v>
      </c>
      <c r="C9" s="38" t="str" cm="1">
        <f t="array" aca="1" ref="C9:K9" ca="1">IF(INDIRECT("'" &amp; $A9 &amp; "'!B7:J7")="", "", INDIRECT("'" &amp; $A9 &amp; "'!B7:J7"))</f>
        <v/>
      </c>
      <c r="D9" s="38" t="str">
        <f ca="1"/>
        <v/>
      </c>
      <c r="E9" s="38">
        <f ca="1"/>
        <v>0</v>
      </c>
      <c r="F9" s="42">
        <f ca="1"/>
        <v>0</v>
      </c>
      <c r="G9" s="40" t="str">
        <f ca="1"/>
        <v/>
      </c>
      <c r="H9" s="40">
        <f ca="1"/>
        <v>0</v>
      </c>
      <c r="I9" s="43">
        <f ca="1"/>
        <v>0</v>
      </c>
      <c r="J9" s="107" t="str">
        <f ca="1"/>
        <v/>
      </c>
      <c r="K9" s="106" t="str">
        <f ca="1"/>
        <v/>
      </c>
    </row>
    <row r="10" spans="1:11" ht="16.5" customHeight="1">
      <c r="A10" s="72" t="str">
        <v>ISM Dighton Solar 2</v>
      </c>
      <c r="B10" s="18" t="str">
        <v>MA</v>
      </c>
      <c r="C10" s="38" t="str" cm="1">
        <f t="array" aca="1" ref="C10:K10" ca="1">IF(INDIRECT("'" &amp; $A10 &amp; "'!B7:J7")="", "", INDIRECT("'" &amp; $A10 &amp; "'!B7:J7"))</f>
        <v/>
      </c>
      <c r="D10" s="38" t="str">
        <f ca="1"/>
        <v/>
      </c>
      <c r="E10" s="38">
        <f ca="1"/>
        <v>0</v>
      </c>
      <c r="F10" s="42">
        <f ca="1"/>
        <v>0</v>
      </c>
      <c r="G10" s="40" t="str">
        <f ca="1"/>
        <v/>
      </c>
      <c r="H10" s="40">
        <f ca="1"/>
        <v>0</v>
      </c>
      <c r="I10" s="43">
        <f ca="1"/>
        <v>0</v>
      </c>
      <c r="J10" s="107" t="str">
        <f ca="1"/>
        <v/>
      </c>
      <c r="K10" s="106" t="str">
        <f ca="1"/>
        <v/>
      </c>
    </row>
    <row r="11" spans="1:11" ht="16.5" customHeight="1">
      <c r="A11" s="73" t="str">
        <v>Dudley River 1</v>
      </c>
      <c r="B11" s="37" t="str">
        <v>MA</v>
      </c>
      <c r="C11" s="38" t="str" cm="1">
        <f t="array" aca="1" ref="C11:K11" ca="1">IF(INDIRECT("'" &amp; $A11 &amp; "'!B7:J7")="", "", INDIRECT("'" &amp; $A11 &amp; "'!B7:J7"))</f>
        <v/>
      </c>
      <c r="D11" s="38" t="str">
        <f ca="1"/>
        <v/>
      </c>
      <c r="E11" s="38">
        <f ca="1"/>
        <v>0</v>
      </c>
      <c r="F11" s="42">
        <f ca="1"/>
        <v>0</v>
      </c>
      <c r="G11" s="40" t="str">
        <f ca="1"/>
        <v/>
      </c>
      <c r="H11" s="40">
        <f ca="1"/>
        <v>0</v>
      </c>
      <c r="I11" s="43">
        <f ca="1"/>
        <v>0</v>
      </c>
      <c r="J11" s="107" t="str">
        <f ca="1"/>
        <v/>
      </c>
      <c r="K11" s="107" t="str">
        <f ca="1"/>
        <v/>
      </c>
    </row>
    <row r="12" spans="1:11" ht="16.5" customHeight="1">
      <c r="A12" s="72" t="str">
        <v>Dudley River 2</v>
      </c>
      <c r="B12" s="18" t="str">
        <v>MA</v>
      </c>
      <c r="C12" s="38" t="str" cm="1">
        <f t="array" aca="1" ref="C12:K12" ca="1">IF(INDIRECT("'" &amp; $A12 &amp; "'!B7:J7")="", "", INDIRECT("'" &amp; $A12 &amp; "'!B7:J7"))</f>
        <v/>
      </c>
      <c r="D12" s="38" t="str">
        <f ca="1"/>
        <v/>
      </c>
      <c r="E12" s="38">
        <f ca="1"/>
        <v>0</v>
      </c>
      <c r="F12" s="42">
        <f ca="1"/>
        <v>0</v>
      </c>
      <c r="G12" s="40" t="str">
        <f ca="1"/>
        <v/>
      </c>
      <c r="H12" s="40">
        <f ca="1"/>
        <v>0</v>
      </c>
      <c r="I12" s="43">
        <f ca="1"/>
        <v>0</v>
      </c>
      <c r="J12" s="107" t="str">
        <f ca="1"/>
        <v/>
      </c>
      <c r="K12" s="106" t="str">
        <f ca="1"/>
        <v/>
      </c>
    </row>
    <row r="13" spans="1:11" ht="16.5" customHeight="1">
      <c r="A13" s="73" t="str">
        <v>Dudley River 3</v>
      </c>
      <c r="B13" s="37" t="str">
        <v>MA</v>
      </c>
      <c r="C13" s="38" t="str" cm="1">
        <f t="array" aca="1" ref="C13:K13" ca="1">IF(INDIRECT("'" &amp; $A13 &amp; "'!B7:J7")="", "", INDIRECT("'" &amp; $A13 &amp; "'!B7:J7"))</f>
        <v/>
      </c>
      <c r="D13" s="38" t="str">
        <f ca="1"/>
        <v/>
      </c>
      <c r="E13" s="38">
        <f ca="1"/>
        <v>0</v>
      </c>
      <c r="F13" s="42">
        <f ca="1"/>
        <v>0</v>
      </c>
      <c r="G13" s="40" t="str">
        <f ca="1"/>
        <v/>
      </c>
      <c r="H13" s="40">
        <f ca="1"/>
        <v>0</v>
      </c>
      <c r="I13" s="43">
        <f ca="1"/>
        <v>0</v>
      </c>
      <c r="J13" s="107" t="str">
        <f ca="1"/>
        <v/>
      </c>
      <c r="K13" s="106" t="str">
        <f ca="1"/>
        <v/>
      </c>
    </row>
    <row r="14" spans="1:11" ht="16.5" customHeight="1">
      <c r="A14" s="72" t="str">
        <v>Flint Pond</v>
      </c>
      <c r="B14" s="18" t="str">
        <v>MA</v>
      </c>
      <c r="C14" s="38" t="str" cm="1">
        <f t="array" aca="1" ref="C14:K14" ca="1">IF(INDIRECT("'" &amp; $A14 &amp; "'!B7:J7")="", "", INDIRECT("'" &amp; $A14 &amp; "'!B7:J7"))</f>
        <v/>
      </c>
      <c r="D14" s="38" t="str">
        <f ca="1"/>
        <v/>
      </c>
      <c r="E14" s="38">
        <f ca="1"/>
        <v>0</v>
      </c>
      <c r="F14" s="42">
        <f ca="1"/>
        <v>0</v>
      </c>
      <c r="G14" s="40" t="str">
        <f ca="1"/>
        <v/>
      </c>
      <c r="H14" s="40">
        <f ca="1"/>
        <v>0</v>
      </c>
      <c r="I14" s="43">
        <f ca="1"/>
        <v>0</v>
      </c>
      <c r="J14" s="107" t="str">
        <f ca="1"/>
        <v/>
      </c>
      <c r="K14" s="106" t="str">
        <f ca="1"/>
        <v/>
      </c>
    </row>
    <row r="15" spans="1:11" ht="16.5" customHeight="1">
      <c r="A15" s="73" t="str">
        <v>Incom</v>
      </c>
      <c r="B15" s="37" t="str">
        <v>MA</v>
      </c>
      <c r="C15" s="38" t="str" cm="1">
        <f t="array" aca="1" ref="C15:K15" ca="1">IF(INDIRECT("'" &amp; $A15 &amp; "'!B7:J7")="", "", INDIRECT("'" &amp; $A15 &amp; "'!B7:J7"))</f>
        <v/>
      </c>
      <c r="D15" s="38" t="str">
        <f ca="1"/>
        <v/>
      </c>
      <c r="E15" s="38">
        <f ca="1"/>
        <v>0</v>
      </c>
      <c r="F15" s="42">
        <f ca="1"/>
        <v>0</v>
      </c>
      <c r="G15" s="40" t="str">
        <f ca="1"/>
        <v/>
      </c>
      <c r="H15" s="40">
        <f ca="1"/>
        <v>0</v>
      </c>
      <c r="I15" s="43">
        <f ca="1"/>
        <v>0</v>
      </c>
      <c r="J15" s="107" t="str">
        <f ca="1"/>
        <v/>
      </c>
      <c r="K15" s="106" t="str">
        <f ca="1"/>
        <v/>
      </c>
    </row>
    <row r="16" spans="1:11" ht="16.5" customHeight="1">
      <c r="A16" s="72" t="str">
        <v>JH</v>
      </c>
      <c r="B16" s="18" t="str">
        <v>MA</v>
      </c>
      <c r="C16" s="38" t="str" cm="1">
        <f t="array" aca="1" ref="C16:K16" ca="1">IF(INDIRECT("'" &amp; $A16 &amp; "'!B7:J7")="", "", INDIRECT("'" &amp; $A16 &amp; "'!B7:J7"))</f>
        <v/>
      </c>
      <c r="D16" s="38" t="str">
        <f ca="1"/>
        <v/>
      </c>
      <c r="E16" s="38">
        <f ca="1"/>
        <v>0</v>
      </c>
      <c r="F16" s="42">
        <f ca="1"/>
        <v>0</v>
      </c>
      <c r="G16" s="40" t="str">
        <f ca="1"/>
        <v/>
      </c>
      <c r="H16" s="40">
        <f ca="1"/>
        <v>0</v>
      </c>
      <c r="I16" s="43">
        <f ca="1"/>
        <v>0</v>
      </c>
      <c r="J16" s="107" t="str">
        <f ca="1"/>
        <v/>
      </c>
      <c r="K16" s="106" t="str">
        <f ca="1"/>
        <v/>
      </c>
    </row>
    <row r="17" spans="1:11" ht="16.5" customHeight="1">
      <c r="A17" s="73" t="str">
        <v>Ledeaux</v>
      </c>
      <c r="B17" s="37" t="str">
        <v>MA</v>
      </c>
      <c r="C17" s="38" t="str" cm="1">
        <f t="array" aca="1" ref="C17:K17" ca="1">IF(INDIRECT("'" &amp; $A17 &amp; "'!B7:J7")="", "", INDIRECT("'" &amp; $A17 &amp; "'!B7:J7"))</f>
        <v/>
      </c>
      <c r="D17" s="38" t="str">
        <f ca="1"/>
        <v/>
      </c>
      <c r="E17" s="38">
        <f ca="1"/>
        <v>0</v>
      </c>
      <c r="F17" s="42">
        <f ca="1"/>
        <v>0</v>
      </c>
      <c r="G17" s="40" t="str">
        <f ca="1"/>
        <v/>
      </c>
      <c r="H17" s="40">
        <f ca="1"/>
        <v>0</v>
      </c>
      <c r="I17" s="43">
        <f ca="1"/>
        <v>0</v>
      </c>
      <c r="J17" s="107" t="str">
        <f ca="1"/>
        <v/>
      </c>
      <c r="K17" s="106" t="str">
        <f ca="1"/>
        <v/>
      </c>
    </row>
    <row r="18" spans="1:11" ht="16.5" customHeight="1">
      <c r="A18" s="72" t="str">
        <v>Palombo A</v>
      </c>
      <c r="B18" s="18" t="str">
        <v>MA</v>
      </c>
      <c r="C18" s="38" t="str" cm="1">
        <f t="array" aca="1" ref="C18:K18" ca="1">IF(INDIRECT("'" &amp; $A18 &amp; "'!B7:J7")="", "", INDIRECT("'" &amp; $A18 &amp; "'!B7:J7"))</f>
        <v/>
      </c>
      <c r="D18" s="38" t="str">
        <f ca="1"/>
        <v/>
      </c>
      <c r="E18" s="38">
        <f ca="1"/>
        <v>0</v>
      </c>
      <c r="F18" s="42">
        <f ca="1"/>
        <v>0</v>
      </c>
      <c r="G18" s="40" t="str">
        <f ca="1"/>
        <v/>
      </c>
      <c r="H18" s="40">
        <f ca="1"/>
        <v>0</v>
      </c>
      <c r="I18" s="43">
        <f ca="1"/>
        <v>0</v>
      </c>
      <c r="J18" s="107" t="str">
        <f ca="1"/>
        <v/>
      </c>
      <c r="K18" s="106" t="str">
        <f ca="1"/>
        <v/>
      </c>
    </row>
    <row r="19" spans="1:11" ht="16.5" customHeight="1">
      <c r="A19" s="73" t="str">
        <v>Palombo B</v>
      </c>
      <c r="B19" s="37" t="str">
        <v>MA</v>
      </c>
      <c r="C19" s="38" t="str" cm="1">
        <f t="array" aca="1" ref="C19:K19" ca="1">IF(INDIRECT("'" &amp; $A19 &amp; "'!B7:J7")="", "", INDIRECT("'" &amp; $A19 &amp; "'!B7:J7"))</f>
        <v/>
      </c>
      <c r="D19" s="38" t="str">
        <f ca="1"/>
        <v/>
      </c>
      <c r="E19" s="38">
        <f ca="1"/>
        <v>0</v>
      </c>
      <c r="F19" s="42">
        <f ca="1"/>
        <v>0</v>
      </c>
      <c r="G19" s="40" t="str">
        <f ca="1"/>
        <v/>
      </c>
      <c r="H19" s="40">
        <f ca="1"/>
        <v>0</v>
      </c>
      <c r="I19" s="43">
        <f ca="1"/>
        <v>0</v>
      </c>
      <c r="J19" s="107" t="str">
        <f ca="1"/>
        <v/>
      </c>
      <c r="K19" s="106" t="str">
        <f ca="1"/>
        <v/>
      </c>
    </row>
    <row r="20" spans="1:11" ht="16.5" customHeight="1">
      <c r="A20" s="72" t="str">
        <v>St Josephs Church</v>
      </c>
      <c r="B20" s="18" t="str">
        <v>MA</v>
      </c>
      <c r="C20" s="38" t="str" cm="1">
        <f t="array" aca="1" ref="C20:K20" ca="1">IF(INDIRECT("'" &amp; $A20 &amp; "'!B7:J7")="", "", INDIRECT("'" &amp; $A20 &amp; "'!B7:J7"))</f>
        <v/>
      </c>
      <c r="D20" s="38" t="str">
        <f ca="1"/>
        <v/>
      </c>
      <c r="E20" s="38">
        <f ca="1"/>
        <v>0</v>
      </c>
      <c r="F20" s="42">
        <f ca="1"/>
        <v>0</v>
      </c>
      <c r="G20" s="40" t="str">
        <f ca="1"/>
        <v/>
      </c>
      <c r="H20" s="40">
        <f ca="1"/>
        <v>0</v>
      </c>
      <c r="I20" s="43">
        <f ca="1"/>
        <v>0</v>
      </c>
      <c r="J20" s="81" t="str">
        <f ca="1"/>
        <v/>
      </c>
      <c r="K20" s="80" t="str">
        <f ca="1"/>
        <v/>
      </c>
    </row>
    <row r="21" spans="1:11" ht="16.5" customHeight="1">
      <c r="A21" s="73" t="str">
        <v>Sunset A</v>
      </c>
      <c r="B21" s="37" t="str">
        <v>MA</v>
      </c>
      <c r="C21" s="38" t="str" cm="1">
        <f t="array" aca="1" ref="C21:K21" ca="1">IF(INDIRECT("'" &amp; $A21 &amp; "'!B7:J7")="", "", INDIRECT("'" &amp; $A21 &amp; "'!B7:J7"))</f>
        <v/>
      </c>
      <c r="D21" s="38" t="str">
        <f ca="1"/>
        <v/>
      </c>
      <c r="E21" s="38">
        <f ca="1"/>
        <v>0</v>
      </c>
      <c r="F21" s="42">
        <f ca="1"/>
        <v>0</v>
      </c>
      <c r="G21" s="40" t="str">
        <f ca="1"/>
        <v/>
      </c>
      <c r="H21" s="40">
        <f ca="1"/>
        <v>0</v>
      </c>
      <c r="I21" s="43">
        <f ca="1"/>
        <v>0</v>
      </c>
      <c r="J21" s="81" t="str">
        <f ca="1"/>
        <v/>
      </c>
      <c r="K21" s="80" t="str">
        <f ca="1"/>
        <v/>
      </c>
    </row>
    <row r="22" spans="1:11" ht="16.5" customHeight="1">
      <c r="A22" s="72" t="str">
        <v>Sunset B</v>
      </c>
      <c r="B22" s="18" t="str">
        <v>MA</v>
      </c>
      <c r="C22" s="38" t="str" cm="1">
        <f t="array" aca="1" ref="C22:K22" ca="1">IF(INDIRECT("'" &amp; $A22 &amp; "'!B7:J7")="", "", INDIRECT("'" &amp; $A22 &amp; "'!B7:J7"))</f>
        <v/>
      </c>
      <c r="D22" s="38" t="str">
        <f ca="1"/>
        <v/>
      </c>
      <c r="E22" s="38">
        <f ca="1"/>
        <v>0</v>
      </c>
      <c r="F22" s="42">
        <f ca="1"/>
        <v>0</v>
      </c>
      <c r="G22" s="40" t="str">
        <f ca="1"/>
        <v/>
      </c>
      <c r="H22" s="40">
        <f ca="1"/>
        <v>0</v>
      </c>
      <c r="I22" s="43">
        <f ca="1"/>
        <v>0</v>
      </c>
      <c r="J22" s="81" t="str">
        <f ca="1"/>
        <v/>
      </c>
      <c r="K22" s="80" t="str">
        <f ca="1"/>
        <v/>
      </c>
    </row>
    <row r="23" spans="1:11" ht="16.5" customHeight="1">
      <c r="A23" s="73" t="str">
        <v>Woodchuck</v>
      </c>
      <c r="B23" s="37" t="str">
        <v>MA</v>
      </c>
      <c r="C23" s="38" t="str" cm="1">
        <f t="array" aca="1" ref="C23:K23" ca="1">IF(INDIRECT("'" &amp; $A23 &amp; "'!B7:J7")="", "", INDIRECT("'" &amp; $A23 &amp; "'!B7:J7"))</f>
        <v/>
      </c>
      <c r="D23" s="38" t="str">
        <f ca="1"/>
        <v/>
      </c>
      <c r="E23" s="38">
        <f ca="1"/>
        <v>0</v>
      </c>
      <c r="F23" s="42">
        <f ca="1"/>
        <v>0</v>
      </c>
      <c r="G23" s="40" t="str">
        <f ca="1"/>
        <v/>
      </c>
      <c r="H23" s="40">
        <f ca="1"/>
        <v>0</v>
      </c>
      <c r="I23" s="43">
        <f ca="1"/>
        <v>0</v>
      </c>
      <c r="J23" s="89" t="str">
        <f ca="1"/>
        <v/>
      </c>
      <c r="K23" s="89" t="str">
        <f ca="1"/>
        <v/>
      </c>
    </row>
    <row r="24" spans="1:11" ht="16.5" customHeight="1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9"/>
    </row>
    <row r="25" spans="1:11" ht="16.5" customHeight="1">
      <c r="J25" s="9"/>
    </row>
    <row r="26" spans="1:11" ht="16.5" customHeight="1">
      <c r="A26" s="162" t="s">
        <v>12</v>
      </c>
      <c r="J26" s="9"/>
    </row>
    <row r="27" spans="1:11" ht="16.5" customHeight="1">
      <c r="A27" s="162"/>
      <c r="J27" s="9"/>
    </row>
    <row r="28" spans="1:11" ht="16.5" customHeight="1">
      <c r="A28" s="163" t="s">
        <v>13</v>
      </c>
      <c r="J28" s="9"/>
    </row>
    <row r="29" spans="1:11" ht="16.5" customHeight="1">
      <c r="A29" s="163"/>
      <c r="J29" s="9"/>
    </row>
    <row r="30" spans="1:11" ht="16.5" customHeight="1">
      <c r="J30" s="9"/>
    </row>
  </sheetData>
  <autoFilter ref="A2:I2" xr:uid="{E69961AB-A757-4049-8AB9-40F3BCB812B3}"/>
  <mergeCells count="8">
    <mergeCell ref="G1:I1"/>
    <mergeCell ref="J1:J2"/>
    <mergeCell ref="K1:K2"/>
    <mergeCell ref="A26:A27"/>
    <mergeCell ref="A28:A29"/>
    <mergeCell ref="A24:B24"/>
    <mergeCell ref="C1:F1"/>
    <mergeCell ref="A1:B1"/>
  </mergeCells>
  <conditionalFormatting sqref="F3:F24 I3:I24">
    <cfRule type="cellIs" dxfId="365" priority="1" operator="lessThanOrEqual">
      <formula>-0.1</formula>
    </cfRule>
    <cfRule type="cellIs" dxfId="36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"/>
  <sheetViews>
    <sheetView topLeftCell="C1" workbookViewId="0">
      <pane ySplit="2" topLeftCell="A3" activePane="bottomLeft" state="frozen"/>
      <selection pane="bottomLeft" activeCell="D9" sqref="D9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64" t="str" cm="1">
        <f t="array" ref="A1">portfolio</f>
        <v>38 DN</v>
      </c>
      <c r="B1" s="165"/>
      <c r="C1" s="166" t="s">
        <v>28</v>
      </c>
      <c r="D1" s="167"/>
      <c r="E1" s="167"/>
      <c r="F1" s="168"/>
      <c r="G1" s="169" t="s">
        <v>29</v>
      </c>
      <c r="H1" s="169"/>
      <c r="I1" s="170"/>
      <c r="J1" s="158" t="s">
        <v>2</v>
      </c>
      <c r="K1" s="158" t="s">
        <v>3</v>
      </c>
    </row>
    <row r="2" spans="1:11" ht="13.9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 t="str" cm="1">
        <f t="array" aca="1" ref="C3:K3" ca="1">IF(INDIRECT("'" &amp; $A3 &amp; "'!B8:J8")="", "", INDIRECT("'" &amp; $A3 &amp; "'!B8:J8"))</f>
        <v/>
      </c>
      <c r="D3" s="38" t="str">
        <f ca="1"/>
        <v/>
      </c>
      <c r="E3" s="38">
        <f ca="1"/>
        <v>0</v>
      </c>
      <c r="F3" s="39">
        <f ca="1"/>
        <v>0</v>
      </c>
      <c r="G3" s="40" t="str">
        <f ca="1"/>
        <v/>
      </c>
      <c r="H3" s="40">
        <f ca="1"/>
        <v>0</v>
      </c>
      <c r="I3" s="41">
        <f ca="1"/>
        <v>0</v>
      </c>
      <c r="J3" s="89" t="str">
        <f ca="1"/>
        <v/>
      </c>
      <c r="K3" s="88" t="str">
        <f ca="1"/>
        <v/>
      </c>
    </row>
    <row r="4" spans="1:11" ht="15.75">
      <c r="A4" s="72" t="str">
        <v>Barton Acres</v>
      </c>
      <c r="B4" s="18" t="str">
        <v>MA</v>
      </c>
      <c r="C4" s="38" t="str" cm="1">
        <f t="array" aca="1" ref="C4:K4" ca="1">IF(INDIRECT("'" &amp; $A4 &amp; "'!B8:J8")="", "", INDIRECT("'" &amp; $A4 &amp; "'!B8:J8"))</f>
        <v/>
      </c>
      <c r="D4" s="38" t="str">
        <f ca="1"/>
        <v/>
      </c>
      <c r="E4" s="38">
        <f ca="1"/>
        <v>0</v>
      </c>
      <c r="F4" s="42">
        <f ca="1"/>
        <v>0</v>
      </c>
      <c r="G4" s="40" t="str">
        <f ca="1"/>
        <v/>
      </c>
      <c r="H4" s="40">
        <f ca="1"/>
        <v>0</v>
      </c>
      <c r="I4" s="43">
        <f ca="1"/>
        <v>0</v>
      </c>
      <c r="J4" s="88" t="str">
        <f ca="1"/>
        <v/>
      </c>
      <c r="K4" s="88" t="str">
        <f ca="1"/>
        <v/>
      </c>
    </row>
    <row r="5" spans="1:11" ht="15.75">
      <c r="A5" s="73" t="str">
        <v>Bowden</v>
      </c>
      <c r="B5" s="37" t="str">
        <v>MA</v>
      </c>
      <c r="C5" s="38" t="str" cm="1">
        <f t="array" aca="1" ref="C5:K5" ca="1">IF(INDIRECT("'" &amp; $A5 &amp; "'!B8:J8")="", "", INDIRECT("'" &amp; $A5 &amp; "'!B8:J8"))</f>
        <v/>
      </c>
      <c r="D5" s="38" t="str">
        <f ca="1"/>
        <v/>
      </c>
      <c r="E5" s="38">
        <f ca="1"/>
        <v>0</v>
      </c>
      <c r="F5" s="42">
        <f ca="1"/>
        <v>0</v>
      </c>
      <c r="G5" s="40" t="str">
        <f ca="1"/>
        <v/>
      </c>
      <c r="H5" s="40">
        <f ca="1"/>
        <v>0</v>
      </c>
      <c r="I5" s="43">
        <f ca="1"/>
        <v>0</v>
      </c>
      <c r="J5" s="88" t="str">
        <f ca="1"/>
        <v/>
      </c>
      <c r="K5" s="88" t="str">
        <f ca="1"/>
        <v/>
      </c>
    </row>
    <row r="6" spans="1:11" ht="15.75">
      <c r="A6" s="72" t="str">
        <v>Blair Wire Village</v>
      </c>
      <c r="B6" s="18" t="str">
        <v>MA</v>
      </c>
      <c r="C6" s="38" t="str" cm="1">
        <f t="array" aca="1" ref="C6:K6" ca="1">IF(INDIRECT("'" &amp; $A6 &amp; "'!B8:J8")="", "", INDIRECT("'" &amp; $A6 &amp; "'!B8:J8"))</f>
        <v/>
      </c>
      <c r="D6" s="38" t="str">
        <f ca="1"/>
        <v/>
      </c>
      <c r="E6" s="38">
        <f ca="1"/>
        <v>0</v>
      </c>
      <c r="F6" s="42">
        <f ca="1"/>
        <v>0</v>
      </c>
      <c r="G6" s="40" t="str">
        <f ca="1"/>
        <v/>
      </c>
      <c r="H6" s="40">
        <f ca="1"/>
        <v>0</v>
      </c>
      <c r="I6" s="43">
        <f ca="1"/>
        <v>0</v>
      </c>
      <c r="J6" s="88" t="str">
        <f ca="1"/>
        <v/>
      </c>
      <c r="K6" s="88" t="str">
        <f ca="1"/>
        <v/>
      </c>
    </row>
    <row r="7" spans="1:11" ht="15.75">
      <c r="A7" s="73" t="str">
        <v>Boutilier</v>
      </c>
      <c r="B7" s="37" t="str">
        <v>MA</v>
      </c>
      <c r="C7" s="38" t="str" cm="1">
        <f t="array" aca="1" ref="C7:K7" ca="1">IF(INDIRECT("'" &amp; $A7 &amp; "'!B8:J8")="", "", INDIRECT("'" &amp; $A7 &amp; "'!B8:J8"))</f>
        <v/>
      </c>
      <c r="D7" s="38" t="str">
        <f ca="1"/>
        <v/>
      </c>
      <c r="E7" s="38">
        <f ca="1"/>
        <v>0</v>
      </c>
      <c r="F7" s="42">
        <f ca="1"/>
        <v>0</v>
      </c>
      <c r="G7" s="40" t="str">
        <f ca="1"/>
        <v/>
      </c>
      <c r="H7" s="40">
        <f ca="1"/>
        <v>0</v>
      </c>
      <c r="I7" s="43">
        <f ca="1"/>
        <v>0</v>
      </c>
      <c r="J7" s="88" t="str">
        <f ca="1"/>
        <v/>
      </c>
      <c r="K7" s="88" t="str">
        <f ca="1"/>
        <v/>
      </c>
    </row>
    <row r="8" spans="1:11" ht="15.75">
      <c r="A8" s="72" t="str">
        <v>Cherry Valley</v>
      </c>
      <c r="B8" s="18" t="str">
        <v>MA</v>
      </c>
      <c r="C8" s="38" t="str" cm="1">
        <f t="array" aca="1" ref="C8:K8" ca="1">IF(INDIRECT("'" &amp; $A8 &amp; "'!B8:J8")="", "", INDIRECT("'" &amp; $A8 &amp; "'!B8:J8"))</f>
        <v/>
      </c>
      <c r="D8" s="38" t="str">
        <f ca="1"/>
        <v/>
      </c>
      <c r="E8" s="38">
        <f ca="1"/>
        <v>0</v>
      </c>
      <c r="F8" s="42">
        <f ca="1"/>
        <v>0</v>
      </c>
      <c r="G8" s="40" t="str">
        <f ca="1"/>
        <v/>
      </c>
      <c r="H8" s="40">
        <f ca="1"/>
        <v>0</v>
      </c>
      <c r="I8" s="43">
        <f ca="1"/>
        <v>0</v>
      </c>
      <c r="J8" s="88" t="str">
        <f ca="1"/>
        <v/>
      </c>
      <c r="K8" s="88" t="str">
        <f ca="1"/>
        <v/>
      </c>
    </row>
    <row r="9" spans="1:11" ht="15.75">
      <c r="A9" s="73" t="str">
        <v>Cohasse</v>
      </c>
      <c r="B9" s="37" t="str">
        <v>MA</v>
      </c>
      <c r="C9" s="38" t="str" cm="1">
        <f t="array" aca="1" ref="C9:K9" ca="1">IF(INDIRECT("'" &amp; $A9 &amp; "'!B8:J8")="", "", INDIRECT("'" &amp; $A9 &amp; "'!B8:J8"))</f>
        <v/>
      </c>
      <c r="D9" s="38" t="str">
        <f ca="1"/>
        <v/>
      </c>
      <c r="E9" s="38">
        <f ca="1"/>
        <v>0</v>
      </c>
      <c r="F9" s="42">
        <f ca="1"/>
        <v>0</v>
      </c>
      <c r="G9" s="40" t="str">
        <f ca="1"/>
        <v/>
      </c>
      <c r="H9" s="40">
        <f ca="1"/>
        <v>0</v>
      </c>
      <c r="I9" s="43">
        <f ca="1"/>
        <v>0</v>
      </c>
      <c r="J9" s="89" t="str">
        <f ca="1"/>
        <v/>
      </c>
      <c r="K9" s="88" t="str">
        <f ca="1"/>
        <v/>
      </c>
    </row>
    <row r="10" spans="1:11" ht="15.75">
      <c r="A10" s="72" t="str">
        <v>ISM Dighton Solar 2</v>
      </c>
      <c r="B10" s="18" t="str">
        <v>MA</v>
      </c>
      <c r="C10" s="38" t="str" cm="1">
        <f t="array" aca="1" ref="C10:K10" ca="1">IF(INDIRECT("'" &amp; $A10 &amp; "'!B8:J8")="", "", INDIRECT("'" &amp; $A10 &amp; "'!B8:J8"))</f>
        <v/>
      </c>
      <c r="D10" s="38" t="str">
        <f ca="1"/>
        <v/>
      </c>
      <c r="E10" s="38">
        <f ca="1"/>
        <v>0</v>
      </c>
      <c r="F10" s="42">
        <f ca="1"/>
        <v>0</v>
      </c>
      <c r="G10" s="40" t="str">
        <f ca="1"/>
        <v/>
      </c>
      <c r="H10" s="40">
        <f ca="1"/>
        <v>0</v>
      </c>
      <c r="I10" s="43">
        <f ca="1"/>
        <v>0</v>
      </c>
      <c r="J10" s="88" t="str">
        <f ca="1"/>
        <v/>
      </c>
      <c r="K10" s="88" t="str">
        <f ca="1"/>
        <v/>
      </c>
    </row>
    <row r="11" spans="1:11" ht="15.75">
      <c r="A11" s="73" t="str">
        <v>Dudley River 1</v>
      </c>
      <c r="B11" s="37" t="str">
        <v>MA</v>
      </c>
      <c r="C11" s="38" t="str" cm="1">
        <f t="array" aca="1" ref="C11:K11" ca="1">IF(INDIRECT("'" &amp; $A11 &amp; "'!B8:J8")="", "", INDIRECT("'" &amp; $A11 &amp; "'!B8:J8"))</f>
        <v/>
      </c>
      <c r="D11" s="38" t="str">
        <f ca="1"/>
        <v/>
      </c>
      <c r="E11" s="38">
        <f ca="1"/>
        <v>0</v>
      </c>
      <c r="F11" s="42">
        <f ca="1"/>
        <v>0</v>
      </c>
      <c r="G11" s="40" t="str">
        <f ca="1"/>
        <v/>
      </c>
      <c r="H11" s="40">
        <f ca="1"/>
        <v>0</v>
      </c>
      <c r="I11" s="43">
        <f ca="1"/>
        <v>0</v>
      </c>
      <c r="J11" s="88" t="str">
        <f ca="1"/>
        <v/>
      </c>
      <c r="K11" s="88" t="str">
        <f ca="1"/>
        <v/>
      </c>
    </row>
    <row r="12" spans="1:11" ht="15.75">
      <c r="A12" s="73" t="str">
        <v>Dudley River 2</v>
      </c>
      <c r="B12" s="37" t="str">
        <v>MA</v>
      </c>
      <c r="C12" s="38" t="str" cm="1">
        <f t="array" aca="1" ref="C12:K12" ca="1">IF(INDIRECT("'" &amp; $A12 &amp; "'!B8:J8")="", "", INDIRECT("'" &amp; $A12 &amp; "'!B8:J8"))</f>
        <v/>
      </c>
      <c r="D12" s="38" t="str">
        <f ca="1"/>
        <v/>
      </c>
      <c r="E12" s="38">
        <f ca="1"/>
        <v>0</v>
      </c>
      <c r="F12" s="42">
        <f ca="1"/>
        <v>0</v>
      </c>
      <c r="G12" s="40" t="str">
        <f ca="1"/>
        <v/>
      </c>
      <c r="H12" s="40">
        <f ca="1"/>
        <v>0</v>
      </c>
      <c r="I12" s="43">
        <f ca="1"/>
        <v>0</v>
      </c>
      <c r="J12" s="88" t="str">
        <f ca="1"/>
        <v/>
      </c>
      <c r="K12" s="88" t="str">
        <f ca="1"/>
        <v/>
      </c>
    </row>
    <row r="13" spans="1:11" ht="15.75">
      <c r="A13" s="72" t="str">
        <v>Dudley River 3</v>
      </c>
      <c r="B13" s="18" t="str">
        <v>MA</v>
      </c>
      <c r="C13" s="38" t="str" cm="1">
        <f t="array" aca="1" ref="C13:K13" ca="1">IF(INDIRECT("'" &amp; $A13 &amp; "'!B8:J8")="", "", INDIRECT("'" &amp; $A13 &amp; "'!B8:J8"))</f>
        <v/>
      </c>
      <c r="D13" s="38" t="str">
        <f ca="1"/>
        <v/>
      </c>
      <c r="E13" s="38">
        <f ca="1"/>
        <v>0</v>
      </c>
      <c r="F13" s="42">
        <f ca="1"/>
        <v>0</v>
      </c>
      <c r="G13" s="40" t="str">
        <f ca="1"/>
        <v/>
      </c>
      <c r="H13" s="40">
        <f ca="1"/>
        <v>0</v>
      </c>
      <c r="I13" s="43">
        <f ca="1"/>
        <v>0</v>
      </c>
      <c r="J13" s="88" t="str">
        <f ca="1"/>
        <v/>
      </c>
      <c r="K13" s="88" t="str">
        <f ca="1"/>
        <v/>
      </c>
    </row>
    <row r="14" spans="1:11" ht="15.75">
      <c r="A14" s="73" t="str">
        <v>Flint Pond</v>
      </c>
      <c r="B14" s="37" t="str">
        <v>MA</v>
      </c>
      <c r="C14" s="38" t="str" cm="1">
        <f t="array" aca="1" ref="C14:K14" ca="1">IF(INDIRECT("'" &amp; $A14 &amp; "'!B8:J8")="", "", INDIRECT("'" &amp; $A14 &amp; "'!B8:J8"))</f>
        <v/>
      </c>
      <c r="D14" s="38" t="str">
        <f ca="1"/>
        <v/>
      </c>
      <c r="E14" s="38">
        <f ca="1"/>
        <v>0</v>
      </c>
      <c r="F14" s="42">
        <f ca="1"/>
        <v>0</v>
      </c>
      <c r="G14" s="40" t="str">
        <f ca="1"/>
        <v/>
      </c>
      <c r="H14" s="40">
        <f ca="1"/>
        <v>0</v>
      </c>
      <c r="I14" s="43">
        <f ca="1"/>
        <v>0</v>
      </c>
      <c r="J14" s="88" t="str">
        <f ca="1"/>
        <v/>
      </c>
      <c r="K14" s="88" t="str">
        <f ca="1"/>
        <v/>
      </c>
    </row>
    <row r="15" spans="1:11" ht="15.75">
      <c r="A15" s="72" t="str">
        <v>Incom</v>
      </c>
      <c r="B15" s="18" t="str">
        <v>MA</v>
      </c>
      <c r="C15" s="38" t="str" cm="1">
        <f t="array" aca="1" ref="C15:K15" ca="1">IF(INDIRECT("'" &amp; $A15 &amp; "'!B8:J8")="", "", INDIRECT("'" &amp; $A15 &amp; "'!B8:J8"))</f>
        <v/>
      </c>
      <c r="D15" s="38" t="str">
        <f ca="1"/>
        <v/>
      </c>
      <c r="E15" s="38">
        <f ca="1"/>
        <v>0</v>
      </c>
      <c r="F15" s="42">
        <f ca="1"/>
        <v>0</v>
      </c>
      <c r="G15" s="40" t="str">
        <f ca="1"/>
        <v/>
      </c>
      <c r="H15" s="40">
        <f ca="1"/>
        <v>0</v>
      </c>
      <c r="I15" s="43">
        <f ca="1"/>
        <v>0</v>
      </c>
      <c r="J15" s="88" t="str">
        <f ca="1"/>
        <v/>
      </c>
      <c r="K15" s="88" t="str">
        <f ca="1"/>
        <v/>
      </c>
    </row>
    <row r="16" spans="1:11" ht="15.75">
      <c r="A16" s="73" t="str">
        <v>JH</v>
      </c>
      <c r="B16" s="37" t="str">
        <v>MA</v>
      </c>
      <c r="C16" s="38" t="str" cm="1">
        <f t="array" aca="1" ref="C16:K16" ca="1">IF(INDIRECT("'" &amp; $A16 &amp; "'!B8:J8")="", "", INDIRECT("'" &amp; $A16 &amp; "'!B8:J8"))</f>
        <v/>
      </c>
      <c r="D16" s="38" t="str">
        <f ca="1"/>
        <v/>
      </c>
      <c r="E16" s="38">
        <f ca="1"/>
        <v>0</v>
      </c>
      <c r="F16" s="42">
        <f ca="1"/>
        <v>0</v>
      </c>
      <c r="G16" s="40" t="str">
        <f ca="1"/>
        <v/>
      </c>
      <c r="H16" s="40">
        <f ca="1"/>
        <v>0</v>
      </c>
      <c r="I16" s="43">
        <f ca="1"/>
        <v>0</v>
      </c>
      <c r="J16" s="89" t="str">
        <f ca="1"/>
        <v/>
      </c>
      <c r="K16" s="88" t="str">
        <f ca="1"/>
        <v/>
      </c>
    </row>
    <row r="17" spans="1:11" ht="15.75">
      <c r="A17" s="72" t="str">
        <v>Ledeaux</v>
      </c>
      <c r="B17" s="18" t="str">
        <v>MA</v>
      </c>
      <c r="C17" s="38" t="str" cm="1">
        <f t="array" aca="1" ref="C17:K17" ca="1">IF(INDIRECT("'" &amp; $A17 &amp; "'!B8:J8")="", "", INDIRECT("'" &amp; $A17 &amp; "'!B8:J8"))</f>
        <v/>
      </c>
      <c r="D17" s="38" t="str">
        <f ca="1"/>
        <v/>
      </c>
      <c r="E17" s="38">
        <f ca="1"/>
        <v>0</v>
      </c>
      <c r="F17" s="42">
        <f ca="1"/>
        <v>0</v>
      </c>
      <c r="G17" s="40" t="str">
        <f ca="1"/>
        <v/>
      </c>
      <c r="H17" s="40">
        <f ca="1"/>
        <v>0</v>
      </c>
      <c r="I17" s="43">
        <f ca="1"/>
        <v>0</v>
      </c>
      <c r="J17" s="88" t="str">
        <f ca="1"/>
        <v/>
      </c>
      <c r="K17" s="88" t="str">
        <f ca="1"/>
        <v/>
      </c>
    </row>
    <row r="18" spans="1:11" ht="15.75">
      <c r="A18" s="73" t="str">
        <v>Palombo A</v>
      </c>
      <c r="B18" s="37" t="str">
        <v>MA</v>
      </c>
      <c r="C18" s="38" t="str" cm="1">
        <f t="array" aca="1" ref="C18:K18" ca="1">IF(INDIRECT("'" &amp; $A18 &amp; "'!B8:J8")="", "", INDIRECT("'" &amp; $A18 &amp; "'!B8:J8"))</f>
        <v/>
      </c>
      <c r="D18" s="38" t="str">
        <f ca="1"/>
        <v/>
      </c>
      <c r="E18" s="38">
        <f ca="1"/>
        <v>0</v>
      </c>
      <c r="F18" s="42">
        <f ca="1"/>
        <v>0</v>
      </c>
      <c r="G18" s="40" t="str">
        <f ca="1"/>
        <v/>
      </c>
      <c r="H18" s="40">
        <f ca="1"/>
        <v>0</v>
      </c>
      <c r="I18" s="43">
        <f ca="1"/>
        <v>0</v>
      </c>
      <c r="J18" s="88" t="str">
        <f ca="1"/>
        <v/>
      </c>
      <c r="K18" s="88" t="str">
        <f ca="1"/>
        <v/>
      </c>
    </row>
    <row r="19" spans="1:11" ht="15.75">
      <c r="A19" s="72" t="str">
        <v>Palombo B</v>
      </c>
      <c r="B19" s="18" t="str">
        <v>MA</v>
      </c>
      <c r="C19" s="38" t="str" cm="1">
        <f t="array" aca="1" ref="C19:K19" ca="1">IF(INDIRECT("'" &amp; $A19 &amp; "'!B8:J8")="", "", INDIRECT("'" &amp; $A19 &amp; "'!B8:J8"))</f>
        <v/>
      </c>
      <c r="D19" s="38" t="str">
        <f ca="1"/>
        <v/>
      </c>
      <c r="E19" s="38">
        <f ca="1"/>
        <v>0</v>
      </c>
      <c r="F19" s="42">
        <f ca="1"/>
        <v>0</v>
      </c>
      <c r="G19" s="40" t="str">
        <f ca="1"/>
        <v/>
      </c>
      <c r="H19" s="40">
        <f ca="1"/>
        <v>0</v>
      </c>
      <c r="I19" s="43">
        <f ca="1"/>
        <v>0</v>
      </c>
      <c r="J19" s="88" t="str">
        <f ca="1"/>
        <v/>
      </c>
      <c r="K19" s="88" t="str">
        <f ca="1"/>
        <v/>
      </c>
    </row>
    <row r="20" spans="1:11" ht="15.75">
      <c r="A20" s="73" t="str">
        <v>St Josephs Church</v>
      </c>
      <c r="B20" s="37" t="str">
        <v>MA</v>
      </c>
      <c r="C20" s="38" t="str" cm="1">
        <f t="array" aca="1" ref="C20:K20" ca="1">IF(INDIRECT("'" &amp; $A20 &amp; "'!B8:J8")="", "", INDIRECT("'" &amp; $A20 &amp; "'!B8:J8"))</f>
        <v/>
      </c>
      <c r="D20" s="38" t="str">
        <f ca="1"/>
        <v/>
      </c>
      <c r="E20" s="38">
        <f ca="1"/>
        <v>0</v>
      </c>
      <c r="F20" s="42">
        <f ca="1"/>
        <v>0</v>
      </c>
      <c r="G20" s="40" t="str">
        <f ca="1"/>
        <v/>
      </c>
      <c r="H20" s="40">
        <f ca="1"/>
        <v>0</v>
      </c>
      <c r="I20" s="43">
        <f ca="1"/>
        <v>0</v>
      </c>
      <c r="J20" s="88" t="str">
        <f ca="1"/>
        <v/>
      </c>
      <c r="K20" s="88" t="str">
        <f ca="1"/>
        <v/>
      </c>
    </row>
    <row r="21" spans="1:11" ht="15.75">
      <c r="A21" s="72" t="str">
        <v>Sunset A</v>
      </c>
      <c r="B21" s="18" t="str">
        <v>MA</v>
      </c>
      <c r="C21" s="38" t="str" cm="1">
        <f t="array" aca="1" ref="C21:K21" ca="1">IF(INDIRECT("'" &amp; $A21 &amp; "'!B8:J8")="", "", INDIRECT("'" &amp; $A21 &amp; "'!B8:J8"))</f>
        <v/>
      </c>
      <c r="D21" s="38" t="str">
        <f ca="1"/>
        <v/>
      </c>
      <c r="E21" s="38">
        <f ca="1"/>
        <v>0</v>
      </c>
      <c r="F21" s="42">
        <f ca="1"/>
        <v>0</v>
      </c>
      <c r="G21" s="40" t="str">
        <f ca="1"/>
        <v/>
      </c>
      <c r="H21" s="40">
        <f ca="1"/>
        <v>0</v>
      </c>
      <c r="I21" s="43">
        <f ca="1"/>
        <v>0</v>
      </c>
      <c r="J21" s="88" t="str">
        <f ca="1"/>
        <v/>
      </c>
      <c r="K21" s="88" t="str">
        <f ca="1"/>
        <v/>
      </c>
    </row>
    <row r="22" spans="1:11" ht="15.75">
      <c r="A22" s="73" t="str">
        <v>Sunset B</v>
      </c>
      <c r="B22" s="37" t="str">
        <v>MA</v>
      </c>
      <c r="C22" s="38" t="str" cm="1">
        <f t="array" aca="1" ref="C22:K22" ca="1">IF(INDIRECT("'" &amp; $A22 &amp; "'!B8:J8")="", "", INDIRECT("'" &amp; $A22 &amp; "'!B8:J8"))</f>
        <v/>
      </c>
      <c r="D22" s="38" t="str">
        <f ca="1"/>
        <v/>
      </c>
      <c r="E22" s="38">
        <f ca="1"/>
        <v>0</v>
      </c>
      <c r="F22" s="42">
        <f ca="1"/>
        <v>0</v>
      </c>
      <c r="G22" s="40" t="str">
        <f ca="1"/>
        <v/>
      </c>
      <c r="H22" s="40">
        <f ca="1"/>
        <v>0</v>
      </c>
      <c r="I22" s="43">
        <f ca="1"/>
        <v>0</v>
      </c>
      <c r="J22" s="88" t="str">
        <f ca="1"/>
        <v/>
      </c>
      <c r="K22" s="88" t="str">
        <f ca="1"/>
        <v/>
      </c>
    </row>
    <row r="23" spans="1:11" ht="15.75">
      <c r="A23" s="72" t="str">
        <v>Woodchuck</v>
      </c>
      <c r="B23" s="18" t="str">
        <v>MA</v>
      </c>
      <c r="C23" s="38" t="str" cm="1">
        <f t="array" aca="1" ref="C23:K23" ca="1">IF(INDIRECT("'" &amp; $A23 &amp; "'!B8:J8")="", "", INDIRECT("'" &amp; $A23 &amp; "'!B8:J8"))</f>
        <v/>
      </c>
      <c r="D23" s="38" t="str">
        <f ca="1"/>
        <v/>
      </c>
      <c r="E23" s="38">
        <f ca="1"/>
        <v>0</v>
      </c>
      <c r="F23" s="42">
        <f ca="1"/>
        <v>0</v>
      </c>
      <c r="G23" s="40" t="str">
        <f ca="1"/>
        <v/>
      </c>
      <c r="H23" s="40">
        <f ca="1"/>
        <v>0</v>
      </c>
      <c r="I23" s="43">
        <f ca="1"/>
        <v>0</v>
      </c>
      <c r="J23" s="101" t="str">
        <f ca="1"/>
        <v/>
      </c>
      <c r="K23" s="101" t="str">
        <f ca="1"/>
        <v/>
      </c>
    </row>
    <row r="24" spans="1:11" ht="13.5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9"/>
    </row>
    <row r="25" spans="1:11">
      <c r="J25" s="9"/>
    </row>
    <row r="26" spans="1:1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>
      <c r="A29" s="163"/>
      <c r="J29" s="9"/>
    </row>
    <row r="30" spans="1:11">
      <c r="J30" s="9"/>
    </row>
  </sheetData>
  <autoFilter ref="A2:I2" xr:uid="{9CEFA865-F03F-435F-98CB-83683B1083B8}"/>
  <mergeCells count="8">
    <mergeCell ref="G1:I1"/>
    <mergeCell ref="J1:J2"/>
    <mergeCell ref="K1:K2"/>
    <mergeCell ref="A26:A27"/>
    <mergeCell ref="A28:A29"/>
    <mergeCell ref="A24:B24"/>
    <mergeCell ref="C1:F1"/>
    <mergeCell ref="A1:B1"/>
  </mergeCells>
  <conditionalFormatting sqref="F3:F24 I3:I24">
    <cfRule type="cellIs" dxfId="363" priority="1" operator="lessThanOrEqual">
      <formula>-0.1</formula>
    </cfRule>
    <cfRule type="cellIs" dxfId="36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"/>
  <sheetViews>
    <sheetView workbookViewId="0">
      <pane ySplit="2" topLeftCell="A3" activePane="bottomLeft" state="frozen"/>
      <selection pane="bottomLeft" activeCell="D28" sqref="D28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30</v>
      </c>
      <c r="D1" s="167"/>
      <c r="E1" s="167"/>
      <c r="F1" s="168"/>
      <c r="G1" s="169" t="s">
        <v>31</v>
      </c>
      <c r="H1" s="169"/>
      <c r="I1" s="170"/>
      <c r="J1" s="158" t="s">
        <v>2</v>
      </c>
      <c r="K1" s="158" t="s">
        <v>3</v>
      </c>
    </row>
    <row r="2" spans="1:11" ht="14.2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 t="str" cm="1">
        <f t="array" aca="1" ref="C3:K3" ca="1">IF(INDIRECT("'" &amp; $A3 &amp; "'!B9:J9")="", "", INDIRECT("'" &amp; $A3 &amp; "'!B9:J9"))</f>
        <v/>
      </c>
      <c r="D3" s="38" t="str">
        <f ca="1"/>
        <v/>
      </c>
      <c r="E3" s="38">
        <f ca="1"/>
        <v>0</v>
      </c>
      <c r="F3" s="39">
        <f ca="1"/>
        <v>0</v>
      </c>
      <c r="G3" s="40" t="str">
        <f ca="1"/>
        <v/>
      </c>
      <c r="H3" s="40">
        <f ca="1"/>
        <v>0</v>
      </c>
      <c r="I3" s="41">
        <f ca="1"/>
        <v>0</v>
      </c>
      <c r="J3" s="82" t="str">
        <f ca="1"/>
        <v/>
      </c>
      <c r="K3" s="17" t="str">
        <f ca="1"/>
        <v/>
      </c>
    </row>
    <row r="4" spans="1:11" ht="15.75">
      <c r="A4" s="72" t="str">
        <v>Barton Acres</v>
      </c>
      <c r="B4" s="18" t="str">
        <v>MA</v>
      </c>
      <c r="C4" s="38" t="str" cm="1">
        <f t="array" aca="1" ref="C4:K4" ca="1">IF(INDIRECT("'" &amp; $A4 &amp; "'!B9:J9")="", "", INDIRECT("'" &amp; $A4 &amp; "'!B9:J9"))</f>
        <v/>
      </c>
      <c r="D4" s="38" t="str">
        <f ca="1"/>
        <v/>
      </c>
      <c r="E4" s="38">
        <f ca="1"/>
        <v>0</v>
      </c>
      <c r="F4" s="42">
        <f ca="1"/>
        <v>0</v>
      </c>
      <c r="G4" s="40" t="str">
        <f ca="1"/>
        <v/>
      </c>
      <c r="H4" s="40">
        <f ca="1"/>
        <v>0</v>
      </c>
      <c r="I4" s="43">
        <f ca="1"/>
        <v>0</v>
      </c>
      <c r="J4" s="82" t="str">
        <f ca="1"/>
        <v/>
      </c>
      <c r="K4" s="17" t="str">
        <f ca="1"/>
        <v/>
      </c>
    </row>
    <row r="5" spans="1:11" ht="15.75">
      <c r="A5" s="73" t="str">
        <v>Bowden</v>
      </c>
      <c r="B5" s="37" t="str">
        <v>MA</v>
      </c>
      <c r="C5" s="38" t="str" cm="1">
        <f t="array" aca="1" ref="C5:K5" ca="1">IF(INDIRECT("'" &amp; $A5 &amp; "'!B9:J9")="", "", INDIRECT("'" &amp; $A5 &amp; "'!B9:J9"))</f>
        <v/>
      </c>
      <c r="D5" s="38" t="str">
        <f ca="1"/>
        <v/>
      </c>
      <c r="E5" s="38">
        <f ca="1"/>
        <v>0</v>
      </c>
      <c r="F5" s="42">
        <f ca="1"/>
        <v>0</v>
      </c>
      <c r="G5" s="40" t="str">
        <f ca="1"/>
        <v/>
      </c>
      <c r="H5" s="40">
        <f ca="1"/>
        <v>0</v>
      </c>
      <c r="I5" s="43">
        <f ca="1"/>
        <v>0</v>
      </c>
      <c r="J5" s="82" t="str">
        <f ca="1"/>
        <v/>
      </c>
      <c r="K5" s="82" t="str">
        <f ca="1"/>
        <v/>
      </c>
    </row>
    <row r="6" spans="1:11" ht="15.75">
      <c r="A6" s="72" t="str">
        <v>Blair Wire Village</v>
      </c>
      <c r="B6" s="18" t="str">
        <v>MA</v>
      </c>
      <c r="C6" s="38" t="str" cm="1">
        <f t="array" aca="1" ref="C6:K6" ca="1">IF(INDIRECT("'" &amp; $A6 &amp; "'!B9:J9")="", "", INDIRECT("'" &amp; $A6 &amp; "'!B9:J9"))</f>
        <v/>
      </c>
      <c r="D6" s="38" t="str">
        <f ca="1"/>
        <v/>
      </c>
      <c r="E6" s="38">
        <f ca="1"/>
        <v>0</v>
      </c>
      <c r="F6" s="42">
        <f ca="1"/>
        <v>0</v>
      </c>
      <c r="G6" s="40" t="str">
        <f ca="1"/>
        <v/>
      </c>
      <c r="H6" s="40">
        <f ca="1"/>
        <v>0</v>
      </c>
      <c r="I6" s="43">
        <f ca="1"/>
        <v>0</v>
      </c>
      <c r="J6" s="82" t="str">
        <f ca="1"/>
        <v/>
      </c>
      <c r="K6" s="82" t="str">
        <f ca="1"/>
        <v/>
      </c>
    </row>
    <row r="7" spans="1:11" ht="16.350000000000001" customHeight="1">
      <c r="A7" s="73" t="str">
        <v>Boutilier</v>
      </c>
      <c r="B7" s="37" t="str">
        <v>MA</v>
      </c>
      <c r="C7" s="38" t="str" cm="1">
        <f t="array" aca="1" ref="C7:K7" ca="1">IF(INDIRECT("'" &amp; $A7 &amp; "'!B9:J9")="", "", INDIRECT("'" &amp; $A7 &amp; "'!B9:J9"))</f>
        <v/>
      </c>
      <c r="D7" s="38" t="str">
        <f ca="1"/>
        <v/>
      </c>
      <c r="E7" s="38">
        <f ca="1"/>
        <v>0</v>
      </c>
      <c r="F7" s="42">
        <f ca="1"/>
        <v>0</v>
      </c>
      <c r="G7" s="40" t="str">
        <f ca="1"/>
        <v/>
      </c>
      <c r="H7" s="40">
        <f ca="1"/>
        <v>0</v>
      </c>
      <c r="I7" s="43">
        <f ca="1"/>
        <v>0</v>
      </c>
      <c r="J7" s="90" t="str">
        <f ca="1"/>
        <v/>
      </c>
      <c r="K7" s="90" t="str">
        <f ca="1"/>
        <v/>
      </c>
    </row>
    <row r="8" spans="1:11" ht="32.1" customHeight="1">
      <c r="A8" s="72" t="str">
        <v>Cherry Valley</v>
      </c>
      <c r="B8" s="18" t="str">
        <v>MA</v>
      </c>
      <c r="C8" s="38" t="str" cm="1">
        <f t="array" aca="1" ref="C8:K8" ca="1">IF(INDIRECT("'" &amp; $A8 &amp; "'!B9:J9")="", "", INDIRECT("'" &amp; $A8 &amp; "'!B9:J9"))</f>
        <v/>
      </c>
      <c r="D8" s="38" t="str">
        <f ca="1"/>
        <v/>
      </c>
      <c r="E8" s="38">
        <f ca="1"/>
        <v>0</v>
      </c>
      <c r="F8" s="42">
        <f ca="1"/>
        <v>0</v>
      </c>
      <c r="G8" s="40" t="str">
        <f ca="1"/>
        <v/>
      </c>
      <c r="H8" s="40">
        <f ca="1"/>
        <v>0</v>
      </c>
      <c r="I8" s="43">
        <f ca="1"/>
        <v>0</v>
      </c>
      <c r="J8" s="92" t="str">
        <f ca="1"/>
        <v/>
      </c>
      <c r="K8" s="82" t="str">
        <f ca="1"/>
        <v/>
      </c>
    </row>
    <row r="9" spans="1:11" ht="15.75">
      <c r="A9" s="73" t="str">
        <v>Cohasse</v>
      </c>
      <c r="B9" s="37" t="str">
        <v>MA</v>
      </c>
      <c r="C9" s="38" t="str" cm="1">
        <f t="array" aca="1" ref="C9:K9" ca="1">IF(INDIRECT("'" &amp; $A9 &amp; "'!B9:J9")="", "", INDIRECT("'" &amp; $A9 &amp; "'!B9:J9"))</f>
        <v/>
      </c>
      <c r="D9" s="38" t="str">
        <f ca="1"/>
        <v/>
      </c>
      <c r="E9" s="38">
        <f ca="1"/>
        <v>0</v>
      </c>
      <c r="F9" s="42">
        <f ca="1"/>
        <v>0</v>
      </c>
      <c r="G9" s="40" t="str">
        <f ca="1"/>
        <v/>
      </c>
      <c r="H9" s="40">
        <f ca="1"/>
        <v>0</v>
      </c>
      <c r="I9" s="43">
        <f ca="1"/>
        <v>0</v>
      </c>
      <c r="J9" s="20" t="str">
        <f ca="1"/>
        <v/>
      </c>
      <c r="K9" s="21" t="str">
        <f ca="1"/>
        <v/>
      </c>
    </row>
    <row r="10" spans="1:11" ht="15.75">
      <c r="A10" s="72" t="str">
        <v>ISM Dighton Solar 2</v>
      </c>
      <c r="B10" s="18" t="str">
        <v>MA</v>
      </c>
      <c r="C10" s="38" t="str" cm="1">
        <f t="array" aca="1" ref="C10:K10" ca="1">IF(INDIRECT("'" &amp; $A10 &amp; "'!B9:J9")="", "", INDIRECT("'" &amp; $A10 &amp; "'!B9:J9"))</f>
        <v/>
      </c>
      <c r="D10" s="38" t="str">
        <f ca="1"/>
        <v/>
      </c>
      <c r="E10" s="38">
        <f ca="1"/>
        <v>0</v>
      </c>
      <c r="F10" s="42">
        <f ca="1"/>
        <v>0</v>
      </c>
      <c r="G10" s="40" t="str">
        <f ca="1"/>
        <v/>
      </c>
      <c r="H10" s="40">
        <f ca="1"/>
        <v>0</v>
      </c>
      <c r="I10" s="43">
        <f ca="1"/>
        <v>0</v>
      </c>
      <c r="J10" s="82" t="str">
        <f ca="1"/>
        <v/>
      </c>
      <c r="K10" s="82" t="str">
        <f ca="1"/>
        <v/>
      </c>
    </row>
    <row r="11" spans="1:11" ht="15.75">
      <c r="A11" s="73" t="str">
        <v>Dudley River 1</v>
      </c>
      <c r="B11" s="37" t="str">
        <v>MA</v>
      </c>
      <c r="C11" s="38" t="str" cm="1">
        <f t="array" aca="1" ref="C11:K11" ca="1">IF(INDIRECT("'" &amp; $A11 &amp; "'!B9:J9")="", "", INDIRECT("'" &amp; $A11 &amp; "'!B9:J9"))</f>
        <v/>
      </c>
      <c r="D11" s="38" t="str">
        <f ca="1"/>
        <v/>
      </c>
      <c r="E11" s="38">
        <f ca="1"/>
        <v>0</v>
      </c>
      <c r="F11" s="42">
        <f ca="1"/>
        <v>0</v>
      </c>
      <c r="G11" s="40" t="str">
        <f ca="1"/>
        <v/>
      </c>
      <c r="H11" s="40">
        <f ca="1"/>
        <v>0</v>
      </c>
      <c r="I11" s="43">
        <f ca="1"/>
        <v>0</v>
      </c>
      <c r="J11" s="82" t="str">
        <f ca="1"/>
        <v/>
      </c>
      <c r="K11" s="82" t="str">
        <f ca="1"/>
        <v/>
      </c>
    </row>
    <row r="12" spans="1:11" ht="15.75">
      <c r="A12" s="72" t="str">
        <v>Dudley River 2</v>
      </c>
      <c r="B12" s="18" t="str">
        <v>MA</v>
      </c>
      <c r="C12" s="38" t="str" cm="1">
        <f t="array" aca="1" ref="C12:K12" ca="1">IF(INDIRECT("'" &amp; $A12 &amp; "'!B9:J9")="", "", INDIRECT("'" &amp; $A12 &amp; "'!B9:J9"))</f>
        <v/>
      </c>
      <c r="D12" s="38" t="str">
        <f ca="1"/>
        <v/>
      </c>
      <c r="E12" s="38">
        <f ca="1"/>
        <v>0</v>
      </c>
      <c r="F12" s="42">
        <f ca="1"/>
        <v>0</v>
      </c>
      <c r="G12" s="40" t="str">
        <f ca="1"/>
        <v/>
      </c>
      <c r="H12" s="40">
        <f ca="1"/>
        <v>0</v>
      </c>
      <c r="I12" s="43">
        <f ca="1"/>
        <v>0</v>
      </c>
      <c r="J12" s="90" t="str">
        <f ca="1"/>
        <v/>
      </c>
      <c r="K12" s="90" t="str">
        <f ca="1"/>
        <v/>
      </c>
    </row>
    <row r="13" spans="1:11" ht="15.75">
      <c r="A13" s="73" t="str">
        <v>Dudley River 3</v>
      </c>
      <c r="B13" s="37" t="str">
        <v>MA</v>
      </c>
      <c r="C13" s="38" t="str" cm="1">
        <f t="array" aca="1" ref="C13:K13" ca="1">IF(INDIRECT("'" &amp; $A13 &amp; "'!B9:J9")="", "", INDIRECT("'" &amp; $A13 &amp; "'!B9:J9"))</f>
        <v/>
      </c>
      <c r="D13" s="38" t="str">
        <f ca="1"/>
        <v/>
      </c>
      <c r="E13" s="38">
        <f ca="1"/>
        <v>0</v>
      </c>
      <c r="F13" s="42">
        <f ca="1"/>
        <v>0</v>
      </c>
      <c r="G13" s="40" t="str">
        <f ca="1"/>
        <v/>
      </c>
      <c r="H13" s="40">
        <f ca="1"/>
        <v>0</v>
      </c>
      <c r="I13" s="43">
        <f ca="1"/>
        <v>0</v>
      </c>
      <c r="J13" s="90" t="str">
        <f ca="1"/>
        <v/>
      </c>
      <c r="K13" s="90" t="str">
        <f ca="1"/>
        <v/>
      </c>
    </row>
    <row r="14" spans="1:11" ht="15.75">
      <c r="A14" s="72" t="str">
        <v>Flint Pond</v>
      </c>
      <c r="B14" s="18" t="str">
        <v>MA</v>
      </c>
      <c r="C14" s="38" t="str" cm="1">
        <f t="array" aca="1" ref="C14:K14" ca="1">IF(INDIRECT("'" &amp; $A14 &amp; "'!B9:J9")="", "", INDIRECT("'" &amp; $A14 &amp; "'!B9:J9"))</f>
        <v/>
      </c>
      <c r="D14" s="38" t="str">
        <f ca="1"/>
        <v/>
      </c>
      <c r="E14" s="38">
        <f ca="1"/>
        <v>0</v>
      </c>
      <c r="F14" s="42">
        <f ca="1"/>
        <v>0</v>
      </c>
      <c r="G14" s="40" t="str">
        <f ca="1"/>
        <v/>
      </c>
      <c r="H14" s="40">
        <f ca="1"/>
        <v>0</v>
      </c>
      <c r="I14" s="43">
        <f ca="1"/>
        <v>0</v>
      </c>
      <c r="J14" s="90" t="str">
        <f ca="1"/>
        <v/>
      </c>
      <c r="K14" s="90" t="str">
        <f ca="1"/>
        <v/>
      </c>
    </row>
    <row r="15" spans="1:11" ht="15.75">
      <c r="A15" s="73" t="str">
        <v>Incom</v>
      </c>
      <c r="B15" s="37" t="str">
        <v>MA</v>
      </c>
      <c r="C15" s="38" t="str" cm="1">
        <f t="array" aca="1" ref="C15:K15" ca="1">IF(INDIRECT("'" &amp; $A15 &amp; "'!B9:J9")="", "", INDIRECT("'" &amp; $A15 &amp; "'!B9:J9"))</f>
        <v/>
      </c>
      <c r="D15" s="38" t="str">
        <f ca="1"/>
        <v/>
      </c>
      <c r="E15" s="38">
        <f ca="1"/>
        <v>0</v>
      </c>
      <c r="F15" s="42">
        <f ca="1"/>
        <v>0</v>
      </c>
      <c r="G15" s="40" t="str">
        <f ca="1"/>
        <v/>
      </c>
      <c r="H15" s="40">
        <f ca="1"/>
        <v>0</v>
      </c>
      <c r="I15" s="43">
        <f ca="1"/>
        <v>0</v>
      </c>
      <c r="J15" s="90" t="str">
        <f ca="1"/>
        <v/>
      </c>
      <c r="K15" s="90" t="str">
        <f ca="1"/>
        <v/>
      </c>
    </row>
    <row r="16" spans="1:11" ht="15.75">
      <c r="A16" s="72" t="str">
        <v>JH</v>
      </c>
      <c r="B16" s="18" t="str">
        <v>MA</v>
      </c>
      <c r="C16" s="38" t="str" cm="1">
        <f t="array" aca="1" ref="C16:K16" ca="1">IF(INDIRECT("'" &amp; $A16 &amp; "'!B9:J9")="", "", INDIRECT("'" &amp; $A16 &amp; "'!B9:J9"))</f>
        <v/>
      </c>
      <c r="D16" s="38" t="str">
        <f ca="1"/>
        <v/>
      </c>
      <c r="E16" s="38">
        <f ca="1"/>
        <v>0</v>
      </c>
      <c r="F16" s="42">
        <f ca="1"/>
        <v>0</v>
      </c>
      <c r="G16" s="40" t="str">
        <f ca="1"/>
        <v/>
      </c>
      <c r="H16" s="40">
        <f ca="1"/>
        <v>0</v>
      </c>
      <c r="I16" s="43">
        <f ca="1"/>
        <v>0</v>
      </c>
      <c r="J16" s="90" t="str">
        <f ca="1"/>
        <v/>
      </c>
      <c r="K16" s="90" t="str">
        <f ca="1"/>
        <v/>
      </c>
    </row>
    <row r="17" spans="1:11" ht="15.75">
      <c r="A17" s="73" t="str">
        <v>Ledeaux</v>
      </c>
      <c r="B17" s="37" t="str">
        <v>MA</v>
      </c>
      <c r="C17" s="38" t="str" cm="1">
        <f t="array" aca="1" ref="C17:K17" ca="1">IF(INDIRECT("'" &amp; $A17 &amp; "'!B9:J9")="", "", INDIRECT("'" &amp; $A17 &amp; "'!B9:J9"))</f>
        <v/>
      </c>
      <c r="D17" s="38" t="str">
        <f ca="1"/>
        <v/>
      </c>
      <c r="E17" s="38">
        <f ca="1"/>
        <v>0</v>
      </c>
      <c r="F17" s="42">
        <f ca="1"/>
        <v>0</v>
      </c>
      <c r="G17" s="40" t="str">
        <f ca="1"/>
        <v/>
      </c>
      <c r="H17" s="40">
        <f ca="1"/>
        <v>0</v>
      </c>
      <c r="I17" s="43">
        <f ca="1"/>
        <v>0</v>
      </c>
      <c r="J17" s="90" t="str">
        <f ca="1"/>
        <v/>
      </c>
      <c r="K17" s="90" t="str">
        <f ca="1"/>
        <v/>
      </c>
    </row>
    <row r="18" spans="1:11" ht="15.75">
      <c r="A18" s="72" t="str">
        <v>Palombo A</v>
      </c>
      <c r="B18" s="18" t="str">
        <v>MA</v>
      </c>
      <c r="C18" s="38" t="str" cm="1">
        <f t="array" aca="1" ref="C18:K18" ca="1">IF(INDIRECT("'" &amp; $A18 &amp; "'!B9:J9")="", "", INDIRECT("'" &amp; $A18 &amp; "'!B9:J9"))</f>
        <v/>
      </c>
      <c r="D18" s="38" t="str">
        <f ca="1"/>
        <v/>
      </c>
      <c r="E18" s="38">
        <f ca="1"/>
        <v>0</v>
      </c>
      <c r="F18" s="42">
        <f ca="1"/>
        <v>0</v>
      </c>
      <c r="G18" s="40" t="str">
        <f ca="1"/>
        <v/>
      </c>
      <c r="H18" s="40">
        <f ca="1"/>
        <v>0</v>
      </c>
      <c r="I18" s="43">
        <f ca="1"/>
        <v>0</v>
      </c>
      <c r="J18" s="90" t="str">
        <f ca="1"/>
        <v/>
      </c>
      <c r="K18" s="90" t="str">
        <f ca="1"/>
        <v/>
      </c>
    </row>
    <row r="19" spans="1:11" ht="15.75">
      <c r="A19" s="73" t="str">
        <v>Palombo B</v>
      </c>
      <c r="B19" s="37" t="str">
        <v>MA</v>
      </c>
      <c r="C19" s="38" t="str" cm="1">
        <f t="array" aca="1" ref="C19:K19" ca="1">IF(INDIRECT("'" &amp; $A19 &amp; "'!B9:J9")="", "", INDIRECT("'" &amp; $A19 &amp; "'!B9:J9"))</f>
        <v/>
      </c>
      <c r="D19" s="38" t="str">
        <f ca="1"/>
        <v/>
      </c>
      <c r="E19" s="38">
        <f ca="1"/>
        <v>0</v>
      </c>
      <c r="F19" s="42">
        <f ca="1"/>
        <v>0</v>
      </c>
      <c r="G19" s="40" t="str">
        <f ca="1"/>
        <v/>
      </c>
      <c r="H19" s="40">
        <f ca="1"/>
        <v>0</v>
      </c>
      <c r="I19" s="43">
        <f ca="1"/>
        <v>0</v>
      </c>
      <c r="J19" s="90" t="str">
        <f ca="1"/>
        <v/>
      </c>
      <c r="K19" s="90" t="str">
        <f ca="1"/>
        <v/>
      </c>
    </row>
    <row r="20" spans="1:11" ht="15.75">
      <c r="A20" s="72" t="str">
        <v>St Josephs Church</v>
      </c>
      <c r="B20" s="18" t="str">
        <v>MA</v>
      </c>
      <c r="C20" s="38" t="str" cm="1">
        <f t="array" aca="1" ref="C20:K20" ca="1">IF(INDIRECT("'" &amp; $A20 &amp; "'!B9:J9")="", "", INDIRECT("'" &amp; $A20 &amp; "'!B9:J9"))</f>
        <v/>
      </c>
      <c r="D20" s="38" t="str">
        <f ca="1"/>
        <v/>
      </c>
      <c r="E20" s="38">
        <f ca="1"/>
        <v>0</v>
      </c>
      <c r="F20" s="42">
        <f ca="1"/>
        <v>0</v>
      </c>
      <c r="G20" s="40" t="str">
        <f ca="1"/>
        <v/>
      </c>
      <c r="H20" s="40">
        <f ca="1"/>
        <v>0</v>
      </c>
      <c r="I20" s="43">
        <f ca="1"/>
        <v>0</v>
      </c>
      <c r="J20" s="90" t="str">
        <f ca="1"/>
        <v/>
      </c>
      <c r="K20" s="90" t="str">
        <f ca="1"/>
        <v/>
      </c>
    </row>
    <row r="21" spans="1:11" ht="15.75">
      <c r="A21" s="73" t="str">
        <v>Sunset A</v>
      </c>
      <c r="B21" s="37" t="str">
        <v>MA</v>
      </c>
      <c r="C21" s="38" t="str" cm="1">
        <f t="array" aca="1" ref="C21:K21" ca="1">IF(INDIRECT("'" &amp; $A21 &amp; "'!B9:J9")="", "", INDIRECT("'" &amp; $A21 &amp; "'!B9:J9"))</f>
        <v/>
      </c>
      <c r="D21" s="38" t="str">
        <f ca="1"/>
        <v/>
      </c>
      <c r="E21" s="38">
        <f ca="1"/>
        <v>0</v>
      </c>
      <c r="F21" s="42">
        <f ca="1"/>
        <v>0</v>
      </c>
      <c r="G21" s="40" t="str">
        <f ca="1"/>
        <v/>
      </c>
      <c r="H21" s="40">
        <f ca="1"/>
        <v>0</v>
      </c>
      <c r="I21" s="43">
        <f ca="1"/>
        <v>0</v>
      </c>
      <c r="J21" s="90" t="str">
        <f ca="1"/>
        <v/>
      </c>
      <c r="K21" s="90" t="str">
        <f ca="1"/>
        <v/>
      </c>
    </row>
    <row r="22" spans="1:11" ht="15.75">
      <c r="A22" s="72" t="str">
        <v>Sunset B</v>
      </c>
      <c r="B22" s="18" t="str">
        <v>MA</v>
      </c>
      <c r="C22" s="38" t="str" cm="1">
        <f t="array" aca="1" ref="C22:K22" ca="1">IF(INDIRECT("'" &amp; $A22 &amp; "'!B9:J9")="", "", INDIRECT("'" &amp; $A22 &amp; "'!B9:J9"))</f>
        <v/>
      </c>
      <c r="D22" s="38" t="str">
        <f ca="1"/>
        <v/>
      </c>
      <c r="E22" s="38">
        <f ca="1"/>
        <v>0</v>
      </c>
      <c r="F22" s="42">
        <f ca="1"/>
        <v>0</v>
      </c>
      <c r="G22" s="40" t="str">
        <f ca="1"/>
        <v/>
      </c>
      <c r="H22" s="40">
        <f ca="1"/>
        <v>0</v>
      </c>
      <c r="I22" s="43">
        <f ca="1"/>
        <v>0</v>
      </c>
      <c r="J22" s="90" t="str">
        <f ca="1"/>
        <v/>
      </c>
      <c r="K22" s="90" t="str">
        <f ca="1"/>
        <v/>
      </c>
    </row>
    <row r="23" spans="1:11" ht="15.75">
      <c r="A23" s="73" t="str">
        <v>Woodchuck</v>
      </c>
      <c r="B23" s="37" t="str">
        <v>MA</v>
      </c>
      <c r="C23" s="38" t="str" cm="1">
        <f t="array" aca="1" ref="C23:K23" ca="1">IF(INDIRECT("'" &amp; $A23 &amp; "'!B9:J9")="", "", INDIRECT("'" &amp; $A23 &amp; "'!B9:J9"))</f>
        <v/>
      </c>
      <c r="D23" s="38" t="str">
        <f ca="1"/>
        <v/>
      </c>
      <c r="E23" s="38">
        <f ca="1"/>
        <v>0</v>
      </c>
      <c r="F23" s="42">
        <f ca="1"/>
        <v>0</v>
      </c>
      <c r="G23" s="40" t="str">
        <f ca="1"/>
        <v/>
      </c>
      <c r="H23" s="40">
        <f ca="1"/>
        <v>0</v>
      </c>
      <c r="I23" s="43">
        <f ca="1"/>
        <v>0</v>
      </c>
      <c r="J23" s="90" t="str">
        <f ca="1"/>
        <v/>
      </c>
      <c r="K23" s="90" t="str">
        <f ca="1"/>
        <v/>
      </c>
    </row>
    <row r="24" spans="1:11" ht="24.75" customHeight="1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9"/>
    </row>
    <row r="25" spans="1:11">
      <c r="J25" s="9"/>
    </row>
    <row r="26" spans="1:11" ht="12.75" customHeight="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 ht="12.75" customHeight="1">
      <c r="A29" s="163"/>
      <c r="J29" s="9"/>
    </row>
    <row r="30" spans="1:11">
      <c r="J30" s="9"/>
    </row>
  </sheetData>
  <autoFilter ref="A2:I2" xr:uid="{BC8A3C74-EDA3-4B8F-8C65-FD4243AE8FF6}"/>
  <mergeCells count="8">
    <mergeCell ref="G1:I1"/>
    <mergeCell ref="J1:J2"/>
    <mergeCell ref="K1:K2"/>
    <mergeCell ref="A26:A27"/>
    <mergeCell ref="A28:A29"/>
    <mergeCell ref="A24:B24"/>
    <mergeCell ref="C1:F1"/>
    <mergeCell ref="A1:B1"/>
  </mergeCells>
  <conditionalFormatting sqref="F3:F24 I3:I24">
    <cfRule type="cellIs" dxfId="361" priority="1" operator="lessThanOrEqual">
      <formula>-0.1</formula>
    </cfRule>
    <cfRule type="cellIs" dxfId="36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"/>
  <sheetViews>
    <sheetView workbookViewId="0">
      <pane ySplit="2" topLeftCell="A7" activePane="bottomLeft" state="frozen"/>
      <selection pane="bottomLeft" activeCell="D28" sqref="D28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2.85546875" customWidth="1"/>
    <col min="11" max="11" width="23.140625" bestFit="1" customWidth="1"/>
  </cols>
  <sheetData>
    <row r="1" spans="1:11" ht="15">
      <c r="A1" s="164" t="str" cm="1">
        <f t="array" ref="A1">portfolio</f>
        <v>38 DN</v>
      </c>
      <c r="B1" s="165"/>
      <c r="C1" s="166" t="s">
        <v>32</v>
      </c>
      <c r="D1" s="167"/>
      <c r="E1" s="167"/>
      <c r="F1" s="168"/>
      <c r="G1" s="169" t="s">
        <v>33</v>
      </c>
      <c r="H1" s="169"/>
      <c r="I1" s="170"/>
      <c r="J1" s="158" t="s">
        <v>2</v>
      </c>
      <c r="K1" s="158" t="s">
        <v>3</v>
      </c>
    </row>
    <row r="2" spans="1:11" ht="13.9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 t="str" cm="1">
        <f t="array" aca="1" ref="C3:K3" ca="1">IF(INDIRECT("'" &amp; $A3 &amp; "'!B10:J10")="", "", INDIRECT("'" &amp; $A3 &amp; "'!B10:J10"))</f>
        <v/>
      </c>
      <c r="D3" s="38" t="str">
        <f ca="1"/>
        <v/>
      </c>
      <c r="E3" s="38">
        <f ca="1"/>
        <v>0</v>
      </c>
      <c r="F3" s="39">
        <f ca="1"/>
        <v>0</v>
      </c>
      <c r="G3" s="40" t="str">
        <f ca="1"/>
        <v/>
      </c>
      <c r="H3" s="40">
        <f ca="1"/>
        <v>0</v>
      </c>
      <c r="I3" s="41">
        <f ca="1"/>
        <v>0</v>
      </c>
      <c r="J3" s="92" t="str">
        <f ca="1"/>
        <v/>
      </c>
      <c r="K3" s="92" t="str">
        <f ca="1"/>
        <v/>
      </c>
    </row>
    <row r="4" spans="1:11" ht="15.75">
      <c r="A4" s="72" t="str">
        <v>Barton Acres</v>
      </c>
      <c r="B4" s="18" t="str">
        <v>MA</v>
      </c>
      <c r="C4" s="38" t="str" cm="1">
        <f t="array" aca="1" ref="C4:K4" ca="1">IF(INDIRECT("'" &amp; $A4 &amp; "'!B10:J10")="", "", INDIRECT("'" &amp; $A4 &amp; "'!B10:J10"))</f>
        <v/>
      </c>
      <c r="D4" s="38" t="str">
        <f ca="1"/>
        <v/>
      </c>
      <c r="E4" s="38">
        <f ca="1"/>
        <v>0</v>
      </c>
      <c r="F4" s="42">
        <f ca="1"/>
        <v>0</v>
      </c>
      <c r="G4" s="40" t="str">
        <f ca="1"/>
        <v/>
      </c>
      <c r="H4" s="40">
        <f ca="1"/>
        <v>0</v>
      </c>
      <c r="I4" s="43">
        <f ca="1"/>
        <v>0</v>
      </c>
      <c r="J4" s="92" t="str">
        <f ca="1"/>
        <v/>
      </c>
      <c r="K4" s="92" t="str">
        <f ca="1"/>
        <v/>
      </c>
    </row>
    <row r="5" spans="1:11" ht="15.75">
      <c r="A5" s="73" t="str">
        <v>Bowden</v>
      </c>
      <c r="B5" s="37" t="str">
        <v>MA</v>
      </c>
      <c r="C5" s="38" t="str" cm="1">
        <f t="array" aca="1" ref="C5:K5" ca="1">IF(INDIRECT("'" &amp; $A5 &amp; "'!B10:J10")="", "", INDIRECT("'" &amp; $A5 &amp; "'!B10:J10"))</f>
        <v/>
      </c>
      <c r="D5" s="38" t="str">
        <f ca="1"/>
        <v/>
      </c>
      <c r="E5" s="38">
        <f ca="1"/>
        <v>0</v>
      </c>
      <c r="F5" s="42">
        <f ca="1"/>
        <v>0</v>
      </c>
      <c r="G5" s="40" t="str">
        <f ca="1"/>
        <v/>
      </c>
      <c r="H5" s="40">
        <f ca="1"/>
        <v>0</v>
      </c>
      <c r="I5" s="43">
        <f ca="1"/>
        <v>0</v>
      </c>
      <c r="J5" s="92" t="str">
        <f ca="1"/>
        <v/>
      </c>
      <c r="K5" s="92" t="str">
        <f ca="1"/>
        <v/>
      </c>
    </row>
    <row r="6" spans="1:11" ht="15.75">
      <c r="A6" s="72" t="str">
        <v>Blair Wire Village</v>
      </c>
      <c r="B6" s="18" t="str">
        <v>MA</v>
      </c>
      <c r="C6" s="38" t="str" cm="1">
        <f t="array" aca="1" ref="C6:K6" ca="1">IF(INDIRECT("'" &amp; $A6 &amp; "'!B10:J10")="", "", INDIRECT("'" &amp; $A6 &amp; "'!B10:J10"))</f>
        <v/>
      </c>
      <c r="D6" s="38" t="str">
        <f ca="1"/>
        <v/>
      </c>
      <c r="E6" s="38">
        <f ca="1"/>
        <v>0</v>
      </c>
      <c r="F6" s="42">
        <f ca="1"/>
        <v>0</v>
      </c>
      <c r="G6" s="40" t="str">
        <f ca="1"/>
        <v/>
      </c>
      <c r="H6" s="40">
        <f ca="1"/>
        <v>0</v>
      </c>
      <c r="I6" s="43">
        <f ca="1"/>
        <v>0</v>
      </c>
      <c r="J6" s="92" t="str">
        <f ca="1"/>
        <v/>
      </c>
      <c r="K6" s="92" t="str">
        <f ca="1"/>
        <v/>
      </c>
    </row>
    <row r="7" spans="1:11" ht="15.75">
      <c r="A7" s="73" t="str">
        <v>Boutilier</v>
      </c>
      <c r="B7" s="37" t="str">
        <v>MA</v>
      </c>
      <c r="C7" s="38" t="str" cm="1">
        <f t="array" aca="1" ref="C7:K7" ca="1">IF(INDIRECT("'" &amp; $A7 &amp; "'!B10:J10")="", "", INDIRECT("'" &amp; $A7 &amp; "'!B10:J10"))</f>
        <v/>
      </c>
      <c r="D7" s="38" t="str">
        <f ca="1"/>
        <v/>
      </c>
      <c r="E7" s="38">
        <f ca="1"/>
        <v>0</v>
      </c>
      <c r="F7" s="42">
        <f ca="1"/>
        <v>0</v>
      </c>
      <c r="G7" s="40" t="str">
        <f ca="1"/>
        <v/>
      </c>
      <c r="H7" s="40">
        <f ca="1"/>
        <v>0</v>
      </c>
      <c r="I7" s="43">
        <f ca="1"/>
        <v>0</v>
      </c>
      <c r="J7" s="93" t="str">
        <f ca="1"/>
        <v/>
      </c>
      <c r="K7" s="93" t="str">
        <f ca="1"/>
        <v/>
      </c>
    </row>
    <row r="8" spans="1:11" ht="15.75">
      <c r="A8" s="72" t="str">
        <v>Cherry Valley</v>
      </c>
      <c r="B8" s="18" t="str">
        <v>MA</v>
      </c>
      <c r="C8" s="38" t="str" cm="1">
        <f t="array" aca="1" ref="C8:K8" ca="1">IF(INDIRECT("'" &amp; $A8 &amp; "'!B10:J10")="", "", INDIRECT("'" &amp; $A8 &amp; "'!B10:J10"))</f>
        <v/>
      </c>
      <c r="D8" s="38" t="str">
        <f ca="1"/>
        <v/>
      </c>
      <c r="E8" s="38">
        <f ca="1"/>
        <v>0</v>
      </c>
      <c r="F8" s="42">
        <f ca="1"/>
        <v>0</v>
      </c>
      <c r="G8" s="40" t="str">
        <f ca="1"/>
        <v/>
      </c>
      <c r="H8" s="40">
        <f ca="1"/>
        <v>0</v>
      </c>
      <c r="I8" s="43">
        <f ca="1"/>
        <v>0</v>
      </c>
      <c r="J8" s="92" t="str">
        <f ca="1"/>
        <v/>
      </c>
      <c r="K8" s="92" t="str">
        <f ca="1"/>
        <v/>
      </c>
    </row>
    <row r="9" spans="1:11" ht="15.75">
      <c r="A9" s="73" t="str">
        <v>Cohasse</v>
      </c>
      <c r="B9" s="37" t="str">
        <v>MA</v>
      </c>
      <c r="C9" s="38" t="str" cm="1">
        <f t="array" aca="1" ref="C9:K9" ca="1">IF(INDIRECT("'" &amp; $A9 &amp; "'!B10:J10")="", "", INDIRECT("'" &amp; $A9 &amp; "'!B10:J10"))</f>
        <v/>
      </c>
      <c r="D9" s="38" t="str">
        <f ca="1"/>
        <v/>
      </c>
      <c r="E9" s="38">
        <f ca="1"/>
        <v>0</v>
      </c>
      <c r="F9" s="42">
        <f ca="1"/>
        <v>0</v>
      </c>
      <c r="G9" s="40" t="str">
        <f ca="1"/>
        <v/>
      </c>
      <c r="H9" s="40">
        <f ca="1"/>
        <v>0</v>
      </c>
      <c r="I9" s="43">
        <f ca="1"/>
        <v>0</v>
      </c>
      <c r="J9" s="20" t="str">
        <f ca="1"/>
        <v/>
      </c>
      <c r="K9" s="20" t="str">
        <f ca="1"/>
        <v/>
      </c>
    </row>
    <row r="10" spans="1:11" ht="15.75">
      <c r="A10" s="72" t="str">
        <v>ISM Dighton Solar 2</v>
      </c>
      <c r="B10" s="18" t="str">
        <v>MA</v>
      </c>
      <c r="C10" s="38" t="str" cm="1">
        <f t="array" aca="1" ref="C10:K10" ca="1">IF(INDIRECT("'" &amp; $A10 &amp; "'!B10:J10")="", "", INDIRECT("'" &amp; $A10 &amp; "'!B10:J10"))</f>
        <v/>
      </c>
      <c r="D10" s="38" t="str">
        <f ca="1"/>
        <v/>
      </c>
      <c r="E10" s="38">
        <f ca="1"/>
        <v>0</v>
      </c>
      <c r="F10" s="42">
        <f ca="1"/>
        <v>0</v>
      </c>
      <c r="G10" s="40" t="str">
        <f ca="1"/>
        <v/>
      </c>
      <c r="H10" s="40">
        <f ca="1"/>
        <v>0</v>
      </c>
      <c r="I10" s="43">
        <f ca="1"/>
        <v>0</v>
      </c>
      <c r="J10" s="92" t="str">
        <f ca="1"/>
        <v/>
      </c>
      <c r="K10" s="92" t="str">
        <f ca="1"/>
        <v/>
      </c>
    </row>
    <row r="11" spans="1:11" ht="15.75">
      <c r="A11" s="73" t="str">
        <v>Dudley River 1</v>
      </c>
      <c r="B11" s="37" t="str">
        <v>MA</v>
      </c>
      <c r="C11" s="38" t="str" cm="1">
        <f t="array" aca="1" ref="C11:K11" ca="1">IF(INDIRECT("'" &amp; $A11 &amp; "'!B10:J10")="", "", INDIRECT("'" &amp; $A11 &amp; "'!B10:J10"))</f>
        <v/>
      </c>
      <c r="D11" s="38" t="str">
        <f ca="1"/>
        <v/>
      </c>
      <c r="E11" s="38">
        <f ca="1"/>
        <v>0</v>
      </c>
      <c r="F11" s="42">
        <f ca="1"/>
        <v>0</v>
      </c>
      <c r="G11" s="40" t="str">
        <f ca="1"/>
        <v/>
      </c>
      <c r="H11" s="40">
        <f ca="1"/>
        <v>0</v>
      </c>
      <c r="I11" s="43">
        <f ca="1"/>
        <v>0</v>
      </c>
      <c r="J11" s="92" t="str">
        <f ca="1"/>
        <v/>
      </c>
      <c r="K11" s="92" t="str">
        <f ca="1"/>
        <v/>
      </c>
    </row>
    <row r="12" spans="1:11" ht="15.75">
      <c r="A12" s="72" t="str">
        <v>Dudley River 2</v>
      </c>
      <c r="B12" s="18" t="str">
        <v>MA</v>
      </c>
      <c r="C12" s="38" t="str" cm="1">
        <f t="array" aca="1" ref="C12:K12" ca="1">IF(INDIRECT("'" &amp; $A12 &amp; "'!B10:J10")="", "", INDIRECT("'" &amp; $A12 &amp; "'!B10:J10"))</f>
        <v/>
      </c>
      <c r="D12" s="38" t="str">
        <f ca="1"/>
        <v/>
      </c>
      <c r="E12" s="38">
        <f ca="1"/>
        <v>0</v>
      </c>
      <c r="F12" s="42">
        <f ca="1"/>
        <v>0</v>
      </c>
      <c r="G12" s="40" t="str">
        <f ca="1"/>
        <v/>
      </c>
      <c r="H12" s="40">
        <f ca="1"/>
        <v>0</v>
      </c>
      <c r="I12" s="43">
        <f ca="1"/>
        <v>0</v>
      </c>
      <c r="J12" s="93" t="str">
        <f ca="1"/>
        <v/>
      </c>
      <c r="K12" s="93" t="str">
        <f ca="1"/>
        <v/>
      </c>
    </row>
    <row r="13" spans="1:11" ht="15.75">
      <c r="A13" s="73" t="str">
        <v>Dudley River 3</v>
      </c>
      <c r="B13" s="37" t="str">
        <v>MA</v>
      </c>
      <c r="C13" s="38" t="str" cm="1">
        <f t="array" aca="1" ref="C13:K13" ca="1">IF(INDIRECT("'" &amp; $A13 &amp; "'!B10:J10")="", "", INDIRECT("'" &amp; $A13 &amp; "'!B10:J10"))</f>
        <v/>
      </c>
      <c r="D13" s="38" t="str">
        <f ca="1"/>
        <v/>
      </c>
      <c r="E13" s="38">
        <f ca="1"/>
        <v>0</v>
      </c>
      <c r="F13" s="42">
        <f ca="1"/>
        <v>0</v>
      </c>
      <c r="G13" s="40" t="str">
        <f ca="1"/>
        <v/>
      </c>
      <c r="H13" s="40">
        <f ca="1"/>
        <v>0</v>
      </c>
      <c r="I13" s="43">
        <f ca="1"/>
        <v>0</v>
      </c>
      <c r="J13" s="92" t="str">
        <f ca="1"/>
        <v/>
      </c>
      <c r="K13" s="92" t="str">
        <f ca="1"/>
        <v/>
      </c>
    </row>
    <row r="14" spans="1:11" ht="15.75">
      <c r="A14" s="72" t="str">
        <v>Flint Pond</v>
      </c>
      <c r="B14" s="18" t="str">
        <v>MA</v>
      </c>
      <c r="C14" s="38" t="str" cm="1">
        <f t="array" aca="1" ref="C14:K14" ca="1">IF(INDIRECT("'" &amp; $A14 &amp; "'!B10:J10")="", "", INDIRECT("'" &amp; $A14 &amp; "'!B10:J10"))</f>
        <v/>
      </c>
      <c r="D14" s="38" t="str">
        <f ca="1"/>
        <v/>
      </c>
      <c r="E14" s="38">
        <f ca="1"/>
        <v>0</v>
      </c>
      <c r="F14" s="42">
        <f ca="1"/>
        <v>0</v>
      </c>
      <c r="G14" s="40" t="str">
        <f ca="1"/>
        <v/>
      </c>
      <c r="H14" s="40">
        <f ca="1"/>
        <v>0</v>
      </c>
      <c r="I14" s="43">
        <f ca="1"/>
        <v>0</v>
      </c>
      <c r="J14" s="92" t="str">
        <f ca="1"/>
        <v/>
      </c>
      <c r="K14" s="92" t="str">
        <f ca="1"/>
        <v/>
      </c>
    </row>
    <row r="15" spans="1:11" ht="15.75">
      <c r="A15" s="73" t="str">
        <v>Incom</v>
      </c>
      <c r="B15" s="37" t="str">
        <v>MA</v>
      </c>
      <c r="C15" s="38" t="str" cm="1">
        <f t="array" aca="1" ref="C15:K15" ca="1">IF(INDIRECT("'" &amp; $A15 &amp; "'!B10:J10")="", "", INDIRECT("'" &amp; $A15 &amp; "'!B10:J10"))</f>
        <v/>
      </c>
      <c r="D15" s="38" t="str">
        <f ca="1"/>
        <v/>
      </c>
      <c r="E15" s="38">
        <f ca="1"/>
        <v>0</v>
      </c>
      <c r="F15" s="42">
        <f ca="1"/>
        <v>0</v>
      </c>
      <c r="G15" s="40" t="str">
        <f ca="1"/>
        <v/>
      </c>
      <c r="H15" s="40">
        <f ca="1"/>
        <v>0</v>
      </c>
      <c r="I15" s="43">
        <f ca="1"/>
        <v>0</v>
      </c>
      <c r="J15" s="92" t="str">
        <f ca="1"/>
        <v/>
      </c>
      <c r="K15" s="92" t="str">
        <f ca="1"/>
        <v/>
      </c>
    </row>
    <row r="16" spans="1:11" ht="15.75">
      <c r="A16" s="72" t="str">
        <v>JH</v>
      </c>
      <c r="B16" s="18" t="str">
        <v>MA</v>
      </c>
      <c r="C16" s="38" t="str" cm="1">
        <f t="array" aca="1" ref="C16:K16" ca="1">IF(INDIRECT("'" &amp; $A16 &amp; "'!B10:J10")="", "", INDIRECT("'" &amp; $A16 &amp; "'!B10:J10"))</f>
        <v/>
      </c>
      <c r="D16" s="38" t="str">
        <f ca="1"/>
        <v/>
      </c>
      <c r="E16" s="38">
        <f ca="1"/>
        <v>0</v>
      </c>
      <c r="F16" s="42">
        <f ca="1"/>
        <v>0</v>
      </c>
      <c r="G16" s="40" t="str">
        <f ca="1"/>
        <v/>
      </c>
      <c r="H16" s="40">
        <f ca="1"/>
        <v>0</v>
      </c>
      <c r="I16" s="43">
        <f ca="1"/>
        <v>0</v>
      </c>
      <c r="J16" s="92" t="str">
        <f ca="1"/>
        <v/>
      </c>
      <c r="K16" s="92" t="str">
        <f ca="1"/>
        <v/>
      </c>
    </row>
    <row r="17" spans="1:11" ht="15.75">
      <c r="A17" s="73" t="str">
        <v>Ledeaux</v>
      </c>
      <c r="B17" s="37" t="str">
        <v>MA</v>
      </c>
      <c r="C17" s="38" t="str" cm="1">
        <f t="array" aca="1" ref="C17:K17" ca="1">IF(INDIRECT("'" &amp; $A17 &amp; "'!B10:J10")="", "", INDIRECT("'" &amp; $A17 &amp; "'!B10:J10"))</f>
        <v/>
      </c>
      <c r="D17" s="38" t="str">
        <f ca="1"/>
        <v/>
      </c>
      <c r="E17" s="38">
        <f ca="1"/>
        <v>0</v>
      </c>
      <c r="F17" s="42">
        <f ca="1"/>
        <v>0</v>
      </c>
      <c r="G17" s="40" t="str">
        <f ca="1"/>
        <v/>
      </c>
      <c r="H17" s="40">
        <f ca="1"/>
        <v>0</v>
      </c>
      <c r="I17" s="43">
        <f ca="1"/>
        <v>0</v>
      </c>
      <c r="J17" s="92" t="str">
        <f ca="1"/>
        <v/>
      </c>
      <c r="K17" s="92" t="str">
        <f ca="1"/>
        <v/>
      </c>
    </row>
    <row r="18" spans="1:11" ht="15.75">
      <c r="A18" s="72" t="str">
        <v>Palombo A</v>
      </c>
      <c r="B18" s="18" t="str">
        <v>MA</v>
      </c>
      <c r="C18" s="38" t="str" cm="1">
        <f t="array" aca="1" ref="C18:K18" ca="1">IF(INDIRECT("'" &amp; $A18 &amp; "'!B10:J10")="", "", INDIRECT("'" &amp; $A18 &amp; "'!B10:J10"))</f>
        <v/>
      </c>
      <c r="D18" s="38" t="str">
        <f ca="1"/>
        <v/>
      </c>
      <c r="E18" s="38">
        <f ca="1"/>
        <v>0</v>
      </c>
      <c r="F18" s="42">
        <f ca="1"/>
        <v>0</v>
      </c>
      <c r="G18" s="40" t="str">
        <f ca="1"/>
        <v/>
      </c>
      <c r="H18" s="40">
        <f ca="1"/>
        <v>0</v>
      </c>
      <c r="I18" s="43">
        <f ca="1"/>
        <v>0</v>
      </c>
      <c r="J18" s="92" t="str">
        <f ca="1"/>
        <v/>
      </c>
      <c r="K18" s="92" t="str">
        <f ca="1"/>
        <v/>
      </c>
    </row>
    <row r="19" spans="1:11" ht="15.75">
      <c r="A19" s="73" t="str">
        <v>Palombo B</v>
      </c>
      <c r="B19" s="37" t="str">
        <v>MA</v>
      </c>
      <c r="C19" s="38" t="str" cm="1">
        <f t="array" aca="1" ref="C19:K19" ca="1">IF(INDIRECT("'" &amp; $A19 &amp; "'!B10:J10")="", "", INDIRECT("'" &amp; $A19 &amp; "'!B10:J10"))</f>
        <v/>
      </c>
      <c r="D19" s="38" t="str">
        <f ca="1"/>
        <v/>
      </c>
      <c r="E19" s="38">
        <f ca="1"/>
        <v>0</v>
      </c>
      <c r="F19" s="42">
        <f ca="1"/>
        <v>0</v>
      </c>
      <c r="G19" s="40" t="str">
        <f ca="1"/>
        <v/>
      </c>
      <c r="H19" s="40">
        <f ca="1"/>
        <v>0</v>
      </c>
      <c r="I19" s="43">
        <f ca="1"/>
        <v>0</v>
      </c>
      <c r="J19" s="92" t="str">
        <f ca="1"/>
        <v/>
      </c>
      <c r="K19" s="92" t="str">
        <f ca="1"/>
        <v/>
      </c>
    </row>
    <row r="20" spans="1:11" ht="15.75">
      <c r="A20" s="72" t="str">
        <v>St Josephs Church</v>
      </c>
      <c r="B20" s="18" t="str">
        <v>MA</v>
      </c>
      <c r="C20" s="38" t="str" cm="1">
        <f t="array" aca="1" ref="C20:K20" ca="1">IF(INDIRECT("'" &amp; $A20 &amp; "'!B10:J10")="", "", INDIRECT("'" &amp; $A20 &amp; "'!B10:J10"))</f>
        <v/>
      </c>
      <c r="D20" s="38" t="str">
        <f ca="1"/>
        <v/>
      </c>
      <c r="E20" s="38">
        <f ca="1"/>
        <v>0</v>
      </c>
      <c r="F20" s="42">
        <f ca="1"/>
        <v>0</v>
      </c>
      <c r="G20" s="40" t="str">
        <f ca="1"/>
        <v/>
      </c>
      <c r="H20" s="40">
        <f ca="1"/>
        <v>0</v>
      </c>
      <c r="I20" s="43">
        <f ca="1"/>
        <v>0</v>
      </c>
      <c r="J20" s="92" t="str">
        <f ca="1"/>
        <v/>
      </c>
      <c r="K20" s="92" t="str">
        <f ca="1"/>
        <v/>
      </c>
    </row>
    <row r="21" spans="1:11" ht="15.75">
      <c r="A21" s="73" t="str">
        <v>Sunset A</v>
      </c>
      <c r="B21" s="37" t="str">
        <v>MA</v>
      </c>
      <c r="C21" s="38" t="str" cm="1">
        <f t="array" aca="1" ref="C21:K21" ca="1">IF(INDIRECT("'" &amp; $A21 &amp; "'!B10:J10")="", "", INDIRECT("'" &amp; $A21 &amp; "'!B10:J10"))</f>
        <v/>
      </c>
      <c r="D21" s="38" t="str">
        <f ca="1"/>
        <v/>
      </c>
      <c r="E21" s="38">
        <f ca="1"/>
        <v>0</v>
      </c>
      <c r="F21" s="42">
        <f ca="1"/>
        <v>0</v>
      </c>
      <c r="G21" s="40" t="str">
        <f ca="1"/>
        <v/>
      </c>
      <c r="H21" s="40">
        <f ca="1"/>
        <v>0</v>
      </c>
      <c r="I21" s="43">
        <f ca="1"/>
        <v>0</v>
      </c>
      <c r="J21" s="92" t="str">
        <f ca="1"/>
        <v/>
      </c>
      <c r="K21" s="92" t="str">
        <f ca="1"/>
        <v/>
      </c>
    </row>
    <row r="22" spans="1:11" ht="15.75">
      <c r="A22" s="72" t="str">
        <v>Sunset B</v>
      </c>
      <c r="B22" s="18" t="str">
        <v>MA</v>
      </c>
      <c r="C22" s="38" t="str" cm="1">
        <f t="array" aca="1" ref="C22:K22" ca="1">IF(INDIRECT("'" &amp; $A22 &amp; "'!B10:J10")="", "", INDIRECT("'" &amp; $A22 &amp; "'!B10:J10"))</f>
        <v/>
      </c>
      <c r="D22" s="38" t="str">
        <f ca="1"/>
        <v/>
      </c>
      <c r="E22" s="38">
        <f ca="1"/>
        <v>0</v>
      </c>
      <c r="F22" s="42">
        <f ca="1"/>
        <v>0</v>
      </c>
      <c r="G22" s="40" t="str">
        <f ca="1"/>
        <v/>
      </c>
      <c r="H22" s="40">
        <f ca="1"/>
        <v>0</v>
      </c>
      <c r="I22" s="43">
        <f ca="1"/>
        <v>0</v>
      </c>
      <c r="J22" s="92" t="str">
        <f ca="1"/>
        <v/>
      </c>
      <c r="K22" s="92" t="str">
        <f ca="1"/>
        <v xml:space="preserve"> </v>
      </c>
    </row>
    <row r="23" spans="1:11" ht="15.75">
      <c r="A23" s="73" t="str">
        <v>Woodchuck</v>
      </c>
      <c r="B23" s="37" t="str">
        <v>MA</v>
      </c>
      <c r="C23" s="38" t="str" cm="1">
        <f t="array" aca="1" ref="C23:K23" ca="1">IF(INDIRECT("'" &amp; $A23 &amp; "'!B10:J10")="", "", INDIRECT("'" &amp; $A23 &amp; "'!B10:J10"))</f>
        <v/>
      </c>
      <c r="D23" s="38" t="str">
        <f ca="1"/>
        <v/>
      </c>
      <c r="E23" s="38">
        <f ca="1"/>
        <v>0</v>
      </c>
      <c r="F23" s="42">
        <f ca="1"/>
        <v>0</v>
      </c>
      <c r="G23" s="40" t="str">
        <f ca="1"/>
        <v/>
      </c>
      <c r="H23" s="40">
        <f ca="1"/>
        <v>0</v>
      </c>
      <c r="I23" s="43">
        <f ca="1"/>
        <v>0</v>
      </c>
      <c r="J23" s="92" t="str">
        <f ca="1"/>
        <v/>
      </c>
      <c r="K23" s="92" t="str">
        <f ca="1"/>
        <v/>
      </c>
    </row>
    <row r="24" spans="1:11" ht="13.5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91"/>
      <c r="K24" s="12"/>
    </row>
    <row r="25" spans="1:11">
      <c r="J25" s="9"/>
    </row>
    <row r="26" spans="1:1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>
      <c r="A29" s="163"/>
      <c r="J29" s="9"/>
    </row>
    <row r="30" spans="1:11">
      <c r="J30" s="9"/>
    </row>
  </sheetData>
  <autoFilter ref="A2:I2" xr:uid="{6C08AFFB-6AF8-48AC-9706-52E390C2AC4B}"/>
  <mergeCells count="8">
    <mergeCell ref="G1:I1"/>
    <mergeCell ref="J1:J2"/>
    <mergeCell ref="K1:K2"/>
    <mergeCell ref="A26:A27"/>
    <mergeCell ref="A28:A29"/>
    <mergeCell ref="A24:B24"/>
    <mergeCell ref="C1:F1"/>
    <mergeCell ref="A1:B1"/>
  </mergeCells>
  <conditionalFormatting sqref="F3:F24 I3:I24">
    <cfRule type="cellIs" dxfId="359" priority="1" operator="lessThanOrEqual">
      <formula>-0.1</formula>
    </cfRule>
    <cfRule type="cellIs" dxfId="35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P63"/>
  <sheetViews>
    <sheetView zoomScale="90" zoomScaleNormal="90" workbookViewId="0">
      <pane ySplit="2" topLeftCell="A3" activePane="bottomLeft" state="frozen"/>
      <selection pane="bottomLeft" activeCell="D28" sqref="D28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34</v>
      </c>
      <c r="D1" s="167"/>
      <c r="E1" s="167"/>
      <c r="F1" s="168"/>
      <c r="G1" s="169" t="s">
        <v>35</v>
      </c>
      <c r="H1" s="169"/>
      <c r="I1" s="170"/>
      <c r="J1" s="158" t="s">
        <v>2</v>
      </c>
      <c r="K1" s="158" t="s">
        <v>3</v>
      </c>
    </row>
    <row r="2" spans="1:11" ht="14.2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124" t="str" cm="1">
        <f t="array" ref="A3:A23">Sites[Site]</f>
        <v>6th St.</v>
      </c>
      <c r="B3" s="125" t="str" cm="1">
        <f t="array" ref="B3:B23">Sites[State]</f>
        <v>CA</v>
      </c>
      <c r="C3" s="126" t="str" cm="1">
        <f t="array" aca="1" ref="C3:K3" ca="1">IF(INDIRECT("'" &amp; $A3 &amp; "'!B11:J11")="", "", INDIRECT("'" &amp; $A3 &amp; "'!B11:J11"))</f>
        <v/>
      </c>
      <c r="D3" s="126" t="str">
        <f ca="1"/>
        <v/>
      </c>
      <c r="E3" s="126">
        <f ca="1"/>
        <v>0</v>
      </c>
      <c r="F3" s="127">
        <f ca="1"/>
        <v>0</v>
      </c>
      <c r="G3" s="128" t="str">
        <f ca="1"/>
        <v/>
      </c>
      <c r="H3" s="128">
        <f ca="1"/>
        <v>0</v>
      </c>
      <c r="I3" s="129">
        <f ca="1"/>
        <v>0</v>
      </c>
      <c r="J3" s="20" t="str">
        <f ca="1"/>
        <v/>
      </c>
      <c r="K3" s="20" t="str">
        <f ca="1"/>
        <v/>
      </c>
    </row>
    <row r="4" spans="1:11" ht="15.75">
      <c r="A4" s="130" t="str">
        <v>Barton Acres</v>
      </c>
      <c r="B4" s="131" t="str">
        <v>MA</v>
      </c>
      <c r="C4" s="126" t="str" cm="1">
        <f t="array" aca="1" ref="C4:K4" ca="1">IF(INDIRECT("'" &amp; $A4 &amp; "'!B11:J11")="", "", INDIRECT("'" &amp; $A4 &amp; "'!B11:J11"))</f>
        <v/>
      </c>
      <c r="D4" s="126" t="str">
        <f ca="1"/>
        <v/>
      </c>
      <c r="E4" s="126">
        <f ca="1"/>
        <v>0</v>
      </c>
      <c r="F4" s="132">
        <f ca="1"/>
        <v>0</v>
      </c>
      <c r="G4" s="128" t="str">
        <f ca="1"/>
        <v/>
      </c>
      <c r="H4" s="128">
        <f ca="1"/>
        <v>0</v>
      </c>
      <c r="I4" s="133">
        <f ca="1"/>
        <v>0</v>
      </c>
      <c r="J4" s="123" t="str">
        <f ca="1"/>
        <v/>
      </c>
      <c r="K4" s="123" t="str">
        <f ca="1"/>
        <v/>
      </c>
    </row>
    <row r="5" spans="1:11" ht="59.1" customHeight="1">
      <c r="A5" s="134" t="str">
        <v>Bowden</v>
      </c>
      <c r="B5" s="135" t="str">
        <v>MA</v>
      </c>
      <c r="C5" s="126" t="str" cm="1">
        <f t="array" aca="1" ref="C5:K5" ca="1">IF(INDIRECT("'" &amp; $A5 &amp; "'!B11:J11")="", "", INDIRECT("'" &amp; $A5 &amp; "'!B11:J11"))</f>
        <v/>
      </c>
      <c r="D5" s="126" t="str">
        <f ca="1"/>
        <v/>
      </c>
      <c r="E5" s="126">
        <f ca="1"/>
        <v>0</v>
      </c>
      <c r="F5" s="132">
        <f ca="1"/>
        <v>0</v>
      </c>
      <c r="G5" s="128" t="str">
        <f ca="1"/>
        <v/>
      </c>
      <c r="H5" s="128">
        <f ca="1"/>
        <v>0</v>
      </c>
      <c r="I5" s="133">
        <f ca="1"/>
        <v>0</v>
      </c>
      <c r="J5" s="20" t="str">
        <f ca="1"/>
        <v/>
      </c>
      <c r="K5" s="20" t="str">
        <f ca="1"/>
        <v/>
      </c>
    </row>
    <row r="6" spans="1:11" ht="15.75">
      <c r="A6" s="130" t="str">
        <v>Blair Wire Village</v>
      </c>
      <c r="B6" s="131" t="str">
        <v>MA</v>
      </c>
      <c r="C6" s="126" t="str" cm="1">
        <f t="array" aca="1" ref="C6:K6" ca="1">IF(INDIRECT("'" &amp; $A6 &amp; "'!B11:J11")="", "", INDIRECT("'" &amp; $A6 &amp; "'!B11:J11"))</f>
        <v/>
      </c>
      <c r="D6" s="126" t="str">
        <f ca="1"/>
        <v/>
      </c>
      <c r="E6" s="126">
        <f ca="1"/>
        <v>0</v>
      </c>
      <c r="F6" s="132">
        <f ca="1"/>
        <v>0</v>
      </c>
      <c r="G6" s="128" t="str">
        <f ca="1"/>
        <v/>
      </c>
      <c r="H6" s="128">
        <f ca="1"/>
        <v>0</v>
      </c>
      <c r="I6" s="133">
        <f ca="1"/>
        <v>0</v>
      </c>
      <c r="J6" s="20" t="str">
        <f ca="1"/>
        <v/>
      </c>
      <c r="K6" s="20" t="str">
        <f ca="1"/>
        <v/>
      </c>
    </row>
    <row r="7" spans="1:11" ht="15.75">
      <c r="A7" s="134" t="str">
        <v>Boutilier</v>
      </c>
      <c r="B7" s="135" t="str">
        <v>MA</v>
      </c>
      <c r="C7" s="126" t="str" cm="1">
        <f t="array" aca="1" ref="C7:K7" ca="1">IF(INDIRECT("'" &amp; $A7 &amp; "'!B11:J11")="", "", INDIRECT("'" &amp; $A7 &amp; "'!B11:J11"))</f>
        <v/>
      </c>
      <c r="D7" s="126" t="str">
        <f ca="1"/>
        <v/>
      </c>
      <c r="E7" s="126">
        <f ca="1"/>
        <v>0</v>
      </c>
      <c r="F7" s="132">
        <f ca="1"/>
        <v>0</v>
      </c>
      <c r="G7" s="128" t="str">
        <f ca="1"/>
        <v/>
      </c>
      <c r="H7" s="128">
        <f ca="1"/>
        <v>0</v>
      </c>
      <c r="I7" s="133">
        <f ca="1"/>
        <v>0</v>
      </c>
      <c r="J7" s="20" t="str">
        <f ca="1"/>
        <v/>
      </c>
      <c r="K7" s="20" t="str">
        <f ca="1"/>
        <v/>
      </c>
    </row>
    <row r="8" spans="1:11" ht="15.75">
      <c r="A8" s="130" t="str">
        <v>Cherry Valley</v>
      </c>
      <c r="B8" s="131" t="str">
        <v>MA</v>
      </c>
      <c r="C8" s="126" t="str" cm="1">
        <f t="array" aca="1" ref="C8:K8" ca="1">IF(INDIRECT("'" &amp; $A8 &amp; "'!B11:J11")="", "", INDIRECT("'" &amp; $A8 &amp; "'!B11:J11"))</f>
        <v/>
      </c>
      <c r="D8" s="126" t="str">
        <f ca="1"/>
        <v/>
      </c>
      <c r="E8" s="126">
        <f ca="1"/>
        <v>0</v>
      </c>
      <c r="F8" s="132">
        <f ca="1"/>
        <v>0</v>
      </c>
      <c r="G8" s="128" t="str">
        <f ca="1"/>
        <v/>
      </c>
      <c r="H8" s="128">
        <f ca="1"/>
        <v>0</v>
      </c>
      <c r="I8" s="133">
        <f ca="1"/>
        <v>0</v>
      </c>
      <c r="J8" s="20" t="str">
        <f ca="1"/>
        <v/>
      </c>
      <c r="K8" s="20" t="str">
        <f ca="1"/>
        <v/>
      </c>
    </row>
    <row r="9" spans="1:11" ht="15.75">
      <c r="A9" s="134" t="str">
        <v>Cohasse</v>
      </c>
      <c r="B9" s="135" t="str">
        <v>MA</v>
      </c>
      <c r="C9" s="126" t="str" cm="1">
        <f t="array" aca="1" ref="C9:K9" ca="1">IF(INDIRECT("'" &amp; $A9 &amp; "'!B11:J11")="", "", INDIRECT("'" &amp; $A9 &amp; "'!B11:J11"))</f>
        <v/>
      </c>
      <c r="D9" s="126" t="str">
        <f ca="1"/>
        <v/>
      </c>
      <c r="E9" s="126">
        <f ca="1"/>
        <v>0</v>
      </c>
      <c r="F9" s="132">
        <f ca="1"/>
        <v>0</v>
      </c>
      <c r="G9" s="128" t="str">
        <f ca="1"/>
        <v/>
      </c>
      <c r="H9" s="128">
        <f ca="1"/>
        <v>0</v>
      </c>
      <c r="I9" s="133">
        <f ca="1"/>
        <v>0</v>
      </c>
      <c r="J9" s="20" t="str">
        <f ca="1"/>
        <v/>
      </c>
      <c r="K9" s="20" t="str">
        <f ca="1"/>
        <v/>
      </c>
    </row>
    <row r="10" spans="1:11" ht="15.75">
      <c r="A10" s="130" t="str">
        <v>ISM Dighton Solar 2</v>
      </c>
      <c r="B10" s="131" t="str">
        <v>MA</v>
      </c>
      <c r="C10" s="126" t="str" cm="1">
        <f t="array" aca="1" ref="C10:K10" ca="1">IF(INDIRECT("'" &amp; $A10 &amp; "'!B11:J11")="", "", INDIRECT("'" &amp; $A10 &amp; "'!B11:J11"))</f>
        <v/>
      </c>
      <c r="D10" s="126" t="str">
        <f ca="1"/>
        <v/>
      </c>
      <c r="E10" s="126">
        <f ca="1"/>
        <v>0</v>
      </c>
      <c r="F10" s="132">
        <f ca="1"/>
        <v>0</v>
      </c>
      <c r="G10" s="128" t="str">
        <f ca="1"/>
        <v/>
      </c>
      <c r="H10" s="128">
        <f ca="1"/>
        <v>0</v>
      </c>
      <c r="I10" s="133">
        <f ca="1"/>
        <v>0</v>
      </c>
      <c r="J10" s="20" t="str">
        <f ca="1"/>
        <v/>
      </c>
      <c r="K10" s="20" t="str">
        <f ca="1"/>
        <v/>
      </c>
    </row>
    <row r="11" spans="1:11" ht="66.75" customHeight="1">
      <c r="A11" s="134" t="str">
        <v>Dudley River 1</v>
      </c>
      <c r="B11" s="135" t="str">
        <v>MA</v>
      </c>
      <c r="C11" s="126" t="str" cm="1">
        <f t="array" aca="1" ref="C11:K11" ca="1">IF(INDIRECT("'" &amp; $A11 &amp; "'!B11:J11")="", "", INDIRECT("'" &amp; $A11 &amp; "'!B11:J11"))</f>
        <v/>
      </c>
      <c r="D11" s="126" t="str">
        <f ca="1"/>
        <v/>
      </c>
      <c r="E11" s="126">
        <f ca="1"/>
        <v>0</v>
      </c>
      <c r="F11" s="132">
        <f ca="1"/>
        <v>0</v>
      </c>
      <c r="G11" s="128" t="str">
        <f ca="1"/>
        <v/>
      </c>
      <c r="H11" s="128">
        <f ca="1"/>
        <v>0</v>
      </c>
      <c r="I11" s="133">
        <f ca="1"/>
        <v>0</v>
      </c>
      <c r="J11" s="20" t="str">
        <f ca="1"/>
        <v/>
      </c>
      <c r="K11" s="20" t="str">
        <f ca="1"/>
        <v/>
      </c>
    </row>
    <row r="12" spans="1:11" ht="15.75">
      <c r="A12" s="130" t="str">
        <v>Dudley River 2</v>
      </c>
      <c r="B12" s="131" t="str">
        <v>MA</v>
      </c>
      <c r="C12" s="126" t="str" cm="1">
        <f t="array" aca="1" ref="C12:K12" ca="1">IF(INDIRECT("'" &amp; $A12 &amp; "'!B11:J11")="", "", INDIRECT("'" &amp; $A12 &amp; "'!B11:J11"))</f>
        <v/>
      </c>
      <c r="D12" s="126" t="str">
        <f ca="1"/>
        <v/>
      </c>
      <c r="E12" s="126">
        <f ca="1"/>
        <v>0</v>
      </c>
      <c r="F12" s="132">
        <f ca="1"/>
        <v>0</v>
      </c>
      <c r="G12" s="128" t="str">
        <f ca="1"/>
        <v/>
      </c>
      <c r="H12" s="128">
        <f ca="1"/>
        <v>0</v>
      </c>
      <c r="I12" s="133">
        <f ca="1"/>
        <v>0</v>
      </c>
      <c r="J12" s="20" t="str">
        <f ca="1"/>
        <v/>
      </c>
      <c r="K12" s="20" t="str">
        <f ca="1"/>
        <v/>
      </c>
    </row>
    <row r="13" spans="1:11" ht="15.75">
      <c r="A13" s="134" t="str">
        <v>Dudley River 3</v>
      </c>
      <c r="B13" s="135" t="str">
        <v>MA</v>
      </c>
      <c r="C13" s="126" t="str" cm="1">
        <f t="array" aca="1" ref="C13:K13" ca="1">IF(INDIRECT("'" &amp; $A13 &amp; "'!B11:J11")="", "", INDIRECT("'" &amp; $A13 &amp; "'!B11:J11"))</f>
        <v/>
      </c>
      <c r="D13" s="126" t="str">
        <f ca="1"/>
        <v/>
      </c>
      <c r="E13" s="126">
        <f ca="1"/>
        <v>0</v>
      </c>
      <c r="F13" s="132">
        <f ca="1"/>
        <v>0</v>
      </c>
      <c r="G13" s="128" t="str">
        <f ca="1"/>
        <v/>
      </c>
      <c r="H13" s="128">
        <f ca="1"/>
        <v>0</v>
      </c>
      <c r="I13" s="133">
        <f ca="1"/>
        <v>0</v>
      </c>
      <c r="J13" s="20" t="str">
        <f ca="1"/>
        <v/>
      </c>
      <c r="K13" s="20" t="str">
        <f ca="1"/>
        <v/>
      </c>
    </row>
    <row r="14" spans="1:11" ht="15.75">
      <c r="A14" s="130" t="str">
        <v>Flint Pond</v>
      </c>
      <c r="B14" s="131" t="str">
        <v>MA</v>
      </c>
      <c r="C14" s="126" t="str" cm="1">
        <f t="array" aca="1" ref="C14:K14" ca="1">IF(INDIRECT("'" &amp; $A14 &amp; "'!B11:J11")="", "", INDIRECT("'" &amp; $A14 &amp; "'!B11:J11"))</f>
        <v/>
      </c>
      <c r="D14" s="126" t="str">
        <f ca="1"/>
        <v/>
      </c>
      <c r="E14" s="126">
        <f ca="1"/>
        <v>0</v>
      </c>
      <c r="F14" s="132">
        <f ca="1"/>
        <v>0</v>
      </c>
      <c r="G14" s="128" t="str">
        <f ca="1"/>
        <v/>
      </c>
      <c r="H14" s="128">
        <f ca="1"/>
        <v>0</v>
      </c>
      <c r="I14" s="133">
        <f ca="1"/>
        <v>0</v>
      </c>
      <c r="J14" s="20" t="str">
        <f ca="1"/>
        <v/>
      </c>
      <c r="K14" s="20" t="str">
        <f ca="1"/>
        <v/>
      </c>
    </row>
    <row r="15" spans="1:11" ht="15.75">
      <c r="A15" s="134" t="str">
        <v>Incom</v>
      </c>
      <c r="B15" s="135" t="str">
        <v>MA</v>
      </c>
      <c r="C15" s="126" t="str" cm="1">
        <f t="array" aca="1" ref="C15:K15" ca="1">IF(INDIRECT("'" &amp; $A15 &amp; "'!B11:J11")="", "", INDIRECT("'" &amp; $A15 &amp; "'!B11:J11"))</f>
        <v/>
      </c>
      <c r="D15" s="126" t="str">
        <f ca="1"/>
        <v/>
      </c>
      <c r="E15" s="126">
        <f ca="1"/>
        <v>0</v>
      </c>
      <c r="F15" s="132">
        <f ca="1"/>
        <v>0</v>
      </c>
      <c r="G15" s="128" t="str">
        <f ca="1"/>
        <v/>
      </c>
      <c r="H15" s="128">
        <f ca="1"/>
        <v>0</v>
      </c>
      <c r="I15" s="133">
        <f ca="1"/>
        <v>0</v>
      </c>
      <c r="J15" s="20" t="str">
        <f ca="1"/>
        <v/>
      </c>
      <c r="K15" s="20" t="str">
        <f ca="1"/>
        <v/>
      </c>
    </row>
    <row r="16" spans="1:11" ht="15.75">
      <c r="A16" s="130" t="str">
        <v>JH</v>
      </c>
      <c r="B16" s="131" t="str">
        <v>MA</v>
      </c>
      <c r="C16" s="126" t="str" cm="1">
        <f t="array" aca="1" ref="C16:K16" ca="1">IF(INDIRECT("'" &amp; $A16 &amp; "'!B11:J11")="", "", INDIRECT("'" &amp; $A16 &amp; "'!B11:J11"))</f>
        <v/>
      </c>
      <c r="D16" s="126" t="str">
        <f ca="1"/>
        <v/>
      </c>
      <c r="E16" s="126">
        <f ca="1"/>
        <v>0</v>
      </c>
      <c r="F16" s="132">
        <f ca="1"/>
        <v>0</v>
      </c>
      <c r="G16" s="128" t="str">
        <f ca="1"/>
        <v/>
      </c>
      <c r="H16" s="128">
        <f ca="1"/>
        <v>0</v>
      </c>
      <c r="I16" s="133">
        <f ca="1"/>
        <v>0</v>
      </c>
      <c r="J16" s="20" t="str">
        <f ca="1"/>
        <v/>
      </c>
      <c r="K16" s="20" t="str">
        <f ca="1"/>
        <v/>
      </c>
    </row>
    <row r="17" spans="1:11" ht="15.75">
      <c r="A17" s="134" t="str">
        <v>Ledeaux</v>
      </c>
      <c r="B17" s="135" t="str">
        <v>MA</v>
      </c>
      <c r="C17" s="126" t="str" cm="1">
        <f t="array" aca="1" ref="C17:K17" ca="1">IF(INDIRECT("'" &amp; $A17 &amp; "'!B11:J11")="", "", INDIRECT("'" &amp; $A17 &amp; "'!B11:J11"))</f>
        <v/>
      </c>
      <c r="D17" s="126" t="str">
        <f ca="1"/>
        <v/>
      </c>
      <c r="E17" s="126">
        <f ca="1"/>
        <v>0</v>
      </c>
      <c r="F17" s="132">
        <f ca="1"/>
        <v>0</v>
      </c>
      <c r="G17" s="128" t="str">
        <f ca="1"/>
        <v/>
      </c>
      <c r="H17" s="128">
        <f ca="1"/>
        <v>0</v>
      </c>
      <c r="I17" s="133">
        <f ca="1"/>
        <v>0</v>
      </c>
      <c r="J17" s="20" t="str">
        <f ca="1"/>
        <v/>
      </c>
      <c r="K17" s="20" t="str">
        <f ca="1"/>
        <v/>
      </c>
    </row>
    <row r="18" spans="1:11" ht="80.25" customHeight="1">
      <c r="A18" s="130" t="str">
        <v>Palombo A</v>
      </c>
      <c r="B18" s="131" t="str">
        <v>MA</v>
      </c>
      <c r="C18" s="126" t="str" cm="1">
        <f t="array" aca="1" ref="C18:K18" ca="1">IF(INDIRECT("'" &amp; $A18 &amp; "'!B11:J11")="", "", INDIRECT("'" &amp; $A18 &amp; "'!B11:J11"))</f>
        <v/>
      </c>
      <c r="D18" s="126" t="str">
        <f ca="1"/>
        <v/>
      </c>
      <c r="E18" s="126">
        <f ca="1"/>
        <v>0</v>
      </c>
      <c r="F18" s="132">
        <f ca="1"/>
        <v>0</v>
      </c>
      <c r="G18" s="128" t="str">
        <f ca="1"/>
        <v/>
      </c>
      <c r="H18" s="128">
        <f ca="1"/>
        <v>0</v>
      </c>
      <c r="I18" s="133">
        <f ca="1"/>
        <v>0</v>
      </c>
      <c r="J18" s="20" t="str">
        <f ca="1"/>
        <v/>
      </c>
      <c r="K18" s="20" t="str">
        <f ca="1"/>
        <v/>
      </c>
    </row>
    <row r="19" spans="1:11" ht="51.75" customHeight="1">
      <c r="A19" s="134" t="str">
        <v>Palombo B</v>
      </c>
      <c r="B19" s="135" t="str">
        <v>MA</v>
      </c>
      <c r="C19" s="126" t="str" cm="1">
        <f t="array" aca="1" ref="C19:K19" ca="1">IF(INDIRECT("'" &amp; $A19 &amp; "'!B11:J11")="", "", INDIRECT("'" &amp; $A19 &amp; "'!B11:J11"))</f>
        <v/>
      </c>
      <c r="D19" s="126" t="str">
        <f ca="1"/>
        <v/>
      </c>
      <c r="E19" s="126">
        <f ca="1"/>
        <v>0</v>
      </c>
      <c r="F19" s="132">
        <f ca="1"/>
        <v>0</v>
      </c>
      <c r="G19" s="128" t="str">
        <f ca="1"/>
        <v/>
      </c>
      <c r="H19" s="128">
        <f ca="1"/>
        <v>0</v>
      </c>
      <c r="I19" s="133">
        <f ca="1"/>
        <v>0</v>
      </c>
      <c r="J19" s="20" t="str">
        <f ca="1"/>
        <v/>
      </c>
      <c r="K19" s="20" t="str">
        <f ca="1"/>
        <v/>
      </c>
    </row>
    <row r="20" spans="1:11" ht="15.75">
      <c r="A20" s="130" t="str">
        <v>St Josephs Church</v>
      </c>
      <c r="B20" s="131" t="str">
        <v>MA</v>
      </c>
      <c r="C20" s="126" t="str" cm="1">
        <f t="array" aca="1" ref="C20:K20" ca="1">IF(INDIRECT("'" &amp; $A20 &amp; "'!B11:J11")="", "", INDIRECT("'" &amp; $A20 &amp; "'!B11:J11"))</f>
        <v/>
      </c>
      <c r="D20" s="126" t="str">
        <f ca="1"/>
        <v/>
      </c>
      <c r="E20" s="126">
        <f ca="1"/>
        <v>0</v>
      </c>
      <c r="F20" s="132">
        <f ca="1"/>
        <v>0</v>
      </c>
      <c r="G20" s="128" t="str">
        <f ca="1"/>
        <v/>
      </c>
      <c r="H20" s="128">
        <f ca="1"/>
        <v>0</v>
      </c>
      <c r="I20" s="133">
        <f ca="1"/>
        <v>0</v>
      </c>
      <c r="J20" s="20" t="str">
        <f ca="1"/>
        <v/>
      </c>
      <c r="K20" s="20" t="str">
        <f ca="1"/>
        <v/>
      </c>
    </row>
    <row r="21" spans="1:11" ht="15.75">
      <c r="A21" s="134" t="str">
        <v>Sunset A</v>
      </c>
      <c r="B21" s="135" t="str">
        <v>MA</v>
      </c>
      <c r="C21" s="126" t="str" cm="1">
        <f t="array" aca="1" ref="C21:K21" ca="1">IF(INDIRECT("'" &amp; $A21 &amp; "'!B11:J11")="", "", INDIRECT("'" &amp; $A21 &amp; "'!B11:J11"))</f>
        <v/>
      </c>
      <c r="D21" s="126" t="str">
        <f ca="1"/>
        <v/>
      </c>
      <c r="E21" s="126">
        <f ca="1"/>
        <v>0</v>
      </c>
      <c r="F21" s="132">
        <f ca="1"/>
        <v>0</v>
      </c>
      <c r="G21" s="128" t="str">
        <f ca="1"/>
        <v/>
      </c>
      <c r="H21" s="128">
        <f ca="1"/>
        <v>0</v>
      </c>
      <c r="I21" s="133">
        <f ca="1"/>
        <v>0</v>
      </c>
      <c r="J21" s="20" t="str">
        <f ca="1"/>
        <v/>
      </c>
      <c r="K21" s="20" t="str">
        <f ca="1"/>
        <v/>
      </c>
    </row>
    <row r="22" spans="1:11" ht="15.75">
      <c r="A22" s="130" t="str">
        <v>Sunset B</v>
      </c>
      <c r="B22" s="131" t="str">
        <v>MA</v>
      </c>
      <c r="C22" s="126" t="str" cm="1">
        <f t="array" aca="1" ref="C22:K22" ca="1">IF(INDIRECT("'" &amp; $A22 &amp; "'!B11:J11")="", "", INDIRECT("'" &amp; $A22 &amp; "'!B11:J11"))</f>
        <v/>
      </c>
      <c r="D22" s="126" t="str">
        <f ca="1"/>
        <v/>
      </c>
      <c r="E22" s="126">
        <f ca="1"/>
        <v>0</v>
      </c>
      <c r="F22" s="132">
        <f ca="1"/>
        <v>0</v>
      </c>
      <c r="G22" s="128" t="str">
        <f ca="1"/>
        <v/>
      </c>
      <c r="H22" s="128">
        <f ca="1"/>
        <v>0</v>
      </c>
      <c r="I22" s="133">
        <f ca="1"/>
        <v>0</v>
      </c>
      <c r="J22" s="20" t="str">
        <f ca="1"/>
        <v/>
      </c>
      <c r="K22" s="20" t="str">
        <f ca="1"/>
        <v xml:space="preserve"> </v>
      </c>
    </row>
    <row r="23" spans="1:11" ht="15.75">
      <c r="A23" s="134" t="str">
        <v>Woodchuck</v>
      </c>
      <c r="B23" s="135" t="str">
        <v>MA</v>
      </c>
      <c r="C23" s="126" t="str" cm="1">
        <f t="array" aca="1" ref="C23:K23" ca="1">IF(INDIRECT("'" &amp; $A23 &amp; "'!B11:J11")="", "", INDIRECT("'" &amp; $A23 &amp; "'!B11:J11"))</f>
        <v/>
      </c>
      <c r="D23" s="126" t="str">
        <f ca="1"/>
        <v/>
      </c>
      <c r="E23" s="126">
        <f ca="1"/>
        <v>0</v>
      </c>
      <c r="F23" s="132">
        <f ca="1"/>
        <v>0</v>
      </c>
      <c r="G23" s="128" t="str">
        <f ca="1"/>
        <v/>
      </c>
      <c r="H23" s="128">
        <f ca="1"/>
        <v>0</v>
      </c>
      <c r="I23" s="133">
        <f ca="1"/>
        <v>0</v>
      </c>
      <c r="J23" s="20" t="str">
        <f ca="1"/>
        <v/>
      </c>
      <c r="K23" s="20" t="str">
        <f ca="1"/>
        <v/>
      </c>
    </row>
    <row r="24" spans="1:11" ht="24.75" customHeight="1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95"/>
    </row>
    <row r="25" spans="1:11">
      <c r="J25" s="9"/>
    </row>
    <row r="26" spans="1:11" ht="12.75" customHeight="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 ht="12.75" customHeight="1">
      <c r="A29" s="163"/>
      <c r="J29" s="9"/>
    </row>
    <row r="30" spans="1:11">
      <c r="J30" s="9"/>
    </row>
    <row r="63" spans="16:16">
      <c r="P63" t="s">
        <v>36</v>
      </c>
    </row>
  </sheetData>
  <autoFilter ref="A2:I2" xr:uid="{957CD936-B73F-469A-B0B5-B8EA155C9C51}"/>
  <sortState xmlns:xlrd2="http://schemas.microsoft.com/office/spreadsheetml/2017/richdata2" ref="A3:K23">
    <sortCondition ref="A3:A23"/>
  </sortState>
  <mergeCells count="8">
    <mergeCell ref="G1:I1"/>
    <mergeCell ref="J1:J2"/>
    <mergeCell ref="K1:K2"/>
    <mergeCell ref="A26:A27"/>
    <mergeCell ref="A28:A29"/>
    <mergeCell ref="A24:B24"/>
    <mergeCell ref="C1:F1"/>
    <mergeCell ref="A1:B1"/>
  </mergeCells>
  <conditionalFormatting sqref="F3:F24 I3:I24">
    <cfRule type="cellIs" dxfId="357" priority="1" operator="lessThanOrEqual">
      <formula>-0.1</formula>
    </cfRule>
    <cfRule type="cellIs" dxfId="35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"/>
  <sheetViews>
    <sheetView zoomScale="90" zoomScaleNormal="90" workbookViewId="0">
      <pane ySplit="2" topLeftCell="A16" activePane="bottomLeft" state="frozen"/>
      <selection pane="bottomLeft" activeCell="D28" sqref="D28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9.5703125" customWidth="1"/>
    <col min="11" max="11" width="37.85546875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37</v>
      </c>
      <c r="D1" s="167"/>
      <c r="E1" s="167"/>
      <c r="F1" s="168"/>
      <c r="G1" s="169" t="s">
        <v>38</v>
      </c>
      <c r="H1" s="169"/>
      <c r="I1" s="170"/>
      <c r="J1" s="158" t="s">
        <v>2</v>
      </c>
      <c r="K1" s="158" t="s">
        <v>3</v>
      </c>
    </row>
    <row r="2" spans="1:11" ht="14.2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 t="str" cm="1">
        <f t="array" aca="1" ref="C3:K3" ca="1">IF(INDIRECT("'" &amp; $A3 &amp; "'!B12:J12")="", "", INDIRECT("'" &amp; $A3 &amp; "'!B12:J12"))</f>
        <v/>
      </c>
      <c r="D3" s="38" t="str">
        <f ca="1"/>
        <v/>
      </c>
      <c r="E3" s="38">
        <f ca="1"/>
        <v>0</v>
      </c>
      <c r="F3" s="39">
        <f ca="1"/>
        <v>0</v>
      </c>
      <c r="G3" s="40" t="str">
        <f ca="1"/>
        <v/>
      </c>
      <c r="H3" s="40">
        <f ca="1"/>
        <v>0</v>
      </c>
      <c r="I3" s="41">
        <f ca="1"/>
        <v>0</v>
      </c>
      <c r="J3" s="123" t="str">
        <f ca="1"/>
        <v/>
      </c>
      <c r="K3" s="123" t="str">
        <f ca="1"/>
        <v/>
      </c>
    </row>
    <row r="4" spans="1:11" ht="15.75">
      <c r="A4" s="72" t="str">
        <v>Barton Acres</v>
      </c>
      <c r="B4" s="18" t="str">
        <v>MA</v>
      </c>
      <c r="C4" s="38" t="str" cm="1">
        <f t="array" aca="1" ref="C4:K4" ca="1">IF(INDIRECT("'" &amp; $A4 &amp; "'!B12:J12")="", "", INDIRECT("'" &amp; $A4 &amp; "'!B12:J12"))</f>
        <v/>
      </c>
      <c r="D4" s="38" t="str">
        <f ca="1"/>
        <v/>
      </c>
      <c r="E4" s="38">
        <f ca="1"/>
        <v>0</v>
      </c>
      <c r="F4" s="42">
        <f ca="1"/>
        <v>0</v>
      </c>
      <c r="G4" s="40" t="str">
        <f ca="1"/>
        <v/>
      </c>
      <c r="H4" s="40">
        <f ca="1"/>
        <v>0</v>
      </c>
      <c r="I4" s="43">
        <f ca="1"/>
        <v>0</v>
      </c>
      <c r="J4" s="123" t="str">
        <f ca="1"/>
        <v/>
      </c>
      <c r="K4" s="123" t="str">
        <f ca="1"/>
        <v/>
      </c>
    </row>
    <row r="5" spans="1:11" ht="15.75">
      <c r="A5" s="73" t="str">
        <v>Bowden</v>
      </c>
      <c r="B5" s="37" t="str">
        <v>MA</v>
      </c>
      <c r="C5" s="38" t="str" cm="1">
        <f t="array" aca="1" ref="C5:K5" ca="1">IF(INDIRECT("'" &amp; $A5 &amp; "'!B12:J12")="", "", INDIRECT("'" &amp; $A5 &amp; "'!B12:J12"))</f>
        <v/>
      </c>
      <c r="D5" s="38" t="str">
        <f ca="1"/>
        <v/>
      </c>
      <c r="E5" s="38">
        <f ca="1"/>
        <v>0</v>
      </c>
      <c r="F5" s="42">
        <f ca="1"/>
        <v>0</v>
      </c>
      <c r="G5" s="40" t="str">
        <f ca="1"/>
        <v/>
      </c>
      <c r="H5" s="40">
        <f ca="1"/>
        <v>0</v>
      </c>
      <c r="I5" s="43">
        <f ca="1"/>
        <v>0</v>
      </c>
      <c r="J5" s="123" t="str">
        <f ca="1"/>
        <v/>
      </c>
      <c r="K5" s="123" t="str">
        <f ca="1"/>
        <v/>
      </c>
    </row>
    <row r="6" spans="1:11" ht="15.75">
      <c r="A6" s="72" t="str">
        <v>Blair Wire Village</v>
      </c>
      <c r="B6" s="18" t="str">
        <v>MA</v>
      </c>
      <c r="C6" s="38" t="str" cm="1">
        <f t="array" aca="1" ref="C6:K6" ca="1">IF(INDIRECT("'" &amp; $A6 &amp; "'!B12:J12")="", "", INDIRECT("'" &amp; $A6 &amp; "'!B12:J12"))</f>
        <v/>
      </c>
      <c r="D6" s="38" t="str">
        <f ca="1"/>
        <v/>
      </c>
      <c r="E6" s="38">
        <f ca="1"/>
        <v>0</v>
      </c>
      <c r="F6" s="42">
        <f ca="1"/>
        <v>0</v>
      </c>
      <c r="G6" s="40" t="str">
        <f ca="1"/>
        <v/>
      </c>
      <c r="H6" s="40">
        <f ca="1"/>
        <v>0</v>
      </c>
      <c r="I6" s="43">
        <f ca="1"/>
        <v>0</v>
      </c>
      <c r="J6" s="123" t="str">
        <f ca="1"/>
        <v/>
      </c>
      <c r="K6" s="123" t="str">
        <f ca="1"/>
        <v/>
      </c>
    </row>
    <row r="7" spans="1:11" ht="15.75">
      <c r="A7" s="73" t="str">
        <v>Boutilier</v>
      </c>
      <c r="B7" s="37" t="str">
        <v>MA</v>
      </c>
      <c r="C7" s="38" t="str" cm="1">
        <f t="array" aca="1" ref="C7:K7" ca="1">IF(INDIRECT("'" &amp; $A7 &amp; "'!B12:J12")="", "", INDIRECT("'" &amp; $A7 &amp; "'!B12:J12"))</f>
        <v/>
      </c>
      <c r="D7" s="38" t="str">
        <f ca="1"/>
        <v/>
      </c>
      <c r="E7" s="38">
        <f ca="1"/>
        <v>0</v>
      </c>
      <c r="F7" s="42">
        <f ca="1"/>
        <v>0</v>
      </c>
      <c r="G7" s="40" t="str">
        <f ca="1"/>
        <v/>
      </c>
      <c r="H7" s="40">
        <f ca="1"/>
        <v>0</v>
      </c>
      <c r="I7" s="43">
        <f ca="1"/>
        <v>0</v>
      </c>
      <c r="J7" s="149" t="str">
        <f ca="1"/>
        <v/>
      </c>
      <c r="K7" s="149" t="str">
        <f ca="1"/>
        <v/>
      </c>
    </row>
    <row r="8" spans="1:11" ht="15.75">
      <c r="A8" s="130" t="str">
        <v>Cherry Valley</v>
      </c>
      <c r="B8" s="131" t="str">
        <v>MA</v>
      </c>
      <c r="C8" s="126" t="str" cm="1">
        <f t="array" aca="1" ref="C8:K8" ca="1">IF(INDIRECT("'" &amp; $A8 &amp; "'!B12:J12")="", "", INDIRECT("'" &amp; $A8 &amp; "'!B12:J12"))</f>
        <v/>
      </c>
      <c r="D8" s="126" t="str">
        <f ca="1"/>
        <v/>
      </c>
      <c r="E8" s="126">
        <f ca="1"/>
        <v>0</v>
      </c>
      <c r="F8" s="132">
        <f ca="1"/>
        <v>0</v>
      </c>
      <c r="G8" s="128" t="str">
        <f ca="1"/>
        <v/>
      </c>
      <c r="H8" s="128">
        <f ca="1"/>
        <v>0</v>
      </c>
      <c r="I8" s="133">
        <f ca="1"/>
        <v>0</v>
      </c>
      <c r="J8" s="138" t="str">
        <f ca="1"/>
        <v/>
      </c>
      <c r="K8" s="138" t="str">
        <f ca="1"/>
        <v/>
      </c>
    </row>
    <row r="9" spans="1:11" ht="15.75">
      <c r="A9" s="73" t="str">
        <v>Cohasse</v>
      </c>
      <c r="B9" s="37" t="str">
        <v>MA</v>
      </c>
      <c r="C9" s="38" t="str" cm="1">
        <f t="array" aca="1" ref="C9:K9" ca="1">IF(INDIRECT("'" &amp; $A9 &amp; "'!B12:J12")="", "", INDIRECT("'" &amp; $A9 &amp; "'!B12:J12"))</f>
        <v/>
      </c>
      <c r="D9" s="38" t="str">
        <f ca="1"/>
        <v/>
      </c>
      <c r="E9" s="38">
        <f ca="1"/>
        <v>0</v>
      </c>
      <c r="F9" s="42">
        <f ca="1"/>
        <v>0</v>
      </c>
      <c r="G9" s="40" t="str">
        <f ca="1"/>
        <v/>
      </c>
      <c r="H9" s="40">
        <f ca="1"/>
        <v>0</v>
      </c>
      <c r="I9" s="43">
        <f ca="1"/>
        <v>0</v>
      </c>
      <c r="J9" s="20" t="str">
        <f ca="1"/>
        <v/>
      </c>
      <c r="K9" s="20" t="str">
        <f ca="1"/>
        <v/>
      </c>
    </row>
    <row r="10" spans="1:11" ht="19.5" customHeight="1">
      <c r="A10" s="72" t="str">
        <v>ISM Dighton Solar 2</v>
      </c>
      <c r="B10" s="18" t="str">
        <v>MA</v>
      </c>
      <c r="C10" s="38" t="str" cm="1">
        <f t="array" aca="1" ref="C10:K10" ca="1">IF(INDIRECT("'" &amp; $A10 &amp; "'!B12:J12")="", "", INDIRECT("'" &amp; $A10 &amp; "'!B12:J12"))</f>
        <v/>
      </c>
      <c r="D10" s="38" t="str">
        <f ca="1"/>
        <v/>
      </c>
      <c r="E10" s="38">
        <f ca="1"/>
        <v>0</v>
      </c>
      <c r="F10" s="42">
        <f ca="1"/>
        <v>0</v>
      </c>
      <c r="G10" s="40" t="str">
        <f ca="1"/>
        <v/>
      </c>
      <c r="H10" s="40">
        <f ca="1"/>
        <v>0</v>
      </c>
      <c r="I10" s="43">
        <f ca="1"/>
        <v>0</v>
      </c>
      <c r="J10" s="20" t="str">
        <f ca="1"/>
        <v/>
      </c>
      <c r="K10" s="20" t="str">
        <f ca="1"/>
        <v/>
      </c>
    </row>
    <row r="11" spans="1:11" ht="67.349999999999994" customHeight="1">
      <c r="A11" s="73" t="str">
        <v>Dudley River 1</v>
      </c>
      <c r="B11" s="37" t="str">
        <v>MA</v>
      </c>
      <c r="C11" s="38" t="str" cm="1">
        <f t="array" aca="1" ref="C11:K11" ca="1">IF(INDIRECT("'" &amp; $A11 &amp; "'!B12:J12")="", "", INDIRECT("'" &amp; $A11 &amp; "'!B12:J12"))</f>
        <v/>
      </c>
      <c r="D11" s="38" t="str">
        <f ca="1"/>
        <v/>
      </c>
      <c r="E11" s="38">
        <f ca="1"/>
        <v>0</v>
      </c>
      <c r="F11" s="42">
        <f ca="1"/>
        <v>0</v>
      </c>
      <c r="G11" s="40" t="str">
        <f ca="1"/>
        <v/>
      </c>
      <c r="H11" s="40">
        <f ca="1"/>
        <v>0</v>
      </c>
      <c r="I11" s="43">
        <f ca="1"/>
        <v>0</v>
      </c>
      <c r="J11" s="20" t="str">
        <f ca="1"/>
        <v/>
      </c>
      <c r="K11" s="20" t="str">
        <f ca="1"/>
        <v/>
      </c>
    </row>
    <row r="12" spans="1:11" ht="15.75">
      <c r="A12" s="72" t="str">
        <v>Dudley River 2</v>
      </c>
      <c r="B12" s="18" t="str">
        <v>MA</v>
      </c>
      <c r="C12" s="38" t="str" cm="1">
        <f t="array" aca="1" ref="C12:K12" ca="1">IF(INDIRECT("'" &amp; $A12 &amp; "'!B12:J12")="", "", INDIRECT("'" &amp; $A12 &amp; "'!B12:J12"))</f>
        <v/>
      </c>
      <c r="D12" s="38" t="str">
        <f ca="1"/>
        <v/>
      </c>
      <c r="E12" s="38">
        <f ca="1"/>
        <v>0</v>
      </c>
      <c r="F12" s="42">
        <f ca="1"/>
        <v>0</v>
      </c>
      <c r="G12" s="40" t="str">
        <f ca="1"/>
        <v/>
      </c>
      <c r="H12" s="40">
        <f ca="1"/>
        <v>0</v>
      </c>
      <c r="I12" s="43">
        <f ca="1"/>
        <v>0</v>
      </c>
      <c r="J12" s="20" t="str">
        <f ca="1"/>
        <v/>
      </c>
      <c r="K12" s="20" t="str">
        <f ca="1"/>
        <v/>
      </c>
    </row>
    <row r="13" spans="1:11" ht="15.75">
      <c r="A13" s="73" t="str">
        <v>Dudley River 3</v>
      </c>
      <c r="B13" s="37" t="str">
        <v>MA</v>
      </c>
      <c r="C13" s="38" t="str" cm="1">
        <f t="array" aca="1" ref="C13:K13" ca="1">IF(INDIRECT("'" &amp; $A13 &amp; "'!B12:J12")="", "", INDIRECT("'" &amp; $A13 &amp; "'!B12:J12"))</f>
        <v/>
      </c>
      <c r="D13" s="38" t="str">
        <f ca="1"/>
        <v/>
      </c>
      <c r="E13" s="38">
        <f ca="1"/>
        <v>0</v>
      </c>
      <c r="F13" s="42">
        <f ca="1"/>
        <v>0</v>
      </c>
      <c r="G13" s="40" t="str">
        <f ca="1"/>
        <v/>
      </c>
      <c r="H13" s="40">
        <f ca="1"/>
        <v>0</v>
      </c>
      <c r="I13" s="43">
        <f ca="1"/>
        <v>0</v>
      </c>
      <c r="J13" s="20" t="str">
        <f ca="1"/>
        <v/>
      </c>
      <c r="K13" s="20" t="str">
        <f ca="1"/>
        <v/>
      </c>
    </row>
    <row r="14" spans="1:11" ht="15.75">
      <c r="A14" s="72" t="str">
        <v>Flint Pond</v>
      </c>
      <c r="B14" s="18" t="str">
        <v>MA</v>
      </c>
      <c r="C14" s="38" t="str" cm="1">
        <f t="array" aca="1" ref="C14:K14" ca="1">IF(INDIRECT("'" &amp; $A14 &amp; "'!B12:J12")="", "", INDIRECT("'" &amp; $A14 &amp; "'!B12:J12"))</f>
        <v/>
      </c>
      <c r="D14" s="38" t="str">
        <f ca="1"/>
        <v/>
      </c>
      <c r="E14" s="38">
        <f ca="1"/>
        <v>0</v>
      </c>
      <c r="F14" s="42">
        <f ca="1"/>
        <v>0</v>
      </c>
      <c r="G14" s="40" t="str">
        <f ca="1"/>
        <v/>
      </c>
      <c r="H14" s="40">
        <f ca="1"/>
        <v>0</v>
      </c>
      <c r="I14" s="43">
        <f ca="1"/>
        <v>0</v>
      </c>
      <c r="J14" s="20" t="str">
        <f ca="1"/>
        <v/>
      </c>
      <c r="K14" s="20" t="str">
        <f ca="1"/>
        <v/>
      </c>
    </row>
    <row r="15" spans="1:11" ht="50.1" customHeight="1">
      <c r="A15" s="73" t="str">
        <v>Incom</v>
      </c>
      <c r="B15" s="37" t="str">
        <v>MA</v>
      </c>
      <c r="C15" s="38" t="str" cm="1">
        <f t="array" aca="1" ref="C15:K15" ca="1">IF(INDIRECT("'" &amp; $A15 &amp; "'!B12:J12")="", "", INDIRECT("'" &amp; $A15 &amp; "'!B12:J12"))</f>
        <v/>
      </c>
      <c r="D15" s="38" t="str">
        <f ca="1"/>
        <v/>
      </c>
      <c r="E15" s="38">
        <f ca="1"/>
        <v>0</v>
      </c>
      <c r="F15" s="42">
        <f ca="1"/>
        <v>0</v>
      </c>
      <c r="G15" s="40" t="str">
        <f ca="1"/>
        <v/>
      </c>
      <c r="H15" s="40">
        <f ca="1"/>
        <v>0</v>
      </c>
      <c r="I15" s="43">
        <f ca="1"/>
        <v>0</v>
      </c>
      <c r="J15" s="20" t="str">
        <f ca="1"/>
        <v/>
      </c>
      <c r="K15" s="20" t="str">
        <f ca="1"/>
        <v/>
      </c>
    </row>
    <row r="16" spans="1:11" ht="15.75">
      <c r="A16" s="72" t="str">
        <v>JH</v>
      </c>
      <c r="B16" s="18" t="str">
        <v>MA</v>
      </c>
      <c r="C16" s="38" t="str" cm="1">
        <f t="array" aca="1" ref="C16:K16" ca="1">IF(INDIRECT("'" &amp; $A16 &amp; "'!B12:J12")="", "", INDIRECT("'" &amp; $A16 &amp; "'!B12:J12"))</f>
        <v/>
      </c>
      <c r="D16" s="38" t="str">
        <f ca="1"/>
        <v/>
      </c>
      <c r="E16" s="38">
        <f ca="1"/>
        <v>0</v>
      </c>
      <c r="F16" s="42">
        <f ca="1"/>
        <v>0</v>
      </c>
      <c r="G16" s="40" t="str">
        <f ca="1"/>
        <v/>
      </c>
      <c r="H16" s="40">
        <f ca="1"/>
        <v>0</v>
      </c>
      <c r="I16" s="43">
        <f ca="1"/>
        <v>0</v>
      </c>
      <c r="J16" s="20" t="str">
        <f ca="1"/>
        <v/>
      </c>
      <c r="K16" s="20" t="str">
        <f ca="1"/>
        <v/>
      </c>
    </row>
    <row r="17" spans="1:11" ht="15.75">
      <c r="A17" s="73" t="str">
        <v>Ledeaux</v>
      </c>
      <c r="B17" s="37" t="str">
        <v>MA</v>
      </c>
      <c r="C17" s="38" t="str" cm="1">
        <f t="array" aca="1" ref="C17:K17" ca="1">IF(INDIRECT("'" &amp; $A17 &amp; "'!B12:J12")="", "", INDIRECT("'" &amp; $A17 &amp; "'!B12:J12"))</f>
        <v/>
      </c>
      <c r="D17" s="38" t="str">
        <f ca="1"/>
        <v/>
      </c>
      <c r="E17" s="38">
        <f ca="1"/>
        <v>0</v>
      </c>
      <c r="F17" s="42">
        <f ca="1"/>
        <v>0</v>
      </c>
      <c r="G17" s="40" t="str">
        <f ca="1"/>
        <v/>
      </c>
      <c r="H17" s="40">
        <f ca="1"/>
        <v>0</v>
      </c>
      <c r="I17" s="43">
        <f ca="1"/>
        <v>0</v>
      </c>
      <c r="J17" s="20" t="str">
        <f ca="1"/>
        <v/>
      </c>
      <c r="K17" s="20" t="str">
        <f ca="1"/>
        <v/>
      </c>
    </row>
    <row r="18" spans="1:11" ht="15.75">
      <c r="A18" s="72" t="str">
        <v>Palombo A</v>
      </c>
      <c r="B18" s="18" t="str">
        <v>MA</v>
      </c>
      <c r="C18" s="38" t="str" cm="1">
        <f t="array" aca="1" ref="C18:K18" ca="1">IF(INDIRECT("'" &amp; $A18 &amp; "'!B12:J12")="", "", INDIRECT("'" &amp; $A18 &amp; "'!B12:J12"))</f>
        <v/>
      </c>
      <c r="D18" s="38" t="str">
        <f ca="1"/>
        <v/>
      </c>
      <c r="E18" s="38">
        <f ca="1"/>
        <v>0</v>
      </c>
      <c r="F18" s="42">
        <f ca="1"/>
        <v>0</v>
      </c>
      <c r="G18" s="40" t="str">
        <f ca="1"/>
        <v/>
      </c>
      <c r="H18" s="40">
        <f ca="1"/>
        <v>0</v>
      </c>
      <c r="I18" s="43">
        <f ca="1"/>
        <v>0</v>
      </c>
      <c r="J18" s="20" t="str">
        <f ca="1"/>
        <v/>
      </c>
      <c r="K18" s="20" t="str">
        <f ca="1"/>
        <v/>
      </c>
    </row>
    <row r="19" spans="1:11" ht="15.75">
      <c r="A19" s="73" t="str">
        <v>Palombo B</v>
      </c>
      <c r="B19" s="37" t="str">
        <v>MA</v>
      </c>
      <c r="C19" s="38" t="str" cm="1">
        <f t="array" aca="1" ref="C19:K19" ca="1">IF(INDIRECT("'" &amp; $A19 &amp; "'!B12:J12")="", "", INDIRECT("'" &amp; $A19 &amp; "'!B12:J12"))</f>
        <v/>
      </c>
      <c r="D19" s="38" t="str">
        <f ca="1"/>
        <v/>
      </c>
      <c r="E19" s="38">
        <f ca="1"/>
        <v>0</v>
      </c>
      <c r="F19" s="42">
        <f ca="1"/>
        <v>0</v>
      </c>
      <c r="G19" s="40" t="str">
        <f ca="1"/>
        <v/>
      </c>
      <c r="H19" s="40">
        <f ca="1"/>
        <v>0</v>
      </c>
      <c r="I19" s="43">
        <f ca="1"/>
        <v>0</v>
      </c>
      <c r="J19" s="20" t="str">
        <f ca="1"/>
        <v/>
      </c>
      <c r="K19" s="20" t="str">
        <f ca="1"/>
        <v/>
      </c>
    </row>
    <row r="20" spans="1:11" ht="15.75">
      <c r="A20" s="72" t="str">
        <v>St Josephs Church</v>
      </c>
      <c r="B20" s="18" t="str">
        <v>MA</v>
      </c>
      <c r="C20" s="38" t="str" cm="1">
        <f t="array" aca="1" ref="C20:K20" ca="1">IF(INDIRECT("'" &amp; $A20 &amp; "'!B12:J12")="", "", INDIRECT("'" &amp; $A20 &amp; "'!B12:J12"))</f>
        <v/>
      </c>
      <c r="D20" s="38" t="str">
        <f ca="1"/>
        <v/>
      </c>
      <c r="E20" s="38">
        <f ca="1"/>
        <v>0</v>
      </c>
      <c r="F20" s="42">
        <f ca="1"/>
        <v>0</v>
      </c>
      <c r="G20" s="40" t="str">
        <f ca="1"/>
        <v/>
      </c>
      <c r="H20" s="40">
        <f ca="1"/>
        <v>0</v>
      </c>
      <c r="I20" s="43">
        <f ca="1"/>
        <v>0</v>
      </c>
      <c r="J20" s="20" t="str">
        <f ca="1"/>
        <v/>
      </c>
      <c r="K20" s="20" t="str">
        <f ca="1"/>
        <v/>
      </c>
    </row>
    <row r="21" spans="1:11" ht="15.75">
      <c r="A21" s="73" t="str">
        <v>Sunset A</v>
      </c>
      <c r="B21" s="37" t="str">
        <v>MA</v>
      </c>
      <c r="C21" s="38" t="str" cm="1">
        <f t="array" aca="1" ref="C21:K21" ca="1">IF(INDIRECT("'" &amp; $A21 &amp; "'!B12:J12")="", "", INDIRECT("'" &amp; $A21 &amp; "'!B12:J12"))</f>
        <v/>
      </c>
      <c r="D21" s="38" t="str">
        <f ca="1"/>
        <v/>
      </c>
      <c r="E21" s="38">
        <f ca="1"/>
        <v>0</v>
      </c>
      <c r="F21" s="42">
        <f ca="1"/>
        <v>0</v>
      </c>
      <c r="G21" s="40" t="str">
        <f ca="1"/>
        <v/>
      </c>
      <c r="H21" s="40">
        <f ca="1"/>
        <v>0</v>
      </c>
      <c r="I21" s="43">
        <f ca="1"/>
        <v>0</v>
      </c>
      <c r="J21" s="20" t="str">
        <f ca="1"/>
        <v/>
      </c>
      <c r="K21" s="20" t="str">
        <f ca="1"/>
        <v/>
      </c>
    </row>
    <row r="22" spans="1:11" ht="15.75">
      <c r="A22" s="72" t="str">
        <v>Sunset B</v>
      </c>
      <c r="B22" s="18" t="str">
        <v>MA</v>
      </c>
      <c r="C22" s="38" t="str" cm="1">
        <f t="array" aca="1" ref="C22:K22" ca="1">IF(INDIRECT("'" &amp; $A22 &amp; "'!B12:J12")="", "", INDIRECT("'" &amp; $A22 &amp; "'!B12:J12"))</f>
        <v/>
      </c>
      <c r="D22" s="38" t="str">
        <f ca="1"/>
        <v/>
      </c>
      <c r="E22" s="38">
        <f ca="1"/>
        <v>0</v>
      </c>
      <c r="F22" s="42">
        <f ca="1"/>
        <v>0</v>
      </c>
      <c r="G22" s="40" t="str">
        <f ca="1"/>
        <v/>
      </c>
      <c r="H22" s="40">
        <f ca="1"/>
        <v>0</v>
      </c>
      <c r="I22" s="43">
        <f ca="1"/>
        <v>0</v>
      </c>
      <c r="J22" s="123" t="str">
        <f ca="1"/>
        <v/>
      </c>
      <c r="K22" s="123" t="str">
        <f ca="1"/>
        <v/>
      </c>
    </row>
    <row r="23" spans="1:11" ht="15.75">
      <c r="A23" s="73" t="str">
        <v>Woodchuck</v>
      </c>
      <c r="B23" s="37" t="str">
        <v>MA</v>
      </c>
      <c r="C23" s="38" t="str" cm="1">
        <f t="array" aca="1" ref="C23:K23" ca="1">IF(INDIRECT("'" &amp; $A23 &amp; "'!B12:J12")="", "", INDIRECT("'" &amp; $A23 &amp; "'!B12:J12"))</f>
        <v/>
      </c>
      <c r="D23" s="38" t="str">
        <f ca="1"/>
        <v/>
      </c>
      <c r="E23" s="38">
        <f ca="1"/>
        <v>0</v>
      </c>
      <c r="F23" s="42">
        <f ca="1"/>
        <v>0</v>
      </c>
      <c r="G23" s="40" t="str">
        <f ca="1"/>
        <v/>
      </c>
      <c r="H23" s="40">
        <f ca="1"/>
        <v>0</v>
      </c>
      <c r="I23" s="43">
        <f ca="1"/>
        <v>0</v>
      </c>
      <c r="J23" s="123" t="str">
        <f ca="1"/>
        <v/>
      </c>
      <c r="K23" s="123" t="str">
        <f ca="1"/>
        <v/>
      </c>
    </row>
    <row r="24" spans="1:11" ht="24.75" customHeight="1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9"/>
    </row>
    <row r="26" spans="1:11" ht="12.75" customHeight="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 ht="12.75" customHeight="1">
      <c r="A29" s="163"/>
      <c r="J29" s="9"/>
    </row>
    <row r="30" spans="1:11">
      <c r="J30" s="9"/>
    </row>
  </sheetData>
  <autoFilter ref="A2:I2" xr:uid="{48D80AE8-42BF-4DAC-863F-113F77A3E00F}"/>
  <mergeCells count="8">
    <mergeCell ref="G1:I1"/>
    <mergeCell ref="J1:J2"/>
    <mergeCell ref="K1:K2"/>
    <mergeCell ref="A26:A27"/>
    <mergeCell ref="A28:A29"/>
    <mergeCell ref="A24:B24"/>
    <mergeCell ref="C1:F1"/>
    <mergeCell ref="A1:B1"/>
  </mergeCells>
  <conditionalFormatting sqref="F3:F24 I3:I24">
    <cfRule type="cellIs" dxfId="355" priority="1" operator="lessThanOrEqual">
      <formula>-0.1</formula>
    </cfRule>
    <cfRule type="cellIs" dxfId="35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"/>
  <sheetViews>
    <sheetView workbookViewId="0">
      <pane ySplit="2" topLeftCell="A3" activePane="bottomLeft" state="frozen"/>
      <selection pane="bottomLeft" activeCell="D28" sqref="D28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style="151" customWidth="1"/>
    <col min="11" max="11" width="19.42578125" style="151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39</v>
      </c>
      <c r="D1" s="167"/>
      <c r="E1" s="167"/>
      <c r="F1" s="168"/>
      <c r="G1" s="169" t="s">
        <v>40</v>
      </c>
      <c r="H1" s="169"/>
      <c r="I1" s="170"/>
      <c r="J1" s="171" t="s">
        <v>2</v>
      </c>
      <c r="K1" s="171" t="s">
        <v>3</v>
      </c>
    </row>
    <row r="2" spans="1:11" ht="14.2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72"/>
      <c r="K2" s="172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 t="str" cm="1">
        <f t="array" aca="1" ref="C3:K3" ca="1">IF(INDIRECT("'" &amp; $A3 &amp; "'!B13:J13")="", "", INDIRECT("'" &amp; $A3 &amp; "'!B13:J13"))</f>
        <v/>
      </c>
      <c r="D3" s="38" t="str">
        <f ca="1"/>
        <v/>
      </c>
      <c r="E3" s="38">
        <f ca="1"/>
        <v>0</v>
      </c>
      <c r="F3" s="39">
        <f ca="1"/>
        <v>0</v>
      </c>
      <c r="G3" s="40" t="str">
        <f ca="1"/>
        <v/>
      </c>
      <c r="H3" s="40">
        <f ca="1"/>
        <v>0</v>
      </c>
      <c r="I3" s="41">
        <f ca="1"/>
        <v>0</v>
      </c>
      <c r="J3" s="20" t="str">
        <f ca="1"/>
        <v/>
      </c>
      <c r="K3" s="20" t="str">
        <f ca="1"/>
        <v/>
      </c>
    </row>
    <row r="4" spans="1:11" ht="15.75">
      <c r="A4" s="72" t="str">
        <v>Barton Acres</v>
      </c>
      <c r="B4" s="18" t="str">
        <v>MA</v>
      </c>
      <c r="C4" s="38" t="str" cm="1">
        <f t="array" aca="1" ref="C4:K4" ca="1">IF(INDIRECT("'" &amp; $A4 &amp; "'!B13:J13")="", "", INDIRECT("'" &amp; $A4 &amp; "'!B13:J13"))</f>
        <v/>
      </c>
      <c r="D4" s="38" t="str">
        <f ca="1"/>
        <v/>
      </c>
      <c r="E4" s="38">
        <f ca="1"/>
        <v>0</v>
      </c>
      <c r="F4" s="42">
        <f ca="1"/>
        <v>0</v>
      </c>
      <c r="G4" s="40" t="str">
        <f ca="1"/>
        <v/>
      </c>
      <c r="H4" s="40">
        <f ca="1"/>
        <v>0</v>
      </c>
      <c r="I4" s="43">
        <f ca="1"/>
        <v>0</v>
      </c>
      <c r="J4" s="20" t="str">
        <f ca="1"/>
        <v/>
      </c>
      <c r="K4" s="20" t="str">
        <f ca="1"/>
        <v/>
      </c>
    </row>
    <row r="5" spans="1:11" ht="15.75">
      <c r="A5" s="73" t="str">
        <v>Bowden</v>
      </c>
      <c r="B5" s="37" t="str">
        <v>MA</v>
      </c>
      <c r="C5" s="38" t="str" cm="1">
        <f t="array" aca="1" ref="C5:K5" ca="1">IF(INDIRECT("'" &amp; $A5 &amp; "'!B13:J13")="", "", INDIRECT("'" &amp; $A5 &amp; "'!B13:J13"))</f>
        <v/>
      </c>
      <c r="D5" s="38" t="str">
        <f ca="1"/>
        <v/>
      </c>
      <c r="E5" s="38">
        <f ca="1"/>
        <v>0</v>
      </c>
      <c r="F5" s="42">
        <f ca="1"/>
        <v>0</v>
      </c>
      <c r="G5" s="40" t="str">
        <f ca="1"/>
        <v/>
      </c>
      <c r="H5" s="40">
        <f ca="1"/>
        <v>0</v>
      </c>
      <c r="I5" s="43">
        <f ca="1"/>
        <v>0</v>
      </c>
      <c r="J5" s="20" t="str">
        <f ca="1"/>
        <v/>
      </c>
      <c r="K5" s="20" t="str">
        <f ca="1"/>
        <v/>
      </c>
    </row>
    <row r="6" spans="1:11" ht="15.75">
      <c r="A6" s="72" t="str">
        <v>Blair Wire Village</v>
      </c>
      <c r="B6" s="18" t="str">
        <v>MA</v>
      </c>
      <c r="C6" s="38" t="str" cm="1">
        <f t="array" aca="1" ref="C6:K6" ca="1">IF(INDIRECT("'" &amp; $A6 &amp; "'!B13:J13")="", "", INDIRECT("'" &amp; $A6 &amp; "'!B13:J13"))</f>
        <v/>
      </c>
      <c r="D6" s="38" t="str">
        <f ca="1"/>
        <v/>
      </c>
      <c r="E6" s="38">
        <f ca="1"/>
        <v>0</v>
      </c>
      <c r="F6" s="42">
        <f ca="1"/>
        <v>0</v>
      </c>
      <c r="G6" s="40" t="str">
        <f ca="1"/>
        <v/>
      </c>
      <c r="H6" s="40">
        <f ca="1"/>
        <v>0</v>
      </c>
      <c r="I6" s="43">
        <f ca="1"/>
        <v>0</v>
      </c>
      <c r="J6" s="20" t="str">
        <f ca="1"/>
        <v/>
      </c>
      <c r="K6" s="20" t="str">
        <f ca="1"/>
        <v/>
      </c>
    </row>
    <row r="7" spans="1:11" ht="15.75">
      <c r="A7" s="73" t="str">
        <v>Boutilier</v>
      </c>
      <c r="B7" s="37" t="str">
        <v>MA</v>
      </c>
      <c r="C7" s="38" t="str" cm="1">
        <f t="array" aca="1" ref="C7:K7" ca="1">IF(INDIRECT("'" &amp; $A7 &amp; "'!B13:J13")="", "", INDIRECT("'" &amp; $A7 &amp; "'!B13:J13"))</f>
        <v/>
      </c>
      <c r="D7" s="38" t="str">
        <f ca="1"/>
        <v/>
      </c>
      <c r="E7" s="38">
        <f ca="1"/>
        <v>0</v>
      </c>
      <c r="F7" s="42">
        <f ca="1"/>
        <v>0</v>
      </c>
      <c r="G7" s="40" t="str">
        <f ca="1"/>
        <v/>
      </c>
      <c r="H7" s="40">
        <f ca="1"/>
        <v>0</v>
      </c>
      <c r="I7" s="43">
        <f ca="1"/>
        <v>0</v>
      </c>
      <c r="J7" s="20" t="str">
        <f ca="1"/>
        <v/>
      </c>
      <c r="K7" s="20" t="str">
        <f ca="1"/>
        <v/>
      </c>
    </row>
    <row r="8" spans="1:11" ht="15.75">
      <c r="A8" s="72" t="str">
        <v>Cherry Valley</v>
      </c>
      <c r="B8" s="18" t="str">
        <v>MA</v>
      </c>
      <c r="C8" s="38" t="str" cm="1">
        <f t="array" aca="1" ref="C8:K8" ca="1">IF(INDIRECT("'" &amp; $A8 &amp; "'!B13:J13")="", "", INDIRECT("'" &amp; $A8 &amp; "'!B13:J13"))</f>
        <v/>
      </c>
      <c r="D8" s="38" t="str">
        <f ca="1"/>
        <v/>
      </c>
      <c r="E8" s="38">
        <f ca="1"/>
        <v>0</v>
      </c>
      <c r="F8" s="42">
        <f ca="1"/>
        <v>0</v>
      </c>
      <c r="G8" s="40" t="str">
        <f ca="1"/>
        <v/>
      </c>
      <c r="H8" s="40">
        <f ca="1"/>
        <v>0</v>
      </c>
      <c r="I8" s="43">
        <f ca="1"/>
        <v>0</v>
      </c>
      <c r="J8" s="20" t="str">
        <f ca="1"/>
        <v/>
      </c>
      <c r="K8" s="20" t="str">
        <f ca="1"/>
        <v/>
      </c>
    </row>
    <row r="9" spans="1:11" ht="15.75">
      <c r="A9" s="73" t="str">
        <v>Cohasse</v>
      </c>
      <c r="B9" s="37" t="str">
        <v>MA</v>
      </c>
      <c r="C9" s="38" t="str" cm="1">
        <f t="array" aca="1" ref="C9:K9" ca="1">IF(INDIRECT("'" &amp; $A9 &amp; "'!B13:J13")="", "", INDIRECT("'" &amp; $A9 &amp; "'!B13:J13"))</f>
        <v/>
      </c>
      <c r="D9" s="38" t="str">
        <f ca="1"/>
        <v/>
      </c>
      <c r="E9" s="38">
        <f ca="1"/>
        <v>0</v>
      </c>
      <c r="F9" s="42">
        <f ca="1"/>
        <v>0</v>
      </c>
      <c r="G9" s="40" t="str">
        <f ca="1"/>
        <v/>
      </c>
      <c r="H9" s="40">
        <f ca="1"/>
        <v>0</v>
      </c>
      <c r="I9" s="43">
        <f ca="1"/>
        <v>0</v>
      </c>
      <c r="J9" s="20" t="str">
        <f ca="1"/>
        <v/>
      </c>
      <c r="K9" s="20" t="str">
        <f ca="1"/>
        <v/>
      </c>
    </row>
    <row r="10" spans="1:11" ht="15.75">
      <c r="A10" s="72" t="str">
        <v>ISM Dighton Solar 2</v>
      </c>
      <c r="B10" s="18" t="str">
        <v>MA</v>
      </c>
      <c r="C10" s="38" t="str" cm="1">
        <f t="array" aca="1" ref="C10:K10" ca="1">IF(INDIRECT("'" &amp; $A10 &amp; "'!B13:J13")="", "", INDIRECT("'" &amp; $A10 &amp; "'!B13:J13"))</f>
        <v/>
      </c>
      <c r="D10" s="38" t="str">
        <f ca="1"/>
        <v/>
      </c>
      <c r="E10" s="38">
        <f ca="1"/>
        <v>0</v>
      </c>
      <c r="F10" s="42">
        <f ca="1"/>
        <v>0</v>
      </c>
      <c r="G10" s="40" t="str">
        <f ca="1"/>
        <v/>
      </c>
      <c r="H10" s="40">
        <f ca="1"/>
        <v>0</v>
      </c>
      <c r="I10" s="43">
        <f ca="1"/>
        <v>0</v>
      </c>
      <c r="J10" s="20" t="str">
        <f ca="1"/>
        <v/>
      </c>
      <c r="K10" s="20" t="str">
        <f ca="1"/>
        <v/>
      </c>
    </row>
    <row r="11" spans="1:11" ht="15.75">
      <c r="A11" s="73" t="str">
        <v>Dudley River 1</v>
      </c>
      <c r="B11" s="37" t="str">
        <v>MA</v>
      </c>
      <c r="C11" s="38" t="str" cm="1">
        <f t="array" aca="1" ref="C11:K11" ca="1">IF(INDIRECT("'" &amp; $A11 &amp; "'!B13:J13")="", "", INDIRECT("'" &amp; $A11 &amp; "'!B13:J13"))</f>
        <v/>
      </c>
      <c r="D11" s="38" t="str">
        <f ca="1"/>
        <v/>
      </c>
      <c r="E11" s="38">
        <f ca="1"/>
        <v>0</v>
      </c>
      <c r="F11" s="42">
        <f ca="1"/>
        <v>0</v>
      </c>
      <c r="G11" s="40" t="str">
        <f ca="1"/>
        <v/>
      </c>
      <c r="H11" s="40">
        <f ca="1"/>
        <v>0</v>
      </c>
      <c r="I11" s="43">
        <f ca="1"/>
        <v>0</v>
      </c>
      <c r="J11" s="20" t="str">
        <f ca="1"/>
        <v/>
      </c>
      <c r="K11" s="20" t="str">
        <f ca="1"/>
        <v/>
      </c>
    </row>
    <row r="12" spans="1:11" ht="15.75">
      <c r="A12" s="72" t="str">
        <v>Dudley River 2</v>
      </c>
      <c r="B12" s="18" t="str">
        <v>MA</v>
      </c>
      <c r="C12" s="38" t="str" cm="1">
        <f t="array" aca="1" ref="C12:K12" ca="1">IF(INDIRECT("'" &amp; $A12 &amp; "'!B13:J13")="", "", INDIRECT("'" &amp; $A12 &amp; "'!B13:J13"))</f>
        <v/>
      </c>
      <c r="D12" s="38" t="str">
        <f ca="1"/>
        <v/>
      </c>
      <c r="E12" s="38">
        <f ca="1"/>
        <v>0</v>
      </c>
      <c r="F12" s="42">
        <f ca="1"/>
        <v>0</v>
      </c>
      <c r="G12" s="40" t="str">
        <f ca="1"/>
        <v/>
      </c>
      <c r="H12" s="40">
        <f ca="1"/>
        <v>0</v>
      </c>
      <c r="I12" s="43">
        <f ca="1"/>
        <v>0</v>
      </c>
      <c r="J12" s="20" t="str">
        <f ca="1"/>
        <v/>
      </c>
      <c r="K12" s="20" t="str">
        <f ca="1"/>
        <v/>
      </c>
    </row>
    <row r="13" spans="1:11" ht="15.75">
      <c r="A13" s="73" t="str">
        <v>Dudley River 3</v>
      </c>
      <c r="B13" s="37" t="str">
        <v>MA</v>
      </c>
      <c r="C13" s="38" t="str" cm="1">
        <f t="array" aca="1" ref="C13:K13" ca="1">IF(INDIRECT("'" &amp; $A13 &amp; "'!B13:J13")="", "", INDIRECT("'" &amp; $A13 &amp; "'!B13:J13"))</f>
        <v/>
      </c>
      <c r="D13" s="38" t="str">
        <f ca="1"/>
        <v/>
      </c>
      <c r="E13" s="38">
        <f ca="1"/>
        <v>0</v>
      </c>
      <c r="F13" s="42">
        <f ca="1"/>
        <v>0</v>
      </c>
      <c r="G13" s="40" t="str">
        <f ca="1"/>
        <v/>
      </c>
      <c r="H13" s="40">
        <f ca="1"/>
        <v>0</v>
      </c>
      <c r="I13" s="43">
        <f ca="1"/>
        <v>0</v>
      </c>
      <c r="J13" s="20" t="str">
        <f ca="1"/>
        <v/>
      </c>
      <c r="K13" s="20" t="str">
        <f ca="1"/>
        <v/>
      </c>
    </row>
    <row r="14" spans="1:11" ht="15.75">
      <c r="A14" s="72" t="str">
        <v>Flint Pond</v>
      </c>
      <c r="B14" s="18" t="str">
        <v>MA</v>
      </c>
      <c r="C14" s="38" t="str" cm="1">
        <f t="array" aca="1" ref="C14:K14" ca="1">IF(INDIRECT("'" &amp; $A14 &amp; "'!B13:J13")="", "", INDIRECT("'" &amp; $A14 &amp; "'!B13:J13"))</f>
        <v/>
      </c>
      <c r="D14" s="38" t="str">
        <f ca="1"/>
        <v/>
      </c>
      <c r="E14" s="38">
        <f ca="1"/>
        <v>0</v>
      </c>
      <c r="F14" s="42">
        <f ca="1"/>
        <v>0</v>
      </c>
      <c r="G14" s="40" t="str">
        <f ca="1"/>
        <v/>
      </c>
      <c r="H14" s="40">
        <f ca="1"/>
        <v>0</v>
      </c>
      <c r="I14" s="43">
        <f ca="1"/>
        <v>0</v>
      </c>
      <c r="J14" s="20" t="str">
        <f ca="1"/>
        <v/>
      </c>
      <c r="K14" s="20" t="str">
        <f ca="1"/>
        <v/>
      </c>
    </row>
    <row r="15" spans="1:11" ht="15.75">
      <c r="A15" s="73" t="str">
        <v>Incom</v>
      </c>
      <c r="B15" s="37" t="str">
        <v>MA</v>
      </c>
      <c r="C15" s="38" t="str" cm="1">
        <f t="array" aca="1" ref="C15:K15" ca="1">IF(INDIRECT("'" &amp; $A15 &amp; "'!B13:J13")="", "", INDIRECT("'" &amp; $A15 &amp; "'!B13:J13"))</f>
        <v/>
      </c>
      <c r="D15" s="38" t="str">
        <f ca="1"/>
        <v/>
      </c>
      <c r="E15" s="38">
        <f ca="1"/>
        <v>0</v>
      </c>
      <c r="F15" s="42">
        <f ca="1"/>
        <v>0</v>
      </c>
      <c r="G15" s="40" t="str">
        <f ca="1"/>
        <v/>
      </c>
      <c r="H15" s="40">
        <f ca="1"/>
        <v>0</v>
      </c>
      <c r="I15" s="43">
        <f ca="1"/>
        <v>0</v>
      </c>
      <c r="J15" s="20" t="str">
        <f ca="1"/>
        <v/>
      </c>
      <c r="K15" s="20" t="str">
        <f ca="1"/>
        <v/>
      </c>
    </row>
    <row r="16" spans="1:11" ht="15.75">
      <c r="A16" s="72" t="str">
        <v>JH</v>
      </c>
      <c r="B16" s="18" t="str">
        <v>MA</v>
      </c>
      <c r="C16" s="38" t="str" cm="1">
        <f t="array" aca="1" ref="C16:K16" ca="1">IF(INDIRECT("'" &amp; $A16 &amp; "'!B13:J13")="", "", INDIRECT("'" &amp; $A16 &amp; "'!B13:J13"))</f>
        <v/>
      </c>
      <c r="D16" s="38" t="str">
        <f ca="1"/>
        <v/>
      </c>
      <c r="E16" s="38">
        <f ca="1"/>
        <v>0</v>
      </c>
      <c r="F16" s="42">
        <f ca="1"/>
        <v>0</v>
      </c>
      <c r="G16" s="40" t="str">
        <f ca="1"/>
        <v/>
      </c>
      <c r="H16" s="40">
        <f ca="1"/>
        <v>0</v>
      </c>
      <c r="I16" s="43">
        <f ca="1"/>
        <v>0</v>
      </c>
      <c r="J16" s="20" t="str">
        <f ca="1"/>
        <v/>
      </c>
      <c r="K16" s="20" t="str">
        <f ca="1"/>
        <v/>
      </c>
    </row>
    <row r="17" spans="1:11" ht="15.75">
      <c r="A17" s="73" t="str">
        <v>Ledeaux</v>
      </c>
      <c r="B17" s="37" t="str">
        <v>MA</v>
      </c>
      <c r="C17" s="38" t="str" cm="1">
        <f t="array" aca="1" ref="C17:K17" ca="1">IF(INDIRECT("'" &amp; $A17 &amp; "'!B13:J13")="", "", INDIRECT("'" &amp; $A17 &amp; "'!B13:J13"))</f>
        <v/>
      </c>
      <c r="D17" s="38" t="str">
        <f ca="1"/>
        <v/>
      </c>
      <c r="E17" s="38">
        <f ca="1"/>
        <v>0</v>
      </c>
      <c r="F17" s="42">
        <f ca="1"/>
        <v>0</v>
      </c>
      <c r="G17" s="40" t="str">
        <f ca="1"/>
        <v/>
      </c>
      <c r="H17" s="40">
        <f ca="1"/>
        <v>0</v>
      </c>
      <c r="I17" s="43">
        <f ca="1"/>
        <v>0</v>
      </c>
      <c r="J17" s="20" t="str">
        <f ca="1"/>
        <v/>
      </c>
      <c r="K17" s="20" t="str">
        <f ca="1"/>
        <v/>
      </c>
    </row>
    <row r="18" spans="1:11" ht="15.75">
      <c r="A18" s="72" t="str">
        <v>Palombo A</v>
      </c>
      <c r="B18" s="18" t="str">
        <v>MA</v>
      </c>
      <c r="C18" s="38" t="str" cm="1">
        <f t="array" aca="1" ref="C18:K18" ca="1">IF(INDIRECT("'" &amp; $A18 &amp; "'!B13:J13")="", "", INDIRECT("'" &amp; $A18 &amp; "'!B13:J13"))</f>
        <v/>
      </c>
      <c r="D18" s="38" t="str">
        <f ca="1"/>
        <v/>
      </c>
      <c r="E18" s="38">
        <f ca="1"/>
        <v>0</v>
      </c>
      <c r="F18" s="42">
        <f ca="1"/>
        <v>0</v>
      </c>
      <c r="G18" s="40" t="str">
        <f ca="1"/>
        <v/>
      </c>
      <c r="H18" s="40">
        <f ca="1"/>
        <v>0</v>
      </c>
      <c r="I18" s="43">
        <f ca="1"/>
        <v>0</v>
      </c>
      <c r="J18" s="20" t="str">
        <f ca="1"/>
        <v/>
      </c>
      <c r="K18" s="20" t="str">
        <f ca="1"/>
        <v/>
      </c>
    </row>
    <row r="19" spans="1:11" ht="15.75">
      <c r="A19" s="73" t="str">
        <v>Palombo B</v>
      </c>
      <c r="B19" s="37" t="str">
        <v>MA</v>
      </c>
      <c r="C19" s="38" t="str" cm="1">
        <f t="array" aca="1" ref="C19:K19" ca="1">IF(INDIRECT("'" &amp; $A19 &amp; "'!B13:J13")="", "", INDIRECT("'" &amp; $A19 &amp; "'!B13:J13"))</f>
        <v/>
      </c>
      <c r="D19" s="38" t="str">
        <f ca="1"/>
        <v/>
      </c>
      <c r="E19" s="38">
        <f ca="1"/>
        <v>0</v>
      </c>
      <c r="F19" s="42">
        <f ca="1"/>
        <v>0</v>
      </c>
      <c r="G19" s="40" t="str">
        <f ca="1"/>
        <v/>
      </c>
      <c r="H19" s="40">
        <f ca="1"/>
        <v>0</v>
      </c>
      <c r="I19" s="43">
        <f ca="1"/>
        <v>0</v>
      </c>
      <c r="J19" s="20" t="str">
        <f ca="1"/>
        <v/>
      </c>
      <c r="K19" s="20" t="str">
        <f ca="1"/>
        <v/>
      </c>
    </row>
    <row r="20" spans="1:11" ht="15.75">
      <c r="A20" s="72" t="str">
        <v>St Josephs Church</v>
      </c>
      <c r="B20" s="18" t="str">
        <v>MA</v>
      </c>
      <c r="C20" s="38" t="str" cm="1">
        <f t="array" aca="1" ref="C20:K20" ca="1">IF(INDIRECT("'" &amp; $A20 &amp; "'!B13:J13")="", "", INDIRECT("'" &amp; $A20 &amp; "'!B13:J13"))</f>
        <v/>
      </c>
      <c r="D20" s="38" t="str">
        <f ca="1"/>
        <v/>
      </c>
      <c r="E20" s="38">
        <f ca="1"/>
        <v>0</v>
      </c>
      <c r="F20" s="42">
        <f ca="1"/>
        <v>0</v>
      </c>
      <c r="G20" s="40" t="str">
        <f ca="1"/>
        <v/>
      </c>
      <c r="H20" s="40">
        <f ca="1"/>
        <v>0</v>
      </c>
      <c r="I20" s="43">
        <f ca="1"/>
        <v>0</v>
      </c>
      <c r="J20" s="20" t="str">
        <f ca="1"/>
        <v/>
      </c>
      <c r="K20" s="20" t="str">
        <f ca="1"/>
        <v/>
      </c>
    </row>
    <row r="21" spans="1:11" ht="15.75">
      <c r="A21" s="73" t="str">
        <v>Sunset A</v>
      </c>
      <c r="B21" s="37" t="str">
        <v>MA</v>
      </c>
      <c r="C21" s="38" t="str" cm="1">
        <f t="array" aca="1" ref="C21:K21" ca="1">IF(INDIRECT("'" &amp; $A21 &amp; "'!B13:J13")="", "", INDIRECT("'" &amp; $A21 &amp; "'!B13:J13"))</f>
        <v/>
      </c>
      <c r="D21" s="38" t="str">
        <f ca="1"/>
        <v/>
      </c>
      <c r="E21" s="38">
        <f ca="1"/>
        <v>0</v>
      </c>
      <c r="F21" s="42">
        <f ca="1"/>
        <v>0</v>
      </c>
      <c r="G21" s="40" t="str">
        <f ca="1"/>
        <v/>
      </c>
      <c r="H21" s="40">
        <f ca="1"/>
        <v>0</v>
      </c>
      <c r="I21" s="43">
        <f ca="1"/>
        <v>0</v>
      </c>
      <c r="J21" s="20" t="str">
        <f ca="1"/>
        <v/>
      </c>
      <c r="K21" s="20" t="str">
        <f ca="1"/>
        <v/>
      </c>
    </row>
    <row r="22" spans="1:11" ht="15.75">
      <c r="A22" s="72" t="str">
        <v>Sunset B</v>
      </c>
      <c r="B22" s="18" t="str">
        <v>MA</v>
      </c>
      <c r="C22" s="38" t="str" cm="1">
        <f t="array" aca="1" ref="C22:K22" ca="1">IF(INDIRECT("'" &amp; $A22 &amp; "'!B13:J13")="", "", INDIRECT("'" &amp; $A22 &amp; "'!B13:J13"))</f>
        <v/>
      </c>
      <c r="D22" s="38" t="str">
        <f ca="1"/>
        <v/>
      </c>
      <c r="E22" s="38">
        <f ca="1"/>
        <v>0</v>
      </c>
      <c r="F22" s="42">
        <f ca="1"/>
        <v>0</v>
      </c>
      <c r="G22" s="40" t="str">
        <f ca="1"/>
        <v/>
      </c>
      <c r="H22" s="40">
        <f ca="1"/>
        <v>0</v>
      </c>
      <c r="I22" s="43">
        <f ca="1"/>
        <v>0</v>
      </c>
      <c r="J22" s="20" t="str">
        <f ca="1"/>
        <v/>
      </c>
      <c r="K22" s="20" t="str">
        <f ca="1"/>
        <v/>
      </c>
    </row>
    <row r="23" spans="1:11" ht="15.75">
      <c r="A23" s="73" t="str">
        <v>Woodchuck</v>
      </c>
      <c r="B23" s="37" t="str">
        <v>MA</v>
      </c>
      <c r="C23" s="38" t="str" cm="1">
        <f t="array" aca="1" ref="C23:K23" ca="1">IF(INDIRECT("'" &amp; $A23 &amp; "'!B13:J13")="", "", INDIRECT("'" &amp; $A23 &amp; "'!B13:J13"))</f>
        <v/>
      </c>
      <c r="D23" s="38" t="str">
        <f ca="1"/>
        <v/>
      </c>
      <c r="E23" s="38">
        <f ca="1"/>
        <v>0</v>
      </c>
      <c r="F23" s="42">
        <f ca="1"/>
        <v>0</v>
      </c>
      <c r="G23" s="46" t="str">
        <f ca="1"/>
        <v/>
      </c>
      <c r="H23" s="46">
        <f ca="1"/>
        <v>0</v>
      </c>
      <c r="I23" s="47">
        <f ca="1"/>
        <v>0</v>
      </c>
      <c r="J23" s="20" t="str">
        <f ca="1"/>
        <v/>
      </c>
      <c r="K23" s="20" t="str">
        <f ca="1"/>
        <v/>
      </c>
    </row>
    <row r="24" spans="1:11" ht="24.75" customHeight="1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150"/>
    </row>
    <row r="25" spans="1:11">
      <c r="J25" s="150"/>
    </row>
    <row r="26" spans="1:11" ht="12.75" customHeight="1">
      <c r="A26" s="162" t="s">
        <v>12</v>
      </c>
      <c r="J26" s="150"/>
    </row>
    <row r="27" spans="1:11">
      <c r="A27" s="162"/>
      <c r="J27" s="150"/>
    </row>
    <row r="28" spans="1:11">
      <c r="A28" s="163" t="s">
        <v>13</v>
      </c>
      <c r="J28" s="150"/>
    </row>
    <row r="29" spans="1:11" ht="12.75" customHeight="1">
      <c r="A29" s="163"/>
      <c r="J29" s="150"/>
    </row>
    <row r="30" spans="1:11">
      <c r="J30" s="150"/>
    </row>
  </sheetData>
  <autoFilter ref="A2:I2" xr:uid="{534CA70E-2643-48AC-AA44-E3F75A2814BF}"/>
  <mergeCells count="8">
    <mergeCell ref="G1:I1"/>
    <mergeCell ref="J1:J2"/>
    <mergeCell ref="K1:K2"/>
    <mergeCell ref="A26:A27"/>
    <mergeCell ref="A28:A29"/>
    <mergeCell ref="A24:B24"/>
    <mergeCell ref="C1:F1"/>
    <mergeCell ref="A1:B1"/>
  </mergeCells>
  <conditionalFormatting sqref="F3:F24 I3:I24">
    <cfRule type="cellIs" dxfId="353" priority="1" operator="lessThanOrEqual">
      <formula>-0.1</formula>
    </cfRule>
    <cfRule type="cellIs" dxfId="35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"/>
  <sheetViews>
    <sheetView zoomScale="70" zoomScaleNormal="70" workbookViewId="0">
      <pane ySplit="2" topLeftCell="A5" activePane="bottomLeft" state="frozen"/>
      <selection pane="bottomLeft" activeCell="D28" sqref="D28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14.28515625" style="1" customWidth="1"/>
    <col min="10" max="10" width="74.7109375" customWidth="1"/>
    <col min="11" max="11" width="23.5703125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41</v>
      </c>
      <c r="D1" s="167"/>
      <c r="E1" s="167"/>
      <c r="F1" s="168"/>
      <c r="G1" s="169" t="s">
        <v>42</v>
      </c>
      <c r="H1" s="169"/>
      <c r="I1" s="170"/>
      <c r="J1" s="158" t="s">
        <v>2</v>
      </c>
      <c r="K1" s="158" t="s">
        <v>3</v>
      </c>
    </row>
    <row r="2" spans="1:11" ht="14.2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 t="str" cm="1">
        <f t="array" aca="1" ref="C3:K3" ca="1">IF(INDIRECT("'" &amp; $A3 &amp; "'!B14:J14")="", "", INDIRECT("'" &amp; $A3 &amp; "'!B14:J14"))</f>
        <v/>
      </c>
      <c r="D3" s="38" t="str">
        <f ca="1"/>
        <v/>
      </c>
      <c r="E3" s="38">
        <f ca="1"/>
        <v>0</v>
      </c>
      <c r="F3" s="39">
        <f ca="1"/>
        <v>0</v>
      </c>
      <c r="G3" s="40" t="str">
        <f ca="1"/>
        <v/>
      </c>
      <c r="H3" s="40">
        <f ca="1"/>
        <v>0</v>
      </c>
      <c r="I3" s="41">
        <f ca="1"/>
        <v>0</v>
      </c>
      <c r="J3" s="17" t="str">
        <f ca="1"/>
        <v/>
      </c>
      <c r="K3" s="17" t="str">
        <f ca="1"/>
        <v/>
      </c>
    </row>
    <row r="4" spans="1:11" ht="15.75">
      <c r="A4" s="72" t="str">
        <v>Barton Acres</v>
      </c>
      <c r="B4" s="18" t="str">
        <v>MA</v>
      </c>
      <c r="C4" s="38" t="str" cm="1">
        <f t="array" aca="1" ref="C4:K4" ca="1">IF(INDIRECT("'" &amp; $A4 &amp; "'!B14:J14")="", "", INDIRECT("'" &amp; $A4 &amp; "'!B14:J14"))</f>
        <v/>
      </c>
      <c r="D4" s="38" t="str">
        <f ca="1"/>
        <v/>
      </c>
      <c r="E4" s="38">
        <f ca="1"/>
        <v>0</v>
      </c>
      <c r="F4" s="42">
        <f ca="1"/>
        <v>0</v>
      </c>
      <c r="G4" s="40" t="str">
        <f ca="1"/>
        <v/>
      </c>
      <c r="H4" s="40">
        <f ca="1"/>
        <v>0</v>
      </c>
      <c r="I4" s="43">
        <f ca="1"/>
        <v>0</v>
      </c>
      <c r="J4" s="92" t="str">
        <f ca="1"/>
        <v/>
      </c>
      <c r="K4" s="92" t="str">
        <f ca="1"/>
        <v/>
      </c>
    </row>
    <row r="5" spans="1:11" ht="15.75">
      <c r="A5" s="73" t="str">
        <v>Bowden</v>
      </c>
      <c r="B5" s="37" t="str">
        <v>MA</v>
      </c>
      <c r="C5" s="38" t="str" cm="1">
        <f t="array" aca="1" ref="C5:K5" ca="1">IF(INDIRECT("'" &amp; $A5 &amp; "'!B14:J14")="", "", INDIRECT("'" &amp; $A5 &amp; "'!B14:J14"))</f>
        <v/>
      </c>
      <c r="D5" s="38" t="str">
        <f ca="1"/>
        <v/>
      </c>
      <c r="E5" s="38">
        <f ca="1"/>
        <v>0</v>
      </c>
      <c r="F5" s="42">
        <f ca="1"/>
        <v>0</v>
      </c>
      <c r="G5" s="40" t="str">
        <f ca="1"/>
        <v/>
      </c>
      <c r="H5" s="40">
        <f ca="1"/>
        <v>0</v>
      </c>
      <c r="I5" s="43">
        <f ca="1"/>
        <v>0</v>
      </c>
      <c r="J5" s="82" t="str">
        <f ca="1"/>
        <v/>
      </c>
      <c r="K5" s="82" t="str">
        <f ca="1"/>
        <v/>
      </c>
    </row>
    <row r="6" spans="1:11" ht="15.75">
      <c r="A6" s="72" t="str">
        <v>Blair Wire Village</v>
      </c>
      <c r="B6" s="18" t="str">
        <v>MA</v>
      </c>
      <c r="C6" s="38" t="str" cm="1">
        <f t="array" aca="1" ref="C6:K6" ca="1">IF(INDIRECT("'" &amp; $A6 &amp; "'!B14:J14")="", "", INDIRECT("'" &amp; $A6 &amp; "'!B14:J14"))</f>
        <v/>
      </c>
      <c r="D6" s="38" t="str">
        <f ca="1"/>
        <v/>
      </c>
      <c r="E6" s="38">
        <f ca="1"/>
        <v>0</v>
      </c>
      <c r="F6" s="42">
        <f ca="1"/>
        <v>0</v>
      </c>
      <c r="G6" s="40" t="str">
        <f ca="1"/>
        <v/>
      </c>
      <c r="H6" s="40">
        <f ca="1"/>
        <v>0</v>
      </c>
      <c r="I6" s="43">
        <f ca="1"/>
        <v>0</v>
      </c>
      <c r="J6" s="82" t="str">
        <f ca="1"/>
        <v/>
      </c>
      <c r="K6" s="82" t="str">
        <f ca="1"/>
        <v/>
      </c>
    </row>
    <row r="7" spans="1:11" ht="15.75">
      <c r="A7" s="73" t="str">
        <v>Boutilier</v>
      </c>
      <c r="B7" s="37" t="str">
        <v>MA</v>
      </c>
      <c r="C7" s="38" t="str" cm="1">
        <f t="array" aca="1" ref="C7:K7" ca="1">IF(INDIRECT("'" &amp; $A7 &amp; "'!B14:J14")="", "", INDIRECT("'" &amp; $A7 &amp; "'!B14:J14"))</f>
        <v/>
      </c>
      <c r="D7" s="38" t="str">
        <f ca="1"/>
        <v/>
      </c>
      <c r="E7" s="38">
        <f ca="1"/>
        <v>0</v>
      </c>
      <c r="F7" s="42">
        <f ca="1"/>
        <v>0</v>
      </c>
      <c r="G7" s="40" t="str">
        <f ca="1"/>
        <v/>
      </c>
      <c r="H7" s="40">
        <f ca="1"/>
        <v>0</v>
      </c>
      <c r="I7" s="43">
        <f ca="1"/>
        <v>0</v>
      </c>
      <c r="J7" s="90" t="str">
        <f ca="1"/>
        <v/>
      </c>
      <c r="K7" s="90" t="str">
        <f ca="1"/>
        <v/>
      </c>
    </row>
    <row r="8" spans="1:11" ht="15.75">
      <c r="A8" s="72" t="str">
        <v>Cherry Valley</v>
      </c>
      <c r="B8" s="18" t="str">
        <v>MA</v>
      </c>
      <c r="C8" s="38" t="str" cm="1">
        <f t="array" aca="1" ref="C8:K8" ca="1">IF(INDIRECT("'" &amp; $A8 &amp; "'!B14:J14")="", "", INDIRECT("'" &amp; $A8 &amp; "'!B14:J14"))</f>
        <v/>
      </c>
      <c r="D8" s="38" t="str">
        <f ca="1"/>
        <v/>
      </c>
      <c r="E8" s="38">
        <f ca="1"/>
        <v>0</v>
      </c>
      <c r="F8" s="42">
        <f ca="1"/>
        <v>0</v>
      </c>
      <c r="G8" s="40" t="str">
        <f ca="1"/>
        <v/>
      </c>
      <c r="H8" s="40">
        <f ca="1"/>
        <v>0</v>
      </c>
      <c r="I8" s="43">
        <f ca="1"/>
        <v>0</v>
      </c>
      <c r="J8" s="82" t="str">
        <f ca="1"/>
        <v/>
      </c>
      <c r="K8" s="82" t="str">
        <f ca="1"/>
        <v/>
      </c>
    </row>
    <row r="9" spans="1:11" ht="15.75">
      <c r="A9" s="73" t="str">
        <v>Cohasse</v>
      </c>
      <c r="B9" s="37" t="str">
        <v>MA</v>
      </c>
      <c r="C9" s="38" t="str" cm="1">
        <f t="array" aca="1" ref="C9:K9" ca="1">IF(INDIRECT("'" &amp; $A9 &amp; "'!B14:J14")="", "", INDIRECT("'" &amp; $A9 &amp; "'!B14:J14"))</f>
        <v/>
      </c>
      <c r="D9" s="38" t="str">
        <f ca="1"/>
        <v/>
      </c>
      <c r="E9" s="38">
        <f ca="1"/>
        <v>0</v>
      </c>
      <c r="F9" s="42">
        <f ca="1"/>
        <v>0</v>
      </c>
      <c r="G9" s="40" t="str">
        <f ca="1"/>
        <v/>
      </c>
      <c r="H9" s="40">
        <f ca="1"/>
        <v>0</v>
      </c>
      <c r="I9" s="43">
        <f ca="1"/>
        <v>0</v>
      </c>
      <c r="J9" s="20" t="str">
        <f ca="1"/>
        <v/>
      </c>
      <c r="K9" s="21" t="str">
        <f ca="1"/>
        <v/>
      </c>
    </row>
    <row r="10" spans="1:11" ht="15.75">
      <c r="A10" s="72" t="str">
        <v>ISM Dighton Solar 2</v>
      </c>
      <c r="B10" s="18" t="str">
        <v>MA</v>
      </c>
      <c r="C10" s="38" t="str" cm="1">
        <f t="array" aca="1" ref="C10:K10" ca="1">IF(INDIRECT("'" &amp; $A10 &amp; "'!B14:J14")="", "", INDIRECT("'" &amp; $A10 &amp; "'!B14:J14"))</f>
        <v/>
      </c>
      <c r="D10" s="38" t="str">
        <f ca="1"/>
        <v/>
      </c>
      <c r="E10" s="38">
        <f ca="1"/>
        <v>0</v>
      </c>
      <c r="F10" s="42">
        <f ca="1"/>
        <v>0</v>
      </c>
      <c r="G10" s="40" t="str">
        <f ca="1"/>
        <v/>
      </c>
      <c r="H10" s="40">
        <f ca="1"/>
        <v>0</v>
      </c>
      <c r="I10" s="43">
        <f ca="1"/>
        <v>0</v>
      </c>
      <c r="J10" s="82" t="str">
        <f ca="1"/>
        <v/>
      </c>
      <c r="K10" s="82" t="str">
        <f ca="1"/>
        <v/>
      </c>
    </row>
    <row r="11" spans="1:11" ht="15.75">
      <c r="A11" s="73" t="str">
        <v>Dudley River 1</v>
      </c>
      <c r="B11" s="37" t="str">
        <v>MA</v>
      </c>
      <c r="C11" s="38" t="str" cm="1">
        <f t="array" aca="1" ref="C11:K11" ca="1">IF(INDIRECT("'" &amp; $A11 &amp; "'!B14:J14")="", "", INDIRECT("'" &amp; $A11 &amp; "'!B14:J14"))</f>
        <v/>
      </c>
      <c r="D11" s="38" t="str">
        <f ca="1"/>
        <v/>
      </c>
      <c r="E11" s="38">
        <f ca="1"/>
        <v>0</v>
      </c>
      <c r="F11" s="42">
        <f ca="1"/>
        <v>0</v>
      </c>
      <c r="G11" s="40" t="str">
        <f ca="1"/>
        <v/>
      </c>
      <c r="H11" s="40">
        <f ca="1"/>
        <v>0</v>
      </c>
      <c r="I11" s="43">
        <f ca="1"/>
        <v>0</v>
      </c>
      <c r="J11" s="92" t="str">
        <f ca="1"/>
        <v/>
      </c>
      <c r="K11" s="92" t="str">
        <f ca="1"/>
        <v/>
      </c>
    </row>
    <row r="12" spans="1:11" ht="15.75">
      <c r="A12" s="72" t="str">
        <v>Dudley River 2</v>
      </c>
      <c r="B12" s="18" t="str">
        <v>MA</v>
      </c>
      <c r="C12" s="38" t="str" cm="1">
        <f t="array" aca="1" ref="C12:K12" ca="1">IF(INDIRECT("'" &amp; $A12 &amp; "'!B14:J14")="", "", INDIRECT("'" &amp; $A12 &amp; "'!B14:J14"))</f>
        <v/>
      </c>
      <c r="D12" s="38" t="str">
        <f ca="1"/>
        <v/>
      </c>
      <c r="E12" s="38">
        <f ca="1"/>
        <v>0</v>
      </c>
      <c r="F12" s="42">
        <f ca="1"/>
        <v>0</v>
      </c>
      <c r="G12" s="40" t="str">
        <f ca="1"/>
        <v/>
      </c>
      <c r="H12" s="40">
        <f ca="1"/>
        <v>0</v>
      </c>
      <c r="I12" s="43">
        <f ca="1"/>
        <v>0</v>
      </c>
      <c r="J12" s="90" t="str">
        <f ca="1"/>
        <v/>
      </c>
      <c r="K12" s="19" t="str">
        <f ca="1"/>
        <v/>
      </c>
    </row>
    <row r="13" spans="1:11" ht="15.75">
      <c r="A13" s="73" t="str">
        <v>Dudley River 3</v>
      </c>
      <c r="B13" s="37" t="str">
        <v>MA</v>
      </c>
      <c r="C13" s="38" t="str" cm="1">
        <f t="array" aca="1" ref="C13:K13" ca="1">IF(INDIRECT("'" &amp; $A13 &amp; "'!B14:J14")="", "", INDIRECT("'" &amp; $A13 &amp; "'!B14:J14"))</f>
        <v/>
      </c>
      <c r="D13" s="38" t="str">
        <f ca="1"/>
        <v/>
      </c>
      <c r="E13" s="38">
        <f ca="1"/>
        <v>0</v>
      </c>
      <c r="F13" s="42">
        <f ca="1"/>
        <v>0</v>
      </c>
      <c r="G13" s="40" t="str">
        <f ca="1"/>
        <v/>
      </c>
      <c r="H13" s="40">
        <f ca="1"/>
        <v>0</v>
      </c>
      <c r="I13" s="43">
        <f ca="1"/>
        <v>0</v>
      </c>
      <c r="J13" s="82" t="str">
        <f ca="1"/>
        <v/>
      </c>
      <c r="K13" s="17" t="str">
        <f ca="1"/>
        <v/>
      </c>
    </row>
    <row r="14" spans="1:11" ht="15.75">
      <c r="A14" s="72" t="str">
        <v>Flint Pond</v>
      </c>
      <c r="B14" s="18" t="str">
        <v>MA</v>
      </c>
      <c r="C14" s="38" t="str" cm="1">
        <f t="array" aca="1" ref="C14:K14" ca="1">IF(INDIRECT("'" &amp; $A14 &amp; "'!B14:J14")="", "", INDIRECT("'" &amp; $A14 &amp; "'!B14:J14"))</f>
        <v/>
      </c>
      <c r="D14" s="38" t="str">
        <f ca="1"/>
        <v/>
      </c>
      <c r="E14" s="38">
        <f ca="1"/>
        <v>0</v>
      </c>
      <c r="F14" s="42">
        <f ca="1"/>
        <v>0</v>
      </c>
      <c r="G14" s="40" t="str">
        <f ca="1"/>
        <v/>
      </c>
      <c r="H14" s="40">
        <f ca="1"/>
        <v>0</v>
      </c>
      <c r="I14" s="43">
        <f ca="1"/>
        <v>0</v>
      </c>
      <c r="J14" s="82" t="str">
        <f ca="1"/>
        <v/>
      </c>
      <c r="K14" s="17" t="str">
        <f ca="1"/>
        <v/>
      </c>
    </row>
    <row r="15" spans="1:11" ht="15.75">
      <c r="A15" s="73" t="str">
        <v>Incom</v>
      </c>
      <c r="B15" s="37" t="str">
        <v>MA</v>
      </c>
      <c r="C15" s="38" t="str" cm="1">
        <f t="array" aca="1" ref="C15:K15" ca="1">IF(INDIRECT("'" &amp; $A15 &amp; "'!B14:J14")="", "", INDIRECT("'" &amp; $A15 &amp; "'!B14:J14"))</f>
        <v/>
      </c>
      <c r="D15" s="38" t="str">
        <f ca="1"/>
        <v/>
      </c>
      <c r="E15" s="38">
        <f ca="1"/>
        <v>0</v>
      </c>
      <c r="F15" s="42">
        <f ca="1"/>
        <v>0</v>
      </c>
      <c r="G15" s="40" t="str">
        <f ca="1"/>
        <v/>
      </c>
      <c r="H15" s="40">
        <f ca="1"/>
        <v>0</v>
      </c>
      <c r="I15" s="43">
        <f ca="1"/>
        <v>0</v>
      </c>
      <c r="J15" s="82" t="str">
        <f ca="1"/>
        <v/>
      </c>
      <c r="K15" s="21" t="str">
        <f ca="1"/>
        <v/>
      </c>
    </row>
    <row r="16" spans="1:11" ht="15.75">
      <c r="A16" s="72" t="str">
        <v>JH</v>
      </c>
      <c r="B16" s="18" t="str">
        <v>MA</v>
      </c>
      <c r="C16" s="38" t="str" cm="1">
        <f t="array" aca="1" ref="C16:K16" ca="1">IF(INDIRECT("'" &amp; $A16 &amp; "'!B14:J14")="", "", INDIRECT("'" &amp; $A16 &amp; "'!B14:J14"))</f>
        <v/>
      </c>
      <c r="D16" s="38" t="str">
        <f ca="1"/>
        <v/>
      </c>
      <c r="E16" s="38">
        <f ca="1"/>
        <v>0</v>
      </c>
      <c r="F16" s="42">
        <f ca="1"/>
        <v>0</v>
      </c>
      <c r="G16" s="40" t="str">
        <f ca="1"/>
        <v/>
      </c>
      <c r="H16" s="40">
        <f ca="1"/>
        <v>0</v>
      </c>
      <c r="I16" s="43">
        <f ca="1"/>
        <v>0</v>
      </c>
      <c r="J16" s="82" t="str">
        <f ca="1"/>
        <v/>
      </c>
      <c r="K16" s="17" t="str">
        <f ca="1"/>
        <v/>
      </c>
    </row>
    <row r="17" spans="1:11" ht="15.75">
      <c r="A17" s="73" t="str">
        <v>Ledeaux</v>
      </c>
      <c r="B17" s="37" t="str">
        <v>MA</v>
      </c>
      <c r="C17" s="38" t="str" cm="1">
        <f t="array" aca="1" ref="C17:K17" ca="1">IF(INDIRECT("'" &amp; $A17 &amp; "'!B14:J14")="", "", INDIRECT("'" &amp; $A17 &amp; "'!B14:J14"))</f>
        <v/>
      </c>
      <c r="D17" s="38" t="str">
        <f ca="1"/>
        <v/>
      </c>
      <c r="E17" s="38">
        <f ca="1"/>
        <v>0</v>
      </c>
      <c r="F17" s="42">
        <f ca="1"/>
        <v>0</v>
      </c>
      <c r="G17" s="40" t="str">
        <f ca="1"/>
        <v/>
      </c>
      <c r="H17" s="40">
        <f ca="1"/>
        <v>0</v>
      </c>
      <c r="I17" s="43">
        <f ca="1"/>
        <v>0</v>
      </c>
      <c r="J17" s="82" t="str">
        <f ca="1"/>
        <v/>
      </c>
      <c r="K17" s="17" t="str">
        <f ca="1"/>
        <v/>
      </c>
    </row>
    <row r="18" spans="1:11" ht="15.75">
      <c r="A18" s="72" t="str">
        <v>Palombo A</v>
      </c>
      <c r="B18" s="18" t="str">
        <v>MA</v>
      </c>
      <c r="C18" s="38" t="str" cm="1">
        <f t="array" aca="1" ref="C18:K18" ca="1">IF(INDIRECT("'" &amp; $A18 &amp; "'!B14:J14")="", "", INDIRECT("'" &amp; $A18 &amp; "'!B14:J14"))</f>
        <v/>
      </c>
      <c r="D18" s="38" t="str">
        <f ca="1"/>
        <v/>
      </c>
      <c r="E18" s="38">
        <f ca="1"/>
        <v>0</v>
      </c>
      <c r="F18" s="42">
        <f ca="1"/>
        <v>0</v>
      </c>
      <c r="G18" s="40" t="str">
        <f ca="1"/>
        <v/>
      </c>
      <c r="H18" s="40">
        <f ca="1"/>
        <v>0</v>
      </c>
      <c r="I18" s="43">
        <f ca="1"/>
        <v>0</v>
      </c>
      <c r="J18" s="82" t="str">
        <f ca="1"/>
        <v/>
      </c>
      <c r="K18" s="17" t="str">
        <f ca="1"/>
        <v/>
      </c>
    </row>
    <row r="19" spans="1:11" ht="15.75">
      <c r="A19" s="73" t="str">
        <v>Palombo B</v>
      </c>
      <c r="B19" s="37" t="str">
        <v>MA</v>
      </c>
      <c r="C19" s="38" t="str" cm="1">
        <f t="array" aca="1" ref="C19:K19" ca="1">IF(INDIRECT("'" &amp; $A19 &amp; "'!B14:J14")="", "", INDIRECT("'" &amp; $A19 &amp; "'!B14:J14"))</f>
        <v/>
      </c>
      <c r="D19" s="38" t="str">
        <f ca="1"/>
        <v/>
      </c>
      <c r="E19" s="38">
        <f ca="1"/>
        <v>0</v>
      </c>
      <c r="F19" s="42">
        <f ca="1"/>
        <v>0</v>
      </c>
      <c r="G19" s="40" t="str">
        <f ca="1"/>
        <v/>
      </c>
      <c r="H19" s="40">
        <f ca="1"/>
        <v>0</v>
      </c>
      <c r="I19" s="43">
        <f ca="1"/>
        <v>0</v>
      </c>
      <c r="J19" s="82" t="str">
        <f ca="1"/>
        <v/>
      </c>
      <c r="K19" s="82" t="str">
        <f ca="1"/>
        <v/>
      </c>
    </row>
    <row r="20" spans="1:11" ht="15.75">
      <c r="A20" s="72" t="str">
        <v>St Josephs Church</v>
      </c>
      <c r="B20" s="18" t="str">
        <v>MA</v>
      </c>
      <c r="C20" s="38" t="str" cm="1">
        <f t="array" aca="1" ref="C20:K20" ca="1">IF(INDIRECT("'" &amp; $A20 &amp; "'!B14:J14")="", "", INDIRECT("'" &amp; $A20 &amp; "'!B14:J14"))</f>
        <v/>
      </c>
      <c r="D20" s="38" t="str">
        <f ca="1"/>
        <v/>
      </c>
      <c r="E20" s="38">
        <f ca="1"/>
        <v>0</v>
      </c>
      <c r="F20" s="42">
        <f ca="1"/>
        <v>0</v>
      </c>
      <c r="G20" s="40" t="str">
        <f ca="1"/>
        <v/>
      </c>
      <c r="H20" s="40">
        <f ca="1"/>
        <v>0</v>
      </c>
      <c r="I20" s="43">
        <f ca="1"/>
        <v>0</v>
      </c>
      <c r="J20" s="82" t="str">
        <f ca="1"/>
        <v/>
      </c>
      <c r="K20" s="17" t="str">
        <f ca="1"/>
        <v/>
      </c>
    </row>
    <row r="21" spans="1:11" ht="15.75">
      <c r="A21" s="73" t="str">
        <v>Sunset A</v>
      </c>
      <c r="B21" s="37" t="str">
        <v>MA</v>
      </c>
      <c r="C21" s="38" t="str" cm="1">
        <f t="array" aca="1" ref="C21:K21" ca="1">IF(INDIRECT("'" &amp; $A21 &amp; "'!B14:J14")="", "", INDIRECT("'" &amp; $A21 &amp; "'!B14:J14"))</f>
        <v/>
      </c>
      <c r="D21" s="38" t="str">
        <f ca="1"/>
        <v/>
      </c>
      <c r="E21" s="38">
        <f ca="1"/>
        <v>0</v>
      </c>
      <c r="F21" s="42">
        <f ca="1"/>
        <v>0</v>
      </c>
      <c r="G21" s="40" t="str">
        <f ca="1"/>
        <v/>
      </c>
      <c r="H21" s="40">
        <f ca="1"/>
        <v>0</v>
      </c>
      <c r="I21" s="43">
        <f ca="1"/>
        <v>0</v>
      </c>
      <c r="J21" s="82" t="str">
        <f ca="1"/>
        <v/>
      </c>
      <c r="K21" s="17" t="str">
        <f ca="1"/>
        <v/>
      </c>
    </row>
    <row r="22" spans="1:11" ht="15.75">
      <c r="A22" s="72" t="str">
        <v>Sunset B</v>
      </c>
      <c r="B22" s="18" t="str">
        <v>MA</v>
      </c>
      <c r="C22" s="38" t="str" cm="1">
        <f t="array" aca="1" ref="C22:K22" ca="1">IF(INDIRECT("'" &amp; $A22 &amp; "'!B14:J14")="", "", INDIRECT("'" &amp; $A22 &amp; "'!B14:J14"))</f>
        <v/>
      </c>
      <c r="D22" s="38" t="str">
        <f ca="1"/>
        <v/>
      </c>
      <c r="E22" s="38">
        <f ca="1"/>
        <v>0</v>
      </c>
      <c r="F22" s="42">
        <f ca="1"/>
        <v>0</v>
      </c>
      <c r="G22" s="40" t="str">
        <f ca="1"/>
        <v/>
      </c>
      <c r="H22" s="40">
        <f ca="1"/>
        <v>0</v>
      </c>
      <c r="I22" s="43">
        <f ca="1"/>
        <v>0</v>
      </c>
      <c r="J22" s="20" t="str">
        <f ca="1"/>
        <v/>
      </c>
      <c r="K22" s="21" t="str">
        <f ca="1"/>
        <v/>
      </c>
    </row>
    <row r="23" spans="1:11" ht="15.75">
      <c r="A23" s="73" t="str">
        <v>Woodchuck</v>
      </c>
      <c r="B23" s="37" t="str">
        <v>MA</v>
      </c>
      <c r="C23" s="38" t="str" cm="1">
        <f t="array" aca="1" ref="C23:K23" ca="1">IF(INDIRECT("'" &amp; $A23 &amp; "'!B14:J14")="", "", INDIRECT("'" &amp; $A23 &amp; "'!B14:J14"))</f>
        <v/>
      </c>
      <c r="D23" s="38" t="str">
        <f ca="1"/>
        <v/>
      </c>
      <c r="E23" s="38">
        <f ca="1"/>
        <v>0</v>
      </c>
      <c r="F23" s="42">
        <f ca="1"/>
        <v>0</v>
      </c>
      <c r="G23" s="46" t="str">
        <f ca="1"/>
        <v/>
      </c>
      <c r="H23" s="46">
        <f ca="1"/>
        <v>0</v>
      </c>
      <c r="I23" s="47">
        <f ca="1"/>
        <v>0</v>
      </c>
      <c r="J23" s="82" t="str">
        <f ca="1"/>
        <v/>
      </c>
      <c r="K23" s="17" t="str">
        <f ca="1"/>
        <v/>
      </c>
    </row>
    <row r="24" spans="1:11" ht="13.5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9"/>
    </row>
    <row r="25" spans="1:11">
      <c r="J25" s="9"/>
    </row>
    <row r="26" spans="1:11" ht="12.75" customHeight="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 ht="12.75" customHeight="1">
      <c r="A29" s="163"/>
      <c r="J29" s="9"/>
    </row>
    <row r="30" spans="1:11">
      <c r="J30" s="9"/>
    </row>
  </sheetData>
  <autoFilter ref="A2:I2" xr:uid="{B87DE706-15D9-4E58-ADBD-0129509DEFD6}"/>
  <mergeCells count="8">
    <mergeCell ref="G1:I1"/>
    <mergeCell ref="J1:J2"/>
    <mergeCell ref="K1:K2"/>
    <mergeCell ref="A26:A27"/>
    <mergeCell ref="A28:A29"/>
    <mergeCell ref="A24:B24"/>
    <mergeCell ref="C1:F1"/>
    <mergeCell ref="A1:B1"/>
  </mergeCells>
  <conditionalFormatting sqref="F3:F24 I3:I24">
    <cfRule type="cellIs" dxfId="351" priority="1" operator="lessThanOrEqual">
      <formula>-0.1</formula>
    </cfRule>
    <cfRule type="cellIs" dxfId="35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"/>
  <sheetViews>
    <sheetView workbookViewId="0">
      <pane ySplit="2" topLeftCell="A3" activePane="bottomLeft" state="frozen"/>
      <selection pane="bottomLeft" activeCell="D28" sqref="D28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43</v>
      </c>
      <c r="D1" s="167"/>
      <c r="E1" s="167"/>
      <c r="F1" s="168"/>
      <c r="G1" s="169" t="s">
        <v>44</v>
      </c>
      <c r="H1" s="169"/>
      <c r="I1" s="170"/>
      <c r="J1" s="158" t="s">
        <v>2</v>
      </c>
      <c r="K1" s="158" t="s">
        <v>3</v>
      </c>
    </row>
    <row r="2" spans="1:11" ht="14.25" customHeigh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15.75">
      <c r="A3" s="71" t="str" cm="1">
        <f t="array" ref="A3:A23">Sites[Site]</f>
        <v>6th St.</v>
      </c>
      <c r="B3" s="36" t="str" cm="1">
        <f t="array" ref="B3:B23">Sites[State]</f>
        <v>CA</v>
      </c>
      <c r="C3" s="38" t="str" cm="1">
        <f t="array" aca="1" ref="C3:K3" ca="1">IF(INDIRECT("'" &amp; $A3 &amp; "'!B15:J15")="", "", INDIRECT("'" &amp; $A3 &amp; "'!B15:J15"))</f>
        <v/>
      </c>
      <c r="D3" s="38" t="str">
        <f ca="1"/>
        <v/>
      </c>
      <c r="E3" s="38">
        <f ca="1"/>
        <v>0</v>
      </c>
      <c r="F3" s="39">
        <f ca="1"/>
        <v>0</v>
      </c>
      <c r="G3" s="40" t="str">
        <f ca="1"/>
        <v/>
      </c>
      <c r="H3" s="40">
        <f ca="1"/>
        <v>0</v>
      </c>
      <c r="I3" s="41">
        <f ca="1"/>
        <v>0</v>
      </c>
      <c r="J3" s="92" t="str">
        <f ca="1"/>
        <v/>
      </c>
      <c r="K3" s="92" t="str">
        <f ca="1"/>
        <v/>
      </c>
    </row>
    <row r="4" spans="1:11" ht="15.75">
      <c r="A4" s="72" t="str">
        <v>Barton Acres</v>
      </c>
      <c r="B4" s="18" t="str">
        <v>MA</v>
      </c>
      <c r="C4" s="38" t="str" cm="1">
        <f t="array" aca="1" ref="C4:K4" ca="1">IF(INDIRECT("'" &amp; $A4 &amp; "'!B15:J15")="", "", INDIRECT("'" &amp; $A4 &amp; "'!B15:J15"))</f>
        <v/>
      </c>
      <c r="D4" s="38" t="str">
        <f ca="1"/>
        <v/>
      </c>
      <c r="E4" s="38">
        <f ca="1"/>
        <v>0</v>
      </c>
      <c r="F4" s="42">
        <f ca="1"/>
        <v>0</v>
      </c>
      <c r="G4" s="40" t="str">
        <f ca="1"/>
        <v/>
      </c>
      <c r="H4" s="40">
        <f ca="1"/>
        <v>0</v>
      </c>
      <c r="I4" s="43">
        <f ca="1"/>
        <v>0</v>
      </c>
      <c r="J4" s="82" t="str">
        <f ca="1"/>
        <v/>
      </c>
      <c r="K4" s="82" t="str">
        <f ca="1"/>
        <v/>
      </c>
    </row>
    <row r="5" spans="1:11" ht="15.75">
      <c r="A5" s="73" t="str">
        <v>Bowden</v>
      </c>
      <c r="B5" s="37" t="str">
        <v>MA</v>
      </c>
      <c r="C5" s="38" t="str" cm="1">
        <f t="array" aca="1" ref="C5:K5" ca="1">IF(INDIRECT("'" &amp; $A5 &amp; "'!B15:J15")="", "", INDIRECT("'" &amp; $A5 &amp; "'!B15:J15"))</f>
        <v/>
      </c>
      <c r="D5" s="38" t="str">
        <f ca="1"/>
        <v/>
      </c>
      <c r="E5" s="38">
        <f ca="1"/>
        <v>0</v>
      </c>
      <c r="F5" s="42">
        <f ca="1"/>
        <v>0</v>
      </c>
      <c r="G5" s="40" t="str">
        <f ca="1"/>
        <v/>
      </c>
      <c r="H5" s="40">
        <f ca="1"/>
        <v>0</v>
      </c>
      <c r="I5" s="43">
        <f ca="1"/>
        <v>0</v>
      </c>
      <c r="J5" s="82" t="str">
        <f ca="1"/>
        <v/>
      </c>
      <c r="K5" s="82" t="str">
        <f ca="1"/>
        <v/>
      </c>
    </row>
    <row r="6" spans="1:11" ht="15.75">
      <c r="A6" s="72" t="str">
        <v>Blair Wire Village</v>
      </c>
      <c r="B6" s="18" t="str">
        <v>MA</v>
      </c>
      <c r="C6" s="38" t="str" cm="1">
        <f t="array" aca="1" ref="C6:K6" ca="1">IF(INDIRECT("'" &amp; $A6 &amp; "'!B15:J15")="", "", INDIRECT("'" &amp; $A6 &amp; "'!B15:J15"))</f>
        <v/>
      </c>
      <c r="D6" s="38" t="str">
        <f ca="1"/>
        <v/>
      </c>
      <c r="E6" s="38">
        <f ca="1"/>
        <v>0</v>
      </c>
      <c r="F6" s="42">
        <f ca="1"/>
        <v>0</v>
      </c>
      <c r="G6" s="40" t="str">
        <f ca="1"/>
        <v/>
      </c>
      <c r="H6" s="40">
        <f ca="1"/>
        <v>0</v>
      </c>
      <c r="I6" s="43">
        <f ca="1"/>
        <v>0</v>
      </c>
      <c r="J6" s="82" t="str">
        <f ca="1"/>
        <v/>
      </c>
      <c r="K6" s="82" t="str">
        <f ca="1"/>
        <v/>
      </c>
    </row>
    <row r="7" spans="1:11" ht="15.75">
      <c r="A7" s="73" t="str">
        <v>Boutilier</v>
      </c>
      <c r="B7" s="37" t="str">
        <v>MA</v>
      </c>
      <c r="C7" s="38" t="str" cm="1">
        <f t="array" aca="1" ref="C7:K7" ca="1">IF(INDIRECT("'" &amp; $A7 &amp; "'!B15:J15")="", "", INDIRECT("'" &amp; $A7 &amp; "'!B15:J15"))</f>
        <v/>
      </c>
      <c r="D7" s="38" t="str">
        <f ca="1"/>
        <v/>
      </c>
      <c r="E7" s="38">
        <f ca="1"/>
        <v>0</v>
      </c>
      <c r="F7" s="42">
        <f ca="1"/>
        <v>0</v>
      </c>
      <c r="G7" s="40" t="str">
        <f ca="1"/>
        <v/>
      </c>
      <c r="H7" s="40">
        <f ca="1"/>
        <v>0</v>
      </c>
      <c r="I7" s="43">
        <f ca="1"/>
        <v>0</v>
      </c>
      <c r="J7" s="90" t="str">
        <f ca="1"/>
        <v/>
      </c>
      <c r="K7" s="90" t="str">
        <f ca="1"/>
        <v/>
      </c>
    </row>
    <row r="8" spans="1:11" ht="15.75">
      <c r="A8" s="72" t="str">
        <v>Cherry Valley</v>
      </c>
      <c r="B8" s="18" t="str">
        <v>MA</v>
      </c>
      <c r="C8" s="38" t="str" cm="1">
        <f t="array" aca="1" ref="C8:K8" ca="1">IF(INDIRECT("'" &amp; $A8 &amp; "'!B15:J15")="", "", INDIRECT("'" &amp; $A8 &amp; "'!B15:J15"))</f>
        <v/>
      </c>
      <c r="D8" s="38" t="str">
        <f ca="1"/>
        <v/>
      </c>
      <c r="E8" s="38">
        <f ca="1"/>
        <v>0</v>
      </c>
      <c r="F8" s="42">
        <f ca="1"/>
        <v>0</v>
      </c>
      <c r="G8" s="40" t="str">
        <f ca="1"/>
        <v/>
      </c>
      <c r="H8" s="40">
        <f ca="1"/>
        <v>0</v>
      </c>
      <c r="I8" s="43">
        <f ca="1"/>
        <v>0</v>
      </c>
      <c r="J8" s="82" t="str">
        <f ca="1"/>
        <v/>
      </c>
      <c r="K8" s="82" t="str">
        <f ca="1"/>
        <v/>
      </c>
    </row>
    <row r="9" spans="1:11" ht="15.75">
      <c r="A9" s="73" t="str">
        <v>Cohasse</v>
      </c>
      <c r="B9" s="37" t="str">
        <v>MA</v>
      </c>
      <c r="C9" s="38" t="str" cm="1">
        <f t="array" aca="1" ref="C9:K9" ca="1">IF(INDIRECT("'" &amp; $A9 &amp; "'!B15:J15")="", "", INDIRECT("'" &amp; $A9 &amp; "'!B15:J15"))</f>
        <v/>
      </c>
      <c r="D9" s="38" t="str">
        <f ca="1"/>
        <v/>
      </c>
      <c r="E9" s="38">
        <f ca="1"/>
        <v>0</v>
      </c>
      <c r="F9" s="42">
        <f ca="1"/>
        <v>0</v>
      </c>
      <c r="G9" s="40" t="str">
        <f ca="1"/>
        <v/>
      </c>
      <c r="H9" s="40">
        <f ca="1"/>
        <v>0</v>
      </c>
      <c r="I9" s="43">
        <f ca="1"/>
        <v>0</v>
      </c>
      <c r="J9" s="20" t="str">
        <f ca="1"/>
        <v/>
      </c>
      <c r="K9" s="21" t="str">
        <f ca="1"/>
        <v/>
      </c>
    </row>
    <row r="10" spans="1:11" ht="15.75">
      <c r="A10" s="72" t="str">
        <v>ISM Dighton Solar 2</v>
      </c>
      <c r="B10" s="18" t="str">
        <v>MA</v>
      </c>
      <c r="C10" s="38" t="str" cm="1">
        <f t="array" aca="1" ref="C10:K10" ca="1">IF(INDIRECT("'" &amp; $A10 &amp; "'!B15:J15")="", "", INDIRECT("'" &amp; $A10 &amp; "'!B15:J15"))</f>
        <v/>
      </c>
      <c r="D10" s="38" t="str">
        <f ca="1"/>
        <v/>
      </c>
      <c r="E10" s="38">
        <f ca="1"/>
        <v>0</v>
      </c>
      <c r="F10" s="42">
        <f ca="1"/>
        <v>0</v>
      </c>
      <c r="G10" s="40" t="str">
        <f ca="1"/>
        <v/>
      </c>
      <c r="H10" s="40">
        <f ca="1"/>
        <v>0</v>
      </c>
      <c r="I10" s="43">
        <f ca="1"/>
        <v>0</v>
      </c>
      <c r="J10" s="82" t="str">
        <f ca="1"/>
        <v/>
      </c>
      <c r="K10" s="82" t="str">
        <f ca="1"/>
        <v/>
      </c>
    </row>
    <row r="11" spans="1:11" ht="15.75">
      <c r="A11" s="73" t="str">
        <v>Dudley River 1</v>
      </c>
      <c r="B11" s="37" t="str">
        <v>MA</v>
      </c>
      <c r="C11" s="38" t="str" cm="1">
        <f t="array" aca="1" ref="C11:K11" ca="1">IF(INDIRECT("'" &amp; $A11 &amp; "'!B15:J15")="", "", INDIRECT("'" &amp; $A11 &amp; "'!B15:J15"))</f>
        <v/>
      </c>
      <c r="D11" s="38" t="str">
        <f ca="1"/>
        <v/>
      </c>
      <c r="E11" s="38">
        <f ca="1"/>
        <v>0</v>
      </c>
      <c r="F11" s="42">
        <f ca="1"/>
        <v>0</v>
      </c>
      <c r="G11" s="40" t="str">
        <f ca="1"/>
        <v/>
      </c>
      <c r="H11" s="40">
        <f ca="1"/>
        <v>0</v>
      </c>
      <c r="I11" s="43">
        <f ca="1"/>
        <v>0</v>
      </c>
      <c r="J11" s="82" t="str">
        <f ca="1"/>
        <v/>
      </c>
      <c r="K11" s="82" t="str">
        <f ca="1"/>
        <v/>
      </c>
    </row>
    <row r="12" spans="1:11" ht="15.75">
      <c r="A12" s="72" t="str">
        <v>Dudley River 2</v>
      </c>
      <c r="B12" s="18" t="str">
        <v>MA</v>
      </c>
      <c r="C12" s="38" t="str" cm="1">
        <f t="array" aca="1" ref="C12:K12" ca="1">IF(INDIRECT("'" &amp; $A12 &amp; "'!B15:J15")="", "", INDIRECT("'" &amp; $A12 &amp; "'!B15:J15"))</f>
        <v/>
      </c>
      <c r="D12" s="38" t="str">
        <f ca="1"/>
        <v/>
      </c>
      <c r="E12" s="38">
        <f ca="1"/>
        <v>0</v>
      </c>
      <c r="F12" s="42">
        <f ca="1"/>
        <v>0</v>
      </c>
      <c r="G12" s="40" t="str">
        <f ca="1"/>
        <v/>
      </c>
      <c r="H12" s="40">
        <f ca="1"/>
        <v>0</v>
      </c>
      <c r="I12" s="43">
        <f ca="1"/>
        <v>0</v>
      </c>
      <c r="J12" s="90" t="str">
        <f ca="1"/>
        <v/>
      </c>
      <c r="K12" s="90" t="str">
        <f ca="1"/>
        <v/>
      </c>
    </row>
    <row r="13" spans="1:11" ht="15.75">
      <c r="A13" s="73" t="str">
        <v>Dudley River 3</v>
      </c>
      <c r="B13" s="37" t="str">
        <v>MA</v>
      </c>
      <c r="C13" s="38" t="str" cm="1">
        <f t="array" aca="1" ref="C13:K13" ca="1">IF(INDIRECT("'" &amp; $A13 &amp; "'!B15:J15")="", "", INDIRECT("'" &amp; $A13 &amp; "'!B15:J15"))</f>
        <v/>
      </c>
      <c r="D13" s="38" t="str">
        <f ca="1"/>
        <v/>
      </c>
      <c r="E13" s="38">
        <f ca="1"/>
        <v>0</v>
      </c>
      <c r="F13" s="42">
        <f ca="1"/>
        <v>0</v>
      </c>
      <c r="G13" s="40" t="str">
        <f ca="1"/>
        <v/>
      </c>
      <c r="H13" s="40">
        <f ca="1"/>
        <v>0</v>
      </c>
      <c r="I13" s="43">
        <f ca="1"/>
        <v>0</v>
      </c>
      <c r="J13" s="82" t="str">
        <f ca="1"/>
        <v/>
      </c>
      <c r="K13" s="82" t="str">
        <f ca="1"/>
        <v/>
      </c>
    </row>
    <row r="14" spans="1:11" ht="15.75">
      <c r="A14" s="72" t="str">
        <v>Flint Pond</v>
      </c>
      <c r="B14" s="18" t="str">
        <v>MA</v>
      </c>
      <c r="C14" s="38" t="str" cm="1">
        <f t="array" aca="1" ref="C14:K14" ca="1">IF(INDIRECT("'" &amp; $A14 &amp; "'!B15:J15")="", "", INDIRECT("'" &amp; $A14 &amp; "'!B15:J15"))</f>
        <v/>
      </c>
      <c r="D14" s="38" t="str">
        <f ca="1"/>
        <v/>
      </c>
      <c r="E14" s="38">
        <f ca="1"/>
        <v>0</v>
      </c>
      <c r="F14" s="42">
        <f ca="1"/>
        <v>0</v>
      </c>
      <c r="G14" s="40" t="str">
        <f ca="1"/>
        <v/>
      </c>
      <c r="H14" s="40">
        <f ca="1"/>
        <v>0</v>
      </c>
      <c r="I14" s="43">
        <f ca="1"/>
        <v>0</v>
      </c>
      <c r="J14" s="82" t="str">
        <f ca="1"/>
        <v/>
      </c>
      <c r="K14" s="82" t="str">
        <f ca="1"/>
        <v/>
      </c>
    </row>
    <row r="15" spans="1:11" ht="15.75">
      <c r="A15" s="73" t="str">
        <v>Incom</v>
      </c>
      <c r="B15" s="37" t="str">
        <v>MA</v>
      </c>
      <c r="C15" s="38" t="str" cm="1">
        <f t="array" aca="1" ref="C15:K15" ca="1">IF(INDIRECT("'" &amp; $A15 &amp; "'!B15:J15")="", "", INDIRECT("'" &amp; $A15 &amp; "'!B15:J15"))</f>
        <v/>
      </c>
      <c r="D15" s="38" t="str">
        <f ca="1"/>
        <v/>
      </c>
      <c r="E15" s="38">
        <f ca="1"/>
        <v>0</v>
      </c>
      <c r="F15" s="42">
        <f ca="1"/>
        <v>0</v>
      </c>
      <c r="G15" s="40" t="str">
        <f ca="1"/>
        <v/>
      </c>
      <c r="H15" s="40">
        <f ca="1"/>
        <v>0</v>
      </c>
      <c r="I15" s="43">
        <f ca="1"/>
        <v>0</v>
      </c>
      <c r="J15" s="82" t="str">
        <f ca="1"/>
        <v/>
      </c>
      <c r="K15" s="82" t="str">
        <f ca="1"/>
        <v/>
      </c>
    </row>
    <row r="16" spans="1:11" ht="15.75">
      <c r="A16" s="72" t="str">
        <v>JH</v>
      </c>
      <c r="B16" s="18" t="str">
        <v>MA</v>
      </c>
      <c r="C16" s="38" t="str" cm="1">
        <f t="array" aca="1" ref="C16:K16" ca="1">IF(INDIRECT("'" &amp; $A16 &amp; "'!B15:J15")="", "", INDIRECT("'" &amp; $A16 &amp; "'!B15:J15"))</f>
        <v/>
      </c>
      <c r="D16" s="38" t="str">
        <f ca="1"/>
        <v/>
      </c>
      <c r="E16" s="38">
        <f ca="1"/>
        <v>0</v>
      </c>
      <c r="F16" s="42">
        <f ca="1"/>
        <v>0</v>
      </c>
      <c r="G16" s="40" t="str">
        <f ca="1"/>
        <v/>
      </c>
      <c r="H16" s="40">
        <f ca="1"/>
        <v>0</v>
      </c>
      <c r="I16" s="43">
        <f ca="1"/>
        <v>0</v>
      </c>
      <c r="J16" s="82" t="str">
        <f ca="1"/>
        <v/>
      </c>
      <c r="K16" s="82" t="str">
        <f ca="1"/>
        <v/>
      </c>
    </row>
    <row r="17" spans="1:11" ht="15.75">
      <c r="A17" s="73" t="str">
        <v>Ledeaux</v>
      </c>
      <c r="B17" s="37" t="str">
        <v>MA</v>
      </c>
      <c r="C17" s="38" t="str" cm="1">
        <f t="array" aca="1" ref="C17:K17" ca="1">IF(INDIRECT("'" &amp; $A17 &amp; "'!B15:J15")="", "", INDIRECT("'" &amp; $A17 &amp; "'!B15:J15"))</f>
        <v/>
      </c>
      <c r="D17" s="38" t="str">
        <f ca="1"/>
        <v/>
      </c>
      <c r="E17" s="38">
        <f ca="1"/>
        <v>0</v>
      </c>
      <c r="F17" s="42">
        <f ca="1"/>
        <v>0</v>
      </c>
      <c r="G17" s="40" t="str">
        <f ca="1"/>
        <v/>
      </c>
      <c r="H17" s="40">
        <f ca="1"/>
        <v>0</v>
      </c>
      <c r="I17" s="43">
        <f ca="1"/>
        <v>0</v>
      </c>
      <c r="J17" s="82" t="str">
        <f ca="1"/>
        <v/>
      </c>
      <c r="K17" s="82" t="str">
        <f ca="1"/>
        <v/>
      </c>
    </row>
    <row r="18" spans="1:11" ht="15.75">
      <c r="A18" s="72" t="str">
        <v>Palombo A</v>
      </c>
      <c r="B18" s="18" t="str">
        <v>MA</v>
      </c>
      <c r="C18" s="38" t="str" cm="1">
        <f t="array" aca="1" ref="C18:K18" ca="1">IF(INDIRECT("'" &amp; $A18 &amp; "'!B15:J15")="", "", INDIRECT("'" &amp; $A18 &amp; "'!B15:J15"))</f>
        <v/>
      </c>
      <c r="D18" s="38" t="str">
        <f ca="1"/>
        <v/>
      </c>
      <c r="E18" s="38">
        <f ca="1"/>
        <v>0</v>
      </c>
      <c r="F18" s="42">
        <f ca="1"/>
        <v>0</v>
      </c>
      <c r="G18" s="40" t="str">
        <f ca="1"/>
        <v/>
      </c>
      <c r="H18" s="40">
        <f ca="1"/>
        <v>0</v>
      </c>
      <c r="I18" s="43">
        <f ca="1"/>
        <v>0</v>
      </c>
      <c r="J18" s="82" t="str">
        <f ca="1"/>
        <v/>
      </c>
      <c r="K18" s="82" t="str">
        <f ca="1"/>
        <v/>
      </c>
    </row>
    <row r="19" spans="1:11" ht="15.75">
      <c r="A19" s="73" t="str">
        <v>Palombo B</v>
      </c>
      <c r="B19" s="37" t="str">
        <v>MA</v>
      </c>
      <c r="C19" s="38" t="str" cm="1">
        <f t="array" aca="1" ref="C19:K19" ca="1">IF(INDIRECT("'" &amp; $A19 &amp; "'!B15:J15")="", "", INDIRECT("'" &amp; $A19 &amp; "'!B15:J15"))</f>
        <v/>
      </c>
      <c r="D19" s="38" t="str">
        <f ca="1"/>
        <v/>
      </c>
      <c r="E19" s="38">
        <f ca="1"/>
        <v>0</v>
      </c>
      <c r="F19" s="42">
        <f ca="1"/>
        <v>0</v>
      </c>
      <c r="G19" s="40" t="str">
        <f ca="1"/>
        <v/>
      </c>
      <c r="H19" s="40">
        <f ca="1"/>
        <v>0</v>
      </c>
      <c r="I19" s="43">
        <f ca="1"/>
        <v>0</v>
      </c>
      <c r="J19" s="82" t="str">
        <f ca="1"/>
        <v/>
      </c>
      <c r="K19" s="82" t="str">
        <f ca="1"/>
        <v/>
      </c>
    </row>
    <row r="20" spans="1:11" ht="15.75">
      <c r="A20" s="72" t="str">
        <v>St Josephs Church</v>
      </c>
      <c r="B20" s="18" t="str">
        <v>MA</v>
      </c>
      <c r="C20" s="38" t="str" cm="1">
        <f t="array" aca="1" ref="C20:K20" ca="1">IF(INDIRECT("'" &amp; $A20 &amp; "'!B15:J15")="", "", INDIRECT("'" &amp; $A20 &amp; "'!B15:J15"))</f>
        <v/>
      </c>
      <c r="D20" s="38" t="str">
        <f ca="1"/>
        <v/>
      </c>
      <c r="E20" s="38">
        <f ca="1"/>
        <v>0</v>
      </c>
      <c r="F20" s="42">
        <f ca="1"/>
        <v>0</v>
      </c>
      <c r="G20" s="40" t="str">
        <f ca="1"/>
        <v/>
      </c>
      <c r="H20" s="40">
        <f ca="1"/>
        <v>0</v>
      </c>
      <c r="I20" s="43">
        <f ca="1"/>
        <v>0</v>
      </c>
      <c r="J20" s="82" t="str">
        <f ca="1"/>
        <v/>
      </c>
      <c r="K20" s="82" t="str">
        <f ca="1"/>
        <v/>
      </c>
    </row>
    <row r="21" spans="1:11" ht="15.75">
      <c r="A21" s="73" t="str">
        <v>Sunset A</v>
      </c>
      <c r="B21" s="37" t="str">
        <v>MA</v>
      </c>
      <c r="C21" s="38" t="str" cm="1">
        <f t="array" aca="1" ref="C21:K21" ca="1">IF(INDIRECT("'" &amp; $A21 &amp; "'!B15:J15")="", "", INDIRECT("'" &amp; $A21 &amp; "'!B15:J15"))</f>
        <v/>
      </c>
      <c r="D21" s="38" t="str">
        <f ca="1"/>
        <v/>
      </c>
      <c r="E21" s="38">
        <f ca="1"/>
        <v>0</v>
      </c>
      <c r="F21" s="42">
        <f ca="1"/>
        <v>0</v>
      </c>
      <c r="G21" s="40" t="str">
        <f ca="1"/>
        <v/>
      </c>
      <c r="H21" s="40">
        <f ca="1"/>
        <v>0</v>
      </c>
      <c r="I21" s="43">
        <f ca="1"/>
        <v>0</v>
      </c>
      <c r="J21" s="82" t="str">
        <f ca="1"/>
        <v/>
      </c>
      <c r="K21" s="82" t="str">
        <f ca="1"/>
        <v/>
      </c>
    </row>
    <row r="22" spans="1:11" ht="15.75">
      <c r="A22" s="72" t="str">
        <v>Sunset B</v>
      </c>
      <c r="B22" s="18" t="str">
        <v>MA</v>
      </c>
      <c r="C22" s="38" t="str" cm="1">
        <f t="array" aca="1" ref="C22:K22" ca="1">IF(INDIRECT("'" &amp; $A22 &amp; "'!B15:J15")="", "", INDIRECT("'" &amp; $A22 &amp; "'!B15:J15"))</f>
        <v/>
      </c>
      <c r="D22" s="38" t="str">
        <f ca="1"/>
        <v/>
      </c>
      <c r="E22" s="38">
        <f ca="1"/>
        <v>0</v>
      </c>
      <c r="F22" s="42">
        <f ca="1"/>
        <v>0</v>
      </c>
      <c r="G22" s="40" t="str">
        <f ca="1"/>
        <v/>
      </c>
      <c r="H22" s="40">
        <f ca="1"/>
        <v>0</v>
      </c>
      <c r="I22" s="43">
        <f ca="1"/>
        <v>0</v>
      </c>
      <c r="J22" s="20" t="str">
        <f ca="1"/>
        <v/>
      </c>
      <c r="K22" s="21" t="str">
        <f ca="1"/>
        <v xml:space="preserve"> </v>
      </c>
    </row>
    <row r="23" spans="1:11" ht="15.75">
      <c r="A23" s="73" t="str">
        <v>Woodchuck</v>
      </c>
      <c r="B23" s="37" t="str">
        <v>MA</v>
      </c>
      <c r="C23" s="38" t="str" cm="1">
        <f t="array" aca="1" ref="C23:K23" ca="1">IF(INDIRECT("'" &amp; $A23 &amp; "'!B15:J15")="", "", INDIRECT("'" &amp; $A23 &amp; "'!B15:J15"))</f>
        <v/>
      </c>
      <c r="D23" s="38" t="str">
        <f ca="1"/>
        <v/>
      </c>
      <c r="E23" s="38">
        <f ca="1"/>
        <v>0</v>
      </c>
      <c r="F23" s="42">
        <f ca="1"/>
        <v>0</v>
      </c>
      <c r="G23" s="46" t="str">
        <f ca="1"/>
        <v/>
      </c>
      <c r="H23" s="46">
        <f ca="1"/>
        <v>0</v>
      </c>
      <c r="I23" s="47">
        <f ca="1"/>
        <v>0</v>
      </c>
      <c r="J23" s="82" t="str">
        <f ca="1"/>
        <v/>
      </c>
      <c r="K23" s="82" t="str">
        <f ca="1"/>
        <v/>
      </c>
    </row>
    <row r="24" spans="1:11" ht="24.75" customHeight="1">
      <c r="A24" s="160" t="s">
        <v>11</v>
      </c>
      <c r="B24" s="161"/>
      <c r="C24" s="54">
        <f ca="1">SUM(C3:C23)</f>
        <v>0</v>
      </c>
      <c r="D24" s="54">
        <f ca="1">SUM(D3:D23)</f>
        <v>0</v>
      </c>
      <c r="E24" s="54">
        <f ca="1">C24-D24</f>
        <v>0</v>
      </c>
      <c r="F24" s="48">
        <f ca="1">IFERROR(E24/D24, 0)</f>
        <v>0</v>
      </c>
      <c r="G24" s="54">
        <f ca="1">SUM(G3:G23)</f>
        <v>0</v>
      </c>
      <c r="H24" s="55">
        <f ca="1">C24-G24</f>
        <v>0</v>
      </c>
      <c r="I24" s="49">
        <f ca="1">IFERROR(H24/G24, 0)</f>
        <v>0</v>
      </c>
      <c r="J24" s="9"/>
    </row>
    <row r="25" spans="1:11">
      <c r="J25" s="9"/>
    </row>
    <row r="26" spans="1:11" ht="12.75" customHeight="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 ht="12.75" customHeight="1">
      <c r="A29" s="163"/>
      <c r="J29" s="9"/>
    </row>
    <row r="30" spans="1:11">
      <c r="J30" s="9"/>
    </row>
  </sheetData>
  <autoFilter ref="A2:I2" xr:uid="{7397A98F-A32F-42EE-8114-2658DE422011}"/>
  <mergeCells count="8">
    <mergeCell ref="G1:I1"/>
    <mergeCell ref="J1:J2"/>
    <mergeCell ref="K1:K2"/>
    <mergeCell ref="A26:A27"/>
    <mergeCell ref="A28:A29"/>
    <mergeCell ref="A24:B24"/>
    <mergeCell ref="C1:F1"/>
    <mergeCell ref="A1:B1"/>
  </mergeCells>
  <conditionalFormatting sqref="F3:F24 I3:I24">
    <cfRule type="cellIs" dxfId="349" priority="1" operator="lessThanOrEqual">
      <formula>-0.1</formula>
    </cfRule>
    <cfRule type="cellIs" dxfId="348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"/>
  <sheetViews>
    <sheetView workbookViewId="0">
      <pane ySplit="2" topLeftCell="A3" activePane="bottomLeft" state="frozen"/>
      <selection pane="bottomLeft" activeCell="C1" sqref="C1:I1"/>
      <selection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7.5703125" customWidth="1"/>
    <col min="11" max="11" width="19.42578125" customWidth="1"/>
  </cols>
  <sheetData>
    <row r="1" spans="1:11" ht="19.5" customHeight="1">
      <c r="A1" s="164" t="str" cm="1">
        <f t="array" ref="A1">portfolio</f>
        <v>38 DN</v>
      </c>
      <c r="B1" s="165"/>
      <c r="C1" s="166" t="s">
        <v>45</v>
      </c>
      <c r="D1" s="167"/>
      <c r="E1" s="167"/>
      <c r="F1" s="168"/>
      <c r="G1" s="169" t="s">
        <v>46</v>
      </c>
      <c r="H1" s="169"/>
      <c r="I1" s="170"/>
      <c r="J1" s="158" t="s">
        <v>2</v>
      </c>
      <c r="K1" s="158" t="s">
        <v>3</v>
      </c>
    </row>
    <row r="2" spans="1:11" ht="14.25" customHeight="1" thickBot="1">
      <c r="A2" s="52" t="s">
        <v>4</v>
      </c>
      <c r="B2" s="53" t="s">
        <v>5</v>
      </c>
      <c r="C2" s="6" t="s">
        <v>6</v>
      </c>
      <c r="D2" s="50" t="s">
        <v>7</v>
      </c>
      <c r="E2" s="6" t="s">
        <v>8</v>
      </c>
      <c r="F2" s="7" t="s">
        <v>9</v>
      </c>
      <c r="G2" s="51" t="s">
        <v>10</v>
      </c>
      <c r="H2" s="8" t="s">
        <v>8</v>
      </c>
      <c r="I2" s="10" t="s">
        <v>9</v>
      </c>
      <c r="J2" s="159"/>
      <c r="K2" s="159"/>
    </row>
    <row r="3" spans="1:11" ht="60.75" customHeight="1">
      <c r="A3" s="71" t="str" cm="1">
        <f t="array" ref="A3:A23">Sites[Site]</f>
        <v>6th St.</v>
      </c>
      <c r="B3" s="36" t="str" cm="1">
        <f t="array" ref="B3:B23">Sites[State]</f>
        <v>CA</v>
      </c>
      <c r="C3" s="38" t="str" cm="1">
        <f t="array" aca="1" ref="C3:K3" ca="1">IF(INDIRECT("'" &amp; $A3 &amp; "'!B16:J16")="", "", INDIRECT("'" &amp; $A3 &amp; "'!B16:J16"))</f>
        <v/>
      </c>
      <c r="D3" s="38" t="str">
        <f ca="1"/>
        <v/>
      </c>
      <c r="E3" s="38">
        <f ca="1"/>
        <v>0</v>
      </c>
      <c r="F3" s="39">
        <f ca="1"/>
        <v>0</v>
      </c>
      <c r="G3" s="40" t="str">
        <f ca="1"/>
        <v/>
      </c>
      <c r="H3" s="40">
        <f ca="1"/>
        <v>0</v>
      </c>
      <c r="I3" s="41">
        <f ca="1"/>
        <v>0</v>
      </c>
      <c r="J3" s="20" t="str">
        <f ca="1"/>
        <v/>
      </c>
      <c r="K3" s="20" t="str">
        <f ca="1"/>
        <v/>
      </c>
    </row>
    <row r="4" spans="1:11" ht="15.75">
      <c r="A4" s="72" t="str">
        <v>Barton Acres</v>
      </c>
      <c r="B4" s="18" t="str">
        <v>MA</v>
      </c>
      <c r="C4" s="38" t="str" cm="1">
        <f t="array" aca="1" ref="C4:K4" ca="1">IF(INDIRECT("'" &amp; $A4 &amp; "'!B16:J16")="", "", INDIRECT("'" &amp; $A4 &amp; "'!B16:J16"))</f>
        <v/>
      </c>
      <c r="D4" s="38" t="str">
        <f ca="1"/>
        <v/>
      </c>
      <c r="E4" s="38">
        <f ca="1"/>
        <v>0</v>
      </c>
      <c r="F4" s="42">
        <f ca="1"/>
        <v>0</v>
      </c>
      <c r="G4" s="40" t="str">
        <f ca="1"/>
        <v/>
      </c>
      <c r="H4" s="40">
        <f ca="1"/>
        <v>0</v>
      </c>
      <c r="I4" s="43">
        <f ca="1"/>
        <v>0</v>
      </c>
      <c r="J4" s="21" t="str">
        <f ca="1"/>
        <v/>
      </c>
      <c r="K4" s="21" t="str">
        <f ca="1"/>
        <v/>
      </c>
    </row>
    <row r="5" spans="1:11" ht="35.25" customHeight="1">
      <c r="A5" s="73" t="str">
        <v>Bowden</v>
      </c>
      <c r="B5" s="37" t="str">
        <v>MA</v>
      </c>
      <c r="C5" s="38" t="str" cm="1">
        <f t="array" aca="1" ref="C5:K5" ca="1">IF(INDIRECT("'" &amp; $A5 &amp; "'!B16:J16")="", "", INDIRECT("'" &amp; $A5 &amp; "'!B16:J16"))</f>
        <v/>
      </c>
      <c r="D5" s="38" t="str">
        <f ca="1"/>
        <v/>
      </c>
      <c r="E5" s="38">
        <f ca="1"/>
        <v>0</v>
      </c>
      <c r="F5" s="42">
        <f ca="1"/>
        <v>0</v>
      </c>
      <c r="G5" s="40" t="str">
        <f ca="1"/>
        <v/>
      </c>
      <c r="H5" s="40">
        <f ca="1"/>
        <v>0</v>
      </c>
      <c r="I5" s="43">
        <f ca="1"/>
        <v>0</v>
      </c>
      <c r="J5" s="20" t="str">
        <f ca="1"/>
        <v/>
      </c>
      <c r="K5" s="20" t="str">
        <f ca="1"/>
        <v/>
      </c>
    </row>
    <row r="6" spans="1:11" ht="15.75">
      <c r="A6" s="72" t="str">
        <v>Blair Wire Village</v>
      </c>
      <c r="B6" s="18" t="str">
        <v>MA</v>
      </c>
      <c r="C6" s="38" t="str" cm="1">
        <f t="array" aca="1" ref="C6:K6" ca="1">IF(INDIRECT("'" &amp; $A6 &amp; "'!B16:J16")="", "", INDIRECT("'" &amp; $A6 &amp; "'!B16:J16"))</f>
        <v/>
      </c>
      <c r="D6" s="38" t="str">
        <f ca="1"/>
        <v/>
      </c>
      <c r="E6" s="38">
        <f ca="1"/>
        <v>0</v>
      </c>
      <c r="F6" s="42">
        <f ca="1"/>
        <v>0</v>
      </c>
      <c r="G6" s="40" t="str">
        <f ca="1"/>
        <v/>
      </c>
      <c r="H6" s="40">
        <f ca="1"/>
        <v>0</v>
      </c>
      <c r="I6" s="43">
        <f ca="1"/>
        <v>0</v>
      </c>
      <c r="J6" s="21" t="str">
        <f ca="1"/>
        <v/>
      </c>
      <c r="K6" s="21" t="str">
        <f ca="1"/>
        <v/>
      </c>
    </row>
    <row r="7" spans="1:11" ht="15.75">
      <c r="A7" s="73" t="str">
        <v>Boutilier</v>
      </c>
      <c r="B7" s="37" t="str">
        <v>MA</v>
      </c>
      <c r="C7" s="38" t="str" cm="1">
        <f t="array" aca="1" ref="C7:K7" ca="1">IF(INDIRECT("'" &amp; $A7 &amp; "'!B16:J16")="", "", INDIRECT("'" &amp; $A7 &amp; "'!B16:J16"))</f>
        <v/>
      </c>
      <c r="D7" s="38" t="str">
        <f ca="1"/>
        <v/>
      </c>
      <c r="E7" s="38">
        <f ca="1"/>
        <v>0</v>
      </c>
      <c r="F7" s="42">
        <f ca="1"/>
        <v>0</v>
      </c>
      <c r="G7" s="40" t="str">
        <f ca="1"/>
        <v/>
      </c>
      <c r="H7" s="40">
        <f ca="1"/>
        <v>0</v>
      </c>
      <c r="I7" s="43">
        <f ca="1"/>
        <v>0</v>
      </c>
      <c r="J7" s="20" t="str">
        <f ca="1"/>
        <v/>
      </c>
      <c r="K7" s="20" t="str">
        <f ca="1"/>
        <v/>
      </c>
    </row>
    <row r="8" spans="1:11" ht="15.75">
      <c r="A8" s="72" t="str">
        <v>Cherry Valley</v>
      </c>
      <c r="B8" s="18" t="str">
        <v>MA</v>
      </c>
      <c r="C8" s="38" t="str" cm="1">
        <f t="array" aca="1" ref="C8:K8" ca="1">IF(INDIRECT("'" &amp; $A8 &amp; "'!B16:J16")="", "", INDIRECT("'" &amp; $A8 &amp; "'!B16:J16"))</f>
        <v/>
      </c>
      <c r="D8" s="38" t="str">
        <f ca="1"/>
        <v/>
      </c>
      <c r="E8" s="38">
        <f ca="1"/>
        <v>0</v>
      </c>
      <c r="F8" s="42">
        <f ca="1"/>
        <v>0</v>
      </c>
      <c r="G8" s="40" t="str">
        <f ca="1"/>
        <v/>
      </c>
      <c r="H8" s="40">
        <f ca="1"/>
        <v>0</v>
      </c>
      <c r="I8" s="43">
        <f ca="1"/>
        <v>0</v>
      </c>
      <c r="J8" s="21" t="str">
        <f ca="1"/>
        <v/>
      </c>
      <c r="K8" s="21" t="str">
        <f ca="1"/>
        <v xml:space="preserve"> </v>
      </c>
    </row>
    <row r="9" spans="1:11" ht="15.75">
      <c r="A9" s="73" t="str">
        <v>Cohasse</v>
      </c>
      <c r="B9" s="37" t="str">
        <v>MA</v>
      </c>
      <c r="C9" s="38" t="str" cm="1">
        <f t="array" aca="1" ref="C9:K9" ca="1">IF(INDIRECT("'" &amp; $A9 &amp; "'!B16:J16")="", "", INDIRECT("'" &amp; $A9 &amp; "'!B16:J16"))</f>
        <v/>
      </c>
      <c r="D9" s="38" t="str">
        <f ca="1"/>
        <v/>
      </c>
      <c r="E9" s="38">
        <f ca="1"/>
        <v>0</v>
      </c>
      <c r="F9" s="42">
        <f ca="1"/>
        <v>0</v>
      </c>
      <c r="G9" s="40" t="str">
        <f ca="1"/>
        <v/>
      </c>
      <c r="H9" s="40">
        <f ca="1"/>
        <v>0</v>
      </c>
      <c r="I9" s="43">
        <f ca="1"/>
        <v>0</v>
      </c>
      <c r="J9" s="20" t="str">
        <f ca="1"/>
        <v/>
      </c>
      <c r="K9" s="21" t="str">
        <f ca="1"/>
        <v/>
      </c>
    </row>
    <row r="10" spans="1:11" ht="30.75" customHeight="1">
      <c r="A10" s="72" t="str">
        <v>ISM Dighton Solar 2</v>
      </c>
      <c r="B10" s="18" t="str">
        <v>MA</v>
      </c>
      <c r="C10" s="38" t="str" cm="1">
        <f t="array" aca="1" ref="C10:K10" ca="1">IF(INDIRECT("'" &amp; $A10 &amp; "'!B16:J16")="", "", INDIRECT("'" &amp; $A10 &amp; "'!B16:J16"))</f>
        <v/>
      </c>
      <c r="D10" s="38" t="str">
        <f ca="1"/>
        <v/>
      </c>
      <c r="E10" s="38">
        <f ca="1"/>
        <v>0</v>
      </c>
      <c r="F10" s="42">
        <f ca="1"/>
        <v>0</v>
      </c>
      <c r="G10" s="40" t="str">
        <f ca="1"/>
        <v/>
      </c>
      <c r="H10" s="40">
        <f ca="1"/>
        <v>0</v>
      </c>
      <c r="I10" s="43">
        <f ca="1"/>
        <v>0</v>
      </c>
      <c r="J10" s="20" t="str">
        <f ca="1"/>
        <v/>
      </c>
      <c r="K10" s="21" t="str">
        <f ca="1"/>
        <v/>
      </c>
    </row>
    <row r="11" spans="1:11" ht="15.75">
      <c r="A11" s="73" t="str">
        <v>Dudley River 1</v>
      </c>
      <c r="B11" s="37" t="str">
        <v>MA</v>
      </c>
      <c r="C11" s="38" t="str" cm="1">
        <f t="array" aca="1" ref="C11:K11" ca="1">IF(INDIRECT("'" &amp; $A11 &amp; "'!B16:J16")="", "", INDIRECT("'" &amp; $A11 &amp; "'!B16:J16"))</f>
        <v/>
      </c>
      <c r="D11" s="38" t="str">
        <f ca="1"/>
        <v/>
      </c>
      <c r="E11" s="38">
        <f ca="1"/>
        <v>0</v>
      </c>
      <c r="F11" s="42">
        <f ca="1"/>
        <v>0</v>
      </c>
      <c r="G11" s="40" t="str">
        <f ca="1"/>
        <v/>
      </c>
      <c r="H11" s="40">
        <f ca="1"/>
        <v>0</v>
      </c>
      <c r="I11" s="43">
        <f ca="1"/>
        <v>0</v>
      </c>
      <c r="J11" s="21" t="str">
        <f ca="1"/>
        <v/>
      </c>
      <c r="K11" s="21" t="str">
        <f ca="1"/>
        <v/>
      </c>
    </row>
    <row r="12" spans="1:11" ht="15.75">
      <c r="A12" s="72" t="str">
        <v>Dudley River 2</v>
      </c>
      <c r="B12" s="18" t="str">
        <v>MA</v>
      </c>
      <c r="C12" s="38" t="str" cm="1">
        <f t="array" aca="1" ref="C12:K12" ca="1">IF(INDIRECT("'" &amp; $A12 &amp; "'!B16:J16")="", "", INDIRECT("'" &amp; $A12 &amp; "'!B16:J16"))</f>
        <v/>
      </c>
      <c r="D12" s="38" t="str">
        <f ca="1"/>
        <v/>
      </c>
      <c r="E12" s="38">
        <f ca="1"/>
        <v>0</v>
      </c>
      <c r="F12" s="42">
        <f ca="1"/>
        <v>0</v>
      </c>
      <c r="G12" s="40" t="str">
        <f ca="1"/>
        <v/>
      </c>
      <c r="H12" s="40">
        <f ca="1"/>
        <v>0</v>
      </c>
      <c r="I12" s="43">
        <f ca="1"/>
        <v>0</v>
      </c>
      <c r="J12" s="21" t="str">
        <f ca="1"/>
        <v/>
      </c>
      <c r="K12" s="21" t="str">
        <f ca="1"/>
        <v/>
      </c>
    </row>
    <row r="13" spans="1:11" ht="15.75">
      <c r="A13" s="73" t="str">
        <v>Dudley River 3</v>
      </c>
      <c r="B13" s="37" t="str">
        <v>MA</v>
      </c>
      <c r="C13" s="38" t="str" cm="1">
        <f t="array" aca="1" ref="C13:K13" ca="1">IF(INDIRECT("'" &amp; $A13 &amp; "'!B16:J16")="", "", INDIRECT("'" &amp; $A13 &amp; "'!B16:J16"))</f>
        <v/>
      </c>
      <c r="D13" s="38" t="str">
        <f ca="1"/>
        <v/>
      </c>
      <c r="E13" s="38">
        <f ca="1"/>
        <v>0</v>
      </c>
      <c r="F13" s="42">
        <f ca="1"/>
        <v>0</v>
      </c>
      <c r="G13" s="40" t="str">
        <f ca="1"/>
        <v/>
      </c>
      <c r="H13" s="40">
        <f ca="1"/>
        <v>0</v>
      </c>
      <c r="I13" s="43">
        <f ca="1"/>
        <v>0</v>
      </c>
      <c r="J13" s="21" t="str">
        <f ca="1"/>
        <v/>
      </c>
      <c r="K13" s="21" t="str">
        <f ca="1"/>
        <v/>
      </c>
    </row>
    <row r="14" spans="1:11" ht="15.75">
      <c r="A14" s="72" t="str">
        <v>Flint Pond</v>
      </c>
      <c r="B14" s="18" t="str">
        <v>MA</v>
      </c>
      <c r="C14" s="38" t="str" cm="1">
        <f t="array" aca="1" ref="C14:K14" ca="1">IF(INDIRECT("'" &amp; $A14 &amp; "'!B16:J16")="", "", INDIRECT("'" &amp; $A14 &amp; "'!B16:J16"))</f>
        <v/>
      </c>
      <c r="D14" s="67" t="str">
        <f ca="1"/>
        <v/>
      </c>
      <c r="E14" s="44">
        <f ca="1"/>
        <v>0</v>
      </c>
      <c r="F14" s="45">
        <f ca="1"/>
        <v>0</v>
      </c>
      <c r="G14" s="46" t="str">
        <f ca="1"/>
        <v/>
      </c>
      <c r="H14" s="46">
        <f ca="1"/>
        <v>0</v>
      </c>
      <c r="I14" s="47">
        <f ca="1"/>
        <v>0</v>
      </c>
      <c r="J14" s="20" t="str">
        <f ca="1"/>
        <v/>
      </c>
      <c r="K14" s="21" t="str">
        <f ca="1"/>
        <v/>
      </c>
    </row>
    <row r="15" spans="1:11" ht="15.75">
      <c r="A15" s="73" t="str">
        <v>Incom</v>
      </c>
      <c r="B15" s="37" t="str">
        <v>MA</v>
      </c>
      <c r="C15" s="38" t="str" cm="1">
        <f t="array" aca="1" ref="C15:K15" ca="1">IF(INDIRECT("'" &amp; $A15 &amp; "'!B16:J16")="", "", INDIRECT("'" &amp; $A15 &amp; "'!B16:J16"))</f>
        <v/>
      </c>
      <c r="D15" s="68" t="str">
        <f ca="1"/>
        <v/>
      </c>
      <c r="E15" s="63">
        <f ca="1"/>
        <v>0</v>
      </c>
      <c r="F15" s="64">
        <f ca="1"/>
        <v>0</v>
      </c>
      <c r="G15" s="65" t="str">
        <f ca="1"/>
        <v/>
      </c>
      <c r="H15" s="65">
        <f ca="1"/>
        <v>0</v>
      </c>
      <c r="I15" s="66">
        <f ca="1"/>
        <v>0</v>
      </c>
      <c r="J15" s="20" t="str">
        <f ca="1"/>
        <v/>
      </c>
      <c r="K15" s="21" t="str">
        <f ca="1"/>
        <v/>
      </c>
    </row>
    <row r="16" spans="1:11" ht="15.75">
      <c r="A16" s="72" t="str">
        <v>JH</v>
      </c>
      <c r="B16" s="18" t="str">
        <v>MA</v>
      </c>
      <c r="C16" s="38" t="str" cm="1">
        <f t="array" aca="1" ref="C16:K16" ca="1">IF(INDIRECT("'" &amp; $A16 &amp; "'!B16:J16")="", "", INDIRECT("'" &amp; $A16 &amp; "'!B16:J16"))</f>
        <v/>
      </c>
      <c r="D16" s="68" t="str">
        <f ca="1"/>
        <v/>
      </c>
      <c r="E16" s="63">
        <f ca="1"/>
        <v>0</v>
      </c>
      <c r="F16" s="64">
        <f ca="1"/>
        <v>0</v>
      </c>
      <c r="G16" s="65" t="str">
        <f ca="1"/>
        <v/>
      </c>
      <c r="H16" s="65">
        <f ca="1"/>
        <v>0</v>
      </c>
      <c r="I16" s="66">
        <f ca="1"/>
        <v>0</v>
      </c>
      <c r="J16" s="20" t="str">
        <f ca="1"/>
        <v/>
      </c>
      <c r="K16" s="21" t="str">
        <f ca="1"/>
        <v/>
      </c>
    </row>
    <row r="17" spans="1:11" ht="15.75">
      <c r="A17" s="73" t="str">
        <v>Ledeaux</v>
      </c>
      <c r="B17" s="37" t="str">
        <v>MA</v>
      </c>
      <c r="C17" s="38" t="str" cm="1">
        <f t="array" aca="1" ref="C17:K17" ca="1">IF(INDIRECT("'" &amp; $A17 &amp; "'!B16:J16")="", "", INDIRECT("'" &amp; $A17 &amp; "'!B16:J16"))</f>
        <v/>
      </c>
      <c r="D17" s="68" t="str">
        <f ca="1"/>
        <v/>
      </c>
      <c r="E17" s="63">
        <f ca="1"/>
        <v>0</v>
      </c>
      <c r="F17" s="64">
        <f ca="1"/>
        <v>0</v>
      </c>
      <c r="G17" s="65" t="str">
        <f ca="1"/>
        <v/>
      </c>
      <c r="H17" s="65">
        <f ca="1"/>
        <v>0</v>
      </c>
      <c r="I17" s="66">
        <f ca="1"/>
        <v>0</v>
      </c>
      <c r="J17" s="20" t="str">
        <f ca="1"/>
        <v/>
      </c>
      <c r="K17" s="21" t="str">
        <f ca="1"/>
        <v/>
      </c>
    </row>
    <row r="18" spans="1:11" ht="15.75">
      <c r="A18" s="72" t="str">
        <v>Palombo A</v>
      </c>
      <c r="B18" s="18" t="str">
        <v>MA</v>
      </c>
      <c r="C18" s="38" t="str" cm="1">
        <f t="array" aca="1" ref="C18:K18" ca="1">IF(INDIRECT("'" &amp; $A18 &amp; "'!B16:J16")="", "", INDIRECT("'" &amp; $A18 &amp; "'!B16:J16"))</f>
        <v/>
      </c>
      <c r="D18" s="68" t="str">
        <f ca="1"/>
        <v/>
      </c>
      <c r="E18" s="63">
        <f ca="1"/>
        <v>0</v>
      </c>
      <c r="F18" s="64">
        <f ca="1"/>
        <v>0</v>
      </c>
      <c r="G18" s="65" t="str">
        <f ca="1"/>
        <v/>
      </c>
      <c r="H18" s="65">
        <f ca="1"/>
        <v>0</v>
      </c>
      <c r="I18" s="66">
        <f ca="1"/>
        <v>0</v>
      </c>
      <c r="J18" s="20" t="str">
        <f ca="1"/>
        <v/>
      </c>
      <c r="K18" s="21" t="str">
        <f ca="1"/>
        <v/>
      </c>
    </row>
    <row r="19" spans="1:11" ht="15.75">
      <c r="A19" s="73" t="str">
        <v>Palombo B</v>
      </c>
      <c r="B19" s="37" t="str">
        <v>MA</v>
      </c>
      <c r="C19" s="38" t="str" cm="1">
        <f t="array" aca="1" ref="C19:K19" ca="1">IF(INDIRECT("'" &amp; $A19 &amp; "'!B16:J16")="", "", INDIRECT("'" &amp; $A19 &amp; "'!B16:J16"))</f>
        <v/>
      </c>
      <c r="D19" s="68" t="str">
        <f ca="1"/>
        <v/>
      </c>
      <c r="E19" s="63">
        <f ca="1"/>
        <v>0</v>
      </c>
      <c r="F19" s="64">
        <f ca="1"/>
        <v>0</v>
      </c>
      <c r="G19" s="65" t="str">
        <f ca="1"/>
        <v/>
      </c>
      <c r="H19" s="65">
        <f ca="1"/>
        <v>0</v>
      </c>
      <c r="I19" s="66">
        <f ca="1"/>
        <v>0</v>
      </c>
      <c r="J19" s="20" t="str">
        <f ca="1"/>
        <v/>
      </c>
      <c r="K19" s="21" t="str">
        <f ca="1"/>
        <v/>
      </c>
    </row>
    <row r="20" spans="1:11" ht="15.75">
      <c r="A20" s="72" t="str">
        <v>St Josephs Church</v>
      </c>
      <c r="B20" s="18" t="str">
        <v>MA</v>
      </c>
      <c r="C20" s="38" t="str" cm="1">
        <f t="array" aca="1" ref="C20:K20" ca="1">IF(INDIRECT("'" &amp; $A20 &amp; "'!B16:J16")="", "", INDIRECT("'" &amp; $A20 &amp; "'!B16:J16"))</f>
        <v/>
      </c>
      <c r="D20" s="68" t="str">
        <f ca="1"/>
        <v/>
      </c>
      <c r="E20" s="63">
        <f ca="1"/>
        <v>0</v>
      </c>
      <c r="F20" s="64">
        <f ca="1"/>
        <v>0</v>
      </c>
      <c r="G20" s="65" t="str">
        <f ca="1"/>
        <v/>
      </c>
      <c r="H20" s="65">
        <f ca="1"/>
        <v>0</v>
      </c>
      <c r="I20" s="66">
        <f ca="1"/>
        <v>0</v>
      </c>
      <c r="J20" s="20" t="str">
        <f ca="1"/>
        <v/>
      </c>
      <c r="K20" s="21" t="str">
        <f ca="1"/>
        <v/>
      </c>
    </row>
    <row r="21" spans="1:11" ht="15.75">
      <c r="A21" s="73" t="str">
        <v>Sunset A</v>
      </c>
      <c r="B21" s="37" t="str">
        <v>MA</v>
      </c>
      <c r="C21" s="38" t="str" cm="1">
        <f t="array" aca="1" ref="C21:K21" ca="1">IF(INDIRECT("'" &amp; $A21 &amp; "'!B16:J16")="", "", INDIRECT("'" &amp; $A21 &amp; "'!B16:J16"))</f>
        <v/>
      </c>
      <c r="D21" s="68" t="str">
        <f ca="1"/>
        <v/>
      </c>
      <c r="E21" s="63">
        <f ca="1"/>
        <v>0</v>
      </c>
      <c r="F21" s="64">
        <f ca="1"/>
        <v>0</v>
      </c>
      <c r="G21" s="65" t="str">
        <f ca="1"/>
        <v/>
      </c>
      <c r="H21" s="65">
        <f ca="1"/>
        <v>0</v>
      </c>
      <c r="I21" s="66">
        <f ca="1"/>
        <v>0</v>
      </c>
      <c r="J21" s="20" t="str">
        <f ca="1"/>
        <v/>
      </c>
      <c r="K21" s="21" t="str">
        <f ca="1"/>
        <v/>
      </c>
    </row>
    <row r="22" spans="1:11" ht="15.75">
      <c r="A22" s="72" t="str">
        <v>Sunset B</v>
      </c>
      <c r="B22" s="18" t="str">
        <v>MA</v>
      </c>
      <c r="C22" s="38" t="str" cm="1">
        <f t="array" aca="1" ref="C22:K22" ca="1">IF(INDIRECT("'" &amp; $A22 &amp; "'!B16:J16")="", "", INDIRECT("'" &amp; $A22 &amp; "'!B16:J16"))</f>
        <v/>
      </c>
      <c r="D22" s="68" t="str">
        <f ca="1"/>
        <v/>
      </c>
      <c r="E22" s="63">
        <f ca="1"/>
        <v>0</v>
      </c>
      <c r="F22" s="64">
        <f ca="1"/>
        <v>0</v>
      </c>
      <c r="G22" s="65" t="str">
        <f ca="1"/>
        <v/>
      </c>
      <c r="H22" s="65">
        <f ca="1"/>
        <v>0</v>
      </c>
      <c r="I22" s="66">
        <f ca="1"/>
        <v>0</v>
      </c>
      <c r="J22" s="20" t="str">
        <f ca="1"/>
        <v/>
      </c>
      <c r="K22" s="21" t="str">
        <f ca="1"/>
        <v xml:space="preserve"> </v>
      </c>
    </row>
    <row r="23" spans="1:11" ht="16.149999999999999" thickBot="1">
      <c r="A23" s="73" t="str">
        <v>Woodchuck</v>
      </c>
      <c r="B23" s="37" t="str">
        <v>MA</v>
      </c>
      <c r="C23" s="38" t="str" cm="1">
        <f t="array" aca="1" ref="C23:K23" ca="1">IF(INDIRECT("'" &amp; $A23 &amp; "'!B16:J16")="", "", INDIRECT("'" &amp; $A23 &amp; "'!B16:J16"))</f>
        <v/>
      </c>
      <c r="D23" s="68" t="str">
        <f ca="1"/>
        <v/>
      </c>
      <c r="E23" s="63">
        <f ca="1"/>
        <v>0</v>
      </c>
      <c r="F23" s="64">
        <f ca="1"/>
        <v>0</v>
      </c>
      <c r="G23" s="65" t="str">
        <f ca="1"/>
        <v/>
      </c>
      <c r="H23" s="65">
        <f ca="1"/>
        <v>0</v>
      </c>
      <c r="I23" s="66">
        <f ca="1"/>
        <v>0</v>
      </c>
      <c r="J23" s="21" t="str">
        <f ca="1"/>
        <v/>
      </c>
      <c r="K23" s="21" t="str">
        <f ca="1"/>
        <v/>
      </c>
    </row>
    <row r="24" spans="1:11" ht="24.75" customHeight="1" thickBot="1">
      <c r="A24" s="160" t="s">
        <v>11</v>
      </c>
      <c r="B24" s="161"/>
      <c r="C24" s="59">
        <f ca="1">SUM(C3:C23)</f>
        <v>0</v>
      </c>
      <c r="D24" s="59">
        <f ca="1">SUM(D3:D23)</f>
        <v>0</v>
      </c>
      <c r="E24" s="59">
        <f ca="1">C24-D24</f>
        <v>0</v>
      </c>
      <c r="F24" s="60">
        <f ca="1">IFERROR(E24/D24, 0)</f>
        <v>0</v>
      </c>
      <c r="G24" s="59">
        <f ca="1">SUM(G3:G23)</f>
        <v>0</v>
      </c>
      <c r="H24" s="61">
        <f ca="1">C24-G24</f>
        <v>0</v>
      </c>
      <c r="I24" s="62">
        <f ca="1">IFERROR(H24/G24, 0)</f>
        <v>0</v>
      </c>
      <c r="J24" s="9"/>
    </row>
    <row r="25" spans="1:11">
      <c r="J25" s="9"/>
    </row>
    <row r="26" spans="1:11" ht="12.75" customHeight="1">
      <c r="A26" s="162" t="s">
        <v>12</v>
      </c>
      <c r="J26" s="9"/>
    </row>
    <row r="27" spans="1:11">
      <c r="A27" s="162"/>
      <c r="J27" s="9"/>
    </row>
    <row r="28" spans="1:11">
      <c r="A28" s="163" t="s">
        <v>13</v>
      </c>
      <c r="J28" s="9"/>
    </row>
    <row r="29" spans="1:11" ht="12.75" customHeight="1">
      <c r="A29" s="163"/>
      <c r="J29" s="9"/>
    </row>
    <row r="30" spans="1:11">
      <c r="J30" s="9"/>
    </row>
  </sheetData>
  <autoFilter ref="A2:I2" xr:uid="{7BFACBC8-3831-4E2B-BAD7-988F02FCC664}"/>
  <mergeCells count="8">
    <mergeCell ref="G1:I1"/>
    <mergeCell ref="J1:J2"/>
    <mergeCell ref="K1:K2"/>
    <mergeCell ref="A26:A27"/>
    <mergeCell ref="A28:A29"/>
    <mergeCell ref="A24:B24"/>
    <mergeCell ref="C1:F1"/>
    <mergeCell ref="A1:B1"/>
  </mergeCells>
  <conditionalFormatting sqref="F3:F24 I3:I24">
    <cfRule type="cellIs" dxfId="347" priority="1" operator="lessThanOrEqual">
      <formula>-0.1</formula>
    </cfRule>
    <cfRule type="cellIs" dxfId="34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3"/>
  <sheetViews>
    <sheetView workbookViewId="0">
      <pane ySplit="2" topLeftCell="A3" activePane="bottomLeft" state="frozen"/>
      <selection pane="bottomLeft" activeCell="I35" sqref="I35"/>
    </sheetView>
  </sheetViews>
  <sheetFormatPr defaultRowHeight="12.75" customHeight="1"/>
  <cols>
    <col min="1" max="2" width="41.85546875" customWidth="1"/>
    <col min="4" max="13" width="9.140625" customWidth="1"/>
  </cols>
  <sheetData>
    <row r="1" spans="1:6" ht="12.75" customHeight="1">
      <c r="A1" t="s">
        <v>47</v>
      </c>
      <c r="B1" s="56" t="s">
        <v>48</v>
      </c>
    </row>
    <row r="2" spans="1:6" ht="13.15" thickBot="1">
      <c r="A2" t="s">
        <v>49</v>
      </c>
      <c r="B2" s="14" t="s">
        <v>4</v>
      </c>
      <c r="C2" s="14" t="s">
        <v>5</v>
      </c>
      <c r="D2" s="58" t="s">
        <v>50</v>
      </c>
    </row>
    <row r="3" spans="1:6" ht="14.25">
      <c r="A3" s="69" t="s">
        <v>51</v>
      </c>
      <c r="B3" s="69" t="s">
        <v>51</v>
      </c>
      <c r="C3" s="57" t="s">
        <v>52</v>
      </c>
      <c r="D3" t="s">
        <v>53</v>
      </c>
      <c r="F3" s="13"/>
    </row>
    <row r="4" spans="1:6" ht="14.25">
      <c r="A4" s="4" t="s">
        <v>54</v>
      </c>
      <c r="B4" s="4" t="s">
        <v>54</v>
      </c>
      <c r="C4" s="57" t="s">
        <v>55</v>
      </c>
      <c r="D4" t="s">
        <v>53</v>
      </c>
      <c r="F4" s="13"/>
    </row>
    <row r="5" spans="1:6" ht="14.25">
      <c r="A5" s="4" t="s">
        <v>56</v>
      </c>
      <c r="B5" s="4" t="s">
        <v>56</v>
      </c>
      <c r="C5" s="57" t="s">
        <v>55</v>
      </c>
      <c r="D5" t="s">
        <v>53</v>
      </c>
      <c r="F5" s="13"/>
    </row>
    <row r="6" spans="1:6" ht="14.25">
      <c r="A6" s="4" t="s">
        <v>57</v>
      </c>
      <c r="B6" s="4" t="s">
        <v>57</v>
      </c>
      <c r="C6" s="57" t="s">
        <v>55</v>
      </c>
      <c r="D6" t="s">
        <v>53</v>
      </c>
      <c r="F6" s="13"/>
    </row>
    <row r="7" spans="1:6" ht="14.25">
      <c r="A7" s="4" t="s">
        <v>58</v>
      </c>
      <c r="B7" s="4" t="s">
        <v>58</v>
      </c>
      <c r="C7" s="57" t="s">
        <v>55</v>
      </c>
      <c r="D7" t="s">
        <v>53</v>
      </c>
      <c r="F7" s="13"/>
    </row>
    <row r="8" spans="1:6" ht="14.25">
      <c r="A8" s="4" t="s">
        <v>59</v>
      </c>
      <c r="B8" s="4" t="s">
        <v>59</v>
      </c>
      <c r="C8" s="57" t="s">
        <v>55</v>
      </c>
      <c r="D8" t="s">
        <v>53</v>
      </c>
      <c r="F8" s="13"/>
    </row>
    <row r="9" spans="1:6" ht="14.25">
      <c r="A9" s="4" t="s">
        <v>60</v>
      </c>
      <c r="B9" s="4" t="s">
        <v>60</v>
      </c>
      <c r="C9" s="57" t="s">
        <v>55</v>
      </c>
      <c r="D9" t="s">
        <v>53</v>
      </c>
      <c r="F9" s="13"/>
    </row>
    <row r="10" spans="1:6" ht="14.25">
      <c r="A10" s="4" t="s">
        <v>61</v>
      </c>
      <c r="B10" s="4" t="s">
        <v>61</v>
      </c>
      <c r="C10" s="57" t="s">
        <v>55</v>
      </c>
      <c r="D10" t="s">
        <v>53</v>
      </c>
      <c r="F10" s="13"/>
    </row>
    <row r="11" spans="1:6" ht="14.25">
      <c r="A11" s="4" t="s">
        <v>62</v>
      </c>
      <c r="B11" s="4" t="s">
        <v>62</v>
      </c>
      <c r="C11" s="57" t="s">
        <v>55</v>
      </c>
      <c r="D11" t="s">
        <v>53</v>
      </c>
      <c r="F11" s="13"/>
    </row>
    <row r="12" spans="1:6" ht="14.25">
      <c r="A12" s="4" t="s">
        <v>63</v>
      </c>
      <c r="B12" s="4" t="s">
        <v>63</v>
      </c>
      <c r="C12" s="57" t="s">
        <v>55</v>
      </c>
      <c r="D12" t="s">
        <v>53</v>
      </c>
      <c r="F12" s="13"/>
    </row>
    <row r="13" spans="1:6" ht="14.25">
      <c r="A13" s="4" t="s">
        <v>64</v>
      </c>
      <c r="B13" s="4" t="s">
        <v>64</v>
      </c>
      <c r="C13" s="57" t="s">
        <v>55</v>
      </c>
      <c r="D13" t="s">
        <v>53</v>
      </c>
      <c r="F13" s="13"/>
    </row>
    <row r="14" spans="1:6" ht="14.25">
      <c r="A14" s="4" t="s">
        <v>65</v>
      </c>
      <c r="B14" s="4" t="s">
        <v>65</v>
      </c>
      <c r="C14" s="57" t="s">
        <v>55</v>
      </c>
      <c r="D14" t="s">
        <v>53</v>
      </c>
      <c r="F14" s="13"/>
    </row>
    <row r="15" spans="1:6" ht="14.25">
      <c r="A15" s="4" t="s">
        <v>66</v>
      </c>
      <c r="B15" s="4" t="s">
        <v>66</v>
      </c>
      <c r="C15" s="57" t="s">
        <v>55</v>
      </c>
      <c r="D15" t="s">
        <v>53</v>
      </c>
      <c r="F15" s="13"/>
    </row>
    <row r="16" spans="1:6" ht="12.75" customHeight="1">
      <c r="A16" s="4" t="s">
        <v>67</v>
      </c>
      <c r="B16" s="4" t="s">
        <v>67</v>
      </c>
      <c r="C16" s="57" t="s">
        <v>55</v>
      </c>
      <c r="D16" t="s">
        <v>53</v>
      </c>
    </row>
    <row r="17" spans="1:4" ht="12.75" customHeight="1">
      <c r="A17" s="4" t="s">
        <v>68</v>
      </c>
      <c r="B17" s="4" t="s">
        <v>68</v>
      </c>
      <c r="C17" s="57" t="s">
        <v>55</v>
      </c>
      <c r="D17" t="s">
        <v>53</v>
      </c>
    </row>
    <row r="18" spans="1:4" ht="12.75" customHeight="1">
      <c r="A18" s="4" t="s">
        <v>69</v>
      </c>
      <c r="B18" s="4" t="s">
        <v>69</v>
      </c>
      <c r="C18" s="57" t="s">
        <v>55</v>
      </c>
      <c r="D18" t="s">
        <v>53</v>
      </c>
    </row>
    <row r="19" spans="1:4" ht="12.75" customHeight="1">
      <c r="A19" s="4" t="s">
        <v>70</v>
      </c>
      <c r="B19" s="4" t="s">
        <v>70</v>
      </c>
      <c r="C19" s="57" t="s">
        <v>55</v>
      </c>
      <c r="D19" t="s">
        <v>53</v>
      </c>
    </row>
    <row r="20" spans="1:4" ht="12.75" customHeight="1">
      <c r="A20" s="4" t="s">
        <v>71</v>
      </c>
      <c r="B20" s="4" t="s">
        <v>71</v>
      </c>
      <c r="C20" s="57" t="s">
        <v>55</v>
      </c>
      <c r="D20" t="s">
        <v>53</v>
      </c>
    </row>
    <row r="21" spans="1:4" ht="12.75" customHeight="1">
      <c r="A21" s="4" t="s">
        <v>72</v>
      </c>
      <c r="B21" s="4" t="s">
        <v>72</v>
      </c>
      <c r="C21" s="57" t="s">
        <v>55</v>
      </c>
      <c r="D21" t="s">
        <v>53</v>
      </c>
    </row>
    <row r="22" spans="1:4" ht="12.75" customHeight="1">
      <c r="A22" s="4" t="s">
        <v>73</v>
      </c>
      <c r="B22" s="4" t="s">
        <v>73</v>
      </c>
      <c r="C22" s="57" t="s">
        <v>55</v>
      </c>
      <c r="D22" t="s">
        <v>53</v>
      </c>
    </row>
    <row r="23" spans="1:4" ht="12.75" customHeight="1">
      <c r="A23" s="70" t="s">
        <v>74</v>
      </c>
      <c r="B23" s="70" t="s">
        <v>74</v>
      </c>
      <c r="C23" s="57" t="s">
        <v>55</v>
      </c>
      <c r="D23" t="s">
        <v>53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zoomScale="80" zoomScaleNormal="80" workbookViewId="0">
      <selection activeCell="I8" sqref="I8"/>
    </sheetView>
  </sheetViews>
  <sheetFormatPr defaultRowHeight="12.95" customHeight="1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2" bestFit="1" customWidth="1"/>
    <col min="10" max="10" width="13.7109375" customWidth="1"/>
  </cols>
  <sheetData>
    <row r="1" spans="1:15" ht="12.95" customHeight="1">
      <c r="A1" s="181" t="s">
        <v>51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12.95" customHeight="1">
      <c r="A2" s="11"/>
      <c r="B2" s="11"/>
      <c r="C2" s="11"/>
      <c r="D2" s="11"/>
      <c r="E2" s="11"/>
    </row>
    <row r="3" spans="1:15" ht="12.9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9.899999999999999" customHeigh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97" t="s">
        <v>77</v>
      </c>
      <c r="J4" s="98" t="s">
        <v>83</v>
      </c>
    </row>
    <row r="5" spans="1:15" ht="18" customHeight="1">
      <c r="A5" s="16" t="s">
        <v>84</v>
      </c>
      <c r="B5" s="136">
        <v>124703.5</v>
      </c>
      <c r="C5" s="136">
        <v>103355.9</v>
      </c>
      <c r="D5" s="74">
        <f>B5-C5</f>
        <v>21347.600000000006</v>
      </c>
      <c r="E5" s="83">
        <f t="shared" ref="E5:E16" si="0">IFERROR(D5/C5, 0)</f>
        <v>0.20654457075019431</v>
      </c>
      <c r="F5" s="75">
        <v>146126.1</v>
      </c>
      <c r="G5" s="84">
        <f>B5-F5</f>
        <v>-21422.600000000006</v>
      </c>
      <c r="H5" s="116">
        <f t="shared" ref="H5:H16" si="1">IFERROR(G5/F5, 0)</f>
        <v>-0.14660351573059163</v>
      </c>
      <c r="I5" s="20" t="s">
        <v>85</v>
      </c>
      <c r="J5" s="88" t="s">
        <v>86</v>
      </c>
      <c r="O5" s="5"/>
    </row>
    <row r="6" spans="1:15" ht="12.95" customHeight="1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76"/>
      <c r="G6" s="84">
        <f t="shared" ref="G6:G16" si="3">B6-F6</f>
        <v>0</v>
      </c>
      <c r="H6" s="116">
        <f t="shared" si="1"/>
        <v>0</v>
      </c>
      <c r="I6" s="21"/>
      <c r="J6" s="88"/>
    </row>
    <row r="7" spans="1:15" ht="12.95" customHeight="1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21"/>
      <c r="J7" s="88"/>
    </row>
    <row r="8" spans="1:15" ht="12.95" customHeight="1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78"/>
      <c r="G8" s="84">
        <f t="shared" si="3"/>
        <v>0</v>
      </c>
      <c r="H8" s="116">
        <f t="shared" si="1"/>
        <v>0</v>
      </c>
      <c r="I8" s="96"/>
      <c r="J8" s="104"/>
    </row>
    <row r="9" spans="1:15" ht="12.95" customHeight="1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78"/>
      <c r="G9" s="84">
        <f t="shared" si="3"/>
        <v>0</v>
      </c>
      <c r="H9" s="116">
        <f t="shared" si="1"/>
        <v>0</v>
      </c>
      <c r="I9" s="89"/>
      <c r="J9" s="88"/>
    </row>
    <row r="10" spans="1:15" ht="12.95" customHeight="1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75"/>
      <c r="G10" s="84">
        <f t="shared" si="3"/>
        <v>0</v>
      </c>
      <c r="H10" s="116">
        <f t="shared" si="1"/>
        <v>0</v>
      </c>
      <c r="I10" s="88"/>
      <c r="J10" s="88"/>
    </row>
    <row r="11" spans="1:15" ht="12.95" customHeight="1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20"/>
      <c r="J11" s="89"/>
    </row>
    <row r="12" spans="1:15" ht="12.95" customHeight="1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21"/>
      <c r="J12" s="88"/>
    </row>
    <row r="13" spans="1:15" ht="12.95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21"/>
      <c r="J13" s="88"/>
    </row>
    <row r="14" spans="1:15" ht="12.9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20"/>
      <c r="J14" s="88"/>
    </row>
    <row r="15" spans="1:15" ht="12.9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20"/>
      <c r="J15" s="89"/>
    </row>
    <row r="16" spans="1:15" ht="12.95" customHeight="1">
      <c r="A16" s="22" t="s">
        <v>97</v>
      </c>
      <c r="B16" s="117"/>
      <c r="C16" s="117"/>
      <c r="D16" s="74">
        <f t="shared" si="2"/>
        <v>0</v>
      </c>
      <c r="E16" s="85">
        <f t="shared" si="0"/>
        <v>0</v>
      </c>
      <c r="F16" s="119"/>
      <c r="G16" s="84">
        <f t="shared" si="3"/>
        <v>0</v>
      </c>
      <c r="H16" s="120">
        <f t="shared" si="1"/>
        <v>0</v>
      </c>
      <c r="I16" s="152"/>
      <c r="J16" s="155"/>
    </row>
    <row r="17" spans="1:15" ht="12.95" customHeight="1">
      <c r="A17" s="24" t="s">
        <v>98</v>
      </c>
      <c r="B17" s="25">
        <f>SUM(B5:B16)</f>
        <v>124703.5</v>
      </c>
      <c r="C17" s="25">
        <f t="shared" ref="C17:F17" si="4">SUM(C5:C16)</f>
        <v>103355.9</v>
      </c>
      <c r="D17" s="25">
        <f>B17-C17</f>
        <v>21347.600000000006</v>
      </c>
      <c r="E17" s="26">
        <f>IFERROR(D17/C17, 0)</f>
        <v>0.20654457075019431</v>
      </c>
      <c r="F17" s="25">
        <f t="shared" si="4"/>
        <v>146126.1</v>
      </c>
      <c r="G17" s="25">
        <f>B17-F17</f>
        <v>-21422.600000000006</v>
      </c>
      <c r="H17" s="27">
        <f>IFERROR(G17/F17, 0)</f>
        <v>-0.14660351573059163</v>
      </c>
      <c r="I17" s="100"/>
      <c r="J17" s="100"/>
    </row>
    <row r="18" spans="1:15" ht="12.95" customHeight="1">
      <c r="F18" s="12"/>
    </row>
    <row r="20" spans="1:15" ht="12.9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341" priority="3" operator="lessThanOrEqual">
      <formula>-0.1</formula>
    </cfRule>
    <cfRule type="cellIs" dxfId="340" priority="4" operator="greaterThan">
      <formula>0.1</formula>
    </cfRule>
  </conditionalFormatting>
  <conditionalFormatting sqref="I8:J8">
    <cfRule type="cellIs" dxfId="339" priority="1" operator="lessThan">
      <formula>0</formula>
    </cfRule>
  </conditionalFormatting>
  <conditionalFormatting sqref="J8">
    <cfRule type="cellIs" dxfId="338" priority="2" operator="lessThan">
      <formula>0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zoomScale="90" zoomScaleNormal="90" workbookViewId="0">
      <selection activeCell="I24" sqref="I24"/>
    </sheetView>
  </sheetViews>
  <sheetFormatPr defaultRowHeight="12.95" customHeight="1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12.95" customHeight="1">
      <c r="A1" s="181" t="s">
        <v>54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12.95" customHeight="1">
      <c r="A2" s="11"/>
      <c r="B2" s="11"/>
      <c r="C2" s="11"/>
      <c r="D2" s="11"/>
      <c r="E2" s="11"/>
    </row>
    <row r="3" spans="1:15" ht="12.9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2.95" customHeigh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2.95" customHeight="1">
      <c r="A5" s="16" t="s">
        <v>84</v>
      </c>
      <c r="B5" s="137">
        <v>31509</v>
      </c>
      <c r="C5" s="137">
        <v>84215.44</v>
      </c>
      <c r="D5" s="74">
        <f>B5-C5</f>
        <v>-52706.44</v>
      </c>
      <c r="E5" s="83">
        <f t="shared" ref="E5:E16" si="0">IFERROR(D5/C5, 0)</f>
        <v>-0.62585245650916266</v>
      </c>
      <c r="F5" s="75">
        <v>69453.119999999995</v>
      </c>
      <c r="G5" s="84">
        <f>B5-F5</f>
        <v>-37944.119999999995</v>
      </c>
      <c r="H5" s="116">
        <f t="shared" ref="H5:H16" si="1">IFERROR(G5/F5, 0)</f>
        <v>-0.5463270764509931</v>
      </c>
      <c r="I5" s="102"/>
      <c r="J5" s="104"/>
      <c r="O5" s="5"/>
    </row>
    <row r="6" spans="1:15" ht="12.95" customHeight="1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76"/>
      <c r="G6" s="84">
        <f t="shared" ref="G6:G16" si="3">B6-F6</f>
        <v>0</v>
      </c>
      <c r="H6" s="116">
        <f t="shared" si="1"/>
        <v>0</v>
      </c>
      <c r="I6" s="88"/>
      <c r="J6" s="88"/>
    </row>
    <row r="7" spans="1:15" ht="12.95" customHeight="1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8"/>
      <c r="G7" s="84">
        <f t="shared" si="3"/>
        <v>0</v>
      </c>
      <c r="H7" s="116">
        <f t="shared" si="1"/>
        <v>0</v>
      </c>
      <c r="I7" s="103"/>
      <c r="J7" s="105"/>
    </row>
    <row r="8" spans="1:15" ht="12.95" customHeight="1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77"/>
      <c r="G8" s="84">
        <f t="shared" si="3"/>
        <v>0</v>
      </c>
      <c r="H8" s="116">
        <f t="shared" si="1"/>
        <v>0</v>
      </c>
      <c r="I8" s="88"/>
      <c r="J8" s="88"/>
    </row>
    <row r="9" spans="1:15" ht="12.95" customHeight="1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78"/>
      <c r="G9" s="84">
        <f t="shared" si="3"/>
        <v>0</v>
      </c>
      <c r="H9" s="116">
        <f t="shared" si="1"/>
        <v>0</v>
      </c>
      <c r="I9" s="89"/>
      <c r="J9" s="88"/>
    </row>
    <row r="10" spans="1:15" ht="12.95" customHeight="1">
      <c r="A10" s="18" t="s">
        <v>91</v>
      </c>
      <c r="B10" s="87"/>
      <c r="C10" s="87"/>
      <c r="D10" s="74">
        <f t="shared" si="2"/>
        <v>0</v>
      </c>
      <c r="E10" s="85">
        <f t="shared" si="0"/>
        <v>0</v>
      </c>
      <c r="F10" s="75"/>
      <c r="G10" s="84">
        <f t="shared" si="3"/>
        <v>0</v>
      </c>
      <c r="H10" s="116">
        <f t="shared" si="1"/>
        <v>0</v>
      </c>
      <c r="I10" s="88"/>
      <c r="J10" s="88"/>
    </row>
    <row r="11" spans="1:15" ht="12.95" customHeight="1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8"/>
      <c r="J11" s="88"/>
    </row>
    <row r="12" spans="1:15" ht="12.95" customHeight="1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12.95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2.9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9"/>
    </row>
    <row r="15" spans="1:15" ht="12.9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2.95" customHeight="1">
      <c r="A16" s="22" t="s">
        <v>97</v>
      </c>
      <c r="B16" s="117"/>
      <c r="C16" s="117"/>
      <c r="D16" s="74">
        <f t="shared" si="2"/>
        <v>0</v>
      </c>
      <c r="E16" s="85">
        <f t="shared" si="0"/>
        <v>0</v>
      </c>
      <c r="F16" s="119"/>
      <c r="G16" s="84">
        <f t="shared" si="3"/>
        <v>0</v>
      </c>
      <c r="H16" s="116">
        <f t="shared" si="1"/>
        <v>0</v>
      </c>
      <c r="I16" s="99"/>
      <c r="J16" s="99"/>
    </row>
    <row r="17" spans="1:15" ht="12.95" customHeight="1">
      <c r="A17" s="24" t="s">
        <v>98</v>
      </c>
      <c r="B17" s="139">
        <f>SUM(B5:B16)</f>
        <v>31509</v>
      </c>
      <c r="C17" s="139">
        <f t="shared" ref="C17:F17" si="4">SUM(C5:C16)</f>
        <v>84215.44</v>
      </c>
      <c r="D17" s="139">
        <f>B17-C17</f>
        <v>-52706.44</v>
      </c>
      <c r="E17" s="140">
        <f>IFERROR(D17/C17, 0)</f>
        <v>-0.62585245650916266</v>
      </c>
      <c r="F17" s="139">
        <f t="shared" si="4"/>
        <v>69453.119999999995</v>
      </c>
      <c r="G17" s="139">
        <f>B17-F17</f>
        <v>-37944.119999999995</v>
      </c>
      <c r="H17" s="141">
        <f>IFERROR(G17/F17, 0)</f>
        <v>-0.5463270764509931</v>
      </c>
      <c r="I17" s="28"/>
      <c r="J17" s="28"/>
    </row>
    <row r="18" spans="1:15" ht="12.95" customHeight="1">
      <c r="F18" s="12"/>
    </row>
    <row r="20" spans="1:15" ht="12.9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323" priority="1" operator="lessThanOrEqual">
      <formula>-0.1</formula>
    </cfRule>
    <cfRule type="cellIs" dxfId="32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DF61-AB9F-4A30-84FF-25FDD04000F5}">
  <sheetPr codeName="Sheet21">
    <tabColor rgb="FFFFFF00"/>
  </sheetPr>
  <dimension ref="A1:O20"/>
  <sheetViews>
    <sheetView zoomScale="90" zoomScaleNormal="90" workbookViewId="0">
      <selection activeCell="I36" sqref="I3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6.85546875" customWidth="1"/>
    <col min="10" max="10" width="21.42578125" customWidth="1"/>
  </cols>
  <sheetData>
    <row r="1" spans="1:15" ht="25.15">
      <c r="A1" s="181" t="s">
        <v>56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15">
      <c r="A2" s="11"/>
      <c r="B2" s="11"/>
      <c r="C2" s="11"/>
      <c r="D2" s="11"/>
      <c r="E2" s="11"/>
    </row>
    <row r="3" spans="1:15" ht="15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4.25">
      <c r="A5" s="16" t="s">
        <v>84</v>
      </c>
      <c r="B5" s="137">
        <v>69313</v>
      </c>
      <c r="C5" s="137">
        <v>124922.7</v>
      </c>
      <c r="D5" s="74">
        <f>B5-C5</f>
        <v>-55609.7</v>
      </c>
      <c r="E5" s="83">
        <f t="shared" ref="E5:E16" si="0">IFERROR(D5/C5, 0)</f>
        <v>-0.4451528825425643</v>
      </c>
      <c r="F5" s="75">
        <v>167677.4</v>
      </c>
      <c r="G5" s="84">
        <f>B5-F5</f>
        <v>-98364.4</v>
      </c>
      <c r="H5" s="116">
        <f t="shared" ref="H5:H16" si="1">IFERROR(G5/F5, 0)</f>
        <v>-0.58662884801410331</v>
      </c>
      <c r="I5" s="88"/>
      <c r="J5" s="88"/>
      <c r="O5" s="5"/>
    </row>
    <row r="6" spans="1:15" ht="14.25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76"/>
      <c r="G6" s="84">
        <f t="shared" ref="G6:G16" si="3">B6-F6</f>
        <v>0</v>
      </c>
      <c r="H6" s="116">
        <f t="shared" si="1"/>
        <v>0</v>
      </c>
      <c r="I6" s="105"/>
      <c r="J6" s="112"/>
    </row>
    <row r="7" spans="1:15" ht="14.25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88"/>
      <c r="J7" s="88"/>
    </row>
    <row r="8" spans="1:15" ht="14.25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77"/>
      <c r="G8" s="84">
        <f t="shared" si="3"/>
        <v>0</v>
      </c>
      <c r="H8" s="116">
        <f t="shared" si="1"/>
        <v>0</v>
      </c>
      <c r="I8" s="88"/>
      <c r="J8" s="88"/>
    </row>
    <row r="9" spans="1:15" ht="14.25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78"/>
      <c r="G9" s="84">
        <f t="shared" si="3"/>
        <v>0</v>
      </c>
      <c r="H9" s="116">
        <f t="shared" si="1"/>
        <v>0</v>
      </c>
      <c r="I9" s="88"/>
      <c r="J9" s="88"/>
    </row>
    <row r="10" spans="1:15" ht="14.25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75"/>
      <c r="G10" s="84">
        <f t="shared" si="3"/>
        <v>0</v>
      </c>
      <c r="H10" s="116">
        <f t="shared" si="1"/>
        <v>0</v>
      </c>
      <c r="I10" s="88"/>
      <c r="J10" s="88"/>
    </row>
    <row r="11" spans="1:15" ht="14.25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9"/>
      <c r="J11" s="89"/>
    </row>
    <row r="12" spans="1:15" ht="14.25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14.25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4.25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4.25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4.25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152"/>
      <c r="J16" s="153"/>
    </row>
    <row r="17" spans="1:15" ht="14.25">
      <c r="A17" s="24" t="s">
        <v>98</v>
      </c>
      <c r="B17" s="139">
        <f>SUM(B5:B16)</f>
        <v>69313</v>
      </c>
      <c r="C17" s="139">
        <f t="shared" ref="C17:F17" si="4">SUM(C5:C16)</f>
        <v>124922.7</v>
      </c>
      <c r="D17" s="139">
        <f>B17-C17</f>
        <v>-55609.7</v>
      </c>
      <c r="E17" s="140">
        <f>IFERROR(D17/C17, 0)</f>
        <v>-0.4451528825425643</v>
      </c>
      <c r="F17" s="139">
        <f t="shared" si="4"/>
        <v>167677.4</v>
      </c>
      <c r="G17" s="139">
        <f>B17-F17</f>
        <v>-98364.4</v>
      </c>
      <c r="H17" s="141">
        <f>IFERROR(G17/F17, 0)</f>
        <v>-0.58662884801410331</v>
      </c>
      <c r="I17" s="28"/>
      <c r="J17" s="28"/>
    </row>
    <row r="18" spans="1:15">
      <c r="F18" s="12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307" priority="1" operator="lessThanOrEqual">
      <formula>-0.1</formula>
    </cfRule>
    <cfRule type="cellIs" dxfId="30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4E75-1EC8-4BDA-8175-FAF2B4D842B8}">
  <sheetPr codeName="Sheet22">
    <tabColor rgb="FFFFFF00"/>
  </sheetPr>
  <dimension ref="A1:O20"/>
  <sheetViews>
    <sheetView topLeftCell="B1" zoomScale="90" zoomScaleNormal="90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81" t="s">
        <v>57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15">
      <c r="A2" s="11"/>
      <c r="B2" s="11"/>
      <c r="C2" s="11"/>
      <c r="D2" s="11"/>
      <c r="E2" s="11"/>
    </row>
    <row r="3" spans="1:15" ht="15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4.25">
      <c r="A5" s="16" t="s">
        <v>84</v>
      </c>
      <c r="B5" s="137">
        <v>38474</v>
      </c>
      <c r="C5" s="137">
        <v>97645.68</v>
      </c>
      <c r="D5" s="74">
        <f>B5-C5</f>
        <v>-59171.679999999993</v>
      </c>
      <c r="E5" s="83">
        <f t="shared" ref="E5:E16" si="0">IFERROR(D5/C5, 0)</f>
        <v>-0.60598359292495063</v>
      </c>
      <c r="F5" s="75">
        <v>83112.14</v>
      </c>
      <c r="G5" s="84">
        <f>B5-F5</f>
        <v>-44638.14</v>
      </c>
      <c r="H5" s="116">
        <f t="shared" ref="H5:H16" si="1">IFERROR(G5/F5, 0)</f>
        <v>-0.53708327086752905</v>
      </c>
      <c r="I5" s="102" t="s">
        <v>99</v>
      </c>
      <c r="J5" s="88" t="s">
        <v>100</v>
      </c>
      <c r="O5" s="5"/>
    </row>
    <row r="6" spans="1:15" ht="14.25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88"/>
      <c r="J6" s="88"/>
    </row>
    <row r="7" spans="1:15" ht="14.25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88"/>
      <c r="J7" s="88"/>
    </row>
    <row r="8" spans="1:15" ht="14.25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88"/>
      <c r="J8" s="88"/>
    </row>
    <row r="9" spans="1:15" ht="14.25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9"/>
      <c r="J9" s="88"/>
    </row>
    <row r="10" spans="1:15" ht="14.25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/>
    </row>
    <row r="11" spans="1:15" ht="14.25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9"/>
      <c r="J11" s="88"/>
    </row>
    <row r="12" spans="1:15" ht="14.25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14.25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4.25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4.25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4.25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99"/>
      <c r="J16" s="99"/>
    </row>
    <row r="17" spans="1:15" ht="14.25">
      <c r="A17" s="24" t="s">
        <v>98</v>
      </c>
      <c r="B17" s="139">
        <f>SUM(B5:B16)</f>
        <v>38474</v>
      </c>
      <c r="C17" s="139">
        <f t="shared" ref="C17:F17" si="4">SUM(C5:C16)</f>
        <v>97645.68</v>
      </c>
      <c r="D17" s="139">
        <f>B17-C17</f>
        <v>-59171.679999999993</v>
      </c>
      <c r="E17" s="140">
        <f>IFERROR(D17/C17, 0)</f>
        <v>-0.60598359292495063</v>
      </c>
      <c r="F17" s="139">
        <f t="shared" si="4"/>
        <v>83112.14</v>
      </c>
      <c r="G17" s="139">
        <f>B17-F17</f>
        <v>-44638.14</v>
      </c>
      <c r="H17" s="141">
        <f>IFERROR(G17/F17, 0)</f>
        <v>-0.53708327086752905</v>
      </c>
      <c r="I17" s="28"/>
      <c r="J17" s="28"/>
    </row>
    <row r="18" spans="1:15">
      <c r="F18" s="12"/>
    </row>
    <row r="20" spans="1:15">
      <c r="I20" s="154"/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291" priority="1" operator="lessThanOrEqual">
      <formula>-0.1</formula>
    </cfRule>
    <cfRule type="cellIs" dxfId="29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6948-5DBB-4934-87C3-6A89FE70D843}">
  <sheetPr codeName="Sheet23">
    <tabColor rgb="FFFFFF00"/>
  </sheetPr>
  <dimension ref="A1:O20"/>
  <sheetViews>
    <sheetView zoomScale="90" zoomScaleNormal="100" workbookViewId="0">
      <selection activeCell="I26" sqref="I2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81" t="s">
        <v>58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15">
      <c r="A2" s="11"/>
      <c r="B2" s="11"/>
      <c r="C2" s="11"/>
      <c r="D2" s="11"/>
      <c r="E2" s="11"/>
    </row>
    <row r="3" spans="1:15" ht="16.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35" customHeigh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3.35" customHeight="1">
      <c r="A5" s="16" t="s">
        <v>84</v>
      </c>
      <c r="B5" s="87">
        <v>104475</v>
      </c>
      <c r="C5" s="87">
        <v>117645.2</v>
      </c>
      <c r="D5" s="74">
        <f>B5-C5</f>
        <v>-13170.199999999997</v>
      </c>
      <c r="E5" s="83">
        <f t="shared" ref="E5:E16" si="0">IFERROR(D5/C5, 0)</f>
        <v>-0.11194846878580679</v>
      </c>
      <c r="F5" s="75">
        <v>190658.8</v>
      </c>
      <c r="G5" s="84">
        <f>B5-F5</f>
        <v>-86183.799999999988</v>
      </c>
      <c r="H5" s="116">
        <f t="shared" ref="H5:H16" si="1">IFERROR(G5/F5, 0)</f>
        <v>-0.45203158731723891</v>
      </c>
      <c r="I5" s="88"/>
      <c r="J5" s="88"/>
      <c r="O5" s="5"/>
    </row>
    <row r="6" spans="1:15" ht="13.35" customHeight="1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88"/>
      <c r="J6" s="88"/>
    </row>
    <row r="7" spans="1:15" ht="13.35" customHeight="1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88"/>
      <c r="J7" s="88"/>
    </row>
    <row r="8" spans="1:15" ht="13.35" customHeight="1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88"/>
      <c r="J8" s="88"/>
    </row>
    <row r="9" spans="1:15" ht="13.35" customHeight="1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9"/>
      <c r="J9" s="88"/>
    </row>
    <row r="10" spans="1:15" ht="13.35" customHeight="1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/>
    </row>
    <row r="11" spans="1:15" ht="13.35" customHeight="1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4"/>
      <c r="G11" s="84">
        <f t="shared" si="3"/>
        <v>0</v>
      </c>
      <c r="H11" s="116">
        <f t="shared" si="1"/>
        <v>0</v>
      </c>
      <c r="I11" s="88"/>
      <c r="J11" s="88"/>
    </row>
    <row r="12" spans="1:15" ht="13.35" customHeight="1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13.35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3.3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3.3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26.65" customHeight="1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152"/>
      <c r="J16" s="152"/>
    </row>
    <row r="17" spans="1:15" ht="13.35" customHeight="1">
      <c r="A17" s="24" t="s">
        <v>98</v>
      </c>
      <c r="B17" s="139">
        <f>SUM(B5:B16)</f>
        <v>104475</v>
      </c>
      <c r="C17" s="139">
        <f t="shared" ref="C17:F17" si="4">SUM(C5:C16)</f>
        <v>117645.2</v>
      </c>
      <c r="D17" s="139">
        <f>B17-C17</f>
        <v>-13170.199999999997</v>
      </c>
      <c r="E17" s="140">
        <f>IFERROR(D17/C17, 0)</f>
        <v>-0.11194846878580679</v>
      </c>
      <c r="F17" s="139">
        <f t="shared" si="4"/>
        <v>190658.8</v>
      </c>
      <c r="G17" s="139">
        <f>B17-F17</f>
        <v>-86183.799999999988</v>
      </c>
      <c r="H17" s="141">
        <f>IFERROR(G17/F17, 0)</f>
        <v>-0.45203158731723891</v>
      </c>
      <c r="I17" s="28"/>
      <c r="J17" s="28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275" priority="5" operator="lessThanOrEqual">
      <formula>-0.1</formula>
    </cfRule>
    <cfRule type="cellIs" dxfId="274" priority="6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91FA-534A-4F59-A9AE-A70764A2D848}">
  <sheetPr codeName="Sheet24">
    <tabColor rgb="FFFFFF00"/>
  </sheetPr>
  <dimension ref="A1:O20"/>
  <sheetViews>
    <sheetView topLeftCell="E1" zoomScale="90" zoomScaleNormal="100" workbookViewId="0">
      <selection activeCell="J6" sqref="J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5.7109375" customWidth="1"/>
    <col min="10" max="10" width="21.42578125" customWidth="1"/>
  </cols>
  <sheetData>
    <row r="1" spans="1:15" ht="25.15">
      <c r="A1" s="181" t="s">
        <v>59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15">
      <c r="A2" s="11"/>
      <c r="B2" s="11"/>
      <c r="C2" s="11"/>
      <c r="D2" s="11"/>
      <c r="E2" s="11"/>
    </row>
    <row r="3" spans="1:15" ht="16.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35" customHeigh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65.25" customHeight="1">
      <c r="A5" s="16" t="s">
        <v>84</v>
      </c>
      <c r="B5" s="87">
        <v>33861</v>
      </c>
      <c r="C5" s="87">
        <v>93717.02</v>
      </c>
      <c r="D5" s="74">
        <f>B5-C5</f>
        <v>-59856.020000000004</v>
      </c>
      <c r="E5" s="83">
        <f t="shared" ref="E5:E16" si="0">IFERROR(D5/C5, 0)</f>
        <v>-0.63868889557094322</v>
      </c>
      <c r="F5" s="75">
        <v>77483</v>
      </c>
      <c r="G5" s="84">
        <f>B5-F5</f>
        <v>-43622</v>
      </c>
      <c r="H5" s="116">
        <f t="shared" ref="H5:I16" si="1">IFERROR(G5/F5, 0)</f>
        <v>-0.56298801027322121</v>
      </c>
      <c r="I5" s="89" t="s">
        <v>101</v>
      </c>
      <c r="J5" s="89" t="s">
        <v>102</v>
      </c>
      <c r="O5" s="5"/>
    </row>
    <row r="6" spans="1:15" ht="13.35" customHeight="1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88"/>
      <c r="J6" s="88"/>
    </row>
    <row r="7" spans="1:15" ht="32.450000000000003" customHeight="1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102"/>
      <c r="J7" s="114"/>
    </row>
    <row r="8" spans="1:15" ht="13.35" customHeight="1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77"/>
      <c r="G8" s="84">
        <f t="shared" si="3"/>
        <v>0</v>
      </c>
      <c r="H8" s="116">
        <f t="shared" si="1"/>
        <v>0</v>
      </c>
      <c r="I8" s="96"/>
      <c r="J8" s="115"/>
    </row>
    <row r="9" spans="1:15" ht="14.25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9"/>
      <c r="J9" s="88"/>
    </row>
    <row r="10" spans="1:15" ht="13.35" customHeight="1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/>
    </row>
    <row r="11" spans="1:15" ht="14.25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9"/>
      <c r="J11" s="89"/>
    </row>
    <row r="12" spans="1:15" ht="45.75" customHeight="1">
      <c r="A12" s="131" t="s">
        <v>93</v>
      </c>
      <c r="B12" s="142"/>
      <c r="C12" s="142"/>
      <c r="D12" s="142">
        <f t="shared" si="2"/>
        <v>0</v>
      </c>
      <c r="E12" s="143">
        <f t="shared" si="0"/>
        <v>0</v>
      </c>
      <c r="F12" s="77"/>
      <c r="G12" s="77">
        <f t="shared" si="3"/>
        <v>0</v>
      </c>
      <c r="H12" s="144">
        <f t="shared" si="1"/>
        <v>0</v>
      </c>
      <c r="I12" s="89"/>
      <c r="J12" s="89"/>
    </row>
    <row r="13" spans="1:15" ht="13.35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3.3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3.3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3.35" customHeight="1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23"/>
      <c r="J16" s="23" t="s">
        <v>36</v>
      </c>
    </row>
    <row r="17" spans="1:15" ht="13.35" customHeight="1">
      <c r="A17" s="24" t="s">
        <v>98</v>
      </c>
      <c r="B17" s="139">
        <f>SUM(B5:B16)</f>
        <v>33861</v>
      </c>
      <c r="C17" s="139">
        <f t="shared" ref="C17:F17" si="4">SUM(C5:C16)</f>
        <v>93717.02</v>
      </c>
      <c r="D17" s="139">
        <f>B17-C17</f>
        <v>-59856.020000000004</v>
      </c>
      <c r="E17" s="140">
        <f>IFERROR(D17/C17, 0)</f>
        <v>-0.63868889557094322</v>
      </c>
      <c r="F17" s="139">
        <f t="shared" si="4"/>
        <v>77483</v>
      </c>
      <c r="G17" s="139">
        <f>B17-F17</f>
        <v>-43622</v>
      </c>
      <c r="H17" s="141">
        <f>IFERROR(G17/F17, 0)</f>
        <v>-0.56298801027322121</v>
      </c>
      <c r="I17" s="28"/>
      <c r="J17" s="28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259" priority="2" operator="lessThanOrEqual">
      <formula>-0.1</formula>
    </cfRule>
    <cfRule type="cellIs" dxfId="258" priority="3" operator="greaterThan">
      <formula>0.1</formula>
    </cfRule>
  </conditionalFormatting>
  <conditionalFormatting sqref="I8">
    <cfRule type="cellIs" dxfId="257" priority="1" operator="lessThan">
      <formula>0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4A71-5E79-4031-8921-6A4F1831EF88}">
  <sheetPr codeName="Sheet25">
    <tabColor rgb="FFFFFF00"/>
  </sheetPr>
  <dimension ref="A1:O20"/>
  <sheetViews>
    <sheetView topLeftCell="C1" zoomScaleNormal="100" workbookViewId="0">
      <selection activeCell="I11" sqref="I11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5" customWidth="1"/>
    <col min="10" max="10" width="21.42578125" customWidth="1"/>
  </cols>
  <sheetData>
    <row r="1" spans="1:15" ht="25.15">
      <c r="A1" s="181" t="s">
        <v>60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15">
      <c r="A2" s="11"/>
      <c r="B2" s="11"/>
      <c r="C2" s="11"/>
      <c r="D2" s="11"/>
      <c r="E2" s="11"/>
    </row>
    <row r="3" spans="1:15" ht="16.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35" customHeigh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25.9" customHeight="1">
      <c r="A5" s="16" t="s">
        <v>84</v>
      </c>
      <c r="B5" s="87">
        <v>37057</v>
      </c>
      <c r="C5" s="87">
        <v>86836.54</v>
      </c>
      <c r="D5" s="74">
        <f>B5-C5</f>
        <v>-49779.539999999994</v>
      </c>
      <c r="E5" s="83">
        <f t="shared" ref="E5:E16" si="0">IFERROR(D5/C5, 0)</f>
        <v>-0.57325568245809888</v>
      </c>
      <c r="F5" s="75">
        <v>114180.6</v>
      </c>
      <c r="G5" s="84">
        <f>B5-F5</f>
        <v>-77123.600000000006</v>
      </c>
      <c r="H5" s="116">
        <f t="shared" ref="H5:H16" si="1">IFERROR(G5/F5, 0)</f>
        <v>-0.67545274766466457</v>
      </c>
      <c r="I5" s="89" t="s">
        <v>103</v>
      </c>
      <c r="J5" s="88" t="s">
        <v>104</v>
      </c>
      <c r="O5" s="5"/>
    </row>
    <row r="6" spans="1:15" ht="13.35" customHeight="1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88"/>
      <c r="J6" s="88"/>
    </row>
    <row r="7" spans="1:15" ht="13.35" customHeight="1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88"/>
      <c r="J7" s="88"/>
    </row>
    <row r="8" spans="1:15" ht="13.35" customHeight="1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88"/>
      <c r="J8" s="88"/>
    </row>
    <row r="9" spans="1:15" ht="13.35" customHeight="1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8"/>
      <c r="J9" s="88"/>
    </row>
    <row r="10" spans="1:15" ht="16.350000000000001" customHeight="1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/>
    </row>
    <row r="11" spans="1:15" ht="48.75" customHeight="1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9"/>
      <c r="J11" s="89"/>
    </row>
    <row r="12" spans="1:15" ht="13.35" customHeight="1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30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9"/>
      <c r="J13" s="88"/>
    </row>
    <row r="14" spans="1:15" ht="13.3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3.3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3.35" customHeight="1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99"/>
      <c r="J16" s="99"/>
    </row>
    <row r="17" spans="1:15" ht="13.35" customHeight="1">
      <c r="A17" s="24" t="s">
        <v>98</v>
      </c>
      <c r="B17" s="139">
        <f>SUM(B5:B16)</f>
        <v>37057</v>
      </c>
      <c r="C17" s="139">
        <f t="shared" ref="C17:F17" si="4">SUM(C5:C16)</f>
        <v>86836.54</v>
      </c>
      <c r="D17" s="139">
        <f>B17-C17</f>
        <v>-49779.539999999994</v>
      </c>
      <c r="E17" s="140">
        <f>IFERROR(D17/C17, 0)</f>
        <v>-0.57325568245809888</v>
      </c>
      <c r="F17" s="139">
        <f t="shared" si="4"/>
        <v>114180.6</v>
      </c>
      <c r="G17" s="139">
        <f>B17-F17</f>
        <v>-77123.600000000006</v>
      </c>
      <c r="H17" s="141">
        <f>IFERROR(G17/F17, 0)</f>
        <v>-0.67545274766466457</v>
      </c>
      <c r="I17" s="28"/>
      <c r="J17" s="28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242" priority="1" operator="lessThanOrEqual">
      <formula>-0.1</formula>
    </cfRule>
    <cfRule type="cellIs" dxfId="241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0CF4-28D7-4AC1-88AA-26AD70AD233C}">
  <sheetPr codeName="Sheet26">
    <tabColor rgb="FFFFFF00"/>
  </sheetPr>
  <dimension ref="A1:O20"/>
  <sheetViews>
    <sheetView topLeftCell="C1" zoomScale="90" zoomScaleNormal="90" workbookViewId="0">
      <selection activeCell="I15" sqref="I1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6.7109375" bestFit="1" customWidth="1"/>
    <col min="10" max="10" width="21.42578125" customWidth="1"/>
  </cols>
  <sheetData>
    <row r="1" spans="1:15" ht="25.15">
      <c r="A1" s="181" t="s">
        <v>61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15">
      <c r="A2" s="11"/>
      <c r="B2" s="11"/>
      <c r="C2" s="11"/>
      <c r="D2" s="11"/>
      <c r="E2" s="11"/>
    </row>
    <row r="3" spans="1:15" ht="16.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35" customHeigh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34.15" customHeight="1">
      <c r="A5" s="16" t="s">
        <v>84</v>
      </c>
      <c r="B5" s="87">
        <v>123864</v>
      </c>
      <c r="C5" s="87">
        <v>178054.9</v>
      </c>
      <c r="D5" s="74">
        <f>B5-C5</f>
        <v>-54190.899999999994</v>
      </c>
      <c r="E5" s="83">
        <f t="shared" ref="E5:E16" si="0">IFERROR(D5/C5, 0)</f>
        <v>-0.30434938886826479</v>
      </c>
      <c r="F5" s="75">
        <v>195853.9</v>
      </c>
      <c r="G5" s="84">
        <f>B5-F5</f>
        <v>-71989.899999999994</v>
      </c>
      <c r="H5" s="116">
        <f t="shared" ref="H5:H16" si="1">IFERROR(G5/F5, 0)</f>
        <v>-0.36756939739264827</v>
      </c>
      <c r="I5" s="89" t="s">
        <v>105</v>
      </c>
      <c r="J5" s="89" t="s">
        <v>106</v>
      </c>
      <c r="O5" s="5"/>
    </row>
    <row r="6" spans="1:15" ht="13.35" customHeight="1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76"/>
      <c r="G6" s="84">
        <f t="shared" ref="G6:G16" si="3">B6-F6</f>
        <v>0</v>
      </c>
      <c r="H6" s="116">
        <f t="shared" si="1"/>
        <v>0</v>
      </c>
      <c r="I6" s="88"/>
      <c r="J6" s="88"/>
    </row>
    <row r="7" spans="1:15" ht="13.35" customHeight="1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8"/>
      <c r="G7" s="84">
        <f t="shared" si="3"/>
        <v>0</v>
      </c>
      <c r="H7" s="116">
        <f t="shared" si="1"/>
        <v>0</v>
      </c>
      <c r="I7" s="88"/>
      <c r="J7" s="88"/>
    </row>
    <row r="8" spans="1:15" ht="13.35" customHeight="1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78"/>
      <c r="G8" s="84">
        <f t="shared" si="3"/>
        <v>0</v>
      </c>
      <c r="H8" s="116">
        <f t="shared" si="1"/>
        <v>0</v>
      </c>
      <c r="I8" s="88"/>
      <c r="J8" s="88"/>
    </row>
    <row r="9" spans="1:15" ht="13.35" customHeight="1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78"/>
      <c r="G9" s="84">
        <f t="shared" si="3"/>
        <v>0</v>
      </c>
      <c r="H9" s="116">
        <f t="shared" si="1"/>
        <v>0</v>
      </c>
      <c r="I9" s="88"/>
      <c r="J9" s="88"/>
    </row>
    <row r="10" spans="1:15" ht="36" customHeight="1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78"/>
      <c r="G10" s="84">
        <f t="shared" si="3"/>
        <v>0</v>
      </c>
      <c r="H10" s="116">
        <f t="shared" si="1"/>
        <v>0</v>
      </c>
      <c r="I10" s="89"/>
      <c r="J10" s="89"/>
    </row>
    <row r="11" spans="1:15" ht="18.600000000000001" customHeight="1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76"/>
      <c r="G11" s="84">
        <f t="shared" si="3"/>
        <v>0</v>
      </c>
      <c r="H11" s="116">
        <f t="shared" si="1"/>
        <v>0</v>
      </c>
      <c r="I11" s="88"/>
      <c r="J11" s="88"/>
    </row>
    <row r="12" spans="1:15" ht="26.1" customHeight="1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8"/>
      <c r="G12" s="84">
        <f t="shared" si="3"/>
        <v>0</v>
      </c>
      <c r="H12" s="116">
        <f t="shared" si="1"/>
        <v>0</v>
      </c>
      <c r="I12" s="89"/>
      <c r="J12" s="89"/>
    </row>
    <row r="13" spans="1:15" ht="30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9"/>
      <c r="J13" s="89"/>
    </row>
    <row r="14" spans="1:15" ht="13.3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3.3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33.75" customHeight="1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152"/>
      <c r="J16" s="99"/>
    </row>
    <row r="17" spans="1:15" ht="13.35" customHeight="1">
      <c r="A17" s="24" t="s">
        <v>98</v>
      </c>
      <c r="B17" s="139">
        <f>SUM(B5:B16)</f>
        <v>123864</v>
      </c>
      <c r="C17" s="139">
        <f t="shared" ref="C17:F17" si="4">SUM(C5:C16)</f>
        <v>178054.9</v>
      </c>
      <c r="D17" s="139">
        <f>B17-C17</f>
        <v>-54190.899999999994</v>
      </c>
      <c r="E17" s="140">
        <f>IFERROR(D17/C17, 0)</f>
        <v>-0.30434938886826479</v>
      </c>
      <c r="F17" s="139">
        <f t="shared" si="4"/>
        <v>195853.9</v>
      </c>
      <c r="G17" s="139">
        <f>B17-F17</f>
        <v>-71989.899999999994</v>
      </c>
      <c r="H17" s="141">
        <f>IFERROR(G17/F17, 0)</f>
        <v>-0.36756939739264827</v>
      </c>
      <c r="I17" s="28"/>
      <c r="J17" s="28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226" priority="1" operator="lessThanOrEqual">
      <formula>-0.1</formula>
    </cfRule>
    <cfRule type="cellIs" dxfId="225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3EF1-12CA-4F2E-B504-1435118765CA}">
  <sheetPr codeName="Sheet27">
    <tabColor rgb="FFFFFF00"/>
  </sheetPr>
  <dimension ref="A1:O20"/>
  <sheetViews>
    <sheetView topLeftCell="C1" zoomScaleNormal="100" workbookViewId="0">
      <selection activeCell="I21" sqref="I21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1.85546875" customWidth="1"/>
    <col min="10" max="10" width="21.42578125" customWidth="1"/>
  </cols>
  <sheetData>
    <row r="1" spans="1:15" ht="25.15">
      <c r="A1" s="181" t="s">
        <v>62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15">
      <c r="A2" s="11"/>
      <c r="B2" s="11"/>
      <c r="C2" s="11"/>
      <c r="D2" s="11"/>
      <c r="E2" s="11"/>
    </row>
    <row r="3" spans="1:15" ht="15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4.25">
      <c r="A5" s="16" t="s">
        <v>84</v>
      </c>
      <c r="B5" s="87">
        <v>43519</v>
      </c>
      <c r="C5" s="87">
        <v>68762.899999999994</v>
      </c>
      <c r="D5" s="74">
        <f>B5-C5</f>
        <v>-25243.899999999994</v>
      </c>
      <c r="E5" s="83">
        <f t="shared" ref="E5:E16" si="0">IFERROR(D5/C5, 0)</f>
        <v>-0.36711511585462503</v>
      </c>
      <c r="F5" s="75">
        <v>83762.23</v>
      </c>
      <c r="G5" s="84">
        <f>B5-F5</f>
        <v>-40243.229999999996</v>
      </c>
      <c r="H5" s="116">
        <f t="shared" ref="H5:H16" si="1">IFERROR(G5/F5, 0)</f>
        <v>-0.48044601964393735</v>
      </c>
      <c r="I5" s="113"/>
      <c r="J5" s="111"/>
      <c r="O5" s="5"/>
    </row>
    <row r="6" spans="1:15" ht="14.25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76"/>
      <c r="G6" s="84">
        <f t="shared" ref="G6:G16" si="3">B6-F6</f>
        <v>0</v>
      </c>
      <c r="H6" s="116">
        <f t="shared" si="1"/>
        <v>0</v>
      </c>
      <c r="I6" s="105"/>
      <c r="J6" s="112"/>
    </row>
    <row r="7" spans="1:15" ht="14.25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8"/>
      <c r="G7" s="84">
        <f t="shared" si="3"/>
        <v>0</v>
      </c>
      <c r="H7" s="116">
        <f t="shared" si="1"/>
        <v>0</v>
      </c>
      <c r="I7" s="102"/>
      <c r="J7" s="105"/>
    </row>
    <row r="8" spans="1:15" ht="14.25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78"/>
      <c r="G8" s="84">
        <f t="shared" si="3"/>
        <v>0</v>
      </c>
      <c r="H8" s="116">
        <f t="shared" si="1"/>
        <v>0</v>
      </c>
      <c r="I8" s="88"/>
      <c r="J8" s="88"/>
    </row>
    <row r="9" spans="1:15" ht="14.25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78"/>
      <c r="G9" s="84">
        <f t="shared" si="3"/>
        <v>0</v>
      </c>
      <c r="H9" s="116">
        <f t="shared" si="1"/>
        <v>0</v>
      </c>
      <c r="I9" s="89"/>
      <c r="J9" s="88"/>
    </row>
    <row r="10" spans="1:15" ht="14.25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78"/>
      <c r="G10" s="84">
        <f t="shared" si="3"/>
        <v>0</v>
      </c>
      <c r="H10" s="116">
        <f t="shared" si="1"/>
        <v>0</v>
      </c>
      <c r="I10" s="88"/>
      <c r="J10" s="88"/>
    </row>
    <row r="11" spans="1:15" ht="14.25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76"/>
      <c r="G11" s="84">
        <f t="shared" si="3"/>
        <v>0</v>
      </c>
      <c r="H11" s="116">
        <f t="shared" si="1"/>
        <v>0</v>
      </c>
      <c r="I11" s="89"/>
      <c r="J11" s="89"/>
    </row>
    <row r="12" spans="1:15" ht="14.25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8"/>
      <c r="G12" s="84">
        <f t="shared" si="3"/>
        <v>0</v>
      </c>
      <c r="H12" s="116">
        <f t="shared" si="1"/>
        <v>0</v>
      </c>
      <c r="I12" s="89"/>
      <c r="J12" s="89"/>
    </row>
    <row r="13" spans="1:15" ht="14.25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9"/>
      <c r="J13" s="89"/>
    </row>
    <row r="14" spans="1:15" ht="14.25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9"/>
    </row>
    <row r="15" spans="1:15" ht="14.25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4.25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99"/>
      <c r="J16" s="23"/>
    </row>
    <row r="17" spans="1:15" ht="14.25">
      <c r="A17" s="24" t="s">
        <v>98</v>
      </c>
      <c r="B17" s="139">
        <f>SUM(B5:B16)</f>
        <v>43519</v>
      </c>
      <c r="C17" s="139">
        <f t="shared" ref="C17:F17" si="4">SUM(C5:C16)</f>
        <v>68762.899999999994</v>
      </c>
      <c r="D17" s="139">
        <f>B17-C17</f>
        <v>-25243.899999999994</v>
      </c>
      <c r="E17" s="140">
        <f>IFERROR(D17/C17, 0)</f>
        <v>-0.36711511585462503</v>
      </c>
      <c r="F17" s="139">
        <f t="shared" si="4"/>
        <v>83762.23</v>
      </c>
      <c r="G17" s="139">
        <f>B17-F17</f>
        <v>-40243.229999999996</v>
      </c>
      <c r="H17" s="141">
        <f>IFERROR(G17/F17, 0)</f>
        <v>-0.48044601964393735</v>
      </c>
      <c r="I17" s="28"/>
      <c r="J17" s="28"/>
    </row>
    <row r="18" spans="1:15">
      <c r="F18" s="12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210" priority="1" operator="lessThanOrEqual">
      <formula>-0.1</formula>
    </cfRule>
    <cfRule type="cellIs" dxfId="209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7B0E-92E3-425E-9B70-A5D72654A3A5}">
  <sheetPr codeName="Sheet28">
    <tabColor rgb="FFFFFF00"/>
  </sheetPr>
  <dimension ref="A1:O20"/>
  <sheetViews>
    <sheetView zoomScaleNormal="100" workbookViewId="0">
      <selection activeCell="I24" sqref="I24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7.85546875" customWidth="1"/>
    <col min="10" max="10" width="21.42578125" customWidth="1"/>
  </cols>
  <sheetData>
    <row r="1" spans="1:15" ht="25.15">
      <c r="A1" s="181" t="s">
        <v>63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15">
      <c r="A2" s="11"/>
      <c r="B2" s="11"/>
      <c r="C2" s="11"/>
      <c r="D2" s="11"/>
      <c r="E2" s="11"/>
    </row>
    <row r="3" spans="1:15" ht="16.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35" customHeigh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3.35" customHeight="1">
      <c r="A5" s="16" t="s">
        <v>84</v>
      </c>
      <c r="B5" s="87">
        <v>44123</v>
      </c>
      <c r="C5" s="87">
        <v>70139.570000000007</v>
      </c>
      <c r="D5" s="74">
        <f>B5-C5</f>
        <v>-26016.570000000007</v>
      </c>
      <c r="E5" s="83">
        <f t="shared" ref="E5:E16" si="0">IFERROR(D5/C5, 0)</f>
        <v>-0.37092571283228576</v>
      </c>
      <c r="F5" s="75">
        <v>81919.429999999993</v>
      </c>
      <c r="G5" s="84">
        <f>B5-F5</f>
        <v>-37796.429999999993</v>
      </c>
      <c r="H5" s="116">
        <f t="shared" ref="H5:H16" si="1">IFERROR(G5/F5, 0)</f>
        <v>-0.46138541247174203</v>
      </c>
      <c r="I5" s="88"/>
      <c r="J5" s="88"/>
      <c r="O5" s="5"/>
    </row>
    <row r="6" spans="1:15" ht="13.35" customHeight="1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88"/>
      <c r="J6" s="88"/>
    </row>
    <row r="7" spans="1:15" ht="13.35" customHeight="1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88"/>
      <c r="J7" s="88"/>
    </row>
    <row r="8" spans="1:15" ht="13.35" customHeight="1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88"/>
      <c r="J8" s="88"/>
    </row>
    <row r="9" spans="1:15" ht="13.35" customHeight="1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9"/>
      <c r="J9" s="88"/>
    </row>
    <row r="10" spans="1:15" ht="13.35" customHeight="1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9"/>
      <c r="J10" s="89"/>
    </row>
    <row r="11" spans="1:15" ht="49.35" customHeight="1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9"/>
      <c r="J11" s="89"/>
    </row>
    <row r="12" spans="1:15" ht="13.35" customHeight="1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47.25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9"/>
      <c r="J13" s="157"/>
    </row>
    <row r="14" spans="1:15" ht="13.3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3.3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3.35" customHeight="1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23"/>
      <c r="J16" s="23"/>
    </row>
    <row r="17" spans="1:15" ht="13.35" customHeight="1">
      <c r="A17" s="24" t="s">
        <v>98</v>
      </c>
      <c r="B17" s="139">
        <f>SUM(B5:B16)</f>
        <v>44123</v>
      </c>
      <c r="C17" s="139">
        <f t="shared" ref="C17:F17" si="4">SUM(C5:C16)</f>
        <v>70139.570000000007</v>
      </c>
      <c r="D17" s="139">
        <f>B17-C17</f>
        <v>-26016.570000000007</v>
      </c>
      <c r="E17" s="140">
        <f>IFERROR(D17/C17, 0)</f>
        <v>-0.37092571283228576</v>
      </c>
      <c r="F17" s="139">
        <f t="shared" si="4"/>
        <v>81919.429999999993</v>
      </c>
      <c r="G17" s="139">
        <f>B17-F17</f>
        <v>-37796.429999999993</v>
      </c>
      <c r="H17" s="141">
        <f>IFERROR(G17/F17, 0)</f>
        <v>-0.46138541247174203</v>
      </c>
      <c r="I17" s="28"/>
      <c r="J17" s="28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94" priority="1" operator="lessThanOrEqual">
      <formula>-0.1</formula>
    </cfRule>
    <cfRule type="cellIs" dxfId="193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6B16-D497-4605-A7F3-4374FFA66927}">
  <sheetPr codeName="Sheet29">
    <tabColor rgb="FFFFFF00"/>
  </sheetPr>
  <dimension ref="A1:O20"/>
  <sheetViews>
    <sheetView workbookViewId="0">
      <selection activeCell="E23" sqref="E2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0.42578125" customWidth="1"/>
    <col min="10" max="10" width="21.42578125" customWidth="1"/>
  </cols>
  <sheetData>
    <row r="1" spans="1:15" ht="25.15">
      <c r="A1" s="181" t="s">
        <v>64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15">
      <c r="A2" s="11"/>
      <c r="B2" s="11"/>
      <c r="C2" s="11"/>
      <c r="D2" s="11"/>
      <c r="E2" s="11"/>
    </row>
    <row r="3" spans="1:15" ht="16.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35" customHeigh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3.35" customHeight="1">
      <c r="A5" s="16" t="s">
        <v>84</v>
      </c>
      <c r="B5" s="137">
        <v>47297</v>
      </c>
      <c r="C5" s="137">
        <v>71573.83</v>
      </c>
      <c r="D5" s="74">
        <f>B5-C5</f>
        <v>-24276.83</v>
      </c>
      <c r="E5" s="83">
        <f t="shared" ref="E5:E16" si="0">IFERROR(D5/C5, 0)</f>
        <v>-0.33918584488213083</v>
      </c>
      <c r="F5" s="75">
        <v>84149.19</v>
      </c>
      <c r="G5" s="84">
        <f>B5-F5</f>
        <v>-36852.19</v>
      </c>
      <c r="H5" s="116">
        <f t="shared" ref="H5:H16" si="1">IFERROR(G5/F5, 0)</f>
        <v>-0.43793873714054765</v>
      </c>
      <c r="I5" s="88"/>
      <c r="J5" s="88"/>
      <c r="O5" s="5"/>
    </row>
    <row r="6" spans="1:15" ht="13.35" customHeight="1">
      <c r="A6" s="18" t="s">
        <v>87</v>
      </c>
      <c r="B6" s="137"/>
      <c r="C6" s="137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88"/>
      <c r="J6" s="88"/>
    </row>
    <row r="7" spans="1:15" ht="13.35" customHeight="1">
      <c r="A7" s="18" t="s">
        <v>88</v>
      </c>
      <c r="B7" s="137"/>
      <c r="C7" s="137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88"/>
      <c r="J7" s="88"/>
    </row>
    <row r="8" spans="1:15" ht="13.35" customHeight="1">
      <c r="A8" s="18" t="s">
        <v>89</v>
      </c>
      <c r="B8" s="137"/>
      <c r="C8" s="137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88"/>
      <c r="J8" s="88"/>
    </row>
    <row r="9" spans="1:15" ht="13.35" customHeight="1">
      <c r="A9" s="18" t="s">
        <v>90</v>
      </c>
      <c r="B9" s="137"/>
      <c r="C9" s="137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9"/>
      <c r="J9" s="88"/>
    </row>
    <row r="10" spans="1:15" ht="13.35" customHeight="1">
      <c r="A10" s="18" t="s">
        <v>91</v>
      </c>
      <c r="B10" s="137"/>
      <c r="C10" s="137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/>
    </row>
    <row r="11" spans="1:15" ht="13.35" customHeight="1">
      <c r="A11" s="18" t="s">
        <v>92</v>
      </c>
      <c r="B11" s="137"/>
      <c r="C11" s="137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8"/>
      <c r="J11" s="88"/>
    </row>
    <row r="12" spans="1:15" ht="13.35" customHeight="1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30.75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9"/>
      <c r="J13" s="89"/>
    </row>
    <row r="14" spans="1:15" ht="13.3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3.3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3.35" customHeight="1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23"/>
      <c r="J16" s="23"/>
    </row>
    <row r="17" spans="1:15" ht="13.35" customHeight="1">
      <c r="A17" s="24" t="s">
        <v>98</v>
      </c>
      <c r="B17" s="139">
        <f>SUM(B5:B16)</f>
        <v>47297</v>
      </c>
      <c r="C17" s="139">
        <f t="shared" ref="C17:F17" si="4">SUM(C5:C16)</f>
        <v>71573.83</v>
      </c>
      <c r="D17" s="139">
        <f>B17-C17</f>
        <v>-24276.83</v>
      </c>
      <c r="E17" s="140">
        <f>IFERROR(D17/C17, 0)</f>
        <v>-0.33918584488213083</v>
      </c>
      <c r="F17" s="139">
        <f t="shared" si="4"/>
        <v>84149.19</v>
      </c>
      <c r="G17" s="139">
        <f>B17-F17</f>
        <v>-36852.19</v>
      </c>
      <c r="H17" s="141">
        <f>IFERROR(G17/F17, 0)</f>
        <v>-0.43793873714054765</v>
      </c>
      <c r="I17" s="28"/>
      <c r="J17" s="28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78" priority="1" operator="lessThanOrEqual">
      <formula>-0.1</formula>
    </cfRule>
    <cfRule type="cellIs" dxfId="177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D247-F01A-48EA-812F-62CB2CDB5B3C}">
  <sheetPr codeName="Sheet30">
    <tabColor rgb="FFFFFF00"/>
  </sheetPr>
  <dimension ref="A1:O20"/>
  <sheetViews>
    <sheetView topLeftCell="C2" zoomScale="90" zoomScaleNormal="90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81" t="s">
        <v>65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15">
      <c r="A2" s="11"/>
      <c r="B2" s="11"/>
      <c r="C2" s="11"/>
      <c r="D2" s="11"/>
      <c r="E2" s="11"/>
    </row>
    <row r="3" spans="1:15" ht="16.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35" customHeigh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3.35" customHeight="1">
      <c r="A5" s="16" t="s">
        <v>84</v>
      </c>
      <c r="B5" s="79">
        <v>16497.5</v>
      </c>
      <c r="C5" s="87">
        <v>40276</v>
      </c>
      <c r="D5" s="74">
        <f>B5-C5</f>
        <v>-23778.5</v>
      </c>
      <c r="E5" s="83">
        <f t="shared" ref="E5:E16" si="0">IFERROR(D5/C5, 0)</f>
        <v>-0.59038881716158509</v>
      </c>
      <c r="F5" s="145">
        <v>33543.68</v>
      </c>
      <c r="G5" s="84">
        <f>B5-F5</f>
        <v>-17046.18</v>
      </c>
      <c r="H5" s="116">
        <f t="shared" ref="H5:H16" si="1">IFERROR(G5/F5, 0)</f>
        <v>-0.50817858982675723</v>
      </c>
      <c r="I5" s="89" t="s">
        <v>107</v>
      </c>
      <c r="J5" s="88" t="s">
        <v>108</v>
      </c>
      <c r="O5" s="5"/>
    </row>
    <row r="6" spans="1:15" ht="13.35" customHeight="1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146"/>
      <c r="G6" s="84">
        <f t="shared" ref="G6:G16" si="3">B6-F6</f>
        <v>0</v>
      </c>
      <c r="H6" s="116">
        <f t="shared" si="1"/>
        <v>0</v>
      </c>
      <c r="I6" s="88"/>
      <c r="J6" s="88"/>
    </row>
    <row r="7" spans="1:15" ht="13.35" customHeight="1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147"/>
      <c r="G7" s="84">
        <f t="shared" si="3"/>
        <v>0</v>
      </c>
      <c r="H7" s="116">
        <f t="shared" si="1"/>
        <v>0</v>
      </c>
      <c r="I7" s="88"/>
      <c r="J7" s="88"/>
    </row>
    <row r="8" spans="1:15" ht="13.35" customHeight="1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147"/>
      <c r="G8" s="84">
        <f t="shared" si="3"/>
        <v>0</v>
      </c>
      <c r="H8" s="116">
        <f t="shared" si="1"/>
        <v>0</v>
      </c>
      <c r="I8" s="88"/>
      <c r="J8" s="88"/>
    </row>
    <row r="9" spans="1:15" ht="13.35" customHeight="1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147"/>
      <c r="G9" s="84">
        <f t="shared" si="3"/>
        <v>0</v>
      </c>
      <c r="H9" s="116">
        <f t="shared" si="1"/>
        <v>0</v>
      </c>
      <c r="I9" s="89"/>
      <c r="J9" s="88"/>
    </row>
    <row r="10" spans="1:15" ht="13.35" customHeight="1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147"/>
      <c r="G10" s="84">
        <f t="shared" si="3"/>
        <v>0</v>
      </c>
      <c r="H10" s="116">
        <f t="shared" si="1"/>
        <v>0</v>
      </c>
      <c r="I10" s="88"/>
      <c r="J10" s="88"/>
    </row>
    <row r="11" spans="1:15" ht="19.350000000000001" customHeight="1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76"/>
      <c r="G11" s="84">
        <f t="shared" si="3"/>
        <v>0</v>
      </c>
      <c r="H11" s="116">
        <f t="shared" si="1"/>
        <v>0</v>
      </c>
      <c r="I11" s="89"/>
      <c r="J11" s="88"/>
    </row>
    <row r="12" spans="1:15" ht="42.6" customHeight="1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8"/>
      <c r="G12" s="84">
        <f t="shared" si="3"/>
        <v>0</v>
      </c>
      <c r="H12" s="116">
        <f t="shared" si="1"/>
        <v>0</v>
      </c>
      <c r="I12" s="89"/>
      <c r="J12" s="89"/>
    </row>
    <row r="13" spans="1:15" ht="13.35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3.3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3.3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3.35" customHeight="1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23"/>
      <c r="J16" s="23"/>
    </row>
    <row r="17" spans="1:15" ht="13.35" customHeight="1">
      <c r="A17" s="24" t="s">
        <v>98</v>
      </c>
      <c r="B17" s="139">
        <f>SUM(B5:B16)</f>
        <v>16497.5</v>
      </c>
      <c r="C17" s="139">
        <f t="shared" ref="C17:F17" si="4">SUM(C5:C16)</f>
        <v>40276</v>
      </c>
      <c r="D17" s="139">
        <f>B17-C17</f>
        <v>-23778.5</v>
      </c>
      <c r="E17" s="140">
        <f>IFERROR(D17/C17, 0)</f>
        <v>-0.59038881716158509</v>
      </c>
      <c r="F17" s="139">
        <f t="shared" si="4"/>
        <v>33543.68</v>
      </c>
      <c r="G17" s="139">
        <f>B17-F17</f>
        <v>-17046.18</v>
      </c>
      <c r="H17" s="141">
        <f>IFERROR(G17/F17, 0)</f>
        <v>-0.50817858982675723</v>
      </c>
      <c r="I17" s="28"/>
      <c r="J17" s="28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62" priority="1" operator="lessThanOrEqual">
      <formula>-0.1</formula>
    </cfRule>
    <cfRule type="cellIs" dxfId="161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8D96-6D4C-40E6-9F96-37CE715411C8}">
  <sheetPr codeName="Sheet31">
    <tabColor rgb="FFFFFF00"/>
  </sheetPr>
  <dimension ref="A1:O20"/>
  <sheetViews>
    <sheetView topLeftCell="C1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9.42578125" customWidth="1"/>
    <col min="10" max="10" width="21.42578125" customWidth="1"/>
  </cols>
  <sheetData>
    <row r="1" spans="1:15" ht="25.15">
      <c r="A1" s="181" t="s">
        <v>66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15">
      <c r="A2" s="11"/>
      <c r="B2" s="11"/>
      <c r="C2" s="11"/>
      <c r="D2" s="11"/>
      <c r="E2" s="11"/>
    </row>
    <row r="3" spans="1:15" ht="15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4.25">
      <c r="A5" s="16" t="s">
        <v>84</v>
      </c>
      <c r="B5" s="137">
        <v>83086</v>
      </c>
      <c r="C5" s="148">
        <v>159872.4</v>
      </c>
      <c r="D5" s="74">
        <f>B5-C5</f>
        <v>-76786.399999999994</v>
      </c>
      <c r="E5" s="83">
        <f t="shared" ref="E5:E16" si="0">IFERROR(D5/C5, 0)</f>
        <v>-0.4802980376850538</v>
      </c>
      <c r="F5" s="75">
        <v>220156.9</v>
      </c>
      <c r="G5" s="84">
        <f>B5-F5</f>
        <v>-137070.9</v>
      </c>
      <c r="H5" s="116">
        <f t="shared" ref="H5:H16" si="1">IFERROR(G5/F5, 0)</f>
        <v>-0.62260551452168889</v>
      </c>
      <c r="I5" s="88" t="s">
        <v>109</v>
      </c>
      <c r="J5" s="88" t="s">
        <v>110</v>
      </c>
      <c r="O5" s="5"/>
    </row>
    <row r="6" spans="1:15" ht="14.25">
      <c r="A6" s="18" t="s">
        <v>87</v>
      </c>
      <c r="B6" s="137"/>
      <c r="C6" s="148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109"/>
      <c r="J6" s="108"/>
    </row>
    <row r="7" spans="1:15" ht="14.25">
      <c r="A7" s="18" t="s">
        <v>88</v>
      </c>
      <c r="B7" s="137"/>
      <c r="C7" s="148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102"/>
      <c r="J7" s="109"/>
    </row>
    <row r="8" spans="1:15" ht="14.25">
      <c r="A8" s="18" t="s">
        <v>89</v>
      </c>
      <c r="B8" s="137"/>
      <c r="C8" s="148"/>
      <c r="D8" s="74">
        <f t="shared" si="2"/>
        <v>0</v>
      </c>
      <c r="E8" s="85">
        <f t="shared" si="0"/>
        <v>0</v>
      </c>
      <c r="F8" s="122"/>
      <c r="G8" s="84">
        <f t="shared" si="3"/>
        <v>0</v>
      </c>
      <c r="H8" s="116">
        <f t="shared" si="1"/>
        <v>0</v>
      </c>
      <c r="I8" s="88"/>
      <c r="J8" s="88"/>
    </row>
    <row r="9" spans="1:15" ht="14.25">
      <c r="A9" s="18" t="s">
        <v>90</v>
      </c>
      <c r="B9" s="137"/>
      <c r="C9" s="148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9"/>
      <c r="J9" s="88"/>
    </row>
    <row r="10" spans="1:15" ht="14.25">
      <c r="A10" s="18" t="s">
        <v>91</v>
      </c>
      <c r="B10" s="137"/>
      <c r="C10" s="148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/>
    </row>
    <row r="11" spans="1:15" ht="14.25">
      <c r="A11" s="18" t="s">
        <v>92</v>
      </c>
      <c r="B11" s="137"/>
      <c r="C11" s="148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8"/>
      <c r="J11" s="88"/>
    </row>
    <row r="12" spans="1:15" ht="14.25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8"/>
      <c r="G12" s="84">
        <f t="shared" si="3"/>
        <v>0</v>
      </c>
      <c r="H12" s="116">
        <f t="shared" si="1"/>
        <v>0</v>
      </c>
      <c r="I12" s="89"/>
      <c r="J12" s="89"/>
    </row>
    <row r="13" spans="1:15" ht="14.25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9"/>
      <c r="J13" s="88"/>
    </row>
    <row r="14" spans="1:15" ht="14.25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4.25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4.25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23"/>
      <c r="J16" s="23"/>
    </row>
    <row r="17" spans="1:15" ht="14.25">
      <c r="A17" s="24" t="s">
        <v>98</v>
      </c>
      <c r="B17" s="139">
        <f>SUM(B5:B16)</f>
        <v>83086</v>
      </c>
      <c r="C17" s="139">
        <f t="shared" ref="C17:F17" si="4">SUM(C5:C16)</f>
        <v>159872.4</v>
      </c>
      <c r="D17" s="139">
        <f>B17-C17</f>
        <v>-76786.399999999994</v>
      </c>
      <c r="E17" s="140">
        <f>IFERROR(D17/C17, 0)</f>
        <v>-0.4802980376850538</v>
      </c>
      <c r="F17" s="139">
        <f t="shared" si="4"/>
        <v>220156.9</v>
      </c>
      <c r="G17" s="139">
        <f>B17-F17</f>
        <v>-137070.9</v>
      </c>
      <c r="H17" s="141">
        <f>IFERROR(G17/F17, 0)</f>
        <v>-0.62260551452168889</v>
      </c>
      <c r="I17" s="28"/>
      <c r="J17" s="28"/>
    </row>
    <row r="18" spans="1:15">
      <c r="F18" s="12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46" priority="1" operator="lessThanOrEqual">
      <formula>-0.1</formula>
    </cfRule>
    <cfRule type="cellIs" dxfId="145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CD34-CB90-46BF-8E4F-C99324188B17}">
  <sheetPr codeName="Sheet32">
    <tabColor rgb="FFFFFF00"/>
  </sheetPr>
  <dimension ref="A1:O20"/>
  <sheetViews>
    <sheetView topLeftCell="B1" workbookViewId="0">
      <selection activeCell="G22" sqref="G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81" t="s">
        <v>67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5" thickBot="1">
      <c r="A2" s="11"/>
      <c r="B2" s="11"/>
      <c r="C2" s="11"/>
      <c r="D2" s="11"/>
      <c r="E2" s="11"/>
    </row>
    <row r="3" spans="1:15" ht="16.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35" customHeight="1" thickBo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3.35" customHeight="1">
      <c r="A5" s="16" t="s">
        <v>84</v>
      </c>
      <c r="B5" s="87">
        <v>32274</v>
      </c>
      <c r="C5" s="87">
        <v>86355.93</v>
      </c>
      <c r="D5" s="74">
        <f>B5-C5</f>
        <v>-54081.929999999993</v>
      </c>
      <c r="E5" s="83">
        <f t="shared" ref="E5:E16" si="0">IFERROR(D5/C5, 0)</f>
        <v>-0.62626770390869502</v>
      </c>
      <c r="F5" s="75">
        <v>106218.7</v>
      </c>
      <c r="G5" s="84">
        <f>B5-F5</f>
        <v>-73944.7</v>
      </c>
      <c r="H5" s="116">
        <f t="shared" ref="H5:H16" si="1">IFERROR(G5/F5, 0)</f>
        <v>-0.69615519677796844</v>
      </c>
      <c r="I5" s="88"/>
      <c r="J5" s="88"/>
      <c r="O5" s="5"/>
    </row>
    <row r="6" spans="1:15" ht="13.35" customHeight="1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109"/>
      <c r="J6" s="108"/>
    </row>
    <row r="7" spans="1:15" ht="13.35" customHeight="1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84"/>
      <c r="G7" s="84">
        <f t="shared" si="3"/>
        <v>0</v>
      </c>
      <c r="H7" s="116">
        <f t="shared" si="1"/>
        <v>0</v>
      </c>
      <c r="I7" s="102"/>
      <c r="J7" s="109"/>
    </row>
    <row r="8" spans="1:15" ht="80.099999999999994" customHeight="1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96"/>
      <c r="J8" s="110"/>
    </row>
    <row r="9" spans="1:15" ht="13.35" customHeight="1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8"/>
      <c r="J9" s="88"/>
    </row>
    <row r="10" spans="1:15" ht="13.35" customHeight="1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/>
    </row>
    <row r="11" spans="1:15" ht="13.35" customHeight="1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8"/>
      <c r="J11" s="88"/>
    </row>
    <row r="12" spans="1:15" ht="13.35" customHeight="1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84"/>
      <c r="G12" s="84">
        <f t="shared" si="3"/>
        <v>0</v>
      </c>
      <c r="H12" s="116">
        <f t="shared" si="1"/>
        <v>0</v>
      </c>
      <c r="I12" s="88"/>
      <c r="J12" s="88"/>
    </row>
    <row r="13" spans="1:15" ht="13.35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3.3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3.3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3.35" customHeight="1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23"/>
      <c r="J16" s="23"/>
    </row>
    <row r="17" spans="1:15" ht="13.35" customHeight="1">
      <c r="A17" s="24" t="s">
        <v>98</v>
      </c>
      <c r="B17" s="139">
        <f>SUM(B5:B16)</f>
        <v>32274</v>
      </c>
      <c r="C17" s="139">
        <f t="shared" ref="C17:F17" si="4">SUM(C5:C16)</f>
        <v>86355.93</v>
      </c>
      <c r="D17" s="139">
        <f>B17-C17</f>
        <v>-54081.929999999993</v>
      </c>
      <c r="E17" s="140">
        <f>IFERROR(D17/C17, 0)</f>
        <v>-0.62626770390869502</v>
      </c>
      <c r="F17" s="139">
        <f t="shared" si="4"/>
        <v>106218.7</v>
      </c>
      <c r="G17" s="139">
        <f>B17-F17</f>
        <v>-73944.7</v>
      </c>
      <c r="H17" s="141">
        <f>IFERROR(G17/F17, 0)</f>
        <v>-0.69615519677796844</v>
      </c>
      <c r="I17" s="28"/>
      <c r="J17" s="28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30" priority="3" operator="lessThanOrEqual">
      <formula>-0.1</formula>
    </cfRule>
    <cfRule type="cellIs" dxfId="129" priority="4" operator="greaterThan">
      <formula>0.1</formula>
    </cfRule>
  </conditionalFormatting>
  <conditionalFormatting sqref="I8:J8">
    <cfRule type="cellIs" dxfId="128" priority="1" operator="lessThan">
      <formula>0</formula>
    </cfRule>
  </conditionalFormatting>
  <conditionalFormatting sqref="J8">
    <cfRule type="cellIs" dxfId="127" priority="2" operator="lessThan">
      <formula>0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9A98-75DF-47A6-A881-3360117CA636}">
  <sheetPr codeName="Sheet33">
    <tabColor rgb="FFFFFF00"/>
  </sheetPr>
  <dimension ref="A1:O20"/>
  <sheetViews>
    <sheetView zoomScale="80" zoomScaleNormal="80" workbookViewId="0">
      <selection activeCell="I24" sqref="I24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0.140625" customWidth="1"/>
    <col min="10" max="10" width="21.42578125" customWidth="1"/>
  </cols>
  <sheetData>
    <row r="1" spans="1:15" ht="25.15">
      <c r="A1" s="181" t="s">
        <v>68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5" thickBot="1">
      <c r="A2" s="11"/>
      <c r="B2" s="11"/>
      <c r="C2" s="11"/>
      <c r="D2" s="11"/>
      <c r="E2" s="11"/>
    </row>
    <row r="3" spans="1:15" ht="16.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35" customHeight="1" thickBo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3.35" customHeight="1">
      <c r="A5" s="16" t="s">
        <v>84</v>
      </c>
      <c r="B5" s="87">
        <v>28537</v>
      </c>
      <c r="C5" s="87">
        <v>58671.27</v>
      </c>
      <c r="D5" s="74">
        <f>B5-C5</f>
        <v>-30134.269999999997</v>
      </c>
      <c r="E5" s="83">
        <f t="shared" ref="E5:E16" si="0">IFERROR(D5/C5, 0)</f>
        <v>-0.51361202851071741</v>
      </c>
      <c r="F5" s="75">
        <v>98769.99</v>
      </c>
      <c r="G5" s="84">
        <f>B5-F5</f>
        <v>-70232.990000000005</v>
      </c>
      <c r="H5" s="116">
        <f t="shared" ref="H5:H16" si="1">IFERROR(G5/F5, 0)</f>
        <v>-0.71107620847182429</v>
      </c>
      <c r="I5" s="88"/>
      <c r="J5" s="88"/>
      <c r="O5" s="5"/>
    </row>
    <row r="6" spans="1:15" ht="13.35" customHeight="1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105"/>
      <c r="J6" s="108"/>
    </row>
    <row r="7" spans="1:15" ht="13.35" customHeight="1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88"/>
      <c r="J7" s="88"/>
    </row>
    <row r="8" spans="1:15" ht="13.35" customHeight="1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88"/>
      <c r="J8" s="88"/>
    </row>
    <row r="9" spans="1:15" ht="13.35" customHeight="1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8"/>
      <c r="J9" s="88"/>
    </row>
    <row r="10" spans="1:15" ht="33.6" customHeight="1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9"/>
      <c r="J10" s="89"/>
    </row>
    <row r="11" spans="1:15" ht="13.35" customHeight="1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8"/>
      <c r="J11" s="88"/>
    </row>
    <row r="12" spans="1:15" ht="13.35" customHeight="1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13.35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3.3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3.3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3.35" customHeight="1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23"/>
      <c r="J16" s="23"/>
    </row>
    <row r="17" spans="1:15" ht="13.35" customHeight="1">
      <c r="A17" s="24" t="s">
        <v>98</v>
      </c>
      <c r="B17" s="139">
        <f>SUM(B5:B16)</f>
        <v>28537</v>
      </c>
      <c r="C17" s="139">
        <f t="shared" ref="C17:F17" si="4">SUM(C5:C16)</f>
        <v>58671.27</v>
      </c>
      <c r="D17" s="139">
        <f>B17-C17</f>
        <v>-30134.269999999997</v>
      </c>
      <c r="E17" s="140">
        <f>IFERROR(D17/C17, 0)</f>
        <v>-0.51361202851071741</v>
      </c>
      <c r="F17" s="139">
        <f t="shared" si="4"/>
        <v>98769.99</v>
      </c>
      <c r="G17" s="139">
        <f>B17-F17</f>
        <v>-70232.990000000005</v>
      </c>
      <c r="H17" s="141">
        <f>IFERROR(G17/F17, 0)</f>
        <v>-0.71107620847182429</v>
      </c>
      <c r="I17" s="28"/>
      <c r="J17" s="28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12" priority="1" operator="lessThanOrEqual">
      <formula>-0.1</formula>
    </cfRule>
    <cfRule type="cellIs" dxfId="111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FAEE-706E-4993-9F90-4B93F6D3E341}">
  <sheetPr codeName="Sheet34">
    <tabColor rgb="FFFFFF00"/>
  </sheetPr>
  <dimension ref="A1:O20"/>
  <sheetViews>
    <sheetView topLeftCell="B1" zoomScale="90" zoomScaleNormal="90" workbookViewId="0">
      <selection activeCell="I29" sqref="I2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81" t="s">
        <v>69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5" thickBot="1">
      <c r="A2" s="11"/>
      <c r="B2" s="11"/>
      <c r="C2" s="11"/>
      <c r="D2" s="11"/>
      <c r="E2" s="11"/>
    </row>
    <row r="3" spans="1:15" ht="15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15" thickBo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4.25">
      <c r="A5" s="16" t="s">
        <v>84</v>
      </c>
      <c r="B5" s="87">
        <v>79689.003333337605</v>
      </c>
      <c r="C5" s="87">
        <v>187942.8</v>
      </c>
      <c r="D5" s="74">
        <f>B5-C5</f>
        <v>-108253.79666666238</v>
      </c>
      <c r="E5" s="83">
        <f t="shared" ref="E5:E16" si="0">IFERROR(D5/C5, 0)</f>
        <v>-0.57599331640617457</v>
      </c>
      <c r="F5" s="75">
        <v>250093</v>
      </c>
      <c r="G5" s="84">
        <f>B5-F5</f>
        <v>-170403.9966666624</v>
      </c>
      <c r="H5" s="116">
        <f t="shared" ref="H5:H16" si="1">IFERROR(G5/F5, 0)</f>
        <v>-0.68136251980928053</v>
      </c>
      <c r="I5" s="88"/>
      <c r="J5" s="88"/>
      <c r="O5" s="5"/>
    </row>
    <row r="6" spans="1:15" ht="14.25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105"/>
      <c r="J6" s="108"/>
    </row>
    <row r="7" spans="1:15" ht="14.25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88"/>
      <c r="J7" s="88"/>
    </row>
    <row r="8" spans="1:15" ht="14.25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88"/>
      <c r="J8" s="88"/>
    </row>
    <row r="9" spans="1:15" ht="14.25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9"/>
      <c r="J9" s="88"/>
    </row>
    <row r="10" spans="1:15" ht="14.25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/>
    </row>
    <row r="11" spans="1:15" ht="14.25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9"/>
      <c r="J11" s="89"/>
    </row>
    <row r="12" spans="1:15" ht="14.25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14.25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4.25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4.25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4.25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99"/>
      <c r="J16" s="99"/>
    </row>
    <row r="17" spans="1:15" ht="14.25">
      <c r="A17" s="24" t="s">
        <v>98</v>
      </c>
      <c r="B17" s="139">
        <f>SUM(B5:B16)</f>
        <v>79689.003333337605</v>
      </c>
      <c r="C17" s="139">
        <f t="shared" ref="C17:F17" si="4">SUM(C5:C16)</f>
        <v>187942.8</v>
      </c>
      <c r="D17" s="139">
        <f>B17-C17</f>
        <v>-108253.79666666238</v>
      </c>
      <c r="E17" s="140">
        <f>IFERROR(D17/C17, 0)</f>
        <v>-0.57599331640617457</v>
      </c>
      <c r="F17" s="139">
        <f t="shared" si="4"/>
        <v>250093</v>
      </c>
      <c r="G17" s="139">
        <f>B17-F17</f>
        <v>-170403.9966666624</v>
      </c>
      <c r="H17" s="141">
        <f>IFERROR(G17/F17, 0)</f>
        <v>-0.68136251980928053</v>
      </c>
      <c r="I17" s="28"/>
      <c r="J17" s="28"/>
    </row>
    <row r="18" spans="1:15">
      <c r="F18" s="12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96" priority="1" operator="lessThanOrEqual">
      <formula>-0.1</formula>
    </cfRule>
    <cfRule type="cellIs" dxfId="95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2F6F-F86D-47F1-94F4-71940C6B34C4}">
  <sheetPr codeName="Sheet35">
    <tabColor rgb="FFFFFF00"/>
  </sheetPr>
  <dimension ref="A1:O20"/>
  <sheetViews>
    <sheetView topLeftCell="C3" workbookViewId="0">
      <selection activeCell="H22" sqref="H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81" t="s">
        <v>70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5" thickBot="1">
      <c r="A2" s="11"/>
      <c r="B2" s="11"/>
      <c r="C2" s="11"/>
      <c r="D2" s="11"/>
      <c r="E2" s="11"/>
    </row>
    <row r="3" spans="1:15" ht="15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15" thickBo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4.25">
      <c r="A5" s="16" t="s">
        <v>84</v>
      </c>
      <c r="B5" s="87">
        <v>32703</v>
      </c>
      <c r="C5" s="87">
        <v>91961.55</v>
      </c>
      <c r="D5" s="74">
        <f>B5-C5</f>
        <v>-59258.55</v>
      </c>
      <c r="E5" s="83">
        <f t="shared" ref="E5:E16" si="0">IFERROR(D5/C5, 0)</f>
        <v>-0.64438398439347755</v>
      </c>
      <c r="F5" s="75">
        <v>71768.39</v>
      </c>
      <c r="G5" s="84">
        <f>B5-F5</f>
        <v>-39065.39</v>
      </c>
      <c r="H5" s="116">
        <f t="shared" ref="H5:H16" si="1">IFERROR(G5/F5, 0)</f>
        <v>-0.54432585153435931</v>
      </c>
      <c r="I5" s="88"/>
      <c r="J5" s="88"/>
      <c r="O5" s="5"/>
    </row>
    <row r="6" spans="1:15" ht="14.25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88"/>
      <c r="J6" s="88"/>
    </row>
    <row r="7" spans="1:15" ht="14.25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88"/>
      <c r="J7" s="88"/>
    </row>
    <row r="8" spans="1:15" ht="14.25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88"/>
      <c r="J8" s="88"/>
    </row>
    <row r="9" spans="1:15" ht="14.25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9"/>
      <c r="J9" s="88"/>
    </row>
    <row r="10" spans="1:15" ht="14.25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/>
    </row>
    <row r="11" spans="1:15" ht="14.25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4"/>
      <c r="G11" s="84">
        <f t="shared" si="3"/>
        <v>0</v>
      </c>
      <c r="H11" s="116">
        <f t="shared" si="1"/>
        <v>0</v>
      </c>
      <c r="I11" s="89"/>
      <c r="J11" s="89"/>
    </row>
    <row r="12" spans="1:15" ht="14.25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14.25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4.25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4.25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4.25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23"/>
      <c r="J16" s="23"/>
    </row>
    <row r="17" spans="1:15" ht="14.25">
      <c r="A17" s="24" t="s">
        <v>98</v>
      </c>
      <c r="B17" s="139">
        <f>SUM(B5:B16)</f>
        <v>32703</v>
      </c>
      <c r="C17" s="139">
        <f t="shared" ref="C17:F17" si="4">SUM(C5:C16)</f>
        <v>91961.55</v>
      </c>
      <c r="D17" s="139">
        <f>B17-C17</f>
        <v>-59258.55</v>
      </c>
      <c r="E17" s="140">
        <f>IFERROR(D17/C17, 0)</f>
        <v>-0.64438398439347755</v>
      </c>
      <c r="F17" s="139">
        <f t="shared" si="4"/>
        <v>71768.39</v>
      </c>
      <c r="G17" s="139">
        <f>B17-F17</f>
        <v>-39065.39</v>
      </c>
      <c r="H17" s="141">
        <f>IFERROR(G17/F17, 0)</f>
        <v>-0.54432585153435931</v>
      </c>
      <c r="I17" s="28"/>
      <c r="J17" s="28"/>
    </row>
    <row r="18" spans="1:15">
      <c r="F18" s="12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80" priority="1" operator="lessThanOrEqual">
      <formula>-0.1</formula>
    </cfRule>
    <cfRule type="cellIs" dxfId="79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0A11-ECC3-4E66-8657-447FD6C5B0C4}">
  <sheetPr codeName="Sheet36">
    <tabColor rgb="FFFFFF00"/>
  </sheetPr>
  <dimension ref="A1:O20"/>
  <sheetViews>
    <sheetView zoomScale="90" zoomScaleNormal="90" workbookViewId="0">
      <selection activeCell="I10" sqref="I1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81" t="s">
        <v>71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5" thickBot="1">
      <c r="A2" s="11"/>
      <c r="B2" s="11"/>
      <c r="C2" s="11"/>
      <c r="D2" s="11"/>
      <c r="E2" s="11"/>
    </row>
    <row r="3" spans="1:15" ht="16.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35" customHeight="1" thickBo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3.35" customHeight="1">
      <c r="A5" s="16" t="s">
        <v>84</v>
      </c>
      <c r="B5" s="137">
        <v>37183</v>
      </c>
      <c r="C5" s="137">
        <v>87772.32</v>
      </c>
      <c r="D5" s="74">
        <f>B5-C5</f>
        <v>-50589.320000000007</v>
      </c>
      <c r="E5" s="83">
        <f t="shared" ref="E5:E16" si="0">IFERROR(D5/C5, 0)</f>
        <v>-0.57636986238941845</v>
      </c>
      <c r="F5" s="75">
        <v>91531.02</v>
      </c>
      <c r="G5" s="84">
        <f>B5-F5</f>
        <v>-54348.020000000004</v>
      </c>
      <c r="H5" s="116">
        <f t="shared" ref="H5:H16" si="1">IFERROR(G5/F5, 0)</f>
        <v>-0.59376613524027155</v>
      </c>
      <c r="I5" s="88"/>
      <c r="J5" s="88"/>
      <c r="O5" s="5"/>
    </row>
    <row r="6" spans="1:15" ht="13.35" customHeight="1">
      <c r="A6" s="18" t="s">
        <v>87</v>
      </c>
      <c r="B6" s="137"/>
      <c r="C6" s="137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88"/>
      <c r="J6" s="88"/>
    </row>
    <row r="7" spans="1:15" ht="13.35" customHeight="1">
      <c r="A7" s="18" t="s">
        <v>88</v>
      </c>
      <c r="B7" s="137"/>
      <c r="C7" s="137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88"/>
      <c r="J7" s="88"/>
    </row>
    <row r="8" spans="1:15" ht="13.35" customHeight="1">
      <c r="A8" s="18" t="s">
        <v>89</v>
      </c>
      <c r="B8" s="137"/>
      <c r="C8" s="137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88"/>
      <c r="J8" s="88"/>
    </row>
    <row r="9" spans="1:15" ht="13.35" customHeight="1">
      <c r="A9" s="18" t="s">
        <v>90</v>
      </c>
      <c r="B9" s="137"/>
      <c r="C9" s="137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9"/>
      <c r="J9" s="88"/>
    </row>
    <row r="10" spans="1:15" ht="13.35" customHeight="1">
      <c r="A10" s="18" t="s">
        <v>91</v>
      </c>
      <c r="B10" s="137"/>
      <c r="C10" s="137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/>
    </row>
    <row r="11" spans="1:15" ht="13.35" customHeight="1">
      <c r="A11" s="18" t="s">
        <v>92</v>
      </c>
      <c r="B11" s="137"/>
      <c r="C11" s="137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8"/>
      <c r="J11" s="88"/>
    </row>
    <row r="12" spans="1:15" ht="13.35" customHeight="1">
      <c r="A12" s="18" t="s">
        <v>93</v>
      </c>
      <c r="B12" s="137"/>
      <c r="C12" s="137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13.35" customHeight="1">
      <c r="A13" s="18" t="s">
        <v>94</v>
      </c>
      <c r="B13" s="137"/>
      <c r="C13" s="137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3.35" customHeight="1">
      <c r="A14" s="18" t="s">
        <v>95</v>
      </c>
      <c r="B14" s="137"/>
      <c r="C14" s="137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3.35" customHeight="1">
      <c r="A15" s="18" t="s">
        <v>96</v>
      </c>
      <c r="B15" s="137"/>
      <c r="C15" s="13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3.35" customHeight="1">
      <c r="A16" s="22" t="s">
        <v>97</v>
      </c>
      <c r="B16" s="137"/>
      <c r="C16" s="13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23"/>
      <c r="J16" s="23"/>
    </row>
    <row r="17" spans="1:15" ht="13.35" customHeight="1">
      <c r="A17" s="24" t="s">
        <v>98</v>
      </c>
      <c r="B17" s="139">
        <f>SUM(B5:B16)</f>
        <v>37183</v>
      </c>
      <c r="C17" s="139">
        <f t="shared" ref="C17:F17" si="4">SUM(C5:C16)</f>
        <v>87772.32</v>
      </c>
      <c r="D17" s="139">
        <f>B17-C17</f>
        <v>-50589.320000000007</v>
      </c>
      <c r="E17" s="140">
        <f>IFERROR(D17/C17, 0)</f>
        <v>-0.57636986238941845</v>
      </c>
      <c r="F17" s="139">
        <f t="shared" si="4"/>
        <v>91531.02</v>
      </c>
      <c r="G17" s="139">
        <f>B17-F17</f>
        <v>-54348.020000000004</v>
      </c>
      <c r="H17" s="141">
        <f>IFERROR(G17/F17, 0)</f>
        <v>-0.59376613524027155</v>
      </c>
      <c r="I17" s="28"/>
      <c r="J17" s="28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64" priority="1" operator="lessThanOrEqual">
      <formula>-0.1</formula>
    </cfRule>
    <cfRule type="cellIs" dxfId="63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EB15-13C7-40B6-B469-8F15DFCDDF14}">
  <sheetPr codeName="Sheet37">
    <tabColor rgb="FFFFFF00"/>
  </sheetPr>
  <dimension ref="A1:O20"/>
  <sheetViews>
    <sheetView zoomScale="80" zoomScaleNormal="80" workbookViewId="0">
      <selection activeCell="I5" sqref="I5: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81" t="s">
        <v>72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5" thickBot="1">
      <c r="A2" s="11"/>
      <c r="B2" s="11"/>
      <c r="C2" s="11"/>
      <c r="D2" s="11"/>
      <c r="E2" s="11"/>
    </row>
    <row r="3" spans="1:15" ht="16.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35" customHeight="1" thickBo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3.35" customHeight="1">
      <c r="A5" s="16" t="s">
        <v>84</v>
      </c>
      <c r="B5" s="87">
        <v>16708.5</v>
      </c>
      <c r="C5" s="87">
        <v>42789.35</v>
      </c>
      <c r="D5" s="74">
        <f>B5-C5</f>
        <v>-26080.85</v>
      </c>
      <c r="E5" s="83">
        <f t="shared" ref="E5:E16" si="0">IFERROR(D5/C5, 0)</f>
        <v>-0.60951732148303261</v>
      </c>
      <c r="F5" s="75">
        <v>32696.87</v>
      </c>
      <c r="G5" s="84">
        <f>B5-F5</f>
        <v>-15988.369999999999</v>
      </c>
      <c r="H5" s="116">
        <f t="shared" ref="H5:H16" si="1">IFERROR(G5/F5, 0)</f>
        <v>-0.48898778384597669</v>
      </c>
      <c r="I5" s="88" t="s">
        <v>111</v>
      </c>
      <c r="J5" s="88" t="s">
        <v>112</v>
      </c>
      <c r="O5" s="5"/>
    </row>
    <row r="6" spans="1:15" ht="13.35" customHeight="1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88"/>
      <c r="J6" s="88"/>
    </row>
    <row r="7" spans="1:15" ht="13.35" customHeight="1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88"/>
      <c r="J7" s="88"/>
    </row>
    <row r="8" spans="1:15" ht="13.35" customHeight="1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96"/>
      <c r="J8" s="88"/>
    </row>
    <row r="9" spans="1:15" ht="13.35" customHeight="1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8"/>
      <c r="J9" s="88"/>
    </row>
    <row r="10" spans="1:15" ht="13.35" customHeight="1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/>
    </row>
    <row r="11" spans="1:15" ht="13.35" customHeight="1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4"/>
      <c r="G11" s="84">
        <f t="shared" si="3"/>
        <v>0</v>
      </c>
      <c r="H11" s="116">
        <f t="shared" si="1"/>
        <v>0</v>
      </c>
      <c r="I11" s="88"/>
      <c r="J11" s="88"/>
    </row>
    <row r="12" spans="1:15" ht="13.35" customHeight="1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13.35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3.3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3.3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3.35" customHeight="1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23"/>
      <c r="J16" s="23"/>
    </row>
    <row r="17" spans="1:15" ht="13.35" customHeight="1">
      <c r="A17" s="24" t="s">
        <v>98</v>
      </c>
      <c r="B17" s="139">
        <f>SUM(B5:B16)</f>
        <v>16708.5</v>
      </c>
      <c r="C17" s="139">
        <f t="shared" ref="C17:F17" si="4">SUM(C5:C16)</f>
        <v>42789.35</v>
      </c>
      <c r="D17" s="139">
        <f>B17-C17</f>
        <v>-26080.85</v>
      </c>
      <c r="E17" s="140">
        <f>IFERROR(D17/C17, 0)</f>
        <v>-0.60951732148303261</v>
      </c>
      <c r="F17" s="139">
        <f t="shared" si="4"/>
        <v>32696.87</v>
      </c>
      <c r="G17" s="139">
        <f>B17-F17</f>
        <v>-15988.369999999999</v>
      </c>
      <c r="H17" s="141">
        <f>IFERROR(G17/F17, 0)</f>
        <v>-0.48898778384597669</v>
      </c>
      <c r="I17" s="28"/>
      <c r="J17" s="28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48" priority="2" operator="lessThanOrEqual">
      <formula>-0.1</formula>
    </cfRule>
    <cfRule type="cellIs" dxfId="47" priority="3" operator="greaterThan">
      <formula>0.1</formula>
    </cfRule>
  </conditionalFormatting>
  <conditionalFormatting sqref="I8">
    <cfRule type="cellIs" dxfId="46" priority="1" operator="lessThan">
      <formula>0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70A9-0B4C-4569-9060-0F667A96986D}">
  <sheetPr codeName="Sheet38">
    <tabColor rgb="FFFFFF00"/>
  </sheetPr>
  <dimension ref="A1:O20"/>
  <sheetViews>
    <sheetView topLeftCell="B1" zoomScale="90" zoomScaleNormal="90" workbookViewId="0">
      <selection activeCell="I22" sqref="I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81" t="s">
        <v>73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5" thickBot="1">
      <c r="A2" s="11"/>
      <c r="B2" s="11"/>
      <c r="C2" s="11"/>
      <c r="D2" s="11"/>
      <c r="E2" s="11"/>
    </row>
    <row r="3" spans="1:15" ht="16.5" customHeight="1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35" customHeight="1" thickBo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3.35" customHeight="1">
      <c r="A5" s="16" t="s">
        <v>84</v>
      </c>
      <c r="B5" s="87">
        <v>16074.25</v>
      </c>
      <c r="C5" s="87">
        <v>29669.200000000001</v>
      </c>
      <c r="D5" s="74">
        <f>B5-C5</f>
        <v>-13594.95</v>
      </c>
      <c r="E5" s="83">
        <f t="shared" ref="E5:E16" si="0">IFERROR(D5/C5, 0)</f>
        <v>-0.45821761287800145</v>
      </c>
      <c r="F5" s="75">
        <v>32307.32</v>
      </c>
      <c r="G5" s="84">
        <f>B5-F5</f>
        <v>-16233.07</v>
      </c>
      <c r="H5" s="116">
        <f t="shared" ref="H5:H16" si="1">IFERROR(G5/F5, 0)</f>
        <v>-0.50245795689645567</v>
      </c>
      <c r="I5" s="88" t="s">
        <v>111</v>
      </c>
      <c r="J5" s="88" t="s">
        <v>113</v>
      </c>
      <c r="O5" s="5"/>
    </row>
    <row r="6" spans="1:15" ht="13.35" customHeight="1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88"/>
      <c r="J6" s="88" t="s">
        <v>36</v>
      </c>
    </row>
    <row r="7" spans="1:15" ht="13.35" customHeight="1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88"/>
      <c r="J7" s="88"/>
    </row>
    <row r="8" spans="1:15" ht="13.35" customHeight="1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88"/>
      <c r="J8" s="88"/>
    </row>
    <row r="9" spans="1:15" ht="13.35" customHeight="1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9"/>
      <c r="J9" s="88"/>
    </row>
    <row r="10" spans="1:15" ht="13.35" customHeight="1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 t="s">
        <v>36</v>
      </c>
    </row>
    <row r="11" spans="1:15" ht="13.35" customHeight="1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8"/>
      <c r="J11" s="88" t="s">
        <v>36</v>
      </c>
    </row>
    <row r="12" spans="1:15" ht="13.35" customHeight="1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13.35" customHeight="1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3.35" customHeight="1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3.35" customHeight="1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 t="s">
        <v>36</v>
      </c>
    </row>
    <row r="16" spans="1:15" ht="13.35" customHeight="1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23"/>
      <c r="J16" s="23" t="s">
        <v>36</v>
      </c>
    </row>
    <row r="17" spans="1:15" ht="13.35" customHeight="1">
      <c r="A17" s="24" t="s">
        <v>98</v>
      </c>
      <c r="B17" s="139">
        <f>SUM(B5:B16)</f>
        <v>16074.25</v>
      </c>
      <c r="C17" s="139">
        <f t="shared" ref="C17:F17" si="4">SUM(C5:C16)</f>
        <v>29669.200000000001</v>
      </c>
      <c r="D17" s="139">
        <f>B17-C17</f>
        <v>-13594.95</v>
      </c>
      <c r="E17" s="140">
        <f>IFERROR(D17/C17, 0)</f>
        <v>-0.45821761287800145</v>
      </c>
      <c r="F17" s="139">
        <f t="shared" si="4"/>
        <v>32307.32</v>
      </c>
      <c r="G17" s="139">
        <f>B17-F17</f>
        <v>-16233.07</v>
      </c>
      <c r="H17" s="141">
        <f>IFERROR(G17/F17, 0)</f>
        <v>-0.50245795689645567</v>
      </c>
      <c r="I17" s="28"/>
      <c r="J17" s="28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31" priority="1" operator="lessThanOrEqual">
      <formula>-0.1</formula>
    </cfRule>
    <cfRule type="cellIs" dxfId="3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F5B6-BEDF-41CC-819E-92B33D52ED36}">
  <sheetPr codeName="Sheet39">
    <tabColor rgb="FFFFFF00"/>
  </sheetPr>
  <dimension ref="A1:O20"/>
  <sheetViews>
    <sheetView tabSelected="1" zoomScale="80" zoomScaleNormal="80" workbookViewId="0">
      <selection activeCell="I30" sqref="I3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0" customWidth="1"/>
    <col min="10" max="10" width="21.42578125" customWidth="1"/>
  </cols>
  <sheetData>
    <row r="1" spans="1:15" ht="25.15">
      <c r="A1" s="181" t="s">
        <v>74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5" ht="25.5" thickBot="1">
      <c r="A2" s="11"/>
      <c r="B2" s="11"/>
      <c r="C2" s="11"/>
      <c r="D2" s="11"/>
      <c r="E2" s="11"/>
    </row>
    <row r="3" spans="1:15" ht="15">
      <c r="A3" s="173" t="s">
        <v>75</v>
      </c>
      <c r="B3" s="174"/>
      <c r="C3" s="174"/>
      <c r="D3" s="174"/>
      <c r="E3" s="175"/>
      <c r="F3" s="176" t="s">
        <v>76</v>
      </c>
      <c r="G3" s="177"/>
      <c r="H3" s="178"/>
      <c r="I3" s="179" t="s">
        <v>77</v>
      </c>
      <c r="J3" s="180"/>
    </row>
    <row r="4" spans="1:15" ht="13.15" thickBot="1">
      <c r="A4" s="15" t="s">
        <v>78</v>
      </c>
      <c r="B4" s="29" t="s">
        <v>6</v>
      </c>
      <c r="C4" s="29" t="s">
        <v>7</v>
      </c>
      <c r="D4" s="29" t="s">
        <v>79</v>
      </c>
      <c r="E4" s="30" t="s">
        <v>80</v>
      </c>
      <c r="F4" s="31" t="s">
        <v>10</v>
      </c>
      <c r="G4" s="32" t="s">
        <v>81</v>
      </c>
      <c r="H4" s="33" t="s">
        <v>82</v>
      </c>
      <c r="I4" s="34" t="s">
        <v>77</v>
      </c>
      <c r="J4" s="35" t="s">
        <v>83</v>
      </c>
    </row>
    <row r="5" spans="1:15" ht="14.25">
      <c r="A5" s="16" t="s">
        <v>84</v>
      </c>
      <c r="B5" s="87">
        <v>33788</v>
      </c>
      <c r="C5" s="87">
        <v>71556.679999999993</v>
      </c>
      <c r="D5" s="74">
        <f>B5-C5</f>
        <v>-37768.679999999993</v>
      </c>
      <c r="E5" s="83">
        <f t="shared" ref="E5:E16" si="0">IFERROR(D5/C5, 0)</f>
        <v>-0.52781487346813738</v>
      </c>
      <c r="F5" s="75">
        <v>96097.7</v>
      </c>
      <c r="G5" s="84">
        <f>B5-F5</f>
        <v>-62309.7</v>
      </c>
      <c r="H5" s="116">
        <f t="shared" ref="H5:H16" si="1">IFERROR(G5/F5, 0)</f>
        <v>-0.64839949343220493</v>
      </c>
      <c r="I5" s="88"/>
      <c r="J5" s="88"/>
      <c r="O5" s="5"/>
    </row>
    <row r="6" spans="1:15" ht="14.25">
      <c r="A6" s="18" t="s">
        <v>87</v>
      </c>
      <c r="B6" s="74"/>
      <c r="C6" s="74"/>
      <c r="D6" s="74">
        <f t="shared" ref="D6:D16" si="2">B6-C6</f>
        <v>0</v>
      </c>
      <c r="E6" s="85">
        <f t="shared" si="0"/>
        <v>0</v>
      </c>
      <c r="F6" s="86"/>
      <c r="G6" s="84">
        <f t="shared" ref="G6:G16" si="3">B6-F6</f>
        <v>0</v>
      </c>
      <c r="H6" s="116">
        <f t="shared" si="1"/>
        <v>0</v>
      </c>
      <c r="I6" s="105"/>
      <c r="J6" s="112"/>
    </row>
    <row r="7" spans="1:15" ht="14.25">
      <c r="A7" s="18" t="s">
        <v>88</v>
      </c>
      <c r="B7" s="74"/>
      <c r="C7" s="74"/>
      <c r="D7" s="74">
        <f t="shared" si="2"/>
        <v>0</v>
      </c>
      <c r="E7" s="85">
        <f t="shared" si="0"/>
        <v>0</v>
      </c>
      <c r="F7" s="77"/>
      <c r="G7" s="84">
        <f t="shared" si="3"/>
        <v>0</v>
      </c>
      <c r="H7" s="116">
        <f t="shared" si="1"/>
        <v>0</v>
      </c>
      <c r="I7" s="102"/>
      <c r="J7" s="105"/>
    </row>
    <row r="8" spans="1:15" ht="14.25">
      <c r="A8" s="18" t="s">
        <v>89</v>
      </c>
      <c r="B8" s="74"/>
      <c r="C8" s="74"/>
      <c r="D8" s="74">
        <f t="shared" si="2"/>
        <v>0</v>
      </c>
      <c r="E8" s="85">
        <f t="shared" si="0"/>
        <v>0</v>
      </c>
      <c r="F8" s="84"/>
      <c r="G8" s="84">
        <f t="shared" si="3"/>
        <v>0</v>
      </c>
      <c r="H8" s="116">
        <f t="shared" si="1"/>
        <v>0</v>
      </c>
      <c r="I8" s="88"/>
      <c r="J8" s="88"/>
    </row>
    <row r="9" spans="1:15" ht="14.25">
      <c r="A9" s="18" t="s">
        <v>90</v>
      </c>
      <c r="B9" s="74"/>
      <c r="C9" s="74"/>
      <c r="D9" s="74">
        <f t="shared" si="2"/>
        <v>0</v>
      </c>
      <c r="E9" s="85">
        <f t="shared" si="0"/>
        <v>0</v>
      </c>
      <c r="F9" s="84"/>
      <c r="G9" s="84">
        <f t="shared" si="3"/>
        <v>0</v>
      </c>
      <c r="H9" s="116">
        <f t="shared" si="1"/>
        <v>0</v>
      </c>
      <c r="I9" s="89"/>
      <c r="J9" s="88"/>
    </row>
    <row r="10" spans="1:15" ht="14.25">
      <c r="A10" s="18" t="s">
        <v>91</v>
      </c>
      <c r="B10" s="74"/>
      <c r="C10" s="74"/>
      <c r="D10" s="74">
        <f t="shared" si="2"/>
        <v>0</v>
      </c>
      <c r="E10" s="85">
        <f t="shared" si="0"/>
        <v>0</v>
      </c>
      <c r="F10" s="84"/>
      <c r="G10" s="84">
        <f t="shared" si="3"/>
        <v>0</v>
      </c>
      <c r="H10" s="116">
        <f t="shared" si="1"/>
        <v>0</v>
      </c>
      <c r="I10" s="88"/>
      <c r="J10" s="88"/>
    </row>
    <row r="11" spans="1:15" ht="14.25">
      <c r="A11" s="18" t="s">
        <v>92</v>
      </c>
      <c r="B11" s="74"/>
      <c r="C11" s="74"/>
      <c r="D11" s="74">
        <f t="shared" si="2"/>
        <v>0</v>
      </c>
      <c r="E11" s="85">
        <f t="shared" si="0"/>
        <v>0</v>
      </c>
      <c r="F11" s="86"/>
      <c r="G11" s="84">
        <f t="shared" si="3"/>
        <v>0</v>
      </c>
      <c r="H11" s="116">
        <f t="shared" si="1"/>
        <v>0</v>
      </c>
      <c r="I11" s="88"/>
      <c r="J11" s="88"/>
    </row>
    <row r="12" spans="1:15" ht="14.25">
      <c r="A12" s="18" t="s">
        <v>93</v>
      </c>
      <c r="B12" s="74"/>
      <c r="C12" s="74"/>
      <c r="D12" s="74">
        <f t="shared" si="2"/>
        <v>0</v>
      </c>
      <c r="E12" s="85">
        <f t="shared" si="0"/>
        <v>0</v>
      </c>
      <c r="F12" s="77"/>
      <c r="G12" s="84">
        <f t="shared" si="3"/>
        <v>0</v>
      </c>
      <c r="H12" s="116">
        <f t="shared" si="1"/>
        <v>0</v>
      </c>
      <c r="I12" s="88"/>
      <c r="J12" s="88"/>
    </row>
    <row r="13" spans="1:15" ht="14.25">
      <c r="A13" s="18" t="s">
        <v>94</v>
      </c>
      <c r="B13" s="74"/>
      <c r="C13" s="74"/>
      <c r="D13" s="74">
        <f t="shared" si="2"/>
        <v>0</v>
      </c>
      <c r="E13" s="85">
        <f t="shared" si="0"/>
        <v>0</v>
      </c>
      <c r="F13" s="84"/>
      <c r="G13" s="84">
        <f t="shared" si="3"/>
        <v>0</v>
      </c>
      <c r="H13" s="116">
        <f t="shared" si="1"/>
        <v>0</v>
      </c>
      <c r="I13" s="88"/>
      <c r="J13" s="88"/>
    </row>
    <row r="14" spans="1:15" ht="14.25">
      <c r="A14" s="18" t="s">
        <v>95</v>
      </c>
      <c r="B14" s="74"/>
      <c r="C14" s="74"/>
      <c r="D14" s="74">
        <f t="shared" si="2"/>
        <v>0</v>
      </c>
      <c r="E14" s="85">
        <f t="shared" si="0"/>
        <v>0</v>
      </c>
      <c r="F14" s="84"/>
      <c r="G14" s="84">
        <f t="shared" si="3"/>
        <v>0</v>
      </c>
      <c r="H14" s="116">
        <f t="shared" si="1"/>
        <v>0</v>
      </c>
      <c r="I14" s="89"/>
      <c r="J14" s="88"/>
    </row>
    <row r="15" spans="1:15" ht="14.25">
      <c r="A15" s="18" t="s">
        <v>96</v>
      </c>
      <c r="B15" s="87"/>
      <c r="C15" s="87"/>
      <c r="D15" s="74">
        <f t="shared" si="2"/>
        <v>0</v>
      </c>
      <c r="E15" s="85">
        <f t="shared" si="0"/>
        <v>0</v>
      </c>
      <c r="F15" s="75"/>
      <c r="G15" s="84">
        <f t="shared" si="3"/>
        <v>0</v>
      </c>
      <c r="H15" s="116">
        <f t="shared" si="1"/>
        <v>0</v>
      </c>
      <c r="I15" s="88"/>
      <c r="J15" s="88"/>
    </row>
    <row r="16" spans="1:15" ht="14.25">
      <c r="A16" s="22" t="s">
        <v>97</v>
      </c>
      <c r="B16" s="117"/>
      <c r="C16" s="117"/>
      <c r="D16" s="117">
        <f t="shared" si="2"/>
        <v>0</v>
      </c>
      <c r="E16" s="118">
        <f t="shared" si="0"/>
        <v>0</v>
      </c>
      <c r="F16" s="119"/>
      <c r="G16" s="121">
        <f t="shared" si="3"/>
        <v>0</v>
      </c>
      <c r="H16" s="120">
        <f t="shared" si="1"/>
        <v>0</v>
      </c>
      <c r="I16" s="99"/>
      <c r="J16" s="99"/>
    </row>
    <row r="17" spans="1:15" ht="14.25">
      <c r="A17" s="24" t="s">
        <v>98</v>
      </c>
      <c r="B17" s="139">
        <f>SUM(B5:B16)</f>
        <v>33788</v>
      </c>
      <c r="C17" s="139">
        <f t="shared" ref="C17:F17" si="4">SUM(C5:C16)</f>
        <v>71556.679999999993</v>
      </c>
      <c r="D17" s="139">
        <f>B17-C17</f>
        <v>-37768.679999999993</v>
      </c>
      <c r="E17" s="140">
        <f>IFERROR(D17/C17, 0)</f>
        <v>-0.52781487346813738</v>
      </c>
      <c r="F17" s="139">
        <f t="shared" si="4"/>
        <v>96097.7</v>
      </c>
      <c r="G17" s="139">
        <f>B17-F17</f>
        <v>-62309.7</v>
      </c>
      <c r="H17" s="141">
        <f>IFERROR(G17/F17, 0)</f>
        <v>-0.64839949343220493</v>
      </c>
      <c r="I17" s="28"/>
      <c r="J17" s="28"/>
    </row>
    <row r="18" spans="1:15">
      <c r="F18" s="12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5B0BDC-834C-4252-8043-812E712EF832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2024-02-15T07:49:02Z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