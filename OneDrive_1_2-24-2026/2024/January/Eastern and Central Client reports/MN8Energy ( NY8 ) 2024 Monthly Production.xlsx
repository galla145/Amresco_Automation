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37" documentId="13_ncr:1_{556185AE-30F7-4367-96CC-3081FD07D447}" xr6:coauthVersionLast="47" xr6:coauthVersionMax="47" xr10:uidLastSave="{9F974DFF-3356-4DD1-8AB7-97AECB02B278}"/>
  <bookViews>
    <workbookView xWindow="-28920" yWindow="7725" windowWidth="29040" windowHeight="15720" tabRatio="866" firstSheet="18" activeTab="18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Janis" sheetId="69" r:id="rId19"/>
    <sheet name="Puckett Solar" sheetId="5" r:id="rId20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2024'!$A$2:$I$2</definedName>
    <definedName name="JanActual">'01-2024'!$C$3:$C$4</definedName>
    <definedName name="JanActual2">'01-2024'!#REF!</definedName>
    <definedName name="JanExpected">'01-2024'!$D$3:$D$4</definedName>
    <definedName name="JanExpectedDelta">'01-2024'!$E$3:$E$4</definedName>
    <definedName name="JanExpectedPercent">'01-2024'!$F$3:$F$4</definedName>
    <definedName name="JanExpPercent">'01-2024'!$F$3:$F$4</definedName>
    <definedName name="JanForecasted">'01-2024'!$G$3:$G$4</definedName>
    <definedName name="JanForecastedDelta">'01-2024'!$H$3:$H$4</definedName>
    <definedName name="JanForecastedPercent">'01-2024'!$I$3:$I$4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9" l="1"/>
  <c r="E5" i="69" s="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69"/>
  <c r="C17" i="69"/>
  <c r="B17" i="69"/>
  <c r="G16" i="69"/>
  <c r="H16" i="69" s="1"/>
  <c r="D16" i="69"/>
  <c r="E16" i="69" s="1"/>
  <c r="G15" i="69"/>
  <c r="H15" i="69" s="1"/>
  <c r="D15" i="69"/>
  <c r="E15" i="69" s="1"/>
  <c r="G14" i="69"/>
  <c r="H14" i="69" s="1"/>
  <c r="D14" i="69"/>
  <c r="E14" i="69" s="1"/>
  <c r="G13" i="69"/>
  <c r="H13" i="69" s="1"/>
  <c r="D13" i="69"/>
  <c r="E13" i="69" s="1"/>
  <c r="G12" i="69"/>
  <c r="H12" i="69" s="1"/>
  <c r="D12" i="69"/>
  <c r="E12" i="69" s="1"/>
  <c r="G11" i="69"/>
  <c r="H11" i="69" s="1"/>
  <c r="D11" i="69"/>
  <c r="E11" i="69" s="1"/>
  <c r="G10" i="69"/>
  <c r="H10" i="69" s="1"/>
  <c r="D10" i="69"/>
  <c r="E10" i="69" s="1"/>
  <c r="G9" i="69"/>
  <c r="H9" i="69" s="1"/>
  <c r="D9" i="69"/>
  <c r="E9" i="69" s="1"/>
  <c r="G8" i="69"/>
  <c r="H8" i="69" s="1"/>
  <c r="D8" i="69"/>
  <c r="E8" i="69" s="1"/>
  <c r="G7" i="69"/>
  <c r="H7" i="69" s="1"/>
  <c r="D7" i="69"/>
  <c r="E7" i="69" s="1"/>
  <c r="G6" i="69"/>
  <c r="H6" i="69" s="1"/>
  <c r="D6" i="69"/>
  <c r="E6" i="69" s="1"/>
  <c r="G5" i="69"/>
  <c r="H5" i="69" s="1"/>
  <c r="F17" i="5"/>
  <c r="C17" i="5"/>
  <c r="B17" i="5"/>
  <c r="G16" i="5"/>
  <c r="H16" i="5" s="1"/>
  <c r="D16" i="5"/>
  <c r="E16" i="5" s="1"/>
  <c r="G15" i="5"/>
  <c r="H15" i="5" s="1"/>
  <c r="D15" i="5"/>
  <c r="E15" i="5" s="1"/>
  <c r="G14" i="5"/>
  <c r="H14" i="5" s="1"/>
  <c r="D14" i="5"/>
  <c r="E14" i="5" s="1"/>
  <c r="G13" i="5"/>
  <c r="H13" i="5" s="1"/>
  <c r="D13" i="5"/>
  <c r="E13" i="5" s="1"/>
  <c r="G12" i="5"/>
  <c r="H12" i="5" s="1"/>
  <c r="D12" i="5"/>
  <c r="E12" i="5" s="1"/>
  <c r="G11" i="5"/>
  <c r="H11" i="5" s="1"/>
  <c r="D11" i="5"/>
  <c r="E11" i="5" s="1"/>
  <c r="G10" i="5"/>
  <c r="H10" i="5" s="1"/>
  <c r="D10" i="5"/>
  <c r="E10" i="5" s="1"/>
  <c r="G9" i="5"/>
  <c r="H9" i="5" s="1"/>
  <c r="D9" i="5"/>
  <c r="E9" i="5" s="1"/>
  <c r="G8" i="5"/>
  <c r="H8" i="5" s="1"/>
  <c r="D8" i="5"/>
  <c r="E8" i="5" s="1"/>
  <c r="G7" i="5"/>
  <c r="H7" i="5" s="1"/>
  <c r="D7" i="5"/>
  <c r="E7" i="5" s="1"/>
  <c r="G6" i="5"/>
  <c r="H6" i="5" s="1"/>
  <c r="D6" i="5"/>
  <c r="E6" i="5" s="1"/>
  <c r="G5" i="5"/>
  <c r="H5" i="5" s="1"/>
  <c r="D5" i="5"/>
  <c r="E5" i="5" s="1"/>
  <c r="A3" i="2" a="1"/>
  <c r="C4" i="28" a="1"/>
  <c r="C4" i="2" a="1"/>
  <c r="C4" i="4" a="1"/>
  <c r="C3" i="32" a="1"/>
  <c r="C3" i="33" a="1"/>
  <c r="C3" i="31" a="1"/>
  <c r="C4" i="19" a="1"/>
  <c r="C3" i="28" a="1"/>
  <c r="C3" i="20" a="1"/>
  <c r="C4" i="26" a="1"/>
  <c r="C4" i="31" a="1"/>
  <c r="C3" i="21" a="1"/>
  <c r="C4" i="32" a="1"/>
  <c r="C4" i="21" a="1"/>
  <c r="C4" i="33" a="1"/>
  <c r="C4" i="20" a="1"/>
  <c r="C3" i="26" a="1"/>
  <c r="C3" i="19" a="1"/>
  <c r="C3" i="4" a="1"/>
  <c r="C3" i="2" a="1"/>
  <c r="C4" i="27" a="1"/>
  <c r="C3" i="3" a="1"/>
  <c r="C3" i="27" a="1"/>
  <c r="C3" i="28" l="1"/>
  <c r="C3" i="32"/>
  <c r="C3" i="4"/>
  <c r="C4" i="4"/>
  <c r="C4" i="20"/>
  <c r="C4" i="26"/>
  <c r="C4" i="28"/>
  <c r="C4" i="32"/>
  <c r="C3" i="20"/>
  <c r="C4" i="2"/>
  <c r="C3" i="21"/>
  <c r="C3" i="19"/>
  <c r="C3" i="27"/>
  <c r="C3" i="31"/>
  <c r="C3" i="33"/>
  <c r="C3" i="2"/>
  <c r="C3" i="26"/>
  <c r="C3" i="3"/>
  <c r="C4" i="21"/>
  <c r="C4" i="19"/>
  <c r="C4" i="27"/>
  <c r="C4" i="31"/>
  <c r="C4" i="33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69"/>
  <c r="H17" i="69" s="1"/>
  <c r="D17" i="69"/>
  <c r="E17" i="69" s="1"/>
  <c r="G17" i="5"/>
  <c r="H17" i="5" s="1"/>
  <c r="D17" i="5"/>
  <c r="E17" i="5" s="1"/>
  <c r="B3" i="2" a="1"/>
  <c r="B3" i="2" s="1"/>
  <c r="C4" i="3" a="1"/>
  <c r="C4" i="3" l="1"/>
  <c r="D3" i="18"/>
  <c r="G3" i="18"/>
  <c r="D4" i="18"/>
  <c r="G4" i="18"/>
  <c r="D3" i="29"/>
  <c r="G3" i="29"/>
  <c r="D4" i="29"/>
  <c r="G4" i="29"/>
  <c r="D3" i="30"/>
  <c r="G3" i="30"/>
  <c r="D4" i="30"/>
  <c r="G4" i="30"/>
  <c r="G3" i="1"/>
  <c r="D4" i="1"/>
  <c r="G4" i="1"/>
  <c r="D3" i="1"/>
  <c r="G5" i="33"/>
  <c r="D5" i="33"/>
  <c r="G5" i="32"/>
  <c r="D5" i="32"/>
  <c r="G5" i="31"/>
  <c r="D5" i="31"/>
  <c r="G5" i="28"/>
  <c r="D5" i="28"/>
  <c r="G5" i="27"/>
  <c r="D5" i="27"/>
  <c r="G5" i="26"/>
  <c r="D5" i="26"/>
  <c r="G5" i="19"/>
  <c r="D5" i="19"/>
  <c r="G5" i="20"/>
  <c r="D5" i="20"/>
  <c r="G5" i="21"/>
  <c r="D5" i="21"/>
  <c r="G5" i="4"/>
  <c r="D5" i="4"/>
  <c r="G5" i="3"/>
  <c r="D5" i="3"/>
  <c r="C4" i="18" l="1"/>
  <c r="D3" i="34"/>
  <c r="G3" i="34"/>
  <c r="C4" i="30"/>
  <c r="G5" i="29"/>
  <c r="G5" i="1"/>
  <c r="D5" i="18"/>
  <c r="G5" i="18"/>
  <c r="D5" i="30"/>
  <c r="D5" i="29"/>
  <c r="G5" i="30"/>
  <c r="C5" i="27"/>
  <c r="H5" i="27" s="1"/>
  <c r="I5" i="27" s="1"/>
  <c r="C5" i="32"/>
  <c r="E5" i="32" s="1"/>
  <c r="F5" i="32" s="1"/>
  <c r="G4" i="34"/>
  <c r="C5" i="19"/>
  <c r="H5" i="19" s="1"/>
  <c r="I5" i="19" s="1"/>
  <c r="C5" i="33"/>
  <c r="E5" i="33" s="1"/>
  <c r="F5" i="33" s="1"/>
  <c r="D4" i="34"/>
  <c r="C5" i="28"/>
  <c r="H5" i="28" s="1"/>
  <c r="I5" i="28" s="1"/>
  <c r="C4" i="29"/>
  <c r="C5" i="4"/>
  <c r="H5" i="4" s="1"/>
  <c r="I5" i="4" s="1"/>
  <c r="C3" i="18"/>
  <c r="H3" i="18" s="1"/>
  <c r="I3" i="18" s="1"/>
  <c r="C3" i="30"/>
  <c r="H3" i="30" s="1"/>
  <c r="I3" i="30" s="1"/>
  <c r="C3" i="29"/>
  <c r="H3" i="29" s="1"/>
  <c r="I3" i="29" s="1"/>
  <c r="C5" i="20"/>
  <c r="H5" i="20" s="1"/>
  <c r="I5" i="20" s="1"/>
  <c r="D5" i="1"/>
  <c r="C5" i="31"/>
  <c r="E5" i="31" s="1"/>
  <c r="F5" i="31" s="1"/>
  <c r="C5" i="26"/>
  <c r="H5" i="26" s="1"/>
  <c r="I5" i="26" s="1"/>
  <c r="C5" i="21"/>
  <c r="H5" i="21" s="1"/>
  <c r="I5" i="21" s="1"/>
  <c r="C4" i="1"/>
  <c r="C5" i="3"/>
  <c r="E5" i="3" s="1"/>
  <c r="F5" i="3" s="1"/>
  <c r="C3" i="1"/>
  <c r="H3" i="1" s="1"/>
  <c r="I3" i="1" s="1"/>
  <c r="E4" i="30" l="1"/>
  <c r="F4" i="30" s="1"/>
  <c r="H4" i="30"/>
  <c r="I4" i="30" s="1"/>
  <c r="E4" i="29"/>
  <c r="F4" i="29" s="1"/>
  <c r="H4" i="29"/>
  <c r="I4" i="29" s="1"/>
  <c r="E4" i="18"/>
  <c r="F4" i="18" s="1"/>
  <c r="H4" i="18"/>
  <c r="I4" i="18" s="1"/>
  <c r="E4" i="1"/>
  <c r="F4" i="1" s="1"/>
  <c r="H4" i="1"/>
  <c r="I4" i="1" s="1"/>
  <c r="E5" i="19"/>
  <c r="F5" i="19" s="1"/>
  <c r="E5" i="4"/>
  <c r="F5" i="4" s="1"/>
  <c r="E5" i="21"/>
  <c r="F5" i="21" s="1"/>
  <c r="E5" i="28"/>
  <c r="F5" i="28" s="1"/>
  <c r="E5" i="27"/>
  <c r="F5" i="27" s="1"/>
  <c r="H5" i="32"/>
  <c r="I5" i="32" s="1"/>
  <c r="C3" i="34"/>
  <c r="E5" i="20"/>
  <c r="F5" i="20" s="1"/>
  <c r="H5" i="31"/>
  <c r="I5" i="31" s="1"/>
  <c r="H5" i="3"/>
  <c r="I5" i="3" s="1"/>
  <c r="E5" i="26"/>
  <c r="F5" i="26" s="1"/>
  <c r="D5" i="34"/>
  <c r="G5" i="34"/>
  <c r="H5" i="33"/>
  <c r="I5" i="33" s="1"/>
  <c r="C4" i="34"/>
  <c r="C5" i="30"/>
  <c r="E3" i="30"/>
  <c r="C5" i="29"/>
  <c r="E3" i="29"/>
  <c r="C5" i="18"/>
  <c r="E3" i="18"/>
  <c r="C5" i="1"/>
  <c r="E3" i="1"/>
  <c r="F3" i="30" l="1"/>
  <c r="F3" i="29"/>
  <c r="F3" i="18"/>
  <c r="E4" i="34"/>
  <c r="F4" i="34" s="1"/>
  <c r="H4" i="34"/>
  <c r="E3" i="34"/>
  <c r="F3" i="34" s="1"/>
  <c r="H3" i="34"/>
  <c r="F3" i="1"/>
  <c r="C5" i="34"/>
  <c r="H5" i="34" s="1"/>
  <c r="I5" i="34" s="1"/>
  <c r="H5" i="30"/>
  <c r="I5" i="30" s="1"/>
  <c r="E5" i="30"/>
  <c r="F5" i="30" s="1"/>
  <c r="H5" i="29"/>
  <c r="I5" i="29" s="1"/>
  <c r="E5" i="29"/>
  <c r="F5" i="29" s="1"/>
  <c r="H5" i="18"/>
  <c r="I5" i="18" s="1"/>
  <c r="E5" i="18"/>
  <c r="F5" i="18" s="1"/>
  <c r="H5" i="1"/>
  <c r="I5" i="1" s="1"/>
  <c r="E5" i="1"/>
  <c r="F5" i="1" s="1"/>
  <c r="G5" i="2"/>
  <c r="D5" i="2"/>
  <c r="I3" i="34" l="1"/>
  <c r="I4" i="34"/>
  <c r="E5" i="34"/>
  <c r="F5" i="34" s="1"/>
  <c r="C5" i="2"/>
  <c r="H5" i="2" l="1"/>
  <c r="I5" i="2" s="1"/>
  <c r="E5" i="2"/>
  <c r="F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<sst xmlns="http://schemas.openxmlformats.org/spreadsheetml/2006/main" count="345" uniqueCount="81">
  <si>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</si>
  <si>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</si>
  <si>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</si>
  <si>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</si>
  <si>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</si>
  <si>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</si>
  <si>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</si>
  <si>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</si>
  <si>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</si>
  <si>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</si>
  <si>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</si>
  <si>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</si>
  <si>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</si>
  <si>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</si>
  <si>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</si>
  <si>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</si>
  <si>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</si>
  <si>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</si>
  <si>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</si>
  <si>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</si>
  <si>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</si>
  <si>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</si>
  <si>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</si>
  <si>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</si>
  <si>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</si>
  <si>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</si>
  <si>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</si>
  <si>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</si>
  <si>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</si>
  <si>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</si>
  <si>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</si>
  <si>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</si>
  <si>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</si>
  <si>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</si>
  <si>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</si>
  <si>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</si>
  <si>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</si>
  <si>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</si>
  <si>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</si>
  <si>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</si>
  <si>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</si>
  <si>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</si>
  <si>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</si>
  <si>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</si>
  <si>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</si>
  <si>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</si>
  <si>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</si>
  <si>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MN8 NY8</t>
  </si>
  <si>
    <t>Site DAS Name</t>
  </si>
  <si>
    <t>Column1</t>
  </si>
  <si>
    <t>Janis</t>
  </si>
  <si>
    <t>NY</t>
  </si>
  <si>
    <t>AEF</t>
  </si>
  <si>
    <t>Puckett Solar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</si>
  <si>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</si>
  <si>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</si>
  <si>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</si>
  <si>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</si>
  <si>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</si>
  <si>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</si>
  <si>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</si>
  <si>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</si>
  <si>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</si>
  <si>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</si>
  <si>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1. Inverter  3.1,4.1 Module 1 and 5.1 module 2 has not started production on 01/09, 01/16, 01/18, 01/19 and 01/31 
2.Inverter module 1.1 offline on 01/19 to 01/22 and started on 01/23 at 12:15</t>
  </si>
  <si>
    <t>1.SR080623, SR080624	
2.SR080390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</si>
  <si>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</si>
  <si>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</si>
  <si>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</si>
  <si>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</si>
  <si>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</si>
  <si>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</si>
  <si>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</si>
  <si>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</si>
  <si>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</si>
  <si>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</si>
  <si>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</si>
  <si>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</si>
  <si>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1.Production meter was damaged they had to by pass the meter.
2.Inverter 5.1 module 2 is offfline on 01/17 and started on 01/18 at 10:45
3.Site tripped offlinedue to Utility planned outage on 01/25 at 12:00 and back online 02/01.
Actual energy data is taken from Inverters data since production meter data is not available***</t>
  </si>
  <si>
    <t>1.SR073174
2.SR080283
3.SR080466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</si>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</sst>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7" applyNumberFormat="0" applyAlignment="0" applyProtection="0"/>
    <xf numFmtId="0" fontId="17" fillId="10" borderId="8" applyNumberFormat="0" applyAlignment="0" applyProtection="0"/>
    <xf numFmtId="0" fontId="18" fillId="10" borderId="7" applyNumberFormat="0" applyAlignment="0" applyProtection="0"/>
    <xf numFmtId="0" fontId="19" fillId="0" borderId="9" applyNumberFormat="0" applyFill="0" applyAlignment="0" applyProtection="0"/>
    <xf numFmtId="0" fontId="20" fillId="11" borderId="10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2" applyNumberFormat="0" applyFill="0" applyAlignment="0" applyProtection="0"/>
    <xf numFmtId="0" fontId="2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0" borderId="0"/>
    <xf numFmtId="0" fontId="1" fillId="12" borderId="11" applyNumberFormat="0" applyFont="0" applyAlignment="0" applyProtection="0"/>
  </cellStyleXfs>
  <cellXfs count="187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3" fillId="3" borderId="16" xfId="0" applyFont="1" applyFill="1" applyBorder="1" applyAlignment="1">
      <alignment horizontal="center" vertical="center" wrapText="1"/>
    </xf>
    <xf numFmtId="9" fontId="5" fillId="3" borderId="16" xfId="2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49" fontId="0" fillId="0" borderId="0" xfId="0" applyNumberFormat="1"/>
    <xf numFmtId="9" fontId="5" fillId="40" borderId="16" xfId="2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0" fillId="0" borderId="14" xfId="0" applyBorder="1"/>
    <xf numFmtId="0" fontId="28" fillId="0" borderId="15" xfId="0" applyFont="1" applyBorder="1" applyAlignment="1">
      <alignment horizontal="left"/>
    </xf>
    <xf numFmtId="0" fontId="0" fillId="0" borderId="30" xfId="0" applyBorder="1"/>
    <xf numFmtId="0" fontId="8" fillId="0" borderId="36" xfId="0" applyFont="1" applyBorder="1" applyAlignment="1">
      <alignment horizontal="left" vertical="center"/>
    </xf>
    <xf numFmtId="9" fontId="30" fillId="43" borderId="2" xfId="2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3" fontId="30" fillId="4" borderId="2" xfId="1" applyNumberFormat="1" applyFont="1" applyFill="1" applyBorder="1" applyAlignment="1">
      <alignment vertical="center"/>
    </xf>
    <xf numFmtId="9" fontId="30" fillId="43" borderId="2" xfId="2" applyFont="1" applyFill="1" applyBorder="1" applyAlignment="1">
      <alignment horizontal="center" vertical="center"/>
    </xf>
    <xf numFmtId="9" fontId="30" fillId="43" borderId="2" xfId="2" applyFont="1" applyFill="1" applyBorder="1" applyAlignment="1">
      <alignment horizontal="left" vertical="top" wrapText="1"/>
    </xf>
    <xf numFmtId="9" fontId="30" fillId="43" borderId="2" xfId="2" applyFont="1" applyFill="1" applyBorder="1" applyAlignment="1">
      <alignment horizontal="left" vertical="top"/>
    </xf>
    <xf numFmtId="3" fontId="30" fillId="3" borderId="29" xfId="0" applyNumberFormat="1" applyFont="1" applyFill="1" applyBorder="1" applyAlignment="1">
      <alignment horizontal="right"/>
    </xf>
    <xf numFmtId="9" fontId="30" fillId="3" borderId="3" xfId="2" applyFont="1" applyFill="1" applyBorder="1" applyAlignment="1">
      <alignment horizontal="center"/>
    </xf>
    <xf numFmtId="3" fontId="30" fillId="4" borderId="40" xfId="1" applyNumberFormat="1" applyFont="1" applyFill="1" applyBorder="1"/>
    <xf numFmtId="3" fontId="30" fillId="4" borderId="29" xfId="1" applyNumberFormat="1" applyFont="1" applyFill="1" applyBorder="1"/>
    <xf numFmtId="9" fontId="30" fillId="4" borderId="29" xfId="2" applyFont="1" applyFill="1" applyBorder="1" applyAlignment="1">
      <alignment horizontal="center"/>
    </xf>
    <xf numFmtId="0" fontId="29" fillId="5" borderId="1" xfId="0" applyFont="1" applyFill="1" applyBorder="1" applyAlignment="1">
      <alignment horizontal="center"/>
    </xf>
    <xf numFmtId="3" fontId="29" fillId="5" borderId="1" xfId="0" applyNumberFormat="1" applyFont="1" applyFill="1" applyBorder="1" applyAlignment="1">
      <alignment horizontal="center"/>
    </xf>
    <xf numFmtId="9" fontId="29" fillId="5" borderId="1" xfId="2" applyFont="1" applyFill="1" applyBorder="1" applyAlignment="1">
      <alignment horizontal="center"/>
    </xf>
    <xf numFmtId="9" fontId="29" fillId="5" borderId="1" xfId="0" applyNumberFormat="1" applyFont="1" applyFill="1" applyBorder="1" applyAlignment="1">
      <alignment horizontal="center"/>
    </xf>
    <xf numFmtId="0" fontId="29" fillId="0" borderId="0" xfId="0" applyFont="1"/>
    <xf numFmtId="0" fontId="31" fillId="3" borderId="18" xfId="0" applyFont="1" applyFill="1" applyBorder="1" applyAlignment="1">
      <alignment horizontal="left" vertical="center" wrapText="1"/>
    </xf>
    <xf numFmtId="9" fontId="31" fillId="3" borderId="37" xfId="2" applyFont="1" applyFill="1" applyBorder="1" applyAlignment="1">
      <alignment horizontal="left" vertical="center" wrapText="1"/>
    </xf>
    <xf numFmtId="0" fontId="31" fillId="4" borderId="18" xfId="0" applyFont="1" applyFill="1" applyBorder="1" applyAlignment="1">
      <alignment horizontal="left" vertical="center"/>
    </xf>
    <xf numFmtId="0" fontId="31" fillId="4" borderId="18" xfId="0" applyFont="1" applyFill="1" applyBorder="1" applyAlignment="1">
      <alignment horizontal="left" vertical="center" wrapText="1"/>
    </xf>
    <xf numFmtId="9" fontId="31" fillId="4" borderId="37" xfId="2" applyFont="1" applyFill="1" applyBorder="1" applyAlignment="1">
      <alignment horizontal="left" vertical="center"/>
    </xf>
    <xf numFmtId="9" fontId="31" fillId="43" borderId="38" xfId="2" applyFont="1" applyFill="1" applyBorder="1" applyAlignment="1">
      <alignment horizontal="center" vertical="center"/>
    </xf>
    <xf numFmtId="9" fontId="31" fillId="43" borderId="39" xfId="2" applyFont="1" applyFill="1" applyBorder="1" applyAlignment="1">
      <alignment horizontal="center" vertical="center"/>
    </xf>
    <xf numFmtId="0" fontId="29" fillId="45" borderId="41" xfId="0" applyFont="1" applyFill="1" applyBorder="1" applyAlignment="1">
      <alignment horizontal="center"/>
    </xf>
    <xf numFmtId="3" fontId="33" fillId="3" borderId="17" xfId="0" applyNumberFormat="1" applyFont="1" applyFill="1" applyBorder="1" applyAlignment="1">
      <alignment horizontal="right"/>
    </xf>
    <xf numFmtId="9" fontId="33" fillId="3" borderId="17" xfId="2" applyFont="1" applyFill="1" applyBorder="1" applyAlignment="1">
      <alignment horizontal="center"/>
    </xf>
    <xf numFmtId="3" fontId="33" fillId="4" borderId="17" xfId="1" applyNumberFormat="1" applyFont="1" applyFill="1" applyBorder="1"/>
    <xf numFmtId="9" fontId="33" fillId="40" borderId="17" xfId="2" applyFont="1" applyFill="1" applyBorder="1" applyAlignment="1">
      <alignment horizontal="center"/>
    </xf>
    <xf numFmtId="9" fontId="33" fillId="3" borderId="14" xfId="2" applyFont="1" applyFill="1" applyBorder="1" applyAlignment="1">
      <alignment horizontal="center"/>
    </xf>
    <xf numFmtId="9" fontId="33" fillId="40" borderId="14" xfId="2" applyFont="1" applyFill="1" applyBorder="1" applyAlignment="1">
      <alignment horizontal="center"/>
    </xf>
    <xf numFmtId="9" fontId="33" fillId="37" borderId="19" xfId="0" applyNumberFormat="1" applyFont="1" applyFill="1" applyBorder="1" applyAlignment="1">
      <alignment horizontal="center" vertical="center"/>
    </xf>
    <xf numFmtId="9" fontId="33" fillId="37" borderId="23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/>
    </xf>
    <xf numFmtId="0" fontId="34" fillId="2" borderId="16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left" vertical="center" wrapText="1"/>
    </xf>
    <xf numFmtId="0" fontId="36" fillId="45" borderId="41" xfId="0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3" fontId="33" fillId="37" borderId="19" xfId="0" applyNumberFormat="1" applyFont="1" applyFill="1" applyBorder="1" applyAlignment="1">
      <alignment horizontal="center" vertical="center"/>
    </xf>
    <xf numFmtId="3" fontId="33" fillId="37" borderId="19" xfId="1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/>
    </xf>
    <xf numFmtId="0" fontId="25" fillId="0" borderId="2" xfId="43" applyFont="1" applyBorder="1"/>
    <xf numFmtId="0" fontId="2" fillId="0" borderId="17" xfId="0" applyFont="1" applyBorder="1"/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8" fillId="0" borderId="36" xfId="0" applyFont="1" applyBorder="1" applyAlignment="1">
      <alignment horizontal="left" vertical="center" wrapText="1"/>
    </xf>
    <xf numFmtId="9" fontId="31" fillId="4" borderId="37" xfId="2" applyFont="1" applyFill="1" applyBorder="1" applyAlignment="1">
      <alignment horizontal="left" vertical="center" wrapText="1"/>
    </xf>
    <xf numFmtId="9" fontId="31" fillId="43" borderId="38" xfId="2" applyFont="1" applyFill="1" applyBorder="1" applyAlignment="1">
      <alignment horizontal="center" vertical="center" wrapText="1"/>
    </xf>
    <xf numFmtId="9" fontId="31" fillId="43" borderId="39" xfId="2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9" fontId="30" fillId="43" borderId="2" xfId="2" applyFont="1" applyFill="1" applyBorder="1" applyAlignment="1">
      <alignment horizontal="center" wrapText="1"/>
    </xf>
    <xf numFmtId="9" fontId="0" fillId="0" borderId="0" xfId="0" applyNumberFormat="1" applyAlignment="1">
      <alignment wrapText="1"/>
    </xf>
    <xf numFmtId="0" fontId="29" fillId="0" borderId="1" xfId="0" applyFont="1" applyBorder="1" applyAlignment="1">
      <alignment horizontal="center" wrapText="1"/>
    </xf>
    <xf numFmtId="0" fontId="29" fillId="0" borderId="3" xfId="0" applyFont="1" applyBorder="1" applyAlignment="1">
      <alignment horizontal="center" wrapText="1"/>
    </xf>
    <xf numFmtId="0" fontId="29" fillId="5" borderId="1" xfId="0" applyFont="1" applyFill="1" applyBorder="1" applyAlignment="1">
      <alignment horizontal="center" wrapText="1"/>
    </xf>
    <xf numFmtId="3" fontId="29" fillId="5" borderId="1" xfId="0" applyNumberFormat="1" applyFont="1" applyFill="1" applyBorder="1" applyAlignment="1">
      <alignment horizontal="center" wrapText="1"/>
    </xf>
    <xf numFmtId="9" fontId="29" fillId="5" borderId="1" xfId="2" applyFont="1" applyFill="1" applyBorder="1" applyAlignment="1">
      <alignment horizontal="center" wrapText="1"/>
    </xf>
    <xf numFmtId="9" fontId="29" fillId="5" borderId="1" xfId="0" applyNumberFormat="1" applyFont="1" applyFill="1" applyBorder="1" applyAlignment="1">
      <alignment horizontal="center" wrapText="1"/>
    </xf>
    <xf numFmtId="0" fontId="29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wrapText="1"/>
    </xf>
    <xf numFmtId="0" fontId="3" fillId="4" borderId="16" xfId="0" applyFont="1" applyFill="1" applyBorder="1" applyAlignment="1">
      <alignment horizontal="left" wrapText="1"/>
    </xf>
    <xf numFmtId="0" fontId="36" fillId="45" borderId="41" xfId="0" applyFont="1" applyFill="1" applyBorder="1" applyAlignment="1">
      <alignment horizontal="center" wrapText="1"/>
    </xf>
    <xf numFmtId="0" fontId="29" fillId="45" borderId="41" xfId="0" applyFont="1" applyFill="1" applyBorder="1" applyAlignment="1">
      <alignment horizontal="center" wrapText="1"/>
    </xf>
    <xf numFmtId="3" fontId="33" fillId="3" borderId="17" xfId="0" applyNumberFormat="1" applyFont="1" applyFill="1" applyBorder="1" applyAlignment="1">
      <alignment horizontal="right" wrapText="1"/>
    </xf>
    <xf numFmtId="9" fontId="33" fillId="3" borderId="17" xfId="2" applyFont="1" applyFill="1" applyBorder="1" applyAlignment="1">
      <alignment horizontal="center" wrapText="1"/>
    </xf>
    <xf numFmtId="3" fontId="33" fillId="4" borderId="17" xfId="1" applyNumberFormat="1" applyFont="1" applyFill="1" applyBorder="1" applyAlignment="1">
      <alignment wrapText="1"/>
    </xf>
    <xf numFmtId="9" fontId="33" fillId="40" borderId="17" xfId="2" applyFont="1" applyFill="1" applyBorder="1" applyAlignment="1">
      <alignment horizontal="center" wrapText="1"/>
    </xf>
    <xf numFmtId="0" fontId="36" fillId="0" borderId="1" xfId="0" applyFont="1" applyBorder="1" applyAlignment="1">
      <alignment horizontal="center" wrapText="1"/>
    </xf>
    <xf numFmtId="9" fontId="33" fillId="3" borderId="14" xfId="2" applyFont="1" applyFill="1" applyBorder="1" applyAlignment="1">
      <alignment horizontal="center" wrapText="1"/>
    </xf>
    <xf numFmtId="9" fontId="33" fillId="40" borderId="14" xfId="2" applyFont="1" applyFill="1" applyBorder="1" applyAlignment="1">
      <alignment horizontal="center" wrapText="1"/>
    </xf>
    <xf numFmtId="9" fontId="30" fillId="43" borderId="2" xfId="2" applyFont="1" applyFill="1" applyBorder="1" applyAlignment="1">
      <alignment horizontal="center" vertical="top" wrapText="1"/>
    </xf>
    <xf numFmtId="3" fontId="33" fillId="37" borderId="19" xfId="0" applyNumberFormat="1" applyFont="1" applyFill="1" applyBorder="1" applyAlignment="1">
      <alignment horizontal="center" vertical="center" wrapText="1"/>
    </xf>
    <xf numFmtId="9" fontId="33" fillId="37" borderId="19" xfId="0" applyNumberFormat="1" applyFont="1" applyFill="1" applyBorder="1" applyAlignment="1">
      <alignment horizontal="center" vertical="center" wrapText="1"/>
    </xf>
    <xf numFmtId="3" fontId="33" fillId="37" borderId="19" xfId="1" applyNumberFormat="1" applyFont="1" applyFill="1" applyBorder="1" applyAlignment="1">
      <alignment horizontal="center" vertical="center" wrapText="1"/>
    </xf>
    <xf numFmtId="9" fontId="33" fillId="37" borderId="23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9" fontId="5" fillId="0" borderId="0" xfId="2" applyFont="1" applyAlignment="1">
      <alignment horizontal="center" wrapText="1"/>
    </xf>
    <xf numFmtId="0" fontId="37" fillId="43" borderId="13" xfId="0" applyFont="1" applyFill="1" applyBorder="1" applyAlignment="1">
      <alignment horizontal="left" vertical="top" wrapText="1"/>
    </xf>
    <xf numFmtId="9" fontId="30" fillId="43" borderId="2" xfId="2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3" fillId="3" borderId="17" xfId="0" applyNumberFormat="1" applyFont="1" applyFill="1" applyBorder="1" applyAlignment="1">
      <alignment horizontal="right" vertical="center"/>
    </xf>
    <xf numFmtId="9" fontId="33" fillId="3" borderId="14" xfId="2" applyFont="1" applyFill="1" applyBorder="1" applyAlignment="1">
      <alignment horizontal="center" vertical="center"/>
    </xf>
    <xf numFmtId="3" fontId="33" fillId="4" borderId="17" xfId="1" applyNumberFormat="1" applyFont="1" applyFill="1" applyBorder="1" applyAlignment="1">
      <alignment vertical="center"/>
    </xf>
    <xf numFmtId="9" fontId="33" fillId="40" borderId="14" xfId="2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7" fillId="43" borderId="2" xfId="0" applyFont="1" applyFill="1" applyBorder="1" applyAlignment="1">
      <alignment horizontal="left" vertical="top" wrapText="1"/>
    </xf>
    <xf numFmtId="9" fontId="28" fillId="43" borderId="2" xfId="2" applyFont="1" applyFill="1" applyBorder="1" applyAlignment="1">
      <alignment horizontal="left" vertical="top" wrapText="1"/>
    </xf>
    <xf numFmtId="9" fontId="30" fillId="43" borderId="2" xfId="2" applyFont="1" applyFill="1" applyBorder="1" applyAlignment="1">
      <alignment horizontal="left" vertical="center"/>
    </xf>
    <xf numFmtId="3" fontId="30" fillId="38" borderId="17" xfId="0" applyNumberFormat="1" applyFont="1" applyFill="1" applyBorder="1" applyAlignment="1">
      <alignment vertical="center"/>
    </xf>
    <xf numFmtId="3" fontId="30" fillId="3" borderId="2" xfId="0" applyNumberFormat="1" applyFont="1" applyFill="1" applyBorder="1" applyAlignment="1">
      <alignment horizontal="right" vertical="center"/>
    </xf>
    <xf numFmtId="9" fontId="30" fillId="3" borderId="2" xfId="2" applyFont="1" applyFill="1" applyBorder="1" applyAlignment="1">
      <alignment horizontal="center" vertical="center"/>
    </xf>
    <xf numFmtId="3" fontId="30" fillId="39" borderId="17" xfId="0" applyNumberFormat="1" applyFont="1" applyFill="1" applyBorder="1" applyAlignment="1">
      <alignment vertical="center"/>
    </xf>
    <xf numFmtId="9" fontId="30" fillId="4" borderId="2" xfId="2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3" fontId="30" fillId="4" borderId="13" xfId="1" applyNumberFormat="1" applyFont="1" applyFill="1" applyBorder="1" applyAlignment="1">
      <alignment vertical="center"/>
    </xf>
    <xf numFmtId="3" fontId="30" fillId="38" borderId="14" xfId="0" applyNumberFormat="1" applyFont="1" applyFill="1" applyBorder="1" applyAlignment="1">
      <alignment vertical="center"/>
    </xf>
    <xf numFmtId="3" fontId="30" fillId="39" borderId="14" xfId="0" applyNumberFormat="1" applyFont="1" applyFill="1" applyBorder="1" applyAlignment="1">
      <alignment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9" fontId="30" fillId="43" borderId="2" xfId="2" applyFont="1" applyFill="1" applyBorder="1" applyAlignment="1">
      <alignment horizontal="left" wrapText="1"/>
    </xf>
    <xf numFmtId="0" fontId="36" fillId="45" borderId="41" xfId="0" applyFont="1" applyFill="1" applyBorder="1" applyAlignment="1">
      <alignment horizontal="center" vertical="center"/>
    </xf>
    <xf numFmtId="0" fontId="29" fillId="45" borderId="41" xfId="0" applyFont="1" applyFill="1" applyBorder="1" applyAlignment="1">
      <alignment horizontal="center" vertical="center"/>
    </xf>
    <xf numFmtId="0" fontId="3" fillId="38" borderId="42" xfId="0" applyFont="1" applyFill="1" applyBorder="1" applyAlignment="1">
      <alignment vertical="center" wrapText="1"/>
    </xf>
    <xf numFmtId="3" fontId="30" fillId="3" borderId="2" xfId="0" applyNumberFormat="1" applyFont="1" applyFill="1" applyBorder="1" applyAlignment="1">
      <alignment horizontal="right" vertical="center" wrapText="1"/>
    </xf>
    <xf numFmtId="9" fontId="30" fillId="3" borderId="2" xfId="2" applyFont="1" applyFill="1" applyBorder="1" applyAlignment="1">
      <alignment horizontal="center" vertical="center" wrapText="1"/>
    </xf>
    <xf numFmtId="3" fontId="3" fillId="39" borderId="14" xfId="0" applyNumberFormat="1" applyFont="1" applyFill="1" applyBorder="1" applyAlignment="1">
      <alignment vertical="center" wrapText="1"/>
    </xf>
    <xf numFmtId="3" fontId="30" fillId="4" borderId="2" xfId="1" applyNumberFormat="1" applyFont="1" applyFill="1" applyBorder="1" applyAlignment="1">
      <alignment vertical="center" wrapText="1"/>
    </xf>
    <xf numFmtId="9" fontId="30" fillId="4" borderId="2" xfId="2" applyFont="1" applyFill="1" applyBorder="1" applyAlignment="1">
      <alignment horizontal="center" vertical="center" wrapText="1"/>
    </xf>
    <xf numFmtId="3" fontId="3" fillId="38" borderId="2" xfId="0" applyNumberFormat="1" applyFont="1" applyFill="1" applyBorder="1" applyAlignment="1">
      <alignment vertical="center" wrapText="1"/>
    </xf>
    <xf numFmtId="3" fontId="3" fillId="38" borderId="13" xfId="0" applyNumberFormat="1" applyFont="1" applyFill="1" applyBorder="1" applyAlignment="1">
      <alignment vertical="center" wrapText="1"/>
    </xf>
    <xf numFmtId="9" fontId="30" fillId="3" borderId="1" xfId="2" applyFont="1" applyFill="1" applyBorder="1" applyAlignment="1">
      <alignment horizontal="center" vertical="center" wrapText="1"/>
    </xf>
    <xf numFmtId="3" fontId="3" fillId="39" borderId="13" xfId="0" applyNumberFormat="1" applyFont="1" applyFill="1" applyBorder="1" applyAlignment="1">
      <alignment vertical="center" wrapText="1"/>
    </xf>
    <xf numFmtId="3" fontId="3" fillId="39" borderId="2" xfId="0" applyNumberFormat="1" applyFont="1" applyFill="1" applyBorder="1" applyAlignment="1">
      <alignment vertical="center" wrapText="1"/>
    </xf>
    <xf numFmtId="3" fontId="30" fillId="4" borderId="13" xfId="1" applyNumberFormat="1" applyFont="1" applyFill="1" applyBorder="1" applyAlignment="1">
      <alignment vertical="center" wrapText="1"/>
    </xf>
    <xf numFmtId="3" fontId="30" fillId="38" borderId="14" xfId="0" applyNumberFormat="1" applyFont="1" applyFill="1" applyBorder="1" applyAlignment="1">
      <alignment vertical="center" wrapText="1"/>
    </xf>
    <xf numFmtId="3" fontId="30" fillId="39" borderId="14" xfId="0" applyNumberFormat="1" applyFont="1" applyFill="1" applyBorder="1" applyAlignment="1">
      <alignment vertical="center" wrapText="1"/>
    </xf>
    <xf numFmtId="3" fontId="30" fillId="3" borderId="29" xfId="0" applyNumberFormat="1" applyFont="1" applyFill="1" applyBorder="1" applyAlignment="1">
      <alignment horizontal="right" vertical="center" wrapText="1"/>
    </xf>
    <xf numFmtId="9" fontId="30" fillId="3" borderId="3" xfId="2" applyFont="1" applyFill="1" applyBorder="1" applyAlignment="1">
      <alignment horizontal="center" vertical="center" wrapText="1"/>
    </xf>
    <xf numFmtId="3" fontId="30" fillId="4" borderId="40" xfId="1" applyNumberFormat="1" applyFont="1" applyFill="1" applyBorder="1" applyAlignment="1">
      <alignment vertical="center" wrapText="1"/>
    </xf>
    <xf numFmtId="3" fontId="30" fillId="4" borderId="29" xfId="1" applyNumberFormat="1" applyFont="1" applyFill="1" applyBorder="1" applyAlignment="1">
      <alignment vertical="center" wrapText="1"/>
    </xf>
    <xf numFmtId="9" fontId="30" fillId="4" borderId="29" xfId="2" applyFont="1" applyFill="1" applyBorder="1" applyAlignment="1">
      <alignment horizontal="center" vertical="center" wrapText="1"/>
    </xf>
    <xf numFmtId="9" fontId="30" fillId="43" borderId="29" xfId="2" applyFont="1" applyFill="1" applyBorder="1" applyAlignment="1">
      <alignment horizontal="left" vertical="top" wrapText="1"/>
    </xf>
    <xf numFmtId="9" fontId="33" fillId="3" borderId="17" xfId="2" applyFont="1" applyFill="1" applyBorder="1" applyAlignment="1">
      <alignment horizontal="center" vertical="center"/>
    </xf>
    <xf numFmtId="9" fontId="33" fillId="40" borderId="17" xfId="2" applyFont="1" applyFill="1" applyBorder="1" applyAlignment="1">
      <alignment horizontal="center" vertical="center"/>
    </xf>
    <xf numFmtId="9" fontId="30" fillId="43" borderId="2" xfId="2" applyFont="1" applyFill="1" applyBorder="1" applyAlignment="1">
      <alignment horizontal="left"/>
    </xf>
    <xf numFmtId="9" fontId="30" fillId="43" borderId="29" xfId="2" applyFont="1" applyFill="1" applyBorder="1" applyAlignment="1">
      <alignment horizontal="left" wrapText="1"/>
    </xf>
    <xf numFmtId="3" fontId="3" fillId="38" borderId="14" xfId="0" applyNumberFormat="1" applyFont="1" applyFill="1" applyBorder="1" applyAlignment="1">
      <alignment vertical="center" wrapText="1"/>
    </xf>
    <xf numFmtId="0" fontId="7" fillId="5" borderId="32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32" fillId="44" borderId="24" xfId="0" applyFont="1" applyFill="1" applyBorder="1" applyAlignment="1">
      <alignment horizontal="center" vertical="center"/>
    </xf>
    <xf numFmtId="0" fontId="32" fillId="44" borderId="25" xfId="0" applyFont="1" applyFill="1" applyBorder="1" applyAlignment="1">
      <alignment horizontal="center" vertical="center"/>
    </xf>
    <xf numFmtId="0" fontId="27" fillId="41" borderId="0" xfId="0" applyFont="1" applyFill="1" applyAlignment="1">
      <alignment horizontal="center" wrapText="1"/>
    </xf>
    <xf numFmtId="0" fontId="26" fillId="42" borderId="0" xfId="0" applyFont="1" applyFill="1" applyAlignment="1">
      <alignment horizontal="center" wrapText="1"/>
    </xf>
    <xf numFmtId="0" fontId="35" fillId="2" borderId="26" xfId="0" applyFont="1" applyFill="1" applyBorder="1" applyAlignment="1">
      <alignment horizontal="center" vertical="center" wrapText="1"/>
    </xf>
    <xf numFmtId="0" fontId="35" fillId="2" borderId="27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32" fillId="44" borderId="24" xfId="0" applyFont="1" applyFill="1" applyBorder="1" applyAlignment="1">
      <alignment horizontal="center" vertical="center" wrapText="1"/>
    </xf>
    <xf numFmtId="0" fontId="32" fillId="44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/>
    </xf>
    <xf numFmtId="0" fontId="7" fillId="5" borderId="32" xfId="0" applyFont="1" applyFill="1" applyBorder="1" applyAlignment="1">
      <alignment horizontal="center"/>
    </xf>
    <xf numFmtId="0" fontId="7" fillId="5" borderId="33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/>
    </xf>
    <xf numFmtId="0" fontId="7" fillId="5" borderId="22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5" borderId="3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5" borderId="31" xfId="0" applyFont="1" applyFill="1" applyBorder="1" applyAlignment="1">
      <alignment horizontal="center" wrapText="1"/>
    </xf>
    <xf numFmtId="0" fontId="7" fillId="5" borderId="32" xfId="0" applyFont="1" applyFill="1" applyBorder="1" applyAlignment="1">
      <alignment horizontal="center" wrapText="1"/>
    </xf>
    <xf numFmtId="0" fontId="7" fillId="5" borderId="33" xfId="0" applyFont="1" applyFill="1" applyBorder="1" applyAlignment="1">
      <alignment horizontal="center" wrapText="1"/>
    </xf>
    <xf numFmtId="0" fontId="7" fillId="5" borderId="20" xfId="0" applyFont="1" applyFill="1" applyBorder="1" applyAlignment="1">
      <alignment horizontal="center" wrapText="1"/>
    </xf>
    <xf numFmtId="0" fontId="7" fillId="5" borderId="21" xfId="0" applyFont="1" applyFill="1" applyBorder="1" applyAlignment="1">
      <alignment horizontal="center" wrapText="1"/>
    </xf>
    <xf numFmtId="0" fontId="7" fillId="5" borderId="22" xfId="0" applyFont="1" applyFill="1" applyBorder="1" applyAlignment="1">
      <alignment horizontal="center" wrapText="1"/>
    </xf>
    <xf numFmtId="0" fontId="7" fillId="5" borderId="34" xfId="0" applyFont="1" applyFill="1" applyBorder="1" applyAlignment="1">
      <alignment horizontal="center" wrapText="1"/>
    </xf>
    <xf numFmtId="0" fontId="7" fillId="5" borderId="35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1" indent="0" justifyLastLine="0" shrinkToFit="0" readingOrder="0"/>
    </dxf>
    <dxf>
      <font>
        <sz val="9"/>
      </font>
      <alignment wrapText="1"/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1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z val="9"/>
      </font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bottom style="medium">
          <color rgb="FF000000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4" totalsRowShown="0" headerRowBorderDxfId="36">
  <autoFilter ref="A2:D4" xr:uid="{66A40F5E-D45A-46FE-9183-4A31296D93F1}"/>
  <sortState xmlns:xlrd2="http://schemas.microsoft.com/office/spreadsheetml/2017/richdata2" ref="A3:D4">
    <sortCondition ref="C2:C4"/>
  </sortState>
  <tableColumns count="4">
    <tableColumn id="3" xr3:uid="{BFC0214A-8820-4A19-81D0-852548EDA4BC}" name="Site DAS Name" dataDxfId="35" dataCellStyle="Normal 2"/>
    <tableColumn id="1" xr3:uid="{2ECEDF7A-47C1-4159-BC3D-6E76D6492D27}" name="Site" dataDxfId="34" dataCellStyle="Normal 2"/>
    <tableColumn id="2" xr3:uid="{2C9662E7-9933-4E8D-97A6-DB7E03BCDC09}" name="State" dataDxfId="33" dataCellStyle="Normal 2"/>
    <tableColumn id="5" xr3:uid="{F1D3BF47-C530-4653-922C-CDF1211AB5F9}" name="Column1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29" dataDxfId="28" headerRowBorderDxfId="26" tableBorderDxfId="27">
  <autoFilter ref="A4:J16" xr:uid="{59A959C2-52B2-422A-A87A-BC08BBF40681}"/>
  <tableColumns count="10">
    <tableColumn id="1" xr3:uid="{300F2B93-3E43-4029-9602-E5303206602D}" name="Month" dataDxfId="25"/>
    <tableColumn id="2" xr3:uid="{37FF0282-4483-4A16-B4CD-FA5C5D2AAB66}" name="Actual" dataDxfId="24"/>
    <tableColumn id="3" xr3:uid="{4B1572C6-48CA-4285-A895-59F55B5B6A3F}" name="Expected" dataDxfId="23"/>
    <tableColumn id="4" xr3:uid="{05CC6563-3045-40DE-A32C-A03045F46221}" name="Delta Expected" dataDxfId="22">
      <calculatedColumnFormula>B5-C5</calculatedColumnFormula>
    </tableColumn>
    <tableColumn id="5" xr3:uid="{0112F9D3-7673-407D-B2C0-617699B4EADA}" name="% Expected" dataDxfId="21">
      <calculatedColumnFormula>IFERROR(D5/C5, 0)</calculatedColumnFormula>
    </tableColumn>
    <tableColumn id="6" xr3:uid="{66AF3356-8A8A-4469-9904-982EE44943E2}" name="Forecasted" dataDxfId="20"/>
    <tableColumn id="7" xr3:uid="{C6527BC9-FA83-465E-9209-CCE13ABEDC9D}" name="Delta Forecasted" dataDxfId="19" dataCellStyle="Comma">
      <calculatedColumnFormula>B5-F5</calculatedColumnFormula>
    </tableColumn>
    <tableColumn id="8" xr3:uid="{FA6C6671-F650-4018-910D-2FFB550B3762}" name="% Forecasted" dataDxfId="18">
      <calculatedColumnFormula>IFERROR(G5/F5, 0)</calculatedColumnFormula>
    </tableColumn>
    <tableColumn id="9" xr3:uid="{2783C74E-2CBC-4809-B11D-46D4F8FBBA31}" name="Notes" dataDxfId="17"/>
    <tableColumn id="10" xr3:uid="{0D13FC05-4475-4C0F-ACFE-D5CA9083D091}" name="Service Reques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13" dataDxfId="12" headerRowBorderDxfId="10" tableBorderDxfId="11">
  <autoFilter ref="A4:J16" xr:uid="{59A959C2-52B2-422A-A87A-BC08BBF40681}"/>
  <tableColumns count="10">
    <tableColumn id="1" xr3:uid="{5546520C-DCC9-49E9-9FB3-CE316D4944DA}" name="Month" dataDxfId="9"/>
    <tableColumn id="2" xr3:uid="{DDF452E8-4CE6-4DD7-83F1-6C18FAC64F53}" name="Actual" dataDxfId="8"/>
    <tableColumn id="3" xr3:uid="{854FA685-1E8D-434A-A191-70ED326137F6}" name="Expected" dataDxfId="7"/>
    <tableColumn id="4" xr3:uid="{5C3F4DED-9A03-4256-AB35-C17DABA79D2D}" name="Delta Expected" dataDxfId="6">
      <calculatedColumnFormula>B5-C5</calculatedColumnFormula>
    </tableColumn>
    <tableColumn id="5" xr3:uid="{41D24EBB-4EC4-4943-84C6-B4913606DB53}" name="% Expected" dataDxfId="5">
      <calculatedColumnFormula>IFERROR(D5/C5, 0)</calculatedColumnFormula>
    </tableColumn>
    <tableColumn id="6" xr3:uid="{BD395EF8-0433-4B53-BE3C-227C7BC36415}" name="Forecasted" dataDxfId="4"/>
    <tableColumn id="7" xr3:uid="{72B64D61-E6FB-4C48-8CEB-D343DF097E3E}" name="Delta Forecasted" dataDxfId="3" dataCellStyle="Comma">
      <calculatedColumnFormula>B5-F5</calculatedColumnFormula>
    </tableColumn>
    <tableColumn id="8" xr3:uid="{27F4C8CA-7E0A-46AD-8278-F15F669646B7}" name="% Forecasted" dataDxfId="2">
      <calculatedColumnFormula>IFERROR(G5/F5, 0)</calculatedColumnFormula>
    </tableColumn>
    <tableColumn id="9" xr3:uid="{623D8263-ADF2-4E83-A133-77A77ECF5573}" name="Notes" dataDxfId="1"/>
    <tableColumn id="10" xr3:uid="{D21843AC-EB45-41B5-BBF8-600127984792}" name="Service Reque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11"/>
  <sheetViews>
    <sheetView workbookViewId="0">
      <pane ySplit="2" topLeftCell="A3" activePane="bottomLeft" state="frozen"/>
      <selection pane="bottomLeft" activeCell="E23" sqref="E23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0</v>
      </c>
      <c r="D1" s="156"/>
      <c r="E1" s="156"/>
      <c r="F1" s="157"/>
      <c r="G1" s="158" t="s">
        <v>1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>
        <f ca="1">SUM('1st Quarter 2024'!C3, '2nd Quarter 2024'!C3, '3rd Quarter 2024'!C3, '4th Quarter 2024'!C3)</f>
        <v>641158.18398977397</v>
      </c>
      <c r="D3" s="41">
        <f ca="1">SUM('1st Quarter 2024'!D3, '2nd Quarter 2024'!D3, '3rd Quarter 2024'!D3, '4th Quarter 2024'!D3)</f>
        <v>1056577</v>
      </c>
      <c r="E3" s="41">
        <f ca="1">C3-D3</f>
        <v>-415418.81601022603</v>
      </c>
      <c r="F3" s="42">
        <f ca="1">IFERROR(E3/D3, 0)</f>
        <v>-0.39317419933447922</v>
      </c>
      <c r="G3" s="43">
        <f ca="1">SUM('1st Quarter 2024'!G3, '2nd Quarter 2024'!G3, '3rd Quarter 2024'!G3, '4th Quarter 2024'!G3)</f>
        <v>1516236</v>
      </c>
      <c r="H3" s="43">
        <f ca="1">C3-G3</f>
        <v>-875077.81601022603</v>
      </c>
      <c r="I3" s="44">
        <f ca="1">IFERROR(H3/G3, 0)</f>
        <v>-0.57713826608141872</v>
      </c>
      <c r="J3" s="17"/>
      <c r="K3" s="17"/>
    </row>
    <row r="4" spans="1:11" ht="15.75">
      <c r="A4" s="54" t="str">
        <v>Puckett Solar</v>
      </c>
      <c r="B4" s="18" t="str">
        <v>NY</v>
      </c>
      <c r="C4" s="41">
        <f ca="1">SUM('1st Quarter 2024'!C4, '2nd Quarter 2024'!C4, '3rd Quarter 2024'!C4, '4th Quarter 2024'!C4)</f>
        <v>744866</v>
      </c>
      <c r="D4" s="41">
        <f ca="1">SUM('1st Quarter 2024'!D4, '2nd Quarter 2024'!D4, '3rd Quarter 2024'!D4, '4th Quarter 2024'!D4)</f>
        <v>630899.4</v>
      </c>
      <c r="E4" s="41">
        <f t="shared" ref="E4" ca="1" si="0">C4-D4</f>
        <v>113966.59999999998</v>
      </c>
      <c r="F4" s="42">
        <f ca="1">IFERROR(E4/D4, 0)</f>
        <v>0.18064147786477522</v>
      </c>
      <c r="G4" s="43">
        <f ca="1">SUM('1st Quarter 2024'!G4, '2nd Quarter 2024'!G4, '3rd Quarter 2024'!G4, '4th Quarter 2024'!G4)</f>
        <v>1237718</v>
      </c>
      <c r="H4" s="43">
        <f ca="1">C4-G4</f>
        <v>-492852</v>
      </c>
      <c r="I4" s="44">
        <f ca="1">IFERROR(H4/G4, 0)</f>
        <v>-0.39819409590876115</v>
      </c>
      <c r="J4" s="17"/>
      <c r="K4" s="17"/>
    </row>
    <row r="5" spans="1:11" ht="24.75" customHeight="1">
      <c r="A5" s="149" t="s">
        <v>11</v>
      </c>
      <c r="B5" s="150"/>
      <c r="C5" s="55">
        <f ca="1">SUM(C3:C4)</f>
        <v>1386024.183989774</v>
      </c>
      <c r="D5" s="55">
        <f ca="1">SUM(D3:D4)</f>
        <v>1687476.4</v>
      </c>
      <c r="E5" s="55">
        <f ca="1">C5-D5</f>
        <v>-301452.21601022594</v>
      </c>
      <c r="F5" s="47">
        <f ca="1">IFERROR(E5/D5, 0)</f>
        <v>-0.17864084855363072</v>
      </c>
      <c r="G5" s="55">
        <f ca="1">SUM(G3:G4)</f>
        <v>2753954</v>
      </c>
      <c r="H5" s="56">
        <f ca="1">C5-G5</f>
        <v>-1367929.816010226</v>
      </c>
      <c r="I5" s="48">
        <f ca="1">IFERROR(H5/G5, 0)</f>
        <v>-0.49671483837791991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D5C25034-9971-4A61-864F-C938F31EB1B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70" priority="1" operator="lessThanOrEqual">
      <formula>-0.1</formula>
    </cfRule>
    <cfRule type="cellIs" dxfId="6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14</v>
      </c>
      <c r="D1" s="156"/>
      <c r="E1" s="156"/>
      <c r="F1" s="157"/>
      <c r="G1" s="158" t="s">
        <v>15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>
        <f ca="1">SUM('01-2024'!C3, '02-2024'!C3, '03-2024'!C3)</f>
        <v>641158.18398977397</v>
      </c>
      <c r="D3" s="41">
        <f ca="1">SUM('01-2024'!D3, '02-2024'!D3, '03-2024'!D3)</f>
        <v>1056577</v>
      </c>
      <c r="E3" s="41">
        <f ca="1">C3-D3</f>
        <v>-415418.81601022603</v>
      </c>
      <c r="F3" s="42">
        <f ca="1">IFERROR(E3/D3, 0)</f>
        <v>-0.39317419933447922</v>
      </c>
      <c r="G3" s="43">
        <f ca="1">SUM('01-2024'!G3, '02-2024'!G3, '03-2024'!G3)</f>
        <v>1516236</v>
      </c>
      <c r="H3" s="43">
        <f ca="1">C3-G3</f>
        <v>-875077.81601022603</v>
      </c>
      <c r="I3" s="44">
        <f ca="1">IFERROR(H3/H3, 0)</f>
        <v>1</v>
      </c>
      <c r="J3" s="17"/>
      <c r="K3" s="17"/>
    </row>
    <row r="4" spans="1:11" ht="15.75">
      <c r="A4" s="54" t="str">
        <v>Puckett Solar</v>
      </c>
      <c r="B4" s="18" t="str">
        <v>NY</v>
      </c>
      <c r="C4" s="41">
        <f ca="1">SUM('01-2024'!C4, '02-2024'!C4, '03-2024'!C4)</f>
        <v>744866</v>
      </c>
      <c r="D4" s="41">
        <f ca="1">SUM('01-2024'!D4, '02-2024'!D4, '03-2024'!D4)</f>
        <v>630899.4</v>
      </c>
      <c r="E4" s="41">
        <f t="shared" ref="E4" ca="1" si="0">C4-D4</f>
        <v>113966.59999999998</v>
      </c>
      <c r="F4" s="42">
        <f ca="1">IFERROR(E4/D4, 0)</f>
        <v>0.18064147786477522</v>
      </c>
      <c r="G4" s="43">
        <f ca="1">SUM('01-2024'!G4, '02-2024'!G4, '03-2024'!G4)</f>
        <v>1237718</v>
      </c>
      <c r="H4" s="43">
        <f ca="1">C4-G4</f>
        <v>-492852</v>
      </c>
      <c r="I4" s="44">
        <f ca="1">IFERROR(H4/H4, 0)</f>
        <v>1</v>
      </c>
      <c r="J4" s="17"/>
      <c r="K4" s="17"/>
    </row>
    <row r="5" spans="1:11" ht="24.75" customHeight="1">
      <c r="A5" s="149" t="s">
        <v>11</v>
      </c>
      <c r="B5" s="150"/>
      <c r="C5" s="55">
        <f ca="1">SUM(C3:C4)</f>
        <v>1386024.183989774</v>
      </c>
      <c r="D5" s="55">
        <f ca="1">SUM(D3:D4)</f>
        <v>1687476.4</v>
      </c>
      <c r="E5" s="55">
        <f ca="1">C5-D5</f>
        <v>-301452.21601022594</v>
      </c>
      <c r="F5" s="47">
        <f ca="1">IFERROR(E5/D5, 0)</f>
        <v>-0.17864084855363072</v>
      </c>
      <c r="G5" s="55">
        <f ca="1">SUM(G3:G4)</f>
        <v>2753954</v>
      </c>
      <c r="H5" s="56">
        <f ca="1">C5-G5</f>
        <v>-1367929.816010226</v>
      </c>
      <c r="I5" s="48">
        <f ca="1">IFERROR(H5/G5, 0)</f>
        <v>-0.49671483837791991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8" priority="1" operator="lessThanOrEqual">
      <formula>-0.1</formula>
    </cfRule>
    <cfRule type="cellIs" dxfId="67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18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16</v>
      </c>
      <c r="D1" s="156"/>
      <c r="E1" s="156"/>
      <c r="F1" s="157"/>
      <c r="G1" s="158" t="s">
        <v>17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>
        <f ca="1">SUM('04-2024'!C3, '05-2024'!C3, '06-2024'!C3)</f>
        <v>0</v>
      </c>
      <c r="D3" s="41">
        <f ca="1">SUM('04-2024'!D3, '05-2024'!D3, '06-2024'!D3)</f>
        <v>0</v>
      </c>
      <c r="E3" s="41">
        <f ca="1">C3-D3</f>
        <v>0</v>
      </c>
      <c r="F3" s="42">
        <f ca="1">IFERROR(E3/D3, 0)</f>
        <v>0</v>
      </c>
      <c r="G3" s="43">
        <f ca="1">SUM('04-2024'!G3, '05-2024'!G3, '06-2024'!G3)</f>
        <v>0</v>
      </c>
      <c r="H3" s="43">
        <f ca="1">C3-G3</f>
        <v>0</v>
      </c>
      <c r="I3" s="44">
        <f ca="1">IFERROR(H3/G3, 0)</f>
        <v>0</v>
      </c>
      <c r="J3" s="17"/>
      <c r="K3" s="17"/>
    </row>
    <row r="4" spans="1:11" ht="15.75">
      <c r="A4" s="54" t="str">
        <v>Puckett Solar</v>
      </c>
      <c r="B4" s="18" t="str">
        <v>NY</v>
      </c>
      <c r="C4" s="41">
        <f ca="1">SUM('04-2024'!C4, '05-2024'!C4, '06-2024'!C4)</f>
        <v>0</v>
      </c>
      <c r="D4" s="41">
        <f ca="1">SUM('04-2024'!D4, '05-2024'!D4, '06-2024'!D4)</f>
        <v>0</v>
      </c>
      <c r="E4" s="41">
        <f t="shared" ref="E4" ca="1" si="0">C4-D4</f>
        <v>0</v>
      </c>
      <c r="F4" s="42">
        <f ca="1">IFERROR(E4/D4, 0)</f>
        <v>0</v>
      </c>
      <c r="G4" s="43">
        <f ca="1">SUM('04-2024'!G4, '05-2024'!G4, '06-2024'!G4)</f>
        <v>0</v>
      </c>
      <c r="H4" s="43">
        <f ca="1">C4-G4</f>
        <v>0</v>
      </c>
      <c r="I4" s="44">
        <f ca="1">IFERROR(H4/G4, 0)</f>
        <v>0</v>
      </c>
      <c r="J4" s="17"/>
      <c r="K4" s="17"/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6" priority="1" operator="lessThanOrEqual">
      <formula>-0.1</formula>
    </cfRule>
    <cfRule type="cellIs" dxfId="6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10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18</v>
      </c>
      <c r="D1" s="156"/>
      <c r="E1" s="156"/>
      <c r="F1" s="157"/>
      <c r="G1" s="158" t="s">
        <v>19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>
        <f ca="1">SUM('07-2024'!C3, '08-2024'!C3, '09-2024'!C3)</f>
        <v>0</v>
      </c>
      <c r="D3" s="41">
        <f ca="1">SUM('07-2024'!D3, '08-2024'!D3, '09-2024'!D3)</f>
        <v>0</v>
      </c>
      <c r="E3" s="41">
        <f ca="1">C3-D3</f>
        <v>0</v>
      </c>
      <c r="F3" s="42">
        <f ca="1">IFERROR(E3/D3, 0)</f>
        <v>0</v>
      </c>
      <c r="G3" s="43">
        <f ca="1">SUM('07-2024'!G3, '08-2024'!G3, '09-2024'!G3)</f>
        <v>0</v>
      </c>
      <c r="H3" s="43">
        <f ca="1">C3-G3</f>
        <v>0</v>
      </c>
      <c r="I3" s="44">
        <f ca="1">IFERROR(H3/G3, 0)</f>
        <v>0</v>
      </c>
      <c r="J3" s="17"/>
      <c r="K3" s="17"/>
    </row>
    <row r="4" spans="1:11" ht="15.75">
      <c r="A4" s="54" t="str">
        <v>Puckett Solar</v>
      </c>
      <c r="B4" s="18" t="str">
        <v>NY</v>
      </c>
      <c r="C4" s="41">
        <f ca="1">SUM('07-2024'!C4, '08-2024'!C4, '09-2024'!C4)</f>
        <v>0</v>
      </c>
      <c r="D4" s="41">
        <f ca="1">SUM('07-2024'!D4, '08-2024'!D4, '09-2024'!D4)</f>
        <v>0</v>
      </c>
      <c r="E4" s="41">
        <f t="shared" ref="E4" ca="1" si="0">C4-D4</f>
        <v>0</v>
      </c>
      <c r="F4" s="42">
        <f ca="1">IFERROR(E4/D4, 0)</f>
        <v>0</v>
      </c>
      <c r="G4" s="43">
        <f ca="1">SUM('07-2024'!G4, '08-2024'!G4, '09-2024'!G4)</f>
        <v>0</v>
      </c>
      <c r="H4" s="43">
        <f ca="1">C4-G4</f>
        <v>0</v>
      </c>
      <c r="I4" s="44">
        <f ca="1">IFERROR(H4/G4, 0)</f>
        <v>0</v>
      </c>
      <c r="J4" s="17"/>
      <c r="K4" s="17"/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 ht="12.75" customHeight="1">
      <c r="A9" s="152" t="s">
        <v>13</v>
      </c>
      <c r="J9" s="8"/>
    </row>
    <row r="10" spans="1:11">
      <c r="A10" s="152"/>
      <c r="J10" s="8"/>
    </row>
  </sheetData>
  <autoFilter ref="A2:I2" xr:uid="{CACFAF7D-C0A7-49C0-9FFC-8D8BC8F00BC8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4" priority="1" operator="lessThanOrEqual">
      <formula>-0.1</formula>
    </cfRule>
    <cfRule type="cellIs" dxfId="6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11"/>
  <sheetViews>
    <sheetView workbookViewId="0">
      <pane ySplit="2" topLeftCell="A3" activePane="bottomLeft" state="frozen"/>
      <selection pane="bottomLeft" activeCell="G24" sqref="G24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20</v>
      </c>
      <c r="D1" s="156"/>
      <c r="E1" s="156"/>
      <c r="F1" s="157"/>
      <c r="G1" s="158" t="s">
        <v>21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>
        <f ca="1">SUM('10-2024'!C3, '11-2024'!C3, '12-2024'!C3)</f>
        <v>0</v>
      </c>
      <c r="D3" s="41">
        <f ca="1">SUM('10-2024'!D3, '11-2024'!D3, '12-2024'!D3)</f>
        <v>0</v>
      </c>
      <c r="E3" s="41">
        <f ca="1">C3-D3</f>
        <v>0</v>
      </c>
      <c r="F3" s="42">
        <f ca="1">IFERROR(E3/D3, 0)</f>
        <v>0</v>
      </c>
      <c r="G3" s="43">
        <f ca="1">SUM('10-2024'!G3, '11-2024'!G3, '12-2024'!G3)</f>
        <v>0</v>
      </c>
      <c r="H3" s="43">
        <f ca="1">C3-G3</f>
        <v>0</v>
      </c>
      <c r="I3" s="44">
        <f ca="1">IFERROR(H3/G3, 0)</f>
        <v>0</v>
      </c>
      <c r="J3" s="17"/>
      <c r="K3" s="17"/>
    </row>
    <row r="4" spans="1:11" ht="15.75">
      <c r="A4" s="54" t="str">
        <v>Puckett Solar</v>
      </c>
      <c r="B4" s="18" t="str">
        <v>NY</v>
      </c>
      <c r="C4" s="41">
        <f ca="1">SUM('10-2024'!C4, '11-2024'!C4, '12-2024'!C4)</f>
        <v>0</v>
      </c>
      <c r="D4" s="41">
        <f ca="1">SUM('10-2024'!D4, '11-2024'!D4, '12-2024'!D4)</f>
        <v>0</v>
      </c>
      <c r="E4" s="41">
        <f t="shared" ref="E4" ca="1" si="0">C4-D4</f>
        <v>0</v>
      </c>
      <c r="F4" s="42">
        <f ca="1">IFERROR(E4/D4, 0)</f>
        <v>0</v>
      </c>
      <c r="G4" s="43">
        <f ca="1">SUM('10-2024'!G4, '11-2024'!G4, '12-2024'!G4)</f>
        <v>0</v>
      </c>
      <c r="H4" s="43">
        <f ca="1">C4-G4</f>
        <v>0</v>
      </c>
      <c r="I4" s="44">
        <f ca="1">IFERROR(H4/G4, 0)</f>
        <v>0</v>
      </c>
      <c r="J4" s="17"/>
      <c r="K4" s="17"/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CE62352A-0CAA-4862-87B6-A6A1C7531211}"/>
  <mergeCells count="8">
    <mergeCell ref="K1:K2"/>
    <mergeCell ref="A5:B5"/>
    <mergeCell ref="A7:A8"/>
    <mergeCell ref="A9:A10"/>
    <mergeCell ref="A1:B1"/>
    <mergeCell ref="C1:F1"/>
    <mergeCell ref="G1:I1"/>
    <mergeCell ref="J1:J2"/>
  </mergeCells>
  <conditionalFormatting sqref="F3:F5 I3:I5">
    <cfRule type="cellIs" dxfId="62" priority="1" operator="lessThanOrEqual">
      <formula>-0.1</formula>
    </cfRule>
    <cfRule type="cellIs" dxfId="6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1"/>
  <sheetViews>
    <sheetView workbookViewId="0">
      <pane ySplit="2" topLeftCell="A3" activePane="bottomLeft" state="frozen"/>
      <selection pane="bottomLeft" activeCell="G21" sqref="G21"/>
    </sheetView>
  </sheetViews>
  <sheetFormatPr defaultRowHeight="12.75" customHeight="1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22</v>
      </c>
      <c r="D1" s="156"/>
      <c r="E1" s="156"/>
      <c r="F1" s="157"/>
      <c r="G1" s="158" t="s">
        <v>23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cm="1">
        <f t="array" aca="1" ref="C3:K3" ca="1">IF(INDIRECT("'" &amp; $A3 &amp; "'!B5:J5")="", "", INDIRECT("'" &amp; $A3 &amp; "'!B5:J5"))</f>
        <v>641158.18398977397</v>
      </c>
      <c r="D3" s="41">
        <f ca="1"/>
        <v>1056577</v>
      </c>
      <c r="E3" s="41">
        <f ca="1"/>
        <v>-415418.81601022603</v>
      </c>
      <c r="F3" s="42">
        <f ca="1"/>
        <v>-0.39317419933447922</v>
      </c>
      <c r="G3" s="43">
        <f ca="1"/>
        <v>1516236</v>
      </c>
      <c r="H3" s="43">
        <f ca="1"/>
        <v>-875077.81601022603</v>
      </c>
      <c r="I3" s="44">
        <f ca="1"/>
        <v>-0.57713826608141872</v>
      </c>
      <c r="J3" s="17" t="str">
        <f ca="1"/>
        <v>1. Inverter  3.1,4.1 Module 1 and 5.1 module 2 has not started production on 01/09, 01/16, 01/18, 01/19 and 01/31 
2.Inverter module 1.1 offline on 01/19 to 01/22 and started on 01/23 at 12:15</v>
      </c>
      <c r="K3" s="17" t="str">
        <f ca="1"/>
        <v>1.SR080623, SR080624	
2.SR080390</v>
      </c>
    </row>
    <row r="4" spans="1:11" ht="15.75">
      <c r="A4" s="54" t="str">
        <v>Puckett Solar</v>
      </c>
      <c r="B4" s="18" t="str">
        <v>NY</v>
      </c>
      <c r="C4" s="41" cm="1">
        <f t="array" aca="1" ref="C4:K4" ca="1">IF(INDIRECT("'" &amp; $A4 &amp; "'!B5:J5")="", "", INDIRECT("'" &amp; $A4 &amp; "'!B5:J5"))</f>
        <v>744866</v>
      </c>
      <c r="D4" s="41">
        <f ca="1"/>
        <v>630899.4</v>
      </c>
      <c r="E4" s="41">
        <f ca="1"/>
        <v>113966.59999999998</v>
      </c>
      <c r="F4" s="45">
        <f ca="1"/>
        <v>0.18064147786477522</v>
      </c>
      <c r="G4" s="43">
        <f ca="1"/>
        <v>1237718</v>
      </c>
      <c r="H4" s="43">
        <f ca="1"/>
        <v>-492852</v>
      </c>
      <c r="I4" s="46">
        <f ca="1"/>
        <v>-0.39819409590876115</v>
      </c>
      <c r="J4" s="17" t="str">
        <f ca="1"/>
        <v>1.Production meter was damaged they had to by pass the meter.
2.Inverter 5.1 module 2 is offfline on 01/17 and started on 01/18 at 10:45
3.Site tripped offlinedue to Utility planned outage on 01/25 at 12:00 and back online 02/01.
Actual energy data is taken from Inverters data since production meter data is not available***</v>
      </c>
      <c r="K4" s="17" t="str">
        <f ca="1"/>
        <v>1.SR073174
2.SR080283
3.SR080466</v>
      </c>
    </row>
    <row r="5" spans="1:11" ht="24.75" customHeight="1">
      <c r="A5" s="149" t="s">
        <v>11</v>
      </c>
      <c r="B5" s="150"/>
      <c r="C5" s="55">
        <f ca="1">SUM(C3:C4)</f>
        <v>1386024.183989774</v>
      </c>
      <c r="D5" s="55">
        <f ca="1">SUM(D3:D4)</f>
        <v>1687476.4</v>
      </c>
      <c r="E5" s="55">
        <f ca="1">C5-D5</f>
        <v>-301452.21601022594</v>
      </c>
      <c r="F5" s="47">
        <f ca="1">IFERROR(E5/D5, 0)</f>
        <v>-0.17864084855363072</v>
      </c>
      <c r="G5" s="55">
        <f ca="1">SUM(G3:G4)</f>
        <v>2753954</v>
      </c>
      <c r="H5" s="56">
        <f ca="1">C5-G5</f>
        <v>-1367929.816010226</v>
      </c>
      <c r="I5" s="48">
        <f ca="1">IFERROR(H5/G5, 0)</f>
        <v>-0.49671483837791991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B0362DDA-D4B4-4F79-9A5D-D43AD85A6C79}"/>
  <mergeCells count="8">
    <mergeCell ref="A7:A8"/>
    <mergeCell ref="A9:A10"/>
    <mergeCell ref="A5:B5"/>
    <mergeCell ref="K1:K2"/>
    <mergeCell ref="C1:F1"/>
    <mergeCell ref="G1:I1"/>
    <mergeCell ref="A1:B1"/>
    <mergeCell ref="J1:J2"/>
  </mergeCells>
  <conditionalFormatting sqref="F3:F5 I3:I5">
    <cfRule type="cellIs" dxfId="60" priority="4" operator="lessThanOrEqual">
      <formula>-0.1</formula>
    </cfRule>
    <cfRule type="cellIs" dxfId="59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24</v>
      </c>
      <c r="D1" s="156"/>
      <c r="E1" s="156"/>
      <c r="F1" s="157"/>
      <c r="G1" s="158" t="s">
        <v>25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"'!B6:J6")="", "", INDIRECT("'" &amp; $A3 &amp; "'!B6:J6"))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7" t="str">
        <f ca="1"/>
        <v/>
      </c>
      <c r="K3" s="17" t="str">
        <f ca="1"/>
        <v/>
      </c>
    </row>
    <row r="4" spans="1:11" ht="15.75">
      <c r="A4" s="54" t="str">
        <v>Puckett Solar</v>
      </c>
      <c r="B4" s="18" t="str">
        <v>NY</v>
      </c>
      <c r="C4" s="41" t="str" cm="1">
        <f t="array" aca="1" ref="C4:K4" ca="1">IF(INDIRECT("'" &amp; $A4 &amp; "'!B6:J6")="", "", INDIRECT("'" &amp; $A4 &amp; "'!B6:J6"))</f>
        <v/>
      </c>
      <c r="D4" s="41" t="str">
        <f ca="1"/>
        <v/>
      </c>
      <c r="E4" s="41">
        <f ca="1"/>
        <v>0</v>
      </c>
      <c r="F4" s="45">
        <f ca="1"/>
        <v>0</v>
      </c>
      <c r="G4" s="43" t="str">
        <f ca="1"/>
        <v/>
      </c>
      <c r="H4" s="43">
        <f ca="1"/>
        <v>0</v>
      </c>
      <c r="I4" s="4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CAF24030-967D-40AB-9B78-5C3C0C46A55D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8" priority="1" operator="lessThanOrEqual">
      <formula>-0.1</formula>
    </cfRule>
    <cfRule type="cellIs" dxfId="5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26</v>
      </c>
      <c r="D1" s="156"/>
      <c r="E1" s="156"/>
      <c r="F1" s="157"/>
      <c r="G1" s="158" t="s">
        <v>27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"'!B7:J7")="", "", INDIRECT("'" &amp; $A3 &amp; "'!B7:J7"))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7" t="str">
        <f ca="1"/>
        <v/>
      </c>
      <c r="K3" s="17" t="str">
        <f ca="1"/>
        <v/>
      </c>
    </row>
    <row r="4" spans="1:11" ht="15.75">
      <c r="A4" s="54" t="str">
        <v>Puckett Solar</v>
      </c>
      <c r="B4" s="18" t="str">
        <v>NY</v>
      </c>
      <c r="C4" s="41" t="str" cm="1">
        <f t="array" aca="1" ref="C4:K4" ca="1">IF(INDIRECT("'" &amp; $A4 &amp; "'!B7:J7")="", "", INDIRECT("'" &amp; $A4 &amp; "'!B7:J7"))</f>
        <v/>
      </c>
      <c r="D4" s="41" t="str">
        <f ca="1"/>
        <v/>
      </c>
      <c r="E4" s="41">
        <f ca="1"/>
        <v>0</v>
      </c>
      <c r="F4" s="45">
        <f ca="1"/>
        <v>0</v>
      </c>
      <c r="G4" s="43" t="str">
        <f ca="1"/>
        <v/>
      </c>
      <c r="H4" s="43">
        <f ca="1"/>
        <v>0</v>
      </c>
      <c r="I4" s="4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E69961AB-A757-4049-8AB9-40F3BCB812B3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6" priority="1" operator="lessThanOrEqual">
      <formula>-0.1</formula>
    </cfRule>
    <cfRule type="cellIs" dxfId="5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28</v>
      </c>
      <c r="D1" s="156"/>
      <c r="E1" s="156"/>
      <c r="F1" s="157"/>
      <c r="G1" s="158" t="s">
        <v>29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"'!B8:J8")="", "", INDIRECT("'" &amp; $A3 &amp; "'!B8:J8"))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7" t="str">
        <f ca="1"/>
        <v/>
      </c>
      <c r="K3" s="17" t="str">
        <f ca="1"/>
        <v/>
      </c>
    </row>
    <row r="4" spans="1:11" ht="15.75">
      <c r="A4" s="54" t="str">
        <v>Puckett Solar</v>
      </c>
      <c r="B4" s="18" t="str">
        <v>NY</v>
      </c>
      <c r="C4" s="41" t="str" cm="1">
        <f t="array" aca="1" ref="C4:K4" ca="1">IF(INDIRECT("'" &amp; $A4 &amp; "'!B8:J8")="", "", INDIRECT("'" &amp; $A4 &amp; "'!B8:J8"))</f>
        <v/>
      </c>
      <c r="D4" s="41" t="str">
        <f ca="1"/>
        <v/>
      </c>
      <c r="E4" s="41">
        <f ca="1"/>
        <v>0</v>
      </c>
      <c r="F4" s="45">
        <f ca="1"/>
        <v>0</v>
      </c>
      <c r="G4" s="43" t="str">
        <f ca="1"/>
        <v/>
      </c>
      <c r="H4" s="43">
        <f ca="1"/>
        <v>0</v>
      </c>
      <c r="I4" s="46">
        <f ca="1"/>
        <v>0</v>
      </c>
      <c r="J4" s="17" t="str">
        <f ca="1"/>
        <v/>
      </c>
      <c r="K4" s="17" t="str">
        <f ca="1"/>
        <v/>
      </c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9CEFA865-F03F-435F-98CB-83683B1083B8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4" priority="1" operator="lessThanOrEqual">
      <formula>-0.1</formula>
    </cfRule>
    <cfRule type="cellIs" dxfId="5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30</v>
      </c>
      <c r="D1" s="156"/>
      <c r="E1" s="156"/>
      <c r="F1" s="157"/>
      <c r="G1" s="158" t="s">
        <v>31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"'!B9:J9")="", "", INDIRECT("'" &amp; $A3 &amp; "'!B9:J9"))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7" t="str">
        <f ca="1"/>
        <v/>
      </c>
      <c r="K3" s="17" t="str">
        <f ca="1"/>
        <v/>
      </c>
    </row>
    <row r="4" spans="1:11" ht="15.75">
      <c r="A4" s="54" t="str">
        <v>Puckett Solar</v>
      </c>
      <c r="B4" s="18" t="str">
        <v>NY</v>
      </c>
      <c r="C4" s="41" t="str" cm="1">
        <f t="array" aca="1" ref="C4:K4" ca="1">IF(INDIRECT("'" &amp; $A4 &amp; "'!B9:J9")="", "", INDIRECT("'" &amp; $A4 &amp; "'!B9:J9"))</f>
        <v/>
      </c>
      <c r="D4" s="41" t="str">
        <f ca="1"/>
        <v/>
      </c>
      <c r="E4" s="41">
        <f ca="1"/>
        <v>0</v>
      </c>
      <c r="F4" s="45">
        <f ca="1"/>
        <v>0</v>
      </c>
      <c r="G4" s="43" t="str">
        <f ca="1"/>
        <v/>
      </c>
      <c r="H4" s="43">
        <f ca="1"/>
        <v>0</v>
      </c>
      <c r="I4" s="46">
        <f ca="1"/>
        <v>0</v>
      </c>
      <c r="J4" s="21" t="str">
        <f ca="1"/>
        <v/>
      </c>
      <c r="K4" s="22" t="str">
        <f ca="1"/>
        <v/>
      </c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BC8A3C74-EDA3-4B8F-8C65-FD4243AE8FF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2" priority="1" operator="lessThanOrEqual">
      <formula>-0.1</formula>
    </cfRule>
    <cfRule type="cellIs" dxfId="5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ColWidth="9.140625" defaultRowHeight="12.75"/>
  <cols>
    <col min="1" max="1" width="35.85546875" style="61" bestFit="1" customWidth="1"/>
    <col min="2" max="2" width="8.42578125" style="61" customWidth="1"/>
    <col min="3" max="5" width="11.7109375" style="61" customWidth="1"/>
    <col min="6" max="6" width="9.7109375" style="95" customWidth="1"/>
    <col min="7" max="8" width="11.7109375" style="61" customWidth="1"/>
    <col min="9" max="9" width="9.7109375" style="95" customWidth="1"/>
    <col min="10" max="10" width="71.5703125" style="61" customWidth="1"/>
    <col min="11" max="11" width="22.140625" style="61" bestFit="1" customWidth="1"/>
    <col min="12" max="16384" width="9.140625" style="61"/>
  </cols>
  <sheetData>
    <row r="1" spans="1:11" ht="19.5" customHeight="1">
      <c r="A1" s="153" t="str" cm="1">
        <f t="array" ref="A1">portfolio</f>
        <v>MN8 NY8</v>
      </c>
      <c r="B1" s="154"/>
      <c r="C1" s="166" t="s">
        <v>32</v>
      </c>
      <c r="D1" s="167"/>
      <c r="E1" s="167"/>
      <c r="F1" s="168"/>
      <c r="G1" s="160" t="s">
        <v>33</v>
      </c>
      <c r="H1" s="160"/>
      <c r="I1" s="161"/>
      <c r="J1" s="162" t="s">
        <v>2</v>
      </c>
      <c r="K1" s="162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79" t="s">
        <v>10</v>
      </c>
      <c r="H2" s="7" t="s">
        <v>8</v>
      </c>
      <c r="I2" s="9" t="s">
        <v>9</v>
      </c>
      <c r="J2" s="163"/>
      <c r="K2" s="163"/>
    </row>
    <row r="3" spans="1:11" ht="15.75">
      <c r="A3" s="80" t="str" cm="1">
        <f t="array" ref="A3:A4">Sites[Site]</f>
        <v>Janis</v>
      </c>
      <c r="B3" s="81" t="str" cm="1">
        <f t="array" ref="B3:B4">Sites[State]</f>
        <v>NY</v>
      </c>
      <c r="C3" s="82" t="str" cm="1">
        <f t="array" aca="1" ref="C3:K3" ca="1">IF(INDIRECT("'" &amp; $A3 &amp; "'!B10:J10")="", "", INDIRECT("'" &amp; $A3 &amp; "'!B10:J10"))</f>
        <v/>
      </c>
      <c r="D3" s="82" t="str">
        <f ca="1"/>
        <v/>
      </c>
      <c r="E3" s="82">
        <f ca="1"/>
        <v>0</v>
      </c>
      <c r="F3" s="83">
        <f ca="1"/>
        <v>0</v>
      </c>
      <c r="G3" s="84" t="str">
        <f ca="1"/>
        <v/>
      </c>
      <c r="H3" s="84">
        <f ca="1"/>
        <v>0</v>
      </c>
      <c r="I3" s="85">
        <f ca="1"/>
        <v>0</v>
      </c>
      <c r="J3" s="67" t="str">
        <f ca="1"/>
        <v/>
      </c>
      <c r="K3" s="67" t="str">
        <f ca="1"/>
        <v/>
      </c>
    </row>
    <row r="4" spans="1:11" ht="15.75">
      <c r="A4" s="86" t="str">
        <v>Puckett Solar</v>
      </c>
      <c r="B4" s="69" t="str">
        <v>NY</v>
      </c>
      <c r="C4" s="82" t="str" cm="1">
        <f t="array" aca="1" ref="C4:K4" ca="1">IF(INDIRECT("'" &amp; $A4 &amp; "'!B10:J10")="", "", INDIRECT("'" &amp; $A4 &amp; "'!B10:J10"))</f>
        <v/>
      </c>
      <c r="D4" s="82" t="str">
        <f ca="1"/>
        <v/>
      </c>
      <c r="E4" s="82">
        <f ca="1"/>
        <v>0</v>
      </c>
      <c r="F4" s="87">
        <f ca="1"/>
        <v>0</v>
      </c>
      <c r="G4" s="84" t="str">
        <f ca="1"/>
        <v/>
      </c>
      <c r="H4" s="84">
        <f ca="1"/>
        <v>0</v>
      </c>
      <c r="I4" s="88">
        <f ca="1"/>
        <v>0</v>
      </c>
      <c r="J4" s="21" t="str">
        <f ca="1"/>
        <v/>
      </c>
      <c r="K4" s="89" t="str">
        <f ca="1"/>
        <v/>
      </c>
    </row>
    <row r="5" spans="1:11" ht="24.75" customHeight="1">
      <c r="A5" s="164" t="s">
        <v>11</v>
      </c>
      <c r="B5" s="165"/>
      <c r="C5" s="90">
        <f ca="1">SUM(C3:C4)</f>
        <v>0</v>
      </c>
      <c r="D5" s="90">
        <f ca="1">SUM(D3:D4)</f>
        <v>0</v>
      </c>
      <c r="E5" s="90">
        <f ca="1">C5-D5</f>
        <v>0</v>
      </c>
      <c r="F5" s="91">
        <f ca="1">IFERROR(E5/D5, 0)</f>
        <v>0</v>
      </c>
      <c r="G5" s="90">
        <f ca="1">SUM(G3:G4)</f>
        <v>0</v>
      </c>
      <c r="H5" s="92">
        <f ca="1">C5-G5</f>
        <v>0</v>
      </c>
      <c r="I5" s="93">
        <f ca="1">IFERROR(H5/G5, 0)</f>
        <v>0</v>
      </c>
      <c r="J5" s="94"/>
    </row>
    <row r="6" spans="1:11">
      <c r="J6" s="94"/>
    </row>
    <row r="7" spans="1:11" ht="12.75" customHeight="1">
      <c r="A7" s="151" t="s">
        <v>12</v>
      </c>
      <c r="J7" s="94"/>
    </row>
    <row r="8" spans="1:11">
      <c r="A8" s="151"/>
      <c r="J8" s="94"/>
    </row>
    <row r="9" spans="1:11">
      <c r="A9" s="152" t="s">
        <v>13</v>
      </c>
      <c r="J9" s="94"/>
    </row>
    <row r="10" spans="1:11" ht="12.75" customHeight="1">
      <c r="A10" s="152"/>
      <c r="J10" s="94"/>
    </row>
    <row r="11" spans="1:11">
      <c r="J11" s="94"/>
    </row>
  </sheetData>
  <autoFilter ref="A2:I2" xr:uid="{6C08AFFB-6AF8-48AC-9706-52E390C2AC4B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50" priority="1" operator="lessThanOrEqual">
      <formula>-0.1</formula>
    </cfRule>
    <cfRule type="cellIs" dxfId="49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34</v>
      </c>
      <c r="D1" s="156"/>
      <c r="E1" s="156"/>
      <c r="F1" s="157"/>
      <c r="G1" s="158" t="s">
        <v>35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"'!B11:J11")="", "", INDIRECT("'" &amp; $A3 &amp; "'!B11:J11"))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7" t="str">
        <f ca="1"/>
        <v/>
      </c>
      <c r="K3" s="17" t="str">
        <f ca="1"/>
        <v/>
      </c>
    </row>
    <row r="4" spans="1:11" ht="159.75" customHeight="1">
      <c r="A4" s="98" t="str">
        <v>Puckett Solar</v>
      </c>
      <c r="B4" s="99" t="str">
        <v>NY</v>
      </c>
      <c r="C4" s="100" t="str" cm="1">
        <f t="array" aca="1" ref="C4:K4" ca="1">IF(INDIRECT("'" &amp; $A4 &amp; "'!B11:J11")="", "", INDIRECT("'" &amp; $A4 &amp; "'!B11:J11"))</f>
        <v/>
      </c>
      <c r="D4" s="100" t="str">
        <f ca="1"/>
        <v/>
      </c>
      <c r="E4" s="100">
        <f ca="1"/>
        <v>0</v>
      </c>
      <c r="F4" s="101">
        <f ca="1"/>
        <v>0</v>
      </c>
      <c r="G4" s="102" t="str">
        <f ca="1"/>
        <v/>
      </c>
      <c r="H4" s="102">
        <f ca="1"/>
        <v>0</v>
      </c>
      <c r="I4" s="103">
        <f ca="1"/>
        <v>0</v>
      </c>
      <c r="J4" s="21" t="str">
        <f ca="1"/>
        <v/>
      </c>
      <c r="K4" s="21" t="str">
        <f ca="1"/>
        <v/>
      </c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957CD936-B73F-469A-B0B5-B8EA155C9C51}"/>
  <sortState xmlns:xlrd2="http://schemas.microsoft.com/office/spreadsheetml/2017/richdata2" ref="A3:K4">
    <sortCondition ref="A3:A4"/>
  </sortState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8" priority="1" operator="lessThanOrEqual">
      <formula>-0.1</formula>
    </cfRule>
    <cfRule type="cellIs" dxfId="4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11"/>
  <sheetViews>
    <sheetView zoomScale="80" zoomScaleNormal="80" workbookViewId="0">
      <pane ySplit="2" topLeftCell="A3" activePane="bottomLeft" state="frozen"/>
      <selection pane="bottomLeft" activeCell="I15" sqref="I15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3" ht="19.5" customHeight="1">
      <c r="A1" s="153" t="str" cm="1">
        <f t="array" ref="A1">portfolio</f>
        <v>MN8 NY8</v>
      </c>
      <c r="B1" s="154"/>
      <c r="C1" s="155" t="s">
        <v>36</v>
      </c>
      <c r="D1" s="156"/>
      <c r="E1" s="156"/>
      <c r="F1" s="157"/>
      <c r="G1" s="158" t="s">
        <v>37</v>
      </c>
      <c r="H1" s="158"/>
      <c r="I1" s="159"/>
      <c r="J1" s="147" t="s">
        <v>2</v>
      </c>
      <c r="K1" s="147" t="s">
        <v>3</v>
      </c>
    </row>
    <row r="2" spans="1:13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3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"'!B12:J12")="", "", INDIRECT("'" &amp; $A3 &amp; "'!B12:J12"))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7" t="str">
        <f ca="1"/>
        <v/>
      </c>
      <c r="K3" s="17" t="str">
        <f ca="1"/>
        <v/>
      </c>
    </row>
    <row r="4" spans="1:13" ht="15.75">
      <c r="A4" s="98" t="str">
        <v>Puckett Solar</v>
      </c>
      <c r="B4" s="99" t="str">
        <v>NY</v>
      </c>
      <c r="C4" s="100" t="str" cm="1">
        <f t="array" aca="1" ref="C4:K4" ca="1">IF(INDIRECT("'" &amp; $A4 &amp; "'!B12:J12")="", "", INDIRECT("'" &amp; $A4 &amp; "'!B12:J12"))</f>
        <v/>
      </c>
      <c r="D4" s="100" t="str">
        <f ca="1"/>
        <v/>
      </c>
      <c r="E4" s="100">
        <f ca="1"/>
        <v>0</v>
      </c>
      <c r="F4" s="101">
        <f ca="1"/>
        <v>0</v>
      </c>
      <c r="G4" s="102" t="str">
        <f ca="1"/>
        <v/>
      </c>
      <c r="H4" s="102">
        <f ca="1"/>
        <v>0</v>
      </c>
      <c r="I4" s="103">
        <f ca="1"/>
        <v>0</v>
      </c>
      <c r="J4" s="21" t="str">
        <f ca="1"/>
        <v/>
      </c>
      <c r="K4" s="21" t="str">
        <f ca="1"/>
        <v/>
      </c>
      <c r="L4" s="61"/>
      <c r="M4" s="61"/>
    </row>
    <row r="5" spans="1:13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3">
      <c r="J6" s="8"/>
    </row>
    <row r="7" spans="1:13" ht="12.75" customHeight="1">
      <c r="A7" s="151" t="s">
        <v>12</v>
      </c>
      <c r="J7" s="8"/>
    </row>
    <row r="8" spans="1:13">
      <c r="A8" s="151"/>
      <c r="J8" s="8"/>
    </row>
    <row r="9" spans="1:13">
      <c r="A9" s="152" t="s">
        <v>13</v>
      </c>
      <c r="J9" s="8"/>
    </row>
    <row r="10" spans="1:13" ht="12.75" customHeight="1">
      <c r="A10" s="152"/>
      <c r="J10" s="8"/>
    </row>
    <row r="11" spans="1:13">
      <c r="J11" s="8"/>
    </row>
  </sheetData>
  <autoFilter ref="A2:I2" xr:uid="{48D80AE8-42BF-4DAC-863F-113F77A3E00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6" priority="1" operator="lessThanOrEqual">
      <formula>-0.1</formula>
    </cfRule>
    <cfRule type="cellIs" dxfId="45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100.7109375" bestFit="1" customWidth="1"/>
    <col min="11" max="11" width="21.5703125" bestFit="1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38</v>
      </c>
      <c r="D1" s="156"/>
      <c r="E1" s="156"/>
      <c r="F1" s="157"/>
      <c r="G1" s="158" t="s">
        <v>39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"'!B13:J13")="", "", INDIRECT("'" &amp; $A3 &amp; "'!B13:J13"))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7" t="str">
        <f ca="1"/>
        <v/>
      </c>
      <c r="K3" s="17" t="str">
        <f ca="1"/>
        <v/>
      </c>
    </row>
    <row r="4" spans="1:11" ht="15.75">
      <c r="A4" s="54" t="str">
        <v>Puckett Solar</v>
      </c>
      <c r="B4" s="18" t="str">
        <v>NY</v>
      </c>
      <c r="C4" s="41" t="str" cm="1">
        <f t="array" aca="1" ref="C4:K4" ca="1">IF(INDIRECT("'" &amp; $A4 &amp; "'!B13:J13")="", "", INDIRECT("'" &amp; $A4 &amp; "'!B13:J13"))</f>
        <v/>
      </c>
      <c r="D4" s="41" t="str">
        <f ca="1"/>
        <v/>
      </c>
      <c r="E4" s="41">
        <f ca="1"/>
        <v>0</v>
      </c>
      <c r="F4" s="45">
        <f ca="1"/>
        <v>0</v>
      </c>
      <c r="G4" s="43" t="str">
        <f ca="1"/>
        <v/>
      </c>
      <c r="H4" s="43">
        <f ca="1"/>
        <v>0</v>
      </c>
      <c r="I4" s="46">
        <f ca="1"/>
        <v>0</v>
      </c>
      <c r="J4" s="67" t="str">
        <f ca="1"/>
        <v/>
      </c>
      <c r="K4" s="67" t="str">
        <f ca="1"/>
        <v/>
      </c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534CA70E-2643-48AC-AA44-E3F75A2814BF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4" priority="1" operator="lessThanOrEqual">
      <formula>-0.1</formula>
    </cfRule>
    <cfRule type="cellIs" dxfId="43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40</v>
      </c>
      <c r="D1" s="156"/>
      <c r="E1" s="156"/>
      <c r="F1" s="157"/>
      <c r="G1" s="158" t="s">
        <v>41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120" t="str" cm="1">
        <f t="array" ref="A3:A4">Sites[Site]</f>
        <v>Janis</v>
      </c>
      <c r="B3" s="121" t="str" cm="1">
        <f t="array" ref="B3:B4">Sites[State]</f>
        <v>NY</v>
      </c>
      <c r="C3" s="100" t="str" cm="1">
        <f t="array" aca="1" ref="C3:K3" ca="1">IF(INDIRECT("'" &amp; $A3 &amp; "'!B14:J14")="", "", INDIRECT("'" &amp; $A3 &amp; "'!B14:J14"))</f>
        <v/>
      </c>
      <c r="D3" s="100" t="str">
        <f ca="1"/>
        <v/>
      </c>
      <c r="E3" s="100">
        <f ca="1"/>
        <v>0</v>
      </c>
      <c r="F3" s="142">
        <f ca="1"/>
        <v>0</v>
      </c>
      <c r="G3" s="102" t="str">
        <f ca="1"/>
        <v/>
      </c>
      <c r="H3" s="102">
        <f ca="1"/>
        <v>0</v>
      </c>
      <c r="I3" s="143">
        <f ca="1"/>
        <v>0</v>
      </c>
      <c r="J3" s="119" t="str">
        <f ca="1"/>
        <v/>
      </c>
      <c r="K3" s="119" t="str">
        <f ca="1"/>
        <v/>
      </c>
    </row>
    <row r="4" spans="1:11" ht="15.75">
      <c r="A4" s="98" t="str">
        <v>Puckett Solar</v>
      </c>
      <c r="B4" s="99" t="str">
        <v>NY</v>
      </c>
      <c r="C4" s="100" t="str" cm="1">
        <f t="array" aca="1" ref="C4:K4" ca="1">IF(INDIRECT("'" &amp; $A4 &amp; "'!B14:J14")="", "", INDIRECT("'" &amp; $A4 &amp; "'!B14:J14"))</f>
        <v/>
      </c>
      <c r="D4" s="100" t="str">
        <f ca="1"/>
        <v/>
      </c>
      <c r="E4" s="100">
        <f ca="1"/>
        <v>0</v>
      </c>
      <c r="F4" s="101">
        <f ca="1"/>
        <v>0</v>
      </c>
      <c r="G4" s="102" t="str">
        <f ca="1"/>
        <v/>
      </c>
      <c r="H4" s="102">
        <f ca="1"/>
        <v>0</v>
      </c>
      <c r="I4" s="103">
        <f ca="1"/>
        <v>0</v>
      </c>
      <c r="J4" s="119" t="str">
        <f ca="1"/>
        <v/>
      </c>
      <c r="K4" s="119" t="str">
        <f ca="1"/>
        <v/>
      </c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B87DE706-15D9-4E58-ADBD-0129509DEFD6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2" priority="1" operator="lessThanOrEqual">
      <formula>-0.1</formula>
    </cfRule>
    <cfRule type="cellIs" dxfId="41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1"/>
  <sheetViews>
    <sheetView topLeftCell="B1" workbookViewId="0">
      <pane ySplit="2" topLeftCell="A3" activePane="bottomLeft" state="frozen"/>
      <selection pane="bottomLeft" activeCell="C1" sqref="C1:I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82.8554687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42</v>
      </c>
      <c r="D1" s="156"/>
      <c r="E1" s="156"/>
      <c r="F1" s="157"/>
      <c r="G1" s="158" t="s">
        <v>43</v>
      </c>
      <c r="H1" s="158"/>
      <c r="I1" s="159"/>
      <c r="J1" s="147" t="s">
        <v>2</v>
      </c>
      <c r="K1" s="147" t="s">
        <v>3</v>
      </c>
    </row>
    <row r="2" spans="1:11" ht="14.25" customHeight="1" thickBo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"'!B15:J15")="", "", INDIRECT("'" &amp; $A3 &amp; "'!B15:J15"))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19" t="str">
        <f ca="1"/>
        <v/>
      </c>
      <c r="K3" s="21" t="str">
        <f ca="1"/>
        <v/>
      </c>
    </row>
    <row r="4" spans="1:11" ht="16.149999999999999" thickBot="1">
      <c r="A4" s="54" t="str">
        <v>Puckett Solar</v>
      </c>
      <c r="B4" s="18" t="str">
        <v>NY</v>
      </c>
      <c r="C4" s="41" t="str" cm="1">
        <f t="array" aca="1" ref="C4:K4" ca="1">IF(INDIRECT("'" &amp; $A4 &amp; "'!B15:J15")="", "", INDIRECT("'" &amp; $A4 &amp; "'!B15:J15"))</f>
        <v/>
      </c>
      <c r="D4" s="41" t="str">
        <f ca="1"/>
        <v/>
      </c>
      <c r="E4" s="41">
        <f ca="1"/>
        <v>0</v>
      </c>
      <c r="F4" s="45">
        <f ca="1"/>
        <v>0</v>
      </c>
      <c r="G4" s="43" t="str">
        <f ca="1"/>
        <v/>
      </c>
      <c r="H4" s="43">
        <f ca="1"/>
        <v>0</v>
      </c>
      <c r="I4" s="46">
        <f ca="1"/>
        <v>0</v>
      </c>
      <c r="J4" s="119" t="str">
        <f ca="1"/>
        <v/>
      </c>
      <c r="K4" s="21" t="str">
        <f ca="1"/>
        <v/>
      </c>
    </row>
    <row r="5" spans="1:11" ht="24.75" customHeight="1" thickBo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7397A98F-A32F-42EE-8114-2658DE422011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40" priority="1" operator="lessThanOrEqual">
      <formula>-0.1</formula>
    </cfRule>
    <cfRule type="cellIs" dxfId="39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1"/>
  <sheetViews>
    <sheetView workbookViewId="0">
      <pane ySplit="2" topLeftCell="A3" activePane="bottomLeft" state="frozen"/>
      <selection pane="bottomLeft" activeCell="D20" sqref="D20:D21"/>
    </sheetView>
  </sheetViews>
  <sheetFormatPr defaultRowHeight="12.75"/>
  <cols>
    <col min="1" max="1" width="35.85546875" bestFit="1" customWidth="1"/>
    <col min="2" max="2" width="8.42578125" customWidth="1"/>
    <col min="3" max="5" width="11.7109375" customWidth="1"/>
    <col min="6" max="6" width="9.7109375" style="1" customWidth="1"/>
    <col min="7" max="8" width="11.7109375" customWidth="1"/>
    <col min="9" max="9" width="9.7109375" style="1" customWidth="1"/>
    <col min="10" max="10" width="71.5703125" customWidth="1"/>
    <col min="11" max="11" width="19.42578125" customWidth="1"/>
  </cols>
  <sheetData>
    <row r="1" spans="1:11" ht="19.5" customHeight="1">
      <c r="A1" s="153" t="str" cm="1">
        <f t="array" ref="A1">portfolio</f>
        <v>MN8 NY8</v>
      </c>
      <c r="B1" s="154"/>
      <c r="C1" s="155" t="s">
        <v>44</v>
      </c>
      <c r="D1" s="156"/>
      <c r="E1" s="156"/>
      <c r="F1" s="157"/>
      <c r="G1" s="158" t="s">
        <v>45</v>
      </c>
      <c r="H1" s="158"/>
      <c r="I1" s="159"/>
      <c r="J1" s="147" t="s">
        <v>2</v>
      </c>
      <c r="K1" s="147" t="s">
        <v>3</v>
      </c>
    </row>
    <row r="2" spans="1:11" ht="14.25" customHeight="1">
      <c r="A2" s="51" t="s">
        <v>4</v>
      </c>
      <c r="B2" s="52" t="s">
        <v>5</v>
      </c>
      <c r="C2" s="5" t="s">
        <v>6</v>
      </c>
      <c r="D2" s="49" t="s">
        <v>7</v>
      </c>
      <c r="E2" s="5" t="s">
        <v>8</v>
      </c>
      <c r="F2" s="6" t="s">
        <v>9</v>
      </c>
      <c r="G2" s="50" t="s">
        <v>10</v>
      </c>
      <c r="H2" s="7" t="s">
        <v>8</v>
      </c>
      <c r="I2" s="9" t="s">
        <v>9</v>
      </c>
      <c r="J2" s="148"/>
      <c r="K2" s="148"/>
    </row>
    <row r="3" spans="1:11" ht="15.75">
      <c r="A3" s="53" t="str" cm="1">
        <f t="array" ref="A3:A4">Sites[Site]</f>
        <v>Janis</v>
      </c>
      <c r="B3" s="40" t="str" cm="1">
        <f t="array" ref="B3:B4">Sites[State]</f>
        <v>NY</v>
      </c>
      <c r="C3" s="41" t="str" cm="1">
        <f t="array" aca="1" ref="C3:K3" ca="1">IF(INDIRECT("'" &amp; $A3 &amp; "'!B16:J16")="", "", INDIRECT("'" &amp; $A3 &amp; "'!B16:J16"))</f>
        <v/>
      </c>
      <c r="D3" s="41" t="str">
        <f ca="1"/>
        <v/>
      </c>
      <c r="E3" s="41">
        <f ca="1"/>
        <v>0</v>
      </c>
      <c r="F3" s="42">
        <f ca="1"/>
        <v>0</v>
      </c>
      <c r="G3" s="43" t="str">
        <f ca="1"/>
        <v/>
      </c>
      <c r="H3" s="43">
        <f ca="1"/>
        <v>0</v>
      </c>
      <c r="I3" s="44">
        <f ca="1"/>
        <v>0</v>
      </c>
      <c r="J3" s="144" t="str">
        <f ca="1"/>
        <v/>
      </c>
      <c r="K3" s="144" t="str">
        <f ca="1"/>
        <v/>
      </c>
    </row>
    <row r="4" spans="1:11" ht="15.75">
      <c r="A4" s="54" t="str">
        <v>Puckett Solar</v>
      </c>
      <c r="B4" s="18" t="str">
        <v>NY</v>
      </c>
      <c r="C4" s="41" t="str" cm="1">
        <f t="array" aca="1" ref="C4:K4" ca="1">IF(INDIRECT("'" &amp; $A4 &amp; "'!B16:J16")="", "", INDIRECT("'" &amp; $A4 &amp; "'!B16:J16"))</f>
        <v/>
      </c>
      <c r="D4" s="41" t="str">
        <f ca="1"/>
        <v/>
      </c>
      <c r="E4" s="41">
        <f ca="1"/>
        <v>0</v>
      </c>
      <c r="F4" s="45">
        <f ca="1"/>
        <v>0</v>
      </c>
      <c r="G4" s="43" t="str">
        <f ca="1"/>
        <v/>
      </c>
      <c r="H4" s="43">
        <f ca="1"/>
        <v>0</v>
      </c>
      <c r="I4" s="46">
        <f ca="1"/>
        <v>0</v>
      </c>
      <c r="J4" s="144" t="str">
        <f ca="1"/>
        <v/>
      </c>
      <c r="K4" s="144" t="str">
        <f ca="1"/>
        <v/>
      </c>
    </row>
    <row r="5" spans="1:11" ht="24.75" customHeight="1">
      <c r="A5" s="149" t="s">
        <v>11</v>
      </c>
      <c r="B5" s="150"/>
      <c r="C5" s="55">
        <f ca="1">SUM(C3:C4)</f>
        <v>0</v>
      </c>
      <c r="D5" s="55">
        <f ca="1">SUM(D3:D4)</f>
        <v>0</v>
      </c>
      <c r="E5" s="55">
        <f ca="1">C5-D5</f>
        <v>0</v>
      </c>
      <c r="F5" s="47">
        <f ca="1">IFERROR(E5/D5, 0)</f>
        <v>0</v>
      </c>
      <c r="G5" s="55">
        <f ca="1">SUM(G3:G4)</f>
        <v>0</v>
      </c>
      <c r="H5" s="56">
        <f ca="1">C5-G5</f>
        <v>0</v>
      </c>
      <c r="I5" s="48">
        <f ca="1">IFERROR(H5/G5, 0)</f>
        <v>0</v>
      </c>
      <c r="J5" s="8"/>
    </row>
    <row r="6" spans="1:11">
      <c r="J6" s="8"/>
    </row>
    <row r="7" spans="1:11" ht="12.75" customHeight="1">
      <c r="A7" s="151" t="s">
        <v>12</v>
      </c>
      <c r="J7" s="8"/>
    </row>
    <row r="8" spans="1:11">
      <c r="A8" s="151"/>
      <c r="J8" s="8"/>
    </row>
    <row r="9" spans="1:11">
      <c r="A9" s="152" t="s">
        <v>13</v>
      </c>
      <c r="J9" s="8"/>
    </row>
    <row r="10" spans="1:11" ht="12.75" customHeight="1">
      <c r="A10" s="152"/>
      <c r="J10" s="8"/>
    </row>
    <row r="11" spans="1:11">
      <c r="J11" s="8"/>
    </row>
  </sheetData>
  <autoFilter ref="A2:I2" xr:uid="{7BFACBC8-3831-4E2B-BAD7-988F02FCC664}"/>
  <mergeCells count="8">
    <mergeCell ref="G1:I1"/>
    <mergeCell ref="J1:J2"/>
    <mergeCell ref="K1:K2"/>
    <mergeCell ref="A7:A8"/>
    <mergeCell ref="A9:A10"/>
    <mergeCell ref="A5:B5"/>
    <mergeCell ref="C1:F1"/>
    <mergeCell ref="A1:B1"/>
  </mergeCells>
  <conditionalFormatting sqref="F3:F5 I3:I5">
    <cfRule type="cellIs" dxfId="38" priority="1" operator="lessThanOrEqual">
      <formula>-0.1</formula>
    </cfRule>
    <cfRule type="cellIs" dxfId="37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2" topLeftCell="A3" activePane="bottomLeft" state="frozen"/>
      <selection pane="bottomLeft" activeCell="C26" sqref="C26"/>
    </sheetView>
  </sheetViews>
  <sheetFormatPr defaultRowHeight="12.75" customHeight="1"/>
  <cols>
    <col min="1" max="2" width="41.85546875" customWidth="1"/>
    <col min="4" max="14" width="9.140625" customWidth="1"/>
  </cols>
  <sheetData>
    <row r="1" spans="1:7" ht="12.75" customHeight="1">
      <c r="A1" t="s">
        <v>46</v>
      </c>
      <c r="B1" t="s">
        <v>47</v>
      </c>
    </row>
    <row r="2" spans="1:7">
      <c r="A2" t="s">
        <v>48</v>
      </c>
      <c r="B2" s="15" t="s">
        <v>4</v>
      </c>
      <c r="C2" s="15" t="s">
        <v>5</v>
      </c>
      <c r="D2" t="s">
        <v>49</v>
      </c>
    </row>
    <row r="3" spans="1:7" ht="14.25">
      <c r="A3" s="57" t="s">
        <v>50</v>
      </c>
      <c r="B3" s="57" t="s">
        <v>50</v>
      </c>
      <c r="C3" s="58" t="s">
        <v>51</v>
      </c>
      <c r="D3" s="13" t="s">
        <v>52</v>
      </c>
      <c r="G3" s="12"/>
    </row>
    <row r="4" spans="1:7" ht="14.25">
      <c r="A4" s="14" t="s">
        <v>53</v>
      </c>
      <c r="B4" s="59" t="s">
        <v>53</v>
      </c>
      <c r="C4" s="58" t="s">
        <v>51</v>
      </c>
      <c r="D4" s="13" t="s">
        <v>52</v>
      </c>
      <c r="G4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7"/>
  <sheetViews>
    <sheetView tabSelected="1" topLeftCell="B1" zoomScale="90" zoomScaleNormal="90" workbookViewId="0">
      <selection activeCell="I18" sqref="I18"/>
    </sheetView>
  </sheetViews>
  <sheetFormatPr defaultRowHeight="12.75"/>
  <cols>
    <col min="1" max="1" width="12.85546875" customWidth="1"/>
    <col min="2" max="2" width="12.85546875" style="2" customWidth="1"/>
    <col min="3" max="3" width="12.85546875" customWidth="1"/>
    <col min="4" max="4" width="15.140625" bestFit="1" customWidth="1"/>
    <col min="5" max="5" width="13" bestFit="1" customWidth="1"/>
    <col min="6" max="6" width="12.5703125" bestFit="1" customWidth="1"/>
    <col min="7" max="7" width="17.42578125" bestFit="1" customWidth="1"/>
    <col min="8" max="8" width="14.5703125" bestFit="1" customWidth="1"/>
    <col min="9" max="9" width="91.28515625" customWidth="1"/>
    <col min="10" max="10" width="21.42578125" customWidth="1"/>
  </cols>
  <sheetData>
    <row r="1" spans="1:15" ht="25.15">
      <c r="A1" s="177" t="s">
        <v>50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5" ht="25.15">
      <c r="A2" s="10"/>
      <c r="B2" s="10"/>
      <c r="C2" s="10"/>
      <c r="D2" s="10"/>
      <c r="E2" s="10"/>
    </row>
    <row r="3" spans="1:15" ht="15">
      <c r="A3" s="169" t="s">
        <v>54</v>
      </c>
      <c r="B3" s="170"/>
      <c r="C3" s="170"/>
      <c r="D3" s="170"/>
      <c r="E3" s="171"/>
      <c r="F3" s="172" t="s">
        <v>55</v>
      </c>
      <c r="G3" s="173"/>
      <c r="H3" s="174"/>
      <c r="I3" s="175" t="s">
        <v>56</v>
      </c>
      <c r="J3" s="176"/>
    </row>
    <row r="4" spans="1:15">
      <c r="A4" s="16" t="s">
        <v>57</v>
      </c>
      <c r="B4" s="33" t="s">
        <v>6</v>
      </c>
      <c r="C4" s="33" t="s">
        <v>7</v>
      </c>
      <c r="D4" s="33" t="s">
        <v>58</v>
      </c>
      <c r="E4" s="34" t="s">
        <v>59</v>
      </c>
      <c r="F4" s="35" t="s">
        <v>10</v>
      </c>
      <c r="G4" s="36" t="s">
        <v>60</v>
      </c>
      <c r="H4" s="37" t="s">
        <v>61</v>
      </c>
      <c r="I4" s="38" t="s">
        <v>56</v>
      </c>
      <c r="J4" s="39" t="s">
        <v>62</v>
      </c>
    </row>
    <row r="5" spans="1:15" ht="42.75">
      <c r="A5" s="117" t="s">
        <v>63</v>
      </c>
      <c r="B5" s="108">
        <v>641158.18398977397</v>
      </c>
      <c r="C5" s="108">
        <v>1056577</v>
      </c>
      <c r="D5" s="109">
        <f t="shared" ref="D5:D16" si="0">B5-C5</f>
        <v>-415418.81601022603</v>
      </c>
      <c r="E5" s="110">
        <f t="shared" ref="E5:E16" si="1">IFERROR(D5/C5, 0)</f>
        <v>-0.39317419933447922</v>
      </c>
      <c r="F5" s="111">
        <v>1516236</v>
      </c>
      <c r="G5" s="19">
        <f>B5-F5</f>
        <v>-875077.81601022603</v>
      </c>
      <c r="H5" s="112">
        <f t="shared" ref="H5:H16" si="2">IFERROR(G5/F5, 0)</f>
        <v>-0.57713826608141872</v>
      </c>
      <c r="I5" s="21" t="s">
        <v>64</v>
      </c>
      <c r="J5" s="21" t="s">
        <v>65</v>
      </c>
      <c r="O5" s="4"/>
    </row>
    <row r="6" spans="1:15" ht="14.25">
      <c r="A6" s="99" t="s">
        <v>66</v>
      </c>
      <c r="B6" s="109"/>
      <c r="C6" s="109"/>
      <c r="D6" s="109">
        <f t="shared" si="0"/>
        <v>0</v>
      </c>
      <c r="E6" s="113">
        <f t="shared" si="1"/>
        <v>0</v>
      </c>
      <c r="F6" s="114"/>
      <c r="G6" s="19">
        <f t="shared" ref="G6:G16" si="3">B6-F6</f>
        <v>0</v>
      </c>
      <c r="H6" s="112">
        <f t="shared" si="2"/>
        <v>0</v>
      </c>
      <c r="I6" s="20"/>
      <c r="J6" s="20"/>
    </row>
    <row r="7" spans="1:15" ht="14.25">
      <c r="A7" s="99" t="s">
        <v>67</v>
      </c>
      <c r="B7" s="109"/>
      <c r="C7" s="109"/>
      <c r="D7" s="109">
        <f t="shared" si="0"/>
        <v>0</v>
      </c>
      <c r="E7" s="113">
        <f t="shared" si="1"/>
        <v>0</v>
      </c>
      <c r="F7" s="19"/>
      <c r="G7" s="19">
        <f t="shared" si="3"/>
        <v>0</v>
      </c>
      <c r="H7" s="112">
        <f t="shared" si="2"/>
        <v>0</v>
      </c>
      <c r="I7" s="20"/>
      <c r="J7" s="20"/>
    </row>
    <row r="8" spans="1:15" ht="14.25">
      <c r="A8" s="99" t="s">
        <v>68</v>
      </c>
      <c r="B8" s="109"/>
      <c r="C8" s="109"/>
      <c r="D8" s="109">
        <f t="shared" si="0"/>
        <v>0</v>
      </c>
      <c r="E8" s="113">
        <f t="shared" si="1"/>
        <v>0</v>
      </c>
      <c r="F8" s="19"/>
      <c r="G8" s="19">
        <f t="shared" si="3"/>
        <v>0</v>
      </c>
      <c r="H8" s="112">
        <f t="shared" si="2"/>
        <v>0</v>
      </c>
      <c r="I8" s="20"/>
      <c r="J8" s="20"/>
    </row>
    <row r="9" spans="1:15" ht="14.25">
      <c r="A9" s="99" t="s">
        <v>69</v>
      </c>
      <c r="B9" s="109"/>
      <c r="C9" s="109"/>
      <c r="D9" s="109">
        <f t="shared" si="0"/>
        <v>0</v>
      </c>
      <c r="E9" s="113">
        <f t="shared" si="1"/>
        <v>0</v>
      </c>
      <c r="F9" s="19"/>
      <c r="G9" s="19">
        <f t="shared" si="3"/>
        <v>0</v>
      </c>
      <c r="H9" s="112">
        <f t="shared" si="2"/>
        <v>0</v>
      </c>
      <c r="I9" s="97"/>
      <c r="J9" s="107"/>
    </row>
    <row r="10" spans="1:15" ht="14.25">
      <c r="A10" s="99" t="s">
        <v>70</v>
      </c>
      <c r="B10" s="115"/>
      <c r="C10" s="115"/>
      <c r="D10" s="109">
        <f t="shared" si="0"/>
        <v>0</v>
      </c>
      <c r="E10" s="113">
        <f t="shared" si="1"/>
        <v>0</v>
      </c>
      <c r="F10" s="116"/>
      <c r="G10" s="19">
        <f t="shared" si="3"/>
        <v>0</v>
      </c>
      <c r="H10" s="112">
        <f t="shared" si="2"/>
        <v>0</v>
      </c>
      <c r="I10" s="20"/>
      <c r="J10" s="20"/>
    </row>
    <row r="11" spans="1:15" ht="14.25">
      <c r="A11" s="99" t="s">
        <v>71</v>
      </c>
      <c r="B11" s="109"/>
      <c r="C11" s="109"/>
      <c r="D11" s="109">
        <f t="shared" si="0"/>
        <v>0</v>
      </c>
      <c r="E11" s="113">
        <f t="shared" si="1"/>
        <v>0</v>
      </c>
      <c r="F11" s="114"/>
      <c r="G11" s="19">
        <f t="shared" si="3"/>
        <v>0</v>
      </c>
      <c r="H11" s="112">
        <f t="shared" si="2"/>
        <v>0</v>
      </c>
      <c r="I11" s="20"/>
      <c r="J11" s="20"/>
    </row>
    <row r="12" spans="1:15" ht="14.25">
      <c r="A12" s="99" t="s">
        <v>72</v>
      </c>
      <c r="B12" s="109"/>
      <c r="C12" s="109"/>
      <c r="D12" s="109">
        <f t="shared" si="0"/>
        <v>0</v>
      </c>
      <c r="E12" s="113">
        <f t="shared" si="1"/>
        <v>0</v>
      </c>
      <c r="F12" s="19"/>
      <c r="G12" s="19">
        <f t="shared" si="3"/>
        <v>0</v>
      </c>
      <c r="H12" s="112">
        <f t="shared" si="2"/>
        <v>0</v>
      </c>
      <c r="I12" s="107"/>
      <c r="J12" s="107"/>
    </row>
    <row r="13" spans="1:15" ht="14.25">
      <c r="A13" s="99" t="s">
        <v>73</v>
      </c>
      <c r="B13" s="109"/>
      <c r="C13" s="109"/>
      <c r="D13" s="109">
        <f t="shared" si="0"/>
        <v>0</v>
      </c>
      <c r="E13" s="113">
        <f t="shared" si="1"/>
        <v>0</v>
      </c>
      <c r="F13" s="19"/>
      <c r="G13" s="19">
        <f t="shared" si="3"/>
        <v>0</v>
      </c>
      <c r="H13" s="112">
        <f t="shared" si="2"/>
        <v>0</v>
      </c>
      <c r="I13" s="107"/>
      <c r="J13" s="107"/>
    </row>
    <row r="14" spans="1:15" ht="14.25">
      <c r="A14" s="99" t="s">
        <v>74</v>
      </c>
      <c r="B14" s="109"/>
      <c r="C14" s="109"/>
      <c r="D14" s="109">
        <f t="shared" si="0"/>
        <v>0</v>
      </c>
      <c r="E14" s="113">
        <f t="shared" si="1"/>
        <v>0</v>
      </c>
      <c r="F14" s="19"/>
      <c r="G14" s="19">
        <f t="shared" si="3"/>
        <v>0</v>
      </c>
      <c r="H14" s="112">
        <f t="shared" si="2"/>
        <v>0</v>
      </c>
      <c r="I14" s="97"/>
      <c r="J14" s="97"/>
    </row>
    <row r="15" spans="1:15" ht="14.25">
      <c r="A15" s="99" t="s">
        <v>75</v>
      </c>
      <c r="B15" s="115"/>
      <c r="C15" s="115"/>
      <c r="D15" s="109">
        <f t="shared" si="0"/>
        <v>0</v>
      </c>
      <c r="E15" s="113">
        <f t="shared" si="1"/>
        <v>0</v>
      </c>
      <c r="F15" s="116"/>
      <c r="G15" s="19">
        <f t="shared" si="3"/>
        <v>0</v>
      </c>
      <c r="H15" s="112">
        <f t="shared" si="2"/>
        <v>0</v>
      </c>
      <c r="I15" s="97"/>
      <c r="J15" s="21"/>
    </row>
    <row r="16" spans="1:15" ht="14.25">
      <c r="A16" s="118" t="s">
        <v>76</v>
      </c>
      <c r="B16" s="23"/>
      <c r="C16" s="23"/>
      <c r="D16" s="23">
        <f t="shared" si="0"/>
        <v>0</v>
      </c>
      <c r="E16" s="24">
        <f t="shared" si="1"/>
        <v>0</v>
      </c>
      <c r="F16" s="25"/>
      <c r="G16" s="26">
        <f t="shared" si="3"/>
        <v>0</v>
      </c>
      <c r="H16" s="27">
        <f t="shared" si="2"/>
        <v>0</v>
      </c>
      <c r="I16" s="145"/>
      <c r="J16" s="145"/>
    </row>
    <row r="17" spans="1:15" ht="14.25">
      <c r="A17" s="28" t="s">
        <v>77</v>
      </c>
      <c r="B17" s="29">
        <f>SUM(B5:B16)</f>
        <v>641158.18398977397</v>
      </c>
      <c r="C17" s="29">
        <f t="shared" ref="C17:F17" si="4">SUM(C5:C16)</f>
        <v>1056577</v>
      </c>
      <c r="D17" s="29">
        <f>B17-C17</f>
        <v>-415418.81601022603</v>
      </c>
      <c r="E17" s="30">
        <f>IFERROR(D17/C17, 0)</f>
        <v>-0.39317419933447922</v>
      </c>
      <c r="F17" s="29">
        <f t="shared" si="4"/>
        <v>1516236</v>
      </c>
      <c r="G17" s="29">
        <f>B17-F17</f>
        <v>-875077.81601022603</v>
      </c>
      <c r="H17" s="31">
        <f>IFERROR(G17/F17, 0)</f>
        <v>-0.57713826608141872</v>
      </c>
      <c r="I17" s="32"/>
      <c r="J17" s="32"/>
    </row>
    <row r="18" spans="1:15">
      <c r="F18" s="11"/>
    </row>
    <row r="20" spans="1:15">
      <c r="L20" s="3"/>
      <c r="M20" s="3"/>
      <c r="N20" s="3"/>
      <c r="O20" s="3"/>
    </row>
    <row r="27" spans="1:15">
      <c r="I27" s="3"/>
      <c r="K27" s="3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31" priority="1" operator="lessThanOrEqual">
      <formula>-0.1</formula>
    </cfRule>
    <cfRule type="cellIs" dxfId="3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P20"/>
  <sheetViews>
    <sheetView zoomScale="110" zoomScaleNormal="110" workbookViewId="0">
      <selection activeCell="I14" sqref="I14"/>
    </sheetView>
  </sheetViews>
  <sheetFormatPr defaultColWidth="9.140625" defaultRowHeight="12.75"/>
  <cols>
    <col min="1" max="1" width="12.85546875" style="61" customWidth="1"/>
    <col min="2" max="2" width="12.85546875" style="76" customWidth="1"/>
    <col min="3" max="3" width="12.85546875" style="61" customWidth="1"/>
    <col min="4" max="4" width="15.140625" style="61" bestFit="1" customWidth="1"/>
    <col min="5" max="5" width="13" style="61" bestFit="1" customWidth="1"/>
    <col min="6" max="6" width="12.5703125" style="61" bestFit="1" customWidth="1"/>
    <col min="7" max="7" width="17.42578125" style="61" bestFit="1" customWidth="1"/>
    <col min="8" max="8" width="14.5703125" style="61" bestFit="1" customWidth="1"/>
    <col min="9" max="9" width="79" style="61" customWidth="1"/>
    <col min="10" max="10" width="21.42578125" style="61" customWidth="1"/>
    <col min="11" max="16384" width="9.140625" style="61"/>
  </cols>
  <sheetData>
    <row r="1" spans="1:16" ht="25.15">
      <c r="A1" s="186" t="s">
        <v>53</v>
      </c>
      <c r="B1" s="186"/>
      <c r="C1" s="186"/>
      <c r="D1" s="186"/>
      <c r="E1" s="186"/>
      <c r="F1" s="186"/>
      <c r="G1" s="186"/>
      <c r="H1" s="186"/>
      <c r="I1" s="186"/>
      <c r="J1" s="186"/>
    </row>
    <row r="2" spans="1:16" ht="25.15">
      <c r="A2" s="60"/>
      <c r="B2" s="60"/>
      <c r="C2" s="60"/>
      <c r="D2" s="60"/>
      <c r="E2" s="60"/>
    </row>
    <row r="3" spans="1:16" ht="15">
      <c r="A3" s="178" t="s">
        <v>54</v>
      </c>
      <c r="B3" s="179"/>
      <c r="C3" s="179"/>
      <c r="D3" s="179"/>
      <c r="E3" s="180"/>
      <c r="F3" s="181" t="s">
        <v>55</v>
      </c>
      <c r="G3" s="182"/>
      <c r="H3" s="183"/>
      <c r="I3" s="184" t="s">
        <v>56</v>
      </c>
      <c r="J3" s="185"/>
    </row>
    <row r="4" spans="1:16" ht="13.15" thickBot="1">
      <c r="A4" s="62" t="s">
        <v>57</v>
      </c>
      <c r="B4" s="33" t="s">
        <v>6</v>
      </c>
      <c r="C4" s="33" t="s">
        <v>7</v>
      </c>
      <c r="D4" s="33" t="s">
        <v>58</v>
      </c>
      <c r="E4" s="34" t="s">
        <v>59</v>
      </c>
      <c r="F4" s="36" t="s">
        <v>10</v>
      </c>
      <c r="G4" s="36" t="s">
        <v>60</v>
      </c>
      <c r="H4" s="63" t="s">
        <v>61</v>
      </c>
      <c r="I4" s="64" t="s">
        <v>56</v>
      </c>
      <c r="J4" s="65" t="s">
        <v>62</v>
      </c>
    </row>
    <row r="5" spans="1:16" ht="57">
      <c r="A5" s="66" t="s">
        <v>63</v>
      </c>
      <c r="B5" s="146">
        <v>744866</v>
      </c>
      <c r="C5" s="122">
        <v>630899.4</v>
      </c>
      <c r="D5" s="123">
        <f>B5-C5</f>
        <v>113966.59999999998</v>
      </c>
      <c r="E5" s="124">
        <f t="shared" ref="E5:E16" si="0">IFERROR(D5/C5, 0)</f>
        <v>0.18064147786477522</v>
      </c>
      <c r="F5" s="125">
        <v>1237718</v>
      </c>
      <c r="G5" s="126">
        <f>B5-F5</f>
        <v>-492852</v>
      </c>
      <c r="H5" s="127">
        <f t="shared" ref="H5:H16" si="1">IFERROR(G5/F5, 0)</f>
        <v>-0.39819409590876115</v>
      </c>
      <c r="I5" s="21" t="s">
        <v>78</v>
      </c>
      <c r="J5" s="21" t="s">
        <v>79</v>
      </c>
      <c r="O5" s="68"/>
    </row>
    <row r="6" spans="1:16" ht="14.25">
      <c r="A6" s="69" t="s">
        <v>66</v>
      </c>
      <c r="B6" s="128"/>
      <c r="C6" s="129"/>
      <c r="D6" s="123">
        <f t="shared" ref="D6:D16" si="2">B6-C6</f>
        <v>0</v>
      </c>
      <c r="E6" s="130">
        <f t="shared" si="0"/>
        <v>0</v>
      </c>
      <c r="F6" s="131"/>
      <c r="G6" s="126">
        <f t="shared" ref="G6:G16" si="3">B6-F6</f>
        <v>0</v>
      </c>
      <c r="H6" s="127">
        <f t="shared" si="1"/>
        <v>0</v>
      </c>
      <c r="I6" s="21"/>
      <c r="J6" s="21"/>
    </row>
    <row r="7" spans="1:16" ht="14.25">
      <c r="A7" s="69" t="s">
        <v>67</v>
      </c>
      <c r="B7" s="128"/>
      <c r="C7" s="129"/>
      <c r="D7" s="123">
        <f t="shared" si="2"/>
        <v>0</v>
      </c>
      <c r="E7" s="130">
        <f t="shared" si="0"/>
        <v>0</v>
      </c>
      <c r="F7" s="132"/>
      <c r="G7" s="126">
        <f t="shared" si="3"/>
        <v>0</v>
      </c>
      <c r="H7" s="127">
        <f t="shared" si="1"/>
        <v>0</v>
      </c>
      <c r="I7" s="21"/>
      <c r="J7" s="21"/>
    </row>
    <row r="8" spans="1:16" ht="14.25">
      <c r="A8" s="69" t="s">
        <v>68</v>
      </c>
      <c r="B8" s="128"/>
      <c r="C8" s="129"/>
      <c r="D8" s="123">
        <f t="shared" si="2"/>
        <v>0</v>
      </c>
      <c r="E8" s="130">
        <f t="shared" si="0"/>
        <v>0</v>
      </c>
      <c r="F8" s="132"/>
      <c r="G8" s="126">
        <f t="shared" si="3"/>
        <v>0</v>
      </c>
      <c r="H8" s="127">
        <f t="shared" si="1"/>
        <v>0</v>
      </c>
      <c r="I8" s="21"/>
      <c r="J8" s="21"/>
    </row>
    <row r="9" spans="1:16" ht="14.25">
      <c r="A9" s="104" t="s">
        <v>69</v>
      </c>
      <c r="B9" s="128"/>
      <c r="C9" s="129"/>
      <c r="D9" s="123">
        <f t="shared" si="2"/>
        <v>0</v>
      </c>
      <c r="E9" s="130">
        <f t="shared" si="0"/>
        <v>0</v>
      </c>
      <c r="F9" s="132"/>
      <c r="G9" s="126">
        <f t="shared" si="3"/>
        <v>0</v>
      </c>
      <c r="H9" s="127">
        <f t="shared" si="1"/>
        <v>0</v>
      </c>
      <c r="I9" s="105"/>
      <c r="J9" s="96"/>
    </row>
    <row r="10" spans="1:16" ht="14.25">
      <c r="A10" s="104" t="s">
        <v>70</v>
      </c>
      <c r="B10" s="128"/>
      <c r="C10" s="129"/>
      <c r="D10" s="123">
        <f t="shared" si="2"/>
        <v>0</v>
      </c>
      <c r="E10" s="130">
        <f t="shared" si="0"/>
        <v>0</v>
      </c>
      <c r="F10" s="132"/>
      <c r="G10" s="126">
        <f t="shared" si="3"/>
        <v>0</v>
      </c>
      <c r="H10" s="127">
        <f t="shared" si="1"/>
        <v>0</v>
      </c>
      <c r="I10" s="105"/>
      <c r="J10" s="96"/>
    </row>
    <row r="11" spans="1:16" ht="14.25">
      <c r="A11" s="104" t="s">
        <v>71</v>
      </c>
      <c r="B11" s="123"/>
      <c r="C11" s="123"/>
      <c r="D11" s="123">
        <f t="shared" si="2"/>
        <v>0</v>
      </c>
      <c r="E11" s="130">
        <f t="shared" si="0"/>
        <v>0</v>
      </c>
      <c r="F11" s="133"/>
      <c r="G11" s="126">
        <f t="shared" si="3"/>
        <v>0</v>
      </c>
      <c r="H11" s="127">
        <f t="shared" si="1"/>
        <v>0</v>
      </c>
      <c r="I11" s="106"/>
      <c r="J11" s="21"/>
    </row>
    <row r="12" spans="1:16" ht="14.25">
      <c r="A12" s="69" t="s">
        <v>72</v>
      </c>
      <c r="B12" s="123"/>
      <c r="C12" s="123"/>
      <c r="D12" s="123">
        <f t="shared" si="2"/>
        <v>0</v>
      </c>
      <c r="E12" s="130">
        <f t="shared" si="0"/>
        <v>0</v>
      </c>
      <c r="F12" s="126"/>
      <c r="G12" s="126">
        <f t="shared" si="3"/>
        <v>0</v>
      </c>
      <c r="H12" s="127">
        <f t="shared" si="1"/>
        <v>0</v>
      </c>
      <c r="I12" s="21"/>
      <c r="J12" s="21"/>
    </row>
    <row r="13" spans="1:16" ht="14.25">
      <c r="A13" s="69" t="s">
        <v>73</v>
      </c>
      <c r="B13" s="123"/>
      <c r="C13" s="123"/>
      <c r="D13" s="123">
        <f t="shared" si="2"/>
        <v>0</v>
      </c>
      <c r="E13" s="130">
        <f t="shared" si="0"/>
        <v>0</v>
      </c>
      <c r="F13" s="126"/>
      <c r="G13" s="126">
        <f t="shared" si="3"/>
        <v>0</v>
      </c>
      <c r="H13" s="127">
        <f t="shared" si="1"/>
        <v>0</v>
      </c>
      <c r="I13" s="21"/>
      <c r="J13" s="21"/>
    </row>
    <row r="14" spans="1:16" ht="14.25">
      <c r="A14" s="69" t="s">
        <v>74</v>
      </c>
      <c r="B14" s="123"/>
      <c r="C14" s="123"/>
      <c r="D14" s="123">
        <f t="shared" si="2"/>
        <v>0</v>
      </c>
      <c r="E14" s="130">
        <f t="shared" si="0"/>
        <v>0</v>
      </c>
      <c r="F14" s="126"/>
      <c r="G14" s="126">
        <f t="shared" si="3"/>
        <v>0</v>
      </c>
      <c r="H14" s="127">
        <f t="shared" si="1"/>
        <v>0</v>
      </c>
      <c r="I14" s="21"/>
      <c r="J14" s="21"/>
    </row>
    <row r="15" spans="1:16" ht="14.25">
      <c r="A15" s="69" t="s">
        <v>75</v>
      </c>
      <c r="B15" s="134"/>
      <c r="C15" s="134"/>
      <c r="D15" s="123">
        <f t="shared" si="2"/>
        <v>0</v>
      </c>
      <c r="E15" s="130">
        <f t="shared" si="0"/>
        <v>0</v>
      </c>
      <c r="F15" s="135"/>
      <c r="G15" s="126">
        <f t="shared" si="3"/>
        <v>0</v>
      </c>
      <c r="H15" s="127">
        <f t="shared" si="1"/>
        <v>0</v>
      </c>
      <c r="I15" s="21"/>
      <c r="J15" s="21"/>
    </row>
    <row r="16" spans="1:16" ht="14.25">
      <c r="A16" s="70" t="s">
        <v>76</v>
      </c>
      <c r="B16" s="136"/>
      <c r="C16" s="136"/>
      <c r="D16" s="136">
        <f t="shared" si="2"/>
        <v>0</v>
      </c>
      <c r="E16" s="137">
        <f t="shared" si="0"/>
        <v>0</v>
      </c>
      <c r="F16" s="138"/>
      <c r="G16" s="139">
        <f t="shared" si="3"/>
        <v>0</v>
      </c>
      <c r="H16" s="140">
        <f t="shared" si="1"/>
        <v>0</v>
      </c>
      <c r="I16" s="141"/>
      <c r="J16" s="141"/>
      <c r="P16" s="61" t="s">
        <v>80</v>
      </c>
    </row>
    <row r="17" spans="1:15" ht="14.25">
      <c r="A17" s="71" t="s">
        <v>77</v>
      </c>
      <c r="B17" s="72">
        <f>SUM(B5:B16)</f>
        <v>744866</v>
      </c>
      <c r="C17" s="72">
        <f t="shared" ref="C17:F17" si="4">SUM(C5:C16)</f>
        <v>630899.4</v>
      </c>
      <c r="D17" s="72">
        <f>B17-C17</f>
        <v>113966.59999999998</v>
      </c>
      <c r="E17" s="73">
        <f>IFERROR(D17/C17, 0)</f>
        <v>0.18064147786477522</v>
      </c>
      <c r="F17" s="72">
        <f t="shared" si="4"/>
        <v>1237718</v>
      </c>
      <c r="G17" s="72">
        <f>B17-F17</f>
        <v>-492852</v>
      </c>
      <c r="H17" s="74">
        <f>IFERROR(G17/F17, 0)</f>
        <v>-0.39819409590876115</v>
      </c>
      <c r="I17" s="75"/>
      <c r="J17" s="75"/>
    </row>
    <row r="18" spans="1:15">
      <c r="F18" s="77"/>
    </row>
    <row r="20" spans="1:15">
      <c r="L20" s="78"/>
      <c r="M20" s="78"/>
      <c r="N20" s="78"/>
      <c r="O20" s="78"/>
    </row>
  </sheetData>
  <mergeCells count="4">
    <mergeCell ref="A3:E3"/>
    <mergeCell ref="F3:H3"/>
    <mergeCell ref="I3:J3"/>
    <mergeCell ref="A1:J1"/>
  </mergeCells>
  <phoneticPr fontId="5" type="noConversion"/>
  <conditionalFormatting sqref="E5:E17 H5:H17">
    <cfRule type="cellIs" dxfId="15" priority="1" operator="lessThanOrEqual">
      <formula>-0.1</formula>
    </cfRule>
    <cfRule type="cellIs" dxfId="1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ACCB3862-E823-4525-9836-061826DA7F17}"/>
</file>

<file path=customXml/itemProps3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2024-02-11T03:10:33Z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