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1" documentId="13_ncr:1_{0FF837FE-593D-4757-9189-39A326CCADE4}" xr6:coauthVersionLast="47" xr6:coauthVersionMax="47" xr10:uidLastSave="{3D10E174-95CD-48CA-AFE1-7B6580E165E1}"/>
  <bookViews>
    <workbookView xWindow="-28920" yWindow="7725" windowWidth="29040" windowHeight="15720" tabRatio="866" firstSheet="23" activeTab="23" xr2:uid="{00000000-000D-0000-FFFF-FFFF00000000}"/>
  </bookViews>
  <sheets>
    <sheet name="YTD Total" sheetId="34" r:id="rId1"/>
    <sheet name="1st Qtr" sheetId="1" r:id="rId2"/>
    <sheet name="2nd Qtr" sheetId="18" r:id="rId3"/>
    <sheet name="3rd Qtr" sheetId="29" r:id="rId4"/>
    <sheet name="4th Qtr" sheetId="30" r:id="rId5"/>
    <sheet name="Jan" sheetId="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  <sheet name="Joliet - Craughwell" sheetId="5" r:id="rId19"/>
    <sheet name="Joliet - Heritage Trail" sheetId="69" r:id="rId20"/>
    <sheet name="Plainfield - Troy" sheetId="70" r:id="rId21"/>
    <sheet name="Plainfield - William B Orenic" sheetId="71" r:id="rId22"/>
    <sheet name="Shorewood - Cronin" sheetId="72" r:id="rId23"/>
    <sheet name="Shorewood - Hofer" sheetId="73" r:id="rId24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Jan!$A$2:$I$2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'YTD Total'!$A$2:$I$2</definedName>
    <definedName name="JanActual">Jan!$C$3:$C$8</definedName>
    <definedName name="JanActual2">Jan!#REF!</definedName>
    <definedName name="JanExpected">Jan!$D$3:$D$8</definedName>
    <definedName name="JanExpectedDelta">Jan!$E$3:$E$8</definedName>
    <definedName name="JanExpectedPercent">Jan!$F$3:$F$8</definedName>
    <definedName name="JanExpPercent">Jan!$F$3:$F$8</definedName>
    <definedName name="JanForecasted">Jan!$G$3:$G$8</definedName>
    <definedName name="JanForecastedDelta">Jan!$H$3:$H$8</definedName>
    <definedName name="JanForecastedPercent">Jan!$I$3:$I$8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73" l="1"/>
  <c r="C17" i="73"/>
  <c r="B17" i="73"/>
  <c r="G16" i="73"/>
  <c r="H16" i="73" s="1"/>
  <c r="D16" i="73"/>
  <c r="E16" i="73" s="1"/>
  <c r="G15" i="73"/>
  <c r="H15" i="73" s="1"/>
  <c r="D15" i="73"/>
  <c r="E15" i="73" s="1"/>
  <c r="G14" i="73"/>
  <c r="H14" i="73" s="1"/>
  <c r="D14" i="73"/>
  <c r="E14" i="73" s="1"/>
  <c r="G13" i="73"/>
  <c r="H13" i="73" s="1"/>
  <c r="D13" i="73"/>
  <c r="E13" i="73" s="1"/>
  <c r="G12" i="73"/>
  <c r="H12" i="73" s="1"/>
  <c r="D12" i="73"/>
  <c r="E12" i="73" s="1"/>
  <c r="G11" i="73"/>
  <c r="H11" i="73" s="1"/>
  <c r="D11" i="73"/>
  <c r="E11" i="73" s="1"/>
  <c r="G10" i="73"/>
  <c r="H10" i="73" s="1"/>
  <c r="D10" i="73"/>
  <c r="E10" i="73" s="1"/>
  <c r="G9" i="73"/>
  <c r="H9" i="73" s="1"/>
  <c r="D9" i="73"/>
  <c r="E9" i="73" s="1"/>
  <c r="G8" i="73"/>
  <c r="H8" i="73" s="1"/>
  <c r="D8" i="73"/>
  <c r="E8" i="73" s="1"/>
  <c r="G7" i="73"/>
  <c r="H7" i="73" s="1"/>
  <c r="D7" i="73"/>
  <c r="E7" i="73" s="1"/>
  <c r="G6" i="73"/>
  <c r="H6" i="73" s="1"/>
  <c r="D6" i="73"/>
  <c r="E6" i="73" s="1"/>
  <c r="G5" i="73"/>
  <c r="H5" i="73" s="1"/>
  <c r="D5" i="73"/>
  <c r="E5" i="73" s="1"/>
  <c r="F17" i="72"/>
  <c r="C17" i="72"/>
  <c r="B17" i="72"/>
  <c r="G16" i="72"/>
  <c r="H16" i="72" s="1"/>
  <c r="D16" i="72"/>
  <c r="E16" i="72" s="1"/>
  <c r="G15" i="72"/>
  <c r="H15" i="72" s="1"/>
  <c r="D15" i="72"/>
  <c r="E15" i="72" s="1"/>
  <c r="G14" i="72"/>
  <c r="H14" i="72" s="1"/>
  <c r="D14" i="72"/>
  <c r="E14" i="72" s="1"/>
  <c r="G13" i="72"/>
  <c r="H13" i="72" s="1"/>
  <c r="D13" i="72"/>
  <c r="E13" i="72" s="1"/>
  <c r="G12" i="72"/>
  <c r="H12" i="72" s="1"/>
  <c r="D12" i="72"/>
  <c r="E12" i="72" s="1"/>
  <c r="G11" i="72"/>
  <c r="H11" i="72" s="1"/>
  <c r="D11" i="72"/>
  <c r="E11" i="72" s="1"/>
  <c r="G10" i="72"/>
  <c r="H10" i="72" s="1"/>
  <c r="D10" i="72"/>
  <c r="E10" i="72" s="1"/>
  <c r="G9" i="72"/>
  <c r="H9" i="72" s="1"/>
  <c r="D9" i="72"/>
  <c r="E9" i="72" s="1"/>
  <c r="G8" i="72"/>
  <c r="H8" i="72" s="1"/>
  <c r="D8" i="72"/>
  <c r="E8" i="72" s="1"/>
  <c r="G7" i="72"/>
  <c r="H7" i="72" s="1"/>
  <c r="D7" i="72"/>
  <c r="E7" i="72" s="1"/>
  <c r="G6" i="72"/>
  <c r="H6" i="72" s="1"/>
  <c r="D6" i="72"/>
  <c r="E6" i="72" s="1"/>
  <c r="G5" i="72"/>
  <c r="H5" i="72" s="1"/>
  <c r="D5" i="72"/>
  <c r="E5" i="72" s="1"/>
  <c r="F17" i="71"/>
  <c r="C17" i="71"/>
  <c r="B17" i="71"/>
  <c r="G16" i="71"/>
  <c r="H16" i="71" s="1"/>
  <c r="D16" i="71"/>
  <c r="E16" i="71" s="1"/>
  <c r="G15" i="71"/>
  <c r="H15" i="71" s="1"/>
  <c r="D15" i="71"/>
  <c r="E15" i="71" s="1"/>
  <c r="G14" i="71"/>
  <c r="H14" i="71" s="1"/>
  <c r="D14" i="71"/>
  <c r="E14" i="71" s="1"/>
  <c r="G13" i="71"/>
  <c r="H13" i="71" s="1"/>
  <c r="D13" i="71"/>
  <c r="E13" i="71" s="1"/>
  <c r="G12" i="71"/>
  <c r="H12" i="71" s="1"/>
  <c r="D12" i="71"/>
  <c r="E12" i="71" s="1"/>
  <c r="G11" i="71"/>
  <c r="H11" i="71" s="1"/>
  <c r="D11" i="71"/>
  <c r="E11" i="71" s="1"/>
  <c r="G10" i="71"/>
  <c r="H10" i="71" s="1"/>
  <c r="D10" i="71"/>
  <c r="E10" i="71" s="1"/>
  <c r="G9" i="71"/>
  <c r="H9" i="71" s="1"/>
  <c r="D9" i="71"/>
  <c r="E9" i="71" s="1"/>
  <c r="G8" i="71"/>
  <c r="H8" i="71" s="1"/>
  <c r="D8" i="71"/>
  <c r="E8" i="71" s="1"/>
  <c r="G7" i="71"/>
  <c r="H7" i="71" s="1"/>
  <c r="D7" i="71"/>
  <c r="E7" i="71" s="1"/>
  <c r="G6" i="71"/>
  <c r="H6" i="71" s="1"/>
  <c r="D6" i="71"/>
  <c r="E6" i="71" s="1"/>
  <c r="G5" i="71"/>
  <c r="H5" i="71" s="1"/>
  <c r="D5" i="71"/>
  <c r="E5" i="71" s="1"/>
  <c r="F17" i="70"/>
  <c r="C17" i="70"/>
  <c r="B17" i="70"/>
  <c r="G16" i="70"/>
  <c r="H16" i="70" s="1"/>
  <c r="D16" i="70"/>
  <c r="E16" i="70" s="1"/>
  <c r="G15" i="70"/>
  <c r="H15" i="70" s="1"/>
  <c r="D15" i="70"/>
  <c r="E15" i="70" s="1"/>
  <c r="G14" i="70"/>
  <c r="H14" i="70" s="1"/>
  <c r="D14" i="70"/>
  <c r="E14" i="70" s="1"/>
  <c r="G13" i="70"/>
  <c r="H13" i="70" s="1"/>
  <c r="D13" i="70"/>
  <c r="E13" i="70" s="1"/>
  <c r="G12" i="70"/>
  <c r="H12" i="70" s="1"/>
  <c r="D12" i="70"/>
  <c r="E12" i="70" s="1"/>
  <c r="G11" i="70"/>
  <c r="H11" i="70" s="1"/>
  <c r="D11" i="70"/>
  <c r="E11" i="70" s="1"/>
  <c r="G10" i="70"/>
  <c r="H10" i="70" s="1"/>
  <c r="D10" i="70"/>
  <c r="E10" i="70" s="1"/>
  <c r="G9" i="70"/>
  <c r="H9" i="70" s="1"/>
  <c r="D9" i="70"/>
  <c r="E9" i="70" s="1"/>
  <c r="G8" i="70"/>
  <c r="H8" i="70" s="1"/>
  <c r="D8" i="70"/>
  <c r="E8" i="70" s="1"/>
  <c r="G7" i="70"/>
  <c r="H7" i="70" s="1"/>
  <c r="D7" i="70"/>
  <c r="E7" i="70" s="1"/>
  <c r="G6" i="70"/>
  <c r="H6" i="70" s="1"/>
  <c r="D6" i="70"/>
  <c r="E6" i="70" s="1"/>
  <c r="G5" i="70"/>
  <c r="H5" i="70" s="1"/>
  <c r="D5" i="70"/>
  <c r="E5" i="70" s="1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D16" i="69"/>
  <c r="E16" i="69" s="1"/>
  <c r="D15" i="69"/>
  <c r="E15" i="69" s="1"/>
  <c r="D14" i="69"/>
  <c r="D13" i="69"/>
  <c r="E13" i="69" s="1"/>
  <c r="D12" i="69"/>
  <c r="D11" i="69"/>
  <c r="D10" i="69"/>
  <c r="D9" i="69"/>
  <c r="D8" i="69"/>
  <c r="D7" i="69"/>
  <c r="D6" i="69"/>
  <c r="D5" i="69"/>
  <c r="E5" i="69" s="1"/>
  <c r="A1" i="2" a="1"/>
  <c r="A1" i="2"/>
  <c r="B3" i="33" a="1"/>
  <c r="B3" i="33" s="1"/>
  <c r="A3" i="33" a="1"/>
  <c r="B3" i="32" a="1"/>
  <c r="B3" i="32" s="1"/>
  <c r="A3" i="32" a="1"/>
  <c r="B3" i="31" a="1"/>
  <c r="B3" i="31" s="1"/>
  <c r="A3" i="31" a="1"/>
  <c r="B3" i="28" a="1"/>
  <c r="B3" i="28" s="1"/>
  <c r="A3" i="28" a="1"/>
  <c r="B3" i="27" a="1"/>
  <c r="B3" i="27" s="1"/>
  <c r="A3" i="27" a="1"/>
  <c r="B3" i="26" a="1"/>
  <c r="B3" i="26" s="1"/>
  <c r="A3" i="26" a="1"/>
  <c r="B3" i="19" a="1"/>
  <c r="B3" i="19" s="1"/>
  <c r="A3" i="19" a="1"/>
  <c r="B3" i="20" a="1"/>
  <c r="B3" i="20" s="1"/>
  <c r="A3" i="20" a="1"/>
  <c r="B3" i="21" a="1"/>
  <c r="B3" i="21" s="1"/>
  <c r="A3" i="21" a="1"/>
  <c r="B3" i="4" a="1"/>
  <c r="B3" i="4" s="1"/>
  <c r="A3" i="4" a="1"/>
  <c r="F17" i="69"/>
  <c r="C17" i="69"/>
  <c r="B17" i="69"/>
  <c r="G16" i="69"/>
  <c r="H16" i="69" s="1"/>
  <c r="G15" i="69"/>
  <c r="H15" i="69" s="1"/>
  <c r="G14" i="69"/>
  <c r="H14" i="69" s="1"/>
  <c r="E14" i="69"/>
  <c r="G13" i="69"/>
  <c r="H13" i="69" s="1"/>
  <c r="G12" i="69"/>
  <c r="H12" i="69" s="1"/>
  <c r="E12" i="69"/>
  <c r="G11" i="69"/>
  <c r="H11" i="69" s="1"/>
  <c r="E11" i="69"/>
  <c r="G10" i="69"/>
  <c r="H10" i="69" s="1"/>
  <c r="E10" i="69"/>
  <c r="G9" i="69"/>
  <c r="H9" i="69" s="1"/>
  <c r="E9" i="69"/>
  <c r="G8" i="69"/>
  <c r="H8" i="69" s="1"/>
  <c r="E8" i="69"/>
  <c r="G7" i="69"/>
  <c r="H7" i="69" s="1"/>
  <c r="E7" i="69"/>
  <c r="G6" i="69"/>
  <c r="H6" i="69" s="1"/>
  <c r="E6" i="69"/>
  <c r="G5" i="69"/>
  <c r="H5" i="69" s="1"/>
  <c r="B3" i="3" a="1"/>
  <c r="B3" i="3" s="1"/>
  <c r="A3" i="3" a="1"/>
  <c r="B3" i="2" a="1"/>
  <c r="B3" i="2" s="1"/>
  <c r="A3" i="2" a="1"/>
  <c r="B3" i="30" a="1"/>
  <c r="B3" i="30" s="1"/>
  <c r="A3" i="30" a="1"/>
  <c r="A3" i="30" s="1"/>
  <c r="B3" i="29" a="1"/>
  <c r="B3" i="29" s="1"/>
  <c r="A3" i="29" a="1"/>
  <c r="A3" i="29" s="1"/>
  <c r="B3" i="18" a="1"/>
  <c r="B3" i="18" s="1"/>
  <c r="A3" i="18" a="1"/>
  <c r="A3" i="18" s="1"/>
  <c r="B3" i="1" a="1"/>
  <c r="B3" i="1" s="1"/>
  <c r="A3" i="1" a="1"/>
  <c r="A3" i="1" s="1"/>
  <c r="B3" i="34" a="1"/>
  <c r="B3" i="34"/>
  <c r="A3" i="34" a="1"/>
  <c r="A3" i="34"/>
  <c r="A1" i="34" a="1"/>
  <c r="A1" i="34" s="1"/>
  <c r="A1" i="30" a="1"/>
  <c r="A1" i="30" s="1"/>
  <c r="A1" i="29" a="1"/>
  <c r="A1" i="29" s="1"/>
  <c r="A1" i="18" a="1"/>
  <c r="A1" i="18" s="1"/>
  <c r="A1" i="1" a="1"/>
  <c r="A1" i="1" s="1"/>
  <c r="A1" i="33" a="1"/>
  <c r="A1" i="33" s="1"/>
  <c r="A1" i="32" a="1"/>
  <c r="A1" i="32" s="1"/>
  <c r="A1" i="31" a="1"/>
  <c r="A1" i="31" s="1"/>
  <c r="A1" i="28" a="1"/>
  <c r="A1" i="28" s="1"/>
  <c r="A1" i="27" a="1"/>
  <c r="A1" i="27" s="1"/>
  <c r="A1" i="26" a="1"/>
  <c r="A1" i="26" s="1"/>
  <c r="A1" i="19" a="1"/>
  <c r="A1" i="19" s="1"/>
  <c r="A1" i="20" a="1"/>
  <c r="A1" i="20" s="1"/>
  <c r="A1" i="21" a="1"/>
  <c r="A1" i="21" s="1"/>
  <c r="A1" i="4" a="1"/>
  <c r="A1" i="4" s="1"/>
  <c r="A1" i="3" a="1"/>
  <c r="A1" i="3" s="1"/>
  <c r="A3" i="3" l="1"/>
  <c r="G17" i="73"/>
  <c r="H17" i="73" s="1"/>
  <c r="D17" i="73"/>
  <c r="E17" i="73" s="1"/>
  <c r="G17" i="72"/>
  <c r="H17" i="72" s="1"/>
  <c r="D17" i="72"/>
  <c r="E17" i="72" s="1"/>
  <c r="G17" i="71"/>
  <c r="H17" i="71" s="1"/>
  <c r="D17" i="71"/>
  <c r="E17" i="71" s="1"/>
  <c r="G17" i="70"/>
  <c r="H17" i="70" s="1"/>
  <c r="D17" i="70"/>
  <c r="E17" i="70" s="1"/>
  <c r="G17" i="5"/>
  <c r="H17" i="5" s="1"/>
  <c r="D17" i="5"/>
  <c r="E17" i="5" s="1"/>
  <c r="A3" i="33"/>
  <c r="A3" i="32"/>
  <c r="A3" i="31"/>
  <c r="A3" i="28"/>
  <c r="A3" i="27"/>
  <c r="A3" i="26"/>
  <c r="A3" i="19"/>
  <c r="A3" i="20"/>
  <c r="A3" i="21"/>
  <c r="A3" i="4"/>
  <c r="G17" i="69"/>
  <c r="H17" i="69" s="1"/>
  <c r="D17" i="69"/>
  <c r="E17" i="69" s="1"/>
  <c r="A3" i="2"/>
  <c r="C5" i="2" a="1"/>
  <c r="C7" i="28" a="1"/>
  <c r="C6" i="21" a="1"/>
  <c r="C5" i="20" a="1"/>
  <c r="C4" i="32" a="1"/>
  <c r="C7" i="19" a="1"/>
  <c r="C7" i="4" a="1"/>
  <c r="C7" i="32" a="1"/>
  <c r="C8" i="28" a="1"/>
  <c r="C5" i="31" a="1"/>
  <c r="C5" i="3" a="1"/>
  <c r="C6" i="4" a="1"/>
  <c r="C8" i="21" a="1"/>
  <c r="C4" i="31" a="1"/>
  <c r="C5" i="19" a="1"/>
  <c r="C6" i="20" a="1"/>
  <c r="C8" i="31" a="1"/>
  <c r="C8" i="3" a="1"/>
  <c r="C6" i="28" a="1"/>
  <c r="C5" i="32" a="1"/>
  <c r="C4" i="4" a="1"/>
  <c r="C4" i="26" a="1"/>
  <c r="C4" i="3" a="1"/>
  <c r="C5" i="27" a="1"/>
  <c r="C5" i="26" a="1"/>
  <c r="C5" i="28" a="1"/>
  <c r="C7" i="31" a="1"/>
  <c r="C5" i="33" a="1"/>
  <c r="C6" i="2" a="1"/>
  <c r="C4" i="20" a="1"/>
  <c r="C8" i="26" a="1"/>
  <c r="C6" i="31" a="1"/>
  <c r="C7" i="33" a="1"/>
  <c r="C8" i="20" a="1"/>
  <c r="C6" i="32" a="1"/>
  <c r="C6" i="33" a="1"/>
  <c r="C6" i="3" a="1"/>
  <c r="C8" i="32" a="1"/>
  <c r="C8" i="33" a="1"/>
  <c r="C7" i="3" a="1"/>
  <c r="C5" i="21" a="1"/>
  <c r="C4" i="21" a="1"/>
  <c r="C8" i="2" a="1"/>
  <c r="C4" i="28" a="1"/>
  <c r="C4" i="27" a="1"/>
  <c r="C7" i="27" a="1"/>
  <c r="C4" i="2" a="1"/>
  <c r="C6" i="27" a="1"/>
  <c r="C7" i="20" a="1"/>
  <c r="C7" i="26" a="1"/>
  <c r="C7" i="2" a="1"/>
  <c r="C8" i="4" a="1"/>
  <c r="C4" i="19" a="1"/>
  <c r="C4" i="33" a="1"/>
  <c r="C8" i="27" a="1"/>
  <c r="C5" i="4" a="1"/>
  <c r="C7" i="21" a="1"/>
  <c r="C6" i="26" a="1"/>
  <c r="C8" i="19" a="1"/>
  <c r="C6" i="19" a="1"/>
  <c r="C8" i="27" l="1"/>
  <c r="C5" i="26"/>
  <c r="C5" i="31"/>
  <c r="C7" i="32"/>
  <c r="C8" i="19"/>
  <c r="C8" i="33"/>
  <c r="C5" i="32"/>
  <c r="C7" i="28"/>
  <c r="C4" i="27"/>
  <c r="C6" i="19"/>
  <c r="C8" i="21"/>
  <c r="G8" i="18"/>
  <c r="C5" i="4"/>
  <c r="C8" i="2"/>
  <c r="C4" i="21"/>
  <c r="G4" i="18"/>
  <c r="C8" i="32"/>
  <c r="C4" i="26"/>
  <c r="C6" i="27"/>
  <c r="C7" i="33"/>
  <c r="C4" i="32"/>
  <c r="C6" i="28"/>
  <c r="C8" i="26"/>
  <c r="C5" i="19"/>
  <c r="C7" i="21"/>
  <c r="G7" i="18"/>
  <c r="C4" i="4"/>
  <c r="C7" i="2"/>
  <c r="C4" i="33"/>
  <c r="C7" i="20"/>
  <c r="C8" i="3"/>
  <c r="C7" i="3"/>
  <c r="C6" i="32"/>
  <c r="C8" i="28"/>
  <c r="C5" i="27"/>
  <c r="C7" i="19"/>
  <c r="C6" i="33"/>
  <c r="C8" i="31"/>
  <c r="C5" i="28"/>
  <c r="C7" i="26"/>
  <c r="C4" i="19"/>
  <c r="C6" i="21"/>
  <c r="G6" i="18"/>
  <c r="C6" i="2"/>
  <c r="C6" i="31"/>
  <c r="C7" i="27"/>
  <c r="C6" i="20"/>
  <c r="C4" i="31"/>
  <c r="C5" i="20"/>
  <c r="C6" i="3"/>
  <c r="C4" i="20"/>
  <c r="C4" i="3"/>
  <c r="C5" i="33"/>
  <c r="C7" i="31"/>
  <c r="C4" i="28"/>
  <c r="C6" i="26"/>
  <c r="C8" i="20"/>
  <c r="C5" i="21"/>
  <c r="G5" i="18"/>
  <c r="C5" i="2"/>
  <c r="C5" i="3"/>
  <c r="D5" i="1"/>
  <c r="G5" i="1"/>
  <c r="C8" i="4"/>
  <c r="D8" i="1"/>
  <c r="G8" i="1"/>
  <c r="C7" i="4"/>
  <c r="D7" i="1"/>
  <c r="G7" i="1"/>
  <c r="C6" i="4"/>
  <c r="D6" i="1"/>
  <c r="G6" i="1"/>
  <c r="C4" i="2"/>
  <c r="D4" i="1"/>
  <c r="G4" i="1"/>
  <c r="D4" i="18"/>
  <c r="D5" i="18"/>
  <c r="D6" i="18"/>
  <c r="D7" i="18"/>
  <c r="D8" i="18"/>
  <c r="D4" i="29"/>
  <c r="G4" i="29"/>
  <c r="D5" i="29"/>
  <c r="G5" i="29"/>
  <c r="D6" i="29"/>
  <c r="G6" i="29"/>
  <c r="D7" i="29"/>
  <c r="G7" i="29"/>
  <c r="D8" i="29"/>
  <c r="G8" i="29"/>
  <c r="D4" i="30"/>
  <c r="G4" i="30"/>
  <c r="D5" i="30"/>
  <c r="G5" i="30"/>
  <c r="D6" i="30"/>
  <c r="G6" i="30"/>
  <c r="D7" i="30"/>
  <c r="G7" i="30"/>
  <c r="D8" i="30"/>
  <c r="G8" i="30"/>
  <c r="C7" i="30" l="1"/>
  <c r="E7" i="30" s="1"/>
  <c r="F7" i="30" s="1"/>
  <c r="C4" i="30"/>
  <c r="H4" i="30" s="1"/>
  <c r="I4" i="30" s="1"/>
  <c r="C8" i="1"/>
  <c r="H8" i="1" s="1"/>
  <c r="I8" i="1" s="1"/>
  <c r="C5" i="1"/>
  <c r="E5" i="1" s="1"/>
  <c r="F5" i="1" s="1"/>
  <c r="C8" i="18"/>
  <c r="E8" i="18" s="1"/>
  <c r="F8" i="18" s="1"/>
  <c r="C6" i="29"/>
  <c r="H6" i="29" s="1"/>
  <c r="I6" i="29" s="1"/>
  <c r="D8" i="34"/>
  <c r="C7" i="29"/>
  <c r="H7" i="29" s="1"/>
  <c r="I7" i="29" s="1"/>
  <c r="D5" i="34"/>
  <c r="C7" i="18"/>
  <c r="E7" i="18" s="1"/>
  <c r="F7" i="18" s="1"/>
  <c r="C6" i="30"/>
  <c r="H6" i="30" s="1"/>
  <c r="I6" i="30" s="1"/>
  <c r="C8" i="30"/>
  <c r="E8" i="30" s="1"/>
  <c r="F8" i="30" s="1"/>
  <c r="D7" i="34"/>
  <c r="C5" i="29"/>
  <c r="H5" i="29" s="1"/>
  <c r="I5" i="29" s="1"/>
  <c r="C4" i="1"/>
  <c r="E4" i="1" s="1"/>
  <c r="F4" i="1" s="1"/>
  <c r="D4" i="34"/>
  <c r="C4" i="29"/>
  <c r="H4" i="29" s="1"/>
  <c r="I4" i="29" s="1"/>
  <c r="C6" i="18"/>
  <c r="E6" i="18" s="1"/>
  <c r="F6" i="18" s="1"/>
  <c r="C8" i="29"/>
  <c r="H8" i="29" s="1"/>
  <c r="I8" i="29" s="1"/>
  <c r="C4" i="18"/>
  <c r="E4" i="18" s="1"/>
  <c r="F4" i="18" s="1"/>
  <c r="C5" i="30"/>
  <c r="H5" i="30" s="1"/>
  <c r="I5" i="30" s="1"/>
  <c r="C5" i="18"/>
  <c r="E5" i="18" s="1"/>
  <c r="F5" i="18" s="1"/>
  <c r="C6" i="1"/>
  <c r="H6" i="1" s="1"/>
  <c r="I6" i="1" s="1"/>
  <c r="C7" i="1"/>
  <c r="H7" i="1" s="1"/>
  <c r="I7" i="1" s="1"/>
  <c r="E4" i="30" l="1"/>
  <c r="F4" i="30" s="1"/>
  <c r="H7" i="30"/>
  <c r="I7" i="30" s="1"/>
  <c r="H5" i="1"/>
  <c r="I5" i="1" s="1"/>
  <c r="E8" i="1"/>
  <c r="F8" i="1" s="1"/>
  <c r="E5" i="29"/>
  <c r="F5" i="29" s="1"/>
  <c r="E6" i="29"/>
  <c r="F6" i="29" s="1"/>
  <c r="E5" i="30"/>
  <c r="F5" i="30" s="1"/>
  <c r="E7" i="29"/>
  <c r="F7" i="29" s="1"/>
  <c r="E8" i="29"/>
  <c r="F8" i="29" s="1"/>
  <c r="E6" i="30"/>
  <c r="F6" i="30" s="1"/>
  <c r="H8" i="30"/>
  <c r="I8" i="30" s="1"/>
  <c r="E6" i="1"/>
  <c r="F6" i="1" s="1"/>
  <c r="H4" i="1"/>
  <c r="I4" i="1" s="1"/>
  <c r="E7" i="1"/>
  <c r="F7" i="1" s="1"/>
  <c r="E4" i="29"/>
  <c r="F4" i="29" s="1"/>
  <c r="G8" i="34"/>
  <c r="H8" i="18"/>
  <c r="I8" i="18" s="1"/>
  <c r="G7" i="34"/>
  <c r="H7" i="18"/>
  <c r="I7" i="18" s="1"/>
  <c r="H6" i="18"/>
  <c r="I6" i="18" s="1"/>
  <c r="G5" i="34"/>
  <c r="H5" i="18"/>
  <c r="I5" i="18" s="1"/>
  <c r="G4" i="34"/>
  <c r="H4" i="18"/>
  <c r="I4" i="18" s="1"/>
  <c r="C8" i="34"/>
  <c r="E8" i="34" s="1"/>
  <c r="F8" i="34" s="1"/>
  <c r="C7" i="34"/>
  <c r="E7" i="34" s="1"/>
  <c r="F7" i="34" s="1"/>
  <c r="C5" i="34"/>
  <c r="E5" i="34" s="1"/>
  <c r="F5" i="34" s="1"/>
  <c r="C4" i="34"/>
  <c r="E4" i="34" s="1"/>
  <c r="F4" i="34" s="1"/>
  <c r="H4" i="34" l="1"/>
  <c r="I4" i="34" s="1"/>
  <c r="H5" i="34"/>
  <c r="I5" i="34" s="1"/>
  <c r="H7" i="34"/>
  <c r="I7" i="34" s="1"/>
  <c r="H8" i="34"/>
  <c r="I8" i="34" s="1"/>
  <c r="C3" i="2" a="1"/>
  <c r="G9" i="2" l="1"/>
  <c r="C3" i="2"/>
  <c r="D9" i="2"/>
  <c r="C9" i="2" l="1"/>
  <c r="C6" i="34" l="1"/>
  <c r="E9" i="2"/>
  <c r="F9" i="2" s="1"/>
  <c r="H9" i="2"/>
  <c r="I9" i="2" s="1"/>
  <c r="C3" i="4" a="1"/>
  <c r="C3" i="21" a="1"/>
  <c r="C3" i="26" a="1"/>
  <c r="C3" i="28" a="1"/>
  <c r="C3" i="3" a="1"/>
  <c r="C3" i="33" a="1"/>
  <c r="C3" i="19" a="1"/>
  <c r="C3" i="20" a="1"/>
  <c r="C3" i="32" a="1"/>
  <c r="C3" i="31" a="1"/>
  <c r="C3" i="27" a="1"/>
  <c r="G3" i="1" l="1"/>
  <c r="G9" i="3"/>
  <c r="D9" i="3"/>
  <c r="C3" i="3"/>
  <c r="D3" i="1"/>
  <c r="D3" i="18"/>
  <c r="D9" i="18" s="1"/>
  <c r="G3" i="18"/>
  <c r="G9" i="18" s="1"/>
  <c r="G9" i="21"/>
  <c r="D9" i="21"/>
  <c r="C3" i="21"/>
  <c r="G3" i="29"/>
  <c r="G9" i="29" s="1"/>
  <c r="D3" i="29"/>
  <c r="D9" i="29" s="1"/>
  <c r="G9" i="26"/>
  <c r="D9" i="26"/>
  <c r="C3" i="26"/>
  <c r="G3" i="30"/>
  <c r="G9" i="30" s="1"/>
  <c r="D3" i="30"/>
  <c r="D9" i="30" s="1"/>
  <c r="G9" i="31"/>
  <c r="D9" i="31"/>
  <c r="C3" i="31"/>
  <c r="G9" i="4"/>
  <c r="D9" i="4"/>
  <c r="C3" i="4"/>
  <c r="C9" i="4" s="1"/>
  <c r="G9" i="20"/>
  <c r="D9" i="20"/>
  <c r="C3" i="20"/>
  <c r="C9" i="20" s="1"/>
  <c r="G9" i="19"/>
  <c r="D9" i="19"/>
  <c r="C3" i="19"/>
  <c r="C9" i="19" s="1"/>
  <c r="G9" i="27"/>
  <c r="D9" i="27"/>
  <c r="C3" i="27"/>
  <c r="C9" i="27" s="1"/>
  <c r="G9" i="28"/>
  <c r="D9" i="28"/>
  <c r="C3" i="28"/>
  <c r="C9" i="28" s="1"/>
  <c r="G9" i="32"/>
  <c r="D9" i="32"/>
  <c r="C3" i="32"/>
  <c r="C9" i="32" s="1"/>
  <c r="G9" i="33"/>
  <c r="D9" i="33"/>
  <c r="C3" i="33"/>
  <c r="C9" i="33" s="1"/>
  <c r="D6" i="34" l="1"/>
  <c r="E6" i="34" s="1"/>
  <c r="F6" i="34" s="1"/>
  <c r="G6" i="34"/>
  <c r="H6" i="34" s="1"/>
  <c r="I6" i="34" s="1"/>
  <c r="H9" i="33"/>
  <c r="I9" i="33" s="1"/>
  <c r="E9" i="33"/>
  <c r="F9" i="33" s="1"/>
  <c r="H9" i="32"/>
  <c r="I9" i="32" s="1"/>
  <c r="E9" i="32"/>
  <c r="F9" i="32" s="1"/>
  <c r="H9" i="28"/>
  <c r="I9" i="28" s="1"/>
  <c r="E9" i="28"/>
  <c r="F9" i="28" s="1"/>
  <c r="H9" i="27"/>
  <c r="I9" i="27" s="1"/>
  <c r="E9" i="27"/>
  <c r="F9" i="27" s="1"/>
  <c r="H9" i="19"/>
  <c r="I9" i="19" s="1"/>
  <c r="E9" i="19"/>
  <c r="F9" i="19" s="1"/>
  <c r="H9" i="20"/>
  <c r="I9" i="20" s="1"/>
  <c r="E9" i="20"/>
  <c r="F9" i="20" s="1"/>
  <c r="H9" i="4"/>
  <c r="I9" i="4" s="1"/>
  <c r="E9" i="4"/>
  <c r="F9" i="4" s="1"/>
  <c r="C9" i="31"/>
  <c r="C3" i="30"/>
  <c r="C9" i="26"/>
  <c r="C3" i="29"/>
  <c r="C9" i="21"/>
  <c r="C3" i="18"/>
  <c r="D9" i="1"/>
  <c r="D3" i="34"/>
  <c r="C9" i="3"/>
  <c r="C3" i="1"/>
  <c r="G9" i="1"/>
  <c r="G3" i="34"/>
  <c r="D9" i="34" l="1"/>
  <c r="G9" i="34"/>
  <c r="H3" i="1"/>
  <c r="I3" i="1" s="1"/>
  <c r="E3" i="1"/>
  <c r="F3" i="1" s="1"/>
  <c r="C3" i="34"/>
  <c r="C9" i="1"/>
  <c r="H9" i="3"/>
  <c r="I9" i="3" s="1"/>
  <c r="E9" i="3"/>
  <c r="F9" i="3" s="1"/>
  <c r="E3" i="18"/>
  <c r="F3" i="18" s="1"/>
  <c r="H3" i="18"/>
  <c r="I3" i="18" s="1"/>
  <c r="C9" i="18"/>
  <c r="H9" i="21"/>
  <c r="I9" i="21" s="1"/>
  <c r="E9" i="21"/>
  <c r="F9" i="21" s="1"/>
  <c r="H3" i="29"/>
  <c r="I3" i="29" s="1"/>
  <c r="E3" i="29"/>
  <c r="F3" i="29" s="1"/>
  <c r="C9" i="29"/>
  <c r="H9" i="26"/>
  <c r="I9" i="26" s="1"/>
  <c r="E9" i="26"/>
  <c r="F9" i="26" s="1"/>
  <c r="H3" i="30"/>
  <c r="I3" i="30" s="1"/>
  <c r="E3" i="30"/>
  <c r="F3" i="30" s="1"/>
  <c r="C9" i="30"/>
  <c r="H9" i="31"/>
  <c r="I9" i="31" s="1"/>
  <c r="E9" i="31"/>
  <c r="F9" i="31" s="1"/>
  <c r="H9" i="30" l="1"/>
  <c r="I9" i="30" s="1"/>
  <c r="E9" i="30"/>
  <c r="F9" i="30" s="1"/>
  <c r="H9" i="29"/>
  <c r="I9" i="29" s="1"/>
  <c r="E9" i="29"/>
  <c r="F9" i="29" s="1"/>
  <c r="H9" i="18"/>
  <c r="I9" i="18" s="1"/>
  <c r="E9" i="18"/>
  <c r="F9" i="18" s="1"/>
  <c r="H9" i="1"/>
  <c r="I9" i="1" s="1"/>
  <c r="E9" i="1"/>
  <c r="F9" i="1" s="1"/>
  <c r="E3" i="34"/>
  <c r="F3" i="34" s="1"/>
  <c r="H3" i="34"/>
  <c r="I3" i="34" s="1"/>
  <c r="C9" i="34"/>
  <c r="H9" i="34" l="1"/>
  <c r="I9" i="34" s="1"/>
  <c r="E9" i="34"/>
  <c r="F9" i="3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<sst xmlns="http://schemas.openxmlformats.org/spreadsheetml/2006/main" count="483" uniqueCount="90">
  <si>
    <t>Year to Date 2024 Actual v. Expected</t>
  </si>
  <si>
    <t>Year to Date 2024 Forecasted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</si>
  <si>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</si>
  <si>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</si>
  <si>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</si>
  <si>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</si>
  <si>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</si>
  <si>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</si>
  <si>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</si>
  <si>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</si>
  <si>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</si>
  <si>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</si>
  <si>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</si>
  <si>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>1st Quarter 2024 Forecasted</t>
  </si>
  <si>
    <t>2nd Quarter 2024 Actual v. Expected</t>
  </si>
  <si>
    <t>2nd Quarter 2024 Forecasted</t>
  </si>
  <si>
    <t>3rd Quarter 2024 Actual v. Expected</t>
  </si>
  <si>
    <t>3rd Quarter 2024 Forecasted</t>
  </si>
  <si>
    <t>4th Quarter 2024 Actual v. Expected</t>
  </si>
  <si>
    <t>4th Quarter 2024 Forecasted</t>
  </si>
  <si>
    <t>January Actual v. Expected</t>
  </si>
  <si>
    <t>January Actual v. Forecasted</t>
  </si>
  <si>
    <t>NOTES</t>
  </si>
  <si>
    <t>SR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</si>
  <si>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</si>
  <si>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</si>
  <si>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</si>
  <si>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</si>
  <si>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</si>
  <si>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</si>
  <si>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</si>
  <si>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</si>
  <si>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</si>
  <si>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</si>
  <si>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</si>
  <si>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</si>
  <si>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</si>
  <si>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</si>
  <si>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</si>
  <si>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</si>
  <si>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</si>
  <si>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</si>
  <si>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</si>
  <si>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</si>
  <si>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</si>
  <si>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</si>
  <si>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</si>
  <si>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Troy School District</t>
  </si>
  <si>
    <t>Site DAS Name</t>
  </si>
  <si>
    <t>Update</t>
  </si>
  <si>
    <t>DAS</t>
  </si>
  <si>
    <t>IL: Joliet - Craughwell ES</t>
  </si>
  <si>
    <t>Joliet - Craughwell</t>
  </si>
  <si>
    <t>IL</t>
  </si>
  <si>
    <t>AssetPlanner</t>
  </si>
  <si>
    <t>IL: Joliet - Heritage Trail</t>
  </si>
  <si>
    <t>Joliet - Heritage Trail</t>
  </si>
  <si>
    <t>IL: Plainfield - Troy MS</t>
  </si>
  <si>
    <t>Plainfield - Troy</t>
  </si>
  <si>
    <t>IL: Plainfield - William B Orenic IS</t>
  </si>
  <si>
    <t>Plainfield - William B Orenic</t>
  </si>
  <si>
    <t>IL: Shorewood - Cronin ES</t>
  </si>
  <si>
    <t>Shorewood - Cronin</t>
  </si>
  <si>
    <t>IL: Shorewood - Hofer ES</t>
  </si>
  <si>
    <t>Shorewood - Hofer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</si>
  <si>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</si>
  <si>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</si>
  <si>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</si>
  <si>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</si>
  <si>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</si>
  <si>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</si>
  <si>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</si>
  <si>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</si>
  <si>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</si>
  <si>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</si>
  <si>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 xml:space="preserve">1. Inverter 2.2 is offline on 01/02, 01/03, 01/04, 01/11, 01/29
2. Inverter 1.2 is offline on 01/22 to 01/25 </t>
  </si>
  <si>
    <t>1. SR077210
2. SR079343</t>
  </si>
  <si>
    <t>Feb</t>
  </si>
  <si>
    <t xml:space="preserve">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</si>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</sst>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name val="Calibri"/>
    </font>
    <font>
      <b/>
      <sz val="9"/>
      <color rgb="FF000000"/>
      <name val="Arial"/>
      <family val="2"/>
    </font>
    <font>
      <b/>
      <sz val="10"/>
      <name val="Arial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</font>
    <font>
      <sz val="11"/>
      <color theme="1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25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5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5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0" fontId="8" fillId="0" borderId="34" xfId="0" applyFont="1" applyBorder="1" applyAlignment="1">
      <alignment horizontal="left" vertical="center"/>
    </xf>
    <xf numFmtId="0" fontId="28" fillId="0" borderId="2" xfId="0" applyFont="1" applyBorder="1" applyAlignment="1">
      <alignment horizontal="center"/>
    </xf>
    <xf numFmtId="3" fontId="29" fillId="38" borderId="16" xfId="0" applyNumberFormat="1" applyFont="1" applyFill="1" applyBorder="1"/>
    <xf numFmtId="3" fontId="29" fillId="3" borderId="2" xfId="0" applyNumberFormat="1" applyFont="1" applyFill="1" applyBorder="1" applyAlignment="1">
      <alignment horizontal="right"/>
    </xf>
    <xf numFmtId="9" fontId="29" fillId="3" borderId="2" xfId="2" applyFont="1" applyFill="1" applyBorder="1" applyAlignment="1">
      <alignment horizontal="center"/>
    </xf>
    <xf numFmtId="3" fontId="29" fillId="39" borderId="16" xfId="0" applyNumberFormat="1" applyFont="1" applyFill="1" applyBorder="1"/>
    <xf numFmtId="3" fontId="29" fillId="4" borderId="2" xfId="1" applyNumberFormat="1" applyFont="1" applyFill="1" applyBorder="1"/>
    <xf numFmtId="9" fontId="29" fillId="4" borderId="2" xfId="2" applyFont="1" applyFill="1" applyBorder="1" applyAlignment="1">
      <alignment horizontal="center"/>
    </xf>
    <xf numFmtId="9" fontId="29" fillId="43" borderId="2" xfId="2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9" fontId="29" fillId="3" borderId="1" xfId="2" applyFont="1" applyFill="1" applyBorder="1" applyAlignment="1">
      <alignment horizontal="center"/>
    </xf>
    <xf numFmtId="3" fontId="29" fillId="4" borderId="13" xfId="1" applyNumberFormat="1" applyFont="1" applyFill="1" applyBorder="1"/>
    <xf numFmtId="3" fontId="29" fillId="4" borderId="2" xfId="1" applyNumberFormat="1" applyFont="1" applyFill="1" applyBorder="1" applyAlignment="1">
      <alignment vertical="center"/>
    </xf>
    <xf numFmtId="9" fontId="29" fillId="43" borderId="2" xfId="2" applyFont="1" applyFill="1" applyBorder="1" applyAlignment="1">
      <alignment horizontal="center" vertical="center"/>
    </xf>
    <xf numFmtId="3" fontId="29" fillId="38" borderId="14" xfId="0" applyNumberFormat="1" applyFont="1" applyFill="1" applyBorder="1"/>
    <xf numFmtId="3" fontId="29" fillId="39" borderId="14" xfId="0" applyNumberFormat="1" applyFont="1" applyFill="1" applyBorder="1"/>
    <xf numFmtId="0" fontId="28" fillId="0" borderId="3" xfId="0" applyFont="1" applyBorder="1" applyAlignment="1">
      <alignment horizontal="center"/>
    </xf>
    <xf numFmtId="3" fontId="29" fillId="3" borderId="28" xfId="0" applyNumberFormat="1" applyFont="1" applyFill="1" applyBorder="1" applyAlignment="1">
      <alignment horizontal="right"/>
    </xf>
    <xf numFmtId="9" fontId="29" fillId="3" borderId="3" xfId="2" applyFont="1" applyFill="1" applyBorder="1" applyAlignment="1">
      <alignment horizontal="center"/>
    </xf>
    <xf numFmtId="3" fontId="29" fillId="4" borderId="38" xfId="1" applyNumberFormat="1" applyFont="1" applyFill="1" applyBorder="1"/>
    <xf numFmtId="3" fontId="29" fillId="4" borderId="28" xfId="1" applyNumberFormat="1" applyFont="1" applyFill="1" applyBorder="1"/>
    <xf numFmtId="9" fontId="29" fillId="4" borderId="28" xfId="2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3" fontId="28" fillId="5" borderId="1" xfId="0" applyNumberFormat="1" applyFont="1" applyFill="1" applyBorder="1" applyAlignment="1">
      <alignment horizontal="center"/>
    </xf>
    <xf numFmtId="9" fontId="28" fillId="5" borderId="1" xfId="2" applyFont="1" applyFill="1" applyBorder="1" applyAlignment="1">
      <alignment horizontal="center"/>
    </xf>
    <xf numFmtId="9" fontId="28" fillId="5" borderId="1" xfId="0" applyNumberFormat="1" applyFont="1" applyFill="1" applyBorder="1" applyAlignment="1">
      <alignment horizontal="center"/>
    </xf>
    <xf numFmtId="0" fontId="28" fillId="0" borderId="0" xfId="0" applyFont="1"/>
    <xf numFmtId="0" fontId="30" fillId="3" borderId="17" xfId="0" applyFont="1" applyFill="1" applyBorder="1" applyAlignment="1">
      <alignment horizontal="left" vertical="center" wrapText="1"/>
    </xf>
    <xf numFmtId="9" fontId="30" fillId="3" borderId="35" xfId="2" applyFont="1" applyFill="1" applyBorder="1" applyAlignment="1">
      <alignment horizontal="left" vertical="center" wrapText="1"/>
    </xf>
    <xf numFmtId="0" fontId="30" fillId="4" borderId="17" xfId="0" applyFont="1" applyFill="1" applyBorder="1" applyAlignment="1">
      <alignment horizontal="left" vertical="center"/>
    </xf>
    <xf numFmtId="0" fontId="30" fillId="4" borderId="17" xfId="0" applyFont="1" applyFill="1" applyBorder="1" applyAlignment="1">
      <alignment horizontal="left" vertical="center" wrapText="1"/>
    </xf>
    <xf numFmtId="9" fontId="30" fillId="4" borderId="35" xfId="2" applyFont="1" applyFill="1" applyBorder="1" applyAlignment="1">
      <alignment horizontal="left" vertical="center"/>
    </xf>
    <xf numFmtId="9" fontId="30" fillId="43" borderId="36" xfId="2" applyFont="1" applyFill="1" applyBorder="1" applyAlignment="1">
      <alignment horizontal="center" vertical="center"/>
    </xf>
    <xf numFmtId="9" fontId="30" fillId="43" borderId="37" xfId="2" applyFont="1" applyFill="1" applyBorder="1" applyAlignment="1">
      <alignment horizontal="center" vertical="center"/>
    </xf>
    <xf numFmtId="0" fontId="28" fillId="45" borderId="39" xfId="0" applyFont="1" applyFill="1" applyBorder="1" applyAlignment="1">
      <alignment horizontal="center"/>
    </xf>
    <xf numFmtId="0" fontId="28" fillId="45" borderId="1" xfId="0" applyFont="1" applyFill="1" applyBorder="1" applyAlignment="1">
      <alignment horizontal="center"/>
    </xf>
    <xf numFmtId="3" fontId="32" fillId="3" borderId="16" xfId="0" applyNumberFormat="1" applyFont="1" applyFill="1" applyBorder="1" applyAlignment="1">
      <alignment horizontal="right"/>
    </xf>
    <xf numFmtId="9" fontId="32" fillId="3" borderId="16" xfId="2" applyFont="1" applyFill="1" applyBorder="1" applyAlignment="1">
      <alignment horizontal="center"/>
    </xf>
    <xf numFmtId="3" fontId="32" fillId="4" borderId="16" xfId="1" applyNumberFormat="1" applyFont="1" applyFill="1" applyBorder="1"/>
    <xf numFmtId="9" fontId="32" fillId="40" borderId="16" xfId="2" applyFont="1" applyFill="1" applyBorder="1" applyAlignment="1">
      <alignment horizontal="center"/>
    </xf>
    <xf numFmtId="9" fontId="32" fillId="3" borderId="14" xfId="2" applyFont="1" applyFill="1" applyBorder="1" applyAlignment="1">
      <alignment horizontal="center"/>
    </xf>
    <xf numFmtId="9" fontId="32" fillId="40" borderId="14" xfId="2" applyFont="1" applyFill="1" applyBorder="1" applyAlignment="1">
      <alignment horizontal="center"/>
    </xf>
    <xf numFmtId="9" fontId="32" fillId="37" borderId="18" xfId="0" applyNumberFormat="1" applyFont="1" applyFill="1" applyBorder="1" applyAlignment="1">
      <alignment horizontal="center" vertical="center"/>
    </xf>
    <xf numFmtId="9" fontId="32" fillId="37" borderId="22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/>
    </xf>
    <xf numFmtId="0" fontId="33" fillId="2" borderId="15" xfId="0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left" vertical="center" wrapText="1"/>
    </xf>
    <xf numFmtId="0" fontId="35" fillId="45" borderId="39" xfId="0" applyFont="1" applyFill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35" fillId="45" borderId="1" xfId="0" applyFont="1" applyFill="1" applyBorder="1" applyAlignment="1">
      <alignment horizontal="center"/>
    </xf>
    <xf numFmtId="3" fontId="32" fillId="37" borderId="18" xfId="0" applyNumberFormat="1" applyFont="1" applyFill="1" applyBorder="1" applyAlignment="1">
      <alignment horizontal="center" vertical="center"/>
    </xf>
    <xf numFmtId="3" fontId="32" fillId="37" borderId="18" xfId="1" applyNumberFormat="1" applyFont="1" applyFill="1" applyBorder="1" applyAlignment="1">
      <alignment horizontal="center" vertical="center"/>
    </xf>
    <xf numFmtId="49" fontId="29" fillId="43" borderId="2" xfId="2" applyNumberFormat="1" applyFont="1" applyFill="1" applyBorder="1" applyAlignment="1">
      <alignment horizontal="center" wrapText="1"/>
    </xf>
    <xf numFmtId="49" fontId="29" fillId="43" borderId="2" xfId="2" applyNumberFormat="1" applyFont="1" applyFill="1" applyBorder="1" applyAlignment="1">
      <alignment horizontal="center" vertical="center" wrapText="1"/>
    </xf>
    <xf numFmtId="49" fontId="29" fillId="43" borderId="2" xfId="2" applyNumberFormat="1" applyFont="1" applyFill="1" applyBorder="1" applyAlignment="1">
      <alignment horizontal="left" vertical="top" wrapText="1"/>
    </xf>
    <xf numFmtId="49" fontId="29" fillId="43" borderId="28" xfId="2" applyNumberFormat="1" applyFont="1" applyFill="1" applyBorder="1" applyAlignment="1">
      <alignment horizontal="center" wrapText="1"/>
    </xf>
    <xf numFmtId="3" fontId="36" fillId="3" borderId="39" xfId="0" applyNumberFormat="1" applyFont="1" applyFill="1" applyBorder="1" applyAlignment="1">
      <alignment horizontal="right"/>
    </xf>
    <xf numFmtId="9" fontId="29" fillId="43" borderId="2" xfId="2" applyFont="1" applyFill="1" applyBorder="1" applyAlignment="1">
      <alignment horizontal="left" vertical="top"/>
    </xf>
    <xf numFmtId="9" fontId="29" fillId="43" borderId="2" xfId="2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5" fillId="45" borderId="39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45" borderId="1" xfId="0" applyFont="1" applyFill="1" applyBorder="1" applyAlignment="1">
      <alignment horizontal="center" vertical="center"/>
    </xf>
    <xf numFmtId="3" fontId="32" fillId="3" borderId="16" xfId="0" applyNumberFormat="1" applyFont="1" applyFill="1" applyBorder="1" applyAlignment="1">
      <alignment horizontal="right" vertical="center"/>
    </xf>
    <xf numFmtId="3" fontId="32" fillId="4" borderId="16" xfId="1" applyNumberFormat="1" applyFont="1" applyFill="1" applyBorder="1" applyAlignment="1">
      <alignment horizontal="right" vertical="center"/>
    </xf>
    <xf numFmtId="9" fontId="32" fillId="3" borderId="16" xfId="2" applyFont="1" applyFill="1" applyBorder="1" applyAlignment="1">
      <alignment horizontal="center" vertical="center"/>
    </xf>
    <xf numFmtId="9" fontId="32" fillId="3" borderId="14" xfId="2" applyFont="1" applyFill="1" applyBorder="1" applyAlignment="1">
      <alignment horizontal="center" vertical="center"/>
    </xf>
    <xf numFmtId="9" fontId="32" fillId="40" borderId="16" xfId="2" applyFont="1" applyFill="1" applyBorder="1" applyAlignment="1">
      <alignment horizontal="center" vertical="center"/>
    </xf>
    <xf numFmtId="9" fontId="32" fillId="40" borderId="14" xfId="2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3" fontId="29" fillId="38" borderId="16" xfId="0" applyNumberFormat="1" applyFont="1" applyFill="1" applyBorder="1" applyAlignment="1">
      <alignment vertical="center"/>
    </xf>
    <xf numFmtId="3" fontId="36" fillId="3" borderId="39" xfId="0" applyNumberFormat="1" applyFont="1" applyFill="1" applyBorder="1" applyAlignment="1">
      <alignment horizontal="right" vertical="center"/>
    </xf>
    <xf numFmtId="9" fontId="29" fillId="3" borderId="2" xfId="2" applyFont="1" applyFill="1" applyBorder="1" applyAlignment="1">
      <alignment horizontal="center" vertical="center"/>
    </xf>
    <xf numFmtId="3" fontId="29" fillId="39" borderId="16" xfId="0" applyNumberFormat="1" applyFont="1" applyFill="1" applyBorder="1" applyAlignment="1">
      <alignment vertical="center"/>
    </xf>
    <xf numFmtId="9" fontId="29" fillId="4" borderId="2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3" fontId="29" fillId="3" borderId="2" xfId="0" applyNumberFormat="1" applyFont="1" applyFill="1" applyBorder="1" applyAlignment="1">
      <alignment horizontal="right" vertical="center"/>
    </xf>
    <xf numFmtId="9" fontId="29" fillId="3" borderId="1" xfId="2" applyFont="1" applyFill="1" applyBorder="1" applyAlignment="1">
      <alignment horizontal="center" vertical="center"/>
    </xf>
    <xf numFmtId="3" fontId="29" fillId="4" borderId="13" xfId="1" applyNumberFormat="1" applyFont="1" applyFill="1" applyBorder="1" applyAlignment="1">
      <alignment vertical="center"/>
    </xf>
    <xf numFmtId="3" fontId="29" fillId="38" borderId="14" xfId="0" applyNumberFormat="1" applyFont="1" applyFill="1" applyBorder="1" applyAlignment="1">
      <alignment vertical="center"/>
    </xf>
    <xf numFmtId="3" fontId="29" fillId="39" borderId="14" xfId="0" applyNumberFormat="1" applyFont="1" applyFill="1" applyBorder="1" applyAlignment="1">
      <alignment vertical="center"/>
    </xf>
    <xf numFmtId="0" fontId="28" fillId="0" borderId="3" xfId="0" applyFont="1" applyBorder="1" applyAlignment="1">
      <alignment horizontal="center" vertical="center"/>
    </xf>
    <xf numFmtId="3" fontId="29" fillId="3" borderId="28" xfId="0" applyNumberFormat="1" applyFont="1" applyFill="1" applyBorder="1" applyAlignment="1">
      <alignment horizontal="right" vertical="center"/>
    </xf>
    <xf numFmtId="9" fontId="29" fillId="3" borderId="3" xfId="2" applyFont="1" applyFill="1" applyBorder="1" applyAlignment="1">
      <alignment horizontal="center" vertical="center"/>
    </xf>
    <xf numFmtId="3" fontId="29" fillId="4" borderId="38" xfId="1" applyNumberFormat="1" applyFont="1" applyFill="1" applyBorder="1" applyAlignment="1">
      <alignment vertical="center"/>
    </xf>
    <xf numFmtId="3" fontId="29" fillId="4" borderId="28" xfId="1" applyNumberFormat="1" applyFont="1" applyFill="1" applyBorder="1" applyAlignment="1">
      <alignment vertical="center"/>
    </xf>
    <xf numFmtId="9" fontId="29" fillId="4" borderId="28" xfId="2" applyFont="1" applyFill="1" applyBorder="1" applyAlignment="1">
      <alignment horizontal="center" vertical="center"/>
    </xf>
    <xf numFmtId="49" fontId="29" fillId="43" borderId="2" xfId="2" applyNumberFormat="1" applyFont="1" applyFill="1" applyBorder="1" applyAlignment="1">
      <alignment horizontal="left" wrapText="1"/>
    </xf>
    <xf numFmtId="49" fontId="29" fillId="43" borderId="28" xfId="2" applyNumberFormat="1" applyFont="1" applyFill="1" applyBorder="1" applyAlignment="1">
      <alignment horizontal="left" vertical="top" wrapText="1"/>
    </xf>
    <xf numFmtId="0" fontId="4" fillId="4" borderId="27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31" fillId="44" borderId="23" xfId="0" applyFont="1" applyFill="1" applyBorder="1" applyAlignment="1">
      <alignment horizontal="center" vertical="center"/>
    </xf>
    <xf numFmtId="0" fontId="31" fillId="44" borderId="24" xfId="0" applyFont="1" applyFill="1" applyBorder="1" applyAlignment="1">
      <alignment horizontal="center" vertical="center"/>
    </xf>
    <xf numFmtId="0" fontId="26" fillId="41" borderId="0" xfId="0" applyFont="1" applyFill="1" applyAlignment="1">
      <alignment horizontal="center" wrapText="1"/>
    </xf>
    <xf numFmtId="0" fontId="25" fillId="42" borderId="0" xfId="0" applyFont="1" applyFill="1" applyAlignment="1">
      <alignment horizontal="center" wrapText="1"/>
    </xf>
    <xf numFmtId="0" fontId="34" fillId="2" borderId="25" xfId="0" applyFont="1" applyFill="1" applyBorder="1" applyAlignment="1">
      <alignment horizontal="center" vertical="center" wrapText="1"/>
    </xf>
    <xf numFmtId="0" fontId="34" fillId="2" borderId="2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7" fillId="5" borderId="30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1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theme="4" tint="0.3999755851924192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2:E8" totalsRowShown="0">
  <autoFilter ref="A2:E8" xr:uid="{C9C95D9E-67ED-41E0-9F41-9C3DA4ACF4CD}"/>
  <sortState xmlns:xlrd2="http://schemas.microsoft.com/office/spreadsheetml/2017/richdata2" ref="A3:D8">
    <sortCondition ref="C2:C8"/>
  </sortState>
  <tableColumns count="5">
    <tableColumn id="3" xr3:uid="{3FB6FBC9-911C-415A-89D1-91E602B41CD0}" name="Site DAS Name" dataDxfId="98" dataCellStyle="Normal 2"/>
    <tableColumn id="1" xr3:uid="{9A753695-C18C-437C-AD9C-C2CE5C1A806E}" name="Site" dataDxfId="97" dataCellStyle="Normal 2"/>
    <tableColumn id="2" xr3:uid="{250F229D-34D2-4043-BE8F-6D9C210E223F}" name="State" dataDxfId="9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3EEF7C6-5546-45C7-990F-851AA4C662FC}" name="Data213" displayName="Data213" ref="A4:J16" totalsRowShown="0" headerRowDxfId="93" dataDxfId="92" headerRowBorderDxfId="90" tableBorderDxfId="91" dataCellStyle="Percent">
  <autoFilter ref="A4:J16" xr:uid="{D3EEF7C6-5546-45C7-990F-851AA4C662FC}"/>
  <tableColumns count="10">
    <tableColumn id="1" xr3:uid="{A191EE12-3FD2-4A5B-B66A-E6E29A36A7A5}" name="Month" dataDxfId="89"/>
    <tableColumn id="2" xr3:uid="{43ACE17D-95C2-4D85-8539-0A43DED8D495}" name="Actual" dataDxfId="88"/>
    <tableColumn id="3" xr3:uid="{7A2B5D12-F08B-4AE4-9AD5-D1E35A67DFF1}" name="Expected" dataDxfId="87"/>
    <tableColumn id="4" xr3:uid="{8CAEB585-20A6-4981-8AF5-F5046984FB02}" name="Delta Expected" dataDxfId="86">
      <calculatedColumnFormula>B5-C5</calculatedColumnFormula>
    </tableColumn>
    <tableColumn id="5" xr3:uid="{4C262FB7-AF12-4240-8FE1-5711C11E958F}" name="% Expected" dataDxfId="85" dataCellStyle="Percent">
      <calculatedColumnFormula>IFERROR(D5/C5, 0)</calculatedColumnFormula>
    </tableColumn>
    <tableColumn id="6" xr3:uid="{348E3C66-E4A9-4633-B920-AB84EB68A327}" name="Forecasted" dataDxfId="84"/>
    <tableColumn id="7" xr3:uid="{F2A1622D-26EB-4465-A86B-476F3813167A}" name="Delta Forecasted" dataDxfId="83" dataCellStyle="Comma">
      <calculatedColumnFormula>B5-F5</calculatedColumnFormula>
    </tableColumn>
    <tableColumn id="8" xr3:uid="{C7DCA6BC-7D8C-4F77-9A93-7F40451A2C5C}" name="% Forecasted" dataDxfId="82" dataCellStyle="Percent">
      <calculatedColumnFormula>IFERROR(G5/F5, 0)</calculatedColumnFormula>
    </tableColumn>
    <tableColumn id="9" xr3:uid="{B6ED3D4A-832D-4DD0-B569-F26D8034F0F2}" name="Notes" dataDxfId="81" dataCellStyle="Percent"/>
    <tableColumn id="10" xr3:uid="{31B5E61E-AFD2-4382-B522-C84C145D11D4}" name="Service Request" dataDxfId="80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816A2F-BE38-4444-BB98-722217F0B1D6}" name="Data2" displayName="Data2" ref="A4:J16" totalsRowShown="0" headerRowDxfId="77" dataDxfId="76" headerRowBorderDxfId="74" tableBorderDxfId="75" dataCellStyle="Percent">
  <autoFilter ref="A4:J16" xr:uid="{59A959C2-52B2-422A-A87A-BC08BBF40681}"/>
  <tableColumns count="10">
    <tableColumn id="1" xr3:uid="{16326703-039A-4C8F-95AA-9DF74A63CA4B}" name="Month" dataDxfId="73"/>
    <tableColumn id="2" xr3:uid="{172E256D-9FEC-41BC-8E46-53EABDFEED80}" name="Actual" dataDxfId="72"/>
    <tableColumn id="3" xr3:uid="{B98CC24C-7927-4B74-AB36-8EAAA7797DDF}" name="Expected" dataDxfId="71"/>
    <tableColumn id="4" xr3:uid="{EB799F21-4D47-49AB-B60A-AA9FBEC606CD}" name="Delta Expected" dataDxfId="70">
      <calculatedColumnFormula>B5-C5</calculatedColumnFormula>
    </tableColumn>
    <tableColumn id="5" xr3:uid="{1475FBA7-647D-4E42-AEF4-5BDB54AB0AC8}" name="% Expected" dataDxfId="69" dataCellStyle="Percent">
      <calculatedColumnFormula>IFERROR(D5/C5, 0)</calculatedColumnFormula>
    </tableColumn>
    <tableColumn id="6" xr3:uid="{DA8440A1-2F52-444D-9E4B-BEBBDBE4DC5A}" name="Forecasted" dataDxfId="68"/>
    <tableColumn id="7" xr3:uid="{EF3E8C46-9B1A-405A-AEFD-97C73B1B9333}" name="Delta Forecasted" dataDxfId="67" dataCellStyle="Comma">
      <calculatedColumnFormula>B5-F5</calculatedColumnFormula>
    </tableColumn>
    <tableColumn id="8" xr3:uid="{0A276867-8E2B-412B-812E-40A203C3C68F}" name="% Forecasted" dataDxfId="66" dataCellStyle="Percent">
      <calculatedColumnFormula>IFERROR(G5/F5, 0)</calculatedColumnFormula>
    </tableColumn>
    <tableColumn id="9" xr3:uid="{336B281B-2A86-494D-B282-5A9DE000BBAC}" name="Notes" dataDxfId="65" dataCellStyle="Percent"/>
    <tableColumn id="10" xr3:uid="{FF22BF38-38F9-4832-B953-AFCEDC37BEF7}" name="Service Request" dataDxfId="6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C13659-4F18-4748-A097-E792CB3B6C04}" name="Data214" displayName="Data214" ref="A4:J16" totalsRowShown="0" headerRowDxfId="61" dataDxfId="60" headerRowBorderDxfId="58" tableBorderDxfId="59" dataCellStyle="Percent">
  <autoFilter ref="A4:J16" xr:uid="{43C13659-4F18-4748-A097-E792CB3B6C04}"/>
  <tableColumns count="10">
    <tableColumn id="1" xr3:uid="{B781D51D-C332-4E3B-98AD-8921AABA791F}" name="Month" dataDxfId="57"/>
    <tableColumn id="2" xr3:uid="{C408D52C-6DE8-448D-B816-05B8105E7C3F}" name="Actual" dataDxfId="56"/>
    <tableColumn id="3" xr3:uid="{A6D5D391-9566-4A1B-BB18-EA27B937A809}" name="Expected" dataDxfId="55"/>
    <tableColumn id="4" xr3:uid="{77FF61A4-0D83-48AC-9E42-2BD08347B35F}" name="Delta Expected" dataDxfId="54">
      <calculatedColumnFormula>B5-C5</calculatedColumnFormula>
    </tableColumn>
    <tableColumn id="5" xr3:uid="{1A42135F-86E7-4109-9233-98B12071A066}" name="% Expected" dataDxfId="53" dataCellStyle="Percent">
      <calculatedColumnFormula>IFERROR(D5/C5, 0)</calculatedColumnFormula>
    </tableColumn>
    <tableColumn id="6" xr3:uid="{23839A71-ADD5-46B3-AA1E-34176B4D7B82}" name="Forecasted" dataDxfId="52"/>
    <tableColumn id="7" xr3:uid="{188BC2D6-3D34-4819-BD0B-181A968B9FCD}" name="Delta Forecasted" dataDxfId="51" dataCellStyle="Comma">
      <calculatedColumnFormula>B5-F5</calculatedColumnFormula>
    </tableColumn>
    <tableColumn id="8" xr3:uid="{7C2D2CDB-6392-4A8E-BEF1-8B6F1D5A5066}" name="% Forecasted" dataDxfId="50" dataCellStyle="Percent">
      <calculatedColumnFormula>IFERROR(G5/F5, 0)</calculatedColumnFormula>
    </tableColumn>
    <tableColumn id="9" xr3:uid="{CEAE4AEE-C1B1-4575-9F00-ED93A7C8F992}" name="Notes" dataDxfId="49" dataCellStyle="Percent"/>
    <tableColumn id="10" xr3:uid="{16B0D3B4-D2F9-4E3F-9EED-4542C650BD2C}" name="Service Request" dataDxfId="48" dataCellStyle="Perc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405753-F71F-4B9E-84F4-A378C0F57C35}" name="Data215" displayName="Data215" ref="A4:J16" totalsRowShown="0" headerRowDxfId="45" dataDxfId="44" headerRowBorderDxfId="42" tableBorderDxfId="43" dataCellStyle="Percent">
  <autoFilter ref="A4:J16" xr:uid="{EC405753-F71F-4B9E-84F4-A378C0F57C35}"/>
  <tableColumns count="10">
    <tableColumn id="1" xr3:uid="{8A12B429-F7FA-4C4E-8AF1-63B0C8CEA5E9}" name="Month" dataDxfId="41"/>
    <tableColumn id="2" xr3:uid="{E7C5B2D6-6D6E-4F51-87B7-9192C92A6361}" name="Actual" dataDxfId="40"/>
    <tableColumn id="3" xr3:uid="{7505BC76-817A-410B-B4A7-217512B8A127}" name="Expected" dataDxfId="39"/>
    <tableColumn id="4" xr3:uid="{3AA6C669-9BEC-4DF8-9221-AF1B4F48FB7A}" name="Delta Expected" dataDxfId="38">
      <calculatedColumnFormula>B5-C5</calculatedColumnFormula>
    </tableColumn>
    <tableColumn id="5" xr3:uid="{E9816728-98AD-4645-B5B1-5AD0998FE6B1}" name="% Expected" dataDxfId="37" dataCellStyle="Percent">
      <calculatedColumnFormula>IFERROR(D5/C5, 0)</calculatedColumnFormula>
    </tableColumn>
    <tableColumn id="6" xr3:uid="{7FE66B0D-FC1B-4E15-AB62-54F8416DA8A9}" name="Forecasted" dataDxfId="36"/>
    <tableColumn id="7" xr3:uid="{99387B54-5A18-4BD0-B0C3-4BD5AD45A7DF}" name="Delta Forecasted" dataDxfId="35" dataCellStyle="Comma">
      <calculatedColumnFormula>B5-F5</calculatedColumnFormula>
    </tableColumn>
    <tableColumn id="8" xr3:uid="{DECBA231-A82B-4623-900E-2D5F86CD5879}" name="% Forecasted" dataDxfId="34" dataCellStyle="Percent">
      <calculatedColumnFormula>IFERROR(G5/F5, 0)</calculatedColumnFormula>
    </tableColumn>
    <tableColumn id="9" xr3:uid="{F46C1314-12F1-41D3-B127-EECD10E32A3A}" name="Notes" dataDxfId="33" dataCellStyle="Percent"/>
    <tableColumn id="10" xr3:uid="{6DBD7673-2412-49A4-8F5A-B2FA7C387857}" name="Service Request" dataDxfId="32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C51983-448C-400E-B52B-3D1C801C1B47}" name="Data216" displayName="Data216" ref="A4:J16" totalsRowShown="0" headerRowDxfId="29" dataDxfId="28" headerRowBorderDxfId="26" tableBorderDxfId="27" dataCellStyle="Percent">
  <autoFilter ref="A4:J16" xr:uid="{C0C51983-448C-400E-B52B-3D1C801C1B47}"/>
  <tableColumns count="10">
    <tableColumn id="1" xr3:uid="{486E02C9-9385-4D78-93D0-5D4AACE86860}" name="Month" dataDxfId="25"/>
    <tableColumn id="2" xr3:uid="{A74942DE-67E9-4E05-933D-1AA4806BDA56}" name="Actual" dataDxfId="24"/>
    <tableColumn id="3" xr3:uid="{885D3FD8-8B7A-4BE6-AE5F-5B380EA19216}" name="Expected" dataDxfId="23"/>
    <tableColumn id="4" xr3:uid="{CD0E36C4-C053-4629-BF92-3D630BF59AB5}" name="Delta Expected" dataDxfId="22">
      <calculatedColumnFormula>B5-C5</calculatedColumnFormula>
    </tableColumn>
    <tableColumn id="5" xr3:uid="{775A1FAD-2E0B-4CA1-A674-0C6D781435F4}" name="% Expected" dataDxfId="21" dataCellStyle="Percent">
      <calculatedColumnFormula>IFERROR(D5/C5, 0)</calculatedColumnFormula>
    </tableColumn>
    <tableColumn id="6" xr3:uid="{E6CF3477-EF79-46A0-BBCE-FB514A4BBED2}" name="Forecasted" dataDxfId="20"/>
    <tableColumn id="7" xr3:uid="{EE905C90-7105-4186-8939-D99203F3799F}" name="Delta Forecasted" dataDxfId="19" dataCellStyle="Comma">
      <calculatedColumnFormula>B5-F5</calculatedColumnFormula>
    </tableColumn>
    <tableColumn id="8" xr3:uid="{2FF313F0-2348-4A77-BD4E-20CC0AFDC495}" name="% Forecasted" dataDxfId="18" dataCellStyle="Percent">
      <calculatedColumnFormula>IFERROR(G5/F5, 0)</calculatedColumnFormula>
    </tableColumn>
    <tableColumn id="9" xr3:uid="{D6BB6141-9F6E-47A8-8627-DF61261C8E49}" name="Notes" dataDxfId="17" dataCellStyle="Percent"/>
    <tableColumn id="10" xr3:uid="{D9298A7E-DB90-4178-91C6-CC0418EEDDA6}" name="Service Request" dataDxfId="16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75C0BF2-1A1A-49B8-A34A-06AEFE53696D}" name="Data217" displayName="Data217" ref="A4:J16" totalsRowShown="0" headerRowDxfId="13" dataDxfId="12" headerRowBorderDxfId="10" tableBorderDxfId="11" dataCellStyle="Percent">
  <autoFilter ref="A4:J16" xr:uid="{C75C0BF2-1A1A-49B8-A34A-06AEFE53696D}"/>
  <tableColumns count="10">
    <tableColumn id="1" xr3:uid="{CAB19D36-C3F7-43F7-81CD-B4FA4FD7C81E}" name="Month" dataDxfId="9"/>
    <tableColumn id="2" xr3:uid="{7047B36D-4830-4B2B-92CC-980E991CBBBB}" name="Actual" dataDxfId="8"/>
    <tableColumn id="3" xr3:uid="{2819DCDF-6698-4888-9D92-076D3EEA534D}" name="Expected" dataDxfId="7"/>
    <tableColumn id="4" xr3:uid="{AF7925D0-FECB-45E8-A8F1-16D02F5681AD}" name="Delta Expected" dataDxfId="6">
      <calculatedColumnFormula>B5-C5</calculatedColumnFormula>
    </tableColumn>
    <tableColumn id="5" xr3:uid="{70EE14D7-D88E-4BD5-B4D8-FFAF47A9FAE5}" name="% Expected" dataDxfId="5" dataCellStyle="Percent">
      <calculatedColumnFormula>IFERROR(D5/C5, 0)</calculatedColumnFormula>
    </tableColumn>
    <tableColumn id="6" xr3:uid="{0B25E761-C522-4AD5-9310-7A58BEF4F0CB}" name="Forecasted" dataDxfId="4"/>
    <tableColumn id="7" xr3:uid="{46B7BCA4-0B71-483F-BD66-674CCCE273A5}" name="Delta Forecasted" dataDxfId="3" dataCellStyle="Comma">
      <calculatedColumnFormula>B5-F5</calculatedColumnFormula>
    </tableColumn>
    <tableColumn id="8" xr3:uid="{A8D6EA99-AEC0-4EC3-9A21-0E76F655ED84}" name="% Forecasted" dataDxfId="2" dataCellStyle="Percent">
      <calculatedColumnFormula>IFERROR(G5/F5, 0)</calculatedColumnFormula>
    </tableColumn>
    <tableColumn id="9" xr3:uid="{4D83D167-6FCA-44EB-B456-DB0C3F796319}" name="Notes" dataDxfId="1" dataCellStyle="Percent"/>
    <tableColumn id="10" xr3:uid="{9F0C8439-91D4-4CEF-A902-985C55E9E5E1}" name="Service Request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I14"/>
  <sheetViews>
    <sheetView workbookViewId="0">
      <pane ySplit="2" topLeftCell="A3" activePane="bottomLeft" state="frozen"/>
      <selection pane="bottomLeft" activeCell="H17" sqref="H17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5">
      <c r="A1" s="109" t="str" cm="1">
        <f t="array" ref="A1">portfolio</f>
        <v>Troy School District</v>
      </c>
      <c r="B1" s="110"/>
      <c r="C1" s="111" t="s">
        <v>0</v>
      </c>
      <c r="D1" s="112"/>
      <c r="E1" s="112"/>
      <c r="F1" s="113"/>
      <c r="G1" s="103" t="s">
        <v>1</v>
      </c>
      <c r="H1" s="103"/>
      <c r="I1" s="104"/>
    </row>
    <row r="2" spans="1:9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>
        <f ca="1">SUM('1st Qtr'!C3, '2nd Qtr'!C3, '3rd Qtr'!C3, '4th Qtr'!C3)</f>
        <v>3467</v>
      </c>
      <c r="D3" s="49">
        <f ca="1">SUM('1st Qtr'!D3, '2nd Qtr'!D3, '3rd Qtr'!D3, '4th Qtr'!D3)</f>
        <v>15948</v>
      </c>
      <c r="E3" s="49">
        <f ca="1">C3-D3</f>
        <v>-12481</v>
      </c>
      <c r="F3" s="50">
        <f ca="1">IFERROR(E3/D3, 0)</f>
        <v>-0.78260596940055183</v>
      </c>
      <c r="G3" s="51">
        <f ca="1">SUM('1st Qtr'!G3, '2nd Qtr'!G3, '3rd Qtr'!G3, '4th Qtr'!G3)</f>
        <v>0</v>
      </c>
      <c r="H3" s="51">
        <f ca="1">C3-G3</f>
        <v>3467</v>
      </c>
      <c r="I3" s="52">
        <f ca="1">IFERROR(H3/G3, 0)</f>
        <v>0</v>
      </c>
    </row>
    <row r="4" spans="1:9" ht="15.75">
      <c r="A4" s="62" t="str">
        <v>Joliet - Heritage Trail</v>
      </c>
      <c r="B4" s="22" t="str">
        <v>IL</v>
      </c>
      <c r="C4" s="49">
        <f ca="1">SUM('1st Qtr'!C4, '2nd Qtr'!C4, '3rd Qtr'!C4, '4th Qtr'!C4)</f>
        <v>4288</v>
      </c>
      <c r="D4" s="49">
        <f ca="1">SUM('1st Qtr'!D4, '2nd Qtr'!D4, '3rd Qtr'!D4, '4th Qtr'!D4)</f>
        <v>17449</v>
      </c>
      <c r="E4" s="49">
        <f t="shared" ref="E4:E8" ca="1" si="0">C4-D4</f>
        <v>-13161</v>
      </c>
      <c r="F4" s="50">
        <f t="shared" ref="F4:F8" ca="1" si="1">IFERROR(E4/D4, 0)</f>
        <v>-0.7542552581809846</v>
      </c>
      <c r="G4" s="51">
        <f ca="1">SUM('1st Qtr'!G4, '2nd Qtr'!G4, '3rd Qtr'!G4, '4th Qtr'!G4)</f>
        <v>0</v>
      </c>
      <c r="H4" s="51">
        <f t="shared" ref="H4:H8" ca="1" si="2">C4-G4</f>
        <v>4288</v>
      </c>
      <c r="I4" s="52">
        <f t="shared" ref="I4:I8" ca="1" si="3">IFERROR(H4/G4, 0)</f>
        <v>0</v>
      </c>
    </row>
    <row r="5" spans="1:9" ht="15.75">
      <c r="A5" s="63" t="str">
        <v>Plainfield - Troy</v>
      </c>
      <c r="B5" s="48" t="str">
        <v>IL</v>
      </c>
      <c r="C5" s="49">
        <f ca="1">SUM('1st Qtr'!C5, '2nd Qtr'!C5, '3rd Qtr'!C5, '4th Qtr'!C5)</f>
        <v>4367</v>
      </c>
      <c r="D5" s="49">
        <f ca="1">SUM('1st Qtr'!D5, '2nd Qtr'!D5, '3rd Qtr'!D5, '4th Qtr'!D5)</f>
        <v>14453</v>
      </c>
      <c r="E5" s="49">
        <f t="shared" ca="1" si="0"/>
        <v>-10086</v>
      </c>
      <c r="F5" s="50">
        <f t="shared" ca="1" si="1"/>
        <v>-0.69784819760603334</v>
      </c>
      <c r="G5" s="51">
        <f ca="1">SUM('1st Qtr'!G5, '2nd Qtr'!G5, '3rd Qtr'!G5, '4th Qtr'!G5)</f>
        <v>0</v>
      </c>
      <c r="H5" s="51">
        <f t="shared" ca="1" si="2"/>
        <v>4367</v>
      </c>
      <c r="I5" s="52">
        <f t="shared" ca="1" si="3"/>
        <v>0</v>
      </c>
    </row>
    <row r="6" spans="1:9" ht="15.75">
      <c r="A6" s="62" t="str">
        <v>Plainfield - William B Orenic</v>
      </c>
      <c r="B6" s="22" t="str">
        <v>IL</v>
      </c>
      <c r="C6" s="49">
        <f ca="1">SUM('1st Qtr'!C6, '2nd Qtr'!C6, '3rd Qtr'!C6, '4th Qtr'!C6)</f>
        <v>4435</v>
      </c>
      <c r="D6" s="49">
        <f ca="1">SUM('1st Qtr'!D6, '2nd Qtr'!D6, '3rd Qtr'!D6, '4th Qtr'!D6)</f>
        <v>17416</v>
      </c>
      <c r="E6" s="49">
        <f t="shared" ca="1" si="0"/>
        <v>-12981</v>
      </c>
      <c r="F6" s="50">
        <f t="shared" ca="1" si="1"/>
        <v>-0.7453491042719339</v>
      </c>
      <c r="G6" s="51">
        <f ca="1">SUM('1st Qtr'!G6, '2nd Qtr'!G6, '3rd Qtr'!G6, '4th Qtr'!G6)</f>
        <v>0</v>
      </c>
      <c r="H6" s="51">
        <f t="shared" ca="1" si="2"/>
        <v>4435</v>
      </c>
      <c r="I6" s="52">
        <f t="shared" ca="1" si="3"/>
        <v>0</v>
      </c>
    </row>
    <row r="7" spans="1:9" ht="15.75">
      <c r="A7" s="63" t="str">
        <v>Shorewood - Cronin</v>
      </c>
      <c r="B7" s="48" t="str">
        <v>IL</v>
      </c>
      <c r="C7" s="49">
        <f ca="1">SUM('1st Qtr'!C7, '2nd Qtr'!C7, '3rd Qtr'!C7, '4th Qtr'!C7)</f>
        <v>4681</v>
      </c>
      <c r="D7" s="49">
        <f ca="1">SUM('1st Qtr'!D7, '2nd Qtr'!D7, '3rd Qtr'!D7, '4th Qtr'!D7)</f>
        <v>18468</v>
      </c>
      <c r="E7" s="49">
        <f t="shared" ca="1" si="0"/>
        <v>-13787</v>
      </c>
      <c r="F7" s="50">
        <f t="shared" ca="1" si="1"/>
        <v>-0.74653454624214854</v>
      </c>
      <c r="G7" s="51">
        <f ca="1">SUM('1st Qtr'!G7, '2nd Qtr'!G7, '3rd Qtr'!G7, '4th Qtr'!G7)</f>
        <v>0</v>
      </c>
      <c r="H7" s="51">
        <f t="shared" ca="1" si="2"/>
        <v>4681</v>
      </c>
      <c r="I7" s="52">
        <f t="shared" ca="1" si="3"/>
        <v>0</v>
      </c>
    </row>
    <row r="8" spans="1:9" ht="15.75">
      <c r="A8" s="62" t="str">
        <v>Shorewood - Hofer</v>
      </c>
      <c r="B8" s="22" t="str">
        <v>IL</v>
      </c>
      <c r="C8" s="49">
        <f ca="1">SUM('1st Qtr'!C8, '2nd Qtr'!C8, '3rd Qtr'!C8, '4th Qtr'!C8)</f>
        <v>3997</v>
      </c>
      <c r="D8" s="49">
        <f ca="1">SUM('1st Qtr'!D8, '2nd Qtr'!D8, '3rd Qtr'!D8, '4th Qtr'!D8)</f>
        <v>18360</v>
      </c>
      <c r="E8" s="49">
        <f t="shared" ca="1" si="0"/>
        <v>-14363</v>
      </c>
      <c r="F8" s="50">
        <f t="shared" ca="1" si="1"/>
        <v>-0.78229847494553373</v>
      </c>
      <c r="G8" s="51">
        <f ca="1">SUM('1st Qtr'!G8, '2nd Qtr'!G8, '3rd Qtr'!G8, '4th Qtr'!G8)</f>
        <v>0</v>
      </c>
      <c r="H8" s="51">
        <f t="shared" ca="1" si="2"/>
        <v>3997</v>
      </c>
      <c r="I8" s="52">
        <f t="shared" ca="1" si="3"/>
        <v>0</v>
      </c>
    </row>
    <row r="9" spans="1:9" ht="13.5">
      <c r="A9" s="105" t="s">
        <v>9</v>
      </c>
      <c r="B9" s="106"/>
      <c r="C9" s="64">
        <f ca="1">SUM(C3:C8)</f>
        <v>25235</v>
      </c>
      <c r="D9" s="64">
        <f ca="1">SUM(D3:D8)</f>
        <v>102094</v>
      </c>
      <c r="E9" s="64">
        <f ca="1">C9-D9</f>
        <v>-76859</v>
      </c>
      <c r="F9" s="55">
        <f ca="1">IFERROR(E9/D9, 0)</f>
        <v>-0.75282582717887436</v>
      </c>
      <c r="G9" s="64">
        <f ca="1">SUM(G3:G8)</f>
        <v>0</v>
      </c>
      <c r="H9" s="65">
        <f ca="1">C9-G9</f>
        <v>25235</v>
      </c>
      <c r="I9" s="56">
        <f ca="1">IFERROR(H9/G9, 0)</f>
        <v>0</v>
      </c>
    </row>
    <row r="11" spans="1:9">
      <c r="A11" s="107" t="s">
        <v>10</v>
      </c>
    </row>
    <row r="12" spans="1:9">
      <c r="A12" s="107"/>
    </row>
    <row r="13" spans="1:9">
      <c r="A13" s="108" t="s">
        <v>11</v>
      </c>
    </row>
    <row r="14" spans="1:9">
      <c r="A14" s="108"/>
    </row>
  </sheetData>
  <autoFilter ref="A2:I2" xr:uid="{D5C25034-9971-4A61-864F-C938F31EB1B8}"/>
  <mergeCells count="6">
    <mergeCell ref="G1:I1"/>
    <mergeCell ref="A9:B9"/>
    <mergeCell ref="A11:A12"/>
    <mergeCell ref="A13:A14"/>
    <mergeCell ref="A1:B1"/>
    <mergeCell ref="C1:F1"/>
  </mergeCells>
  <conditionalFormatting sqref="F3:F9 I3:I9">
    <cfRule type="cellIs" dxfId="140" priority="1" operator="lessThanOrEqual">
      <formula>-0.1</formula>
    </cfRule>
    <cfRule type="cellIs" dxfId="13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14"/>
  <sheetViews>
    <sheetView workbookViewId="0">
      <pane ySplit="2" topLeftCell="A3" activePane="bottomLeft" state="frozen"/>
      <selection pane="bottomLeft" activeCell="A27" sqref="A27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5">
      <c r="A1" s="109" t="str" cm="1">
        <f t="array" ref="A1">portfolio</f>
        <v>Troy School District</v>
      </c>
      <c r="B1" s="110"/>
      <c r="C1" s="111" t="s">
        <v>12</v>
      </c>
      <c r="D1" s="112"/>
      <c r="E1" s="112"/>
      <c r="F1" s="113"/>
      <c r="G1" s="103" t="s">
        <v>13</v>
      </c>
      <c r="H1" s="103"/>
      <c r="I1" s="104"/>
    </row>
    <row r="2" spans="1:9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>
        <f ca="1">SUM(Jan!C3, Feb!C3, Mar!C3)</f>
        <v>3467</v>
      </c>
      <c r="D3" s="49">
        <f ca="1">SUM(Jan!D3, Feb!D3, Mar!D3)</f>
        <v>15948</v>
      </c>
      <c r="E3" s="49">
        <f ca="1">C3-D3</f>
        <v>-12481</v>
      </c>
      <c r="F3" s="50">
        <f ca="1">IFERROR(E3/D3, 0)</f>
        <v>-0.78260596940055183</v>
      </c>
      <c r="G3" s="51">
        <f ca="1">SUM(Jan!G3, Feb!G3, Mar!G3)</f>
        <v>0</v>
      </c>
      <c r="H3" s="51">
        <f ca="1">C3-G3</f>
        <v>3467</v>
      </c>
      <c r="I3" s="52">
        <f ca="1">IFERROR(H3/G3, 0)</f>
        <v>0</v>
      </c>
    </row>
    <row r="4" spans="1:9" ht="15.75">
      <c r="A4" s="62" t="str">
        <v>Joliet - Heritage Trail</v>
      </c>
      <c r="B4" s="22" t="str">
        <v>IL</v>
      </c>
      <c r="C4" s="49">
        <f ca="1">SUM(Jan!C4, Feb!C4, Mar!C4)</f>
        <v>4288</v>
      </c>
      <c r="D4" s="49">
        <f ca="1">SUM(Jan!D4, Feb!D4, Mar!D4)</f>
        <v>17449</v>
      </c>
      <c r="E4" s="49">
        <f t="shared" ref="E4:E8" ca="1" si="0">C4-D4</f>
        <v>-13161</v>
      </c>
      <c r="F4" s="50">
        <f t="shared" ref="F4:F8" ca="1" si="1">IFERROR(E4/D4, 0)</f>
        <v>-0.7542552581809846</v>
      </c>
      <c r="G4" s="51">
        <f ca="1">SUM(Jan!G4, Feb!G4, Mar!G4)</f>
        <v>0</v>
      </c>
      <c r="H4" s="51">
        <f t="shared" ref="H4:H8" ca="1" si="2">C4-G4</f>
        <v>4288</v>
      </c>
      <c r="I4" s="52">
        <f t="shared" ref="I4:I8" ca="1" si="3">IFERROR(H4/G4, 0)</f>
        <v>0</v>
      </c>
    </row>
    <row r="5" spans="1:9" ht="15.75">
      <c r="A5" s="63" t="str">
        <v>Plainfield - Troy</v>
      </c>
      <c r="B5" s="48" t="str">
        <v>IL</v>
      </c>
      <c r="C5" s="49">
        <f ca="1">SUM(Jan!C5, Feb!C5, Mar!C5)</f>
        <v>4367</v>
      </c>
      <c r="D5" s="49">
        <f ca="1">SUM(Jan!D5, Feb!D5, Mar!D5)</f>
        <v>14453</v>
      </c>
      <c r="E5" s="49">
        <f t="shared" ca="1" si="0"/>
        <v>-10086</v>
      </c>
      <c r="F5" s="50">
        <f t="shared" ca="1" si="1"/>
        <v>-0.69784819760603334</v>
      </c>
      <c r="G5" s="51">
        <f ca="1">SUM(Jan!G5, Feb!G5, Mar!G5)</f>
        <v>0</v>
      </c>
      <c r="H5" s="51">
        <f t="shared" ca="1" si="2"/>
        <v>4367</v>
      </c>
      <c r="I5" s="52">
        <f t="shared" ca="1" si="3"/>
        <v>0</v>
      </c>
    </row>
    <row r="6" spans="1:9" ht="15.75">
      <c r="A6" s="62" t="str">
        <v>Plainfield - William B Orenic</v>
      </c>
      <c r="B6" s="22" t="str">
        <v>IL</v>
      </c>
      <c r="C6" s="49">
        <f ca="1">SUM(Jan!C6, Feb!C6, Mar!C6)</f>
        <v>4435</v>
      </c>
      <c r="D6" s="49">
        <f ca="1">SUM(Jan!D6, Feb!D6, Mar!D6)</f>
        <v>17416</v>
      </c>
      <c r="E6" s="49">
        <f t="shared" ca="1" si="0"/>
        <v>-12981</v>
      </c>
      <c r="F6" s="50">
        <f t="shared" ca="1" si="1"/>
        <v>-0.7453491042719339</v>
      </c>
      <c r="G6" s="51">
        <f ca="1">SUM(Jan!G6, Feb!G6, Mar!G6)</f>
        <v>0</v>
      </c>
      <c r="H6" s="51">
        <f t="shared" ca="1" si="2"/>
        <v>4435</v>
      </c>
      <c r="I6" s="52">
        <f t="shared" ca="1" si="3"/>
        <v>0</v>
      </c>
    </row>
    <row r="7" spans="1:9" ht="15.75">
      <c r="A7" s="63" t="str">
        <v>Shorewood - Cronin</v>
      </c>
      <c r="B7" s="48" t="str">
        <v>IL</v>
      </c>
      <c r="C7" s="49">
        <f ca="1">SUM(Jan!C7, Feb!C7, Mar!C7)</f>
        <v>4681</v>
      </c>
      <c r="D7" s="49">
        <f ca="1">SUM(Jan!D7, Feb!D7, Mar!D7)</f>
        <v>18468</v>
      </c>
      <c r="E7" s="49">
        <f t="shared" ca="1" si="0"/>
        <v>-13787</v>
      </c>
      <c r="F7" s="50">
        <f t="shared" ca="1" si="1"/>
        <v>-0.74653454624214854</v>
      </c>
      <c r="G7" s="51">
        <f ca="1">SUM(Jan!G7, Feb!G7, Mar!G7)</f>
        <v>0</v>
      </c>
      <c r="H7" s="51">
        <f t="shared" ca="1" si="2"/>
        <v>4681</v>
      </c>
      <c r="I7" s="52">
        <f t="shared" ca="1" si="3"/>
        <v>0</v>
      </c>
    </row>
    <row r="8" spans="1:9" ht="15.75">
      <c r="A8" s="62" t="str">
        <v>Shorewood - Hofer</v>
      </c>
      <c r="B8" s="22" t="str">
        <v>IL</v>
      </c>
      <c r="C8" s="49">
        <f ca="1">SUM(Jan!C8, Feb!C8, Mar!C8)</f>
        <v>3997</v>
      </c>
      <c r="D8" s="49">
        <f ca="1">SUM(Jan!D8, Feb!D8, Mar!D8)</f>
        <v>18360</v>
      </c>
      <c r="E8" s="49">
        <f t="shared" ca="1" si="0"/>
        <v>-14363</v>
      </c>
      <c r="F8" s="50">
        <f t="shared" ca="1" si="1"/>
        <v>-0.78229847494553373</v>
      </c>
      <c r="G8" s="51">
        <f ca="1">SUM(Jan!G8, Feb!G8, Mar!G8)</f>
        <v>0</v>
      </c>
      <c r="H8" s="51">
        <f t="shared" ca="1" si="2"/>
        <v>3997</v>
      </c>
      <c r="I8" s="52">
        <f t="shared" ca="1" si="3"/>
        <v>0</v>
      </c>
    </row>
    <row r="9" spans="1:9" ht="13.5">
      <c r="A9" s="105" t="s">
        <v>9</v>
      </c>
      <c r="B9" s="106"/>
      <c r="C9" s="64">
        <f ca="1">SUM(C3:C8)</f>
        <v>25235</v>
      </c>
      <c r="D9" s="64">
        <f ca="1">SUM(D3:D8)</f>
        <v>102094</v>
      </c>
      <c r="E9" s="64">
        <f ca="1">C9-D9</f>
        <v>-76859</v>
      </c>
      <c r="F9" s="55">
        <f ca="1">IFERROR(E9/D9, 0)</f>
        <v>-0.75282582717887436</v>
      </c>
      <c r="G9" s="64">
        <f ca="1">SUM(G3:G8)</f>
        <v>0</v>
      </c>
      <c r="H9" s="65">
        <f ca="1">C9-G9</f>
        <v>25235</v>
      </c>
      <c r="I9" s="56">
        <f ca="1">IFERROR(H9/G9, 0)</f>
        <v>0</v>
      </c>
    </row>
    <row r="11" spans="1:9">
      <c r="A11" s="107" t="s">
        <v>10</v>
      </c>
    </row>
    <row r="12" spans="1:9">
      <c r="A12" s="107"/>
    </row>
    <row r="13" spans="1:9">
      <c r="A13" s="108" t="s">
        <v>11</v>
      </c>
    </row>
    <row r="14" spans="1:9">
      <c r="A14" s="108"/>
    </row>
  </sheetData>
  <autoFilter ref="A2:I2" xr:uid="{00000000-0001-0000-0000-000000000000}"/>
  <sortState xmlns:xlrd2="http://schemas.microsoft.com/office/spreadsheetml/2017/richdata2" ref="A3:I3">
    <sortCondition ref="A3"/>
  </sortState>
  <mergeCells count="6">
    <mergeCell ref="G1:I1"/>
    <mergeCell ref="A9:B9"/>
    <mergeCell ref="A11:A12"/>
    <mergeCell ref="A13:A14"/>
    <mergeCell ref="A1:B1"/>
    <mergeCell ref="C1:F1"/>
  </mergeCells>
  <conditionalFormatting sqref="F3:F9">
    <cfRule type="cellIs" dxfId="138" priority="1" operator="lessThanOrEqual">
      <formula>-0.1</formula>
    </cfRule>
    <cfRule type="cellIs" dxfId="137" priority="2" operator="greaterThanOrEqual">
      <formula>0.1</formula>
    </cfRule>
  </conditionalFormatting>
  <conditionalFormatting sqref="I3:I9">
    <cfRule type="cellIs" dxfId="136" priority="3" operator="lessThanOrEqual">
      <formula>-0.1</formula>
    </cfRule>
    <cfRule type="cellIs" dxfId="135" priority="4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14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5">
      <c r="A1" s="109" t="str" cm="1">
        <f t="array" ref="A1">portfolio</f>
        <v>Troy School District</v>
      </c>
      <c r="B1" s="110"/>
      <c r="C1" s="111" t="s">
        <v>14</v>
      </c>
      <c r="D1" s="112"/>
      <c r="E1" s="112"/>
      <c r="F1" s="113"/>
      <c r="G1" s="103" t="s">
        <v>15</v>
      </c>
      <c r="H1" s="103"/>
      <c r="I1" s="104"/>
    </row>
    <row r="2" spans="1:9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>
        <f ca="1">SUM(Apr!C3, May!C3, Jun!C3)</f>
        <v>0</v>
      </c>
      <c r="D3" s="49">
        <f ca="1">SUM(Apr!D3, May!D3, Jun!D3)</f>
        <v>0</v>
      </c>
      <c r="E3" s="49">
        <f ca="1">C3-D3</f>
        <v>0</v>
      </c>
      <c r="F3" s="50">
        <f ca="1">IFERROR(E3/D3, 0)</f>
        <v>0</v>
      </c>
      <c r="G3" s="51">
        <f ca="1">SUM(Apr!G3, May!G3, Jun!G3)</f>
        <v>0</v>
      </c>
      <c r="H3" s="51">
        <f ca="1">C3-G3</f>
        <v>0</v>
      </c>
      <c r="I3" s="52">
        <f ca="1">IFERROR(H3/G3, 0)</f>
        <v>0</v>
      </c>
    </row>
    <row r="4" spans="1:9" ht="15.75">
      <c r="A4" s="62" t="str">
        <v>Joliet - Heritage Trail</v>
      </c>
      <c r="B4" s="22" t="str">
        <v>IL</v>
      </c>
      <c r="C4" s="49">
        <f ca="1">SUM(Apr!C4, May!C4, Jun!C4)</f>
        <v>0</v>
      </c>
      <c r="D4" s="49">
        <f ca="1">SUM(Apr!D4, May!D4, Jun!D4)</f>
        <v>0</v>
      </c>
      <c r="E4" s="49">
        <f t="shared" ref="E4:E8" ca="1" si="0">C4-D4</f>
        <v>0</v>
      </c>
      <c r="F4" s="50">
        <f t="shared" ref="F4:F8" ca="1" si="1">IFERROR(E4/D4, 0)</f>
        <v>0</v>
      </c>
      <c r="G4" s="51">
        <f ca="1">SUM(Apr!G4, May!G4, Jun!G4)</f>
        <v>0</v>
      </c>
      <c r="H4" s="51">
        <f t="shared" ref="H4:H8" ca="1" si="2">C4-G4</f>
        <v>0</v>
      </c>
      <c r="I4" s="52">
        <f t="shared" ref="I4:I8" ca="1" si="3">IFERROR(H4/G4, 0)</f>
        <v>0</v>
      </c>
    </row>
    <row r="5" spans="1:9" ht="15.75">
      <c r="A5" s="63" t="str">
        <v>Plainfield - Troy</v>
      </c>
      <c r="B5" s="48" t="str">
        <v>IL</v>
      </c>
      <c r="C5" s="49">
        <f ca="1">SUM(Apr!C5, May!C5, Jun!C5)</f>
        <v>0</v>
      </c>
      <c r="D5" s="49">
        <f ca="1">SUM(Apr!D5, May!D5, Jun!D5)</f>
        <v>0</v>
      </c>
      <c r="E5" s="49">
        <f t="shared" ca="1" si="0"/>
        <v>0</v>
      </c>
      <c r="F5" s="50">
        <f t="shared" ca="1" si="1"/>
        <v>0</v>
      </c>
      <c r="G5" s="51">
        <f ca="1">SUM(Apr!G5, May!G5, Jun!G5)</f>
        <v>0</v>
      </c>
      <c r="H5" s="51">
        <f t="shared" ca="1" si="2"/>
        <v>0</v>
      </c>
      <c r="I5" s="52">
        <f t="shared" ca="1" si="3"/>
        <v>0</v>
      </c>
    </row>
    <row r="6" spans="1:9" ht="15.75">
      <c r="A6" s="62" t="str">
        <v>Plainfield - William B Orenic</v>
      </c>
      <c r="B6" s="22" t="str">
        <v>IL</v>
      </c>
      <c r="C6" s="49">
        <f ca="1">SUM(Apr!C6, May!C6, Jun!C6)</f>
        <v>0</v>
      </c>
      <c r="D6" s="49">
        <f ca="1">SUM(Apr!D6, May!D6, Jun!D6)</f>
        <v>0</v>
      </c>
      <c r="E6" s="49">
        <f t="shared" ca="1" si="0"/>
        <v>0</v>
      </c>
      <c r="F6" s="50">
        <f t="shared" ca="1" si="1"/>
        <v>0</v>
      </c>
      <c r="G6" s="51">
        <f ca="1">SUM(Apr!G6, May!G6, Jun!G6)</f>
        <v>0</v>
      </c>
      <c r="H6" s="51">
        <f t="shared" ca="1" si="2"/>
        <v>0</v>
      </c>
      <c r="I6" s="52">
        <f t="shared" ca="1" si="3"/>
        <v>0</v>
      </c>
    </row>
    <row r="7" spans="1:9" ht="15.75">
      <c r="A7" s="63" t="str">
        <v>Shorewood - Cronin</v>
      </c>
      <c r="B7" s="48" t="str">
        <v>IL</v>
      </c>
      <c r="C7" s="49">
        <f ca="1">SUM(Apr!C7, May!C7, Jun!C7)</f>
        <v>0</v>
      </c>
      <c r="D7" s="49">
        <f ca="1">SUM(Apr!D7, May!D7, Jun!D7)</f>
        <v>0</v>
      </c>
      <c r="E7" s="49">
        <f t="shared" ca="1" si="0"/>
        <v>0</v>
      </c>
      <c r="F7" s="50">
        <f t="shared" ca="1" si="1"/>
        <v>0</v>
      </c>
      <c r="G7" s="51">
        <f ca="1">SUM(Apr!G7, May!G7, Jun!G7)</f>
        <v>0</v>
      </c>
      <c r="H7" s="51">
        <f t="shared" ca="1" si="2"/>
        <v>0</v>
      </c>
      <c r="I7" s="52">
        <f t="shared" ca="1" si="3"/>
        <v>0</v>
      </c>
    </row>
    <row r="8" spans="1:9" ht="15.75">
      <c r="A8" s="62" t="str">
        <v>Shorewood - Hofer</v>
      </c>
      <c r="B8" s="22" t="str">
        <v>IL</v>
      </c>
      <c r="C8" s="49">
        <f ca="1">SUM(Apr!C8, May!C8, Jun!C8)</f>
        <v>0</v>
      </c>
      <c r="D8" s="49">
        <f ca="1">SUM(Apr!D8, May!D8, Jun!D8)</f>
        <v>0</v>
      </c>
      <c r="E8" s="49">
        <f t="shared" ca="1" si="0"/>
        <v>0</v>
      </c>
      <c r="F8" s="50">
        <f t="shared" ca="1" si="1"/>
        <v>0</v>
      </c>
      <c r="G8" s="51">
        <f ca="1">SUM(Apr!G8, May!G8, Jun!G8)</f>
        <v>0</v>
      </c>
      <c r="H8" s="51">
        <f t="shared" ca="1" si="2"/>
        <v>0</v>
      </c>
      <c r="I8" s="52">
        <f t="shared" ca="1" si="3"/>
        <v>0</v>
      </c>
    </row>
    <row r="9" spans="1:9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</row>
    <row r="11" spans="1:9">
      <c r="A11" s="107" t="s">
        <v>10</v>
      </c>
    </row>
    <row r="12" spans="1:9">
      <c r="A12" s="107"/>
    </row>
    <row r="13" spans="1:9">
      <c r="A13" s="108" t="s">
        <v>11</v>
      </c>
    </row>
    <row r="14" spans="1:9">
      <c r="A14" s="108"/>
    </row>
  </sheetData>
  <autoFilter ref="A2:I2" xr:uid="{38E74E64-E3A4-43F8-9B1A-78F26543F23E}"/>
  <sortState xmlns:xlrd2="http://schemas.microsoft.com/office/spreadsheetml/2017/richdata2" ref="A3:I4">
    <sortCondition ref="A3:A4"/>
  </sortState>
  <mergeCells count="6">
    <mergeCell ref="G1:I1"/>
    <mergeCell ref="A9:B9"/>
    <mergeCell ref="A11:A12"/>
    <mergeCell ref="A13:A14"/>
    <mergeCell ref="A1:B1"/>
    <mergeCell ref="C1:F1"/>
  </mergeCells>
  <conditionalFormatting sqref="F3:F9">
    <cfRule type="cellIs" dxfId="134" priority="3" operator="lessThanOrEqual">
      <formula>-0.1</formula>
    </cfRule>
    <cfRule type="cellIs" dxfId="133" priority="4" operator="greaterThanOrEqual">
      <formula>0.1</formula>
    </cfRule>
  </conditionalFormatting>
  <conditionalFormatting sqref="I3:I9">
    <cfRule type="cellIs" dxfId="132" priority="1" operator="lessThanOrEqual">
      <formula>-0.1</formula>
    </cfRule>
    <cfRule type="cellIs" dxfId="13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14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5">
      <c r="A1" s="109" t="str" cm="1">
        <f t="array" ref="A1">portfolio</f>
        <v>Troy School District</v>
      </c>
      <c r="B1" s="110"/>
      <c r="C1" s="111" t="s">
        <v>16</v>
      </c>
      <c r="D1" s="112"/>
      <c r="E1" s="112"/>
      <c r="F1" s="113"/>
      <c r="G1" s="103" t="s">
        <v>17</v>
      </c>
      <c r="H1" s="103"/>
      <c r="I1" s="104"/>
    </row>
    <row r="2" spans="1:9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>
        <f ca="1">SUM(Jul!C3, Aug!C3, Sep!C3)</f>
        <v>0</v>
      </c>
      <c r="D3" s="49">
        <f ca="1">SUM(Jul!D3, Aug!D3, Sep!D3)</f>
        <v>0</v>
      </c>
      <c r="E3" s="49">
        <f ca="1">C3-D3</f>
        <v>0</v>
      </c>
      <c r="F3" s="50">
        <f ca="1">IFERROR(E3/D3, 0)</f>
        <v>0</v>
      </c>
      <c r="G3" s="51">
        <f ca="1">SUM(Jul!G3, Aug!G3, Sep!G3)</f>
        <v>0</v>
      </c>
      <c r="H3" s="51">
        <f ca="1">C3-G3</f>
        <v>0</v>
      </c>
      <c r="I3" s="52">
        <f ca="1">IFERROR(H3/G3, 0)</f>
        <v>0</v>
      </c>
    </row>
    <row r="4" spans="1:9" ht="15.75">
      <c r="A4" s="62" t="str">
        <v>Joliet - Heritage Trail</v>
      </c>
      <c r="B4" s="22" t="str">
        <v>IL</v>
      </c>
      <c r="C4" s="49">
        <f ca="1">SUM(Jul!C4, Aug!C4, Sep!C4)</f>
        <v>0</v>
      </c>
      <c r="D4" s="49">
        <f ca="1">SUM(Jul!D4, Aug!D4, Sep!D4)</f>
        <v>0</v>
      </c>
      <c r="E4" s="49">
        <f t="shared" ref="E4:E8" ca="1" si="0">C4-D4</f>
        <v>0</v>
      </c>
      <c r="F4" s="50">
        <f t="shared" ref="F4:F8" ca="1" si="1">IFERROR(E4/D4, 0)</f>
        <v>0</v>
      </c>
      <c r="G4" s="51">
        <f ca="1">SUM(Jul!G4, Aug!G4, Sep!G4)</f>
        <v>0</v>
      </c>
      <c r="H4" s="51">
        <f t="shared" ref="H4:H8" ca="1" si="2">C4-G4</f>
        <v>0</v>
      </c>
      <c r="I4" s="52">
        <f t="shared" ref="I4:I8" ca="1" si="3">IFERROR(H4/G4, 0)</f>
        <v>0</v>
      </c>
    </row>
    <row r="5" spans="1:9" ht="15.75">
      <c r="A5" s="63" t="str">
        <v>Plainfield - Troy</v>
      </c>
      <c r="B5" s="48" t="str">
        <v>IL</v>
      </c>
      <c r="C5" s="49">
        <f ca="1">SUM(Jul!C5, Aug!C5, Sep!C5)</f>
        <v>0</v>
      </c>
      <c r="D5" s="49">
        <f ca="1">SUM(Jul!D5, Aug!D5, Sep!D5)</f>
        <v>0</v>
      </c>
      <c r="E5" s="49">
        <f t="shared" ca="1" si="0"/>
        <v>0</v>
      </c>
      <c r="F5" s="50">
        <f t="shared" ca="1" si="1"/>
        <v>0</v>
      </c>
      <c r="G5" s="51">
        <f ca="1">SUM(Jul!G5, Aug!G5, Sep!G5)</f>
        <v>0</v>
      </c>
      <c r="H5" s="51">
        <f t="shared" ca="1" si="2"/>
        <v>0</v>
      </c>
      <c r="I5" s="52">
        <f t="shared" ca="1" si="3"/>
        <v>0</v>
      </c>
    </row>
    <row r="6" spans="1:9" ht="15.75">
      <c r="A6" s="62" t="str">
        <v>Plainfield - William B Orenic</v>
      </c>
      <c r="B6" s="22" t="str">
        <v>IL</v>
      </c>
      <c r="C6" s="49">
        <f ca="1">SUM(Jul!C6, Aug!C6, Sep!C6)</f>
        <v>0</v>
      </c>
      <c r="D6" s="49">
        <f ca="1">SUM(Jul!D6, Aug!D6, Sep!D6)</f>
        <v>0</v>
      </c>
      <c r="E6" s="49">
        <f t="shared" ca="1" si="0"/>
        <v>0</v>
      </c>
      <c r="F6" s="50">
        <f t="shared" ca="1" si="1"/>
        <v>0</v>
      </c>
      <c r="G6" s="51">
        <f ca="1">SUM(Jul!G6, Aug!G6, Sep!G6)</f>
        <v>0</v>
      </c>
      <c r="H6" s="51">
        <f t="shared" ca="1" si="2"/>
        <v>0</v>
      </c>
      <c r="I6" s="52">
        <f t="shared" ca="1" si="3"/>
        <v>0</v>
      </c>
    </row>
    <row r="7" spans="1:9" ht="15.75">
      <c r="A7" s="63" t="str">
        <v>Shorewood - Cronin</v>
      </c>
      <c r="B7" s="48" t="str">
        <v>IL</v>
      </c>
      <c r="C7" s="49">
        <f ca="1">SUM(Jul!C7, Aug!C7, Sep!C7)</f>
        <v>0</v>
      </c>
      <c r="D7" s="49">
        <f ca="1">SUM(Jul!D7, Aug!D7, Sep!D7)</f>
        <v>0</v>
      </c>
      <c r="E7" s="49">
        <f t="shared" ca="1" si="0"/>
        <v>0</v>
      </c>
      <c r="F7" s="50">
        <f t="shared" ca="1" si="1"/>
        <v>0</v>
      </c>
      <c r="G7" s="51">
        <f ca="1">SUM(Jul!G7, Aug!G7, Sep!G7)</f>
        <v>0</v>
      </c>
      <c r="H7" s="51">
        <f t="shared" ca="1" si="2"/>
        <v>0</v>
      </c>
      <c r="I7" s="52">
        <f t="shared" ca="1" si="3"/>
        <v>0</v>
      </c>
    </row>
    <row r="8" spans="1:9" ht="15.75">
      <c r="A8" s="62" t="str">
        <v>Shorewood - Hofer</v>
      </c>
      <c r="B8" s="22" t="str">
        <v>IL</v>
      </c>
      <c r="C8" s="49">
        <f ca="1">SUM(Jul!C8, Aug!C8, Sep!C8)</f>
        <v>0</v>
      </c>
      <c r="D8" s="49">
        <f ca="1">SUM(Jul!D8, Aug!D8, Sep!D8)</f>
        <v>0</v>
      </c>
      <c r="E8" s="49">
        <f t="shared" ca="1" si="0"/>
        <v>0</v>
      </c>
      <c r="F8" s="50">
        <f t="shared" ca="1" si="1"/>
        <v>0</v>
      </c>
      <c r="G8" s="51">
        <f ca="1">SUM(Jul!G8, Aug!G8, Sep!G8)</f>
        <v>0</v>
      </c>
      <c r="H8" s="51">
        <f t="shared" ca="1" si="2"/>
        <v>0</v>
      </c>
      <c r="I8" s="52">
        <f t="shared" ca="1" si="3"/>
        <v>0</v>
      </c>
    </row>
    <row r="9" spans="1:9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</row>
    <row r="11" spans="1:9">
      <c r="A11" s="107" t="s">
        <v>10</v>
      </c>
    </row>
    <row r="12" spans="1:9">
      <c r="A12" s="107"/>
    </row>
    <row r="13" spans="1:9">
      <c r="A13" s="108" t="s">
        <v>11</v>
      </c>
    </row>
    <row r="14" spans="1:9">
      <c r="A14" s="108"/>
    </row>
  </sheetData>
  <autoFilter ref="A2:I2" xr:uid="{CACFAF7D-C0A7-49C0-9FFC-8D8BC8F00BC8}"/>
  <mergeCells count="6">
    <mergeCell ref="G1:I1"/>
    <mergeCell ref="A9:B9"/>
    <mergeCell ref="A11:A12"/>
    <mergeCell ref="A13:A14"/>
    <mergeCell ref="A1:B1"/>
    <mergeCell ref="C1:F1"/>
  </mergeCells>
  <conditionalFormatting sqref="F3:F9">
    <cfRule type="cellIs" dxfId="130" priority="3" operator="lessThanOrEqual">
      <formula>-0.1</formula>
    </cfRule>
    <cfRule type="cellIs" dxfId="129" priority="4" operator="greaterThanOrEqual">
      <formula>0.1</formula>
    </cfRule>
  </conditionalFormatting>
  <conditionalFormatting sqref="I3:I9">
    <cfRule type="cellIs" dxfId="128" priority="1" operator="lessThanOrEqual">
      <formula>-0.1</formula>
    </cfRule>
    <cfRule type="cellIs" dxfId="12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14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</cols>
  <sheetData>
    <row r="1" spans="1:9" ht="15">
      <c r="A1" s="109" t="str" cm="1">
        <f t="array" ref="A1">portfolio</f>
        <v>Troy School District</v>
      </c>
      <c r="B1" s="110"/>
      <c r="C1" s="111" t="s">
        <v>18</v>
      </c>
      <c r="D1" s="112"/>
      <c r="E1" s="112"/>
      <c r="F1" s="113"/>
      <c r="G1" s="103" t="s">
        <v>19</v>
      </c>
      <c r="H1" s="103"/>
      <c r="I1" s="104"/>
    </row>
    <row r="2" spans="1:9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</row>
    <row r="3" spans="1:9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>
        <f ca="1">SUM(Oct!C3, Nov!C3, Dec!C3)</f>
        <v>0</v>
      </c>
      <c r="D3" s="49">
        <f ca="1">SUM(Oct!D3, Nov!D3, Dec!D3)</f>
        <v>0</v>
      </c>
      <c r="E3" s="49">
        <f ca="1">C3-D3</f>
        <v>0</v>
      </c>
      <c r="F3" s="50">
        <f ca="1">IFERROR(E3/D3, 0)</f>
        <v>0</v>
      </c>
      <c r="G3" s="51">
        <f ca="1">SUM(Oct!G3, Nov!G3, Dec!G3)</f>
        <v>0</v>
      </c>
      <c r="H3" s="51">
        <f ca="1">C3-G3</f>
        <v>0</v>
      </c>
      <c r="I3" s="52">
        <f ca="1">IFERROR(H3/G3, 0)</f>
        <v>0</v>
      </c>
    </row>
    <row r="4" spans="1:9" ht="15.75">
      <c r="A4" s="62" t="str">
        <v>Joliet - Heritage Trail</v>
      </c>
      <c r="B4" s="22" t="str">
        <v>IL</v>
      </c>
      <c r="C4" s="49">
        <f ca="1">SUM(Oct!C4, Nov!C4, Dec!C4)</f>
        <v>0</v>
      </c>
      <c r="D4" s="49">
        <f ca="1">SUM(Oct!D4, Nov!D4, Dec!D4)</f>
        <v>0</v>
      </c>
      <c r="E4" s="49">
        <f t="shared" ref="E4:E8" ca="1" si="0">C4-D4</f>
        <v>0</v>
      </c>
      <c r="F4" s="50">
        <f t="shared" ref="F4:F8" ca="1" si="1">IFERROR(E4/D4, 0)</f>
        <v>0</v>
      </c>
      <c r="G4" s="51">
        <f ca="1">SUM(Oct!G4, Nov!G4, Dec!G4)</f>
        <v>0</v>
      </c>
      <c r="H4" s="51">
        <f t="shared" ref="H4:H8" ca="1" si="2">C4-G4</f>
        <v>0</v>
      </c>
      <c r="I4" s="52">
        <f t="shared" ref="I4:I8" ca="1" si="3">IFERROR(H4/G4, 0)</f>
        <v>0</v>
      </c>
    </row>
    <row r="5" spans="1:9" ht="15.75">
      <c r="A5" s="63" t="str">
        <v>Plainfield - Troy</v>
      </c>
      <c r="B5" s="48" t="str">
        <v>IL</v>
      </c>
      <c r="C5" s="49">
        <f ca="1">SUM(Oct!C5, Nov!C5, Dec!C5)</f>
        <v>0</v>
      </c>
      <c r="D5" s="49">
        <f ca="1">SUM(Oct!D5, Nov!D5, Dec!D5)</f>
        <v>0</v>
      </c>
      <c r="E5" s="49">
        <f t="shared" ca="1" si="0"/>
        <v>0</v>
      </c>
      <c r="F5" s="50">
        <f t="shared" ca="1" si="1"/>
        <v>0</v>
      </c>
      <c r="G5" s="51">
        <f ca="1">SUM(Oct!G5, Nov!G5, Dec!G5)</f>
        <v>0</v>
      </c>
      <c r="H5" s="51">
        <f t="shared" ca="1" si="2"/>
        <v>0</v>
      </c>
      <c r="I5" s="52">
        <f t="shared" ca="1" si="3"/>
        <v>0</v>
      </c>
    </row>
    <row r="6" spans="1:9" ht="15.75">
      <c r="A6" s="62" t="str">
        <v>Plainfield - William B Orenic</v>
      </c>
      <c r="B6" s="22" t="str">
        <v>IL</v>
      </c>
      <c r="C6" s="49">
        <f ca="1">SUM(Oct!C6, Nov!C6, Dec!C6)</f>
        <v>0</v>
      </c>
      <c r="D6" s="49">
        <f ca="1">SUM(Oct!D6, Nov!D6, Dec!D6)</f>
        <v>0</v>
      </c>
      <c r="E6" s="49">
        <f t="shared" ca="1" si="0"/>
        <v>0</v>
      </c>
      <c r="F6" s="50">
        <f t="shared" ca="1" si="1"/>
        <v>0</v>
      </c>
      <c r="G6" s="51">
        <f ca="1">SUM(Oct!G6, Nov!G6, Dec!G6)</f>
        <v>0</v>
      </c>
      <c r="H6" s="51">
        <f t="shared" ca="1" si="2"/>
        <v>0</v>
      </c>
      <c r="I6" s="52">
        <f t="shared" ca="1" si="3"/>
        <v>0</v>
      </c>
    </row>
    <row r="7" spans="1:9" ht="15.75">
      <c r="A7" s="63" t="str">
        <v>Shorewood - Cronin</v>
      </c>
      <c r="B7" s="48" t="str">
        <v>IL</v>
      </c>
      <c r="C7" s="49">
        <f ca="1">SUM(Oct!C7, Nov!C7, Dec!C7)</f>
        <v>0</v>
      </c>
      <c r="D7" s="49">
        <f ca="1">SUM(Oct!D7, Nov!D7, Dec!D7)</f>
        <v>0</v>
      </c>
      <c r="E7" s="49">
        <f t="shared" ca="1" si="0"/>
        <v>0</v>
      </c>
      <c r="F7" s="50">
        <f t="shared" ca="1" si="1"/>
        <v>0</v>
      </c>
      <c r="G7" s="51">
        <f ca="1">SUM(Oct!G7, Nov!G7, Dec!G7)</f>
        <v>0</v>
      </c>
      <c r="H7" s="51">
        <f t="shared" ca="1" si="2"/>
        <v>0</v>
      </c>
      <c r="I7" s="52">
        <f t="shared" ca="1" si="3"/>
        <v>0</v>
      </c>
    </row>
    <row r="8" spans="1:9" ht="15.75">
      <c r="A8" s="62" t="str">
        <v>Shorewood - Hofer</v>
      </c>
      <c r="B8" s="22" t="str">
        <v>IL</v>
      </c>
      <c r="C8" s="49">
        <f ca="1">SUM(Oct!C8, Nov!C8, Dec!C8)</f>
        <v>0</v>
      </c>
      <c r="D8" s="49">
        <f ca="1">SUM(Oct!D8, Nov!D8, Dec!D8)</f>
        <v>0</v>
      </c>
      <c r="E8" s="49">
        <f t="shared" ca="1" si="0"/>
        <v>0</v>
      </c>
      <c r="F8" s="50">
        <f t="shared" ca="1" si="1"/>
        <v>0</v>
      </c>
      <c r="G8" s="51">
        <f ca="1">SUM(Oct!G8, Nov!G8, Dec!G8)</f>
        <v>0</v>
      </c>
      <c r="H8" s="51">
        <f t="shared" ca="1" si="2"/>
        <v>0</v>
      </c>
      <c r="I8" s="52">
        <f t="shared" ca="1" si="3"/>
        <v>0</v>
      </c>
    </row>
    <row r="9" spans="1:9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</row>
    <row r="11" spans="1:9">
      <c r="A11" s="107" t="s">
        <v>10</v>
      </c>
    </row>
    <row r="12" spans="1:9">
      <c r="A12" s="107"/>
    </row>
    <row r="13" spans="1:9">
      <c r="A13" s="108" t="s">
        <v>11</v>
      </c>
    </row>
    <row r="14" spans="1:9">
      <c r="A14" s="108"/>
    </row>
  </sheetData>
  <autoFilter ref="A2:I2" xr:uid="{CE62352A-0CAA-4862-87B6-A6A1C7531211}"/>
  <mergeCells count="6">
    <mergeCell ref="G1:I1"/>
    <mergeCell ref="A9:B9"/>
    <mergeCell ref="A11:A12"/>
    <mergeCell ref="A13:A14"/>
    <mergeCell ref="A1:B1"/>
    <mergeCell ref="C1:F1"/>
  </mergeCells>
  <conditionalFormatting sqref="F3:F9">
    <cfRule type="cellIs" dxfId="126" priority="3" operator="lessThanOrEqual">
      <formula>-0.1</formula>
    </cfRule>
    <cfRule type="cellIs" dxfId="125" priority="4" operator="greaterThanOrEqual">
      <formula>0.1</formula>
    </cfRule>
  </conditionalFormatting>
  <conditionalFormatting sqref="I3:I9">
    <cfRule type="cellIs" dxfId="124" priority="1" operator="lessThanOrEqual">
      <formula>-0.1</formula>
    </cfRule>
    <cfRule type="cellIs" dxfId="12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5"/>
  <sheetViews>
    <sheetView workbookViewId="0">
      <pane ySplit="2" topLeftCell="A3" activePane="bottomLeft" state="frozen"/>
      <selection pane="bottomLeft" activeCell="C28" sqref="C28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20</v>
      </c>
      <c r="D1" s="112"/>
      <c r="E1" s="112"/>
      <c r="F1" s="113"/>
      <c r="G1" s="103" t="s">
        <v>21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cm="1">
        <f t="array" aca="1" ref="C3:K3" ca="1">IF(INDIRECT("'" &amp; $A3 &amp; "'!B5:J5")="", "", INDIRECT("'" &amp; $A3 &amp; "'!B5:J5"))</f>
        <v>3467</v>
      </c>
      <c r="D3" s="49">
        <f ca="1"/>
        <v>15948</v>
      </c>
      <c r="E3" s="49">
        <f ca="1"/>
        <v>-12481</v>
      </c>
      <c r="F3" s="50">
        <f ca="1"/>
        <v>-0.78260596940055183</v>
      </c>
      <c r="G3" s="51">
        <f ca="1"/>
        <v>0</v>
      </c>
      <c r="H3" s="51">
        <f ca="1"/>
        <v>3467</v>
      </c>
      <c r="I3" s="52">
        <f ca="1"/>
        <v>0</v>
      </c>
      <c r="J3" s="21" t="str">
        <f ca="1"/>
        <v xml:space="preserve">1. Inverter 2.2 is offline on 01/02, 01/03, 01/04, 01/11, 01/29
2. Inverter 1.2 is offline on 01/22 to 01/25 </v>
      </c>
      <c r="K3" s="21" t="str">
        <f ca="1"/>
        <v>1. SR077210
2. SR079343</v>
      </c>
    </row>
    <row r="4" spans="1:11" ht="15.75">
      <c r="A4" s="62" t="str">
        <v>Joliet - Heritage Trail</v>
      </c>
      <c r="B4" s="22" t="str">
        <v>IL</v>
      </c>
      <c r="C4" s="49" cm="1">
        <f t="array" aca="1" ref="C4:K4" ca="1">IF(INDIRECT("'" &amp; $A4 &amp; "'!B5:J5")="", "", INDIRECT("'" &amp; $A4 &amp; "'!B5:J5"))</f>
        <v>4288</v>
      </c>
      <c r="D4" s="49">
        <f ca="1"/>
        <v>17449</v>
      </c>
      <c r="E4" s="49">
        <f ca="1"/>
        <v>-13161</v>
      </c>
      <c r="F4" s="50">
        <f ca="1"/>
        <v>-0.7542552581809846</v>
      </c>
      <c r="G4" s="51">
        <f ca="1"/>
        <v>0</v>
      </c>
      <c r="H4" s="51">
        <f ca="1"/>
        <v>4288</v>
      </c>
      <c r="I4" s="52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3" t="str">
        <v>Plainfield - Troy</v>
      </c>
      <c r="B5" s="48" t="str">
        <v>IL</v>
      </c>
      <c r="C5" s="49" cm="1">
        <f t="array" aca="1" ref="C5:K5" ca="1">IF(INDIRECT("'" &amp; $A5 &amp; "'!B5:J5")="", "", INDIRECT("'" &amp; $A5 &amp; "'!B5:J5"))</f>
        <v>4367</v>
      </c>
      <c r="D5" s="49">
        <f ca="1"/>
        <v>14453</v>
      </c>
      <c r="E5" s="49">
        <f ca="1"/>
        <v>-10086</v>
      </c>
      <c r="F5" s="50">
        <f ca="1"/>
        <v>-0.69784819760603334</v>
      </c>
      <c r="G5" s="51">
        <f ca="1"/>
        <v>0</v>
      </c>
      <c r="H5" s="51">
        <f ca="1"/>
        <v>4367</v>
      </c>
      <c r="I5" s="52">
        <f ca="1"/>
        <v>0</v>
      </c>
      <c r="J5" s="21" t="str">
        <f ca="1"/>
        <v/>
      </c>
      <c r="K5" s="21" t="str">
        <f ca="1"/>
        <v xml:space="preserve"> </v>
      </c>
    </row>
    <row r="6" spans="1:11" ht="15.75">
      <c r="A6" s="62" t="str">
        <v>Plainfield - William B Orenic</v>
      </c>
      <c r="B6" s="22" t="str">
        <v>IL</v>
      </c>
      <c r="C6" s="49" cm="1">
        <f t="array" aca="1" ref="C6:K6" ca="1">IF(INDIRECT("'" &amp; $A6 &amp; "'!B5:J5")="", "", INDIRECT("'" &amp; $A6 &amp; "'!B5:J5"))</f>
        <v>4435</v>
      </c>
      <c r="D6" s="49">
        <f ca="1"/>
        <v>17416</v>
      </c>
      <c r="E6" s="49">
        <f ca="1"/>
        <v>-12981</v>
      </c>
      <c r="F6" s="50">
        <f ca="1"/>
        <v>-0.7453491042719339</v>
      </c>
      <c r="G6" s="51">
        <f ca="1"/>
        <v>0</v>
      </c>
      <c r="H6" s="51">
        <f ca="1"/>
        <v>4435</v>
      </c>
      <c r="I6" s="52">
        <f ca="1"/>
        <v>0</v>
      </c>
      <c r="J6" s="21" t="str">
        <f ca="1"/>
        <v/>
      </c>
      <c r="K6" s="21" t="str">
        <f ca="1"/>
        <v xml:space="preserve"> </v>
      </c>
    </row>
    <row r="7" spans="1:11" ht="15.75">
      <c r="A7" s="63" t="str">
        <v>Shorewood - Cronin</v>
      </c>
      <c r="B7" s="48" t="str">
        <v>IL</v>
      </c>
      <c r="C7" s="49" cm="1">
        <f t="array" aca="1" ref="C7:K7" ca="1">IF(INDIRECT("'" &amp; $A7 &amp; "'!B5:J5")="", "", INDIRECT("'" &amp; $A7 &amp; "'!B5:J5"))</f>
        <v>4681</v>
      </c>
      <c r="D7" s="49">
        <f ca="1"/>
        <v>18468</v>
      </c>
      <c r="E7" s="49">
        <f ca="1"/>
        <v>-13787</v>
      </c>
      <c r="F7" s="50">
        <f ca="1"/>
        <v>-0.74653454624214854</v>
      </c>
      <c r="G7" s="51">
        <f ca="1"/>
        <v>0</v>
      </c>
      <c r="H7" s="51">
        <f ca="1"/>
        <v>4681</v>
      </c>
      <c r="I7" s="52">
        <f ca="1"/>
        <v>0</v>
      </c>
      <c r="J7" s="21" t="str">
        <f ca="1"/>
        <v/>
      </c>
      <c r="K7" s="21" t="str">
        <f ca="1"/>
        <v xml:space="preserve"> </v>
      </c>
    </row>
    <row r="8" spans="1:11" ht="15.75">
      <c r="A8" s="62" t="str">
        <v>Shorewood - Hofer</v>
      </c>
      <c r="B8" s="22" t="str">
        <v>IL</v>
      </c>
      <c r="C8" s="49" cm="1">
        <f t="array" aca="1" ref="C8:K8" ca="1">IF(INDIRECT("'" &amp; $A8 &amp; "'!B5:J5")="", "", INDIRECT("'" &amp; $A8 &amp; "'!B5:J5"))</f>
        <v>3997</v>
      </c>
      <c r="D8" s="49">
        <f ca="1"/>
        <v>18360</v>
      </c>
      <c r="E8" s="49">
        <f ca="1"/>
        <v>-14363</v>
      </c>
      <c r="F8" s="50">
        <f ca="1"/>
        <v>-0.78229847494553373</v>
      </c>
      <c r="G8" s="51">
        <f ca="1"/>
        <v>0</v>
      </c>
      <c r="H8" s="51">
        <f ca="1"/>
        <v>3997</v>
      </c>
      <c r="I8" s="52">
        <f ca="1"/>
        <v>0</v>
      </c>
      <c r="J8" s="21" t="str">
        <f ca="1"/>
        <v/>
      </c>
      <c r="K8" s="21" t="str">
        <f ca="1"/>
        <v xml:space="preserve"> </v>
      </c>
    </row>
    <row r="9" spans="1:11" ht="13.5">
      <c r="A9" s="105" t="s">
        <v>9</v>
      </c>
      <c r="B9" s="106"/>
      <c r="C9" s="64">
        <f ca="1">SUM(C3:C8)</f>
        <v>25235</v>
      </c>
      <c r="D9" s="64">
        <f ca="1">SUM(D3:D8)</f>
        <v>102094</v>
      </c>
      <c r="E9" s="64">
        <f ca="1">C9-D9</f>
        <v>-76859</v>
      </c>
      <c r="F9" s="55">
        <f ca="1">IFERROR(E9/D9, 0)</f>
        <v>-0.75282582717887436</v>
      </c>
      <c r="G9" s="64">
        <f ca="1">SUM(G3:G8)</f>
        <v>0</v>
      </c>
      <c r="H9" s="65">
        <f ca="1">C9-G9</f>
        <v>25235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B0362DDA-D4B4-4F79-9A5D-D43AD85A6C79}"/>
  <mergeCells count="8">
    <mergeCell ref="A11:A12"/>
    <mergeCell ref="A13:A14"/>
    <mergeCell ref="A9:B9"/>
    <mergeCell ref="K1:K2"/>
    <mergeCell ref="C1:F1"/>
    <mergeCell ref="G1:I1"/>
    <mergeCell ref="A1:B1"/>
    <mergeCell ref="J1:J2"/>
  </mergeCells>
  <conditionalFormatting sqref="F3:F9 I3:I9">
    <cfRule type="cellIs" dxfId="122" priority="4" operator="lessThanOrEqual">
      <formula>-0.1</formula>
    </cfRule>
    <cfRule type="cellIs" dxfId="121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24</v>
      </c>
      <c r="D1" s="112"/>
      <c r="E1" s="112"/>
      <c r="F1" s="113"/>
      <c r="G1" s="103" t="s">
        <v>25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"'!B6:J6")="", "", INDIRECT("'" &amp; $A3 &amp; "'!B6:J6"))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 xml:space="preserve"> </v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"'!B6:J6")="", "", INDIRECT("'" &amp; $A4 &amp; "'!B6:J6"))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"'!B6:J6")="", "", INDIRECT("'" &amp; $A5 &amp; "'!B6:J6"))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 xml:space="preserve"> </v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"'!B6:J6")="", "", INDIRECT("'" &amp; $A6 &amp; "'!B6:J6"))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 xml:space="preserve"> </v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"'!B6:J6")="", "", INDIRECT("'" &amp; $A7 &amp; "'!B6:J6"))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 xml:space="preserve"> </v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"'!B6:J6")="", "", INDIRECT("'" &amp; $A8 &amp; "'!B6:J6"))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 xml:space="preserve"> </v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CAF24030-967D-40AB-9B78-5C3C0C46A55D}"/>
  <mergeCells count="8">
    <mergeCell ref="G1:I1"/>
    <mergeCell ref="J1:J2"/>
    <mergeCell ref="K1:K2"/>
    <mergeCell ref="A11:A12"/>
    <mergeCell ref="A13:A14"/>
    <mergeCell ref="A9:B9"/>
    <mergeCell ref="C1:F1"/>
    <mergeCell ref="A1:B1"/>
  </mergeCells>
  <conditionalFormatting sqref="F3:F9 I3:I9">
    <cfRule type="cellIs" dxfId="120" priority="1" operator="lessThanOrEqual">
      <formula>-0.1</formula>
    </cfRule>
    <cfRule type="cellIs" dxfId="11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26</v>
      </c>
      <c r="D1" s="112"/>
      <c r="E1" s="112"/>
      <c r="F1" s="113"/>
      <c r="G1" s="103" t="s">
        <v>27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"'!B7:J7")="", "", INDIRECT("'" &amp; $A3 &amp; "'!B7:J7"))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/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"'!B7:J7")="", "", INDIRECT("'" &amp; $A4 &amp; "'!B7:J7"))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/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"'!B7:J7")="", "", INDIRECT("'" &amp; $A5 &amp; "'!B7:J7"))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/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"'!B7:J7")="", "", INDIRECT("'" &amp; $A6 &amp; "'!B7:J7"))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/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"'!B7:J7")="", "", INDIRECT("'" &amp; $A7 &amp; "'!B7:J7"))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/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"'!B7:J7")="", "", INDIRECT("'" &amp; $A8 &amp; "'!B7:J7"))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E69961AB-A757-4049-8AB9-40F3BCB812B3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18" priority="1" operator="lessThanOrEqual">
      <formula>-0.1</formula>
    </cfRule>
    <cfRule type="cellIs" dxfId="11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28</v>
      </c>
      <c r="D1" s="112"/>
      <c r="E1" s="112"/>
      <c r="F1" s="113"/>
      <c r="G1" s="103" t="s">
        <v>29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"'!B8:J8")="", "", INDIRECT("'" &amp; $A3 &amp; "'!B8:J8"))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/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"'!B8:J8")="", "", INDIRECT("'" &amp; $A4 &amp; "'!B8:J8"))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/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"'!B8:J8")="", "", INDIRECT("'" &amp; $A5 &amp; "'!B8:J8"))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/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"'!B8:J8")="", "", INDIRECT("'" &amp; $A6 &amp; "'!B8:J8"))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/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"'!B8:J8")="", "", INDIRECT("'" &amp; $A7 &amp; "'!B8:J8"))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/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"'!B8:J8")="", "", INDIRECT("'" &amp; $A8 &amp; "'!B8:J8"))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9CEFA865-F03F-435F-98CB-83683B1083B8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16" priority="1" operator="lessThanOrEqual">
      <formula>-0.1</formula>
    </cfRule>
    <cfRule type="cellIs" dxfId="11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30</v>
      </c>
      <c r="D1" s="112"/>
      <c r="E1" s="112"/>
      <c r="F1" s="113"/>
      <c r="G1" s="103" t="s">
        <v>31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"'!B9:J9")="", "", INDIRECT("'" &amp; $A3 &amp; "'!B9:J9"))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/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"'!B9:J9")="", "", INDIRECT("'" &amp; $A4 &amp; "'!B9:J9"))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/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"'!B9:J9")="", "", INDIRECT("'" &amp; $A5 &amp; "'!B9:J9"))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/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"'!B9:J9")="", "", INDIRECT("'" &amp; $A6 &amp; "'!B9:J9"))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/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"'!B9:J9")="", "", INDIRECT("'" &amp; $A7 &amp; "'!B9:J9"))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/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"'!B9:J9")="", "", INDIRECT("'" &amp; $A8 &amp; "'!B9:J9"))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BC8A3C74-EDA3-4B8F-8C65-FD4243AE8FF6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14" priority="1" operator="lessThanOrEqual">
      <formula>-0.1</formula>
    </cfRule>
    <cfRule type="cellIs" dxfId="11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32</v>
      </c>
      <c r="D1" s="112"/>
      <c r="E1" s="112"/>
      <c r="F1" s="113"/>
      <c r="G1" s="103" t="s">
        <v>33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"'!B10:J10")="", "", INDIRECT("'" &amp; $A3 &amp; "'!B10:J10"))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 xml:space="preserve"> </v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"'!B10:J10")="", "", INDIRECT("'" &amp; $A4 &amp; "'!B10:J10"))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"'!B10:J10")="", "", INDIRECT("'" &amp; $A5 &amp; "'!B10:J10"))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 xml:space="preserve"> </v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"'!B10:J10")="", "", INDIRECT("'" &amp; $A6 &amp; "'!B10:J10"))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 xml:space="preserve"> </v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"'!B10:J10")="", "", INDIRECT("'" &amp; $A7 &amp; "'!B10:J10"))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 xml:space="preserve"> </v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"'!B10:J10")="", "", INDIRECT("'" &amp; $A8 &amp; "'!B10:J10"))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 xml:space="preserve"> </v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6C08AFFB-6AF8-48AC-9706-52E390C2AC4B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12" priority="1" operator="lessThanOrEqual">
      <formula>-0.1</formula>
    </cfRule>
    <cfRule type="cellIs" dxfId="11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34</v>
      </c>
      <c r="D1" s="112"/>
      <c r="E1" s="112"/>
      <c r="F1" s="113"/>
      <c r="G1" s="103" t="s">
        <v>35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"'!B11:J11")="", "", INDIRECT("'" &amp; $A3 &amp; "'!B11:J11"))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 xml:space="preserve"> </v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"'!B11:J11")="", "", INDIRECT("'" &amp; $A4 &amp; "'!B11:J11"))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"'!B11:J11")="", "", INDIRECT("'" &amp; $A5 &amp; "'!B11:J11"))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 xml:space="preserve"> </v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"'!B11:J11")="", "", INDIRECT("'" &amp; $A6 &amp; "'!B11:J11"))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 xml:space="preserve"> </v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"'!B11:J11")="", "", INDIRECT("'" &amp; $A7 &amp; "'!B11:J11"))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 xml:space="preserve"> </v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"'!B11:J11")="", "", INDIRECT("'" &amp; $A8 &amp; "'!B11:J11"))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957CD936-B73F-469A-B0B5-B8EA155C9C51}"/>
  <sortState xmlns:xlrd2="http://schemas.microsoft.com/office/spreadsheetml/2017/richdata2" ref="A3:K12">
    <sortCondition ref="A3:A12"/>
  </sortState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10" priority="1" operator="lessThanOrEqual">
      <formula>-0.1</formula>
    </cfRule>
    <cfRule type="cellIs" dxfId="10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36</v>
      </c>
      <c r="D1" s="112"/>
      <c r="E1" s="112"/>
      <c r="F1" s="113"/>
      <c r="G1" s="103" t="s">
        <v>37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"'!B12:J12")="", "", INDIRECT("'" &amp; $A3 &amp; "'!B12:J12"))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/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"'!B12:J12")="", "", INDIRECT("'" &amp; $A4 &amp; "'!B12:J12"))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/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"'!B12:J12")="", "", INDIRECT("'" &amp; $A5 &amp; "'!B12:J12"))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/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"'!B12:J12")="", "", INDIRECT("'" &amp; $A6 &amp; "'!B12:J12"))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/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"'!B12:J12")="", "", INDIRECT("'" &amp; $A7 &amp; "'!B12:J12"))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/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"'!B12:J12")="", "", INDIRECT("'" &amp; $A8 &amp; "'!B12:J12"))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48D80AE8-42BF-4DAC-863F-113F77A3E00F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08" priority="1" operator="lessThanOrEqual">
      <formula>-0.1</formula>
    </cfRule>
    <cfRule type="cellIs" dxfId="10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38</v>
      </c>
      <c r="D1" s="112"/>
      <c r="E1" s="112"/>
      <c r="F1" s="113"/>
      <c r="G1" s="103" t="s">
        <v>39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"'!B13:J13")="", "", INDIRECT("'" &amp; $A3 &amp; "'!B13:J13"))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/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"'!B13:J13")="", "", INDIRECT("'" &amp; $A4 &amp; "'!B13:J13"))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/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"'!B13:J13")="", "", INDIRECT("'" &amp; $A5 &amp; "'!B13:J13"))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/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"'!B13:J13")="", "", INDIRECT("'" &amp; $A6 &amp; "'!B13:J13"))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/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"'!B13:J13")="", "", INDIRECT("'" &amp; $A7 &amp; "'!B13:J13"))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/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"'!B13:J13")="", "", INDIRECT("'" &amp; $A8 &amp; "'!B13:J13"))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2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534CA70E-2643-48AC-AA44-E3F75A2814BF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06" priority="1" operator="lessThanOrEqual">
      <formula>-0.1</formula>
    </cfRule>
    <cfRule type="cellIs" dxfId="10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7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40</v>
      </c>
      <c r="D1" s="112"/>
      <c r="E1" s="112"/>
      <c r="F1" s="113"/>
      <c r="G1" s="103" t="s">
        <v>41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74" t="str" cm="1">
        <f t="array" ref="A3:A8">Sites[Site]</f>
        <v>Joliet - Craughwell</v>
      </c>
      <c r="B3" s="47" t="str" cm="1">
        <f t="array" ref="B3:B8">Sites[State]</f>
        <v>IL</v>
      </c>
      <c r="C3" s="77" t="str" cm="1">
        <f t="array" aca="1" ref="C3:K3" ca="1">IF(INDIRECT("'" &amp; $A3 &amp; "'!B14:J14")="", "", INDIRECT("'" &amp; $A3 &amp; "'!B14:J14"))</f>
        <v/>
      </c>
      <c r="D3" s="77" t="str">
        <f ca="1"/>
        <v/>
      </c>
      <c r="E3" s="77">
        <f ca="1"/>
        <v>0</v>
      </c>
      <c r="F3" s="79">
        <f ca="1"/>
        <v>0</v>
      </c>
      <c r="G3" s="78" t="str">
        <f ca="1"/>
        <v/>
      </c>
      <c r="H3" s="78">
        <f ca="1"/>
        <v>0</v>
      </c>
      <c r="I3" s="81">
        <f ca="1"/>
        <v>0</v>
      </c>
      <c r="J3" s="72" t="str">
        <f ca="1"/>
        <v/>
      </c>
      <c r="K3" s="72" t="str">
        <f ca="1"/>
        <v/>
      </c>
    </row>
    <row r="4" spans="1:11" ht="15.75">
      <c r="A4" s="75" t="str">
        <v>Joliet - Heritage Trail</v>
      </c>
      <c r="B4" s="22" t="str">
        <v>IL</v>
      </c>
      <c r="C4" s="77" t="str" cm="1">
        <f t="array" aca="1" ref="C4:K4" ca="1">IF(INDIRECT("'" &amp; $A4 &amp; "'!B14:J14")="", "", INDIRECT("'" &amp; $A4 &amp; "'!B14:J14"))</f>
        <v/>
      </c>
      <c r="D4" s="77" t="str">
        <f ca="1"/>
        <v/>
      </c>
      <c r="E4" s="77">
        <f ca="1"/>
        <v>0</v>
      </c>
      <c r="F4" s="80">
        <f ca="1"/>
        <v>0</v>
      </c>
      <c r="G4" s="78" t="str">
        <f ca="1"/>
        <v/>
      </c>
      <c r="H4" s="78">
        <f ca="1"/>
        <v>0</v>
      </c>
      <c r="I4" s="82">
        <f ca="1"/>
        <v>0</v>
      </c>
      <c r="J4" s="21" t="str">
        <f ca="1"/>
        <v/>
      </c>
      <c r="K4" s="21" t="str">
        <f ca="1"/>
        <v/>
      </c>
    </row>
    <row r="5" spans="1:11" ht="15.75">
      <c r="A5" s="76" t="str">
        <v>Plainfield - Troy</v>
      </c>
      <c r="B5" s="48" t="str">
        <v>IL</v>
      </c>
      <c r="C5" s="77" t="str" cm="1">
        <f t="array" aca="1" ref="C5:K5" ca="1">IF(INDIRECT("'" &amp; $A5 &amp; "'!B14:J14")="", "", INDIRECT("'" &amp; $A5 &amp; "'!B14:J14"))</f>
        <v/>
      </c>
      <c r="D5" s="77" t="str">
        <f ca="1"/>
        <v/>
      </c>
      <c r="E5" s="77">
        <f ca="1"/>
        <v>0</v>
      </c>
      <c r="F5" s="80">
        <f ca="1"/>
        <v>0</v>
      </c>
      <c r="G5" s="78" t="str">
        <f ca="1"/>
        <v/>
      </c>
      <c r="H5" s="78">
        <f ca="1"/>
        <v>0</v>
      </c>
      <c r="I5" s="82">
        <f ca="1"/>
        <v>0</v>
      </c>
      <c r="J5" s="21" t="str">
        <f ca="1"/>
        <v/>
      </c>
      <c r="K5" s="21" t="str">
        <f ca="1"/>
        <v/>
      </c>
    </row>
    <row r="6" spans="1:11" ht="15.75">
      <c r="A6" s="75" t="str">
        <v>Plainfield - William B Orenic</v>
      </c>
      <c r="B6" s="22" t="str">
        <v>IL</v>
      </c>
      <c r="C6" s="77" t="str" cm="1">
        <f t="array" aca="1" ref="C6:K6" ca="1">IF(INDIRECT("'" &amp; $A6 &amp; "'!B14:J14")="", "", INDIRECT("'" &amp; $A6 &amp; "'!B14:J14"))</f>
        <v/>
      </c>
      <c r="D6" s="77" t="str">
        <f ca="1"/>
        <v/>
      </c>
      <c r="E6" s="77">
        <f ca="1"/>
        <v>0</v>
      </c>
      <c r="F6" s="80">
        <f ca="1"/>
        <v>0</v>
      </c>
      <c r="G6" s="78" t="str">
        <f ca="1"/>
        <v/>
      </c>
      <c r="H6" s="78">
        <f ca="1"/>
        <v>0</v>
      </c>
      <c r="I6" s="82">
        <f ca="1"/>
        <v>0</v>
      </c>
      <c r="J6" s="72" t="str">
        <f ca="1"/>
        <v/>
      </c>
      <c r="K6" s="71" t="str">
        <f ca="1"/>
        <v/>
      </c>
    </row>
    <row r="7" spans="1:11" ht="15.75">
      <c r="A7" s="76" t="str">
        <v>Shorewood - Cronin</v>
      </c>
      <c r="B7" s="48" t="str">
        <v>IL</v>
      </c>
      <c r="C7" s="77" t="str" cm="1">
        <f t="array" aca="1" ref="C7:K7" ca="1">IF(INDIRECT("'" &amp; $A7 &amp; "'!B14:J14")="", "", INDIRECT("'" &amp; $A7 &amp; "'!B14:J14"))</f>
        <v/>
      </c>
      <c r="D7" s="77" t="str">
        <f ca="1"/>
        <v/>
      </c>
      <c r="E7" s="77">
        <f ca="1"/>
        <v>0</v>
      </c>
      <c r="F7" s="80">
        <f ca="1"/>
        <v>0</v>
      </c>
      <c r="G7" s="78" t="str">
        <f ca="1"/>
        <v/>
      </c>
      <c r="H7" s="78">
        <f ca="1"/>
        <v>0</v>
      </c>
      <c r="I7" s="82">
        <f ca="1"/>
        <v>0</v>
      </c>
      <c r="J7" s="26" t="str">
        <f ca="1"/>
        <v/>
      </c>
      <c r="K7" s="26" t="str">
        <f ca="1"/>
        <v/>
      </c>
    </row>
    <row r="8" spans="1:11" ht="15.75">
      <c r="A8" s="75" t="str">
        <v>Shorewood - Hofer</v>
      </c>
      <c r="B8" s="22" t="str">
        <v>IL</v>
      </c>
      <c r="C8" s="77" t="str" cm="1">
        <f t="array" aca="1" ref="C8:K8" ca="1">IF(INDIRECT("'" &amp; $A8 &amp; "'!B14:J14")="", "", INDIRECT("'" &amp; $A8 &amp; "'!B14:J14"))</f>
        <v/>
      </c>
      <c r="D8" s="77" t="str">
        <f ca="1"/>
        <v/>
      </c>
      <c r="E8" s="77">
        <f ca="1"/>
        <v>0</v>
      </c>
      <c r="F8" s="80">
        <f ca="1"/>
        <v>0</v>
      </c>
      <c r="G8" s="78" t="str">
        <f ca="1"/>
        <v/>
      </c>
      <c r="H8" s="78">
        <f ca="1"/>
        <v>0</v>
      </c>
      <c r="I8" s="82">
        <f ca="1"/>
        <v>0</v>
      </c>
      <c r="J8" s="2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  <row r="17" spans="10:10">
      <c r="J17" s="73"/>
    </row>
  </sheetData>
  <autoFilter ref="A2:I2" xr:uid="{B87DE706-15D9-4E58-ADBD-0129509DEFD6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04" priority="1" operator="lessThanOrEqual">
      <formula>-0.1</formula>
    </cfRule>
    <cfRule type="cellIs" dxfId="10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42</v>
      </c>
      <c r="D1" s="112"/>
      <c r="E1" s="112"/>
      <c r="F1" s="113"/>
      <c r="G1" s="103" t="s">
        <v>43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"'!B15:J15")="", "", INDIRECT("'" &amp; $A3 &amp; "'!B15:J15"))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21" t="str">
        <f ca="1"/>
        <v/>
      </c>
      <c r="K3" s="21" t="str">
        <f ca="1"/>
        <v/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"'!B15:J15")="", "", INDIRECT("'" &amp; $A4 &amp; "'!B15:J15"))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"'!B15:J15")="", "", INDIRECT("'" &amp; $A5 &amp; "'!B15:J15"))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71" t="str">
        <f ca="1"/>
        <v/>
      </c>
      <c r="K5" s="71" t="str">
        <f ca="1"/>
        <v/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"'!B15:J15")="", "", INDIRECT("'" &amp; $A6 &amp; "'!B15:J15"))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71" t="str">
        <f ca="1"/>
        <v/>
      </c>
      <c r="K6" s="71" t="str">
        <f ca="1"/>
        <v/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"'!B15:J15")="", "", INDIRECT("'" &amp; $A7 &amp; "'!B15:J15"))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71" t="str">
        <f ca="1"/>
        <v/>
      </c>
      <c r="K7" s="71" t="str">
        <f ca="1"/>
        <v xml:space="preserve"> </v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"'!B15:J15")="", "", INDIRECT("'" &amp; $A8 &amp; "'!B15:J15"))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71" t="str">
        <f ca="1"/>
        <v/>
      </c>
      <c r="K8" s="7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7397A98F-A32F-42EE-8114-2658DE422011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02" priority="1" operator="lessThanOrEqual">
      <formula>-0.1</formula>
    </cfRule>
    <cfRule type="cellIs" dxfId="101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5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5">
      <c r="A1" s="109" t="str" cm="1">
        <f t="array" ref="A1">portfolio</f>
        <v>Troy School District</v>
      </c>
      <c r="B1" s="110"/>
      <c r="C1" s="111" t="s">
        <v>44</v>
      </c>
      <c r="D1" s="112"/>
      <c r="E1" s="112"/>
      <c r="F1" s="113"/>
      <c r="G1" s="103" t="s">
        <v>45</v>
      </c>
      <c r="H1" s="103"/>
      <c r="I1" s="104"/>
      <c r="J1" s="114" t="s">
        <v>22</v>
      </c>
      <c r="K1" s="114" t="s">
        <v>23</v>
      </c>
    </row>
    <row r="2" spans="1:11" ht="13.9">
      <c r="A2" s="59" t="s">
        <v>2</v>
      </c>
      <c r="B2" s="60" t="s">
        <v>3</v>
      </c>
      <c r="C2" s="5" t="s">
        <v>4</v>
      </c>
      <c r="D2" s="57" t="s">
        <v>5</v>
      </c>
      <c r="E2" s="5" t="s">
        <v>6</v>
      </c>
      <c r="F2" s="6" t="s">
        <v>7</v>
      </c>
      <c r="G2" s="58" t="s">
        <v>8</v>
      </c>
      <c r="H2" s="7" t="s">
        <v>6</v>
      </c>
      <c r="I2" s="9" t="s">
        <v>7</v>
      </c>
      <c r="J2" s="115"/>
      <c r="K2" s="115"/>
    </row>
    <row r="3" spans="1:11" ht="15.75">
      <c r="A3" s="61" t="str" cm="1">
        <f t="array" ref="A3:A8">Sites[Site]</f>
        <v>Joliet - Craughwell</v>
      </c>
      <c r="B3" s="47" t="str" cm="1">
        <f t="array" ref="B3:B8">Sites[State]</f>
        <v>IL</v>
      </c>
      <c r="C3" s="49" t="str" cm="1">
        <f t="array" aca="1" ref="C3:K3" ca="1">IF(INDIRECT("'" &amp; $A3 &amp; "'!B16:J16")="", "", INDIRECT("'" &amp; $A3 &amp; "'!B16:J16"))</f>
        <v/>
      </c>
      <c r="D3" s="49" t="str">
        <f ca="1"/>
        <v/>
      </c>
      <c r="E3" s="49">
        <f ca="1"/>
        <v>0</v>
      </c>
      <c r="F3" s="50">
        <f ca="1"/>
        <v>0</v>
      </c>
      <c r="G3" s="51" t="str">
        <f ca="1"/>
        <v/>
      </c>
      <c r="H3" s="51">
        <f ca="1"/>
        <v>0</v>
      </c>
      <c r="I3" s="52">
        <f ca="1"/>
        <v>0</v>
      </c>
      <c r="J3" s="72" t="str">
        <f ca="1"/>
        <v/>
      </c>
      <c r="K3" s="72" t="str">
        <f ca="1"/>
        <v/>
      </c>
    </row>
    <row r="4" spans="1:11" ht="15.75">
      <c r="A4" s="62" t="str">
        <v>Joliet - Heritage Trail</v>
      </c>
      <c r="B4" s="22" t="str">
        <v>IL</v>
      </c>
      <c r="C4" s="49" t="str" cm="1">
        <f t="array" aca="1" ref="C4:K4" ca="1">IF(INDIRECT("'" &amp; $A4 &amp; "'!B16:J16")="", "", INDIRECT("'" &amp; $A4 &amp; "'!B16:J16"))</f>
        <v/>
      </c>
      <c r="D4" s="49" t="str">
        <f ca="1"/>
        <v/>
      </c>
      <c r="E4" s="49">
        <f ca="1"/>
        <v>0</v>
      </c>
      <c r="F4" s="53">
        <f ca="1"/>
        <v>0</v>
      </c>
      <c r="G4" s="51" t="str">
        <f ca="1"/>
        <v/>
      </c>
      <c r="H4" s="51">
        <f ca="1"/>
        <v>0</v>
      </c>
      <c r="I4" s="54">
        <f ca="1"/>
        <v>0</v>
      </c>
      <c r="J4" s="21" t="str">
        <f ca="1"/>
        <v/>
      </c>
      <c r="K4" s="21" t="str">
        <f ca="1"/>
        <v xml:space="preserve"> </v>
      </c>
    </row>
    <row r="5" spans="1:11" ht="15.75">
      <c r="A5" s="63" t="str">
        <v>Plainfield - Troy</v>
      </c>
      <c r="B5" s="48" t="str">
        <v>IL</v>
      </c>
      <c r="C5" s="49" t="str" cm="1">
        <f t="array" aca="1" ref="C5:K5" ca="1">IF(INDIRECT("'" &amp; $A5 &amp; "'!B16:J16")="", "", INDIRECT("'" &amp; $A5 &amp; "'!B16:J16"))</f>
        <v/>
      </c>
      <c r="D5" s="49" t="str">
        <f ca="1"/>
        <v/>
      </c>
      <c r="E5" s="49">
        <f ca="1"/>
        <v>0</v>
      </c>
      <c r="F5" s="53">
        <f ca="1"/>
        <v>0</v>
      </c>
      <c r="G5" s="51" t="str">
        <f ca="1"/>
        <v/>
      </c>
      <c r="H5" s="51">
        <f ca="1"/>
        <v>0</v>
      </c>
      <c r="I5" s="54">
        <f ca="1"/>
        <v>0</v>
      </c>
      <c r="J5" s="21" t="str">
        <f ca="1"/>
        <v/>
      </c>
      <c r="K5" s="21" t="str">
        <f ca="1"/>
        <v/>
      </c>
    </row>
    <row r="6" spans="1:11" ht="15.75">
      <c r="A6" s="62" t="str">
        <v>Plainfield - William B Orenic</v>
      </c>
      <c r="B6" s="22" t="str">
        <v>IL</v>
      </c>
      <c r="C6" s="49" t="str" cm="1">
        <f t="array" aca="1" ref="C6:K6" ca="1">IF(INDIRECT("'" &amp; $A6 &amp; "'!B16:J16")="", "", INDIRECT("'" &amp; $A6 &amp; "'!B16:J16"))</f>
        <v/>
      </c>
      <c r="D6" s="49" t="str">
        <f ca="1"/>
        <v/>
      </c>
      <c r="E6" s="49">
        <f ca="1"/>
        <v>0</v>
      </c>
      <c r="F6" s="53">
        <f ca="1"/>
        <v>0</v>
      </c>
      <c r="G6" s="51" t="str">
        <f ca="1"/>
        <v/>
      </c>
      <c r="H6" s="51">
        <f ca="1"/>
        <v>0</v>
      </c>
      <c r="I6" s="54">
        <f ca="1"/>
        <v>0</v>
      </c>
      <c r="J6" s="21" t="str">
        <f ca="1"/>
        <v/>
      </c>
      <c r="K6" s="21" t="str">
        <f ca="1"/>
        <v/>
      </c>
    </row>
    <row r="7" spans="1:11" ht="15.75">
      <c r="A7" s="63" t="str">
        <v>Shorewood - Cronin</v>
      </c>
      <c r="B7" s="48" t="str">
        <v>IL</v>
      </c>
      <c r="C7" s="49" t="str" cm="1">
        <f t="array" aca="1" ref="C7:K7" ca="1">IF(INDIRECT("'" &amp; $A7 &amp; "'!B16:J16")="", "", INDIRECT("'" &amp; $A7 &amp; "'!B16:J16"))</f>
        <v/>
      </c>
      <c r="D7" s="49" t="str">
        <f ca="1"/>
        <v/>
      </c>
      <c r="E7" s="49">
        <f ca="1"/>
        <v>0</v>
      </c>
      <c r="F7" s="53">
        <f ca="1"/>
        <v>0</v>
      </c>
      <c r="G7" s="51" t="str">
        <f ca="1"/>
        <v/>
      </c>
      <c r="H7" s="51">
        <f ca="1"/>
        <v>0</v>
      </c>
      <c r="I7" s="54">
        <f ca="1"/>
        <v>0</v>
      </c>
      <c r="J7" s="26" t="str">
        <f ca="1"/>
        <v/>
      </c>
      <c r="K7" s="26" t="str">
        <f ca="1"/>
        <v xml:space="preserve"> </v>
      </c>
    </row>
    <row r="8" spans="1:11" ht="15.75">
      <c r="A8" s="62" t="str">
        <v>Shorewood - Hofer</v>
      </c>
      <c r="B8" s="22" t="str">
        <v>IL</v>
      </c>
      <c r="C8" s="49" t="str" cm="1">
        <f t="array" aca="1" ref="C8:K8" ca="1">IF(INDIRECT("'" &amp; $A8 &amp; "'!B16:J16")="", "", INDIRECT("'" &amp; $A8 &amp; "'!B16:J16"))</f>
        <v/>
      </c>
      <c r="D8" s="49" t="str">
        <f ca="1"/>
        <v/>
      </c>
      <c r="E8" s="49">
        <f ca="1"/>
        <v>0</v>
      </c>
      <c r="F8" s="53">
        <f ca="1"/>
        <v>0</v>
      </c>
      <c r="G8" s="51" t="str">
        <f ca="1"/>
        <v/>
      </c>
      <c r="H8" s="51">
        <f ca="1"/>
        <v>0</v>
      </c>
      <c r="I8" s="54">
        <f ca="1"/>
        <v>0</v>
      </c>
      <c r="J8" s="71" t="str">
        <f ca="1"/>
        <v/>
      </c>
      <c r="K8" s="21" t="str">
        <f ca="1"/>
        <v/>
      </c>
    </row>
    <row r="9" spans="1:11" ht="13.5">
      <c r="A9" s="105" t="s">
        <v>9</v>
      </c>
      <c r="B9" s="106"/>
      <c r="C9" s="64">
        <f ca="1">SUM(C3:C8)</f>
        <v>0</v>
      </c>
      <c r="D9" s="64">
        <f ca="1">SUM(D3:D8)</f>
        <v>0</v>
      </c>
      <c r="E9" s="64">
        <f ca="1">C9-D9</f>
        <v>0</v>
      </c>
      <c r="F9" s="55">
        <f ca="1">IFERROR(E9/D9, 0)</f>
        <v>0</v>
      </c>
      <c r="G9" s="64">
        <f ca="1">SUM(G3:G8)</f>
        <v>0</v>
      </c>
      <c r="H9" s="65">
        <f ca="1">C9-G9</f>
        <v>0</v>
      </c>
      <c r="I9" s="56">
        <f ca="1">IFERROR(H9/G9, 0)</f>
        <v>0</v>
      </c>
      <c r="J9" s="8"/>
    </row>
    <row r="10" spans="1:11">
      <c r="J10" s="8"/>
    </row>
    <row r="11" spans="1:11">
      <c r="A11" s="107" t="s">
        <v>10</v>
      </c>
      <c r="J11" s="8"/>
    </row>
    <row r="12" spans="1:11">
      <c r="A12" s="107"/>
      <c r="J12" s="8"/>
    </row>
    <row r="13" spans="1:11">
      <c r="A13" s="108" t="s">
        <v>11</v>
      </c>
      <c r="J13" s="8"/>
    </row>
    <row r="14" spans="1:11">
      <c r="A14" s="108"/>
      <c r="J14" s="8"/>
    </row>
    <row r="15" spans="1:11">
      <c r="J15" s="8"/>
    </row>
  </sheetData>
  <autoFilter ref="A2:I2" xr:uid="{7BFACBC8-3831-4E2B-BAD7-988F02FCC664}"/>
  <mergeCells count="8">
    <mergeCell ref="A13:A14"/>
    <mergeCell ref="G1:I1"/>
    <mergeCell ref="J1:J2"/>
    <mergeCell ref="K1:K2"/>
    <mergeCell ref="C1:F1"/>
    <mergeCell ref="A1:B1"/>
    <mergeCell ref="A9:B9"/>
    <mergeCell ref="A11:A12"/>
  </mergeCells>
  <conditionalFormatting sqref="F3:F9 I3:I9">
    <cfRule type="cellIs" dxfId="100" priority="1" operator="lessThanOrEqual">
      <formula>-0.1</formula>
    </cfRule>
    <cfRule type="cellIs" dxfId="9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8"/>
  <sheetViews>
    <sheetView workbookViewId="0">
      <pane ySplit="2" topLeftCell="A3" activePane="bottomLeft" state="frozen"/>
      <selection pane="bottomLeft" activeCell="D29" sqref="D29"/>
      <selection activeCell="D29" sqref="D29"/>
    </sheetView>
  </sheetViews>
  <sheetFormatPr defaultRowHeight="12.75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>
      <c r="A1" t="s">
        <v>46</v>
      </c>
      <c r="B1" t="s">
        <v>47</v>
      </c>
    </row>
    <row r="2" spans="1:7">
      <c r="A2" t="s">
        <v>48</v>
      </c>
      <c r="B2" t="s">
        <v>2</v>
      </c>
      <c r="C2" t="s">
        <v>3</v>
      </c>
      <c r="D2" t="s">
        <v>49</v>
      </c>
      <c r="E2" s="2" t="s">
        <v>50</v>
      </c>
    </row>
    <row r="3" spans="1:7" ht="14.25">
      <c r="A3" t="s">
        <v>51</v>
      </c>
      <c r="B3" t="s">
        <v>52</v>
      </c>
      <c r="C3" t="s">
        <v>53</v>
      </c>
      <c r="E3" t="s">
        <v>54</v>
      </c>
      <c r="G3" s="12"/>
    </row>
    <row r="4" spans="1:7" ht="14.25">
      <c r="A4" t="s">
        <v>55</v>
      </c>
      <c r="B4" t="s">
        <v>56</v>
      </c>
      <c r="C4" t="s">
        <v>53</v>
      </c>
      <c r="E4" t="s">
        <v>54</v>
      </c>
      <c r="G4" s="12"/>
    </row>
    <row r="5" spans="1:7" ht="14.25">
      <c r="A5" t="s">
        <v>57</v>
      </c>
      <c r="B5" t="s">
        <v>58</v>
      </c>
      <c r="C5" t="s">
        <v>53</v>
      </c>
      <c r="E5" t="s">
        <v>54</v>
      </c>
      <c r="G5" s="12"/>
    </row>
    <row r="6" spans="1:7" ht="14.25">
      <c r="A6" t="s">
        <v>59</v>
      </c>
      <c r="B6" t="s">
        <v>60</v>
      </c>
      <c r="C6" t="s">
        <v>53</v>
      </c>
      <c r="E6" t="s">
        <v>54</v>
      </c>
      <c r="G6" s="12"/>
    </row>
    <row r="7" spans="1:7" ht="14.25">
      <c r="A7" t="s">
        <v>61</v>
      </c>
      <c r="B7" t="s">
        <v>62</v>
      </c>
      <c r="C7" t="s">
        <v>53</v>
      </c>
      <c r="E7" t="s">
        <v>54</v>
      </c>
      <c r="G7" s="12"/>
    </row>
    <row r="8" spans="1:7" ht="14.25">
      <c r="A8" t="s">
        <v>63</v>
      </c>
      <c r="B8" t="s">
        <v>64</v>
      </c>
      <c r="C8" t="s">
        <v>53</v>
      </c>
      <c r="E8" t="s">
        <v>54</v>
      </c>
      <c r="G8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14" sqref="I14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24" t="s">
        <v>52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5" ht="25.15">
      <c r="A2" s="10"/>
      <c r="B2" s="10"/>
      <c r="C2" s="10"/>
      <c r="D2" s="10"/>
      <c r="E2" s="10"/>
    </row>
    <row r="3" spans="1:15" ht="15">
      <c r="A3" s="116" t="s">
        <v>65</v>
      </c>
      <c r="B3" s="117"/>
      <c r="C3" s="117"/>
      <c r="D3" s="117"/>
      <c r="E3" s="118"/>
      <c r="F3" s="119" t="s">
        <v>66</v>
      </c>
      <c r="G3" s="120"/>
      <c r="H3" s="121"/>
      <c r="I3" s="122" t="s">
        <v>67</v>
      </c>
      <c r="J3" s="123"/>
    </row>
    <row r="4" spans="1:15">
      <c r="A4" s="13" t="s">
        <v>68</v>
      </c>
      <c r="B4" s="40" t="s">
        <v>4</v>
      </c>
      <c r="C4" s="40" t="s">
        <v>5</v>
      </c>
      <c r="D4" s="40" t="s">
        <v>69</v>
      </c>
      <c r="E4" s="41" t="s">
        <v>70</v>
      </c>
      <c r="F4" s="42" t="s">
        <v>8</v>
      </c>
      <c r="G4" s="43" t="s">
        <v>71</v>
      </c>
      <c r="H4" s="44" t="s">
        <v>72</v>
      </c>
      <c r="I4" s="45" t="s">
        <v>67</v>
      </c>
      <c r="J4" s="46" t="s">
        <v>73</v>
      </c>
    </row>
    <row r="5" spans="1:15" ht="28.5">
      <c r="A5" s="83" t="s">
        <v>74</v>
      </c>
      <c r="B5" s="84">
        <v>3467</v>
      </c>
      <c r="C5" s="84">
        <v>15948</v>
      </c>
      <c r="D5" s="85">
        <f>B5-C5</f>
        <v>-12481</v>
      </c>
      <c r="E5" s="86">
        <f t="shared" ref="E5:E16" si="0">IFERROR(D5/C5, 0)</f>
        <v>-0.78260596940055183</v>
      </c>
      <c r="F5" s="87">
        <v>0</v>
      </c>
      <c r="G5" s="25">
        <f>B5-F5</f>
        <v>3467</v>
      </c>
      <c r="H5" s="88">
        <f t="shared" ref="H5:H16" si="1">IFERROR(G5/F5, 0)</f>
        <v>0</v>
      </c>
      <c r="I5" s="68" t="s">
        <v>75</v>
      </c>
      <c r="J5" s="68" t="s">
        <v>76</v>
      </c>
      <c r="O5" s="4"/>
    </row>
    <row r="6" spans="1:15" ht="14.25">
      <c r="A6" s="89" t="s">
        <v>77</v>
      </c>
      <c r="B6" s="90"/>
      <c r="C6" s="90"/>
      <c r="D6" s="85">
        <f t="shared" ref="D6:D16" si="2">B6-C6</f>
        <v>0</v>
      </c>
      <c r="E6" s="91">
        <f t="shared" si="0"/>
        <v>0</v>
      </c>
      <c r="F6" s="92"/>
      <c r="G6" s="25">
        <f t="shared" ref="G6:G16" si="3">B6-F6</f>
        <v>0</v>
      </c>
      <c r="H6" s="88">
        <f t="shared" si="1"/>
        <v>0</v>
      </c>
      <c r="I6" s="66"/>
      <c r="J6" s="66" t="s">
        <v>78</v>
      </c>
    </row>
    <row r="7" spans="1:15" ht="14.25">
      <c r="A7" s="89" t="s">
        <v>79</v>
      </c>
      <c r="B7" s="90"/>
      <c r="C7" s="90"/>
      <c r="D7" s="85">
        <f t="shared" si="2"/>
        <v>0</v>
      </c>
      <c r="E7" s="91">
        <f t="shared" si="0"/>
        <v>0</v>
      </c>
      <c r="F7" s="25"/>
      <c r="G7" s="25">
        <f t="shared" si="3"/>
        <v>0</v>
      </c>
      <c r="H7" s="88">
        <f t="shared" si="1"/>
        <v>0</v>
      </c>
      <c r="I7" s="67"/>
      <c r="J7" s="67"/>
    </row>
    <row r="8" spans="1:15" ht="14.25">
      <c r="A8" s="89" t="s">
        <v>80</v>
      </c>
      <c r="B8" s="90"/>
      <c r="C8" s="90"/>
      <c r="D8" s="85">
        <f t="shared" si="2"/>
        <v>0</v>
      </c>
      <c r="E8" s="91">
        <f t="shared" si="0"/>
        <v>0</v>
      </c>
      <c r="F8" s="25"/>
      <c r="G8" s="25">
        <f t="shared" si="3"/>
        <v>0</v>
      </c>
      <c r="H8" s="88">
        <f t="shared" si="1"/>
        <v>0</v>
      </c>
      <c r="I8" s="66"/>
      <c r="J8" s="66"/>
    </row>
    <row r="9" spans="1:15" ht="14.25">
      <c r="A9" s="89" t="s">
        <v>81</v>
      </c>
      <c r="B9" s="90"/>
      <c r="C9" s="90"/>
      <c r="D9" s="85">
        <f t="shared" si="2"/>
        <v>0</v>
      </c>
      <c r="E9" s="91">
        <f t="shared" si="0"/>
        <v>0</v>
      </c>
      <c r="F9" s="25"/>
      <c r="G9" s="25">
        <f t="shared" si="3"/>
        <v>0</v>
      </c>
      <c r="H9" s="88">
        <f t="shared" si="1"/>
        <v>0</v>
      </c>
      <c r="I9" s="68"/>
      <c r="J9" s="68"/>
    </row>
    <row r="10" spans="1:15" ht="14.25">
      <c r="A10" s="89" t="s">
        <v>82</v>
      </c>
      <c r="B10" s="93"/>
      <c r="C10" s="93"/>
      <c r="D10" s="85">
        <f t="shared" si="2"/>
        <v>0</v>
      </c>
      <c r="E10" s="91">
        <f t="shared" si="0"/>
        <v>0</v>
      </c>
      <c r="F10" s="94"/>
      <c r="G10" s="25">
        <f t="shared" si="3"/>
        <v>0</v>
      </c>
      <c r="H10" s="88">
        <f t="shared" si="1"/>
        <v>0</v>
      </c>
      <c r="I10" s="66"/>
      <c r="J10" s="66" t="s">
        <v>78</v>
      </c>
    </row>
    <row r="11" spans="1:15" ht="14.25">
      <c r="A11" s="89" t="s">
        <v>83</v>
      </c>
      <c r="B11" s="90"/>
      <c r="C11" s="90"/>
      <c r="D11" s="85">
        <f t="shared" si="2"/>
        <v>0</v>
      </c>
      <c r="E11" s="91">
        <f t="shared" si="0"/>
        <v>0</v>
      </c>
      <c r="F11" s="92"/>
      <c r="G11" s="25">
        <f t="shared" si="3"/>
        <v>0</v>
      </c>
      <c r="H11" s="88">
        <f t="shared" si="1"/>
        <v>0</v>
      </c>
      <c r="I11" s="66"/>
      <c r="J11" s="66" t="s">
        <v>78</v>
      </c>
    </row>
    <row r="12" spans="1:15" ht="14.25">
      <c r="A12" s="89" t="s">
        <v>84</v>
      </c>
      <c r="B12" s="90"/>
      <c r="C12" s="90"/>
      <c r="D12" s="85">
        <f t="shared" si="2"/>
        <v>0</v>
      </c>
      <c r="E12" s="91">
        <f t="shared" si="0"/>
        <v>0</v>
      </c>
      <c r="F12" s="92"/>
      <c r="G12" s="25">
        <f t="shared" si="3"/>
        <v>0</v>
      </c>
      <c r="H12" s="88">
        <f t="shared" si="1"/>
        <v>0</v>
      </c>
      <c r="I12" s="67"/>
      <c r="J12" s="67"/>
    </row>
    <row r="13" spans="1:15" ht="14.25">
      <c r="A13" s="89" t="s">
        <v>85</v>
      </c>
      <c r="B13" s="90"/>
      <c r="C13" s="90"/>
      <c r="D13" s="85">
        <f t="shared" si="2"/>
        <v>0</v>
      </c>
      <c r="E13" s="91">
        <f t="shared" si="0"/>
        <v>0</v>
      </c>
      <c r="F13" s="92"/>
      <c r="G13" s="25">
        <f t="shared" si="3"/>
        <v>0</v>
      </c>
      <c r="H13" s="88">
        <f t="shared" si="1"/>
        <v>0</v>
      </c>
      <c r="I13" s="66"/>
      <c r="J13" s="66"/>
    </row>
    <row r="14" spans="1:15" ht="14.25">
      <c r="A14" s="89" t="s">
        <v>86</v>
      </c>
      <c r="B14" s="90"/>
      <c r="C14" s="90"/>
      <c r="D14" s="85">
        <f t="shared" si="2"/>
        <v>0</v>
      </c>
      <c r="E14" s="91">
        <f t="shared" si="0"/>
        <v>0</v>
      </c>
      <c r="F14" s="92"/>
      <c r="G14" s="25">
        <f t="shared" si="3"/>
        <v>0</v>
      </c>
      <c r="H14" s="88">
        <f t="shared" si="1"/>
        <v>0</v>
      </c>
      <c r="I14" s="72"/>
      <c r="J14" s="68"/>
    </row>
    <row r="15" spans="1:15" ht="14.25">
      <c r="A15" s="89" t="s">
        <v>87</v>
      </c>
      <c r="B15" s="93"/>
      <c r="C15" s="93"/>
      <c r="D15" s="85">
        <f t="shared" si="2"/>
        <v>0</v>
      </c>
      <c r="E15" s="91">
        <f t="shared" si="0"/>
        <v>0</v>
      </c>
      <c r="F15" s="94"/>
      <c r="G15" s="25">
        <f t="shared" si="3"/>
        <v>0</v>
      </c>
      <c r="H15" s="88">
        <f t="shared" si="1"/>
        <v>0</v>
      </c>
      <c r="I15" s="66"/>
      <c r="J15" s="66"/>
    </row>
    <row r="16" spans="1:15" ht="14.25">
      <c r="A16" s="95" t="s">
        <v>88</v>
      </c>
      <c r="B16" s="96"/>
      <c r="C16" s="96"/>
      <c r="D16" s="85">
        <f t="shared" si="2"/>
        <v>0</v>
      </c>
      <c r="E16" s="97">
        <f t="shared" si="0"/>
        <v>0</v>
      </c>
      <c r="F16" s="98"/>
      <c r="G16" s="99">
        <f t="shared" si="3"/>
        <v>0</v>
      </c>
      <c r="H16" s="100">
        <f t="shared" si="1"/>
        <v>0</v>
      </c>
      <c r="I16" s="102"/>
      <c r="J16" s="102"/>
    </row>
    <row r="17" spans="1:15" ht="14.25">
      <c r="A17" s="35" t="s">
        <v>89</v>
      </c>
      <c r="B17" s="36">
        <f>SUM(B5:B16)</f>
        <v>3467</v>
      </c>
      <c r="C17" s="36">
        <f t="shared" ref="C17:F17" si="4">SUM(C5:C16)</f>
        <v>15948</v>
      </c>
      <c r="D17" s="36">
        <f>B17-C17</f>
        <v>-12481</v>
      </c>
      <c r="E17" s="37">
        <f>IFERROR(D17/C17, 0)</f>
        <v>-0.78260596940055183</v>
      </c>
      <c r="F17" s="36">
        <f t="shared" si="4"/>
        <v>0</v>
      </c>
      <c r="G17" s="36">
        <f>B17-F17</f>
        <v>3467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95" priority="1" operator="lessThanOrEqual">
      <formula>-0.1</formula>
    </cfRule>
    <cfRule type="cellIs" dxfId="9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8CD8-C5CA-429A-A1E4-4364FF1DA89E}">
  <sheetPr>
    <tabColor rgb="FFFFFF00"/>
  </sheetPr>
  <dimension ref="A1:O20"/>
  <sheetViews>
    <sheetView workbookViewId="0">
      <selection activeCell="I28" sqref="I2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24" t="s">
        <v>56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5" ht="25.15">
      <c r="A2" s="10"/>
      <c r="B2" s="10"/>
      <c r="C2" s="10"/>
      <c r="D2" s="10"/>
      <c r="E2" s="10"/>
    </row>
    <row r="3" spans="1:15" ht="15">
      <c r="A3" s="116" t="s">
        <v>65</v>
      </c>
      <c r="B3" s="117"/>
      <c r="C3" s="117"/>
      <c r="D3" s="117"/>
      <c r="E3" s="118"/>
      <c r="F3" s="119" t="s">
        <v>66</v>
      </c>
      <c r="G3" s="120"/>
      <c r="H3" s="121"/>
      <c r="I3" s="122" t="s">
        <v>67</v>
      </c>
      <c r="J3" s="123"/>
    </row>
    <row r="4" spans="1:15">
      <c r="A4" s="13" t="s">
        <v>68</v>
      </c>
      <c r="B4" s="40" t="s">
        <v>4</v>
      </c>
      <c r="C4" s="40" t="s">
        <v>5</v>
      </c>
      <c r="D4" s="40" t="s">
        <v>69</v>
      </c>
      <c r="E4" s="41" t="s">
        <v>70</v>
      </c>
      <c r="F4" s="42" t="s">
        <v>8</v>
      </c>
      <c r="G4" s="43" t="s">
        <v>71</v>
      </c>
      <c r="H4" s="44" t="s">
        <v>72</v>
      </c>
      <c r="I4" s="45" t="s">
        <v>67</v>
      </c>
      <c r="J4" s="46" t="s">
        <v>73</v>
      </c>
    </row>
    <row r="5" spans="1:15" ht="14.25">
      <c r="A5" s="14" t="s">
        <v>74</v>
      </c>
      <c r="B5" s="15">
        <v>4288</v>
      </c>
      <c r="C5" s="15">
        <v>17449</v>
      </c>
      <c r="D5" s="70">
        <f>B5-C5</f>
        <v>-13161</v>
      </c>
      <c r="E5" s="17">
        <f t="shared" ref="E5:E16" si="0">IFERROR(D5/C5, 0)</f>
        <v>-0.7542552581809846</v>
      </c>
      <c r="F5" s="18">
        <v>0</v>
      </c>
      <c r="G5" s="19">
        <f>B5-F5</f>
        <v>4288</v>
      </c>
      <c r="H5" s="20">
        <f t="shared" ref="H5:H16" si="1">IFERROR(G5/F5, 0)</f>
        <v>0</v>
      </c>
      <c r="I5" s="66"/>
      <c r="J5" s="66" t="s">
        <v>78</v>
      </c>
      <c r="O5" s="4"/>
    </row>
    <row r="6" spans="1:15" ht="14.25">
      <c r="A6" s="22" t="s">
        <v>77</v>
      </c>
      <c r="B6" s="16"/>
      <c r="C6" s="16"/>
      <c r="D6" s="70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78</v>
      </c>
    </row>
    <row r="7" spans="1:15" ht="14.25">
      <c r="A7" s="22" t="s">
        <v>79</v>
      </c>
      <c r="B7" s="16"/>
      <c r="C7" s="16"/>
      <c r="D7" s="70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4.25">
      <c r="A8" s="22" t="s">
        <v>80</v>
      </c>
      <c r="B8" s="16"/>
      <c r="C8" s="16"/>
      <c r="D8" s="70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4.25">
      <c r="A9" s="22" t="s">
        <v>81</v>
      </c>
      <c r="B9" s="16"/>
      <c r="C9" s="16"/>
      <c r="D9" s="70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4.25">
      <c r="A10" s="22" t="s">
        <v>82</v>
      </c>
      <c r="B10" s="27"/>
      <c r="C10" s="27"/>
      <c r="D10" s="70">
        <f t="shared" si="2"/>
        <v>0</v>
      </c>
      <c r="E10" s="23">
        <f t="shared" si="0"/>
        <v>0</v>
      </c>
      <c r="F10" s="28"/>
      <c r="G10" s="19">
        <f t="shared" si="3"/>
        <v>0</v>
      </c>
      <c r="H10" s="20">
        <f t="shared" si="1"/>
        <v>0</v>
      </c>
      <c r="I10" s="66"/>
      <c r="J10" s="66" t="s">
        <v>78</v>
      </c>
    </row>
    <row r="11" spans="1:15" ht="14.25">
      <c r="A11" s="22" t="s">
        <v>83</v>
      </c>
      <c r="B11" s="16"/>
      <c r="C11" s="16"/>
      <c r="D11" s="70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78</v>
      </c>
    </row>
    <row r="12" spans="1:15" ht="14.25">
      <c r="A12" s="22" t="s">
        <v>84</v>
      </c>
      <c r="B12" s="16"/>
      <c r="C12" s="16"/>
      <c r="D12" s="70">
        <f t="shared" si="2"/>
        <v>0</v>
      </c>
      <c r="E12" s="23">
        <f t="shared" si="0"/>
        <v>0</v>
      </c>
      <c r="F12" s="24"/>
      <c r="G12" s="19">
        <f t="shared" si="3"/>
        <v>0</v>
      </c>
      <c r="H12" s="20">
        <f t="shared" si="1"/>
        <v>0</v>
      </c>
      <c r="I12" s="67"/>
      <c r="J12" s="67"/>
    </row>
    <row r="13" spans="1:15" ht="14.25">
      <c r="A13" s="22" t="s">
        <v>85</v>
      </c>
      <c r="B13" s="16"/>
      <c r="C13" s="16"/>
      <c r="D13" s="70">
        <f t="shared" si="2"/>
        <v>0</v>
      </c>
      <c r="E13" s="23">
        <f t="shared" si="0"/>
        <v>0</v>
      </c>
      <c r="F13" s="24"/>
      <c r="G13" s="19">
        <f t="shared" si="3"/>
        <v>0</v>
      </c>
      <c r="H13" s="20">
        <f t="shared" si="1"/>
        <v>0</v>
      </c>
      <c r="I13" s="66"/>
      <c r="J13" s="66"/>
    </row>
    <row r="14" spans="1:15" ht="14.25">
      <c r="A14" s="22" t="s">
        <v>86</v>
      </c>
      <c r="B14" s="16"/>
      <c r="C14" s="16"/>
      <c r="D14" s="70">
        <f t="shared" si="2"/>
        <v>0</v>
      </c>
      <c r="E14" s="23">
        <f t="shared" si="0"/>
        <v>0</v>
      </c>
      <c r="F14" s="24"/>
      <c r="G14" s="19">
        <f t="shared" si="3"/>
        <v>0</v>
      </c>
      <c r="H14" s="20">
        <f t="shared" si="1"/>
        <v>0</v>
      </c>
      <c r="I14" s="68"/>
      <c r="J14" s="68"/>
    </row>
    <row r="15" spans="1:15" ht="14.25">
      <c r="A15" s="22" t="s">
        <v>87</v>
      </c>
      <c r="B15" s="27"/>
      <c r="C15" s="27"/>
      <c r="D15" s="70">
        <f t="shared" si="2"/>
        <v>0</v>
      </c>
      <c r="E15" s="23">
        <f t="shared" si="0"/>
        <v>0</v>
      </c>
      <c r="F15" s="28"/>
      <c r="G15" s="19">
        <f t="shared" si="3"/>
        <v>0</v>
      </c>
      <c r="H15" s="20">
        <f t="shared" si="1"/>
        <v>0</v>
      </c>
      <c r="I15" s="66"/>
      <c r="J15" s="66" t="s">
        <v>78</v>
      </c>
    </row>
    <row r="16" spans="1:15" ht="14.25">
      <c r="A16" s="29" t="s">
        <v>88</v>
      </c>
      <c r="B16" s="30"/>
      <c r="C16" s="30"/>
      <c r="D16" s="7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9"/>
      <c r="J16" s="69" t="s">
        <v>78</v>
      </c>
    </row>
    <row r="17" spans="1:15" ht="14.25">
      <c r="A17" s="35" t="s">
        <v>89</v>
      </c>
      <c r="B17" s="36">
        <f>SUM(B5:B16)</f>
        <v>4288</v>
      </c>
      <c r="C17" s="36">
        <f t="shared" ref="C17:F17" si="4">SUM(C5:C16)</f>
        <v>17449</v>
      </c>
      <c r="D17" s="36">
        <f>B17-C17</f>
        <v>-13161</v>
      </c>
      <c r="E17" s="37">
        <f>IFERROR(D17/C17, 0)</f>
        <v>-0.7542552581809846</v>
      </c>
      <c r="F17" s="36">
        <f t="shared" si="4"/>
        <v>0</v>
      </c>
      <c r="G17" s="36">
        <f>B17-F17</f>
        <v>4288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79" priority="1" operator="lessThanOrEqual">
      <formula>-0.1</formula>
    </cfRule>
    <cfRule type="cellIs" dxfId="78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77AD-10D5-495F-8BF9-1C4316DB79A4}">
  <sheetPr>
    <tabColor rgb="FFFFFF00"/>
  </sheetPr>
  <dimension ref="A1:O20"/>
  <sheetViews>
    <sheetView workbookViewId="0">
      <selection activeCell="G30" sqref="G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24" t="s">
        <v>58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5" ht="25.15">
      <c r="A2" s="10"/>
      <c r="B2" s="10"/>
      <c r="C2" s="10"/>
      <c r="D2" s="10"/>
      <c r="E2" s="10"/>
    </row>
    <row r="3" spans="1:15" ht="15">
      <c r="A3" s="116" t="s">
        <v>65</v>
      </c>
      <c r="B3" s="117"/>
      <c r="C3" s="117"/>
      <c r="D3" s="117"/>
      <c r="E3" s="118"/>
      <c r="F3" s="119" t="s">
        <v>66</v>
      </c>
      <c r="G3" s="120"/>
      <c r="H3" s="121"/>
      <c r="I3" s="122" t="s">
        <v>67</v>
      </c>
      <c r="J3" s="123"/>
    </row>
    <row r="4" spans="1:15">
      <c r="A4" s="13" t="s">
        <v>68</v>
      </c>
      <c r="B4" s="40" t="s">
        <v>4</v>
      </c>
      <c r="C4" s="40" t="s">
        <v>5</v>
      </c>
      <c r="D4" s="40" t="s">
        <v>69</v>
      </c>
      <c r="E4" s="41" t="s">
        <v>70</v>
      </c>
      <c r="F4" s="42" t="s">
        <v>8</v>
      </c>
      <c r="G4" s="43" t="s">
        <v>71</v>
      </c>
      <c r="H4" s="44" t="s">
        <v>72</v>
      </c>
      <c r="I4" s="45" t="s">
        <v>67</v>
      </c>
      <c r="J4" s="46" t="s">
        <v>73</v>
      </c>
    </row>
    <row r="5" spans="1:15" ht="14.25">
      <c r="A5" s="14" t="s">
        <v>74</v>
      </c>
      <c r="B5" s="15">
        <v>4367</v>
      </c>
      <c r="C5" s="15">
        <v>14453</v>
      </c>
      <c r="D5" s="70">
        <f>B5-C5</f>
        <v>-10086</v>
      </c>
      <c r="E5" s="17">
        <f t="shared" ref="E5:E16" si="0">IFERROR(D5/C5, 0)</f>
        <v>-0.69784819760603334</v>
      </c>
      <c r="F5" s="18">
        <v>0</v>
      </c>
      <c r="G5" s="19">
        <f>B5-F5</f>
        <v>4367</v>
      </c>
      <c r="H5" s="20">
        <f t="shared" ref="H5:H16" si="1">IFERROR(G5/F5, 0)</f>
        <v>0</v>
      </c>
      <c r="I5" s="66"/>
      <c r="J5" s="66" t="s">
        <v>78</v>
      </c>
      <c r="O5" s="4"/>
    </row>
    <row r="6" spans="1:15" ht="14.25">
      <c r="A6" s="22" t="s">
        <v>77</v>
      </c>
      <c r="B6" s="16"/>
      <c r="C6" s="16"/>
      <c r="D6" s="70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78</v>
      </c>
    </row>
    <row r="7" spans="1:15" ht="14.25">
      <c r="A7" s="22" t="s">
        <v>79</v>
      </c>
      <c r="B7" s="16"/>
      <c r="C7" s="16"/>
      <c r="D7" s="70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4.25">
      <c r="A8" s="22" t="s">
        <v>80</v>
      </c>
      <c r="B8" s="16"/>
      <c r="C8" s="16"/>
      <c r="D8" s="70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4.25">
      <c r="A9" s="22" t="s">
        <v>81</v>
      </c>
      <c r="B9" s="16"/>
      <c r="C9" s="16"/>
      <c r="D9" s="70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4.25">
      <c r="A10" s="22" t="s">
        <v>82</v>
      </c>
      <c r="B10" s="27"/>
      <c r="C10" s="27"/>
      <c r="D10" s="70">
        <f t="shared" si="2"/>
        <v>0</v>
      </c>
      <c r="E10" s="23">
        <f t="shared" si="0"/>
        <v>0</v>
      </c>
      <c r="F10" s="28"/>
      <c r="G10" s="19">
        <f t="shared" si="3"/>
        <v>0</v>
      </c>
      <c r="H10" s="20">
        <f t="shared" si="1"/>
        <v>0</v>
      </c>
      <c r="I10" s="66"/>
      <c r="J10" s="66" t="s">
        <v>78</v>
      </c>
    </row>
    <row r="11" spans="1:15" ht="14.25">
      <c r="A11" s="22" t="s">
        <v>83</v>
      </c>
      <c r="B11" s="16"/>
      <c r="C11" s="16"/>
      <c r="D11" s="70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78</v>
      </c>
    </row>
    <row r="12" spans="1:15" ht="14.25">
      <c r="A12" s="22" t="s">
        <v>84</v>
      </c>
      <c r="B12" s="16"/>
      <c r="C12" s="16"/>
      <c r="D12" s="70">
        <f t="shared" si="2"/>
        <v>0</v>
      </c>
      <c r="E12" s="23">
        <f t="shared" si="0"/>
        <v>0</v>
      </c>
      <c r="F12" s="24"/>
      <c r="G12" s="19">
        <f t="shared" si="3"/>
        <v>0</v>
      </c>
      <c r="H12" s="20">
        <f t="shared" si="1"/>
        <v>0</v>
      </c>
      <c r="I12" s="67"/>
      <c r="J12" s="67"/>
    </row>
    <row r="13" spans="1:15" ht="14.25">
      <c r="A13" s="22" t="s">
        <v>85</v>
      </c>
      <c r="B13" s="16"/>
      <c r="C13" s="16"/>
      <c r="D13" s="70">
        <f t="shared" si="2"/>
        <v>0</v>
      </c>
      <c r="E13" s="23">
        <f t="shared" si="0"/>
        <v>0</v>
      </c>
      <c r="F13" s="24"/>
      <c r="G13" s="19">
        <f t="shared" si="3"/>
        <v>0</v>
      </c>
      <c r="H13" s="20">
        <f t="shared" si="1"/>
        <v>0</v>
      </c>
      <c r="I13" s="66"/>
      <c r="J13" s="66"/>
    </row>
    <row r="14" spans="1:15" ht="14.25">
      <c r="A14" s="22" t="s">
        <v>86</v>
      </c>
      <c r="B14" s="16"/>
      <c r="C14" s="16"/>
      <c r="D14" s="70">
        <f t="shared" si="2"/>
        <v>0</v>
      </c>
      <c r="E14" s="23">
        <f t="shared" si="0"/>
        <v>0</v>
      </c>
      <c r="F14" s="24"/>
      <c r="G14" s="19">
        <f t="shared" si="3"/>
        <v>0</v>
      </c>
      <c r="H14" s="20">
        <f t="shared" si="1"/>
        <v>0</v>
      </c>
      <c r="I14" s="68"/>
      <c r="J14" s="68"/>
    </row>
    <row r="15" spans="1:15" ht="14.25">
      <c r="A15" s="22" t="s">
        <v>87</v>
      </c>
      <c r="B15" s="27"/>
      <c r="C15" s="27"/>
      <c r="D15" s="70">
        <f t="shared" si="2"/>
        <v>0</v>
      </c>
      <c r="E15" s="23">
        <f t="shared" si="0"/>
        <v>0</v>
      </c>
      <c r="F15" s="28"/>
      <c r="G15" s="19">
        <f t="shared" si="3"/>
        <v>0</v>
      </c>
      <c r="H15" s="20">
        <f t="shared" si="1"/>
        <v>0</v>
      </c>
      <c r="I15" s="68"/>
      <c r="J15" s="101"/>
    </row>
    <row r="16" spans="1:15" ht="14.25">
      <c r="A16" s="29" t="s">
        <v>88</v>
      </c>
      <c r="B16" s="30"/>
      <c r="C16" s="30"/>
      <c r="D16" s="7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9"/>
      <c r="J16" s="69"/>
    </row>
    <row r="17" spans="1:15" ht="14.25">
      <c r="A17" s="35" t="s">
        <v>89</v>
      </c>
      <c r="B17" s="36">
        <f>SUM(B5:B16)</f>
        <v>4367</v>
      </c>
      <c r="C17" s="36">
        <f t="shared" ref="C17:F17" si="4">SUM(C5:C16)</f>
        <v>14453</v>
      </c>
      <c r="D17" s="36">
        <f>B17-C17</f>
        <v>-10086</v>
      </c>
      <c r="E17" s="37">
        <f>IFERROR(D17/C17, 0)</f>
        <v>-0.69784819760603334</v>
      </c>
      <c r="F17" s="36">
        <f t="shared" si="4"/>
        <v>0</v>
      </c>
      <c r="G17" s="36">
        <f>B17-F17</f>
        <v>4367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63" priority="1" operator="lessThanOrEqual">
      <formula>-0.1</formula>
    </cfRule>
    <cfRule type="cellIs" dxfId="62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4351-C2D4-4A6B-B85D-EA7B4A0E7A0A}">
  <sheetPr>
    <tabColor rgb="FFFFFF00"/>
  </sheetPr>
  <dimension ref="A1:O20"/>
  <sheetViews>
    <sheetView workbookViewId="0">
      <selection activeCell="F5" sqref="F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24" t="s">
        <v>60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5" ht="25.15">
      <c r="A2" s="10"/>
      <c r="B2" s="10"/>
      <c r="C2" s="10"/>
      <c r="D2" s="10"/>
      <c r="E2" s="10"/>
    </row>
    <row r="3" spans="1:15" ht="15">
      <c r="A3" s="116" t="s">
        <v>65</v>
      </c>
      <c r="B3" s="117"/>
      <c r="C3" s="117"/>
      <c r="D3" s="117"/>
      <c r="E3" s="118"/>
      <c r="F3" s="119" t="s">
        <v>66</v>
      </c>
      <c r="G3" s="120"/>
      <c r="H3" s="121"/>
      <c r="I3" s="122" t="s">
        <v>67</v>
      </c>
      <c r="J3" s="123"/>
    </row>
    <row r="4" spans="1:15">
      <c r="A4" s="13" t="s">
        <v>68</v>
      </c>
      <c r="B4" s="40" t="s">
        <v>4</v>
      </c>
      <c r="C4" s="40" t="s">
        <v>5</v>
      </c>
      <c r="D4" s="40" t="s">
        <v>69</v>
      </c>
      <c r="E4" s="41" t="s">
        <v>70</v>
      </c>
      <c r="F4" s="42" t="s">
        <v>8</v>
      </c>
      <c r="G4" s="43" t="s">
        <v>71</v>
      </c>
      <c r="H4" s="44" t="s">
        <v>72</v>
      </c>
      <c r="I4" s="45" t="s">
        <v>67</v>
      </c>
      <c r="J4" s="46" t="s">
        <v>73</v>
      </c>
    </row>
    <row r="5" spans="1:15" ht="14.25">
      <c r="A5" s="14" t="s">
        <v>74</v>
      </c>
      <c r="B5" s="15">
        <v>4435</v>
      </c>
      <c r="C5" s="15">
        <v>17416</v>
      </c>
      <c r="D5" s="70">
        <f>B5-C5</f>
        <v>-12981</v>
      </c>
      <c r="E5" s="17">
        <f t="shared" ref="E5:E16" si="0">IFERROR(D5/C5, 0)</f>
        <v>-0.7453491042719339</v>
      </c>
      <c r="F5" s="18">
        <v>0</v>
      </c>
      <c r="G5" s="19">
        <f>B5-F5</f>
        <v>4435</v>
      </c>
      <c r="H5" s="20">
        <f t="shared" ref="H5:H16" si="1">IFERROR(G5/F5, 0)</f>
        <v>0</v>
      </c>
      <c r="I5" s="66"/>
      <c r="J5" s="66" t="s">
        <v>78</v>
      </c>
      <c r="O5" s="4"/>
    </row>
    <row r="6" spans="1:15" ht="14.25">
      <c r="A6" s="22" t="s">
        <v>77</v>
      </c>
      <c r="B6" s="16"/>
      <c r="C6" s="16"/>
      <c r="D6" s="70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78</v>
      </c>
    </row>
    <row r="7" spans="1:15" ht="14.25">
      <c r="A7" s="22" t="s">
        <v>79</v>
      </c>
      <c r="B7" s="16"/>
      <c r="C7" s="16"/>
      <c r="D7" s="70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4.25">
      <c r="A8" s="22" t="s">
        <v>80</v>
      </c>
      <c r="B8" s="16"/>
      <c r="C8" s="16"/>
      <c r="D8" s="70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4.25">
      <c r="A9" s="22" t="s">
        <v>81</v>
      </c>
      <c r="B9" s="16"/>
      <c r="C9" s="16"/>
      <c r="D9" s="70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4.25">
      <c r="A10" s="22" t="s">
        <v>82</v>
      </c>
      <c r="B10" s="27"/>
      <c r="C10" s="27"/>
      <c r="D10" s="70">
        <f t="shared" si="2"/>
        <v>0</v>
      </c>
      <c r="E10" s="23">
        <f t="shared" si="0"/>
        <v>0</v>
      </c>
      <c r="F10" s="28"/>
      <c r="G10" s="19">
        <f t="shared" si="3"/>
        <v>0</v>
      </c>
      <c r="H10" s="20">
        <f t="shared" si="1"/>
        <v>0</v>
      </c>
      <c r="I10" s="66"/>
      <c r="J10" s="66" t="s">
        <v>78</v>
      </c>
    </row>
    <row r="11" spans="1:15" ht="14.25">
      <c r="A11" s="22" t="s">
        <v>83</v>
      </c>
      <c r="B11" s="16"/>
      <c r="C11" s="16"/>
      <c r="D11" s="70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78</v>
      </c>
    </row>
    <row r="12" spans="1:15" ht="14.25">
      <c r="A12" s="22" t="s">
        <v>84</v>
      </c>
      <c r="B12" s="16"/>
      <c r="C12" s="16"/>
      <c r="D12" s="70">
        <f t="shared" si="2"/>
        <v>0</v>
      </c>
      <c r="E12" s="23">
        <f t="shared" si="0"/>
        <v>0</v>
      </c>
      <c r="F12" s="24"/>
      <c r="G12" s="19">
        <f t="shared" si="3"/>
        <v>0</v>
      </c>
      <c r="H12" s="20">
        <f t="shared" si="1"/>
        <v>0</v>
      </c>
      <c r="I12" s="67"/>
      <c r="J12" s="67"/>
    </row>
    <row r="13" spans="1:15" ht="14.25">
      <c r="A13" s="22" t="s">
        <v>85</v>
      </c>
      <c r="B13" s="16"/>
      <c r="C13" s="16"/>
      <c r="D13" s="70">
        <f t="shared" si="2"/>
        <v>0</v>
      </c>
      <c r="E13" s="23">
        <f t="shared" si="0"/>
        <v>0</v>
      </c>
      <c r="F13" s="24"/>
      <c r="G13" s="19">
        <f t="shared" si="3"/>
        <v>0</v>
      </c>
      <c r="H13" s="20">
        <f t="shared" si="1"/>
        <v>0</v>
      </c>
      <c r="I13" s="66"/>
      <c r="J13" s="66"/>
    </row>
    <row r="14" spans="1:15" ht="14.25">
      <c r="A14" s="22" t="s">
        <v>86</v>
      </c>
      <c r="B14" s="16"/>
      <c r="C14" s="16"/>
      <c r="D14" s="70">
        <f t="shared" si="2"/>
        <v>0</v>
      </c>
      <c r="E14" s="23">
        <f t="shared" si="0"/>
        <v>0</v>
      </c>
      <c r="F14" s="24"/>
      <c r="G14" s="19">
        <f t="shared" si="3"/>
        <v>0</v>
      </c>
      <c r="H14" s="20">
        <f t="shared" si="1"/>
        <v>0</v>
      </c>
      <c r="I14" s="68"/>
      <c r="J14" s="68"/>
    </row>
    <row r="15" spans="1:15" ht="14.25">
      <c r="A15" s="22" t="s">
        <v>87</v>
      </c>
      <c r="B15" s="27"/>
      <c r="C15" s="27"/>
      <c r="D15" s="70">
        <f t="shared" si="2"/>
        <v>0</v>
      </c>
      <c r="E15" s="23">
        <f t="shared" si="0"/>
        <v>0</v>
      </c>
      <c r="F15" s="28"/>
      <c r="G15" s="19">
        <f t="shared" si="3"/>
        <v>0</v>
      </c>
      <c r="H15" s="20">
        <f t="shared" si="1"/>
        <v>0</v>
      </c>
      <c r="I15" s="66"/>
      <c r="J15" s="66"/>
    </row>
    <row r="16" spans="1:15" ht="14.25">
      <c r="A16" s="29" t="s">
        <v>88</v>
      </c>
      <c r="B16" s="30"/>
      <c r="C16" s="30"/>
      <c r="D16" s="7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9"/>
      <c r="J16" s="69"/>
    </row>
    <row r="17" spans="1:15" ht="14.25">
      <c r="A17" s="35" t="s">
        <v>89</v>
      </c>
      <c r="B17" s="36">
        <f>SUM(B5:B16)</f>
        <v>4435</v>
      </c>
      <c r="C17" s="36">
        <f t="shared" ref="C17:F17" si="4">SUM(C5:C16)</f>
        <v>17416</v>
      </c>
      <c r="D17" s="36">
        <f>B17-C17</f>
        <v>-12981</v>
      </c>
      <c r="E17" s="37">
        <f>IFERROR(D17/C17, 0)</f>
        <v>-0.7453491042719339</v>
      </c>
      <c r="F17" s="36">
        <f t="shared" si="4"/>
        <v>0</v>
      </c>
      <c r="G17" s="36">
        <f>B17-F17</f>
        <v>4435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47" priority="1" operator="lessThanOrEqual">
      <formula>-0.1</formula>
    </cfRule>
    <cfRule type="cellIs" dxfId="46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5C90-8CA9-4460-9967-65E939A70255}">
  <sheetPr>
    <tabColor rgb="FFFFFF00"/>
  </sheetPr>
  <dimension ref="A1:O20"/>
  <sheetViews>
    <sheetView workbookViewId="0">
      <selection activeCell="F5" sqref="F5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24" t="s">
        <v>62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5" ht="25.15">
      <c r="A2" s="10"/>
      <c r="B2" s="10"/>
      <c r="C2" s="10"/>
      <c r="D2" s="10"/>
      <c r="E2" s="10"/>
    </row>
    <row r="3" spans="1:15" ht="15">
      <c r="A3" s="116" t="s">
        <v>65</v>
      </c>
      <c r="B3" s="117"/>
      <c r="C3" s="117"/>
      <c r="D3" s="117"/>
      <c r="E3" s="118"/>
      <c r="F3" s="119" t="s">
        <v>66</v>
      </c>
      <c r="G3" s="120"/>
      <c r="H3" s="121"/>
      <c r="I3" s="122" t="s">
        <v>67</v>
      </c>
      <c r="J3" s="123"/>
    </row>
    <row r="4" spans="1:15">
      <c r="A4" s="13" t="s">
        <v>68</v>
      </c>
      <c r="B4" s="40" t="s">
        <v>4</v>
      </c>
      <c r="C4" s="40" t="s">
        <v>5</v>
      </c>
      <c r="D4" s="40" t="s">
        <v>69</v>
      </c>
      <c r="E4" s="41" t="s">
        <v>70</v>
      </c>
      <c r="F4" s="42" t="s">
        <v>8</v>
      </c>
      <c r="G4" s="43" t="s">
        <v>71</v>
      </c>
      <c r="H4" s="44" t="s">
        <v>72</v>
      </c>
      <c r="I4" s="45" t="s">
        <v>67</v>
      </c>
      <c r="J4" s="46" t="s">
        <v>73</v>
      </c>
    </row>
    <row r="5" spans="1:15" ht="14.25">
      <c r="A5" s="14" t="s">
        <v>74</v>
      </c>
      <c r="B5" s="15">
        <v>4681</v>
      </c>
      <c r="C5" s="15">
        <v>18468</v>
      </c>
      <c r="D5" s="70">
        <f>B5-C5</f>
        <v>-13787</v>
      </c>
      <c r="E5" s="17">
        <f t="shared" ref="E5:E16" si="0">IFERROR(D5/C5, 0)</f>
        <v>-0.74653454624214854</v>
      </c>
      <c r="F5" s="18">
        <v>0</v>
      </c>
      <c r="G5" s="19">
        <f>B5-F5</f>
        <v>4681</v>
      </c>
      <c r="H5" s="20">
        <f t="shared" ref="H5:H16" si="1">IFERROR(G5/F5, 0)</f>
        <v>0</v>
      </c>
      <c r="I5" s="66"/>
      <c r="J5" s="66" t="s">
        <v>78</v>
      </c>
      <c r="O5" s="4"/>
    </row>
    <row r="6" spans="1:15" ht="14.25">
      <c r="A6" s="22" t="s">
        <v>77</v>
      </c>
      <c r="B6" s="16"/>
      <c r="C6" s="16"/>
      <c r="D6" s="70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78</v>
      </c>
    </row>
    <row r="7" spans="1:15" ht="14.25">
      <c r="A7" s="22" t="s">
        <v>79</v>
      </c>
      <c r="B7" s="16"/>
      <c r="C7" s="16"/>
      <c r="D7" s="70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4.25">
      <c r="A8" s="22" t="s">
        <v>80</v>
      </c>
      <c r="B8" s="16"/>
      <c r="C8" s="16"/>
      <c r="D8" s="70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4.25">
      <c r="A9" s="22" t="s">
        <v>81</v>
      </c>
      <c r="B9" s="16"/>
      <c r="C9" s="16"/>
      <c r="D9" s="70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4.25">
      <c r="A10" s="22" t="s">
        <v>82</v>
      </c>
      <c r="B10" s="27"/>
      <c r="C10" s="27"/>
      <c r="D10" s="70">
        <f t="shared" si="2"/>
        <v>0</v>
      </c>
      <c r="E10" s="23">
        <f t="shared" si="0"/>
        <v>0</v>
      </c>
      <c r="F10" s="28"/>
      <c r="G10" s="19">
        <f t="shared" si="3"/>
        <v>0</v>
      </c>
      <c r="H10" s="20">
        <f t="shared" si="1"/>
        <v>0</v>
      </c>
      <c r="I10" s="66"/>
      <c r="J10" s="66" t="s">
        <v>78</v>
      </c>
    </row>
    <row r="11" spans="1:15" ht="14.25">
      <c r="A11" s="22" t="s">
        <v>83</v>
      </c>
      <c r="B11" s="16"/>
      <c r="C11" s="16"/>
      <c r="D11" s="70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 t="s">
        <v>78</v>
      </c>
    </row>
    <row r="12" spans="1:15" ht="14.25">
      <c r="A12" s="22" t="s">
        <v>84</v>
      </c>
      <c r="B12" s="16"/>
      <c r="C12" s="16"/>
      <c r="D12" s="70">
        <f t="shared" si="2"/>
        <v>0</v>
      </c>
      <c r="E12" s="23">
        <f t="shared" si="0"/>
        <v>0</v>
      </c>
      <c r="F12" s="24"/>
      <c r="G12" s="19">
        <f t="shared" si="3"/>
        <v>0</v>
      </c>
      <c r="H12" s="20">
        <f t="shared" si="1"/>
        <v>0</v>
      </c>
      <c r="I12" s="67"/>
      <c r="J12" s="67"/>
    </row>
    <row r="13" spans="1:15" ht="14.25">
      <c r="A13" s="22" t="s">
        <v>85</v>
      </c>
      <c r="B13" s="16"/>
      <c r="C13" s="16"/>
      <c r="D13" s="70">
        <f t="shared" si="2"/>
        <v>0</v>
      </c>
      <c r="E13" s="23">
        <f t="shared" si="0"/>
        <v>0</v>
      </c>
      <c r="F13" s="24"/>
      <c r="G13" s="19">
        <f t="shared" si="3"/>
        <v>0</v>
      </c>
      <c r="H13" s="20">
        <f t="shared" si="1"/>
        <v>0</v>
      </c>
      <c r="I13" s="66"/>
      <c r="J13" s="66"/>
    </row>
    <row r="14" spans="1:15" ht="14.25">
      <c r="A14" s="22" t="s">
        <v>86</v>
      </c>
      <c r="B14" s="16"/>
      <c r="C14" s="16"/>
      <c r="D14" s="70">
        <f t="shared" si="2"/>
        <v>0</v>
      </c>
      <c r="E14" s="23">
        <f t="shared" si="0"/>
        <v>0</v>
      </c>
      <c r="F14" s="24"/>
      <c r="G14" s="19">
        <f t="shared" si="3"/>
        <v>0</v>
      </c>
      <c r="H14" s="20">
        <f t="shared" si="1"/>
        <v>0</v>
      </c>
      <c r="I14" s="68"/>
      <c r="J14" s="68"/>
    </row>
    <row r="15" spans="1:15" ht="14.25">
      <c r="A15" s="22" t="s">
        <v>87</v>
      </c>
      <c r="B15" s="27"/>
      <c r="C15" s="27"/>
      <c r="D15" s="70">
        <f t="shared" si="2"/>
        <v>0</v>
      </c>
      <c r="E15" s="23">
        <f t="shared" si="0"/>
        <v>0</v>
      </c>
      <c r="F15" s="28"/>
      <c r="G15" s="19">
        <f t="shared" si="3"/>
        <v>0</v>
      </c>
      <c r="H15" s="20">
        <f t="shared" si="1"/>
        <v>0</v>
      </c>
      <c r="I15" s="66"/>
      <c r="J15" s="66" t="s">
        <v>78</v>
      </c>
    </row>
    <row r="16" spans="1:15" ht="14.25">
      <c r="A16" s="29" t="s">
        <v>88</v>
      </c>
      <c r="B16" s="30"/>
      <c r="C16" s="30"/>
      <c r="D16" s="7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69"/>
      <c r="J16" s="69" t="s">
        <v>78</v>
      </c>
    </row>
    <row r="17" spans="1:15" ht="14.25">
      <c r="A17" s="35" t="s">
        <v>89</v>
      </c>
      <c r="B17" s="36">
        <f>SUM(B5:B16)</f>
        <v>4681</v>
      </c>
      <c r="C17" s="36">
        <f t="shared" ref="C17:F17" si="4">SUM(C5:C16)</f>
        <v>18468</v>
      </c>
      <c r="D17" s="36">
        <f>B17-C17</f>
        <v>-13787</v>
      </c>
      <c r="E17" s="37">
        <f>IFERROR(D17/C17, 0)</f>
        <v>-0.74653454624214854</v>
      </c>
      <c r="F17" s="36">
        <f t="shared" si="4"/>
        <v>0</v>
      </c>
      <c r="G17" s="36">
        <f>B17-F17</f>
        <v>4681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55D7-39F7-43AE-BE71-A8F5C5B33748}">
  <sheetPr>
    <tabColor rgb="FFFFFF00"/>
  </sheetPr>
  <dimension ref="A1:O20"/>
  <sheetViews>
    <sheetView tabSelected="1" workbookViewId="0">
      <selection activeCell="I30" sqref="I30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77.140625" customWidth="1"/>
    <col min="10" max="10" width="21.42578125" customWidth="1"/>
  </cols>
  <sheetData>
    <row r="1" spans="1:15" ht="25.15">
      <c r="A1" s="124" t="s">
        <v>64</v>
      </c>
      <c r="B1" s="124"/>
      <c r="C1" s="124"/>
      <c r="D1" s="124"/>
      <c r="E1" s="124"/>
      <c r="F1" s="124"/>
      <c r="G1" s="124"/>
      <c r="H1" s="124"/>
      <c r="I1" s="124"/>
      <c r="J1" s="124"/>
    </row>
    <row r="2" spans="1:15" ht="25.15">
      <c r="A2" s="10"/>
      <c r="B2" s="10"/>
      <c r="C2" s="10"/>
      <c r="D2" s="10"/>
      <c r="E2" s="10"/>
    </row>
    <row r="3" spans="1:15" ht="15">
      <c r="A3" s="116" t="s">
        <v>65</v>
      </c>
      <c r="B3" s="117"/>
      <c r="C3" s="117"/>
      <c r="D3" s="117"/>
      <c r="E3" s="118"/>
      <c r="F3" s="119" t="s">
        <v>66</v>
      </c>
      <c r="G3" s="120"/>
      <c r="H3" s="121"/>
      <c r="I3" s="122" t="s">
        <v>67</v>
      </c>
      <c r="J3" s="123"/>
    </row>
    <row r="4" spans="1:15">
      <c r="A4" s="13" t="s">
        <v>68</v>
      </c>
      <c r="B4" s="40" t="s">
        <v>4</v>
      </c>
      <c r="C4" s="40" t="s">
        <v>5</v>
      </c>
      <c r="D4" s="40" t="s">
        <v>69</v>
      </c>
      <c r="E4" s="41" t="s">
        <v>70</v>
      </c>
      <c r="F4" s="42" t="s">
        <v>8</v>
      </c>
      <c r="G4" s="43" t="s">
        <v>71</v>
      </c>
      <c r="H4" s="44" t="s">
        <v>72</v>
      </c>
      <c r="I4" s="45" t="s">
        <v>67</v>
      </c>
      <c r="J4" s="46" t="s">
        <v>73</v>
      </c>
    </row>
    <row r="5" spans="1:15" ht="14.25">
      <c r="A5" s="14" t="s">
        <v>74</v>
      </c>
      <c r="B5" s="15">
        <v>3997</v>
      </c>
      <c r="C5" s="15">
        <v>18360</v>
      </c>
      <c r="D5" s="70">
        <f>B5-C5</f>
        <v>-14363</v>
      </c>
      <c r="E5" s="17">
        <f t="shared" ref="E5:E16" si="0">IFERROR(D5/C5, 0)</f>
        <v>-0.78229847494553373</v>
      </c>
      <c r="F5" s="18">
        <v>0</v>
      </c>
      <c r="G5" s="19">
        <f>B5-F5</f>
        <v>3997</v>
      </c>
      <c r="H5" s="20">
        <f t="shared" ref="H5:H16" si="1">IFERROR(G5/F5, 0)</f>
        <v>0</v>
      </c>
      <c r="I5" s="66"/>
      <c r="J5" s="66" t="s">
        <v>78</v>
      </c>
      <c r="O5" s="4"/>
    </row>
    <row r="6" spans="1:15" ht="14.25">
      <c r="A6" s="22" t="s">
        <v>77</v>
      </c>
      <c r="B6" s="16"/>
      <c r="C6" s="16"/>
      <c r="D6" s="70">
        <f t="shared" ref="D6:D16" si="2">B6-C6</f>
        <v>0</v>
      </c>
      <c r="E6" s="23">
        <f t="shared" si="0"/>
        <v>0</v>
      </c>
      <c r="F6" s="24"/>
      <c r="G6" s="19">
        <f t="shared" ref="G6:G16" si="3">B6-F6</f>
        <v>0</v>
      </c>
      <c r="H6" s="20">
        <f t="shared" si="1"/>
        <v>0</v>
      </c>
      <c r="I6" s="66"/>
      <c r="J6" s="66" t="s">
        <v>78</v>
      </c>
    </row>
    <row r="7" spans="1:15" ht="14.25">
      <c r="A7" s="22" t="s">
        <v>79</v>
      </c>
      <c r="B7" s="16"/>
      <c r="C7" s="16"/>
      <c r="D7" s="70">
        <f t="shared" si="2"/>
        <v>0</v>
      </c>
      <c r="E7" s="23">
        <f t="shared" si="0"/>
        <v>0</v>
      </c>
      <c r="F7" s="25"/>
      <c r="G7" s="19">
        <f t="shared" si="3"/>
        <v>0</v>
      </c>
      <c r="H7" s="20">
        <f t="shared" si="1"/>
        <v>0</v>
      </c>
      <c r="I7" s="67"/>
      <c r="J7" s="67"/>
    </row>
    <row r="8" spans="1:15" ht="14.25">
      <c r="A8" s="22" t="s">
        <v>80</v>
      </c>
      <c r="B8" s="16"/>
      <c r="C8" s="16"/>
      <c r="D8" s="70">
        <f t="shared" si="2"/>
        <v>0</v>
      </c>
      <c r="E8" s="23">
        <f t="shared" si="0"/>
        <v>0</v>
      </c>
      <c r="F8" s="19"/>
      <c r="G8" s="19">
        <f t="shared" si="3"/>
        <v>0</v>
      </c>
      <c r="H8" s="20">
        <f t="shared" si="1"/>
        <v>0</v>
      </c>
      <c r="I8" s="66"/>
      <c r="J8" s="66"/>
    </row>
    <row r="9" spans="1:15" ht="14.25">
      <c r="A9" s="22" t="s">
        <v>81</v>
      </c>
      <c r="B9" s="16"/>
      <c r="C9" s="16"/>
      <c r="D9" s="70">
        <f t="shared" si="2"/>
        <v>0</v>
      </c>
      <c r="E9" s="23">
        <f t="shared" si="0"/>
        <v>0</v>
      </c>
      <c r="F9" s="19"/>
      <c r="G9" s="19">
        <f t="shared" si="3"/>
        <v>0</v>
      </c>
      <c r="H9" s="20">
        <f t="shared" si="1"/>
        <v>0</v>
      </c>
      <c r="I9" s="68"/>
      <c r="J9" s="68"/>
    </row>
    <row r="10" spans="1:15" ht="14.25">
      <c r="A10" s="22" t="s">
        <v>82</v>
      </c>
      <c r="B10" s="27"/>
      <c r="C10" s="27"/>
      <c r="D10" s="70">
        <f t="shared" si="2"/>
        <v>0</v>
      </c>
      <c r="E10" s="23">
        <f t="shared" si="0"/>
        <v>0</v>
      </c>
      <c r="F10" s="28"/>
      <c r="G10" s="19">
        <f t="shared" si="3"/>
        <v>0</v>
      </c>
      <c r="H10" s="20">
        <f t="shared" si="1"/>
        <v>0</v>
      </c>
      <c r="I10" s="66"/>
      <c r="J10" s="66" t="s">
        <v>78</v>
      </c>
    </row>
    <row r="11" spans="1:15" ht="14.25">
      <c r="A11" s="22" t="s">
        <v>83</v>
      </c>
      <c r="B11" s="16"/>
      <c r="C11" s="16"/>
      <c r="D11" s="70">
        <f t="shared" si="2"/>
        <v>0</v>
      </c>
      <c r="E11" s="23">
        <f t="shared" si="0"/>
        <v>0</v>
      </c>
      <c r="F11" s="24"/>
      <c r="G11" s="19">
        <f t="shared" si="3"/>
        <v>0</v>
      </c>
      <c r="H11" s="20">
        <f t="shared" si="1"/>
        <v>0</v>
      </c>
      <c r="I11" s="66"/>
      <c r="J11" s="66"/>
    </row>
    <row r="12" spans="1:15" ht="14.25">
      <c r="A12" s="22" t="s">
        <v>84</v>
      </c>
      <c r="B12" s="16"/>
      <c r="C12" s="16"/>
      <c r="D12" s="70">
        <f t="shared" si="2"/>
        <v>0</v>
      </c>
      <c r="E12" s="23">
        <f t="shared" si="0"/>
        <v>0</v>
      </c>
      <c r="F12" s="24"/>
      <c r="G12" s="19">
        <f t="shared" si="3"/>
        <v>0</v>
      </c>
      <c r="H12" s="20">
        <f t="shared" si="1"/>
        <v>0</v>
      </c>
      <c r="I12" s="67"/>
      <c r="J12" s="67"/>
    </row>
    <row r="13" spans="1:15" ht="14.25">
      <c r="A13" s="22" t="s">
        <v>85</v>
      </c>
      <c r="B13" s="16"/>
      <c r="C13" s="16"/>
      <c r="D13" s="70">
        <f t="shared" si="2"/>
        <v>0</v>
      </c>
      <c r="E13" s="23">
        <f t="shared" si="0"/>
        <v>0</v>
      </c>
      <c r="F13" s="24"/>
      <c r="G13" s="19">
        <f t="shared" si="3"/>
        <v>0</v>
      </c>
      <c r="H13" s="20">
        <f t="shared" si="1"/>
        <v>0</v>
      </c>
      <c r="I13" s="66"/>
      <c r="J13" s="66"/>
    </row>
    <row r="14" spans="1:15" ht="14.25">
      <c r="A14" s="22" t="s">
        <v>86</v>
      </c>
      <c r="B14" s="16"/>
      <c r="C14" s="16"/>
      <c r="D14" s="70">
        <f t="shared" si="2"/>
        <v>0</v>
      </c>
      <c r="E14" s="23">
        <f t="shared" si="0"/>
        <v>0</v>
      </c>
      <c r="F14" s="24"/>
      <c r="G14" s="19">
        <f t="shared" si="3"/>
        <v>0</v>
      </c>
      <c r="H14" s="20">
        <f t="shared" si="1"/>
        <v>0</v>
      </c>
      <c r="I14" s="68"/>
      <c r="J14" s="68"/>
    </row>
    <row r="15" spans="1:15" ht="14.25">
      <c r="A15" s="22" t="s">
        <v>87</v>
      </c>
      <c r="B15" s="27"/>
      <c r="C15" s="27"/>
      <c r="D15" s="70">
        <f t="shared" si="2"/>
        <v>0</v>
      </c>
      <c r="E15" s="23">
        <f t="shared" si="0"/>
        <v>0</v>
      </c>
      <c r="F15" s="28"/>
      <c r="G15" s="19">
        <f t="shared" si="3"/>
        <v>0</v>
      </c>
      <c r="H15" s="20">
        <f t="shared" si="1"/>
        <v>0</v>
      </c>
      <c r="I15" s="68"/>
      <c r="J15" s="101"/>
    </row>
    <row r="16" spans="1:15" ht="14.25">
      <c r="A16" s="29" t="s">
        <v>88</v>
      </c>
      <c r="B16" s="30"/>
      <c r="C16" s="30"/>
      <c r="D16" s="70">
        <f t="shared" si="2"/>
        <v>0</v>
      </c>
      <c r="E16" s="31">
        <f t="shared" si="0"/>
        <v>0</v>
      </c>
      <c r="F16" s="32"/>
      <c r="G16" s="33">
        <f t="shared" si="3"/>
        <v>0</v>
      </c>
      <c r="H16" s="34">
        <f t="shared" si="1"/>
        <v>0</v>
      </c>
      <c r="I16" s="102"/>
      <c r="J16" s="102"/>
    </row>
    <row r="17" spans="1:15" ht="14.25">
      <c r="A17" s="35" t="s">
        <v>89</v>
      </c>
      <c r="B17" s="36">
        <f>SUM(B5:B16)</f>
        <v>3997</v>
      </c>
      <c r="C17" s="36">
        <f t="shared" ref="C17:F17" si="4">SUM(C5:C16)</f>
        <v>18360</v>
      </c>
      <c r="D17" s="36">
        <f>B17-C17</f>
        <v>-14363</v>
      </c>
      <c r="E17" s="37">
        <f>IFERROR(D17/C17, 0)</f>
        <v>-0.78229847494553373</v>
      </c>
      <c r="F17" s="36">
        <f t="shared" si="4"/>
        <v>0</v>
      </c>
      <c r="G17" s="36">
        <f>B17-F17</f>
        <v>3997</v>
      </c>
      <c r="H17" s="38">
        <f>IFERROR(G17/F17, 0)</f>
        <v>0</v>
      </c>
      <c r="I17" s="39"/>
      <c r="J17" s="39"/>
    </row>
    <row r="18" spans="1:15">
      <c r="F18" s="11"/>
    </row>
    <row r="20" spans="1:15">
      <c r="L20" s="3"/>
      <c r="M20" s="3"/>
      <c r="N20" s="3"/>
      <c r="O20" s="3"/>
    </row>
  </sheetData>
  <mergeCells count="4">
    <mergeCell ref="A1:J1"/>
    <mergeCell ref="A3:E3"/>
    <mergeCell ref="F3:H3"/>
    <mergeCell ref="I3:J3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2FC2F0-9B58-49B2-B77D-11ACB48229C0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2024-04-07T04:57:53Z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